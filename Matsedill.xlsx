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72" documentId="8_{9058C769-37DB-4D75-B77A-5C1D47EA4B73}" xr6:coauthVersionLast="47" xr6:coauthVersionMax="47" xr10:uidLastSave="{8DF008C6-F10D-403B-9E74-32CB244A3479}"/>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2" i="2" l="1"/>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495" i="2"/>
  <c r="H495" i="2"/>
  <c r="I495" i="2"/>
  <c r="J495" i="2"/>
  <c r="K495" i="2"/>
  <c r="L495" i="2"/>
  <c r="M495" i="2"/>
  <c r="N495" i="2"/>
  <c r="O495"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9" i="2"/>
  <c r="N269" i="2"/>
  <c r="M269" i="2"/>
  <c r="L269" i="2"/>
  <c r="K269" i="2"/>
  <c r="J269" i="2"/>
  <c r="I269" i="2"/>
  <c r="H269" i="2"/>
  <c r="G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N253" i="2" s="1"/>
  <c r="M254" i="2"/>
  <c r="L254" i="2"/>
  <c r="K254" i="2"/>
  <c r="J254" i="2"/>
  <c r="I254" i="2"/>
  <c r="H254" i="2"/>
  <c r="G254" i="2"/>
  <c r="O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N213" i="2" s="1"/>
  <c r="M214" i="2"/>
  <c r="L214" i="2"/>
  <c r="K214" i="2"/>
  <c r="J214" i="2"/>
  <c r="I214" i="2"/>
  <c r="H214" i="2"/>
  <c r="G214" i="2"/>
  <c r="O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N201" i="2" s="1"/>
  <c r="M202" i="2"/>
  <c r="L202" i="2"/>
  <c r="K202" i="2"/>
  <c r="J202" i="2"/>
  <c r="I202" i="2"/>
  <c r="H202" i="2"/>
  <c r="G202" i="2"/>
  <c r="O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N170" i="2" s="1"/>
  <c r="M171" i="2"/>
  <c r="L171" i="2"/>
  <c r="K171" i="2"/>
  <c r="J171" i="2"/>
  <c r="I171" i="2"/>
  <c r="H171" i="2"/>
  <c r="G171" i="2"/>
  <c r="O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N149" i="2" s="1"/>
  <c r="M150" i="2"/>
  <c r="L150" i="2"/>
  <c r="K150" i="2"/>
  <c r="J150" i="2"/>
  <c r="I150" i="2"/>
  <c r="H150" i="2"/>
  <c r="G150" i="2"/>
  <c r="O149" i="2"/>
  <c r="O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40" i="2" l="1"/>
  <c r="N668" i="2"/>
  <c r="N992" i="2"/>
  <c r="N1005" i="2"/>
  <c r="N1017" i="2"/>
  <c r="N1026" i="2"/>
  <c r="N920" i="2"/>
  <c r="N883" i="2"/>
  <c r="N896" i="2"/>
  <c r="N910" i="2"/>
  <c r="N677" i="2"/>
  <c r="N685" i="2"/>
  <c r="N694" i="2"/>
  <c r="N703" i="2"/>
  <c r="N712" i="2"/>
  <c r="N506" i="2"/>
  <c r="N515" i="2"/>
  <c r="N523" i="2"/>
  <c r="N532" i="2"/>
  <c r="N541" i="2"/>
  <c r="N549" i="2"/>
  <c r="N556" i="2"/>
  <c r="N487" i="2"/>
  <c r="N367" i="2"/>
  <c r="N376" i="2"/>
  <c r="N385" i="2"/>
  <c r="N301" i="2"/>
  <c r="N978" i="2"/>
  <c r="N833" i="2"/>
  <c r="N768" i="2"/>
  <c r="N808" i="2"/>
  <c r="N818" i="2"/>
  <c r="N728" i="2"/>
  <c r="N583" i="2"/>
  <c r="N496" i="2"/>
  <c r="N401" i="2"/>
  <c r="N431" i="2"/>
  <c r="N278" i="2"/>
  <c r="N286" i="2"/>
  <c r="N309" i="2"/>
  <c r="N340" i="2"/>
  <c r="N986" i="2"/>
  <c r="N826" i="2"/>
  <c r="N748" i="2"/>
  <c r="N787" i="2"/>
  <c r="N591" i="2"/>
  <c r="N616" i="2"/>
  <c r="N444" i="2"/>
  <c r="N317" i="2"/>
  <c r="N932" i="2"/>
  <c r="N962" i="2"/>
  <c r="N969" i="2"/>
  <c r="N565" i="2"/>
  <c r="N359" i="2"/>
  <c r="N864" i="2"/>
  <c r="N758" i="2"/>
  <c r="N651" i="2"/>
  <c r="N607" i="2"/>
  <c r="N624" i="2"/>
  <c r="N393" i="2"/>
  <c r="N346" i="2"/>
  <c r="N838" i="2"/>
  <c r="N778" i="2"/>
  <c r="N799" i="2"/>
  <c r="N326" i="2"/>
  <c r="N334" i="2"/>
  <c r="N941" i="2"/>
  <c r="N950" i="2"/>
  <c r="N846" i="2"/>
  <c r="N855" i="2"/>
  <c r="N720" i="2"/>
  <c r="N599" i="2"/>
  <c r="N410" i="2"/>
  <c r="N470" i="2"/>
  <c r="N270" i="2"/>
  <c r="N660" i="2"/>
  <c r="N574" i="2"/>
  <c r="N633" i="2"/>
  <c r="N642" i="2"/>
  <c r="N418" i="2"/>
  <c r="N461" i="2"/>
  <c r="N355" i="2"/>
  <c r="N184" i="2"/>
</calcChain>
</file>

<file path=xl/sharedStrings.xml><?xml version="1.0" encoding="utf-8"?>
<sst xmlns="http://schemas.openxmlformats.org/spreadsheetml/2006/main" count="62946" uniqueCount="4115">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</sst>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9"/>
  <sheetViews>
    <sheetView tabSelected="1" zoomScaleNormal="100" workbookViewId="0">
      <pane xSplit="1" ySplit="2" topLeftCell="B94" activePane="bottomRight" state="frozen"/>
      <selection pane="bottomRight" activeCell="C107" sqref="C10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c r="D107" s="23"/>
      <c r="E107" s="23"/>
      <c r="F107" s="23"/>
      <c r="G107" s="24"/>
      <c r="H107" s="24"/>
      <c r="I107" s="24"/>
      <c r="J107" s="24"/>
      <c r="K107" s="24"/>
      <c r="L107" s="24"/>
      <c r="M107" s="24"/>
      <c r="N107" s="24"/>
      <c r="O107" s="25"/>
      <c r="P107" s="21"/>
      <c r="Q107" s="26"/>
      <c r="R107" s="27"/>
    </row>
    <row r="108" spans="1:18" ht="15">
      <c r="A108" s="6"/>
      <c r="B108" s="6" t="s">
        <v>818</v>
      </c>
      <c r="C108" s="28">
        <v>100</v>
      </c>
      <c r="D108" s="23" t="s">
        <v>820</v>
      </c>
      <c r="E108" s="23"/>
      <c r="F108" s="23" t="s">
        <v>311</v>
      </c>
      <c r="G108" s="24">
        <v>386</v>
      </c>
      <c r="H108" s="24">
        <v>3.3</v>
      </c>
      <c r="I108" s="24">
        <v>1</v>
      </c>
      <c r="J108" s="24">
        <v>65</v>
      </c>
      <c r="K108" s="24">
        <v>0.6</v>
      </c>
      <c r="L108" s="24">
        <v>11</v>
      </c>
      <c r="M108" s="24">
        <v>0.1</v>
      </c>
      <c r="N108" s="24"/>
      <c r="O108" s="25">
        <f>IF(OR(B108="",C108=""),"",IFERROR(C108/1000*IFERROR(INDEX(Vöruskrá!R:R,MATCH(B108,Vöruskrá!B:B,0)),0)/1000,""))</f>
        <v>0</v>
      </c>
      <c r="P108" s="6"/>
      <c r="Q108" s="28"/>
      <c r="R108" s="6"/>
    </row>
    <row r="109" spans="1:18" ht="36">
      <c r="A109" s="29" t="s">
        <v>974</v>
      </c>
      <c r="B109" s="29"/>
      <c r="C109" s="30"/>
      <c r="D109" s="16" t="s">
        <v>1566</v>
      </c>
      <c r="E109" s="16" t="s">
        <v>252</v>
      </c>
      <c r="F109" s="16"/>
      <c r="G109" s="17">
        <v>74.03</v>
      </c>
      <c r="H109" s="17">
        <v>3.91</v>
      </c>
      <c r="I109" s="17">
        <v>1.1000000000000001</v>
      </c>
      <c r="J109" s="17">
        <v>2.17</v>
      </c>
      <c r="K109" s="17"/>
      <c r="L109" s="17">
        <v>7.33</v>
      </c>
      <c r="M109" s="17">
        <v>0.68</v>
      </c>
      <c r="N109" s="17">
        <v>0.42</v>
      </c>
      <c r="O109" s="18" t="str">
        <f>IF(OR(B109="",C109=""),"",IFERROR(C109/1000*IFERROR(INDEX(Vöruskrá!R:R,MATCH(B109,Vöruskrá!B:B,0)),0)/1000,""))</f>
        <v/>
      </c>
      <c r="P109" s="29" t="s">
        <v>1567</v>
      </c>
      <c r="Q109" s="31" t="s">
        <v>1568</v>
      </c>
      <c r="R109" s="32" t="s">
        <v>1569</v>
      </c>
    </row>
    <row r="110" spans="1:18" ht="15">
      <c r="A110" s="6"/>
      <c r="B110" s="6" t="s">
        <v>541</v>
      </c>
      <c r="C110" s="28">
        <v>35000</v>
      </c>
      <c r="D110" s="23" t="s">
        <v>543</v>
      </c>
      <c r="E110" s="23" t="s">
        <v>134</v>
      </c>
      <c r="F110" s="23"/>
      <c r="G110" s="24">
        <v>179</v>
      </c>
      <c r="H110" s="24">
        <v>11</v>
      </c>
      <c r="I110" s="24">
        <v>3.1</v>
      </c>
      <c r="J110" s="24">
        <v>0</v>
      </c>
      <c r="K110" s="24">
        <v>0</v>
      </c>
      <c r="L110" s="24">
        <v>20</v>
      </c>
      <c r="M110" s="24">
        <v>0.2</v>
      </c>
      <c r="N110" s="24">
        <v>0</v>
      </c>
      <c r="O110" s="25">
        <f>IF(OR(B110="",C110=""),"",IFERROR(C110/1000*IFERROR(INDEX(Vöruskrá!R:R,MATCH(B110,Vöruskrá!B:B,0)),0)/1000,""))</f>
        <v>0</v>
      </c>
      <c r="P110" s="6"/>
      <c r="Q110" s="28"/>
      <c r="R110" s="6"/>
    </row>
    <row r="111" spans="1:18" ht="15">
      <c r="A111" s="21"/>
      <c r="B111" s="21" t="s">
        <v>247</v>
      </c>
      <c r="C111" s="22">
        <v>10000</v>
      </c>
      <c r="D111" s="23" t="s">
        <v>251</v>
      </c>
      <c r="E111" s="23" t="s">
        <v>252</v>
      </c>
      <c r="F111" s="23"/>
      <c r="G111" s="24">
        <v>26</v>
      </c>
      <c r="H111" s="24">
        <v>0.4</v>
      </c>
      <c r="I111" s="24">
        <v>0.1</v>
      </c>
      <c r="J111" s="24">
        <v>3.4</v>
      </c>
      <c r="K111" s="24">
        <v>2.9</v>
      </c>
      <c r="L111" s="24">
        <v>1</v>
      </c>
      <c r="M111" s="24">
        <v>0.1</v>
      </c>
      <c r="N111" s="24">
        <v>2.5</v>
      </c>
      <c r="O111" s="25">
        <f>IF(OR(B111="",C111=""),"",IFERROR(C111/1000*IFERROR(INDEX(Vöruskrá!R:R,MATCH(B111,Vöruskrá!B:B,0)),0)/1000,""))</f>
        <v>0</v>
      </c>
      <c r="P111" s="21"/>
      <c r="Q111" s="26"/>
      <c r="R111" s="27"/>
    </row>
    <row r="112" spans="1:18">
      <c r="A112" s="6"/>
      <c r="B112" s="6" t="s">
        <v>1570</v>
      </c>
      <c r="C112" s="28">
        <v>8000</v>
      </c>
      <c r="D112" s="23" t="s">
        <v>1571</v>
      </c>
      <c r="E112" s="23"/>
      <c r="F112" s="23"/>
      <c r="G112" s="24">
        <v>33</v>
      </c>
      <c r="H112" s="24">
        <v>0</v>
      </c>
      <c r="I112" s="24">
        <v>0</v>
      </c>
      <c r="J112" s="24">
        <v>5.5</v>
      </c>
      <c r="K112" s="24">
        <v>4.8</v>
      </c>
      <c r="L112" s="24">
        <v>1.6</v>
      </c>
      <c r="M112" s="24">
        <v>1</v>
      </c>
      <c r="N112" s="24">
        <v>1.9</v>
      </c>
      <c r="O112" s="25">
        <f>IF(OR(B112="",C112=""),"",IFERROR(C112/1000*IFERROR(INDEX(Vöruskrá!R:R,MATCH(B112,Vöruskrá!B:B,0)),0)/1000,""))</f>
        <v>0</v>
      </c>
      <c r="P112" s="6"/>
      <c r="Q112" s="28"/>
      <c r="R112" s="6"/>
    </row>
    <row r="113" spans="1:18" ht="15">
      <c r="A113" s="21"/>
      <c r="B113" s="21" t="s">
        <v>503</v>
      </c>
      <c r="C113" s="22">
        <v>3000</v>
      </c>
      <c r="D113" s="23" t="s">
        <v>500</v>
      </c>
      <c r="E113" s="23" t="s">
        <v>134</v>
      </c>
      <c r="F113" s="23"/>
      <c r="G113" s="24">
        <v>113</v>
      </c>
      <c r="H113" s="24">
        <v>0.4</v>
      </c>
      <c r="I113" s="24">
        <v>0</v>
      </c>
      <c r="J113" s="24">
        <v>19</v>
      </c>
      <c r="K113" s="24">
        <v>14</v>
      </c>
      <c r="L113" s="24">
        <v>6</v>
      </c>
      <c r="M113" s="24">
        <v>0.1</v>
      </c>
      <c r="N113" s="24"/>
      <c r="O113" s="25">
        <f>IF(OR(B113="",C113=""),"",IFERROR(C113/1000*IFERROR(INDEX(Vöruskrá!R:R,MATCH(B113,Vöruskrá!B:B,0)),0)/1000,""))</f>
        <v>0</v>
      </c>
      <c r="P113" s="21"/>
      <c r="Q113" s="26"/>
      <c r="R113" s="27"/>
    </row>
    <row r="114" spans="1:18" ht="15">
      <c r="A114" s="6"/>
      <c r="B114" s="6" t="s">
        <v>1016</v>
      </c>
      <c r="C114" s="28">
        <v>500</v>
      </c>
      <c r="D114" s="23" t="s">
        <v>1017</v>
      </c>
      <c r="E114" s="23" t="s">
        <v>134</v>
      </c>
      <c r="F114" s="23"/>
      <c r="G114" s="24">
        <v>149</v>
      </c>
      <c r="H114" s="24">
        <v>0.5</v>
      </c>
      <c r="I114" s="24">
        <v>0.1</v>
      </c>
      <c r="J114" s="24">
        <v>33.1</v>
      </c>
      <c r="K114" s="24">
        <v>1</v>
      </c>
      <c r="L114" s="24">
        <v>6.4</v>
      </c>
      <c r="M114" s="24">
        <v>0.02</v>
      </c>
      <c r="N114" s="24">
        <v>2.1</v>
      </c>
      <c r="O114" s="25">
        <f>IF(OR(B114="",C114=""),"",IFERROR(C114/1000*IFERROR(INDEX(Vöruskrá!R:R,MATCH(B114,Vöruskrá!B:B,0)),0)/1000,""))</f>
        <v>0</v>
      </c>
      <c r="P114" s="6"/>
      <c r="Q114" s="28"/>
      <c r="R114" s="6"/>
    </row>
    <row r="115" spans="1:18" ht="15">
      <c r="A115" s="21"/>
      <c r="B115" s="21" t="s">
        <v>348</v>
      </c>
      <c r="C115" s="22">
        <v>1200</v>
      </c>
      <c r="D115" s="23" t="s">
        <v>351</v>
      </c>
      <c r="E115" s="23" t="s">
        <v>134</v>
      </c>
      <c r="F115" s="23"/>
      <c r="G115" s="24"/>
      <c r="H115" s="24"/>
      <c r="I115" s="24"/>
      <c r="J115" s="24"/>
      <c r="K115" s="24"/>
      <c r="L115" s="24"/>
      <c r="M115" s="24"/>
      <c r="N115" s="24"/>
      <c r="O115" s="25">
        <f>IF(OR(B115="",C115=""),"",IFERROR(C115/1000*IFERROR(INDEX(Vöruskrá!R:R,MATCH(B115,Vöruskrá!B:B,0)),0)/1000,""))</f>
        <v>0</v>
      </c>
      <c r="P115" s="21"/>
      <c r="Q115" s="26"/>
      <c r="R115" s="27"/>
    </row>
    <row r="116" spans="1:18" ht="15">
      <c r="A116" s="6"/>
      <c r="B116" s="6" t="s">
        <v>298</v>
      </c>
      <c r="C116" s="28">
        <v>600</v>
      </c>
      <c r="D116" s="23" t="s">
        <v>302</v>
      </c>
      <c r="E116" s="23" t="s">
        <v>134</v>
      </c>
      <c r="F116" s="23" t="s">
        <v>303</v>
      </c>
      <c r="G116" s="24">
        <v>0</v>
      </c>
      <c r="H116" s="24">
        <v>0</v>
      </c>
      <c r="I116" s="24">
        <v>0</v>
      </c>
      <c r="J116" s="24">
        <v>0</v>
      </c>
      <c r="K116" s="24">
        <v>0</v>
      </c>
      <c r="L116" s="24">
        <v>0</v>
      </c>
      <c r="M116" s="24">
        <v>100</v>
      </c>
      <c r="N116" s="24"/>
      <c r="O116" s="25">
        <f>IF(OR(B116="",C116=""),"",IFERROR(C116/1000*IFERROR(INDEX(Vöruskrá!R:R,MATCH(B116,Vöruskrá!B:B,0)),0)/1000,""))</f>
        <v>0</v>
      </c>
      <c r="P116" s="6"/>
      <c r="Q116" s="28"/>
      <c r="R116" s="6"/>
    </row>
    <row r="117" spans="1:18" ht="15">
      <c r="A117" s="21"/>
      <c r="B117" s="21" t="s">
        <v>818</v>
      </c>
      <c r="C117" s="22">
        <v>100</v>
      </c>
      <c r="D117" s="23" t="s">
        <v>820</v>
      </c>
      <c r="E117" s="23"/>
      <c r="F117" s="23" t="s">
        <v>311</v>
      </c>
      <c r="G117" s="24">
        <v>386</v>
      </c>
      <c r="H117" s="24">
        <v>3.3</v>
      </c>
      <c r="I117" s="24">
        <v>1</v>
      </c>
      <c r="J117" s="24">
        <v>65</v>
      </c>
      <c r="K117" s="24">
        <v>0.6</v>
      </c>
      <c r="L117" s="24">
        <v>11</v>
      </c>
      <c r="M117" s="24">
        <v>0.1</v>
      </c>
      <c r="N117" s="24"/>
      <c r="O117" s="25">
        <f>IF(OR(B117="",C117=""),"",IFERROR(C117/1000*IFERROR(INDEX(Vöruskrá!R:R,MATCH(B117,Vöruskrá!B:B,0)),0)/1000,""))</f>
        <v>0</v>
      </c>
      <c r="P117" s="21"/>
      <c r="Q117" s="26"/>
      <c r="R117" s="27"/>
    </row>
    <row r="118" spans="1:18" ht="15">
      <c r="A118" s="6"/>
      <c r="B118" s="6" t="s">
        <v>1020</v>
      </c>
      <c r="C118" s="28">
        <v>41600</v>
      </c>
      <c r="D118" s="23" t="s">
        <v>1020</v>
      </c>
      <c r="E118" s="23" t="s">
        <v>134</v>
      </c>
      <c r="F118" s="23"/>
      <c r="G118" s="24">
        <v>0</v>
      </c>
      <c r="H118" s="24">
        <v>0</v>
      </c>
      <c r="I118" s="24">
        <v>0</v>
      </c>
      <c r="J118" s="24">
        <v>0</v>
      </c>
      <c r="K118" s="24">
        <v>0</v>
      </c>
      <c r="L118" s="24">
        <v>0</v>
      </c>
      <c r="M118" s="24">
        <v>0</v>
      </c>
      <c r="N118" s="24">
        <v>0</v>
      </c>
      <c r="O118" s="25">
        <f>IF(OR(B118="",C118=""),"",IFERROR(C118/1000*IFERROR(INDEX(Vöruskrá!R:R,MATCH(B118,Vöruskrá!B:B,0)),0)/1000,""))</f>
        <v>0</v>
      </c>
      <c r="P118" s="6"/>
      <c r="Q118" s="28"/>
      <c r="R118" s="6"/>
    </row>
    <row r="119" spans="1:18" ht="24">
      <c r="A119" s="29" t="s">
        <v>979</v>
      </c>
      <c r="B119" s="29"/>
      <c r="C119" s="30"/>
      <c r="D119" s="16" t="s">
        <v>1572</v>
      </c>
      <c r="E119" s="16" t="s">
        <v>134</v>
      </c>
      <c r="F119" s="16"/>
      <c r="G119" s="17">
        <v>85.43</v>
      </c>
      <c r="H119" s="17">
        <v>3.39</v>
      </c>
      <c r="I119" s="17">
        <v>0.94</v>
      </c>
      <c r="J119" s="17">
        <v>6.81</v>
      </c>
      <c r="K119" s="17"/>
      <c r="L119" s="17">
        <v>6.91</v>
      </c>
      <c r="M119" s="17">
        <v>0.67</v>
      </c>
      <c r="N119" s="17">
        <v>1.05</v>
      </c>
      <c r="O119" s="18" t="str">
        <f>IF(OR(B119="",C119=""),"",IFERROR(C119/1000*IFERROR(INDEX(Vöruskrá!R:R,MATCH(B119,Vöruskrá!B:B,0)),0)/1000,""))</f>
        <v/>
      </c>
      <c r="P119" s="29" t="s">
        <v>1573</v>
      </c>
      <c r="Q119" s="31" t="s">
        <v>1574</v>
      </c>
      <c r="R119" s="32" t="s">
        <v>1575</v>
      </c>
    </row>
    <row r="120" spans="1:18" ht="15">
      <c r="A120" s="6"/>
      <c r="B120" s="6" t="s">
        <v>541</v>
      </c>
      <c r="C120" s="28">
        <v>30000</v>
      </c>
      <c r="D120" s="23" t="s">
        <v>543</v>
      </c>
      <c r="E120" s="23" t="s">
        <v>134</v>
      </c>
      <c r="F120" s="23"/>
      <c r="G120" s="24">
        <v>179</v>
      </c>
      <c r="H120" s="24">
        <v>11</v>
      </c>
      <c r="I120" s="24">
        <v>3.1</v>
      </c>
      <c r="J120" s="24">
        <v>0</v>
      </c>
      <c r="K120" s="24">
        <v>0</v>
      </c>
      <c r="L120" s="24">
        <v>20</v>
      </c>
      <c r="M120" s="24">
        <v>0.2</v>
      </c>
      <c r="N120" s="24">
        <v>0</v>
      </c>
      <c r="O120" s="25">
        <f>IF(OR(B120="",C120=""),"",IFERROR(C120/1000*IFERROR(INDEX(Vöruskrá!R:R,MATCH(B120,Vöruskrá!B:B,0)),0)/1000,""))</f>
        <v>0</v>
      </c>
      <c r="P120" s="6"/>
      <c r="Q120" s="28"/>
      <c r="R120" s="6"/>
    </row>
    <row r="121" spans="1:18" ht="15">
      <c r="A121" s="21"/>
      <c r="B121" s="21" t="s">
        <v>1008</v>
      </c>
      <c r="C121" s="22">
        <v>25000</v>
      </c>
      <c r="D121" s="23" t="s">
        <v>635</v>
      </c>
      <c r="E121" s="23" t="s">
        <v>134</v>
      </c>
      <c r="F121" s="23"/>
      <c r="G121" s="24">
        <v>77</v>
      </c>
      <c r="H121" s="24">
        <v>0.1</v>
      </c>
      <c r="I121" s="24">
        <v>0</v>
      </c>
      <c r="J121" s="24">
        <v>17</v>
      </c>
      <c r="K121" s="24">
        <v>0.8</v>
      </c>
      <c r="L121" s="24">
        <v>2</v>
      </c>
      <c r="M121" s="24">
        <v>6.0000000000000001E-3</v>
      </c>
      <c r="N121" s="24">
        <v>2.2000000000000002</v>
      </c>
      <c r="O121" s="25">
        <f>IF(OR(B121="",C121=""),"",IFERROR(C121/1000*IFERROR(INDEX(Vöruskrá!R:R,MATCH(B121,Vöruskrá!B:B,0)),0)/1000,""))</f>
        <v>0</v>
      </c>
      <c r="P121" s="21"/>
      <c r="Q121" s="26"/>
      <c r="R121" s="27"/>
    </row>
    <row r="122" spans="1:18" ht="15">
      <c r="A122" s="6"/>
      <c r="B122" s="6" t="s">
        <v>1005</v>
      </c>
      <c r="C122" s="28">
        <v>10000</v>
      </c>
      <c r="D122" s="23" t="s">
        <v>1006</v>
      </c>
      <c r="E122" s="23" t="s">
        <v>134</v>
      </c>
      <c r="F122" s="23"/>
      <c r="G122" s="24">
        <v>41</v>
      </c>
      <c r="H122" s="24">
        <v>0.2</v>
      </c>
      <c r="I122" s="24">
        <v>0</v>
      </c>
      <c r="J122" s="24">
        <v>9.6</v>
      </c>
      <c r="K122" s="24">
        <v>4.7</v>
      </c>
      <c r="L122" s="24">
        <v>0.9</v>
      </c>
      <c r="M122" s="24">
        <v>7.0000000000000007E-2</v>
      </c>
      <c r="N122" s="24">
        <v>2.8</v>
      </c>
      <c r="O122" s="25">
        <f>IF(OR(B122="",C122=""),"",IFERROR(C122/1000*IFERROR(INDEX(Vöruskrá!R:R,MATCH(B122,Vöruskrá!B:B,0)),0)/1000,""))</f>
        <v>0</v>
      </c>
      <c r="P122" s="6"/>
      <c r="Q122" s="28"/>
      <c r="R122" s="6"/>
    </row>
    <row r="123" spans="1:18" ht="15">
      <c r="A123" s="21"/>
      <c r="B123" s="21" t="s">
        <v>1009</v>
      </c>
      <c r="C123" s="22">
        <v>8000</v>
      </c>
      <c r="D123" s="23" t="s">
        <v>1010</v>
      </c>
      <c r="E123" s="23" t="s">
        <v>134</v>
      </c>
      <c r="F123" s="23"/>
      <c r="G123" s="24">
        <v>40</v>
      </c>
      <c r="H123" s="24">
        <v>0.1</v>
      </c>
      <c r="I123" s="24">
        <v>0</v>
      </c>
      <c r="J123" s="24">
        <v>9.3000000000000007</v>
      </c>
      <c r="K123" s="24">
        <v>4.2</v>
      </c>
      <c r="L123" s="24">
        <v>1.1000000000000001</v>
      </c>
      <c r="M123" s="24">
        <v>4.0000000000000001E-3</v>
      </c>
      <c r="N123" s="24">
        <v>1.7</v>
      </c>
      <c r="O123" s="25">
        <f>IF(OR(B123="",C123=""),"",IFERROR(C123/1000*IFERROR(INDEX(Vöruskrá!R:R,MATCH(B123,Vöruskrá!B:B,0)),0)/1000,""))</f>
        <v>0</v>
      </c>
      <c r="P123" s="21"/>
      <c r="Q123" s="26"/>
      <c r="R123" s="27"/>
    </row>
    <row r="124" spans="1:18" ht="15">
      <c r="A124" s="6"/>
      <c r="B124" s="6" t="s">
        <v>738</v>
      </c>
      <c r="C124" s="28">
        <v>5000</v>
      </c>
      <c r="D124" s="23" t="s">
        <v>741</v>
      </c>
      <c r="E124" s="23"/>
      <c r="F124" s="23"/>
      <c r="G124" s="24">
        <v>28</v>
      </c>
      <c r="H124" s="24">
        <v>0.4</v>
      </c>
      <c r="I124" s="24">
        <v>0.1</v>
      </c>
      <c r="J124" s="24">
        <v>4.5</v>
      </c>
      <c r="K124" s="24">
        <v>4.3</v>
      </c>
      <c r="L124" s="24">
        <v>0.9</v>
      </c>
      <c r="M124" s="24">
        <v>0</v>
      </c>
      <c r="N124" s="24">
        <v>1.6</v>
      </c>
      <c r="O124" s="25">
        <f>IF(OR(B124="",C124=""),"",IFERROR(C124/1000*IFERROR(INDEX(Vöruskrá!R:R,MATCH(B124,Vöruskrá!B:B,0)),0)/1000,""))</f>
        <v>0</v>
      </c>
      <c r="P124" s="6"/>
      <c r="Q124" s="28"/>
      <c r="R124" s="6"/>
    </row>
    <row r="125" spans="1:18" ht="15">
      <c r="A125" s="21"/>
      <c r="B125" s="21" t="s">
        <v>503</v>
      </c>
      <c r="C125" s="22">
        <v>3000</v>
      </c>
      <c r="D125" s="23" t="s">
        <v>500</v>
      </c>
      <c r="E125" s="23" t="s">
        <v>134</v>
      </c>
      <c r="F125" s="23"/>
      <c r="G125" s="24">
        <v>113</v>
      </c>
      <c r="H125" s="24">
        <v>0.4</v>
      </c>
      <c r="I125" s="24">
        <v>0</v>
      </c>
      <c r="J125" s="24">
        <v>19</v>
      </c>
      <c r="K125" s="24">
        <v>14</v>
      </c>
      <c r="L125" s="24">
        <v>6</v>
      </c>
      <c r="M125" s="24">
        <v>0.1</v>
      </c>
      <c r="N125" s="24"/>
      <c r="O125" s="25">
        <f>IF(OR(B125="",C125=""),"",IFERROR(C125/1000*IFERROR(INDEX(Vöruskrá!R:R,MATCH(B125,Vöruskrá!B:B,0)),0)/1000,""))</f>
        <v>0</v>
      </c>
      <c r="P125" s="21"/>
      <c r="Q125" s="26"/>
      <c r="R125" s="27"/>
    </row>
    <row r="126" spans="1:18" ht="15">
      <c r="A126" s="6"/>
      <c r="B126" s="6" t="s">
        <v>298</v>
      </c>
      <c r="C126" s="28">
        <v>600</v>
      </c>
      <c r="D126" s="23" t="s">
        <v>302</v>
      </c>
      <c r="E126" s="23" t="s">
        <v>134</v>
      </c>
      <c r="F126" s="23" t="s">
        <v>303</v>
      </c>
      <c r="G126" s="24">
        <v>0</v>
      </c>
      <c r="H126" s="24">
        <v>0</v>
      </c>
      <c r="I126" s="24">
        <v>0</v>
      </c>
      <c r="J126" s="24">
        <v>0</v>
      </c>
      <c r="K126" s="24">
        <v>0</v>
      </c>
      <c r="L126" s="24">
        <v>0</v>
      </c>
      <c r="M126" s="24">
        <v>100</v>
      </c>
      <c r="N126" s="24"/>
      <c r="O126" s="25">
        <f>IF(OR(B126="",C126=""),"",IFERROR(C126/1000*IFERROR(INDEX(Vöruskrá!R:R,MATCH(B126,Vöruskrá!B:B,0)),0)/1000,""))</f>
        <v>0</v>
      </c>
      <c r="P126" s="6"/>
      <c r="Q126" s="28"/>
      <c r="R126" s="6"/>
    </row>
    <row r="127" spans="1:18" ht="15">
      <c r="A127" s="21"/>
      <c r="B127" s="21" t="s">
        <v>818</v>
      </c>
      <c r="C127" s="22">
        <v>100</v>
      </c>
      <c r="D127" s="23" t="s">
        <v>820</v>
      </c>
      <c r="E127" s="23"/>
      <c r="F127" s="23" t="s">
        <v>311</v>
      </c>
      <c r="G127" s="24">
        <v>386</v>
      </c>
      <c r="H127" s="24">
        <v>3.3</v>
      </c>
      <c r="I127" s="24">
        <v>1</v>
      </c>
      <c r="J127" s="24">
        <v>65</v>
      </c>
      <c r="K127" s="24">
        <v>0.6</v>
      </c>
      <c r="L127" s="24">
        <v>11</v>
      </c>
      <c r="M127" s="24">
        <v>0.1</v>
      </c>
      <c r="N127" s="24"/>
      <c r="O127" s="25">
        <f>IF(OR(B127="",C127=""),"",IFERROR(C127/1000*IFERROR(INDEX(Vöruskrá!R:R,MATCH(B127,Vöruskrá!B:B,0)),0)/1000,""))</f>
        <v>0</v>
      </c>
      <c r="P127" s="21"/>
      <c r="Q127" s="26"/>
      <c r="R127" s="27"/>
    </row>
    <row r="128" spans="1:18" ht="15">
      <c r="A128" s="6"/>
      <c r="B128" s="6" t="s">
        <v>1020</v>
      </c>
      <c r="C128" s="28">
        <v>18300</v>
      </c>
      <c r="D128" s="23" t="s">
        <v>1020</v>
      </c>
      <c r="E128" s="23" t="s">
        <v>134</v>
      </c>
      <c r="F128" s="23"/>
      <c r="G128" s="24">
        <v>0</v>
      </c>
      <c r="H128" s="24">
        <v>0</v>
      </c>
      <c r="I128" s="24">
        <v>0</v>
      </c>
      <c r="J128" s="24">
        <v>0</v>
      </c>
      <c r="K128" s="24">
        <v>0</v>
      </c>
      <c r="L128" s="24">
        <v>0</v>
      </c>
      <c r="M128" s="24">
        <v>0</v>
      </c>
      <c r="N128" s="24">
        <v>0</v>
      </c>
      <c r="O128" s="25">
        <f>IF(OR(B128="",C128=""),"",IFERROR(C128/1000*IFERROR(INDEX(Vöruskrá!R:R,MATCH(B128,Vöruskrá!B:B,0)),0)/1000,""))</f>
        <v>0</v>
      </c>
      <c r="P128" s="6"/>
      <c r="Q128" s="28"/>
      <c r="R128" s="6"/>
    </row>
    <row r="129" spans="1:18" ht="48">
      <c r="A129" s="29" t="s">
        <v>1576</v>
      </c>
      <c r="B129" s="29"/>
      <c r="C129" s="30"/>
      <c r="D129" s="16" t="s">
        <v>1577</v>
      </c>
      <c r="E129" s="16" t="s">
        <v>120</v>
      </c>
      <c r="F129" s="16"/>
      <c r="G129" s="17">
        <v>108.01</v>
      </c>
      <c r="H129" s="17">
        <v>6.25</v>
      </c>
      <c r="I129" s="17">
        <v>2.13</v>
      </c>
      <c r="J129" s="17">
        <v>4.05</v>
      </c>
      <c r="K129" s="17"/>
      <c r="L129" s="17">
        <v>8.9</v>
      </c>
      <c r="M129" s="17">
        <v>0.79</v>
      </c>
      <c r="N129" s="17">
        <v>0.28999999999999998</v>
      </c>
      <c r="O129" s="18" t="str">
        <f>IF(OR(B129="",C129=""),"",IFERROR(C129/1000*IFERROR(INDEX(Vöruskrá!R:R,MATCH(B129,Vöruskrá!B:B,0)),0)/1000,""))</f>
        <v/>
      </c>
      <c r="P129" s="29" t="s">
        <v>1578</v>
      </c>
      <c r="Q129" s="31" t="s">
        <v>1579</v>
      </c>
      <c r="R129" s="32" t="s">
        <v>1580</v>
      </c>
    </row>
    <row r="130" spans="1:18" ht="15">
      <c r="A130" s="6"/>
      <c r="B130" s="6" t="s">
        <v>170</v>
      </c>
      <c r="C130" s="28">
        <v>25000</v>
      </c>
      <c r="D130" s="23" t="s">
        <v>172</v>
      </c>
      <c r="E130" s="23"/>
      <c r="F130" s="23"/>
      <c r="G130" s="24">
        <v>137</v>
      </c>
      <c r="H130" s="24">
        <v>9</v>
      </c>
      <c r="I130" s="24">
        <v>2.2999999999999998</v>
      </c>
      <c r="J130" s="24"/>
      <c r="K130" s="24"/>
      <c r="L130" s="24">
        <v>14</v>
      </c>
      <c r="M130" s="24">
        <v>0.8</v>
      </c>
      <c r="N130" s="24"/>
      <c r="O130" s="25">
        <f>IF(OR(B130="",C130=""),"",IFERROR(C130/1000*IFERROR(INDEX(Vöruskrá!R:R,MATCH(B130,Vöruskrá!B:B,0)),0)/1000,""))</f>
        <v>0</v>
      </c>
      <c r="P130" s="6"/>
      <c r="Q130" s="28"/>
      <c r="R130" s="6"/>
    </row>
    <row r="131" spans="1:18" ht="15">
      <c r="A131" s="21"/>
      <c r="B131" s="21" t="s">
        <v>848</v>
      </c>
      <c r="C131" s="22">
        <v>10000</v>
      </c>
      <c r="D131" s="23" t="s">
        <v>850</v>
      </c>
      <c r="E131" s="23" t="s">
        <v>120</v>
      </c>
      <c r="F131" s="23"/>
      <c r="G131" s="24">
        <v>67</v>
      </c>
      <c r="H131" s="24">
        <v>3.9</v>
      </c>
      <c r="I131" s="24">
        <v>2.2999999999999998</v>
      </c>
      <c r="J131" s="24">
        <v>4.7</v>
      </c>
      <c r="K131" s="24">
        <v>4.7</v>
      </c>
      <c r="L131" s="24">
        <v>3.3</v>
      </c>
      <c r="M131" s="24">
        <v>0.1</v>
      </c>
      <c r="N131" s="24">
        <v>0</v>
      </c>
      <c r="O131" s="25">
        <f>IF(OR(B131="",C131=""),"",IFERROR(C131/1000*IFERROR(INDEX(Vöruskrá!R:R,MATCH(B131,Vöruskrá!B:B,0)),0)/1000,""))</f>
        <v>0</v>
      </c>
      <c r="P131" s="21"/>
      <c r="Q131" s="26"/>
      <c r="R131" s="27"/>
    </row>
    <row r="132" spans="1:18" ht="15">
      <c r="A132" s="6"/>
      <c r="B132" s="6" t="s">
        <v>894</v>
      </c>
      <c r="C132" s="28">
        <v>2000</v>
      </c>
      <c r="D132" s="23" t="s">
        <v>897</v>
      </c>
      <c r="E132" s="23" t="s">
        <v>120</v>
      </c>
      <c r="F132" s="23"/>
      <c r="G132" s="24">
        <v>301</v>
      </c>
      <c r="H132" s="24">
        <v>21</v>
      </c>
      <c r="I132" s="24">
        <v>12</v>
      </c>
      <c r="J132" s="24">
        <v>3.2</v>
      </c>
      <c r="K132" s="24">
        <v>1</v>
      </c>
      <c r="L132" s="24">
        <v>24</v>
      </c>
      <c r="M132" s="24">
        <v>1.4</v>
      </c>
      <c r="N132" s="24">
        <v>0</v>
      </c>
      <c r="O132" s="25">
        <f>IF(OR(B132="",C132=""),"",IFERROR(C132/1000*IFERROR(INDEX(Vöruskrá!R:R,MATCH(B132,Vöruskrá!B:B,0)),0)/1000,""))</f>
        <v>0</v>
      </c>
      <c r="P132" s="6"/>
      <c r="Q132" s="28"/>
      <c r="R132" s="6"/>
    </row>
    <row r="133" spans="1:18" ht="15">
      <c r="A133" s="21"/>
      <c r="B133" s="21" t="s">
        <v>1005</v>
      </c>
      <c r="C133" s="22">
        <v>3000</v>
      </c>
      <c r="D133" s="23" t="s">
        <v>1006</v>
      </c>
      <c r="E133" s="23" t="s">
        <v>134</v>
      </c>
      <c r="F133" s="23"/>
      <c r="G133" s="24">
        <v>41</v>
      </c>
      <c r="H133" s="24">
        <v>0.2</v>
      </c>
      <c r="I133" s="24">
        <v>0</v>
      </c>
      <c r="J133" s="24">
        <v>9.6</v>
      </c>
      <c r="K133" s="24">
        <v>4.7</v>
      </c>
      <c r="L133" s="24">
        <v>0.9</v>
      </c>
      <c r="M133" s="24">
        <v>7.0000000000000007E-2</v>
      </c>
      <c r="N133" s="24">
        <v>2.8</v>
      </c>
      <c r="O133" s="25">
        <f>IF(OR(B133="",C133=""),"",IFERROR(C133/1000*IFERROR(INDEX(Vöruskrá!R:R,MATCH(B133,Vöruskrá!B:B,0)),0)/1000,""))</f>
        <v>0</v>
      </c>
      <c r="P133" s="21"/>
      <c r="Q133" s="26"/>
      <c r="R133" s="27"/>
    </row>
    <row r="134" spans="1:18" ht="15">
      <c r="A134" s="6"/>
      <c r="B134" s="6" t="s">
        <v>1009</v>
      </c>
      <c r="C134" s="28">
        <v>3000</v>
      </c>
      <c r="D134" s="23" t="s">
        <v>1010</v>
      </c>
      <c r="E134" s="23" t="s">
        <v>134</v>
      </c>
      <c r="F134" s="23"/>
      <c r="G134" s="24">
        <v>40</v>
      </c>
      <c r="H134" s="24">
        <v>0.1</v>
      </c>
      <c r="I134" s="24">
        <v>0</v>
      </c>
      <c r="J134" s="24">
        <v>9.3000000000000007</v>
      </c>
      <c r="K134" s="24">
        <v>4.2</v>
      </c>
      <c r="L134" s="24">
        <v>1.1000000000000001</v>
      </c>
      <c r="M134" s="24">
        <v>4.0000000000000001E-3</v>
      </c>
      <c r="N134" s="24">
        <v>1.7</v>
      </c>
      <c r="O134" s="25">
        <f>IF(OR(B134="",C134=""),"",IFERROR(C134/1000*IFERROR(INDEX(Vöruskrá!R:R,MATCH(B134,Vöruskrá!B:B,0)),0)/1000,""))</f>
        <v>0</v>
      </c>
      <c r="P134" s="6"/>
      <c r="Q134" s="28"/>
      <c r="R134" s="6"/>
    </row>
    <row r="135" spans="1:18" ht="15">
      <c r="A135" s="21"/>
      <c r="B135" s="21" t="s">
        <v>348</v>
      </c>
      <c r="C135" s="22">
        <v>1000</v>
      </c>
      <c r="D135" s="23" t="s">
        <v>351</v>
      </c>
      <c r="E135" s="23" t="s">
        <v>134</v>
      </c>
      <c r="F135" s="23"/>
      <c r="G135" s="24"/>
      <c r="H135" s="24"/>
      <c r="I135" s="24"/>
      <c r="J135" s="24"/>
      <c r="K135" s="24"/>
      <c r="L135" s="24"/>
      <c r="M135" s="24"/>
      <c r="N135" s="24"/>
      <c r="O135" s="25">
        <f>IF(OR(B135="",C135=""),"",IFERROR(C135/1000*IFERROR(INDEX(Vöruskrá!R:R,MATCH(B135,Vöruskrá!B:B,0)),0)/1000,""))</f>
        <v>0</v>
      </c>
      <c r="P135" s="21"/>
      <c r="Q135" s="26"/>
      <c r="R135" s="27"/>
    </row>
    <row r="136" spans="1:18" ht="15">
      <c r="A136" s="6"/>
      <c r="B136" s="6" t="s">
        <v>298</v>
      </c>
      <c r="C136" s="28">
        <v>150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818</v>
      </c>
      <c r="C137" s="22">
        <v>50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5000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1581</v>
      </c>
      <c r="B139" s="29"/>
      <c r="C139" s="30"/>
      <c r="D139" s="16" t="s">
        <v>1582</v>
      </c>
      <c r="E139" s="16" t="s">
        <v>537</v>
      </c>
      <c r="F139" s="16"/>
      <c r="G139" s="17">
        <v>197.08</v>
      </c>
      <c r="H139" s="17">
        <v>4.34</v>
      </c>
      <c r="I139" s="17">
        <v>2.52</v>
      </c>
      <c r="J139" s="17">
        <v>32.85</v>
      </c>
      <c r="K139" s="17"/>
      <c r="L139" s="17">
        <v>4.8</v>
      </c>
      <c r="M139" s="17">
        <v>1.03</v>
      </c>
      <c r="N139" s="17">
        <v>3.15</v>
      </c>
      <c r="O139" s="18" t="str">
        <f>IF(OR(B139="",C139=""),"",IFERROR(C139/1000*IFERROR(INDEX(Vöruskrá!R:R,MATCH(B139,Vöruskrá!B:B,0)),0)/1000,""))</f>
        <v/>
      </c>
      <c r="P139" s="29" t="s">
        <v>1583</v>
      </c>
      <c r="Q139" s="31" t="s">
        <v>1584</v>
      </c>
      <c r="R139" s="32" t="s">
        <v>1585</v>
      </c>
    </row>
    <row r="140" spans="1:18" ht="24">
      <c r="A140" s="6"/>
      <c r="B140" s="6" t="s">
        <v>952</v>
      </c>
      <c r="C140" s="28">
        <v>25000</v>
      </c>
      <c r="D140" s="23" t="s">
        <v>954</v>
      </c>
      <c r="E140" s="23" t="s">
        <v>537</v>
      </c>
      <c r="F140" s="23" t="s">
        <v>570</v>
      </c>
      <c r="G140" s="24">
        <v>215</v>
      </c>
      <c r="H140" s="24">
        <v>2</v>
      </c>
      <c r="I140" s="24">
        <v>0.3</v>
      </c>
      <c r="J140" s="24">
        <v>36.9</v>
      </c>
      <c r="K140" s="24">
        <v>1.4</v>
      </c>
      <c r="L140" s="24">
        <v>8.4</v>
      </c>
      <c r="M140" s="24">
        <v>0.9</v>
      </c>
      <c r="N140" s="24">
        <v>7.7</v>
      </c>
      <c r="O140" s="25">
        <f>IF(OR(B140="",C140=""),"",IFERROR(C140/1000*IFERROR(INDEX(Vöruskrá!R:R,MATCH(B140,Vöruskrá!B:B,0)),0)/1000,""))</f>
        <v>0</v>
      </c>
      <c r="P140" s="6"/>
      <c r="Q140" s="28"/>
      <c r="R140" s="6"/>
    </row>
    <row r="141" spans="1:18" ht="15">
      <c r="A141" s="21"/>
      <c r="B141" s="21" t="s">
        <v>340</v>
      </c>
      <c r="C141" s="22">
        <v>18000</v>
      </c>
      <c r="D141" s="23" t="s">
        <v>344</v>
      </c>
      <c r="E141" s="23" t="s">
        <v>134</v>
      </c>
      <c r="F141" s="23"/>
      <c r="G141" s="24"/>
      <c r="H141" s="24"/>
      <c r="I141" s="24"/>
      <c r="J141" s="24"/>
      <c r="K141" s="24"/>
      <c r="L141" s="24"/>
      <c r="M141" s="24"/>
      <c r="N141" s="24"/>
      <c r="O141" s="25">
        <f>IF(OR(B141="",C141=""),"",IFERROR(C141/1000*IFERROR(INDEX(Vöruskrá!R:R,MATCH(B141,Vöruskrá!B:B,0)),0)/1000,""))</f>
        <v>0</v>
      </c>
      <c r="P141" s="21"/>
      <c r="Q141" s="26"/>
      <c r="R141" s="27" t="s">
        <v>1535</v>
      </c>
    </row>
    <row r="142" spans="1:18" ht="15">
      <c r="A142" s="6"/>
      <c r="B142" s="6" t="s">
        <v>564</v>
      </c>
      <c r="C142" s="28">
        <v>8000</v>
      </c>
      <c r="D142" s="23" t="s">
        <v>565</v>
      </c>
      <c r="E142" s="23" t="s">
        <v>134</v>
      </c>
      <c r="F142" s="23"/>
      <c r="G142" s="24">
        <v>114</v>
      </c>
      <c r="H142" s="24">
        <v>8.6</v>
      </c>
      <c r="I142" s="24">
        <v>1.1000000000000001</v>
      </c>
      <c r="J142" s="24">
        <v>6.9</v>
      </c>
      <c r="K142" s="24">
        <v>3.9</v>
      </c>
      <c r="L142" s="24">
        <v>1.2</v>
      </c>
      <c r="M142" s="24">
        <v>0</v>
      </c>
      <c r="N142" s="24">
        <v>1.9</v>
      </c>
      <c r="O142" s="25">
        <f>IF(OR(B142="",C142=""),"",IFERROR(C142/1000*IFERROR(INDEX(Vöruskrá!R:R,MATCH(B142,Vöruskrá!B:B,0)),0)/1000,""))</f>
        <v>0</v>
      </c>
      <c r="P142" s="6"/>
      <c r="Q142" s="28"/>
      <c r="R142" s="6"/>
    </row>
    <row r="143" spans="1:18" ht="15">
      <c r="A143" s="21"/>
      <c r="B143" s="21" t="s">
        <v>1005</v>
      </c>
      <c r="C143" s="22">
        <v>8000</v>
      </c>
      <c r="D143" s="23" t="s">
        <v>1006</v>
      </c>
      <c r="E143" s="23" t="s">
        <v>134</v>
      </c>
      <c r="F143" s="23"/>
      <c r="G143" s="24">
        <v>41</v>
      </c>
      <c r="H143" s="24">
        <v>0.2</v>
      </c>
      <c r="I143" s="24">
        <v>0</v>
      </c>
      <c r="J143" s="24">
        <v>9.6</v>
      </c>
      <c r="K143" s="24">
        <v>4.7</v>
      </c>
      <c r="L143" s="24">
        <v>0.9</v>
      </c>
      <c r="M143" s="24">
        <v>7.0000000000000007E-2</v>
      </c>
      <c r="N143" s="24">
        <v>2.8</v>
      </c>
      <c r="O143" s="25">
        <f>IF(OR(B143="",C143=""),"",IFERROR(C143/1000*IFERROR(INDEX(Vöruskrá!R:R,MATCH(B143,Vöruskrá!B:B,0)),0)/1000,""))</f>
        <v>0</v>
      </c>
      <c r="P143" s="21"/>
      <c r="Q143" s="26"/>
      <c r="R143" s="27"/>
    </row>
    <row r="144" spans="1:18" ht="15">
      <c r="A144" s="6"/>
      <c r="B144" s="6" t="s">
        <v>334</v>
      </c>
      <c r="C144" s="28">
        <v>12000</v>
      </c>
      <c r="D144" s="23" t="s">
        <v>337</v>
      </c>
      <c r="E144" s="23" t="s">
        <v>134</v>
      </c>
      <c r="F144" s="23"/>
      <c r="G144" s="24">
        <v>181</v>
      </c>
      <c r="H144" s="24">
        <v>18</v>
      </c>
      <c r="I144" s="24">
        <v>15.3</v>
      </c>
      <c r="J144" s="24">
        <v>2.8</v>
      </c>
      <c r="K144" s="24">
        <v>1</v>
      </c>
      <c r="L144" s="24">
        <v>2</v>
      </c>
      <c r="M144" s="24">
        <v>0</v>
      </c>
      <c r="N144" s="24">
        <v>0</v>
      </c>
      <c r="O144" s="25">
        <f>IF(OR(B144="",C144=""),"",IFERROR(C144/1000*IFERROR(INDEX(Vöruskrá!R:R,MATCH(B144,Vöruskrá!B:B,0)),0)/1000,""))</f>
        <v>0</v>
      </c>
      <c r="P144" s="6"/>
      <c r="Q144" s="28"/>
      <c r="R144" s="6"/>
    </row>
    <row r="145" spans="1:18" ht="15">
      <c r="A145" s="21"/>
      <c r="B145" s="21" t="s">
        <v>314</v>
      </c>
      <c r="C145" s="22">
        <v>500</v>
      </c>
      <c r="D145" s="23" t="s">
        <v>316</v>
      </c>
      <c r="E145" s="23" t="s">
        <v>134</v>
      </c>
      <c r="F145" s="23" t="s">
        <v>311</v>
      </c>
      <c r="G145" s="24">
        <v>385</v>
      </c>
      <c r="H145" s="24">
        <v>0.8</v>
      </c>
      <c r="I145" s="24">
        <v>0.1</v>
      </c>
      <c r="J145" s="24">
        <v>73</v>
      </c>
      <c r="K145" s="24">
        <v>24</v>
      </c>
      <c r="L145" s="24">
        <v>17</v>
      </c>
      <c r="M145" s="24">
        <v>0.1</v>
      </c>
      <c r="N145" s="24"/>
      <c r="O145" s="25">
        <f>IF(OR(B145="",C145=""),"",IFERROR(C145/1000*IFERROR(INDEX(Vöruskrá!R:R,MATCH(B145,Vöruskrá!B:B,0)),0)/1000,""))</f>
        <v>0</v>
      </c>
      <c r="P145" s="21"/>
      <c r="Q145" s="26"/>
      <c r="R145" s="27"/>
    </row>
    <row r="146" spans="1:18" ht="15">
      <c r="A146" s="6"/>
      <c r="B146" s="6" t="s">
        <v>348</v>
      </c>
      <c r="C146" s="28">
        <v>1000</v>
      </c>
      <c r="D146" s="23" t="s">
        <v>351</v>
      </c>
      <c r="E146" s="23" t="s">
        <v>134</v>
      </c>
      <c r="F146" s="23"/>
      <c r="G146" s="24"/>
      <c r="H146" s="24"/>
      <c r="I146" s="24"/>
      <c r="J146" s="24"/>
      <c r="K146" s="24"/>
      <c r="L146" s="24"/>
      <c r="M146" s="24"/>
      <c r="N146" s="24"/>
      <c r="O146" s="25">
        <f>IF(OR(B146="",C146=""),"",IFERROR(C146/1000*IFERROR(INDEX(Vöruskrá!R:R,MATCH(B146,Vöruskrá!B:B,0)),0)/1000,""))</f>
        <v>0</v>
      </c>
      <c r="P146" s="6"/>
      <c r="Q146" s="28"/>
      <c r="R146" s="6"/>
    </row>
    <row r="147" spans="1:18" ht="15">
      <c r="A147" s="21"/>
      <c r="B147" s="21" t="s">
        <v>298</v>
      </c>
      <c r="C147" s="22">
        <v>600</v>
      </c>
      <c r="D147" s="23" t="s">
        <v>302</v>
      </c>
      <c r="E147" s="23" t="s">
        <v>134</v>
      </c>
      <c r="F147" s="23" t="s">
        <v>303</v>
      </c>
      <c r="G147" s="24">
        <v>0</v>
      </c>
      <c r="H147" s="24">
        <v>0</v>
      </c>
      <c r="I147" s="24">
        <v>0</v>
      </c>
      <c r="J147" s="24">
        <v>0</v>
      </c>
      <c r="K147" s="24">
        <v>0</v>
      </c>
      <c r="L147" s="24">
        <v>0</v>
      </c>
      <c r="M147" s="24">
        <v>100</v>
      </c>
      <c r="N147" s="24"/>
      <c r="O147" s="25">
        <f>IF(OR(B147="",C147=""),"",IFERROR(C147/1000*IFERROR(INDEX(Vöruskrá!R:R,MATCH(B147,Vöruskrá!B:B,0)),0)/1000,""))</f>
        <v>0</v>
      </c>
      <c r="P147" s="21"/>
      <c r="Q147" s="26"/>
      <c r="R147" s="27"/>
    </row>
    <row r="148" spans="1:18" ht="15">
      <c r="A148" s="6"/>
      <c r="B148" s="6" t="s">
        <v>1020</v>
      </c>
      <c r="C148" s="28">
        <v>7600</v>
      </c>
      <c r="D148" s="23" t="s">
        <v>1020</v>
      </c>
      <c r="E148" s="23" t="s">
        <v>134</v>
      </c>
      <c r="F148" s="23"/>
      <c r="G148" s="24">
        <v>0</v>
      </c>
      <c r="H148" s="24">
        <v>0</v>
      </c>
      <c r="I148" s="24">
        <v>0</v>
      </c>
      <c r="J148" s="24">
        <v>0</v>
      </c>
      <c r="K148" s="24">
        <v>0</v>
      </c>
      <c r="L148" s="24">
        <v>0</v>
      </c>
      <c r="M148" s="24">
        <v>0</v>
      </c>
      <c r="N148" s="24">
        <v>0</v>
      </c>
      <c r="O148" s="25">
        <f>IF(OR(B148="",C148=""),"",IFERROR(C148/1000*IFERROR(INDEX(Vöruskrá!R:R,MATCH(B148,Vöruskrá!B:B,0)),0)/1000,""))</f>
        <v>0</v>
      </c>
      <c r="P148" s="6"/>
      <c r="Q148" s="28"/>
      <c r="R148" s="6"/>
    </row>
    <row r="149" spans="1:18" ht="48">
      <c r="A149" s="147" t="s">
        <v>1586</v>
      </c>
      <c r="B149" s="147"/>
      <c r="C149" s="148"/>
      <c r="D149" s="147" t="s">
        <v>1587</v>
      </c>
      <c r="E149" s="147" t="s">
        <v>1588</v>
      </c>
      <c r="F149" s="147"/>
      <c r="G149" s="149">
        <v>125.59</v>
      </c>
      <c r="H149" s="149">
        <v>7.69</v>
      </c>
      <c r="I149" s="149">
        <v>2.72</v>
      </c>
      <c r="J149" s="149">
        <v>5.54</v>
      </c>
      <c r="K149" s="149"/>
      <c r="L149" s="149">
        <v>8.32</v>
      </c>
      <c r="M149" s="149">
        <v>1.72</v>
      </c>
      <c r="N149" s="149">
        <f>IFERROR(SUM(N150:N157)/(SUM($C$150:$C$157)/100000),"")</f>
        <v>0.32</v>
      </c>
      <c r="O149" s="150" t="str">
        <f>IF(OR(B149="",C149=""),"",IFERROR(C149/1000*IFERROR(INDEX(Vöruskrá!R:R,MATCH(B149,Vöruskrá!B:B,0)),0)/1000,""))</f>
        <v/>
      </c>
      <c r="P149" s="147" t="s">
        <v>1589</v>
      </c>
      <c r="Q149" s="26" t="s">
        <v>1590</v>
      </c>
      <c r="R149" s="27" t="s">
        <v>1591</v>
      </c>
    </row>
    <row r="150" spans="1:18" ht="15">
      <c r="A150" s="6"/>
      <c r="B150" s="6" t="s">
        <v>170</v>
      </c>
      <c r="C150" s="28">
        <v>53300</v>
      </c>
      <c r="D150" s="23" t="s">
        <v>172</v>
      </c>
      <c r="E150" s="23"/>
      <c r="F150" s="23"/>
      <c r="G150" s="24">
        <f>IF(OR(B150="",C150=""),"",IFERROR(IFERROR(INDEX(Vöruskrá!J:J,MATCH(B150,Vöruskrá!B:B,0)),"")*C150/100000,""))</f>
        <v>73.021000000000001</v>
      </c>
      <c r="H150" s="24">
        <f>IF(OR(B150="",C150=""),"",IFERROR(IFERROR(INDEX(Vöruskrá!K:K,MATCH(B150,Vöruskrá!B:B,0)),"")*C150/100000,""))</f>
        <v>4.7969999999999997</v>
      </c>
      <c r="I150" s="24">
        <f>IF(OR(B150="",C150=""),"",IFERROR(IFERROR(INDEX(Vöruskrá!L:L,MATCH(B150,Vöruskrá!B:B,0)),"")*C150/100000,""))</f>
        <v>1.2258999999999998</v>
      </c>
      <c r="J150" s="24">
        <f>IF(OR(B150="",C150=""),"",IFERROR(IFERROR(INDEX(Vöruskrá!M:M,MATCH(B150,Vöruskrá!B:B,0)),"")*C150/100000,""))</f>
        <v>0</v>
      </c>
      <c r="K150" s="24">
        <f>IF(OR(B150="",C150=""),"",IFERROR(IFERROR(INDEX(Vöruskrá!N:N,MATCH(B150,Vöruskrá!B:B,0)),"")*C150/100000,""))</f>
        <v>0</v>
      </c>
      <c r="L150" s="24">
        <f>IF(OR(B150="",C150=""),"",IFERROR(IFERROR(INDEX(Vöruskrá!O:O,MATCH(B150,Vöruskrá!B:B,0)),"")*C150/100000,""))</f>
        <v>7.4619999999999997</v>
      </c>
      <c r="M150" s="24">
        <f>IF(OR(B150="",C150=""),"",IFERROR(IFERROR(INDEX(Vöruskrá!P:P,MATCH(B150,Vöruskrá!B:B,0)),"")*C150/100000,""))</f>
        <v>0.4264</v>
      </c>
      <c r="N150" s="24">
        <f>IF(OR(B150="",C150=""),"",IFERROR(IFERROR(INDEX(Vöruskrá!Q:Q,MATCH(B150,Vöruskrá!B:B,0)),"")*C150/100000,""))</f>
        <v>0</v>
      </c>
      <c r="O150" s="25">
        <f>IF(OR(B150="",C150=""),"",IFERROR(C150/1000*IFERROR(INDEX(Vöruskrá!R:R,MATCH(B150,Vöruskrá!B:B,0)),0)/1000,""))</f>
        <v>0</v>
      </c>
      <c r="P150" s="6"/>
      <c r="Q150" s="28"/>
      <c r="R150" s="6"/>
    </row>
    <row r="151" spans="1:18" ht="24">
      <c r="A151" s="21"/>
      <c r="B151" s="21" t="s">
        <v>434</v>
      </c>
      <c r="C151" s="22">
        <v>20000</v>
      </c>
      <c r="D151" s="23" t="s">
        <v>436</v>
      </c>
      <c r="E151" s="23" t="s">
        <v>148</v>
      </c>
      <c r="F151" s="23"/>
      <c r="G151" s="24">
        <f>IF(OR(B151="",C151=""),"",IFERROR(IFERROR(INDEX(Vöruskrá!J:J,MATCH(B151,Vöruskrá!B:B,0)),"")*C151/100000,""))</f>
        <v>30</v>
      </c>
      <c r="H151" s="24">
        <f>IF(OR(B151="",C151=""),"",IFERROR(IFERROR(INDEX(Vöruskrá!K:K,MATCH(B151,Vöruskrá!B:B,0)),"")*C151/100000,""))</f>
        <v>1.18</v>
      </c>
      <c r="I151" s="24">
        <f>IF(OR(B151="",C151=""),"",IFERROR(IFERROR(INDEX(Vöruskrá!L:L,MATCH(B151,Vöruskrá!B:B,0)),"")*C151/100000,""))</f>
        <v>0.12</v>
      </c>
      <c r="J151" s="24">
        <f>IF(OR(B151="",C151=""),"",IFERROR(IFERROR(INDEX(Vöruskrá!M:M,MATCH(B151,Vöruskrá!B:B,0)),"")*C151/100000,""))</f>
        <v>4.4000000000000004</v>
      </c>
      <c r="K151" s="24">
        <f>IF(OR(B151="",C151=""),"",IFERROR(IFERROR(INDEX(Vöruskrá!N:N,MATCH(B151,Vöruskrá!B:B,0)),"")*C151/100000,""))</f>
        <v>3.6</v>
      </c>
      <c r="L151" s="24">
        <f>IF(OR(B151="",C151=""),"",IFERROR(IFERROR(INDEX(Vöruskrá!O:O,MATCH(B151,Vöruskrá!B:B,0)),"")*C151/100000,""))</f>
        <v>0.28000000000000003</v>
      </c>
      <c r="M151" s="24">
        <f>IF(OR(B151="",C151=""),"",IFERROR(IFERROR(INDEX(Vöruskrá!P:P,MATCH(B151,Vöruskrá!B:B,0)),"")*C151/100000,""))</f>
        <v>0.88</v>
      </c>
      <c r="N151" s="24">
        <f>IF(OR(B151="",C151=""),"",IFERROR(IFERROR(INDEX(Vöruskrá!Q:Q,MATCH(B151,Vöruskrá!B:B,0)),"")*C151/100000,""))</f>
        <v>0.32</v>
      </c>
      <c r="O151" s="25">
        <f>IF(OR(B151="",C151=""),"",IFERROR(C151/1000*IFERROR(INDEX(Vöruskrá!R:R,MATCH(B151,Vöruskrá!B:B,0)),0)/1000,""))</f>
        <v>0</v>
      </c>
      <c r="P151" s="21"/>
      <c r="Q151" s="26"/>
      <c r="R151" s="27"/>
    </row>
    <row r="152" spans="1:18" ht="15">
      <c r="A152" s="6"/>
      <c r="B152" s="6" t="s">
        <v>335</v>
      </c>
      <c r="C152" s="28">
        <v>8000</v>
      </c>
      <c r="D152" s="23" t="s">
        <v>337</v>
      </c>
      <c r="E152" s="23" t="s">
        <v>134</v>
      </c>
      <c r="F152" s="23"/>
      <c r="G152" s="24">
        <f>IF(OR(B152="",C152=""),"",IFERROR(IFERROR(INDEX(Vöruskrá!J:J,MATCH(B152,Vöruskrá!B:B,0)),"")*C152/100000,""))</f>
        <v>14.48</v>
      </c>
      <c r="H152" s="24">
        <f>IF(OR(B152="",C152=""),"",IFERROR(IFERROR(INDEX(Vöruskrá!K:K,MATCH(B152,Vöruskrá!B:B,0)),"")*C152/100000,""))</f>
        <v>1.44</v>
      </c>
      <c r="I152" s="24">
        <f>IF(OR(B152="",C152=""),"",IFERROR(IFERROR(INDEX(Vöruskrá!L:L,MATCH(B152,Vöruskrá!B:B,0)),"")*C152/100000,""))</f>
        <v>1.224</v>
      </c>
      <c r="J152" s="24">
        <f>IF(OR(B152="",C152=""),"",IFERROR(IFERROR(INDEX(Vöruskrá!M:M,MATCH(B152,Vöruskrá!B:B,0)),"")*C152/100000,""))</f>
        <v>0.224</v>
      </c>
      <c r="K152" s="24">
        <f>IF(OR(B152="",C152=""),"",IFERROR(IFERROR(INDEX(Vöruskrá!N:N,MATCH(B152,Vöruskrá!B:B,0)),"")*C152/100000,""))</f>
        <v>0.08</v>
      </c>
      <c r="L152" s="24">
        <f>IF(OR(B152="",C152=""),"",IFERROR(IFERROR(INDEX(Vöruskrá!O:O,MATCH(B152,Vöruskrá!B:B,0)),"")*C152/100000,""))</f>
        <v>0.16</v>
      </c>
      <c r="M152" s="24">
        <f>IF(OR(B152="",C152=""),"",IFERROR(IFERROR(INDEX(Vöruskrá!P:P,MATCH(B152,Vöruskrá!B:B,0)),"")*C152/100000,""))</f>
        <v>0</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870</v>
      </c>
      <c r="C153" s="22">
        <v>6700</v>
      </c>
      <c r="D153" s="23" t="s">
        <v>871</v>
      </c>
      <c r="E153" s="23" t="s">
        <v>120</v>
      </c>
      <c r="F153" s="23"/>
      <c r="G153" s="24">
        <f>IF(OR(B153="",C153=""),"",IFERROR(IFERROR(INDEX(Vöruskrá!J:J,MATCH(B153,Vöruskrá!B:B,0)),"")*C153/100000,""))</f>
        <v>4.2880000000000003</v>
      </c>
      <c r="H153" s="24">
        <f>IF(OR(B153="",C153=""),"",IFERROR(IFERROR(INDEX(Vöruskrá!K:K,MATCH(B153,Vöruskrá!B:B,0)),"")*C153/100000,""))</f>
        <v>0.26129999999999998</v>
      </c>
      <c r="I153" s="24">
        <f>IF(OR(B153="",C153=""),"",IFERROR(IFERROR(INDEX(Vöruskrá!L:L,MATCH(B153,Vöruskrá!B:B,0)),"")*C153/100000,""))</f>
        <v>0.15409999999999999</v>
      </c>
      <c r="J153" s="24">
        <f>IF(OR(B153="",C153=""),"",IFERROR(IFERROR(INDEX(Vöruskrá!M:M,MATCH(B153,Vöruskrá!B:B,0)),"")*C153/100000,""))</f>
        <v>0.24790000000000001</v>
      </c>
      <c r="K153" s="24">
        <f>IF(OR(B153="",C153=""),"",IFERROR(IFERROR(INDEX(Vöruskrá!N:N,MATCH(B153,Vöruskrá!B:B,0)),"")*C153/100000,""))</f>
        <v>0.24790000000000001</v>
      </c>
      <c r="L153" s="24">
        <f>IF(OR(B153="",C153=""),"",IFERROR(IFERROR(INDEX(Vöruskrá!O:O,MATCH(B153,Vöruskrá!B:B,0)),"")*C153/100000,""))</f>
        <v>0.2278</v>
      </c>
      <c r="M153" s="24">
        <f>IF(OR(B153="",C153=""),"",IFERROR(IFERROR(INDEX(Vöruskrá!P:P,MATCH(B153,Vöruskrá!B:B,0)),"")*C153/100000,""))</f>
        <v>6.7000000000000002E-3</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504</v>
      </c>
      <c r="C154" s="28">
        <v>2000</v>
      </c>
      <c r="D154" s="23" t="s">
        <v>500</v>
      </c>
      <c r="E154" s="23" t="s">
        <v>134</v>
      </c>
      <c r="F154" s="23"/>
      <c r="G154" s="24">
        <f>IF(OR(B154="",C154=""),"",IFERROR(IFERROR(INDEX(Vöruskrá!J:J,MATCH(B154,Vöruskrá!B:B,0)),"")*C154/100000,""))</f>
        <v>2.2599999999999998</v>
      </c>
      <c r="H154" s="24">
        <f>IF(OR(B154="",C154=""),"",IFERROR(IFERROR(INDEX(Vöruskrá!K:K,MATCH(B154,Vöruskrá!B:B,0)),"")*C154/100000,""))</f>
        <v>8.0000000000000002E-3</v>
      </c>
      <c r="I154" s="24">
        <f>IF(OR(B154="",C154=""),"",IFERROR(IFERROR(INDEX(Vöruskrá!L:L,MATCH(B154,Vöruskrá!B:B,0)),"")*C154/100000,""))</f>
        <v>0</v>
      </c>
      <c r="J154" s="24">
        <f>IF(OR(B154="",C154=""),"",IFERROR(IFERROR(INDEX(Vöruskrá!M:M,MATCH(B154,Vöruskrá!B:B,0)),"")*C154/100000,""))</f>
        <v>0.38</v>
      </c>
      <c r="K154" s="24">
        <f>IF(OR(B154="",C154=""),"",IFERROR(IFERROR(INDEX(Vöruskrá!N:N,MATCH(B154,Vöruskrá!B:B,0)),"")*C154/100000,""))</f>
        <v>0.28000000000000003</v>
      </c>
      <c r="L154" s="24">
        <f>IF(OR(B154="",C154=""),"",IFERROR(IFERROR(INDEX(Vöruskrá!O:O,MATCH(B154,Vöruskrá!B:B,0)),"")*C154/100000,""))</f>
        <v>0.12</v>
      </c>
      <c r="M154" s="24">
        <f>IF(OR(B154="",C154=""),"",IFERROR(IFERROR(INDEX(Vöruskrá!P:P,MATCH(B154,Vöruskrá!B:B,0)),"")*C154/100000,""))</f>
        <v>2E-3</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315</v>
      </c>
      <c r="C155" s="22">
        <v>400</v>
      </c>
      <c r="D155" s="23" t="s">
        <v>316</v>
      </c>
      <c r="E155" s="23" t="s">
        <v>134</v>
      </c>
      <c r="F155" s="23" t="s">
        <v>311</v>
      </c>
      <c r="G155" s="24">
        <f>IF(OR(B155="",C155=""),"",IFERROR(IFERROR(INDEX(Vöruskrá!J:J,MATCH(B155,Vöruskrá!B:B,0)),"")*C155/100000,""))</f>
        <v>1.54</v>
      </c>
      <c r="H155" s="24">
        <f>IF(OR(B155="",C155=""),"",IFERROR(IFERROR(INDEX(Vöruskrá!K:K,MATCH(B155,Vöruskrá!B:B,0)),"")*C155/100000,""))</f>
        <v>3.2000000000000002E-3</v>
      </c>
      <c r="I155" s="24">
        <f>IF(OR(B155="",C155=""),"",IFERROR(IFERROR(INDEX(Vöruskrá!L:L,MATCH(B155,Vöruskrá!B:B,0)),"")*C155/100000,""))</f>
        <v>4.0000000000000002E-4</v>
      </c>
      <c r="J155" s="24">
        <f>IF(OR(B155="",C155=""),"",IFERROR(IFERROR(INDEX(Vöruskrá!M:M,MATCH(B155,Vöruskrá!B:B,0)),"")*C155/100000,""))</f>
        <v>0.29199999999999998</v>
      </c>
      <c r="K155" s="24">
        <f>IF(OR(B155="",C155=""),"",IFERROR(IFERROR(INDEX(Vöruskrá!N:N,MATCH(B155,Vöruskrá!B:B,0)),"")*C155/100000,""))</f>
        <v>9.6000000000000002E-2</v>
      </c>
      <c r="L155" s="24">
        <f>IF(OR(B155="",C155=""),"",IFERROR(IFERROR(INDEX(Vöruskrá!O:O,MATCH(B155,Vöruskrá!B:B,0)),"")*C155/100000,""))</f>
        <v>6.8000000000000005E-2</v>
      </c>
      <c r="M155" s="24">
        <f>IF(OR(B155="",C155=""),"",IFERROR(IFERROR(INDEX(Vöruskrá!P:P,MATCH(B155,Vöruskrá!B:B,0)),"")*C155/100000,""))</f>
        <v>4.0000000000000002E-4</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299</v>
      </c>
      <c r="C156" s="28">
        <v>400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0.4</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1020</v>
      </c>
      <c r="C157" s="22">
        <v>9200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21"/>
      <c r="Q157" s="26"/>
      <c r="R157" s="27"/>
    </row>
    <row r="158" spans="1:18" ht="48">
      <c r="A158" s="147" t="s">
        <v>1592</v>
      </c>
      <c r="B158" s="147"/>
      <c r="C158" s="148"/>
      <c r="D158" s="147" t="s">
        <v>1593</v>
      </c>
      <c r="E158" s="147" t="s">
        <v>134</v>
      </c>
      <c r="F158" s="147"/>
      <c r="G158" s="149">
        <v>91.69</v>
      </c>
      <c r="H158" s="149">
        <v>4.37</v>
      </c>
      <c r="I158" s="149">
        <v>1.21</v>
      </c>
      <c r="J158" s="149">
        <v>4.17</v>
      </c>
      <c r="K158" s="149"/>
      <c r="L158" s="149">
        <v>8.73</v>
      </c>
      <c r="M158" s="149">
        <v>0.87</v>
      </c>
      <c r="N158" s="149">
        <f>IFERROR(SUM(N159:N169)/(SUM($C$159:$C$169)/100000),"")</f>
        <v>0.23335</v>
      </c>
      <c r="O158" s="150" t="str">
        <f>IF(OR(B158="",C158=""),"",IFERROR(C158/1000*IFERROR(INDEX(Vöruskrá!R:R,MATCH(B158,Vöruskrá!B:B,0)),0)/1000,""))</f>
        <v/>
      </c>
      <c r="P158" s="147" t="s">
        <v>1594</v>
      </c>
      <c r="Q158" s="28" t="s">
        <v>1595</v>
      </c>
      <c r="R158" s="6" t="s">
        <v>1596</v>
      </c>
    </row>
    <row r="159" spans="1:18" ht="15">
      <c r="A159" s="21"/>
      <c r="B159" s="21" t="s">
        <v>542</v>
      </c>
      <c r="C159" s="22">
        <v>39000</v>
      </c>
      <c r="D159" s="23" t="s">
        <v>543</v>
      </c>
      <c r="E159" s="23" t="s">
        <v>134</v>
      </c>
      <c r="F159" s="23"/>
      <c r="G159" s="24">
        <f>IF(OR(B159="",C159=""),"",IFERROR(IFERROR(INDEX(Vöruskrá!J:J,MATCH(B159,Vöruskrá!B:B,0)),"")*C159/100000,""))</f>
        <v>69.81</v>
      </c>
      <c r="H159" s="24">
        <f>IF(OR(B159="",C159=""),"",IFERROR(IFERROR(INDEX(Vöruskrá!K:K,MATCH(B159,Vöruskrá!B:B,0)),"")*C159/100000,""))</f>
        <v>4.29</v>
      </c>
      <c r="I159" s="24">
        <f>IF(OR(B159="",C159=""),"",IFERROR(IFERROR(INDEX(Vöruskrá!L:L,MATCH(B159,Vöruskrá!B:B,0)),"")*C159/100000,""))</f>
        <v>1.2090000000000001</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7.8</v>
      </c>
      <c r="M159" s="24">
        <f>IF(OR(B159="",C159=""),"",IFERROR(IFERROR(INDEX(Vöruskrá!P:P,MATCH(B159,Vöruskrá!B:B,0)),"")*C159/100000,""))</f>
        <v>7.8E-2</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743</v>
      </c>
      <c r="C160" s="28">
        <v>19500</v>
      </c>
      <c r="D160" s="23" t="s">
        <v>745</v>
      </c>
      <c r="E160" s="23"/>
      <c r="F160" s="23"/>
      <c r="G160" s="24">
        <f>IF(OR(B160="",C160=""),"",IFERROR(IFERROR(INDEX(Vöruskrá!J:J,MATCH(B160,Vöruskrá!B:B,0)),"")*C160/100000,""))</f>
        <v>5.46</v>
      </c>
      <c r="H160" s="24">
        <f>IF(OR(B160="",C160=""),"",IFERROR(IFERROR(INDEX(Vöruskrá!K:K,MATCH(B160,Vöruskrá!B:B,0)),"")*C160/100000,""))</f>
        <v>1.95E-2</v>
      </c>
      <c r="I160" s="24">
        <f>IF(OR(B160="",C160=""),"",IFERROR(IFERROR(INDEX(Vöruskrá!L:L,MATCH(B160,Vöruskrá!B:B,0)),"")*C160/100000,""))</f>
        <v>0</v>
      </c>
      <c r="J160" s="24">
        <f>IF(OR(B160="",C160=""),"",IFERROR(IFERROR(INDEX(Vöruskrá!M:M,MATCH(B160,Vöruskrá!B:B,0)),"")*C160/100000,""))</f>
        <v>0.97499999999999998</v>
      </c>
      <c r="K160" s="24">
        <f>IF(OR(B160="",C160=""),"",IFERROR(IFERROR(INDEX(Vöruskrá!N:N,MATCH(B160,Vöruskrá!B:B,0)),"")*C160/100000,""))</f>
        <v>0.66300000000000003</v>
      </c>
      <c r="L160" s="24">
        <f>IF(OR(B160="",C160=""),"",IFERROR(IFERROR(INDEX(Vöruskrá!O:O,MATCH(B160,Vöruskrá!B:B,0)),"")*C160/100000,""))</f>
        <v>0.29249999999999998</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15">
      <c r="A161" s="21"/>
      <c r="B161" s="21" t="s">
        <v>504</v>
      </c>
      <c r="C161" s="22">
        <v>7800</v>
      </c>
      <c r="D161" s="23" t="s">
        <v>500</v>
      </c>
      <c r="E161" s="23" t="s">
        <v>134</v>
      </c>
      <c r="F161" s="23"/>
      <c r="G161" s="24">
        <f>IF(OR(B161="",C161=""),"",IFERROR(IFERROR(INDEX(Vöruskrá!J:J,MATCH(B161,Vöruskrá!B:B,0)),"")*C161/100000,""))</f>
        <v>8.8140000000000001</v>
      </c>
      <c r="H161" s="24">
        <f>IF(OR(B161="",C161=""),"",IFERROR(IFERROR(INDEX(Vöruskrá!K:K,MATCH(B161,Vöruskrá!B:B,0)),"")*C161/100000,""))</f>
        <v>3.1199999999999999E-2</v>
      </c>
      <c r="I161" s="24">
        <f>IF(OR(B161="",C161=""),"",IFERROR(IFERROR(INDEX(Vöruskrá!L:L,MATCH(B161,Vöruskrá!B:B,0)),"")*C161/100000,""))</f>
        <v>0</v>
      </c>
      <c r="J161" s="24">
        <f>IF(OR(B161="",C161=""),"",IFERROR(IFERROR(INDEX(Vöruskrá!M:M,MATCH(B161,Vöruskrá!B:B,0)),"")*C161/100000,""))</f>
        <v>1.482</v>
      </c>
      <c r="K161" s="24">
        <f>IF(OR(B161="",C161=""),"",IFERROR(IFERROR(INDEX(Vöruskrá!N:N,MATCH(B161,Vöruskrá!B:B,0)),"")*C161/100000,""))</f>
        <v>1.0920000000000001</v>
      </c>
      <c r="L161" s="24">
        <f>IF(OR(B161="",C161=""),"",IFERROR(IFERROR(INDEX(Vöruskrá!O:O,MATCH(B161,Vöruskrá!B:B,0)),"")*C161/100000,""))</f>
        <v>0.46800000000000003</v>
      </c>
      <c r="M161" s="24">
        <f>IF(OR(B161="",C161=""),"",IFERROR(IFERROR(INDEX(Vöruskrá!P:P,MATCH(B161,Vöruskrá!B:B,0)),"")*C161/100000,""))</f>
        <v>7.7999999999999996E-3</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1010</v>
      </c>
      <c r="C162" s="28">
        <v>6500</v>
      </c>
      <c r="D162" s="23" t="s">
        <v>1010</v>
      </c>
      <c r="E162" s="23" t="s">
        <v>134</v>
      </c>
      <c r="F162" s="23"/>
      <c r="G162" s="24">
        <f>IF(OR(B162="",C162=""),"",IFERROR(IFERROR(INDEX(Vöruskrá!J:J,MATCH(B162,Vöruskrá!B:B,0)),"")*C162/100000,""))</f>
        <v>2.6</v>
      </c>
      <c r="H162" s="24">
        <f>IF(OR(B162="",C162=""),"",IFERROR(IFERROR(INDEX(Vöruskrá!K:K,MATCH(B162,Vöruskrá!B:B,0)),"")*C162/100000,""))</f>
        <v>6.4999999999999997E-3</v>
      </c>
      <c r="I162" s="24">
        <f>IF(OR(B162="",C162=""),"",IFERROR(IFERROR(INDEX(Vöruskrá!L:L,MATCH(B162,Vöruskrá!B:B,0)),"")*C162/100000,""))</f>
        <v>0</v>
      </c>
      <c r="J162" s="24">
        <f>IF(OR(B162="",C162=""),"",IFERROR(IFERROR(INDEX(Vöruskrá!M:M,MATCH(B162,Vöruskrá!B:B,0)),"")*C162/100000,""))</f>
        <v>0.60450000000000004</v>
      </c>
      <c r="K162" s="24">
        <f>IF(OR(B162="",C162=""),"",IFERROR(IFERROR(INDEX(Vöruskrá!N:N,MATCH(B162,Vöruskrá!B:B,0)),"")*C162/100000,""))</f>
        <v>0.27300000000000002</v>
      </c>
      <c r="L162" s="24">
        <f>IF(OR(B162="",C162=""),"",IFERROR(IFERROR(INDEX(Vöruskrá!O:O,MATCH(B162,Vöruskrá!B:B,0)),"")*C162/100000,""))</f>
        <v>7.1500000000000008E-2</v>
      </c>
      <c r="M162" s="24">
        <f>IF(OR(B162="",C162=""),"",IFERROR(IFERROR(INDEX(Vöruskrá!P:P,MATCH(B162,Vöruskrá!B:B,0)),"")*C162/100000,""))</f>
        <v>0</v>
      </c>
      <c r="N162" s="24">
        <f>IF(OR(B162="",C162=""),"",IFERROR(IFERROR(INDEX(Vöruskrá!Q:Q,MATCH(B162,Vöruskrá!B:B,0)),"")*C162/100000,""))</f>
        <v>0.1105</v>
      </c>
      <c r="O162" s="25">
        <f>IF(OR(B162="",C162=""),"",IFERROR(C162/1000*IFERROR(INDEX(Vöruskrá!R:R,MATCH(B162,Vöruskrá!B:B,0)),0)/1000,""))</f>
        <v>0</v>
      </c>
      <c r="P162" s="6"/>
      <c r="Q162" s="28"/>
      <c r="R162" s="6"/>
    </row>
    <row r="163" spans="1:18" ht="15">
      <c r="A163" s="21"/>
      <c r="B163" s="21" t="s">
        <v>1006</v>
      </c>
      <c r="C163" s="22">
        <v>3900</v>
      </c>
      <c r="D163" s="23" t="s">
        <v>1006</v>
      </c>
      <c r="E163" s="23" t="s">
        <v>134</v>
      </c>
      <c r="F163" s="23"/>
      <c r="G163" s="24">
        <f>IF(OR(B163="",C163=""),"",IFERROR(IFERROR(INDEX(Vöruskrá!J:J,MATCH(B163,Vöruskrá!B:B,0)),"")*C163/100000,""))</f>
        <v>1.599</v>
      </c>
      <c r="H163" s="24">
        <f>IF(OR(B163="",C163=""),"",IFERROR(IFERROR(INDEX(Vöruskrá!K:K,MATCH(B163,Vöruskrá!B:B,0)),"")*C163/100000,""))</f>
        <v>7.7999999999999996E-3</v>
      </c>
      <c r="I163" s="24">
        <f>IF(OR(B163="",C163=""),"",IFERROR(IFERROR(INDEX(Vöruskrá!L:L,MATCH(B163,Vöruskrá!B:B,0)),"")*C163/100000,""))</f>
        <v>0</v>
      </c>
      <c r="J163" s="24">
        <f>IF(OR(B163="",C163=""),"",IFERROR(IFERROR(INDEX(Vöruskrá!M:M,MATCH(B163,Vöruskrá!B:B,0)),"")*C163/100000,""))</f>
        <v>0.37440000000000001</v>
      </c>
      <c r="K163" s="24">
        <f>IF(OR(B163="",C163=""),"",IFERROR(IFERROR(INDEX(Vöruskrá!N:N,MATCH(B163,Vöruskrá!B:B,0)),"")*C163/100000,""))</f>
        <v>0.18329999999999999</v>
      </c>
      <c r="L163" s="24">
        <f>IF(OR(B163="",C163=""),"",IFERROR(IFERROR(INDEX(Vöruskrá!O:O,MATCH(B163,Vöruskrá!B:B,0)),"")*C163/100000,""))</f>
        <v>3.5099999999999999E-2</v>
      </c>
      <c r="M163" s="24">
        <f>IF(OR(B163="",C163=""),"",IFERROR(IFERROR(INDEX(Vöruskrá!P:P,MATCH(B163,Vöruskrá!B:B,0)),"")*C163/100000,""))</f>
        <v>3.8999999999999998E-3</v>
      </c>
      <c r="N163" s="24">
        <f>IF(OR(B163="",C163=""),"",IFERROR(IFERROR(INDEX(Vöruskrá!Q:Q,MATCH(B163,Vöruskrá!B:B,0)),"")*C163/100000,""))</f>
        <v>0.10920000000000001</v>
      </c>
      <c r="O163" s="25">
        <f>IF(OR(B163="",C163=""),"",IFERROR(C163/1000*IFERROR(INDEX(Vöruskrá!R:R,MATCH(B163,Vöruskrá!B:B,0)),0)/1000,""))</f>
        <v>0</v>
      </c>
      <c r="P163" s="21"/>
      <c r="Q163" s="26"/>
      <c r="R163" s="27"/>
    </row>
    <row r="164" spans="1:18" ht="15">
      <c r="A164" s="6"/>
      <c r="B164" s="6" t="s">
        <v>1017</v>
      </c>
      <c r="C164" s="28">
        <v>650</v>
      </c>
      <c r="D164" s="23" t="s">
        <v>1017</v>
      </c>
      <c r="E164" s="23" t="s">
        <v>134</v>
      </c>
      <c r="F164" s="23"/>
      <c r="G164" s="24">
        <f>IF(OR(B164="",C164=""),"",IFERROR(IFERROR(INDEX(Vöruskrá!J:J,MATCH(B164,Vöruskrá!B:B,0)),"")*C164/100000,""))</f>
        <v>0.96850000000000003</v>
      </c>
      <c r="H164" s="24">
        <f>IF(OR(B164="",C164=""),"",IFERROR(IFERROR(INDEX(Vöruskrá!K:K,MATCH(B164,Vöruskrá!B:B,0)),"")*C164/100000,""))</f>
        <v>3.2499999999999999E-3</v>
      </c>
      <c r="I164" s="24">
        <f>IF(OR(B164="",C164=""),"",IFERROR(IFERROR(INDEX(Vöruskrá!L:L,MATCH(B164,Vöruskrá!B:B,0)),"")*C164/100000,""))</f>
        <v>6.4999999999999997E-4</v>
      </c>
      <c r="J164" s="24">
        <f>IF(OR(B164="",C164=""),"",IFERROR(IFERROR(INDEX(Vöruskrá!M:M,MATCH(B164,Vöruskrá!B:B,0)),"")*C164/100000,""))</f>
        <v>0.21515000000000001</v>
      </c>
      <c r="K164" s="24">
        <f>IF(OR(B164="",C164=""),"",IFERROR(IFERROR(INDEX(Vöruskrá!N:N,MATCH(B164,Vöruskrá!B:B,0)),"")*C164/100000,""))</f>
        <v>6.4999999999999997E-3</v>
      </c>
      <c r="L164" s="24">
        <f>IF(OR(B164="",C164=""),"",IFERROR(IFERROR(INDEX(Vöruskrá!O:O,MATCH(B164,Vöruskrá!B:B,0)),"")*C164/100000,""))</f>
        <v>4.1599999999999998E-2</v>
      </c>
      <c r="M164" s="24">
        <f>IF(OR(B164="",C164=""),"",IFERROR(IFERROR(INDEX(Vöruskrá!P:P,MATCH(B164,Vöruskrá!B:B,0)),"")*C164/100000,""))</f>
        <v>0</v>
      </c>
      <c r="N164" s="24">
        <f>IF(OR(B164="",C164=""),"",IFERROR(IFERROR(INDEX(Vöruskrá!Q:Q,MATCH(B164,Vöruskrá!B:B,0)),"")*C164/100000,""))</f>
        <v>1.3650000000000001E-2</v>
      </c>
      <c r="O164" s="25">
        <f>IF(OR(B164="",C164=""),"",IFERROR(C164/1000*IFERROR(INDEX(Vöruskrá!R:R,MATCH(B164,Vöruskrá!B:B,0)),0)/1000,""))</f>
        <v>0</v>
      </c>
      <c r="P164" s="6"/>
      <c r="Q164" s="28"/>
      <c r="R164" s="6"/>
    </row>
    <row r="165" spans="1:18" ht="15">
      <c r="A165" s="21"/>
      <c r="B165" s="21" t="s">
        <v>815</v>
      </c>
      <c r="C165" s="22">
        <v>130</v>
      </c>
      <c r="D165" s="23" t="s">
        <v>816</v>
      </c>
      <c r="E165" s="23"/>
      <c r="F165" s="23" t="s">
        <v>311</v>
      </c>
      <c r="G165" s="24">
        <f>IF(OR(B165="",C165=""),"",IFERROR(IFERROR(INDEX(Vöruskrá!J:J,MATCH(B165,Vöruskrá!B:B,0)),"")*C165/100000,""))</f>
        <v>0.624</v>
      </c>
      <c r="H165" s="24">
        <f>IF(OR(B165="",C165=""),"",IFERROR(IFERROR(INDEX(Vöruskrá!K:K,MATCH(B165,Vöruskrá!B:B,0)),"")*C165/100000,""))</f>
        <v>1.2999999999999999E-2</v>
      </c>
      <c r="I165" s="24">
        <f>IF(OR(B165="",C165=""),"",IFERROR(IFERROR(INDEX(Vöruskrá!L:L,MATCH(B165,Vöruskrá!B:B,0)),"")*C165/100000,""))</f>
        <v>3.5100000000000001E-3</v>
      </c>
      <c r="J165" s="24">
        <f>IF(OR(B165="",C165=""),"",IFERROR(IFERROR(INDEX(Vöruskrá!M:M,MATCH(B165,Vöruskrá!B:B,0)),"")*C165/100000,""))</f>
        <v>8.3199999999999996E-2</v>
      </c>
      <c r="K165" s="24">
        <f>IF(OR(B165="",C165=""),"",IFERROR(IFERROR(INDEX(Vöruskrá!N:N,MATCH(B165,Vöruskrá!B:B,0)),"")*C165/100000,""))</f>
        <v>5.3299999999999997E-3</v>
      </c>
      <c r="L165" s="24">
        <f>IF(OR(B165="",C165=""),"",IFERROR(IFERROR(INDEX(Vöruskrá!O:O,MATCH(B165,Vöruskrá!B:B,0)),"")*C165/100000,""))</f>
        <v>1.43E-2</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819</v>
      </c>
      <c r="C166" s="28">
        <v>65</v>
      </c>
      <c r="D166" s="23" t="s">
        <v>820</v>
      </c>
      <c r="E166" s="23"/>
      <c r="F166" s="23" t="s">
        <v>311</v>
      </c>
      <c r="G166" s="24">
        <f>IF(OR(B166="",C166=""),"",IFERROR(IFERROR(INDEX(Vöruskrá!J:J,MATCH(B166,Vöruskrá!B:B,0)),"")*C166/100000,""))</f>
        <v>0.25090000000000001</v>
      </c>
      <c r="H166" s="24">
        <f>IF(OR(B166="",C166=""),"",IFERROR(IFERROR(INDEX(Vöruskrá!K:K,MATCH(B166,Vöruskrá!B:B,0)),"")*C166/100000,""))</f>
        <v>2.1450000000000002E-3</v>
      </c>
      <c r="I166" s="24">
        <f>IF(OR(B166="",C166=""),"",IFERROR(IFERROR(INDEX(Vöruskrá!L:L,MATCH(B166,Vöruskrá!B:B,0)),"")*C166/100000,""))</f>
        <v>6.4999999999999997E-4</v>
      </c>
      <c r="J166" s="24">
        <f>IF(OR(B166="",C166=""),"",IFERROR(IFERROR(INDEX(Vöruskrá!M:M,MATCH(B166,Vöruskrá!B:B,0)),"")*C166/100000,""))</f>
        <v>4.2250000000000003E-2</v>
      </c>
      <c r="K166" s="24">
        <f>IF(OR(B166="",C166=""),"",IFERROR(IFERROR(INDEX(Vöruskrá!N:N,MATCH(B166,Vöruskrá!B:B,0)),"")*C166/100000,""))</f>
        <v>3.8999999999999999E-4</v>
      </c>
      <c r="L166" s="24">
        <f>IF(OR(B166="",C166=""),"",IFERROR(IFERROR(INDEX(Vöruskrá!O:O,MATCH(B166,Vöruskrá!B:B,0)),"")*C166/100000,""))</f>
        <v>7.1500000000000001E-3</v>
      </c>
      <c r="M166" s="24">
        <f>IF(OR(B166="",C166=""),"",IFERROR(IFERROR(INDEX(Vöruskrá!P:P,MATCH(B166,Vöruskrá!B:B,0)),"")*C166/100000,""))</f>
        <v>6.4999999999999994E-5</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299</v>
      </c>
      <c r="C167" s="22">
        <v>780</v>
      </c>
      <c r="D167" s="23" t="s">
        <v>302</v>
      </c>
      <c r="E167" s="23" t="s">
        <v>134</v>
      </c>
      <c r="F167" s="23" t="s">
        <v>303</v>
      </c>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0.78</v>
      </c>
      <c r="N167" s="24">
        <f>IF(OR(B167="",C167=""),"",IFERROR(IFERROR(INDEX(Vöruskrá!Q:Q,MATCH(B167,Vöruskrá!B:B,0)),"")*C167/100000,""))</f>
        <v>0</v>
      </c>
      <c r="O167" s="25">
        <f>IF(OR(B167="",C167=""),"",IFERROR(C167/1000*IFERROR(INDEX(Vöruskrá!R:R,MATCH(B167,Vöruskrá!B:B,0)),0)/1000,""))</f>
        <v>0</v>
      </c>
      <c r="P167" s="21"/>
      <c r="Q167" s="26"/>
      <c r="R167" s="27"/>
    </row>
    <row r="168" spans="1:18" ht="15">
      <c r="A168" s="6"/>
      <c r="B168" s="6" t="s">
        <v>477</v>
      </c>
      <c r="C168" s="28">
        <v>390</v>
      </c>
      <c r="D168" s="23" t="s">
        <v>479</v>
      </c>
      <c r="E168" s="23" t="s">
        <v>134</v>
      </c>
      <c r="F168" s="23"/>
      <c r="G168" s="24">
        <f>IF(OR(B168="",C168=""),"",IFERROR(IFERROR(INDEX(Vöruskrá!J:J,MATCH(B168,Vöruskrá!B:B,0)),"")*C168/100000,""))</f>
        <v>1.56</v>
      </c>
      <c r="H168" s="24">
        <f>IF(OR(B168="",C168=""),"",IFERROR(IFERROR(INDEX(Vöruskrá!K:K,MATCH(B168,Vöruskrá!B:B,0)),"")*C168/100000,""))</f>
        <v>0</v>
      </c>
      <c r="I168" s="24">
        <f>IF(OR(B168="",C168=""),"",IFERROR(IFERROR(INDEX(Vöruskrá!L:L,MATCH(B168,Vöruskrá!B:B,0)),"")*C168/100000,""))</f>
        <v>0</v>
      </c>
      <c r="J168" s="24">
        <f>IF(OR(B168="",C168=""),"",IFERROR(IFERROR(INDEX(Vöruskrá!M:M,MATCH(B168,Vöruskrá!B:B,0)),"")*C168/100000,""))</f>
        <v>0.39</v>
      </c>
      <c r="K168" s="24">
        <f>IF(OR(B168="",C168=""),"",IFERROR(IFERROR(INDEX(Vöruskrá!N:N,MATCH(B168,Vöruskrá!B:B,0)),"")*C168/100000,""))</f>
        <v>0.39</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1020</v>
      </c>
      <c r="C169" s="22">
        <v>21285</v>
      </c>
      <c r="D169" s="23" t="s">
        <v>1020</v>
      </c>
      <c r="E169" s="23" t="s">
        <v>134</v>
      </c>
      <c r="F169" s="23"/>
      <c r="G169" s="24">
        <f>IF(OR(B169="",C169=""),"",IFERROR(IFERROR(INDEX(Vöruskrá!J:J,MATCH(B169,Vöruskrá!B:B,0)),"")*C169/100000,""))</f>
        <v>0</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ht="72">
      <c r="A170" s="147" t="s">
        <v>1597</v>
      </c>
      <c r="B170" s="147"/>
      <c r="C170" s="148"/>
      <c r="D170" s="147" t="s">
        <v>1598</v>
      </c>
      <c r="E170" s="147" t="s">
        <v>1599</v>
      </c>
      <c r="F170" s="147"/>
      <c r="G170" s="149">
        <v>120.63</v>
      </c>
      <c r="H170" s="149">
        <v>7.15</v>
      </c>
      <c r="I170" s="149">
        <v>3.06</v>
      </c>
      <c r="J170" s="149">
        <v>4.62</v>
      </c>
      <c r="K170" s="149"/>
      <c r="L170" s="149">
        <v>9.5399999999999991</v>
      </c>
      <c r="M170" s="149">
        <v>1.06</v>
      </c>
      <c r="N170" s="149">
        <f>IFERROR(SUM(N171:N183)/(SUM($C$171:$C$183)/100000),"")</f>
        <v>0.46850000000000003</v>
      </c>
      <c r="O170" s="150" t="str">
        <f>IF(OR(B170="",C170=""),"",IFERROR(C170/1000*IFERROR(INDEX(Vöruskrá!R:R,MATCH(B170,Vöruskrá!B:B,0)),0)/1000,""))</f>
        <v/>
      </c>
      <c r="P170" s="147" t="s">
        <v>1600</v>
      </c>
      <c r="Q170" s="28" t="s">
        <v>1601</v>
      </c>
      <c r="R170" s="6" t="s">
        <v>1602</v>
      </c>
    </row>
    <row r="171" spans="1:18" ht="15">
      <c r="A171" s="21"/>
      <c r="B171" s="21" t="s">
        <v>875</v>
      </c>
      <c r="C171" s="22">
        <v>46700</v>
      </c>
      <c r="D171" s="23" t="s">
        <v>877</v>
      </c>
      <c r="E171" s="23"/>
      <c r="F171" s="23" t="s">
        <v>878</v>
      </c>
      <c r="G171" s="24">
        <f>IF(OR(B171="",C171=""),"",IFERROR(IFERROR(INDEX(Vöruskrá!J:J,MATCH(B171,Vöruskrá!B:B,0)),"")*C171/100000,""))</f>
        <v>88.73</v>
      </c>
      <c r="H171" s="24">
        <f>IF(OR(B171="",C171=""),"",IFERROR(IFERROR(INDEX(Vöruskrá!K:K,MATCH(B171,Vöruskrá!B:B,0)),"")*C171/100000,""))</f>
        <v>5.8375000000000004</v>
      </c>
      <c r="I171" s="24">
        <f>IF(OR(B171="",C171=""),"",IFERROR(IFERROR(INDEX(Vöruskrá!L:L,MATCH(B171,Vöruskrá!B:B,0)),"")*C171/100000,""))</f>
        <v>2.335</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9.1065000000000005</v>
      </c>
      <c r="M171" s="24">
        <f>IF(OR(B171="",C171=""),"",IFERROR(IFERROR(INDEX(Vöruskrá!P:P,MATCH(B171,Vöruskrá!B:B,0)),"")*C171/100000,""))</f>
        <v>4.6699999999999998E-2</v>
      </c>
      <c r="N171" s="24">
        <f>IF(OR(B171="",C171=""),"",IFERROR(IFERROR(INDEX(Vöruskrá!Q:Q,MATCH(B171,Vöruskrá!B:B,0)),"")*C171/100000,""))</f>
        <v>0</v>
      </c>
      <c r="O171" s="25">
        <f>IF(OR(B171="",C171=""),"",IFERROR(C171/1000*IFERROR(INDEX(Vöruskrá!R:R,MATCH(B171,Vöruskrá!B:B,0)),0)/1000,""))</f>
        <v>0</v>
      </c>
      <c r="P171" s="21"/>
      <c r="Q171" s="26"/>
      <c r="R171" s="27"/>
    </row>
    <row r="172" spans="1:18" ht="15">
      <c r="A172" s="21"/>
      <c r="B172" s="21" t="s">
        <v>1006</v>
      </c>
      <c r="C172" s="22">
        <v>13300</v>
      </c>
      <c r="D172" s="23" t="s">
        <v>1006</v>
      </c>
      <c r="E172" s="23" t="s">
        <v>134</v>
      </c>
      <c r="F172" s="23"/>
      <c r="G172" s="24">
        <f>IF(OR(B172="",C172=""),"",IFERROR(IFERROR(INDEX(Vöruskrá!J:J,MATCH(B172,Vöruskrá!B:B,0)),"")*C172/100000,""))</f>
        <v>5.4530000000000003</v>
      </c>
      <c r="H172" s="24">
        <f>IF(OR(B172="",C172=""),"",IFERROR(IFERROR(INDEX(Vöruskrá!K:K,MATCH(B172,Vöruskrá!B:B,0)),"")*C172/100000,""))</f>
        <v>2.6599999999999999E-2</v>
      </c>
      <c r="I172" s="24">
        <f>IF(OR(B172="",C172=""),"",IFERROR(IFERROR(INDEX(Vöruskrá!L:L,MATCH(B172,Vöruskrá!B:B,0)),"")*C172/100000,""))</f>
        <v>0</v>
      </c>
      <c r="J172" s="24">
        <f>IF(OR(B172="",C172=""),"",IFERROR(IFERROR(INDEX(Vöruskrá!M:M,MATCH(B172,Vöruskrá!B:B,0)),"")*C172/100000,""))</f>
        <v>1.2767999999999999</v>
      </c>
      <c r="K172" s="24">
        <f>IF(OR(B172="",C172=""),"",IFERROR(IFERROR(INDEX(Vöruskrá!N:N,MATCH(B172,Vöruskrá!B:B,0)),"")*C172/100000,""))</f>
        <v>0.62509999999999999</v>
      </c>
      <c r="L172" s="24">
        <f>IF(OR(B172="",C172=""),"",IFERROR(IFERROR(INDEX(Vöruskrá!O:O,MATCH(B172,Vöruskrá!B:B,0)),"")*C172/100000,""))</f>
        <v>0.1197</v>
      </c>
      <c r="M172" s="24">
        <f>IF(OR(B172="",C172=""),"",IFERROR(IFERROR(INDEX(Vöruskrá!P:P,MATCH(B172,Vöruskrá!B:B,0)),"")*C172/100000,""))</f>
        <v>1.3299999999999999E-2</v>
      </c>
      <c r="N172" s="24">
        <f>IF(OR(B172="",C172=""),"",IFERROR(IFERROR(INDEX(Vöruskrá!Q:Q,MATCH(B172,Vöruskrá!B:B,0)),"")*C172/100000,""))</f>
        <v>0.37240000000000001</v>
      </c>
      <c r="O172" s="25">
        <f>IF(OR(B172="",C172=""),"",IFERROR(C172/1000*IFERROR(INDEX(Vöruskrá!R:R,MATCH(B172,Vöruskrá!B:B,0)),0)/1000,""))</f>
        <v>0</v>
      </c>
      <c r="P172" s="21"/>
      <c r="Q172" s="26"/>
      <c r="R172" s="27"/>
    </row>
    <row r="173" spans="1:18" ht="15">
      <c r="A173" s="6"/>
      <c r="B173" s="6" t="s">
        <v>1010</v>
      </c>
      <c r="C173" s="28">
        <v>5300</v>
      </c>
      <c r="D173" s="23" t="s">
        <v>1010</v>
      </c>
      <c r="E173" s="23" t="s">
        <v>134</v>
      </c>
      <c r="F173" s="23"/>
      <c r="G173" s="24">
        <f>IF(OR(B173="",C173=""),"",IFERROR(IFERROR(INDEX(Vöruskrá!J:J,MATCH(B173,Vöruskrá!B:B,0)),"")*C173/100000,""))</f>
        <v>2.12</v>
      </c>
      <c r="H173" s="24">
        <f>IF(OR(B173="",C173=""),"",IFERROR(IFERROR(INDEX(Vöruskrá!K:K,MATCH(B173,Vöruskrá!B:B,0)),"")*C173/100000,""))</f>
        <v>5.3E-3</v>
      </c>
      <c r="I173" s="24">
        <f>IF(OR(B173="",C173=""),"",IFERROR(IFERROR(INDEX(Vöruskrá!L:L,MATCH(B173,Vöruskrá!B:B,0)),"")*C173/100000,""))</f>
        <v>0</v>
      </c>
      <c r="J173" s="24">
        <f>IF(OR(B173="",C173=""),"",IFERROR(IFERROR(INDEX(Vöruskrá!M:M,MATCH(B173,Vöruskrá!B:B,0)),"")*C173/100000,""))</f>
        <v>0.49290000000000006</v>
      </c>
      <c r="K173" s="24">
        <f>IF(OR(B173="",C173=""),"",IFERROR(IFERROR(INDEX(Vöruskrá!N:N,MATCH(B173,Vöruskrá!B:B,0)),"")*C173/100000,""))</f>
        <v>0.22259999999999999</v>
      </c>
      <c r="L173" s="24">
        <f>IF(OR(B173="",C173=""),"",IFERROR(IFERROR(INDEX(Vöruskrá!O:O,MATCH(B173,Vöruskrá!B:B,0)),"")*C173/100000,""))</f>
        <v>5.8300000000000012E-2</v>
      </c>
      <c r="M173" s="24">
        <f>IF(OR(B173="",C173=""),"",IFERROR(IFERROR(INDEX(Vöruskrá!P:P,MATCH(B173,Vöruskrá!B:B,0)),"")*C173/100000,""))</f>
        <v>0</v>
      </c>
      <c r="N173" s="24">
        <f>IF(OR(B173="",C173=""),"",IFERROR(IFERROR(INDEX(Vöruskrá!Q:Q,MATCH(B173,Vöruskrá!B:B,0)),"")*C173/100000,""))</f>
        <v>9.01E-2</v>
      </c>
      <c r="O173" s="25">
        <f>IF(OR(B173="",C173=""),"",IFERROR(C173/1000*IFERROR(INDEX(Vöruskrá!R:R,MATCH(B173,Vöruskrá!B:B,0)),0)/1000,""))</f>
        <v>0</v>
      </c>
      <c r="P173" s="6"/>
      <c r="Q173" s="28"/>
      <c r="R173" s="6"/>
    </row>
    <row r="174" spans="1:18" ht="15">
      <c r="A174" s="21"/>
      <c r="B174" s="21" t="s">
        <v>789</v>
      </c>
      <c r="C174" s="22">
        <v>2000</v>
      </c>
      <c r="D174" s="23" t="s">
        <v>792</v>
      </c>
      <c r="E174" s="23" t="s">
        <v>134</v>
      </c>
      <c r="F174" s="23"/>
      <c r="G174" s="24">
        <f>IF(OR(B174="",C174=""),"",IFERROR(IFERROR(INDEX(Vöruskrá!J:J,MATCH(B174,Vöruskrá!B:B,0)),"")*C174/100000,""))</f>
        <v>7.22</v>
      </c>
      <c r="H174" s="24">
        <f>IF(OR(B174="",C174=""),"",IFERROR(IFERROR(INDEX(Vöruskrá!K:K,MATCH(B174,Vöruskrá!B:B,0)),"")*C174/100000,""))</f>
        <v>0.17199999999999999</v>
      </c>
      <c r="I174" s="24">
        <f>IF(OR(B174="",C174=""),"",IFERROR(IFERROR(INDEX(Vöruskrá!L:L,MATCH(B174,Vöruskrá!B:B,0)),"")*C174/100000,""))</f>
        <v>7.1999999999999995E-2</v>
      </c>
      <c r="J174" s="24">
        <f>IF(OR(B174="",C174=""),"",IFERROR(IFERROR(INDEX(Vöruskrá!M:M,MATCH(B174,Vöruskrá!B:B,0)),"")*C174/100000,""))</f>
        <v>1.306</v>
      </c>
      <c r="K174" s="24">
        <f>IF(OR(B174="",C174=""),"",IFERROR(IFERROR(INDEX(Vöruskrá!N:N,MATCH(B174,Vöruskrá!B:B,0)),"")*C174/100000,""))</f>
        <v>0.08</v>
      </c>
      <c r="L174" s="24">
        <f>IF(OR(B174="",C174=""),"",IFERROR(IFERROR(INDEX(Vöruskrá!O:O,MATCH(B174,Vöruskrá!B:B,0)),"")*C174/100000,""))</f>
        <v>0.112</v>
      </c>
      <c r="M174" s="24">
        <f>IF(OR(B174="",C174=""),"",IFERROR(IFERROR(INDEX(Vöruskrá!P:P,MATCH(B174,Vöruskrá!B:B,0)),"")*C174/100000,""))</f>
        <v>0.22600000000000001</v>
      </c>
      <c r="N174" s="24">
        <f>IF(OR(B174="",C174=""),"",IFERROR(IFERROR(INDEX(Vöruskrá!Q:Q,MATCH(B174,Vöruskrá!B:B,0)),"")*C174/100000,""))</f>
        <v>6.0000000000000001E-3</v>
      </c>
      <c r="O174" s="25">
        <f>IF(OR(B174="",C174=""),"",IFERROR(C174/1000*IFERROR(INDEX(Vöruskrá!R:R,MATCH(B174,Vöruskrá!B:B,0)),0)/1000,""))</f>
        <v>0</v>
      </c>
      <c r="P174" s="21"/>
      <c r="Q174" s="26"/>
      <c r="R174" s="27"/>
    </row>
    <row r="175" spans="1:18" ht="15">
      <c r="A175" s="6"/>
      <c r="B175" s="6" t="s">
        <v>504</v>
      </c>
      <c r="C175" s="28">
        <v>2000</v>
      </c>
      <c r="D175" s="23" t="s">
        <v>500</v>
      </c>
      <c r="E175" s="23" t="s">
        <v>134</v>
      </c>
      <c r="F175" s="23"/>
      <c r="G175" s="24">
        <f>IF(OR(B175="",C175=""),"",IFERROR(IFERROR(INDEX(Vöruskrá!J:J,MATCH(B175,Vöruskrá!B:B,0)),"")*C175/100000,""))</f>
        <v>2.2599999999999998</v>
      </c>
      <c r="H175" s="24">
        <f>IF(OR(B175="",C175=""),"",IFERROR(IFERROR(INDEX(Vöruskrá!K:K,MATCH(B175,Vöruskrá!B:B,0)),"")*C175/100000,""))</f>
        <v>8.0000000000000002E-3</v>
      </c>
      <c r="I175" s="24">
        <f>IF(OR(B175="",C175=""),"",IFERROR(IFERROR(INDEX(Vöruskrá!L:L,MATCH(B175,Vöruskrá!B:B,0)),"")*C175/100000,""))</f>
        <v>0</v>
      </c>
      <c r="J175" s="24">
        <f>IF(OR(B175="",C175=""),"",IFERROR(IFERROR(INDEX(Vöruskrá!M:M,MATCH(B175,Vöruskrá!B:B,0)),"")*C175/100000,""))</f>
        <v>0.38</v>
      </c>
      <c r="K175" s="24">
        <f>IF(OR(B175="",C175=""),"",IFERROR(IFERROR(INDEX(Vöruskrá!N:N,MATCH(B175,Vöruskrá!B:B,0)),"")*C175/100000,""))</f>
        <v>0.28000000000000003</v>
      </c>
      <c r="L175" s="24">
        <f>IF(OR(B175="",C175=""),"",IFERROR(IFERROR(INDEX(Vöruskrá!O:O,MATCH(B175,Vöruskrá!B:B,0)),"")*C175/100000,""))</f>
        <v>0.12</v>
      </c>
      <c r="M175" s="24">
        <f>IF(OR(B175="",C175=""),"",IFERROR(IFERROR(INDEX(Vöruskrá!P:P,MATCH(B175,Vöruskrá!B:B,0)),"")*C175/100000,""))</f>
        <v>2E-3</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1125</v>
      </c>
      <c r="C176" s="22">
        <v>1070</v>
      </c>
      <c r="D176" s="23" t="s">
        <v>1126</v>
      </c>
      <c r="E176" s="23" t="s">
        <v>1099</v>
      </c>
      <c r="F176" s="23"/>
      <c r="G176" s="24">
        <f>IF(OR(B176="",C176=""),"",IFERROR(IFERROR(INDEX(Vöruskrá!J:J,MATCH(B176,Vöruskrá!B:B,0)),"")*C176/100000,""))</f>
        <v>4.28</v>
      </c>
      <c r="H176" s="24">
        <f>IF(OR(B176="",C176=""),"",IFERROR(IFERROR(INDEX(Vöruskrá!K:K,MATCH(B176,Vöruskrá!B:B,0)),"")*C176/100000,""))</f>
        <v>0</v>
      </c>
      <c r="I176" s="24">
        <f>IF(OR(B176="",C176=""),"",IFERROR(IFERROR(INDEX(Vöruskrá!L:L,MATCH(B176,Vöruskrá!B:B,0)),"")*C176/100000,""))</f>
        <v>0</v>
      </c>
      <c r="J176" s="24">
        <f>IF(OR(B176="",C176=""),"",IFERROR(IFERROR(INDEX(Vöruskrá!M:M,MATCH(B176,Vöruskrá!B:B,0)),"")*C176/100000,""))</f>
        <v>1.07</v>
      </c>
      <c r="K176" s="24">
        <f>IF(OR(B176="",C176=""),"",IFERROR(IFERROR(INDEX(Vöruskrá!N:N,MATCH(B176,Vöruskrá!B:B,0)),"")*C176/100000,""))</f>
        <v>1.07</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1053</v>
      </c>
      <c r="C177" s="28">
        <v>670</v>
      </c>
      <c r="D177" s="23" t="s">
        <v>1054</v>
      </c>
      <c r="E177" s="23" t="s">
        <v>1055</v>
      </c>
      <c r="F177" s="23"/>
      <c r="G177" s="24">
        <f>IF(OR(B177="",C177=""),"",IFERROR(IFERROR(INDEX(Vöruskrá!J:J,MATCH(B177,Vöruskrá!B:B,0)),"")*C177/100000,""))</f>
        <v>0.13400000000000001</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4.0200000000000001E-3</v>
      </c>
      <c r="K177" s="24">
        <f>IF(OR(B177="",C177=""),"",IFERROR(IFERROR(INDEX(Vöruskrá!N:N,MATCH(B177,Vöruskrá!B:B,0)),"")*C177/100000,""))</f>
        <v>2.6800000000000001E-3</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445</v>
      </c>
      <c r="C178" s="22">
        <v>1330</v>
      </c>
      <c r="D178" s="23" t="s">
        <v>448</v>
      </c>
      <c r="E178" s="23" t="s">
        <v>120</v>
      </c>
      <c r="F178" s="23"/>
      <c r="G178" s="24">
        <f>IF(OR(B178="",C178=""),"",IFERROR(IFERROR(INDEX(Vöruskrá!J:J,MATCH(B178,Vöruskrá!B:B,0)),"")*C178/100000,""))</f>
        <v>9.8154000000000003</v>
      </c>
      <c r="H178" s="24">
        <f>IF(OR(B178="",C178=""),"",IFERROR(IFERROR(INDEX(Vöruskrá!K:K,MATCH(B178,Vöruskrá!B:B,0)),"")*C178/100000,""))</f>
        <v>1.0906</v>
      </c>
      <c r="I178" s="24">
        <f>IF(OR(B178="",C178=""),"",IFERROR(IFERROR(INDEX(Vöruskrá!L:L,MATCH(B178,Vöruskrá!B:B,0)),"")*C178/100000,""))</f>
        <v>0.65169999999999995</v>
      </c>
      <c r="J178" s="24">
        <f>IF(OR(B178="",C178=""),"",IFERROR(IFERROR(INDEX(Vöruskrá!M:M,MATCH(B178,Vöruskrá!B:B,0)),"")*C178/100000,""))</f>
        <v>5.3200000000000001E-3</v>
      </c>
      <c r="K178" s="24">
        <f>IF(OR(B178="",C178=""),"",IFERROR(IFERROR(INDEX(Vöruskrá!N:N,MATCH(B178,Vöruskrá!B:B,0)),"")*C178/100000,""))</f>
        <v>5.3200000000000001E-3</v>
      </c>
      <c r="L178" s="24">
        <f>IF(OR(B178="",C178=""),"",IFERROR(IFERROR(INDEX(Vöruskrá!O:O,MATCH(B178,Vöruskrá!B:B,0)),"")*C178/100000,""))</f>
        <v>7.9799999999999992E-3</v>
      </c>
      <c r="M178" s="24">
        <f>IF(OR(B178="",C178=""),"",IFERROR(IFERROR(INDEX(Vöruskrá!P:P,MATCH(B178,Vöruskrá!B:B,0)),"")*C178/100000,""))</f>
        <v>1.5959999999999998E-2</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823</v>
      </c>
      <c r="C179" s="28">
        <v>70</v>
      </c>
      <c r="D179" s="23" t="s">
        <v>824</v>
      </c>
      <c r="E179" s="23"/>
      <c r="F179" s="23" t="s">
        <v>311</v>
      </c>
      <c r="G179" s="24">
        <f>IF(OR(B179="",C179=""),"",IFERROR(IFERROR(INDEX(Vöruskrá!J:J,MATCH(B179,Vöruskrá!B:B,0)),"")*C179/100000,""))</f>
        <v>0.19950000000000001</v>
      </c>
      <c r="H179" s="24">
        <f>IF(OR(B179="",C179=""),"",IFERROR(IFERROR(INDEX(Vöruskrá!K:K,MATCH(B179,Vöruskrá!B:B,0)),"")*C179/100000,""))</f>
        <v>5.1799999999999997E-3</v>
      </c>
      <c r="I179" s="24">
        <f>IF(OR(B179="",C179=""),"",IFERROR(IFERROR(INDEX(Vöruskrá!L:L,MATCH(B179,Vöruskrá!B:B,0)),"")*C179/100000,""))</f>
        <v>1.89E-3</v>
      </c>
      <c r="J179" s="24">
        <f>IF(OR(B179="",C179=""),"",IFERROR(IFERROR(INDEX(Vöruskrá!M:M,MATCH(B179,Vöruskrá!B:B,0)),"")*C179/100000,""))</f>
        <v>1.89E-2</v>
      </c>
      <c r="K179" s="24">
        <f>IF(OR(B179="",C179=""),"",IFERROR(IFERROR(INDEX(Vöruskrá!N:N,MATCH(B179,Vöruskrá!B:B,0)),"")*C179/100000,""))</f>
        <v>1.1900000000000001E-3</v>
      </c>
      <c r="L179" s="24">
        <f>IF(OR(B179="",C179=""),"",IFERROR(IFERROR(INDEX(Vöruskrá!O:O,MATCH(B179,Vöruskrá!B:B,0)),"")*C179/100000,""))</f>
        <v>6.3699999999999998E-3</v>
      </c>
      <c r="M179" s="24">
        <f>IF(OR(B179="",C179=""),"",IFERROR(IFERROR(INDEX(Vöruskrá!P:P,MATCH(B179,Vöruskrá!B:B,0)),"")*C179/100000,""))</f>
        <v>6.9999999999999994E-5</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808</v>
      </c>
      <c r="C180" s="22">
        <v>30</v>
      </c>
      <c r="D180" s="23" t="s">
        <v>809</v>
      </c>
      <c r="E180" s="23"/>
      <c r="F180" s="23" t="s">
        <v>311</v>
      </c>
      <c r="G180" s="24">
        <f>IF(OR(B180="",C180=""),"",IFERROR(IFERROR(INDEX(Vöruskrá!J:J,MATCH(B180,Vöruskrá!B:B,0)),"")*C180/100000,""))</f>
        <v>0.10589999999999999</v>
      </c>
      <c r="H180" s="24">
        <f>IF(OR(B180="",C180=""),"",IFERROR(IFERROR(INDEX(Vöruskrá!K:K,MATCH(B180,Vöruskrá!B:B,0)),"")*C180/100000,""))</f>
        <v>2.5200000000000001E-3</v>
      </c>
      <c r="I180" s="24">
        <f>IF(OR(B180="",C180=""),"",IFERROR(IFERROR(INDEX(Vöruskrá!L:L,MATCH(B180,Vöruskrá!B:B,0)),"")*C180/100000,""))</f>
        <v>6.8999999999999997E-4</v>
      </c>
      <c r="J180" s="24">
        <f>IF(OR(B180="",C180=""),"",IFERROR(IFERROR(INDEX(Vöruskrá!M:M,MATCH(B180,Vöruskrá!B:B,0)),"")*C180/100000,""))</f>
        <v>1.47E-2</v>
      </c>
      <c r="K180" s="24">
        <f>IF(OR(B180="",C180=""),"",IFERROR(IFERROR(INDEX(Vöruskrá!N:N,MATCH(B180,Vöruskrá!B:B,0)),"")*C180/100000,""))</f>
        <v>0</v>
      </c>
      <c r="L180" s="24">
        <f>IF(OR(B180="",C180=""),"",IFERROR(IFERROR(INDEX(Vöruskrá!O:O,MATCH(B180,Vöruskrá!B:B,0)),"")*C180/100000,""))</f>
        <v>2.2799999999999999E-3</v>
      </c>
      <c r="M180" s="24">
        <f>IF(OR(B180="",C180=""),"",IFERROR(IFERROR(INDEX(Vöruskrá!P:P,MATCH(B180,Vöruskrá!B:B,0)),"")*C180/100000,""))</f>
        <v>3.0000000000000001E-5</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819</v>
      </c>
      <c r="C181" s="28">
        <v>80</v>
      </c>
      <c r="D181" s="23" t="s">
        <v>820</v>
      </c>
      <c r="E181" s="23"/>
      <c r="F181" s="23" t="s">
        <v>311</v>
      </c>
      <c r="G181" s="24">
        <f>IF(OR(B181="",C181=""),"",IFERROR(IFERROR(INDEX(Vöruskrá!J:J,MATCH(B181,Vöruskrá!B:B,0)),"")*C181/100000,""))</f>
        <v>0.30880000000000002</v>
      </c>
      <c r="H181" s="24">
        <f>IF(OR(B181="",C181=""),"",IFERROR(IFERROR(INDEX(Vöruskrá!K:K,MATCH(B181,Vöruskrá!B:B,0)),"")*C181/100000,""))</f>
        <v>2.64E-3</v>
      </c>
      <c r="I181" s="24">
        <f>IF(OR(B181="",C181=""),"",IFERROR(IFERROR(INDEX(Vöruskrá!L:L,MATCH(B181,Vöruskrá!B:B,0)),"")*C181/100000,""))</f>
        <v>8.0000000000000004E-4</v>
      </c>
      <c r="J181" s="24">
        <f>IF(OR(B181="",C181=""),"",IFERROR(IFERROR(INDEX(Vöruskrá!M:M,MATCH(B181,Vöruskrá!B:B,0)),"")*C181/100000,""))</f>
        <v>5.1999999999999998E-2</v>
      </c>
      <c r="K181" s="24">
        <f>IF(OR(B181="",C181=""),"",IFERROR(IFERROR(INDEX(Vöruskrá!N:N,MATCH(B181,Vöruskrá!B:B,0)),"")*C181/100000,""))</f>
        <v>4.8000000000000001E-4</v>
      </c>
      <c r="L181" s="24">
        <f>IF(OR(B181="",C181=""),"",IFERROR(IFERROR(INDEX(Vöruskrá!O:O,MATCH(B181,Vöruskrá!B:B,0)),"")*C181/100000,""))</f>
        <v>8.8000000000000005E-3</v>
      </c>
      <c r="M181" s="24">
        <f>IF(OR(B181="",C181=""),"",IFERROR(IFERROR(INDEX(Vöruskrá!P:P,MATCH(B181,Vöruskrá!B:B,0)),"")*C181/100000,""))</f>
        <v>8.0000000000000007E-5</v>
      </c>
      <c r="N181" s="24">
        <f>IF(OR(B181="",C181=""),"",IFERROR(IFERROR(INDEX(Vöruskrá!Q:Q,MATCH(B181,Vöruskrá!B:B,0)),"")*C181/100000,""))</f>
        <v>0</v>
      </c>
      <c r="O181" s="25">
        <f>IF(OR(B181="",C181=""),"",IFERROR(C181/1000*IFERROR(INDEX(Vöruskrá!R:R,MATCH(B181,Vöruskrá!B:B,0)),0)/1000,""))</f>
        <v>0</v>
      </c>
      <c r="P181" s="6"/>
      <c r="Q181" s="28"/>
      <c r="R181" s="6"/>
    </row>
    <row r="182" spans="1:18" ht="15">
      <c r="A182" s="21"/>
      <c r="B182" s="21" t="s">
        <v>299</v>
      </c>
      <c r="C182" s="22">
        <v>760</v>
      </c>
      <c r="D182" s="23" t="s">
        <v>302</v>
      </c>
      <c r="E182" s="23" t="s">
        <v>134</v>
      </c>
      <c r="F182" s="23" t="s">
        <v>303</v>
      </c>
      <c r="G182" s="24">
        <f>IF(OR(B182="",C182=""),"",IFERROR(IFERROR(INDEX(Vöruskrá!J:J,MATCH(B182,Vöruskrá!B:B,0)),"")*C182/100000,""))</f>
        <v>0</v>
      </c>
      <c r="H182" s="24">
        <f>IF(OR(B182="",C182=""),"",IFERROR(IFERROR(INDEX(Vöruskrá!K:K,MATCH(B182,Vöruskrá!B:B,0)),"")*C182/100000,""))</f>
        <v>0</v>
      </c>
      <c r="I182" s="24">
        <f>IF(OR(B182="",C182=""),"",IFERROR(IFERROR(INDEX(Vöruskrá!L:L,MATCH(B182,Vöruskrá!B:B,0)),"")*C182/100000,""))</f>
        <v>0</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0</v>
      </c>
      <c r="M182" s="24">
        <f>IF(OR(B182="",C182=""),"",IFERROR(IFERROR(INDEX(Vöruskrá!P:P,MATCH(B182,Vöruskrá!B:B,0)),"")*C182/100000,""))</f>
        <v>0.76</v>
      </c>
      <c r="N182" s="24">
        <f>IF(OR(B182="",C182=""),"",IFERROR(IFERROR(INDEX(Vöruskrá!Q:Q,MATCH(B182,Vöruskrá!B:B,0)),"")*C182/100000,""))</f>
        <v>0</v>
      </c>
      <c r="O182" s="25">
        <f>IF(OR(B182="",C182=""),"",IFERROR(C182/1000*IFERROR(INDEX(Vöruskrá!R:R,MATCH(B182,Vöruskrá!B:B,0)),0)/1000,""))</f>
        <v>0</v>
      </c>
      <c r="P182" s="21"/>
      <c r="Q182" s="26"/>
      <c r="R182" s="27"/>
    </row>
    <row r="183" spans="1:18" ht="15">
      <c r="A183" s="6"/>
      <c r="B183" s="6" t="s">
        <v>1020</v>
      </c>
      <c r="C183" s="28">
        <v>26690</v>
      </c>
      <c r="D183" s="23" t="s">
        <v>1020</v>
      </c>
      <c r="E183" s="23" t="s">
        <v>134</v>
      </c>
      <c r="F183" s="23"/>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6"/>
      <c r="Q183" s="28"/>
      <c r="R183" s="6"/>
    </row>
    <row r="184" spans="1:18" ht="84">
      <c r="A184" s="147" t="s">
        <v>1603</v>
      </c>
      <c r="B184" s="147"/>
      <c r="C184" s="148"/>
      <c r="D184" s="147" t="s">
        <v>1604</v>
      </c>
      <c r="E184" s="147" t="s">
        <v>1605</v>
      </c>
      <c r="F184" s="147"/>
      <c r="G184" s="149">
        <v>122.74</v>
      </c>
      <c r="H184" s="149">
        <v>7.86</v>
      </c>
      <c r="I184" s="149">
        <v>3.62</v>
      </c>
      <c r="J184" s="149">
        <v>4.26</v>
      </c>
      <c r="K184" s="149"/>
      <c r="L184" s="149">
        <v>9.6999999999999993</v>
      </c>
      <c r="M184" s="149">
        <v>0.77</v>
      </c>
      <c r="N184" s="149">
        <f>IFERROR(SUM(N185:N200)/(SUM($C$185:$C$200)/100000),"")</f>
        <v>0.53019000000000005</v>
      </c>
      <c r="O184" s="150" t="str">
        <f>IF(OR(B184="",C184=""),"",IFERROR(C184/1000*IFERROR(INDEX(Vöruskrá!R:R,MATCH(B184,Vöruskrá!B:B,0)),0)/1000,""))</f>
        <v/>
      </c>
      <c r="P184" s="147" t="s">
        <v>1606</v>
      </c>
      <c r="Q184" s="26" t="s">
        <v>1607</v>
      </c>
      <c r="R184" s="27" t="s">
        <v>1608</v>
      </c>
    </row>
    <row r="185" spans="1:18" ht="15">
      <c r="A185" s="6"/>
      <c r="B185" s="6" t="s">
        <v>1294</v>
      </c>
      <c r="C185" s="28">
        <v>50000</v>
      </c>
      <c r="D185" s="23" t="s">
        <v>1293</v>
      </c>
      <c r="E185" s="23" t="s">
        <v>621</v>
      </c>
      <c r="F185" s="23"/>
      <c r="G185" s="24">
        <f>IF(OR(B185="",C185=""),"",IFERROR(IFERROR(INDEX(Vöruskrá!J:J,MATCH(B185,Vöruskrá!B:B,0)),"")*C185/100000,""))</f>
        <v>41</v>
      </c>
      <c r="H185" s="24">
        <f>IF(OR(B185="",C185=""),"",IFERROR(IFERROR(INDEX(Vöruskrá!K:K,MATCH(B185,Vöruskrá!B:B,0)),"")*C185/100000,""))</f>
        <v>0.35</v>
      </c>
      <c r="I185" s="24">
        <f>IF(OR(B185="",C185=""),"",IFERROR(IFERROR(INDEX(Vöruskrá!L:L,MATCH(B185,Vöruskrá!B:B,0)),"")*C185/100000,""))</f>
        <v>0.05</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9</v>
      </c>
      <c r="M185" s="24">
        <f>IF(OR(B185="",C185=""),"",IFERROR(IFERROR(INDEX(Vöruskrá!P:P,MATCH(B185,Vöruskrá!B:B,0)),"")*C185/100000,""))</f>
        <v>0.1</v>
      </c>
      <c r="N185" s="24">
        <f>IF(OR(B185="",C185=""),"",IFERROR(IFERROR(INDEX(Vöruskrá!Q:Q,MATCH(B185,Vöruskrá!B:B,0)),"")*C185/100000,""))</f>
        <v>0</v>
      </c>
      <c r="O185" s="25">
        <f>IF(OR(B185="",C185=""),"",IFERROR(C185/1000*IFERROR(INDEX(Vöruskrá!R:R,MATCH(B185,Vöruskrá!B:B,0)),0)/1000,""))</f>
        <v>0</v>
      </c>
      <c r="P185" s="6"/>
      <c r="Q185" s="28"/>
      <c r="R185" s="6"/>
    </row>
    <row r="186" spans="1:18" ht="15">
      <c r="A186" s="6"/>
      <c r="B186" s="6" t="s">
        <v>1058</v>
      </c>
      <c r="C186" s="28">
        <v>10000</v>
      </c>
      <c r="D186" s="23" t="s">
        <v>1059</v>
      </c>
      <c r="E186" s="23" t="s">
        <v>120</v>
      </c>
      <c r="F186" s="23"/>
      <c r="G186" s="24">
        <f>IF(OR(B186="",C186=""),"",IFERROR(IFERROR(INDEX(Vöruskrá!J:J,MATCH(B186,Vöruskrá!B:B,0)),"")*C186/100000,""))</f>
        <v>34</v>
      </c>
      <c r="H186" s="24">
        <f>IF(OR(B186="",C186=""),"",IFERROR(IFERROR(INDEX(Vöruskrá!K:K,MATCH(B186,Vöruskrá!B:B,0)),"")*C186/100000,""))</f>
        <v>3.5</v>
      </c>
      <c r="I186" s="24">
        <f>IF(OR(B186="",C186=""),"",IFERROR(IFERROR(INDEX(Vöruskrá!L:L,MATCH(B186,Vöruskrá!B:B,0)),"")*C186/100000,""))</f>
        <v>2.2000000000000002</v>
      </c>
      <c r="J186" s="24">
        <f>IF(OR(B186="",C186=""),"",IFERROR(IFERROR(INDEX(Vöruskrá!M:M,MATCH(B186,Vöruskrá!B:B,0)),"")*C186/100000,""))</f>
        <v>0.3</v>
      </c>
      <c r="K186" s="24">
        <f>IF(OR(B186="",C186=""),"",IFERROR(IFERROR(INDEX(Vöruskrá!N:N,MATCH(B186,Vöruskrá!B:B,0)),"")*C186/100000,""))</f>
        <v>0.3</v>
      </c>
      <c r="L186" s="24">
        <f>IF(OR(B186="",C186=""),"",IFERROR(IFERROR(INDEX(Vöruskrá!O:O,MATCH(B186,Vöruskrá!B:B,0)),"")*C186/100000,""))</f>
        <v>0.25</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445</v>
      </c>
      <c r="C187" s="22">
        <v>2500</v>
      </c>
      <c r="D187" s="23" t="s">
        <v>448</v>
      </c>
      <c r="E187" s="23" t="s">
        <v>120</v>
      </c>
      <c r="F187" s="23"/>
      <c r="G187" s="24">
        <f>IF(OR(B187="",C187=""),"",IFERROR(IFERROR(INDEX(Vöruskrá!J:J,MATCH(B187,Vöruskrá!B:B,0)),"")*C187/100000,""))</f>
        <v>18.45</v>
      </c>
      <c r="H187" s="24">
        <f>IF(OR(B187="",C187=""),"",IFERROR(IFERROR(INDEX(Vöruskrá!K:K,MATCH(B187,Vöruskrá!B:B,0)),"")*C187/100000,""))</f>
        <v>2.0499999999999998</v>
      </c>
      <c r="I187" s="24">
        <f>IF(OR(B187="",C187=""),"",IFERROR(IFERROR(INDEX(Vöruskrá!L:L,MATCH(B187,Vöruskrá!B:B,0)),"")*C187/100000,""))</f>
        <v>1.2250000000000001</v>
      </c>
      <c r="J187" s="24">
        <f>IF(OR(B187="",C187=""),"",IFERROR(IFERROR(INDEX(Vöruskrá!M:M,MATCH(B187,Vöruskrá!B:B,0)),"")*C187/100000,""))</f>
        <v>0.01</v>
      </c>
      <c r="K187" s="24">
        <f>IF(OR(B187="",C187=""),"",IFERROR(IFERROR(INDEX(Vöruskrá!N:N,MATCH(B187,Vöruskrá!B:B,0)),"")*C187/100000,""))</f>
        <v>0.01</v>
      </c>
      <c r="L187" s="24">
        <f>IF(OR(B187="",C187=""),"",IFERROR(IFERROR(INDEX(Vöruskrá!O:O,MATCH(B187,Vöruskrá!B:B,0)),"")*C187/100000,""))</f>
        <v>1.4999999999999999E-2</v>
      </c>
      <c r="M187" s="24">
        <f>IF(OR(B187="",C187=""),"",IFERROR(IFERROR(INDEX(Vöruskrá!P:P,MATCH(B187,Vöruskrá!B:B,0)),"")*C187/100000,""))</f>
        <v>0.03</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833</v>
      </c>
      <c r="C188" s="28">
        <v>1250</v>
      </c>
      <c r="D188" s="23" t="s">
        <v>835</v>
      </c>
      <c r="E188" s="23"/>
      <c r="F188" s="23"/>
      <c r="G188" s="24">
        <f>IF(OR(B188="",C188=""),"",IFERROR(IFERROR(INDEX(Vöruskrá!J:J,MATCH(B188,Vöruskrá!B:B,0)),"")*C188/100000,""))</f>
        <v>0.38750000000000001</v>
      </c>
      <c r="H188" s="24">
        <f>IF(OR(B188="",C188=""),"",IFERROR(IFERROR(INDEX(Vöruskrá!K:K,MATCH(B188,Vöruskrá!B:B,0)),"")*C188/100000,""))</f>
        <v>2.5000000000000001E-3</v>
      </c>
      <c r="I188" s="24">
        <f>IF(OR(B188="",C188=""),"",IFERROR(IFERROR(INDEX(Vöruskrá!L:L,MATCH(B188,Vöruskrá!B:B,0)),"")*C188/100000,""))</f>
        <v>0</v>
      </c>
      <c r="J188" s="24">
        <f>IF(OR(B188="",C188=""),"",IFERROR(IFERROR(INDEX(Vöruskrá!M:M,MATCH(B188,Vöruskrá!B:B,0)),"")*C188/100000,""))</f>
        <v>8.6249999999999993E-2</v>
      </c>
      <c r="K188" s="24">
        <f>IF(OR(B188="",C188=""),"",IFERROR(IFERROR(INDEX(Vöruskrá!N:N,MATCH(B188,Vöruskrá!B:B,0)),"")*C188/100000,""))</f>
        <v>0.03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1053</v>
      </c>
      <c r="C189" s="22">
        <v>630</v>
      </c>
      <c r="D189" s="23" t="s">
        <v>1054</v>
      </c>
      <c r="E189" s="23" t="s">
        <v>1055</v>
      </c>
      <c r="F189" s="23"/>
      <c r="G189" s="24">
        <f>IF(OR(B189="",C189=""),"",IFERROR(IFERROR(INDEX(Vöruskrá!J:J,MATCH(B189,Vöruskrá!B:B,0)),"")*C189/100000,""))</f>
        <v>0.126</v>
      </c>
      <c r="H189" s="24">
        <f>IF(OR(B189="",C189=""),"",IFERROR(IFERROR(INDEX(Vöruskrá!K:K,MATCH(B189,Vöruskrá!B:B,0)),"")*C189/100000,""))</f>
        <v>0</v>
      </c>
      <c r="I189" s="24">
        <f>IF(OR(B189="",C189=""),"",IFERROR(IFERROR(INDEX(Vöruskrá!L:L,MATCH(B189,Vöruskrá!B:B,0)),"")*C189/100000,""))</f>
        <v>0</v>
      </c>
      <c r="J189" s="24">
        <f>IF(OR(B189="",C189=""),"",IFERROR(IFERROR(INDEX(Vöruskrá!M:M,MATCH(B189,Vöruskrá!B:B,0)),"")*C189/100000,""))</f>
        <v>3.7799999999999999E-3</v>
      </c>
      <c r="K189" s="24">
        <f>IF(OR(B189="",C189=""),"",IFERROR(IFERROR(INDEX(Vöruskrá!N:N,MATCH(B189,Vöruskrá!B:B,0)),"")*C189/100000,""))</f>
        <v>2.5200000000000001E-3</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1030</v>
      </c>
      <c r="C190" s="28">
        <v>130</v>
      </c>
      <c r="D190" s="23" t="s">
        <v>1032</v>
      </c>
      <c r="E190" s="23" t="s">
        <v>134</v>
      </c>
      <c r="F190" s="23" t="s">
        <v>1024</v>
      </c>
      <c r="G190" s="24">
        <f>IF(OR(B190="",C190=""),"",IFERROR(IFERROR(INDEX(Vöruskrá!J:J,MATCH(B190,Vöruskrá!B:B,0)),"")*C190/100000,""))</f>
        <v>0.37959999999999999</v>
      </c>
      <c r="H190" s="24">
        <f>IF(OR(B190="",C190=""),"",IFERROR(IFERROR(INDEX(Vöruskrá!K:K,MATCH(B190,Vöruskrá!B:B,0)),"")*C190/100000,""))</f>
        <v>7.1500000000000001E-3</v>
      </c>
      <c r="I190" s="24">
        <f>IF(OR(B190="",C190=""),"",IFERROR(IFERROR(INDEX(Vöruskrá!L:L,MATCH(B190,Vöruskrá!B:B,0)),"")*C190/100000,""))</f>
        <v>1.17E-3</v>
      </c>
      <c r="J190" s="24">
        <f>IF(OR(B190="",C190=""),"",IFERROR(IFERROR(INDEX(Vöruskrá!M:M,MATCH(B190,Vöruskrá!B:B,0)),"")*C190/100000,""))</f>
        <v>6.5000000000000002E-2</v>
      </c>
      <c r="K190" s="24">
        <f>IF(OR(B190="",C190=""),"",IFERROR(IFERROR(INDEX(Vöruskrá!N:N,MATCH(B190,Vöruskrá!B:B,0)),"")*C190/100000,""))</f>
        <v>5.1999999999999998E-3</v>
      </c>
      <c r="L190" s="24">
        <f>IF(OR(B190="",C190=""),"",IFERROR(IFERROR(INDEX(Vöruskrá!O:O,MATCH(B190,Vöruskrá!B:B,0)),"")*C190/100000,""))</f>
        <v>3.458E-2</v>
      </c>
      <c r="M190" s="24">
        <f>IF(OR(B190="",C190=""),"",IFERROR(IFERROR(INDEX(Vöruskrá!P:P,MATCH(B190,Vöruskrá!B:B,0)),"")*C190/100000,""))</f>
        <v>1.2999999999999999E-4</v>
      </c>
      <c r="N190" s="24">
        <f>IF(OR(B190="",C190=""),"",IFERROR(IFERROR(INDEX(Vöruskrá!Q:Q,MATCH(B190,Vöruskrá!B:B,0)),"")*C190/100000,""))</f>
        <v>3.4709999999999998E-2</v>
      </c>
      <c r="O190" s="25">
        <f>IF(OR(B190="",C190=""),"",IFERROR(C190/1000*IFERROR(INDEX(Vöruskrá!R:R,MATCH(B190,Vöruskrá!B:B,0)),0)/1000,""))</f>
        <v>0</v>
      </c>
      <c r="P190" s="6"/>
      <c r="Q190" s="28"/>
      <c r="R190" s="6"/>
    </row>
    <row r="191" spans="1:18" ht="15">
      <c r="A191" s="21"/>
      <c r="B191" s="21" t="s">
        <v>823</v>
      </c>
      <c r="C191" s="22">
        <v>60</v>
      </c>
      <c r="D191" s="23" t="s">
        <v>824</v>
      </c>
      <c r="E191" s="23"/>
      <c r="F191" s="23" t="s">
        <v>311</v>
      </c>
      <c r="G191" s="24">
        <f>IF(OR(B191="",C191=""),"",IFERROR(IFERROR(INDEX(Vöruskrá!J:J,MATCH(B191,Vöruskrá!B:B,0)),"")*C191/100000,""))</f>
        <v>0.17100000000000001</v>
      </c>
      <c r="H191" s="24">
        <f>IF(OR(B191="",C191=""),"",IFERROR(IFERROR(INDEX(Vöruskrá!K:K,MATCH(B191,Vöruskrá!B:B,0)),"")*C191/100000,""))</f>
        <v>4.4400000000000004E-3</v>
      </c>
      <c r="I191" s="24">
        <f>IF(OR(B191="",C191=""),"",IFERROR(IFERROR(INDEX(Vöruskrá!L:L,MATCH(B191,Vöruskrá!B:B,0)),"")*C191/100000,""))</f>
        <v>1.6199999999999999E-3</v>
      </c>
      <c r="J191" s="24">
        <f>IF(OR(B191="",C191=""),"",IFERROR(IFERROR(INDEX(Vöruskrá!M:M,MATCH(B191,Vöruskrá!B:B,0)),"")*C191/100000,""))</f>
        <v>1.6199999999999999E-2</v>
      </c>
      <c r="K191" s="24">
        <f>IF(OR(B191="",C191=""),"",IFERROR(IFERROR(INDEX(Vöruskrá!N:N,MATCH(B191,Vöruskrá!B:B,0)),"")*C191/100000,""))</f>
        <v>1.0200000000000001E-3</v>
      </c>
      <c r="L191" s="24">
        <f>IF(OR(B191="",C191=""),"",IFERROR(IFERROR(INDEX(Vöruskrá!O:O,MATCH(B191,Vöruskrá!B:B,0)),"")*C191/100000,""))</f>
        <v>5.4599999999999996E-3</v>
      </c>
      <c r="M191" s="24">
        <f>IF(OR(B191="",C191=""),"",IFERROR(IFERROR(INDEX(Vöruskrá!P:P,MATCH(B191,Vöruskrá!B:B,0)),"")*C191/100000,""))</f>
        <v>6.0000000000000002E-5</v>
      </c>
      <c r="N191" s="24">
        <f>IF(OR(B191="",C191=""),"",IFERROR(IFERROR(INDEX(Vöruskrá!Q:Q,MATCH(B191,Vöruskrá!B:B,0)),"")*C191/100000,""))</f>
        <v>0</v>
      </c>
      <c r="O191" s="25">
        <f>IF(OR(B191="",C191=""),"",IFERROR(C191/1000*IFERROR(INDEX(Vöruskrá!R:R,MATCH(B191,Vöruskrá!B:B,0)),0)/1000,""))</f>
        <v>0</v>
      </c>
      <c r="P191" s="21"/>
      <c r="Q191" s="26"/>
      <c r="R191" s="27"/>
    </row>
    <row r="192" spans="1:18" ht="15">
      <c r="A192" s="6"/>
      <c r="B192" s="6" t="s">
        <v>349</v>
      </c>
      <c r="C192" s="28">
        <v>1000</v>
      </c>
      <c r="D192" s="23" t="s">
        <v>351</v>
      </c>
      <c r="E192" s="23" t="s">
        <v>134</v>
      </c>
      <c r="F192" s="23"/>
      <c r="G192" s="24">
        <f>IF(OR(B192="",C192=""),"",IFERROR(IFERROR(INDEX(Vöruskrá!J:J,MATCH(B192,Vöruskrá!B:B,0)),"")*C192/100000,""))</f>
        <v>3.55</v>
      </c>
      <c r="H192" s="24">
        <f>IF(OR(B192="",C192=""),"",IFERROR(IFERROR(INDEX(Vöruskrá!K:K,MATCH(B192,Vöruskrá!B:B,0)),"")*C192/100000,""))</f>
        <v>5.0000000000000001E-3</v>
      </c>
      <c r="I192" s="24">
        <f>IF(OR(B192="",C192=""),"",IFERROR(IFERROR(INDEX(Vöruskrá!L:L,MATCH(B192,Vöruskrá!B:B,0)),"")*C192/100000,""))</f>
        <v>0</v>
      </c>
      <c r="J192" s="24">
        <f>IF(OR(B192="",C192=""),"",IFERROR(IFERROR(INDEX(Vöruskrá!M:M,MATCH(B192,Vöruskrá!B:B,0)),"")*C192/100000,""))</f>
        <v>0.86</v>
      </c>
      <c r="K192" s="24">
        <f>IF(OR(B192="",C192=""),"",IFERROR(IFERROR(INDEX(Vöruskrá!N:N,MATCH(B192,Vöruskrá!B:B,0)),"")*C192/100000,""))</f>
        <v>0</v>
      </c>
      <c r="L192" s="24">
        <f>IF(OR(B192="",C192=""),"",IFERROR(IFERROR(INDEX(Vöruskrá!O:O,MATCH(B192,Vöruskrá!B:B,0)),"")*C192/100000,""))</f>
        <v>5.0000000000000001E-3</v>
      </c>
      <c r="M192" s="24">
        <f>IF(OR(B192="",C192=""),"",IFERROR(IFERROR(INDEX(Vöruskrá!P:P,MATCH(B192,Vöruskrá!B:B,0)),"")*C192/100000,""))</f>
        <v>0</v>
      </c>
      <c r="N192" s="24">
        <f>IF(OR(B192="",C192=""),"",IFERROR(IFERROR(INDEX(Vöruskrá!Q:Q,MATCH(B192,Vöruskrá!B:B,0)),"")*C192/100000,""))</f>
        <v>0.01</v>
      </c>
      <c r="O192" s="25">
        <f>IF(OR(B192="",C192=""),"",IFERROR(C192/1000*IFERROR(INDEX(Vöruskrá!R:R,MATCH(B192,Vöruskrá!B:B,0)),0)/1000,""))</f>
        <v>0</v>
      </c>
      <c r="P192" s="6"/>
      <c r="Q192" s="28"/>
      <c r="R192" s="6"/>
    </row>
    <row r="193" spans="1:18" ht="15">
      <c r="A193" s="21"/>
      <c r="B193" s="21" t="s">
        <v>1106</v>
      </c>
      <c r="C193" s="22">
        <v>10000</v>
      </c>
      <c r="D193" s="23" t="s">
        <v>1106</v>
      </c>
      <c r="E193" s="23" t="s">
        <v>1099</v>
      </c>
      <c r="F193" s="23"/>
      <c r="G193" s="24">
        <f>IF(OR(B193="",C193=""),"",IFERROR(IFERROR(INDEX(Vöruskrá!J:J,MATCH(B193,Vöruskrá!B:B,0)),"")*C193/100000,""))</f>
        <v>3.4</v>
      </c>
      <c r="H193" s="24">
        <f>IF(OR(B193="",C193=""),"",IFERROR(IFERROR(INDEX(Vöruskrá!K:K,MATCH(B193,Vöruskrá!B:B,0)),"")*C193/100000,""))</f>
        <v>0.04</v>
      </c>
      <c r="I193" s="24">
        <f>IF(OR(B193="",C193=""),"",IFERROR(IFERROR(INDEX(Vöruskrá!L:L,MATCH(B193,Vöruskrá!B:B,0)),"")*C193/100000,""))</f>
        <v>0.01</v>
      </c>
      <c r="J193" s="24">
        <f>IF(OR(B193="",C193=""),"",IFERROR(IFERROR(INDEX(Vöruskrá!M:M,MATCH(B193,Vöruskrá!B:B,0)),"")*C193/100000,""))</f>
        <v>0.7</v>
      </c>
      <c r="K193" s="24">
        <f>IF(OR(B193="",C193=""),"",IFERROR(IFERROR(INDEX(Vöruskrá!N:N,MATCH(B193,Vöruskrá!B:B,0)),"")*C193/100000,""))</f>
        <v>0.17</v>
      </c>
      <c r="L193" s="24">
        <f>IF(OR(B193="",C193=""),"",IFERROR(IFERROR(INDEX(Vöruskrá!O:O,MATCH(B193,Vöruskrá!B:B,0)),"")*C193/100000,""))</f>
        <v>0.28000000000000003</v>
      </c>
      <c r="M193" s="24">
        <f>IF(OR(B193="",C193=""),"",IFERROR(IFERROR(INDEX(Vöruskrá!P:P,MATCH(B193,Vöruskrá!B:B,0)),"")*C193/100000,""))</f>
        <v>0</v>
      </c>
      <c r="N193" s="24">
        <f>IF(OR(B193="",C193=""),"",IFERROR(IFERROR(INDEX(Vöruskrá!Q:Q,MATCH(B193,Vöruskrá!B:B,0)),"")*C193/100000,""))</f>
        <v>0.26</v>
      </c>
      <c r="O193" s="25">
        <f>IF(OR(B193="",C193=""),"",IFERROR(C193/1000*IFERROR(INDEX(Vöruskrá!R:R,MATCH(B193,Vöruskrá!B:B,0)),0)/1000,""))</f>
        <v>0</v>
      </c>
      <c r="P193" s="21"/>
      <c r="Q193" s="26"/>
      <c r="R193" s="27"/>
    </row>
    <row r="194" spans="1:18" ht="15">
      <c r="A194" s="6"/>
      <c r="B194" s="6" t="s">
        <v>1006</v>
      </c>
      <c r="C194" s="28">
        <v>6250</v>
      </c>
      <c r="D194" s="23" t="s">
        <v>1006</v>
      </c>
      <c r="E194" s="23" t="s">
        <v>134</v>
      </c>
      <c r="F194" s="23"/>
      <c r="G194" s="24">
        <f>IF(OR(B194="",C194=""),"",IFERROR(IFERROR(INDEX(Vöruskrá!J:J,MATCH(B194,Vöruskrá!B:B,0)),"")*C194/100000,""))</f>
        <v>2.5625</v>
      </c>
      <c r="H194" s="24">
        <f>IF(OR(B194="",C194=""),"",IFERROR(IFERROR(INDEX(Vöruskrá!K:K,MATCH(B194,Vöruskrá!B:B,0)),"")*C194/100000,""))</f>
        <v>1.2500000000000001E-2</v>
      </c>
      <c r="I194" s="24">
        <f>IF(OR(B194="",C194=""),"",IFERROR(IFERROR(INDEX(Vöruskrá!L:L,MATCH(B194,Vöruskrá!B:B,0)),"")*C194/100000,""))</f>
        <v>0</v>
      </c>
      <c r="J194" s="24">
        <f>IF(OR(B194="",C194=""),"",IFERROR(IFERROR(INDEX(Vöruskrá!M:M,MATCH(B194,Vöruskrá!B:B,0)),"")*C194/100000,""))</f>
        <v>0.6</v>
      </c>
      <c r="K194" s="24">
        <f>IF(OR(B194="",C194=""),"",IFERROR(IFERROR(INDEX(Vöruskrá!N:N,MATCH(B194,Vöruskrá!B:B,0)),"")*C194/100000,""))</f>
        <v>0.29375000000000001</v>
      </c>
      <c r="L194" s="24">
        <f>IF(OR(B194="",C194=""),"",IFERROR(IFERROR(INDEX(Vöruskrá!O:O,MATCH(B194,Vöruskrá!B:B,0)),"")*C194/100000,""))</f>
        <v>5.6250000000000001E-2</v>
      </c>
      <c r="M194" s="24">
        <f>IF(OR(B194="",C194=""),"",IFERROR(IFERROR(INDEX(Vöruskrá!P:P,MATCH(B194,Vöruskrá!B:B,0)),"")*C194/100000,""))</f>
        <v>6.2500000000000003E-3</v>
      </c>
      <c r="N194" s="24">
        <f>IF(OR(B194="",C194=""),"",IFERROR(IFERROR(INDEX(Vöruskrá!Q:Q,MATCH(B194,Vöruskrá!B:B,0)),"")*C194/100000,""))</f>
        <v>0.17499999999999999</v>
      </c>
      <c r="O194" s="25">
        <f>IF(OR(B194="",C194=""),"",IFERROR(C194/1000*IFERROR(INDEX(Vöruskrá!R:R,MATCH(B194,Vöruskrá!B:B,0)),0)/1000,""))</f>
        <v>0</v>
      </c>
      <c r="P194" s="6"/>
      <c r="Q194" s="28"/>
      <c r="R194" s="6"/>
    </row>
    <row r="195" spans="1:18" ht="15">
      <c r="A195" s="21"/>
      <c r="B195" s="21" t="s">
        <v>1010</v>
      </c>
      <c r="C195" s="22">
        <v>2500</v>
      </c>
      <c r="D195" s="23" t="s">
        <v>1010</v>
      </c>
      <c r="E195" s="23" t="s">
        <v>134</v>
      </c>
      <c r="F195" s="23"/>
      <c r="G195" s="24">
        <f>IF(OR(B195="",C195=""),"",IFERROR(IFERROR(INDEX(Vöruskrá!J:J,MATCH(B195,Vöruskrá!B:B,0)),"")*C195/100000,""))</f>
        <v>1</v>
      </c>
      <c r="H195" s="24">
        <f>IF(OR(B195="",C195=""),"",IFERROR(IFERROR(INDEX(Vöruskrá!K:K,MATCH(B195,Vöruskrá!B:B,0)),"")*C195/100000,""))</f>
        <v>2.5000000000000001E-3</v>
      </c>
      <c r="I195" s="24">
        <f>IF(OR(B195="",C195=""),"",IFERROR(IFERROR(INDEX(Vöruskrá!L:L,MATCH(B195,Vöruskrá!B:B,0)),"")*C195/100000,""))</f>
        <v>0</v>
      </c>
      <c r="J195" s="24">
        <f>IF(OR(B195="",C195=""),"",IFERROR(IFERROR(INDEX(Vöruskrá!M:M,MATCH(B195,Vöruskrá!B:B,0)),"")*C195/100000,""))</f>
        <v>0.23250000000000001</v>
      </c>
      <c r="K195" s="24">
        <f>IF(OR(B195="",C195=""),"",IFERROR(IFERROR(INDEX(Vöruskrá!N:N,MATCH(B195,Vöruskrá!B:B,0)),"")*C195/100000,""))</f>
        <v>0.105</v>
      </c>
      <c r="L195" s="24">
        <f>IF(OR(B195="",C195=""),"",IFERROR(IFERROR(INDEX(Vöruskrá!O:O,MATCH(B195,Vöruskrá!B:B,0)),"")*C195/100000,""))</f>
        <v>2.75E-2</v>
      </c>
      <c r="M195" s="24">
        <f>IF(OR(B195="",C195=""),"",IFERROR(IFERROR(INDEX(Vöruskrá!P:P,MATCH(B195,Vöruskrá!B:B,0)),"")*C195/100000,""))</f>
        <v>0</v>
      </c>
      <c r="N195" s="24">
        <f>IF(OR(B195="",C195=""),"",IFERROR(IFERROR(INDEX(Vöruskrá!Q:Q,MATCH(B195,Vöruskrá!B:B,0)),"")*C195/100000,""))</f>
        <v>4.2500000000000003E-2</v>
      </c>
      <c r="O195" s="25">
        <f>IF(OR(B195="",C195=""),"",IFERROR(C195/1000*IFERROR(INDEX(Vöruskrá!R:R,MATCH(B195,Vöruskrá!B:B,0)),0)/1000,""))</f>
        <v>0</v>
      </c>
      <c r="P195" s="21"/>
      <c r="Q195" s="26"/>
      <c r="R195" s="27"/>
    </row>
    <row r="196" spans="1:18" ht="15">
      <c r="A196" s="6"/>
      <c r="B196" s="6" t="s">
        <v>1017</v>
      </c>
      <c r="C196" s="28">
        <v>380</v>
      </c>
      <c r="D196" s="23" t="s">
        <v>1017</v>
      </c>
      <c r="E196" s="23" t="s">
        <v>134</v>
      </c>
      <c r="F196" s="23"/>
      <c r="G196" s="24">
        <f>IF(OR(B196="",C196=""),"",IFERROR(IFERROR(INDEX(Vöruskrá!J:J,MATCH(B196,Vöruskrá!B:B,0)),"")*C196/100000,""))</f>
        <v>0.56620000000000004</v>
      </c>
      <c r="H196" s="24">
        <f>IF(OR(B196="",C196=""),"",IFERROR(IFERROR(INDEX(Vöruskrá!K:K,MATCH(B196,Vöruskrá!B:B,0)),"")*C196/100000,""))</f>
        <v>1.9E-3</v>
      </c>
      <c r="I196" s="24">
        <f>IF(OR(B196="",C196=""),"",IFERROR(IFERROR(INDEX(Vöruskrá!L:L,MATCH(B196,Vöruskrá!B:B,0)),"")*C196/100000,""))</f>
        <v>3.8000000000000002E-4</v>
      </c>
      <c r="J196" s="24">
        <f>IF(OR(B196="",C196=""),"",IFERROR(IFERROR(INDEX(Vöruskrá!M:M,MATCH(B196,Vöruskrá!B:B,0)),"")*C196/100000,""))</f>
        <v>0.12578</v>
      </c>
      <c r="K196" s="24">
        <f>IF(OR(B196="",C196=""),"",IFERROR(IFERROR(INDEX(Vöruskrá!N:N,MATCH(B196,Vöruskrá!B:B,0)),"")*C196/100000,""))</f>
        <v>3.8E-3</v>
      </c>
      <c r="L196" s="24">
        <f>IF(OR(B196="",C196=""),"",IFERROR(IFERROR(INDEX(Vöruskrá!O:O,MATCH(B196,Vöruskrá!B:B,0)),"")*C196/100000,""))</f>
        <v>2.4320000000000001E-2</v>
      </c>
      <c r="M196" s="24">
        <f>IF(OR(B196="",C196=""),"",IFERROR(IFERROR(INDEX(Vöruskrá!P:P,MATCH(B196,Vöruskrá!B:B,0)),"")*C196/100000,""))</f>
        <v>0</v>
      </c>
      <c r="N196" s="24">
        <f>IF(OR(B196="",C196=""),"",IFERROR(IFERROR(INDEX(Vöruskrá!Q:Q,MATCH(B196,Vöruskrá!B:B,0)),"")*C196/100000,""))</f>
        <v>7.9799999999999992E-3</v>
      </c>
      <c r="O196" s="25">
        <f>IF(OR(B196="",C196=""),"",IFERROR(C196/1000*IFERROR(INDEX(Vöruskrá!R:R,MATCH(B196,Vöruskrá!B:B,0)),0)/1000,""))</f>
        <v>0</v>
      </c>
      <c r="P196" s="6"/>
      <c r="Q196" s="28"/>
      <c r="R196" s="6"/>
    </row>
    <row r="197" spans="1:18" ht="15">
      <c r="A197" s="21"/>
      <c r="B197" s="21" t="s">
        <v>299</v>
      </c>
      <c r="C197" s="22">
        <v>630</v>
      </c>
      <c r="D197" s="23" t="s">
        <v>302</v>
      </c>
      <c r="E197" s="23" t="s">
        <v>134</v>
      </c>
      <c r="F197" s="23" t="s">
        <v>303</v>
      </c>
      <c r="G197" s="24">
        <f>IF(OR(B197="",C197=""),"",IFERROR(IFERROR(INDEX(Vöruskrá!J:J,MATCH(B197,Vöruskrá!B:B,0)),"")*C197/100000,""))</f>
        <v>0</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0</v>
      </c>
      <c r="K197" s="24">
        <f>IF(OR(B197="",C197=""),"",IFERROR(IFERROR(INDEX(Vöruskrá!N:N,MATCH(B197,Vöruskrá!B:B,0)),"")*C197/100000,""))</f>
        <v>0</v>
      </c>
      <c r="L197" s="24">
        <f>IF(OR(B197="",C197=""),"",IFERROR(IFERROR(INDEX(Vöruskrá!O:O,MATCH(B197,Vöruskrá!B:B,0)),"")*C197/100000,""))</f>
        <v>0</v>
      </c>
      <c r="M197" s="24">
        <f>IF(OR(B197="",C197=""),"",IFERROR(IFERROR(INDEX(Vöruskrá!P:P,MATCH(B197,Vöruskrá!B:B,0)),"")*C197/100000,""))</f>
        <v>0.63</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819</v>
      </c>
      <c r="C198" s="28">
        <v>60</v>
      </c>
      <c r="D198" s="23" t="s">
        <v>820</v>
      </c>
      <c r="E198" s="23"/>
      <c r="F198" s="23" t="s">
        <v>311</v>
      </c>
      <c r="G198" s="24">
        <f>IF(OR(B198="",C198=""),"",IFERROR(IFERROR(INDEX(Vöruskrá!J:J,MATCH(B198,Vöruskrá!B:B,0)),"")*C198/100000,""))</f>
        <v>0.2316</v>
      </c>
      <c r="H198" s="24">
        <f>IF(OR(B198="",C198=""),"",IFERROR(IFERROR(INDEX(Vöruskrá!K:K,MATCH(B198,Vöruskrá!B:B,0)),"")*C198/100000,""))</f>
        <v>1.98E-3</v>
      </c>
      <c r="I198" s="24">
        <f>IF(OR(B198="",C198=""),"",IFERROR(IFERROR(INDEX(Vöruskrá!L:L,MATCH(B198,Vöruskrá!B:B,0)),"")*C198/100000,""))</f>
        <v>5.9999999999999995E-4</v>
      </c>
      <c r="J198" s="24">
        <f>IF(OR(B198="",C198=""),"",IFERROR(IFERROR(INDEX(Vöruskrá!M:M,MATCH(B198,Vöruskrá!B:B,0)),"")*C198/100000,""))</f>
        <v>3.9E-2</v>
      </c>
      <c r="K198" s="24">
        <f>IF(OR(B198="",C198=""),"",IFERROR(IFERROR(INDEX(Vöruskrá!N:N,MATCH(B198,Vöruskrá!B:B,0)),"")*C198/100000,""))</f>
        <v>3.6000000000000002E-4</v>
      </c>
      <c r="L198" s="24">
        <f>IF(OR(B198="",C198=""),"",IFERROR(IFERROR(INDEX(Vöruskrá!O:O,MATCH(B198,Vöruskrá!B:B,0)),"")*C198/100000,""))</f>
        <v>6.6E-3</v>
      </c>
      <c r="M198" s="24">
        <f>IF(OR(B198="",C198=""),"",IFERROR(IFERROR(INDEX(Vöruskrá!P:P,MATCH(B198,Vöruskrá!B:B,0)),"")*C198/100000,""))</f>
        <v>6.0000000000000002E-5</v>
      </c>
      <c r="N198" s="24">
        <f>IF(OR(B198="",C198=""),"",IFERROR(IFERROR(INDEX(Vöruskrá!Q:Q,MATCH(B198,Vöruskrá!B:B,0)),"")*C198/100000,""))</f>
        <v>0</v>
      </c>
      <c r="O198" s="25">
        <f>IF(OR(B198="",C198=""),"",IFERROR(C198/1000*IFERROR(INDEX(Vöruskrá!R:R,MATCH(B198,Vöruskrá!B:B,0)),0)/1000,""))</f>
        <v>0</v>
      </c>
      <c r="P198" s="6"/>
      <c r="Q198" s="28"/>
      <c r="R198" s="6"/>
    </row>
    <row r="199" spans="1:18" ht="15">
      <c r="A199" s="21"/>
      <c r="B199" s="21" t="s">
        <v>1270</v>
      </c>
      <c r="C199" s="22">
        <v>1880</v>
      </c>
      <c r="D199" s="23" t="s">
        <v>1270</v>
      </c>
      <c r="E199" s="23" t="s">
        <v>134</v>
      </c>
      <c r="F199" s="23"/>
      <c r="G199" s="24">
        <f>IF(OR(B199="",C199=""),"",IFERROR(IFERROR(INDEX(Vöruskrá!J:J,MATCH(B199,Vöruskrá!B:B,0)),"")*C199/100000,""))</f>
        <v>16.920000000000002</v>
      </c>
      <c r="H199" s="24">
        <f>IF(OR(B199="",C199=""),"",IFERROR(IFERROR(INDEX(Vöruskrá!K:K,MATCH(B199,Vöruskrá!B:B,0)),"")*C199/100000,""))</f>
        <v>1.88</v>
      </c>
      <c r="I199" s="24">
        <f>IF(OR(B199="",C199=""),"",IFERROR(IFERROR(INDEX(Vöruskrá!L:L,MATCH(B199,Vöruskrá!B:B,0)),"")*C199/100000,""))</f>
        <v>0.13159999999999999</v>
      </c>
      <c r="J199" s="24">
        <f>IF(OR(B199="",C199=""),"",IFERROR(IFERROR(INDEX(Vöruskrá!M:M,MATCH(B199,Vöruskrá!B:B,0)),"")*C199/100000,""))</f>
        <v>1.222</v>
      </c>
      <c r="K199" s="24">
        <f>IF(OR(B199="",C199=""),"",IFERROR(IFERROR(INDEX(Vöruskrá!N:N,MATCH(B199,Vöruskrá!B:B,0)),"")*C199/100000,""))</f>
        <v>0.51700000000000002</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ht="15">
      <c r="A200" s="6"/>
      <c r="B200" s="6" t="s">
        <v>1020</v>
      </c>
      <c r="C200" s="28">
        <v>12730</v>
      </c>
      <c r="D200" s="23" t="s">
        <v>1020</v>
      </c>
      <c r="E200" s="23" t="s">
        <v>134</v>
      </c>
      <c r="F200" s="23"/>
      <c r="G200" s="24">
        <f>IF(OR(B200="",C200=""),"",IFERROR(IFERROR(INDEX(Vöruskrá!J:J,MATCH(B200,Vöruskrá!B:B,0)),"")*C200/100000,""))</f>
        <v>0</v>
      </c>
      <c r="H200" s="24">
        <f>IF(OR(B200="",C200=""),"",IFERROR(IFERROR(INDEX(Vöruskrá!K:K,MATCH(B200,Vöruskrá!B:B,0)),"")*C200/100000,""))</f>
        <v>0</v>
      </c>
      <c r="I200" s="24">
        <f>IF(OR(B200="",C200=""),"",IFERROR(IFERROR(INDEX(Vöruskrá!L:L,MATCH(B200,Vöruskrá!B:B,0)),"")*C200/100000,""))</f>
        <v>0</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0</v>
      </c>
      <c r="M200" s="24">
        <f>IF(OR(B200="",C200=""),"",IFERROR(IFERROR(INDEX(Vöruskrá!P:P,MATCH(B200,Vöruskrá!B:B,0)),"")*C200/100000,""))</f>
        <v>0</v>
      </c>
      <c r="N200" s="24">
        <f>IF(OR(B200="",C200=""),"",IFERROR(IFERROR(INDEX(Vöruskrá!Q:Q,MATCH(B200,Vöruskrá!B:B,0)),"")*C200/100000,""))</f>
        <v>0</v>
      </c>
      <c r="O200" s="25">
        <f>IF(OR(B200="",C200=""),"",IFERROR(C200/1000*IFERROR(INDEX(Vöruskrá!R:R,MATCH(B200,Vöruskrá!B:B,0)),0)/1000,""))</f>
        <v>0</v>
      </c>
      <c r="P200" s="6"/>
      <c r="Q200" s="28"/>
      <c r="R200" s="6"/>
    </row>
    <row r="201" spans="1:18" ht="60">
      <c r="A201" s="147" t="s">
        <v>1609</v>
      </c>
      <c r="B201" s="147"/>
      <c r="C201" s="148"/>
      <c r="D201" s="147" t="s">
        <v>1610</v>
      </c>
      <c r="E201" s="147" t="s">
        <v>1055</v>
      </c>
      <c r="F201" s="147"/>
      <c r="G201" s="149">
        <v>237.41</v>
      </c>
      <c r="H201" s="149">
        <v>15.81</v>
      </c>
      <c r="I201" s="149">
        <v>3.79</v>
      </c>
      <c r="J201" s="149">
        <v>1.22</v>
      </c>
      <c r="K201" s="149"/>
      <c r="L201" s="149">
        <v>21.92</v>
      </c>
      <c r="M201" s="149">
        <v>1.17</v>
      </c>
      <c r="N201" s="149">
        <f>IFERROR(SUM(N202:N212)/(SUM($C$202:$C$212)/100000),"")</f>
        <v>0.2833</v>
      </c>
      <c r="O201" s="150" t="str">
        <f>IF(OR(B201="",C201=""),"",IFERROR(C201/1000*IFERROR(INDEX(Vöruskrá!R:R,MATCH(B201,Vöruskrá!B:B,0)),0)/1000,""))</f>
        <v/>
      </c>
      <c r="P201" s="147" t="s">
        <v>1611</v>
      </c>
      <c r="Q201" s="26" t="s">
        <v>1612</v>
      </c>
      <c r="R201" s="27" t="s">
        <v>1613</v>
      </c>
    </row>
    <row r="202" spans="1:18" ht="15">
      <c r="A202" s="6"/>
      <c r="B202" s="6" t="s">
        <v>1066</v>
      </c>
      <c r="C202" s="28">
        <v>90000</v>
      </c>
      <c r="D202" s="23" t="s">
        <v>1068</v>
      </c>
      <c r="E202" s="23" t="s">
        <v>134</v>
      </c>
      <c r="F202" s="23"/>
      <c r="G202" s="24">
        <f>IF(OR(B202="",C202=""),"",IFERROR(IFERROR(INDEX(Vöruskrá!J:J,MATCH(B202,Vöruskrá!B:B,0)),"")*C202/100000,""))</f>
        <v>194.4</v>
      </c>
      <c r="H202" s="24">
        <f>IF(OR(B202="",C202=""),"",IFERROR(IFERROR(INDEX(Vöruskrá!K:K,MATCH(B202,Vöruskrá!B:B,0)),"")*C202/100000,""))</f>
        <v>11.7</v>
      </c>
      <c r="I202" s="24">
        <f>IF(OR(B202="",C202=""),"",IFERROR(IFERROR(INDEX(Vöruskrá!L:L,MATCH(B202,Vöruskrá!B:B,0)),"")*C202/100000,""))</f>
        <v>3.33</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21.6</v>
      </c>
      <c r="M202" s="24">
        <f>IF(OR(B202="",C202=""),"",IFERROR(IFERROR(INDEX(Vöruskrá!P:P,MATCH(B202,Vöruskrá!B:B,0)),"")*C202/100000,""))</f>
        <v>0.18</v>
      </c>
      <c r="N202" s="24">
        <f>IF(OR(B202="",C202=""),"",IFERROR(IFERROR(INDEX(Vöruskrá!Q:Q,MATCH(B202,Vöruskrá!B:B,0)),"")*C202/100000,""))</f>
        <v>0</v>
      </c>
      <c r="O202" s="25">
        <f>IF(OR(B202="",C202=""),"",IFERROR(C202/1000*IFERROR(INDEX(Vöruskrá!R:R,MATCH(B202,Vöruskrá!B:B,0)),0)/1000,""))</f>
        <v>0</v>
      </c>
      <c r="P202" s="6"/>
      <c r="Q202" s="28"/>
      <c r="R202" s="6"/>
    </row>
    <row r="203" spans="1:18" ht="15">
      <c r="A203" s="6"/>
      <c r="B203" s="6" t="s">
        <v>1018</v>
      </c>
      <c r="C203" s="28">
        <v>4000</v>
      </c>
      <c r="D203" s="23" t="s">
        <v>1018</v>
      </c>
      <c r="E203" s="23" t="s">
        <v>134</v>
      </c>
      <c r="F203" s="23"/>
      <c r="G203" s="24">
        <f>IF(OR(B203="",C203=""),"",IFERROR(IFERROR(INDEX(Vöruskrá!J:J,MATCH(B203,Vöruskrá!B:B,0)),"")*C203/100000,""))</f>
        <v>36</v>
      </c>
      <c r="H203" s="24">
        <f>IF(OR(B203="",C203=""),"",IFERROR(IFERROR(INDEX(Vöruskrá!K:K,MATCH(B203,Vöruskrá!B:B,0)),"")*C203/100000,""))</f>
        <v>4</v>
      </c>
      <c r="I203" s="24">
        <f>IF(OR(B203="",C203=""),"",IFERROR(IFERROR(INDEX(Vöruskrá!L:L,MATCH(B203,Vöruskrá!B:B,0)),"")*C203/100000,""))</f>
        <v>0.44</v>
      </c>
      <c r="J203" s="24">
        <f>IF(OR(B203="",C203=""),"",IFERROR(IFERROR(INDEX(Vöruskrá!M:M,MATCH(B203,Vöruskrá!B:B,0)),"")*C203/100000,""))</f>
        <v>0</v>
      </c>
      <c r="K203" s="24">
        <f>IF(OR(B203="",C203=""),"",IFERROR(IFERROR(INDEX(Vöruskrá!N:N,MATCH(B203,Vöruskrá!B:B,0)),"")*C203/100000,""))</f>
        <v>0</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1017</v>
      </c>
      <c r="C204" s="22">
        <v>1300</v>
      </c>
      <c r="D204" s="23" t="s">
        <v>1017</v>
      </c>
      <c r="E204" s="23" t="s">
        <v>134</v>
      </c>
      <c r="F204" s="23"/>
      <c r="G204" s="24">
        <f>IF(OR(B204="",C204=""),"",IFERROR(IFERROR(INDEX(Vöruskrá!J:J,MATCH(B204,Vöruskrá!B:B,0)),"")*C204/100000,""))</f>
        <v>1.9370000000000001</v>
      </c>
      <c r="H204" s="24">
        <f>IF(OR(B204="",C204=""),"",IFERROR(IFERROR(INDEX(Vöruskrá!K:K,MATCH(B204,Vöruskrá!B:B,0)),"")*C204/100000,""))</f>
        <v>6.4999999999999997E-3</v>
      </c>
      <c r="I204" s="24">
        <f>IF(OR(B204="",C204=""),"",IFERROR(IFERROR(INDEX(Vöruskrá!L:L,MATCH(B204,Vöruskrá!B:B,0)),"")*C204/100000,""))</f>
        <v>1.2999999999999999E-3</v>
      </c>
      <c r="J204" s="24">
        <f>IF(OR(B204="",C204=""),"",IFERROR(IFERROR(INDEX(Vöruskrá!M:M,MATCH(B204,Vöruskrá!B:B,0)),"")*C204/100000,""))</f>
        <v>0.43030000000000002</v>
      </c>
      <c r="K204" s="24">
        <f>IF(OR(B204="",C204=""),"",IFERROR(IFERROR(INDEX(Vöruskrá!N:N,MATCH(B204,Vöruskrá!B:B,0)),"")*C204/100000,""))</f>
        <v>1.2999999999999999E-2</v>
      </c>
      <c r="L204" s="24">
        <f>IF(OR(B204="",C204=""),"",IFERROR(IFERROR(INDEX(Vöruskrá!O:O,MATCH(B204,Vöruskrá!B:B,0)),"")*C204/100000,""))</f>
        <v>8.3199999999999996E-2</v>
      </c>
      <c r="M204" s="24">
        <f>IF(OR(B204="",C204=""),"",IFERROR(IFERROR(INDEX(Vöruskrá!P:P,MATCH(B204,Vöruskrá!B:B,0)),"")*C204/100000,""))</f>
        <v>0</v>
      </c>
      <c r="N204" s="24">
        <f>IF(OR(B204="",C204=""),"",IFERROR(IFERROR(INDEX(Vöruskrá!Q:Q,MATCH(B204,Vöruskrá!B:B,0)),"")*C204/100000,""))</f>
        <v>2.7300000000000001E-2</v>
      </c>
      <c r="O204" s="25">
        <f>IF(OR(B204="",C204=""),"",IFERROR(C204/1000*IFERROR(INDEX(Vöruskrá!R:R,MATCH(B204,Vöruskrá!B:B,0)),0)/1000,""))</f>
        <v>0</v>
      </c>
      <c r="P204" s="21"/>
      <c r="Q204" s="26"/>
      <c r="R204" s="27"/>
    </row>
    <row r="205" spans="1:18" ht="15">
      <c r="A205" s="6"/>
      <c r="B205" s="6" t="s">
        <v>1030</v>
      </c>
      <c r="C205" s="28">
        <v>500</v>
      </c>
      <c r="D205" s="23" t="s">
        <v>1032</v>
      </c>
      <c r="E205" s="23" t="s">
        <v>134</v>
      </c>
      <c r="F205" s="23" t="s">
        <v>1024</v>
      </c>
      <c r="G205" s="24">
        <f>IF(OR(B205="",C205=""),"",IFERROR(IFERROR(INDEX(Vöruskrá!J:J,MATCH(B205,Vöruskrá!B:B,0)),"")*C205/100000,""))</f>
        <v>1.46</v>
      </c>
      <c r="H205" s="24">
        <f>IF(OR(B205="",C205=""),"",IFERROR(IFERROR(INDEX(Vöruskrá!K:K,MATCH(B205,Vöruskrá!B:B,0)),"")*C205/100000,""))</f>
        <v>2.75E-2</v>
      </c>
      <c r="I205" s="24">
        <f>IF(OR(B205="",C205=""),"",IFERROR(IFERROR(INDEX(Vöruskrá!L:L,MATCH(B205,Vöruskrá!B:B,0)),"")*C205/100000,""))</f>
        <v>4.4999999999999997E-3</v>
      </c>
      <c r="J205" s="24">
        <f>IF(OR(B205="",C205=""),"",IFERROR(IFERROR(INDEX(Vöruskrá!M:M,MATCH(B205,Vöruskrá!B:B,0)),"")*C205/100000,""))</f>
        <v>0.25</v>
      </c>
      <c r="K205" s="24">
        <f>IF(OR(B205="",C205=""),"",IFERROR(IFERROR(INDEX(Vöruskrá!N:N,MATCH(B205,Vöruskrá!B:B,0)),"")*C205/100000,""))</f>
        <v>0.02</v>
      </c>
      <c r="L205" s="24">
        <f>IF(OR(B205="",C205=""),"",IFERROR(IFERROR(INDEX(Vöruskrá!O:O,MATCH(B205,Vöruskrá!B:B,0)),"")*C205/100000,""))</f>
        <v>0.13300000000000001</v>
      </c>
      <c r="M205" s="24">
        <f>IF(OR(B205="",C205=""),"",IFERROR(IFERROR(INDEX(Vöruskrá!P:P,MATCH(B205,Vöruskrá!B:B,0)),"")*C205/100000,""))</f>
        <v>5.0000000000000001E-4</v>
      </c>
      <c r="N205" s="24">
        <f>IF(OR(B205="",C205=""),"",IFERROR(IFERROR(INDEX(Vöruskrá!Q:Q,MATCH(B205,Vöruskrá!B:B,0)),"")*C205/100000,""))</f>
        <v>0.13350000000000001</v>
      </c>
      <c r="O205" s="25">
        <f>IF(OR(B205="",C205=""),"",IFERROR(C205/1000*IFERROR(INDEX(Vöruskrá!R:R,MATCH(B205,Vöruskrá!B:B,0)),0)/1000,""))</f>
        <v>0</v>
      </c>
      <c r="P205" s="6"/>
      <c r="Q205" s="28"/>
      <c r="R205" s="6"/>
    </row>
    <row r="206" spans="1:18" ht="15">
      <c r="A206" s="21"/>
      <c r="B206" s="21" t="s">
        <v>815</v>
      </c>
      <c r="C206" s="22">
        <v>300</v>
      </c>
      <c r="D206" s="23" t="s">
        <v>816</v>
      </c>
      <c r="E206" s="23"/>
      <c r="F206" s="23" t="s">
        <v>311</v>
      </c>
      <c r="G206" s="24">
        <f>IF(OR(B206="",C206=""),"",IFERROR(IFERROR(INDEX(Vöruskrá!J:J,MATCH(B206,Vöruskrá!B:B,0)),"")*C206/100000,""))</f>
        <v>1.44</v>
      </c>
      <c r="H206" s="24">
        <f>IF(OR(B206="",C206=""),"",IFERROR(IFERROR(INDEX(Vöruskrá!K:K,MATCH(B206,Vöruskrá!B:B,0)),"")*C206/100000,""))</f>
        <v>0.03</v>
      </c>
      <c r="I206" s="24">
        <f>IF(OR(B206="",C206=""),"",IFERROR(IFERROR(INDEX(Vöruskrá!L:L,MATCH(B206,Vöruskrá!B:B,0)),"")*C206/100000,""))</f>
        <v>8.0999999999999996E-3</v>
      </c>
      <c r="J206" s="24">
        <f>IF(OR(B206="",C206=""),"",IFERROR(IFERROR(INDEX(Vöruskrá!M:M,MATCH(B206,Vöruskrá!B:B,0)),"")*C206/100000,""))</f>
        <v>0.192</v>
      </c>
      <c r="K206" s="24">
        <f>IF(OR(B206="",C206=""),"",IFERROR(IFERROR(INDEX(Vöruskrá!N:N,MATCH(B206,Vöruskrá!B:B,0)),"")*C206/100000,""))</f>
        <v>1.23E-2</v>
      </c>
      <c r="L206" s="24">
        <f>IF(OR(B206="",C206=""),"",IFERROR(IFERROR(INDEX(Vöruskrá!O:O,MATCH(B206,Vöruskrá!B:B,0)),"")*C206/100000,""))</f>
        <v>3.3000000000000002E-2</v>
      </c>
      <c r="M206" s="24">
        <f>IF(OR(B206="",C206=""),"",IFERROR(IFERROR(INDEX(Vöruskrá!P:P,MATCH(B206,Vöruskrá!B:B,0)),"")*C206/100000,""))</f>
        <v>0</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1053</v>
      </c>
      <c r="C207" s="28">
        <v>1600</v>
      </c>
      <c r="D207" s="23" t="s">
        <v>1054</v>
      </c>
      <c r="E207" s="23" t="s">
        <v>1055</v>
      </c>
      <c r="F207" s="23"/>
      <c r="G207" s="24">
        <f>IF(OR(B207="",C207=""),"",IFERROR(IFERROR(INDEX(Vöruskrá!J:J,MATCH(B207,Vöruskrá!B:B,0)),"")*C207/100000,""))</f>
        <v>0.32</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9.5999999999999992E-3</v>
      </c>
      <c r="K207" s="24">
        <f>IF(OR(B207="",C207=""),"",IFERROR(IFERROR(INDEX(Vöruskrá!N:N,MATCH(B207,Vöruskrá!B:B,0)),"")*C207/100000,""))</f>
        <v>6.4000000000000003E-3</v>
      </c>
      <c r="L207" s="24">
        <f>IF(OR(B207="",C207=""),"",IFERROR(IFERROR(INDEX(Vöruskrá!O:O,MATCH(B207,Vöruskrá!B:B,0)),"")*C207/100000,""))</f>
        <v>0</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6"/>
      <c r="Q207" s="28"/>
      <c r="R207" s="6"/>
    </row>
    <row r="208" spans="1:18" ht="15">
      <c r="A208" s="21"/>
      <c r="B208" s="21" t="s">
        <v>833</v>
      </c>
      <c r="C208" s="22">
        <v>800</v>
      </c>
      <c r="D208" s="23" t="s">
        <v>835</v>
      </c>
      <c r="E208" s="23"/>
      <c r="F208" s="23"/>
      <c r="G208" s="24">
        <f>IF(OR(B208="",C208=""),"",IFERROR(IFERROR(INDEX(Vöruskrá!J:J,MATCH(B208,Vöruskrá!B:B,0)),"")*C208/100000,""))</f>
        <v>0.248</v>
      </c>
      <c r="H208" s="24">
        <f>IF(OR(B208="",C208=""),"",IFERROR(IFERROR(INDEX(Vöruskrá!K:K,MATCH(B208,Vöruskrá!B:B,0)),"")*C208/100000,""))</f>
        <v>1.6000000000000001E-3</v>
      </c>
      <c r="I208" s="24">
        <f>IF(OR(B208="",C208=""),"",IFERROR(IFERROR(INDEX(Vöruskrá!L:L,MATCH(B208,Vöruskrá!B:B,0)),"")*C208/100000,""))</f>
        <v>0</v>
      </c>
      <c r="J208" s="24">
        <f>IF(OR(B208="",C208=""),"",IFERROR(IFERROR(INDEX(Vöruskrá!M:M,MATCH(B208,Vöruskrá!B:B,0)),"")*C208/100000,""))</f>
        <v>5.5199999999999999E-2</v>
      </c>
      <c r="K208" s="24">
        <f>IF(OR(B208="",C208=""),"",IFERROR(IFERROR(INDEX(Vöruskrá!N:N,MATCH(B208,Vöruskrá!B:B,0)),"")*C208/100000,""))</f>
        <v>1.9199999999999998E-2</v>
      </c>
      <c r="L208" s="24">
        <f>IF(OR(B208="",C208=""),"",IFERROR(IFERROR(INDEX(Vöruskrá!O:O,MATCH(B208,Vöruskrá!B:B,0)),"")*C208/100000,""))</f>
        <v>0</v>
      </c>
      <c r="M208" s="24">
        <f>IF(OR(B208="",C208=""),"",IFERROR(IFERROR(INDEX(Vöruskrá!P:P,MATCH(B208,Vöruskrá!B:B,0)),"")*C208/100000,""))</f>
        <v>0</v>
      </c>
      <c r="N208" s="24">
        <f>IF(OR(B208="",C208=""),"",IFERROR(IFERROR(INDEX(Vöruskrá!Q:Q,MATCH(B208,Vöruskrá!B:B,0)),"")*C208/100000,""))</f>
        <v>0</v>
      </c>
      <c r="O208" s="25">
        <f>IF(OR(B208="",C208=""),"",IFERROR(C208/1000*IFERROR(INDEX(Vöruskrá!R:R,MATCH(B208,Vöruskrá!B:B,0)),0)/1000,""))</f>
        <v>0</v>
      </c>
      <c r="P208" s="21"/>
      <c r="Q208" s="26"/>
      <c r="R208" s="27"/>
    </row>
    <row r="209" spans="1:18" ht="15">
      <c r="A209" s="6"/>
      <c r="B209" s="6" t="s">
        <v>1148</v>
      </c>
      <c r="C209" s="28">
        <v>150</v>
      </c>
      <c r="D209" s="23" t="s">
        <v>1149</v>
      </c>
      <c r="E209" s="23" t="s">
        <v>134</v>
      </c>
      <c r="F209" s="23" t="s">
        <v>311</v>
      </c>
      <c r="G209" s="24">
        <f>IF(OR(B209="",C209=""),"",IFERROR(IFERROR(INDEX(Vöruskrá!J:J,MATCH(B209,Vöruskrá!B:B,0)),"")*C209/100000,""))</f>
        <v>0.42299999999999999</v>
      </c>
      <c r="H209" s="24">
        <f>IF(OR(B209="",C209=""),"",IFERROR(IFERROR(INDEX(Vöruskrá!K:K,MATCH(B209,Vöruskrá!B:B,0)),"")*C209/100000,""))</f>
        <v>1.7999999999999999E-2</v>
      </c>
      <c r="I209" s="24">
        <f>IF(OR(B209="",C209=""),"",IFERROR(IFERROR(INDEX(Vöruskrá!L:L,MATCH(B209,Vöruskrá!B:B,0)),"")*C209/100000,""))</f>
        <v>3.0000000000000001E-3</v>
      </c>
      <c r="J209" s="24">
        <f>IF(OR(B209="",C209=""),"",IFERROR(IFERROR(INDEX(Vöruskrá!M:M,MATCH(B209,Vöruskrá!B:B,0)),"")*C209/100000,""))</f>
        <v>7.4999999999999997E-2</v>
      </c>
      <c r="K209" s="24">
        <f>IF(OR(B209="",C209=""),"",IFERROR(IFERROR(INDEX(Vöruskrá!N:N,MATCH(B209,Vöruskrá!B:B,0)),"")*C209/100000,""))</f>
        <v>1.4999999999999999E-2</v>
      </c>
      <c r="L209" s="24">
        <f>IF(OR(B209="",C209=""),"",IFERROR(IFERROR(INDEX(Vöruskrá!O:O,MATCH(B209,Vöruskrá!B:B,0)),"")*C209/100000,""))</f>
        <v>2.1000000000000001E-2</v>
      </c>
      <c r="M209" s="24">
        <f>IF(OR(B209="",C209=""),"",IFERROR(IFERROR(INDEX(Vöruskrá!P:P,MATCH(B209,Vöruskrá!B:B,0)),"")*C209/100000,""))</f>
        <v>1.4999999999999999E-4</v>
      </c>
      <c r="N209" s="24">
        <f>IF(OR(B209="",C209=""),"",IFERROR(IFERROR(INDEX(Vöruskrá!Q:Q,MATCH(B209,Vöruskrá!B:B,0)),"")*C209/100000,""))</f>
        <v>5.2499999999999998E-2</v>
      </c>
      <c r="O209" s="25">
        <f>IF(OR(B209="",C209=""),"",IFERROR(C209/1000*IFERROR(INDEX(Vöruskrá!R:R,MATCH(B209,Vöruskrá!B:B,0)),0)/1000,""))</f>
        <v>0</v>
      </c>
      <c r="P209" s="6"/>
      <c r="Q209" s="28"/>
      <c r="R209" s="6"/>
    </row>
    <row r="210" spans="1:18" ht="15">
      <c r="A210" s="21"/>
      <c r="B210" s="21" t="s">
        <v>1153</v>
      </c>
      <c r="C210" s="22">
        <v>200</v>
      </c>
      <c r="D210" s="23" t="s">
        <v>1154</v>
      </c>
      <c r="E210" s="23" t="s">
        <v>134</v>
      </c>
      <c r="F210" s="23"/>
      <c r="G210" s="24">
        <f>IF(OR(B210="",C210=""),"",IFERROR(IFERROR(INDEX(Vöruskrá!J:J,MATCH(B210,Vöruskrá!B:B,0)),"")*C210/100000,""))</f>
        <v>0.56399999999999995</v>
      </c>
      <c r="H210" s="24">
        <f>IF(OR(B210="",C210=""),"",IFERROR(IFERROR(INDEX(Vöruskrá!K:K,MATCH(B210,Vöruskrá!B:B,0)),"")*C210/100000,""))</f>
        <v>2.5999999999999999E-2</v>
      </c>
      <c r="I210" s="24">
        <f>IF(OR(B210="",C210=""),"",IFERROR(IFERROR(INDEX(Vöruskrá!L:L,MATCH(B210,Vöruskrá!B:B,0)),"")*C210/100000,""))</f>
        <v>4.0000000000000001E-3</v>
      </c>
      <c r="J210" s="24">
        <f>IF(OR(B210="",C210=""),"",IFERROR(IFERROR(INDEX(Vöruskrá!M:M,MATCH(B210,Vöruskrá!B:B,0)),"")*C210/100000,""))</f>
        <v>0.108</v>
      </c>
      <c r="K210" s="24">
        <f>IF(OR(B210="",C210=""),"",IFERROR(IFERROR(INDEX(Vöruskrá!N:N,MATCH(B210,Vöruskrá!B:B,0)),"")*C210/100000,""))</f>
        <v>0.02</v>
      </c>
      <c r="L210" s="24">
        <f>IF(OR(B210="",C210=""),"",IFERROR(IFERROR(INDEX(Vöruskrá!O:O,MATCH(B210,Vöruskrá!B:B,0)),"")*C210/100000,""))</f>
        <v>2.8000000000000001E-2</v>
      </c>
      <c r="M210" s="24">
        <f>IF(OR(B210="",C210=""),"",IFERROR(IFERROR(INDEX(Vöruskrá!P:P,MATCH(B210,Vöruskrá!B:B,0)),"")*C210/100000,""))</f>
        <v>2.0000000000000001E-4</v>
      </c>
      <c r="N210" s="24">
        <f>IF(OR(B210="",C210=""),"",IFERROR(IFERROR(INDEX(Vöruskrá!Q:Q,MATCH(B210,Vöruskrá!B:B,0)),"")*C210/100000,""))</f>
        <v>7.0000000000000007E-2</v>
      </c>
      <c r="O210" s="25">
        <f>IF(OR(B210="",C210=""),"",IFERROR(C210/1000*IFERROR(INDEX(Vöruskrá!R:R,MATCH(B210,Vöruskrá!B:B,0)),0)/1000,""))</f>
        <v>0</v>
      </c>
      <c r="P210" s="21"/>
      <c r="Q210" s="26"/>
      <c r="R210" s="27"/>
    </row>
    <row r="211" spans="1:18" ht="15">
      <c r="A211" s="6"/>
      <c r="B211" s="6" t="s">
        <v>299</v>
      </c>
      <c r="C211" s="28">
        <v>990</v>
      </c>
      <c r="D211" s="23" t="s">
        <v>302</v>
      </c>
      <c r="E211" s="23" t="s">
        <v>134</v>
      </c>
      <c r="F211" s="23" t="s">
        <v>303</v>
      </c>
      <c r="G211" s="24">
        <f>IF(OR(B211="",C211=""),"",IFERROR(IFERROR(INDEX(Vöruskrá!J:J,MATCH(B211,Vöruskrá!B:B,0)),"")*C211/100000,""))</f>
        <v>0</v>
      </c>
      <c r="H211" s="24">
        <f>IF(OR(B211="",C211=""),"",IFERROR(IFERROR(INDEX(Vöruskrá!K:K,MATCH(B211,Vöruskrá!B:B,0)),"")*C211/100000,""))</f>
        <v>0</v>
      </c>
      <c r="I211" s="24">
        <f>IF(OR(B211="",C211=""),"",IFERROR(IFERROR(INDEX(Vöruskrá!L:L,MATCH(B211,Vöruskrá!B:B,0)),"")*C211/100000,""))</f>
        <v>0</v>
      </c>
      <c r="J211" s="24">
        <f>IF(OR(B211="",C211=""),"",IFERROR(IFERROR(INDEX(Vöruskrá!M:M,MATCH(B211,Vöruskrá!B:B,0)),"")*C211/100000,""))</f>
        <v>0</v>
      </c>
      <c r="K211" s="24">
        <f>IF(OR(B211="",C211=""),"",IFERROR(IFERROR(INDEX(Vöruskrá!N:N,MATCH(B211,Vöruskrá!B:B,0)),"")*C211/100000,""))</f>
        <v>0</v>
      </c>
      <c r="L211" s="24">
        <f>IF(OR(B211="",C211=""),"",IFERROR(IFERROR(INDEX(Vöruskrá!O:O,MATCH(B211,Vöruskrá!B:B,0)),"")*C211/100000,""))</f>
        <v>0</v>
      </c>
      <c r="M211" s="24">
        <f>IF(OR(B211="",C211=""),"",IFERROR(IFERROR(INDEX(Vöruskrá!P:P,MATCH(B211,Vöruskrá!B:B,0)),"")*C211/100000,""))</f>
        <v>0.99</v>
      </c>
      <c r="N211" s="24">
        <f>IF(OR(B211="",C211=""),"",IFERROR(IFERROR(INDEX(Vöruskrá!Q:Q,MATCH(B211,Vöruskrá!B:B,0)),"")*C211/100000,""))</f>
        <v>0</v>
      </c>
      <c r="O211" s="25">
        <f>IF(OR(B211="",C211=""),"",IFERROR(C211/1000*IFERROR(INDEX(Vöruskrá!R:R,MATCH(B211,Vöruskrá!B:B,0)),0)/1000,""))</f>
        <v>0</v>
      </c>
      <c r="P211" s="6"/>
      <c r="Q211" s="28"/>
      <c r="R211" s="6"/>
    </row>
    <row r="212" spans="1:18" ht="15">
      <c r="A212" s="21"/>
      <c r="B212" s="21" t="s">
        <v>819</v>
      </c>
      <c r="C212" s="22">
        <v>160</v>
      </c>
      <c r="D212" s="23" t="s">
        <v>820</v>
      </c>
      <c r="E212" s="23"/>
      <c r="F212" s="23" t="s">
        <v>311</v>
      </c>
      <c r="G212" s="24">
        <f>IF(OR(B212="",C212=""),"",IFERROR(IFERROR(INDEX(Vöruskrá!J:J,MATCH(B212,Vöruskrá!B:B,0)),"")*C212/100000,""))</f>
        <v>0.61760000000000004</v>
      </c>
      <c r="H212" s="24">
        <f>IF(OR(B212="",C212=""),"",IFERROR(IFERROR(INDEX(Vöruskrá!K:K,MATCH(B212,Vöruskrá!B:B,0)),"")*C212/100000,""))</f>
        <v>5.28E-3</v>
      </c>
      <c r="I212" s="24">
        <f>IF(OR(B212="",C212=""),"",IFERROR(IFERROR(INDEX(Vöruskrá!L:L,MATCH(B212,Vöruskrá!B:B,0)),"")*C212/100000,""))</f>
        <v>1.6000000000000001E-3</v>
      </c>
      <c r="J212" s="24">
        <f>IF(OR(B212="",C212=""),"",IFERROR(IFERROR(INDEX(Vöruskrá!M:M,MATCH(B212,Vöruskrá!B:B,0)),"")*C212/100000,""))</f>
        <v>0.104</v>
      </c>
      <c r="K212" s="24">
        <f>IF(OR(B212="",C212=""),"",IFERROR(IFERROR(INDEX(Vöruskrá!N:N,MATCH(B212,Vöruskrá!B:B,0)),"")*C212/100000,""))</f>
        <v>9.6000000000000002E-4</v>
      </c>
      <c r="L212" s="24">
        <f>IF(OR(B212="",C212=""),"",IFERROR(IFERROR(INDEX(Vöruskrá!O:O,MATCH(B212,Vöruskrá!B:B,0)),"")*C212/100000,""))</f>
        <v>1.7600000000000001E-2</v>
      </c>
      <c r="M212" s="24">
        <f>IF(OR(B212="",C212=""),"",IFERROR(IFERROR(INDEX(Vöruskrá!P:P,MATCH(B212,Vöruskrá!B:B,0)),"")*C212/100000,""))</f>
        <v>1.6000000000000001E-4</v>
      </c>
      <c r="N212" s="24">
        <f>IF(OR(B212="",C212=""),"",IFERROR(IFERROR(INDEX(Vöruskrá!Q:Q,MATCH(B212,Vöruskrá!B:B,0)),"")*C212/100000,""))</f>
        <v>0</v>
      </c>
      <c r="O212" s="25">
        <f>IF(OR(B212="",C212=""),"",IFERROR(C212/1000*IFERROR(INDEX(Vöruskrá!R:R,MATCH(B212,Vöruskrá!B:B,0)),0)/1000,""))</f>
        <v>0</v>
      </c>
      <c r="P212" s="21"/>
      <c r="Q212" s="26"/>
      <c r="R212" s="27"/>
    </row>
    <row r="213" spans="1:18" ht="60">
      <c r="A213" s="147" t="s">
        <v>1614</v>
      </c>
      <c r="B213" s="147"/>
      <c r="C213" s="148"/>
      <c r="D213" s="147" t="s">
        <v>1615</v>
      </c>
      <c r="E213" s="147" t="s">
        <v>1616</v>
      </c>
      <c r="F213" s="147"/>
      <c r="G213" s="149">
        <v>107.82</v>
      </c>
      <c r="H213" s="149">
        <v>6.23</v>
      </c>
      <c r="I213" s="149">
        <v>1.36</v>
      </c>
      <c r="J213" s="149">
        <v>5.91</v>
      </c>
      <c r="K213" s="149"/>
      <c r="L213" s="149">
        <v>8.26</v>
      </c>
      <c r="M213" s="149">
        <v>1.01</v>
      </c>
      <c r="N213" s="149">
        <f>IFERROR(SUM(N214:N230)/(SUM($C$214:$C$230)/100000),"")</f>
        <v>0.54430999999999996</v>
      </c>
      <c r="O213" s="150" t="str">
        <f>IF(OR(B213="",C213=""),"",IFERROR(C213/1000*IFERROR(INDEX(Vöruskrá!R:R,MATCH(B213,Vöruskrá!B:B,0)),0)/1000,""))</f>
        <v/>
      </c>
      <c r="P213" s="147" t="s">
        <v>1617</v>
      </c>
      <c r="Q213" s="28" t="s">
        <v>1618</v>
      </c>
      <c r="R213" s="6" t="s">
        <v>1619</v>
      </c>
    </row>
    <row r="214" spans="1:18" ht="15">
      <c r="A214" s="21"/>
      <c r="B214" s="21" t="s">
        <v>1111</v>
      </c>
      <c r="C214" s="22">
        <v>37500</v>
      </c>
      <c r="D214" s="23" t="s">
        <v>1112</v>
      </c>
      <c r="E214" s="23" t="s">
        <v>1099</v>
      </c>
      <c r="F214" s="23" t="s">
        <v>1113</v>
      </c>
      <c r="G214" s="24">
        <f>IF(OR(B214="",C214=""),"",IFERROR(IFERROR(INDEX(Vöruskrá!J:J,MATCH(B214,Vöruskrá!B:B,0)),"")*C214/100000,""))</f>
        <v>67.125</v>
      </c>
      <c r="H214" s="24">
        <f>IF(OR(B214="",C214=""),"",IFERROR(IFERROR(INDEX(Vöruskrá!K:K,MATCH(B214,Vöruskrá!B:B,0)),"")*C214/100000,""))</f>
        <v>4.125</v>
      </c>
      <c r="I214" s="24">
        <f>IF(OR(B214="",C214=""),"",IFERROR(IFERROR(INDEX(Vöruskrá!L:L,MATCH(B214,Vöruskrá!B:B,0)),"")*C214/100000,""))</f>
        <v>1.1625000000000001</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7.5</v>
      </c>
      <c r="M214" s="24">
        <f>IF(OR(B214="",C214=""),"",IFERROR(IFERROR(INDEX(Vöruskrá!P:P,MATCH(B214,Vöruskrá!B:B,0)),"")*C214/100000,""))</f>
        <v>7.4999999999999997E-2</v>
      </c>
      <c r="N214" s="24">
        <f>IF(OR(B214="",C214=""),"",IFERROR(IFERROR(INDEX(Vöruskrá!Q:Q,MATCH(B214,Vöruskrá!B:B,0)),"")*C214/100000,""))</f>
        <v>0</v>
      </c>
      <c r="O214" s="25">
        <f>IF(OR(B214="",C214=""),"",IFERROR(C214/1000*IFERROR(INDEX(Vöruskrá!R:R,MATCH(B214,Vöruskrá!B:B,0)),0)/1000,""))</f>
        <v>0</v>
      </c>
      <c r="P214" s="21"/>
      <c r="Q214" s="26"/>
      <c r="R214" s="27"/>
    </row>
    <row r="215" spans="1:18" ht="15">
      <c r="A215" s="21"/>
      <c r="B215" s="21" t="s">
        <v>743</v>
      </c>
      <c r="C215" s="22">
        <v>15000</v>
      </c>
      <c r="D215" s="23" t="s">
        <v>745</v>
      </c>
      <c r="E215" s="23"/>
      <c r="F215" s="23"/>
      <c r="G215" s="24">
        <f>IF(OR(B215="",C215=""),"",IFERROR(IFERROR(INDEX(Vöruskrá!J:J,MATCH(B215,Vöruskrá!B:B,0)),"")*C215/100000,""))</f>
        <v>4.2</v>
      </c>
      <c r="H215" s="24">
        <f>IF(OR(B215="",C215=""),"",IFERROR(IFERROR(INDEX(Vöruskrá!K:K,MATCH(B215,Vöruskrá!B:B,0)),"")*C215/100000,""))</f>
        <v>1.4999999999999999E-2</v>
      </c>
      <c r="I215" s="24">
        <f>IF(OR(B215="",C215=""),"",IFERROR(IFERROR(INDEX(Vöruskrá!L:L,MATCH(B215,Vöruskrá!B:B,0)),"")*C215/100000,""))</f>
        <v>0</v>
      </c>
      <c r="J215" s="24">
        <f>IF(OR(B215="",C215=""),"",IFERROR(IFERROR(INDEX(Vöruskrá!M:M,MATCH(B215,Vöruskrá!B:B,0)),"")*C215/100000,""))</f>
        <v>0.75</v>
      </c>
      <c r="K215" s="24">
        <f>IF(OR(B215="",C215=""),"",IFERROR(IFERROR(INDEX(Vöruskrá!N:N,MATCH(B215,Vöruskrá!B:B,0)),"")*C215/100000,""))</f>
        <v>0.51</v>
      </c>
      <c r="L215" s="24">
        <f>IF(OR(B215="",C215=""),"",IFERROR(IFERROR(INDEX(Vöruskrá!O:O,MATCH(B215,Vöruskrá!B:B,0)),"")*C215/100000,""))</f>
        <v>0.22500000000000001</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1006</v>
      </c>
      <c r="C216" s="28">
        <v>10000</v>
      </c>
      <c r="D216" s="23" t="s">
        <v>1006</v>
      </c>
      <c r="E216" s="23" t="s">
        <v>134</v>
      </c>
      <c r="F216" s="23"/>
      <c r="G216" s="24">
        <f>IF(OR(B216="",C216=""),"",IFERROR(IFERROR(INDEX(Vöruskrá!J:J,MATCH(B216,Vöruskrá!B:B,0)),"")*C216/100000,""))</f>
        <v>4.0999999999999996</v>
      </c>
      <c r="H216" s="24">
        <f>IF(OR(B216="",C216=""),"",IFERROR(IFERROR(INDEX(Vöruskrá!K:K,MATCH(B216,Vöruskrá!B:B,0)),"")*C216/100000,""))</f>
        <v>0.02</v>
      </c>
      <c r="I216" s="24">
        <f>IF(OR(B216="",C216=""),"",IFERROR(IFERROR(INDEX(Vöruskrá!L:L,MATCH(B216,Vöruskrá!B:B,0)),"")*C216/100000,""))</f>
        <v>0</v>
      </c>
      <c r="J216" s="24">
        <f>IF(OR(B216="",C216=""),"",IFERROR(IFERROR(INDEX(Vöruskrá!M:M,MATCH(B216,Vöruskrá!B:B,0)),"")*C216/100000,""))</f>
        <v>0.96</v>
      </c>
      <c r="K216" s="24">
        <f>IF(OR(B216="",C216=""),"",IFERROR(IFERROR(INDEX(Vöruskrá!N:N,MATCH(B216,Vöruskrá!B:B,0)),"")*C216/100000,""))</f>
        <v>0.47</v>
      </c>
      <c r="L216" s="24">
        <f>IF(OR(B216="",C216=""),"",IFERROR(IFERROR(INDEX(Vöruskrá!O:O,MATCH(B216,Vöruskrá!B:B,0)),"")*C216/100000,""))</f>
        <v>0.09</v>
      </c>
      <c r="M216" s="24">
        <f>IF(OR(B216="",C216=""),"",IFERROR(IFERROR(INDEX(Vöruskrá!P:P,MATCH(B216,Vöruskrá!B:B,0)),"")*C216/100000,""))</f>
        <v>0.01</v>
      </c>
      <c r="N216" s="24">
        <f>IF(OR(B216="",C216=""),"",IFERROR(IFERROR(INDEX(Vöruskrá!Q:Q,MATCH(B216,Vöruskrá!B:B,0)),"")*C216/100000,""))</f>
        <v>0.28000000000000003</v>
      </c>
      <c r="O216" s="25">
        <f>IF(OR(B216="",C216=""),"",IFERROR(C216/1000*IFERROR(INDEX(Vöruskrá!R:R,MATCH(B216,Vöruskrá!B:B,0)),0)/1000,""))</f>
        <v>0</v>
      </c>
      <c r="P216" s="6"/>
      <c r="Q216" s="28"/>
      <c r="R216" s="6"/>
    </row>
    <row r="217" spans="1:18" ht="15">
      <c r="A217" s="21"/>
      <c r="B217" s="21" t="s">
        <v>1010</v>
      </c>
      <c r="C217" s="22">
        <v>7500</v>
      </c>
      <c r="D217" s="23" t="s">
        <v>1010</v>
      </c>
      <c r="E217" s="23" t="s">
        <v>134</v>
      </c>
      <c r="F217" s="23"/>
      <c r="G217" s="24">
        <f>IF(OR(B217="",C217=""),"",IFERROR(IFERROR(INDEX(Vöruskrá!J:J,MATCH(B217,Vöruskrá!B:B,0)),"")*C217/100000,""))</f>
        <v>3</v>
      </c>
      <c r="H217" s="24">
        <f>IF(OR(B217="",C217=""),"",IFERROR(IFERROR(INDEX(Vöruskrá!K:K,MATCH(B217,Vöruskrá!B:B,0)),"")*C217/100000,""))</f>
        <v>7.4999999999999997E-3</v>
      </c>
      <c r="I217" s="24">
        <f>IF(OR(B217="",C217=""),"",IFERROR(IFERROR(INDEX(Vöruskrá!L:L,MATCH(B217,Vöruskrá!B:B,0)),"")*C217/100000,""))</f>
        <v>0</v>
      </c>
      <c r="J217" s="24">
        <f>IF(OR(B217="",C217=""),"",IFERROR(IFERROR(INDEX(Vöruskrá!M:M,MATCH(B217,Vöruskrá!B:B,0)),"")*C217/100000,""))</f>
        <v>0.69750000000000001</v>
      </c>
      <c r="K217" s="24">
        <f>IF(OR(B217="",C217=""),"",IFERROR(IFERROR(INDEX(Vöruskrá!N:N,MATCH(B217,Vöruskrá!B:B,0)),"")*C217/100000,""))</f>
        <v>0.315</v>
      </c>
      <c r="L217" s="24">
        <f>IF(OR(B217="",C217=""),"",IFERROR(IFERROR(INDEX(Vöruskrá!O:O,MATCH(B217,Vöruskrá!B:B,0)),"")*C217/100000,""))</f>
        <v>8.2500000000000004E-2</v>
      </c>
      <c r="M217" s="24">
        <f>IF(OR(B217="",C217=""),"",IFERROR(IFERROR(INDEX(Vöruskrá!P:P,MATCH(B217,Vöruskrá!B:B,0)),"")*C217/100000,""))</f>
        <v>0</v>
      </c>
      <c r="N217" s="24">
        <f>IF(OR(B217="",C217=""),"",IFERROR(IFERROR(INDEX(Vöruskrá!Q:Q,MATCH(B217,Vöruskrá!B:B,0)),"")*C217/100000,""))</f>
        <v>0.1275</v>
      </c>
      <c r="O217" s="25">
        <f>IF(OR(B217="",C217=""),"",IFERROR(C217/1000*IFERROR(INDEX(Vöruskrá!R:R,MATCH(B217,Vöruskrá!B:B,0)),0)/1000,""))</f>
        <v>0</v>
      </c>
      <c r="P217" s="21"/>
      <c r="Q217" s="26"/>
      <c r="R217" s="27"/>
    </row>
    <row r="218" spans="1:18" ht="15">
      <c r="A218" s="6"/>
      <c r="B218" s="6" t="s">
        <v>1012</v>
      </c>
      <c r="C218" s="28">
        <v>2500</v>
      </c>
      <c r="D218" s="23" t="s">
        <v>1012</v>
      </c>
      <c r="E218" s="23" t="s">
        <v>134</v>
      </c>
      <c r="F218" s="23"/>
      <c r="G218" s="24">
        <f>IF(OR(B218="",C218=""),"",IFERROR(IFERROR(INDEX(Vöruskrá!J:J,MATCH(B218,Vöruskrá!B:B,0)),"")*C218/100000,""))</f>
        <v>1.5249999999999999</v>
      </c>
      <c r="H218" s="24">
        <f>IF(OR(B218="",C218=""),"",IFERROR(IFERROR(INDEX(Vöruskrá!K:K,MATCH(B218,Vöruskrá!B:B,0)),"")*C218/100000,""))</f>
        <v>7.4999999999999997E-3</v>
      </c>
      <c r="I218" s="24">
        <f>IF(OR(B218="",C218=""),"",IFERROR(IFERROR(INDEX(Vöruskrá!L:L,MATCH(B218,Vöruskrá!B:B,0)),"")*C218/100000,""))</f>
        <v>0</v>
      </c>
      <c r="J218" s="24">
        <f>IF(OR(B218="",C218=""),"",IFERROR(IFERROR(INDEX(Vöruskrá!M:M,MATCH(B218,Vöruskrá!B:B,0)),"")*C218/100000,""))</f>
        <v>0.35499999999999998</v>
      </c>
      <c r="K218" s="24">
        <f>IF(OR(B218="",C218=""),"",IFERROR(IFERROR(INDEX(Vöruskrá!N:N,MATCH(B218,Vöruskrá!B:B,0)),"")*C218/100000,""))</f>
        <v>9.7500000000000003E-2</v>
      </c>
      <c r="L218" s="24">
        <f>IF(OR(B218="",C218=""),"",IFERROR(IFERROR(INDEX(Vöruskrá!O:O,MATCH(B218,Vöruskrá!B:B,0)),"")*C218/100000,""))</f>
        <v>3.7499999999999999E-2</v>
      </c>
      <c r="M218" s="24">
        <f>IF(OR(B218="",C218=""),"",IFERROR(IFERROR(INDEX(Vöruskrá!P:P,MATCH(B218,Vöruskrá!B:B,0)),"")*C218/100000,""))</f>
        <v>0</v>
      </c>
      <c r="N218" s="24">
        <f>IF(OR(B218="",C218=""),"",IFERROR(IFERROR(INDEX(Vöruskrá!Q:Q,MATCH(B218,Vöruskrá!B:B,0)),"")*C218/100000,""))</f>
        <v>4.4999999999999998E-2</v>
      </c>
      <c r="O218" s="25">
        <f>IF(OR(B218="",C218=""),"",IFERROR(C218/1000*IFERROR(INDEX(Vöruskrá!R:R,MATCH(B218,Vöruskrá!B:B,0)),0)/1000,""))</f>
        <v>0</v>
      </c>
      <c r="P218" s="6"/>
      <c r="Q218" s="28"/>
      <c r="R218" s="6"/>
    </row>
    <row r="219" spans="1:18" ht="15">
      <c r="A219" s="21"/>
      <c r="B219" s="21" t="s">
        <v>252</v>
      </c>
      <c r="C219" s="22">
        <v>2500</v>
      </c>
      <c r="D219" s="23" t="s">
        <v>1014</v>
      </c>
      <c r="E219" s="23" t="s">
        <v>252</v>
      </c>
      <c r="F219" s="23"/>
      <c r="G219" s="24">
        <f>IF(OR(B219="",C219=""),"",IFERROR(IFERROR(INDEX(Vöruskrá!J:J,MATCH(B219,Vöruskrá!B:B,0)),"")*C219/100000,""))</f>
        <v>0.4</v>
      </c>
      <c r="H219" s="24">
        <f>IF(OR(B219="",C219=""),"",IFERROR(IFERROR(INDEX(Vöruskrá!K:K,MATCH(B219,Vöruskrá!B:B,0)),"")*C219/100000,""))</f>
        <v>5.0000000000000001E-3</v>
      </c>
      <c r="I219" s="24">
        <f>IF(OR(B219="",C219=""),"",IFERROR(IFERROR(INDEX(Vöruskrá!L:L,MATCH(B219,Vöruskrá!B:B,0)),"")*C219/100000,""))</f>
        <v>0</v>
      </c>
      <c r="J219" s="24">
        <f>IF(OR(B219="",C219=""),"",IFERROR(IFERROR(INDEX(Vöruskrá!M:M,MATCH(B219,Vöruskrá!B:B,0)),"")*C219/100000,""))</f>
        <v>7.4999999999999997E-2</v>
      </c>
      <c r="K219" s="24">
        <f>IF(OR(B219="",C219=""),"",IFERROR(IFERROR(INDEX(Vöruskrá!N:N,MATCH(B219,Vöruskrá!B:B,0)),"")*C219/100000,""))</f>
        <v>3.2500000000000001E-2</v>
      </c>
      <c r="L219" s="24">
        <f>IF(OR(B219="",C219=""),"",IFERROR(IFERROR(INDEX(Vöruskrá!O:O,MATCH(B219,Vöruskrá!B:B,0)),"")*C219/100000,""))</f>
        <v>1.7500000000000002E-2</v>
      </c>
      <c r="M219" s="24">
        <f>IF(OR(B219="",C219=""),"",IFERROR(IFERROR(INDEX(Vöruskrá!P:P,MATCH(B219,Vöruskrá!B:B,0)),"")*C219/100000,""))</f>
        <v>2.5000000000000001E-3</v>
      </c>
      <c r="N219" s="24">
        <f>IF(OR(B219="",C219=""),"",IFERROR(IFERROR(INDEX(Vöruskrá!Q:Q,MATCH(B219,Vöruskrá!B:B,0)),"")*C219/100000,""))</f>
        <v>0.04</v>
      </c>
      <c r="O219" s="25">
        <f>IF(OR(B219="",C219=""),"",IFERROR(C219/1000*IFERROR(INDEX(Vöruskrá!R:R,MATCH(B219,Vöruskrá!B:B,0)),0)/1000,""))</f>
        <v>0</v>
      </c>
      <c r="P219" s="21"/>
      <c r="Q219" s="26"/>
      <c r="R219" s="27"/>
    </row>
    <row r="220" spans="1:18" ht="15">
      <c r="A220" s="6"/>
      <c r="B220" s="6" t="s">
        <v>1017</v>
      </c>
      <c r="C220" s="28">
        <v>630</v>
      </c>
      <c r="D220" s="23" t="s">
        <v>1017</v>
      </c>
      <c r="E220" s="23" t="s">
        <v>134</v>
      </c>
      <c r="F220" s="23"/>
      <c r="G220" s="24">
        <f>IF(OR(B220="",C220=""),"",IFERROR(IFERROR(INDEX(Vöruskrá!J:J,MATCH(B220,Vöruskrá!B:B,0)),"")*C220/100000,""))</f>
        <v>0.93869999999999998</v>
      </c>
      <c r="H220" s="24">
        <f>IF(OR(B220="",C220=""),"",IFERROR(IFERROR(INDEX(Vöruskrá!K:K,MATCH(B220,Vöruskrá!B:B,0)),"")*C220/100000,""))</f>
        <v>3.15E-3</v>
      </c>
      <c r="I220" s="24">
        <f>IF(OR(B220="",C220=""),"",IFERROR(IFERROR(INDEX(Vöruskrá!L:L,MATCH(B220,Vöruskrá!B:B,0)),"")*C220/100000,""))</f>
        <v>6.3000000000000003E-4</v>
      </c>
      <c r="J220" s="24">
        <f>IF(OR(B220="",C220=""),"",IFERROR(IFERROR(INDEX(Vöruskrá!M:M,MATCH(B220,Vöruskrá!B:B,0)),"")*C220/100000,""))</f>
        <v>0.20852999999999999</v>
      </c>
      <c r="K220" s="24">
        <f>IF(OR(B220="",C220=""),"",IFERROR(IFERROR(INDEX(Vöruskrá!N:N,MATCH(B220,Vöruskrá!B:B,0)),"")*C220/100000,""))</f>
        <v>6.3E-3</v>
      </c>
      <c r="L220" s="24">
        <f>IF(OR(B220="",C220=""),"",IFERROR(IFERROR(INDEX(Vöruskrá!O:O,MATCH(B220,Vöruskrá!B:B,0)),"")*C220/100000,""))</f>
        <v>4.0320000000000002E-2</v>
      </c>
      <c r="M220" s="24">
        <f>IF(OR(B220="",C220=""),"",IFERROR(IFERROR(INDEX(Vöruskrá!P:P,MATCH(B220,Vöruskrá!B:B,0)),"")*C220/100000,""))</f>
        <v>0</v>
      </c>
      <c r="N220" s="24">
        <f>IF(OR(B220="",C220=""),"",IFERROR(IFERROR(INDEX(Vöruskrá!Q:Q,MATCH(B220,Vöruskrá!B:B,0)),"")*C220/100000,""))</f>
        <v>1.323E-2</v>
      </c>
      <c r="O220" s="25">
        <f>IF(OR(B220="",C220=""),"",IFERROR(C220/1000*IFERROR(INDEX(Vöruskrá!R:R,MATCH(B220,Vöruskrá!B:B,0)),0)/1000,""))</f>
        <v>0</v>
      </c>
      <c r="P220" s="6"/>
      <c r="Q220" s="28"/>
      <c r="R220" s="6"/>
    </row>
    <row r="221" spans="1:18" ht="15">
      <c r="A221" s="21"/>
      <c r="B221" s="21" t="s">
        <v>504</v>
      </c>
      <c r="C221" s="22">
        <v>2500</v>
      </c>
      <c r="D221" s="23" t="s">
        <v>500</v>
      </c>
      <c r="E221" s="23" t="s">
        <v>134</v>
      </c>
      <c r="F221" s="23"/>
      <c r="G221" s="24">
        <f>IF(OR(B221="",C221=""),"",IFERROR(IFERROR(INDEX(Vöruskrá!J:J,MATCH(B221,Vöruskrá!B:B,0)),"")*C221/100000,""))</f>
        <v>2.8250000000000002</v>
      </c>
      <c r="H221" s="24">
        <f>IF(OR(B221="",C221=""),"",IFERROR(IFERROR(INDEX(Vöruskrá!K:K,MATCH(B221,Vöruskrá!B:B,0)),"")*C221/100000,""))</f>
        <v>0.01</v>
      </c>
      <c r="I221" s="24">
        <f>IF(OR(B221="",C221=""),"",IFERROR(IFERROR(INDEX(Vöruskrá!L:L,MATCH(B221,Vöruskrá!B:B,0)),"")*C221/100000,""))</f>
        <v>0</v>
      </c>
      <c r="J221" s="24">
        <f>IF(OR(B221="",C221=""),"",IFERROR(IFERROR(INDEX(Vöruskrá!M:M,MATCH(B221,Vöruskrá!B:B,0)),"")*C221/100000,""))</f>
        <v>0.47499999999999998</v>
      </c>
      <c r="K221" s="24">
        <f>IF(OR(B221="",C221=""),"",IFERROR(IFERROR(INDEX(Vöruskrá!N:N,MATCH(B221,Vöruskrá!B:B,0)),"")*C221/100000,""))</f>
        <v>0.35</v>
      </c>
      <c r="L221" s="24">
        <f>IF(OR(B221="",C221=""),"",IFERROR(IFERROR(INDEX(Vöruskrá!O:O,MATCH(B221,Vöruskrá!B:B,0)),"")*C221/100000,""))</f>
        <v>0.15</v>
      </c>
      <c r="M221" s="24">
        <f>IF(OR(B221="",C221=""),"",IFERROR(IFERROR(INDEX(Vöruskrá!P:P,MATCH(B221,Vöruskrá!B:B,0)),"")*C221/100000,""))</f>
        <v>2.5000000000000001E-3</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789</v>
      </c>
      <c r="C222" s="28">
        <v>1500</v>
      </c>
      <c r="D222" s="23" t="s">
        <v>792</v>
      </c>
      <c r="E222" s="23" t="s">
        <v>134</v>
      </c>
      <c r="F222" s="23"/>
      <c r="G222" s="24">
        <f>IF(OR(B222="",C222=""),"",IFERROR(IFERROR(INDEX(Vöruskrá!J:J,MATCH(B222,Vöruskrá!B:B,0)),"")*C222/100000,""))</f>
        <v>5.415</v>
      </c>
      <c r="H222" s="24">
        <f>IF(OR(B222="",C222=""),"",IFERROR(IFERROR(INDEX(Vöruskrá!K:K,MATCH(B222,Vöruskrá!B:B,0)),"")*C222/100000,""))</f>
        <v>0.129</v>
      </c>
      <c r="I222" s="24">
        <f>IF(OR(B222="",C222=""),"",IFERROR(IFERROR(INDEX(Vöruskrá!L:L,MATCH(B222,Vöruskrá!B:B,0)),"")*C222/100000,""))</f>
        <v>5.3999999999999999E-2</v>
      </c>
      <c r="J222" s="24">
        <f>IF(OR(B222="",C222=""),"",IFERROR(IFERROR(INDEX(Vöruskrá!M:M,MATCH(B222,Vöruskrá!B:B,0)),"")*C222/100000,""))</f>
        <v>0.97950000000000004</v>
      </c>
      <c r="K222" s="24">
        <f>IF(OR(B222="",C222=""),"",IFERROR(IFERROR(INDEX(Vöruskrá!N:N,MATCH(B222,Vöruskrá!B:B,0)),"")*C222/100000,""))</f>
        <v>0.06</v>
      </c>
      <c r="L222" s="24">
        <f>IF(OR(B222="",C222=""),"",IFERROR(IFERROR(INDEX(Vöruskrá!O:O,MATCH(B222,Vöruskrá!B:B,0)),"")*C222/100000,""))</f>
        <v>8.4000000000000005E-2</v>
      </c>
      <c r="M222" s="24">
        <f>IF(OR(B222="",C222=""),"",IFERROR(IFERROR(INDEX(Vöruskrá!P:P,MATCH(B222,Vöruskrá!B:B,0)),"")*C222/100000,""))</f>
        <v>0.16950000000000001</v>
      </c>
      <c r="N222" s="24">
        <f>IF(OR(B222="",C222=""),"",IFERROR(IFERROR(INDEX(Vöruskrá!Q:Q,MATCH(B222,Vöruskrá!B:B,0)),"")*C222/100000,""))</f>
        <v>4.4999999999999997E-3</v>
      </c>
      <c r="O222" s="25">
        <f>IF(OR(B222="",C222=""),"",IFERROR(C222/1000*IFERROR(INDEX(Vöruskrá!R:R,MATCH(B222,Vöruskrá!B:B,0)),0)/1000,""))</f>
        <v>0</v>
      </c>
      <c r="P222" s="6"/>
      <c r="Q222" s="28"/>
      <c r="R222" s="6"/>
    </row>
    <row r="223" spans="1:18" ht="15">
      <c r="A223" s="21"/>
      <c r="B223" s="21" t="s">
        <v>823</v>
      </c>
      <c r="C223" s="22">
        <v>80</v>
      </c>
      <c r="D223" s="23" t="s">
        <v>824</v>
      </c>
      <c r="E223" s="23"/>
      <c r="F223" s="23" t="s">
        <v>311</v>
      </c>
      <c r="G223" s="24">
        <f>IF(OR(B223="",C223=""),"",IFERROR(IFERROR(INDEX(Vöruskrá!J:J,MATCH(B223,Vöruskrá!B:B,0)),"")*C223/100000,""))</f>
        <v>0.22800000000000001</v>
      </c>
      <c r="H223" s="24">
        <f>IF(OR(B223="",C223=""),"",IFERROR(IFERROR(INDEX(Vöruskrá!K:K,MATCH(B223,Vöruskrá!B:B,0)),"")*C223/100000,""))</f>
        <v>5.9199999999999999E-3</v>
      </c>
      <c r="I223" s="24">
        <f>IF(OR(B223="",C223=""),"",IFERROR(IFERROR(INDEX(Vöruskrá!L:L,MATCH(B223,Vöruskrá!B:B,0)),"")*C223/100000,""))</f>
        <v>2.16E-3</v>
      </c>
      <c r="J223" s="24">
        <f>IF(OR(B223="",C223=""),"",IFERROR(IFERROR(INDEX(Vöruskrá!M:M,MATCH(B223,Vöruskrá!B:B,0)),"")*C223/100000,""))</f>
        <v>2.1600000000000001E-2</v>
      </c>
      <c r="K223" s="24">
        <f>IF(OR(B223="",C223=""),"",IFERROR(IFERROR(INDEX(Vöruskrá!N:N,MATCH(B223,Vöruskrá!B:B,0)),"")*C223/100000,""))</f>
        <v>1.3600000000000001E-3</v>
      </c>
      <c r="L223" s="24">
        <f>IF(OR(B223="",C223=""),"",IFERROR(IFERROR(INDEX(Vöruskrá!O:O,MATCH(B223,Vöruskrá!B:B,0)),"")*C223/100000,""))</f>
        <v>7.28E-3</v>
      </c>
      <c r="M223" s="24">
        <f>IF(OR(B223="",C223=""),"",IFERROR(IFERROR(INDEX(Vöruskrá!P:P,MATCH(B223,Vöruskrá!B:B,0)),"")*C223/100000,""))</f>
        <v>8.0000000000000007E-5</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1035</v>
      </c>
      <c r="C224" s="28">
        <v>80</v>
      </c>
      <c r="D224" s="23" t="s">
        <v>1036</v>
      </c>
      <c r="E224" s="23" t="s">
        <v>134</v>
      </c>
      <c r="F224" s="23" t="s">
        <v>1024</v>
      </c>
      <c r="G224" s="24">
        <f>IF(OR(B224="",C224=""),"",IFERROR(IFERROR(INDEX(Vöruskrá!J:J,MATCH(B224,Vöruskrá!B:B,0)),"")*C224/100000,""))</f>
        <v>0.26479999999999998</v>
      </c>
      <c r="H224" s="24">
        <f>IF(OR(B224="",C224=""),"",IFERROR(IFERROR(INDEX(Vöruskrá!K:K,MATCH(B224,Vöruskrá!B:B,0)),"")*C224/100000,""))</f>
        <v>1.2160000000000001E-2</v>
      </c>
      <c r="I224" s="24">
        <f>IF(OR(B224="",C224=""),"",IFERROR(IFERROR(INDEX(Vöruskrá!L:L,MATCH(B224,Vöruskrá!B:B,0)),"")*C224/100000,""))</f>
        <v>5.9199999999999999E-3</v>
      </c>
      <c r="J224" s="24">
        <f>IF(OR(B224="",C224=""),"",IFERROR(IFERROR(INDEX(Vöruskrá!M:M,MATCH(B224,Vöruskrá!B:B,0)),"")*C224/100000,""))</f>
        <v>3.712E-2</v>
      </c>
      <c r="K224" s="24">
        <f>IF(OR(B224="",C224=""),"",IFERROR(IFERROR(INDEX(Vöruskrá!N:N,MATCH(B224,Vöruskrá!B:B,0)),"")*C224/100000,""))</f>
        <v>0</v>
      </c>
      <c r="L224" s="24">
        <f>IF(OR(B224="",C224=""),"",IFERROR(IFERROR(INDEX(Vöruskrá!O:O,MATCH(B224,Vöruskrá!B:B,0)),"")*C224/100000,""))</f>
        <v>3.9199999999999999E-3</v>
      </c>
      <c r="M224" s="24">
        <f>IF(OR(B224="",C224=""),"",IFERROR(IFERROR(INDEX(Vöruskrá!P:P,MATCH(B224,Vöruskrá!B:B,0)),"")*C224/100000,""))</f>
        <v>0</v>
      </c>
      <c r="N224" s="24">
        <f>IF(OR(B224="",C224=""),"",IFERROR(IFERROR(INDEX(Vöruskrá!Q:Q,MATCH(B224,Vöruskrá!B:B,0)),"")*C224/100000,""))</f>
        <v>3.4079999999999999E-2</v>
      </c>
      <c r="O224" s="25">
        <f>IF(OR(B224="",C224=""),"",IFERROR(C224/1000*IFERROR(INDEX(Vöruskrá!R:R,MATCH(B224,Vöruskrá!B:B,0)),0)/1000,""))</f>
        <v>0</v>
      </c>
      <c r="P224" s="6"/>
      <c r="Q224" s="28"/>
      <c r="R224" s="6"/>
    </row>
    <row r="225" spans="1:18" ht="15">
      <c r="A225" s="21"/>
      <c r="B225" s="21" t="s">
        <v>815</v>
      </c>
      <c r="C225" s="22">
        <v>80</v>
      </c>
      <c r="D225" s="23" t="s">
        <v>816</v>
      </c>
      <c r="E225" s="23"/>
      <c r="F225" s="23" t="s">
        <v>311</v>
      </c>
      <c r="G225" s="24">
        <f>IF(OR(B225="",C225=""),"",IFERROR(IFERROR(INDEX(Vöruskrá!J:J,MATCH(B225,Vöruskrá!B:B,0)),"")*C225/100000,""))</f>
        <v>0.38400000000000001</v>
      </c>
      <c r="H225" s="24">
        <f>IF(OR(B225="",C225=""),"",IFERROR(IFERROR(INDEX(Vöruskrá!K:K,MATCH(B225,Vöruskrá!B:B,0)),"")*C225/100000,""))</f>
        <v>8.0000000000000002E-3</v>
      </c>
      <c r="I225" s="24">
        <f>IF(OR(B225="",C225=""),"",IFERROR(IFERROR(INDEX(Vöruskrá!L:L,MATCH(B225,Vöruskrá!B:B,0)),"")*C225/100000,""))</f>
        <v>2.16E-3</v>
      </c>
      <c r="J225" s="24">
        <f>IF(OR(B225="",C225=""),"",IFERROR(IFERROR(INDEX(Vöruskrá!M:M,MATCH(B225,Vöruskrá!B:B,0)),"")*C225/100000,""))</f>
        <v>5.1200000000000002E-2</v>
      </c>
      <c r="K225" s="24">
        <f>IF(OR(B225="",C225=""),"",IFERROR(IFERROR(INDEX(Vöruskrá!N:N,MATCH(B225,Vöruskrá!B:B,0)),"")*C225/100000,""))</f>
        <v>3.2799999999999999E-3</v>
      </c>
      <c r="L225" s="24">
        <f>IF(OR(B225="",C225=""),"",IFERROR(IFERROR(INDEX(Vöruskrá!O:O,MATCH(B225,Vöruskrá!B:B,0)),"")*C225/100000,""))</f>
        <v>8.8000000000000005E-3</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808</v>
      </c>
      <c r="C226" s="28">
        <v>30</v>
      </c>
      <c r="D226" s="23" t="s">
        <v>809</v>
      </c>
      <c r="E226" s="23"/>
      <c r="F226" s="23" t="s">
        <v>311</v>
      </c>
      <c r="G226" s="24">
        <f>IF(OR(B226="",C226=""),"",IFERROR(IFERROR(INDEX(Vöruskrá!J:J,MATCH(B226,Vöruskrá!B:B,0)),"")*C226/100000,""))</f>
        <v>0.10589999999999999</v>
      </c>
      <c r="H226" s="24">
        <f>IF(OR(B226="",C226=""),"",IFERROR(IFERROR(INDEX(Vöruskrá!K:K,MATCH(B226,Vöruskrá!B:B,0)),"")*C226/100000,""))</f>
        <v>2.5200000000000001E-3</v>
      </c>
      <c r="I226" s="24">
        <f>IF(OR(B226="",C226=""),"",IFERROR(IFERROR(INDEX(Vöruskrá!L:L,MATCH(B226,Vöruskrá!B:B,0)),"")*C226/100000,""))</f>
        <v>6.8999999999999997E-4</v>
      </c>
      <c r="J226" s="24">
        <f>IF(OR(B226="",C226=""),"",IFERROR(IFERROR(INDEX(Vöruskrá!M:M,MATCH(B226,Vöruskrá!B:B,0)),"")*C226/100000,""))</f>
        <v>1.47E-2</v>
      </c>
      <c r="K226" s="24">
        <f>IF(OR(B226="",C226=""),"",IFERROR(IFERROR(INDEX(Vöruskrá!N:N,MATCH(B226,Vöruskrá!B:B,0)),"")*C226/100000,""))</f>
        <v>0</v>
      </c>
      <c r="L226" s="24">
        <f>IF(OR(B226="",C226=""),"",IFERROR(IFERROR(INDEX(Vöruskrá!O:O,MATCH(B226,Vöruskrá!B:B,0)),"")*C226/100000,""))</f>
        <v>2.2799999999999999E-3</v>
      </c>
      <c r="M226" s="24">
        <f>IF(OR(B226="",C226=""),"",IFERROR(IFERROR(INDEX(Vöruskrá!P:P,MATCH(B226,Vöruskrá!B:B,0)),"")*C226/100000,""))</f>
        <v>3.0000000000000001E-5</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819</v>
      </c>
      <c r="C227" s="22">
        <v>100</v>
      </c>
      <c r="D227" s="23" t="s">
        <v>820</v>
      </c>
      <c r="E227" s="23"/>
      <c r="F227" s="23" t="s">
        <v>311</v>
      </c>
      <c r="G227" s="24">
        <f>IF(OR(B227="",C227=""),"",IFERROR(IFERROR(INDEX(Vöruskrá!J:J,MATCH(B227,Vöruskrá!B:B,0)),"")*C227/100000,""))</f>
        <v>0.38600000000000001</v>
      </c>
      <c r="H227" s="24">
        <f>IF(OR(B227="",C227=""),"",IFERROR(IFERROR(INDEX(Vöruskrá!K:K,MATCH(B227,Vöruskrá!B:B,0)),"")*C227/100000,""))</f>
        <v>3.3E-3</v>
      </c>
      <c r="I227" s="24">
        <f>IF(OR(B227="",C227=""),"",IFERROR(IFERROR(INDEX(Vöruskrá!L:L,MATCH(B227,Vöruskrá!B:B,0)),"")*C227/100000,""))</f>
        <v>1E-3</v>
      </c>
      <c r="J227" s="24">
        <f>IF(OR(B227="",C227=""),"",IFERROR(IFERROR(INDEX(Vöruskrá!M:M,MATCH(B227,Vöruskrá!B:B,0)),"")*C227/100000,""))</f>
        <v>6.5000000000000002E-2</v>
      </c>
      <c r="K227" s="24">
        <f>IF(OR(B227="",C227=""),"",IFERROR(IFERROR(INDEX(Vöruskrá!N:N,MATCH(B227,Vöruskrá!B:B,0)),"")*C227/100000,""))</f>
        <v>5.9999999999999995E-4</v>
      </c>
      <c r="L227" s="24">
        <f>IF(OR(B227="",C227=""),"",IFERROR(IFERROR(INDEX(Vöruskrá!O:O,MATCH(B227,Vöruskrá!B:B,0)),"")*C227/100000,""))</f>
        <v>1.0999999999999999E-2</v>
      </c>
      <c r="M227" s="24">
        <f>IF(OR(B227="",C227=""),"",IFERROR(IFERROR(INDEX(Vöruskrá!P:P,MATCH(B227,Vöruskrá!B:B,0)),"")*C227/100000,""))</f>
        <v>1E-4</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299</v>
      </c>
      <c r="C228" s="28">
        <v>750</v>
      </c>
      <c r="D228" s="23" t="s">
        <v>302</v>
      </c>
      <c r="E228" s="23" t="s">
        <v>134</v>
      </c>
      <c r="F228" s="23" t="s">
        <v>303</v>
      </c>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0.75</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1270</v>
      </c>
      <c r="C229" s="22">
        <v>1880</v>
      </c>
      <c r="D229" s="23" t="s">
        <v>1270</v>
      </c>
      <c r="E229" s="23" t="s">
        <v>134</v>
      </c>
      <c r="F229" s="23"/>
      <c r="G229" s="24">
        <f>IF(OR(B229="",C229=""),"",IFERROR(IFERROR(INDEX(Vöruskrá!J:J,MATCH(B229,Vöruskrá!B:B,0)),"")*C229/100000,""))</f>
        <v>16.920000000000002</v>
      </c>
      <c r="H229" s="24">
        <f>IF(OR(B229="",C229=""),"",IFERROR(IFERROR(INDEX(Vöruskrá!K:K,MATCH(B229,Vöruskrá!B:B,0)),"")*C229/100000,""))</f>
        <v>1.88</v>
      </c>
      <c r="I229" s="24">
        <f>IF(OR(B229="",C229=""),"",IFERROR(IFERROR(INDEX(Vöruskrá!L:L,MATCH(B229,Vöruskrá!B:B,0)),"")*C229/100000,""))</f>
        <v>0.13159999999999999</v>
      </c>
      <c r="J229" s="24">
        <f>IF(OR(B229="",C229=""),"",IFERROR(IFERROR(INDEX(Vöruskrá!M:M,MATCH(B229,Vöruskrá!B:B,0)),"")*C229/100000,""))</f>
        <v>1.222</v>
      </c>
      <c r="K229" s="24">
        <f>IF(OR(B229="",C229=""),"",IFERROR(IFERROR(INDEX(Vöruskrá!N:N,MATCH(B229,Vöruskrá!B:B,0)),"")*C229/100000,""))</f>
        <v>0.51700000000000002</v>
      </c>
      <c r="L229" s="24">
        <f>IF(OR(B229="",C229=""),"",IFERROR(IFERROR(INDEX(Vöruskrá!O:O,MATCH(B229,Vöruskrá!B:B,0)),"")*C229/100000,""))</f>
        <v>0</v>
      </c>
      <c r="M229" s="24">
        <f>IF(OR(B229="",C229=""),"",IFERROR(IFERROR(INDEX(Vöruskrá!P:P,MATCH(B229,Vöruskrá!B:B,0)),"")*C229/100000,""))</f>
        <v>0</v>
      </c>
      <c r="N229" s="24">
        <f>IF(OR(B229="",C229=""),"",IFERROR(IFERROR(INDEX(Vöruskrá!Q:Q,MATCH(B229,Vöruskrá!B:B,0)),"")*C229/100000,""))</f>
        <v>0</v>
      </c>
      <c r="O229" s="25">
        <f>IF(OR(B229="",C229=""),"",IFERROR(C229/1000*IFERROR(INDEX(Vöruskrá!R:R,MATCH(B229,Vöruskrá!B:B,0)),0)/1000,""))</f>
        <v>0</v>
      </c>
      <c r="P229" s="21"/>
      <c r="Q229" s="26"/>
      <c r="R229" s="27"/>
    </row>
    <row r="230" spans="1:18" ht="15">
      <c r="A230" s="6"/>
      <c r="B230" s="6" t="s">
        <v>1020</v>
      </c>
      <c r="C230" s="28">
        <v>17370</v>
      </c>
      <c r="D230" s="23" t="s">
        <v>1020</v>
      </c>
      <c r="E230" s="23" t="s">
        <v>134</v>
      </c>
      <c r="F230" s="23"/>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6"/>
      <c r="Q230" s="28"/>
      <c r="R230" s="6"/>
    </row>
    <row r="231" spans="1:18" ht="60">
      <c r="A231" s="147" t="s">
        <v>1620</v>
      </c>
      <c r="B231" s="147"/>
      <c r="C231" s="148"/>
      <c r="D231" s="147" t="s">
        <v>1621</v>
      </c>
      <c r="E231" s="147" t="s">
        <v>1622</v>
      </c>
      <c r="F231" s="147"/>
      <c r="G231" s="149">
        <v>92.61</v>
      </c>
      <c r="H231" s="149">
        <v>3.7</v>
      </c>
      <c r="I231" s="149">
        <v>1.92</v>
      </c>
      <c r="J231" s="149">
        <v>8.0399999999999991</v>
      </c>
      <c r="K231" s="149"/>
      <c r="L231" s="149">
        <v>7.26</v>
      </c>
      <c r="M231" s="149">
        <v>1.79</v>
      </c>
      <c r="N231" s="149">
        <f>IFERROR(SUM(N232:N240)/(SUM($C$232:$C$240)/100000),"")</f>
        <v>0.8165</v>
      </c>
      <c r="O231" s="150" t="str">
        <f>IF(OR(B231="",C231=""),"",IFERROR(C231/1000*IFERROR(INDEX(Vöruskrá!R:R,MATCH(B231,Vöruskrá!B:B,0)),0)/1000,""))</f>
        <v/>
      </c>
      <c r="P231" s="147" t="s">
        <v>1623</v>
      </c>
      <c r="Q231" s="26" t="s">
        <v>1624</v>
      </c>
      <c r="R231" s="27" t="s">
        <v>1625</v>
      </c>
    </row>
    <row r="232" spans="1:18" ht="15">
      <c r="A232" s="6"/>
      <c r="B232" s="6" t="s">
        <v>650</v>
      </c>
      <c r="C232" s="28">
        <v>43500</v>
      </c>
      <c r="D232" s="23" t="s">
        <v>651</v>
      </c>
      <c r="E232" s="23" t="s">
        <v>621</v>
      </c>
      <c r="F232" s="23"/>
      <c r="G232" s="24">
        <f>IF(OR(B232="",C232=""),"",IFERROR(IFERROR(INDEX(Vöruskrá!J:J,MATCH(B232,Vöruskrá!B:B,0)),"")*C232/100000,""))</f>
        <v>26.535</v>
      </c>
      <c r="H232" s="24">
        <f>IF(OR(B232="",C232=""),"",IFERROR(IFERROR(INDEX(Vöruskrá!K:K,MATCH(B232,Vöruskrá!B:B,0)),"")*C232/100000,""))</f>
        <v>0.435</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6.09</v>
      </c>
      <c r="M232" s="24">
        <f>IF(OR(B232="",C232=""),"",IFERROR(IFERROR(INDEX(Vöruskrá!P:P,MATCH(B232,Vöruskrá!B:B,0)),"")*C232/100000,""))</f>
        <v>1.3049999999999999</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635</v>
      </c>
      <c r="C233" s="22">
        <v>32600</v>
      </c>
      <c r="D233" s="23" t="s">
        <v>635</v>
      </c>
      <c r="E233" s="23" t="s">
        <v>134</v>
      </c>
      <c r="F233" s="23"/>
      <c r="G233" s="24">
        <f>IF(OR(B233="",C233=""),"",IFERROR(IFERROR(INDEX(Vöruskrá!J:J,MATCH(B233,Vöruskrá!B:B,0)),"")*C233/100000,""))</f>
        <v>25.102</v>
      </c>
      <c r="H233" s="24">
        <f>IF(OR(B233="",C233=""),"",IFERROR(IFERROR(INDEX(Vöruskrá!K:K,MATCH(B233,Vöruskrá!B:B,0)),"")*C233/100000,""))</f>
        <v>3.2599999999999997E-2</v>
      </c>
      <c r="I233" s="24">
        <f>IF(OR(B233="",C233=""),"",IFERROR(IFERROR(INDEX(Vöruskrá!L:L,MATCH(B233,Vöruskrá!B:B,0)),"")*C233/100000,""))</f>
        <v>0</v>
      </c>
      <c r="J233" s="24">
        <f>IF(OR(B233="",C233=""),"",IFERROR(IFERROR(INDEX(Vöruskrá!M:M,MATCH(B233,Vöruskrá!B:B,0)),"")*C233/100000,""))</f>
        <v>5.5419999999999998</v>
      </c>
      <c r="K233" s="24">
        <f>IF(OR(B233="",C233=""),"",IFERROR(IFERROR(INDEX(Vöruskrá!N:N,MATCH(B233,Vöruskrá!B:B,0)),"")*C233/100000,""))</f>
        <v>0.26079999999999998</v>
      </c>
      <c r="L233" s="24">
        <f>IF(OR(B233="",C233=""),"",IFERROR(IFERROR(INDEX(Vöruskrá!O:O,MATCH(B233,Vöruskrá!B:B,0)),"")*C233/100000,""))</f>
        <v>0.65200000000000002</v>
      </c>
      <c r="M233" s="24">
        <f>IF(OR(B233="",C233=""),"",IFERROR(IFERROR(INDEX(Vöruskrá!P:P,MATCH(B233,Vöruskrá!B:B,0)),"")*C233/100000,""))</f>
        <v>0</v>
      </c>
      <c r="N233" s="24">
        <f>IF(OR(B233="",C233=""),"",IFERROR(IFERROR(INDEX(Vöruskrá!Q:Q,MATCH(B233,Vöruskrá!B:B,0)),"")*C233/100000,""))</f>
        <v>0.71719999999999995</v>
      </c>
      <c r="O233" s="25">
        <f>IF(OR(B233="",C233=""),"",IFERROR(C233/1000*IFERROR(INDEX(Vöruskrá!R:R,MATCH(B233,Vöruskrá!B:B,0)),0)/1000,""))</f>
        <v>0</v>
      </c>
      <c r="P233" s="21"/>
      <c r="Q233" s="26"/>
      <c r="R233" s="27"/>
    </row>
    <row r="234" spans="1:18" ht="15">
      <c r="A234" s="6"/>
      <c r="B234" s="6" t="s">
        <v>1010</v>
      </c>
      <c r="C234" s="28">
        <v>4900</v>
      </c>
      <c r="D234" s="23" t="s">
        <v>1010</v>
      </c>
      <c r="E234" s="23" t="s">
        <v>134</v>
      </c>
      <c r="F234" s="23"/>
      <c r="G234" s="24">
        <f>IF(OR(B234="",C234=""),"",IFERROR(IFERROR(INDEX(Vöruskrá!J:J,MATCH(B234,Vöruskrá!B:B,0)),"")*C234/100000,""))</f>
        <v>1.96</v>
      </c>
      <c r="H234" s="24">
        <f>IF(OR(B234="",C234=""),"",IFERROR(IFERROR(INDEX(Vöruskrá!K:K,MATCH(B234,Vöruskrá!B:B,0)),"")*C234/100000,""))</f>
        <v>4.8999999999999998E-3</v>
      </c>
      <c r="I234" s="24">
        <f>IF(OR(B234="",C234=""),"",IFERROR(IFERROR(INDEX(Vöruskrá!L:L,MATCH(B234,Vöruskrá!B:B,0)),"")*C234/100000,""))</f>
        <v>0</v>
      </c>
      <c r="J234" s="24">
        <f>IF(OR(B234="",C234=""),"",IFERROR(IFERROR(INDEX(Vöruskrá!M:M,MATCH(B234,Vöruskrá!B:B,0)),"")*C234/100000,""))</f>
        <v>0.45569999999999999</v>
      </c>
      <c r="K234" s="24">
        <f>IF(OR(B234="",C234=""),"",IFERROR(IFERROR(INDEX(Vöruskrá!N:N,MATCH(B234,Vöruskrá!B:B,0)),"")*C234/100000,""))</f>
        <v>0.20580000000000001</v>
      </c>
      <c r="L234" s="24">
        <f>IF(OR(B234="",C234=""),"",IFERROR(IFERROR(INDEX(Vöruskrá!O:O,MATCH(B234,Vöruskrá!B:B,0)),"")*C234/100000,""))</f>
        <v>5.3900000000000003E-2</v>
      </c>
      <c r="M234" s="24">
        <f>IF(OR(B234="",C234=""),"",IFERROR(IFERROR(INDEX(Vöruskrá!P:P,MATCH(B234,Vöruskrá!B:B,0)),"")*C234/100000,""))</f>
        <v>0</v>
      </c>
      <c r="N234" s="24">
        <f>IF(OR(B234="",C234=""),"",IFERROR(IFERROR(INDEX(Vöruskrá!Q:Q,MATCH(B234,Vöruskrá!B:B,0)),"")*C234/100000,""))</f>
        <v>8.3299999999999999E-2</v>
      </c>
      <c r="O234" s="25">
        <f>IF(OR(B234="",C234=""),"",IFERROR(C234/1000*IFERROR(INDEX(Vöruskrá!R:R,MATCH(B234,Vöruskrá!B:B,0)),0)/1000,""))</f>
        <v>0</v>
      </c>
      <c r="P234" s="6"/>
      <c r="Q234" s="28"/>
      <c r="R234" s="6"/>
    </row>
    <row r="235" spans="1:18" ht="15">
      <c r="A235" s="21"/>
      <c r="B235" s="21" t="s">
        <v>849</v>
      </c>
      <c r="C235" s="22">
        <v>13000</v>
      </c>
      <c r="D235" s="23" t="s">
        <v>850</v>
      </c>
      <c r="E235" s="23" t="s">
        <v>120</v>
      </c>
      <c r="F235" s="23"/>
      <c r="G235" s="24">
        <f>IF(OR(B235="",C235=""),"",IFERROR(IFERROR(INDEX(Vöruskrá!J:J,MATCH(B235,Vöruskrá!B:B,0)),"")*C235/100000,""))</f>
        <v>8.7100000000000009</v>
      </c>
      <c r="H235" s="24">
        <f>IF(OR(B235="",C235=""),"",IFERROR(IFERROR(INDEX(Vöruskrá!K:K,MATCH(B235,Vöruskrá!B:B,0)),"")*C235/100000,""))</f>
        <v>0.50700000000000001</v>
      </c>
      <c r="I235" s="24">
        <f>IF(OR(B235="",C235=""),"",IFERROR(IFERROR(INDEX(Vöruskrá!L:L,MATCH(B235,Vöruskrá!B:B,0)),"")*C235/100000,""))</f>
        <v>0.29899999999999999</v>
      </c>
      <c r="J235" s="24">
        <f>IF(OR(B235="",C235=""),"",IFERROR(IFERROR(INDEX(Vöruskrá!M:M,MATCH(B235,Vöruskrá!B:B,0)),"")*C235/100000,""))</f>
        <v>0.61099999999999999</v>
      </c>
      <c r="K235" s="24">
        <f>IF(OR(B235="",C235=""),"",IFERROR(IFERROR(INDEX(Vöruskrá!N:N,MATCH(B235,Vöruskrá!B:B,0)),"")*C235/100000,""))</f>
        <v>0.61099999999999999</v>
      </c>
      <c r="L235" s="24">
        <f>IF(OR(B235="",C235=""),"",IFERROR(IFERROR(INDEX(Vöruskrá!O:O,MATCH(B235,Vöruskrá!B:B,0)),"")*C235/100000,""))</f>
        <v>0.42899999999999999</v>
      </c>
      <c r="M235" s="24">
        <f>IF(OR(B235="",C235=""),"",IFERROR(IFERROR(INDEX(Vöruskrá!P:P,MATCH(B235,Vöruskrá!B:B,0)),"")*C235/100000,""))</f>
        <v>1.2999999999999999E-2</v>
      </c>
      <c r="N235" s="24">
        <f>IF(OR(B235="",C235=""),"",IFERROR(IFERROR(INDEX(Vöruskrá!Q:Q,MATCH(B235,Vöruskrá!B:B,0)),"")*C235/100000,""))</f>
        <v>0</v>
      </c>
      <c r="O235" s="25">
        <f>IF(OR(B235="",C235=""),"",IFERROR(C235/1000*IFERROR(INDEX(Vöruskrá!R:R,MATCH(B235,Vöruskrá!B:B,0)),0)/1000,""))</f>
        <v>0</v>
      </c>
      <c r="P235" s="21"/>
      <c r="Q235" s="26"/>
      <c r="R235" s="27"/>
    </row>
    <row r="236" spans="1:18" ht="15">
      <c r="A236" s="6"/>
      <c r="B236" s="6" t="s">
        <v>445</v>
      </c>
      <c r="C236" s="28">
        <v>3300</v>
      </c>
      <c r="D236" s="23" t="s">
        <v>448</v>
      </c>
      <c r="E236" s="23" t="s">
        <v>120</v>
      </c>
      <c r="F236" s="23"/>
      <c r="G236" s="24">
        <f>IF(OR(B236="",C236=""),"",IFERROR(IFERROR(INDEX(Vöruskrá!J:J,MATCH(B236,Vöruskrá!B:B,0)),"")*C236/100000,""))</f>
        <v>24.353999999999999</v>
      </c>
      <c r="H236" s="24">
        <f>IF(OR(B236="",C236=""),"",IFERROR(IFERROR(INDEX(Vöruskrá!K:K,MATCH(B236,Vöruskrá!B:B,0)),"")*C236/100000,""))</f>
        <v>2.706</v>
      </c>
      <c r="I236" s="24">
        <f>IF(OR(B236="",C236=""),"",IFERROR(IFERROR(INDEX(Vöruskrá!L:L,MATCH(B236,Vöruskrá!B:B,0)),"")*C236/100000,""))</f>
        <v>1.617</v>
      </c>
      <c r="J236" s="24">
        <f>IF(OR(B236="",C236=""),"",IFERROR(IFERROR(INDEX(Vöruskrá!M:M,MATCH(B236,Vöruskrá!B:B,0)),"")*C236/100000,""))</f>
        <v>1.32E-2</v>
      </c>
      <c r="K236" s="24">
        <f>IF(OR(B236="",C236=""),"",IFERROR(IFERROR(INDEX(Vöruskrá!N:N,MATCH(B236,Vöruskrá!B:B,0)),"")*C236/100000,""))</f>
        <v>1.32E-2</v>
      </c>
      <c r="L236" s="24">
        <f>IF(OR(B236="",C236=""),"",IFERROR(IFERROR(INDEX(Vöruskrá!O:O,MATCH(B236,Vöruskrá!B:B,0)),"")*C236/100000,""))</f>
        <v>1.9800000000000002E-2</v>
      </c>
      <c r="M236" s="24">
        <f>IF(OR(B236="",C236=""),"",IFERROR(IFERROR(INDEX(Vöruskrá!P:P,MATCH(B236,Vöruskrá!B:B,0)),"")*C236/100000,""))</f>
        <v>3.9600000000000003E-2</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349</v>
      </c>
      <c r="C237" s="22">
        <v>1600</v>
      </c>
      <c r="D237" s="23" t="s">
        <v>351</v>
      </c>
      <c r="E237" s="23" t="s">
        <v>134</v>
      </c>
      <c r="F237" s="23"/>
      <c r="G237" s="24">
        <f>IF(OR(B237="",C237=""),"",IFERROR(IFERROR(INDEX(Vöruskrá!J:J,MATCH(B237,Vöruskrá!B:B,0)),"")*C237/100000,""))</f>
        <v>5.68</v>
      </c>
      <c r="H237" s="24">
        <f>IF(OR(B237="",C237=""),"",IFERROR(IFERROR(INDEX(Vöruskrá!K:K,MATCH(B237,Vöruskrá!B:B,0)),"")*C237/100000,""))</f>
        <v>8.0000000000000002E-3</v>
      </c>
      <c r="I237" s="24">
        <f>IF(OR(B237="",C237=""),"",IFERROR(IFERROR(INDEX(Vöruskrá!L:L,MATCH(B237,Vöruskrá!B:B,0)),"")*C237/100000,""))</f>
        <v>0</v>
      </c>
      <c r="J237" s="24">
        <f>IF(OR(B237="",C237=""),"",IFERROR(IFERROR(INDEX(Vöruskrá!M:M,MATCH(B237,Vöruskrá!B:B,0)),"")*C237/100000,""))</f>
        <v>1.3759999999999999</v>
      </c>
      <c r="K237" s="24">
        <f>IF(OR(B237="",C237=""),"",IFERROR(IFERROR(INDEX(Vöruskrá!N:N,MATCH(B237,Vöruskrá!B:B,0)),"")*C237/100000,""))</f>
        <v>0</v>
      </c>
      <c r="L237" s="24">
        <f>IF(OR(B237="",C237=""),"",IFERROR(IFERROR(INDEX(Vöruskrá!O:O,MATCH(B237,Vöruskrá!B:B,0)),"")*C237/100000,""))</f>
        <v>8.0000000000000002E-3</v>
      </c>
      <c r="M237" s="24">
        <f>IF(OR(B237="",C237=""),"",IFERROR(IFERROR(INDEX(Vöruskrá!P:P,MATCH(B237,Vöruskrá!B:B,0)),"")*C237/100000,""))</f>
        <v>0</v>
      </c>
      <c r="N237" s="24">
        <f>IF(OR(B237="",C237=""),"",IFERROR(IFERROR(INDEX(Vöruskrá!Q:Q,MATCH(B237,Vöruskrá!B:B,0)),"")*C237/100000,""))</f>
        <v>1.6E-2</v>
      </c>
      <c r="O237" s="25">
        <f>IF(OR(B237="",C237=""),"",IFERROR(C237/1000*IFERROR(INDEX(Vöruskrá!R:R,MATCH(B237,Vöruskrá!B:B,0)),0)/1000,""))</f>
        <v>0</v>
      </c>
      <c r="P237" s="21"/>
      <c r="Q237" s="26"/>
      <c r="R237" s="27"/>
    </row>
    <row r="238" spans="1:18" ht="15">
      <c r="A238" s="21"/>
      <c r="B238" s="21" t="s">
        <v>299</v>
      </c>
      <c r="C238" s="22">
        <v>430</v>
      </c>
      <c r="D238" s="23" t="s">
        <v>302</v>
      </c>
      <c r="E238" s="23" t="s">
        <v>134</v>
      </c>
      <c r="F238" s="23" t="s">
        <v>303</v>
      </c>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0.43</v>
      </c>
      <c r="N238" s="24">
        <f>IF(OR(B238="",C238=""),"",IFERROR(IFERROR(INDEX(Vöruskrá!Q:Q,MATCH(B238,Vöruskrá!B:B,0)),"")*C238/100000,""))</f>
        <v>0</v>
      </c>
      <c r="O238" s="25">
        <f>IF(OR(B238="",C238=""),"",IFERROR(C238/1000*IFERROR(INDEX(Vöruskrá!R:R,MATCH(B238,Vöruskrá!B:B,0)),0)/1000,""))</f>
        <v>0</v>
      </c>
      <c r="P238" s="21"/>
      <c r="Q238" s="26"/>
      <c r="R238" s="27"/>
    </row>
    <row r="239" spans="1:18" ht="15">
      <c r="A239" s="6"/>
      <c r="B239" s="6" t="s">
        <v>819</v>
      </c>
      <c r="C239" s="28">
        <v>70</v>
      </c>
      <c r="D239" s="23" t="s">
        <v>820</v>
      </c>
      <c r="E239" s="23"/>
      <c r="F239" s="23" t="s">
        <v>311</v>
      </c>
      <c r="G239" s="24">
        <f>IF(OR(B239="",C239=""),"",IFERROR(IFERROR(INDEX(Vöruskrá!J:J,MATCH(B239,Vöruskrá!B:B,0)),"")*C239/100000,""))</f>
        <v>0.2702</v>
      </c>
      <c r="H239" s="24">
        <f>IF(OR(B239="",C239=""),"",IFERROR(IFERROR(INDEX(Vöruskrá!K:K,MATCH(B239,Vöruskrá!B:B,0)),"")*C239/100000,""))</f>
        <v>2.31E-3</v>
      </c>
      <c r="I239" s="24">
        <f>IF(OR(B239="",C239=""),"",IFERROR(IFERROR(INDEX(Vöruskrá!L:L,MATCH(B239,Vöruskrá!B:B,0)),"")*C239/100000,""))</f>
        <v>6.9999999999999999E-4</v>
      </c>
      <c r="J239" s="24">
        <f>IF(OR(B239="",C239=""),"",IFERROR(IFERROR(INDEX(Vöruskrá!M:M,MATCH(B239,Vöruskrá!B:B,0)),"")*C239/100000,""))</f>
        <v>4.5499999999999999E-2</v>
      </c>
      <c r="K239" s="24">
        <f>IF(OR(B239="",C239=""),"",IFERROR(IFERROR(INDEX(Vöruskrá!N:N,MATCH(B239,Vöruskrá!B:B,0)),"")*C239/100000,""))</f>
        <v>4.2000000000000002E-4</v>
      </c>
      <c r="L239" s="24">
        <f>IF(OR(B239="",C239=""),"",IFERROR(IFERROR(INDEX(Vöruskrá!O:O,MATCH(B239,Vöruskrá!B:B,0)),"")*C239/100000,""))</f>
        <v>7.7000000000000002E-3</v>
      </c>
      <c r="M239" s="24">
        <f>IF(OR(B239="",C239=""),"",IFERROR(IFERROR(INDEX(Vöruskrá!P:P,MATCH(B239,Vöruskrá!B:B,0)),"")*C239/100000,""))</f>
        <v>6.9999999999999994E-5</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600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1626</v>
      </c>
      <c r="B241" s="147"/>
      <c r="C241" s="148"/>
      <c r="D241" s="147" t="s">
        <v>1627</v>
      </c>
      <c r="E241" s="147" t="s">
        <v>134</v>
      </c>
      <c r="F241" s="147"/>
      <c r="G241" s="149">
        <v>146</v>
      </c>
      <c r="H241" s="149">
        <v>0.28000000000000003</v>
      </c>
      <c r="I241" s="149">
        <v>0.08</v>
      </c>
      <c r="J241" s="149">
        <v>32</v>
      </c>
      <c r="K241" s="149"/>
      <c r="L241" s="149">
        <v>2.84</v>
      </c>
      <c r="M241" s="149">
        <v>0.3</v>
      </c>
      <c r="N241" s="149">
        <f>IFERROR(SUM(N242:N244)/(SUM($C$242:$C$244)/100000),"")</f>
        <v>0.52</v>
      </c>
      <c r="O241" s="150" t="str">
        <f>IF(OR(B241="",C241=""),"",IFERROR(C241/1000*IFERROR(INDEX(Vöruskrá!R:R,MATCH(B241,Vöruskrá!B:B,0)),0)/1000,""))</f>
        <v/>
      </c>
      <c r="P241" s="147" t="s">
        <v>1628</v>
      </c>
      <c r="Q241" s="28" t="s">
        <v>1535</v>
      </c>
      <c r="R241" s="6" t="s">
        <v>1629</v>
      </c>
    </row>
    <row r="242" spans="1:18" ht="15">
      <c r="A242" s="21"/>
      <c r="B242" s="21" t="s">
        <v>341</v>
      </c>
      <c r="C242" s="22">
        <v>40000</v>
      </c>
      <c r="D242" s="23" t="s">
        <v>344</v>
      </c>
      <c r="E242" s="23" t="s">
        <v>134</v>
      </c>
      <c r="F242" s="23"/>
      <c r="G242" s="24">
        <f>IF(OR(B242="",C242=""),"",IFERROR(IFERROR(INDEX(Vöruskrá!J:J,MATCH(B242,Vöruskrá!B:B,0)),"")*C242/100000,""))</f>
        <v>146</v>
      </c>
      <c r="H242" s="24">
        <f>IF(OR(B242="",C242=""),"",IFERROR(IFERROR(INDEX(Vöruskrá!K:K,MATCH(B242,Vöruskrá!B:B,0)),"")*C242/100000,""))</f>
        <v>0.28000000000000003</v>
      </c>
      <c r="I242" s="24">
        <f>IF(OR(B242="",C242=""),"",IFERROR(IFERROR(INDEX(Vöruskrá!L:L,MATCH(B242,Vöruskrá!B:B,0)),"")*C242/100000,""))</f>
        <v>0.08</v>
      </c>
      <c r="J242" s="24">
        <f>IF(OR(B242="",C242=""),"",IFERROR(IFERROR(INDEX(Vöruskrá!M:M,MATCH(B242,Vöruskrá!B:B,0)),"")*C242/100000,""))</f>
        <v>32</v>
      </c>
      <c r="K242" s="24">
        <f>IF(OR(B242="",C242=""),"",IFERROR(IFERROR(INDEX(Vöruskrá!N:N,MATCH(B242,Vöruskrá!B:B,0)),"")*C242/100000,""))</f>
        <v>0.04</v>
      </c>
      <c r="L242" s="24">
        <f>IF(OR(B242="",C242=""),"",IFERROR(IFERROR(INDEX(Vöruskrá!O:O,MATCH(B242,Vöruskrá!B:B,0)),"")*C242/100000,""))</f>
        <v>2.84</v>
      </c>
      <c r="M242" s="24">
        <f>IF(OR(B242="",C242=""),"",IFERROR(IFERROR(INDEX(Vöruskrá!P:P,MATCH(B242,Vöruskrá!B:B,0)),"")*C242/100000,""))</f>
        <v>0</v>
      </c>
      <c r="N242" s="24">
        <f>IF(OR(B242="",C242=""),"",IFERROR(IFERROR(INDEX(Vöruskrá!Q:Q,MATCH(B242,Vöruskrá!B:B,0)),"")*C242/100000,""))</f>
        <v>0.52</v>
      </c>
      <c r="O242" s="25">
        <f>IF(OR(B242="",C242=""),"",IFERROR(C242/1000*IFERROR(INDEX(Vöruskrá!R:R,MATCH(B242,Vöruskrá!B:B,0)),0)/1000,""))</f>
        <v>0</v>
      </c>
      <c r="P242" s="21"/>
      <c r="Q242" s="26"/>
      <c r="R242" s="27"/>
    </row>
    <row r="243" spans="1:18" ht="15">
      <c r="A243" s="6"/>
      <c r="B243" s="6" t="s">
        <v>299</v>
      </c>
      <c r="C243" s="28">
        <v>300</v>
      </c>
      <c r="D243" s="23" t="s">
        <v>302</v>
      </c>
      <c r="E243" s="23" t="s">
        <v>134</v>
      </c>
      <c r="F243" s="23" t="s">
        <v>303</v>
      </c>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0.3</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1020</v>
      </c>
      <c r="C244" s="22">
        <v>59700</v>
      </c>
      <c r="D244" s="23" t="s">
        <v>1020</v>
      </c>
      <c r="E244" s="23" t="s">
        <v>134</v>
      </c>
      <c r="F244" s="23"/>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v>
      </c>
      <c r="N244" s="24">
        <f>IF(OR(B244="",C244=""),"",IFERROR(IFERROR(INDEX(Vöruskrá!Q:Q,MATCH(B244,Vöruskrá!B:B,0)),"")*C244/100000,""))</f>
        <v>0</v>
      </c>
      <c r="O244" s="25">
        <f>IF(OR(B244="",C244=""),"",IFERROR(C244/1000*IFERROR(INDEX(Vöruskrá!R:R,MATCH(B244,Vöruskrá!B:B,0)),0)/1000,""))</f>
        <v>0</v>
      </c>
      <c r="P244" s="21"/>
      <c r="Q244" s="26"/>
      <c r="R244" s="27"/>
    </row>
    <row r="245" spans="1:18" ht="24">
      <c r="A245" s="147" t="s">
        <v>1630</v>
      </c>
      <c r="B245" s="147"/>
      <c r="C245" s="148"/>
      <c r="D245" s="147" t="s">
        <v>1431</v>
      </c>
      <c r="E245" s="147" t="s">
        <v>31</v>
      </c>
      <c r="F245" s="147"/>
      <c r="G245" s="149">
        <v>225.3</v>
      </c>
      <c r="H245" s="149">
        <v>2</v>
      </c>
      <c r="I245" s="149">
        <v>0.6</v>
      </c>
      <c r="J245" s="149">
        <v>48.5</v>
      </c>
      <c r="K245" s="149"/>
      <c r="L245" s="149">
        <v>7.4</v>
      </c>
      <c r="M245" s="149">
        <v>0.24</v>
      </c>
      <c r="N245" s="149">
        <f>IFERROR(SUM(N246:N246)/(SUM($C$246:$C$246)/100000),"")</f>
        <v>2</v>
      </c>
      <c r="O245" s="150" t="str">
        <f>IF(OR(B245="",C245=""),"",IFERROR(C245/1000*IFERROR(INDEX(Vöruskrá!R:R,MATCH(B245,Vöruskrá!B:B,0)),0)/1000,""))</f>
        <v/>
      </c>
      <c r="P245" s="147" t="s">
        <v>1631</v>
      </c>
      <c r="Q245" s="28" t="s">
        <v>1632</v>
      </c>
      <c r="R245" s="6" t="s">
        <v>1633</v>
      </c>
    </row>
    <row r="246" spans="1:18" ht="24">
      <c r="A246" s="21"/>
      <c r="B246" s="21" t="s">
        <v>1429</v>
      </c>
      <c r="C246" s="22">
        <v>100000</v>
      </c>
      <c r="D246" s="23" t="s">
        <v>1431</v>
      </c>
      <c r="E246" s="23" t="s">
        <v>31</v>
      </c>
      <c r="F246" s="23" t="s">
        <v>1432</v>
      </c>
      <c r="G246" s="24">
        <f>IF(OR(B246="",C246=""),"",IFERROR(IFERROR(INDEX(Vöruskrá!J:J,MATCH(B246,Vöruskrá!B:B,0)),"")*C246/100000,""))</f>
        <v>225.3</v>
      </c>
      <c r="H246" s="24">
        <f>IF(OR(B246="",C246=""),"",IFERROR(IFERROR(INDEX(Vöruskrá!K:K,MATCH(B246,Vöruskrá!B:B,0)),"")*C246/100000,""))</f>
        <v>2</v>
      </c>
      <c r="I246" s="24">
        <f>IF(OR(B246="",C246=""),"",IFERROR(IFERROR(INDEX(Vöruskrá!L:L,MATCH(B246,Vöruskrá!B:B,0)),"")*C246/100000,""))</f>
        <v>0.6</v>
      </c>
      <c r="J246" s="24">
        <f>IF(OR(B246="",C246=""),"",IFERROR(IFERROR(INDEX(Vöruskrá!M:M,MATCH(B246,Vöruskrá!B:B,0)),"")*C246/100000,""))</f>
        <v>48.5</v>
      </c>
      <c r="K246" s="24">
        <f>IF(OR(B246="",C246=""),"",IFERROR(IFERROR(INDEX(Vöruskrá!N:N,MATCH(B246,Vöruskrá!B:B,0)),"")*C246/100000,""))</f>
        <v>0.9</v>
      </c>
      <c r="L246" s="24">
        <f>IF(OR(B246="",C246=""),"",IFERROR(IFERROR(INDEX(Vöruskrá!O:O,MATCH(B246,Vöruskrá!B:B,0)),"")*C246/100000,""))</f>
        <v>7.4</v>
      </c>
      <c r="M246" s="24">
        <f>IF(OR(B246="",C246=""),"",IFERROR(IFERROR(INDEX(Vöruskrá!P:P,MATCH(B246,Vöruskrá!B:B,0)),"")*C246/100000,""))</f>
        <v>0.24</v>
      </c>
      <c r="N246" s="24">
        <f>IF(OR(B246="",C246=""),"",IFERROR(IFERROR(INDEX(Vöruskrá!Q:Q,MATCH(B246,Vöruskrá!B:B,0)),"")*C246/100000,""))</f>
        <v>2</v>
      </c>
      <c r="O246" s="25">
        <f>IF(OR(B246="",C246=""),"",IFERROR(C246/1000*IFERROR(INDEX(Vöruskrá!R:R,MATCH(B246,Vöruskrá!B:B,0)),0)/1000,""))</f>
        <v>0</v>
      </c>
      <c r="P246" s="21"/>
      <c r="Q246" s="26"/>
      <c r="R246" s="27"/>
    </row>
    <row r="247" spans="1:18" ht="24">
      <c r="A247" s="147" t="s">
        <v>1634</v>
      </c>
      <c r="B247" s="147"/>
      <c r="C247" s="148"/>
      <c r="D247" s="147" t="s">
        <v>1635</v>
      </c>
      <c r="E247" s="147" t="s">
        <v>31</v>
      </c>
      <c r="F247" s="147"/>
      <c r="G247" s="149">
        <v>123.55</v>
      </c>
      <c r="H247" s="149">
        <v>0.42</v>
      </c>
      <c r="I247" s="149">
        <v>7.0000000000000007E-2</v>
      </c>
      <c r="J247" s="149">
        <v>25.2</v>
      </c>
      <c r="K247" s="149"/>
      <c r="L247" s="149">
        <v>4.2</v>
      </c>
      <c r="M247" s="149">
        <v>0.6</v>
      </c>
      <c r="N247" s="149">
        <f>IFERROR(SUM(N248:N250)/(SUM($C$248:$C$250)/100000),"")</f>
        <v>1.05</v>
      </c>
      <c r="O247" s="150" t="str">
        <f>IF(OR(B247="",C247=""),"",IFERROR(C247/1000*IFERROR(INDEX(Vöruskrá!R:R,MATCH(B247,Vöruskrá!B:B,0)),0)/1000,""))</f>
        <v/>
      </c>
      <c r="P247" s="147" t="s">
        <v>1636</v>
      </c>
      <c r="Q247" s="28" t="s">
        <v>1637</v>
      </c>
      <c r="R247" s="6" t="s">
        <v>1638</v>
      </c>
    </row>
    <row r="248" spans="1:18" ht="15">
      <c r="A248" s="21"/>
      <c r="B248" s="21" t="s">
        <v>912</v>
      </c>
      <c r="C248" s="22">
        <v>35000</v>
      </c>
      <c r="D248" s="23" t="s">
        <v>914</v>
      </c>
      <c r="E248" s="23" t="s">
        <v>31</v>
      </c>
      <c r="F248" s="23" t="s">
        <v>915</v>
      </c>
      <c r="G248" s="24">
        <f>IF(OR(B248="",C248=""),"",IFERROR(IFERROR(INDEX(Vöruskrá!J:J,MATCH(B248,Vöruskrá!B:B,0)),"")*C248/100000,""))</f>
        <v>123.55</v>
      </c>
      <c r="H248" s="24">
        <f>IF(OR(B248="",C248=""),"",IFERROR(IFERROR(INDEX(Vöruskrá!K:K,MATCH(B248,Vöruskrá!B:B,0)),"")*C248/100000,""))</f>
        <v>0.42</v>
      </c>
      <c r="I248" s="24">
        <f>IF(OR(B248="",C248=""),"",IFERROR(IFERROR(INDEX(Vöruskrá!L:L,MATCH(B248,Vöruskrá!B:B,0)),"")*C248/100000,""))</f>
        <v>7.0000000000000007E-2</v>
      </c>
      <c r="J248" s="24">
        <f>IF(OR(B248="",C248=""),"",IFERROR(IFERROR(INDEX(Vöruskrá!M:M,MATCH(B248,Vöruskrá!B:B,0)),"")*C248/100000,""))</f>
        <v>25.2</v>
      </c>
      <c r="K248" s="24">
        <f>IF(OR(B248="",C248=""),"",IFERROR(IFERROR(INDEX(Vöruskrá!N:N,MATCH(B248,Vöruskrá!B:B,0)),"")*C248/100000,""))</f>
        <v>0.875</v>
      </c>
      <c r="L248" s="24">
        <f>IF(OR(B248="",C248=""),"",IFERROR(IFERROR(INDEX(Vöruskrá!O:O,MATCH(B248,Vöruskrá!B:B,0)),"")*C248/100000,""))</f>
        <v>4.2</v>
      </c>
      <c r="M248" s="24">
        <f>IF(OR(B248="",C248=""),"",IFERROR(IFERROR(INDEX(Vöruskrá!P:P,MATCH(B248,Vöruskrá!B:B,0)),"")*C248/100000,""))</f>
        <v>0</v>
      </c>
      <c r="N248" s="24">
        <f>IF(OR(B248="",C248=""),"",IFERROR(IFERROR(INDEX(Vöruskrá!Q:Q,MATCH(B248,Vöruskrá!B:B,0)),"")*C248/100000,""))</f>
        <v>1.05</v>
      </c>
      <c r="O248" s="25">
        <f>IF(OR(B248="",C248=""),"",IFERROR(C248/1000*IFERROR(INDEX(Vöruskrá!R:R,MATCH(B248,Vöruskrá!B:B,0)),0)/1000,""))</f>
        <v>0</v>
      </c>
      <c r="P248" s="21"/>
      <c r="Q248" s="26"/>
      <c r="R248" s="27"/>
    </row>
    <row r="249" spans="1:18" ht="15">
      <c r="A249" s="6"/>
      <c r="B249" s="6" t="s">
        <v>299</v>
      </c>
      <c r="C249" s="28">
        <v>600</v>
      </c>
      <c r="D249" s="23" t="s">
        <v>302</v>
      </c>
      <c r="E249" s="23" t="s">
        <v>134</v>
      </c>
      <c r="F249" s="23" t="s">
        <v>303</v>
      </c>
      <c r="G249" s="24">
        <f>IF(OR(B249="",C249=""),"",IFERROR(IFERROR(INDEX(Vöruskrá!J:J,MATCH(B249,Vöruskrá!B:B,0)),"")*C249/100000,""))</f>
        <v>0</v>
      </c>
      <c r="H249" s="24">
        <f>IF(OR(B249="",C249=""),"",IFERROR(IFERROR(INDEX(Vöruskrá!K:K,MATCH(B249,Vöruskrá!B:B,0)),"")*C249/100000,""))</f>
        <v>0</v>
      </c>
      <c r="I249" s="24">
        <f>IF(OR(B249="",C249=""),"",IFERROR(IFERROR(INDEX(Vöruskrá!L:L,MATCH(B249,Vöruskrá!B:B,0)),"")*C249/100000,""))</f>
        <v>0</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0.6</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1020</v>
      </c>
      <c r="C250" s="22">
        <v>64400</v>
      </c>
      <c r="D250" s="23" t="s">
        <v>1020</v>
      </c>
      <c r="E250" s="23" t="s">
        <v>134</v>
      </c>
      <c r="F250" s="23"/>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0</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1639</v>
      </c>
      <c r="B251" s="147"/>
      <c r="C251" s="148"/>
      <c r="D251" s="147" t="s">
        <v>70</v>
      </c>
      <c r="E251" s="147" t="s">
        <v>71</v>
      </c>
      <c r="F251" s="147"/>
      <c r="G251" s="149">
        <v>305</v>
      </c>
      <c r="H251" s="149">
        <v>14</v>
      </c>
      <c r="I251" s="149">
        <v>6.4</v>
      </c>
      <c r="J251" s="149">
        <v>37</v>
      </c>
      <c r="K251" s="149"/>
      <c r="L251" s="149">
        <v>6.6</v>
      </c>
      <c r="M251" s="149">
        <v>1.5</v>
      </c>
      <c r="N251" s="149">
        <f>IFERROR(SUM(N252:N252)/(SUM($C$252:$C$252)/100000),"")</f>
        <v>1.9</v>
      </c>
      <c r="O251" s="150" t="str">
        <f>IF(OR(B251="",C251=""),"",IFERROR(C251/1000*IFERROR(INDEX(Vöruskrá!R:R,MATCH(B251,Vöruskrá!B:B,0)),0)/1000,""))</f>
        <v/>
      </c>
      <c r="P251" s="147" t="s">
        <v>1640</v>
      </c>
      <c r="Q251" s="28" t="s">
        <v>1641</v>
      </c>
      <c r="R251" s="6" t="s">
        <v>1642</v>
      </c>
    </row>
    <row r="252" spans="1:18" ht="24">
      <c r="A252" s="21"/>
      <c r="B252" s="21" t="s">
        <v>69</v>
      </c>
      <c r="C252" s="22">
        <v>100000</v>
      </c>
      <c r="D252" s="23" t="s">
        <v>70</v>
      </c>
      <c r="E252" s="23" t="s">
        <v>71</v>
      </c>
      <c r="F252" s="23" t="s">
        <v>72</v>
      </c>
      <c r="G252" s="24">
        <f>IF(OR(B252="",C252=""),"",IFERROR(IFERROR(INDEX(Vöruskrá!J:J,MATCH(B252,Vöruskrá!B:B,0)),"")*C252/100000,""))</f>
        <v>305</v>
      </c>
      <c r="H252" s="24">
        <f>IF(OR(B252="",C252=""),"",IFERROR(IFERROR(INDEX(Vöruskrá!K:K,MATCH(B252,Vöruskrá!B:B,0)),"")*C252/100000,""))</f>
        <v>14</v>
      </c>
      <c r="I252" s="24">
        <f>IF(OR(B252="",C252=""),"",IFERROR(IFERROR(INDEX(Vöruskrá!L:L,MATCH(B252,Vöruskrá!B:B,0)),"")*C252/100000,""))</f>
        <v>6.4</v>
      </c>
      <c r="J252" s="24">
        <f>IF(OR(B252="",C252=""),"",IFERROR(IFERROR(INDEX(Vöruskrá!M:M,MATCH(B252,Vöruskrá!B:B,0)),"")*C252/100000,""))</f>
        <v>37</v>
      </c>
      <c r="K252" s="24">
        <f>IF(OR(B252="",C252=""),"",IFERROR(IFERROR(INDEX(Vöruskrá!N:N,MATCH(B252,Vöruskrá!B:B,0)),"")*C252/100000,""))</f>
        <v>0.8</v>
      </c>
      <c r="L252" s="24">
        <f>IF(OR(B252="",C252=""),"",IFERROR(IFERROR(INDEX(Vöruskrá!O:O,MATCH(B252,Vöruskrá!B:B,0)),"")*C252/100000,""))</f>
        <v>6.6</v>
      </c>
      <c r="M252" s="24">
        <f>IF(OR(B252="",C252=""),"",IFERROR(IFERROR(INDEX(Vöruskrá!P:P,MATCH(B252,Vöruskrá!B:B,0)),"")*C252/100000,""))</f>
        <v>1.5</v>
      </c>
      <c r="N252" s="24">
        <f>IF(OR(B252="",C252=""),"",IFERROR(IFERROR(INDEX(Vöruskrá!Q:Q,MATCH(B252,Vöruskrá!B:B,0)),"")*C252/100000,""))</f>
        <v>1.9</v>
      </c>
      <c r="O252" s="25">
        <f>IF(OR(B252="",C252=""),"",IFERROR(C252/1000*IFERROR(INDEX(Vöruskrá!R:R,MATCH(B252,Vöruskrá!B:B,0)),0)/1000,""))</f>
        <v>0</v>
      </c>
      <c r="P252" s="21"/>
      <c r="Q252" s="26"/>
      <c r="R252" s="27"/>
    </row>
    <row r="253" spans="1:18" ht="24">
      <c r="A253" s="147" t="s">
        <v>1643</v>
      </c>
      <c r="B253" s="147"/>
      <c r="C253" s="148"/>
      <c r="D253" s="147" t="s">
        <v>1644</v>
      </c>
      <c r="E253" s="147" t="s">
        <v>120</v>
      </c>
      <c r="F253" s="147"/>
      <c r="G253" s="149">
        <v>115.34</v>
      </c>
      <c r="H253" s="149">
        <v>4.59</v>
      </c>
      <c r="I253" s="149">
        <v>3.04</v>
      </c>
      <c r="J253" s="149">
        <v>15.58</v>
      </c>
      <c r="K253" s="149"/>
      <c r="L253" s="149">
        <v>2.1800000000000002</v>
      </c>
      <c r="M253" s="149">
        <v>0.7</v>
      </c>
      <c r="N253" s="149">
        <f>IFERROR(SUM(N254:N256)/(SUM($C$254:$C$256)/100000),"")</f>
        <v>1.649</v>
      </c>
      <c r="O253" s="150" t="str">
        <f>IF(OR(B253="",C253=""),"",IFERROR(C253/1000*IFERROR(INDEX(Vöruskrá!R:R,MATCH(B253,Vöruskrá!B:B,0)),0)/1000,""))</f>
        <v/>
      </c>
      <c r="P253" s="147" t="s">
        <v>1645</v>
      </c>
      <c r="Q253" s="28" t="s">
        <v>1646</v>
      </c>
      <c r="R253" s="6" t="s">
        <v>1647</v>
      </c>
    </row>
    <row r="254" spans="1:18" ht="15">
      <c r="A254" s="21"/>
      <c r="B254" s="21" t="s">
        <v>1276</v>
      </c>
      <c r="C254" s="22">
        <v>97000</v>
      </c>
      <c r="D254" s="23" t="s">
        <v>1278</v>
      </c>
      <c r="E254" s="23" t="s">
        <v>120</v>
      </c>
      <c r="F254" s="23" t="s">
        <v>1279</v>
      </c>
      <c r="G254" s="24">
        <f>IF(OR(B254="",C254=""),"",IFERROR(IFERROR(INDEX(Vöruskrá!J:J,MATCH(B254,Vöruskrá!B:B,0)),"")*C254/100000,""))</f>
        <v>99.91</v>
      </c>
      <c r="H254" s="24">
        <f>IF(OR(B254="",C254=""),"",IFERROR(IFERROR(INDEX(Vöruskrá!K:K,MATCH(B254,Vöruskrá!B:B,0)),"")*C254/100000,""))</f>
        <v>2.91</v>
      </c>
      <c r="I254" s="24">
        <f>IF(OR(B254="",C254=""),"",IFERROR(IFERROR(INDEX(Vöruskrá!L:L,MATCH(B254,Vöruskrá!B:B,0)),"")*C254/100000,""))</f>
        <v>2.0369999999999999</v>
      </c>
      <c r="J254" s="24">
        <f>IF(OR(B254="",C254=""),"",IFERROR(IFERROR(INDEX(Vöruskrá!M:M,MATCH(B254,Vöruskrá!B:B,0)),"")*C254/100000,""))</f>
        <v>15.52</v>
      </c>
      <c r="K254" s="24">
        <f>IF(OR(B254="",C254=""),"",IFERROR(IFERROR(INDEX(Vöruskrá!N:N,MATCH(B254,Vöruskrá!B:B,0)),"")*C254/100000,""))</f>
        <v>1.1639999999999999</v>
      </c>
      <c r="L254" s="24">
        <f>IF(OR(B254="",C254=""),"",IFERROR(IFERROR(INDEX(Vöruskrá!O:O,MATCH(B254,Vöruskrá!B:B,0)),"")*C254/100000,""))</f>
        <v>2.1340000000000003</v>
      </c>
      <c r="M254" s="24">
        <f>IF(OR(B254="",C254=""),"",IFERROR(IFERROR(INDEX(Vöruskrá!P:P,MATCH(B254,Vöruskrá!B:B,0)),"")*C254/100000,""))</f>
        <v>0.67900000000000005</v>
      </c>
      <c r="N254" s="24">
        <f>IF(OR(B254="",C254=""),"",IFERROR(IFERROR(INDEX(Vöruskrá!Q:Q,MATCH(B254,Vöruskrá!B:B,0)),"")*C254/100000,""))</f>
        <v>1.649</v>
      </c>
      <c r="O254" s="25">
        <f>IF(OR(B254="",C254=""),"",IFERROR(C254/1000*IFERROR(INDEX(Vöruskrá!R:R,MATCH(B254,Vöruskrá!B:B,0)),0)/1000,""))</f>
        <v>0</v>
      </c>
      <c r="P254" s="21"/>
      <c r="Q254" s="26"/>
      <c r="R254" s="27"/>
    </row>
    <row r="255" spans="1:18" ht="15">
      <c r="A255" s="6"/>
      <c r="B255" s="6" t="s">
        <v>445</v>
      </c>
      <c r="C255" s="28">
        <v>2000</v>
      </c>
      <c r="D255" s="23" t="s">
        <v>448</v>
      </c>
      <c r="E255" s="23" t="s">
        <v>120</v>
      </c>
      <c r="F255" s="23"/>
      <c r="G255" s="24">
        <f>IF(OR(B255="",C255=""),"",IFERROR(IFERROR(INDEX(Vöruskrá!J:J,MATCH(B255,Vöruskrá!B:B,0)),"")*C255/100000,""))</f>
        <v>14.76</v>
      </c>
      <c r="H255" s="24">
        <f>IF(OR(B255="",C255=""),"",IFERROR(IFERROR(INDEX(Vöruskrá!K:K,MATCH(B255,Vöruskrá!B:B,0)),"")*C255/100000,""))</f>
        <v>1.64</v>
      </c>
      <c r="I255" s="24">
        <f>IF(OR(B255="",C255=""),"",IFERROR(IFERROR(INDEX(Vöruskrá!L:L,MATCH(B255,Vöruskrá!B:B,0)),"")*C255/100000,""))</f>
        <v>0.98</v>
      </c>
      <c r="J255" s="24">
        <f>IF(OR(B255="",C255=""),"",IFERROR(IFERROR(INDEX(Vöruskrá!M:M,MATCH(B255,Vöruskrá!B:B,0)),"")*C255/100000,""))</f>
        <v>8.0000000000000002E-3</v>
      </c>
      <c r="K255" s="24">
        <f>IF(OR(B255="",C255=""),"",IFERROR(IFERROR(INDEX(Vöruskrá!N:N,MATCH(B255,Vöruskrá!B:B,0)),"")*C255/100000,""))</f>
        <v>8.0000000000000002E-3</v>
      </c>
      <c r="L255" s="24">
        <f>IF(OR(B255="",C255=""),"",IFERROR(IFERROR(INDEX(Vöruskrá!O:O,MATCH(B255,Vöruskrá!B:B,0)),"")*C255/100000,""))</f>
        <v>1.2E-2</v>
      </c>
      <c r="M255" s="24">
        <f>IF(OR(B255="",C255=""),"",IFERROR(IFERROR(INDEX(Vöruskrá!P:P,MATCH(B255,Vöruskrá!B:B,0)),"")*C255/100000,""))</f>
        <v>2.4E-2</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849</v>
      </c>
      <c r="C256" s="22">
        <v>1000</v>
      </c>
      <c r="D256" s="23" t="s">
        <v>850</v>
      </c>
      <c r="E256" s="23" t="s">
        <v>120</v>
      </c>
      <c r="F256" s="23"/>
      <c r="G256" s="24">
        <f>IF(OR(B256="",C256=""),"",IFERROR(IFERROR(INDEX(Vöruskrá!J:J,MATCH(B256,Vöruskrá!B:B,0)),"")*C256/100000,""))</f>
        <v>0.67</v>
      </c>
      <c r="H256" s="24">
        <f>IF(OR(B256="",C256=""),"",IFERROR(IFERROR(INDEX(Vöruskrá!K:K,MATCH(B256,Vöruskrá!B:B,0)),"")*C256/100000,""))</f>
        <v>3.9E-2</v>
      </c>
      <c r="I256" s="24">
        <f>IF(OR(B256="",C256=""),"",IFERROR(IFERROR(INDEX(Vöruskrá!L:L,MATCH(B256,Vöruskrá!B:B,0)),"")*C256/100000,""))</f>
        <v>2.3E-2</v>
      </c>
      <c r="J256" s="24">
        <f>IF(OR(B256="",C256=""),"",IFERROR(IFERROR(INDEX(Vöruskrá!M:M,MATCH(B256,Vöruskrá!B:B,0)),"")*C256/100000,""))</f>
        <v>4.7E-2</v>
      </c>
      <c r="K256" s="24">
        <f>IF(OR(B256="",C256=""),"",IFERROR(IFERROR(INDEX(Vöruskrá!N:N,MATCH(B256,Vöruskrá!B:B,0)),"")*C256/100000,""))</f>
        <v>4.7E-2</v>
      </c>
      <c r="L256" s="24">
        <f>IF(OR(B256="",C256=""),"",IFERROR(IFERROR(INDEX(Vöruskrá!O:O,MATCH(B256,Vöruskrá!B:B,0)),"")*C256/100000,""))</f>
        <v>3.3000000000000002E-2</v>
      </c>
      <c r="M256" s="24">
        <f>IF(OR(B256="",C256=""),"",IFERROR(IFERROR(INDEX(Vöruskrá!P:P,MATCH(B256,Vöruskrá!B:B,0)),"")*C256/100000,""))</f>
        <v>1E-3</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1648</v>
      </c>
      <c r="B257" s="147"/>
      <c r="C257" s="148"/>
      <c r="D257" s="147" t="s">
        <v>1649</v>
      </c>
      <c r="E257" s="147" t="s">
        <v>134</v>
      </c>
      <c r="F257" s="147"/>
      <c r="G257" s="149">
        <v>151.80000000000001</v>
      </c>
      <c r="H257" s="149">
        <v>6.65</v>
      </c>
      <c r="I257" s="149">
        <v>2.35</v>
      </c>
      <c r="J257" s="149">
        <v>19.2</v>
      </c>
      <c r="K257" s="149"/>
      <c r="L257" s="149">
        <v>2.59</v>
      </c>
      <c r="M257" s="149">
        <v>1.1000000000000001</v>
      </c>
      <c r="N257" s="149">
        <f>IFERROR(SUM(N258:N260)/(SUM($C$258:$C$260)/100000),"")</f>
        <v>2.5920000000000001</v>
      </c>
      <c r="O257" s="150" t="str">
        <f>IF(OR(B257="",C257=""),"",IFERROR(C257/1000*IFERROR(INDEX(Vöruskrá!R:R,MATCH(B257,Vöruskrá!B:B,0)),0)/1000,""))</f>
        <v/>
      </c>
      <c r="P257" s="147" t="s">
        <v>1650</v>
      </c>
      <c r="Q257" s="28" t="s">
        <v>1651</v>
      </c>
      <c r="R257" s="6" t="s">
        <v>1652</v>
      </c>
    </row>
    <row r="258" spans="1:18" ht="15">
      <c r="A258" s="21"/>
      <c r="B258" s="21" t="s">
        <v>270</v>
      </c>
      <c r="C258" s="22">
        <v>96000</v>
      </c>
      <c r="D258" s="23" t="s">
        <v>272</v>
      </c>
      <c r="E258" s="23" t="s">
        <v>134</v>
      </c>
      <c r="F258" s="23"/>
      <c r="G258" s="24">
        <f>IF(OR(B258="",C258=""),"",IFERROR(IFERROR(INDEX(Vöruskrá!J:J,MATCH(B258,Vöruskrá!B:B,0)),"")*C258/100000,""))</f>
        <v>124.8</v>
      </c>
      <c r="H258" s="24">
        <f>IF(OR(B258="",C258=""),"",IFERROR(IFERROR(INDEX(Vöruskrá!K:K,MATCH(B258,Vöruskrá!B:B,0)),"")*C258/100000,""))</f>
        <v>3.6480000000000001</v>
      </c>
      <c r="I258" s="24">
        <f>IF(OR(B258="",C258=""),"",IFERROR(IFERROR(INDEX(Vöruskrá!L:L,MATCH(B258,Vöruskrá!B:B,0)),"")*C258/100000,""))</f>
        <v>2.016</v>
      </c>
      <c r="J258" s="24">
        <f>IF(OR(B258="",C258=""),"",IFERROR(IFERROR(INDEX(Vöruskrá!M:M,MATCH(B258,Vöruskrá!B:B,0)),"")*C258/100000,""))</f>
        <v>19.2</v>
      </c>
      <c r="K258" s="24">
        <f>IF(OR(B258="",C258=""),"",IFERROR(IFERROR(INDEX(Vöruskrá!N:N,MATCH(B258,Vöruskrá!B:B,0)),"")*C258/100000,""))</f>
        <v>0</v>
      </c>
      <c r="L258" s="24">
        <f>IF(OR(B258="",C258=""),"",IFERROR(IFERROR(INDEX(Vöruskrá!O:O,MATCH(B258,Vöruskrá!B:B,0)),"")*C258/100000,""))</f>
        <v>2.5920000000000001</v>
      </c>
      <c r="M258" s="24">
        <f>IF(OR(B258="",C258=""),"",IFERROR(IFERROR(INDEX(Vöruskrá!P:P,MATCH(B258,Vöruskrá!B:B,0)),"")*C258/100000,""))</f>
        <v>9.6000000000000002E-2</v>
      </c>
      <c r="N258" s="24">
        <f>IF(OR(B258="",C258=""),"",IFERROR(IFERROR(INDEX(Vöruskrá!Q:Q,MATCH(B258,Vöruskrá!B:B,0)),"")*C258/100000,""))</f>
        <v>2.5920000000000001</v>
      </c>
      <c r="O258" s="25">
        <f>IF(OR(B258="",C258=""),"",IFERROR(C258/1000*IFERROR(INDEX(Vöruskrá!R:R,MATCH(B258,Vöruskrá!B:B,0)),0)/1000,""))</f>
        <v>0</v>
      </c>
      <c r="P258" s="21"/>
      <c r="Q258" s="26"/>
      <c r="R258" s="27"/>
    </row>
    <row r="259" spans="1:18" ht="15">
      <c r="A259" s="6"/>
      <c r="B259" s="6" t="s">
        <v>1018</v>
      </c>
      <c r="C259" s="28">
        <v>3000</v>
      </c>
      <c r="D259" s="23" t="s">
        <v>1018</v>
      </c>
      <c r="E259" s="23" t="s">
        <v>134</v>
      </c>
      <c r="F259" s="23"/>
      <c r="G259" s="24">
        <f>IF(OR(B259="",C259=""),"",IFERROR(IFERROR(INDEX(Vöruskrá!J:J,MATCH(B259,Vöruskrá!B:B,0)),"")*C259/100000,""))</f>
        <v>27</v>
      </c>
      <c r="H259" s="24">
        <f>IF(OR(B259="",C259=""),"",IFERROR(IFERROR(INDEX(Vöruskrá!K:K,MATCH(B259,Vöruskrá!B:B,0)),"")*C259/100000,""))</f>
        <v>3</v>
      </c>
      <c r="I259" s="24">
        <f>IF(OR(B259="",C259=""),"",IFERROR(IFERROR(INDEX(Vöruskrá!L:L,MATCH(B259,Vöruskrá!B:B,0)),"")*C259/100000,""))</f>
        <v>0.33</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299</v>
      </c>
      <c r="C260" s="22">
        <v>1000</v>
      </c>
      <c r="D260" s="23" t="s">
        <v>302</v>
      </c>
      <c r="E260" s="23" t="s">
        <v>134</v>
      </c>
      <c r="F260" s="23" t="s">
        <v>303</v>
      </c>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1</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1653</v>
      </c>
      <c r="B261" s="147"/>
      <c r="C261" s="148"/>
      <c r="D261" s="147" t="s">
        <v>1654</v>
      </c>
      <c r="E261" s="147" t="s">
        <v>1655</v>
      </c>
      <c r="F261" s="147"/>
      <c r="G261" s="149">
        <v>158.99</v>
      </c>
      <c r="H261" s="149">
        <v>6.39</v>
      </c>
      <c r="I261" s="149">
        <v>3.76</v>
      </c>
      <c r="J261" s="149">
        <v>24.03</v>
      </c>
      <c r="K261" s="149"/>
      <c r="L261" s="149">
        <v>2.39</v>
      </c>
      <c r="M261" s="149">
        <v>0.54</v>
      </c>
      <c r="N261" s="149">
        <f>IFERROR(SUM(N262:N266)/(SUM($C$262:$C$266)/100000),"")</f>
        <v>3.23</v>
      </c>
      <c r="O261" s="150" t="str">
        <f>IF(OR(B261="",C261=""),"",IFERROR(C261/1000*IFERROR(INDEX(Vöruskrá!R:R,MATCH(B261,Vöruskrá!B:B,0)),0)/1000,""))</f>
        <v/>
      </c>
      <c r="P261" s="147" t="s">
        <v>1656</v>
      </c>
      <c r="Q261" s="28" t="s">
        <v>1657</v>
      </c>
      <c r="R261" s="6" t="s">
        <v>1658</v>
      </c>
    </row>
    <row r="262" spans="1:18" ht="15">
      <c r="A262" s="21"/>
      <c r="B262" s="21" t="s">
        <v>961</v>
      </c>
      <c r="C262" s="22">
        <v>85000</v>
      </c>
      <c r="D262" s="23" t="s">
        <v>962</v>
      </c>
      <c r="E262" s="23" t="s">
        <v>537</v>
      </c>
      <c r="F262" s="23"/>
      <c r="G262" s="24">
        <f>IF(OR(B262="",C262=""),"",IFERROR(IFERROR(INDEX(Vöruskrá!J:J,MATCH(B262,Vöruskrá!B:B,0)),"")*C262/100000,""))</f>
        <v>102.85</v>
      </c>
      <c r="H262" s="24">
        <f>IF(OR(B262="",C262=""),"",IFERROR(IFERROR(INDEX(Vöruskrá!K:K,MATCH(B262,Vöruskrá!B:B,0)),"")*C262/100000,""))</f>
        <v>0.42499999999999999</v>
      </c>
      <c r="I262" s="24">
        <f>IF(OR(B262="",C262=""),"",IFERROR(IFERROR(INDEX(Vöruskrá!L:L,MATCH(B262,Vöruskrá!B:B,0)),"")*C262/100000,""))</f>
        <v>8.5000000000000006E-2</v>
      </c>
      <c r="J262" s="24">
        <f>IF(OR(B262="",C262=""),"",IFERROR(IFERROR(INDEX(Vöruskrá!M:M,MATCH(B262,Vöruskrá!B:B,0)),"")*C262/100000,""))</f>
        <v>23.715</v>
      </c>
      <c r="K262" s="24">
        <f>IF(OR(B262="",C262=""),"",IFERROR(IFERROR(INDEX(Vöruskrá!N:N,MATCH(B262,Vöruskrá!B:B,0)),"")*C262/100000,""))</f>
        <v>8.5000000000000006E-2</v>
      </c>
      <c r="L262" s="24">
        <f>IF(OR(B262="",C262=""),"",IFERROR(IFERROR(INDEX(Vöruskrá!O:O,MATCH(B262,Vöruskrá!B:B,0)),"")*C262/100000,""))</f>
        <v>2.125</v>
      </c>
      <c r="M262" s="24">
        <f>IF(OR(B262="",C262=""),"",IFERROR(IFERROR(INDEX(Vöruskrá!P:P,MATCH(B262,Vöruskrá!B:B,0)),"")*C262/100000,""))</f>
        <v>0</v>
      </c>
      <c r="N262" s="24">
        <f>IF(OR(B262="",C262=""),"",IFERROR(IFERROR(INDEX(Vöruskrá!Q:Q,MATCH(B262,Vöruskrá!B:B,0)),"")*C262/100000,""))</f>
        <v>3.23</v>
      </c>
      <c r="O262" s="25">
        <f>IF(OR(B262="",C262=""),"",IFERROR(C262/1000*IFERROR(INDEX(Vöruskrá!R:R,MATCH(B262,Vöruskrá!B:B,0)),0)/1000,""))</f>
        <v>0</v>
      </c>
      <c r="P262" s="21"/>
      <c r="Q262" s="26"/>
      <c r="R262" s="27"/>
    </row>
    <row r="263" spans="1:18" ht="15">
      <c r="A263" s="6"/>
      <c r="B263" s="6" t="s">
        <v>1058</v>
      </c>
      <c r="C263" s="28">
        <v>10000</v>
      </c>
      <c r="D263" s="23" t="s">
        <v>1059</v>
      </c>
      <c r="E263" s="23" t="s">
        <v>120</v>
      </c>
      <c r="F263" s="23"/>
      <c r="G263" s="24">
        <f>IF(OR(B263="",C263=""),"",IFERROR(IFERROR(INDEX(Vöruskrá!J:J,MATCH(B263,Vöruskrá!B:B,0)),"")*C263/100000,""))</f>
        <v>34</v>
      </c>
      <c r="H263" s="24">
        <f>IF(OR(B263="",C263=""),"",IFERROR(IFERROR(INDEX(Vöruskrá!K:K,MATCH(B263,Vöruskrá!B:B,0)),"")*C263/100000,""))</f>
        <v>3.5</v>
      </c>
      <c r="I263" s="24">
        <f>IF(OR(B263="",C263=""),"",IFERROR(IFERROR(INDEX(Vöruskrá!L:L,MATCH(B263,Vöruskrá!B:B,0)),"")*C263/100000,""))</f>
        <v>2.2000000000000002</v>
      </c>
      <c r="J263" s="24">
        <f>IF(OR(B263="",C263=""),"",IFERROR(IFERROR(INDEX(Vöruskrá!M:M,MATCH(B263,Vöruskrá!B:B,0)),"")*C263/100000,""))</f>
        <v>0.3</v>
      </c>
      <c r="K263" s="24">
        <f>IF(OR(B263="",C263=""),"",IFERROR(IFERROR(INDEX(Vöruskrá!N:N,MATCH(B263,Vöruskrá!B:B,0)),"")*C263/100000,""))</f>
        <v>0.3</v>
      </c>
      <c r="L263" s="24">
        <f>IF(OR(B263="",C263=""),"",IFERROR(IFERROR(INDEX(Vöruskrá!O:O,MATCH(B263,Vöruskrá!B:B,0)),"")*C263/100000,""))</f>
        <v>0.25</v>
      </c>
      <c r="M263" s="24">
        <f>IF(OR(B263="",C263=""),"",IFERROR(IFERROR(INDEX(Vöruskrá!P:P,MATCH(B263,Vöruskrá!B:B,0)),"")*C263/100000,""))</f>
        <v>0</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445</v>
      </c>
      <c r="C264" s="22">
        <v>3000</v>
      </c>
      <c r="D264" s="23" t="s">
        <v>448</v>
      </c>
      <c r="E264" s="23" t="s">
        <v>120</v>
      </c>
      <c r="F264" s="23"/>
      <c r="G264" s="24">
        <f>IF(OR(B264="",C264=""),"",IFERROR(IFERROR(INDEX(Vöruskrá!J:J,MATCH(B264,Vöruskrá!B:B,0)),"")*C264/100000,""))</f>
        <v>22.14</v>
      </c>
      <c r="H264" s="24">
        <f>IF(OR(B264="",C264=""),"",IFERROR(IFERROR(INDEX(Vöruskrá!K:K,MATCH(B264,Vöruskrá!B:B,0)),"")*C264/100000,""))</f>
        <v>2.46</v>
      </c>
      <c r="I264" s="24">
        <f>IF(OR(B264="",C264=""),"",IFERROR(IFERROR(INDEX(Vöruskrá!L:L,MATCH(B264,Vöruskrá!B:B,0)),"")*C264/100000,""))</f>
        <v>1.47</v>
      </c>
      <c r="J264" s="24">
        <f>IF(OR(B264="",C264=""),"",IFERROR(IFERROR(INDEX(Vöruskrá!M:M,MATCH(B264,Vöruskrá!B:B,0)),"")*C264/100000,""))</f>
        <v>1.2E-2</v>
      </c>
      <c r="K264" s="24">
        <f>IF(OR(B264="",C264=""),"",IFERROR(IFERROR(INDEX(Vöruskrá!N:N,MATCH(B264,Vöruskrá!B:B,0)),"")*C264/100000,""))</f>
        <v>1.2E-2</v>
      </c>
      <c r="L264" s="24">
        <f>IF(OR(B264="",C264=""),"",IFERROR(IFERROR(INDEX(Vöruskrá!O:O,MATCH(B264,Vöruskrá!B:B,0)),"")*C264/100000,""))</f>
        <v>1.7999999999999999E-2</v>
      </c>
      <c r="M264" s="24">
        <f>IF(OR(B264="",C264=""),"",IFERROR(IFERROR(INDEX(Vöruskrá!P:P,MATCH(B264,Vöruskrá!B:B,0)),"")*C264/100000,""))</f>
        <v>3.5999999999999997E-2</v>
      </c>
      <c r="N264" s="24">
        <f>IF(OR(B264="",C264=""),"",IFERROR(IFERROR(INDEX(Vöruskrá!Q:Q,MATCH(B264,Vöruskrá!B:B,0)),"")*C264/100000,""))</f>
        <v>0</v>
      </c>
      <c r="O264" s="25">
        <f>IF(OR(B264="",C264=""),"",IFERROR(C264/1000*IFERROR(INDEX(Vöruskrá!R:R,MATCH(B264,Vöruskrá!B:B,0)),0)/1000,""))</f>
        <v>0</v>
      </c>
      <c r="P264" s="21"/>
      <c r="Q264" s="26"/>
      <c r="R264" s="27"/>
    </row>
    <row r="265" spans="1:18" ht="15">
      <c r="A265" s="6"/>
      <c r="B265" s="6" t="s">
        <v>299</v>
      </c>
      <c r="C265" s="28">
        <v>500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0.5</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1020</v>
      </c>
      <c r="C266" s="22">
        <v>1500</v>
      </c>
      <c r="D266" s="23" t="s">
        <v>1020</v>
      </c>
      <c r="E266" s="23" t="s">
        <v>134</v>
      </c>
      <c r="F266" s="23"/>
      <c r="G266" s="24">
        <f>IF(OR(B266="",C266=""),"",IFERROR(IFERROR(INDEX(Vöruskrá!J:J,MATCH(B266,Vöruskrá!B:B,0)),"")*C266/100000,""))</f>
        <v>0</v>
      </c>
      <c r="H266" s="24">
        <f>IF(OR(B266="",C266=""),"",IFERROR(IFERROR(INDEX(Vöruskrá!K:K,MATCH(B266,Vöruskrá!B:B,0)),"")*C266/100000,""))</f>
        <v>0</v>
      </c>
      <c r="I266" s="24">
        <f>IF(OR(B266="",C266=""),"",IFERROR(IFERROR(INDEX(Vöruskrá!L:L,MATCH(B266,Vöruskrá!B:B,0)),"")*C266/100000,""))</f>
        <v>0</v>
      </c>
      <c r="J266" s="24">
        <f>IF(OR(B266="",C266=""),"",IFERROR(IFERROR(INDEX(Vöruskrá!M:M,MATCH(B266,Vöruskrá!B:B,0)),"")*C266/100000,""))</f>
        <v>0</v>
      </c>
      <c r="K266" s="24">
        <f>IF(OR(B266="",C266=""),"",IFERROR(IFERROR(INDEX(Vöruskrá!N:N,MATCH(B266,Vöruskrá!B:B,0)),"")*C266/100000,""))</f>
        <v>0</v>
      </c>
      <c r="L266" s="24">
        <f>IF(OR(B266="",C266=""),"",IFERROR(IFERROR(INDEX(Vöruskrá!O:O,MATCH(B266,Vöruskrá!B:B,0)),"")*C266/100000,""))</f>
        <v>0</v>
      </c>
      <c r="M266" s="24">
        <f>IF(OR(B266="",C266=""),"",IFERROR(IFERROR(INDEX(Vöruskrá!P:P,MATCH(B266,Vöruskrá!B:B,0)),"")*C266/100000,""))</f>
        <v>0</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1659</v>
      </c>
      <c r="B267" s="147"/>
      <c r="C267" s="148"/>
      <c r="D267" s="147" t="s">
        <v>1660</v>
      </c>
      <c r="E267" s="147" t="s">
        <v>1661</v>
      </c>
      <c r="F267" s="147"/>
      <c r="G267" s="149">
        <v>324.89999999999998</v>
      </c>
      <c r="H267" s="149">
        <v>13.24</v>
      </c>
      <c r="I267" s="149">
        <v>7.52</v>
      </c>
      <c r="J267" s="149">
        <v>42.56</v>
      </c>
      <c r="K267" s="149"/>
      <c r="L267" s="149">
        <v>4.17</v>
      </c>
      <c r="M267" s="149">
        <v>0.69</v>
      </c>
      <c r="N267" s="149">
        <f>IFERROR(SUM(N268:N269)/(SUM($C$268:$C$269)/100000),"")</f>
        <v>6.9699999999999989</v>
      </c>
      <c r="O267" s="150" t="str">
        <f>IF(OR(B267="",C267=""),"",IFERROR(C267/1000*IFERROR(INDEX(Vöruskrá!R:R,MATCH(B267,Vöruskrá!B:B,0)),0)/1000,""))</f>
        <v/>
      </c>
      <c r="P267" s="147" t="s">
        <v>1662</v>
      </c>
      <c r="Q267" s="28" t="s">
        <v>1663</v>
      </c>
      <c r="R267" s="6" t="s">
        <v>1664</v>
      </c>
    </row>
    <row r="268" spans="1:18" ht="24">
      <c r="A268" s="21"/>
      <c r="B268" s="21" t="s">
        <v>369</v>
      </c>
      <c r="C268" s="22">
        <v>85000</v>
      </c>
      <c r="D268" s="23" t="s">
        <v>370</v>
      </c>
      <c r="E268" s="23" t="s">
        <v>371</v>
      </c>
      <c r="F268" s="23" t="s">
        <v>372</v>
      </c>
      <c r="G268" s="24">
        <f>IF(OR(B268="",C268=""),"",IFERROR(IFERROR(INDEX(Vöruskrá!J:J,MATCH(B268,Vöruskrá!B:B,0)),"")*C268/100000,""))</f>
        <v>214.2</v>
      </c>
      <c r="H268" s="24">
        <f>IF(OR(B268="",C268=""),"",IFERROR(IFERROR(INDEX(Vöruskrá!K:K,MATCH(B268,Vöruskrá!B:B,0)),"")*C268/100000,""))</f>
        <v>0.93500000000000016</v>
      </c>
      <c r="I268" s="24">
        <f>IF(OR(B268="",C268=""),"",IFERROR(IFERROR(INDEX(Vöruskrá!L:L,MATCH(B268,Vöruskrá!B:B,0)),"")*C268/100000,""))</f>
        <v>0.17</v>
      </c>
      <c r="J268" s="24">
        <f>IF(OR(B268="",C268=""),"",IFERROR(IFERROR(INDEX(Vöruskrá!M:M,MATCH(B268,Vöruskrá!B:B,0)),"")*C268/100000,""))</f>
        <v>42.5</v>
      </c>
      <c r="K268" s="24">
        <f>IF(OR(B268="",C268=""),"",IFERROR(IFERROR(INDEX(Vöruskrá!N:N,MATCH(B268,Vöruskrá!B:B,0)),"")*C268/100000,""))</f>
        <v>17</v>
      </c>
      <c r="L268" s="24">
        <f>IF(OR(B268="",C268=""),"",IFERROR(IFERROR(INDEX(Vöruskrá!O:O,MATCH(B268,Vöruskrá!B:B,0)),"")*C268/100000,""))</f>
        <v>4.08</v>
      </c>
      <c r="M268" s="24">
        <f>IF(OR(B268="",C268=""),"",IFERROR(IFERROR(INDEX(Vöruskrá!P:P,MATCH(B268,Vöruskrá!B:B,0)),"")*C268/100000,""))</f>
        <v>0.51</v>
      </c>
      <c r="N268" s="24">
        <f>IF(OR(B268="",C268=""),"",IFERROR(IFERROR(INDEX(Vöruskrá!Q:Q,MATCH(B268,Vöruskrá!B:B,0)),"")*C268/100000,""))</f>
        <v>6.9699999999999989</v>
      </c>
      <c r="O268" s="25">
        <f>IF(OR(B268="",C268=""),"",IFERROR(C268/1000*IFERROR(INDEX(Vöruskrá!R:R,MATCH(B268,Vöruskrá!B:B,0)),0)/1000,""))</f>
        <v>0</v>
      </c>
      <c r="P268" s="21"/>
      <c r="Q268" s="26"/>
      <c r="R268" s="27"/>
    </row>
    <row r="269" spans="1:18" ht="15">
      <c r="A269" s="159"/>
      <c r="B269" s="159" t="s">
        <v>445</v>
      </c>
      <c r="C269" s="160">
        <v>15000</v>
      </c>
      <c r="D269" s="161" t="s">
        <v>448</v>
      </c>
      <c r="E269" s="161" t="s">
        <v>120</v>
      </c>
      <c r="F269" s="161"/>
      <c r="G269" s="162">
        <f>IF(OR(B269="",C269=""),"",IFERROR(IFERROR(INDEX(Vöruskrá!J:J,MATCH(B269,Vöruskrá!B:B,0)),"")*C269/100000,""))</f>
        <v>110.7</v>
      </c>
      <c r="H269" s="162">
        <f>IF(OR(B269="",C269=""),"",IFERROR(IFERROR(INDEX(Vöruskrá!K:K,MATCH(B269,Vöruskrá!B:B,0)),"")*C269/100000,""))</f>
        <v>12.3</v>
      </c>
      <c r="I269" s="162">
        <f>IF(OR(B269="",C269=""),"",IFERROR(IFERROR(INDEX(Vöruskrá!L:L,MATCH(B269,Vöruskrá!B:B,0)),"")*C269/100000,""))</f>
        <v>7.35</v>
      </c>
      <c r="J269" s="162">
        <f>IF(OR(B269="",C269=""),"",IFERROR(IFERROR(INDEX(Vöruskrá!M:M,MATCH(B269,Vöruskrá!B:B,0)),"")*C269/100000,""))</f>
        <v>0.06</v>
      </c>
      <c r="K269" s="162">
        <f>IF(OR(B269="",C269=""),"",IFERROR(IFERROR(INDEX(Vöruskrá!N:N,MATCH(B269,Vöruskrá!B:B,0)),"")*C269/100000,""))</f>
        <v>0.06</v>
      </c>
      <c r="L269" s="162">
        <f>IF(OR(B269="",C269=""),"",IFERROR(IFERROR(INDEX(Vöruskrá!O:O,MATCH(B269,Vöruskrá!B:B,0)),"")*C269/100000,""))</f>
        <v>0.09</v>
      </c>
      <c r="M269" s="162">
        <f>IF(OR(B269="",C269=""),"",IFERROR(IFERROR(INDEX(Vöruskrá!P:P,MATCH(B269,Vöruskrá!B:B,0)),"")*C269/100000,""))</f>
        <v>0.18</v>
      </c>
      <c r="N269" s="162">
        <f>IF(OR(B269="",C269=""),"",IFERROR(IFERROR(INDEX(Vöruskrá!Q:Q,MATCH(B269,Vöruskrá!B:B,0)),"")*C269/100000,""))</f>
        <v>0</v>
      </c>
      <c r="O269" s="163">
        <f>IF(OR(B269="",C269=""),"",IFERROR(C269/1000*IFERROR(INDEX(Vöruskrá!R:R,MATCH(B269,Vöruskrá!B:B,0)),0)/1000,""))</f>
        <v>0</v>
      </c>
      <c r="P269" s="159"/>
      <c r="Q269" s="160"/>
      <c r="R269" s="159"/>
    </row>
    <row r="270" spans="1:18" ht="48">
      <c r="A270" s="147" t="s">
        <v>1665</v>
      </c>
      <c r="B270" s="147"/>
      <c r="C270" s="148"/>
      <c r="D270" s="165" t="s">
        <v>1666</v>
      </c>
      <c r="E270" s="165" t="s">
        <v>621</v>
      </c>
      <c r="F270" s="165"/>
      <c r="G270" s="166">
        <v>105.73</v>
      </c>
      <c r="H270" s="166">
        <v>3.49</v>
      </c>
      <c r="I270" s="166">
        <v>0.28999999999999998</v>
      </c>
      <c r="J270" s="166">
        <v>2.1</v>
      </c>
      <c r="K270" s="166"/>
      <c r="L270" s="166">
        <v>18.02</v>
      </c>
      <c r="M270" s="166">
        <v>1.21</v>
      </c>
      <c r="N270" s="166">
        <f>IFERROR(SUM(N271:N277)/(SUM($C$271:$C$277)/100000),"")</f>
        <v>0</v>
      </c>
      <c r="O270" s="167" t="str">
        <f>IF(OR(B270="",C270=""),"",IFERROR(C270/1000*INDEX(Vöruskrá!R:R,MATCH(B270,Vöruskrá!B:B,0))/1000,""))</f>
        <v/>
      </c>
      <c r="P270" s="196" t="s">
        <v>1667</v>
      </c>
      <c r="Q270" s="195" t="s">
        <v>1668</v>
      </c>
      <c r="R270" s="194" t="s">
        <v>1669</v>
      </c>
    </row>
    <row r="271" spans="1:18" ht="15">
      <c r="A271" s="171"/>
      <c r="B271" s="171" t="s">
        <v>926</v>
      </c>
      <c r="C271" s="172">
        <v>78201</v>
      </c>
      <c r="D271" s="168" t="s">
        <v>926</v>
      </c>
      <c r="E271" s="168" t="s">
        <v>621</v>
      </c>
      <c r="F271" s="168"/>
      <c r="G271" s="169">
        <f>IF(OR(B271="",C271=""),"",IFERROR(INDEX(Vöruskrá!J:J,MATCH(B271,Vöruskrá!B:B,0))*C271/100000,""))</f>
        <v>78.200999999999993</v>
      </c>
      <c r="H271" s="169">
        <f>IF(OR(B271="",C271=""),"",IFERROR(INDEX(Vöruskrá!K:K,MATCH(B271,Vöruskrá!B:B,0))*C271/100000,""))</f>
        <v>0.54740699999999998</v>
      </c>
      <c r="I271" s="169">
        <f>IF(OR(B271="",C271=""),"",IFERROR(INDEX(Vöruskrá!L:L,MATCH(B271,Vöruskrá!B:B,0))*C271/100000,""))</f>
        <v>7.8201000000000007E-2</v>
      </c>
      <c r="J271" s="169">
        <f>IF(OR(B271="",C271=""),"",IFERROR(INDEX(Vöruskrá!M:M,MATCH(B271,Vöruskrá!B:B,0))*C271/100000,""))</f>
        <v>0</v>
      </c>
      <c r="K271" s="169">
        <f>IF(OR(B271="",C271=""),"",IFERROR(INDEX(Vöruskrá!N:N,MATCH(B271,Vöruskrá!B:B,0))*C271/100000,""))</f>
        <v>0</v>
      </c>
      <c r="L271" s="169">
        <f>IF(OR(B271="",C271=""),"",IFERROR(INDEX(Vöruskrá!O:O,MATCH(B271,Vöruskrá!B:B,0))*C271/100000,""))</f>
        <v>17.986229999999999</v>
      </c>
      <c r="M271" s="169">
        <f>IF(OR(B271="",C271=""),"",IFERROR(INDEX(Vöruskrá!P:P,MATCH(B271,Vöruskrá!B:B,0))*C271/100000,""))</f>
        <v>0.23460300000000001</v>
      </c>
      <c r="N271" s="169">
        <f>IF(OR(B271="",C271=""),"",IFERROR(INDEX(Vöruskrá!Q:Q,MATCH(B271,Vöruskrá!B:B,0))*C271/100000,""))</f>
        <v>0</v>
      </c>
      <c r="O271" s="170">
        <f>IF(OR(B271="",C271=""),"",IFERROR(C271/1000*INDEX(Vöruskrá!R:R,MATCH(B271,Vöruskrá!B:B,0))/1000,""))</f>
        <v>0</v>
      </c>
      <c r="P271" s="171"/>
      <c r="Q271" s="197"/>
      <c r="R271" s="164"/>
    </row>
    <row r="272" spans="1:18" ht="15">
      <c r="A272" s="173"/>
      <c r="B272" s="173" t="s">
        <v>1466</v>
      </c>
      <c r="C272" s="174">
        <v>9775</v>
      </c>
      <c r="D272" s="168"/>
      <c r="E272" s="168"/>
      <c r="F272" s="168"/>
      <c r="G272" s="169">
        <f>IF(OR(B272="",C272=""),"",IFERROR(INDEX(Vöruskrá!J:J,MATCH(B272,Vöruskrá!B:B,0))*C272/100000,""))</f>
        <v>0</v>
      </c>
      <c r="H272" s="169">
        <f>IF(OR(B272="",C272=""),"",IFERROR(INDEX(Vöruskrá!K:K,MATCH(B272,Vöruskrá!B:B,0))*C272/100000,""))</f>
        <v>0</v>
      </c>
      <c r="I272" s="169">
        <f>IF(OR(B272="",C272=""),"",IFERROR(INDEX(Vöruskrá!L:L,MATCH(B272,Vöruskrá!B:B,0))*C272/100000,""))</f>
        <v>0</v>
      </c>
      <c r="J272" s="169">
        <f>IF(OR(B272="",C272=""),"",IFERROR(INDEX(Vöruskrá!M:M,MATCH(B272,Vöruskrá!B:B,0))*C272/100000,""))</f>
        <v>0</v>
      </c>
      <c r="K272" s="169">
        <f>IF(OR(B272="",C272=""),"",IFERROR(INDEX(Vöruskrá!N:N,MATCH(B272,Vöruskrá!B:B,0))*C272/100000,""))</f>
        <v>0</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1463</v>
      </c>
      <c r="C273" s="172">
        <v>4888</v>
      </c>
      <c r="D273" s="168"/>
      <c r="E273" s="168"/>
      <c r="F273" s="168"/>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1465</v>
      </c>
      <c r="C274" s="174">
        <v>2933</v>
      </c>
      <c r="D274" s="168"/>
      <c r="E274" s="168"/>
      <c r="F274" s="168"/>
      <c r="G274" s="169">
        <f>IF(OR(B274="",C274=""),"",IFERROR(INDEX(Vöruskrá!J:J,MATCH(B274,Vöruskrá!B:B,0))*C274/100000,""))</f>
        <v>0</v>
      </c>
      <c r="H274" s="169">
        <f>IF(OR(B274="",C274=""),"",IFERROR(INDEX(Vöruskrá!K:K,MATCH(B274,Vöruskrá!B:B,0))*C274/100000,""))</f>
        <v>0</v>
      </c>
      <c r="I274" s="169">
        <f>IF(OR(B274="",C274=""),"",IFERROR(INDEX(Vöruskrá!L:L,MATCH(B274,Vöruskrá!B:B,0))*C274/100000,""))</f>
        <v>0</v>
      </c>
      <c r="J274" s="169">
        <f>IF(OR(B274="",C274=""),"",IFERROR(INDEX(Vöruskrá!M:M,MATCH(B274,Vöruskrá!B:B,0))*C274/100000,""))</f>
        <v>0</v>
      </c>
      <c r="K274" s="169">
        <f>IF(OR(B274="",C274=""),"",IFERROR(INDEX(Vöruskrá!N:N,MATCH(B274,Vöruskrá!B:B,0))*C274/100000,""))</f>
        <v>0</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299</v>
      </c>
      <c r="C275" s="172">
        <v>978</v>
      </c>
      <c r="D275" s="168" t="s">
        <v>302</v>
      </c>
      <c r="E275" s="168" t="s">
        <v>134</v>
      </c>
      <c r="F275" s="168" t="s">
        <v>303</v>
      </c>
      <c r="G275" s="169">
        <f>IF(OR(B275="",C275=""),"",IFERROR(INDEX(Vöruskrá!J:J,MATCH(B275,Vöruskrá!B:B,0))*C275/100000,""))</f>
        <v>0</v>
      </c>
      <c r="H275" s="169">
        <f>IF(OR(B275="",C275=""),"",IFERROR(INDEX(Vöruskrá!K:K,MATCH(B275,Vöruskrá!B:B,0))*C275/100000,""))</f>
        <v>0</v>
      </c>
      <c r="I275" s="169">
        <f>IF(OR(B275="",C275=""),"",IFERROR(INDEX(Vöruskrá!L:L,MATCH(B275,Vöruskrá!B:B,0))*C275/100000,""))</f>
        <v>0</v>
      </c>
      <c r="J275" s="169">
        <f>IF(OR(B275="",C275=""),"",IFERROR(INDEX(Vöruskrá!M:M,MATCH(B275,Vöruskrá!B:B,0))*C275/100000,""))</f>
        <v>0</v>
      </c>
      <c r="K275" s="169">
        <f>IF(OR(B275="",C275=""),"",IFERROR(INDEX(Vöruskrá!N:N,MATCH(B275,Vöruskrá!B:B,0))*C275/100000,""))</f>
        <v>0</v>
      </c>
      <c r="L275" s="169">
        <f>IF(OR(B275="",C275=""),"",IFERROR(INDEX(Vöruskrá!O:O,MATCH(B275,Vöruskrá!B:B,0))*C275/100000,""))</f>
        <v>0</v>
      </c>
      <c r="M275" s="169">
        <f>IF(OR(B275="",C275=""),"",IFERROR(INDEX(Vöruskrá!P:P,MATCH(B275,Vöruskrá!B:B,0))*C275/100000,""))</f>
        <v>0.97799999999999998</v>
      </c>
      <c r="N275" s="169">
        <f>IF(OR(B275="",C275=""),"",IFERROR(INDEX(Vöruskrá!Q:Q,MATCH(B275,Vöruskrá!B:B,0))*C275/100000,""))</f>
        <v>0</v>
      </c>
      <c r="O275" s="170">
        <f>IF(OR(B275="",C275=""),"",IFERROR(C275/1000*INDEX(Vöruskrá!R:R,MATCH(B275,Vöruskrá!B:B,0))/1000,""))</f>
        <v>0</v>
      </c>
      <c r="P275" s="171"/>
      <c r="Q275" s="158"/>
      <c r="R275" s="6"/>
    </row>
    <row r="276" spans="1:18" ht="15">
      <c r="A276" s="173"/>
      <c r="B276" s="173" t="s">
        <v>819</v>
      </c>
      <c r="C276" s="174">
        <v>293</v>
      </c>
      <c r="D276" s="168" t="s">
        <v>820</v>
      </c>
      <c r="E276" s="168"/>
      <c r="F276" s="168" t="s">
        <v>311</v>
      </c>
      <c r="G276" s="169">
        <f>IF(OR(B276="",C276=""),"",IFERROR(INDEX(Vöruskrá!J:J,MATCH(B276,Vöruskrá!B:B,0))*C276/100000,""))</f>
        <v>1.1309800000000001</v>
      </c>
      <c r="H276" s="169">
        <f>IF(OR(B276="",C276=""),"",IFERROR(INDEX(Vöruskrá!K:K,MATCH(B276,Vöruskrá!B:B,0))*C276/100000,""))</f>
        <v>9.6690000000000005E-3</v>
      </c>
      <c r="I276" s="169">
        <f>IF(OR(B276="",C276=""),"",IFERROR(INDEX(Vöruskrá!L:L,MATCH(B276,Vöruskrá!B:B,0))*C276/100000,""))</f>
        <v>2.9299999999999999E-3</v>
      </c>
      <c r="J276" s="169">
        <f>IF(OR(B276="",C276=""),"",IFERROR(INDEX(Vöruskrá!M:M,MATCH(B276,Vöruskrá!B:B,0))*C276/100000,""))</f>
        <v>0.19045000000000001</v>
      </c>
      <c r="K276" s="169">
        <f>IF(OR(B276="",C276=""),"",IFERROR(INDEX(Vöruskrá!N:N,MATCH(B276,Vöruskrá!B:B,0))*C276/100000,""))</f>
        <v>1.7579999999999998E-3</v>
      </c>
      <c r="L276" s="169">
        <f>IF(OR(B276="",C276=""),"",IFERROR(INDEX(Vöruskrá!O:O,MATCH(B276,Vöruskrá!B:B,0))*C276/100000,""))</f>
        <v>3.2230000000000002E-2</v>
      </c>
      <c r="M276" s="169">
        <f>IF(OR(B276="",C276=""),"",IFERROR(INDEX(Vöruskrá!P:P,MATCH(B276,Vöruskrá!B:B,0))*C276/100000,""))</f>
        <v>2.9300000000000002E-4</v>
      </c>
      <c r="N276" s="169">
        <f>IF(OR(B276="",C276=""),"",IFERROR(INDEX(Vöruskrá!Q:Q,MATCH(B276,Vöruskrá!B:B,0))*C276/100000,""))</f>
        <v>0</v>
      </c>
      <c r="O276" s="170">
        <f>IF(OR(B276="",C276=""),"",IFERROR(C276/1000*INDEX(Vöruskrá!R:R,MATCH(B276,Vöruskrá!B:B,0))/1000,""))</f>
        <v>0</v>
      </c>
      <c r="P276" s="173"/>
      <c r="Q276" s="157"/>
      <c r="R276" s="27"/>
    </row>
    <row r="277" spans="1:18" ht="15">
      <c r="A277" s="171"/>
      <c r="B277" s="171" t="s">
        <v>1270</v>
      </c>
      <c r="C277" s="172">
        <v>2933</v>
      </c>
      <c r="D277" s="168" t="s">
        <v>1270</v>
      </c>
      <c r="E277" s="168" t="s">
        <v>134</v>
      </c>
      <c r="F277" s="168"/>
      <c r="G277" s="169">
        <f>IF(OR(B277="",C277=""),"",IFERROR(INDEX(Vöruskrá!J:J,MATCH(B277,Vöruskrá!B:B,0))*C277/100000,""))</f>
        <v>26.396999999999998</v>
      </c>
      <c r="H277" s="169">
        <f>IF(OR(B277="",C277=""),"",IFERROR(INDEX(Vöruskrá!K:K,MATCH(B277,Vöruskrá!B:B,0))*C277/100000,""))</f>
        <v>2.9329999999999998</v>
      </c>
      <c r="I277" s="169">
        <f>IF(OR(B277="",C277=""),"",IFERROR(INDEX(Vöruskrá!L:L,MATCH(B277,Vöruskrá!B:B,0))*C277/100000,""))</f>
        <v>0.20530999999999999</v>
      </c>
      <c r="J277" s="169">
        <f>IF(OR(B277="",C277=""),"",IFERROR(INDEX(Vöruskrá!M:M,MATCH(B277,Vöruskrá!B:B,0))*C277/100000,""))</f>
        <v>1.90645</v>
      </c>
      <c r="K277" s="169">
        <f>IF(OR(B277="",C277=""),"",IFERROR(INDEX(Vöruskrá!N:N,MATCH(B277,Vöruskrá!B:B,0))*C277/100000,""))</f>
        <v>0.80657500000000004</v>
      </c>
      <c r="L277" s="169">
        <f>IF(OR(B277="",C277=""),"",IFERROR(INDEX(Vöruskrá!O:O,MATCH(B277,Vöruskrá!B:B,0))*C277/100000,""))</f>
        <v>0</v>
      </c>
      <c r="M277" s="169">
        <f>IF(OR(B277="",C277=""),"",IFERROR(INDEX(Vöruskrá!P:P,MATCH(B277,Vöruskrá!B:B,0))*C277/100000,""))</f>
        <v>0</v>
      </c>
      <c r="N277" s="169">
        <f>IF(OR(B277="",C277=""),"",IFERROR(INDEX(Vöruskrá!Q:Q,MATCH(B277,Vöruskrá!B:B,0))*C277/100000,""))</f>
        <v>0</v>
      </c>
      <c r="O277" s="170">
        <f>IF(OR(B277="",C277=""),"",IFERROR(C277/1000*INDEX(Vöruskrá!R:R,MATCH(B277,Vöruskrá!B:B,0))/1000,""))</f>
        <v>0</v>
      </c>
      <c r="P277" s="171"/>
      <c r="Q277" s="200"/>
      <c r="R277" s="159"/>
    </row>
    <row r="278" spans="1:18" ht="60">
      <c r="A278" s="147" t="s">
        <v>1670</v>
      </c>
      <c r="B278" s="147"/>
      <c r="C278" s="148"/>
      <c r="D278" s="165" t="s">
        <v>1671</v>
      </c>
      <c r="E278" s="165" t="s">
        <v>1622</v>
      </c>
      <c r="F278" s="165"/>
      <c r="G278" s="166">
        <v>116.2</v>
      </c>
      <c r="H278" s="166">
        <v>3.67</v>
      </c>
      <c r="I278" s="166">
        <v>0.52</v>
      </c>
      <c r="J278" s="166">
        <v>2.34</v>
      </c>
      <c r="K278" s="166"/>
      <c r="L278" s="166">
        <v>19.46</v>
      </c>
      <c r="M278" s="166">
        <v>1.25</v>
      </c>
      <c r="N278" s="166">
        <f>IFERROR(SUM(N279:N285)/(SUM($C$279:$C$285)/100000),"")</f>
        <v>7.3343000000000005E-2</v>
      </c>
      <c r="O278" s="167" t="str">
        <f>IF(OR(B278="",C278=""),"",IFERROR(C278/1000*INDEX(Vöruskrá!R:R,MATCH(B278,Vöruskrá!B:B,0))/1000,""))</f>
        <v/>
      </c>
      <c r="P278" s="196" t="s">
        <v>1672</v>
      </c>
      <c r="Q278" s="199" t="s">
        <v>1673</v>
      </c>
      <c r="R278" s="198" t="s">
        <v>1674</v>
      </c>
    </row>
    <row r="279" spans="1:18" ht="15">
      <c r="A279" s="171"/>
      <c r="B279" s="171" t="s">
        <v>926</v>
      </c>
      <c r="C279" s="172">
        <v>82645</v>
      </c>
      <c r="D279" s="168" t="s">
        <v>926</v>
      </c>
      <c r="E279" s="168" t="s">
        <v>621</v>
      </c>
      <c r="F279" s="168"/>
      <c r="G279" s="169">
        <f>IF(OR(B279="",C279=""),"",IFERROR(INDEX(Vöruskrá!J:J,MATCH(B279,Vöruskrá!B:B,0))*C279/100000,""))</f>
        <v>82.644999999999996</v>
      </c>
      <c r="H279" s="169">
        <f>IF(OR(B279="",C279=""),"",IFERROR(INDEX(Vöruskrá!K:K,MATCH(B279,Vöruskrá!B:B,0))*C279/100000,""))</f>
        <v>0.57851499999999989</v>
      </c>
      <c r="I279" s="169">
        <f>IF(OR(B279="",C279=""),"",IFERROR(INDEX(Vöruskrá!L:L,MATCH(B279,Vöruskrá!B:B,0))*C279/100000,""))</f>
        <v>8.2644999999999996E-2</v>
      </c>
      <c r="J279" s="169">
        <f>IF(OR(B279="",C279=""),"",IFERROR(INDEX(Vöruskrá!M:M,MATCH(B279,Vöruskrá!B:B,0))*C279/100000,""))</f>
        <v>0</v>
      </c>
      <c r="K279" s="169">
        <f>IF(OR(B279="",C279=""),"",IFERROR(INDEX(Vöruskrá!N:N,MATCH(B279,Vöruskrá!B:B,0))*C279/100000,""))</f>
        <v>0</v>
      </c>
      <c r="L279" s="169">
        <f>IF(OR(B279="",C279=""),"",IFERROR(INDEX(Vöruskrá!O:O,MATCH(B279,Vöruskrá!B:B,0))*C279/100000,""))</f>
        <v>19.00835</v>
      </c>
      <c r="M279" s="169">
        <f>IF(OR(B279="",C279=""),"",IFERROR(INDEX(Vöruskrá!P:P,MATCH(B279,Vöruskrá!B:B,0))*C279/100000,""))</f>
        <v>0.24793499999999999</v>
      </c>
      <c r="N279" s="169">
        <f>IF(OR(B279="",C279=""),"",IFERROR(INDEX(Vöruskrá!Q:Q,MATCH(B279,Vöruskrá!B:B,0))*C279/100000,""))</f>
        <v>0</v>
      </c>
      <c r="O279" s="170">
        <f>IF(OR(B279="",C279=""),"",IFERROR(C279/1000*INDEX(Vöruskrá!R:R,MATCH(B279,Vöruskrá!B:B,0))/1000,""))</f>
        <v>0</v>
      </c>
      <c r="P279" s="171"/>
      <c r="Q279" s="197"/>
      <c r="R279" s="164"/>
    </row>
    <row r="280" spans="1:18" ht="15">
      <c r="A280" s="173"/>
      <c r="B280" s="173" t="s">
        <v>827</v>
      </c>
      <c r="C280" s="174">
        <v>2066</v>
      </c>
      <c r="D280" s="168" t="s">
        <v>830</v>
      </c>
      <c r="E280" s="168"/>
      <c r="F280" s="168"/>
      <c r="G280" s="169">
        <f>IF(OR(B280="",C280=""),"",IFERROR(INDEX(Vöruskrá!J:J,MATCH(B280,Vöruskrá!B:B,0))*C280/100000,""))</f>
        <v>6.4872399999999999</v>
      </c>
      <c r="H280" s="169">
        <f>IF(OR(B280="",C280=""),"",IFERROR(INDEX(Vöruskrá!K:K,MATCH(B280,Vöruskrá!B:B,0))*C280/100000,""))</f>
        <v>0.61980000000000002</v>
      </c>
      <c r="I280" s="169">
        <f>IF(OR(B280="",C280=""),"",IFERROR(INDEX(Vöruskrá!L:L,MATCH(B280,Vöruskrá!B:B,0))*C280/100000,""))</f>
        <v>5.1650000000000001E-2</v>
      </c>
      <c r="J280" s="169">
        <f>IF(OR(B280="",C280=""),"",IFERROR(INDEX(Vöruskrá!M:M,MATCH(B280,Vöruskrá!B:B,0))*C280/100000,""))</f>
        <v>0.20660000000000001</v>
      </c>
      <c r="K280" s="169">
        <f>IF(OR(B280="",C280=""),"",IFERROR(INDEX(Vöruskrá!N:N,MATCH(B280,Vöruskrá!B:B,0))*C280/100000,""))</f>
        <v>0.109498</v>
      </c>
      <c r="L280" s="169">
        <f>IF(OR(B280="",C280=""),"",IFERROR(INDEX(Vöruskrá!O:O,MATCH(B280,Vöruskrá!B:B,0))*C280/100000,""))</f>
        <v>3.099E-2</v>
      </c>
      <c r="M280" s="169">
        <f>IF(OR(B280="",C280=""),"",IFERROR(INDEX(Vöruskrá!P:P,MATCH(B280,Vöruskrá!B:B,0))*C280/100000,""))</f>
        <v>0.16734599999999999</v>
      </c>
      <c r="N280" s="169">
        <f>IF(OR(B280="",C280=""),"",IFERROR(INDEX(Vöruskrá!Q:Q,MATCH(B280,Vöruskrá!B:B,0))*C280/100000,""))</f>
        <v>5.1650000000000001E-2</v>
      </c>
      <c r="O280" s="170">
        <f>IF(OR(B280="",C280=""),"",IFERROR(C280/1000*INDEX(Vöruskrá!R:R,MATCH(B280,Vöruskrá!B:B,0))/1000,""))</f>
        <v>0</v>
      </c>
      <c r="P280" s="173"/>
      <c r="Q280" s="157"/>
      <c r="R280" s="27"/>
    </row>
    <row r="281" spans="1:18" ht="15">
      <c r="A281" s="171"/>
      <c r="B281" s="171" t="s">
        <v>870</v>
      </c>
      <c r="C281" s="172">
        <v>10331</v>
      </c>
      <c r="D281" s="168" t="s">
        <v>871</v>
      </c>
      <c r="E281" s="168" t="s">
        <v>120</v>
      </c>
      <c r="F281" s="168"/>
      <c r="G281" s="169">
        <f>IF(OR(B281="",C281=""),"",IFERROR(INDEX(Vöruskrá!J:J,MATCH(B281,Vöruskrá!B:B,0))*C281/100000,""))</f>
        <v>6.6118399999999999</v>
      </c>
      <c r="H281" s="169">
        <f>IF(OR(B281="",C281=""),"",IFERROR(INDEX(Vöruskrá!K:K,MATCH(B281,Vöruskrá!B:B,0))*C281/100000,""))</f>
        <v>0.40290900000000002</v>
      </c>
      <c r="I281" s="169">
        <f>IF(OR(B281="",C281=""),"",IFERROR(INDEX(Vöruskrá!L:L,MATCH(B281,Vöruskrá!B:B,0))*C281/100000,""))</f>
        <v>0.23761299999999999</v>
      </c>
      <c r="J281" s="169">
        <f>IF(OR(B281="",C281=""),"",IFERROR(INDEX(Vöruskrá!M:M,MATCH(B281,Vöruskrá!B:B,0))*C281/100000,""))</f>
        <v>0.38224700000000006</v>
      </c>
      <c r="K281" s="169">
        <f>IF(OR(B281="",C281=""),"",IFERROR(INDEX(Vöruskrá!N:N,MATCH(B281,Vöruskrá!B:B,0))*C281/100000,""))</f>
        <v>0.38224700000000006</v>
      </c>
      <c r="L281" s="169">
        <f>IF(OR(B281="",C281=""),"",IFERROR(INDEX(Vöruskrá!O:O,MATCH(B281,Vöruskrá!B:B,0))*C281/100000,""))</f>
        <v>0.35125400000000001</v>
      </c>
      <c r="M281" s="169">
        <f>IF(OR(B281="",C281=""),"",IFERROR(INDEX(Vöruskrá!P:P,MATCH(B281,Vöruskrá!B:B,0))*C281/100000,""))</f>
        <v>1.0331000000000002E-2</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1017</v>
      </c>
      <c r="C282" s="174">
        <v>1033</v>
      </c>
      <c r="D282" s="168" t="s">
        <v>1017</v>
      </c>
      <c r="E282" s="168" t="s">
        <v>134</v>
      </c>
      <c r="F282" s="168"/>
      <c r="G282" s="169">
        <f>IF(OR(B282="",C282=""),"",IFERROR(INDEX(Vöruskrá!J:J,MATCH(B282,Vöruskrá!B:B,0))*C282/100000,""))</f>
        <v>1.5391699999999999</v>
      </c>
      <c r="H282" s="169">
        <f>IF(OR(B282="",C282=""),"",IFERROR(INDEX(Vöruskrá!K:K,MATCH(B282,Vöruskrá!B:B,0))*C282/100000,""))</f>
        <v>5.1650000000000003E-3</v>
      </c>
      <c r="I282" s="169">
        <f>IF(OR(B282="",C282=""),"",IFERROR(INDEX(Vöruskrá!L:L,MATCH(B282,Vöruskrá!B:B,0))*C282/100000,""))</f>
        <v>1.0330000000000001E-3</v>
      </c>
      <c r="J282" s="169">
        <f>IF(OR(B282="",C282=""),"",IFERROR(INDEX(Vöruskrá!M:M,MATCH(B282,Vöruskrá!B:B,0))*C282/100000,""))</f>
        <v>0.34192300000000003</v>
      </c>
      <c r="K282" s="169">
        <f>IF(OR(B282="",C282=""),"",IFERROR(INDEX(Vöruskrá!N:N,MATCH(B282,Vöruskrá!B:B,0))*C282/100000,""))</f>
        <v>1.0330000000000001E-2</v>
      </c>
      <c r="L282" s="169">
        <f>IF(OR(B282="",C282=""),"",IFERROR(INDEX(Vöruskrá!O:O,MATCH(B282,Vöruskrá!B:B,0))*C282/100000,""))</f>
        <v>6.6112000000000004E-2</v>
      </c>
      <c r="M282" s="169">
        <f>IF(OR(B282="",C282=""),"",IFERROR(INDEX(Vöruskrá!P:P,MATCH(B282,Vöruskrá!B:B,0))*C282/100000,""))</f>
        <v>0</v>
      </c>
      <c r="N282" s="169">
        <f>IF(OR(B282="",C282=""),"",IFERROR(INDEX(Vöruskrá!Q:Q,MATCH(B282,Vöruskrá!B:B,0))*C282/100000,""))</f>
        <v>2.1693E-2</v>
      </c>
      <c r="O282" s="170">
        <f>IF(OR(B282="",C282=""),"",IFERROR(C282/1000*INDEX(Vöruskrá!R:R,MATCH(B282,Vöruskrá!B:B,0))/1000,""))</f>
        <v>0</v>
      </c>
      <c r="P282" s="173"/>
      <c r="Q282" s="157"/>
      <c r="R282" s="27"/>
    </row>
    <row r="283" spans="1:18" ht="15">
      <c r="A283" s="171"/>
      <c r="B283" s="171" t="s">
        <v>833</v>
      </c>
      <c r="C283" s="172">
        <v>1033</v>
      </c>
      <c r="D283" s="168" t="s">
        <v>835</v>
      </c>
      <c r="E283" s="168"/>
      <c r="F283" s="168"/>
      <c r="G283" s="169">
        <f>IF(OR(B283="",C283=""),"",IFERROR(INDEX(Vöruskrá!J:J,MATCH(B283,Vöruskrá!B:B,0))*C283/100000,""))</f>
        <v>0.32023000000000001</v>
      </c>
      <c r="H283" s="169">
        <f>IF(OR(B283="",C283=""),"",IFERROR(INDEX(Vöruskrá!K:K,MATCH(B283,Vöruskrá!B:B,0))*C283/100000,""))</f>
        <v>2.0660000000000001E-3</v>
      </c>
      <c r="I283" s="169">
        <f>IF(OR(B283="",C283=""),"",IFERROR(INDEX(Vöruskrá!L:L,MATCH(B283,Vöruskrá!B:B,0))*C283/100000,""))</f>
        <v>0</v>
      </c>
      <c r="J283" s="169">
        <f>IF(OR(B283="",C283=""),"",IFERROR(INDEX(Vöruskrá!M:M,MATCH(B283,Vöruskrá!B:B,0))*C283/100000,""))</f>
        <v>7.1277000000000007E-2</v>
      </c>
      <c r="K283" s="169">
        <f>IF(OR(B283="",C283=""),"",IFERROR(INDEX(Vöruskrá!N:N,MATCH(B283,Vöruskrá!B:B,0))*C283/100000,""))</f>
        <v>2.4791999999999998E-2</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299</v>
      </c>
      <c r="C284" s="174">
        <v>826</v>
      </c>
      <c r="D284" s="168" t="s">
        <v>302</v>
      </c>
      <c r="E284" s="168" t="s">
        <v>134</v>
      </c>
      <c r="F284" s="168" t="s">
        <v>303</v>
      </c>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0.82599999999999996</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1270</v>
      </c>
      <c r="C285" s="172">
        <v>2066</v>
      </c>
      <c r="D285" s="168" t="s">
        <v>1270</v>
      </c>
      <c r="E285" s="168" t="s">
        <v>134</v>
      </c>
      <c r="F285" s="168"/>
      <c r="G285" s="169">
        <f>IF(OR(B285="",C285=""),"",IFERROR(INDEX(Vöruskrá!J:J,MATCH(B285,Vöruskrá!B:B,0))*C285/100000,""))</f>
        <v>18.594000000000001</v>
      </c>
      <c r="H285" s="169">
        <f>IF(OR(B285="",C285=""),"",IFERROR(INDEX(Vöruskrá!K:K,MATCH(B285,Vöruskrá!B:B,0))*C285/100000,""))</f>
        <v>2.0659999999999998</v>
      </c>
      <c r="I285" s="169">
        <f>IF(OR(B285="",C285=""),"",IFERROR(INDEX(Vöruskrá!L:L,MATCH(B285,Vöruskrá!B:B,0))*C285/100000,""))</f>
        <v>0.14462</v>
      </c>
      <c r="J285" s="169">
        <f>IF(OR(B285="",C285=""),"",IFERROR(INDEX(Vöruskrá!M:M,MATCH(B285,Vöruskrá!B:B,0))*C285/100000,""))</f>
        <v>1.3429</v>
      </c>
      <c r="K285" s="169">
        <f>IF(OR(B285="",C285=""),"",IFERROR(INDEX(Vöruskrá!N:N,MATCH(B285,Vöruskrá!B:B,0))*C285/100000,""))</f>
        <v>0.56815000000000004</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1"/>
      <c r="Q285" s="200"/>
      <c r="R285" s="159"/>
    </row>
    <row r="286" spans="1:18" ht="72">
      <c r="A286" s="147" t="s">
        <v>1675</v>
      </c>
      <c r="B286" s="147"/>
      <c r="C286" s="148"/>
      <c r="D286" s="165" t="s">
        <v>1676</v>
      </c>
      <c r="E286" s="165" t="s">
        <v>1677</v>
      </c>
      <c r="F286" s="165"/>
      <c r="G286" s="166">
        <v>114.61</v>
      </c>
      <c r="H286" s="166">
        <v>4.16</v>
      </c>
      <c r="I286" s="166">
        <v>2.61</v>
      </c>
      <c r="J286" s="166">
        <v>9.6300000000000008</v>
      </c>
      <c r="K286" s="166"/>
      <c r="L286" s="166">
        <v>10.01</v>
      </c>
      <c r="M286" s="166">
        <v>1.1299999999999999</v>
      </c>
      <c r="N286" s="166">
        <f>IFERROR(SUM(N287:N300)/(SUM($C$287:$C$300)/100000),"")</f>
        <v>0.91955000000000009</v>
      </c>
      <c r="O286" s="167" t="str">
        <f>IF(OR(B286="",C286=""),"",IFERROR(C286/1000*INDEX(Vöruskrá!R:R,MATCH(B286,Vöruskrá!B:B,0))/1000,""))</f>
        <v/>
      </c>
      <c r="P286" s="196" t="s">
        <v>1678</v>
      </c>
      <c r="Q286" s="195" t="s">
        <v>1679</v>
      </c>
      <c r="R286" s="194" t="s">
        <v>1680</v>
      </c>
    </row>
    <row r="287" spans="1:18" ht="15">
      <c r="A287" s="171"/>
      <c r="B287" s="171" t="s">
        <v>926</v>
      </c>
      <c r="C287" s="172">
        <v>40000</v>
      </c>
      <c r="D287" s="168" t="s">
        <v>926</v>
      </c>
      <c r="E287" s="168" t="s">
        <v>621</v>
      </c>
      <c r="F287" s="168"/>
      <c r="G287" s="169">
        <f>IF(OR(B287="",C287=""),"",IFERROR(INDEX(Vöruskrá!J:J,MATCH(B287,Vöruskrá!B:B,0))*C287/100000,""))</f>
        <v>40</v>
      </c>
      <c r="H287" s="169">
        <f>IF(OR(B287="",C287=""),"",IFERROR(INDEX(Vöruskrá!K:K,MATCH(B287,Vöruskrá!B:B,0))*C287/100000,""))</f>
        <v>0.28000000000000003</v>
      </c>
      <c r="I287" s="169">
        <f>IF(OR(B287="",C287=""),"",IFERROR(INDEX(Vöruskrá!L:L,MATCH(B287,Vöruskrá!B:B,0))*C287/100000,""))</f>
        <v>0.04</v>
      </c>
      <c r="J287" s="169">
        <f>IF(OR(B287="",C287=""),"",IFERROR(INDEX(Vöruskrá!M:M,MATCH(B287,Vöruskrá!B:B,0))*C287/100000,""))</f>
        <v>0</v>
      </c>
      <c r="K287" s="169">
        <f>IF(OR(B287="",C287=""),"",IFERROR(INDEX(Vöruskrá!N:N,MATCH(B287,Vöruskrá!B:B,0))*C287/100000,""))</f>
        <v>0</v>
      </c>
      <c r="L287" s="169">
        <f>IF(OR(B287="",C287=""),"",IFERROR(INDEX(Vöruskrá!O:O,MATCH(B287,Vöruskrá!B:B,0))*C287/100000,""))</f>
        <v>9.1999999999999993</v>
      </c>
      <c r="M287" s="169">
        <f>IF(OR(B287="",C287=""),"",IFERROR(INDEX(Vöruskrá!P:P,MATCH(B287,Vöruskrá!B:B,0))*C287/100000,""))</f>
        <v>0.12</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635</v>
      </c>
      <c r="C288" s="174">
        <v>36000</v>
      </c>
      <c r="D288" s="168" t="s">
        <v>635</v>
      </c>
      <c r="E288" s="168" t="s">
        <v>134</v>
      </c>
      <c r="F288" s="168"/>
      <c r="G288" s="169">
        <f>IF(OR(B288="",C288=""),"",IFERROR(INDEX(Vöruskrá!J:J,MATCH(B288,Vöruskrá!B:B,0))*C288/100000,""))</f>
        <v>27.72</v>
      </c>
      <c r="H288" s="169">
        <f>IF(OR(B288="",C288=""),"",IFERROR(INDEX(Vöruskrá!K:K,MATCH(B288,Vöruskrá!B:B,0))*C288/100000,""))</f>
        <v>3.5999999999999997E-2</v>
      </c>
      <c r="I288" s="169">
        <f>IF(OR(B288="",C288=""),"",IFERROR(INDEX(Vöruskrá!L:L,MATCH(B288,Vöruskrá!B:B,0))*C288/100000,""))</f>
        <v>0</v>
      </c>
      <c r="J288" s="169">
        <f>IF(OR(B288="",C288=""),"",IFERROR(INDEX(Vöruskrá!M:M,MATCH(B288,Vöruskrá!B:B,0))*C288/100000,""))</f>
        <v>6.12</v>
      </c>
      <c r="K288" s="169">
        <f>IF(OR(B288="",C288=""),"",IFERROR(INDEX(Vöruskrá!N:N,MATCH(B288,Vöruskrá!B:B,0))*C288/100000,""))</f>
        <v>0.28799999999999998</v>
      </c>
      <c r="L288" s="169">
        <f>IF(OR(B288="",C288=""),"",IFERROR(INDEX(Vöruskrá!O:O,MATCH(B288,Vöruskrá!B:B,0))*C288/100000,""))</f>
        <v>0.72</v>
      </c>
      <c r="M288" s="169">
        <f>IF(OR(B288="",C288=""),"",IFERROR(INDEX(Vöruskrá!P:P,MATCH(B288,Vöruskrá!B:B,0))*C288/100000,""))</f>
        <v>0</v>
      </c>
      <c r="N288" s="169">
        <f>IF(OR(B288="",C288=""),"",IFERROR(INDEX(Vöruskrá!Q:Q,MATCH(B288,Vöruskrá!B:B,0))*C288/100000,""))</f>
        <v>0.79200000000000004</v>
      </c>
      <c r="O288" s="170">
        <f>IF(OR(B288="",C288=""),"",IFERROR(C288/1000*INDEX(Vöruskrá!R:R,MATCH(B288,Vöruskrá!B:B,0))/1000,""))</f>
        <v>0</v>
      </c>
      <c r="P288" s="173"/>
      <c r="Q288" s="157"/>
      <c r="R288" s="27"/>
    </row>
    <row r="289" spans="1:18" ht="15">
      <c r="A289" s="171"/>
      <c r="B289" s="171" t="s">
        <v>1010</v>
      </c>
      <c r="C289" s="172">
        <v>4500</v>
      </c>
      <c r="D289" s="168" t="s">
        <v>1010</v>
      </c>
      <c r="E289" s="168" t="s">
        <v>134</v>
      </c>
      <c r="F289" s="168"/>
      <c r="G289" s="169">
        <f>IF(OR(B289="",C289=""),"",IFERROR(INDEX(Vöruskrá!J:J,MATCH(B289,Vöruskrá!B:B,0))*C289/100000,""))</f>
        <v>1.8</v>
      </c>
      <c r="H289" s="169">
        <f>IF(OR(B289="",C289=""),"",IFERROR(INDEX(Vöruskrá!K:K,MATCH(B289,Vöruskrá!B:B,0))*C289/100000,""))</f>
        <v>4.4999999999999997E-3</v>
      </c>
      <c r="I289" s="169">
        <f>IF(OR(B289="",C289=""),"",IFERROR(INDEX(Vöruskrá!L:L,MATCH(B289,Vöruskrá!B:B,0))*C289/100000,""))</f>
        <v>0</v>
      </c>
      <c r="J289" s="169">
        <f>IF(OR(B289="",C289=""),"",IFERROR(INDEX(Vöruskrá!M:M,MATCH(B289,Vöruskrá!B:B,0))*C289/100000,""))</f>
        <v>0.41849999999999998</v>
      </c>
      <c r="K289" s="169">
        <f>IF(OR(B289="",C289=""),"",IFERROR(INDEX(Vöruskrá!N:N,MATCH(B289,Vöruskrá!B:B,0))*C289/100000,""))</f>
        <v>0.189</v>
      </c>
      <c r="L289" s="169">
        <f>IF(OR(B289="",C289=""),"",IFERROR(INDEX(Vöruskrá!O:O,MATCH(B289,Vöruskrá!B:B,0))*C289/100000,""))</f>
        <v>4.9500000000000002E-2</v>
      </c>
      <c r="M289" s="169">
        <f>IF(OR(B289="",C289=""),"",IFERROR(INDEX(Vöruskrá!P:P,MATCH(B289,Vöruskrá!B:B,0))*C289/100000,""))</f>
        <v>0</v>
      </c>
      <c r="N289" s="169">
        <f>IF(OR(B289="",C289=""),"",IFERROR(INDEX(Vöruskrá!Q:Q,MATCH(B289,Vöruskrá!B:B,0))*C289/100000,""))</f>
        <v>7.6499999999999999E-2</v>
      </c>
      <c r="O289" s="170">
        <f>IF(OR(B289="",C289=""),"",IFERROR(C289/1000*INDEX(Vöruskrá!R:R,MATCH(B289,Vöruskrá!B:B,0))/1000,""))</f>
        <v>0</v>
      </c>
      <c r="P289" s="171"/>
      <c r="Q289" s="158"/>
      <c r="R289" s="6"/>
    </row>
    <row r="290" spans="1:18" ht="15">
      <c r="A290" s="173"/>
      <c r="B290" s="173" t="s">
        <v>1270</v>
      </c>
      <c r="C290" s="174">
        <v>800</v>
      </c>
      <c r="D290" s="168" t="s">
        <v>1270</v>
      </c>
      <c r="E290" s="168" t="s">
        <v>134</v>
      </c>
      <c r="F290" s="168"/>
      <c r="G290" s="169">
        <f>IF(OR(B290="",C290=""),"",IFERROR(INDEX(Vöruskrá!J:J,MATCH(B290,Vöruskrá!B:B,0))*C290/100000,""))</f>
        <v>7.2</v>
      </c>
      <c r="H290" s="169">
        <f>IF(OR(B290="",C290=""),"",IFERROR(INDEX(Vöruskrá!K:K,MATCH(B290,Vöruskrá!B:B,0))*C290/100000,""))</f>
        <v>0.8</v>
      </c>
      <c r="I290" s="169">
        <f>IF(OR(B290="",C290=""),"",IFERROR(INDEX(Vöruskrá!L:L,MATCH(B290,Vöruskrá!B:B,0))*C290/100000,""))</f>
        <v>5.6000000000000001E-2</v>
      </c>
      <c r="J290" s="169">
        <f>IF(OR(B290="",C290=""),"",IFERROR(INDEX(Vöruskrá!M:M,MATCH(B290,Vöruskrá!B:B,0))*C290/100000,""))</f>
        <v>0.52</v>
      </c>
      <c r="K290" s="169">
        <f>IF(OR(B290="",C290=""),"",IFERROR(INDEX(Vöruskrá!N:N,MATCH(B290,Vöruskrá!B:B,0))*C290/100000,""))</f>
        <v>0.22</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299</v>
      </c>
      <c r="C291" s="172">
        <v>1000</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1</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819</v>
      </c>
      <c r="C292" s="174">
        <v>100</v>
      </c>
      <c r="D292" s="168" t="s">
        <v>820</v>
      </c>
      <c r="E292" s="168"/>
      <c r="F292" s="168" t="s">
        <v>311</v>
      </c>
      <c r="G292" s="169">
        <f>IF(OR(B292="",C292=""),"",IFERROR(INDEX(Vöruskrá!J:J,MATCH(B292,Vöruskrá!B:B,0))*C292/100000,""))</f>
        <v>0.38600000000000001</v>
      </c>
      <c r="H292" s="169">
        <f>IF(OR(B292="",C292=""),"",IFERROR(INDEX(Vöruskrá!K:K,MATCH(B292,Vöruskrá!B:B,0))*C292/100000,""))</f>
        <v>3.3E-3</v>
      </c>
      <c r="I292" s="169">
        <f>IF(OR(B292="",C292=""),"",IFERROR(INDEX(Vöruskrá!L:L,MATCH(B292,Vöruskrá!B:B,0))*C292/100000,""))</f>
        <v>1E-3</v>
      </c>
      <c r="J292" s="169">
        <f>IF(OR(B292="",C292=""),"",IFERROR(INDEX(Vöruskrá!M:M,MATCH(B292,Vöruskrá!B:B,0))*C292/100000,""))</f>
        <v>6.5000000000000002E-2</v>
      </c>
      <c r="K292" s="169">
        <f>IF(OR(B292="",C292=""),"",IFERROR(INDEX(Vöruskrá!N:N,MATCH(B292,Vöruskrá!B:B,0))*C292/100000,""))</f>
        <v>5.9999999999999995E-4</v>
      </c>
      <c r="L292" s="169">
        <f>IF(OR(B292="",C292=""),"",IFERROR(INDEX(Vöruskrá!O:O,MATCH(B292,Vöruskrá!B:B,0))*C292/100000,""))</f>
        <v>1.0999999999999999E-2</v>
      </c>
      <c r="M292" s="169">
        <f>IF(OR(B292="",C292=""),"",IFERROR(INDEX(Vöruskrá!P:P,MATCH(B292,Vöruskrá!B:B,0))*C292/100000,""))</f>
        <v>1E-4</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131</v>
      </c>
      <c r="C293" s="172">
        <v>10000</v>
      </c>
      <c r="D293" s="168" t="s">
        <v>133</v>
      </c>
      <c r="E293" s="168" t="s">
        <v>134</v>
      </c>
      <c r="F293" s="168"/>
      <c r="G293" s="169">
        <f>IF(OR(B293="",C293=""),"",IFERROR(INDEX(Vöruskrá!J:J,MATCH(B293,Vöruskrá!B:B,0))*C293/100000,""))</f>
        <v>29.5</v>
      </c>
      <c r="H293" s="169">
        <f>IF(OR(B293="",C293=""),"",IFERROR(INDEX(Vöruskrá!K:K,MATCH(B293,Vöruskrá!B:B,0))*C293/100000,""))</f>
        <v>3</v>
      </c>
      <c r="I293" s="169">
        <f>IF(OR(B293="",C293=""),"",IFERROR(INDEX(Vöruskrá!L:L,MATCH(B293,Vöruskrá!B:B,0))*C293/100000,""))</f>
        <v>2.5</v>
      </c>
      <c r="J293" s="169">
        <f>IF(OR(B293="",C293=""),"",IFERROR(INDEX(Vöruskrá!M:M,MATCH(B293,Vöruskrá!B:B,0))*C293/100000,""))</f>
        <v>0.62</v>
      </c>
      <c r="K293" s="169">
        <f>IF(OR(B293="",C293=""),"",IFERROR(INDEX(Vöruskrá!N:N,MATCH(B293,Vöruskrá!B:B,0))*C293/100000,""))</f>
        <v>0</v>
      </c>
      <c r="L293" s="169">
        <f>IF(OR(B293="",C293=""),"",IFERROR(INDEX(Vöruskrá!O:O,MATCH(B293,Vöruskrá!B:B,0))*C293/100000,""))</f>
        <v>0</v>
      </c>
      <c r="M293" s="169">
        <f>IF(OR(B293="",C293=""),"",IFERROR(INDEX(Vöruskrá!P:P,MATCH(B293,Vöruskrá!B:B,0))*C293/100000,""))</f>
        <v>0.01</v>
      </c>
      <c r="N293" s="169">
        <f>IF(OR(B293="",C293=""),"",IFERROR(INDEX(Vöruskrá!Q:Q,MATCH(B293,Vöruskrá!B:B,0))*C293/100000,""))</f>
        <v>0</v>
      </c>
      <c r="O293" s="170">
        <f>IF(OR(B293="",C293=""),"",IFERROR(C293/1000*INDEX(Vöruskrá!R:R,MATCH(B293,Vöruskrá!B:B,0))/1000,""))</f>
        <v>0</v>
      </c>
      <c r="P293" s="171"/>
      <c r="Q293" s="158"/>
      <c r="R293" s="6"/>
    </row>
    <row r="294" spans="1:18" ht="15">
      <c r="A294" s="173"/>
      <c r="B294" s="173" t="s">
        <v>1020</v>
      </c>
      <c r="C294" s="174">
        <v>5000</v>
      </c>
      <c r="D294" s="168" t="s">
        <v>1020</v>
      </c>
      <c r="E294" s="168" t="s">
        <v>134</v>
      </c>
      <c r="F294" s="168"/>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349</v>
      </c>
      <c r="C295" s="172">
        <v>1800</v>
      </c>
      <c r="D295" s="168" t="s">
        <v>351</v>
      </c>
      <c r="E295" s="168" t="s">
        <v>134</v>
      </c>
      <c r="F295" s="168"/>
      <c r="G295" s="169">
        <f>IF(OR(B295="",C295=""),"",IFERROR(INDEX(Vöruskrá!J:J,MATCH(B295,Vöruskrá!B:B,0))*C295/100000,""))</f>
        <v>6.39</v>
      </c>
      <c r="H295" s="169">
        <f>IF(OR(B295="",C295=""),"",IFERROR(INDEX(Vöruskrá!K:K,MATCH(B295,Vöruskrá!B:B,0))*C295/100000,""))</f>
        <v>8.9999999999999993E-3</v>
      </c>
      <c r="I295" s="169">
        <f>IF(OR(B295="",C295=""),"",IFERROR(INDEX(Vöruskrá!L:L,MATCH(B295,Vöruskrá!B:B,0))*C295/100000,""))</f>
        <v>0</v>
      </c>
      <c r="J295" s="169">
        <f>IF(OR(B295="",C295=""),"",IFERROR(INDEX(Vöruskrá!M:M,MATCH(B295,Vöruskrá!B:B,0))*C295/100000,""))</f>
        <v>1.548</v>
      </c>
      <c r="K295" s="169">
        <f>IF(OR(B295="",C295=""),"",IFERROR(INDEX(Vöruskrá!N:N,MATCH(B295,Vöruskrá!B:B,0))*C295/100000,""))</f>
        <v>0</v>
      </c>
      <c r="L295" s="169">
        <f>IF(OR(B295="",C295=""),"",IFERROR(INDEX(Vöruskrá!O:O,MATCH(B295,Vöruskrá!B:B,0))*C295/100000,""))</f>
        <v>8.9999999999999993E-3</v>
      </c>
      <c r="M295" s="169">
        <f>IF(OR(B295="",C295=""),"",IFERROR(INDEX(Vöruskrá!P:P,MATCH(B295,Vöruskrá!B:B,0))*C295/100000,""))</f>
        <v>0</v>
      </c>
      <c r="N295" s="169">
        <f>IF(OR(B295="",C295=""),"",IFERROR(INDEX(Vöruskrá!Q:Q,MATCH(B295,Vöruskrá!B:B,0))*C295/100000,""))</f>
        <v>1.7999999999999999E-2</v>
      </c>
      <c r="O295" s="170">
        <f>IF(OR(B295="",C295=""),"",IFERROR(C295/1000*INDEX(Vöruskrá!R:R,MATCH(B295,Vöruskrá!B:B,0))/1000,""))</f>
        <v>0</v>
      </c>
      <c r="P295" s="171"/>
      <c r="Q295" s="158"/>
      <c r="R295" s="6"/>
    </row>
    <row r="296" spans="1:18" ht="15">
      <c r="A296" s="173"/>
      <c r="B296" s="173" t="s">
        <v>1053</v>
      </c>
      <c r="C296" s="174">
        <v>400</v>
      </c>
      <c r="D296" s="168" t="s">
        <v>1054</v>
      </c>
      <c r="E296" s="168" t="s">
        <v>1055</v>
      </c>
      <c r="F296" s="168"/>
      <c r="G296" s="169">
        <f>IF(OR(B296="",C296=""),"",IFERROR(INDEX(Vöruskrá!J:J,MATCH(B296,Vöruskrá!B:B,0))*C296/100000,""))</f>
        <v>0.08</v>
      </c>
      <c r="H296" s="169">
        <f>IF(OR(B296="",C296=""),"",IFERROR(INDEX(Vöruskrá!K:K,MATCH(B296,Vöruskrá!B:B,0))*C296/100000,""))</f>
        <v>0</v>
      </c>
      <c r="I296" s="169">
        <f>IF(OR(B296="",C296=""),"",IFERROR(INDEX(Vöruskrá!L:L,MATCH(B296,Vöruskrá!B:B,0))*C296/100000,""))</f>
        <v>0</v>
      </c>
      <c r="J296" s="169">
        <f>IF(OR(B296="",C296=""),"",IFERROR(INDEX(Vöruskrá!M:M,MATCH(B296,Vöruskrá!B:B,0))*C296/100000,""))</f>
        <v>2.3999999999999998E-3</v>
      </c>
      <c r="K296" s="169">
        <f>IF(OR(B296="",C296=""),"",IFERROR(INDEX(Vöruskrá!N:N,MATCH(B296,Vöruskrá!B:B,0))*C296/100000,""))</f>
        <v>1.6000000000000001E-3</v>
      </c>
      <c r="L296" s="169">
        <f>IF(OR(B296="",C296=""),"",IFERROR(INDEX(Vöruskrá!O:O,MATCH(B296,Vöruskrá!B:B,0))*C296/100000,""))</f>
        <v>0</v>
      </c>
      <c r="M296" s="169">
        <f>IF(OR(B296="",C296=""),"",IFERROR(INDEX(Vöruskrá!P:P,MATCH(B296,Vöruskrá!B:B,0))*C296/100000,""))</f>
        <v>0</v>
      </c>
      <c r="N296" s="169">
        <f>IF(OR(B296="",C296=""),"",IFERROR(INDEX(Vöruskrá!Q:Q,MATCH(B296,Vöruskrá!B:B,0))*C296/100000,""))</f>
        <v>0</v>
      </c>
      <c r="O296" s="170">
        <f>IF(OR(B296="",C296=""),"",IFERROR(C296/1000*INDEX(Vöruskrá!R:R,MATCH(B296,Vöruskrá!B:B,0))/1000,""))</f>
        <v>0</v>
      </c>
      <c r="P296" s="173"/>
      <c r="Q296" s="157"/>
      <c r="R296" s="27"/>
    </row>
    <row r="297" spans="1:18" ht="15">
      <c r="A297" s="171"/>
      <c r="B297" s="171" t="s">
        <v>1125</v>
      </c>
      <c r="C297" s="172">
        <v>250</v>
      </c>
      <c r="D297" s="168" t="s">
        <v>1126</v>
      </c>
      <c r="E297" s="168" t="s">
        <v>1099</v>
      </c>
      <c r="F297" s="168"/>
      <c r="G297" s="169">
        <f>IF(OR(B297="",C297=""),"",IFERROR(INDEX(Vöruskrá!J:J,MATCH(B297,Vöruskrá!B:B,0))*C297/100000,""))</f>
        <v>1</v>
      </c>
      <c r="H297" s="169">
        <f>IF(OR(B297="",C297=""),"",IFERROR(INDEX(Vöruskrá!K:K,MATCH(B297,Vöruskrá!B:B,0))*C297/100000,""))</f>
        <v>0</v>
      </c>
      <c r="I297" s="169">
        <f>IF(OR(B297="",C297=""),"",IFERROR(INDEX(Vöruskrá!L:L,MATCH(B297,Vöruskrá!B:B,0))*C297/100000,""))</f>
        <v>0</v>
      </c>
      <c r="J297" s="169">
        <f>IF(OR(B297="",C297=""),"",IFERROR(INDEX(Vöruskrá!M:M,MATCH(B297,Vöruskrá!B:B,0))*C297/100000,""))</f>
        <v>0.25</v>
      </c>
      <c r="K297" s="169">
        <f>IF(OR(B297="",C297=""),"",IFERROR(INDEX(Vöruskrá!N:N,MATCH(B297,Vöruskrá!B:B,0))*C297/100000,""))</f>
        <v>0.25</v>
      </c>
      <c r="L297" s="169">
        <f>IF(OR(B297="",C297=""),"",IFERROR(INDEX(Vöruskrá!O:O,MATCH(B297,Vöruskrá!B:B,0))*C297/100000,""))</f>
        <v>0</v>
      </c>
      <c r="M297" s="169">
        <f>IF(OR(B297="",C297=""),"",IFERROR(INDEX(Vöruskrá!P:P,MATCH(B297,Vöruskrá!B:B,0))*C297/100000,""))</f>
        <v>0</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1022</v>
      </c>
      <c r="C298" s="174">
        <v>60</v>
      </c>
      <c r="D298" s="168" t="s">
        <v>1023</v>
      </c>
      <c r="E298" s="168" t="s">
        <v>134</v>
      </c>
      <c r="F298" s="168" t="s">
        <v>1024</v>
      </c>
      <c r="G298" s="169">
        <f>IF(OR(B298="",C298=""),"",IFERROR(INDEX(Vöruskrá!J:J,MATCH(B298,Vöruskrá!B:B,0))*C298/100000,""))</f>
        <v>0.19500000000000001</v>
      </c>
      <c r="H298" s="169">
        <f>IF(OR(B298="",C298=""),"",IFERROR(INDEX(Vöruskrá!K:K,MATCH(B298,Vöruskrá!B:B,0))*C298/100000,""))</f>
        <v>8.3999999999999995E-3</v>
      </c>
      <c r="I298" s="169">
        <f>IF(OR(B298="",C298=""),"",IFERROR(INDEX(Vöruskrá!L:L,MATCH(B298,Vöruskrá!B:B,0))*C298/100000,""))</f>
        <v>1.1999999999999999E-3</v>
      </c>
      <c r="J298" s="169">
        <f>IF(OR(B298="",C298=""),"",IFERROR(INDEX(Vöruskrá!M:M,MATCH(B298,Vöruskrá!B:B,0))*C298/100000,""))</f>
        <v>3.3000000000000002E-2</v>
      </c>
      <c r="K298" s="169">
        <f>IF(OR(B298="",C298=""),"",IFERROR(INDEX(Vöruskrá!N:N,MATCH(B298,Vöruskrá!B:B,0))*C298/100000,""))</f>
        <v>1.6800000000000001E-3</v>
      </c>
      <c r="L298" s="169">
        <f>IF(OR(B298="",C298=""),"",IFERROR(INDEX(Vöruskrá!O:O,MATCH(B298,Vöruskrá!B:B,0))*C298/100000,""))</f>
        <v>8.3999999999999995E-3</v>
      </c>
      <c r="M298" s="169">
        <f>IF(OR(B298="",C298=""),"",IFERROR(INDEX(Vöruskrá!P:P,MATCH(B298,Vöruskrá!B:B,0))*C298/100000,""))</f>
        <v>6.0000000000000002E-5</v>
      </c>
      <c r="N298" s="169">
        <f>IF(OR(B298="",C298=""),"",IFERROR(INDEX(Vöruskrá!Q:Q,MATCH(B298,Vöruskrá!B:B,0))*C298/100000,""))</f>
        <v>1.9800000000000002E-2</v>
      </c>
      <c r="O298" s="170">
        <f>IF(OR(B298="",C298=""),"",IFERROR(C298/1000*INDEX(Vöruskrá!R:R,MATCH(B298,Vöruskrá!B:B,0))/1000,""))</f>
        <v>0</v>
      </c>
      <c r="P298" s="173"/>
      <c r="Q298" s="157"/>
      <c r="R298" s="27"/>
    </row>
    <row r="299" spans="1:18" ht="15">
      <c r="A299" s="171"/>
      <c r="B299" s="171" t="s">
        <v>1118</v>
      </c>
      <c r="C299" s="172">
        <v>50</v>
      </c>
      <c r="D299" s="168" t="s">
        <v>1119</v>
      </c>
      <c r="E299" s="168" t="s">
        <v>148</v>
      </c>
      <c r="F299" s="168" t="s">
        <v>1024</v>
      </c>
      <c r="G299" s="169">
        <f>IF(OR(B299="",C299=""),"",IFERROR(INDEX(Vöruskrá!J:J,MATCH(B299,Vöruskrá!B:B,0))*C299/100000,""))</f>
        <v>0.1275</v>
      </c>
      <c r="H299" s="169">
        <f>IF(OR(B299="",C299=""),"",IFERROR(INDEX(Vöruskrá!K:K,MATCH(B299,Vöruskrá!B:B,0))*C299/100000,""))</f>
        <v>1.65E-3</v>
      </c>
      <c r="I299" s="169">
        <f>IF(OR(B299="",C299=""),"",IFERROR(INDEX(Vöruskrá!L:L,MATCH(B299,Vöruskrá!B:B,0))*C299/100000,""))</f>
        <v>4.4999999999999999E-4</v>
      </c>
      <c r="J299" s="169">
        <f>IF(OR(B299="",C299=""),"",IFERROR(INDEX(Vöruskrá!M:M,MATCH(B299,Vöruskrá!B:B,0))*C299/100000,""))</f>
        <v>3.2000000000000001E-2</v>
      </c>
      <c r="K299" s="169">
        <f>IF(OR(B299="",C299=""),"",IFERROR(INDEX(Vöruskrá!N:N,MATCH(B299,Vöruskrá!B:B,0))*C299/100000,""))</f>
        <v>2.9999999999999997E-4</v>
      </c>
      <c r="L299" s="169">
        <f>IF(OR(B299="",C299=""),"",IFERROR(INDEX(Vöruskrá!O:O,MATCH(B299,Vöruskrá!B:B,0))*C299/100000,""))</f>
        <v>5.1999999999999998E-3</v>
      </c>
      <c r="M299" s="169">
        <f>IF(OR(B299="",C299=""),"",IFERROR(INDEX(Vöruskrá!P:P,MATCH(B299,Vöruskrá!B:B,0))*C299/100000,""))</f>
        <v>0</v>
      </c>
      <c r="N299" s="169">
        <f>IF(OR(B299="",C299=""),"",IFERROR(INDEX(Vöruskrá!Q:Q,MATCH(B299,Vöruskrá!B:B,0))*C299/100000,""))</f>
        <v>1.325E-2</v>
      </c>
      <c r="O299" s="170">
        <f>IF(OR(B299="",C299=""),"",IFERROR(C299/1000*INDEX(Vöruskrá!R:R,MATCH(B299,Vöruskrá!B:B,0))/1000,""))</f>
        <v>0</v>
      </c>
      <c r="P299" s="171"/>
      <c r="Q299" s="158"/>
      <c r="R299" s="6"/>
    </row>
    <row r="300" spans="1:18" ht="15">
      <c r="A300" s="173"/>
      <c r="B300" s="173" t="s">
        <v>812</v>
      </c>
      <c r="C300" s="174">
        <v>40</v>
      </c>
      <c r="D300" s="168" t="s">
        <v>813</v>
      </c>
      <c r="E300" s="168"/>
      <c r="F300" s="168" t="s">
        <v>311</v>
      </c>
      <c r="G300" s="169">
        <f>IF(OR(B300="",C300=""),"",IFERROR(INDEX(Vöruskrá!J:J,MATCH(B300,Vöruskrá!B:B,0))*C300/100000,""))</f>
        <v>0.214</v>
      </c>
      <c r="H300" s="169">
        <f>IF(OR(B300="",C300=""),"",IFERROR(INDEX(Vöruskrá!K:K,MATCH(B300,Vöruskrá!B:B,0))*C300/100000,""))</f>
        <v>1.44E-2</v>
      </c>
      <c r="I300" s="169">
        <f>IF(OR(B300="",C300=""),"",IFERROR(INDEX(Vöruskrá!L:L,MATCH(B300,Vöruskrá!B:B,0))*C300/100000,""))</f>
        <v>1.04E-2</v>
      </c>
      <c r="J300" s="169">
        <f>IF(OR(B300="",C300=""),"",IFERROR(INDEX(Vöruskrá!M:M,MATCH(B300,Vöruskrá!B:B,0))*C300/100000,""))</f>
        <v>1.7999999999999999E-2</v>
      </c>
      <c r="K300" s="169">
        <f>IF(OR(B300="",C300=""),"",IFERROR(INDEX(Vöruskrá!N:N,MATCH(B300,Vöruskrá!B:B,0))*C300/100000,""))</f>
        <v>9.1999999999999998E-3</v>
      </c>
      <c r="L300" s="169">
        <f>IF(OR(B300="",C300=""),"",IFERROR(INDEX(Vöruskrá!O:O,MATCH(B300,Vöruskrá!B:B,0))*C300/100000,""))</f>
        <v>2.32E-3</v>
      </c>
      <c r="M300" s="169">
        <f>IF(OR(B300="",C300=""),"",IFERROR(INDEX(Vöruskrá!P:P,MATCH(B300,Vöruskrá!B:B,0))*C300/100000,""))</f>
        <v>4.0000000000000003E-5</v>
      </c>
      <c r="N300" s="169">
        <f>IF(OR(B300="",C300=""),"",IFERROR(INDEX(Vöruskrá!Q:Q,MATCH(B300,Vöruskrá!B:B,0))*C300/100000,""))</f>
        <v>0</v>
      </c>
      <c r="O300" s="170">
        <f>IF(OR(B300="",C300=""),"",IFERROR(C300/1000*INDEX(Vöruskrá!R:R,MATCH(B300,Vöruskrá!B:B,0))/1000,""))</f>
        <v>0</v>
      </c>
      <c r="P300" s="173"/>
      <c r="Q300" s="201"/>
      <c r="R300" s="202"/>
    </row>
    <row r="301" spans="1:18" ht="48">
      <c r="A301" s="147" t="s">
        <v>1681</v>
      </c>
      <c r="B301" s="147"/>
      <c r="C301" s="148"/>
      <c r="D301" s="165" t="s">
        <v>1682</v>
      </c>
      <c r="E301" s="165" t="s">
        <v>621</v>
      </c>
      <c r="F301" s="165"/>
      <c r="G301" s="166">
        <v>98.88</v>
      </c>
      <c r="H301" s="166">
        <v>0.72</v>
      </c>
      <c r="I301" s="166">
        <v>0.11</v>
      </c>
      <c r="J301" s="166">
        <v>1.44</v>
      </c>
      <c r="K301" s="166"/>
      <c r="L301" s="166">
        <v>21.46</v>
      </c>
      <c r="M301" s="166">
        <v>1.19</v>
      </c>
      <c r="N301" s="166">
        <f>IFERROR(SUM(N302:N308)/(SUM($C$302:$C$308)/100000),"")</f>
        <v>0.34086599999999995</v>
      </c>
      <c r="O301" s="167" t="str">
        <f>IF(OR(B301="",C301=""),"",IFERROR(C301/1000*INDEX(Vöruskrá!R:R,MATCH(B301,Vöruskrá!B:B,0))/1000,""))</f>
        <v/>
      </c>
      <c r="P301" s="196" t="s">
        <v>1683</v>
      </c>
      <c r="Q301" s="199" t="s">
        <v>1684</v>
      </c>
      <c r="R301" s="198" t="s">
        <v>1685</v>
      </c>
    </row>
    <row r="302" spans="1:18" ht="15">
      <c r="A302" s="171"/>
      <c r="B302" s="171" t="s">
        <v>926</v>
      </c>
      <c r="C302" s="172">
        <v>91324</v>
      </c>
      <c r="D302" s="168" t="s">
        <v>926</v>
      </c>
      <c r="E302" s="168" t="s">
        <v>621</v>
      </c>
      <c r="F302" s="168"/>
      <c r="G302" s="169">
        <f>IF(OR(B302="",C302=""),"",IFERROR(INDEX(Vöruskrá!J:J,MATCH(B302,Vöruskrá!B:B,0))*C302/100000,""))</f>
        <v>91.323999999999998</v>
      </c>
      <c r="H302" s="169">
        <f>IF(OR(B302="",C302=""),"",IFERROR(INDEX(Vöruskrá!K:K,MATCH(B302,Vöruskrá!B:B,0))*C302/100000,""))</f>
        <v>0.63926799999999995</v>
      </c>
      <c r="I302" s="169">
        <f>IF(OR(B302="",C302=""),"",IFERROR(INDEX(Vöruskrá!L:L,MATCH(B302,Vöruskrá!B:B,0))*C302/100000,""))</f>
        <v>9.1324000000000002E-2</v>
      </c>
      <c r="J302" s="169">
        <f>IF(OR(B302="",C302=""),"",IFERROR(INDEX(Vöruskrá!M:M,MATCH(B302,Vöruskrá!B:B,0))*C302/100000,""))</f>
        <v>0</v>
      </c>
      <c r="K302" s="169">
        <f>IF(OR(B302="",C302=""),"",IFERROR(INDEX(Vöruskrá!N:N,MATCH(B302,Vöruskrá!B:B,0))*C302/100000,""))</f>
        <v>0</v>
      </c>
      <c r="L302" s="169">
        <f>IF(OR(B302="",C302=""),"",IFERROR(INDEX(Vöruskrá!O:O,MATCH(B302,Vöruskrá!B:B,0))*C302/100000,""))</f>
        <v>21.004519999999999</v>
      </c>
      <c r="M302" s="169">
        <f>IF(OR(B302="",C302=""),"",IFERROR(INDEX(Vöruskrá!P:P,MATCH(B302,Vöruskrá!B:B,0))*C302/100000,""))</f>
        <v>0.27397199999999999</v>
      </c>
      <c r="N302" s="169">
        <f>IF(OR(B302="",C302=""),"",IFERROR(INDEX(Vöruskrá!Q:Q,MATCH(B302,Vöruskrá!B:B,0))*C302/100000,""))</f>
        <v>0</v>
      </c>
      <c r="O302" s="170">
        <f>IF(OR(B302="",C302=""),"",IFERROR(C302/1000*INDEX(Vöruskrá!R:R,MATCH(B302,Vöruskrá!B:B,0))/1000,""))</f>
        <v>0</v>
      </c>
      <c r="P302" s="171"/>
      <c r="Q302" s="203"/>
      <c r="R302" s="204"/>
    </row>
    <row r="303" spans="1:18" ht="15">
      <c r="A303" s="173"/>
      <c r="B303" s="173" t="s">
        <v>1017</v>
      </c>
      <c r="C303" s="174">
        <v>1712</v>
      </c>
      <c r="D303" s="168" t="s">
        <v>1017</v>
      </c>
      <c r="E303" s="168" t="s">
        <v>134</v>
      </c>
      <c r="F303" s="168"/>
      <c r="G303" s="169">
        <f>IF(OR(B303="",C303=""),"",IFERROR(INDEX(Vöruskrá!J:J,MATCH(B303,Vöruskrá!B:B,0))*C303/100000,""))</f>
        <v>2.5508799999999998</v>
      </c>
      <c r="H303" s="169">
        <f>IF(OR(B303="",C303=""),"",IFERROR(INDEX(Vöruskrá!K:K,MATCH(B303,Vöruskrá!B:B,0))*C303/100000,""))</f>
        <v>8.5599999999999999E-3</v>
      </c>
      <c r="I303" s="169">
        <f>IF(OR(B303="",C303=""),"",IFERROR(INDEX(Vöruskrá!L:L,MATCH(B303,Vöruskrá!B:B,0))*C303/100000,""))</f>
        <v>1.7120000000000002E-3</v>
      </c>
      <c r="J303" s="169">
        <f>IF(OR(B303="",C303=""),"",IFERROR(INDEX(Vöruskrá!M:M,MATCH(B303,Vöruskrá!B:B,0))*C303/100000,""))</f>
        <v>0.56667200000000006</v>
      </c>
      <c r="K303" s="169">
        <f>IF(OR(B303="",C303=""),"",IFERROR(INDEX(Vöruskrá!N:N,MATCH(B303,Vöruskrá!B:B,0))*C303/100000,""))</f>
        <v>1.712E-2</v>
      </c>
      <c r="L303" s="169">
        <f>IF(OR(B303="",C303=""),"",IFERROR(INDEX(Vöruskrá!O:O,MATCH(B303,Vöruskrá!B:B,0))*C303/100000,""))</f>
        <v>0.10956800000000001</v>
      </c>
      <c r="M303" s="169">
        <f>IF(OR(B303="",C303=""),"",IFERROR(INDEX(Vöruskrá!P:P,MATCH(B303,Vöruskrá!B:B,0))*C303/100000,""))</f>
        <v>0</v>
      </c>
      <c r="N303" s="169">
        <f>IF(OR(B303="",C303=""),"",IFERROR(INDEX(Vöruskrá!Q:Q,MATCH(B303,Vöruskrá!B:B,0))*C303/100000,""))</f>
        <v>3.5952000000000005E-2</v>
      </c>
      <c r="O303" s="170">
        <f>IF(OR(B303="",C303=""),"",IFERROR(C303/1000*INDEX(Vöruskrá!R:R,MATCH(B303,Vöruskrá!B:B,0))/1000,""))</f>
        <v>0</v>
      </c>
      <c r="P303" s="173"/>
      <c r="Q303" s="158"/>
      <c r="R303" s="6"/>
    </row>
    <row r="304" spans="1:18" ht="15">
      <c r="A304" s="171"/>
      <c r="B304" s="171" t="s">
        <v>1467</v>
      </c>
      <c r="C304" s="172">
        <v>3425</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1"/>
      <c r="Q304" s="157"/>
      <c r="R304" s="27"/>
    </row>
    <row r="305" spans="1:18" ht="15">
      <c r="A305" s="173"/>
      <c r="B305" s="173" t="s">
        <v>833</v>
      </c>
      <c r="C305" s="174">
        <v>1142</v>
      </c>
      <c r="D305" s="168" t="s">
        <v>835</v>
      </c>
      <c r="E305" s="168"/>
      <c r="F305" s="168"/>
      <c r="G305" s="169">
        <f>IF(OR(B305="",C305=""),"",IFERROR(INDEX(Vöruskrá!J:J,MATCH(B305,Vöruskrá!B:B,0))*C305/100000,""))</f>
        <v>0.35402</v>
      </c>
      <c r="H305" s="169">
        <f>IF(OR(B305="",C305=""),"",IFERROR(INDEX(Vöruskrá!K:K,MATCH(B305,Vöruskrá!B:B,0))*C305/100000,""))</f>
        <v>2.284E-3</v>
      </c>
      <c r="I305" s="169">
        <f>IF(OR(B305="",C305=""),"",IFERROR(INDEX(Vöruskrá!L:L,MATCH(B305,Vöruskrá!B:B,0))*C305/100000,""))</f>
        <v>0</v>
      </c>
      <c r="J305" s="169">
        <f>IF(OR(B305="",C305=""),"",IFERROR(INDEX(Vöruskrá!M:M,MATCH(B305,Vöruskrá!B:B,0))*C305/100000,""))</f>
        <v>7.8798000000000007E-2</v>
      </c>
      <c r="K305" s="169">
        <f>IF(OR(B305="",C305=""),"",IFERROR(INDEX(Vöruskrá!N:N,MATCH(B305,Vöruskrá!B:B,0))*C305/100000,""))</f>
        <v>2.7407999999999998E-2</v>
      </c>
      <c r="L305" s="169">
        <f>IF(OR(B305="",C305=""),"",IFERROR(INDEX(Vöruskrá!O:O,MATCH(B305,Vöruskrá!B:B,0))*C305/100000,""))</f>
        <v>0</v>
      </c>
      <c r="M305" s="169">
        <f>IF(OR(B305="",C305=""),"",IFERROR(INDEX(Vöruskrá!P:P,MATCH(B305,Vöruskrá!B:B,0))*C305/100000,""))</f>
        <v>0</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1030</v>
      </c>
      <c r="C306" s="172">
        <v>1142</v>
      </c>
      <c r="D306" s="168" t="s">
        <v>1032</v>
      </c>
      <c r="E306" s="168" t="s">
        <v>134</v>
      </c>
      <c r="F306" s="168" t="s">
        <v>1024</v>
      </c>
      <c r="G306" s="169">
        <f>IF(OR(B306="",C306=""),"",IFERROR(INDEX(Vöruskrá!J:J,MATCH(B306,Vöruskrá!B:B,0))*C306/100000,""))</f>
        <v>3.3346399999999998</v>
      </c>
      <c r="H306" s="169">
        <f>IF(OR(B306="",C306=""),"",IFERROR(INDEX(Vöruskrá!K:K,MATCH(B306,Vöruskrá!B:B,0))*C306/100000,""))</f>
        <v>6.2810000000000005E-2</v>
      </c>
      <c r="I306" s="169">
        <f>IF(OR(B306="",C306=""),"",IFERROR(INDEX(Vöruskrá!L:L,MATCH(B306,Vöruskrá!B:B,0))*C306/100000,""))</f>
        <v>1.0277999999999999E-2</v>
      </c>
      <c r="J306" s="169">
        <f>IF(OR(B306="",C306=""),"",IFERROR(INDEX(Vöruskrá!M:M,MATCH(B306,Vöruskrá!B:B,0))*C306/100000,""))</f>
        <v>0.57099999999999995</v>
      </c>
      <c r="K306" s="169">
        <f>IF(OR(B306="",C306=""),"",IFERROR(INDEX(Vöruskrá!N:N,MATCH(B306,Vöruskrá!B:B,0))*C306/100000,""))</f>
        <v>4.5679999999999998E-2</v>
      </c>
      <c r="L306" s="169">
        <f>IF(OR(B306="",C306=""),"",IFERROR(INDEX(Vöruskrá!O:O,MATCH(B306,Vöruskrá!B:B,0))*C306/100000,""))</f>
        <v>0.30377199999999999</v>
      </c>
      <c r="M306" s="169">
        <f>IF(OR(B306="",C306=""),"",IFERROR(INDEX(Vöruskrá!P:P,MATCH(B306,Vöruskrá!B:B,0))*C306/100000,""))</f>
        <v>1.142E-3</v>
      </c>
      <c r="N306" s="169">
        <f>IF(OR(B306="",C306=""),"",IFERROR(INDEX(Vöruskrá!Q:Q,MATCH(B306,Vöruskrá!B:B,0))*C306/100000,""))</f>
        <v>0.30491399999999996</v>
      </c>
      <c r="O306" s="170">
        <f>IF(OR(B306="",C306=""),"",IFERROR(C306/1000*INDEX(Vöruskrá!R:R,MATCH(B306,Vöruskrá!B:B,0))/1000,""))</f>
        <v>0</v>
      </c>
      <c r="P306" s="171"/>
      <c r="Q306" s="157"/>
      <c r="R306" s="27"/>
    </row>
    <row r="307" spans="1:18" ht="15">
      <c r="A307" s="173"/>
      <c r="B307" s="173" t="s">
        <v>299</v>
      </c>
      <c r="C307" s="174">
        <v>913</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0.91300000000000003</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819</v>
      </c>
      <c r="C308" s="172">
        <v>342</v>
      </c>
      <c r="D308" s="168" t="s">
        <v>820</v>
      </c>
      <c r="E308" s="168"/>
      <c r="F308" s="168" t="s">
        <v>311</v>
      </c>
      <c r="G308" s="169">
        <f>IF(OR(B308="",C308=""),"",IFERROR(INDEX(Vöruskrá!J:J,MATCH(B308,Vöruskrá!B:B,0))*C308/100000,""))</f>
        <v>1.32012</v>
      </c>
      <c r="H308" s="169">
        <f>IF(OR(B308="",C308=""),"",IFERROR(INDEX(Vöruskrá!K:K,MATCH(B308,Vöruskrá!B:B,0))*C308/100000,""))</f>
        <v>1.1285999999999999E-2</v>
      </c>
      <c r="I308" s="169">
        <f>IF(OR(B308="",C308=""),"",IFERROR(INDEX(Vöruskrá!L:L,MATCH(B308,Vöruskrá!B:B,0))*C308/100000,""))</f>
        <v>3.4199999999999999E-3</v>
      </c>
      <c r="J308" s="169">
        <f>IF(OR(B308="",C308=""),"",IFERROR(INDEX(Vöruskrá!M:M,MATCH(B308,Vöruskrá!B:B,0))*C308/100000,""))</f>
        <v>0.2223</v>
      </c>
      <c r="K308" s="169">
        <f>IF(OR(B308="",C308=""),"",IFERROR(INDEX(Vöruskrá!N:N,MATCH(B308,Vöruskrá!B:B,0))*C308/100000,""))</f>
        <v>2.052E-3</v>
      </c>
      <c r="L308" s="169">
        <f>IF(OR(B308="",C308=""),"",IFERROR(INDEX(Vöruskrá!O:O,MATCH(B308,Vöruskrá!B:B,0))*C308/100000,""))</f>
        <v>3.7620000000000001E-2</v>
      </c>
      <c r="M308" s="169">
        <f>IF(OR(B308="",C308=""),"",IFERROR(INDEX(Vöruskrá!P:P,MATCH(B308,Vöruskrá!B:B,0))*C308/100000,""))</f>
        <v>3.4200000000000002E-4</v>
      </c>
      <c r="N308" s="169">
        <f>IF(OR(B308="",C308=""),"",IFERROR(INDEX(Vöruskrá!Q:Q,MATCH(B308,Vöruskrá!B:B,0))*C308/100000,""))</f>
        <v>0</v>
      </c>
      <c r="O308" s="170">
        <f>IF(OR(B308="",C308=""),"",IFERROR(C308/1000*INDEX(Vöruskrá!R:R,MATCH(B308,Vöruskrá!B:B,0))/1000,""))</f>
        <v>0</v>
      </c>
      <c r="P308" s="171"/>
      <c r="Q308" s="201"/>
      <c r="R308" s="202"/>
    </row>
    <row r="309" spans="1:18" ht="48">
      <c r="A309" s="147" t="s">
        <v>1686</v>
      </c>
      <c r="B309" s="147"/>
      <c r="C309" s="148"/>
      <c r="D309" s="165" t="s">
        <v>1687</v>
      </c>
      <c r="E309" s="165" t="s">
        <v>1622</v>
      </c>
      <c r="F309" s="165"/>
      <c r="G309" s="166">
        <v>122.36</v>
      </c>
      <c r="H309" s="166">
        <v>5.47</v>
      </c>
      <c r="I309" s="166">
        <v>0.48</v>
      </c>
      <c r="J309" s="166">
        <v>3.27</v>
      </c>
      <c r="K309" s="166"/>
      <c r="L309" s="166">
        <v>17.82</v>
      </c>
      <c r="M309" s="166">
        <v>1.01</v>
      </c>
      <c r="N309" s="166">
        <f>IFERROR(SUM(N310:N316)/(SUM($C$310:$C$316)/100000),"")</f>
        <v>0</v>
      </c>
      <c r="O309" s="167" t="str">
        <f>IF(OR(B309="",C309=""),"",IFERROR(C309/1000*INDEX(Vöruskrá!R:R,MATCH(B309,Vöruskrá!B:B,0))/1000,""))</f>
        <v/>
      </c>
      <c r="P309" s="196" t="s">
        <v>1688</v>
      </c>
      <c r="Q309" s="195" t="s">
        <v>1689</v>
      </c>
      <c r="R309" s="194" t="s">
        <v>1690</v>
      </c>
    </row>
    <row r="310" spans="1:18" ht="15">
      <c r="A310" s="171"/>
      <c r="B310" s="171" t="s">
        <v>926</v>
      </c>
      <c r="C310" s="172">
        <v>77071</v>
      </c>
      <c r="D310" s="168" t="s">
        <v>926</v>
      </c>
      <c r="E310" s="168" t="s">
        <v>621</v>
      </c>
      <c r="F310" s="168"/>
      <c r="G310" s="169">
        <f>IF(OR(B310="",C310=""),"",IFERROR(INDEX(Vöruskrá!J:J,MATCH(B310,Vöruskrá!B:B,0))*C310/100000,""))</f>
        <v>77.070999999999998</v>
      </c>
      <c r="H310" s="169">
        <f>IF(OR(B310="",C310=""),"",IFERROR(INDEX(Vöruskrá!K:K,MATCH(B310,Vöruskrá!B:B,0))*C310/100000,""))</f>
        <v>0.539497</v>
      </c>
      <c r="I310" s="169">
        <f>IF(OR(B310="",C310=""),"",IFERROR(INDEX(Vöruskrá!L:L,MATCH(B310,Vöruskrá!B:B,0))*C310/100000,""))</f>
        <v>7.7071000000000001E-2</v>
      </c>
      <c r="J310" s="169">
        <f>IF(OR(B310="",C310=""),"",IFERROR(INDEX(Vöruskrá!M:M,MATCH(B310,Vöruskrá!B:B,0))*C310/100000,""))</f>
        <v>0</v>
      </c>
      <c r="K310" s="169">
        <f>IF(OR(B310="",C310=""),"",IFERROR(INDEX(Vöruskrá!N:N,MATCH(B310,Vöruskrá!B:B,0))*C310/100000,""))</f>
        <v>0</v>
      </c>
      <c r="L310" s="169">
        <f>IF(OR(B310="",C310=""),"",IFERROR(INDEX(Vöruskrá!O:O,MATCH(B310,Vöruskrá!B:B,0))*C310/100000,""))</f>
        <v>17.726330000000001</v>
      </c>
      <c r="M310" s="169">
        <f>IF(OR(B310="",C310=""),"",IFERROR(INDEX(Vöruskrá!P:P,MATCH(B310,Vöruskrá!B:B,0))*C310/100000,""))</f>
        <v>0.231213</v>
      </c>
      <c r="N310" s="169">
        <f>IF(OR(B310="",C310=""),"",IFERROR(INDEX(Vöruskrá!Q:Q,MATCH(B310,Vöruskrá!B:B,0))*C310/100000,""))</f>
        <v>0</v>
      </c>
      <c r="O310" s="170">
        <f>IF(OR(B310="",C310=""),"",IFERROR(C310/1000*INDEX(Vöruskrá!R:R,MATCH(B310,Vöruskrá!B:B,0))/1000,""))</f>
        <v>0</v>
      </c>
      <c r="P310" s="171"/>
      <c r="Q310" s="203"/>
      <c r="R310" s="204"/>
    </row>
    <row r="311" spans="1:18" ht="15">
      <c r="A311" s="173"/>
      <c r="B311" s="173" t="s">
        <v>1465</v>
      </c>
      <c r="C311" s="174">
        <v>4817</v>
      </c>
      <c r="D311" s="168"/>
      <c r="E311" s="168"/>
      <c r="F311" s="168"/>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1463</v>
      </c>
      <c r="C312" s="172">
        <v>4817</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849</v>
      </c>
      <c r="C313" s="174">
        <v>2890</v>
      </c>
      <c r="D313" s="168" t="s">
        <v>850</v>
      </c>
      <c r="E313" s="168" t="s">
        <v>120</v>
      </c>
      <c r="F313" s="168"/>
      <c r="G313" s="169">
        <f>IF(OR(B313="",C313=""),"",IFERROR(INDEX(Vöruskrá!J:J,MATCH(B313,Vöruskrá!B:B,0))*C313/100000,""))</f>
        <v>1.9362999999999999</v>
      </c>
      <c r="H313" s="169">
        <f>IF(OR(B313="",C313=""),"",IFERROR(INDEX(Vöruskrá!K:K,MATCH(B313,Vöruskrá!B:B,0))*C313/100000,""))</f>
        <v>0.11271</v>
      </c>
      <c r="I313" s="169">
        <f>IF(OR(B313="",C313=""),"",IFERROR(INDEX(Vöruskrá!L:L,MATCH(B313,Vöruskrá!B:B,0))*C313/100000,""))</f>
        <v>6.6469999999999987E-2</v>
      </c>
      <c r="J313" s="169">
        <f>IF(OR(B313="",C313=""),"",IFERROR(INDEX(Vöruskrá!M:M,MATCH(B313,Vöruskrá!B:B,0))*C313/100000,""))</f>
        <v>0.13583000000000001</v>
      </c>
      <c r="K313" s="169">
        <f>IF(OR(B313="",C313=""),"",IFERROR(INDEX(Vöruskrá!N:N,MATCH(B313,Vöruskrá!B:B,0))*C313/100000,""))</f>
        <v>0.13583000000000001</v>
      </c>
      <c r="L313" s="169">
        <f>IF(OR(B313="",C313=""),"",IFERROR(INDEX(Vöruskrá!O:O,MATCH(B313,Vöruskrá!B:B,0))*C313/100000,""))</f>
        <v>9.5369999999999996E-2</v>
      </c>
      <c r="M313" s="169">
        <f>IF(OR(B313="",C313=""),"",IFERROR(INDEX(Vöruskrá!P:P,MATCH(B313,Vöruskrá!B:B,0))*C313/100000,""))</f>
        <v>2.8900000000000002E-3</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1466</v>
      </c>
      <c r="C314" s="172">
        <v>4817</v>
      </c>
      <c r="D314" s="168"/>
      <c r="E314" s="168"/>
      <c r="F314" s="168"/>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299</v>
      </c>
      <c r="C315" s="174">
        <v>771</v>
      </c>
      <c r="D315" s="168" t="s">
        <v>302</v>
      </c>
      <c r="E315" s="168" t="s">
        <v>134</v>
      </c>
      <c r="F315" s="168" t="s">
        <v>303</v>
      </c>
      <c r="G315" s="169">
        <f>IF(OR(B315="",C315=""),"",IFERROR(INDEX(Vöruskrá!J:J,MATCH(B315,Vöruskrá!B:B,0))*C315/100000,""))</f>
        <v>0</v>
      </c>
      <c r="H315" s="169">
        <f>IF(OR(B315="",C315=""),"",IFERROR(INDEX(Vöruskrá!K:K,MATCH(B315,Vöruskrá!B:B,0))*C315/100000,""))</f>
        <v>0</v>
      </c>
      <c r="I315" s="169">
        <f>IF(OR(B315="",C315=""),"",IFERROR(INDEX(Vöruskrá!L:L,MATCH(B315,Vöruskrá!B:B,0))*C315/100000,""))</f>
        <v>0</v>
      </c>
      <c r="J315" s="169">
        <f>IF(OR(B315="",C315=""),"",IFERROR(INDEX(Vöruskrá!M:M,MATCH(B315,Vöruskrá!B:B,0))*C315/100000,""))</f>
        <v>0</v>
      </c>
      <c r="K315" s="169">
        <f>IF(OR(B315="",C315=""),"",IFERROR(INDEX(Vöruskrá!N:N,MATCH(B315,Vöruskrá!B:B,0))*C315/100000,""))</f>
        <v>0</v>
      </c>
      <c r="L315" s="169">
        <f>IF(OR(B315="",C315=""),"",IFERROR(INDEX(Vöruskrá!O:O,MATCH(B315,Vöruskrá!B:B,0))*C315/100000,""))</f>
        <v>0</v>
      </c>
      <c r="M315" s="169">
        <f>IF(OR(B315="",C315=""),"",IFERROR(INDEX(Vöruskrá!P:P,MATCH(B315,Vöruskrá!B:B,0))*C315/100000,""))</f>
        <v>0.77100000000000002</v>
      </c>
      <c r="N315" s="169">
        <f>IF(OR(B315="",C315=""),"",IFERROR(INDEX(Vöruskrá!Q:Q,MATCH(B315,Vöruskrá!B:B,0))*C315/100000,""))</f>
        <v>0</v>
      </c>
      <c r="O315" s="170">
        <f>IF(OR(B315="",C315=""),"",IFERROR(C315/1000*INDEX(Vöruskrá!R:R,MATCH(B315,Vöruskrá!B:B,0))/1000,""))</f>
        <v>0</v>
      </c>
      <c r="P315" s="173"/>
      <c r="Q315" s="158"/>
      <c r="R315" s="6"/>
    </row>
    <row r="316" spans="1:18" ht="15">
      <c r="A316" s="171"/>
      <c r="B316" s="171" t="s">
        <v>1270</v>
      </c>
      <c r="C316" s="172">
        <v>4817</v>
      </c>
      <c r="D316" s="168" t="s">
        <v>1270</v>
      </c>
      <c r="E316" s="168" t="s">
        <v>134</v>
      </c>
      <c r="F316" s="168"/>
      <c r="G316" s="169">
        <f>IF(OR(B316="",C316=""),"",IFERROR(INDEX(Vöruskrá!J:J,MATCH(B316,Vöruskrá!B:B,0))*C316/100000,""))</f>
        <v>43.353000000000002</v>
      </c>
      <c r="H316" s="169">
        <f>IF(OR(B316="",C316=""),"",IFERROR(INDEX(Vöruskrá!K:K,MATCH(B316,Vöruskrá!B:B,0))*C316/100000,""))</f>
        <v>4.8170000000000002</v>
      </c>
      <c r="I316" s="169">
        <f>IF(OR(B316="",C316=""),"",IFERROR(INDEX(Vöruskrá!L:L,MATCH(B316,Vöruskrá!B:B,0))*C316/100000,""))</f>
        <v>0.33718999999999999</v>
      </c>
      <c r="J316" s="169">
        <f>IF(OR(B316="",C316=""),"",IFERROR(INDEX(Vöruskrá!M:M,MATCH(B316,Vöruskrá!B:B,0))*C316/100000,""))</f>
        <v>3.1310500000000001</v>
      </c>
      <c r="K316" s="169">
        <f>IF(OR(B316="",C316=""),"",IFERROR(INDEX(Vöruskrá!N:N,MATCH(B316,Vöruskrá!B:B,0))*C316/100000,""))</f>
        <v>1.324675</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201"/>
      <c r="R316" s="202"/>
    </row>
    <row r="317" spans="1:18" ht="48">
      <c r="A317" s="147" t="s">
        <v>1691</v>
      </c>
      <c r="B317" s="147"/>
      <c r="C317" s="148"/>
      <c r="D317" s="165" t="s">
        <v>1692</v>
      </c>
      <c r="E317" s="165" t="s">
        <v>621</v>
      </c>
      <c r="F317" s="165"/>
      <c r="G317" s="166">
        <v>100.06</v>
      </c>
      <c r="H317" s="166">
        <v>0.93</v>
      </c>
      <c r="I317" s="166">
        <v>0.13</v>
      </c>
      <c r="J317" s="166">
        <v>1.55</v>
      </c>
      <c r="K317" s="166"/>
      <c r="L317" s="166">
        <v>21.38</v>
      </c>
      <c r="M317" s="166">
        <v>1.19</v>
      </c>
      <c r="N317" s="166">
        <f>IFERROR(SUM(N318:N325)/(SUM($C$318:$C$325)/100000),"")</f>
        <v>0.48363216367836315</v>
      </c>
      <c r="O317" s="167" t="str">
        <f>IF(OR(B317="",C317=""),"",IFERROR(C317/1000*INDEX(Vöruskrá!R:R,MATCH(B317,Vöruskrá!B:B,0))/1000,""))</f>
        <v/>
      </c>
      <c r="P317" s="196" t="s">
        <v>1693</v>
      </c>
      <c r="Q317" s="199" t="s">
        <v>1694</v>
      </c>
      <c r="R317" s="198" t="s">
        <v>1695</v>
      </c>
    </row>
    <row r="318" spans="1:18" ht="15">
      <c r="A318" s="171"/>
      <c r="B318" s="171" t="s">
        <v>926</v>
      </c>
      <c r="C318" s="172">
        <v>91324</v>
      </c>
      <c r="D318" s="168" t="s">
        <v>926</v>
      </c>
      <c r="E318" s="168" t="s">
        <v>621</v>
      </c>
      <c r="F318" s="168"/>
      <c r="G318" s="169">
        <f>IF(OR(B318="",C318=""),"",IFERROR(INDEX(Vöruskrá!J:J,MATCH(B318,Vöruskrá!B:B,0))*C318/100000,""))</f>
        <v>91.323999999999998</v>
      </c>
      <c r="H318" s="169">
        <f>IF(OR(B318="",C318=""),"",IFERROR(INDEX(Vöruskrá!K:K,MATCH(B318,Vöruskrá!B:B,0))*C318/100000,""))</f>
        <v>0.63926799999999995</v>
      </c>
      <c r="I318" s="169">
        <f>IF(OR(B318="",C318=""),"",IFERROR(INDEX(Vöruskrá!L:L,MATCH(B318,Vöruskrá!B:B,0))*C318/100000,""))</f>
        <v>9.1324000000000002E-2</v>
      </c>
      <c r="J318" s="169">
        <f>IF(OR(B318="",C318=""),"",IFERROR(INDEX(Vöruskrá!M:M,MATCH(B318,Vöruskrá!B:B,0))*C318/100000,""))</f>
        <v>0</v>
      </c>
      <c r="K318" s="169">
        <f>IF(OR(B318="",C318=""),"",IFERROR(INDEX(Vöruskrá!N:N,MATCH(B318,Vöruskrá!B:B,0))*C318/100000,""))</f>
        <v>0</v>
      </c>
      <c r="L318" s="169">
        <f>IF(OR(B318="",C318=""),"",IFERROR(INDEX(Vöruskrá!O:O,MATCH(B318,Vöruskrá!B:B,0))*C318/100000,""))</f>
        <v>21.004519999999999</v>
      </c>
      <c r="M318" s="169">
        <f>IF(OR(B318="",C318=""),"",IFERROR(INDEX(Vöruskrá!P:P,MATCH(B318,Vöruskrá!B:B,0))*C318/100000,""))</f>
        <v>0.27397199999999999</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1026</v>
      </c>
      <c r="C319" s="174">
        <v>1142</v>
      </c>
      <c r="D319" s="168" t="s">
        <v>1027</v>
      </c>
      <c r="E319" s="168" t="s">
        <v>134</v>
      </c>
      <c r="F319" s="168" t="s">
        <v>1024</v>
      </c>
      <c r="G319" s="169">
        <f>IF(OR(B319="",C319=""),"",IFERROR(INDEX(Vöruskrá!J:J,MATCH(B319,Vöruskrá!B:B,0))*C319/100000,""))</f>
        <v>3.22044</v>
      </c>
      <c r="H319" s="169">
        <f>IF(OR(B319="",C319=""),"",IFERROR(INDEX(Vöruskrá!K:K,MATCH(B319,Vöruskrá!B:B,0))*C319/100000,""))</f>
        <v>0.14846000000000001</v>
      </c>
      <c r="I319" s="169">
        <f>IF(OR(B319="",C319=""),"",IFERROR(INDEX(Vöruskrá!L:L,MATCH(B319,Vöruskrá!B:B,0))*C319/100000,""))</f>
        <v>2.2839999999999999E-2</v>
      </c>
      <c r="J319" s="169">
        <f>IF(OR(B319="",C319=""),"",IFERROR(INDEX(Vöruskrá!M:M,MATCH(B319,Vöruskrá!B:B,0))*C319/100000,""))</f>
        <v>0.61668000000000001</v>
      </c>
      <c r="K319" s="169">
        <f>IF(OR(B319="",C319=""),"",IFERROR(INDEX(Vöruskrá!N:N,MATCH(B319,Vöruskrá!B:B,0))*C319/100000,""))</f>
        <v>0.1142</v>
      </c>
      <c r="L319" s="169">
        <f>IF(OR(B319="",C319=""),"",IFERROR(INDEX(Vöruskrá!O:O,MATCH(B319,Vöruskrá!B:B,0))*C319/100000,""))</f>
        <v>0.15987999999999999</v>
      </c>
      <c r="M319" s="169">
        <f>IF(OR(B319="",C319=""),"",IFERROR(INDEX(Vöruskrá!P:P,MATCH(B319,Vöruskrá!B:B,0))*C319/100000,""))</f>
        <v>1.142E-3</v>
      </c>
      <c r="N319" s="169">
        <f>IF(OR(B319="",C319=""),"",IFERROR(INDEX(Vöruskrá!Q:Q,MATCH(B319,Vöruskrá!B:B,0))*C319/100000,""))</f>
        <v>0.3997</v>
      </c>
      <c r="O319" s="170">
        <f>IF(OR(B319="",C319=""),"",IFERROR(C319/1000*INDEX(Vöruskrá!R:R,MATCH(B319,Vöruskrá!B:B,0))/1000,""))</f>
        <v>0</v>
      </c>
      <c r="P319" s="173"/>
      <c r="Q319" s="158"/>
      <c r="R319" s="6"/>
    </row>
    <row r="320" spans="1:18" ht="15">
      <c r="A320" s="171"/>
      <c r="B320" s="171" t="s">
        <v>1062</v>
      </c>
      <c r="C320" s="172">
        <v>571</v>
      </c>
      <c r="D320" s="168" t="s">
        <v>1063</v>
      </c>
      <c r="E320" s="168" t="s">
        <v>134</v>
      </c>
      <c r="F320" s="168" t="s">
        <v>1024</v>
      </c>
      <c r="G320" s="169">
        <f>IF(OR(B320="",C320=""),"",IFERROR(INDEX(Vöruskrá!J:J,MATCH(B320,Vöruskrá!B:B,0))*C320/100000,""))</f>
        <v>2.1412499999999999</v>
      </c>
      <c r="H320" s="169">
        <f>IF(OR(B320="",C320=""),"",IFERROR(INDEX(Vöruskrá!K:K,MATCH(B320,Vöruskrá!B:B,0))*C320/100000,""))</f>
        <v>0.127333</v>
      </c>
      <c r="I320" s="169">
        <f>IF(OR(B320="",C320=""),"",IFERROR(INDEX(Vöruskrá!L:L,MATCH(B320,Vöruskrá!B:B,0))*C320/100000,""))</f>
        <v>7.4230000000000008E-3</v>
      </c>
      <c r="J320" s="169">
        <f>IF(OR(B320="",C320=""),"",IFERROR(INDEX(Vöruskrá!M:M,MATCH(B320,Vöruskrá!B:B,0))*C320/100000,""))</f>
        <v>0.252382</v>
      </c>
      <c r="K320" s="169">
        <f>IF(OR(B320="",C320=""),"",IFERROR(INDEX(Vöruskrá!N:N,MATCH(B320,Vöruskrá!B:B,0))*C320/100000,""))</f>
        <v>1.3132999999999999E-2</v>
      </c>
      <c r="L320" s="169">
        <f>IF(OR(B320="",C320=""),"",IFERROR(INDEX(Vöruskrá!O:O,MATCH(B320,Vöruskrá!B:B,0))*C320/100000,""))</f>
        <v>0.10163800000000001</v>
      </c>
      <c r="M320" s="169">
        <f>IF(OR(B320="",C320=""),"",IFERROR(INDEX(Vöruskrá!P:P,MATCH(B320,Vöruskrá!B:B,0))*C320/100000,""))</f>
        <v>1.142E-3</v>
      </c>
      <c r="N320" s="169">
        <f>IF(OR(B320="",C320=""),"",IFERROR(INDEX(Vöruskrá!Q:Q,MATCH(B320,Vöruskrá!B:B,0))*C320/100000,""))</f>
        <v>5.9955000000000001E-2</v>
      </c>
      <c r="O320" s="170">
        <f>IF(OR(B320="",C320=""),"",IFERROR(C320/1000*INDEX(Vöruskrá!R:R,MATCH(B320,Vöruskrá!B:B,0))/1000,""))</f>
        <v>0</v>
      </c>
      <c r="P320" s="171"/>
      <c r="Q320" s="157"/>
      <c r="R320" s="27"/>
    </row>
    <row r="321" spans="1:18" ht="15">
      <c r="A321" s="173"/>
      <c r="B321" s="173" t="s">
        <v>1017</v>
      </c>
      <c r="C321" s="174">
        <v>1142</v>
      </c>
      <c r="D321" s="168" t="s">
        <v>1017</v>
      </c>
      <c r="E321" s="168" t="s">
        <v>134</v>
      </c>
      <c r="F321" s="168"/>
      <c r="G321" s="169">
        <f>IF(OR(B321="",C321=""),"",IFERROR(INDEX(Vöruskrá!J:J,MATCH(B321,Vöruskrá!B:B,0))*C321/100000,""))</f>
        <v>1.7015800000000001</v>
      </c>
      <c r="H321" s="169">
        <f>IF(OR(B321="",C321=""),"",IFERROR(INDEX(Vöruskrá!K:K,MATCH(B321,Vöruskrá!B:B,0))*C321/100000,""))</f>
        <v>5.7099999999999998E-3</v>
      </c>
      <c r="I321" s="169">
        <f>IF(OR(B321="",C321=""),"",IFERROR(INDEX(Vöruskrá!L:L,MATCH(B321,Vöruskrá!B:B,0))*C321/100000,""))</f>
        <v>1.142E-3</v>
      </c>
      <c r="J321" s="169">
        <f>IF(OR(B321="",C321=""),"",IFERROR(INDEX(Vöruskrá!M:M,MATCH(B321,Vöruskrá!B:B,0))*C321/100000,""))</f>
        <v>0.37800200000000006</v>
      </c>
      <c r="K321" s="169">
        <f>IF(OR(B321="",C321=""),"",IFERROR(INDEX(Vöruskrá!N:N,MATCH(B321,Vöruskrá!B:B,0))*C321/100000,""))</f>
        <v>1.142E-2</v>
      </c>
      <c r="L321" s="169">
        <f>IF(OR(B321="",C321=""),"",IFERROR(INDEX(Vöruskrá!O:O,MATCH(B321,Vöruskrá!B:B,0))*C321/100000,""))</f>
        <v>7.3088E-2</v>
      </c>
      <c r="M321" s="169">
        <f>IF(OR(B321="",C321=""),"",IFERROR(INDEX(Vöruskrá!P:P,MATCH(B321,Vöruskrá!B:B,0))*C321/100000,""))</f>
        <v>0</v>
      </c>
      <c r="N321" s="169">
        <f>IF(OR(B321="",C321=""),"",IFERROR(INDEX(Vöruskrá!Q:Q,MATCH(B321,Vöruskrá!B:B,0))*C321/100000,""))</f>
        <v>2.3982000000000003E-2</v>
      </c>
      <c r="O321" s="170">
        <f>IF(OR(B321="",C321=""),"",IFERROR(C321/1000*INDEX(Vöruskrá!R:R,MATCH(B321,Vöruskrá!B:B,0))/1000,""))</f>
        <v>0</v>
      </c>
      <c r="P321" s="173"/>
      <c r="Q321" s="158"/>
      <c r="R321" s="6"/>
    </row>
    <row r="322" spans="1:18" ht="15">
      <c r="A322" s="171"/>
      <c r="B322" s="171" t="s">
        <v>1467</v>
      </c>
      <c r="C322" s="172">
        <v>3425</v>
      </c>
      <c r="D322" s="168"/>
      <c r="E322" s="168"/>
      <c r="F322" s="168"/>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833</v>
      </c>
      <c r="C323" s="174">
        <v>1142</v>
      </c>
      <c r="D323" s="168" t="s">
        <v>835</v>
      </c>
      <c r="E323" s="168"/>
      <c r="F323" s="168"/>
      <c r="G323" s="169">
        <f>IF(OR(B323="",C323=""),"",IFERROR(INDEX(Vöruskrá!J:J,MATCH(B323,Vöruskrá!B:B,0))*C323/100000,""))</f>
        <v>0.35402</v>
      </c>
      <c r="H323" s="169">
        <f>IF(OR(B323="",C323=""),"",IFERROR(INDEX(Vöruskrá!K:K,MATCH(B323,Vöruskrá!B:B,0))*C323/100000,""))</f>
        <v>2.284E-3</v>
      </c>
      <c r="I323" s="169">
        <f>IF(OR(B323="",C323=""),"",IFERROR(INDEX(Vöruskrá!L:L,MATCH(B323,Vöruskrá!B:B,0))*C323/100000,""))</f>
        <v>0</v>
      </c>
      <c r="J323" s="169">
        <f>IF(OR(B323="",C323=""),"",IFERROR(INDEX(Vöruskrá!M:M,MATCH(B323,Vöruskrá!B:B,0))*C323/100000,""))</f>
        <v>7.8798000000000007E-2</v>
      </c>
      <c r="K323" s="169">
        <f>IF(OR(B323="",C323=""),"",IFERROR(INDEX(Vöruskrá!N:N,MATCH(B323,Vöruskrá!B:B,0))*C323/100000,""))</f>
        <v>2.7407999999999998E-2</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299</v>
      </c>
      <c r="C324" s="172">
        <v>913</v>
      </c>
      <c r="D324" s="168" t="s">
        <v>302</v>
      </c>
      <c r="E324" s="168" t="s">
        <v>134</v>
      </c>
      <c r="F324" s="168" t="s">
        <v>303</v>
      </c>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0.91300000000000003</v>
      </c>
      <c r="N324" s="169">
        <f>IF(OR(B324="",C324=""),"",IFERROR(INDEX(Vöruskrá!Q:Q,MATCH(B324,Vöruskrá!B:B,0))*C324/100000,""))</f>
        <v>0</v>
      </c>
      <c r="O324" s="170">
        <f>IF(OR(B324="",C324=""),"",IFERROR(C324/1000*INDEX(Vöruskrá!R:R,MATCH(B324,Vöruskrá!B:B,0))/1000,""))</f>
        <v>0</v>
      </c>
      <c r="P324" s="171"/>
      <c r="Q324" s="157"/>
      <c r="R324" s="27"/>
    </row>
    <row r="325" spans="1:18" ht="15">
      <c r="A325" s="173"/>
      <c r="B325" s="173" t="s">
        <v>819</v>
      </c>
      <c r="C325" s="174">
        <v>342</v>
      </c>
      <c r="D325" s="168" t="s">
        <v>820</v>
      </c>
      <c r="E325" s="168"/>
      <c r="F325" s="168" t="s">
        <v>311</v>
      </c>
      <c r="G325" s="169">
        <f>IF(OR(B325="",C325=""),"",IFERROR(INDEX(Vöruskrá!J:J,MATCH(B325,Vöruskrá!B:B,0))*C325/100000,""))</f>
        <v>1.32012</v>
      </c>
      <c r="H325" s="169">
        <f>IF(OR(B325="",C325=""),"",IFERROR(INDEX(Vöruskrá!K:K,MATCH(B325,Vöruskrá!B:B,0))*C325/100000,""))</f>
        <v>1.1285999999999999E-2</v>
      </c>
      <c r="I325" s="169">
        <f>IF(OR(B325="",C325=""),"",IFERROR(INDEX(Vöruskrá!L:L,MATCH(B325,Vöruskrá!B:B,0))*C325/100000,""))</f>
        <v>3.4199999999999999E-3</v>
      </c>
      <c r="J325" s="169">
        <f>IF(OR(B325="",C325=""),"",IFERROR(INDEX(Vöruskrá!M:M,MATCH(B325,Vöruskrá!B:B,0))*C325/100000,""))</f>
        <v>0.2223</v>
      </c>
      <c r="K325" s="169">
        <f>IF(OR(B325="",C325=""),"",IFERROR(INDEX(Vöruskrá!N:N,MATCH(B325,Vöruskrá!B:B,0))*C325/100000,""))</f>
        <v>2.052E-3</v>
      </c>
      <c r="L325" s="169">
        <f>IF(OR(B325="",C325=""),"",IFERROR(INDEX(Vöruskrá!O:O,MATCH(B325,Vöruskrá!B:B,0))*C325/100000,""))</f>
        <v>3.7620000000000001E-2</v>
      </c>
      <c r="M325" s="169">
        <f>IF(OR(B325="",C325=""),"",IFERROR(INDEX(Vöruskrá!P:P,MATCH(B325,Vöruskrá!B:B,0))*C325/100000,""))</f>
        <v>3.4200000000000002E-4</v>
      </c>
      <c r="N325" s="169">
        <f>IF(OR(B325="",C325=""),"",IFERROR(INDEX(Vöruskrá!Q:Q,MATCH(B325,Vöruskrá!B:B,0))*C325/100000,""))</f>
        <v>0</v>
      </c>
      <c r="O325" s="170">
        <f>IF(OR(B325="",C325=""),"",IFERROR(C325/1000*INDEX(Vöruskrá!R:R,MATCH(B325,Vöruskrá!B:B,0))/1000,""))</f>
        <v>0</v>
      </c>
      <c r="P325" s="173"/>
      <c r="Q325" s="200"/>
      <c r="R325" s="159"/>
    </row>
    <row r="326" spans="1:18" ht="48">
      <c r="A326" s="147" t="s">
        <v>1696</v>
      </c>
      <c r="B326" s="147"/>
      <c r="C326" s="148"/>
      <c r="D326" s="165" t="s">
        <v>1697</v>
      </c>
      <c r="E326" s="165" t="s">
        <v>621</v>
      </c>
      <c r="F326" s="165"/>
      <c r="G326" s="166">
        <v>99.2</v>
      </c>
      <c r="H326" s="166">
        <v>0.88</v>
      </c>
      <c r="I326" s="166">
        <v>0.13</v>
      </c>
      <c r="J326" s="166">
        <v>1.6</v>
      </c>
      <c r="K326" s="166"/>
      <c r="L326" s="166">
        <v>21.27</v>
      </c>
      <c r="M326" s="166">
        <v>1.19</v>
      </c>
      <c r="N326" s="166">
        <f>IFERROR(SUM(N327:N333)/(SUM($C$327:$C$333)/100000),"")</f>
        <v>0.61621616216162156</v>
      </c>
      <c r="O326" s="167" t="str">
        <f>IF(OR(B326="",C326=""),"",IFERROR(C326/1000*INDEX(Vöruskrá!R:R,MATCH(B326,Vöruskrá!B:B,0))/1000,""))</f>
        <v/>
      </c>
      <c r="P326" s="196" t="s">
        <v>1683</v>
      </c>
      <c r="Q326" s="195" t="s">
        <v>1698</v>
      </c>
      <c r="R326" s="194" t="s">
        <v>1699</v>
      </c>
    </row>
    <row r="327" spans="1:18" ht="15">
      <c r="A327" s="171"/>
      <c r="B327" s="171" t="s">
        <v>926</v>
      </c>
      <c r="C327" s="172">
        <v>91013</v>
      </c>
      <c r="D327" s="168" t="s">
        <v>926</v>
      </c>
      <c r="E327" s="168" t="s">
        <v>621</v>
      </c>
      <c r="F327" s="168"/>
      <c r="G327" s="169">
        <f>IF(OR(B327="",C327=""),"",IFERROR(INDEX(Vöruskrá!J:J,MATCH(B327,Vöruskrá!B:B,0))*C327/100000,""))</f>
        <v>91.013000000000005</v>
      </c>
      <c r="H327" s="169">
        <f>IF(OR(B327="",C327=""),"",IFERROR(INDEX(Vöruskrá!K:K,MATCH(B327,Vöruskrá!B:B,0))*C327/100000,""))</f>
        <v>0.63709099999999996</v>
      </c>
      <c r="I327" s="169">
        <f>IF(OR(B327="",C327=""),"",IFERROR(INDEX(Vöruskrá!L:L,MATCH(B327,Vöruskrá!B:B,0))*C327/100000,""))</f>
        <v>9.1013000000000011E-2</v>
      </c>
      <c r="J327" s="169">
        <f>IF(OR(B327="",C327=""),"",IFERROR(INDEX(Vöruskrá!M:M,MATCH(B327,Vöruskrá!B:B,0))*C327/100000,""))</f>
        <v>0</v>
      </c>
      <c r="K327" s="169">
        <f>IF(OR(B327="",C327=""),"",IFERROR(INDEX(Vöruskrá!N:N,MATCH(B327,Vöruskrá!B:B,0))*C327/100000,""))</f>
        <v>0</v>
      </c>
      <c r="L327" s="169">
        <f>IF(OR(B327="",C327=""),"",IFERROR(INDEX(Vöruskrá!O:O,MATCH(B327,Vöruskrá!B:B,0))*C327/100000,""))</f>
        <v>20.93299</v>
      </c>
      <c r="M327" s="169">
        <f>IF(OR(B327="",C327=""),"",IFERROR(INDEX(Vöruskrá!P:P,MATCH(B327,Vöruskrá!B:B,0))*C327/100000,""))</f>
        <v>0.27303899999999998</v>
      </c>
      <c r="N327" s="169">
        <f>IF(OR(B327="",C327=""),"",IFERROR(INDEX(Vöruskrá!Q:Q,MATCH(B327,Vöruskrá!B:B,0))*C327/100000,""))</f>
        <v>0</v>
      </c>
      <c r="O327" s="170">
        <f>IF(OR(B327="",C327=""),"",IFERROR(C327/1000*INDEX(Vöruskrá!R:R,MATCH(B327,Vöruskrá!B:B,0))/1000,""))</f>
        <v>0</v>
      </c>
      <c r="P327" s="171"/>
      <c r="Q327" s="197"/>
      <c r="R327" s="164"/>
    </row>
    <row r="328" spans="1:18" ht="15">
      <c r="A328" s="173"/>
      <c r="B328" s="173" t="s">
        <v>1026</v>
      </c>
      <c r="C328" s="174">
        <v>1706</v>
      </c>
      <c r="D328" s="168" t="s">
        <v>1027</v>
      </c>
      <c r="E328" s="168" t="s">
        <v>134</v>
      </c>
      <c r="F328" s="168" t="s">
        <v>1024</v>
      </c>
      <c r="G328" s="169">
        <f>IF(OR(B328="",C328=""),"",IFERROR(INDEX(Vöruskrá!J:J,MATCH(B328,Vöruskrá!B:B,0))*C328/100000,""))</f>
        <v>4.8109200000000003</v>
      </c>
      <c r="H328" s="169">
        <f>IF(OR(B328="",C328=""),"",IFERROR(INDEX(Vöruskrá!K:K,MATCH(B328,Vöruskrá!B:B,0))*C328/100000,""))</f>
        <v>0.22178</v>
      </c>
      <c r="I328" s="169">
        <f>IF(OR(B328="",C328=""),"",IFERROR(INDEX(Vöruskrá!L:L,MATCH(B328,Vöruskrá!B:B,0))*C328/100000,""))</f>
        <v>3.4119999999999998E-2</v>
      </c>
      <c r="J328" s="169">
        <f>IF(OR(B328="",C328=""),"",IFERROR(INDEX(Vöruskrá!M:M,MATCH(B328,Vöruskrá!B:B,0))*C328/100000,""))</f>
        <v>0.92123999999999995</v>
      </c>
      <c r="K328" s="169">
        <f>IF(OR(B328="",C328=""),"",IFERROR(INDEX(Vöruskrá!N:N,MATCH(B328,Vöruskrá!B:B,0))*C328/100000,""))</f>
        <v>0.1706</v>
      </c>
      <c r="L328" s="169">
        <f>IF(OR(B328="",C328=""),"",IFERROR(INDEX(Vöruskrá!O:O,MATCH(B328,Vöruskrá!B:B,0))*C328/100000,""))</f>
        <v>0.23884</v>
      </c>
      <c r="M328" s="169">
        <f>IF(OR(B328="",C328=""),"",IFERROR(INDEX(Vöruskrá!P:P,MATCH(B328,Vöruskrá!B:B,0))*C328/100000,""))</f>
        <v>1.7060000000000003E-3</v>
      </c>
      <c r="N328" s="169">
        <f>IF(OR(B328="",C328=""),"",IFERROR(INDEX(Vöruskrá!Q:Q,MATCH(B328,Vöruskrá!B:B,0))*C328/100000,""))</f>
        <v>0.59709999999999996</v>
      </c>
      <c r="O328" s="170">
        <f>IF(OR(B328="",C328=""),"",IFERROR(C328/1000*INDEX(Vöruskrá!R:R,MATCH(B328,Vöruskrá!B:B,0))/1000,""))</f>
        <v>0</v>
      </c>
      <c r="P328" s="173"/>
      <c r="Q328" s="157"/>
      <c r="R328" s="27"/>
    </row>
    <row r="329" spans="1:18" ht="15">
      <c r="A329" s="171"/>
      <c r="B329" s="171" t="s">
        <v>1017</v>
      </c>
      <c r="C329" s="172">
        <v>910</v>
      </c>
      <c r="D329" s="168" t="s">
        <v>1017</v>
      </c>
      <c r="E329" s="168" t="s">
        <v>134</v>
      </c>
      <c r="F329" s="168"/>
      <c r="G329" s="169">
        <f>IF(OR(B329="",C329=""),"",IFERROR(INDEX(Vöruskrá!J:J,MATCH(B329,Vöruskrá!B:B,0))*C329/100000,""))</f>
        <v>1.3559000000000001</v>
      </c>
      <c r="H329" s="169">
        <f>IF(OR(B329="",C329=""),"",IFERROR(INDEX(Vöruskrá!K:K,MATCH(B329,Vöruskrá!B:B,0))*C329/100000,""))</f>
        <v>4.5500000000000002E-3</v>
      </c>
      <c r="I329" s="169">
        <f>IF(OR(B329="",C329=""),"",IFERROR(INDEX(Vöruskrá!L:L,MATCH(B329,Vöruskrá!B:B,0))*C329/100000,""))</f>
        <v>9.1E-4</v>
      </c>
      <c r="J329" s="169">
        <f>IF(OR(B329="",C329=""),"",IFERROR(INDEX(Vöruskrá!M:M,MATCH(B329,Vöruskrá!B:B,0))*C329/100000,""))</f>
        <v>0.30120999999999998</v>
      </c>
      <c r="K329" s="169">
        <f>IF(OR(B329="",C329=""),"",IFERROR(INDEX(Vöruskrá!N:N,MATCH(B329,Vöruskrá!B:B,0))*C329/100000,""))</f>
        <v>9.1000000000000004E-3</v>
      </c>
      <c r="L329" s="169">
        <f>IF(OR(B329="",C329=""),"",IFERROR(INDEX(Vöruskrá!O:O,MATCH(B329,Vöruskrá!B:B,0))*C329/100000,""))</f>
        <v>5.824E-2</v>
      </c>
      <c r="M329" s="169">
        <f>IF(OR(B329="",C329=""),"",IFERROR(INDEX(Vöruskrá!P:P,MATCH(B329,Vöruskrá!B:B,0))*C329/100000,""))</f>
        <v>0</v>
      </c>
      <c r="N329" s="169">
        <f>IF(OR(B329="",C329=""),"",IFERROR(INDEX(Vöruskrá!Q:Q,MATCH(B329,Vöruskrá!B:B,0))*C329/100000,""))</f>
        <v>1.9109999999999999E-2</v>
      </c>
      <c r="O329" s="170">
        <f>IF(OR(B329="",C329=""),"",IFERROR(C329/1000*INDEX(Vöruskrá!R:R,MATCH(B329,Vöruskrá!B:B,0))/1000,""))</f>
        <v>0</v>
      </c>
      <c r="P329" s="171"/>
      <c r="Q329" s="158"/>
      <c r="R329" s="6"/>
    </row>
    <row r="330" spans="1:18" ht="15">
      <c r="A330" s="173"/>
      <c r="B330" s="173" t="s">
        <v>1467</v>
      </c>
      <c r="C330" s="174">
        <v>2844</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299</v>
      </c>
      <c r="C331" s="172">
        <v>910</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0.91</v>
      </c>
      <c r="N331" s="169">
        <f>IF(OR(B331="",C331=""),"",IFERROR(INDEX(Vöruskrá!Q:Q,MATCH(B331,Vöruskrá!B:B,0))*C331/100000,""))</f>
        <v>0</v>
      </c>
      <c r="O331" s="170">
        <f>IF(OR(B331="",C331=""),"",IFERROR(C331/1000*INDEX(Vöruskrá!R:R,MATCH(B331,Vöruskrá!B:B,0))/1000,""))</f>
        <v>0</v>
      </c>
      <c r="P331" s="171"/>
      <c r="Q331" s="158"/>
      <c r="R331" s="6"/>
    </row>
    <row r="332" spans="1:18" ht="15">
      <c r="A332" s="173"/>
      <c r="B332" s="173" t="s">
        <v>819</v>
      </c>
      <c r="C332" s="174">
        <v>341</v>
      </c>
      <c r="D332" s="168" t="s">
        <v>820</v>
      </c>
      <c r="E332" s="168"/>
      <c r="F332" s="168" t="s">
        <v>311</v>
      </c>
      <c r="G332" s="169">
        <f>IF(OR(B332="",C332=""),"",IFERROR(INDEX(Vöruskrá!J:J,MATCH(B332,Vöruskrá!B:B,0))*C332/100000,""))</f>
        <v>1.31626</v>
      </c>
      <c r="H332" s="169">
        <f>IF(OR(B332="",C332=""),"",IFERROR(INDEX(Vöruskrá!K:K,MATCH(B332,Vöruskrá!B:B,0))*C332/100000,""))</f>
        <v>1.1252999999999999E-2</v>
      </c>
      <c r="I332" s="169">
        <f>IF(OR(B332="",C332=""),"",IFERROR(INDEX(Vöruskrá!L:L,MATCH(B332,Vöruskrá!B:B,0))*C332/100000,""))</f>
        <v>3.4099999999999998E-3</v>
      </c>
      <c r="J332" s="169">
        <f>IF(OR(B332="",C332=""),"",IFERROR(INDEX(Vöruskrá!M:M,MATCH(B332,Vöruskrá!B:B,0))*C332/100000,""))</f>
        <v>0.22165000000000001</v>
      </c>
      <c r="K332" s="169">
        <f>IF(OR(B332="",C332=""),"",IFERROR(INDEX(Vöruskrá!N:N,MATCH(B332,Vöruskrá!B:B,0))*C332/100000,""))</f>
        <v>2.0460000000000001E-3</v>
      </c>
      <c r="L332" s="169">
        <f>IF(OR(B332="",C332=""),"",IFERROR(INDEX(Vöruskrá!O:O,MATCH(B332,Vöruskrá!B:B,0))*C332/100000,""))</f>
        <v>3.7510000000000002E-2</v>
      </c>
      <c r="M332" s="169">
        <f>IF(OR(B332="",C332=""),"",IFERROR(INDEX(Vöruskrá!P:P,MATCH(B332,Vöruskrá!B:B,0))*C332/100000,""))</f>
        <v>3.4099999999999999E-4</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833</v>
      </c>
      <c r="C333" s="172">
        <v>2275</v>
      </c>
      <c r="D333" s="168" t="s">
        <v>835</v>
      </c>
      <c r="E333" s="168"/>
      <c r="F333" s="168"/>
      <c r="G333" s="169">
        <f>IF(OR(B333="",C333=""),"",IFERROR(INDEX(Vöruskrá!J:J,MATCH(B333,Vöruskrá!B:B,0))*C333/100000,""))</f>
        <v>0.70525000000000004</v>
      </c>
      <c r="H333" s="169">
        <f>IF(OR(B333="",C333=""),"",IFERROR(INDEX(Vöruskrá!K:K,MATCH(B333,Vöruskrá!B:B,0))*C333/100000,""))</f>
        <v>4.5500000000000002E-3</v>
      </c>
      <c r="I333" s="169">
        <f>IF(OR(B333="",C333=""),"",IFERROR(INDEX(Vöruskrá!L:L,MATCH(B333,Vöruskrá!B:B,0))*C333/100000,""))</f>
        <v>0</v>
      </c>
      <c r="J333" s="169">
        <f>IF(OR(B333="",C333=""),"",IFERROR(INDEX(Vöruskrá!M:M,MATCH(B333,Vöruskrá!B:B,0))*C333/100000,""))</f>
        <v>0.156975</v>
      </c>
      <c r="K333" s="169">
        <f>IF(OR(B333="",C333=""),"",IFERROR(INDEX(Vöruskrá!N:N,MATCH(B333,Vöruskrá!B:B,0))*C333/100000,""))</f>
        <v>5.4600000000000003E-2</v>
      </c>
      <c r="L333" s="169">
        <f>IF(OR(B333="",C333=""),"",IFERROR(INDEX(Vöruskrá!O:O,MATCH(B333,Vöruskrá!B:B,0))*C333/100000,""))</f>
        <v>0</v>
      </c>
      <c r="M333" s="169">
        <f>IF(OR(B333="",C333=""),"",IFERROR(INDEX(Vöruskrá!P:P,MATCH(B333,Vöruskrá!B:B,0))*C333/100000,""))</f>
        <v>0</v>
      </c>
      <c r="N333" s="169">
        <f>IF(OR(B333="",C333=""),"",IFERROR(INDEX(Vöruskrá!Q:Q,MATCH(B333,Vöruskrá!B:B,0))*C333/100000,""))</f>
        <v>0</v>
      </c>
      <c r="O333" s="170">
        <f>IF(OR(B333="",C333=""),"",IFERROR(C333/1000*INDEX(Vöruskrá!R:R,MATCH(B333,Vöruskrá!B:B,0))/1000,""))</f>
        <v>0</v>
      </c>
      <c r="P333" s="171"/>
      <c r="Q333" s="200"/>
      <c r="R333" s="159"/>
    </row>
    <row r="334" spans="1:18" ht="48">
      <c r="A334" s="147" t="s">
        <v>1700</v>
      </c>
      <c r="B334" s="147"/>
      <c r="C334" s="148"/>
      <c r="D334" s="165" t="s">
        <v>1701</v>
      </c>
      <c r="E334" s="165" t="s">
        <v>621</v>
      </c>
      <c r="F334" s="165"/>
      <c r="G334" s="166">
        <v>86.89</v>
      </c>
      <c r="H334" s="166">
        <v>0.56000000000000005</v>
      </c>
      <c r="I334" s="166">
        <v>0.08</v>
      </c>
      <c r="J334" s="166">
        <v>2.25</v>
      </c>
      <c r="K334" s="166"/>
      <c r="L334" s="166">
        <v>17.829999999999998</v>
      </c>
      <c r="M334" s="166">
        <v>19.559999999999999</v>
      </c>
      <c r="N334" s="166">
        <f>IFERROR(SUM(N335:N339)/(SUM($C$335:$C$339)/100000),"")</f>
        <v>0</v>
      </c>
      <c r="O334" s="167" t="str">
        <f>IF(OR(B334="",C334=""),"",IFERROR(C334/1000*INDEX(Vöruskrá!R:R,MATCH(B334,Vöruskrá!B:B,0))/1000,""))</f>
        <v/>
      </c>
      <c r="P334" s="196" t="s">
        <v>1702</v>
      </c>
      <c r="Q334" s="199" t="s">
        <v>1703</v>
      </c>
      <c r="R334" s="198" t="s">
        <v>1704</v>
      </c>
    </row>
    <row r="335" spans="1:18" ht="15">
      <c r="A335" s="171"/>
      <c r="B335" s="171" t="s">
        <v>926</v>
      </c>
      <c r="C335" s="172">
        <v>77295</v>
      </c>
      <c r="D335" s="168" t="s">
        <v>926</v>
      </c>
      <c r="E335" s="168" t="s">
        <v>621</v>
      </c>
      <c r="F335" s="168"/>
      <c r="G335" s="169">
        <f>IF(OR(B335="",C335=""),"",IFERROR(INDEX(Vöruskrá!J:J,MATCH(B335,Vöruskrá!B:B,0))*C335/100000,""))</f>
        <v>77.295000000000002</v>
      </c>
      <c r="H335" s="169">
        <f>IF(OR(B335="",C335=""),"",IFERROR(INDEX(Vöruskrá!K:K,MATCH(B335,Vöruskrá!B:B,0))*C335/100000,""))</f>
        <v>0.54106500000000002</v>
      </c>
      <c r="I335" s="169">
        <f>IF(OR(B335="",C335=""),"",IFERROR(INDEX(Vöruskrá!L:L,MATCH(B335,Vöruskrá!B:B,0))*C335/100000,""))</f>
        <v>7.7295000000000003E-2</v>
      </c>
      <c r="J335" s="169">
        <f>IF(OR(B335="",C335=""),"",IFERROR(INDEX(Vöruskrá!M:M,MATCH(B335,Vöruskrá!B:B,0))*C335/100000,""))</f>
        <v>0</v>
      </c>
      <c r="K335" s="169">
        <f>IF(OR(B335="",C335=""),"",IFERROR(INDEX(Vöruskrá!N:N,MATCH(B335,Vöruskrá!B:B,0))*C335/100000,""))</f>
        <v>0</v>
      </c>
      <c r="L335" s="169">
        <f>IF(OR(B335="",C335=""),"",IFERROR(INDEX(Vöruskrá!O:O,MATCH(B335,Vöruskrá!B:B,0))*C335/100000,""))</f>
        <v>17.777850000000001</v>
      </c>
      <c r="M335" s="169">
        <f>IF(OR(B335="",C335=""),"",IFERROR(INDEX(Vöruskrá!P:P,MATCH(B335,Vöruskrá!B:B,0))*C335/100000,""))</f>
        <v>0.23188500000000001</v>
      </c>
      <c r="N335" s="169">
        <f>IF(OR(B335="",C335=""),"",IFERROR(INDEX(Vöruskrá!Q:Q,MATCH(B335,Vöruskrá!B:B,0))*C335/100000,""))</f>
        <v>0</v>
      </c>
      <c r="O335" s="170">
        <f>IF(OR(B335="",C335=""),"",IFERROR(C335/1000*INDEX(Vöruskrá!R:R,MATCH(B335,Vöruskrá!B:B,0))/1000,""))</f>
        <v>0</v>
      </c>
      <c r="P335" s="171"/>
      <c r="Q335" s="197"/>
      <c r="R335" s="164"/>
    </row>
    <row r="336" spans="1:18" ht="15">
      <c r="A336" s="173"/>
      <c r="B336" s="173" t="s">
        <v>299</v>
      </c>
      <c r="C336" s="174">
        <v>19324</v>
      </c>
      <c r="D336" s="168" t="s">
        <v>302</v>
      </c>
      <c r="E336" s="168" t="s">
        <v>134</v>
      </c>
      <c r="F336" s="168" t="s">
        <v>303</v>
      </c>
      <c r="G336" s="169">
        <f>IF(OR(B336="",C336=""),"",IFERROR(INDEX(Vöruskrá!J:J,MATCH(B336,Vöruskrá!B:B,0))*C336/100000,""))</f>
        <v>0</v>
      </c>
      <c r="H336" s="169">
        <f>IF(OR(B336="",C336=""),"",IFERROR(INDEX(Vöruskrá!K:K,MATCH(B336,Vöruskrá!B:B,0))*C336/100000,""))</f>
        <v>0</v>
      </c>
      <c r="I336" s="169">
        <f>IF(OR(B336="",C336=""),"",IFERROR(INDEX(Vöruskrá!L:L,MATCH(B336,Vöruskrá!B:B,0))*C336/100000,""))</f>
        <v>0</v>
      </c>
      <c r="J336" s="169">
        <f>IF(OR(B336="",C336=""),"",IFERROR(INDEX(Vöruskrá!M:M,MATCH(B336,Vöruskrá!B:B,0))*C336/100000,""))</f>
        <v>0</v>
      </c>
      <c r="K336" s="169">
        <f>IF(OR(B336="",C336=""),"",IFERROR(INDEX(Vöruskrá!N:N,MATCH(B336,Vöruskrá!B:B,0))*C336/100000,""))</f>
        <v>0</v>
      </c>
      <c r="L336" s="169">
        <f>IF(OR(B336="",C336=""),"",IFERROR(INDEX(Vöruskrá!O:O,MATCH(B336,Vöruskrá!B:B,0))*C336/100000,""))</f>
        <v>0</v>
      </c>
      <c r="M336" s="169">
        <f>IF(OR(B336="",C336=""),"",IFERROR(INDEX(Vöruskrá!P:P,MATCH(B336,Vöruskrá!B:B,0))*C336/100000,""))</f>
        <v>19.324000000000002</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477</v>
      </c>
      <c r="C337" s="172">
        <v>1932</v>
      </c>
      <c r="D337" s="168" t="s">
        <v>479</v>
      </c>
      <c r="E337" s="168" t="s">
        <v>134</v>
      </c>
      <c r="F337" s="168"/>
      <c r="G337" s="169">
        <f>IF(OR(B337="",C337=""),"",IFERROR(INDEX(Vöruskrá!J:J,MATCH(B337,Vöruskrá!B:B,0))*C337/100000,""))</f>
        <v>7.7279999999999998</v>
      </c>
      <c r="H337" s="169">
        <f>IF(OR(B337="",C337=""),"",IFERROR(INDEX(Vöruskrá!K:K,MATCH(B337,Vöruskrá!B:B,0))*C337/100000,""))</f>
        <v>0</v>
      </c>
      <c r="I337" s="169">
        <f>IF(OR(B337="",C337=""),"",IFERROR(INDEX(Vöruskrá!L:L,MATCH(B337,Vöruskrá!B:B,0))*C337/100000,""))</f>
        <v>0</v>
      </c>
      <c r="J337" s="169">
        <f>IF(OR(B337="",C337=""),"",IFERROR(INDEX(Vöruskrá!M:M,MATCH(B337,Vöruskrá!B:B,0))*C337/100000,""))</f>
        <v>1.9319999999999999</v>
      </c>
      <c r="K337" s="169">
        <f>IF(OR(B337="",C337=""),"",IFERROR(INDEX(Vöruskrá!N:N,MATCH(B337,Vöruskrá!B:B,0))*C337/100000,""))</f>
        <v>1.9319999999999999</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158"/>
      <c r="R337" s="6"/>
    </row>
    <row r="338" spans="1:18" ht="15">
      <c r="A338" s="173"/>
      <c r="B338" s="173" t="s">
        <v>819</v>
      </c>
      <c r="C338" s="174">
        <v>483</v>
      </c>
      <c r="D338" s="168" t="s">
        <v>820</v>
      </c>
      <c r="E338" s="168"/>
      <c r="F338" s="168" t="s">
        <v>311</v>
      </c>
      <c r="G338" s="169">
        <f>IF(OR(B338="",C338=""),"",IFERROR(INDEX(Vöruskrá!J:J,MATCH(B338,Vöruskrá!B:B,0))*C338/100000,""))</f>
        <v>1.8643799999999999</v>
      </c>
      <c r="H338" s="169">
        <f>IF(OR(B338="",C338=""),"",IFERROR(INDEX(Vöruskrá!K:K,MATCH(B338,Vöruskrá!B:B,0))*C338/100000,""))</f>
        <v>1.5938999999999998E-2</v>
      </c>
      <c r="I338" s="169">
        <f>IF(OR(B338="",C338=""),"",IFERROR(INDEX(Vöruskrá!L:L,MATCH(B338,Vöruskrá!B:B,0))*C338/100000,""))</f>
        <v>4.8300000000000001E-3</v>
      </c>
      <c r="J338" s="169">
        <f>IF(OR(B338="",C338=""),"",IFERROR(INDEX(Vöruskrá!M:M,MATCH(B338,Vöruskrá!B:B,0))*C338/100000,""))</f>
        <v>0.31395000000000001</v>
      </c>
      <c r="K338" s="169">
        <f>IF(OR(B338="",C338=""),"",IFERROR(INDEX(Vöruskrá!N:N,MATCH(B338,Vöruskrá!B:B,0))*C338/100000,""))</f>
        <v>2.898E-3</v>
      </c>
      <c r="L338" s="169">
        <f>IF(OR(B338="",C338=""),"",IFERROR(INDEX(Vöruskrá!O:O,MATCH(B338,Vöruskrá!B:B,0))*C338/100000,""))</f>
        <v>5.3129999999999997E-2</v>
      </c>
      <c r="M338" s="169">
        <f>IF(OR(B338="",C338=""),"",IFERROR(INDEX(Vöruskrá!P:P,MATCH(B338,Vöruskrá!B:B,0))*C338/100000,""))</f>
        <v>4.8300000000000003E-4</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1468</v>
      </c>
      <c r="C339" s="172">
        <v>966</v>
      </c>
      <c r="D339" s="168"/>
      <c r="E339" s="168"/>
      <c r="F339" s="168"/>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1"/>
      <c r="Q339" s="200"/>
      <c r="R339" s="159"/>
    </row>
    <row r="340" spans="1:18" ht="36">
      <c r="A340" s="147" t="s">
        <v>1705</v>
      </c>
      <c r="B340" s="147"/>
      <c r="C340" s="148"/>
      <c r="D340" s="165" t="s">
        <v>1706</v>
      </c>
      <c r="E340" s="165" t="s">
        <v>621</v>
      </c>
      <c r="F340" s="165"/>
      <c r="G340" s="166">
        <v>95.76</v>
      </c>
      <c r="H340" s="166">
        <v>0.67</v>
      </c>
      <c r="I340" s="166">
        <v>0.1</v>
      </c>
      <c r="J340" s="166">
        <v>0.74</v>
      </c>
      <c r="K340" s="166"/>
      <c r="L340" s="166">
        <v>21.3</v>
      </c>
      <c r="M340" s="166">
        <v>2</v>
      </c>
      <c r="N340" s="166">
        <f>IFERROR(SUM(N341:N345)/(SUM($C$341:$C$345)/100000),"")</f>
        <v>9.7920979209792092E-2</v>
      </c>
      <c r="O340" s="167" t="str">
        <f>IF(OR(B340="",C340=""),"",IFERROR(C340/1000*INDEX(Vöruskrá!R:R,MATCH(B340,Vöruskrá!B:B,0))/1000,""))</f>
        <v/>
      </c>
      <c r="P340" s="196" t="s">
        <v>1707</v>
      </c>
      <c r="Q340" s="195" t="s">
        <v>1708</v>
      </c>
      <c r="R340" s="194" t="s">
        <v>1709</v>
      </c>
    </row>
    <row r="341" spans="1:18" ht="15">
      <c r="A341" s="171"/>
      <c r="B341" s="171" t="s">
        <v>926</v>
      </c>
      <c r="C341" s="172">
        <v>92166</v>
      </c>
      <c r="D341" s="168" t="s">
        <v>926</v>
      </c>
      <c r="E341" s="168" t="s">
        <v>621</v>
      </c>
      <c r="F341" s="168"/>
      <c r="G341" s="169">
        <f>IF(OR(B341="",C341=""),"",IFERROR(INDEX(Vöruskrá!J:J,MATCH(B341,Vöruskrá!B:B,0))*C341/100000,""))</f>
        <v>92.165999999999997</v>
      </c>
      <c r="H341" s="169">
        <f>IF(OR(B341="",C341=""),"",IFERROR(INDEX(Vöruskrá!K:K,MATCH(B341,Vöruskrá!B:B,0))*C341/100000,""))</f>
        <v>0.64516200000000001</v>
      </c>
      <c r="I341" s="169">
        <f>IF(OR(B341="",C341=""),"",IFERROR(INDEX(Vöruskrá!L:L,MATCH(B341,Vöruskrá!B:B,0))*C341/100000,""))</f>
        <v>9.2165999999999998E-2</v>
      </c>
      <c r="J341" s="169">
        <f>IF(OR(B341="",C341=""),"",IFERROR(INDEX(Vöruskrá!M:M,MATCH(B341,Vöruskrá!B:B,0))*C341/100000,""))</f>
        <v>0</v>
      </c>
      <c r="K341" s="169">
        <f>IF(OR(B341="",C341=""),"",IFERROR(INDEX(Vöruskrá!N:N,MATCH(B341,Vöruskrá!B:B,0))*C341/100000,""))</f>
        <v>0</v>
      </c>
      <c r="L341" s="169">
        <f>IF(OR(B341="",C341=""),"",IFERROR(INDEX(Vöruskrá!O:O,MATCH(B341,Vöruskrá!B:B,0))*C341/100000,""))</f>
        <v>21.198180000000001</v>
      </c>
      <c r="M341" s="169">
        <f>IF(OR(B341="",C341=""),"",IFERROR(INDEX(Vöruskrá!P:P,MATCH(B341,Vöruskrá!B:B,0))*C341/100000,""))</f>
        <v>0.27649799999999997</v>
      </c>
      <c r="N341" s="169">
        <f>IF(OR(B341="",C341=""),"",IFERROR(INDEX(Vöruskrá!Q:Q,MATCH(B341,Vöruskrá!B:B,0))*C341/100000,""))</f>
        <v>0</v>
      </c>
      <c r="O341" s="170">
        <f>IF(OR(B341="",C341=""),"",IFERROR(C341/1000*INDEX(Vöruskrá!R:R,MATCH(B341,Vöruskrá!B:B,0))/1000,""))</f>
        <v>0</v>
      </c>
      <c r="P341" s="171"/>
      <c r="Q341" s="197"/>
      <c r="R341" s="164"/>
    </row>
    <row r="342" spans="1:18" ht="15">
      <c r="A342" s="173"/>
      <c r="B342" s="173" t="s">
        <v>299</v>
      </c>
      <c r="C342" s="174">
        <v>1728</v>
      </c>
      <c r="D342" s="168" t="s">
        <v>302</v>
      </c>
      <c r="E342" s="168" t="s">
        <v>134</v>
      </c>
      <c r="F342" s="168" t="s">
        <v>303</v>
      </c>
      <c r="G342" s="169">
        <f>IF(OR(B342="",C342=""),"",IFERROR(INDEX(Vöruskrá!J:J,MATCH(B342,Vöruskrá!B:B,0))*C342/100000,""))</f>
        <v>0</v>
      </c>
      <c r="H342" s="169">
        <f>IF(OR(B342="",C342=""),"",IFERROR(INDEX(Vöruskrá!K:K,MATCH(B342,Vöruskrá!B:B,0))*C342/100000,""))</f>
        <v>0</v>
      </c>
      <c r="I342" s="169">
        <f>IF(OR(B342="",C342=""),"",IFERROR(INDEX(Vöruskrá!L:L,MATCH(B342,Vöruskrá!B:B,0))*C342/100000,""))</f>
        <v>0</v>
      </c>
      <c r="J342" s="169">
        <f>IF(OR(B342="",C342=""),"",IFERROR(INDEX(Vöruskrá!M:M,MATCH(B342,Vöruskrá!B:B,0))*C342/100000,""))</f>
        <v>0</v>
      </c>
      <c r="K342" s="169">
        <f>IF(OR(B342="",C342=""),"",IFERROR(INDEX(Vöruskrá!N:N,MATCH(B342,Vöruskrá!B:B,0))*C342/100000,""))</f>
        <v>0</v>
      </c>
      <c r="L342" s="169">
        <f>IF(OR(B342="",C342=""),"",IFERROR(INDEX(Vöruskrá!O:O,MATCH(B342,Vöruskrá!B:B,0))*C342/100000,""))</f>
        <v>0</v>
      </c>
      <c r="M342" s="169">
        <f>IF(OR(B342="",C342=""),"",IFERROR(INDEX(Vöruskrá!P:P,MATCH(B342,Vöruskrá!B:B,0))*C342/100000,""))</f>
        <v>1.728</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1010</v>
      </c>
      <c r="C343" s="172">
        <v>5760</v>
      </c>
      <c r="D343" s="168" t="s">
        <v>1010</v>
      </c>
      <c r="E343" s="168" t="s">
        <v>134</v>
      </c>
      <c r="F343" s="168"/>
      <c r="G343" s="169">
        <f>IF(OR(B343="",C343=""),"",IFERROR(INDEX(Vöruskrá!J:J,MATCH(B343,Vöruskrá!B:B,0))*C343/100000,""))</f>
        <v>2.3039999999999998</v>
      </c>
      <c r="H343" s="169">
        <f>IF(OR(B343="",C343=""),"",IFERROR(INDEX(Vöruskrá!K:K,MATCH(B343,Vöruskrá!B:B,0))*C343/100000,""))</f>
        <v>5.7600000000000004E-3</v>
      </c>
      <c r="I343" s="169">
        <f>IF(OR(B343="",C343=""),"",IFERROR(INDEX(Vöruskrá!L:L,MATCH(B343,Vöruskrá!B:B,0))*C343/100000,""))</f>
        <v>0</v>
      </c>
      <c r="J343" s="169">
        <f>IF(OR(B343="",C343=""),"",IFERROR(INDEX(Vöruskrá!M:M,MATCH(B343,Vöruskrá!B:B,0))*C343/100000,""))</f>
        <v>0.53568000000000005</v>
      </c>
      <c r="K343" s="169">
        <f>IF(OR(B343="",C343=""),"",IFERROR(INDEX(Vöruskrá!N:N,MATCH(B343,Vöruskrá!B:B,0))*C343/100000,""))</f>
        <v>0.24192</v>
      </c>
      <c r="L343" s="169">
        <f>IF(OR(B343="",C343=""),"",IFERROR(INDEX(Vöruskrá!O:O,MATCH(B343,Vöruskrá!B:B,0))*C343/100000,""))</f>
        <v>6.3360000000000014E-2</v>
      </c>
      <c r="M343" s="169">
        <f>IF(OR(B343="",C343=""),"",IFERROR(INDEX(Vöruskrá!P:P,MATCH(B343,Vöruskrá!B:B,0))*C343/100000,""))</f>
        <v>0</v>
      </c>
      <c r="N343" s="169">
        <f>IF(OR(B343="",C343=""),"",IFERROR(INDEX(Vöruskrá!Q:Q,MATCH(B343,Vöruskrá!B:B,0))*C343/100000,""))</f>
        <v>9.7919999999999993E-2</v>
      </c>
      <c r="O343" s="170">
        <f>IF(OR(B343="",C343=""),"",IFERROR(C343/1000*INDEX(Vöruskrá!R:R,MATCH(B343,Vöruskrá!B:B,0))/1000,""))</f>
        <v>0</v>
      </c>
      <c r="P343" s="171"/>
      <c r="Q343" s="158"/>
      <c r="R343" s="6"/>
    </row>
    <row r="344" spans="1:18" ht="15">
      <c r="A344" s="173"/>
      <c r="B344" s="173" t="s">
        <v>808</v>
      </c>
      <c r="C344" s="174">
        <v>115</v>
      </c>
      <c r="D344" s="168" t="s">
        <v>809</v>
      </c>
      <c r="E344" s="168"/>
      <c r="F344" s="168" t="s">
        <v>311</v>
      </c>
      <c r="G344" s="169">
        <f>IF(OR(B344="",C344=""),"",IFERROR(INDEX(Vöruskrá!J:J,MATCH(B344,Vöruskrá!B:B,0))*C344/100000,""))</f>
        <v>0.40594999999999998</v>
      </c>
      <c r="H344" s="169">
        <f>IF(OR(B344="",C344=""),"",IFERROR(INDEX(Vöruskrá!K:K,MATCH(B344,Vöruskrá!B:B,0))*C344/100000,""))</f>
        <v>9.6600000000000002E-3</v>
      </c>
      <c r="I344" s="169">
        <f>IF(OR(B344="",C344=""),"",IFERROR(INDEX(Vöruskrá!L:L,MATCH(B344,Vöruskrá!B:B,0))*C344/100000,""))</f>
        <v>2.6450000000000002E-3</v>
      </c>
      <c r="J344" s="169">
        <f>IF(OR(B344="",C344=""),"",IFERROR(INDEX(Vöruskrá!M:M,MATCH(B344,Vöruskrá!B:B,0))*C344/100000,""))</f>
        <v>5.6349999999999997E-2</v>
      </c>
      <c r="K344" s="169">
        <f>IF(OR(B344="",C344=""),"",IFERROR(INDEX(Vöruskrá!N:N,MATCH(B344,Vöruskrá!B:B,0))*C344/100000,""))</f>
        <v>0</v>
      </c>
      <c r="L344" s="169">
        <f>IF(OR(B344="",C344=""),"",IFERROR(INDEX(Vöruskrá!O:O,MATCH(B344,Vöruskrá!B:B,0))*C344/100000,""))</f>
        <v>8.7399999999999995E-3</v>
      </c>
      <c r="M344" s="169">
        <f>IF(OR(B344="",C344=""),"",IFERROR(INDEX(Vöruskrá!P:P,MATCH(B344,Vöruskrá!B:B,0))*C344/100000,""))</f>
        <v>1.15E-4</v>
      </c>
      <c r="N344" s="169">
        <f>IF(OR(B344="",C344=""),"",IFERROR(INDEX(Vöruskrá!Q:Q,MATCH(B344,Vöruskrá!B:B,0))*C344/100000,""))</f>
        <v>0</v>
      </c>
      <c r="O344" s="170">
        <f>IF(OR(B344="",C344=""),"",IFERROR(C344/1000*INDEX(Vöruskrá!R:R,MATCH(B344,Vöruskrá!B:B,0))/1000,""))</f>
        <v>0</v>
      </c>
      <c r="P344" s="173"/>
      <c r="Q344" s="157"/>
      <c r="R344" s="27"/>
    </row>
    <row r="345" spans="1:18" ht="15">
      <c r="A345" s="171"/>
      <c r="B345" s="171" t="s">
        <v>819</v>
      </c>
      <c r="C345" s="172">
        <v>230</v>
      </c>
      <c r="D345" s="168" t="s">
        <v>820</v>
      </c>
      <c r="E345" s="168"/>
      <c r="F345" s="168" t="s">
        <v>311</v>
      </c>
      <c r="G345" s="169">
        <f>IF(OR(B345="",C345=""),"",IFERROR(INDEX(Vöruskrá!J:J,MATCH(B345,Vöruskrá!B:B,0))*C345/100000,""))</f>
        <v>0.88780000000000003</v>
      </c>
      <c r="H345" s="169">
        <f>IF(OR(B345="",C345=""),"",IFERROR(INDEX(Vöruskrá!K:K,MATCH(B345,Vöruskrá!B:B,0))*C345/100000,""))</f>
        <v>7.5900000000000004E-3</v>
      </c>
      <c r="I345" s="169">
        <f>IF(OR(B345="",C345=""),"",IFERROR(INDEX(Vöruskrá!L:L,MATCH(B345,Vöruskrá!B:B,0))*C345/100000,""))</f>
        <v>2.3E-3</v>
      </c>
      <c r="J345" s="169">
        <f>IF(OR(B345="",C345=""),"",IFERROR(INDEX(Vöruskrá!M:M,MATCH(B345,Vöruskrá!B:B,0))*C345/100000,""))</f>
        <v>0.14949999999999999</v>
      </c>
      <c r="K345" s="169">
        <f>IF(OR(B345="",C345=""),"",IFERROR(INDEX(Vöruskrá!N:N,MATCH(B345,Vöruskrá!B:B,0))*C345/100000,""))</f>
        <v>1.3799999999999999E-3</v>
      </c>
      <c r="L345" s="169">
        <f>IF(OR(B345="",C345=""),"",IFERROR(INDEX(Vöruskrá!O:O,MATCH(B345,Vöruskrá!B:B,0))*C345/100000,""))</f>
        <v>2.53E-2</v>
      </c>
      <c r="M345" s="169">
        <f>IF(OR(B345="",C345=""),"",IFERROR(INDEX(Vöruskrá!P:P,MATCH(B345,Vöruskrá!B:B,0))*C345/100000,""))</f>
        <v>2.3000000000000001E-4</v>
      </c>
      <c r="N345" s="169">
        <f>IF(OR(B345="",C345=""),"",IFERROR(INDEX(Vöruskrá!Q:Q,MATCH(B345,Vöruskrá!B:B,0))*C345/100000,""))</f>
        <v>0</v>
      </c>
      <c r="O345" s="170">
        <f>IF(OR(B345="",C345=""),"",IFERROR(C345/1000*INDEX(Vöruskrá!R:R,MATCH(B345,Vöruskrá!B:B,0))/1000,""))</f>
        <v>0</v>
      </c>
      <c r="P345" s="171"/>
      <c r="Q345" s="200"/>
      <c r="R345" s="159"/>
    </row>
    <row r="346" spans="1:18" ht="60">
      <c r="A346" s="147" t="s">
        <v>1710</v>
      </c>
      <c r="B346" s="147"/>
      <c r="C346" s="148"/>
      <c r="D346" s="165" t="s">
        <v>1711</v>
      </c>
      <c r="E346" s="165" t="s">
        <v>1622</v>
      </c>
      <c r="F346" s="165"/>
      <c r="G346" s="166">
        <v>104.95</v>
      </c>
      <c r="H346" s="166">
        <v>3.94</v>
      </c>
      <c r="I346" s="166">
        <v>2.25</v>
      </c>
      <c r="J346" s="166">
        <v>8.52</v>
      </c>
      <c r="K346" s="166"/>
      <c r="L346" s="166">
        <v>8.7200000000000006</v>
      </c>
      <c r="M346" s="166">
        <v>0.66</v>
      </c>
      <c r="N346" s="166">
        <f>IFERROR(SUM(N347:N354)/(SUM($C$347:$C$354)/100000),"")</f>
        <v>1.008877</v>
      </c>
      <c r="O346" s="167" t="str">
        <f>IF(OR(B346="",C346=""),"",IFERROR(C346/1000*INDEX(Vöruskrá!R:R,MATCH(B346,Vöruskrá!B:B,0))/1000,""))</f>
        <v/>
      </c>
      <c r="P346" s="196" t="s">
        <v>1712</v>
      </c>
      <c r="Q346" s="199" t="s">
        <v>1713</v>
      </c>
      <c r="R346" s="198" t="s">
        <v>1714</v>
      </c>
    </row>
    <row r="347" spans="1:18" ht="15">
      <c r="A347" s="171"/>
      <c r="B347" s="171" t="s">
        <v>926</v>
      </c>
      <c r="C347" s="172">
        <v>31364</v>
      </c>
      <c r="D347" s="168" t="s">
        <v>926</v>
      </c>
      <c r="E347" s="168" t="s">
        <v>621</v>
      </c>
      <c r="F347" s="168"/>
      <c r="G347" s="169">
        <f>IF(OR(B347="",C347=""),"",IFERROR(INDEX(Vöruskrá!J:J,MATCH(B347,Vöruskrá!B:B,0))*C347/100000,""))</f>
        <v>31.364000000000001</v>
      </c>
      <c r="H347" s="169">
        <f>IF(OR(B347="",C347=""),"",IFERROR(INDEX(Vöruskrá!K:K,MATCH(B347,Vöruskrá!B:B,0))*C347/100000,""))</f>
        <v>0.21954799999999999</v>
      </c>
      <c r="I347" s="169">
        <f>IF(OR(B347="",C347=""),"",IFERROR(INDEX(Vöruskrá!L:L,MATCH(B347,Vöruskrá!B:B,0))*C347/100000,""))</f>
        <v>3.1364000000000003E-2</v>
      </c>
      <c r="J347" s="169">
        <f>IF(OR(B347="",C347=""),"",IFERROR(INDEX(Vöruskrá!M:M,MATCH(B347,Vöruskrá!B:B,0))*C347/100000,""))</f>
        <v>0</v>
      </c>
      <c r="K347" s="169">
        <f>IF(OR(B347="",C347=""),"",IFERROR(INDEX(Vöruskrá!N:N,MATCH(B347,Vöruskrá!B:B,0))*C347/100000,""))</f>
        <v>0</v>
      </c>
      <c r="L347" s="169">
        <f>IF(OR(B347="",C347=""),"",IFERROR(INDEX(Vöruskrá!O:O,MATCH(B347,Vöruskrá!B:B,0))*C347/100000,""))</f>
        <v>7.2137200000000004</v>
      </c>
      <c r="M347" s="169">
        <f>IF(OR(B347="",C347=""),"",IFERROR(INDEX(Vöruskrá!P:P,MATCH(B347,Vöruskrá!B:B,0))*C347/100000,""))</f>
        <v>9.4091999999999995E-2</v>
      </c>
      <c r="N347" s="169">
        <f>IF(OR(B347="",C347=""),"",IFERROR(INDEX(Vöruskrá!Q:Q,MATCH(B347,Vöruskrá!B:B,0))*C347/100000,""))</f>
        <v>0</v>
      </c>
      <c r="O347" s="170">
        <f>IF(OR(B347="",C347=""),"",IFERROR(C347/1000*INDEX(Vöruskrá!R:R,MATCH(B347,Vöruskrá!B:B,0))/1000,""))</f>
        <v>0</v>
      </c>
      <c r="P347" s="171"/>
      <c r="Q347" s="197"/>
      <c r="R347" s="164"/>
    </row>
    <row r="348" spans="1:18" ht="15">
      <c r="A348" s="173"/>
      <c r="B348" s="173" t="s">
        <v>635</v>
      </c>
      <c r="C348" s="174">
        <v>41819</v>
      </c>
      <c r="D348" s="168" t="s">
        <v>635</v>
      </c>
      <c r="E348" s="168" t="s">
        <v>134</v>
      </c>
      <c r="F348" s="168"/>
      <c r="G348" s="169">
        <f>IF(OR(B348="",C348=""),"",IFERROR(INDEX(Vöruskrá!J:J,MATCH(B348,Vöruskrá!B:B,0))*C348/100000,""))</f>
        <v>32.200629999999997</v>
      </c>
      <c r="H348" s="169">
        <f>IF(OR(B348="",C348=""),"",IFERROR(INDEX(Vöruskrá!K:K,MATCH(B348,Vöruskrá!B:B,0))*C348/100000,""))</f>
        <v>4.1819000000000002E-2</v>
      </c>
      <c r="I348" s="169">
        <f>IF(OR(B348="",C348=""),"",IFERROR(INDEX(Vöruskrá!L:L,MATCH(B348,Vöruskrá!B:B,0))*C348/100000,""))</f>
        <v>0</v>
      </c>
      <c r="J348" s="169">
        <f>IF(OR(B348="",C348=""),"",IFERROR(INDEX(Vöruskrá!M:M,MATCH(B348,Vöruskrá!B:B,0))*C348/100000,""))</f>
        <v>7.1092300000000002</v>
      </c>
      <c r="K348" s="169">
        <f>IF(OR(B348="",C348=""),"",IFERROR(INDEX(Vöruskrá!N:N,MATCH(B348,Vöruskrá!B:B,0))*C348/100000,""))</f>
        <v>0.33455200000000002</v>
      </c>
      <c r="L348" s="169">
        <f>IF(OR(B348="",C348=""),"",IFERROR(INDEX(Vöruskrá!O:O,MATCH(B348,Vöruskrá!B:B,0))*C348/100000,""))</f>
        <v>0.83638000000000001</v>
      </c>
      <c r="M348" s="169">
        <f>IF(OR(B348="",C348=""),"",IFERROR(INDEX(Vöruskrá!P:P,MATCH(B348,Vöruskrá!B:B,0))*C348/100000,""))</f>
        <v>0</v>
      </c>
      <c r="N348" s="169">
        <f>IF(OR(B348="",C348=""),"",IFERROR(INDEX(Vöruskrá!Q:Q,MATCH(B348,Vöruskrá!B:B,0))*C348/100000,""))</f>
        <v>0.920018</v>
      </c>
      <c r="O348" s="170">
        <f>IF(OR(B348="",C348=""),"",IFERROR(C348/1000*INDEX(Vöruskrá!R:R,MATCH(B348,Vöruskrá!B:B,0))/1000,""))</f>
        <v>0</v>
      </c>
      <c r="P348" s="173"/>
      <c r="Q348" s="157"/>
      <c r="R348" s="27"/>
    </row>
    <row r="349" spans="1:18" ht="15">
      <c r="A349" s="171"/>
      <c r="B349" s="171" t="s">
        <v>1010</v>
      </c>
      <c r="C349" s="172">
        <v>5227</v>
      </c>
      <c r="D349" s="168" t="s">
        <v>1010</v>
      </c>
      <c r="E349" s="168" t="s">
        <v>134</v>
      </c>
      <c r="F349" s="168"/>
      <c r="G349" s="169">
        <f>IF(OR(B349="",C349=""),"",IFERROR(INDEX(Vöruskrá!J:J,MATCH(B349,Vöruskrá!B:B,0))*C349/100000,""))</f>
        <v>2.0908000000000002</v>
      </c>
      <c r="H349" s="169">
        <f>IF(OR(B349="",C349=""),"",IFERROR(INDEX(Vöruskrá!K:K,MATCH(B349,Vöruskrá!B:B,0))*C349/100000,""))</f>
        <v>5.2270000000000007E-3</v>
      </c>
      <c r="I349" s="169">
        <f>IF(OR(B349="",C349=""),"",IFERROR(INDEX(Vöruskrá!L:L,MATCH(B349,Vöruskrá!B:B,0))*C349/100000,""))</f>
        <v>0</v>
      </c>
      <c r="J349" s="169">
        <f>IF(OR(B349="",C349=""),"",IFERROR(INDEX(Vöruskrá!M:M,MATCH(B349,Vöruskrá!B:B,0))*C349/100000,""))</f>
        <v>0.48611100000000007</v>
      </c>
      <c r="K349" s="169">
        <f>IF(OR(B349="",C349=""),"",IFERROR(INDEX(Vöruskrá!N:N,MATCH(B349,Vöruskrá!B:B,0))*C349/100000,""))</f>
        <v>0.21953400000000001</v>
      </c>
      <c r="L349" s="169">
        <f>IF(OR(B349="",C349=""),"",IFERROR(INDEX(Vöruskrá!O:O,MATCH(B349,Vöruskrá!B:B,0))*C349/100000,""))</f>
        <v>5.7497000000000006E-2</v>
      </c>
      <c r="M349" s="169">
        <f>IF(OR(B349="",C349=""),"",IFERROR(INDEX(Vöruskrá!P:P,MATCH(B349,Vöruskrá!B:B,0))*C349/100000,""))</f>
        <v>0</v>
      </c>
      <c r="N349" s="169">
        <f>IF(OR(B349="",C349=""),"",IFERROR(INDEX(Vöruskrá!Q:Q,MATCH(B349,Vöruskrá!B:B,0))*C349/100000,""))</f>
        <v>8.8858999999999994E-2</v>
      </c>
      <c r="O349" s="170">
        <f>IF(OR(B349="",C349=""),"",IFERROR(C349/1000*INDEX(Vöruskrá!R:R,MATCH(B349,Vöruskrá!B:B,0))/1000,""))</f>
        <v>0</v>
      </c>
      <c r="P349" s="171"/>
      <c r="Q349" s="158"/>
      <c r="R349" s="6"/>
    </row>
    <row r="350" spans="1:18" ht="15">
      <c r="A350" s="173"/>
      <c r="B350" s="173" t="s">
        <v>445</v>
      </c>
      <c r="C350" s="174">
        <v>2614</v>
      </c>
      <c r="D350" s="168" t="s">
        <v>448</v>
      </c>
      <c r="E350" s="168" t="s">
        <v>120</v>
      </c>
      <c r="F350" s="168"/>
      <c r="G350" s="169">
        <f>IF(OR(B350="",C350=""),"",IFERROR(INDEX(Vöruskrá!J:J,MATCH(B350,Vöruskrá!B:B,0))*C350/100000,""))</f>
        <v>19.291319999999999</v>
      </c>
      <c r="H350" s="169">
        <f>IF(OR(B350="",C350=""),"",IFERROR(INDEX(Vöruskrá!K:K,MATCH(B350,Vöruskrá!B:B,0))*C350/100000,""))</f>
        <v>2.1434799999999998</v>
      </c>
      <c r="I350" s="169">
        <f>IF(OR(B350="",C350=""),"",IFERROR(INDEX(Vöruskrá!L:L,MATCH(B350,Vöruskrá!B:B,0))*C350/100000,""))</f>
        <v>1.2808600000000001</v>
      </c>
      <c r="J350" s="169">
        <f>IF(OR(B350="",C350=""),"",IFERROR(INDEX(Vöruskrá!M:M,MATCH(B350,Vöruskrá!B:B,0))*C350/100000,""))</f>
        <v>1.0456000000000002E-2</v>
      </c>
      <c r="K350" s="169">
        <f>IF(OR(B350="",C350=""),"",IFERROR(INDEX(Vöruskrá!N:N,MATCH(B350,Vöruskrá!B:B,0))*C350/100000,""))</f>
        <v>1.0456000000000002E-2</v>
      </c>
      <c r="L350" s="169">
        <f>IF(OR(B350="",C350=""),"",IFERROR(INDEX(Vöruskrá!O:O,MATCH(B350,Vöruskrá!B:B,0))*C350/100000,""))</f>
        <v>1.5684E-2</v>
      </c>
      <c r="M350" s="169">
        <f>IF(OR(B350="",C350=""),"",IFERROR(INDEX(Vöruskrá!P:P,MATCH(B350,Vöruskrá!B:B,0))*C350/100000,""))</f>
        <v>3.1368E-2</v>
      </c>
      <c r="N350" s="169">
        <f>IF(OR(B350="",C350=""),"",IFERROR(INDEX(Vöruskrá!Q:Q,MATCH(B350,Vöruskrá!B:B,0))*C350/100000,""))</f>
        <v>0</v>
      </c>
      <c r="O350" s="170">
        <f>IF(OR(B350="",C350=""),"",IFERROR(C350/1000*INDEX(Vöruskrá!R:R,MATCH(B350,Vöruskrá!B:B,0))/1000,""))</f>
        <v>0</v>
      </c>
      <c r="P350" s="173"/>
      <c r="Q350" s="157"/>
      <c r="R350" s="27"/>
    </row>
    <row r="351" spans="1:18" ht="15">
      <c r="A351" s="171"/>
      <c r="B351" s="171" t="s">
        <v>849</v>
      </c>
      <c r="C351" s="172">
        <v>15682</v>
      </c>
      <c r="D351" s="168" t="s">
        <v>850</v>
      </c>
      <c r="E351" s="168" t="s">
        <v>120</v>
      </c>
      <c r="F351" s="168"/>
      <c r="G351" s="169">
        <f>IF(OR(B351="",C351=""),"",IFERROR(INDEX(Vöruskrá!J:J,MATCH(B351,Vöruskrá!B:B,0))*C351/100000,""))</f>
        <v>10.50694</v>
      </c>
      <c r="H351" s="169">
        <f>IF(OR(B351="",C351=""),"",IFERROR(INDEX(Vöruskrá!K:K,MATCH(B351,Vöruskrá!B:B,0))*C351/100000,""))</f>
        <v>0.61159799999999997</v>
      </c>
      <c r="I351" s="169">
        <f>IF(OR(B351="",C351=""),"",IFERROR(INDEX(Vöruskrá!L:L,MATCH(B351,Vöruskrá!B:B,0))*C351/100000,""))</f>
        <v>0.36068600000000001</v>
      </c>
      <c r="J351" s="169">
        <f>IF(OR(B351="",C351=""),"",IFERROR(INDEX(Vöruskrá!M:M,MATCH(B351,Vöruskrá!B:B,0))*C351/100000,""))</f>
        <v>0.7370540000000001</v>
      </c>
      <c r="K351" s="169">
        <f>IF(OR(B351="",C351=""),"",IFERROR(INDEX(Vöruskrá!N:N,MATCH(B351,Vöruskrá!B:B,0))*C351/100000,""))</f>
        <v>0.7370540000000001</v>
      </c>
      <c r="L351" s="169">
        <f>IF(OR(B351="",C351=""),"",IFERROR(INDEX(Vöruskrá!O:O,MATCH(B351,Vöruskrá!B:B,0))*C351/100000,""))</f>
        <v>0.51750600000000002</v>
      </c>
      <c r="M351" s="169">
        <f>IF(OR(B351="",C351=""),"",IFERROR(INDEX(Vöruskrá!P:P,MATCH(B351,Vöruskrá!B:B,0))*C351/100000,""))</f>
        <v>1.5682000000000001E-2</v>
      </c>
      <c r="N351" s="169">
        <f>IF(OR(B351="",C351=""),"",IFERROR(INDEX(Vöruskrá!Q:Q,MATCH(B351,Vöruskrá!B:B,0))*C351/100000,""))</f>
        <v>0</v>
      </c>
      <c r="O351" s="170">
        <f>IF(OR(B351="",C351=""),"",IFERROR(C351/1000*INDEX(Vöruskrá!R:R,MATCH(B351,Vöruskrá!B:B,0))/1000,""))</f>
        <v>0</v>
      </c>
      <c r="P351" s="171"/>
      <c r="Q351" s="158"/>
      <c r="R351" s="6"/>
    </row>
    <row r="352" spans="1:18" ht="15">
      <c r="A352" s="173"/>
      <c r="B352" s="173" t="s">
        <v>1058</v>
      </c>
      <c r="C352" s="174">
        <v>2614</v>
      </c>
      <c r="D352" s="168" t="s">
        <v>1059</v>
      </c>
      <c r="E352" s="168" t="s">
        <v>120</v>
      </c>
      <c r="F352" s="168"/>
      <c r="G352" s="169">
        <f>IF(OR(B352="",C352=""),"",IFERROR(INDEX(Vöruskrá!J:J,MATCH(B352,Vöruskrá!B:B,0))*C352/100000,""))</f>
        <v>8.8876000000000008</v>
      </c>
      <c r="H352" s="169">
        <f>IF(OR(B352="",C352=""),"",IFERROR(INDEX(Vöruskrá!K:K,MATCH(B352,Vöruskrá!B:B,0))*C352/100000,""))</f>
        <v>0.91490000000000005</v>
      </c>
      <c r="I352" s="169">
        <f>IF(OR(B352="",C352=""),"",IFERROR(INDEX(Vöruskrá!L:L,MATCH(B352,Vöruskrá!B:B,0))*C352/100000,""))</f>
        <v>0.57508000000000004</v>
      </c>
      <c r="J352" s="169">
        <f>IF(OR(B352="",C352=""),"",IFERROR(INDEX(Vöruskrá!M:M,MATCH(B352,Vöruskrá!B:B,0))*C352/100000,""))</f>
        <v>7.8420000000000004E-2</v>
      </c>
      <c r="K352" s="169">
        <f>IF(OR(B352="",C352=""),"",IFERROR(INDEX(Vöruskrá!N:N,MATCH(B352,Vöruskrá!B:B,0))*C352/100000,""))</f>
        <v>7.8420000000000004E-2</v>
      </c>
      <c r="L352" s="169">
        <f>IF(OR(B352="",C352=""),"",IFERROR(INDEX(Vöruskrá!O:O,MATCH(B352,Vöruskrá!B:B,0))*C352/100000,""))</f>
        <v>6.5350000000000005E-2</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299</v>
      </c>
      <c r="C353" s="172">
        <v>523</v>
      </c>
      <c r="D353" s="168" t="s">
        <v>302</v>
      </c>
      <c r="E353" s="168" t="s">
        <v>134</v>
      </c>
      <c r="F353" s="168" t="s">
        <v>303</v>
      </c>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0.52300000000000002</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819</v>
      </c>
      <c r="C354" s="174">
        <v>157</v>
      </c>
      <c r="D354" s="168" t="s">
        <v>820</v>
      </c>
      <c r="E354" s="168"/>
      <c r="F354" s="168" t="s">
        <v>311</v>
      </c>
      <c r="G354" s="169">
        <f>IF(OR(B354="",C354=""),"",IFERROR(INDEX(Vöruskrá!J:J,MATCH(B354,Vöruskrá!B:B,0))*C354/100000,""))</f>
        <v>0.60602</v>
      </c>
      <c r="H354" s="169">
        <f>IF(OR(B354="",C354=""),"",IFERROR(INDEX(Vöruskrá!K:K,MATCH(B354,Vöruskrá!B:B,0))*C354/100000,""))</f>
        <v>5.1809999999999998E-3</v>
      </c>
      <c r="I354" s="169">
        <f>IF(OR(B354="",C354=""),"",IFERROR(INDEX(Vöruskrá!L:L,MATCH(B354,Vöruskrá!B:B,0))*C354/100000,""))</f>
        <v>1.57E-3</v>
      </c>
      <c r="J354" s="169">
        <f>IF(OR(B354="",C354=""),"",IFERROR(INDEX(Vöruskrá!M:M,MATCH(B354,Vöruskrá!B:B,0))*C354/100000,""))</f>
        <v>0.10205</v>
      </c>
      <c r="K354" s="169">
        <f>IF(OR(B354="",C354=""),"",IFERROR(INDEX(Vöruskrá!N:N,MATCH(B354,Vöruskrá!B:B,0))*C354/100000,""))</f>
        <v>9.4200000000000002E-4</v>
      </c>
      <c r="L354" s="169">
        <f>IF(OR(B354="",C354=""),"",IFERROR(INDEX(Vöruskrá!O:O,MATCH(B354,Vöruskrá!B:B,0))*C354/100000,""))</f>
        <v>1.7270000000000001E-2</v>
      </c>
      <c r="M354" s="169">
        <f>IF(OR(B354="",C354=""),"",IFERROR(INDEX(Vöruskrá!P:P,MATCH(B354,Vöruskrá!B:B,0))*C354/100000,""))</f>
        <v>1.5700000000000002E-4</v>
      </c>
      <c r="N354" s="169">
        <f>IF(OR(B354="",C354=""),"",IFERROR(INDEX(Vöruskrá!Q:Q,MATCH(B354,Vöruskrá!B:B,0))*C354/100000,""))</f>
        <v>0</v>
      </c>
      <c r="O354" s="170">
        <f>IF(OR(B354="",C354=""),"",IFERROR(C354/1000*INDEX(Vöruskrá!R:R,MATCH(B354,Vöruskrá!B:B,0))/1000,""))</f>
        <v>0</v>
      </c>
      <c r="P354" s="173"/>
      <c r="Q354" s="201"/>
      <c r="R354" s="202"/>
    </row>
    <row r="355" spans="1:18" ht="36">
      <c r="A355" s="147" t="s">
        <v>1715</v>
      </c>
      <c r="B355" s="147"/>
      <c r="C355" s="148"/>
      <c r="D355" s="165" t="s">
        <v>1716</v>
      </c>
      <c r="E355" s="165" t="s">
        <v>1622</v>
      </c>
      <c r="F355" s="165"/>
      <c r="G355" s="166">
        <v>198.21</v>
      </c>
      <c r="H355" s="166">
        <v>13.01</v>
      </c>
      <c r="I355" s="166">
        <v>2.48</v>
      </c>
      <c r="J355" s="166">
        <v>7.64</v>
      </c>
      <c r="K355" s="166"/>
      <c r="L355" s="166">
        <v>12.58</v>
      </c>
      <c r="M355" s="166">
        <v>2.84</v>
      </c>
      <c r="N355" s="166">
        <f>IFERROR(SUM(N356:N358)/(SUM($C$356:$C$358)/100000),"")</f>
        <v>0.289854</v>
      </c>
      <c r="O355" s="167" t="str">
        <f>IF(OR(B355="",C355=""),"",IFERROR(C355/1000*INDEX(Vöruskrá!R:R,MATCH(B355,Vöruskrá!B:B,0))/1000,""))</f>
        <v/>
      </c>
      <c r="P355" s="196" t="s">
        <v>1717</v>
      </c>
      <c r="Q355" s="195" t="s">
        <v>1718</v>
      </c>
      <c r="R355" s="194" t="s">
        <v>1719</v>
      </c>
    </row>
    <row r="356" spans="1:18" ht="15">
      <c r="A356" s="171"/>
      <c r="B356" s="171" t="s">
        <v>1296</v>
      </c>
      <c r="C356" s="172">
        <v>96618</v>
      </c>
      <c r="D356" s="168" t="s">
        <v>1297</v>
      </c>
      <c r="E356" s="168" t="s">
        <v>621</v>
      </c>
      <c r="F356" s="168"/>
      <c r="G356" s="169">
        <f>IF(OR(B356="",C356=""),"",IFERROR(INDEX(Vöruskrá!J:J,MATCH(B356,Vöruskrá!B:B,0))*C356/100000,""))</f>
        <v>176.81093999999999</v>
      </c>
      <c r="H356" s="169">
        <f>IF(OR(B356="",C356=""),"",IFERROR(INDEX(Vöruskrá!K:K,MATCH(B356,Vöruskrá!B:B,0))*C356/100000,""))</f>
        <v>10.627980000000001</v>
      </c>
      <c r="I356" s="169">
        <f>IF(OR(B356="",C356=""),"",IFERROR(INDEX(Vöruskrá!L:L,MATCH(B356,Vöruskrá!B:B,0))*C356/100000,""))</f>
        <v>1.0627980000000001</v>
      </c>
      <c r="J356" s="169">
        <f>IF(OR(B356="",C356=""),"",IFERROR(INDEX(Vöruskrá!M:M,MATCH(B356,Vöruskrá!B:B,0))*C356/100000,""))</f>
        <v>7.6328220000000009</v>
      </c>
      <c r="K356" s="169">
        <f>IF(OR(B356="",C356=""),"",IFERROR(INDEX(Vöruskrá!N:N,MATCH(B356,Vöruskrá!B:B,0))*C356/100000,""))</f>
        <v>2.0289780000000004</v>
      </c>
      <c r="L356" s="169">
        <f>IF(OR(B356="",C356=""),"",IFERROR(INDEX(Vöruskrá!O:O,MATCH(B356,Vöruskrá!B:B,0))*C356/100000,""))</f>
        <v>12.56034</v>
      </c>
      <c r="M356" s="169">
        <f>IF(OR(B356="",C356=""),"",IFERROR(INDEX(Vöruskrá!P:P,MATCH(B356,Vöruskrá!B:B,0))*C356/100000,""))</f>
        <v>2.318832</v>
      </c>
      <c r="N356" s="169">
        <f>IF(OR(B356="",C356=""),"",IFERROR(INDEX(Vöruskrá!Q:Q,MATCH(B356,Vöruskrá!B:B,0))*C356/100000,""))</f>
        <v>0.289854</v>
      </c>
      <c r="O356" s="170">
        <f>IF(OR(B356="",C356=""),"",IFERROR(C356/1000*INDEX(Vöruskrá!R:R,MATCH(B356,Vöruskrá!B:B,0))/1000,""))</f>
        <v>0</v>
      </c>
      <c r="P356" s="171"/>
      <c r="Q356" s="203"/>
      <c r="R356" s="204"/>
    </row>
    <row r="357" spans="1:18" ht="15">
      <c r="A357" s="173"/>
      <c r="B357" s="173" t="s">
        <v>445</v>
      </c>
      <c r="C357" s="174">
        <v>2899</v>
      </c>
      <c r="D357" s="168" t="s">
        <v>448</v>
      </c>
      <c r="E357" s="168" t="s">
        <v>120</v>
      </c>
      <c r="F357" s="168"/>
      <c r="G357" s="169">
        <f>IF(OR(B357="",C357=""),"",IFERROR(INDEX(Vöruskrá!J:J,MATCH(B357,Vöruskrá!B:B,0))*C357/100000,""))</f>
        <v>21.39462</v>
      </c>
      <c r="H357" s="169">
        <f>IF(OR(B357="",C357=""),"",IFERROR(INDEX(Vöruskrá!K:K,MATCH(B357,Vöruskrá!B:B,0))*C357/100000,""))</f>
        <v>2.3771800000000001</v>
      </c>
      <c r="I357" s="169">
        <f>IF(OR(B357="",C357=""),"",IFERROR(INDEX(Vöruskrá!L:L,MATCH(B357,Vöruskrá!B:B,0))*C357/100000,""))</f>
        <v>1.4205099999999999</v>
      </c>
      <c r="J357" s="169">
        <f>IF(OR(B357="",C357=""),"",IFERROR(INDEX(Vöruskrá!M:M,MATCH(B357,Vöruskrá!B:B,0))*C357/100000,""))</f>
        <v>1.1596000000000002E-2</v>
      </c>
      <c r="K357" s="169">
        <f>IF(OR(B357="",C357=""),"",IFERROR(INDEX(Vöruskrá!N:N,MATCH(B357,Vöruskrá!B:B,0))*C357/100000,""))</f>
        <v>1.1596000000000002E-2</v>
      </c>
      <c r="L357" s="169">
        <f>IF(OR(B357="",C357=""),"",IFERROR(INDEX(Vöruskrá!O:O,MATCH(B357,Vöruskrá!B:B,0))*C357/100000,""))</f>
        <v>1.7394E-2</v>
      </c>
      <c r="M357" s="169">
        <f>IF(OR(B357="",C357=""),"",IFERROR(INDEX(Vöruskrá!P:P,MATCH(B357,Vöruskrá!B:B,0))*C357/100000,""))</f>
        <v>3.4787999999999999E-2</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299</v>
      </c>
      <c r="C358" s="172">
        <v>483</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0.48299999999999998</v>
      </c>
      <c r="N358" s="169">
        <f>IF(OR(B358="",C358=""),"",IFERROR(INDEX(Vöruskrá!Q:Q,MATCH(B358,Vöruskrá!B:B,0))*C358/100000,""))</f>
        <v>0</v>
      </c>
      <c r="O358" s="170">
        <f>IF(OR(B358="",C358=""),"",IFERROR(C358/1000*INDEX(Vöruskrá!R:R,MATCH(B358,Vöruskrá!B:B,0))/1000,""))</f>
        <v>0</v>
      </c>
      <c r="P358" s="171"/>
      <c r="Q358" s="201"/>
      <c r="R358" s="202"/>
    </row>
    <row r="359" spans="1:18" ht="36">
      <c r="A359" s="147" t="s">
        <v>1720</v>
      </c>
      <c r="B359" s="147"/>
      <c r="C359" s="148"/>
      <c r="D359" s="165" t="s">
        <v>1666</v>
      </c>
      <c r="E359" s="165" t="s">
        <v>621</v>
      </c>
      <c r="F359" s="165"/>
      <c r="G359" s="166">
        <v>113.64</v>
      </c>
      <c r="H359" s="166">
        <v>4.43</v>
      </c>
      <c r="I359" s="166">
        <v>0.35</v>
      </c>
      <c r="J359" s="166">
        <v>2.71</v>
      </c>
      <c r="K359" s="166"/>
      <c r="L359" s="166">
        <v>17.88</v>
      </c>
      <c r="M359" s="166">
        <v>1.01</v>
      </c>
      <c r="N359" s="166">
        <f>IFERROR(SUM(N360:N366)/(SUM($C$360:$C$366)/100000),"")</f>
        <v>0</v>
      </c>
      <c r="O359" s="167" t="str">
        <f>IF(OR(B359="",C359=""),"",IFERROR(C359/1000*INDEX(Vöruskrá!R:R,MATCH(B359,Vöruskrá!B:B,0))/1000,""))</f>
        <v/>
      </c>
      <c r="P359" s="196" t="s">
        <v>1721</v>
      </c>
      <c r="Q359" s="199" t="s">
        <v>1722</v>
      </c>
      <c r="R359" s="198" t="s">
        <v>1723</v>
      </c>
    </row>
    <row r="360" spans="1:18" ht="15">
      <c r="A360" s="171"/>
      <c r="B360" s="171" t="s">
        <v>926</v>
      </c>
      <c r="C360" s="172">
        <v>77595</v>
      </c>
      <c r="D360" s="168" t="s">
        <v>926</v>
      </c>
      <c r="E360" s="168" t="s">
        <v>621</v>
      </c>
      <c r="F360" s="168"/>
      <c r="G360" s="169">
        <f>IF(OR(B360="",C360=""),"",IFERROR(INDEX(Vöruskrá!J:J,MATCH(B360,Vöruskrá!B:B,0))*C360/100000,""))</f>
        <v>77.594999999999999</v>
      </c>
      <c r="H360" s="169">
        <f>IF(OR(B360="",C360=""),"",IFERROR(INDEX(Vöruskrá!K:K,MATCH(B360,Vöruskrá!B:B,0))*C360/100000,""))</f>
        <v>0.54316500000000001</v>
      </c>
      <c r="I360" s="169">
        <f>IF(OR(B360="",C360=""),"",IFERROR(INDEX(Vöruskrá!L:L,MATCH(B360,Vöruskrá!B:B,0))*C360/100000,""))</f>
        <v>7.7594999999999997E-2</v>
      </c>
      <c r="J360" s="169">
        <f>IF(OR(B360="",C360=""),"",IFERROR(INDEX(Vöruskrá!M:M,MATCH(B360,Vöruskrá!B:B,0))*C360/100000,""))</f>
        <v>0</v>
      </c>
      <c r="K360" s="169">
        <f>IF(OR(B360="",C360=""),"",IFERROR(INDEX(Vöruskrá!N:N,MATCH(B360,Vöruskrá!B:B,0))*C360/100000,""))</f>
        <v>0</v>
      </c>
      <c r="L360" s="169">
        <f>IF(OR(B360="",C360=""),"",IFERROR(INDEX(Vöruskrá!O:O,MATCH(B360,Vöruskrá!B:B,0))*C360/100000,""))</f>
        <v>17.84685</v>
      </c>
      <c r="M360" s="169">
        <f>IF(OR(B360="",C360=""),"",IFERROR(INDEX(Vöruskrá!P:P,MATCH(B360,Vöruskrá!B:B,0))*C360/100000,""))</f>
        <v>0.23278499999999999</v>
      </c>
      <c r="N360" s="169">
        <f>IF(OR(B360="",C360=""),"",IFERROR(INDEX(Vöruskrá!Q:Q,MATCH(B360,Vöruskrá!B:B,0))*C360/100000,""))</f>
        <v>0</v>
      </c>
      <c r="O360" s="170">
        <f>IF(OR(B360="",C360=""),"",IFERROR(C360/1000*INDEX(Vöruskrá!R:R,MATCH(B360,Vöruskrá!B:B,0))/1000,""))</f>
        <v>0</v>
      </c>
      <c r="P360" s="171"/>
      <c r="Q360" s="203"/>
      <c r="R360" s="204"/>
    </row>
    <row r="361" spans="1:18" ht="15">
      <c r="A361" s="173"/>
      <c r="B361" s="173" t="s">
        <v>1466</v>
      </c>
      <c r="C361" s="174">
        <v>9699</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1463</v>
      </c>
      <c r="C362" s="172">
        <v>4850</v>
      </c>
      <c r="D362" s="168"/>
      <c r="E362" s="168"/>
      <c r="F362" s="168"/>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1"/>
      <c r="Q362" s="157"/>
      <c r="R362" s="27"/>
    </row>
    <row r="363" spans="1:18" ht="15">
      <c r="A363" s="173"/>
      <c r="B363" s="173" t="s">
        <v>1465</v>
      </c>
      <c r="C363" s="174">
        <v>2910</v>
      </c>
      <c r="D363" s="168"/>
      <c r="E363" s="168"/>
      <c r="F363" s="168"/>
      <c r="G363" s="169">
        <f>IF(OR(B363="",C363=""),"",IFERROR(INDEX(Vöruskrá!J:J,MATCH(B363,Vöruskrá!B:B,0))*C363/100000,""))</f>
        <v>0</v>
      </c>
      <c r="H363" s="169">
        <f>IF(OR(B363="",C363=""),"",IFERROR(INDEX(Vöruskrá!K:K,MATCH(B363,Vöruskrá!B:B,0))*C363/100000,""))</f>
        <v>0</v>
      </c>
      <c r="I363" s="169">
        <f>IF(OR(B363="",C363=""),"",IFERROR(INDEX(Vöruskrá!L:L,MATCH(B363,Vöruskrá!B:B,0))*C363/100000,""))</f>
        <v>0</v>
      </c>
      <c r="J363" s="169">
        <f>IF(OR(B363="",C363=""),"",IFERROR(INDEX(Vöruskrá!M:M,MATCH(B363,Vöruskrá!B:B,0))*C363/100000,""))</f>
        <v>0</v>
      </c>
      <c r="K363" s="169">
        <f>IF(OR(B363="",C363=""),"",IFERROR(INDEX(Vöruskrá!N:N,MATCH(B363,Vöruskrá!B:B,0))*C363/100000,""))</f>
        <v>0</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299</v>
      </c>
      <c r="C364" s="172">
        <v>776</v>
      </c>
      <c r="D364" s="168" t="s">
        <v>302</v>
      </c>
      <c r="E364" s="168" t="s">
        <v>134</v>
      </c>
      <c r="F364" s="168" t="s">
        <v>303</v>
      </c>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0.77600000000000002</v>
      </c>
      <c r="N364" s="169">
        <f>IF(OR(B364="",C364=""),"",IFERROR(INDEX(Vöruskrá!Q:Q,MATCH(B364,Vöruskrá!B:B,0))*C364/100000,""))</f>
        <v>0</v>
      </c>
      <c r="O364" s="170">
        <f>IF(OR(B364="",C364=""),"",IFERROR(C364/1000*INDEX(Vöruskrá!R:R,MATCH(B364,Vöruskrá!B:B,0))/1000,""))</f>
        <v>0</v>
      </c>
      <c r="P364" s="171"/>
      <c r="Q364" s="157"/>
      <c r="R364" s="27"/>
    </row>
    <row r="365" spans="1:18" ht="15">
      <c r="A365" s="173"/>
      <c r="B365" s="173" t="s">
        <v>819</v>
      </c>
      <c r="C365" s="174">
        <v>291</v>
      </c>
      <c r="D365" s="168" t="s">
        <v>820</v>
      </c>
      <c r="E365" s="168"/>
      <c r="F365" s="168" t="s">
        <v>311</v>
      </c>
      <c r="G365" s="169">
        <f>IF(OR(B365="",C365=""),"",IFERROR(INDEX(Vöruskrá!J:J,MATCH(B365,Vöruskrá!B:B,0))*C365/100000,""))</f>
        <v>1.1232599999999999</v>
      </c>
      <c r="H365" s="169">
        <f>IF(OR(B365="",C365=""),"",IFERROR(INDEX(Vöruskrá!K:K,MATCH(B365,Vöruskrá!B:B,0))*C365/100000,""))</f>
        <v>9.6029999999999987E-3</v>
      </c>
      <c r="I365" s="169">
        <f>IF(OR(B365="",C365=""),"",IFERROR(INDEX(Vöruskrá!L:L,MATCH(B365,Vöruskrá!B:B,0))*C365/100000,""))</f>
        <v>2.9099999999999998E-3</v>
      </c>
      <c r="J365" s="169">
        <f>IF(OR(B365="",C365=""),"",IFERROR(INDEX(Vöruskrá!M:M,MATCH(B365,Vöruskrá!B:B,0))*C365/100000,""))</f>
        <v>0.18915000000000001</v>
      </c>
      <c r="K365" s="169">
        <f>IF(OR(B365="",C365=""),"",IFERROR(INDEX(Vöruskrá!N:N,MATCH(B365,Vöruskrá!B:B,0))*C365/100000,""))</f>
        <v>1.7459999999999999E-3</v>
      </c>
      <c r="L365" s="169">
        <f>IF(OR(B365="",C365=""),"",IFERROR(INDEX(Vöruskrá!O:O,MATCH(B365,Vöruskrá!B:B,0))*C365/100000,""))</f>
        <v>3.2009999999999997E-2</v>
      </c>
      <c r="M365" s="169">
        <f>IF(OR(B365="",C365=""),"",IFERROR(INDEX(Vöruskrá!P:P,MATCH(B365,Vöruskrá!B:B,0))*C365/100000,""))</f>
        <v>2.9100000000000003E-4</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1270</v>
      </c>
      <c r="C366" s="172">
        <v>3880</v>
      </c>
      <c r="D366" s="168" t="s">
        <v>1270</v>
      </c>
      <c r="E366" s="168" t="s">
        <v>134</v>
      </c>
      <c r="F366" s="168"/>
      <c r="G366" s="169">
        <f>IF(OR(B366="",C366=""),"",IFERROR(INDEX(Vöruskrá!J:J,MATCH(B366,Vöruskrá!B:B,0))*C366/100000,""))</f>
        <v>34.92</v>
      </c>
      <c r="H366" s="169">
        <f>IF(OR(B366="",C366=""),"",IFERROR(INDEX(Vöruskrá!K:K,MATCH(B366,Vöruskrá!B:B,0))*C366/100000,""))</f>
        <v>3.88</v>
      </c>
      <c r="I366" s="169">
        <f>IF(OR(B366="",C366=""),"",IFERROR(INDEX(Vöruskrá!L:L,MATCH(B366,Vöruskrá!B:B,0))*C366/100000,""))</f>
        <v>0.27160000000000001</v>
      </c>
      <c r="J366" s="169">
        <f>IF(OR(B366="",C366=""),"",IFERROR(INDEX(Vöruskrá!M:M,MATCH(B366,Vöruskrá!B:B,0))*C366/100000,""))</f>
        <v>2.5219999999999998</v>
      </c>
      <c r="K366" s="169">
        <f>IF(OR(B366="",C366=""),"",IFERROR(INDEX(Vöruskrá!N:N,MATCH(B366,Vöruskrá!B:B,0))*C366/100000,""))</f>
        <v>1.0669999999999999</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201"/>
      <c r="R366" s="202"/>
    </row>
    <row r="367" spans="1:18" ht="48">
      <c r="A367" s="147" t="s">
        <v>1724</v>
      </c>
      <c r="B367" s="147"/>
      <c r="C367" s="148"/>
      <c r="D367" s="165" t="s">
        <v>1725</v>
      </c>
      <c r="E367" s="165" t="s">
        <v>621</v>
      </c>
      <c r="F367" s="165"/>
      <c r="G367" s="166">
        <v>120.69</v>
      </c>
      <c r="H367" s="166">
        <v>5.3</v>
      </c>
      <c r="I367" s="166">
        <v>0.42</v>
      </c>
      <c r="J367" s="166">
        <v>3.86</v>
      </c>
      <c r="K367" s="166"/>
      <c r="L367" s="166">
        <v>17.329999999999998</v>
      </c>
      <c r="M367" s="166">
        <v>1.1499999999999999</v>
      </c>
      <c r="N367" s="166">
        <f>IFERROR(SUM(N368:N375)/(SUM($C$368:$C$375)/100000),"")</f>
        <v>0.32550325503255034</v>
      </c>
      <c r="O367" s="167" t="str">
        <f>IF(OR(B367="",C367=""),"",IFERROR(C367/1000*INDEX(Vöruskrá!R:R,MATCH(B367,Vöruskrá!B:B,0))/1000,""))</f>
        <v/>
      </c>
      <c r="P367" s="196" t="s">
        <v>1726</v>
      </c>
      <c r="Q367" s="195" t="s">
        <v>1727</v>
      </c>
      <c r="R367" s="194" t="s">
        <v>1728</v>
      </c>
    </row>
    <row r="368" spans="1:18" ht="15">
      <c r="A368" s="171"/>
      <c r="B368" s="171" t="s">
        <v>926</v>
      </c>
      <c r="C368" s="172">
        <v>74419</v>
      </c>
      <c r="D368" s="168" t="s">
        <v>926</v>
      </c>
      <c r="E368" s="168" t="s">
        <v>621</v>
      </c>
      <c r="F368" s="168"/>
      <c r="G368" s="169">
        <f>IF(OR(B368="",C368=""),"",IFERROR(INDEX(Vöruskrá!J:J,MATCH(B368,Vöruskrá!B:B,0))*C368/100000,""))</f>
        <v>74.418999999999997</v>
      </c>
      <c r="H368" s="169">
        <f>IF(OR(B368="",C368=""),"",IFERROR(INDEX(Vöruskrá!K:K,MATCH(B368,Vöruskrá!B:B,0))*C368/100000,""))</f>
        <v>0.52093299999999998</v>
      </c>
      <c r="I368" s="169">
        <f>IF(OR(B368="",C368=""),"",IFERROR(INDEX(Vöruskrá!L:L,MATCH(B368,Vöruskrá!B:B,0))*C368/100000,""))</f>
        <v>7.4418999999999999E-2</v>
      </c>
      <c r="J368" s="169">
        <f>IF(OR(B368="",C368=""),"",IFERROR(INDEX(Vöruskrá!M:M,MATCH(B368,Vöruskrá!B:B,0))*C368/100000,""))</f>
        <v>0</v>
      </c>
      <c r="K368" s="169">
        <f>IF(OR(B368="",C368=""),"",IFERROR(INDEX(Vöruskrá!N:N,MATCH(B368,Vöruskrá!B:B,0))*C368/100000,""))</f>
        <v>0</v>
      </c>
      <c r="L368" s="169">
        <f>IF(OR(B368="",C368=""),"",IFERROR(INDEX(Vöruskrá!O:O,MATCH(B368,Vöruskrá!B:B,0))*C368/100000,""))</f>
        <v>17.11637</v>
      </c>
      <c r="M368" s="169">
        <f>IF(OR(B368="",C368=""),"",IFERROR(INDEX(Vöruskrá!P:P,MATCH(B368,Vöruskrá!B:B,0))*C368/100000,""))</f>
        <v>0.22325700000000001</v>
      </c>
      <c r="N368" s="169">
        <f>IF(OR(B368="",C368=""),"",IFERROR(INDEX(Vöruskrá!Q:Q,MATCH(B368,Vöruskrá!B:B,0))*C368/100000,""))</f>
        <v>0</v>
      </c>
      <c r="O368" s="170">
        <f>IF(OR(B368="",C368=""),"",IFERROR(C368/1000*INDEX(Vöruskrá!R:R,MATCH(B368,Vöruskrá!B:B,0))/1000,""))</f>
        <v>0</v>
      </c>
      <c r="P368" s="171"/>
      <c r="Q368" s="203"/>
      <c r="R368" s="204"/>
    </row>
    <row r="369" spans="1:18" ht="15">
      <c r="A369" s="173"/>
      <c r="B369" s="173" t="s">
        <v>1465</v>
      </c>
      <c r="C369" s="174">
        <v>4651</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1463</v>
      </c>
      <c r="C370" s="172">
        <v>4651</v>
      </c>
      <c r="D370" s="168"/>
      <c r="E370" s="168"/>
      <c r="F370" s="168"/>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1"/>
      <c r="Q370" s="157"/>
      <c r="R370" s="27"/>
    </row>
    <row r="371" spans="1:18" ht="15">
      <c r="A371" s="173"/>
      <c r="B371" s="173" t="s">
        <v>1466</v>
      </c>
      <c r="C371" s="174">
        <v>9302</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1026</v>
      </c>
      <c r="C372" s="172">
        <v>930</v>
      </c>
      <c r="D372" s="168" t="s">
        <v>1027</v>
      </c>
      <c r="E372" s="168" t="s">
        <v>134</v>
      </c>
      <c r="F372" s="168" t="s">
        <v>1024</v>
      </c>
      <c r="G372" s="169">
        <f>IF(OR(B372="",C372=""),"",IFERROR(INDEX(Vöruskrá!J:J,MATCH(B372,Vöruskrá!B:B,0))*C372/100000,""))</f>
        <v>2.6225999999999998</v>
      </c>
      <c r="H372" s="169">
        <f>IF(OR(B372="",C372=""),"",IFERROR(INDEX(Vöruskrá!K:K,MATCH(B372,Vöruskrá!B:B,0))*C372/100000,""))</f>
        <v>0.12089999999999999</v>
      </c>
      <c r="I372" s="169">
        <f>IF(OR(B372="",C372=""),"",IFERROR(INDEX(Vöruskrá!L:L,MATCH(B372,Vöruskrá!B:B,0))*C372/100000,""))</f>
        <v>1.8599999999999998E-2</v>
      </c>
      <c r="J372" s="169">
        <f>IF(OR(B372="",C372=""),"",IFERROR(INDEX(Vöruskrá!M:M,MATCH(B372,Vöruskrá!B:B,0))*C372/100000,""))</f>
        <v>0.50219999999999998</v>
      </c>
      <c r="K372" s="169">
        <f>IF(OR(B372="",C372=""),"",IFERROR(INDEX(Vöruskrá!N:N,MATCH(B372,Vöruskrá!B:B,0))*C372/100000,""))</f>
        <v>9.2999999999999999E-2</v>
      </c>
      <c r="L372" s="169">
        <f>IF(OR(B372="",C372=""),"",IFERROR(INDEX(Vöruskrá!O:O,MATCH(B372,Vöruskrá!B:B,0))*C372/100000,""))</f>
        <v>0.13020000000000001</v>
      </c>
      <c r="M372" s="169">
        <f>IF(OR(B372="",C372=""),"",IFERROR(INDEX(Vöruskrá!P:P,MATCH(B372,Vöruskrá!B:B,0))*C372/100000,""))</f>
        <v>9.3000000000000005E-4</v>
      </c>
      <c r="N372" s="169">
        <f>IF(OR(B372="",C372=""),"",IFERROR(INDEX(Vöruskrá!Q:Q,MATCH(B372,Vöruskrá!B:B,0))*C372/100000,""))</f>
        <v>0.32550000000000001</v>
      </c>
      <c r="O372" s="170">
        <f>IF(OR(B372="",C372=""),"",IFERROR(C372/1000*INDEX(Vöruskrá!R:R,MATCH(B372,Vöruskrá!B:B,0))/1000,""))</f>
        <v>0</v>
      </c>
      <c r="P372" s="171"/>
      <c r="Q372" s="157"/>
      <c r="R372" s="27"/>
    </row>
    <row r="373" spans="1:18" ht="15">
      <c r="A373" s="173"/>
      <c r="B373" s="173" t="s">
        <v>315</v>
      </c>
      <c r="C373" s="174">
        <v>465</v>
      </c>
      <c r="D373" s="168" t="s">
        <v>316</v>
      </c>
      <c r="E373" s="168" t="s">
        <v>134</v>
      </c>
      <c r="F373" s="168" t="s">
        <v>311</v>
      </c>
      <c r="G373" s="169">
        <f>IF(OR(B373="",C373=""),"",IFERROR(INDEX(Vöruskrá!J:J,MATCH(B373,Vöruskrá!B:B,0))*C373/100000,""))</f>
        <v>1.7902499999999999</v>
      </c>
      <c r="H373" s="169">
        <f>IF(OR(B373="",C373=""),"",IFERROR(INDEX(Vöruskrá!K:K,MATCH(B373,Vöruskrá!B:B,0))*C373/100000,""))</f>
        <v>3.7200000000000002E-3</v>
      </c>
      <c r="I373" s="169">
        <f>IF(OR(B373="",C373=""),"",IFERROR(INDEX(Vöruskrá!L:L,MATCH(B373,Vöruskrá!B:B,0))*C373/100000,""))</f>
        <v>4.6500000000000003E-4</v>
      </c>
      <c r="J373" s="169">
        <f>IF(OR(B373="",C373=""),"",IFERROR(INDEX(Vöruskrá!M:M,MATCH(B373,Vöruskrá!B:B,0))*C373/100000,""))</f>
        <v>0.33944999999999997</v>
      </c>
      <c r="K373" s="169">
        <f>IF(OR(B373="",C373=""),"",IFERROR(INDEX(Vöruskrá!N:N,MATCH(B373,Vöruskrá!B:B,0))*C373/100000,""))</f>
        <v>0.1116</v>
      </c>
      <c r="L373" s="169">
        <f>IF(OR(B373="",C373=""),"",IFERROR(INDEX(Vöruskrá!O:O,MATCH(B373,Vöruskrá!B:B,0))*C373/100000,""))</f>
        <v>7.9049999999999995E-2</v>
      </c>
      <c r="M373" s="169">
        <f>IF(OR(B373="",C373=""),"",IFERROR(INDEX(Vöruskrá!P:P,MATCH(B373,Vöruskrá!B:B,0))*C373/100000,""))</f>
        <v>4.6500000000000003E-4</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930</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0.93</v>
      </c>
      <c r="N374" s="169">
        <f>IF(OR(B374="",C374=""),"",IFERROR(INDEX(Vöruskrá!Q:Q,MATCH(B374,Vöruskrá!B:B,0))*C374/100000,""))</f>
        <v>0</v>
      </c>
      <c r="O374" s="170">
        <f>IF(OR(B374="",C374=""),"",IFERROR(C374/1000*INDEX(Vöruskrá!R:R,MATCH(B374,Vöruskrá!B:B,0))/1000,""))</f>
        <v>0</v>
      </c>
      <c r="P374" s="171"/>
      <c r="Q374" s="157"/>
      <c r="R374" s="27"/>
    </row>
    <row r="375" spans="1:18" ht="15">
      <c r="A375" s="173"/>
      <c r="B375" s="173" t="s">
        <v>1270</v>
      </c>
      <c r="C375" s="174">
        <v>4651</v>
      </c>
      <c r="D375" s="168" t="s">
        <v>1270</v>
      </c>
      <c r="E375" s="168" t="s">
        <v>134</v>
      </c>
      <c r="F375" s="168"/>
      <c r="G375" s="169">
        <f>IF(OR(B375="",C375=""),"",IFERROR(INDEX(Vöruskrá!J:J,MATCH(B375,Vöruskrá!B:B,0))*C375/100000,""))</f>
        <v>41.859000000000002</v>
      </c>
      <c r="H375" s="169">
        <f>IF(OR(B375="",C375=""),"",IFERROR(INDEX(Vöruskrá!K:K,MATCH(B375,Vöruskrá!B:B,0))*C375/100000,""))</f>
        <v>4.6509999999999998</v>
      </c>
      <c r="I375" s="169">
        <f>IF(OR(B375="",C375=""),"",IFERROR(INDEX(Vöruskrá!L:L,MATCH(B375,Vöruskrá!B:B,0))*C375/100000,""))</f>
        <v>0.32557000000000003</v>
      </c>
      <c r="J375" s="169">
        <f>IF(OR(B375="",C375=""),"",IFERROR(INDEX(Vöruskrá!M:M,MATCH(B375,Vöruskrá!B:B,0))*C375/100000,""))</f>
        <v>3.0231499999999998</v>
      </c>
      <c r="K375" s="169">
        <f>IF(OR(B375="",C375=""),"",IFERROR(INDEX(Vöruskrá!N:N,MATCH(B375,Vöruskrá!B:B,0))*C375/100000,""))</f>
        <v>1.2790250000000001</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3"/>
      <c r="Q375" s="200"/>
      <c r="R375" s="159"/>
    </row>
    <row r="376" spans="1:18" ht="60">
      <c r="A376" s="147" t="s">
        <v>1729</v>
      </c>
      <c r="B376" s="147"/>
      <c r="C376" s="148"/>
      <c r="D376" s="165" t="s">
        <v>1730</v>
      </c>
      <c r="E376" s="165" t="s">
        <v>1622</v>
      </c>
      <c r="F376" s="165"/>
      <c r="G376" s="166">
        <v>72.83</v>
      </c>
      <c r="H376" s="166">
        <v>2.0499999999999998</v>
      </c>
      <c r="I376" s="166">
        <v>1.06</v>
      </c>
      <c r="J376" s="166">
        <v>0.54</v>
      </c>
      <c r="K376" s="166"/>
      <c r="L376" s="166">
        <v>12.72</v>
      </c>
      <c r="M376" s="166">
        <v>1.5</v>
      </c>
      <c r="N376" s="166">
        <f>IFERROR(SUM(N377:N384)/(SUM($C$377:$C$384)/100000),"")</f>
        <v>0</v>
      </c>
      <c r="O376" s="167" t="str">
        <f>IF(OR(B376="",C376=""),"",IFERROR(C376/1000*INDEX(Vöruskrá!R:R,MATCH(B376,Vöruskrá!B:B,0))/1000,""))</f>
        <v/>
      </c>
      <c r="P376" s="196" t="s">
        <v>1731</v>
      </c>
      <c r="Q376" s="199" t="s">
        <v>1732</v>
      </c>
      <c r="R376" s="198" t="s">
        <v>1733</v>
      </c>
    </row>
    <row r="377" spans="1:18" ht="15">
      <c r="A377" s="171"/>
      <c r="B377" s="171" t="s">
        <v>926</v>
      </c>
      <c r="C377" s="172">
        <v>54397</v>
      </c>
      <c r="D377" s="168" t="s">
        <v>926</v>
      </c>
      <c r="E377" s="168" t="s">
        <v>621</v>
      </c>
      <c r="F377" s="168"/>
      <c r="G377" s="169">
        <f>IF(OR(B377="",C377=""),"",IFERROR(INDEX(Vöruskrá!J:J,MATCH(B377,Vöruskrá!B:B,0))*C377/100000,""))</f>
        <v>54.396999999999998</v>
      </c>
      <c r="H377" s="169">
        <f>IF(OR(B377="",C377=""),"",IFERROR(INDEX(Vöruskrá!K:K,MATCH(B377,Vöruskrá!B:B,0))*C377/100000,""))</f>
        <v>0.38077899999999992</v>
      </c>
      <c r="I377" s="169">
        <f>IF(OR(B377="",C377=""),"",IFERROR(INDEX(Vöruskrá!L:L,MATCH(B377,Vöruskrá!B:B,0))*C377/100000,""))</f>
        <v>5.4397000000000008E-2</v>
      </c>
      <c r="J377" s="169">
        <f>IF(OR(B377="",C377=""),"",IFERROR(INDEX(Vöruskrá!M:M,MATCH(B377,Vöruskrá!B:B,0))*C377/100000,""))</f>
        <v>0</v>
      </c>
      <c r="K377" s="169">
        <f>IF(OR(B377="",C377=""),"",IFERROR(INDEX(Vöruskrá!N:N,MATCH(B377,Vöruskrá!B:B,0))*C377/100000,""))</f>
        <v>0</v>
      </c>
      <c r="L377" s="169">
        <f>IF(OR(B377="",C377=""),"",IFERROR(INDEX(Vöruskrá!O:O,MATCH(B377,Vöruskrá!B:B,0))*C377/100000,""))</f>
        <v>12.51131</v>
      </c>
      <c r="M377" s="169">
        <f>IF(OR(B377="",C377=""),"",IFERROR(INDEX(Vöruskrá!P:P,MATCH(B377,Vöruskrá!B:B,0))*C377/100000,""))</f>
        <v>0.16319099999999997</v>
      </c>
      <c r="N377" s="169">
        <f>IF(OR(B377="",C377=""),"",IFERROR(INDEX(Vöruskrá!Q:Q,MATCH(B377,Vöruskrá!B:B,0))*C377/100000,""))</f>
        <v>0</v>
      </c>
      <c r="O377" s="170">
        <f>IF(OR(B377="",C377=""),"",IFERROR(C377/1000*INDEX(Vöruskrá!R:R,MATCH(B377,Vöruskrá!B:B,0))/1000,""))</f>
        <v>0</v>
      </c>
      <c r="P377" s="171"/>
      <c r="Q377" s="197"/>
      <c r="R377" s="164"/>
    </row>
    <row r="378" spans="1:18">
      <c r="A378" s="173"/>
      <c r="B378" s="173" t="s">
        <v>1734</v>
      </c>
      <c r="C378" s="174">
        <v>27199</v>
      </c>
      <c r="D378" s="168"/>
      <c r="E378" s="168"/>
      <c r="F378" s="168"/>
      <c r="G378" s="169" t="str">
        <f>IF(OR(B378="",C378=""),"",IFERROR(INDEX(Vöruskrá!J:J,MATCH(B378,Vöruskrá!B:B,0))*C378/100000,""))</f>
        <v/>
      </c>
      <c r="H378" s="169" t="str">
        <f>IF(OR(B378="",C378=""),"",IFERROR(INDEX(Vöruskrá!K:K,MATCH(B378,Vöruskrá!B:B,0))*C378/100000,""))</f>
        <v/>
      </c>
      <c r="I378" s="169" t="str">
        <f>IF(OR(B378="",C378=""),"",IFERROR(INDEX(Vöruskrá!L:L,MATCH(B378,Vöruskrá!B:B,0))*C378/100000,""))</f>
        <v/>
      </c>
      <c r="J378" s="169" t="str">
        <f>IF(OR(B378="",C378=""),"",IFERROR(INDEX(Vöruskrá!M:M,MATCH(B378,Vöruskrá!B:B,0))*C378/100000,""))</f>
        <v/>
      </c>
      <c r="K378" s="169" t="str">
        <f>IF(OR(B378="",C378=""),"",IFERROR(INDEX(Vöruskrá!N:N,MATCH(B378,Vöruskrá!B:B,0))*C378/100000,""))</f>
        <v/>
      </c>
      <c r="L378" s="169" t="str">
        <f>IF(OR(B378="",C378=""),"",IFERROR(INDEX(Vöruskrá!O:O,MATCH(B378,Vöruskrá!B:B,0))*C378/100000,""))</f>
        <v/>
      </c>
      <c r="M378" s="169" t="str">
        <f>IF(OR(B378="",C378=""),"",IFERROR(INDEX(Vöruskrá!P:P,MATCH(B378,Vöruskrá!B:B,0))*C378/100000,""))</f>
        <v/>
      </c>
      <c r="N378" s="169" t="str">
        <f>IF(OR(B378="",C378=""),"",IFERROR(INDEX(Vöruskrá!Q:Q,MATCH(B378,Vöruskrá!B:B,0))*C378/100000,""))</f>
        <v/>
      </c>
      <c r="O378" s="170" t="str">
        <f>IF(OR(B378="",C378=""),"",IFERROR(C378/1000*INDEX(Vöruskrá!R:R,MATCH(B378,Vöruskrá!B:B,0))/1000,""))</f>
        <v/>
      </c>
      <c r="P378" s="173"/>
      <c r="Q378" s="157"/>
      <c r="R378" s="27"/>
    </row>
    <row r="379" spans="1:18" ht="15">
      <c r="A379" s="171"/>
      <c r="B379" s="171" t="s">
        <v>1469</v>
      </c>
      <c r="C379" s="172">
        <v>9066</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158"/>
      <c r="R379" s="6"/>
    </row>
    <row r="380" spans="1:18" ht="15">
      <c r="A380" s="173"/>
      <c r="B380" s="173" t="s">
        <v>1058</v>
      </c>
      <c r="C380" s="174">
        <v>4533</v>
      </c>
      <c r="D380" s="168" t="s">
        <v>1059</v>
      </c>
      <c r="E380" s="168" t="s">
        <v>120</v>
      </c>
      <c r="F380" s="168"/>
      <c r="G380" s="169">
        <f>IF(OR(B380="",C380=""),"",IFERROR(INDEX(Vöruskrá!J:J,MATCH(B380,Vöruskrá!B:B,0))*C380/100000,""))</f>
        <v>15.4122</v>
      </c>
      <c r="H380" s="169">
        <f>IF(OR(B380="",C380=""),"",IFERROR(INDEX(Vöruskrá!K:K,MATCH(B380,Vöruskrá!B:B,0))*C380/100000,""))</f>
        <v>1.5865499999999999</v>
      </c>
      <c r="I380" s="169">
        <f>IF(OR(B380="",C380=""),"",IFERROR(INDEX(Vöruskrá!L:L,MATCH(B380,Vöruskrá!B:B,0))*C380/100000,""))</f>
        <v>0.99726000000000004</v>
      </c>
      <c r="J380" s="169">
        <f>IF(OR(B380="",C380=""),"",IFERROR(INDEX(Vöruskrá!M:M,MATCH(B380,Vöruskrá!B:B,0))*C380/100000,""))</f>
        <v>0.13599</v>
      </c>
      <c r="K380" s="169">
        <f>IF(OR(B380="",C380=""),"",IFERROR(INDEX(Vöruskrá!N:N,MATCH(B380,Vöruskrá!B:B,0))*C380/100000,""))</f>
        <v>0.13599</v>
      </c>
      <c r="L380" s="169">
        <f>IF(OR(B380="",C380=""),"",IFERROR(INDEX(Vöruskrá!O:O,MATCH(B380,Vöruskrá!B:B,0))*C380/100000,""))</f>
        <v>0.113325</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157"/>
      <c r="R380" s="27"/>
    </row>
    <row r="381" spans="1:18" ht="15">
      <c r="A381" s="171"/>
      <c r="B381" s="171" t="s">
        <v>1470</v>
      </c>
      <c r="C381" s="172">
        <v>1813</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8"/>
      <c r="R381" s="6"/>
    </row>
    <row r="382" spans="1:18" ht="15">
      <c r="A382" s="173"/>
      <c r="B382" s="173" t="s">
        <v>489</v>
      </c>
      <c r="C382" s="174">
        <v>1360</v>
      </c>
      <c r="D382" s="168" t="s">
        <v>490</v>
      </c>
      <c r="E382" s="168" t="s">
        <v>134</v>
      </c>
      <c r="F382" s="168" t="s">
        <v>311</v>
      </c>
      <c r="G382" s="169">
        <f>IF(OR(B382="",C382=""),"",IFERROR(INDEX(Vöruskrá!J:J,MATCH(B382,Vöruskrá!B:B,0))*C382/100000,""))</f>
        <v>3.0192000000000001</v>
      </c>
      <c r="H382" s="169">
        <f>IF(OR(B382="",C382=""),"",IFERROR(INDEX(Vöruskrá!K:K,MATCH(B382,Vöruskrá!B:B,0))*C382/100000,""))</f>
        <v>8.1600000000000006E-2</v>
      </c>
      <c r="I382" s="169">
        <f>IF(OR(B382="",C382=""),"",IFERROR(INDEX(Vöruskrá!L:L,MATCH(B382,Vöruskrá!B:B,0))*C382/100000,""))</f>
        <v>1.2239999999999999E-2</v>
      </c>
      <c r="J382" s="169">
        <f>IF(OR(B382="",C382=""),"",IFERROR(INDEX(Vöruskrá!M:M,MATCH(B382,Vöruskrá!B:B,0))*C382/100000,""))</f>
        <v>0.40799999999999997</v>
      </c>
      <c r="K382" s="169">
        <f>IF(OR(B382="",C382=""),"",IFERROR(INDEX(Vöruskrá!N:N,MATCH(B382,Vöruskrá!B:B,0))*C382/100000,""))</f>
        <v>6.2559999999999991E-2</v>
      </c>
      <c r="L382" s="169">
        <f>IF(OR(B382="",C382=""),"",IFERROR(INDEX(Vöruskrá!O:O,MATCH(B382,Vöruskrá!B:B,0))*C382/100000,""))</f>
        <v>9.6560000000000007E-2</v>
      </c>
      <c r="M382" s="169">
        <f>IF(OR(B382="",C382=""),"",IFERROR(INDEX(Vöruskrá!P:P,MATCH(B382,Vöruskrá!B:B,0))*C382/100000,""))</f>
        <v>0.61199999999999999</v>
      </c>
      <c r="N382" s="169">
        <f>IF(OR(B382="",C382=""),"",IFERROR(INDEX(Vöruskrá!Q:Q,MATCH(B382,Vöruskrá!B:B,0))*C382/100000,""))</f>
        <v>0</v>
      </c>
      <c r="O382" s="170">
        <f>IF(OR(B382="",C382=""),"",IFERROR(C382/1000*INDEX(Vöruskrá!R:R,MATCH(B382,Vöruskrá!B:B,0))/1000,""))</f>
        <v>0</v>
      </c>
      <c r="P382" s="173"/>
      <c r="Q382" s="157"/>
      <c r="R382" s="27"/>
    </row>
    <row r="383" spans="1:18" ht="15">
      <c r="A383" s="171"/>
      <c r="B383" s="171" t="s">
        <v>299</v>
      </c>
      <c r="C383" s="172">
        <v>725</v>
      </c>
      <c r="D383" s="168" t="s">
        <v>302</v>
      </c>
      <c r="E383" s="168" t="s">
        <v>134</v>
      </c>
      <c r="F383" s="168" t="s">
        <v>303</v>
      </c>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0.72499999999999998</v>
      </c>
      <c r="N383" s="169">
        <f>IF(OR(B383="",C383=""),"",IFERROR(INDEX(Vöruskrá!Q:Q,MATCH(B383,Vöruskrá!B:B,0))*C383/100000,""))</f>
        <v>0</v>
      </c>
      <c r="O383" s="170">
        <f>IF(OR(B383="",C383=""),"",IFERROR(C383/1000*INDEX(Vöruskrá!R:R,MATCH(B383,Vöruskrá!B:B,0))/1000,""))</f>
        <v>0</v>
      </c>
      <c r="P383" s="171"/>
      <c r="Q383" s="158"/>
      <c r="R383" s="6"/>
    </row>
    <row r="384" spans="1:18" ht="15">
      <c r="A384" s="173"/>
      <c r="B384" s="173" t="s">
        <v>1471</v>
      </c>
      <c r="C384" s="174">
        <v>907</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3"/>
      <c r="Q384" s="201"/>
      <c r="R384" s="202"/>
    </row>
    <row r="385" spans="1:18" ht="48">
      <c r="A385" s="147" t="s">
        <v>1735</v>
      </c>
      <c r="B385" s="147"/>
      <c r="C385" s="148"/>
      <c r="D385" s="165" t="s">
        <v>1687</v>
      </c>
      <c r="E385" s="165" t="s">
        <v>1622</v>
      </c>
      <c r="F385" s="165"/>
      <c r="G385" s="166">
        <v>121.08</v>
      </c>
      <c r="H385" s="166">
        <v>5.43</v>
      </c>
      <c r="I385" s="166">
        <v>0.51</v>
      </c>
      <c r="J385" s="166">
        <v>3.29</v>
      </c>
      <c r="K385" s="166"/>
      <c r="L385" s="166">
        <v>17.510000000000002</v>
      </c>
      <c r="M385" s="166">
        <v>0.99</v>
      </c>
      <c r="N385" s="166">
        <f>IFERROR(SUM(N386:N392)/(SUM($C$386:$C$392)/100000),"")</f>
        <v>0</v>
      </c>
      <c r="O385" s="167" t="str">
        <f>IF(OR(B385="",C385=""),"",IFERROR(C385/1000*INDEX(Vöruskrá!R:R,MATCH(B385,Vöruskrá!B:B,0))/1000,""))</f>
        <v/>
      </c>
      <c r="P385" s="196" t="s">
        <v>1736</v>
      </c>
      <c r="Q385" s="195" t="s">
        <v>1737</v>
      </c>
      <c r="R385" s="194" t="s">
        <v>1738</v>
      </c>
    </row>
    <row r="386" spans="1:18" ht="15">
      <c r="A386" s="171"/>
      <c r="B386" s="171" t="s">
        <v>926</v>
      </c>
      <c r="C386" s="172">
        <v>75472</v>
      </c>
      <c r="D386" s="168" t="s">
        <v>926</v>
      </c>
      <c r="E386" s="168" t="s">
        <v>621</v>
      </c>
      <c r="F386" s="168"/>
      <c r="G386" s="169">
        <f>IF(OR(B386="",C386=""),"",IFERROR(INDEX(Vöruskrá!J:J,MATCH(B386,Vöruskrá!B:B,0))*C386/100000,""))</f>
        <v>75.471999999999994</v>
      </c>
      <c r="H386" s="169">
        <f>IF(OR(B386="",C386=""),"",IFERROR(INDEX(Vöruskrá!K:K,MATCH(B386,Vöruskrá!B:B,0))*C386/100000,""))</f>
        <v>0.528304</v>
      </c>
      <c r="I386" s="169">
        <f>IF(OR(B386="",C386=""),"",IFERROR(INDEX(Vöruskrá!L:L,MATCH(B386,Vöruskrá!B:B,0))*C386/100000,""))</f>
        <v>7.5472000000000011E-2</v>
      </c>
      <c r="J386" s="169">
        <f>IF(OR(B386="",C386=""),"",IFERROR(INDEX(Vöruskrá!M:M,MATCH(B386,Vöruskrá!B:B,0))*C386/100000,""))</f>
        <v>0</v>
      </c>
      <c r="K386" s="169">
        <f>IF(OR(B386="",C386=""),"",IFERROR(INDEX(Vöruskrá!N:N,MATCH(B386,Vöruskrá!B:B,0))*C386/100000,""))</f>
        <v>0</v>
      </c>
      <c r="L386" s="169">
        <f>IF(OR(B386="",C386=""),"",IFERROR(INDEX(Vöruskrá!O:O,MATCH(B386,Vöruskrá!B:B,0))*C386/100000,""))</f>
        <v>17.358560000000001</v>
      </c>
      <c r="M386" s="169">
        <f>IF(OR(B386="",C386=""),"",IFERROR(INDEX(Vöruskrá!P:P,MATCH(B386,Vöruskrá!B:B,0))*C386/100000,""))</f>
        <v>0.22641599999999998</v>
      </c>
      <c r="N386" s="169">
        <f>IF(OR(B386="",C386=""),"",IFERROR(INDEX(Vöruskrá!Q:Q,MATCH(B386,Vöruskrá!B:B,0))*C386/100000,""))</f>
        <v>0</v>
      </c>
      <c r="O386" s="170">
        <f>IF(OR(B386="",C386=""),"",IFERROR(C386/1000*INDEX(Vöruskrá!R:R,MATCH(B386,Vöruskrá!B:B,0))/1000,""))</f>
        <v>0</v>
      </c>
      <c r="P386" s="171"/>
      <c r="Q386" s="203"/>
      <c r="R386" s="204"/>
    </row>
    <row r="387" spans="1:18" ht="15">
      <c r="A387" s="173"/>
      <c r="B387" s="173" t="s">
        <v>1465</v>
      </c>
      <c r="C387" s="174">
        <v>9434</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1463</v>
      </c>
      <c r="C388" s="172">
        <v>4717</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849</v>
      </c>
      <c r="C389" s="174">
        <v>4717</v>
      </c>
      <c r="D389" s="168" t="s">
        <v>850</v>
      </c>
      <c r="E389" s="168" t="s">
        <v>120</v>
      </c>
      <c r="F389" s="168"/>
      <c r="G389" s="169">
        <f>IF(OR(B389="",C389=""),"",IFERROR(INDEX(Vöruskrá!J:J,MATCH(B389,Vöruskrá!B:B,0))*C389/100000,""))</f>
        <v>3.16039</v>
      </c>
      <c r="H389" s="169">
        <f>IF(OR(B389="",C389=""),"",IFERROR(INDEX(Vöruskrá!K:K,MATCH(B389,Vöruskrá!B:B,0))*C389/100000,""))</f>
        <v>0.18396299999999999</v>
      </c>
      <c r="I389" s="169">
        <f>IF(OR(B389="",C389=""),"",IFERROR(INDEX(Vöruskrá!L:L,MATCH(B389,Vöruskrá!B:B,0))*C389/100000,""))</f>
        <v>0.10849099999999999</v>
      </c>
      <c r="J389" s="169">
        <f>IF(OR(B389="",C389=""),"",IFERROR(INDEX(Vöruskrá!M:M,MATCH(B389,Vöruskrá!B:B,0))*C389/100000,""))</f>
        <v>0.22169900000000001</v>
      </c>
      <c r="K389" s="169">
        <f>IF(OR(B389="",C389=""),"",IFERROR(INDEX(Vöruskrá!N:N,MATCH(B389,Vöruskrá!B:B,0))*C389/100000,""))</f>
        <v>0.22169900000000001</v>
      </c>
      <c r="L389" s="169">
        <f>IF(OR(B389="",C389=""),"",IFERROR(INDEX(Vöruskrá!O:O,MATCH(B389,Vöruskrá!B:B,0))*C389/100000,""))</f>
        <v>0.15566099999999999</v>
      </c>
      <c r="M389" s="169">
        <f>IF(OR(B389="",C389=""),"",IFERROR(INDEX(Vöruskrá!P:P,MATCH(B389,Vöruskrá!B:B,0))*C389/100000,""))</f>
        <v>4.7170000000000007E-3</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1472</v>
      </c>
      <c r="C390" s="172">
        <v>189</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299</v>
      </c>
      <c r="C391" s="174">
        <v>755</v>
      </c>
      <c r="D391" s="168" t="s">
        <v>302</v>
      </c>
      <c r="E391" s="168" t="s">
        <v>134</v>
      </c>
      <c r="F391" s="168" t="s">
        <v>303</v>
      </c>
      <c r="G391" s="169">
        <f>IF(OR(B391="",C391=""),"",IFERROR(INDEX(Vöruskrá!J:J,MATCH(B391,Vöruskrá!B:B,0))*C391/100000,""))</f>
        <v>0</v>
      </c>
      <c r="H391" s="169">
        <f>IF(OR(B391="",C391=""),"",IFERROR(INDEX(Vöruskrá!K:K,MATCH(B391,Vöruskrá!B:B,0))*C391/100000,""))</f>
        <v>0</v>
      </c>
      <c r="I391" s="169">
        <f>IF(OR(B391="",C391=""),"",IFERROR(INDEX(Vöruskrá!L:L,MATCH(B391,Vöruskrá!B:B,0))*C391/100000,""))</f>
        <v>0</v>
      </c>
      <c r="J391" s="169">
        <f>IF(OR(B391="",C391=""),"",IFERROR(INDEX(Vöruskrá!M:M,MATCH(B391,Vöruskrá!B:B,0))*C391/100000,""))</f>
        <v>0</v>
      </c>
      <c r="K391" s="169">
        <f>IF(OR(B391="",C391=""),"",IFERROR(INDEX(Vöruskrá!N:N,MATCH(B391,Vöruskrá!B:B,0))*C391/100000,""))</f>
        <v>0</v>
      </c>
      <c r="L391" s="169">
        <f>IF(OR(B391="",C391=""),"",IFERROR(INDEX(Vöruskrá!O:O,MATCH(B391,Vöruskrá!B:B,0))*C391/100000,""))</f>
        <v>0</v>
      </c>
      <c r="M391" s="169">
        <f>IF(OR(B391="",C391=""),"",IFERROR(INDEX(Vöruskrá!P:P,MATCH(B391,Vöruskrá!B:B,0))*C391/100000,""))</f>
        <v>0.755</v>
      </c>
      <c r="N391" s="169">
        <f>IF(OR(B391="",C391=""),"",IFERROR(INDEX(Vöruskrá!Q:Q,MATCH(B391,Vöruskrá!B:B,0))*C391/100000,""))</f>
        <v>0</v>
      </c>
      <c r="O391" s="170">
        <f>IF(OR(B391="",C391=""),"",IFERROR(C391/1000*INDEX(Vöruskrá!R:R,MATCH(B391,Vöruskrá!B:B,0))/1000,""))</f>
        <v>0</v>
      </c>
      <c r="P391" s="173"/>
      <c r="Q391" s="158"/>
      <c r="R391" s="6"/>
    </row>
    <row r="392" spans="1:18" ht="15">
      <c r="A392" s="171"/>
      <c r="B392" s="171" t="s">
        <v>1270</v>
      </c>
      <c r="C392" s="172">
        <v>4717</v>
      </c>
      <c r="D392" s="168" t="s">
        <v>1270</v>
      </c>
      <c r="E392" s="168" t="s">
        <v>134</v>
      </c>
      <c r="F392" s="168"/>
      <c r="G392" s="169">
        <f>IF(OR(B392="",C392=""),"",IFERROR(INDEX(Vöruskrá!J:J,MATCH(B392,Vöruskrá!B:B,0))*C392/100000,""))</f>
        <v>42.453000000000003</v>
      </c>
      <c r="H392" s="169">
        <f>IF(OR(B392="",C392=""),"",IFERROR(INDEX(Vöruskrá!K:K,MATCH(B392,Vöruskrá!B:B,0))*C392/100000,""))</f>
        <v>4.7169999999999996</v>
      </c>
      <c r="I392" s="169">
        <f>IF(OR(B392="",C392=""),"",IFERROR(INDEX(Vöruskrá!L:L,MATCH(B392,Vöruskrá!B:B,0))*C392/100000,""))</f>
        <v>0.33018999999999998</v>
      </c>
      <c r="J392" s="169">
        <f>IF(OR(B392="",C392=""),"",IFERROR(INDEX(Vöruskrá!M:M,MATCH(B392,Vöruskrá!B:B,0))*C392/100000,""))</f>
        <v>3.0660500000000002</v>
      </c>
      <c r="K392" s="169">
        <f>IF(OR(B392="",C392=""),"",IFERROR(INDEX(Vöruskrá!N:N,MATCH(B392,Vöruskrá!B:B,0))*C392/100000,""))</f>
        <v>1.297175</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201"/>
      <c r="R392" s="202"/>
    </row>
    <row r="393" spans="1:18" ht="48">
      <c r="A393" s="147" t="s">
        <v>1739</v>
      </c>
      <c r="B393" s="147"/>
      <c r="C393" s="148"/>
      <c r="D393" s="165" t="s">
        <v>1740</v>
      </c>
      <c r="E393" s="165" t="s">
        <v>120</v>
      </c>
      <c r="F393" s="165"/>
      <c r="G393" s="166">
        <v>41.29</v>
      </c>
      <c r="H393" s="166">
        <v>3.73</v>
      </c>
      <c r="I393" s="166">
        <v>2.19</v>
      </c>
      <c r="J393" s="166">
        <v>1.68</v>
      </c>
      <c r="K393" s="166"/>
      <c r="L393" s="166">
        <v>0.5</v>
      </c>
      <c r="M393" s="166">
        <v>0.94</v>
      </c>
      <c r="N393" s="166">
        <f>IFERROR(SUM(N394:N400)/(SUM($C$394:$C$400)/100000),"")</f>
        <v>0.34298657013429867</v>
      </c>
      <c r="O393" s="167" t="str">
        <f>IF(OR(B393="",C393=""),"",IFERROR(C393/1000*INDEX(Vöruskrá!R:R,MATCH(B393,Vöruskrá!B:B,0))/1000,""))</f>
        <v/>
      </c>
      <c r="P393" s="196" t="s">
        <v>1741</v>
      </c>
      <c r="Q393" s="199" t="s">
        <v>1742</v>
      </c>
      <c r="R393" s="198" t="s">
        <v>1743</v>
      </c>
    </row>
    <row r="394" spans="1:18" ht="15">
      <c r="A394" s="171"/>
      <c r="B394" s="171" t="s">
        <v>1473</v>
      </c>
      <c r="C394" s="172">
        <v>88790</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203"/>
      <c r="R394" s="204"/>
    </row>
    <row r="395" spans="1:18" ht="15">
      <c r="A395" s="173"/>
      <c r="B395" s="173" t="s">
        <v>1017</v>
      </c>
      <c r="C395" s="174">
        <v>2220</v>
      </c>
      <c r="D395" s="168" t="s">
        <v>1017</v>
      </c>
      <c r="E395" s="168" t="s">
        <v>134</v>
      </c>
      <c r="F395" s="168"/>
      <c r="G395" s="169">
        <f>IF(OR(B395="",C395=""),"",IFERROR(INDEX(Vöruskrá!J:J,MATCH(B395,Vöruskrá!B:B,0))*C395/100000,""))</f>
        <v>3.3077999999999999</v>
      </c>
      <c r="H395" s="169">
        <f>IF(OR(B395="",C395=""),"",IFERROR(INDEX(Vöruskrá!K:K,MATCH(B395,Vöruskrá!B:B,0))*C395/100000,""))</f>
        <v>1.11E-2</v>
      </c>
      <c r="I395" s="169">
        <f>IF(OR(B395="",C395=""),"",IFERROR(INDEX(Vöruskrá!L:L,MATCH(B395,Vöruskrá!B:B,0))*C395/100000,""))</f>
        <v>2.2200000000000002E-3</v>
      </c>
      <c r="J395" s="169">
        <f>IF(OR(B395="",C395=""),"",IFERROR(INDEX(Vöruskrá!M:M,MATCH(B395,Vöruskrá!B:B,0))*C395/100000,""))</f>
        <v>0.73482000000000003</v>
      </c>
      <c r="K395" s="169">
        <f>IF(OR(B395="",C395=""),"",IFERROR(INDEX(Vöruskrá!N:N,MATCH(B395,Vöruskrá!B:B,0))*C395/100000,""))</f>
        <v>2.2200000000000001E-2</v>
      </c>
      <c r="L395" s="169">
        <f>IF(OR(B395="",C395=""),"",IFERROR(INDEX(Vöruskrá!O:O,MATCH(B395,Vöruskrá!B:B,0))*C395/100000,""))</f>
        <v>0.14208000000000001</v>
      </c>
      <c r="M395" s="169">
        <f>IF(OR(B395="",C395=""),"",IFERROR(INDEX(Vöruskrá!P:P,MATCH(B395,Vöruskrá!B:B,0))*C395/100000,""))</f>
        <v>0</v>
      </c>
      <c r="N395" s="169">
        <f>IF(OR(B395="",C395=""),"",IFERROR(INDEX(Vöruskrá!Q:Q,MATCH(B395,Vöruskrá!B:B,0))*C395/100000,""))</f>
        <v>4.6620000000000002E-2</v>
      </c>
      <c r="O395" s="170">
        <f>IF(OR(B395="",C395=""),"",IFERROR(C395/1000*INDEX(Vöruskrá!R:R,MATCH(B395,Vöruskrá!B:B,0))/1000,""))</f>
        <v>0</v>
      </c>
      <c r="P395" s="173"/>
      <c r="Q395" s="158"/>
      <c r="R395" s="6"/>
    </row>
    <row r="396" spans="1:18" ht="15">
      <c r="A396" s="171"/>
      <c r="B396" s="171" t="s">
        <v>445</v>
      </c>
      <c r="C396" s="172">
        <v>4440</v>
      </c>
      <c r="D396" s="168" t="s">
        <v>448</v>
      </c>
      <c r="E396" s="168" t="s">
        <v>120</v>
      </c>
      <c r="F396" s="168"/>
      <c r="G396" s="169">
        <f>IF(OR(B396="",C396=""),"",IFERROR(INDEX(Vöruskrá!J:J,MATCH(B396,Vöruskrá!B:B,0))*C396/100000,""))</f>
        <v>32.767200000000003</v>
      </c>
      <c r="H396" s="169">
        <f>IF(OR(B396="",C396=""),"",IFERROR(INDEX(Vöruskrá!K:K,MATCH(B396,Vöruskrá!B:B,0))*C396/100000,""))</f>
        <v>3.6408</v>
      </c>
      <c r="I396" s="169">
        <f>IF(OR(B396="",C396=""),"",IFERROR(INDEX(Vöruskrá!L:L,MATCH(B396,Vöruskrá!B:B,0))*C396/100000,""))</f>
        <v>2.1756000000000002</v>
      </c>
      <c r="J396" s="169">
        <f>IF(OR(B396="",C396=""),"",IFERROR(INDEX(Vöruskrá!M:M,MATCH(B396,Vöruskrá!B:B,0))*C396/100000,""))</f>
        <v>1.7760000000000001E-2</v>
      </c>
      <c r="K396" s="169">
        <f>IF(OR(B396="",C396=""),"",IFERROR(INDEX(Vöruskrá!N:N,MATCH(B396,Vöruskrá!B:B,0))*C396/100000,""))</f>
        <v>1.7760000000000001E-2</v>
      </c>
      <c r="L396" s="169">
        <f>IF(OR(B396="",C396=""),"",IFERROR(INDEX(Vöruskrá!O:O,MATCH(B396,Vöruskrá!B:B,0))*C396/100000,""))</f>
        <v>2.664E-2</v>
      </c>
      <c r="M396" s="169">
        <f>IF(OR(B396="",C396=""),"",IFERROR(INDEX(Vöruskrá!P:P,MATCH(B396,Vöruskrá!B:B,0))*C396/100000,""))</f>
        <v>5.3280000000000001E-2</v>
      </c>
      <c r="N396" s="169">
        <f>IF(OR(B396="",C396=""),"",IFERROR(INDEX(Vöruskrá!Q:Q,MATCH(B396,Vöruskrá!B:B,0))*C396/100000,""))</f>
        <v>0</v>
      </c>
      <c r="O396" s="170">
        <f>IF(OR(B396="",C396=""),"",IFERROR(C396/1000*INDEX(Vöruskrá!R:R,MATCH(B396,Vöruskrá!B:B,0))/1000,""))</f>
        <v>0</v>
      </c>
      <c r="P396" s="171"/>
      <c r="Q396" s="157"/>
      <c r="R396" s="27"/>
    </row>
    <row r="397" spans="1:18" ht="15">
      <c r="A397" s="173"/>
      <c r="B397" s="173" t="s">
        <v>833</v>
      </c>
      <c r="C397" s="174">
        <v>2220</v>
      </c>
      <c r="D397" s="168" t="s">
        <v>835</v>
      </c>
      <c r="E397" s="168"/>
      <c r="F397" s="168"/>
      <c r="G397" s="169">
        <f>IF(OR(B397="",C397=""),"",IFERROR(INDEX(Vöruskrá!J:J,MATCH(B397,Vöruskrá!B:B,0))*C397/100000,""))</f>
        <v>0.68820000000000003</v>
      </c>
      <c r="H397" s="169">
        <f>IF(OR(B397="",C397=""),"",IFERROR(INDEX(Vöruskrá!K:K,MATCH(B397,Vöruskrá!B:B,0))*C397/100000,""))</f>
        <v>4.4400000000000004E-3</v>
      </c>
      <c r="I397" s="169">
        <f>IF(OR(B397="",C397=""),"",IFERROR(INDEX(Vöruskrá!L:L,MATCH(B397,Vöruskrá!B:B,0))*C397/100000,""))</f>
        <v>0</v>
      </c>
      <c r="J397" s="169">
        <f>IF(OR(B397="",C397=""),"",IFERROR(INDEX(Vöruskrá!M:M,MATCH(B397,Vöruskrá!B:B,0))*C397/100000,""))</f>
        <v>0.15318000000000001</v>
      </c>
      <c r="K397" s="169">
        <f>IF(OR(B397="",C397=""),"",IFERROR(INDEX(Vöruskrá!N:N,MATCH(B397,Vöruskrá!B:B,0))*C397/100000,""))</f>
        <v>5.3280000000000001E-2</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1030</v>
      </c>
      <c r="C398" s="172">
        <v>1110</v>
      </c>
      <c r="D398" s="168" t="s">
        <v>1032</v>
      </c>
      <c r="E398" s="168" t="s">
        <v>134</v>
      </c>
      <c r="F398" s="168" t="s">
        <v>1024</v>
      </c>
      <c r="G398" s="169">
        <f>IF(OR(B398="",C398=""),"",IFERROR(INDEX(Vöruskrá!J:J,MATCH(B398,Vöruskrá!B:B,0))*C398/100000,""))</f>
        <v>3.2412000000000001</v>
      </c>
      <c r="H398" s="169">
        <f>IF(OR(B398="",C398=""),"",IFERROR(INDEX(Vöruskrá!K:K,MATCH(B398,Vöruskrá!B:B,0))*C398/100000,""))</f>
        <v>6.105E-2</v>
      </c>
      <c r="I398" s="169">
        <f>IF(OR(B398="",C398=""),"",IFERROR(INDEX(Vöruskrá!L:L,MATCH(B398,Vöruskrá!B:B,0))*C398/100000,""))</f>
        <v>9.9900000000000006E-3</v>
      </c>
      <c r="J398" s="169">
        <f>IF(OR(B398="",C398=""),"",IFERROR(INDEX(Vöruskrá!M:M,MATCH(B398,Vöruskrá!B:B,0))*C398/100000,""))</f>
        <v>0.55500000000000005</v>
      </c>
      <c r="K398" s="169">
        <f>IF(OR(B398="",C398=""),"",IFERROR(INDEX(Vöruskrá!N:N,MATCH(B398,Vöruskrá!B:B,0))*C398/100000,""))</f>
        <v>4.4400000000000002E-2</v>
      </c>
      <c r="L398" s="169">
        <f>IF(OR(B398="",C398=""),"",IFERROR(INDEX(Vöruskrá!O:O,MATCH(B398,Vöruskrá!B:B,0))*C398/100000,""))</f>
        <v>0.29526000000000002</v>
      </c>
      <c r="M398" s="169">
        <f>IF(OR(B398="",C398=""),"",IFERROR(INDEX(Vöruskrá!P:P,MATCH(B398,Vöruskrá!B:B,0))*C398/100000,""))</f>
        <v>1.1100000000000001E-3</v>
      </c>
      <c r="N398" s="169">
        <f>IF(OR(B398="",C398=""),"",IFERROR(INDEX(Vöruskrá!Q:Q,MATCH(B398,Vöruskrá!B:B,0))*C398/100000,""))</f>
        <v>0.29637000000000002</v>
      </c>
      <c r="O398" s="170">
        <f>IF(OR(B398="",C398=""),"",IFERROR(C398/1000*INDEX(Vöruskrá!R:R,MATCH(B398,Vöruskrá!B:B,0))/1000,""))</f>
        <v>0</v>
      </c>
      <c r="P398" s="171"/>
      <c r="Q398" s="157"/>
      <c r="R398" s="27"/>
    </row>
    <row r="399" spans="1:18" ht="15">
      <c r="A399" s="173"/>
      <c r="B399" s="173" t="s">
        <v>299</v>
      </c>
      <c r="C399" s="174">
        <v>888</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0.88800000000000001</v>
      </c>
      <c r="N399" s="169">
        <f>IF(OR(B399="",C399=""),"",IFERROR(INDEX(Vöruskrá!Q:Q,MATCH(B399,Vöruskrá!B:B,0))*C399/100000,""))</f>
        <v>0</v>
      </c>
      <c r="O399" s="170">
        <f>IF(OR(B399="",C399=""),"",IFERROR(C399/1000*INDEX(Vöruskrá!R:R,MATCH(B399,Vöruskrá!B:B,0))/1000,""))</f>
        <v>0</v>
      </c>
      <c r="P399" s="173"/>
      <c r="Q399" s="158"/>
      <c r="R399" s="6"/>
    </row>
    <row r="400" spans="1:18" ht="15">
      <c r="A400" s="175"/>
      <c r="B400" s="175" t="s">
        <v>819</v>
      </c>
      <c r="C400" s="176">
        <v>333</v>
      </c>
      <c r="D400" s="177" t="s">
        <v>820</v>
      </c>
      <c r="E400" s="177"/>
      <c r="F400" s="177" t="s">
        <v>311</v>
      </c>
      <c r="G400" s="178">
        <f>IF(OR(B400="",C400=""),"",IFERROR(INDEX(Vöruskrá!J:J,MATCH(B400,Vöruskrá!B:B,0))*C400/100000,""))</f>
        <v>1.28538</v>
      </c>
      <c r="H400" s="178">
        <f>IF(OR(B400="",C400=""),"",IFERROR(INDEX(Vöruskrá!K:K,MATCH(B400,Vöruskrá!B:B,0))*C400/100000,""))</f>
        <v>1.0988999999999999E-2</v>
      </c>
      <c r="I400" s="178">
        <f>IF(OR(B400="",C400=""),"",IFERROR(INDEX(Vöruskrá!L:L,MATCH(B400,Vöruskrá!B:B,0))*C400/100000,""))</f>
        <v>3.3300000000000001E-3</v>
      </c>
      <c r="J400" s="178">
        <f>IF(OR(B400="",C400=""),"",IFERROR(INDEX(Vöruskrá!M:M,MATCH(B400,Vöruskrá!B:B,0))*C400/100000,""))</f>
        <v>0.21645</v>
      </c>
      <c r="K400" s="178">
        <f>IF(OR(B400="",C400=""),"",IFERROR(INDEX(Vöruskrá!N:N,MATCH(B400,Vöruskrá!B:B,0))*C400/100000,""))</f>
        <v>1.9979999999999998E-3</v>
      </c>
      <c r="L400" s="178">
        <f>IF(OR(B400="",C400=""),"",IFERROR(INDEX(Vöruskrá!O:O,MATCH(B400,Vöruskrá!B:B,0))*C400/100000,""))</f>
        <v>3.6630000000000003E-2</v>
      </c>
      <c r="M400" s="178">
        <f>IF(OR(B400="",C400=""),"",IFERROR(INDEX(Vöruskrá!P:P,MATCH(B400,Vöruskrá!B:B,0))*C400/100000,""))</f>
        <v>3.3300000000000002E-4</v>
      </c>
      <c r="N400" s="178">
        <f>IF(OR(B400="",C400=""),"",IFERROR(INDEX(Vöruskrá!Q:Q,MATCH(B400,Vöruskrá!B:B,0))*C400/100000,""))</f>
        <v>0</v>
      </c>
      <c r="O400" s="179">
        <f>IF(OR(B400="",C400=""),"",IFERROR(C400/1000*INDEX(Vöruskrá!R:R,MATCH(B400,Vöruskrá!B:B,0))/1000,""))</f>
        <v>0</v>
      </c>
      <c r="P400" s="175"/>
      <c r="Q400" s="201"/>
      <c r="R400" s="202"/>
    </row>
    <row r="401" spans="1:18" ht="48">
      <c r="A401" s="147" t="s">
        <v>1744</v>
      </c>
      <c r="B401" s="147"/>
      <c r="C401" s="148"/>
      <c r="D401" s="165" t="s">
        <v>1745</v>
      </c>
      <c r="E401" s="165" t="s">
        <v>120</v>
      </c>
      <c r="F401" s="165"/>
      <c r="G401" s="166">
        <v>187.7</v>
      </c>
      <c r="H401" s="166">
        <v>13.65</v>
      </c>
      <c r="I401" s="166">
        <v>6.16</v>
      </c>
      <c r="J401" s="166">
        <v>1.56</v>
      </c>
      <c r="K401" s="166"/>
      <c r="L401" s="166">
        <v>14.5</v>
      </c>
      <c r="M401" s="166">
        <v>0.99</v>
      </c>
      <c r="N401" s="166">
        <f>IFERROR(SUM(N402:N409)/(SUM($C$402:$C$409)/100000),"")</f>
        <v>0.1294732947329473</v>
      </c>
      <c r="O401" s="167" t="str">
        <f>IF(OR(B401="",C401=""),"",IFERROR(C401/1000*INDEX(Vöruskrá!R:R,MATCH(B401,Vöruskrá!B:B,0))/1000,""))</f>
        <v/>
      </c>
      <c r="P401" s="196" t="s">
        <v>1746</v>
      </c>
      <c r="Q401" s="195" t="s">
        <v>1747</v>
      </c>
      <c r="R401" s="194" t="s">
        <v>1748</v>
      </c>
    </row>
    <row r="402" spans="1:18" ht="15">
      <c r="A402" s="171"/>
      <c r="B402" s="171" t="s">
        <v>542</v>
      </c>
      <c r="C402" s="172">
        <v>60929</v>
      </c>
      <c r="D402" s="168" t="s">
        <v>543</v>
      </c>
      <c r="E402" s="168" t="s">
        <v>134</v>
      </c>
      <c r="F402" s="168"/>
      <c r="G402" s="169">
        <f>IF(OR(B402="",C402=""),"",IFERROR(INDEX(Vöruskrá!J:J,MATCH(B402,Vöruskrá!B:B,0))*C402/100000,""))</f>
        <v>109.06291</v>
      </c>
      <c r="H402" s="169">
        <f>IF(OR(B402="",C402=""),"",IFERROR(INDEX(Vöruskrá!K:K,MATCH(B402,Vöruskrá!B:B,0))*C402/100000,""))</f>
        <v>6.7021899999999999</v>
      </c>
      <c r="I402" s="169">
        <f>IF(OR(B402="",C402=""),"",IFERROR(INDEX(Vöruskrá!L:L,MATCH(B402,Vöruskrá!B:B,0))*C402/100000,""))</f>
        <v>1.8887989999999999</v>
      </c>
      <c r="J402" s="169">
        <f>IF(OR(B402="",C402=""),"",IFERROR(INDEX(Vöruskrá!M:M,MATCH(B402,Vöruskrá!B:B,0))*C402/100000,""))</f>
        <v>0</v>
      </c>
      <c r="K402" s="169">
        <f>IF(OR(B402="",C402=""),"",IFERROR(INDEX(Vöruskrá!N:N,MATCH(B402,Vöruskrá!B:B,0))*C402/100000,""))</f>
        <v>0</v>
      </c>
      <c r="L402" s="169">
        <f>IF(OR(B402="",C402=""),"",IFERROR(INDEX(Vöruskrá!O:O,MATCH(B402,Vöruskrá!B:B,0))*C402/100000,""))</f>
        <v>12.1858</v>
      </c>
      <c r="M402" s="169">
        <f>IF(OR(B402="",C402=""),"",IFERROR(INDEX(Vöruskrá!P:P,MATCH(B402,Vöruskrá!B:B,0))*C402/100000,""))</f>
        <v>0.12185800000000001</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1010</v>
      </c>
      <c r="C403" s="174">
        <v>7616</v>
      </c>
      <c r="D403" s="168" t="s">
        <v>1010</v>
      </c>
      <c r="E403" s="168" t="s">
        <v>134</v>
      </c>
      <c r="F403" s="168"/>
      <c r="G403" s="169">
        <f>IF(OR(B403="",C403=""),"",IFERROR(INDEX(Vöruskrá!J:J,MATCH(B403,Vöruskrá!B:B,0))*C403/100000,""))</f>
        <v>3.0464000000000002</v>
      </c>
      <c r="H403" s="169">
        <f>IF(OR(B403="",C403=""),"",IFERROR(INDEX(Vöruskrá!K:K,MATCH(B403,Vöruskrá!B:B,0))*C403/100000,""))</f>
        <v>7.6160000000000004E-3</v>
      </c>
      <c r="I403" s="169">
        <f>IF(OR(B403="",C403=""),"",IFERROR(INDEX(Vöruskrá!L:L,MATCH(B403,Vöruskrá!B:B,0))*C403/100000,""))</f>
        <v>0</v>
      </c>
      <c r="J403" s="169">
        <f>IF(OR(B403="",C403=""),"",IFERROR(INDEX(Vöruskrá!M:M,MATCH(B403,Vöruskrá!B:B,0))*C403/100000,""))</f>
        <v>0.70828800000000003</v>
      </c>
      <c r="K403" s="169">
        <f>IF(OR(B403="",C403=""),"",IFERROR(INDEX(Vöruskrá!N:N,MATCH(B403,Vöruskrá!B:B,0))*C403/100000,""))</f>
        <v>0.31987199999999999</v>
      </c>
      <c r="L403" s="169">
        <f>IF(OR(B403="",C403=""),"",IFERROR(INDEX(Vöruskrá!O:O,MATCH(B403,Vöruskrá!B:B,0))*C403/100000,""))</f>
        <v>8.3776000000000003E-2</v>
      </c>
      <c r="M403" s="169">
        <f>IF(OR(B403="",C403=""),"",IFERROR(INDEX(Vöruskrá!P:P,MATCH(B403,Vöruskrá!B:B,0))*C403/100000,""))</f>
        <v>0</v>
      </c>
      <c r="N403" s="169">
        <f>IF(OR(B403="",C403=""),"",IFERROR(INDEX(Vöruskrá!Q:Q,MATCH(B403,Vöruskrá!B:B,0))*C403/100000,""))</f>
        <v>0.12947199999999998</v>
      </c>
      <c r="O403" s="170">
        <f>IF(OR(B403="",C403=""),"",IFERROR(C403/1000*INDEX(Vöruskrá!R:R,MATCH(B403,Vöruskrá!B:B,0))/1000,""))</f>
        <v>0</v>
      </c>
      <c r="P403" s="173"/>
      <c r="Q403" s="158"/>
      <c r="R403" s="6"/>
    </row>
    <row r="404" spans="1:18" ht="15">
      <c r="A404" s="171"/>
      <c r="B404" s="171" t="s">
        <v>1463</v>
      </c>
      <c r="C404" s="172">
        <v>3808</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1466</v>
      </c>
      <c r="C405" s="174">
        <v>3808</v>
      </c>
      <c r="D405" s="168"/>
      <c r="E405" s="168"/>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1058</v>
      </c>
      <c r="C406" s="172">
        <v>15232</v>
      </c>
      <c r="D406" s="168" t="s">
        <v>1059</v>
      </c>
      <c r="E406" s="168" t="s">
        <v>120</v>
      </c>
      <c r="F406" s="168"/>
      <c r="G406" s="169">
        <f>IF(OR(B406="",C406=""),"",IFERROR(INDEX(Vöruskrá!J:J,MATCH(B406,Vöruskrá!B:B,0))*C406/100000,""))</f>
        <v>51.788800000000002</v>
      </c>
      <c r="H406" s="169">
        <f>IF(OR(B406="",C406=""),"",IFERROR(INDEX(Vöruskrá!K:K,MATCH(B406,Vöruskrá!B:B,0))*C406/100000,""))</f>
        <v>5.3311999999999999</v>
      </c>
      <c r="I406" s="169">
        <f>IF(OR(B406="",C406=""),"",IFERROR(INDEX(Vöruskrá!L:L,MATCH(B406,Vöruskrá!B:B,0))*C406/100000,""))</f>
        <v>3.3510399999999998</v>
      </c>
      <c r="J406" s="169">
        <f>IF(OR(B406="",C406=""),"",IFERROR(INDEX(Vöruskrá!M:M,MATCH(B406,Vöruskrá!B:B,0))*C406/100000,""))</f>
        <v>0.45695999999999998</v>
      </c>
      <c r="K406" s="169">
        <f>IF(OR(B406="",C406=""),"",IFERROR(INDEX(Vöruskrá!N:N,MATCH(B406,Vöruskrá!B:B,0))*C406/100000,""))</f>
        <v>0.45695999999999998</v>
      </c>
      <c r="L406" s="169">
        <f>IF(OR(B406="",C406=""),"",IFERROR(INDEX(Vöruskrá!O:O,MATCH(B406,Vöruskrá!B:B,0))*C406/100000,""))</f>
        <v>0.38080000000000003</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895</v>
      </c>
      <c r="C407" s="174">
        <v>7616</v>
      </c>
      <c r="D407" s="168" t="s">
        <v>897</v>
      </c>
      <c r="E407" s="168" t="s">
        <v>120</v>
      </c>
      <c r="F407" s="168"/>
      <c r="G407" s="169">
        <f>IF(OR(B407="",C407=""),"",IFERROR(INDEX(Vöruskrá!J:J,MATCH(B407,Vöruskrá!B:B,0))*C407/100000,""))</f>
        <v>22.924160000000001</v>
      </c>
      <c r="H407" s="169">
        <f>IF(OR(B407="",C407=""),"",IFERROR(INDEX(Vöruskrá!K:K,MATCH(B407,Vöruskrá!B:B,0))*C407/100000,""))</f>
        <v>1.5993599999999999</v>
      </c>
      <c r="I407" s="169">
        <f>IF(OR(B407="",C407=""),"",IFERROR(INDEX(Vöruskrá!L:L,MATCH(B407,Vöruskrá!B:B,0))*C407/100000,""))</f>
        <v>0.91391999999999995</v>
      </c>
      <c r="J407" s="169">
        <f>IF(OR(B407="",C407=""),"",IFERROR(INDEX(Vöruskrá!M:M,MATCH(B407,Vöruskrá!B:B,0))*C407/100000,""))</f>
        <v>0.24371200000000001</v>
      </c>
      <c r="K407" s="169">
        <f>IF(OR(B407="",C407=""),"",IFERROR(INDEX(Vöruskrá!N:N,MATCH(B407,Vöruskrá!B:B,0))*C407/100000,""))</f>
        <v>7.6160000000000005E-2</v>
      </c>
      <c r="L407" s="169">
        <f>IF(OR(B407="",C407=""),"",IFERROR(INDEX(Vöruskrá!O:O,MATCH(B407,Vöruskrá!B:B,0))*C407/100000,""))</f>
        <v>1.8278399999999999</v>
      </c>
      <c r="M407" s="169">
        <f>IF(OR(B407="",C407=""),"",IFERROR(INDEX(Vöruskrá!P:P,MATCH(B407,Vöruskrá!B:B,0))*C407/100000,""))</f>
        <v>0.106624</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299</v>
      </c>
      <c r="C408" s="172">
        <v>762</v>
      </c>
      <c r="D408" s="168" t="s">
        <v>302</v>
      </c>
      <c r="E408" s="168" t="s">
        <v>134</v>
      </c>
      <c r="F408" s="168" t="s">
        <v>303</v>
      </c>
      <c r="G408" s="169">
        <f>IF(OR(B408="",C408=""),"",IFERROR(INDEX(Vöruskrá!J:J,MATCH(B408,Vöruskrá!B:B,0))*C408/100000,""))</f>
        <v>0</v>
      </c>
      <c r="H408" s="169">
        <f>IF(OR(B408="",C408=""),"",IFERROR(INDEX(Vöruskrá!K:K,MATCH(B408,Vöruskrá!B:B,0))*C408/100000,""))</f>
        <v>0</v>
      </c>
      <c r="I408" s="169">
        <f>IF(OR(B408="",C408=""),"",IFERROR(INDEX(Vöruskrá!L:L,MATCH(B408,Vöruskrá!B:B,0))*C408/100000,""))</f>
        <v>0</v>
      </c>
      <c r="J408" s="169">
        <f>IF(OR(B408="",C408=""),"",IFERROR(INDEX(Vöruskrá!M:M,MATCH(B408,Vöruskrá!B:B,0))*C408/100000,""))</f>
        <v>0</v>
      </c>
      <c r="K408" s="169">
        <f>IF(OR(B408="",C408=""),"",IFERROR(INDEX(Vöruskrá!N:N,MATCH(B408,Vöruskrá!B:B,0))*C408/100000,""))</f>
        <v>0</v>
      </c>
      <c r="L408" s="169">
        <f>IF(OR(B408="",C408=""),"",IFERROR(INDEX(Vöruskrá!O:O,MATCH(B408,Vöruskrá!B:B,0))*C408/100000,""))</f>
        <v>0</v>
      </c>
      <c r="M408" s="169">
        <f>IF(OR(B408="",C408=""),"",IFERROR(INDEX(Vöruskrá!P:P,MATCH(B408,Vöruskrá!B:B,0))*C408/100000,""))</f>
        <v>0.76200000000000001</v>
      </c>
      <c r="N408" s="169">
        <f>IF(OR(B408="",C408=""),"",IFERROR(INDEX(Vöruskrá!Q:Q,MATCH(B408,Vöruskrá!B:B,0))*C408/100000,""))</f>
        <v>0</v>
      </c>
      <c r="O408" s="170">
        <f>IF(OR(B408="",C408=""),"",IFERROR(C408/1000*INDEX(Vöruskrá!R:R,MATCH(B408,Vöruskrá!B:B,0))/1000,""))</f>
        <v>0</v>
      </c>
      <c r="P408" s="171"/>
      <c r="Q408" s="157"/>
      <c r="R408" s="27"/>
    </row>
    <row r="409" spans="1:18" ht="15">
      <c r="A409" s="173"/>
      <c r="B409" s="173" t="s">
        <v>819</v>
      </c>
      <c r="C409" s="174">
        <v>228</v>
      </c>
      <c r="D409" s="168" t="s">
        <v>820</v>
      </c>
      <c r="E409" s="168"/>
      <c r="F409" s="168" t="s">
        <v>311</v>
      </c>
      <c r="G409" s="169">
        <f>IF(OR(B409="",C409=""),"",IFERROR(INDEX(Vöruskrá!J:J,MATCH(B409,Vöruskrá!B:B,0))*C409/100000,""))</f>
        <v>0.88007999999999997</v>
      </c>
      <c r="H409" s="169">
        <f>IF(OR(B409="",C409=""),"",IFERROR(INDEX(Vöruskrá!K:K,MATCH(B409,Vöruskrá!B:B,0))*C409/100000,""))</f>
        <v>7.5239999999999994E-3</v>
      </c>
      <c r="I409" s="169">
        <f>IF(OR(B409="",C409=""),"",IFERROR(INDEX(Vöruskrá!L:L,MATCH(B409,Vöruskrá!B:B,0))*C409/100000,""))</f>
        <v>2.2799999999999999E-3</v>
      </c>
      <c r="J409" s="169">
        <f>IF(OR(B409="",C409=""),"",IFERROR(INDEX(Vöruskrá!M:M,MATCH(B409,Vöruskrá!B:B,0))*C409/100000,""))</f>
        <v>0.1482</v>
      </c>
      <c r="K409" s="169">
        <f>IF(OR(B409="",C409=""),"",IFERROR(INDEX(Vöruskrá!N:N,MATCH(B409,Vöruskrá!B:B,0))*C409/100000,""))</f>
        <v>1.3679999999999999E-3</v>
      </c>
      <c r="L409" s="169">
        <f>IF(OR(B409="",C409=""),"",IFERROR(INDEX(Vöruskrá!O:O,MATCH(B409,Vöruskrá!B:B,0))*C409/100000,""))</f>
        <v>2.5080000000000002E-2</v>
      </c>
      <c r="M409" s="169">
        <f>IF(OR(B409="",C409=""),"",IFERROR(INDEX(Vöruskrá!P:P,MATCH(B409,Vöruskrá!B:B,0))*C409/100000,""))</f>
        <v>2.2800000000000001E-4</v>
      </c>
      <c r="N409" s="169">
        <f>IF(OR(B409="",C409=""),"",IFERROR(INDEX(Vöruskrá!Q:Q,MATCH(B409,Vöruskrá!B:B,0))*C409/100000,""))</f>
        <v>0</v>
      </c>
      <c r="O409" s="170">
        <f>IF(OR(B409="",C409=""),"",IFERROR(C409/1000*INDEX(Vöruskrá!R:R,MATCH(B409,Vöruskrá!B:B,0))/1000,""))</f>
        <v>0</v>
      </c>
      <c r="P409" s="173"/>
      <c r="Q409" s="200"/>
      <c r="R409" s="159"/>
    </row>
    <row r="410" spans="1:18" ht="60">
      <c r="A410" s="147" t="s">
        <v>1749</v>
      </c>
      <c r="B410" s="147"/>
      <c r="C410" s="148"/>
      <c r="D410" s="165" t="s">
        <v>1750</v>
      </c>
      <c r="E410" s="165" t="s">
        <v>134</v>
      </c>
      <c r="F410" s="165"/>
      <c r="G410" s="166">
        <v>118.43</v>
      </c>
      <c r="H410" s="166">
        <v>6.65</v>
      </c>
      <c r="I410" s="166">
        <v>1.86</v>
      </c>
      <c r="J410" s="166">
        <v>2.2000000000000002</v>
      </c>
      <c r="K410" s="166"/>
      <c r="L410" s="166">
        <v>12.49</v>
      </c>
      <c r="M410" s="166">
        <v>1.1200000000000001</v>
      </c>
      <c r="N410" s="166">
        <f>IFERROR(SUM(N411:N417)/(SUM($C$411:$C$417)/100000),"")</f>
        <v>0.18716975317289106</v>
      </c>
      <c r="O410" s="167" t="str">
        <f>IF(OR(B410="",C410=""),"",IFERROR(C410/1000*INDEX(Vöruskrá!R:R,MATCH(B410,Vöruskrá!B:B,0))/1000,""))</f>
        <v/>
      </c>
      <c r="P410" s="196" t="s">
        <v>1751</v>
      </c>
      <c r="Q410" s="199" t="s">
        <v>1752</v>
      </c>
      <c r="R410" s="198" t="s">
        <v>1753</v>
      </c>
    </row>
    <row r="411" spans="1:18" ht="15">
      <c r="A411" s="171"/>
      <c r="B411" s="171" t="s">
        <v>542</v>
      </c>
      <c r="C411" s="172">
        <v>42918</v>
      </c>
      <c r="D411" s="168" t="s">
        <v>543</v>
      </c>
      <c r="E411" s="168" t="s">
        <v>134</v>
      </c>
      <c r="F411" s="168"/>
      <c r="G411" s="169">
        <f>IF(OR(B411="",C411=""),"",IFERROR(INDEX(Vöruskrá!J:J,MATCH(B411,Vöruskrá!B:B,0))*C411/100000,""))</f>
        <v>76.823220000000006</v>
      </c>
      <c r="H411" s="169">
        <f>IF(OR(B411="",C411=""),"",IFERROR(INDEX(Vöruskrá!K:K,MATCH(B411,Vöruskrá!B:B,0))*C411/100000,""))</f>
        <v>4.72098</v>
      </c>
      <c r="I411" s="169">
        <f>IF(OR(B411="",C411=""),"",IFERROR(INDEX(Vöruskrá!L:L,MATCH(B411,Vöruskrá!B:B,0))*C411/100000,""))</f>
        <v>1.3304580000000001</v>
      </c>
      <c r="J411" s="169">
        <f>IF(OR(B411="",C411=""),"",IFERROR(INDEX(Vöruskrá!M:M,MATCH(B411,Vöruskrá!B:B,0))*C411/100000,""))</f>
        <v>0</v>
      </c>
      <c r="K411" s="169">
        <f>IF(OR(B411="",C411=""),"",IFERROR(INDEX(Vöruskrá!N:N,MATCH(B411,Vöruskrá!B:B,0))*C411/100000,""))</f>
        <v>0</v>
      </c>
      <c r="L411" s="169">
        <f>IF(OR(B411="",C411=""),"",IFERROR(INDEX(Vöruskrá!O:O,MATCH(B411,Vöruskrá!B:B,0))*C411/100000,""))</f>
        <v>8.5836000000000006</v>
      </c>
      <c r="M411" s="169">
        <f>IF(OR(B411="",C411=""),"",IFERROR(INDEX(Vöruskrá!P:P,MATCH(B411,Vöruskrá!B:B,0))*C411/100000,""))</f>
        <v>8.583600000000001E-2</v>
      </c>
      <c r="N411" s="169">
        <f>IF(OR(B411="",C411=""),"",IFERROR(INDEX(Vöruskrá!Q:Q,MATCH(B411,Vöruskrá!B:B,0))*C411/100000,""))</f>
        <v>0</v>
      </c>
      <c r="O411" s="170">
        <f>IF(OR(B411="",C411=""),"",IFERROR(C411/1000*INDEX(Vöruskrá!R:R,MATCH(B411,Vöruskrá!B:B,0))/1000,""))</f>
        <v>0</v>
      </c>
      <c r="P411" s="171"/>
      <c r="Q411" s="197"/>
      <c r="R411" s="164"/>
    </row>
    <row r="412" spans="1:18" ht="15">
      <c r="A412" s="173"/>
      <c r="B412" s="173" t="s">
        <v>1010</v>
      </c>
      <c r="C412" s="174">
        <v>7153</v>
      </c>
      <c r="D412" s="168" t="s">
        <v>1010</v>
      </c>
      <c r="E412" s="168" t="s">
        <v>134</v>
      </c>
      <c r="F412" s="168"/>
      <c r="G412" s="169">
        <f>IF(OR(B412="",C412=""),"",IFERROR(INDEX(Vöruskrá!J:J,MATCH(B412,Vöruskrá!B:B,0))*C412/100000,""))</f>
        <v>2.8612000000000002</v>
      </c>
      <c r="H412" s="169">
        <f>IF(OR(B412="",C412=""),"",IFERROR(INDEX(Vöruskrá!K:K,MATCH(B412,Vöruskrá!B:B,0))*C412/100000,""))</f>
        <v>7.1530000000000005E-3</v>
      </c>
      <c r="I412" s="169">
        <f>IF(OR(B412="",C412=""),"",IFERROR(INDEX(Vöruskrá!L:L,MATCH(B412,Vöruskrá!B:B,0))*C412/100000,""))</f>
        <v>0</v>
      </c>
      <c r="J412" s="169">
        <f>IF(OR(B412="",C412=""),"",IFERROR(INDEX(Vöruskrá!M:M,MATCH(B412,Vöruskrá!B:B,0))*C412/100000,""))</f>
        <v>0.66522900000000007</v>
      </c>
      <c r="K412" s="169">
        <f>IF(OR(B412="",C412=""),"",IFERROR(INDEX(Vöruskrá!N:N,MATCH(B412,Vöruskrá!B:B,0))*C412/100000,""))</f>
        <v>0.30042600000000003</v>
      </c>
      <c r="L412" s="169">
        <f>IF(OR(B412="",C412=""),"",IFERROR(INDEX(Vöruskrá!O:O,MATCH(B412,Vöruskrá!B:B,0))*C412/100000,""))</f>
        <v>7.8683000000000003E-2</v>
      </c>
      <c r="M412" s="169">
        <f>IF(OR(B412="",C412=""),"",IFERROR(INDEX(Vöruskrá!P:P,MATCH(B412,Vöruskrá!B:B,0))*C412/100000,""))</f>
        <v>0</v>
      </c>
      <c r="N412" s="169">
        <f>IF(OR(B412="",C412=""),"",IFERROR(INDEX(Vöruskrá!Q:Q,MATCH(B412,Vöruskrá!B:B,0))*C412/100000,""))</f>
        <v>0.121601</v>
      </c>
      <c r="O412" s="170">
        <f>IF(OR(B412="",C412=""),"",IFERROR(C412/1000*INDEX(Vöruskrá!R:R,MATCH(B412,Vöruskrá!B:B,0))/1000,""))</f>
        <v>0</v>
      </c>
      <c r="P412" s="173"/>
      <c r="Q412" s="157"/>
      <c r="R412" s="27"/>
    </row>
    <row r="413" spans="1:18" ht="15">
      <c r="A413" s="171"/>
      <c r="B413" s="171" t="s">
        <v>743</v>
      </c>
      <c r="C413" s="172">
        <v>14306</v>
      </c>
      <c r="D413" s="168" t="s">
        <v>745</v>
      </c>
      <c r="E413" s="168"/>
      <c r="F413" s="168"/>
      <c r="G413" s="169">
        <f>IF(OR(B413="",C413=""),"",IFERROR(INDEX(Vöruskrá!J:J,MATCH(B413,Vöruskrá!B:B,0))*C413/100000,""))</f>
        <v>4.0056799999999999</v>
      </c>
      <c r="H413" s="169">
        <f>IF(OR(B413="",C413=""),"",IFERROR(INDEX(Vöruskrá!K:K,MATCH(B413,Vöruskrá!B:B,0))*C413/100000,""))</f>
        <v>1.4306000000000001E-2</v>
      </c>
      <c r="I413" s="169">
        <f>IF(OR(B413="",C413=""),"",IFERROR(INDEX(Vöruskrá!L:L,MATCH(B413,Vöruskrá!B:B,0))*C413/100000,""))</f>
        <v>0</v>
      </c>
      <c r="J413" s="169">
        <f>IF(OR(B413="",C413=""),"",IFERROR(INDEX(Vöruskrá!M:M,MATCH(B413,Vöruskrá!B:B,0))*C413/100000,""))</f>
        <v>0.71530000000000005</v>
      </c>
      <c r="K413" s="169">
        <f>IF(OR(B413="",C413=""),"",IFERROR(INDEX(Vöruskrá!N:N,MATCH(B413,Vöruskrá!B:B,0))*C413/100000,""))</f>
        <v>0.486404</v>
      </c>
      <c r="L413" s="169">
        <f>IF(OR(B413="",C413=""),"",IFERROR(INDEX(Vöruskrá!O:O,MATCH(B413,Vöruskrá!B:B,0))*C413/100000,""))</f>
        <v>0.21459</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1017</v>
      </c>
      <c r="C414" s="174">
        <v>572</v>
      </c>
      <c r="D414" s="168" t="s">
        <v>1017</v>
      </c>
      <c r="E414" s="168" t="s">
        <v>134</v>
      </c>
      <c r="F414" s="168"/>
      <c r="G414" s="169">
        <f>IF(OR(B414="",C414=""),"",IFERROR(INDEX(Vöruskrá!J:J,MATCH(B414,Vöruskrá!B:B,0))*C414/100000,""))</f>
        <v>0.85228000000000004</v>
      </c>
      <c r="H414" s="169">
        <f>IF(OR(B414="",C414=""),"",IFERROR(INDEX(Vöruskrá!K:K,MATCH(B414,Vöruskrá!B:B,0))*C414/100000,""))</f>
        <v>2.8600000000000001E-3</v>
      </c>
      <c r="I414" s="169">
        <f>IF(OR(B414="",C414=""),"",IFERROR(INDEX(Vöruskrá!L:L,MATCH(B414,Vöruskrá!B:B,0))*C414/100000,""))</f>
        <v>5.7200000000000003E-4</v>
      </c>
      <c r="J414" s="169">
        <f>IF(OR(B414="",C414=""),"",IFERROR(INDEX(Vöruskrá!M:M,MATCH(B414,Vöruskrá!B:B,0))*C414/100000,""))</f>
        <v>0.189332</v>
      </c>
      <c r="K414" s="169">
        <f>IF(OR(B414="",C414=""),"",IFERROR(INDEX(Vöruskrá!N:N,MATCH(B414,Vöruskrá!B:B,0))*C414/100000,""))</f>
        <v>5.7200000000000003E-3</v>
      </c>
      <c r="L414" s="169">
        <f>IF(OR(B414="",C414=""),"",IFERROR(INDEX(Vöruskrá!O:O,MATCH(B414,Vöruskrá!B:B,0))*C414/100000,""))</f>
        <v>3.6608000000000002E-2</v>
      </c>
      <c r="M414" s="169">
        <f>IF(OR(B414="",C414=""),"",IFERROR(INDEX(Vöruskrá!P:P,MATCH(B414,Vöruskrá!B:B,0))*C414/100000,""))</f>
        <v>0</v>
      </c>
      <c r="N414" s="169">
        <f>IF(OR(B414="",C414=""),"",IFERROR(INDEX(Vöruskrá!Q:Q,MATCH(B414,Vöruskrá!B:B,0))*C414/100000,""))</f>
        <v>1.2012E-2</v>
      </c>
      <c r="O414" s="170">
        <f>IF(OR(B414="",C414=""),"",IFERROR(C414/1000*INDEX(Vöruskrá!R:R,MATCH(B414,Vöruskrá!B:B,0))/1000,""))</f>
        <v>0</v>
      </c>
      <c r="P414" s="173"/>
      <c r="Q414" s="157"/>
      <c r="R414" s="27"/>
    </row>
    <row r="415" spans="1:18" ht="15">
      <c r="A415" s="171"/>
      <c r="B415" s="171" t="s">
        <v>1466</v>
      </c>
      <c r="C415" s="172">
        <v>2861</v>
      </c>
      <c r="D415" s="168"/>
      <c r="E415" s="168"/>
      <c r="F415" s="168"/>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v>
      </c>
      <c r="N415" s="169">
        <f>IF(OR(B415="",C415=""),"",IFERROR(INDEX(Vöruskrá!Q:Q,MATCH(B415,Vöruskrá!B:B,0))*C415/100000,""))</f>
        <v>0</v>
      </c>
      <c r="O415" s="170">
        <f>IF(OR(B415="",C415=""),"",IFERROR(C415/1000*INDEX(Vöruskrá!R:R,MATCH(B415,Vöruskrá!B:B,0))/1000,""))</f>
        <v>0</v>
      </c>
      <c r="P415" s="171"/>
      <c r="Q415" s="158"/>
      <c r="R415" s="6"/>
    </row>
    <row r="416" spans="1:18" ht="15">
      <c r="A416" s="173"/>
      <c r="B416" s="173" t="s">
        <v>1463</v>
      </c>
      <c r="C416" s="174">
        <v>2861</v>
      </c>
      <c r="D416" s="168"/>
      <c r="E416" s="168"/>
      <c r="F416" s="168"/>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3"/>
      <c r="Q416" s="157"/>
      <c r="R416" s="27"/>
    </row>
    <row r="417" spans="1:18" ht="15">
      <c r="A417" s="171"/>
      <c r="B417" s="171" t="s">
        <v>299</v>
      </c>
      <c r="C417" s="172">
        <v>715</v>
      </c>
      <c r="D417" s="168" t="s">
        <v>302</v>
      </c>
      <c r="E417" s="168" t="s">
        <v>134</v>
      </c>
      <c r="F417" s="168" t="s">
        <v>303</v>
      </c>
      <c r="G417" s="169">
        <f>IF(OR(B417="",C417=""),"",IFERROR(INDEX(Vöruskrá!J:J,MATCH(B417,Vöruskrá!B:B,0))*C417/100000,""))</f>
        <v>0</v>
      </c>
      <c r="H417" s="169">
        <f>IF(OR(B417="",C417=""),"",IFERROR(INDEX(Vöruskrá!K:K,MATCH(B417,Vöruskrá!B:B,0))*C417/100000,""))</f>
        <v>0</v>
      </c>
      <c r="I417" s="169">
        <f>IF(OR(B417="",C417=""),"",IFERROR(INDEX(Vöruskrá!L:L,MATCH(B417,Vöruskrá!B:B,0))*C417/100000,""))</f>
        <v>0</v>
      </c>
      <c r="J417" s="169">
        <f>IF(OR(B417="",C417=""),"",IFERROR(INDEX(Vöruskrá!M:M,MATCH(B417,Vöruskrá!B:B,0))*C417/100000,""))</f>
        <v>0</v>
      </c>
      <c r="K417" s="169">
        <f>IF(OR(B417="",C417=""),"",IFERROR(INDEX(Vöruskrá!N:N,MATCH(B417,Vöruskrá!B:B,0))*C417/100000,""))</f>
        <v>0</v>
      </c>
      <c r="L417" s="169">
        <f>IF(OR(B417="",C417=""),"",IFERROR(INDEX(Vöruskrá!O:O,MATCH(B417,Vöruskrá!B:B,0))*C417/100000,""))</f>
        <v>0</v>
      </c>
      <c r="M417" s="169">
        <f>IF(OR(B417="",C417=""),"",IFERROR(INDEX(Vöruskrá!P:P,MATCH(B417,Vöruskrá!B:B,0))*C417/100000,""))</f>
        <v>0.71499999999999997</v>
      </c>
      <c r="N417" s="169">
        <f>IF(OR(B417="",C417=""),"",IFERROR(INDEX(Vöruskrá!Q:Q,MATCH(B417,Vöruskrá!B:B,0))*C417/100000,""))</f>
        <v>0</v>
      </c>
      <c r="O417" s="170">
        <f>IF(OR(B417="",C417=""),"",IFERROR(C417/1000*INDEX(Vöruskrá!R:R,MATCH(B417,Vöruskrá!B:B,0))/1000,""))</f>
        <v>0</v>
      </c>
      <c r="P417" s="171"/>
      <c r="Q417" s="200"/>
      <c r="R417" s="159"/>
    </row>
    <row r="418" spans="1:18" ht="60">
      <c r="A418" s="147" t="s">
        <v>1754</v>
      </c>
      <c r="B418" s="147"/>
      <c r="C418" s="148"/>
      <c r="D418" s="165" t="s">
        <v>1755</v>
      </c>
      <c r="E418" s="165" t="s">
        <v>252</v>
      </c>
      <c r="F418" s="165"/>
      <c r="G418" s="166">
        <v>126.69</v>
      </c>
      <c r="H418" s="166">
        <v>7.23</v>
      </c>
      <c r="I418" s="166">
        <v>1.7</v>
      </c>
      <c r="J418" s="166">
        <v>5.05</v>
      </c>
      <c r="K418" s="166"/>
      <c r="L418" s="166">
        <v>10.76</v>
      </c>
      <c r="M418" s="166">
        <v>1.9</v>
      </c>
      <c r="N418" s="166">
        <f>IFERROR(SUM(N419:N430)/(SUM($C$419:$C$430)/100000),"")</f>
        <v>0.16699999999999998</v>
      </c>
      <c r="O418" s="167" t="str">
        <f>IF(OR(B418="",C418=""),"",IFERROR(C418/1000*INDEX(Vöruskrá!R:R,MATCH(B418,Vöruskrá!B:B,0))/1000,""))</f>
        <v/>
      </c>
      <c r="P418" s="196" t="s">
        <v>1756</v>
      </c>
      <c r="Q418" s="195" t="s">
        <v>1757</v>
      </c>
      <c r="R418" s="194" t="s">
        <v>1758</v>
      </c>
    </row>
    <row r="419" spans="1:18" ht="15">
      <c r="A419" s="171"/>
      <c r="B419" s="171" t="s">
        <v>542</v>
      </c>
      <c r="C419" s="172">
        <v>50000</v>
      </c>
      <c r="D419" s="168" t="s">
        <v>543</v>
      </c>
      <c r="E419" s="168" t="s">
        <v>134</v>
      </c>
      <c r="F419" s="168"/>
      <c r="G419" s="169">
        <f>IF(OR(B419="",C419=""),"",IFERROR(INDEX(Vöruskrá!J:J,MATCH(B419,Vöruskrá!B:B,0))*C419/100000,""))</f>
        <v>89.5</v>
      </c>
      <c r="H419" s="169">
        <f>IF(OR(B419="",C419=""),"",IFERROR(INDEX(Vöruskrá!K:K,MATCH(B419,Vöruskrá!B:B,0))*C419/100000,""))</f>
        <v>5.5</v>
      </c>
      <c r="I419" s="169">
        <f>IF(OR(B419="",C419=""),"",IFERROR(INDEX(Vöruskrá!L:L,MATCH(B419,Vöruskrá!B:B,0))*C419/100000,""))</f>
        <v>1.55</v>
      </c>
      <c r="J419" s="169">
        <f>IF(OR(B419="",C419=""),"",IFERROR(INDEX(Vöruskrá!M:M,MATCH(B419,Vöruskrá!B:B,0))*C419/100000,""))</f>
        <v>0</v>
      </c>
      <c r="K419" s="169">
        <f>IF(OR(B419="",C419=""),"",IFERROR(INDEX(Vöruskrá!N:N,MATCH(B419,Vöruskrá!B:B,0))*C419/100000,""))</f>
        <v>0</v>
      </c>
      <c r="L419" s="169">
        <f>IF(OR(B419="",C419=""),"",IFERROR(INDEX(Vöruskrá!O:O,MATCH(B419,Vöruskrá!B:B,0))*C419/100000,""))</f>
        <v>10</v>
      </c>
      <c r="M419" s="169">
        <f>IF(OR(B419="",C419=""),"",IFERROR(INDEX(Vöruskrá!P:P,MATCH(B419,Vöruskrá!B:B,0))*C419/100000,""))</f>
        <v>0.1</v>
      </c>
      <c r="N419" s="169">
        <f>IF(OR(B419="",C419=""),"",IFERROR(INDEX(Vöruskrá!Q:Q,MATCH(B419,Vöruskrá!B:B,0))*C419/100000,""))</f>
        <v>0</v>
      </c>
      <c r="O419" s="170">
        <f>IF(OR(B419="",C419=""),"",IFERROR(C419/1000*INDEX(Vöruskrá!R:R,MATCH(B419,Vöruskrá!B:B,0))/1000,""))</f>
        <v>0</v>
      </c>
      <c r="P419" s="171"/>
      <c r="Q419" s="197"/>
      <c r="R419" s="164"/>
    </row>
    <row r="420" spans="1:18" ht="15">
      <c r="A420" s="173"/>
      <c r="B420" s="173" t="s">
        <v>247</v>
      </c>
      <c r="C420" s="174">
        <v>20000</v>
      </c>
      <c r="D420" s="168" t="s">
        <v>251</v>
      </c>
      <c r="E420" s="168" t="s">
        <v>252</v>
      </c>
      <c r="F420" s="168"/>
      <c r="G420" s="169" t="str">
        <f>IF(OR(B420="",C420=""),"",IFERROR(INDEX(Vöruskrá!J:J,MATCH(B420,Vöruskrá!B:B,0))*C420/100000,""))</f>
        <v/>
      </c>
      <c r="H420" s="169" t="str">
        <f>IF(OR(B420="",C420=""),"",IFERROR(INDEX(Vöruskrá!K:K,MATCH(B420,Vöruskrá!B:B,0))*C420/100000,""))</f>
        <v/>
      </c>
      <c r="I420" s="169" t="str">
        <f>IF(OR(B420="",C420=""),"",IFERROR(INDEX(Vöruskrá!L:L,MATCH(B420,Vöruskrá!B:B,0))*C420/100000,""))</f>
        <v/>
      </c>
      <c r="J420" s="169" t="str">
        <f>IF(OR(B420="",C420=""),"",IFERROR(INDEX(Vöruskrá!M:M,MATCH(B420,Vöruskrá!B:B,0))*C420/100000,""))</f>
        <v/>
      </c>
      <c r="K420" s="169" t="str">
        <f>IF(OR(B420="",C420=""),"",IFERROR(INDEX(Vöruskrá!N:N,MATCH(B420,Vöruskrá!B:B,0))*C420/100000,""))</f>
        <v/>
      </c>
      <c r="L420" s="169" t="str">
        <f>IF(OR(B420="",C420=""),"",IFERROR(INDEX(Vöruskrá!O:O,MATCH(B420,Vöruskrá!B:B,0))*C420/100000,""))</f>
        <v/>
      </c>
      <c r="M420" s="169" t="str">
        <f>IF(OR(B420="",C420=""),"",IFERROR(INDEX(Vöruskrá!P:P,MATCH(B420,Vöruskrá!B:B,0))*C420/100000,""))</f>
        <v/>
      </c>
      <c r="N420" s="169" t="str">
        <f>IF(OR(B420="",C420=""),"",IFERROR(INDEX(Vöruskrá!Q:Q,MATCH(B420,Vöruskrá!B:B,0))*C420/100000,""))</f>
        <v/>
      </c>
      <c r="O420" s="170" t="str">
        <f>IF(OR(B420="",C420=""),"",IFERROR(C420/1000*INDEX(Vöruskrá!R:R,MATCH(B420,Vöruskrá!B:B,0))/1000,""))</f>
        <v/>
      </c>
      <c r="P420" s="173"/>
      <c r="Q420" s="157"/>
      <c r="R420" s="27"/>
    </row>
    <row r="421" spans="1:18">
      <c r="A421" s="171"/>
      <c r="B421" s="171" t="s">
        <v>1759</v>
      </c>
      <c r="C421" s="172">
        <v>12000</v>
      </c>
      <c r="D421" s="168"/>
      <c r="E421" s="168"/>
      <c r="F421" s="168"/>
      <c r="G421" s="169" t="str">
        <f>IF(OR(B421="",C421=""),"",IFERROR(INDEX(Vöruskrá!J:J,MATCH(B421,Vöruskrá!B:B,0))*C421/100000,""))</f>
        <v/>
      </c>
      <c r="H421" s="169" t="str">
        <f>IF(OR(B421="",C421=""),"",IFERROR(INDEX(Vöruskrá!K:K,MATCH(B421,Vöruskrá!B:B,0))*C421/100000,""))</f>
        <v/>
      </c>
      <c r="I421" s="169" t="str">
        <f>IF(OR(B421="",C421=""),"",IFERROR(INDEX(Vöruskrá!L:L,MATCH(B421,Vöruskrá!B:B,0))*C421/100000,""))</f>
        <v/>
      </c>
      <c r="J421" s="169" t="str">
        <f>IF(OR(B421="",C421=""),"",IFERROR(INDEX(Vöruskrá!M:M,MATCH(B421,Vöruskrá!B:B,0))*C421/100000,""))</f>
        <v/>
      </c>
      <c r="K421" s="169" t="str">
        <f>IF(OR(B421="",C421=""),"",IFERROR(INDEX(Vöruskrá!N:N,MATCH(B421,Vöruskrá!B:B,0))*C421/100000,""))</f>
        <v/>
      </c>
      <c r="L421" s="169" t="str">
        <f>IF(OR(B421="",C421=""),"",IFERROR(INDEX(Vöruskrá!O:O,MATCH(B421,Vöruskrá!B:B,0))*C421/100000,""))</f>
        <v/>
      </c>
      <c r="M421" s="169" t="str">
        <f>IF(OR(B421="",C421=""),"",IFERROR(INDEX(Vöruskrá!P:P,MATCH(B421,Vöruskrá!B:B,0))*C421/100000,""))</f>
        <v/>
      </c>
      <c r="N421" s="169" t="str">
        <f>IF(OR(B421="",C421=""),"",IFERROR(INDEX(Vöruskrá!Q:Q,MATCH(B421,Vöruskrá!B:B,0))*C421/100000,""))</f>
        <v/>
      </c>
      <c r="O421" s="170" t="str">
        <f>IF(OR(B421="",C421=""),"",IFERROR(C421/1000*INDEX(Vöruskrá!R:R,MATCH(B421,Vöruskrá!B:B,0))/1000,""))</f>
        <v/>
      </c>
      <c r="P421" s="171"/>
      <c r="Q421" s="158"/>
      <c r="R421" s="6"/>
    </row>
    <row r="422" spans="1:18" ht="15">
      <c r="A422" s="173"/>
      <c r="B422" s="173" t="s">
        <v>420</v>
      </c>
      <c r="C422" s="174">
        <v>8000</v>
      </c>
      <c r="D422" s="168" t="s">
        <v>421</v>
      </c>
      <c r="E422" s="168" t="s">
        <v>134</v>
      </c>
      <c r="F422" s="168"/>
      <c r="G422" s="169">
        <f>IF(OR(B422="",C422=""),"",IFERROR(INDEX(Vöruskrá!J:J,MATCH(B422,Vöruskrá!B:B,0))*C422/100000,""))</f>
        <v>2.64</v>
      </c>
      <c r="H422" s="169">
        <f>IF(OR(B422="",C422=""),"",IFERROR(INDEX(Vöruskrá!K:K,MATCH(B422,Vöruskrá!B:B,0))*C422/100000,""))</f>
        <v>0</v>
      </c>
      <c r="I422" s="169">
        <f>IF(OR(B422="",C422=""),"",IFERROR(INDEX(Vöruskrá!L:L,MATCH(B422,Vöruskrá!B:B,0))*C422/100000,""))</f>
        <v>0</v>
      </c>
      <c r="J422" s="169">
        <f>IF(OR(B422="",C422=""),"",IFERROR(INDEX(Vöruskrá!M:M,MATCH(B422,Vöruskrá!B:B,0))*C422/100000,""))</f>
        <v>0.44</v>
      </c>
      <c r="K422" s="169">
        <f>IF(OR(B422="",C422=""),"",IFERROR(INDEX(Vöruskrá!N:N,MATCH(B422,Vöruskrá!B:B,0))*C422/100000,""))</f>
        <v>0.38400000000000001</v>
      </c>
      <c r="L422" s="169">
        <f>IF(OR(B422="",C422=""),"",IFERROR(INDEX(Vöruskrá!O:O,MATCH(B422,Vöruskrá!B:B,0))*C422/100000,""))</f>
        <v>0.128</v>
      </c>
      <c r="M422" s="169">
        <f>IF(OR(B422="",C422=""),"",IFERROR(INDEX(Vöruskrá!P:P,MATCH(B422,Vöruskrá!B:B,0))*C422/100000,""))</f>
        <v>0.08</v>
      </c>
      <c r="N422" s="169">
        <f>IF(OR(B422="",C422=""),"",IFERROR(INDEX(Vöruskrá!Q:Q,MATCH(B422,Vöruskrá!B:B,0))*C422/100000,""))</f>
        <v>0.152</v>
      </c>
      <c r="O422" s="170">
        <f>IF(OR(B422="",C422=""),"",IFERROR(C422/1000*INDEX(Vöruskrá!R:R,MATCH(B422,Vöruskrá!B:B,0))/1000,""))</f>
        <v>0</v>
      </c>
      <c r="P422" s="173"/>
      <c r="Q422" s="157"/>
      <c r="R422" s="27"/>
    </row>
    <row r="423" spans="1:18" ht="15">
      <c r="A423" s="171"/>
      <c r="B423" s="171" t="s">
        <v>504</v>
      </c>
      <c r="C423" s="172">
        <v>3000</v>
      </c>
      <c r="D423" s="168" t="s">
        <v>500</v>
      </c>
      <c r="E423" s="168" t="s">
        <v>134</v>
      </c>
      <c r="F423" s="168"/>
      <c r="G423" s="169">
        <f>IF(OR(B423="",C423=""),"",IFERROR(INDEX(Vöruskrá!J:J,MATCH(B423,Vöruskrá!B:B,0))*C423/100000,""))</f>
        <v>3.39</v>
      </c>
      <c r="H423" s="169">
        <f>IF(OR(B423="",C423=""),"",IFERROR(INDEX(Vöruskrá!K:K,MATCH(B423,Vöruskrá!B:B,0))*C423/100000,""))</f>
        <v>1.2E-2</v>
      </c>
      <c r="I423" s="169">
        <f>IF(OR(B423="",C423=""),"",IFERROR(INDEX(Vöruskrá!L:L,MATCH(B423,Vöruskrá!B:B,0))*C423/100000,""))</f>
        <v>0</v>
      </c>
      <c r="J423" s="169">
        <f>IF(OR(B423="",C423=""),"",IFERROR(INDEX(Vöruskrá!M:M,MATCH(B423,Vöruskrá!B:B,0))*C423/100000,""))</f>
        <v>0.56999999999999995</v>
      </c>
      <c r="K423" s="169">
        <f>IF(OR(B423="",C423=""),"",IFERROR(INDEX(Vöruskrá!N:N,MATCH(B423,Vöruskrá!B:B,0))*C423/100000,""))</f>
        <v>0.42</v>
      </c>
      <c r="L423" s="169">
        <f>IF(OR(B423="",C423=""),"",IFERROR(INDEX(Vöruskrá!O:O,MATCH(B423,Vöruskrá!B:B,0))*C423/100000,""))</f>
        <v>0.18</v>
      </c>
      <c r="M423" s="169">
        <f>IF(OR(B423="",C423=""),"",IFERROR(INDEX(Vöruskrá!P:P,MATCH(B423,Vöruskrá!B:B,0))*C423/100000,""))</f>
        <v>3.0000000000000001E-3</v>
      </c>
      <c r="N423" s="169">
        <f>IF(OR(B423="",C423=""),"",IFERROR(INDEX(Vöruskrá!Q:Q,MATCH(B423,Vöruskrá!B:B,0))*C423/100000,""))</f>
        <v>0</v>
      </c>
      <c r="O423" s="170">
        <f>IF(OR(B423="",C423=""),"",IFERROR(C423/1000*INDEX(Vöruskrá!R:R,MATCH(B423,Vöruskrá!B:B,0))/1000,""))</f>
        <v>0</v>
      </c>
      <c r="P423" s="171"/>
      <c r="Q423" s="158"/>
      <c r="R423" s="6"/>
    </row>
    <row r="424" spans="1:18" ht="15">
      <c r="A424" s="173"/>
      <c r="B424" s="173" t="s">
        <v>489</v>
      </c>
      <c r="C424" s="174">
        <v>2000</v>
      </c>
      <c r="D424" s="168" t="s">
        <v>490</v>
      </c>
      <c r="E424" s="168" t="s">
        <v>134</v>
      </c>
      <c r="F424" s="168" t="s">
        <v>311</v>
      </c>
      <c r="G424" s="169">
        <f>IF(OR(B424="",C424=""),"",IFERROR(INDEX(Vöruskrá!J:J,MATCH(B424,Vöruskrá!B:B,0))*C424/100000,""))</f>
        <v>4.4400000000000004</v>
      </c>
      <c r="H424" s="169">
        <f>IF(OR(B424="",C424=""),"",IFERROR(INDEX(Vöruskrá!K:K,MATCH(B424,Vöruskrá!B:B,0))*C424/100000,""))</f>
        <v>0.12</v>
      </c>
      <c r="I424" s="169">
        <f>IF(OR(B424="",C424=""),"",IFERROR(INDEX(Vöruskrá!L:L,MATCH(B424,Vöruskrá!B:B,0))*C424/100000,""))</f>
        <v>1.7999999999999999E-2</v>
      </c>
      <c r="J424" s="169">
        <f>IF(OR(B424="",C424=""),"",IFERROR(INDEX(Vöruskrá!M:M,MATCH(B424,Vöruskrá!B:B,0))*C424/100000,""))</f>
        <v>0.6</v>
      </c>
      <c r="K424" s="169">
        <f>IF(OR(B424="",C424=""),"",IFERROR(INDEX(Vöruskrá!N:N,MATCH(B424,Vöruskrá!B:B,0))*C424/100000,""))</f>
        <v>9.1999999999999998E-2</v>
      </c>
      <c r="L424" s="169">
        <f>IF(OR(B424="",C424=""),"",IFERROR(INDEX(Vöruskrá!O:O,MATCH(B424,Vöruskrá!B:B,0))*C424/100000,""))</f>
        <v>0.14199999999999999</v>
      </c>
      <c r="M424" s="169">
        <f>IF(OR(B424="",C424=""),"",IFERROR(INDEX(Vöruskrá!P:P,MATCH(B424,Vöruskrá!B:B,0))*C424/100000,""))</f>
        <v>0.9</v>
      </c>
      <c r="N424" s="169">
        <f>IF(OR(B424="",C424=""),"",IFERROR(INDEX(Vöruskrá!Q:Q,MATCH(B424,Vöruskrá!B:B,0))*C424/100000,""))</f>
        <v>0</v>
      </c>
      <c r="O424" s="170">
        <f>IF(OR(B424="",C424=""),"",IFERROR(C424/1000*INDEX(Vöruskrá!R:R,MATCH(B424,Vöruskrá!B:B,0))/1000,""))</f>
        <v>0</v>
      </c>
      <c r="P424" s="173"/>
      <c r="Q424" s="157"/>
      <c r="R424" s="27"/>
    </row>
    <row r="425" spans="1:18" ht="15">
      <c r="A425" s="171"/>
      <c r="B425" s="171" t="s">
        <v>349</v>
      </c>
      <c r="C425" s="172">
        <v>1500</v>
      </c>
      <c r="D425" s="168" t="s">
        <v>351</v>
      </c>
      <c r="E425" s="168" t="s">
        <v>134</v>
      </c>
      <c r="F425" s="168"/>
      <c r="G425" s="169">
        <f>IF(OR(B425="",C425=""),"",IFERROR(INDEX(Vöruskrá!J:J,MATCH(B425,Vöruskrá!B:B,0))*C425/100000,""))</f>
        <v>5.3250000000000002</v>
      </c>
      <c r="H425" s="169">
        <f>IF(OR(B425="",C425=""),"",IFERROR(INDEX(Vöruskrá!K:K,MATCH(B425,Vöruskrá!B:B,0))*C425/100000,""))</f>
        <v>7.4999999999999997E-3</v>
      </c>
      <c r="I425" s="169">
        <f>IF(OR(B425="",C425=""),"",IFERROR(INDEX(Vöruskrá!L:L,MATCH(B425,Vöruskrá!B:B,0))*C425/100000,""))</f>
        <v>0</v>
      </c>
      <c r="J425" s="169">
        <f>IF(OR(B425="",C425=""),"",IFERROR(INDEX(Vöruskrá!M:M,MATCH(B425,Vöruskrá!B:B,0))*C425/100000,""))</f>
        <v>1.29</v>
      </c>
      <c r="K425" s="169">
        <f>IF(OR(B425="",C425=""),"",IFERROR(INDEX(Vöruskrá!N:N,MATCH(B425,Vöruskrá!B:B,0))*C425/100000,""))</f>
        <v>0</v>
      </c>
      <c r="L425" s="169">
        <f>IF(OR(B425="",C425=""),"",IFERROR(INDEX(Vöruskrá!O:O,MATCH(B425,Vöruskrá!B:B,0))*C425/100000,""))</f>
        <v>7.4999999999999997E-3</v>
      </c>
      <c r="M425" s="169">
        <f>IF(OR(B425="",C425=""),"",IFERROR(INDEX(Vöruskrá!P:P,MATCH(B425,Vöruskrá!B:B,0))*C425/100000,""))</f>
        <v>0</v>
      </c>
      <c r="N425" s="169">
        <f>IF(OR(B425="",C425=""),"",IFERROR(INDEX(Vöruskrá!Q:Q,MATCH(B425,Vöruskrá!B:B,0))*C425/100000,""))</f>
        <v>1.4999999999999999E-2</v>
      </c>
      <c r="O425" s="170">
        <f>IF(OR(B425="",C425=""),"",IFERROR(C425/1000*INDEX(Vöruskrá!R:R,MATCH(B425,Vöruskrá!B:B,0))/1000,""))</f>
        <v>0</v>
      </c>
      <c r="P425" s="171"/>
      <c r="Q425" s="158"/>
      <c r="R425" s="6"/>
    </row>
    <row r="426" spans="1:18" ht="15">
      <c r="A426" s="173"/>
      <c r="B426" s="173" t="s">
        <v>1270</v>
      </c>
      <c r="C426" s="174">
        <v>1500</v>
      </c>
      <c r="D426" s="168" t="s">
        <v>1270</v>
      </c>
      <c r="E426" s="168" t="s">
        <v>134</v>
      </c>
      <c r="F426" s="168"/>
      <c r="G426" s="169">
        <f>IF(OR(B426="",C426=""),"",IFERROR(INDEX(Vöruskrá!J:J,MATCH(B426,Vöruskrá!B:B,0))*C426/100000,""))</f>
        <v>13.5</v>
      </c>
      <c r="H426" s="169">
        <f>IF(OR(B426="",C426=""),"",IFERROR(INDEX(Vöruskrá!K:K,MATCH(B426,Vöruskrá!B:B,0))*C426/100000,""))</f>
        <v>1.5</v>
      </c>
      <c r="I426" s="169">
        <f>IF(OR(B426="",C426=""),"",IFERROR(INDEX(Vöruskrá!L:L,MATCH(B426,Vöruskrá!B:B,0))*C426/100000,""))</f>
        <v>0.105</v>
      </c>
      <c r="J426" s="169">
        <f>IF(OR(B426="",C426=""),"",IFERROR(INDEX(Vöruskrá!M:M,MATCH(B426,Vöruskrá!B:B,0))*C426/100000,""))</f>
        <v>0.97499999999999998</v>
      </c>
      <c r="K426" s="169">
        <f>IF(OR(B426="",C426=""),"",IFERROR(INDEX(Vöruskrá!N:N,MATCH(B426,Vöruskrá!B:B,0))*C426/100000,""))</f>
        <v>0.41249999999999998</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315</v>
      </c>
      <c r="C427" s="172">
        <v>500</v>
      </c>
      <c r="D427" s="168" t="s">
        <v>316</v>
      </c>
      <c r="E427" s="168" t="s">
        <v>134</v>
      </c>
      <c r="F427" s="168" t="s">
        <v>311</v>
      </c>
      <c r="G427" s="169">
        <f>IF(OR(B427="",C427=""),"",IFERROR(INDEX(Vöruskrá!J:J,MATCH(B427,Vöruskrá!B:B,0))*C427/100000,""))</f>
        <v>1.925</v>
      </c>
      <c r="H427" s="169">
        <f>IF(OR(B427="",C427=""),"",IFERROR(INDEX(Vöruskrá!K:K,MATCH(B427,Vöruskrá!B:B,0))*C427/100000,""))</f>
        <v>4.0000000000000001E-3</v>
      </c>
      <c r="I427" s="169">
        <f>IF(OR(B427="",C427=""),"",IFERROR(INDEX(Vöruskrá!L:L,MATCH(B427,Vöruskrá!B:B,0))*C427/100000,""))</f>
        <v>5.0000000000000001E-4</v>
      </c>
      <c r="J427" s="169">
        <f>IF(OR(B427="",C427=""),"",IFERROR(INDEX(Vöruskrá!M:M,MATCH(B427,Vöruskrá!B:B,0))*C427/100000,""))</f>
        <v>0.36499999999999999</v>
      </c>
      <c r="K427" s="169">
        <f>IF(OR(B427="",C427=""),"",IFERROR(INDEX(Vöruskrá!N:N,MATCH(B427,Vöruskrá!B:B,0))*C427/100000,""))</f>
        <v>0.12</v>
      </c>
      <c r="L427" s="169">
        <f>IF(OR(B427="",C427=""),"",IFERROR(INDEX(Vöruskrá!O:O,MATCH(B427,Vöruskrá!B:B,0))*C427/100000,""))</f>
        <v>8.5000000000000006E-2</v>
      </c>
      <c r="M427" s="169">
        <f>IF(OR(B427="",C427=""),"",IFERROR(INDEX(Vöruskrá!P:P,MATCH(B427,Vöruskrá!B:B,0))*C427/100000,""))</f>
        <v>5.0000000000000001E-4</v>
      </c>
      <c r="N427" s="169">
        <f>IF(OR(B427="",C427=""),"",IFERROR(INDEX(Vöruskrá!Q:Q,MATCH(B427,Vöruskrá!B:B,0))*C427/100000,""))</f>
        <v>0</v>
      </c>
      <c r="O427" s="170">
        <f>IF(OR(B427="",C427=""),"",IFERROR(C427/1000*INDEX(Vöruskrá!R:R,MATCH(B427,Vöruskrá!B:B,0))/1000,""))</f>
        <v>0</v>
      </c>
      <c r="P427" s="171"/>
      <c r="Q427" s="158"/>
      <c r="R427" s="6"/>
    </row>
    <row r="428" spans="1:18" ht="15">
      <c r="A428" s="173"/>
      <c r="B428" s="173" t="s">
        <v>299</v>
      </c>
      <c r="C428" s="174">
        <v>800</v>
      </c>
      <c r="D428" s="168" t="s">
        <v>302</v>
      </c>
      <c r="E428" s="168" t="s">
        <v>134</v>
      </c>
      <c r="F428" s="168" t="s">
        <v>303</v>
      </c>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0.8</v>
      </c>
      <c r="N428" s="169">
        <f>IF(OR(B428="",C428=""),"",IFERROR(INDEX(Vöruskrá!Q:Q,MATCH(B428,Vöruskrá!B:B,0))*C428/100000,""))</f>
        <v>0</v>
      </c>
      <c r="O428" s="170">
        <f>IF(OR(B428="",C428=""),"",IFERROR(C428/1000*INDEX(Vöruskrá!R:R,MATCH(B428,Vöruskrá!B:B,0))/1000,""))</f>
        <v>0</v>
      </c>
      <c r="P428" s="173"/>
      <c r="Q428" s="157"/>
      <c r="R428" s="27"/>
    </row>
    <row r="429" spans="1:18" ht="15">
      <c r="A429" s="171"/>
      <c r="B429" s="171" t="s">
        <v>819</v>
      </c>
      <c r="C429" s="172">
        <v>200</v>
      </c>
      <c r="D429" s="168" t="s">
        <v>820</v>
      </c>
      <c r="E429" s="168"/>
      <c r="F429" s="168" t="s">
        <v>311</v>
      </c>
      <c r="G429" s="169">
        <f>IF(OR(B429="",C429=""),"",IFERROR(INDEX(Vöruskrá!J:J,MATCH(B429,Vöruskrá!B:B,0))*C429/100000,""))</f>
        <v>0.77200000000000002</v>
      </c>
      <c r="H429" s="169">
        <f>IF(OR(B429="",C429=""),"",IFERROR(INDEX(Vöruskrá!K:K,MATCH(B429,Vöruskrá!B:B,0))*C429/100000,""))</f>
        <v>6.6E-3</v>
      </c>
      <c r="I429" s="169">
        <f>IF(OR(B429="",C429=""),"",IFERROR(INDEX(Vöruskrá!L:L,MATCH(B429,Vöruskrá!B:B,0))*C429/100000,""))</f>
        <v>2E-3</v>
      </c>
      <c r="J429" s="169">
        <f>IF(OR(B429="",C429=""),"",IFERROR(INDEX(Vöruskrá!M:M,MATCH(B429,Vöruskrá!B:B,0))*C429/100000,""))</f>
        <v>0.13</v>
      </c>
      <c r="K429" s="169">
        <f>IF(OR(B429="",C429=""),"",IFERROR(INDEX(Vöruskrá!N:N,MATCH(B429,Vöruskrá!B:B,0))*C429/100000,""))</f>
        <v>1.1999999999999999E-3</v>
      </c>
      <c r="L429" s="169">
        <f>IF(OR(B429="",C429=""),"",IFERROR(INDEX(Vöruskrá!O:O,MATCH(B429,Vöruskrá!B:B,0))*C429/100000,""))</f>
        <v>2.1999999999999999E-2</v>
      </c>
      <c r="M429" s="169">
        <f>IF(OR(B429="",C429=""),"",IFERROR(INDEX(Vöruskrá!P:P,MATCH(B429,Vöruskrá!B:B,0))*C429/100000,""))</f>
        <v>2.0000000000000001E-4</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1020</v>
      </c>
      <c r="C430" s="174">
        <v>500</v>
      </c>
      <c r="D430" s="168" t="s">
        <v>1020</v>
      </c>
      <c r="E430" s="168" t="s">
        <v>134</v>
      </c>
      <c r="F430" s="168"/>
      <c r="G430" s="169">
        <f>IF(OR(B430="",C430=""),"",IFERROR(INDEX(Vöruskrá!J:J,MATCH(B430,Vöruskrá!B:B,0))*C430/100000,""))</f>
        <v>0</v>
      </c>
      <c r="H430" s="169">
        <f>IF(OR(B430="",C430=""),"",IFERROR(INDEX(Vöruskrá!K:K,MATCH(B430,Vöruskrá!B:B,0))*C430/100000,""))</f>
        <v>0</v>
      </c>
      <c r="I430" s="169">
        <f>IF(OR(B430="",C430=""),"",IFERROR(INDEX(Vöruskrá!L:L,MATCH(B430,Vöruskrá!B:B,0))*C430/100000,""))</f>
        <v>0</v>
      </c>
      <c r="J430" s="169">
        <f>IF(OR(B430="",C430=""),"",IFERROR(INDEX(Vöruskrá!M:M,MATCH(B430,Vöruskrá!B:B,0))*C430/100000,""))</f>
        <v>0</v>
      </c>
      <c r="K430" s="169">
        <f>IF(OR(B430="",C430=""),"",IFERROR(INDEX(Vöruskrá!N:N,MATCH(B430,Vöruskrá!B:B,0))*C430/100000,""))</f>
        <v>0</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3"/>
      <c r="Q430" s="201"/>
      <c r="R430" s="202"/>
    </row>
    <row r="431" spans="1:18" ht="60">
      <c r="A431" s="147" t="s">
        <v>1760</v>
      </c>
      <c r="B431" s="147"/>
      <c r="C431" s="148"/>
      <c r="D431" s="165" t="s">
        <v>1761</v>
      </c>
      <c r="E431" s="165" t="s">
        <v>1762</v>
      </c>
      <c r="F431" s="165"/>
      <c r="G431" s="166">
        <v>109.41</v>
      </c>
      <c r="H431" s="166">
        <v>6.49</v>
      </c>
      <c r="I431" s="166">
        <v>0.97</v>
      </c>
      <c r="J431" s="166">
        <v>4</v>
      </c>
      <c r="K431" s="166"/>
      <c r="L431" s="166">
        <v>8.6300000000000008</v>
      </c>
      <c r="M431" s="166">
        <v>2.5299999999999998</v>
      </c>
      <c r="N431" s="166">
        <f>IFERROR(SUM(N432:N443)/(SUM($C$432:$C$443)/100000),"")</f>
        <v>1.5085</v>
      </c>
      <c r="O431" s="167" t="str">
        <f>IF(OR(B431="",C431=""),"",IFERROR(C431/1000*INDEX(Vöruskrá!R:R,MATCH(B431,Vöruskrá!B:B,0))/1000,""))</f>
        <v/>
      </c>
      <c r="P431" s="196" t="s">
        <v>1763</v>
      </c>
      <c r="Q431" s="199" t="s">
        <v>1764</v>
      </c>
      <c r="R431" s="198" t="s">
        <v>1765</v>
      </c>
    </row>
    <row r="432" spans="1:18" ht="15">
      <c r="A432" s="171"/>
      <c r="B432" s="171" t="s">
        <v>376</v>
      </c>
      <c r="C432" s="172">
        <v>30000</v>
      </c>
      <c r="D432" s="168" t="s">
        <v>377</v>
      </c>
      <c r="E432" s="168" t="s">
        <v>213</v>
      </c>
      <c r="F432" s="168"/>
      <c r="G432" s="169">
        <f>IF(OR(B432="",C432=""),"",IFERROR(INDEX(Vöruskrá!J:J,MATCH(B432,Vöruskrá!B:B,0))*C432/100000,""))</f>
        <v>39.299999999999997</v>
      </c>
      <c r="H432" s="169">
        <f>IF(OR(B432="",C432=""),"",IFERROR(INDEX(Vöruskrá!K:K,MATCH(B432,Vöruskrá!B:B,0))*C432/100000,""))</f>
        <v>2.16</v>
      </c>
      <c r="I432" s="169">
        <f>IF(OR(B432="",C432=""),"",IFERROR(INDEX(Vöruskrá!L:L,MATCH(B432,Vöruskrá!B:B,0))*C432/100000,""))</f>
        <v>0.15</v>
      </c>
      <c r="J432" s="169">
        <f>IF(OR(B432="",C432=""),"",IFERROR(INDEX(Vöruskrá!M:M,MATCH(B432,Vöruskrá!B:B,0))*C432/100000,""))</f>
        <v>0.42</v>
      </c>
      <c r="K432" s="169">
        <f>IF(OR(B432="",C432=""),"",IFERROR(INDEX(Vöruskrá!N:N,MATCH(B432,Vöruskrá!B:B,0))*C432/100000,""))</f>
        <v>0.18</v>
      </c>
      <c r="L432" s="169">
        <f>IF(OR(B432="",C432=""),"",IFERROR(INDEX(Vöruskrá!O:O,MATCH(B432,Vöruskrá!B:B,0))*C432/100000,""))</f>
        <v>3.9</v>
      </c>
      <c r="M432" s="169">
        <f>IF(OR(B432="",C432=""),"",IFERROR(INDEX(Vöruskrá!P:P,MATCH(B432,Vöruskrá!B:B,0))*C432/100000,""))</f>
        <v>0.27</v>
      </c>
      <c r="N432" s="169">
        <f>IF(OR(B432="",C432=""),"",IFERROR(INDEX(Vöruskrá!Q:Q,MATCH(B432,Vöruskrá!B:B,0))*C432/100000,""))</f>
        <v>1.26</v>
      </c>
      <c r="O432" s="170">
        <f>IF(OR(B432="",C432=""),"",IFERROR(C432/1000*INDEX(Vöruskrá!R:R,MATCH(B432,Vöruskrá!B:B,0))/1000,""))</f>
        <v>0</v>
      </c>
      <c r="P432" s="171"/>
      <c r="Q432" s="203"/>
      <c r="R432" s="204"/>
    </row>
    <row r="433" spans="1:18" ht="15">
      <c r="A433" s="173"/>
      <c r="B433" s="173" t="s">
        <v>542</v>
      </c>
      <c r="C433" s="174">
        <v>20000</v>
      </c>
      <c r="D433" s="168" t="s">
        <v>543</v>
      </c>
      <c r="E433" s="168" t="s">
        <v>134</v>
      </c>
      <c r="F433" s="168"/>
      <c r="G433" s="169">
        <f>IF(OR(B433="",C433=""),"",IFERROR(INDEX(Vöruskrá!J:J,MATCH(B433,Vöruskrá!B:B,0))*C433/100000,""))</f>
        <v>35.799999999999997</v>
      </c>
      <c r="H433" s="169">
        <f>IF(OR(B433="",C433=""),"",IFERROR(INDEX(Vöruskrá!K:K,MATCH(B433,Vöruskrá!B:B,0))*C433/100000,""))</f>
        <v>2.2000000000000002</v>
      </c>
      <c r="I433" s="169">
        <f>IF(OR(B433="",C433=""),"",IFERROR(INDEX(Vöruskrá!L:L,MATCH(B433,Vöruskrá!B:B,0))*C433/100000,""))</f>
        <v>0.62</v>
      </c>
      <c r="J433" s="169">
        <f>IF(OR(B433="",C433=""),"",IFERROR(INDEX(Vöruskrá!M:M,MATCH(B433,Vöruskrá!B:B,0))*C433/100000,""))</f>
        <v>0</v>
      </c>
      <c r="K433" s="169">
        <f>IF(OR(B433="",C433=""),"",IFERROR(INDEX(Vöruskrá!N:N,MATCH(B433,Vöruskrá!B:B,0))*C433/100000,""))</f>
        <v>0</v>
      </c>
      <c r="L433" s="169">
        <f>IF(OR(B433="",C433=""),"",IFERROR(INDEX(Vöruskrá!O:O,MATCH(B433,Vöruskrá!B:B,0))*C433/100000,""))</f>
        <v>4</v>
      </c>
      <c r="M433" s="169">
        <f>IF(OR(B433="",C433=""),"",IFERROR(INDEX(Vöruskrá!P:P,MATCH(B433,Vöruskrá!B:B,0))*C433/100000,""))</f>
        <v>0.04</v>
      </c>
      <c r="N433" s="169">
        <f>IF(OR(B433="",C433=""),"",IFERROR(INDEX(Vöruskrá!Q:Q,MATCH(B433,Vöruskrá!B:B,0))*C433/100000,""))</f>
        <v>0</v>
      </c>
      <c r="O433" s="170">
        <f>IF(OR(B433="",C433=""),"",IFERROR(C433/1000*INDEX(Vöruskrá!R:R,MATCH(B433,Vöruskrá!B:B,0))/1000,""))</f>
        <v>0</v>
      </c>
      <c r="P433" s="173"/>
      <c r="Q433" s="158"/>
      <c r="R433" s="6"/>
    </row>
    <row r="434" spans="1:18" ht="15">
      <c r="A434" s="171"/>
      <c r="B434" s="171" t="s">
        <v>247</v>
      </c>
      <c r="C434" s="172">
        <v>15000</v>
      </c>
      <c r="D434" s="168" t="s">
        <v>251</v>
      </c>
      <c r="E434" s="168" t="s">
        <v>252</v>
      </c>
      <c r="F434" s="168"/>
      <c r="G434" s="169" t="str">
        <f>IF(OR(B434="",C434=""),"",IFERROR(INDEX(Vöruskrá!J:J,MATCH(B434,Vöruskrá!B:B,0))*C434/100000,""))</f>
        <v/>
      </c>
      <c r="H434" s="169" t="str">
        <f>IF(OR(B434="",C434=""),"",IFERROR(INDEX(Vöruskrá!K:K,MATCH(B434,Vöruskrá!B:B,0))*C434/100000,""))</f>
        <v/>
      </c>
      <c r="I434" s="169" t="str">
        <f>IF(OR(B434="",C434=""),"",IFERROR(INDEX(Vöruskrá!L:L,MATCH(B434,Vöruskrá!B:B,0))*C434/100000,""))</f>
        <v/>
      </c>
      <c r="J434" s="169" t="str">
        <f>IF(OR(B434="",C434=""),"",IFERROR(INDEX(Vöruskrá!M:M,MATCH(B434,Vöruskrá!B:B,0))*C434/100000,""))</f>
        <v/>
      </c>
      <c r="K434" s="169" t="str">
        <f>IF(OR(B434="",C434=""),"",IFERROR(INDEX(Vöruskrá!N:N,MATCH(B434,Vöruskrá!B:B,0))*C434/100000,""))</f>
        <v/>
      </c>
      <c r="L434" s="169" t="str">
        <f>IF(OR(B434="",C434=""),"",IFERROR(INDEX(Vöruskrá!O:O,MATCH(B434,Vöruskrá!B:B,0))*C434/100000,""))</f>
        <v/>
      </c>
      <c r="M434" s="169" t="str">
        <f>IF(OR(B434="",C434=""),"",IFERROR(INDEX(Vöruskrá!P:P,MATCH(B434,Vöruskrá!B:B,0))*C434/100000,""))</f>
        <v/>
      </c>
      <c r="N434" s="169" t="str">
        <f>IF(OR(B434="",C434=""),"",IFERROR(INDEX(Vöruskrá!Q:Q,MATCH(B434,Vöruskrá!B:B,0))*C434/100000,""))</f>
        <v/>
      </c>
      <c r="O434" s="170" t="str">
        <f>IF(OR(B434="",C434=""),"",IFERROR(C434/1000*INDEX(Vöruskrá!R:R,MATCH(B434,Vöruskrá!B:B,0))/1000,""))</f>
        <v/>
      </c>
      <c r="P434" s="171"/>
      <c r="Q434" s="157"/>
      <c r="R434" s="27"/>
    </row>
    <row r="435" spans="1:18">
      <c r="A435" s="173"/>
      <c r="B435" s="173" t="s">
        <v>1766</v>
      </c>
      <c r="C435" s="174">
        <v>10000</v>
      </c>
      <c r="D435" s="168"/>
      <c r="E435" s="168"/>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3"/>
      <c r="Q435" s="158"/>
      <c r="R435" s="6"/>
    </row>
    <row r="436" spans="1:18" ht="15">
      <c r="A436" s="171"/>
      <c r="B436" s="171" t="s">
        <v>564</v>
      </c>
      <c r="C436" s="172">
        <v>5000</v>
      </c>
      <c r="D436" s="168" t="s">
        <v>565</v>
      </c>
      <c r="E436" s="168" t="s">
        <v>134</v>
      </c>
      <c r="F436" s="168"/>
      <c r="G436" s="169">
        <f>IF(OR(B436="",C436=""),"",IFERROR(INDEX(Vöruskrá!J:J,MATCH(B436,Vöruskrá!B:B,0))*C436/100000,""))</f>
        <v>5.7</v>
      </c>
      <c r="H436" s="169">
        <f>IF(OR(B436="",C436=""),"",IFERROR(INDEX(Vöruskrá!K:K,MATCH(B436,Vöruskrá!B:B,0))*C436/100000,""))</f>
        <v>0.43</v>
      </c>
      <c r="I436" s="169">
        <f>IF(OR(B436="",C436=""),"",IFERROR(INDEX(Vöruskrá!L:L,MATCH(B436,Vöruskrá!B:B,0))*C436/100000,""))</f>
        <v>5.5E-2</v>
      </c>
      <c r="J436" s="169">
        <f>IF(OR(B436="",C436=""),"",IFERROR(INDEX(Vöruskrá!M:M,MATCH(B436,Vöruskrá!B:B,0))*C436/100000,""))</f>
        <v>0.34499999999999997</v>
      </c>
      <c r="K436" s="169">
        <f>IF(OR(B436="",C436=""),"",IFERROR(INDEX(Vöruskrá!N:N,MATCH(B436,Vöruskrá!B:B,0))*C436/100000,""))</f>
        <v>0.19500000000000001</v>
      </c>
      <c r="L436" s="169">
        <f>IF(OR(B436="",C436=""),"",IFERROR(INDEX(Vöruskrá!O:O,MATCH(B436,Vöruskrá!B:B,0))*C436/100000,""))</f>
        <v>0.06</v>
      </c>
      <c r="M436" s="169">
        <f>IF(OR(B436="",C436=""),"",IFERROR(INDEX(Vöruskrá!P:P,MATCH(B436,Vöruskrá!B:B,0))*C436/100000,""))</f>
        <v>0</v>
      </c>
      <c r="N436" s="169">
        <f>IF(OR(B436="",C436=""),"",IFERROR(INDEX(Vöruskrá!Q:Q,MATCH(B436,Vöruskrá!B:B,0))*C436/100000,""))</f>
        <v>9.5000000000000001E-2</v>
      </c>
      <c r="O436" s="170">
        <f>IF(OR(B436="",C436=""),"",IFERROR(C436/1000*INDEX(Vöruskrá!R:R,MATCH(B436,Vöruskrá!B:B,0))/1000,""))</f>
        <v>0</v>
      </c>
      <c r="P436" s="171"/>
      <c r="Q436" s="157"/>
      <c r="R436" s="27"/>
    </row>
    <row r="437" spans="1:18" ht="15">
      <c r="A437" s="173"/>
      <c r="B437" s="173" t="s">
        <v>420</v>
      </c>
      <c r="C437" s="174">
        <v>8000</v>
      </c>
      <c r="D437" s="168" t="s">
        <v>421</v>
      </c>
      <c r="E437" s="168" t="s">
        <v>134</v>
      </c>
      <c r="F437" s="168"/>
      <c r="G437" s="169">
        <f>IF(OR(B437="",C437=""),"",IFERROR(INDEX(Vöruskrá!J:J,MATCH(B437,Vöruskrá!B:B,0))*C437/100000,""))</f>
        <v>2.64</v>
      </c>
      <c r="H437" s="169">
        <f>IF(OR(B437="",C437=""),"",IFERROR(INDEX(Vöruskrá!K:K,MATCH(B437,Vöruskrá!B:B,0))*C437/100000,""))</f>
        <v>0</v>
      </c>
      <c r="I437" s="169">
        <f>IF(OR(B437="",C437=""),"",IFERROR(INDEX(Vöruskrá!L:L,MATCH(B437,Vöruskrá!B:B,0))*C437/100000,""))</f>
        <v>0</v>
      </c>
      <c r="J437" s="169">
        <f>IF(OR(B437="",C437=""),"",IFERROR(INDEX(Vöruskrá!M:M,MATCH(B437,Vöruskrá!B:B,0))*C437/100000,""))</f>
        <v>0.44</v>
      </c>
      <c r="K437" s="169">
        <f>IF(OR(B437="",C437=""),"",IFERROR(INDEX(Vöruskrá!N:N,MATCH(B437,Vöruskrá!B:B,0))*C437/100000,""))</f>
        <v>0.38400000000000001</v>
      </c>
      <c r="L437" s="169">
        <f>IF(OR(B437="",C437=""),"",IFERROR(INDEX(Vöruskrá!O:O,MATCH(B437,Vöruskrá!B:B,0))*C437/100000,""))</f>
        <v>0.128</v>
      </c>
      <c r="M437" s="169">
        <f>IF(OR(B437="",C437=""),"",IFERROR(INDEX(Vöruskrá!P:P,MATCH(B437,Vöruskrá!B:B,0))*C437/100000,""))</f>
        <v>0.08</v>
      </c>
      <c r="N437" s="169">
        <f>IF(OR(B437="",C437=""),"",IFERROR(INDEX(Vöruskrá!Q:Q,MATCH(B437,Vöruskrá!B:B,0))*C437/100000,""))</f>
        <v>0.152</v>
      </c>
      <c r="O437" s="170">
        <f>IF(OR(B437="",C437=""),"",IFERROR(C437/1000*INDEX(Vöruskrá!R:R,MATCH(B437,Vöruskrá!B:B,0))/1000,""))</f>
        <v>0</v>
      </c>
      <c r="P437" s="173"/>
      <c r="Q437" s="158"/>
      <c r="R437" s="6"/>
    </row>
    <row r="438" spans="1:18" ht="15">
      <c r="A438" s="171"/>
      <c r="B438" s="171" t="s">
        <v>1072</v>
      </c>
      <c r="C438" s="172">
        <v>1500</v>
      </c>
      <c r="D438" s="168" t="s">
        <v>1075</v>
      </c>
      <c r="E438" s="168" t="s">
        <v>252</v>
      </c>
      <c r="F438" s="168"/>
      <c r="G438" s="169">
        <f>IF(OR(B438="",C438=""),"",IFERROR(INDEX(Vöruskrá!J:J,MATCH(B438,Vöruskrá!B:B,0))*C438/100000,""))</f>
        <v>3.5550000000000002</v>
      </c>
      <c r="H438" s="169">
        <f>IF(OR(B438="",C438=""),"",IFERROR(INDEX(Vöruskrá!K:K,MATCH(B438,Vöruskrá!B:B,0))*C438/100000,""))</f>
        <v>1.7999999999999999E-2</v>
      </c>
      <c r="I438" s="169">
        <f>IF(OR(B438="",C438=""),"",IFERROR(INDEX(Vöruskrá!L:L,MATCH(B438,Vöruskrá!B:B,0))*C438/100000,""))</f>
        <v>1.5E-3</v>
      </c>
      <c r="J438" s="169">
        <f>IF(OR(B438="",C438=""),"",IFERROR(INDEX(Vöruskrá!M:M,MATCH(B438,Vöruskrá!B:B,0))*C438/100000,""))</f>
        <v>0.61499999999999999</v>
      </c>
      <c r="K438" s="169">
        <f>IF(OR(B438="",C438=""),"",IFERROR(INDEX(Vöruskrá!N:N,MATCH(B438,Vöruskrá!B:B,0))*C438/100000,""))</f>
        <v>0.432</v>
      </c>
      <c r="L438" s="169">
        <f>IF(OR(B438="",C438=""),"",IFERROR(INDEX(Vöruskrá!O:O,MATCH(B438,Vöruskrá!B:B,0))*C438/100000,""))</f>
        <v>0.23400000000000001</v>
      </c>
      <c r="M438" s="169">
        <f>IF(OR(B438="",C438=""),"",IFERROR(INDEX(Vöruskrá!P:P,MATCH(B438,Vöruskrá!B:B,0))*C438/100000,""))</f>
        <v>0.52500000000000002</v>
      </c>
      <c r="N438" s="169">
        <f>IF(OR(B438="",C438=""),"",IFERROR(INDEX(Vöruskrá!Q:Q,MATCH(B438,Vöruskrá!B:B,0))*C438/100000,""))</f>
        <v>1.5E-3</v>
      </c>
      <c r="O438" s="170">
        <f>IF(OR(B438="",C438=""),"",IFERROR(C438/1000*INDEX(Vöruskrá!R:R,MATCH(B438,Vöruskrá!B:B,0))/1000,""))</f>
        <v>0</v>
      </c>
      <c r="P438" s="171"/>
      <c r="Q438" s="157"/>
      <c r="R438" s="27"/>
    </row>
    <row r="439" spans="1:18" ht="15">
      <c r="A439" s="173"/>
      <c r="B439" s="173" t="s">
        <v>489</v>
      </c>
      <c r="C439" s="174">
        <v>2000</v>
      </c>
      <c r="D439" s="168" t="s">
        <v>490</v>
      </c>
      <c r="E439" s="168" t="s">
        <v>134</v>
      </c>
      <c r="F439" s="168" t="s">
        <v>311</v>
      </c>
      <c r="G439" s="169">
        <f>IF(OR(B439="",C439=""),"",IFERROR(INDEX(Vöruskrá!J:J,MATCH(B439,Vöruskrá!B:B,0))*C439/100000,""))</f>
        <v>4.4400000000000004</v>
      </c>
      <c r="H439" s="169">
        <f>IF(OR(B439="",C439=""),"",IFERROR(INDEX(Vöruskrá!K:K,MATCH(B439,Vöruskrá!B:B,0))*C439/100000,""))</f>
        <v>0.12</v>
      </c>
      <c r="I439" s="169">
        <f>IF(OR(B439="",C439=""),"",IFERROR(INDEX(Vöruskrá!L:L,MATCH(B439,Vöruskrá!B:B,0))*C439/100000,""))</f>
        <v>1.7999999999999999E-2</v>
      </c>
      <c r="J439" s="169">
        <f>IF(OR(B439="",C439=""),"",IFERROR(INDEX(Vöruskrá!M:M,MATCH(B439,Vöruskrá!B:B,0))*C439/100000,""))</f>
        <v>0.6</v>
      </c>
      <c r="K439" s="169">
        <f>IF(OR(B439="",C439=""),"",IFERROR(INDEX(Vöruskrá!N:N,MATCH(B439,Vöruskrá!B:B,0))*C439/100000,""))</f>
        <v>9.1999999999999998E-2</v>
      </c>
      <c r="L439" s="169">
        <f>IF(OR(B439="",C439=""),"",IFERROR(INDEX(Vöruskrá!O:O,MATCH(B439,Vöruskrá!B:B,0))*C439/100000,""))</f>
        <v>0.14199999999999999</v>
      </c>
      <c r="M439" s="169">
        <f>IF(OR(B439="",C439=""),"",IFERROR(INDEX(Vöruskrá!P:P,MATCH(B439,Vöruskrá!B:B,0))*C439/100000,""))</f>
        <v>0.9</v>
      </c>
      <c r="N439" s="169">
        <f>IF(OR(B439="",C439=""),"",IFERROR(INDEX(Vöruskrá!Q:Q,MATCH(B439,Vöruskrá!B:B,0))*C439/100000,""))</f>
        <v>0</v>
      </c>
      <c r="O439" s="170">
        <f>IF(OR(B439="",C439=""),"",IFERROR(C439/1000*INDEX(Vöruskrá!R:R,MATCH(B439,Vöruskrá!B:B,0))/1000,""))</f>
        <v>0</v>
      </c>
      <c r="P439" s="173"/>
      <c r="Q439" s="158"/>
      <c r="R439" s="6"/>
    </row>
    <row r="440" spans="1:18" ht="15">
      <c r="A440" s="171"/>
      <c r="B440" s="171" t="s">
        <v>1270</v>
      </c>
      <c r="C440" s="172">
        <v>1500</v>
      </c>
      <c r="D440" s="168" t="s">
        <v>1270</v>
      </c>
      <c r="E440" s="168" t="s">
        <v>134</v>
      </c>
      <c r="F440" s="168"/>
      <c r="G440" s="169">
        <f>IF(OR(B440="",C440=""),"",IFERROR(INDEX(Vöruskrá!J:J,MATCH(B440,Vöruskrá!B:B,0))*C440/100000,""))</f>
        <v>13.5</v>
      </c>
      <c r="H440" s="169">
        <f>IF(OR(B440="",C440=""),"",IFERROR(INDEX(Vöruskrá!K:K,MATCH(B440,Vöruskrá!B:B,0))*C440/100000,""))</f>
        <v>1.5</v>
      </c>
      <c r="I440" s="169">
        <f>IF(OR(B440="",C440=""),"",IFERROR(INDEX(Vöruskrá!L:L,MATCH(B440,Vöruskrá!B:B,0))*C440/100000,""))</f>
        <v>0.105</v>
      </c>
      <c r="J440" s="169">
        <f>IF(OR(B440="",C440=""),"",IFERROR(INDEX(Vöruskrá!M:M,MATCH(B440,Vöruskrá!B:B,0))*C440/100000,""))</f>
        <v>0.97499999999999998</v>
      </c>
      <c r="K440" s="169">
        <f>IF(OR(B440="",C440=""),"",IFERROR(INDEX(Vöruskrá!N:N,MATCH(B440,Vöruskrá!B:B,0))*C440/100000,""))</f>
        <v>0.41249999999999998</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1"/>
      <c r="Q440" s="157"/>
      <c r="R440" s="27"/>
    </row>
    <row r="441" spans="1:18" ht="15">
      <c r="A441" s="173"/>
      <c r="B441" s="173" t="s">
        <v>299</v>
      </c>
      <c r="C441" s="174">
        <v>700</v>
      </c>
      <c r="D441" s="168" t="s">
        <v>302</v>
      </c>
      <c r="E441" s="168" t="s">
        <v>134</v>
      </c>
      <c r="F441" s="168" t="s">
        <v>303</v>
      </c>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0.7</v>
      </c>
      <c r="N441" s="169">
        <f>IF(OR(B441="",C441=""),"",IFERROR(INDEX(Vöruskrá!Q:Q,MATCH(B441,Vöruskrá!B:B,0))*C441/100000,""))</f>
        <v>0</v>
      </c>
      <c r="O441" s="170">
        <f>IF(OR(B441="",C441=""),"",IFERROR(C441/1000*INDEX(Vöruskrá!R:R,MATCH(B441,Vöruskrá!B:B,0))/1000,""))</f>
        <v>0</v>
      </c>
      <c r="P441" s="173"/>
      <c r="Q441" s="158"/>
      <c r="R441" s="6"/>
    </row>
    <row r="442" spans="1:18" ht="15">
      <c r="A442" s="171"/>
      <c r="B442" s="171" t="s">
        <v>819</v>
      </c>
      <c r="C442" s="172">
        <v>150</v>
      </c>
      <c r="D442" s="168" t="s">
        <v>820</v>
      </c>
      <c r="E442" s="168"/>
      <c r="F442" s="168" t="s">
        <v>311</v>
      </c>
      <c r="G442" s="169">
        <f>IF(OR(B442="",C442=""),"",IFERROR(INDEX(Vöruskrá!J:J,MATCH(B442,Vöruskrá!B:B,0))*C442/100000,""))</f>
        <v>0.57899999999999996</v>
      </c>
      <c r="H442" s="169">
        <f>IF(OR(B442="",C442=""),"",IFERROR(INDEX(Vöruskrá!K:K,MATCH(B442,Vöruskrá!B:B,0))*C442/100000,""))</f>
        <v>4.9500000000000004E-3</v>
      </c>
      <c r="I442" s="169">
        <f>IF(OR(B442="",C442=""),"",IFERROR(INDEX(Vöruskrá!L:L,MATCH(B442,Vöruskrá!B:B,0))*C442/100000,""))</f>
        <v>1.5E-3</v>
      </c>
      <c r="J442" s="169">
        <f>IF(OR(B442="",C442=""),"",IFERROR(INDEX(Vöruskrá!M:M,MATCH(B442,Vöruskrá!B:B,0))*C442/100000,""))</f>
        <v>9.7500000000000003E-2</v>
      </c>
      <c r="K442" s="169">
        <f>IF(OR(B442="",C442=""),"",IFERROR(INDEX(Vöruskrá!N:N,MATCH(B442,Vöruskrá!B:B,0))*C442/100000,""))</f>
        <v>8.9999999999999998E-4</v>
      </c>
      <c r="L442" s="169">
        <f>IF(OR(B442="",C442=""),"",IFERROR(INDEX(Vöruskrá!O:O,MATCH(B442,Vöruskrá!B:B,0))*C442/100000,""))</f>
        <v>1.6500000000000001E-2</v>
      </c>
      <c r="M442" s="169">
        <f>IF(OR(B442="",C442=""),"",IFERROR(INDEX(Vöruskrá!P:P,MATCH(B442,Vöruskrá!B:B,0))*C442/100000,""))</f>
        <v>1.4999999999999999E-4</v>
      </c>
      <c r="N442" s="169">
        <f>IF(OR(B442="",C442=""),"",IFERROR(INDEX(Vöruskrá!Q:Q,MATCH(B442,Vöruskrá!B:B,0))*C442/100000,""))</f>
        <v>0</v>
      </c>
      <c r="O442" s="170">
        <f>IF(OR(B442="",C442=""),"",IFERROR(C442/1000*INDEX(Vöruskrá!R:R,MATCH(B442,Vöruskrá!B:B,0))/1000,""))</f>
        <v>0</v>
      </c>
      <c r="P442" s="171"/>
      <c r="Q442" s="157"/>
      <c r="R442" s="27"/>
    </row>
    <row r="443" spans="1:18" ht="15">
      <c r="A443" s="173"/>
      <c r="B443" s="173" t="s">
        <v>1020</v>
      </c>
      <c r="C443" s="174">
        <v>6150</v>
      </c>
      <c r="D443" s="168" t="s">
        <v>1020</v>
      </c>
      <c r="E443" s="168" t="s">
        <v>134</v>
      </c>
      <c r="F443" s="168"/>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0</v>
      </c>
      <c r="N443" s="169">
        <f>IF(OR(B443="",C443=""),"",IFERROR(INDEX(Vöruskrá!Q:Q,MATCH(B443,Vöruskrá!B:B,0))*C443/100000,""))</f>
        <v>0</v>
      </c>
      <c r="O443" s="170">
        <f>IF(OR(B443="",C443=""),"",IFERROR(C443/1000*INDEX(Vöruskrá!R:R,MATCH(B443,Vöruskrá!B:B,0))/1000,""))</f>
        <v>0</v>
      </c>
      <c r="P443" s="173"/>
      <c r="Q443" s="200"/>
      <c r="R443" s="159"/>
    </row>
    <row r="444" spans="1:18" ht="60">
      <c r="A444" s="147" t="s">
        <v>1767</v>
      </c>
      <c r="B444" s="147"/>
      <c r="C444" s="148"/>
      <c r="D444" s="165" t="s">
        <v>1768</v>
      </c>
      <c r="E444" s="165" t="s">
        <v>1769</v>
      </c>
      <c r="F444" s="165"/>
      <c r="G444" s="166">
        <v>69.930000000000007</v>
      </c>
      <c r="H444" s="166">
        <v>3.56</v>
      </c>
      <c r="I444" s="166">
        <v>1.07</v>
      </c>
      <c r="J444" s="166">
        <v>3.99</v>
      </c>
      <c r="K444" s="166"/>
      <c r="L444" s="166">
        <v>5.23</v>
      </c>
      <c r="M444" s="166">
        <v>0.86</v>
      </c>
      <c r="N444" s="166">
        <f>IFERROR(SUM(N445:N460)/(SUM($C$445:$C$460)/100000),"")</f>
        <v>0.4998359658377679</v>
      </c>
      <c r="O444" s="167" t="str">
        <f>IF(OR(B444="",C444=""),"",IFERROR(C444/1000*INDEX(Vöruskrá!R:R,MATCH(B444,Vöruskrá!B:B,0))/1000,""))</f>
        <v/>
      </c>
      <c r="P444" s="196" t="s">
        <v>1770</v>
      </c>
      <c r="Q444" s="195" t="s">
        <v>1771</v>
      </c>
      <c r="R444" s="194" t="s">
        <v>1772</v>
      </c>
    </row>
    <row r="445" spans="1:18" ht="15">
      <c r="A445" s="171"/>
      <c r="B445" s="171" t="s">
        <v>875</v>
      </c>
      <c r="C445" s="172">
        <v>15600</v>
      </c>
      <c r="D445" s="168" t="s">
        <v>877</v>
      </c>
      <c r="E445" s="168"/>
      <c r="F445" s="168" t="s">
        <v>878</v>
      </c>
      <c r="G445" s="169">
        <f>IF(OR(B445="",C445=""),"",IFERROR(INDEX(Vöruskrá!J:J,MATCH(B445,Vöruskrá!B:B,0))*C445/100000,""))</f>
        <v>29.64</v>
      </c>
      <c r="H445" s="169">
        <f>IF(OR(B445="",C445=""),"",IFERROR(INDEX(Vöruskrá!K:K,MATCH(B445,Vöruskrá!B:B,0))*C445/100000,""))</f>
        <v>1.95</v>
      </c>
      <c r="I445" s="169">
        <f>IF(OR(B445="",C445=""),"",IFERROR(INDEX(Vöruskrá!L:L,MATCH(B445,Vöruskrá!B:B,0))*C445/100000,""))</f>
        <v>0.78</v>
      </c>
      <c r="J445" s="169">
        <f>IF(OR(B445="",C445=""),"",IFERROR(INDEX(Vöruskrá!M:M,MATCH(B445,Vöruskrá!B:B,0))*C445/100000,""))</f>
        <v>0</v>
      </c>
      <c r="K445" s="169">
        <f>IF(OR(B445="",C445=""),"",IFERROR(INDEX(Vöruskrá!N:N,MATCH(B445,Vöruskrá!B:B,0))*C445/100000,""))</f>
        <v>0</v>
      </c>
      <c r="L445" s="169">
        <f>IF(OR(B445="",C445=""),"",IFERROR(INDEX(Vöruskrá!O:O,MATCH(B445,Vöruskrá!B:B,0))*C445/100000,""))</f>
        <v>3.0419999999999998</v>
      </c>
      <c r="M445" s="169">
        <f>IF(OR(B445="",C445=""),"",IFERROR(INDEX(Vöruskrá!P:P,MATCH(B445,Vöruskrá!B:B,0))*C445/100000,""))</f>
        <v>1.5599999999999999E-2</v>
      </c>
      <c r="N445" s="169">
        <f>IF(OR(B445="",C445=""),"",IFERROR(INDEX(Vöruskrá!Q:Q,MATCH(B445,Vöruskrá!B:B,0))*C445/100000,""))</f>
        <v>0</v>
      </c>
      <c r="O445" s="170">
        <f>IF(OR(B445="",C445=""),"",IFERROR(C445/1000*INDEX(Vöruskrá!R:R,MATCH(B445,Vöruskrá!B:B,0))/1000,""))</f>
        <v>0</v>
      </c>
      <c r="P445" s="171"/>
      <c r="Q445" s="197"/>
      <c r="R445" s="164"/>
    </row>
    <row r="446" spans="1:18" ht="15">
      <c r="A446" s="173"/>
      <c r="B446" s="173" t="s">
        <v>1111</v>
      </c>
      <c r="C446" s="174">
        <v>15600</v>
      </c>
      <c r="D446" s="168" t="s">
        <v>1112</v>
      </c>
      <c r="E446" s="168" t="s">
        <v>1099</v>
      </c>
      <c r="F446" s="168" t="s">
        <v>1113</v>
      </c>
      <c r="G446" s="169">
        <f>IF(OR(B446="",C446=""),"",IFERROR(INDEX(Vöruskrá!J:J,MATCH(B446,Vöruskrá!B:B,0))*C446/100000,""))</f>
        <v>27.923999999999999</v>
      </c>
      <c r="H446" s="169">
        <f>IF(OR(B446="",C446=""),"",IFERROR(INDEX(Vöruskrá!K:K,MATCH(B446,Vöruskrá!B:B,0))*C446/100000,""))</f>
        <v>1.716</v>
      </c>
      <c r="I446" s="169">
        <f>IF(OR(B446="",C446=""),"",IFERROR(INDEX(Vöruskrá!L:L,MATCH(B446,Vöruskrá!B:B,0))*C446/100000,""))</f>
        <v>0.48359999999999997</v>
      </c>
      <c r="J446" s="169">
        <f>IF(OR(B446="",C446=""),"",IFERROR(INDEX(Vöruskrá!M:M,MATCH(B446,Vöruskrá!B:B,0))*C446/100000,""))</f>
        <v>0</v>
      </c>
      <c r="K446" s="169">
        <f>IF(OR(B446="",C446=""),"",IFERROR(INDEX(Vöruskrá!N:N,MATCH(B446,Vöruskrá!B:B,0))*C446/100000,""))</f>
        <v>0</v>
      </c>
      <c r="L446" s="169">
        <f>IF(OR(B446="",C446=""),"",IFERROR(INDEX(Vöruskrá!O:O,MATCH(B446,Vöruskrá!B:B,0))*C446/100000,""))</f>
        <v>3.12</v>
      </c>
      <c r="M446" s="169">
        <f>IF(OR(B446="",C446=""),"",IFERROR(INDEX(Vöruskrá!P:P,MATCH(B446,Vöruskrá!B:B,0))*C446/100000,""))</f>
        <v>3.1199999999999999E-2</v>
      </c>
      <c r="N446" s="169">
        <f>IF(OR(B446="",C446=""),"",IFERROR(INDEX(Vöruskrá!Q:Q,MATCH(B446,Vöruskrá!B:B,0))*C446/100000,""))</f>
        <v>0</v>
      </c>
      <c r="O446" s="170">
        <f>IF(OR(B446="",C446=""),"",IFERROR(C446/1000*INDEX(Vöruskrá!R:R,MATCH(B446,Vöruskrá!B:B,0))/1000,""))</f>
        <v>0</v>
      </c>
      <c r="P446" s="173"/>
      <c r="Q446" s="157"/>
      <c r="R446" s="27"/>
    </row>
    <row r="447" spans="1:18">
      <c r="A447" s="171"/>
      <c r="B447" s="171" t="s">
        <v>1773</v>
      </c>
      <c r="C447" s="172">
        <v>18300</v>
      </c>
      <c r="D447" s="168"/>
      <c r="E447" s="168"/>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8"/>
      <c r="R447" s="6"/>
    </row>
    <row r="448" spans="1:18" ht="15">
      <c r="A448" s="173"/>
      <c r="B448" s="173" t="s">
        <v>603</v>
      </c>
      <c r="C448" s="174">
        <v>10700</v>
      </c>
      <c r="D448" s="168" t="s">
        <v>605</v>
      </c>
      <c r="E448" s="168"/>
      <c r="F448" s="168"/>
      <c r="G448" s="169">
        <f>IF(OR(B448="",C448=""),"",IFERROR(INDEX(Vöruskrá!J:J,MATCH(B448,Vöruskrá!B:B,0))*C448/100000,""))</f>
        <v>4.4939999999999998</v>
      </c>
      <c r="H448" s="169">
        <f>IF(OR(B448="",C448=""),"",IFERROR(INDEX(Vöruskrá!K:K,MATCH(B448,Vöruskrá!B:B,0))*C448/100000,""))</f>
        <v>3.2099999999999997E-2</v>
      </c>
      <c r="I448" s="169">
        <f>IF(OR(B448="",C448=""),"",IFERROR(INDEX(Vöruskrá!L:L,MATCH(B448,Vöruskrá!B:B,0))*C448/100000,""))</f>
        <v>1.0699999999999999E-2</v>
      </c>
      <c r="J448" s="169">
        <f>IF(OR(B448="",C448=""),"",IFERROR(INDEX(Vöruskrá!M:M,MATCH(B448,Vöruskrá!B:B,0))*C448/100000,""))</f>
        <v>0.84530000000000005</v>
      </c>
      <c r="K448" s="169">
        <f>IF(OR(B448="",C448=""),"",IFERROR(INDEX(Vöruskrá!N:N,MATCH(B448,Vöruskrá!B:B,0))*C448/100000,""))</f>
        <v>0.79179999999999995</v>
      </c>
      <c r="L448" s="169">
        <f>IF(OR(B448="",C448=""),"",IFERROR(INDEX(Vöruskrá!O:O,MATCH(B448,Vöruskrá!B:B,0))*C448/100000,""))</f>
        <v>6.4199999999999993E-2</v>
      </c>
      <c r="M448" s="169">
        <f>IF(OR(B448="",C448=""),"",IFERROR(INDEX(Vöruskrá!P:P,MATCH(B448,Vöruskrá!B:B,0))*C448/100000,""))</f>
        <v>1.0699999999999999E-2</v>
      </c>
      <c r="N448" s="169">
        <f>IF(OR(B448="",C448=""),"",IFERROR(INDEX(Vöruskrá!Q:Q,MATCH(B448,Vöruskrá!B:B,0))*C448/100000,""))</f>
        <v>0.25679999999999997</v>
      </c>
      <c r="O448" s="170">
        <f>IF(OR(B448="",C448=""),"",IFERROR(C448/1000*INDEX(Vöruskrá!R:R,MATCH(B448,Vöruskrá!B:B,0))/1000,""))</f>
        <v>0</v>
      </c>
      <c r="P448" s="173"/>
      <c r="Q448" s="157"/>
      <c r="R448" s="27"/>
    </row>
    <row r="449" spans="1:18" ht="15">
      <c r="A449" s="171"/>
      <c r="B449" s="171" t="s">
        <v>564</v>
      </c>
      <c r="C449" s="172">
        <v>8300</v>
      </c>
      <c r="D449" s="168" t="s">
        <v>565</v>
      </c>
      <c r="E449" s="168" t="s">
        <v>134</v>
      </c>
      <c r="F449" s="168"/>
      <c r="G449" s="169">
        <f>IF(OR(B449="",C449=""),"",IFERROR(INDEX(Vöruskrá!J:J,MATCH(B449,Vöruskrá!B:B,0))*C449/100000,""))</f>
        <v>9.4619999999999997</v>
      </c>
      <c r="H449" s="169">
        <f>IF(OR(B449="",C449=""),"",IFERROR(INDEX(Vöruskrá!K:K,MATCH(B449,Vöruskrá!B:B,0))*C449/100000,""))</f>
        <v>0.71379999999999999</v>
      </c>
      <c r="I449" s="169">
        <f>IF(OR(B449="",C449=""),"",IFERROR(INDEX(Vöruskrá!L:L,MATCH(B449,Vöruskrá!B:B,0))*C449/100000,""))</f>
        <v>9.1300000000000006E-2</v>
      </c>
      <c r="J449" s="169">
        <f>IF(OR(B449="",C449=""),"",IFERROR(INDEX(Vöruskrá!M:M,MATCH(B449,Vöruskrá!B:B,0))*C449/100000,""))</f>
        <v>0.57269999999999999</v>
      </c>
      <c r="K449" s="169">
        <f>IF(OR(B449="",C449=""),"",IFERROR(INDEX(Vöruskrá!N:N,MATCH(B449,Vöruskrá!B:B,0))*C449/100000,""))</f>
        <v>0.32369999999999999</v>
      </c>
      <c r="L449" s="169">
        <f>IF(OR(B449="",C449=""),"",IFERROR(INDEX(Vöruskrá!O:O,MATCH(B449,Vöruskrá!B:B,0))*C449/100000,""))</f>
        <v>9.9599999999999994E-2</v>
      </c>
      <c r="M449" s="169">
        <f>IF(OR(B449="",C449=""),"",IFERROR(INDEX(Vöruskrá!P:P,MATCH(B449,Vöruskrá!B:B,0))*C449/100000,""))</f>
        <v>0</v>
      </c>
      <c r="N449" s="169">
        <f>IF(OR(B449="",C449=""),"",IFERROR(INDEX(Vöruskrá!Q:Q,MATCH(B449,Vöruskrá!B:B,0))*C449/100000,""))</f>
        <v>0.15770000000000001</v>
      </c>
      <c r="O449" s="170">
        <f>IF(OR(B449="",C449=""),"",IFERROR(C449/1000*INDEX(Vöruskrá!R:R,MATCH(B449,Vöruskrá!B:B,0))/1000,""))</f>
        <v>0</v>
      </c>
      <c r="P449" s="171"/>
      <c r="Q449" s="158"/>
      <c r="R449" s="6"/>
    </row>
    <row r="450" spans="1:18" ht="15">
      <c r="A450" s="173"/>
      <c r="B450" s="173" t="s">
        <v>504</v>
      </c>
      <c r="C450" s="174">
        <v>4000</v>
      </c>
      <c r="D450" s="168" t="s">
        <v>500</v>
      </c>
      <c r="E450" s="168" t="s">
        <v>134</v>
      </c>
      <c r="F450" s="168"/>
      <c r="G450" s="169">
        <f>IF(OR(B450="",C450=""),"",IFERROR(INDEX(Vöruskrá!J:J,MATCH(B450,Vöruskrá!B:B,0))*C450/100000,""))</f>
        <v>4.5199999999999996</v>
      </c>
      <c r="H450" s="169">
        <f>IF(OR(B450="",C450=""),"",IFERROR(INDEX(Vöruskrá!K:K,MATCH(B450,Vöruskrá!B:B,0))*C450/100000,""))</f>
        <v>1.6E-2</v>
      </c>
      <c r="I450" s="169">
        <f>IF(OR(B450="",C450=""),"",IFERROR(INDEX(Vöruskrá!L:L,MATCH(B450,Vöruskrá!B:B,0))*C450/100000,""))</f>
        <v>0</v>
      </c>
      <c r="J450" s="169">
        <f>IF(OR(B450="",C450=""),"",IFERROR(INDEX(Vöruskrá!M:M,MATCH(B450,Vöruskrá!B:B,0))*C450/100000,""))</f>
        <v>0.76</v>
      </c>
      <c r="K450" s="169">
        <f>IF(OR(B450="",C450=""),"",IFERROR(INDEX(Vöruskrá!N:N,MATCH(B450,Vöruskrá!B:B,0))*C450/100000,""))</f>
        <v>0.56000000000000005</v>
      </c>
      <c r="L450" s="169">
        <f>IF(OR(B450="",C450=""),"",IFERROR(INDEX(Vöruskrá!O:O,MATCH(B450,Vöruskrá!B:B,0))*C450/100000,""))</f>
        <v>0.24</v>
      </c>
      <c r="M450" s="169">
        <f>IF(OR(B450="",C450=""),"",IFERROR(INDEX(Vöruskrá!P:P,MATCH(B450,Vöruskrá!B:B,0))*C450/100000,""))</f>
        <v>4.0000000000000001E-3</v>
      </c>
      <c r="N450" s="169">
        <f>IF(OR(B450="",C450=""),"",IFERROR(INDEX(Vöruskrá!Q:Q,MATCH(B450,Vöruskrá!B:B,0))*C450/100000,""))</f>
        <v>0</v>
      </c>
      <c r="O450" s="170">
        <f>IF(OR(B450="",C450=""),"",IFERROR(C450/1000*INDEX(Vöruskrá!R:R,MATCH(B450,Vöruskrá!B:B,0))/1000,""))</f>
        <v>0</v>
      </c>
      <c r="P450" s="173"/>
      <c r="Q450" s="157"/>
      <c r="R450" s="27"/>
    </row>
    <row r="451" spans="1:18">
      <c r="A451" s="171"/>
      <c r="B451" s="171" t="s">
        <v>1759</v>
      </c>
      <c r="C451" s="172">
        <v>3000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1"/>
      <c r="Q451" s="158"/>
      <c r="R451" s="6"/>
    </row>
    <row r="452" spans="1:18" ht="15">
      <c r="A452" s="173"/>
      <c r="B452" s="173" t="s">
        <v>1020</v>
      </c>
      <c r="C452" s="174">
        <v>48300</v>
      </c>
      <c r="D452" s="168" t="s">
        <v>1020</v>
      </c>
      <c r="E452" s="168" t="s">
        <v>134</v>
      </c>
      <c r="F452" s="168"/>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3"/>
      <c r="Q452" s="157"/>
      <c r="R452" s="27"/>
    </row>
    <row r="453" spans="1:18" ht="15">
      <c r="A453" s="171"/>
      <c r="B453" s="171" t="s">
        <v>1157</v>
      </c>
      <c r="C453" s="172">
        <v>1300</v>
      </c>
      <c r="D453" s="168" t="s">
        <v>1160</v>
      </c>
      <c r="E453" s="168" t="s">
        <v>1161</v>
      </c>
      <c r="F453" s="168"/>
      <c r="G453" s="169">
        <f>IF(OR(B453="",C453=""),"",IFERROR(INDEX(Vöruskrá!J:J,MATCH(B453,Vöruskrá!B:B,0))*C453/100000,""))</f>
        <v>1.69</v>
      </c>
      <c r="H453" s="169">
        <f>IF(OR(B453="",C453=""),"",IFERROR(INDEX(Vöruskrá!K:K,MATCH(B453,Vöruskrá!B:B,0))*C453/100000,""))</f>
        <v>0.104</v>
      </c>
      <c r="I453" s="169">
        <f>IF(OR(B453="",C453=""),"",IFERROR(INDEX(Vöruskrá!L:L,MATCH(B453,Vöruskrá!B:B,0))*C453/100000,""))</f>
        <v>6.4999999999999997E-3</v>
      </c>
      <c r="J453" s="169">
        <f>IF(OR(B453="",C453=""),"",IFERROR(INDEX(Vöruskrá!M:M,MATCH(B453,Vöruskrá!B:B,0))*C453/100000,""))</f>
        <v>7.8E-2</v>
      </c>
      <c r="K453" s="169">
        <f>IF(OR(B453="",C453=""),"",IFERROR(INDEX(Vöruskrá!N:N,MATCH(B453,Vöruskrá!B:B,0))*C453/100000,""))</f>
        <v>2.5999999999999999E-2</v>
      </c>
      <c r="L453" s="169">
        <f>IF(OR(B453="",C453=""),"",IFERROR(INDEX(Vöruskrá!O:O,MATCH(B453,Vöruskrá!B:B,0))*C453/100000,""))</f>
        <v>7.8E-2</v>
      </c>
      <c r="M453" s="169">
        <f>IF(OR(B453="",C453=""),"",IFERROR(INDEX(Vöruskrá!P:P,MATCH(B453,Vöruskrá!B:B,0))*C453/100000,""))</f>
        <v>5.8500000000000003E-2</v>
      </c>
      <c r="N453" s="169">
        <f>IF(OR(B453="",C453=""),"",IFERROR(INDEX(Vöruskrá!Q:Q,MATCH(B453,Vöruskrá!B:B,0))*C453/100000,""))</f>
        <v>3.9E-2</v>
      </c>
      <c r="O453" s="170">
        <f>IF(OR(B453="",C453=""),"",IFERROR(C453/1000*INDEX(Vöruskrá!R:R,MATCH(B453,Vöruskrá!B:B,0))/1000,""))</f>
        <v>0</v>
      </c>
      <c r="P453" s="171"/>
      <c r="Q453" s="158"/>
      <c r="R453" s="6"/>
    </row>
    <row r="454" spans="1:18" ht="15">
      <c r="A454" s="173"/>
      <c r="B454" s="173" t="s">
        <v>349</v>
      </c>
      <c r="C454" s="174">
        <v>2700</v>
      </c>
      <c r="D454" s="168" t="s">
        <v>351</v>
      </c>
      <c r="E454" s="168" t="s">
        <v>134</v>
      </c>
      <c r="F454" s="168"/>
      <c r="G454" s="169">
        <f>IF(OR(B454="",C454=""),"",IFERROR(INDEX(Vöruskrá!J:J,MATCH(B454,Vöruskrá!B:B,0))*C454/100000,""))</f>
        <v>9.5850000000000009</v>
      </c>
      <c r="H454" s="169">
        <f>IF(OR(B454="",C454=""),"",IFERROR(INDEX(Vöruskrá!K:K,MATCH(B454,Vöruskrá!B:B,0))*C454/100000,""))</f>
        <v>1.35E-2</v>
      </c>
      <c r="I454" s="169">
        <f>IF(OR(B454="",C454=""),"",IFERROR(INDEX(Vöruskrá!L:L,MATCH(B454,Vöruskrá!B:B,0))*C454/100000,""))</f>
        <v>0</v>
      </c>
      <c r="J454" s="169">
        <f>IF(OR(B454="",C454=""),"",IFERROR(INDEX(Vöruskrá!M:M,MATCH(B454,Vöruskrá!B:B,0))*C454/100000,""))</f>
        <v>2.3220000000000001</v>
      </c>
      <c r="K454" s="169">
        <f>IF(OR(B454="",C454=""),"",IFERROR(INDEX(Vöruskrá!N:N,MATCH(B454,Vöruskrá!B:B,0))*C454/100000,""))</f>
        <v>0</v>
      </c>
      <c r="L454" s="169">
        <f>IF(OR(B454="",C454=""),"",IFERROR(INDEX(Vöruskrá!O:O,MATCH(B454,Vöruskrá!B:B,0))*C454/100000,""))</f>
        <v>1.35E-2</v>
      </c>
      <c r="M454" s="169">
        <f>IF(OR(B454="",C454=""),"",IFERROR(INDEX(Vöruskrá!P:P,MATCH(B454,Vöruskrá!B:B,0))*C454/100000,""))</f>
        <v>0</v>
      </c>
      <c r="N454" s="169">
        <f>IF(OR(B454="",C454=""),"",IFERROR(INDEX(Vöruskrá!Q:Q,MATCH(B454,Vöruskrá!B:B,0))*C454/100000,""))</f>
        <v>2.7E-2</v>
      </c>
      <c r="O454" s="170">
        <f>IF(OR(B454="",C454=""),"",IFERROR(C454/1000*INDEX(Vöruskrá!R:R,MATCH(B454,Vöruskrá!B:B,0))/1000,""))</f>
        <v>0</v>
      </c>
      <c r="P454" s="173"/>
      <c r="Q454" s="157"/>
      <c r="R454" s="27"/>
    </row>
    <row r="455" spans="1:18" ht="15">
      <c r="A455" s="171"/>
      <c r="B455" s="171" t="s">
        <v>299</v>
      </c>
      <c r="C455" s="172">
        <v>1000</v>
      </c>
      <c r="D455" s="168" t="s">
        <v>302</v>
      </c>
      <c r="E455" s="168" t="s">
        <v>134</v>
      </c>
      <c r="F455" s="168" t="s">
        <v>303</v>
      </c>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1</v>
      </c>
      <c r="N455" s="169">
        <f>IF(OR(B455="",C455=""),"",IFERROR(INDEX(Vöruskrá!Q:Q,MATCH(B455,Vöruskrá!B:B,0))*C455/100000,""))</f>
        <v>0</v>
      </c>
      <c r="O455" s="170">
        <f>IF(OR(B455="",C455=""),"",IFERROR(C455/1000*INDEX(Vöruskrá!R:R,MATCH(B455,Vöruskrá!B:B,0))/1000,""))</f>
        <v>0</v>
      </c>
      <c r="P455" s="171"/>
      <c r="Q455" s="158"/>
      <c r="R455" s="6"/>
    </row>
    <row r="456" spans="1:18" ht="15">
      <c r="A456" s="173"/>
      <c r="B456" s="173" t="s">
        <v>1153</v>
      </c>
      <c r="C456" s="174">
        <v>400</v>
      </c>
      <c r="D456" s="168" t="s">
        <v>1154</v>
      </c>
      <c r="E456" s="168" t="s">
        <v>134</v>
      </c>
      <c r="F456" s="168"/>
      <c r="G456" s="169">
        <f>IF(OR(B456="",C456=""),"",IFERROR(INDEX(Vöruskrá!J:J,MATCH(B456,Vöruskrá!B:B,0))*C456/100000,""))</f>
        <v>1.1279999999999999</v>
      </c>
      <c r="H456" s="169">
        <f>IF(OR(B456="",C456=""),"",IFERROR(INDEX(Vöruskrá!K:K,MATCH(B456,Vöruskrá!B:B,0))*C456/100000,""))</f>
        <v>5.1999999999999998E-2</v>
      </c>
      <c r="I456" s="169">
        <f>IF(OR(B456="",C456=""),"",IFERROR(INDEX(Vöruskrá!L:L,MATCH(B456,Vöruskrá!B:B,0))*C456/100000,""))</f>
        <v>8.0000000000000002E-3</v>
      </c>
      <c r="J456" s="169">
        <f>IF(OR(B456="",C456=""),"",IFERROR(INDEX(Vöruskrá!M:M,MATCH(B456,Vöruskrá!B:B,0))*C456/100000,""))</f>
        <v>0.216</v>
      </c>
      <c r="K456" s="169">
        <f>IF(OR(B456="",C456=""),"",IFERROR(INDEX(Vöruskrá!N:N,MATCH(B456,Vöruskrá!B:B,0))*C456/100000,""))</f>
        <v>0.04</v>
      </c>
      <c r="L456" s="169">
        <f>IF(OR(B456="",C456=""),"",IFERROR(INDEX(Vöruskrá!O:O,MATCH(B456,Vöruskrá!B:B,0))*C456/100000,""))</f>
        <v>5.6000000000000001E-2</v>
      </c>
      <c r="M456" s="169">
        <f>IF(OR(B456="",C456=""),"",IFERROR(INDEX(Vöruskrá!P:P,MATCH(B456,Vöruskrá!B:B,0))*C456/100000,""))</f>
        <v>4.0000000000000002E-4</v>
      </c>
      <c r="N456" s="169">
        <f>IF(OR(B456="",C456=""),"",IFERROR(INDEX(Vöruskrá!Q:Q,MATCH(B456,Vöruskrá!B:B,0))*C456/100000,""))</f>
        <v>0.14000000000000001</v>
      </c>
      <c r="O456" s="170">
        <f>IF(OR(B456="",C456=""),"",IFERROR(C456/1000*INDEX(Vöruskrá!R:R,MATCH(B456,Vöruskrá!B:B,0))/1000,""))</f>
        <v>0</v>
      </c>
      <c r="P456" s="173"/>
      <c r="Q456" s="157"/>
      <c r="R456" s="27"/>
    </row>
    <row r="457" spans="1:18" ht="15">
      <c r="A457" s="171"/>
      <c r="B457" s="171" t="s">
        <v>819</v>
      </c>
      <c r="C457" s="172">
        <v>267</v>
      </c>
      <c r="D457" s="168" t="s">
        <v>820</v>
      </c>
      <c r="E457" s="168"/>
      <c r="F457" s="168" t="s">
        <v>311</v>
      </c>
      <c r="G457" s="169">
        <f>IF(OR(B457="",C457=""),"",IFERROR(INDEX(Vöruskrá!J:J,MATCH(B457,Vöruskrá!B:B,0))*C457/100000,""))</f>
        <v>1.0306200000000001</v>
      </c>
      <c r="H457" s="169">
        <f>IF(OR(B457="",C457=""),"",IFERROR(INDEX(Vöruskrá!K:K,MATCH(B457,Vöruskrá!B:B,0))*C457/100000,""))</f>
        <v>8.8109999999999994E-3</v>
      </c>
      <c r="I457" s="169">
        <f>IF(OR(B457="",C457=""),"",IFERROR(INDEX(Vöruskrá!L:L,MATCH(B457,Vöruskrá!B:B,0))*C457/100000,""))</f>
        <v>2.6700000000000001E-3</v>
      </c>
      <c r="J457" s="169">
        <f>IF(OR(B457="",C457=""),"",IFERROR(INDEX(Vöruskrá!M:M,MATCH(B457,Vöruskrá!B:B,0))*C457/100000,""))</f>
        <v>0.17355000000000001</v>
      </c>
      <c r="K457" s="169">
        <f>IF(OR(B457="",C457=""),"",IFERROR(INDEX(Vöruskrá!N:N,MATCH(B457,Vöruskrá!B:B,0))*C457/100000,""))</f>
        <v>1.6019999999999999E-3</v>
      </c>
      <c r="L457" s="169">
        <f>IF(OR(B457="",C457=""),"",IFERROR(INDEX(Vöruskrá!O:O,MATCH(B457,Vöruskrá!B:B,0))*C457/100000,""))</f>
        <v>2.937E-2</v>
      </c>
      <c r="M457" s="169">
        <f>IF(OR(B457="",C457=""),"",IFERROR(INDEX(Vöruskrá!P:P,MATCH(B457,Vöruskrá!B:B,0))*C457/100000,""))</f>
        <v>2.6700000000000004E-4</v>
      </c>
      <c r="N457" s="169">
        <f>IF(OR(B457="",C457=""),"",IFERROR(INDEX(Vöruskrá!Q:Q,MATCH(B457,Vöruskrá!B:B,0))*C457/100000,""))</f>
        <v>0</v>
      </c>
      <c r="O457" s="170">
        <f>IF(OR(B457="",C457=""),"",IFERROR(C457/1000*INDEX(Vöruskrá!R:R,MATCH(B457,Vöruskrá!B:B,0))/1000,""))</f>
        <v>0</v>
      </c>
      <c r="P457" s="171"/>
      <c r="Q457" s="158"/>
      <c r="R457" s="6"/>
    </row>
    <row r="458" spans="1:18" ht="15">
      <c r="A458" s="173"/>
      <c r="B458" s="173" t="s">
        <v>315</v>
      </c>
      <c r="C458" s="174">
        <v>200</v>
      </c>
      <c r="D458" s="168" t="s">
        <v>316</v>
      </c>
      <c r="E458" s="168" t="s">
        <v>134</v>
      </c>
      <c r="F458" s="168" t="s">
        <v>311</v>
      </c>
      <c r="G458" s="169">
        <f>IF(OR(B458="",C458=""),"",IFERROR(INDEX(Vöruskrá!J:J,MATCH(B458,Vöruskrá!B:B,0))*C458/100000,""))</f>
        <v>0.77</v>
      </c>
      <c r="H458" s="169">
        <f>IF(OR(B458="",C458=""),"",IFERROR(INDEX(Vöruskrá!K:K,MATCH(B458,Vöruskrá!B:B,0))*C458/100000,""))</f>
        <v>1.6000000000000001E-3</v>
      </c>
      <c r="I458" s="169">
        <f>IF(OR(B458="",C458=""),"",IFERROR(INDEX(Vöruskrá!L:L,MATCH(B458,Vöruskrá!B:B,0))*C458/100000,""))</f>
        <v>2.0000000000000001E-4</v>
      </c>
      <c r="J458" s="169">
        <f>IF(OR(B458="",C458=""),"",IFERROR(INDEX(Vöruskrá!M:M,MATCH(B458,Vöruskrá!B:B,0))*C458/100000,""))</f>
        <v>0.14599999999999999</v>
      </c>
      <c r="K458" s="169">
        <f>IF(OR(B458="",C458=""),"",IFERROR(INDEX(Vöruskrá!N:N,MATCH(B458,Vöruskrá!B:B,0))*C458/100000,""))</f>
        <v>4.8000000000000001E-2</v>
      </c>
      <c r="L458" s="169">
        <f>IF(OR(B458="",C458=""),"",IFERROR(INDEX(Vöruskrá!O:O,MATCH(B458,Vöruskrá!B:B,0))*C458/100000,""))</f>
        <v>3.4000000000000002E-2</v>
      </c>
      <c r="M458" s="169">
        <f>IF(OR(B458="",C458=""),"",IFERROR(INDEX(Vöruskrá!P:P,MATCH(B458,Vöruskrá!B:B,0))*C458/100000,""))</f>
        <v>2.0000000000000001E-4</v>
      </c>
      <c r="N458" s="169">
        <f>IF(OR(B458="",C458=""),"",IFERROR(INDEX(Vöruskrá!Q:Q,MATCH(B458,Vöruskrá!B:B,0))*C458/100000,""))</f>
        <v>0</v>
      </c>
      <c r="O458" s="170">
        <f>IF(OR(B458="",C458=""),"",IFERROR(C458/1000*INDEX(Vöruskrá!R:R,MATCH(B458,Vöruskrá!B:B,0))/1000,""))</f>
        <v>0</v>
      </c>
      <c r="P458" s="173"/>
      <c r="Q458" s="157"/>
      <c r="R458" s="27"/>
    </row>
    <row r="459" spans="1:18" ht="15">
      <c r="A459" s="171"/>
      <c r="B459" s="171" t="s">
        <v>823</v>
      </c>
      <c r="C459" s="172">
        <v>117</v>
      </c>
      <c r="D459" s="168" t="s">
        <v>824</v>
      </c>
      <c r="E459" s="168"/>
      <c r="F459" s="168" t="s">
        <v>311</v>
      </c>
      <c r="G459" s="169">
        <f>IF(OR(B459="",C459=""),"",IFERROR(INDEX(Vöruskrá!J:J,MATCH(B459,Vöruskrá!B:B,0))*C459/100000,""))</f>
        <v>0.33345000000000002</v>
      </c>
      <c r="H459" s="169">
        <f>IF(OR(B459="",C459=""),"",IFERROR(INDEX(Vöruskrá!K:K,MATCH(B459,Vöruskrá!B:B,0))*C459/100000,""))</f>
        <v>8.6580000000000008E-3</v>
      </c>
      <c r="I459" s="169">
        <f>IF(OR(B459="",C459=""),"",IFERROR(INDEX(Vöruskrá!L:L,MATCH(B459,Vöruskrá!B:B,0))*C459/100000,""))</f>
        <v>3.1590000000000003E-3</v>
      </c>
      <c r="J459" s="169">
        <f>IF(OR(B459="",C459=""),"",IFERROR(INDEX(Vöruskrá!M:M,MATCH(B459,Vöruskrá!B:B,0))*C459/100000,""))</f>
        <v>3.159E-2</v>
      </c>
      <c r="K459" s="169">
        <f>IF(OR(B459="",C459=""),"",IFERROR(INDEX(Vöruskrá!N:N,MATCH(B459,Vöruskrá!B:B,0))*C459/100000,""))</f>
        <v>1.9889999999999999E-3</v>
      </c>
      <c r="L459" s="169">
        <f>IF(OR(B459="",C459=""),"",IFERROR(INDEX(Vöruskrá!O:O,MATCH(B459,Vöruskrá!B:B,0))*C459/100000,""))</f>
        <v>1.0647E-2</v>
      </c>
      <c r="M459" s="169">
        <f>IF(OR(B459="",C459=""),"",IFERROR(INDEX(Vöruskrá!P:P,MATCH(B459,Vöruskrá!B:B,0))*C459/100000,""))</f>
        <v>1.1700000000000001E-4</v>
      </c>
      <c r="N459" s="169">
        <f>IF(OR(B459="",C459=""),"",IFERROR(INDEX(Vöruskrá!Q:Q,MATCH(B459,Vöruskrá!B:B,0))*C459/100000,""))</f>
        <v>0</v>
      </c>
      <c r="O459" s="170">
        <f>IF(OR(B459="",C459=""),"",IFERROR(C459/1000*INDEX(Vöruskrá!R:R,MATCH(B459,Vöruskrá!B:B,0))/1000,""))</f>
        <v>0</v>
      </c>
      <c r="P459" s="171"/>
      <c r="Q459" s="158"/>
      <c r="R459" s="6"/>
    </row>
    <row r="460" spans="1:18" ht="15">
      <c r="A460" s="173"/>
      <c r="B460" s="173" t="s">
        <v>1035</v>
      </c>
      <c r="C460" s="174">
        <v>67</v>
      </c>
      <c r="D460" s="168" t="s">
        <v>1036</v>
      </c>
      <c r="E460" s="168" t="s">
        <v>134</v>
      </c>
      <c r="F460" s="168" t="s">
        <v>1024</v>
      </c>
      <c r="G460" s="169">
        <f>IF(OR(B460="",C460=""),"",IFERROR(INDEX(Vöruskrá!J:J,MATCH(B460,Vöruskrá!B:B,0))*C460/100000,""))</f>
        <v>0.22176999999999999</v>
      </c>
      <c r="H460" s="169">
        <f>IF(OR(B460="",C460=""),"",IFERROR(INDEX(Vöruskrá!K:K,MATCH(B460,Vöruskrá!B:B,0))*C460/100000,""))</f>
        <v>1.0184E-2</v>
      </c>
      <c r="I460" s="169">
        <f>IF(OR(B460="",C460=""),"",IFERROR(INDEX(Vöruskrá!L:L,MATCH(B460,Vöruskrá!B:B,0))*C460/100000,""))</f>
        <v>4.9579999999999997E-3</v>
      </c>
      <c r="J460" s="169">
        <f>IF(OR(B460="",C460=""),"",IFERROR(INDEX(Vöruskrá!M:M,MATCH(B460,Vöruskrá!B:B,0))*C460/100000,""))</f>
        <v>3.1087999999999998E-2</v>
      </c>
      <c r="K460" s="169">
        <f>IF(OR(B460="",C460=""),"",IFERROR(INDEX(Vöruskrá!N:N,MATCH(B460,Vöruskrá!B:B,0))*C460/100000,""))</f>
        <v>0</v>
      </c>
      <c r="L460" s="169">
        <f>IF(OR(B460="",C460=""),"",IFERROR(INDEX(Vöruskrá!O:O,MATCH(B460,Vöruskrá!B:B,0))*C460/100000,""))</f>
        <v>3.2830000000000003E-3</v>
      </c>
      <c r="M460" s="169">
        <f>IF(OR(B460="",C460=""),"",IFERROR(INDEX(Vöruskrá!P:P,MATCH(B460,Vöruskrá!B:B,0))*C460/100000,""))</f>
        <v>0</v>
      </c>
      <c r="N460" s="169">
        <f>IF(OR(B460="",C460=""),"",IFERROR(INDEX(Vöruskrá!Q:Q,MATCH(B460,Vöruskrá!B:B,0))*C460/100000,""))</f>
        <v>2.8542000000000001E-2</v>
      </c>
      <c r="O460" s="170">
        <f>IF(OR(B460="",C460=""),"",IFERROR(C460/1000*INDEX(Vöruskrá!R:R,MATCH(B460,Vöruskrá!B:B,0))/1000,""))</f>
        <v>0</v>
      </c>
      <c r="P460" s="173"/>
      <c r="Q460" s="201"/>
      <c r="R460" s="202"/>
    </row>
    <row r="461" spans="1:18" ht="60">
      <c r="A461" s="147" t="s">
        <v>1774</v>
      </c>
      <c r="B461" s="147"/>
      <c r="C461" s="148"/>
      <c r="D461" s="165" t="s">
        <v>1775</v>
      </c>
      <c r="E461" s="165" t="s">
        <v>134</v>
      </c>
      <c r="F461" s="165"/>
      <c r="G461" s="166">
        <v>102.26</v>
      </c>
      <c r="H461" s="166">
        <v>6.04</v>
      </c>
      <c r="I461" s="166">
        <v>1.7</v>
      </c>
      <c r="J461" s="166">
        <v>0.94</v>
      </c>
      <c r="K461" s="166"/>
      <c r="L461" s="166">
        <v>11.05</v>
      </c>
      <c r="M461" s="166">
        <v>0.81</v>
      </c>
      <c r="N461" s="166">
        <f>IFERROR(SUM(N462:N469)/(SUM($C$462:$C$469)/100000),"")</f>
        <v>0.11961180388196119</v>
      </c>
      <c r="O461" s="167" t="str">
        <f>IF(OR(B461="",C461=""),"",IFERROR(C461/1000*INDEX(Vöruskrá!R:R,MATCH(B461,Vöruskrá!B:B,0))/1000,""))</f>
        <v/>
      </c>
      <c r="P461" s="196" t="s">
        <v>1776</v>
      </c>
      <c r="Q461" s="199" t="s">
        <v>1777</v>
      </c>
      <c r="R461" s="198" t="s">
        <v>1778</v>
      </c>
    </row>
    <row r="462" spans="1:18" ht="15">
      <c r="A462" s="171"/>
      <c r="B462" s="171" t="s">
        <v>542</v>
      </c>
      <c r="C462" s="172">
        <v>54682</v>
      </c>
      <c r="D462" s="168" t="s">
        <v>543</v>
      </c>
      <c r="E462" s="168" t="s">
        <v>134</v>
      </c>
      <c r="F462" s="168"/>
      <c r="G462" s="169">
        <f>IF(OR(B462="",C462=""),"",IFERROR(INDEX(Vöruskrá!J:J,MATCH(B462,Vöruskrá!B:B,0))*C462/100000,""))</f>
        <v>97.880780000000001</v>
      </c>
      <c r="H462" s="169">
        <f>IF(OR(B462="",C462=""),"",IFERROR(INDEX(Vöruskrá!K:K,MATCH(B462,Vöruskrá!B:B,0))*C462/100000,""))</f>
        <v>6.0150199999999998</v>
      </c>
      <c r="I462" s="169">
        <f>IF(OR(B462="",C462=""),"",IFERROR(INDEX(Vöruskrá!L:L,MATCH(B462,Vöruskrá!B:B,0))*C462/100000,""))</f>
        <v>1.6951420000000001</v>
      </c>
      <c r="J462" s="169">
        <f>IF(OR(B462="",C462=""),"",IFERROR(INDEX(Vöruskrá!M:M,MATCH(B462,Vöruskrá!B:B,0))*C462/100000,""))</f>
        <v>0</v>
      </c>
      <c r="K462" s="169">
        <f>IF(OR(B462="",C462=""),"",IFERROR(INDEX(Vöruskrá!N:N,MATCH(B462,Vöruskrá!B:B,0))*C462/100000,""))</f>
        <v>0</v>
      </c>
      <c r="L462" s="169">
        <f>IF(OR(B462="",C462=""),"",IFERROR(INDEX(Vöruskrá!O:O,MATCH(B462,Vöruskrá!B:B,0))*C462/100000,""))</f>
        <v>10.936400000000001</v>
      </c>
      <c r="M462" s="169">
        <f>IF(OR(B462="",C462=""),"",IFERROR(INDEX(Vöruskrá!P:P,MATCH(B462,Vöruskrá!B:B,0))*C462/100000,""))</f>
        <v>0.10936400000000002</v>
      </c>
      <c r="N462" s="169">
        <f>IF(OR(B462="",C462=""),"",IFERROR(INDEX(Vöruskrá!Q:Q,MATCH(B462,Vöruskrá!B:B,0))*C462/100000,""))</f>
        <v>0</v>
      </c>
      <c r="O462" s="170">
        <f>IF(OR(B462="",C462=""),"",IFERROR(C462/1000*INDEX(Vöruskrá!R:R,MATCH(B462,Vöruskrá!B:B,0))/1000,""))</f>
        <v>0</v>
      </c>
      <c r="P462" s="171"/>
      <c r="Q462" s="203"/>
      <c r="R462" s="204"/>
    </row>
    <row r="463" spans="1:18" ht="15">
      <c r="A463" s="173"/>
      <c r="B463" s="173" t="s">
        <v>1010</v>
      </c>
      <c r="C463" s="174">
        <v>6835</v>
      </c>
      <c r="D463" s="168" t="s">
        <v>1010</v>
      </c>
      <c r="E463" s="168" t="s">
        <v>134</v>
      </c>
      <c r="F463" s="168"/>
      <c r="G463" s="169">
        <f>IF(OR(B463="",C463=""),"",IFERROR(INDEX(Vöruskrá!J:J,MATCH(B463,Vöruskrá!B:B,0))*C463/100000,""))</f>
        <v>2.734</v>
      </c>
      <c r="H463" s="169">
        <f>IF(OR(B463="",C463=""),"",IFERROR(INDEX(Vöruskrá!K:K,MATCH(B463,Vöruskrá!B:B,0))*C463/100000,""))</f>
        <v>6.8349999999999999E-3</v>
      </c>
      <c r="I463" s="169">
        <f>IF(OR(B463="",C463=""),"",IFERROR(INDEX(Vöruskrá!L:L,MATCH(B463,Vöruskrá!B:B,0))*C463/100000,""))</f>
        <v>0</v>
      </c>
      <c r="J463" s="169">
        <f>IF(OR(B463="",C463=""),"",IFERROR(INDEX(Vöruskrá!M:M,MATCH(B463,Vöruskrá!B:B,0))*C463/100000,""))</f>
        <v>0.63565500000000008</v>
      </c>
      <c r="K463" s="169">
        <f>IF(OR(B463="",C463=""),"",IFERROR(INDEX(Vöruskrá!N:N,MATCH(B463,Vöruskrá!B:B,0))*C463/100000,""))</f>
        <v>0.28706999999999999</v>
      </c>
      <c r="L463" s="169">
        <f>IF(OR(B463="",C463=""),"",IFERROR(INDEX(Vöruskrá!O:O,MATCH(B463,Vöruskrá!B:B,0))*C463/100000,""))</f>
        <v>7.5185000000000016E-2</v>
      </c>
      <c r="M463" s="169">
        <f>IF(OR(B463="",C463=""),"",IFERROR(INDEX(Vöruskrá!P:P,MATCH(B463,Vöruskrá!B:B,0))*C463/100000,""))</f>
        <v>0</v>
      </c>
      <c r="N463" s="169">
        <f>IF(OR(B463="",C463=""),"",IFERROR(INDEX(Vöruskrá!Q:Q,MATCH(B463,Vöruskrá!B:B,0))*C463/100000,""))</f>
        <v>0.11619500000000001</v>
      </c>
      <c r="O463" s="170">
        <f>IF(OR(B463="",C463=""),"",IFERROR(C463/1000*INDEX(Vöruskrá!R:R,MATCH(B463,Vöruskrá!B:B,0))/1000,""))</f>
        <v>0</v>
      </c>
      <c r="P463" s="173"/>
      <c r="Q463" s="158"/>
      <c r="R463" s="6"/>
    </row>
    <row r="464" spans="1:18" ht="15">
      <c r="A464" s="171"/>
      <c r="B464" s="171" t="s">
        <v>1463</v>
      </c>
      <c r="C464" s="172">
        <v>3418</v>
      </c>
      <c r="D464" s="168"/>
      <c r="E464" s="168"/>
      <c r="F464" s="168"/>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v>
      </c>
      <c r="N464" s="169">
        <f>IF(OR(B464="",C464=""),"",IFERROR(INDEX(Vöruskrá!Q:Q,MATCH(B464,Vöruskrá!B:B,0))*C464/100000,""))</f>
        <v>0</v>
      </c>
      <c r="O464" s="170">
        <f>IF(OR(B464="",C464=""),"",IFERROR(C464/1000*INDEX(Vöruskrá!R:R,MATCH(B464,Vöruskrá!B:B,0))/1000,""))</f>
        <v>0</v>
      </c>
      <c r="P464" s="171"/>
      <c r="Q464" s="157"/>
      <c r="R464" s="27"/>
    </row>
    <row r="465" spans="1:18" ht="15">
      <c r="A465" s="173"/>
      <c r="B465" s="173" t="s">
        <v>1466</v>
      </c>
      <c r="C465" s="174">
        <v>3418</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8"/>
      <c r="R465" s="6"/>
    </row>
    <row r="466" spans="1:18" ht="15">
      <c r="A466" s="171"/>
      <c r="B466" s="171" t="s">
        <v>293</v>
      </c>
      <c r="C466" s="172">
        <v>3418</v>
      </c>
      <c r="D466" s="168" t="s">
        <v>295</v>
      </c>
      <c r="E466" s="168" t="s">
        <v>134</v>
      </c>
      <c r="F466" s="168"/>
      <c r="G466" s="169">
        <f>IF(OR(B466="",C466=""),"",IFERROR(INDEX(Vöruskrá!J:J,MATCH(B466,Vöruskrá!B:B,0))*C466/100000,""))</f>
        <v>0.85450000000000004</v>
      </c>
      <c r="H466" s="169">
        <f>IF(OR(B466="",C466=""),"",IFERROR(INDEX(Vöruskrá!K:K,MATCH(B466,Vöruskrá!B:B,0))*C466/100000,""))</f>
        <v>1.0253999999999999E-2</v>
      </c>
      <c r="I466" s="169">
        <f>IF(OR(B466="",C466=""),"",IFERROR(INDEX(Vöruskrá!L:L,MATCH(B466,Vöruskrá!B:B,0))*C466/100000,""))</f>
        <v>0</v>
      </c>
      <c r="J466" s="169">
        <f>IF(OR(B466="",C466=""),"",IFERROR(INDEX(Vöruskrá!M:M,MATCH(B466,Vöruskrá!B:B,0))*C466/100000,""))</f>
        <v>0.1709</v>
      </c>
      <c r="K466" s="169">
        <f>IF(OR(B466="",C466=""),"",IFERROR(INDEX(Vöruskrá!N:N,MATCH(B466,Vöruskrá!B:B,0))*C466/100000,""))</f>
        <v>2.3925999999999999E-2</v>
      </c>
      <c r="L466" s="169">
        <f>IF(OR(B466="",C466=""),"",IFERROR(INDEX(Vöruskrá!O:O,MATCH(B466,Vöruskrá!B:B,0))*C466/100000,""))</f>
        <v>1.7090000000000001E-2</v>
      </c>
      <c r="M466" s="169">
        <f>IF(OR(B466="",C466=""),"",IFERROR(INDEX(Vöruskrá!P:P,MATCH(B466,Vöruskrá!B:B,0))*C466/100000,""))</f>
        <v>1.7090000000000001E-2</v>
      </c>
      <c r="N466" s="169">
        <f>IF(OR(B466="",C466=""),"",IFERROR(INDEX(Vöruskrá!Q:Q,MATCH(B466,Vöruskrá!B:B,0))*C466/100000,""))</f>
        <v>3.418E-3</v>
      </c>
      <c r="O466" s="170">
        <f>IF(OR(B466="",C466=""),"",IFERROR(C466/1000*INDEX(Vöruskrá!R:R,MATCH(B466,Vöruskrá!B:B,0))/1000,""))</f>
        <v>0</v>
      </c>
      <c r="P466" s="171"/>
      <c r="Q466" s="157"/>
      <c r="R466" s="27"/>
    </row>
    <row r="467" spans="1:18" ht="15">
      <c r="A467" s="173"/>
      <c r="B467" s="173" t="s">
        <v>1020</v>
      </c>
      <c r="C467" s="174">
        <v>27341</v>
      </c>
      <c r="D467" s="168" t="s">
        <v>1020</v>
      </c>
      <c r="E467" s="168" t="s">
        <v>134</v>
      </c>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3"/>
      <c r="Q467" s="158"/>
      <c r="R467" s="6"/>
    </row>
    <row r="468" spans="1:18" ht="15">
      <c r="A468" s="171"/>
      <c r="B468" s="171" t="s">
        <v>299</v>
      </c>
      <c r="C468" s="172">
        <v>684</v>
      </c>
      <c r="D468" s="168" t="s">
        <v>302</v>
      </c>
      <c r="E468" s="168" t="s">
        <v>134</v>
      </c>
      <c r="F468" s="168" t="s">
        <v>303</v>
      </c>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0.68400000000000005</v>
      </c>
      <c r="N468" s="169">
        <f>IF(OR(B468="",C468=""),"",IFERROR(INDEX(Vöruskrá!Q:Q,MATCH(B468,Vöruskrá!B:B,0))*C468/100000,""))</f>
        <v>0</v>
      </c>
      <c r="O468" s="170">
        <f>IF(OR(B468="",C468=""),"",IFERROR(C468/1000*INDEX(Vöruskrá!R:R,MATCH(B468,Vöruskrá!B:B,0))/1000,""))</f>
        <v>0</v>
      </c>
      <c r="P468" s="171"/>
      <c r="Q468" s="157"/>
      <c r="R468" s="27"/>
    </row>
    <row r="469" spans="1:18" ht="15">
      <c r="A469" s="173"/>
      <c r="B469" s="173" t="s">
        <v>819</v>
      </c>
      <c r="C469" s="174">
        <v>205</v>
      </c>
      <c r="D469" s="168" t="s">
        <v>820</v>
      </c>
      <c r="E469" s="168"/>
      <c r="F469" s="168" t="s">
        <v>311</v>
      </c>
      <c r="G469" s="169">
        <f>IF(OR(B469="",C469=""),"",IFERROR(INDEX(Vöruskrá!J:J,MATCH(B469,Vöruskrá!B:B,0))*C469/100000,""))</f>
        <v>0.7913</v>
      </c>
      <c r="H469" s="169">
        <f>IF(OR(B469="",C469=""),"",IFERROR(INDEX(Vöruskrá!K:K,MATCH(B469,Vöruskrá!B:B,0))*C469/100000,""))</f>
        <v>6.7650000000000002E-3</v>
      </c>
      <c r="I469" s="169">
        <f>IF(OR(B469="",C469=""),"",IFERROR(INDEX(Vöruskrá!L:L,MATCH(B469,Vöruskrá!B:B,0))*C469/100000,""))</f>
        <v>2.0500000000000002E-3</v>
      </c>
      <c r="J469" s="169">
        <f>IF(OR(B469="",C469=""),"",IFERROR(INDEX(Vöruskrá!M:M,MATCH(B469,Vöruskrá!B:B,0))*C469/100000,""))</f>
        <v>0.13325000000000001</v>
      </c>
      <c r="K469" s="169">
        <f>IF(OR(B469="",C469=""),"",IFERROR(INDEX(Vöruskrá!N:N,MATCH(B469,Vöruskrá!B:B,0))*C469/100000,""))</f>
        <v>1.23E-3</v>
      </c>
      <c r="L469" s="169">
        <f>IF(OR(B469="",C469=""),"",IFERROR(INDEX(Vöruskrá!O:O,MATCH(B469,Vöruskrá!B:B,0))*C469/100000,""))</f>
        <v>2.2550000000000001E-2</v>
      </c>
      <c r="M469" s="169">
        <f>IF(OR(B469="",C469=""),"",IFERROR(INDEX(Vöruskrá!P:P,MATCH(B469,Vöruskrá!B:B,0))*C469/100000,""))</f>
        <v>2.05E-4</v>
      </c>
      <c r="N469" s="169">
        <f>IF(OR(B469="",C469=""),"",IFERROR(INDEX(Vöruskrá!Q:Q,MATCH(B469,Vöruskrá!B:B,0))*C469/100000,""))</f>
        <v>0</v>
      </c>
      <c r="O469" s="170">
        <f>IF(OR(B469="",C469=""),"",IFERROR(C469/1000*INDEX(Vöruskrá!R:R,MATCH(B469,Vöruskrá!B:B,0))/1000,""))</f>
        <v>0</v>
      </c>
      <c r="P469" s="173"/>
      <c r="Q469" s="200"/>
      <c r="R469" s="159"/>
    </row>
    <row r="470" spans="1:18" ht="48">
      <c r="A470" s="147" t="s">
        <v>1779</v>
      </c>
      <c r="B470" s="147"/>
      <c r="C470" s="148"/>
      <c r="D470" s="165" t="s">
        <v>1780</v>
      </c>
      <c r="E470" s="165" t="s">
        <v>1781</v>
      </c>
      <c r="F470" s="165"/>
      <c r="G470" s="166">
        <v>113.19</v>
      </c>
      <c r="H470" s="166">
        <v>5.44</v>
      </c>
      <c r="I470" s="166">
        <v>1.3</v>
      </c>
      <c r="J470" s="166">
        <v>6.3</v>
      </c>
      <c r="K470" s="166"/>
      <c r="L470" s="166">
        <v>9.4</v>
      </c>
      <c r="M470" s="166">
        <v>3.34</v>
      </c>
      <c r="N470" s="166">
        <f>IFERROR(SUM(N471:N486)/(SUM($C$471:$C$486)/100000),"")</f>
        <v>7.5525264565911715E-3</v>
      </c>
      <c r="O470" s="167" t="str">
        <f>IF(OR(B470="",C470=""),"",IFERROR(C470/1000*INDEX(Vöruskrá!R:R,MATCH(B470,Vöruskrá!B:B,0))/1000,""))</f>
        <v/>
      </c>
      <c r="P470" s="196" t="s">
        <v>1782</v>
      </c>
      <c r="Q470" s="195" t="s">
        <v>1783</v>
      </c>
      <c r="R470" s="194" t="s">
        <v>1784</v>
      </c>
    </row>
    <row r="471" spans="1:18" ht="15">
      <c r="A471" s="171"/>
      <c r="B471" s="171" t="s">
        <v>542</v>
      </c>
      <c r="C471" s="172">
        <v>20000</v>
      </c>
      <c r="D471" s="168" t="s">
        <v>543</v>
      </c>
      <c r="E471" s="168" t="s">
        <v>134</v>
      </c>
      <c r="F471" s="168"/>
      <c r="G471" s="169">
        <f>IF(OR(B471="",C471=""),"",IFERROR(INDEX(Vöruskrá!J:J,MATCH(B471,Vöruskrá!B:B,0))*C471/100000,""))</f>
        <v>35.799999999999997</v>
      </c>
      <c r="H471" s="169">
        <f>IF(OR(B471="",C471=""),"",IFERROR(INDEX(Vöruskrá!K:K,MATCH(B471,Vöruskrá!B:B,0))*C471/100000,""))</f>
        <v>2.2000000000000002</v>
      </c>
      <c r="I471" s="169">
        <f>IF(OR(B471="",C471=""),"",IFERROR(INDEX(Vöruskrá!L:L,MATCH(B471,Vöruskrá!B:B,0))*C471/100000,""))</f>
        <v>0.62</v>
      </c>
      <c r="J471" s="169">
        <f>IF(OR(B471="",C471=""),"",IFERROR(INDEX(Vöruskrá!M:M,MATCH(B471,Vöruskrá!B:B,0))*C471/100000,""))</f>
        <v>0</v>
      </c>
      <c r="K471" s="169">
        <f>IF(OR(B471="",C471=""),"",IFERROR(INDEX(Vöruskrá!N:N,MATCH(B471,Vöruskrá!B:B,0))*C471/100000,""))</f>
        <v>0</v>
      </c>
      <c r="L471" s="169">
        <f>IF(OR(B471="",C471=""),"",IFERROR(INDEX(Vöruskrá!O:O,MATCH(B471,Vöruskrá!B:B,0))*C471/100000,""))</f>
        <v>4</v>
      </c>
      <c r="M471" s="169">
        <f>IF(OR(B471="",C471=""),"",IFERROR(INDEX(Vöruskrá!P:P,MATCH(B471,Vöruskrá!B:B,0))*C471/100000,""))</f>
        <v>0.04</v>
      </c>
      <c r="N471" s="169">
        <f>IF(OR(B471="",C471=""),"",IFERROR(INDEX(Vöruskrá!Q:Q,MATCH(B471,Vöruskrá!B:B,0))*C471/100000,""))</f>
        <v>0</v>
      </c>
      <c r="O471" s="170">
        <f>IF(OR(B471="",C471=""),"",IFERROR(C471/1000*INDEX(Vöruskrá!R:R,MATCH(B471,Vöruskrá!B:B,0))/1000,""))</f>
        <v>0</v>
      </c>
      <c r="P471" s="171"/>
      <c r="Q471" s="197"/>
      <c r="R471" s="164"/>
    </row>
    <row r="472" spans="1:18" ht="15">
      <c r="A472" s="173"/>
      <c r="B472" s="173" t="s">
        <v>1111</v>
      </c>
      <c r="C472" s="174">
        <v>20000</v>
      </c>
      <c r="D472" s="168" t="s">
        <v>1112</v>
      </c>
      <c r="E472" s="168" t="s">
        <v>1099</v>
      </c>
      <c r="F472" s="168" t="s">
        <v>1113</v>
      </c>
      <c r="G472" s="169">
        <f>IF(OR(B472="",C472=""),"",IFERROR(INDEX(Vöruskrá!J:J,MATCH(B472,Vöruskrá!B:B,0))*C472/100000,""))</f>
        <v>35.799999999999997</v>
      </c>
      <c r="H472" s="169">
        <f>IF(OR(B472="",C472=""),"",IFERROR(INDEX(Vöruskrá!K:K,MATCH(B472,Vöruskrá!B:B,0))*C472/100000,""))</f>
        <v>2.2000000000000002</v>
      </c>
      <c r="I472" s="169">
        <f>IF(OR(B472="",C472=""),"",IFERROR(INDEX(Vöruskrá!L:L,MATCH(B472,Vöruskrá!B:B,0))*C472/100000,""))</f>
        <v>0.62</v>
      </c>
      <c r="J472" s="169">
        <f>IF(OR(B472="",C472=""),"",IFERROR(INDEX(Vöruskrá!M:M,MATCH(B472,Vöruskrá!B:B,0))*C472/100000,""))</f>
        <v>0</v>
      </c>
      <c r="K472" s="169">
        <f>IF(OR(B472="",C472=""),"",IFERROR(INDEX(Vöruskrá!N:N,MATCH(B472,Vöruskrá!B:B,0))*C472/100000,""))</f>
        <v>0</v>
      </c>
      <c r="L472" s="169">
        <f>IF(OR(B472="",C472=""),"",IFERROR(INDEX(Vöruskrá!O:O,MATCH(B472,Vöruskrá!B:B,0))*C472/100000,""))</f>
        <v>4</v>
      </c>
      <c r="M472" s="169">
        <f>IF(OR(B472="",C472=""),"",IFERROR(INDEX(Vöruskrá!P:P,MATCH(B472,Vöruskrá!B:B,0))*C472/100000,""))</f>
        <v>0.04</v>
      </c>
      <c r="N472" s="169">
        <f>IF(OR(B472="",C472=""),"",IFERROR(INDEX(Vöruskrá!Q:Q,MATCH(B472,Vöruskrá!B:B,0))*C472/100000,""))</f>
        <v>0</v>
      </c>
      <c r="O472" s="170">
        <f>IF(OR(B472="",C472=""),"",IFERROR(C472/1000*INDEX(Vöruskrá!R:R,MATCH(B472,Vöruskrá!B:B,0))/1000,""))</f>
        <v>0</v>
      </c>
      <c r="P472" s="173"/>
      <c r="Q472" s="157"/>
      <c r="R472" s="27"/>
    </row>
    <row r="473" spans="1:18" ht="15">
      <c r="A473" s="171"/>
      <c r="B473" s="171" t="s">
        <v>718</v>
      </c>
      <c r="C473" s="172">
        <v>10000</v>
      </c>
      <c r="D473" s="168" t="s">
        <v>720</v>
      </c>
      <c r="E473" s="168"/>
      <c r="F473" s="168"/>
      <c r="G473" s="169" t="str">
        <f>IF(OR(B473="",C473=""),"",IFERROR(INDEX(Vöruskrá!J:J,MATCH(B473,Vöruskrá!B:B,0))*C473/100000,""))</f>
        <v/>
      </c>
      <c r="H473" s="169" t="str">
        <f>IF(OR(B473="",C473=""),"",IFERROR(INDEX(Vöruskrá!K:K,MATCH(B473,Vöruskrá!B:B,0))*C473/100000,""))</f>
        <v/>
      </c>
      <c r="I473" s="169" t="str">
        <f>IF(OR(B473="",C473=""),"",IFERROR(INDEX(Vöruskrá!L:L,MATCH(B473,Vöruskrá!B:B,0))*C473/100000,""))</f>
        <v/>
      </c>
      <c r="J473" s="169" t="str">
        <f>IF(OR(B473="",C473=""),"",IFERROR(INDEX(Vöruskrá!M:M,MATCH(B473,Vöruskrá!B:B,0))*C473/100000,""))</f>
        <v/>
      </c>
      <c r="K473" s="169" t="str">
        <f>IF(OR(B473="",C473=""),"",IFERROR(INDEX(Vöruskrá!N:N,MATCH(B473,Vöruskrá!B:B,0))*C473/100000,""))</f>
        <v/>
      </c>
      <c r="L473" s="169" t="str">
        <f>IF(OR(B473="",C473=""),"",IFERROR(INDEX(Vöruskrá!O:O,MATCH(B473,Vöruskrá!B:B,0))*C473/100000,""))</f>
        <v/>
      </c>
      <c r="M473" s="169" t="str">
        <f>IF(OR(B473="",C473=""),"",IFERROR(INDEX(Vöruskrá!P:P,MATCH(B473,Vöruskrá!B:B,0))*C473/100000,""))</f>
        <v/>
      </c>
      <c r="N473" s="169" t="str">
        <f>IF(OR(B473="",C473=""),"",IFERROR(INDEX(Vöruskrá!Q:Q,MATCH(B473,Vöruskrá!B:B,0))*C473/100000,""))</f>
        <v/>
      </c>
      <c r="O473" s="170" t="str">
        <f>IF(OR(B473="",C473=""),"",IFERROR(C473/1000*INDEX(Vöruskrá!R:R,MATCH(B473,Vöruskrá!B:B,0))/1000,""))</f>
        <v/>
      </c>
      <c r="P473" s="171"/>
      <c r="Q473" s="158"/>
      <c r="R473" s="6"/>
    </row>
    <row r="474" spans="1:18" ht="15">
      <c r="A474" s="173"/>
      <c r="B474" s="173" t="s">
        <v>247</v>
      </c>
      <c r="C474" s="174">
        <v>6700</v>
      </c>
      <c r="D474" s="168" t="s">
        <v>251</v>
      </c>
      <c r="E474" s="168" t="s">
        <v>252</v>
      </c>
      <c r="F474" s="168"/>
      <c r="G474" s="169" t="str">
        <f>IF(OR(B474="",C474=""),"",IFERROR(INDEX(Vöruskrá!J:J,MATCH(B474,Vöruskrá!B:B,0))*C474/100000,""))</f>
        <v/>
      </c>
      <c r="H474" s="169" t="str">
        <f>IF(OR(B474="",C474=""),"",IFERROR(INDEX(Vöruskrá!K:K,MATCH(B474,Vöruskrá!B:B,0))*C474/100000,""))</f>
        <v/>
      </c>
      <c r="I474" s="169" t="str">
        <f>IF(OR(B474="",C474=""),"",IFERROR(INDEX(Vöruskrá!L:L,MATCH(B474,Vöruskrá!B:B,0))*C474/100000,""))</f>
        <v/>
      </c>
      <c r="J474" s="169" t="str">
        <f>IF(OR(B474="",C474=""),"",IFERROR(INDEX(Vöruskrá!M:M,MATCH(B474,Vöruskrá!B:B,0))*C474/100000,""))</f>
        <v/>
      </c>
      <c r="K474" s="169" t="str">
        <f>IF(OR(B474="",C474=""),"",IFERROR(INDEX(Vöruskrá!N:N,MATCH(B474,Vöruskrá!B:B,0))*C474/100000,""))</f>
        <v/>
      </c>
      <c r="L474" s="169" t="str">
        <f>IF(OR(B474="",C474=""),"",IFERROR(INDEX(Vöruskrá!O:O,MATCH(B474,Vöruskrá!B:B,0))*C474/100000,""))</f>
        <v/>
      </c>
      <c r="M474" s="169" t="str">
        <f>IF(OR(B474="",C474=""),"",IFERROR(INDEX(Vöruskrá!P:P,MATCH(B474,Vöruskrá!B:B,0))*C474/100000,""))</f>
        <v/>
      </c>
      <c r="N474" s="169" t="str">
        <f>IF(OR(B474="",C474=""),"",IFERROR(INDEX(Vöruskrá!Q:Q,MATCH(B474,Vöruskrá!B:B,0))*C474/100000,""))</f>
        <v/>
      </c>
      <c r="O474" s="170" t="str">
        <f>IF(OR(B474="",C474=""),"",IFERROR(C474/1000*INDEX(Vöruskrá!R:R,MATCH(B474,Vöruskrá!B:B,0))/1000,""))</f>
        <v/>
      </c>
      <c r="P474" s="173"/>
      <c r="Q474" s="157"/>
      <c r="R474" s="27"/>
    </row>
    <row r="475" spans="1:18" ht="15">
      <c r="A475" s="171"/>
      <c r="B475" s="171" t="s">
        <v>743</v>
      </c>
      <c r="C475" s="172">
        <v>33300</v>
      </c>
      <c r="D475" s="168" t="s">
        <v>745</v>
      </c>
      <c r="E475" s="168"/>
      <c r="F475" s="168"/>
      <c r="G475" s="169">
        <f>IF(OR(B475="",C475=""),"",IFERROR(INDEX(Vöruskrá!J:J,MATCH(B475,Vöruskrá!B:B,0))*C475/100000,""))</f>
        <v>9.3239999999999998</v>
      </c>
      <c r="H475" s="169">
        <f>IF(OR(B475="",C475=""),"",IFERROR(INDEX(Vöruskrá!K:K,MATCH(B475,Vöruskrá!B:B,0))*C475/100000,""))</f>
        <v>3.3300000000000003E-2</v>
      </c>
      <c r="I475" s="169">
        <f>IF(OR(B475="",C475=""),"",IFERROR(INDEX(Vöruskrá!L:L,MATCH(B475,Vöruskrá!B:B,0))*C475/100000,""))</f>
        <v>0</v>
      </c>
      <c r="J475" s="169">
        <f>IF(OR(B475="",C475=""),"",IFERROR(INDEX(Vöruskrá!M:M,MATCH(B475,Vöruskrá!B:B,0))*C475/100000,""))</f>
        <v>1.665</v>
      </c>
      <c r="K475" s="169">
        <f>IF(OR(B475="",C475=""),"",IFERROR(INDEX(Vöruskrá!N:N,MATCH(B475,Vöruskrá!B:B,0))*C475/100000,""))</f>
        <v>1.1322000000000001</v>
      </c>
      <c r="L475" s="169">
        <f>IF(OR(B475="",C475=""),"",IFERROR(INDEX(Vöruskrá!O:O,MATCH(B475,Vöruskrá!B:B,0))*C475/100000,""))</f>
        <v>0.4995</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504</v>
      </c>
      <c r="C476" s="174">
        <v>5000</v>
      </c>
      <c r="D476" s="168" t="s">
        <v>500</v>
      </c>
      <c r="E476" s="168" t="s">
        <v>134</v>
      </c>
      <c r="F476" s="168"/>
      <c r="G476" s="169">
        <f>IF(OR(B476="",C476=""),"",IFERROR(INDEX(Vöruskrá!J:J,MATCH(B476,Vöruskrá!B:B,0))*C476/100000,""))</f>
        <v>5.65</v>
      </c>
      <c r="H476" s="169">
        <f>IF(OR(B476="",C476=""),"",IFERROR(INDEX(Vöruskrá!K:K,MATCH(B476,Vöruskrá!B:B,0))*C476/100000,""))</f>
        <v>0.02</v>
      </c>
      <c r="I476" s="169">
        <f>IF(OR(B476="",C476=""),"",IFERROR(INDEX(Vöruskrá!L:L,MATCH(B476,Vöruskrá!B:B,0))*C476/100000,""))</f>
        <v>0</v>
      </c>
      <c r="J476" s="169">
        <f>IF(OR(B476="",C476=""),"",IFERROR(INDEX(Vöruskrá!M:M,MATCH(B476,Vöruskrá!B:B,0))*C476/100000,""))</f>
        <v>0.95</v>
      </c>
      <c r="K476" s="169">
        <f>IF(OR(B476="",C476=""),"",IFERROR(INDEX(Vöruskrá!N:N,MATCH(B476,Vöruskrá!B:B,0))*C476/100000,""))</f>
        <v>0.7</v>
      </c>
      <c r="L476" s="169">
        <f>IF(OR(B476="",C476=""),"",IFERROR(INDEX(Vöruskrá!O:O,MATCH(B476,Vöruskrá!B:B,0))*C476/100000,""))</f>
        <v>0.3</v>
      </c>
      <c r="M476" s="169">
        <f>IF(OR(B476="",C476=""),"",IFERROR(INDEX(Vöruskrá!P:P,MATCH(B476,Vöruskrá!B:B,0))*C476/100000,""))</f>
        <v>5.0000000000000001E-3</v>
      </c>
      <c r="N476" s="169">
        <f>IF(OR(B476="",C476=""),"",IFERROR(INDEX(Vöruskrá!Q:Q,MATCH(B476,Vöruskrá!B:B,0))*C476/100000,""))</f>
        <v>0</v>
      </c>
      <c r="O476" s="170">
        <f>IF(OR(B476="",C476=""),"",IFERROR(C476/1000*INDEX(Vöruskrá!R:R,MATCH(B476,Vöruskrá!B:B,0))/1000,""))</f>
        <v>0</v>
      </c>
      <c r="P476" s="173"/>
      <c r="Q476" s="157"/>
      <c r="R476" s="27"/>
    </row>
    <row r="477" spans="1:18" ht="15">
      <c r="A477" s="171"/>
      <c r="B477" s="171" t="s">
        <v>1072</v>
      </c>
      <c r="C477" s="172">
        <v>8300</v>
      </c>
      <c r="D477" s="168" t="s">
        <v>1075</v>
      </c>
      <c r="E477" s="168" t="s">
        <v>252</v>
      </c>
      <c r="F477" s="168"/>
      <c r="G477" s="169">
        <f>IF(OR(B477="",C477=""),"",IFERROR(INDEX(Vöruskrá!J:J,MATCH(B477,Vöruskrá!B:B,0))*C477/100000,""))</f>
        <v>19.670999999999999</v>
      </c>
      <c r="H477" s="169">
        <f>IF(OR(B477="",C477=""),"",IFERROR(INDEX(Vöruskrá!K:K,MATCH(B477,Vöruskrá!B:B,0))*C477/100000,""))</f>
        <v>9.9599999999999994E-2</v>
      </c>
      <c r="I477" s="169">
        <f>IF(OR(B477="",C477=""),"",IFERROR(INDEX(Vöruskrá!L:L,MATCH(B477,Vöruskrá!B:B,0))*C477/100000,""))</f>
        <v>8.3000000000000001E-3</v>
      </c>
      <c r="J477" s="169">
        <f>IF(OR(B477="",C477=""),"",IFERROR(INDEX(Vöruskrá!M:M,MATCH(B477,Vöruskrá!B:B,0))*C477/100000,""))</f>
        <v>3.403</v>
      </c>
      <c r="K477" s="169">
        <f>IF(OR(B477="",C477=""),"",IFERROR(INDEX(Vöruskrá!N:N,MATCH(B477,Vöruskrá!B:B,0))*C477/100000,""))</f>
        <v>2.3904000000000001</v>
      </c>
      <c r="L477" s="169">
        <f>IF(OR(B477="",C477=""),"",IFERROR(INDEX(Vöruskrá!O:O,MATCH(B477,Vöruskrá!B:B,0))*C477/100000,""))</f>
        <v>1.2948</v>
      </c>
      <c r="M477" s="169">
        <f>IF(OR(B477="",C477=""),"",IFERROR(INDEX(Vöruskrá!P:P,MATCH(B477,Vöruskrá!B:B,0))*C477/100000,""))</f>
        <v>2.9049999999999998</v>
      </c>
      <c r="N477" s="169">
        <f>IF(OR(B477="",C477=""),"",IFERROR(INDEX(Vöruskrá!Q:Q,MATCH(B477,Vöruskrá!B:B,0))*C477/100000,""))</f>
        <v>8.3000000000000001E-3</v>
      </c>
      <c r="O477" s="170">
        <f>IF(OR(B477="",C477=""),"",IFERROR(C477/1000*INDEX(Vöruskrá!R:R,MATCH(B477,Vöruskrá!B:B,0))/1000,""))</f>
        <v>0</v>
      </c>
      <c r="P477" s="171"/>
      <c r="Q477" s="158"/>
      <c r="R477" s="6"/>
    </row>
    <row r="478" spans="1:18" ht="15">
      <c r="A478" s="173"/>
      <c r="B478" s="173" t="s">
        <v>574</v>
      </c>
      <c r="C478" s="174">
        <v>830</v>
      </c>
      <c r="D478" s="168" t="s">
        <v>576</v>
      </c>
      <c r="E478" s="168" t="s">
        <v>577</v>
      </c>
      <c r="F478" s="168"/>
      <c r="G478" s="169">
        <f>IF(OR(B478="",C478=""),"",IFERROR(INDEX(Vöruskrá!J:J,MATCH(B478,Vöruskrá!B:B,0))*C478/100000,""))</f>
        <v>1.2699</v>
      </c>
      <c r="H478" s="169">
        <f>IF(OR(B478="",C478=""),"",IFERROR(INDEX(Vöruskrá!K:K,MATCH(B478,Vöruskrá!B:B,0))*C478/100000,""))</f>
        <v>3.4860000000000002E-2</v>
      </c>
      <c r="I478" s="169">
        <f>IF(OR(B478="",C478=""),"",IFERROR(INDEX(Vöruskrá!L:L,MATCH(B478,Vöruskrá!B:B,0))*C478/100000,""))</f>
        <v>0</v>
      </c>
      <c r="J478" s="169">
        <f>IF(OR(B478="",C478=""),"",IFERROR(INDEX(Vöruskrá!M:M,MATCH(B478,Vöruskrá!B:B,0))*C478/100000,""))</f>
        <v>0.19422</v>
      </c>
      <c r="K478" s="169">
        <f>IF(OR(B478="",C478=""),"",IFERROR(INDEX(Vöruskrá!N:N,MATCH(B478,Vöruskrá!B:B,0))*C478/100000,""))</f>
        <v>0</v>
      </c>
      <c r="L478" s="169">
        <f>IF(OR(B478="",C478=""),"",IFERROR(INDEX(Vöruskrá!O:O,MATCH(B478,Vöruskrá!B:B,0))*C478/100000,""))</f>
        <v>4.233E-2</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1018</v>
      </c>
      <c r="C479" s="172">
        <v>1300</v>
      </c>
      <c r="D479" s="168" t="s">
        <v>1018</v>
      </c>
      <c r="E479" s="168" t="s">
        <v>134</v>
      </c>
      <c r="F479" s="168"/>
      <c r="G479" s="169">
        <f>IF(OR(B479="",C479=""),"",IFERROR(INDEX(Vöruskrá!J:J,MATCH(B479,Vöruskrá!B:B,0))*C479/100000,""))</f>
        <v>11.7</v>
      </c>
      <c r="H479" s="169">
        <f>IF(OR(B479="",C479=""),"",IFERROR(INDEX(Vöruskrá!K:K,MATCH(B479,Vöruskrá!B:B,0))*C479/100000,""))</f>
        <v>1.3</v>
      </c>
      <c r="I479" s="169">
        <f>IF(OR(B479="",C479=""),"",IFERROR(INDEX(Vöruskrá!L:L,MATCH(B479,Vöruskrá!B:B,0))*C479/100000,""))</f>
        <v>0.14299999999999999</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299</v>
      </c>
      <c r="C480" s="174">
        <v>670</v>
      </c>
      <c r="D480" s="168" t="s">
        <v>302</v>
      </c>
      <c r="E480" s="168" t="s">
        <v>134</v>
      </c>
      <c r="F480" s="168" t="s">
        <v>303</v>
      </c>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0.67</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819</v>
      </c>
      <c r="C481" s="172">
        <v>133</v>
      </c>
      <c r="D481" s="168" t="s">
        <v>820</v>
      </c>
      <c r="E481" s="168"/>
      <c r="F481" s="168" t="s">
        <v>311</v>
      </c>
      <c r="G481" s="169">
        <f>IF(OR(B481="",C481=""),"",IFERROR(INDEX(Vöruskrá!J:J,MATCH(B481,Vöruskrá!B:B,0))*C481/100000,""))</f>
        <v>0.51337999999999995</v>
      </c>
      <c r="H481" s="169">
        <f>IF(OR(B481="",C481=""),"",IFERROR(INDEX(Vöruskrá!K:K,MATCH(B481,Vöruskrá!B:B,0))*C481/100000,""))</f>
        <v>4.3889999999999997E-3</v>
      </c>
      <c r="I481" s="169">
        <f>IF(OR(B481="",C481=""),"",IFERROR(INDEX(Vöruskrá!L:L,MATCH(B481,Vöruskrá!B:B,0))*C481/100000,""))</f>
        <v>1.33E-3</v>
      </c>
      <c r="J481" s="169">
        <f>IF(OR(B481="",C481=""),"",IFERROR(INDEX(Vöruskrá!M:M,MATCH(B481,Vöruskrá!B:B,0))*C481/100000,""))</f>
        <v>8.6449999999999999E-2</v>
      </c>
      <c r="K481" s="169">
        <f>IF(OR(B481="",C481=""),"",IFERROR(INDEX(Vöruskrá!N:N,MATCH(B481,Vöruskrá!B:B,0))*C481/100000,""))</f>
        <v>7.9799999999999999E-4</v>
      </c>
      <c r="L481" s="169">
        <f>IF(OR(B481="",C481=""),"",IFERROR(INDEX(Vöruskrá!O:O,MATCH(B481,Vöruskrá!B:B,0))*C481/100000,""))</f>
        <v>1.4630000000000001E-2</v>
      </c>
      <c r="M481" s="169">
        <f>IF(OR(B481="",C481=""),"",IFERROR(INDEX(Vöruskrá!P:P,MATCH(B481,Vöruskrá!B:B,0))*C481/100000,""))</f>
        <v>1.3300000000000001E-4</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812</v>
      </c>
      <c r="C482" s="174">
        <v>50</v>
      </c>
      <c r="D482" s="168" t="s">
        <v>813</v>
      </c>
      <c r="E482" s="168"/>
      <c r="F482" s="168" t="s">
        <v>311</v>
      </c>
      <c r="G482" s="169">
        <f>IF(OR(B482="",C482=""),"",IFERROR(INDEX(Vöruskrá!J:J,MATCH(B482,Vöruskrá!B:B,0))*C482/100000,""))</f>
        <v>0.26750000000000002</v>
      </c>
      <c r="H482" s="169">
        <f>IF(OR(B482="",C482=""),"",IFERROR(INDEX(Vöruskrá!K:K,MATCH(B482,Vöruskrá!B:B,0))*C482/100000,""))</f>
        <v>1.7999999999999999E-2</v>
      </c>
      <c r="I482" s="169">
        <f>IF(OR(B482="",C482=""),"",IFERROR(INDEX(Vöruskrá!L:L,MATCH(B482,Vöruskrá!B:B,0))*C482/100000,""))</f>
        <v>1.2999999999999999E-2</v>
      </c>
      <c r="J482" s="169">
        <f>IF(OR(B482="",C482=""),"",IFERROR(INDEX(Vöruskrá!M:M,MATCH(B482,Vöruskrá!B:B,0))*C482/100000,""))</f>
        <v>2.2499999999999999E-2</v>
      </c>
      <c r="K482" s="169">
        <f>IF(OR(B482="",C482=""),"",IFERROR(INDEX(Vöruskrá!N:N,MATCH(B482,Vöruskrá!B:B,0))*C482/100000,""))</f>
        <v>1.15E-2</v>
      </c>
      <c r="L482" s="169">
        <f>IF(OR(B482="",C482=""),"",IFERROR(INDEX(Vöruskrá!O:O,MATCH(B482,Vöruskrá!B:B,0))*C482/100000,""))</f>
        <v>2.8999999999999998E-3</v>
      </c>
      <c r="M482" s="169">
        <f>IF(OR(B482="",C482=""),"",IFERROR(INDEX(Vöruskrá!P:P,MATCH(B482,Vöruskrá!B:B,0))*C482/100000,""))</f>
        <v>5.0000000000000002E-5</v>
      </c>
      <c r="N482" s="169">
        <f>IF(OR(B482="",C482=""),"",IFERROR(INDEX(Vöruskrá!Q:Q,MATCH(B482,Vöruskrá!B:B,0))*C482/100000,""))</f>
        <v>0</v>
      </c>
      <c r="O482" s="170">
        <f>IF(OR(B482="",C482=""),"",IFERROR(C482/1000*INDEX(Vöruskrá!R:R,MATCH(B482,Vöruskrá!B:B,0))/1000,""))</f>
        <v>0</v>
      </c>
      <c r="P482" s="173"/>
      <c r="Q482" s="157"/>
      <c r="R482" s="27"/>
    </row>
    <row r="483" spans="1:18" ht="15">
      <c r="A483" s="171"/>
      <c r="B483" s="171" t="s">
        <v>808</v>
      </c>
      <c r="C483" s="172">
        <v>10</v>
      </c>
      <c r="D483" s="168" t="s">
        <v>809</v>
      </c>
      <c r="E483" s="168"/>
      <c r="F483" s="168" t="s">
        <v>311</v>
      </c>
      <c r="G483" s="169">
        <f>IF(OR(B483="",C483=""),"",IFERROR(INDEX(Vöruskrá!J:J,MATCH(B483,Vöruskrá!B:B,0))*C483/100000,""))</f>
        <v>3.5299999999999998E-2</v>
      </c>
      <c r="H483" s="169">
        <f>IF(OR(B483="",C483=""),"",IFERROR(INDEX(Vöruskrá!K:K,MATCH(B483,Vöruskrá!B:B,0))*C483/100000,""))</f>
        <v>8.4000000000000003E-4</v>
      </c>
      <c r="I483" s="169">
        <f>IF(OR(B483="",C483=""),"",IFERROR(INDEX(Vöruskrá!L:L,MATCH(B483,Vöruskrá!B:B,0))*C483/100000,""))</f>
        <v>2.3000000000000001E-4</v>
      </c>
      <c r="J483" s="169">
        <f>IF(OR(B483="",C483=""),"",IFERROR(INDEX(Vöruskrá!M:M,MATCH(B483,Vöruskrá!B:B,0))*C483/100000,""))</f>
        <v>4.8999999999999998E-3</v>
      </c>
      <c r="K483" s="169">
        <f>IF(OR(B483="",C483=""),"",IFERROR(INDEX(Vöruskrá!N:N,MATCH(B483,Vöruskrá!B:B,0))*C483/100000,""))</f>
        <v>0</v>
      </c>
      <c r="L483" s="169">
        <f>IF(OR(B483="",C483=""),"",IFERROR(INDEX(Vöruskrá!O:O,MATCH(B483,Vöruskrá!B:B,0))*C483/100000,""))</f>
        <v>7.6000000000000004E-4</v>
      </c>
      <c r="M483" s="169">
        <f>IF(OR(B483="",C483=""),"",IFERROR(INDEX(Vöruskrá!P:P,MATCH(B483,Vöruskrá!B:B,0))*C483/100000,""))</f>
        <v>1.0000000000000001E-5</v>
      </c>
      <c r="N483" s="169">
        <f>IF(OR(B483="",C483=""),"",IFERROR(INDEX(Vöruskrá!Q:Q,MATCH(B483,Vöruskrá!B:B,0))*C483/100000,""))</f>
        <v>0</v>
      </c>
      <c r="O483" s="170">
        <f>IF(OR(B483="",C483=""),"",IFERROR(C483/1000*INDEX(Vöruskrá!R:R,MATCH(B483,Vöruskrá!B:B,0))/1000,""))</f>
        <v>0</v>
      </c>
      <c r="P483" s="171"/>
      <c r="Q483" s="158"/>
      <c r="R483" s="6"/>
    </row>
    <row r="484" spans="1:18" ht="15">
      <c r="A484" s="173"/>
      <c r="B484" s="173" t="s">
        <v>815</v>
      </c>
      <c r="C484" s="174">
        <v>67</v>
      </c>
      <c r="D484" s="168" t="s">
        <v>816</v>
      </c>
      <c r="E484" s="168"/>
      <c r="F484" s="168" t="s">
        <v>311</v>
      </c>
      <c r="G484" s="169">
        <f>IF(OR(B484="",C484=""),"",IFERROR(INDEX(Vöruskrá!J:J,MATCH(B484,Vöruskrá!B:B,0))*C484/100000,""))</f>
        <v>0.3216</v>
      </c>
      <c r="H484" s="169">
        <f>IF(OR(B484="",C484=""),"",IFERROR(INDEX(Vöruskrá!K:K,MATCH(B484,Vöruskrá!B:B,0))*C484/100000,""))</f>
        <v>6.7000000000000002E-3</v>
      </c>
      <c r="I484" s="169">
        <f>IF(OR(B484="",C484=""),"",IFERROR(INDEX(Vöruskrá!L:L,MATCH(B484,Vöruskrá!B:B,0))*C484/100000,""))</f>
        <v>1.8090000000000001E-3</v>
      </c>
      <c r="J484" s="169">
        <f>IF(OR(B484="",C484=""),"",IFERROR(INDEX(Vöruskrá!M:M,MATCH(B484,Vöruskrá!B:B,0))*C484/100000,""))</f>
        <v>4.2880000000000001E-2</v>
      </c>
      <c r="K484" s="169">
        <f>IF(OR(B484="",C484=""),"",IFERROR(INDEX(Vöruskrá!N:N,MATCH(B484,Vöruskrá!B:B,0))*C484/100000,""))</f>
        <v>2.7469999999999999E-3</v>
      </c>
      <c r="L484" s="169">
        <f>IF(OR(B484="",C484=""),"",IFERROR(INDEX(Vöruskrá!O:O,MATCH(B484,Vöruskrá!B:B,0))*C484/100000,""))</f>
        <v>7.3699999999999998E-3</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3"/>
      <c r="Q484" s="157"/>
      <c r="R484" s="27"/>
    </row>
    <row r="485" spans="1:18">
      <c r="A485" s="171"/>
      <c r="B485" s="171" t="s">
        <v>1785</v>
      </c>
      <c r="C485" s="172">
        <v>125</v>
      </c>
      <c r="D485" s="168"/>
      <c r="E485" s="168"/>
      <c r="F485" s="168"/>
      <c r="G485" s="169" t="str">
        <f>IF(OR(B485="",C485=""),"",IFERROR(INDEX(Vöruskrá!J:J,MATCH(B485,Vöruskrá!B:B,0))*C485/100000,""))</f>
        <v/>
      </c>
      <c r="H485" s="169" t="str">
        <f>IF(OR(B485="",C485=""),"",IFERROR(INDEX(Vöruskrá!K:K,MATCH(B485,Vöruskrá!B:B,0))*C485/100000,""))</f>
        <v/>
      </c>
      <c r="I485" s="169" t="str">
        <f>IF(OR(B485="",C485=""),"",IFERROR(INDEX(Vöruskrá!L:L,MATCH(B485,Vöruskrá!B:B,0))*C485/100000,""))</f>
        <v/>
      </c>
      <c r="J485" s="169" t="str">
        <f>IF(OR(B485="",C485=""),"",IFERROR(INDEX(Vöruskrá!M:M,MATCH(B485,Vöruskrá!B:B,0))*C485/100000,""))</f>
        <v/>
      </c>
      <c r="K485" s="169" t="str">
        <f>IF(OR(B485="",C485=""),"",IFERROR(INDEX(Vöruskrá!N:N,MATCH(B485,Vöruskrá!B:B,0))*C485/100000,""))</f>
        <v/>
      </c>
      <c r="L485" s="169" t="str">
        <f>IF(OR(B485="",C485=""),"",IFERROR(INDEX(Vöruskrá!O:O,MATCH(B485,Vöruskrá!B:B,0))*C485/100000,""))</f>
        <v/>
      </c>
      <c r="M485" s="169" t="str">
        <f>IF(OR(B485="",C485=""),"",IFERROR(INDEX(Vöruskrá!P:P,MATCH(B485,Vöruskrá!B:B,0))*C485/100000,""))</f>
        <v/>
      </c>
      <c r="N485" s="169" t="str">
        <f>IF(OR(B485="",C485=""),"",IFERROR(INDEX(Vöruskrá!Q:Q,MATCH(B485,Vöruskrá!B:B,0))*C485/100000,""))</f>
        <v/>
      </c>
      <c r="O485" s="170" t="str">
        <f>IF(OR(B485="",C485=""),"",IFERROR(C485/1000*INDEX(Vöruskrá!R:R,MATCH(B485,Vöruskrá!B:B,0))/1000,""))</f>
        <v/>
      </c>
      <c r="P485" s="171"/>
      <c r="Q485" s="158"/>
      <c r="R485" s="6"/>
    </row>
    <row r="486" spans="1:18" ht="15">
      <c r="A486" s="173"/>
      <c r="B486" s="173" t="s">
        <v>1020</v>
      </c>
      <c r="C486" s="174">
        <v>3412</v>
      </c>
      <c r="D486" s="168" t="s">
        <v>1020</v>
      </c>
      <c r="E486" s="168" t="s">
        <v>134</v>
      </c>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201"/>
      <c r="R486" s="202"/>
    </row>
    <row r="487" spans="1:18" ht="60">
      <c r="A487" s="147" t="s">
        <v>1786</v>
      </c>
      <c r="B487" s="147"/>
      <c r="C487" s="148"/>
      <c r="D487" s="165" t="s">
        <v>1787</v>
      </c>
      <c r="E487" s="165" t="s">
        <v>134</v>
      </c>
      <c r="F487" s="165"/>
      <c r="G487" s="166">
        <v>5.37</v>
      </c>
      <c r="H487" s="166">
        <v>0.01</v>
      </c>
      <c r="I487" s="166">
        <v>0</v>
      </c>
      <c r="J487" s="166">
        <v>1.23</v>
      </c>
      <c r="K487" s="166"/>
      <c r="L487" s="166">
        <v>0.17</v>
      </c>
      <c r="M487" s="166">
        <v>0.78</v>
      </c>
      <c r="N487" s="166">
        <f>IFERROR(SUM(N488:N495)/(SUM($C$488:$C$495)/100000),"")</f>
        <v>0.18671113288867108</v>
      </c>
      <c r="O487" s="167" t="str">
        <f>IF(OR(B487="",C487=""),"",IFERROR(C487/1000*INDEX(Vöruskrá!R:R,MATCH(B487,Vöruskrá!B:B,0))/1000,""))</f>
        <v/>
      </c>
      <c r="P487" s="196" t="s">
        <v>1788</v>
      </c>
      <c r="Q487" s="199" t="s">
        <v>1789</v>
      </c>
      <c r="R487" s="198" t="s">
        <v>1790</v>
      </c>
    </row>
    <row r="488" spans="1:18" ht="15">
      <c r="A488" s="171"/>
      <c r="B488" s="171" t="s">
        <v>1474</v>
      </c>
      <c r="C488" s="172">
        <v>78201</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203"/>
      <c r="R488" s="204"/>
    </row>
    <row r="489" spans="1:18" ht="15">
      <c r="A489" s="173"/>
      <c r="B489" s="173" t="s">
        <v>1010</v>
      </c>
      <c r="C489" s="174">
        <v>9775</v>
      </c>
      <c r="D489" s="168" t="s">
        <v>1010</v>
      </c>
      <c r="E489" s="168" t="s">
        <v>134</v>
      </c>
      <c r="F489" s="168"/>
      <c r="G489" s="169">
        <f>IF(OR(B489="",C489=""),"",IFERROR(INDEX(Vöruskrá!J:J,MATCH(B489,Vöruskrá!B:B,0))*C489/100000,""))</f>
        <v>3.91</v>
      </c>
      <c r="H489" s="169">
        <f>IF(OR(B489="",C489=""),"",IFERROR(INDEX(Vöruskrá!K:K,MATCH(B489,Vöruskrá!B:B,0))*C489/100000,""))</f>
        <v>9.7750000000000007E-3</v>
      </c>
      <c r="I489" s="169">
        <f>IF(OR(B489="",C489=""),"",IFERROR(INDEX(Vöruskrá!L:L,MATCH(B489,Vöruskrá!B:B,0))*C489/100000,""))</f>
        <v>0</v>
      </c>
      <c r="J489" s="169">
        <f>IF(OR(B489="",C489=""),"",IFERROR(INDEX(Vöruskrá!M:M,MATCH(B489,Vöruskrá!B:B,0))*C489/100000,""))</f>
        <v>0.90907499999999997</v>
      </c>
      <c r="K489" s="169">
        <f>IF(OR(B489="",C489=""),"",IFERROR(INDEX(Vöruskrá!N:N,MATCH(B489,Vöruskrá!B:B,0))*C489/100000,""))</f>
        <v>0.41055000000000003</v>
      </c>
      <c r="L489" s="169">
        <f>IF(OR(B489="",C489=""),"",IFERROR(INDEX(Vöruskrá!O:O,MATCH(B489,Vöruskrá!B:B,0))*C489/100000,""))</f>
        <v>0.107525</v>
      </c>
      <c r="M489" s="169">
        <f>IF(OR(B489="",C489=""),"",IFERROR(INDEX(Vöruskrá!P:P,MATCH(B489,Vöruskrá!B:B,0))*C489/100000,""))</f>
        <v>0</v>
      </c>
      <c r="N489" s="169">
        <f>IF(OR(B489="",C489=""),"",IFERROR(INDEX(Vöruskrá!Q:Q,MATCH(B489,Vöruskrá!B:B,0))*C489/100000,""))</f>
        <v>0.16617499999999999</v>
      </c>
      <c r="O489" s="170">
        <f>IF(OR(B489="",C489=""),"",IFERROR(C489/1000*INDEX(Vöruskrá!R:R,MATCH(B489,Vöruskrá!B:B,0))/1000,""))</f>
        <v>0</v>
      </c>
      <c r="P489" s="173"/>
      <c r="Q489" s="158"/>
      <c r="R489" s="6"/>
    </row>
    <row r="490" spans="1:18" ht="15">
      <c r="A490" s="171"/>
      <c r="B490" s="171" t="s">
        <v>1475</v>
      </c>
      <c r="C490" s="172">
        <v>489</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157"/>
      <c r="R490" s="27"/>
    </row>
    <row r="491" spans="1:18" ht="15">
      <c r="A491" s="173"/>
      <c r="B491" s="173" t="s">
        <v>1476</v>
      </c>
      <c r="C491" s="174">
        <v>2933</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8"/>
      <c r="R491" s="6"/>
    </row>
    <row r="492" spans="1:18" ht="15">
      <c r="A492" s="171"/>
      <c r="B492" s="171" t="s">
        <v>1017</v>
      </c>
      <c r="C492" s="172">
        <v>978</v>
      </c>
      <c r="D492" s="168" t="s">
        <v>1017</v>
      </c>
      <c r="E492" s="168" t="s">
        <v>134</v>
      </c>
      <c r="F492" s="168"/>
      <c r="G492" s="169">
        <f>IF(OR(B492="",C492=""),"",IFERROR(INDEX(Vöruskrá!J:J,MATCH(B492,Vöruskrá!B:B,0))*C492/100000,""))</f>
        <v>1.45722</v>
      </c>
      <c r="H492" s="169">
        <f>IF(OR(B492="",C492=""),"",IFERROR(INDEX(Vöruskrá!K:K,MATCH(B492,Vöruskrá!B:B,0))*C492/100000,""))</f>
        <v>4.8900000000000002E-3</v>
      </c>
      <c r="I492" s="169">
        <f>IF(OR(B492="",C492=""),"",IFERROR(INDEX(Vöruskrá!L:L,MATCH(B492,Vöruskrá!B:B,0))*C492/100000,""))</f>
        <v>9.7800000000000014E-4</v>
      </c>
      <c r="J492" s="169">
        <f>IF(OR(B492="",C492=""),"",IFERROR(INDEX(Vöruskrá!M:M,MATCH(B492,Vöruskrá!B:B,0))*C492/100000,""))</f>
        <v>0.32371800000000001</v>
      </c>
      <c r="K492" s="169">
        <f>IF(OR(B492="",C492=""),"",IFERROR(INDEX(Vöruskrá!N:N,MATCH(B492,Vöruskrá!B:B,0))*C492/100000,""))</f>
        <v>9.7800000000000005E-3</v>
      </c>
      <c r="L492" s="169">
        <f>IF(OR(B492="",C492=""),"",IFERROR(INDEX(Vöruskrá!O:O,MATCH(B492,Vöruskrá!B:B,0))*C492/100000,""))</f>
        <v>6.2592000000000009E-2</v>
      </c>
      <c r="M492" s="169">
        <f>IF(OR(B492="",C492=""),"",IFERROR(INDEX(Vöruskrá!P:P,MATCH(B492,Vöruskrá!B:B,0))*C492/100000,""))</f>
        <v>0</v>
      </c>
      <c r="N492" s="169">
        <f>IF(OR(B492="",C492=""),"",IFERROR(INDEX(Vöruskrá!Q:Q,MATCH(B492,Vöruskrá!B:B,0))*C492/100000,""))</f>
        <v>2.0538000000000001E-2</v>
      </c>
      <c r="O492" s="170">
        <f>IF(OR(B492="",C492=""),"",IFERROR(C492/1000*INDEX(Vöruskrá!R:R,MATCH(B492,Vöruskrá!B:B,0))/1000,""))</f>
        <v>0</v>
      </c>
      <c r="P492" s="171"/>
      <c r="Q492" s="157"/>
      <c r="R492" s="27"/>
    </row>
    <row r="493" spans="1:18" ht="15">
      <c r="A493" s="173"/>
      <c r="B493" s="173" t="s">
        <v>1463</v>
      </c>
      <c r="C493" s="174">
        <v>3910</v>
      </c>
      <c r="D493" s="168"/>
      <c r="E493" s="168"/>
      <c r="F493" s="168"/>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v>
      </c>
      <c r="N493" s="169">
        <f>IF(OR(B493="",C493=""),"",IFERROR(INDEX(Vöruskrá!Q:Q,MATCH(B493,Vöruskrá!B:B,0))*C493/100000,""))</f>
        <v>0</v>
      </c>
      <c r="O493" s="170">
        <f>IF(OR(B493="",C493=""),"",IFERROR(C493/1000*INDEX(Vöruskrá!R:R,MATCH(B493,Vöruskrá!B:B,0))/1000,""))</f>
        <v>0</v>
      </c>
      <c r="P493" s="173"/>
      <c r="Q493" s="158"/>
      <c r="R493" s="6"/>
    </row>
    <row r="494" spans="1:18" ht="15">
      <c r="A494" s="171"/>
      <c r="B494" s="171" t="s">
        <v>1466</v>
      </c>
      <c r="C494" s="172">
        <v>2933</v>
      </c>
      <c r="D494" s="168"/>
      <c r="E494" s="168"/>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1"/>
      <c r="Q494" s="157"/>
      <c r="R494" s="27"/>
    </row>
    <row r="495" spans="1:18" ht="15">
      <c r="A495" s="173"/>
      <c r="B495" s="173" t="s">
        <v>299</v>
      </c>
      <c r="C495" s="174">
        <v>782</v>
      </c>
      <c r="D495" s="168" t="s">
        <v>302</v>
      </c>
      <c r="E495" s="168" t="s">
        <v>134</v>
      </c>
      <c r="F495" s="168" t="s">
        <v>303</v>
      </c>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0.78200000000000003</v>
      </c>
      <c r="N495" s="169">
        <f>IF(OR(B495="",C495=""),"",IFERROR(INDEX(Vöruskrá!Q:Q,MATCH(B495,Vöruskrá!B:B,0))*C495/100000,""))</f>
        <v>0</v>
      </c>
      <c r="O495" s="170">
        <f>IF(OR(B495="",C495=""),"",IFERROR(C495/1000*INDEX(Vöruskrá!R:R,MATCH(B495,Vöruskrá!B:B,0))/1000,""))</f>
        <v>0</v>
      </c>
      <c r="P495" s="173"/>
      <c r="Q495" s="200"/>
      <c r="R495" s="159"/>
    </row>
    <row r="496" spans="1:18" ht="72">
      <c r="A496" s="147" t="s">
        <v>1791</v>
      </c>
      <c r="B496" s="147"/>
      <c r="C496" s="148"/>
      <c r="D496" s="165" t="s">
        <v>1792</v>
      </c>
      <c r="E496" s="165" t="s">
        <v>120</v>
      </c>
      <c r="F496" s="165"/>
      <c r="G496" s="166">
        <v>108.55</v>
      </c>
      <c r="H496" s="166">
        <v>6.99</v>
      </c>
      <c r="I496" s="166">
        <v>2.95</v>
      </c>
      <c r="J496" s="166">
        <v>2.36</v>
      </c>
      <c r="K496" s="166"/>
      <c r="L496" s="166">
        <v>9.02</v>
      </c>
      <c r="M496" s="166">
        <v>0.75</v>
      </c>
      <c r="N496" s="166">
        <f>IFERROR(SUM(N497:N505)/(SUM($C$497:$C$505)/100000),"")</f>
        <v>9.6049999999999996E-2</v>
      </c>
      <c r="O496" s="167" t="str">
        <f>IF(OR(B496="",C496=""),"",IFERROR(C496/1000*INDEX(Vöruskrá!R:R,MATCH(B496,Vöruskrá!B:B,0))/1000,""))</f>
        <v/>
      </c>
      <c r="P496" s="196" t="s">
        <v>1793</v>
      </c>
      <c r="Q496" s="195" t="s">
        <v>1794</v>
      </c>
      <c r="R496" s="194" t="s">
        <v>1795</v>
      </c>
    </row>
    <row r="497" spans="1:18" ht="15">
      <c r="A497" s="171"/>
      <c r="B497" s="171" t="s">
        <v>542</v>
      </c>
      <c r="C497" s="172">
        <v>33898</v>
      </c>
      <c r="D497" s="168" t="s">
        <v>543</v>
      </c>
      <c r="E497" s="168" t="s">
        <v>134</v>
      </c>
      <c r="F497" s="168"/>
      <c r="G497" s="169">
        <f>IF(OR(B497="",C497=""),"",IFERROR(INDEX(Vöruskrá!J:J,MATCH(B497,Vöruskrá!B:B,0))*C497/100000,""))</f>
        <v>60.677419999999998</v>
      </c>
      <c r="H497" s="169">
        <f>IF(OR(B497="",C497=""),"",IFERROR(INDEX(Vöruskrá!K:K,MATCH(B497,Vöruskrá!B:B,0))*C497/100000,""))</f>
        <v>3.72878</v>
      </c>
      <c r="I497" s="169">
        <f>IF(OR(B497="",C497=""),"",IFERROR(INDEX(Vöruskrá!L:L,MATCH(B497,Vöruskrá!B:B,0))*C497/100000,""))</f>
        <v>1.0508379999999999</v>
      </c>
      <c r="J497" s="169">
        <f>IF(OR(B497="",C497=""),"",IFERROR(INDEX(Vöruskrá!M:M,MATCH(B497,Vöruskrá!B:B,0))*C497/100000,""))</f>
        <v>0</v>
      </c>
      <c r="K497" s="169">
        <f>IF(OR(B497="",C497=""),"",IFERROR(INDEX(Vöruskrá!N:N,MATCH(B497,Vöruskrá!B:B,0))*C497/100000,""))</f>
        <v>0</v>
      </c>
      <c r="L497" s="169">
        <f>IF(OR(B497="",C497=""),"",IFERROR(INDEX(Vöruskrá!O:O,MATCH(B497,Vöruskrá!B:B,0))*C497/100000,""))</f>
        <v>6.7796000000000003</v>
      </c>
      <c r="M497" s="169">
        <f>IF(OR(B497="",C497=""),"",IFERROR(INDEX(Vöruskrá!P:P,MATCH(B497,Vöruskrá!B:B,0))*C497/100000,""))</f>
        <v>6.7796000000000009E-2</v>
      </c>
      <c r="N497" s="169">
        <f>IF(OR(B497="",C497=""),"",IFERROR(INDEX(Vöruskrá!Q:Q,MATCH(B497,Vöruskrá!B:B,0))*C497/100000,""))</f>
        <v>0</v>
      </c>
      <c r="O497" s="170">
        <f>IF(OR(B497="",C497=""),"",IFERROR(C497/1000*INDEX(Vöruskrá!R:R,MATCH(B497,Vöruskrá!B:B,0))/1000,""))</f>
        <v>0</v>
      </c>
      <c r="P497" s="171"/>
      <c r="Q497" s="197"/>
      <c r="R497" s="164"/>
    </row>
    <row r="498" spans="1:18" ht="15">
      <c r="A498" s="173"/>
      <c r="B498" s="173" t="s">
        <v>1477</v>
      </c>
      <c r="C498" s="174">
        <v>16949</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743</v>
      </c>
      <c r="C499" s="172">
        <v>16949</v>
      </c>
      <c r="D499" s="168" t="s">
        <v>745</v>
      </c>
      <c r="E499" s="168"/>
      <c r="F499" s="168"/>
      <c r="G499" s="169">
        <f>IF(OR(B499="",C499=""),"",IFERROR(INDEX(Vöruskrá!J:J,MATCH(B499,Vöruskrá!B:B,0))*C499/100000,""))</f>
        <v>4.7457200000000004</v>
      </c>
      <c r="H499" s="169">
        <f>IF(OR(B499="",C499=""),"",IFERROR(INDEX(Vöruskrá!K:K,MATCH(B499,Vöruskrá!B:B,0))*C499/100000,""))</f>
        <v>1.6949000000000002E-2</v>
      </c>
      <c r="I499" s="169">
        <f>IF(OR(B499="",C499=""),"",IFERROR(INDEX(Vöruskrá!L:L,MATCH(B499,Vöruskrá!B:B,0))*C499/100000,""))</f>
        <v>0</v>
      </c>
      <c r="J499" s="169">
        <f>IF(OR(B499="",C499=""),"",IFERROR(INDEX(Vöruskrá!M:M,MATCH(B499,Vöruskrá!B:B,0))*C499/100000,""))</f>
        <v>0.84745000000000004</v>
      </c>
      <c r="K499" s="169">
        <f>IF(OR(B499="",C499=""),"",IFERROR(INDEX(Vöruskrá!N:N,MATCH(B499,Vöruskrá!B:B,0))*C499/100000,""))</f>
        <v>0.57626599999999994</v>
      </c>
      <c r="L499" s="169">
        <f>IF(OR(B499="",C499=""),"",IFERROR(INDEX(Vöruskrá!O:O,MATCH(B499,Vöruskrá!B:B,0))*C499/100000,""))</f>
        <v>0.25423499999999999</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849</v>
      </c>
      <c r="C500" s="174">
        <v>16949</v>
      </c>
      <c r="D500" s="168" t="s">
        <v>850</v>
      </c>
      <c r="E500" s="168" t="s">
        <v>120</v>
      </c>
      <c r="F500" s="168"/>
      <c r="G500" s="169">
        <f>IF(OR(B500="",C500=""),"",IFERROR(INDEX(Vöruskrá!J:J,MATCH(B500,Vöruskrá!B:B,0))*C500/100000,""))</f>
        <v>11.355829999999999</v>
      </c>
      <c r="H500" s="169">
        <f>IF(OR(B500="",C500=""),"",IFERROR(INDEX(Vöruskrá!K:K,MATCH(B500,Vöruskrá!B:B,0))*C500/100000,""))</f>
        <v>0.6610109999999999</v>
      </c>
      <c r="I500" s="169">
        <f>IF(OR(B500="",C500=""),"",IFERROR(INDEX(Vöruskrá!L:L,MATCH(B500,Vöruskrá!B:B,0))*C500/100000,""))</f>
        <v>0.38982699999999998</v>
      </c>
      <c r="J500" s="169">
        <f>IF(OR(B500="",C500=""),"",IFERROR(INDEX(Vöruskrá!M:M,MATCH(B500,Vöruskrá!B:B,0))*C500/100000,""))</f>
        <v>0.79660300000000006</v>
      </c>
      <c r="K500" s="169">
        <f>IF(OR(B500="",C500=""),"",IFERROR(INDEX(Vöruskrá!N:N,MATCH(B500,Vöruskrá!B:B,0))*C500/100000,""))</f>
        <v>0.79660300000000006</v>
      </c>
      <c r="L500" s="169">
        <f>IF(OR(B500="",C500=""),"",IFERROR(INDEX(Vöruskrá!O:O,MATCH(B500,Vöruskrá!B:B,0))*C500/100000,""))</f>
        <v>0.55931699999999995</v>
      </c>
      <c r="M500" s="169">
        <f>IF(OR(B500="",C500=""),"",IFERROR(INDEX(Vöruskrá!P:P,MATCH(B500,Vöruskrá!B:B,0))*C500/100000,""))</f>
        <v>1.6949000000000002E-2</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1465</v>
      </c>
      <c r="C501" s="172">
        <v>1695</v>
      </c>
      <c r="D501" s="168"/>
      <c r="E501" s="168"/>
      <c r="F501" s="168"/>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445</v>
      </c>
      <c r="C502" s="174">
        <v>1695</v>
      </c>
      <c r="D502" s="168" t="s">
        <v>448</v>
      </c>
      <c r="E502" s="168" t="s">
        <v>120</v>
      </c>
      <c r="F502" s="168"/>
      <c r="G502" s="169">
        <f>IF(OR(B502="",C502=""),"",IFERROR(INDEX(Vöruskrá!J:J,MATCH(B502,Vöruskrá!B:B,0))*C502/100000,""))</f>
        <v>12.5091</v>
      </c>
      <c r="H502" s="169">
        <f>IF(OR(B502="",C502=""),"",IFERROR(INDEX(Vöruskrá!K:K,MATCH(B502,Vöruskrá!B:B,0))*C502/100000,""))</f>
        <v>1.3898999999999999</v>
      </c>
      <c r="I502" s="169">
        <f>IF(OR(B502="",C502=""),"",IFERROR(INDEX(Vöruskrá!L:L,MATCH(B502,Vöruskrá!B:B,0))*C502/100000,""))</f>
        <v>0.83055000000000001</v>
      </c>
      <c r="J502" s="169">
        <f>IF(OR(B502="",C502=""),"",IFERROR(INDEX(Vöruskrá!M:M,MATCH(B502,Vöruskrá!B:B,0))*C502/100000,""))</f>
        <v>6.7799999999999996E-3</v>
      </c>
      <c r="K502" s="169">
        <f>IF(OR(B502="",C502=""),"",IFERROR(INDEX(Vöruskrá!N:N,MATCH(B502,Vöruskrá!B:B,0))*C502/100000,""))</f>
        <v>6.7799999999999996E-3</v>
      </c>
      <c r="L502" s="169">
        <f>IF(OR(B502="",C502=""),"",IFERROR(INDEX(Vöruskrá!O:O,MATCH(B502,Vöruskrá!B:B,0))*C502/100000,""))</f>
        <v>1.017E-2</v>
      </c>
      <c r="M502" s="169">
        <f>IF(OR(B502="",C502=""),"",IFERROR(INDEX(Vöruskrá!P:P,MATCH(B502,Vöruskrá!B:B,0))*C502/100000,""))</f>
        <v>2.034E-2</v>
      </c>
      <c r="N502" s="169">
        <f>IF(OR(B502="",C502=""),"",IFERROR(INDEX(Vöruskrá!Q:Q,MATCH(B502,Vöruskrá!B:B,0))*C502/100000,""))</f>
        <v>0</v>
      </c>
      <c r="O502" s="170">
        <f>IF(OR(B502="",C502=""),"",IFERROR(C502/1000*INDEX(Vöruskrá!R:R,MATCH(B502,Vöruskrá!B:B,0))/1000,""))</f>
        <v>0</v>
      </c>
      <c r="P502" s="173"/>
      <c r="Q502" s="157"/>
      <c r="R502" s="27"/>
    </row>
    <row r="503" spans="1:18" ht="15">
      <c r="A503" s="171"/>
      <c r="B503" s="171" t="s">
        <v>895</v>
      </c>
      <c r="C503" s="172">
        <v>5650</v>
      </c>
      <c r="D503" s="168" t="s">
        <v>897</v>
      </c>
      <c r="E503" s="168" t="s">
        <v>120</v>
      </c>
      <c r="F503" s="168"/>
      <c r="G503" s="169">
        <f>IF(OR(B503="",C503=""),"",IFERROR(INDEX(Vöruskrá!J:J,MATCH(B503,Vöruskrá!B:B,0))*C503/100000,""))</f>
        <v>17.006499999999999</v>
      </c>
      <c r="H503" s="169">
        <f>IF(OR(B503="",C503=""),"",IFERROR(INDEX(Vöruskrá!K:K,MATCH(B503,Vöruskrá!B:B,0))*C503/100000,""))</f>
        <v>1.1865000000000001</v>
      </c>
      <c r="I503" s="169">
        <f>IF(OR(B503="",C503=""),"",IFERROR(INDEX(Vöruskrá!L:L,MATCH(B503,Vöruskrá!B:B,0))*C503/100000,""))</f>
        <v>0.67800000000000005</v>
      </c>
      <c r="J503" s="169">
        <f>IF(OR(B503="",C503=""),"",IFERROR(INDEX(Vöruskrá!M:M,MATCH(B503,Vöruskrá!B:B,0))*C503/100000,""))</f>
        <v>0.18079999999999999</v>
      </c>
      <c r="K503" s="169">
        <f>IF(OR(B503="",C503=""),"",IFERROR(INDEX(Vöruskrá!N:N,MATCH(B503,Vöruskrá!B:B,0))*C503/100000,""))</f>
        <v>5.6500000000000002E-2</v>
      </c>
      <c r="L503" s="169">
        <f>IF(OR(B503="",C503=""),"",IFERROR(INDEX(Vöruskrá!O:O,MATCH(B503,Vöruskrá!B:B,0))*C503/100000,""))</f>
        <v>1.3560000000000001</v>
      </c>
      <c r="M503" s="169">
        <f>IF(OR(B503="",C503=""),"",IFERROR(INDEX(Vöruskrá!P:P,MATCH(B503,Vöruskrá!B:B,0))*C503/100000,""))</f>
        <v>7.909999999999999E-2</v>
      </c>
      <c r="N503" s="169">
        <f>IF(OR(B503="",C503=""),"",IFERROR(INDEX(Vöruskrá!Q:Q,MATCH(B503,Vöruskrá!B:B,0))*C503/100000,""))</f>
        <v>0</v>
      </c>
      <c r="O503" s="170">
        <f>IF(OR(B503="",C503=""),"",IFERROR(C503/1000*INDEX(Vöruskrá!R:R,MATCH(B503,Vöruskrá!B:B,0))/1000,""))</f>
        <v>0</v>
      </c>
      <c r="P503" s="171"/>
      <c r="Q503" s="158"/>
      <c r="R503" s="6"/>
    </row>
    <row r="504" spans="1:18" ht="15">
      <c r="A504" s="173"/>
      <c r="B504" s="173" t="s">
        <v>1010</v>
      </c>
      <c r="C504" s="174">
        <v>5650</v>
      </c>
      <c r="D504" s="168" t="s">
        <v>1010</v>
      </c>
      <c r="E504" s="168" t="s">
        <v>134</v>
      </c>
      <c r="F504" s="168"/>
      <c r="G504" s="169">
        <f>IF(OR(B504="",C504=""),"",IFERROR(INDEX(Vöruskrá!J:J,MATCH(B504,Vöruskrá!B:B,0))*C504/100000,""))</f>
        <v>2.2599999999999998</v>
      </c>
      <c r="H504" s="169">
        <f>IF(OR(B504="",C504=""),"",IFERROR(INDEX(Vöruskrá!K:K,MATCH(B504,Vöruskrá!B:B,0))*C504/100000,""))</f>
        <v>5.6499999999999996E-3</v>
      </c>
      <c r="I504" s="169">
        <f>IF(OR(B504="",C504=""),"",IFERROR(INDEX(Vöruskrá!L:L,MATCH(B504,Vöruskrá!B:B,0))*C504/100000,""))</f>
        <v>0</v>
      </c>
      <c r="J504" s="169">
        <f>IF(OR(B504="",C504=""),"",IFERROR(INDEX(Vöruskrá!M:M,MATCH(B504,Vöruskrá!B:B,0))*C504/100000,""))</f>
        <v>0.52545000000000008</v>
      </c>
      <c r="K504" s="169">
        <f>IF(OR(B504="",C504=""),"",IFERROR(INDEX(Vöruskrá!N:N,MATCH(B504,Vöruskrá!B:B,0))*C504/100000,""))</f>
        <v>0.23730000000000001</v>
      </c>
      <c r="L504" s="169">
        <f>IF(OR(B504="",C504=""),"",IFERROR(INDEX(Vöruskrá!O:O,MATCH(B504,Vöruskrá!B:B,0))*C504/100000,""))</f>
        <v>6.2150000000000011E-2</v>
      </c>
      <c r="M504" s="169">
        <f>IF(OR(B504="",C504=""),"",IFERROR(INDEX(Vöruskrá!P:P,MATCH(B504,Vöruskrá!B:B,0))*C504/100000,""))</f>
        <v>0</v>
      </c>
      <c r="N504" s="169">
        <f>IF(OR(B504="",C504=""),"",IFERROR(INDEX(Vöruskrá!Q:Q,MATCH(B504,Vöruskrá!B:B,0))*C504/100000,""))</f>
        <v>9.6049999999999996E-2</v>
      </c>
      <c r="O504" s="170">
        <f>IF(OR(B504="",C504=""),"",IFERROR(C504/1000*INDEX(Vöruskrá!R:R,MATCH(B504,Vöruskrá!B:B,0))/1000,""))</f>
        <v>0</v>
      </c>
      <c r="P504" s="173"/>
      <c r="Q504" s="157"/>
      <c r="R504" s="27"/>
    </row>
    <row r="505" spans="1:18" ht="15">
      <c r="A505" s="171"/>
      <c r="B505" s="171" t="s">
        <v>299</v>
      </c>
      <c r="C505" s="172">
        <v>565</v>
      </c>
      <c r="D505" s="168" t="s">
        <v>302</v>
      </c>
      <c r="E505" s="168" t="s">
        <v>134</v>
      </c>
      <c r="F505" s="168" t="s">
        <v>303</v>
      </c>
      <c r="G505" s="169">
        <f>IF(OR(B505="",C505=""),"",IFERROR(INDEX(Vöruskrá!J:J,MATCH(B505,Vöruskrá!B:B,0))*C505/100000,""))</f>
        <v>0</v>
      </c>
      <c r="H505" s="169">
        <f>IF(OR(B505="",C505=""),"",IFERROR(INDEX(Vöruskrá!K:K,MATCH(B505,Vöruskrá!B:B,0))*C505/100000,""))</f>
        <v>0</v>
      </c>
      <c r="I505" s="169">
        <f>IF(OR(B505="",C505=""),"",IFERROR(INDEX(Vöruskrá!L:L,MATCH(B505,Vöruskrá!B:B,0))*C505/100000,""))</f>
        <v>0</v>
      </c>
      <c r="J505" s="169">
        <f>IF(OR(B505="",C505=""),"",IFERROR(INDEX(Vöruskrá!M:M,MATCH(B505,Vöruskrá!B:B,0))*C505/100000,""))</f>
        <v>0</v>
      </c>
      <c r="K505" s="169">
        <f>IF(OR(B505="",C505=""),"",IFERROR(INDEX(Vöruskrá!N:N,MATCH(B505,Vöruskrá!B:B,0))*C505/100000,""))</f>
        <v>0</v>
      </c>
      <c r="L505" s="169">
        <f>IF(OR(B505="",C505=""),"",IFERROR(INDEX(Vöruskrá!O:O,MATCH(B505,Vöruskrá!B:B,0))*C505/100000,""))</f>
        <v>0</v>
      </c>
      <c r="M505" s="169">
        <f>IF(OR(B505="",C505=""),"",IFERROR(INDEX(Vöruskrá!P:P,MATCH(B505,Vöruskrá!B:B,0))*C505/100000,""))</f>
        <v>0.56499999999999995</v>
      </c>
      <c r="N505" s="169">
        <f>IF(OR(B505="",C505=""),"",IFERROR(INDEX(Vöruskrá!Q:Q,MATCH(B505,Vöruskrá!B:B,0))*C505/100000,""))</f>
        <v>0</v>
      </c>
      <c r="O505" s="170">
        <f>IF(OR(B505="",C505=""),"",IFERROR(C505/1000*INDEX(Vöruskrá!R:R,MATCH(B505,Vöruskrá!B:B,0))/1000,""))</f>
        <v>0</v>
      </c>
      <c r="P505" s="171"/>
      <c r="Q505" s="200"/>
      <c r="R505" s="159"/>
    </row>
    <row r="506" spans="1:18" ht="60">
      <c r="A506" s="147" t="s">
        <v>1796</v>
      </c>
      <c r="B506" s="147"/>
      <c r="C506" s="148"/>
      <c r="D506" s="165" t="s">
        <v>1797</v>
      </c>
      <c r="E506" s="165" t="s">
        <v>1798</v>
      </c>
      <c r="F506" s="165"/>
      <c r="G506" s="166">
        <v>122.06</v>
      </c>
      <c r="H506" s="166">
        <v>7.12</v>
      </c>
      <c r="I506" s="166">
        <v>2.57</v>
      </c>
      <c r="J506" s="166">
        <v>3.01</v>
      </c>
      <c r="K506" s="166"/>
      <c r="L506" s="166">
        <v>11.56</v>
      </c>
      <c r="M506" s="166">
        <v>1.49</v>
      </c>
      <c r="N506" s="166">
        <f>IFERROR(SUM(N507:N514)/(SUM($C$507:$C$514)/100000),"")</f>
        <v>0.15060150601506014</v>
      </c>
      <c r="O506" s="167" t="str">
        <f>IF(OR(B506="",C506=""),"",IFERROR(C506/1000*INDEX(Vöruskrá!R:R,MATCH(B506,Vöruskrá!B:B,0))/1000,""))</f>
        <v/>
      </c>
      <c r="P506" s="196" t="s">
        <v>1799</v>
      </c>
      <c r="Q506" s="199" t="s">
        <v>1800</v>
      </c>
      <c r="R506" s="198" t="s">
        <v>1801</v>
      </c>
    </row>
    <row r="507" spans="1:18" ht="15">
      <c r="A507" s="171"/>
      <c r="B507" s="171" t="s">
        <v>542</v>
      </c>
      <c r="C507" s="172">
        <v>45181</v>
      </c>
      <c r="D507" s="168" t="s">
        <v>543</v>
      </c>
      <c r="E507" s="168" t="s">
        <v>134</v>
      </c>
      <c r="F507" s="168"/>
      <c r="G507" s="169">
        <f>IF(OR(B507="",C507=""),"",IFERROR(INDEX(Vöruskrá!J:J,MATCH(B507,Vöruskrá!B:B,0))*C507/100000,""))</f>
        <v>80.873990000000006</v>
      </c>
      <c r="H507" s="169">
        <f>IF(OR(B507="",C507=""),"",IFERROR(INDEX(Vöruskrá!K:K,MATCH(B507,Vöruskrá!B:B,0))*C507/100000,""))</f>
        <v>4.9699099999999996</v>
      </c>
      <c r="I507" s="169">
        <f>IF(OR(B507="",C507=""),"",IFERROR(INDEX(Vöruskrá!L:L,MATCH(B507,Vöruskrá!B:B,0))*C507/100000,""))</f>
        <v>1.4006110000000001</v>
      </c>
      <c r="J507" s="169">
        <f>IF(OR(B507="",C507=""),"",IFERROR(INDEX(Vöruskrá!M:M,MATCH(B507,Vöruskrá!B:B,0))*C507/100000,""))</f>
        <v>0</v>
      </c>
      <c r="K507" s="169">
        <f>IF(OR(B507="",C507=""),"",IFERROR(INDEX(Vöruskrá!N:N,MATCH(B507,Vöruskrá!B:B,0))*C507/100000,""))</f>
        <v>0</v>
      </c>
      <c r="L507" s="169">
        <f>IF(OR(B507="",C507=""),"",IFERROR(INDEX(Vöruskrá!O:O,MATCH(B507,Vöruskrá!B:B,0))*C507/100000,""))</f>
        <v>9.0361999999999991</v>
      </c>
      <c r="M507" s="169">
        <f>IF(OR(B507="",C507=""),"",IFERROR(INDEX(Vöruskrá!P:P,MATCH(B507,Vöruskrá!B:B,0))*C507/100000,""))</f>
        <v>9.0362000000000012E-2</v>
      </c>
      <c r="N507" s="169">
        <f>IF(OR(B507="",C507=""),"",IFERROR(INDEX(Vöruskrá!Q:Q,MATCH(B507,Vöruskrá!B:B,0))*C507/100000,""))</f>
        <v>0</v>
      </c>
      <c r="O507" s="170">
        <f>IF(OR(B507="",C507=""),"",IFERROR(C507/1000*INDEX(Vöruskrá!R:R,MATCH(B507,Vöruskrá!B:B,0))/1000,""))</f>
        <v>0</v>
      </c>
      <c r="P507" s="171"/>
      <c r="Q507" s="197"/>
      <c r="R507" s="164"/>
    </row>
    <row r="508" spans="1:18" ht="15">
      <c r="A508" s="173"/>
      <c r="B508" s="173" t="s">
        <v>1477</v>
      </c>
      <c r="C508" s="174">
        <v>18825</v>
      </c>
      <c r="D508" s="168"/>
      <c r="E508" s="168"/>
      <c r="F508" s="168"/>
      <c r="G508" s="169">
        <f>IF(OR(B508="",C508=""),"",IFERROR(INDEX(Vöruskrá!J:J,MATCH(B508,Vöruskrá!B:B,0))*C508/100000,""))</f>
        <v>0</v>
      </c>
      <c r="H508" s="169">
        <f>IF(OR(B508="",C508=""),"",IFERROR(INDEX(Vöruskrá!K:K,MATCH(B508,Vöruskrá!B:B,0))*C508/100000,""))</f>
        <v>0</v>
      </c>
      <c r="I508" s="169">
        <f>IF(OR(B508="",C508=""),"",IFERROR(INDEX(Vöruskrá!L:L,MATCH(B508,Vöruskrá!B:B,0))*C508/100000,""))</f>
        <v>0</v>
      </c>
      <c r="J508" s="169">
        <f>IF(OR(B508="",C508=""),"",IFERROR(INDEX(Vöruskrá!M:M,MATCH(B508,Vöruskrá!B:B,0))*C508/100000,""))</f>
        <v>0</v>
      </c>
      <c r="K508" s="169">
        <f>IF(OR(B508="",C508=""),"",IFERROR(INDEX(Vöruskrá!N:N,MATCH(B508,Vöruskrá!B:B,0))*C508/100000,""))</f>
        <v>0</v>
      </c>
      <c r="L508" s="169">
        <f>IF(OR(B508="",C508=""),"",IFERROR(INDEX(Vöruskrá!O:O,MATCH(B508,Vöruskrá!B:B,0))*C508/100000,""))</f>
        <v>0</v>
      </c>
      <c r="M508" s="169">
        <f>IF(OR(B508="",C508=""),"",IFERROR(INDEX(Vöruskrá!P:P,MATCH(B508,Vöruskrá!B:B,0))*C508/100000,""))</f>
        <v>0</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743</v>
      </c>
      <c r="C509" s="172">
        <v>15060</v>
      </c>
      <c r="D509" s="168" t="s">
        <v>745</v>
      </c>
      <c r="E509" s="168"/>
      <c r="F509" s="168"/>
      <c r="G509" s="169">
        <f>IF(OR(B509="",C509=""),"",IFERROR(INDEX(Vöruskrá!J:J,MATCH(B509,Vöruskrá!B:B,0))*C509/100000,""))</f>
        <v>4.2168000000000001</v>
      </c>
      <c r="H509" s="169">
        <f>IF(OR(B509="",C509=""),"",IFERROR(INDEX(Vöruskrá!K:K,MATCH(B509,Vöruskrá!B:B,0))*C509/100000,""))</f>
        <v>1.506E-2</v>
      </c>
      <c r="I509" s="169">
        <f>IF(OR(B509="",C509=""),"",IFERROR(INDEX(Vöruskrá!L:L,MATCH(B509,Vöruskrá!B:B,0))*C509/100000,""))</f>
        <v>0</v>
      </c>
      <c r="J509" s="169">
        <f>IF(OR(B509="",C509=""),"",IFERROR(INDEX(Vöruskrá!M:M,MATCH(B509,Vöruskrá!B:B,0))*C509/100000,""))</f>
        <v>0.753</v>
      </c>
      <c r="K509" s="169">
        <f>IF(OR(B509="",C509=""),"",IFERROR(INDEX(Vöruskrá!N:N,MATCH(B509,Vöruskrá!B:B,0))*C509/100000,""))</f>
        <v>0.51204000000000005</v>
      </c>
      <c r="L509" s="169">
        <f>IF(OR(B509="",C509=""),"",IFERROR(INDEX(Vöruskrá!O:O,MATCH(B509,Vöruskrá!B:B,0))*C509/100000,""))</f>
        <v>0.22589999999999999</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489</v>
      </c>
      <c r="C510" s="174">
        <v>1506</v>
      </c>
      <c r="D510" s="168" t="s">
        <v>490</v>
      </c>
      <c r="E510" s="168" t="s">
        <v>134</v>
      </c>
      <c r="F510" s="168" t="s">
        <v>311</v>
      </c>
      <c r="G510" s="169">
        <f>IF(OR(B510="",C510=""),"",IFERROR(INDEX(Vöruskrá!J:J,MATCH(B510,Vöruskrá!B:B,0))*C510/100000,""))</f>
        <v>3.3433199999999998</v>
      </c>
      <c r="H510" s="169">
        <f>IF(OR(B510="",C510=""),"",IFERROR(INDEX(Vöruskrá!K:K,MATCH(B510,Vöruskrá!B:B,0))*C510/100000,""))</f>
        <v>9.0359999999999996E-2</v>
      </c>
      <c r="I510" s="169">
        <f>IF(OR(B510="",C510=""),"",IFERROR(INDEX(Vöruskrá!L:L,MATCH(B510,Vöruskrá!B:B,0))*C510/100000,""))</f>
        <v>1.3554E-2</v>
      </c>
      <c r="J510" s="169">
        <f>IF(OR(B510="",C510=""),"",IFERROR(INDEX(Vöruskrá!M:M,MATCH(B510,Vöruskrá!B:B,0))*C510/100000,""))</f>
        <v>0.45179999999999998</v>
      </c>
      <c r="K510" s="169">
        <f>IF(OR(B510="",C510=""),"",IFERROR(INDEX(Vöruskrá!N:N,MATCH(B510,Vöruskrá!B:B,0))*C510/100000,""))</f>
        <v>6.927599999999999E-2</v>
      </c>
      <c r="L510" s="169">
        <f>IF(OR(B510="",C510=""),"",IFERROR(INDEX(Vöruskrá!O:O,MATCH(B510,Vöruskrá!B:B,0))*C510/100000,""))</f>
        <v>0.10692600000000001</v>
      </c>
      <c r="M510" s="169">
        <f>IF(OR(B510="",C510=""),"",IFERROR(INDEX(Vöruskrá!P:P,MATCH(B510,Vöruskrá!B:B,0))*C510/100000,""))</f>
        <v>0.67769999999999997</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895</v>
      </c>
      <c r="C511" s="172">
        <v>7530</v>
      </c>
      <c r="D511" s="168" t="s">
        <v>897</v>
      </c>
      <c r="E511" s="168" t="s">
        <v>120</v>
      </c>
      <c r="F511" s="168"/>
      <c r="G511" s="169">
        <f>IF(OR(B511="",C511=""),"",IFERROR(INDEX(Vöruskrá!J:J,MATCH(B511,Vöruskrá!B:B,0))*C511/100000,""))</f>
        <v>22.665299999999998</v>
      </c>
      <c r="H511" s="169">
        <f>IF(OR(B511="",C511=""),"",IFERROR(INDEX(Vöruskrá!K:K,MATCH(B511,Vöruskrá!B:B,0))*C511/100000,""))</f>
        <v>1.5812999999999999</v>
      </c>
      <c r="I511" s="169">
        <f>IF(OR(B511="",C511=""),"",IFERROR(INDEX(Vöruskrá!L:L,MATCH(B511,Vöruskrá!B:B,0))*C511/100000,""))</f>
        <v>0.90359999999999996</v>
      </c>
      <c r="J511" s="169">
        <f>IF(OR(B511="",C511=""),"",IFERROR(INDEX(Vöruskrá!M:M,MATCH(B511,Vöruskrá!B:B,0))*C511/100000,""))</f>
        <v>0.24096000000000001</v>
      </c>
      <c r="K511" s="169">
        <f>IF(OR(B511="",C511=""),"",IFERROR(INDEX(Vöruskrá!N:N,MATCH(B511,Vöruskrá!B:B,0))*C511/100000,""))</f>
        <v>7.5300000000000006E-2</v>
      </c>
      <c r="L511" s="169">
        <f>IF(OR(B511="",C511=""),"",IFERROR(INDEX(Vöruskrá!O:O,MATCH(B511,Vöruskrá!B:B,0))*C511/100000,""))</f>
        <v>1.8071999999999999</v>
      </c>
      <c r="M511" s="169">
        <f>IF(OR(B511="",C511=""),"",IFERROR(INDEX(Vöruskrá!P:P,MATCH(B511,Vöruskrá!B:B,0))*C511/100000,""))</f>
        <v>0.10542</v>
      </c>
      <c r="N511" s="169">
        <f>IF(OR(B511="",C511=""),"",IFERROR(INDEX(Vöruskrá!Q:Q,MATCH(B511,Vöruskrá!B:B,0))*C511/100000,""))</f>
        <v>0</v>
      </c>
      <c r="O511" s="170">
        <f>IF(OR(B511="",C511=""),"",IFERROR(C511/1000*INDEX(Vöruskrá!R:R,MATCH(B511,Vöruskrá!B:B,0))/1000,""))</f>
        <v>0</v>
      </c>
      <c r="P511" s="171"/>
      <c r="Q511" s="158"/>
      <c r="R511" s="6"/>
    </row>
    <row r="512" spans="1:18" ht="15">
      <c r="A512" s="173"/>
      <c r="B512" s="173" t="s">
        <v>483</v>
      </c>
      <c r="C512" s="174">
        <v>3765</v>
      </c>
      <c r="D512" s="168" t="s">
        <v>485</v>
      </c>
      <c r="E512" s="168" t="s">
        <v>120</v>
      </c>
      <c r="F512" s="168"/>
      <c r="G512" s="169">
        <f>IF(OR(B512="",C512=""),"",IFERROR(INDEX(Vöruskrá!J:J,MATCH(B512,Vöruskrá!B:B,0))*C512/100000,""))</f>
        <v>4.4803499999999996</v>
      </c>
      <c r="H512" s="169">
        <f>IF(OR(B512="",C512=""),"",IFERROR(INDEX(Vöruskrá!K:K,MATCH(B512,Vöruskrá!B:B,0))*C512/100000,""))</f>
        <v>0.3765</v>
      </c>
      <c r="I512" s="169">
        <f>IF(OR(B512="",C512=""),"",IFERROR(INDEX(Vöruskrá!L:L,MATCH(B512,Vöruskrá!B:B,0))*C512/100000,""))</f>
        <v>0.24096000000000001</v>
      </c>
      <c r="J512" s="169">
        <f>IF(OR(B512="",C512=""),"",IFERROR(INDEX(Vöruskrá!M:M,MATCH(B512,Vöruskrá!B:B,0))*C512/100000,""))</f>
        <v>0.131775</v>
      </c>
      <c r="K512" s="169">
        <f>IF(OR(B512="",C512=""),"",IFERROR(INDEX(Vöruskrá!N:N,MATCH(B512,Vöruskrá!B:B,0))*C512/100000,""))</f>
        <v>0.131775</v>
      </c>
      <c r="L512" s="169">
        <f>IF(OR(B512="",C512=""),"",IFERROR(INDEX(Vöruskrá!O:O,MATCH(B512,Vöruskrá!B:B,0))*C512/100000,""))</f>
        <v>0.14307</v>
      </c>
      <c r="M512" s="169">
        <f>IF(OR(B512="",C512=""),"",IFERROR(INDEX(Vöruskrá!P:P,MATCH(B512,Vöruskrá!B:B,0))*C512/100000,""))</f>
        <v>3.7650000000000001E-3</v>
      </c>
      <c r="N512" s="169">
        <f>IF(OR(B512="",C512=""),"",IFERROR(INDEX(Vöruskrá!Q:Q,MATCH(B512,Vöruskrá!B:B,0))*C512/100000,""))</f>
        <v>0</v>
      </c>
      <c r="O512" s="170">
        <f>IF(OR(B512="",C512=""),"",IFERROR(C512/1000*INDEX(Vöruskrá!R:R,MATCH(B512,Vöruskrá!B:B,0))/1000,""))</f>
        <v>0</v>
      </c>
      <c r="P512" s="173"/>
      <c r="Q512" s="157"/>
      <c r="R512" s="27"/>
    </row>
    <row r="513" spans="1:18" ht="15">
      <c r="A513" s="171"/>
      <c r="B513" s="171" t="s">
        <v>1097</v>
      </c>
      <c r="C513" s="172">
        <v>7530</v>
      </c>
      <c r="D513" s="168" t="s">
        <v>1098</v>
      </c>
      <c r="E513" s="168" t="s">
        <v>1099</v>
      </c>
      <c r="F513" s="168" t="s">
        <v>1100</v>
      </c>
      <c r="G513" s="169">
        <f>IF(OR(B513="",C513=""),"",IFERROR(INDEX(Vöruskrá!J:J,MATCH(B513,Vöruskrá!B:B,0))*C513/100000,""))</f>
        <v>6.4757999999999996</v>
      </c>
      <c r="H513" s="169">
        <f>IF(OR(B513="",C513=""),"",IFERROR(INDEX(Vöruskrá!K:K,MATCH(B513,Vöruskrá!B:B,0))*C513/100000,""))</f>
        <v>9.0359999999999996E-2</v>
      </c>
      <c r="I513" s="169">
        <f>IF(OR(B513="",C513=""),"",IFERROR(INDEX(Vöruskrá!L:L,MATCH(B513,Vöruskrá!B:B,0))*C513/100000,""))</f>
        <v>1.506E-2</v>
      </c>
      <c r="J513" s="169">
        <f>IF(OR(B513="",C513=""),"",IFERROR(INDEX(Vöruskrá!M:M,MATCH(B513,Vöruskrá!B:B,0))*C513/100000,""))</f>
        <v>1.4307000000000001</v>
      </c>
      <c r="K513" s="169">
        <f>IF(OR(B513="",C513=""),"",IFERROR(INDEX(Vöruskrá!N:N,MATCH(B513,Vöruskrá!B:B,0))*C513/100000,""))</f>
        <v>0.24096000000000001</v>
      </c>
      <c r="L513" s="169">
        <f>IF(OR(B513="",C513=""),"",IFERROR(INDEX(Vöruskrá!O:O,MATCH(B513,Vöruskrá!B:B,0))*C513/100000,""))</f>
        <v>0.24096000000000001</v>
      </c>
      <c r="M513" s="169">
        <f>IF(OR(B513="",C513=""),"",IFERROR(INDEX(Vöruskrá!P:P,MATCH(B513,Vöruskrá!B:B,0))*C513/100000,""))</f>
        <v>7.5300000000000002E-3</v>
      </c>
      <c r="N513" s="169">
        <f>IF(OR(B513="",C513=""),"",IFERROR(INDEX(Vöruskrá!Q:Q,MATCH(B513,Vöruskrá!B:B,0))*C513/100000,""))</f>
        <v>0.15060000000000001</v>
      </c>
      <c r="O513" s="170">
        <f>IF(OR(B513="",C513=""),"",IFERROR(C513/1000*INDEX(Vöruskrá!R:R,MATCH(B513,Vöruskrá!B:B,0))/1000,""))</f>
        <v>0</v>
      </c>
      <c r="P513" s="171"/>
      <c r="Q513" s="158"/>
      <c r="R513" s="6"/>
    </row>
    <row r="514" spans="1:18" ht="15">
      <c r="A514" s="173"/>
      <c r="B514" s="173" t="s">
        <v>299</v>
      </c>
      <c r="C514" s="174">
        <v>602</v>
      </c>
      <c r="D514" s="168" t="s">
        <v>302</v>
      </c>
      <c r="E514" s="168" t="s">
        <v>134</v>
      </c>
      <c r="F514" s="168" t="s">
        <v>303</v>
      </c>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0.60199999999999998</v>
      </c>
      <c r="N514" s="169">
        <f>IF(OR(B514="",C514=""),"",IFERROR(INDEX(Vöruskrá!Q:Q,MATCH(B514,Vöruskrá!B:B,0))*C514/100000,""))</f>
        <v>0</v>
      </c>
      <c r="O514" s="170">
        <f>IF(OR(B514="",C514=""),"",IFERROR(C514/1000*INDEX(Vöruskrá!R:R,MATCH(B514,Vöruskrá!B:B,0))/1000,""))</f>
        <v>0</v>
      </c>
      <c r="P514" s="173"/>
      <c r="Q514" s="201"/>
      <c r="R514" s="202"/>
    </row>
    <row r="515" spans="1:18" ht="36">
      <c r="A515" s="147" t="s">
        <v>1802</v>
      </c>
      <c r="B515" s="147"/>
      <c r="C515" s="148"/>
      <c r="D515" s="165" t="s">
        <v>1803</v>
      </c>
      <c r="E515" s="165" t="s">
        <v>134</v>
      </c>
      <c r="F515" s="165"/>
      <c r="G515" s="166">
        <v>119.5</v>
      </c>
      <c r="H515" s="166">
        <v>6.33</v>
      </c>
      <c r="I515" s="166">
        <v>1.77</v>
      </c>
      <c r="J515" s="166">
        <v>3.35</v>
      </c>
      <c r="K515" s="166"/>
      <c r="L515" s="166">
        <v>12.19</v>
      </c>
      <c r="M515" s="166">
        <v>1.07</v>
      </c>
      <c r="N515" s="166">
        <f>IFERROR(SUM(N516:N522)/(SUM($C$516:$C$522)/100000),"")</f>
        <v>0.18137436180488478</v>
      </c>
      <c r="O515" s="167" t="str">
        <f>IF(OR(B515="",C515=""),"",IFERROR(C515/1000*INDEX(Vöruskrá!R:R,MATCH(B515,Vöruskrá!B:B,0))/1000,""))</f>
        <v/>
      </c>
      <c r="P515" s="196" t="s">
        <v>1804</v>
      </c>
      <c r="Q515" s="195" t="s">
        <v>1805</v>
      </c>
      <c r="R515" s="194" t="s">
        <v>1806</v>
      </c>
    </row>
    <row r="516" spans="1:18" ht="15">
      <c r="A516" s="171"/>
      <c r="B516" s="171" t="s">
        <v>542</v>
      </c>
      <c r="C516" s="172">
        <v>41294</v>
      </c>
      <c r="D516" s="168" t="s">
        <v>543</v>
      </c>
      <c r="E516" s="168" t="s">
        <v>134</v>
      </c>
      <c r="F516" s="168"/>
      <c r="G516" s="169">
        <f>IF(OR(B516="",C516=""),"",IFERROR(INDEX(Vöruskrá!J:J,MATCH(B516,Vöruskrá!B:B,0))*C516/100000,""))</f>
        <v>73.916259999999994</v>
      </c>
      <c r="H516" s="169">
        <f>IF(OR(B516="",C516=""),"",IFERROR(INDEX(Vöruskrá!K:K,MATCH(B516,Vöruskrá!B:B,0))*C516/100000,""))</f>
        <v>4.5423400000000003</v>
      </c>
      <c r="I516" s="169">
        <f>IF(OR(B516="",C516=""),"",IFERROR(INDEX(Vöruskrá!L:L,MATCH(B516,Vöruskrá!B:B,0))*C516/100000,""))</f>
        <v>1.2801140000000002</v>
      </c>
      <c r="J516" s="169">
        <f>IF(OR(B516="",C516=""),"",IFERROR(INDEX(Vöruskrá!M:M,MATCH(B516,Vöruskrá!B:B,0))*C516/100000,""))</f>
        <v>0</v>
      </c>
      <c r="K516" s="169">
        <f>IF(OR(B516="",C516=""),"",IFERROR(INDEX(Vöruskrá!N:N,MATCH(B516,Vöruskrá!B:B,0))*C516/100000,""))</f>
        <v>0</v>
      </c>
      <c r="L516" s="169">
        <f>IF(OR(B516="",C516=""),"",IFERROR(INDEX(Vöruskrá!O:O,MATCH(B516,Vöruskrá!B:B,0))*C516/100000,""))</f>
        <v>8.2588000000000008</v>
      </c>
      <c r="M516" s="169">
        <f>IF(OR(B516="",C516=""),"",IFERROR(INDEX(Vöruskrá!P:P,MATCH(B516,Vöruskrá!B:B,0))*C516/100000,""))</f>
        <v>8.2588000000000009E-2</v>
      </c>
      <c r="N516" s="169">
        <f>IF(OR(B516="",C516=""),"",IFERROR(INDEX(Vöruskrá!Q:Q,MATCH(B516,Vöruskrá!B:B,0))*C516/100000,""))</f>
        <v>0</v>
      </c>
      <c r="O516" s="170">
        <f>IF(OR(B516="",C516=""),"",IFERROR(C516/1000*INDEX(Vöruskrá!R:R,MATCH(B516,Vöruskrá!B:B,0))/1000,""))</f>
        <v>0</v>
      </c>
      <c r="P516" s="171"/>
      <c r="Q516" s="203"/>
      <c r="R516" s="204"/>
    </row>
    <row r="517" spans="1:18" ht="15">
      <c r="A517" s="173"/>
      <c r="B517" s="173" t="s">
        <v>743</v>
      </c>
      <c r="C517" s="174">
        <v>20647</v>
      </c>
      <c r="D517" s="168" t="s">
        <v>745</v>
      </c>
      <c r="E517" s="168"/>
      <c r="F517" s="168"/>
      <c r="G517" s="169">
        <f>IF(OR(B517="",C517=""),"",IFERROR(INDEX(Vöruskrá!J:J,MATCH(B517,Vöruskrá!B:B,0))*C517/100000,""))</f>
        <v>5.7811599999999999</v>
      </c>
      <c r="H517" s="169">
        <f>IF(OR(B517="",C517=""),"",IFERROR(INDEX(Vöruskrá!K:K,MATCH(B517,Vöruskrá!B:B,0))*C517/100000,""))</f>
        <v>2.0647000000000002E-2</v>
      </c>
      <c r="I517" s="169">
        <f>IF(OR(B517="",C517=""),"",IFERROR(INDEX(Vöruskrá!L:L,MATCH(B517,Vöruskrá!B:B,0))*C517/100000,""))</f>
        <v>0</v>
      </c>
      <c r="J517" s="169">
        <f>IF(OR(B517="",C517=""),"",IFERROR(INDEX(Vöruskrá!M:M,MATCH(B517,Vöruskrá!B:B,0))*C517/100000,""))</f>
        <v>1.0323500000000001</v>
      </c>
      <c r="K517" s="169">
        <f>IF(OR(B517="",C517=""),"",IFERROR(INDEX(Vöruskrá!N:N,MATCH(B517,Vöruskrá!B:B,0))*C517/100000,""))</f>
        <v>0.70199800000000001</v>
      </c>
      <c r="L517" s="169">
        <f>IF(OR(B517="",C517=""),"",IFERROR(INDEX(Vöruskrá!O:O,MATCH(B517,Vöruskrá!B:B,0))*C517/100000,""))</f>
        <v>0.30970500000000001</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3"/>
      <c r="Q517" s="158"/>
      <c r="R517" s="6"/>
    </row>
    <row r="518" spans="1:18" ht="15">
      <c r="A518" s="171"/>
      <c r="B518" s="171" t="s">
        <v>1010</v>
      </c>
      <c r="C518" s="172">
        <v>6882</v>
      </c>
      <c r="D518" s="168" t="s">
        <v>1010</v>
      </c>
      <c r="E518" s="168" t="s">
        <v>134</v>
      </c>
      <c r="F518" s="168"/>
      <c r="G518" s="169">
        <f>IF(OR(B518="",C518=""),"",IFERROR(INDEX(Vöruskrá!J:J,MATCH(B518,Vöruskrá!B:B,0))*C518/100000,""))</f>
        <v>2.7528000000000001</v>
      </c>
      <c r="H518" s="169">
        <f>IF(OR(B518="",C518=""),"",IFERROR(INDEX(Vöruskrá!K:K,MATCH(B518,Vöruskrá!B:B,0))*C518/100000,""))</f>
        <v>6.8820000000000001E-3</v>
      </c>
      <c r="I518" s="169">
        <f>IF(OR(B518="",C518=""),"",IFERROR(INDEX(Vöruskrá!L:L,MATCH(B518,Vöruskrá!B:B,0))*C518/100000,""))</f>
        <v>0</v>
      </c>
      <c r="J518" s="169">
        <f>IF(OR(B518="",C518=""),"",IFERROR(INDEX(Vöruskrá!M:M,MATCH(B518,Vöruskrá!B:B,0))*C518/100000,""))</f>
        <v>0.64002600000000009</v>
      </c>
      <c r="K518" s="169">
        <f>IF(OR(B518="",C518=""),"",IFERROR(INDEX(Vöruskrá!N:N,MATCH(B518,Vöruskrá!B:B,0))*C518/100000,""))</f>
        <v>0.28904400000000002</v>
      </c>
      <c r="L518" s="169">
        <f>IF(OR(B518="",C518=""),"",IFERROR(INDEX(Vöruskrá!O:O,MATCH(B518,Vöruskrá!B:B,0))*C518/100000,""))</f>
        <v>7.5702000000000005E-2</v>
      </c>
      <c r="M518" s="169">
        <f>IF(OR(B518="",C518=""),"",IFERROR(INDEX(Vöruskrá!P:P,MATCH(B518,Vöruskrá!B:B,0))*C518/100000,""))</f>
        <v>0</v>
      </c>
      <c r="N518" s="169">
        <f>IF(OR(B518="",C518=""),"",IFERROR(INDEX(Vöruskrá!Q:Q,MATCH(B518,Vöruskrá!B:B,0))*C518/100000,""))</f>
        <v>0.116994</v>
      </c>
      <c r="O518" s="170">
        <f>IF(OR(B518="",C518=""),"",IFERROR(C518/1000*INDEX(Vöruskrá!R:R,MATCH(B518,Vöruskrá!B:B,0))/1000,""))</f>
        <v>0</v>
      </c>
      <c r="P518" s="171"/>
      <c r="Q518" s="157"/>
      <c r="R518" s="27"/>
    </row>
    <row r="519" spans="1:18" ht="15">
      <c r="A519" s="173"/>
      <c r="B519" s="173" t="s">
        <v>1017</v>
      </c>
      <c r="C519" s="174">
        <v>688</v>
      </c>
      <c r="D519" s="168" t="s">
        <v>1017</v>
      </c>
      <c r="E519" s="168" t="s">
        <v>134</v>
      </c>
      <c r="F519" s="168"/>
      <c r="G519" s="169">
        <f>IF(OR(B519="",C519=""),"",IFERROR(INDEX(Vöruskrá!J:J,MATCH(B519,Vöruskrá!B:B,0))*C519/100000,""))</f>
        <v>1.02512</v>
      </c>
      <c r="H519" s="169">
        <f>IF(OR(B519="",C519=""),"",IFERROR(INDEX(Vöruskrá!K:K,MATCH(B519,Vöruskrá!B:B,0))*C519/100000,""))</f>
        <v>3.4399999999999999E-3</v>
      </c>
      <c r="I519" s="169">
        <f>IF(OR(B519="",C519=""),"",IFERROR(INDEX(Vöruskrá!L:L,MATCH(B519,Vöruskrá!B:B,0))*C519/100000,""))</f>
        <v>6.8799999999999992E-4</v>
      </c>
      <c r="J519" s="169">
        <f>IF(OR(B519="",C519=""),"",IFERROR(INDEX(Vöruskrá!M:M,MATCH(B519,Vöruskrá!B:B,0))*C519/100000,""))</f>
        <v>0.22772799999999999</v>
      </c>
      <c r="K519" s="169">
        <f>IF(OR(B519="",C519=""),"",IFERROR(INDEX(Vöruskrá!N:N,MATCH(B519,Vöruskrá!B:B,0))*C519/100000,""))</f>
        <v>6.8799999999999998E-3</v>
      </c>
      <c r="L519" s="169">
        <f>IF(OR(B519="",C519=""),"",IFERROR(INDEX(Vöruskrá!O:O,MATCH(B519,Vöruskrá!B:B,0))*C519/100000,""))</f>
        <v>4.4031999999999995E-2</v>
      </c>
      <c r="M519" s="169">
        <f>IF(OR(B519="",C519=""),"",IFERROR(INDEX(Vöruskrá!P:P,MATCH(B519,Vöruskrá!B:B,0))*C519/100000,""))</f>
        <v>0</v>
      </c>
      <c r="N519" s="169">
        <f>IF(OR(B519="",C519=""),"",IFERROR(INDEX(Vöruskrá!Q:Q,MATCH(B519,Vöruskrá!B:B,0))*C519/100000,""))</f>
        <v>1.4447999999999999E-2</v>
      </c>
      <c r="O519" s="170">
        <f>IF(OR(B519="",C519=""),"",IFERROR(C519/1000*INDEX(Vöruskrá!R:R,MATCH(B519,Vöruskrá!B:B,0))/1000,""))</f>
        <v>0</v>
      </c>
      <c r="P519" s="173"/>
      <c r="Q519" s="158"/>
      <c r="R519" s="6"/>
    </row>
    <row r="520" spans="1:18" ht="15">
      <c r="A520" s="171"/>
      <c r="B520" s="171" t="s">
        <v>504</v>
      </c>
      <c r="C520" s="172">
        <v>2065</v>
      </c>
      <c r="D520" s="168" t="s">
        <v>500</v>
      </c>
      <c r="E520" s="168" t="s">
        <v>134</v>
      </c>
      <c r="F520" s="168"/>
      <c r="G520" s="169">
        <f>IF(OR(B520="",C520=""),"",IFERROR(INDEX(Vöruskrá!J:J,MATCH(B520,Vöruskrá!B:B,0))*C520/100000,""))</f>
        <v>2.33345</v>
      </c>
      <c r="H520" s="169">
        <f>IF(OR(B520="",C520=""),"",IFERROR(INDEX(Vöruskrá!K:K,MATCH(B520,Vöruskrá!B:B,0))*C520/100000,""))</f>
        <v>8.26E-3</v>
      </c>
      <c r="I520" s="169">
        <f>IF(OR(B520="",C520=""),"",IFERROR(INDEX(Vöruskrá!L:L,MATCH(B520,Vöruskrá!B:B,0))*C520/100000,""))</f>
        <v>0</v>
      </c>
      <c r="J520" s="169">
        <f>IF(OR(B520="",C520=""),"",IFERROR(INDEX(Vöruskrá!M:M,MATCH(B520,Vöruskrá!B:B,0))*C520/100000,""))</f>
        <v>0.39234999999999998</v>
      </c>
      <c r="K520" s="169">
        <f>IF(OR(B520="",C520=""),"",IFERROR(INDEX(Vöruskrá!N:N,MATCH(B520,Vöruskrá!B:B,0))*C520/100000,""))</f>
        <v>0.28910000000000002</v>
      </c>
      <c r="L520" s="169">
        <f>IF(OR(B520="",C520=""),"",IFERROR(INDEX(Vöruskrá!O:O,MATCH(B520,Vöruskrá!B:B,0))*C520/100000,""))</f>
        <v>0.1239</v>
      </c>
      <c r="M520" s="169">
        <f>IF(OR(B520="",C520=""),"",IFERROR(INDEX(Vöruskrá!P:P,MATCH(B520,Vöruskrá!B:B,0))*C520/100000,""))</f>
        <v>2.065E-3</v>
      </c>
      <c r="N520" s="169">
        <f>IF(OR(B520="",C520=""),"",IFERROR(INDEX(Vöruskrá!Q:Q,MATCH(B520,Vöruskrá!B:B,0))*C520/100000,""))</f>
        <v>0</v>
      </c>
      <c r="O520" s="170">
        <f>IF(OR(B520="",C520=""),"",IFERROR(C520/1000*INDEX(Vöruskrá!R:R,MATCH(B520,Vöruskrá!B:B,0))/1000,""))</f>
        <v>0</v>
      </c>
      <c r="P520" s="171"/>
      <c r="Q520" s="157"/>
      <c r="R520" s="27"/>
    </row>
    <row r="521" spans="1:18" ht="15">
      <c r="A521" s="173"/>
      <c r="B521" s="173" t="s">
        <v>299</v>
      </c>
      <c r="C521" s="174">
        <v>688</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0.68799999999999994</v>
      </c>
      <c r="N521" s="169">
        <f>IF(OR(B521="",C521=""),"",IFERROR(INDEX(Vöruskrá!Q:Q,MATCH(B521,Vöruskrá!B:B,0))*C521/100000,""))</f>
        <v>0</v>
      </c>
      <c r="O521" s="170">
        <f>IF(OR(B521="",C521=""),"",IFERROR(C521/1000*INDEX(Vöruskrá!R:R,MATCH(B521,Vöruskrá!B:B,0))/1000,""))</f>
        <v>0</v>
      </c>
      <c r="P521" s="173"/>
      <c r="Q521" s="158"/>
      <c r="R521" s="6"/>
    </row>
    <row r="522" spans="1:18" ht="15">
      <c r="A522" s="171"/>
      <c r="B522" s="171" t="s">
        <v>819</v>
      </c>
      <c r="C522" s="172">
        <v>206</v>
      </c>
      <c r="D522" s="168" t="s">
        <v>820</v>
      </c>
      <c r="E522" s="168"/>
      <c r="F522" s="168" t="s">
        <v>311</v>
      </c>
      <c r="G522" s="169">
        <f>IF(OR(B522="",C522=""),"",IFERROR(INDEX(Vöruskrá!J:J,MATCH(B522,Vöruskrá!B:B,0))*C522/100000,""))</f>
        <v>0.79515999999999998</v>
      </c>
      <c r="H522" s="169">
        <f>IF(OR(B522="",C522=""),"",IFERROR(INDEX(Vöruskrá!K:K,MATCH(B522,Vöruskrá!B:B,0))*C522/100000,""))</f>
        <v>6.7979999999999994E-3</v>
      </c>
      <c r="I522" s="169">
        <f>IF(OR(B522="",C522=""),"",IFERROR(INDEX(Vöruskrá!L:L,MATCH(B522,Vöruskrá!B:B,0))*C522/100000,""))</f>
        <v>2.0600000000000002E-3</v>
      </c>
      <c r="J522" s="169">
        <f>IF(OR(B522="",C522=""),"",IFERROR(INDEX(Vöruskrá!M:M,MATCH(B522,Vöruskrá!B:B,0))*C522/100000,""))</f>
        <v>0.13389999999999999</v>
      </c>
      <c r="K522" s="169">
        <f>IF(OR(B522="",C522=""),"",IFERROR(INDEX(Vöruskrá!N:N,MATCH(B522,Vöruskrá!B:B,0))*C522/100000,""))</f>
        <v>1.2359999999999999E-3</v>
      </c>
      <c r="L522" s="169">
        <f>IF(OR(B522="",C522=""),"",IFERROR(INDEX(Vöruskrá!O:O,MATCH(B522,Vöruskrá!B:B,0))*C522/100000,""))</f>
        <v>2.266E-2</v>
      </c>
      <c r="M522" s="169">
        <f>IF(OR(B522="",C522=""),"",IFERROR(INDEX(Vöruskrá!P:P,MATCH(B522,Vöruskrá!B:B,0))*C522/100000,""))</f>
        <v>2.0600000000000002E-4</v>
      </c>
      <c r="N522" s="169">
        <f>IF(OR(B522="",C522=""),"",IFERROR(INDEX(Vöruskrá!Q:Q,MATCH(B522,Vöruskrá!B:B,0))*C522/100000,""))</f>
        <v>0</v>
      </c>
      <c r="O522" s="170">
        <f>IF(OR(B522="",C522=""),"",IFERROR(C522/1000*INDEX(Vöruskrá!R:R,MATCH(B522,Vöruskrá!B:B,0))/1000,""))</f>
        <v>0</v>
      </c>
      <c r="P522" s="171"/>
      <c r="Q522" s="201"/>
      <c r="R522" s="202"/>
    </row>
    <row r="523" spans="1:18" ht="48">
      <c r="A523" s="147" t="s">
        <v>1807</v>
      </c>
      <c r="B523" s="147"/>
      <c r="C523" s="148"/>
      <c r="D523" s="165" t="s">
        <v>1808</v>
      </c>
      <c r="E523" s="165" t="s">
        <v>1099</v>
      </c>
      <c r="F523" s="165"/>
      <c r="G523" s="166">
        <v>99.21</v>
      </c>
      <c r="H523" s="166">
        <v>5.0599999999999996</v>
      </c>
      <c r="I523" s="166">
        <v>1.4</v>
      </c>
      <c r="J523" s="166">
        <v>3.92</v>
      </c>
      <c r="K523" s="166"/>
      <c r="L523" s="166">
        <v>9.64</v>
      </c>
      <c r="M523" s="166">
        <v>0.76</v>
      </c>
      <c r="N523" s="166">
        <f>IFERROR(SUM(N524:N531)/(SUM($C$524:$C$531)/100000),"")</f>
        <v>0.28749312506874924</v>
      </c>
      <c r="O523" s="167" t="str">
        <f>IF(OR(B523="",C523=""),"",IFERROR(C523/1000*INDEX(Vöruskrá!R:R,MATCH(B523,Vöruskrá!B:B,0))/1000,""))</f>
        <v/>
      </c>
      <c r="P523" s="196" t="s">
        <v>1809</v>
      </c>
      <c r="Q523" s="199" t="s">
        <v>1810</v>
      </c>
      <c r="R523" s="198" t="s">
        <v>1811</v>
      </c>
    </row>
    <row r="524" spans="1:18" ht="15">
      <c r="A524" s="171"/>
      <c r="B524" s="171" t="s">
        <v>542</v>
      </c>
      <c r="C524" s="172">
        <v>44118</v>
      </c>
      <c r="D524" s="168" t="s">
        <v>543</v>
      </c>
      <c r="E524" s="168" t="s">
        <v>134</v>
      </c>
      <c r="F524" s="168"/>
      <c r="G524" s="169">
        <f>IF(OR(B524="",C524=""),"",IFERROR(INDEX(Vöruskrá!J:J,MATCH(B524,Vöruskrá!B:B,0))*C524/100000,""))</f>
        <v>78.971220000000002</v>
      </c>
      <c r="H524" s="169">
        <f>IF(OR(B524="",C524=""),"",IFERROR(INDEX(Vöruskrá!K:K,MATCH(B524,Vöruskrá!B:B,0))*C524/100000,""))</f>
        <v>4.8529799999999996</v>
      </c>
      <c r="I524" s="169">
        <f>IF(OR(B524="",C524=""),"",IFERROR(INDEX(Vöruskrá!L:L,MATCH(B524,Vöruskrá!B:B,0))*C524/100000,""))</f>
        <v>1.3676580000000003</v>
      </c>
      <c r="J524" s="169">
        <f>IF(OR(B524="",C524=""),"",IFERROR(INDEX(Vöruskrá!M:M,MATCH(B524,Vöruskrá!B:B,0))*C524/100000,""))</f>
        <v>0</v>
      </c>
      <c r="K524" s="169">
        <f>IF(OR(B524="",C524=""),"",IFERROR(INDEX(Vöruskrá!N:N,MATCH(B524,Vöruskrá!B:B,0))*C524/100000,""))</f>
        <v>0</v>
      </c>
      <c r="L524" s="169">
        <f>IF(OR(B524="",C524=""),"",IFERROR(INDEX(Vöruskrá!O:O,MATCH(B524,Vöruskrá!B:B,0))*C524/100000,""))</f>
        <v>8.8236000000000008</v>
      </c>
      <c r="M524" s="169">
        <f>IF(OR(B524="",C524=""),"",IFERROR(INDEX(Vöruskrá!P:P,MATCH(B524,Vöruskrá!B:B,0))*C524/100000,""))</f>
        <v>8.8236000000000009E-2</v>
      </c>
      <c r="N524" s="169">
        <f>IF(OR(B524="",C524=""),"",IFERROR(INDEX(Vöruskrá!Q:Q,MATCH(B524,Vöruskrá!B:B,0))*C524/100000,""))</f>
        <v>0</v>
      </c>
      <c r="O524" s="170">
        <f>IF(OR(B524="",C524=""),"",IFERROR(C524/1000*INDEX(Vöruskrá!R:R,MATCH(B524,Vöruskrá!B:B,0))/1000,""))</f>
        <v>0</v>
      </c>
      <c r="P524" s="171"/>
      <c r="Q524" s="203"/>
      <c r="R524" s="204"/>
    </row>
    <row r="525" spans="1:18" ht="15">
      <c r="A525" s="173"/>
      <c r="B525" s="173" t="s">
        <v>1478</v>
      </c>
      <c r="C525" s="174">
        <v>22059</v>
      </c>
      <c r="D525" s="168"/>
      <c r="E525" s="168"/>
      <c r="F525" s="168"/>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743</v>
      </c>
      <c r="C526" s="172">
        <v>14706</v>
      </c>
      <c r="D526" s="168" t="s">
        <v>745</v>
      </c>
      <c r="E526" s="168"/>
      <c r="F526" s="168"/>
      <c r="G526" s="169">
        <f>IF(OR(B526="",C526=""),"",IFERROR(INDEX(Vöruskrá!J:J,MATCH(B526,Vöruskrá!B:B,0))*C526/100000,""))</f>
        <v>4.11768</v>
      </c>
      <c r="H526" s="169">
        <f>IF(OR(B526="",C526=""),"",IFERROR(INDEX(Vöruskrá!K:K,MATCH(B526,Vöruskrá!B:B,0))*C526/100000,""))</f>
        <v>1.4706000000000002E-2</v>
      </c>
      <c r="I526" s="169">
        <f>IF(OR(B526="",C526=""),"",IFERROR(INDEX(Vöruskrá!L:L,MATCH(B526,Vöruskrá!B:B,0))*C526/100000,""))</f>
        <v>0</v>
      </c>
      <c r="J526" s="169">
        <f>IF(OR(B526="",C526=""),"",IFERROR(INDEX(Vöruskrá!M:M,MATCH(B526,Vöruskrá!B:B,0))*C526/100000,""))</f>
        <v>0.73529999999999995</v>
      </c>
      <c r="K526" s="169">
        <f>IF(OR(B526="",C526=""),"",IFERROR(INDEX(Vöruskrá!N:N,MATCH(B526,Vöruskrá!B:B,0))*C526/100000,""))</f>
        <v>0.500004</v>
      </c>
      <c r="L526" s="169">
        <f>IF(OR(B526="",C526=""),"",IFERROR(INDEX(Vöruskrá!O:O,MATCH(B526,Vöruskrá!B:B,0))*C526/100000,""))</f>
        <v>0.22059000000000001</v>
      </c>
      <c r="M526" s="169">
        <f>IF(OR(B526="",C526=""),"",IFERROR(INDEX(Vöruskrá!P:P,MATCH(B526,Vöruskrá!B:B,0))*C526/100000,""))</f>
        <v>0</v>
      </c>
      <c r="N526" s="169">
        <f>IF(OR(B526="",C526=""),"",IFERROR(INDEX(Vöruskrá!Q:Q,MATCH(B526,Vöruskrá!B:B,0))*C526/100000,""))</f>
        <v>0</v>
      </c>
      <c r="O526" s="170">
        <f>IF(OR(B526="",C526=""),"",IFERROR(C526/1000*INDEX(Vöruskrá!R:R,MATCH(B526,Vöruskrá!B:B,0))/1000,""))</f>
        <v>0</v>
      </c>
      <c r="P526" s="171"/>
      <c r="Q526" s="157"/>
      <c r="R526" s="27"/>
    </row>
    <row r="527" spans="1:18" ht="15">
      <c r="A527" s="173"/>
      <c r="B527" s="173" t="s">
        <v>489</v>
      </c>
      <c r="C527" s="174">
        <v>1471</v>
      </c>
      <c r="D527" s="168" t="s">
        <v>490</v>
      </c>
      <c r="E527" s="168" t="s">
        <v>134</v>
      </c>
      <c r="F527" s="168" t="s">
        <v>311</v>
      </c>
      <c r="G527" s="169">
        <f>IF(OR(B527="",C527=""),"",IFERROR(INDEX(Vöruskrá!J:J,MATCH(B527,Vöruskrá!B:B,0))*C527/100000,""))</f>
        <v>3.2656200000000002</v>
      </c>
      <c r="H527" s="169">
        <f>IF(OR(B527="",C527=""),"",IFERROR(INDEX(Vöruskrá!K:K,MATCH(B527,Vöruskrá!B:B,0))*C527/100000,""))</f>
        <v>8.8260000000000005E-2</v>
      </c>
      <c r="I527" s="169">
        <f>IF(OR(B527="",C527=""),"",IFERROR(INDEX(Vöruskrá!L:L,MATCH(B527,Vöruskrá!B:B,0))*C527/100000,""))</f>
        <v>1.3239000000000001E-2</v>
      </c>
      <c r="J527" s="169">
        <f>IF(OR(B527="",C527=""),"",IFERROR(INDEX(Vöruskrá!M:M,MATCH(B527,Vöruskrá!B:B,0))*C527/100000,""))</f>
        <v>0.44130000000000003</v>
      </c>
      <c r="K527" s="169">
        <f>IF(OR(B527="",C527=""),"",IFERROR(INDEX(Vöruskrá!N:N,MATCH(B527,Vöruskrá!B:B,0))*C527/100000,""))</f>
        <v>6.766599999999999E-2</v>
      </c>
      <c r="L527" s="169">
        <f>IF(OR(B527="",C527=""),"",IFERROR(INDEX(Vöruskrá!O:O,MATCH(B527,Vöruskrá!B:B,0))*C527/100000,""))</f>
        <v>0.10444100000000001</v>
      </c>
      <c r="M527" s="169">
        <f>IF(OR(B527="",C527=""),"",IFERROR(INDEX(Vöruskrá!P:P,MATCH(B527,Vöruskrá!B:B,0))*C527/100000,""))</f>
        <v>0.66195000000000004</v>
      </c>
      <c r="N527" s="169">
        <f>IF(OR(B527="",C527=""),"",IFERROR(INDEX(Vöruskrá!Q:Q,MATCH(B527,Vöruskrá!B:B,0))*C527/100000,""))</f>
        <v>0</v>
      </c>
      <c r="O527" s="170">
        <f>IF(OR(B527="",C527=""),"",IFERROR(C527/1000*INDEX(Vöruskrá!R:R,MATCH(B527,Vöruskrá!B:B,0))/1000,""))</f>
        <v>0</v>
      </c>
      <c r="P527" s="173"/>
      <c r="Q527" s="158"/>
      <c r="R527" s="6"/>
    </row>
    <row r="528" spans="1:18" ht="15">
      <c r="A528" s="171"/>
      <c r="B528" s="171" t="s">
        <v>1010</v>
      </c>
      <c r="C528" s="172">
        <v>7353</v>
      </c>
      <c r="D528" s="168" t="s">
        <v>1010</v>
      </c>
      <c r="E528" s="168" t="s">
        <v>134</v>
      </c>
      <c r="F528" s="168"/>
      <c r="G528" s="169">
        <f>IF(OR(B528="",C528=""),"",IFERROR(INDEX(Vöruskrá!J:J,MATCH(B528,Vöruskrá!B:B,0))*C528/100000,""))</f>
        <v>2.9411999999999998</v>
      </c>
      <c r="H528" s="169">
        <f>IF(OR(B528="",C528=""),"",IFERROR(INDEX(Vöruskrá!K:K,MATCH(B528,Vöruskrá!B:B,0))*C528/100000,""))</f>
        <v>7.353000000000001E-3</v>
      </c>
      <c r="I528" s="169">
        <f>IF(OR(B528="",C528=""),"",IFERROR(INDEX(Vöruskrá!L:L,MATCH(B528,Vöruskrá!B:B,0))*C528/100000,""))</f>
        <v>0</v>
      </c>
      <c r="J528" s="169">
        <f>IF(OR(B528="",C528=""),"",IFERROR(INDEX(Vöruskrá!M:M,MATCH(B528,Vöruskrá!B:B,0))*C528/100000,""))</f>
        <v>0.68382900000000013</v>
      </c>
      <c r="K528" s="169">
        <f>IF(OR(B528="",C528=""),"",IFERROR(INDEX(Vöruskrá!N:N,MATCH(B528,Vöruskrá!B:B,0))*C528/100000,""))</f>
        <v>0.30882600000000004</v>
      </c>
      <c r="L528" s="169">
        <f>IF(OR(B528="",C528=""),"",IFERROR(INDEX(Vöruskrá!O:O,MATCH(B528,Vöruskrá!B:B,0))*C528/100000,""))</f>
        <v>8.088300000000001E-2</v>
      </c>
      <c r="M528" s="169">
        <f>IF(OR(B528="",C528=""),"",IFERROR(INDEX(Vöruskrá!P:P,MATCH(B528,Vöruskrá!B:B,0))*C528/100000,""))</f>
        <v>0</v>
      </c>
      <c r="N528" s="169">
        <f>IF(OR(B528="",C528=""),"",IFERROR(INDEX(Vöruskrá!Q:Q,MATCH(B528,Vöruskrá!B:B,0))*C528/100000,""))</f>
        <v>0.125001</v>
      </c>
      <c r="O528" s="170">
        <f>IF(OR(B528="",C528=""),"",IFERROR(C528/1000*INDEX(Vöruskrá!R:R,MATCH(B528,Vöruskrá!B:B,0))/1000,""))</f>
        <v>0</v>
      </c>
      <c r="P528" s="171"/>
      <c r="Q528" s="157"/>
      <c r="R528" s="27"/>
    </row>
    <row r="529" spans="1:18" ht="15">
      <c r="A529" s="173"/>
      <c r="B529" s="173" t="s">
        <v>1017</v>
      </c>
      <c r="C529" s="174">
        <v>735</v>
      </c>
      <c r="D529" s="168" t="s">
        <v>1017</v>
      </c>
      <c r="E529" s="168" t="s">
        <v>134</v>
      </c>
      <c r="F529" s="168"/>
      <c r="G529" s="169">
        <f>IF(OR(B529="",C529=""),"",IFERROR(INDEX(Vöruskrá!J:J,MATCH(B529,Vöruskrá!B:B,0))*C529/100000,""))</f>
        <v>1.0951500000000001</v>
      </c>
      <c r="H529" s="169">
        <f>IF(OR(B529="",C529=""),"",IFERROR(INDEX(Vöruskrá!K:K,MATCH(B529,Vöruskrá!B:B,0))*C529/100000,""))</f>
        <v>3.6749999999999999E-3</v>
      </c>
      <c r="I529" s="169">
        <f>IF(OR(B529="",C529=""),"",IFERROR(INDEX(Vöruskrá!L:L,MATCH(B529,Vöruskrá!B:B,0))*C529/100000,""))</f>
        <v>7.3499999999999998E-4</v>
      </c>
      <c r="J529" s="169">
        <f>IF(OR(B529="",C529=""),"",IFERROR(INDEX(Vöruskrá!M:M,MATCH(B529,Vöruskrá!B:B,0))*C529/100000,""))</f>
        <v>0.243285</v>
      </c>
      <c r="K529" s="169">
        <f>IF(OR(B529="",C529=""),"",IFERROR(INDEX(Vöruskrá!N:N,MATCH(B529,Vöruskrá!B:B,0))*C529/100000,""))</f>
        <v>7.3499999999999998E-3</v>
      </c>
      <c r="L529" s="169">
        <f>IF(OR(B529="",C529=""),"",IFERROR(INDEX(Vöruskrá!O:O,MATCH(B529,Vöruskrá!B:B,0))*C529/100000,""))</f>
        <v>4.7039999999999998E-2</v>
      </c>
      <c r="M529" s="169">
        <f>IF(OR(B529="",C529=""),"",IFERROR(INDEX(Vöruskrá!P:P,MATCH(B529,Vöruskrá!B:B,0))*C529/100000,""))</f>
        <v>0</v>
      </c>
      <c r="N529" s="169">
        <f>IF(OR(B529="",C529=""),"",IFERROR(INDEX(Vöruskrá!Q:Q,MATCH(B529,Vöruskrá!B:B,0))*C529/100000,""))</f>
        <v>1.5435000000000001E-2</v>
      </c>
      <c r="O529" s="170">
        <f>IF(OR(B529="",C529=""),"",IFERROR(C529/1000*INDEX(Vöruskrá!R:R,MATCH(B529,Vöruskrá!B:B,0))/1000,""))</f>
        <v>0</v>
      </c>
      <c r="P529" s="173"/>
      <c r="Q529" s="158"/>
      <c r="R529" s="6"/>
    </row>
    <row r="530" spans="1:18" ht="15">
      <c r="A530" s="171"/>
      <c r="B530" s="171" t="s">
        <v>504</v>
      </c>
      <c r="C530" s="172">
        <v>2206</v>
      </c>
      <c r="D530" s="168" t="s">
        <v>500</v>
      </c>
      <c r="E530" s="168" t="s">
        <v>134</v>
      </c>
      <c r="F530" s="168"/>
      <c r="G530" s="169">
        <f>IF(OR(B530="",C530=""),"",IFERROR(INDEX(Vöruskrá!J:J,MATCH(B530,Vöruskrá!B:B,0))*C530/100000,""))</f>
        <v>2.4927800000000002</v>
      </c>
      <c r="H530" s="169">
        <f>IF(OR(B530="",C530=""),"",IFERROR(INDEX(Vöruskrá!K:K,MATCH(B530,Vöruskrá!B:B,0))*C530/100000,""))</f>
        <v>8.8240000000000002E-3</v>
      </c>
      <c r="I530" s="169">
        <f>IF(OR(B530="",C530=""),"",IFERROR(INDEX(Vöruskrá!L:L,MATCH(B530,Vöruskrá!B:B,0))*C530/100000,""))</f>
        <v>0</v>
      </c>
      <c r="J530" s="169">
        <f>IF(OR(B530="",C530=""),"",IFERROR(INDEX(Vöruskrá!M:M,MATCH(B530,Vöruskrá!B:B,0))*C530/100000,""))</f>
        <v>0.41914000000000001</v>
      </c>
      <c r="K530" s="169">
        <f>IF(OR(B530="",C530=""),"",IFERROR(INDEX(Vöruskrá!N:N,MATCH(B530,Vöruskrá!B:B,0))*C530/100000,""))</f>
        <v>0.30884</v>
      </c>
      <c r="L530" s="169">
        <f>IF(OR(B530="",C530=""),"",IFERROR(INDEX(Vöruskrá!O:O,MATCH(B530,Vöruskrá!B:B,0))*C530/100000,""))</f>
        <v>0.13236000000000001</v>
      </c>
      <c r="M530" s="169">
        <f>IF(OR(B530="",C530=""),"",IFERROR(INDEX(Vöruskrá!P:P,MATCH(B530,Vöruskrá!B:B,0))*C530/100000,""))</f>
        <v>2.2060000000000001E-3</v>
      </c>
      <c r="N530" s="169">
        <f>IF(OR(B530="",C530=""),"",IFERROR(INDEX(Vöruskrá!Q:Q,MATCH(B530,Vöruskrá!B:B,0))*C530/100000,""))</f>
        <v>0</v>
      </c>
      <c r="O530" s="170">
        <f>IF(OR(B530="",C530=""),"",IFERROR(C530/1000*INDEX(Vöruskrá!R:R,MATCH(B530,Vöruskrá!B:B,0))/1000,""))</f>
        <v>0</v>
      </c>
      <c r="P530" s="171"/>
      <c r="Q530" s="157"/>
      <c r="R530" s="27"/>
    </row>
    <row r="531" spans="1:18" ht="15">
      <c r="A531" s="173"/>
      <c r="B531" s="173" t="s">
        <v>1097</v>
      </c>
      <c r="C531" s="174">
        <v>7353</v>
      </c>
      <c r="D531" s="168" t="s">
        <v>1098</v>
      </c>
      <c r="E531" s="168" t="s">
        <v>1099</v>
      </c>
      <c r="F531" s="168" t="s">
        <v>1100</v>
      </c>
      <c r="G531" s="169">
        <f>IF(OR(B531="",C531=""),"",IFERROR(INDEX(Vöruskrá!J:J,MATCH(B531,Vöruskrá!B:B,0))*C531/100000,""))</f>
        <v>6.3235799999999998</v>
      </c>
      <c r="H531" s="169">
        <f>IF(OR(B531="",C531=""),"",IFERROR(INDEX(Vöruskrá!K:K,MATCH(B531,Vöruskrá!B:B,0))*C531/100000,""))</f>
        <v>8.8236000000000009E-2</v>
      </c>
      <c r="I531" s="169">
        <f>IF(OR(B531="",C531=""),"",IFERROR(INDEX(Vöruskrá!L:L,MATCH(B531,Vöruskrá!B:B,0))*C531/100000,""))</f>
        <v>1.4706000000000002E-2</v>
      </c>
      <c r="J531" s="169">
        <f>IF(OR(B531="",C531=""),"",IFERROR(INDEX(Vöruskrá!M:M,MATCH(B531,Vöruskrá!B:B,0))*C531/100000,""))</f>
        <v>1.39707</v>
      </c>
      <c r="K531" s="169">
        <f>IF(OR(B531="",C531=""),"",IFERROR(INDEX(Vöruskrá!N:N,MATCH(B531,Vöruskrá!B:B,0))*C531/100000,""))</f>
        <v>0.23529600000000003</v>
      </c>
      <c r="L531" s="169">
        <f>IF(OR(B531="",C531=""),"",IFERROR(INDEX(Vöruskrá!O:O,MATCH(B531,Vöruskrá!B:B,0))*C531/100000,""))</f>
        <v>0.23529600000000003</v>
      </c>
      <c r="M531" s="169">
        <f>IF(OR(B531="",C531=""),"",IFERROR(INDEX(Vöruskrá!P:P,MATCH(B531,Vöruskrá!B:B,0))*C531/100000,""))</f>
        <v>7.353000000000001E-3</v>
      </c>
      <c r="N531" s="169">
        <f>IF(OR(B531="",C531=""),"",IFERROR(INDEX(Vöruskrá!Q:Q,MATCH(B531,Vöruskrá!B:B,0))*C531/100000,""))</f>
        <v>0.14706</v>
      </c>
      <c r="O531" s="170">
        <f>IF(OR(B531="",C531=""),"",IFERROR(C531/1000*INDEX(Vöruskrá!R:R,MATCH(B531,Vöruskrá!B:B,0))/1000,""))</f>
        <v>0</v>
      </c>
      <c r="P531" s="173"/>
      <c r="Q531" s="200"/>
      <c r="R531" s="159"/>
    </row>
    <row r="532" spans="1:18" ht="48">
      <c r="A532" s="147" t="s">
        <v>1812</v>
      </c>
      <c r="B532" s="147"/>
      <c r="C532" s="148"/>
      <c r="D532" s="165" t="s">
        <v>1813</v>
      </c>
      <c r="E532" s="165" t="s">
        <v>1099</v>
      </c>
      <c r="F532" s="165"/>
      <c r="G532" s="166">
        <v>127.95</v>
      </c>
      <c r="H532" s="166">
        <v>8.08</v>
      </c>
      <c r="I532" s="166">
        <v>1.95</v>
      </c>
      <c r="J532" s="166">
        <v>2.67</v>
      </c>
      <c r="K532" s="166"/>
      <c r="L532" s="166">
        <v>12.11</v>
      </c>
      <c r="M532" s="166">
        <v>1.21</v>
      </c>
      <c r="N532" s="166">
        <f>IFERROR(SUM(N533:N540)/(SUM($C$533:$C$540)/100000),"")</f>
        <v>0.296377</v>
      </c>
      <c r="O532" s="167" t="str">
        <f>IF(OR(B532="",C532=""),"",IFERROR(C532/1000*INDEX(Vöruskrá!R:R,MATCH(B532,Vöruskrá!B:B,0))/1000,""))</f>
        <v/>
      </c>
      <c r="P532" s="196" t="s">
        <v>1814</v>
      </c>
      <c r="Q532" s="195" t="s">
        <v>1815</v>
      </c>
      <c r="R532" s="194" t="s">
        <v>1816</v>
      </c>
    </row>
    <row r="533" spans="1:18" ht="15">
      <c r="A533" s="171"/>
      <c r="B533" s="171" t="s">
        <v>1111</v>
      </c>
      <c r="C533" s="172">
        <v>59128</v>
      </c>
      <c r="D533" s="168" t="s">
        <v>1112</v>
      </c>
      <c r="E533" s="168" t="s">
        <v>1099</v>
      </c>
      <c r="F533" s="168" t="s">
        <v>1113</v>
      </c>
      <c r="G533" s="169">
        <f>IF(OR(B533="",C533=""),"",IFERROR(INDEX(Vöruskrá!J:J,MATCH(B533,Vöruskrá!B:B,0))*C533/100000,""))</f>
        <v>105.83911999999999</v>
      </c>
      <c r="H533" s="169">
        <f>IF(OR(B533="",C533=""),"",IFERROR(INDEX(Vöruskrá!K:K,MATCH(B533,Vöruskrá!B:B,0))*C533/100000,""))</f>
        <v>6.5040800000000001</v>
      </c>
      <c r="I533" s="169">
        <f>IF(OR(B533="",C533=""),"",IFERROR(INDEX(Vöruskrá!L:L,MATCH(B533,Vöruskrá!B:B,0))*C533/100000,""))</f>
        <v>1.8329680000000002</v>
      </c>
      <c r="J533" s="169">
        <f>IF(OR(B533="",C533=""),"",IFERROR(INDEX(Vöruskrá!M:M,MATCH(B533,Vöruskrá!B:B,0))*C533/100000,""))</f>
        <v>0</v>
      </c>
      <c r="K533" s="169">
        <f>IF(OR(B533="",C533=""),"",IFERROR(INDEX(Vöruskrá!N:N,MATCH(B533,Vöruskrá!B:B,0))*C533/100000,""))</f>
        <v>0</v>
      </c>
      <c r="L533" s="169">
        <f>IF(OR(B533="",C533=""),"",IFERROR(INDEX(Vöruskrá!O:O,MATCH(B533,Vöruskrá!B:B,0))*C533/100000,""))</f>
        <v>11.8256</v>
      </c>
      <c r="M533" s="169">
        <f>IF(OR(B533="",C533=""),"",IFERROR(INDEX(Vöruskrá!P:P,MATCH(B533,Vöruskrá!B:B,0))*C533/100000,""))</f>
        <v>0.118256</v>
      </c>
      <c r="N533" s="169">
        <f>IF(OR(B533="",C533=""),"",IFERROR(INDEX(Vöruskrá!Q:Q,MATCH(B533,Vöruskrá!B:B,0))*C533/100000,""))</f>
        <v>0</v>
      </c>
      <c r="O533" s="170">
        <f>IF(OR(B533="",C533=""),"",IFERROR(C533/1000*INDEX(Vöruskrá!R:R,MATCH(B533,Vöruskrá!B:B,0))/1000,""))</f>
        <v>0</v>
      </c>
      <c r="P533" s="171"/>
      <c r="Q533" s="197"/>
      <c r="R533" s="164"/>
    </row>
    <row r="534" spans="1:18">
      <c r="A534" s="173"/>
      <c r="B534" s="173" t="s">
        <v>1734</v>
      </c>
      <c r="C534" s="174">
        <v>22173</v>
      </c>
      <c r="D534" s="168"/>
      <c r="E534" s="168"/>
      <c r="F534" s="168"/>
      <c r="G534" s="169" t="str">
        <f>IF(OR(B534="",C534=""),"",IFERROR(INDEX(Vöruskrá!J:J,MATCH(B534,Vöruskrá!B:B,0))*C534/100000,""))</f>
        <v/>
      </c>
      <c r="H534" s="169" t="str">
        <f>IF(OR(B534="",C534=""),"",IFERROR(INDEX(Vöruskrá!K:K,MATCH(B534,Vöruskrá!B:B,0))*C534/100000,""))</f>
        <v/>
      </c>
      <c r="I534" s="169" t="str">
        <f>IF(OR(B534="",C534=""),"",IFERROR(INDEX(Vöruskrá!L:L,MATCH(B534,Vöruskrá!B:B,0))*C534/100000,""))</f>
        <v/>
      </c>
      <c r="J534" s="169" t="str">
        <f>IF(OR(B534="",C534=""),"",IFERROR(INDEX(Vöruskrá!M:M,MATCH(B534,Vöruskrá!B:B,0))*C534/100000,""))</f>
        <v/>
      </c>
      <c r="K534" s="169" t="str">
        <f>IF(OR(B534="",C534=""),"",IFERROR(INDEX(Vöruskrá!N:N,MATCH(B534,Vöruskrá!B:B,0))*C534/100000,""))</f>
        <v/>
      </c>
      <c r="L534" s="169" t="str">
        <f>IF(OR(B534="",C534=""),"",IFERROR(INDEX(Vöruskrá!O:O,MATCH(B534,Vöruskrá!B:B,0))*C534/100000,""))</f>
        <v/>
      </c>
      <c r="M534" s="169" t="str">
        <f>IF(OR(B534="",C534=""),"",IFERROR(INDEX(Vöruskrá!P:P,MATCH(B534,Vöruskrá!B:B,0))*C534/100000,""))</f>
        <v/>
      </c>
      <c r="N534" s="169" t="str">
        <f>IF(OR(B534="",C534=""),"",IFERROR(INDEX(Vöruskrá!Q:Q,MATCH(B534,Vöruskrá!B:B,0))*C534/100000,""))</f>
        <v/>
      </c>
      <c r="O534" s="170" t="str">
        <f>IF(OR(B534="",C534=""),"",IFERROR(C534/1000*INDEX(Vöruskrá!R:R,MATCH(B534,Vöruskrá!B:B,0))/1000,""))</f>
        <v/>
      </c>
      <c r="P534" s="173"/>
      <c r="Q534" s="157"/>
      <c r="R534" s="27"/>
    </row>
    <row r="535" spans="1:18" ht="15">
      <c r="A535" s="171"/>
      <c r="B535" s="171" t="s">
        <v>1010</v>
      </c>
      <c r="C535" s="172">
        <v>7391</v>
      </c>
      <c r="D535" s="168" t="s">
        <v>1010</v>
      </c>
      <c r="E535" s="168" t="s">
        <v>134</v>
      </c>
      <c r="F535" s="168"/>
      <c r="G535" s="169">
        <f>IF(OR(B535="",C535=""),"",IFERROR(INDEX(Vöruskrá!J:J,MATCH(B535,Vöruskrá!B:B,0))*C535/100000,""))</f>
        <v>2.9563999999999999</v>
      </c>
      <c r="H535" s="169">
        <f>IF(OR(B535="",C535=""),"",IFERROR(INDEX(Vöruskrá!K:K,MATCH(B535,Vöruskrá!B:B,0))*C535/100000,""))</f>
        <v>7.391E-3</v>
      </c>
      <c r="I535" s="169">
        <f>IF(OR(B535="",C535=""),"",IFERROR(INDEX(Vöruskrá!L:L,MATCH(B535,Vöruskrá!B:B,0))*C535/100000,""))</f>
        <v>0</v>
      </c>
      <c r="J535" s="169">
        <f>IF(OR(B535="",C535=""),"",IFERROR(INDEX(Vöruskrá!M:M,MATCH(B535,Vöruskrá!B:B,0))*C535/100000,""))</f>
        <v>0.68736300000000006</v>
      </c>
      <c r="K535" s="169">
        <f>IF(OR(B535="",C535=""),"",IFERROR(INDEX(Vöruskrá!N:N,MATCH(B535,Vöruskrá!B:B,0))*C535/100000,""))</f>
        <v>0.31042200000000003</v>
      </c>
      <c r="L535" s="169">
        <f>IF(OR(B535="",C535=""),"",IFERROR(INDEX(Vöruskrá!O:O,MATCH(B535,Vöruskrá!B:B,0))*C535/100000,""))</f>
        <v>8.1300999999999998E-2</v>
      </c>
      <c r="M535" s="169">
        <f>IF(OR(B535="",C535=""),"",IFERROR(INDEX(Vöruskrá!P:P,MATCH(B535,Vöruskrá!B:B,0))*C535/100000,""))</f>
        <v>0</v>
      </c>
      <c r="N535" s="169">
        <f>IF(OR(B535="",C535=""),"",IFERROR(INDEX(Vöruskrá!Q:Q,MATCH(B535,Vöruskrá!B:B,0))*C535/100000,""))</f>
        <v>0.12564699999999998</v>
      </c>
      <c r="O535" s="170">
        <f>IF(OR(B535="",C535=""),"",IFERROR(C535/1000*INDEX(Vöruskrá!R:R,MATCH(B535,Vöruskrá!B:B,0))/1000,""))</f>
        <v>0</v>
      </c>
      <c r="P535" s="171"/>
      <c r="Q535" s="158"/>
      <c r="R535" s="6"/>
    </row>
    <row r="536" spans="1:18" ht="15">
      <c r="A536" s="173"/>
      <c r="B536" s="173" t="s">
        <v>1116</v>
      </c>
      <c r="C536" s="174">
        <v>7391</v>
      </c>
      <c r="D536" s="168" t="s">
        <v>1117</v>
      </c>
      <c r="E536" s="168" t="s">
        <v>1099</v>
      </c>
      <c r="F536" s="168"/>
      <c r="G536" s="169">
        <f>IF(OR(B536="",C536=""),"",IFERROR(INDEX(Vöruskrá!J:J,MATCH(B536,Vöruskrá!B:B,0))*C536/100000,""))</f>
        <v>2.29121</v>
      </c>
      <c r="H536" s="169">
        <f>IF(OR(B536="",C536=""),"",IFERROR(INDEX(Vöruskrá!K:K,MATCH(B536,Vöruskrá!B:B,0))*C536/100000,""))</f>
        <v>2.2172999999999998E-2</v>
      </c>
      <c r="I536" s="169">
        <f>IF(OR(B536="",C536=""),"",IFERROR(INDEX(Vöruskrá!L:L,MATCH(B536,Vöruskrá!B:B,0))*C536/100000,""))</f>
        <v>0</v>
      </c>
      <c r="J536" s="169">
        <f>IF(OR(B536="",C536=""),"",IFERROR(INDEX(Vöruskrá!M:M,MATCH(B536,Vöruskrá!B:B,0))*C536/100000,""))</f>
        <v>0.44346000000000002</v>
      </c>
      <c r="K536" s="169">
        <f>IF(OR(B536="",C536=""),"",IFERROR(INDEX(Vöruskrá!N:N,MATCH(B536,Vöruskrá!B:B,0))*C536/100000,""))</f>
        <v>0.31042200000000003</v>
      </c>
      <c r="L536" s="169">
        <f>IF(OR(B536="",C536=""),"",IFERROR(INDEX(Vöruskrá!O:O,MATCH(B536,Vöruskrá!B:B,0))*C536/100000,""))</f>
        <v>7.3910000000000003E-2</v>
      </c>
      <c r="M536" s="169">
        <f>IF(OR(B536="",C536=""),"",IFERROR(INDEX(Vöruskrá!P:P,MATCH(B536,Vöruskrá!B:B,0))*C536/100000,""))</f>
        <v>0</v>
      </c>
      <c r="N536" s="169">
        <f>IF(OR(B536="",C536=""),"",IFERROR(INDEX(Vöruskrá!Q:Q,MATCH(B536,Vöruskrá!B:B,0))*C536/100000,""))</f>
        <v>0.15521100000000002</v>
      </c>
      <c r="O536" s="170">
        <f>IF(OR(B536="",C536=""),"",IFERROR(C536/1000*INDEX(Vöruskrá!R:R,MATCH(B536,Vöruskrá!B:B,0))/1000,""))</f>
        <v>0</v>
      </c>
      <c r="P536" s="173"/>
      <c r="Q536" s="157"/>
      <c r="R536" s="27"/>
    </row>
    <row r="537" spans="1:18" ht="15">
      <c r="A537" s="171"/>
      <c r="B537" s="171" t="s">
        <v>1017</v>
      </c>
      <c r="C537" s="172">
        <v>739</v>
      </c>
      <c r="D537" s="168" t="s">
        <v>1017</v>
      </c>
      <c r="E537" s="168" t="s">
        <v>134</v>
      </c>
      <c r="F537" s="168"/>
      <c r="G537" s="169">
        <f>IF(OR(B537="",C537=""),"",IFERROR(INDEX(Vöruskrá!J:J,MATCH(B537,Vöruskrá!B:B,0))*C537/100000,""))</f>
        <v>1.10111</v>
      </c>
      <c r="H537" s="169">
        <f>IF(OR(B537="",C537=""),"",IFERROR(INDEX(Vöruskrá!K:K,MATCH(B537,Vöruskrá!B:B,0))*C537/100000,""))</f>
        <v>3.6949999999999999E-3</v>
      </c>
      <c r="I537" s="169">
        <f>IF(OR(B537="",C537=""),"",IFERROR(INDEX(Vöruskrá!L:L,MATCH(B537,Vöruskrá!B:B,0))*C537/100000,""))</f>
        <v>7.3900000000000007E-4</v>
      </c>
      <c r="J537" s="169">
        <f>IF(OR(B537="",C537=""),"",IFERROR(INDEX(Vöruskrá!M:M,MATCH(B537,Vöruskrá!B:B,0))*C537/100000,""))</f>
        <v>0.24460900000000002</v>
      </c>
      <c r="K537" s="169">
        <f>IF(OR(B537="",C537=""),"",IFERROR(INDEX(Vöruskrá!N:N,MATCH(B537,Vöruskrá!B:B,0))*C537/100000,""))</f>
        <v>7.3899999999999999E-3</v>
      </c>
      <c r="L537" s="169">
        <f>IF(OR(B537="",C537=""),"",IFERROR(INDEX(Vöruskrá!O:O,MATCH(B537,Vöruskrá!B:B,0))*C537/100000,""))</f>
        <v>4.7296000000000005E-2</v>
      </c>
      <c r="M537" s="169">
        <f>IF(OR(B537="",C537=""),"",IFERROR(INDEX(Vöruskrá!P:P,MATCH(B537,Vöruskrá!B:B,0))*C537/100000,""))</f>
        <v>0</v>
      </c>
      <c r="N537" s="169">
        <f>IF(OR(B537="",C537=""),"",IFERROR(INDEX(Vöruskrá!Q:Q,MATCH(B537,Vöruskrá!B:B,0))*C537/100000,""))</f>
        <v>1.5519000000000002E-2</v>
      </c>
      <c r="O537" s="170">
        <f>IF(OR(B537="",C537=""),"",IFERROR(C537/1000*INDEX(Vöruskrá!R:R,MATCH(B537,Vöruskrá!B:B,0))/1000,""))</f>
        <v>0</v>
      </c>
      <c r="P537" s="171"/>
      <c r="Q537" s="158"/>
      <c r="R537" s="6"/>
    </row>
    <row r="538" spans="1:18" ht="15">
      <c r="A538" s="173"/>
      <c r="B538" s="173" t="s">
        <v>489</v>
      </c>
      <c r="C538" s="174">
        <v>1109</v>
      </c>
      <c r="D538" s="168" t="s">
        <v>490</v>
      </c>
      <c r="E538" s="168" t="s">
        <v>134</v>
      </c>
      <c r="F538" s="168" t="s">
        <v>311</v>
      </c>
      <c r="G538" s="169">
        <f>IF(OR(B538="",C538=""),"",IFERROR(INDEX(Vöruskrá!J:J,MATCH(B538,Vöruskrá!B:B,0))*C538/100000,""))</f>
        <v>2.4619800000000001</v>
      </c>
      <c r="H538" s="169">
        <f>IF(OR(B538="",C538=""),"",IFERROR(INDEX(Vöruskrá!K:K,MATCH(B538,Vöruskrá!B:B,0))*C538/100000,""))</f>
        <v>6.6540000000000002E-2</v>
      </c>
      <c r="I538" s="169">
        <f>IF(OR(B538="",C538=""),"",IFERROR(INDEX(Vöruskrá!L:L,MATCH(B538,Vöruskrá!B:B,0))*C538/100000,""))</f>
        <v>9.9810000000000003E-3</v>
      </c>
      <c r="J538" s="169">
        <f>IF(OR(B538="",C538=""),"",IFERROR(INDEX(Vöruskrá!M:M,MATCH(B538,Vöruskrá!B:B,0))*C538/100000,""))</f>
        <v>0.3327</v>
      </c>
      <c r="K538" s="169">
        <f>IF(OR(B538="",C538=""),"",IFERROR(INDEX(Vöruskrá!N:N,MATCH(B538,Vöruskrá!B:B,0))*C538/100000,""))</f>
        <v>5.1013999999999997E-2</v>
      </c>
      <c r="L538" s="169">
        <f>IF(OR(B538="",C538=""),"",IFERROR(INDEX(Vöruskrá!O:O,MATCH(B538,Vöruskrá!B:B,0))*C538/100000,""))</f>
        <v>7.873899999999999E-2</v>
      </c>
      <c r="M538" s="169">
        <f>IF(OR(B538="",C538=""),"",IFERROR(INDEX(Vöruskrá!P:P,MATCH(B538,Vöruskrá!B:B,0))*C538/100000,""))</f>
        <v>0.49904999999999999</v>
      </c>
      <c r="N538" s="169">
        <f>IF(OR(B538="",C538=""),"",IFERROR(INDEX(Vöruskrá!Q:Q,MATCH(B538,Vöruskrá!B:B,0))*C538/100000,""))</f>
        <v>0</v>
      </c>
      <c r="O538" s="170">
        <f>IF(OR(B538="",C538=""),"",IFERROR(C538/1000*INDEX(Vöruskrá!R:R,MATCH(B538,Vöruskrá!B:B,0))/1000,""))</f>
        <v>0</v>
      </c>
      <c r="P538" s="173"/>
      <c r="Q538" s="157"/>
      <c r="R538" s="27"/>
    </row>
    <row r="539" spans="1:18" ht="15">
      <c r="A539" s="171"/>
      <c r="B539" s="171" t="s">
        <v>299</v>
      </c>
      <c r="C539" s="172">
        <v>591</v>
      </c>
      <c r="D539" s="168" t="s">
        <v>302</v>
      </c>
      <c r="E539" s="168" t="s">
        <v>134</v>
      </c>
      <c r="F539" s="168" t="s">
        <v>303</v>
      </c>
      <c r="G539" s="169">
        <f>IF(OR(B539="",C539=""),"",IFERROR(INDEX(Vöruskrá!J:J,MATCH(B539,Vöruskrá!B:B,0))*C539/100000,""))</f>
        <v>0</v>
      </c>
      <c r="H539" s="169">
        <f>IF(OR(B539="",C539=""),"",IFERROR(INDEX(Vöruskrá!K:K,MATCH(B539,Vöruskrá!B:B,0))*C539/100000,""))</f>
        <v>0</v>
      </c>
      <c r="I539" s="169">
        <f>IF(OR(B539="",C539=""),"",IFERROR(INDEX(Vöruskrá!L:L,MATCH(B539,Vöruskrá!B:B,0))*C539/100000,""))</f>
        <v>0</v>
      </c>
      <c r="J539" s="169">
        <f>IF(OR(B539="",C539=""),"",IFERROR(INDEX(Vöruskrá!M:M,MATCH(B539,Vöruskrá!B:B,0))*C539/100000,""))</f>
        <v>0</v>
      </c>
      <c r="K539" s="169">
        <f>IF(OR(B539="",C539=""),"",IFERROR(INDEX(Vöruskrá!N:N,MATCH(B539,Vöruskrá!B:B,0))*C539/100000,""))</f>
        <v>0</v>
      </c>
      <c r="L539" s="169">
        <f>IF(OR(B539="",C539=""),"",IFERROR(INDEX(Vöruskrá!O:O,MATCH(B539,Vöruskrá!B:B,0))*C539/100000,""))</f>
        <v>0</v>
      </c>
      <c r="M539" s="169">
        <f>IF(OR(B539="",C539=""),"",IFERROR(INDEX(Vöruskrá!P:P,MATCH(B539,Vöruskrá!B:B,0))*C539/100000,""))</f>
        <v>0.59099999999999997</v>
      </c>
      <c r="N539" s="169">
        <f>IF(OR(B539="",C539=""),"",IFERROR(INDEX(Vöruskrá!Q:Q,MATCH(B539,Vöruskrá!B:B,0))*C539/100000,""))</f>
        <v>0</v>
      </c>
      <c r="O539" s="170">
        <f>IF(OR(B539="",C539=""),"",IFERROR(C539/1000*INDEX(Vöruskrá!R:R,MATCH(B539,Vöruskrá!B:B,0))/1000,""))</f>
        <v>0</v>
      </c>
      <c r="P539" s="171"/>
      <c r="Q539" s="158"/>
      <c r="R539" s="6"/>
    </row>
    <row r="540" spans="1:18" ht="15">
      <c r="A540" s="173"/>
      <c r="B540" s="173" t="s">
        <v>1270</v>
      </c>
      <c r="C540" s="174">
        <v>1478</v>
      </c>
      <c r="D540" s="168" t="s">
        <v>1270</v>
      </c>
      <c r="E540" s="168" t="s">
        <v>134</v>
      </c>
      <c r="F540" s="168"/>
      <c r="G540" s="169">
        <f>IF(OR(B540="",C540=""),"",IFERROR(INDEX(Vöruskrá!J:J,MATCH(B540,Vöruskrá!B:B,0))*C540/100000,""))</f>
        <v>13.302</v>
      </c>
      <c r="H540" s="169">
        <f>IF(OR(B540="",C540=""),"",IFERROR(INDEX(Vöruskrá!K:K,MATCH(B540,Vöruskrá!B:B,0))*C540/100000,""))</f>
        <v>1.478</v>
      </c>
      <c r="I540" s="169">
        <f>IF(OR(B540="",C540=""),"",IFERROR(INDEX(Vöruskrá!L:L,MATCH(B540,Vöruskrá!B:B,0))*C540/100000,""))</f>
        <v>0.10346</v>
      </c>
      <c r="J540" s="169">
        <f>IF(OR(B540="",C540=""),"",IFERROR(INDEX(Vöruskrá!M:M,MATCH(B540,Vöruskrá!B:B,0))*C540/100000,""))</f>
        <v>0.9607</v>
      </c>
      <c r="K540" s="169">
        <f>IF(OR(B540="",C540=""),"",IFERROR(INDEX(Vöruskrá!N:N,MATCH(B540,Vöruskrá!B:B,0))*C540/100000,""))</f>
        <v>0.40644999999999998</v>
      </c>
      <c r="L540" s="169">
        <f>IF(OR(B540="",C540=""),"",IFERROR(INDEX(Vöruskrá!O:O,MATCH(B540,Vöruskrá!B:B,0))*C540/100000,""))</f>
        <v>0</v>
      </c>
      <c r="M540" s="169">
        <f>IF(OR(B540="",C540=""),"",IFERROR(INDEX(Vöruskrá!P:P,MATCH(B540,Vöruskrá!B:B,0))*C540/100000,""))</f>
        <v>0</v>
      </c>
      <c r="N540" s="169">
        <f>IF(OR(B540="",C540=""),"",IFERROR(INDEX(Vöruskrá!Q:Q,MATCH(B540,Vöruskrá!B:B,0))*C540/100000,""))</f>
        <v>0</v>
      </c>
      <c r="O540" s="170">
        <f>IF(OR(B540="",C540=""),"",IFERROR(C540/1000*INDEX(Vöruskrá!R:R,MATCH(B540,Vöruskrá!B:B,0))/1000,""))</f>
        <v>0</v>
      </c>
      <c r="P540" s="173"/>
      <c r="Q540" s="201"/>
      <c r="R540" s="202"/>
    </row>
    <row r="541" spans="1:18" ht="48">
      <c r="A541" s="147" t="s">
        <v>1817</v>
      </c>
      <c r="B541" s="147"/>
      <c r="C541" s="148"/>
      <c r="D541" s="165" t="s">
        <v>1818</v>
      </c>
      <c r="E541" s="165" t="s">
        <v>1099</v>
      </c>
      <c r="F541" s="165"/>
      <c r="G541" s="166">
        <v>118.03</v>
      </c>
      <c r="H541" s="166">
        <v>6.12</v>
      </c>
      <c r="I541" s="166">
        <v>1.68</v>
      </c>
      <c r="J541" s="166">
        <v>4.46</v>
      </c>
      <c r="K541" s="166"/>
      <c r="L541" s="166">
        <v>11.5</v>
      </c>
      <c r="M541" s="166">
        <v>1.62</v>
      </c>
      <c r="N541" s="166">
        <f>IFERROR(SUM(N542:N548)/(SUM($C$542:$C$548)/100000),"")</f>
        <v>0.51420947117468574</v>
      </c>
      <c r="O541" s="167" t="str">
        <f>IF(OR(B541="",C541=""),"",IFERROR(C541/1000*INDEX(Vöruskrá!R:R,MATCH(B541,Vöruskrá!B:B,0))/1000,""))</f>
        <v/>
      </c>
      <c r="P541" s="196" t="s">
        <v>1819</v>
      </c>
      <c r="Q541" s="199" t="s">
        <v>1820</v>
      </c>
      <c r="R541" s="198" t="s">
        <v>1821</v>
      </c>
    </row>
    <row r="542" spans="1:18" ht="15">
      <c r="A542" s="171"/>
      <c r="B542" s="171" t="s">
        <v>542</v>
      </c>
      <c r="C542" s="172">
        <v>39267</v>
      </c>
      <c r="D542" s="168" t="s">
        <v>543</v>
      </c>
      <c r="E542" s="168" t="s">
        <v>134</v>
      </c>
      <c r="F542" s="168"/>
      <c r="G542" s="169">
        <f>IF(OR(B542="",C542=""),"",IFERROR(INDEX(Vöruskrá!J:J,MATCH(B542,Vöruskrá!B:B,0))*C542/100000,""))</f>
        <v>70.287930000000003</v>
      </c>
      <c r="H542" s="169">
        <f>IF(OR(B542="",C542=""),"",IFERROR(INDEX(Vöruskrá!K:K,MATCH(B542,Vöruskrá!B:B,0))*C542/100000,""))</f>
        <v>4.3193700000000002</v>
      </c>
      <c r="I542" s="169">
        <f>IF(OR(B542="",C542=""),"",IFERROR(INDEX(Vöruskrá!L:L,MATCH(B542,Vöruskrá!B:B,0))*C542/100000,""))</f>
        <v>1.2172769999999999</v>
      </c>
      <c r="J542" s="169">
        <f>IF(OR(B542="",C542=""),"",IFERROR(INDEX(Vöruskrá!M:M,MATCH(B542,Vöruskrá!B:B,0))*C542/100000,""))</f>
        <v>0</v>
      </c>
      <c r="K542" s="169">
        <f>IF(OR(B542="",C542=""),"",IFERROR(INDEX(Vöruskrá!N:N,MATCH(B542,Vöruskrá!B:B,0))*C542/100000,""))</f>
        <v>0</v>
      </c>
      <c r="L542" s="169">
        <f>IF(OR(B542="",C542=""),"",IFERROR(INDEX(Vöruskrá!O:O,MATCH(B542,Vöruskrá!B:B,0))*C542/100000,""))</f>
        <v>7.8533999999999997</v>
      </c>
      <c r="M542" s="169">
        <f>IF(OR(B542="",C542=""),"",IFERROR(INDEX(Vöruskrá!P:P,MATCH(B542,Vöruskrá!B:B,0))*C542/100000,""))</f>
        <v>7.8534000000000007E-2</v>
      </c>
      <c r="N542" s="169">
        <f>IF(OR(B542="",C542=""),"",IFERROR(INDEX(Vöruskrá!Q:Q,MATCH(B542,Vöruskrá!B:B,0))*C542/100000,""))</f>
        <v>0</v>
      </c>
      <c r="O542" s="170">
        <f>IF(OR(B542="",C542=""),"",IFERROR(C542/1000*INDEX(Vöruskrá!R:R,MATCH(B542,Vöruskrá!B:B,0))/1000,""))</f>
        <v>0</v>
      </c>
      <c r="P542" s="171"/>
      <c r="Q542" s="203"/>
      <c r="R542" s="204"/>
    </row>
    <row r="543" spans="1:18" ht="15">
      <c r="A543" s="173"/>
      <c r="B543" s="173" t="s">
        <v>489</v>
      </c>
      <c r="C543" s="174">
        <v>1309</v>
      </c>
      <c r="D543" s="168" t="s">
        <v>490</v>
      </c>
      <c r="E543" s="168" t="s">
        <v>134</v>
      </c>
      <c r="F543" s="168" t="s">
        <v>311</v>
      </c>
      <c r="G543" s="169">
        <f>IF(OR(B543="",C543=""),"",IFERROR(INDEX(Vöruskrá!J:J,MATCH(B543,Vöruskrá!B:B,0))*C543/100000,""))</f>
        <v>2.90598</v>
      </c>
      <c r="H543" s="169">
        <f>IF(OR(B543="",C543=""),"",IFERROR(INDEX(Vöruskrá!K:K,MATCH(B543,Vöruskrá!B:B,0))*C543/100000,""))</f>
        <v>7.8539999999999999E-2</v>
      </c>
      <c r="I543" s="169">
        <f>IF(OR(B543="",C543=""),"",IFERROR(INDEX(Vöruskrá!L:L,MATCH(B543,Vöruskrá!B:B,0))*C543/100000,""))</f>
        <v>1.1781000000000002E-2</v>
      </c>
      <c r="J543" s="169">
        <f>IF(OR(B543="",C543=""),"",IFERROR(INDEX(Vöruskrá!M:M,MATCH(B543,Vöruskrá!B:B,0))*C543/100000,""))</f>
        <v>0.39269999999999999</v>
      </c>
      <c r="K543" s="169">
        <f>IF(OR(B543="",C543=""),"",IFERROR(INDEX(Vöruskrá!N:N,MATCH(B543,Vöruskrá!B:B,0))*C543/100000,""))</f>
        <v>6.0213999999999997E-2</v>
      </c>
      <c r="L543" s="169">
        <f>IF(OR(B543="",C543=""),"",IFERROR(INDEX(Vöruskrá!O:O,MATCH(B543,Vöruskrá!B:B,0))*C543/100000,""))</f>
        <v>9.2938999999999994E-2</v>
      </c>
      <c r="M543" s="169">
        <f>IF(OR(B543="",C543=""),"",IFERROR(INDEX(Vöruskrá!P:P,MATCH(B543,Vöruskrá!B:B,0))*C543/100000,""))</f>
        <v>0.58904999999999996</v>
      </c>
      <c r="N543" s="169">
        <f>IF(OR(B543="",C543=""),"",IFERROR(INDEX(Vöruskrá!Q:Q,MATCH(B543,Vöruskrá!B:B,0))*C543/100000,""))</f>
        <v>0</v>
      </c>
      <c r="O543" s="170">
        <f>IF(OR(B543="",C543=""),"",IFERROR(C543/1000*INDEX(Vöruskrá!R:R,MATCH(B543,Vöruskrá!B:B,0))/1000,""))</f>
        <v>0</v>
      </c>
      <c r="P543" s="173"/>
      <c r="Q543" s="158"/>
      <c r="R543" s="6"/>
    </row>
    <row r="544" spans="1:18" ht="15">
      <c r="A544" s="171"/>
      <c r="B544" s="171" t="s">
        <v>1116</v>
      </c>
      <c r="C544" s="172">
        <v>6545</v>
      </c>
      <c r="D544" s="168" t="s">
        <v>1117</v>
      </c>
      <c r="E544" s="168" t="s">
        <v>1099</v>
      </c>
      <c r="F544" s="168"/>
      <c r="G544" s="169">
        <f>IF(OR(B544="",C544=""),"",IFERROR(INDEX(Vöruskrá!J:J,MATCH(B544,Vöruskrá!B:B,0))*C544/100000,""))</f>
        <v>2.02895</v>
      </c>
      <c r="H544" s="169">
        <f>IF(OR(B544="",C544=""),"",IFERROR(INDEX(Vöruskrá!K:K,MATCH(B544,Vöruskrá!B:B,0))*C544/100000,""))</f>
        <v>1.9635E-2</v>
      </c>
      <c r="I544" s="169">
        <f>IF(OR(B544="",C544=""),"",IFERROR(INDEX(Vöruskrá!L:L,MATCH(B544,Vöruskrá!B:B,0))*C544/100000,""))</f>
        <v>0</v>
      </c>
      <c r="J544" s="169">
        <f>IF(OR(B544="",C544=""),"",IFERROR(INDEX(Vöruskrá!M:M,MATCH(B544,Vöruskrá!B:B,0))*C544/100000,""))</f>
        <v>0.39269999999999999</v>
      </c>
      <c r="K544" s="169">
        <f>IF(OR(B544="",C544=""),"",IFERROR(INDEX(Vöruskrá!N:N,MATCH(B544,Vöruskrá!B:B,0))*C544/100000,""))</f>
        <v>0.27489000000000002</v>
      </c>
      <c r="L544" s="169">
        <f>IF(OR(B544="",C544=""),"",IFERROR(INDEX(Vöruskrá!O:O,MATCH(B544,Vöruskrá!B:B,0))*C544/100000,""))</f>
        <v>6.5449999999999994E-2</v>
      </c>
      <c r="M544" s="169">
        <f>IF(OR(B544="",C544=""),"",IFERROR(INDEX(Vöruskrá!P:P,MATCH(B544,Vöruskrá!B:B,0))*C544/100000,""))</f>
        <v>0</v>
      </c>
      <c r="N544" s="169">
        <f>IF(OR(B544="",C544=""),"",IFERROR(INDEX(Vöruskrá!Q:Q,MATCH(B544,Vöruskrá!B:B,0))*C544/100000,""))</f>
        <v>0.13744500000000001</v>
      </c>
      <c r="O544" s="170">
        <f>IF(OR(B544="",C544=""),"",IFERROR(C544/1000*INDEX(Vöruskrá!R:R,MATCH(B544,Vöruskrá!B:B,0))/1000,""))</f>
        <v>0</v>
      </c>
      <c r="P544" s="171"/>
      <c r="Q544" s="157"/>
      <c r="R544" s="27"/>
    </row>
    <row r="545" spans="1:18" ht="15">
      <c r="A545" s="173"/>
      <c r="B545" s="173" t="s">
        <v>1010</v>
      </c>
      <c r="C545" s="174">
        <v>6545</v>
      </c>
      <c r="D545" s="168" t="s">
        <v>1010</v>
      </c>
      <c r="E545" s="168" t="s">
        <v>134</v>
      </c>
      <c r="F545" s="168"/>
      <c r="G545" s="169">
        <f>IF(OR(B545="",C545=""),"",IFERROR(INDEX(Vöruskrá!J:J,MATCH(B545,Vöruskrá!B:B,0))*C545/100000,""))</f>
        <v>2.6179999999999999</v>
      </c>
      <c r="H545" s="169">
        <f>IF(OR(B545="",C545=""),"",IFERROR(INDEX(Vöruskrá!K:K,MATCH(B545,Vöruskrá!B:B,0))*C545/100000,""))</f>
        <v>6.5449999999999996E-3</v>
      </c>
      <c r="I545" s="169">
        <f>IF(OR(B545="",C545=""),"",IFERROR(INDEX(Vöruskrá!L:L,MATCH(B545,Vöruskrá!B:B,0))*C545/100000,""))</f>
        <v>0</v>
      </c>
      <c r="J545" s="169">
        <f>IF(OR(B545="",C545=""),"",IFERROR(INDEX(Vöruskrá!M:M,MATCH(B545,Vöruskrá!B:B,0))*C545/100000,""))</f>
        <v>0.60868500000000003</v>
      </c>
      <c r="K545" s="169">
        <f>IF(OR(B545="",C545=""),"",IFERROR(INDEX(Vöruskrá!N:N,MATCH(B545,Vöruskrá!B:B,0))*C545/100000,""))</f>
        <v>0.27489000000000002</v>
      </c>
      <c r="L545" s="169">
        <f>IF(OR(B545="",C545=""),"",IFERROR(INDEX(Vöruskrá!O:O,MATCH(B545,Vöruskrá!B:B,0))*C545/100000,""))</f>
        <v>7.1995000000000003E-2</v>
      </c>
      <c r="M545" s="169">
        <f>IF(OR(B545="",C545=""),"",IFERROR(INDEX(Vöruskrá!P:P,MATCH(B545,Vöruskrá!B:B,0))*C545/100000,""))</f>
        <v>0</v>
      </c>
      <c r="N545" s="169">
        <f>IF(OR(B545="",C545=""),"",IFERROR(INDEX(Vöruskrá!Q:Q,MATCH(B545,Vöruskrá!B:B,0))*C545/100000,""))</f>
        <v>0.111265</v>
      </c>
      <c r="O545" s="170">
        <f>IF(OR(B545="",C545=""),"",IFERROR(C545/1000*INDEX(Vöruskrá!R:R,MATCH(B545,Vöruskrá!B:B,0))/1000,""))</f>
        <v>0</v>
      </c>
      <c r="P545" s="173"/>
      <c r="Q545" s="158"/>
      <c r="R545" s="6"/>
    </row>
    <row r="546" spans="1:18" ht="15">
      <c r="A546" s="171"/>
      <c r="B546" s="171" t="s">
        <v>743</v>
      </c>
      <c r="C546" s="172">
        <v>13089</v>
      </c>
      <c r="D546" s="168" t="s">
        <v>745</v>
      </c>
      <c r="E546" s="168"/>
      <c r="F546" s="168"/>
      <c r="G546" s="169">
        <f>IF(OR(B546="",C546=""),"",IFERROR(INDEX(Vöruskrá!J:J,MATCH(B546,Vöruskrá!B:B,0))*C546/100000,""))</f>
        <v>3.66492</v>
      </c>
      <c r="H546" s="169">
        <f>IF(OR(B546="",C546=""),"",IFERROR(INDEX(Vöruskrá!K:K,MATCH(B546,Vöruskrá!B:B,0))*C546/100000,""))</f>
        <v>1.3089000000000002E-2</v>
      </c>
      <c r="I546" s="169">
        <f>IF(OR(B546="",C546=""),"",IFERROR(INDEX(Vöruskrá!L:L,MATCH(B546,Vöruskrá!B:B,0))*C546/100000,""))</f>
        <v>0</v>
      </c>
      <c r="J546" s="169">
        <f>IF(OR(B546="",C546=""),"",IFERROR(INDEX(Vöruskrá!M:M,MATCH(B546,Vöruskrá!B:B,0))*C546/100000,""))</f>
        <v>0.65444999999999998</v>
      </c>
      <c r="K546" s="169">
        <f>IF(OR(B546="",C546=""),"",IFERROR(INDEX(Vöruskrá!N:N,MATCH(B546,Vöruskrá!B:B,0))*C546/100000,""))</f>
        <v>0.44502599999999998</v>
      </c>
      <c r="L546" s="169">
        <f>IF(OR(B546="",C546=""),"",IFERROR(INDEX(Vöruskrá!O:O,MATCH(B546,Vöruskrá!B:B,0))*C546/100000,""))</f>
        <v>0.19633500000000001</v>
      </c>
      <c r="M546" s="169">
        <f>IF(OR(B546="",C546=""),"",IFERROR(INDEX(Vöruskrá!P:P,MATCH(B546,Vöruskrá!B:B,0))*C546/100000,""))</f>
        <v>0</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1097</v>
      </c>
      <c r="C547" s="174">
        <v>6545</v>
      </c>
      <c r="D547" s="168" t="s">
        <v>1098</v>
      </c>
      <c r="E547" s="168" t="s">
        <v>1099</v>
      </c>
      <c r="F547" s="168" t="s">
        <v>1100</v>
      </c>
      <c r="G547" s="169">
        <f>IF(OR(B547="",C547=""),"",IFERROR(INDEX(Vöruskrá!J:J,MATCH(B547,Vöruskrá!B:B,0))*C547/100000,""))</f>
        <v>5.6287000000000003</v>
      </c>
      <c r="H547" s="169">
        <f>IF(OR(B547="",C547=""),"",IFERROR(INDEX(Vöruskrá!K:K,MATCH(B547,Vöruskrá!B:B,0))*C547/100000,""))</f>
        <v>7.8539999999999999E-2</v>
      </c>
      <c r="I547" s="169">
        <f>IF(OR(B547="",C547=""),"",IFERROR(INDEX(Vöruskrá!L:L,MATCH(B547,Vöruskrá!B:B,0))*C547/100000,""))</f>
        <v>1.3089999999999999E-2</v>
      </c>
      <c r="J547" s="169">
        <f>IF(OR(B547="",C547=""),"",IFERROR(INDEX(Vöruskrá!M:M,MATCH(B547,Vöruskrá!B:B,0))*C547/100000,""))</f>
        <v>1.2435499999999999</v>
      </c>
      <c r="K547" s="169">
        <f>IF(OR(B547="",C547=""),"",IFERROR(INDEX(Vöruskrá!N:N,MATCH(B547,Vöruskrá!B:B,0))*C547/100000,""))</f>
        <v>0.20943999999999999</v>
      </c>
      <c r="L547" s="169">
        <f>IF(OR(B547="",C547=""),"",IFERROR(INDEX(Vöruskrá!O:O,MATCH(B547,Vöruskrá!B:B,0))*C547/100000,""))</f>
        <v>0.20943999999999999</v>
      </c>
      <c r="M547" s="169">
        <f>IF(OR(B547="",C547=""),"",IFERROR(INDEX(Vöruskrá!P:P,MATCH(B547,Vöruskrá!B:B,0))*C547/100000,""))</f>
        <v>6.5449999999999996E-3</v>
      </c>
      <c r="N547" s="169">
        <f>IF(OR(B547="",C547=""),"",IFERROR(INDEX(Vöruskrá!Q:Q,MATCH(B547,Vöruskrá!B:B,0))*C547/100000,""))</f>
        <v>0.13089999999999999</v>
      </c>
      <c r="O547" s="170">
        <f>IF(OR(B547="",C547=""),"",IFERROR(C547/1000*INDEX(Vöruskrá!R:R,MATCH(B547,Vöruskrá!B:B,0))/1000,""))</f>
        <v>0</v>
      </c>
      <c r="P547" s="173"/>
      <c r="Q547" s="158"/>
      <c r="R547" s="6"/>
    </row>
    <row r="548" spans="1:18" ht="15">
      <c r="A548" s="171"/>
      <c r="B548" s="171" t="s">
        <v>299</v>
      </c>
      <c r="C548" s="172">
        <v>524</v>
      </c>
      <c r="D548" s="168" t="s">
        <v>302</v>
      </c>
      <c r="E548" s="168" t="s">
        <v>134</v>
      </c>
      <c r="F548" s="168" t="s">
        <v>303</v>
      </c>
      <c r="G548" s="169">
        <f>IF(OR(B548="",C548=""),"",IFERROR(INDEX(Vöruskrá!J:J,MATCH(B548,Vöruskrá!B:B,0))*C548/100000,""))</f>
        <v>0</v>
      </c>
      <c r="H548" s="169">
        <f>IF(OR(B548="",C548=""),"",IFERROR(INDEX(Vöruskrá!K:K,MATCH(B548,Vöruskrá!B:B,0))*C548/100000,""))</f>
        <v>0</v>
      </c>
      <c r="I548" s="169">
        <f>IF(OR(B548="",C548=""),"",IFERROR(INDEX(Vöruskrá!L:L,MATCH(B548,Vöruskrá!B:B,0))*C548/100000,""))</f>
        <v>0</v>
      </c>
      <c r="J548" s="169">
        <f>IF(OR(B548="",C548=""),"",IFERROR(INDEX(Vöruskrá!M:M,MATCH(B548,Vöruskrá!B:B,0))*C548/100000,""))</f>
        <v>0</v>
      </c>
      <c r="K548" s="169">
        <f>IF(OR(B548="",C548=""),"",IFERROR(INDEX(Vöruskrá!N:N,MATCH(B548,Vöruskrá!B:B,0))*C548/100000,""))</f>
        <v>0</v>
      </c>
      <c r="L548" s="169">
        <f>IF(OR(B548="",C548=""),"",IFERROR(INDEX(Vöruskrá!O:O,MATCH(B548,Vöruskrá!B:B,0))*C548/100000,""))</f>
        <v>0</v>
      </c>
      <c r="M548" s="169">
        <f>IF(OR(B548="",C548=""),"",IFERROR(INDEX(Vöruskrá!P:P,MATCH(B548,Vöruskrá!B:B,0))*C548/100000,""))</f>
        <v>0.52400000000000002</v>
      </c>
      <c r="N548" s="169">
        <f>IF(OR(B548="",C548=""),"",IFERROR(INDEX(Vöruskrá!Q:Q,MATCH(B548,Vöruskrá!B:B,0))*C548/100000,""))</f>
        <v>0</v>
      </c>
      <c r="O548" s="170">
        <f>IF(OR(B548="",C548=""),"",IFERROR(C548/1000*INDEX(Vöruskrá!R:R,MATCH(B548,Vöruskrá!B:B,0))/1000,""))</f>
        <v>0</v>
      </c>
      <c r="P548" s="171"/>
      <c r="Q548" s="201"/>
      <c r="R548" s="202"/>
    </row>
    <row r="549" spans="1:18" ht="60">
      <c r="A549" s="147" t="s">
        <v>1822</v>
      </c>
      <c r="B549" s="147"/>
      <c r="C549" s="148"/>
      <c r="D549" s="165" t="s">
        <v>1823</v>
      </c>
      <c r="E549" s="165" t="s">
        <v>1824</v>
      </c>
      <c r="F549" s="165"/>
      <c r="G549" s="166">
        <v>197.85</v>
      </c>
      <c r="H549" s="166">
        <v>13.2</v>
      </c>
      <c r="I549" s="166">
        <v>4.6399999999999997</v>
      </c>
      <c r="J549" s="166">
        <v>0.94</v>
      </c>
      <c r="K549" s="166"/>
      <c r="L549" s="166">
        <v>18.82</v>
      </c>
      <c r="M549" s="166">
        <v>1.39</v>
      </c>
      <c r="N549" s="166">
        <f>IFERROR(SUM(N550:N555)/(SUM($C$550:$C$555)/100000),"")</f>
        <v>0.17358252834943305</v>
      </c>
      <c r="O549" s="167" t="str">
        <f>IF(OR(B549="",C549=""),"",IFERROR(C549/1000*INDEX(Vöruskrá!R:R,MATCH(B549,Vöruskrá!B:B,0))/1000,""))</f>
        <v/>
      </c>
      <c r="P549" s="196" t="s">
        <v>1825</v>
      </c>
      <c r="Q549" s="195" t="s">
        <v>1826</v>
      </c>
      <c r="R549" s="194" t="s">
        <v>1827</v>
      </c>
    </row>
    <row r="550" spans="1:18" ht="15">
      <c r="A550" s="171"/>
      <c r="B550" s="171" t="s">
        <v>1111</v>
      </c>
      <c r="C550" s="172">
        <v>93240</v>
      </c>
      <c r="D550" s="168" t="s">
        <v>1112</v>
      </c>
      <c r="E550" s="168" t="s">
        <v>1099</v>
      </c>
      <c r="F550" s="168" t="s">
        <v>1113</v>
      </c>
      <c r="G550" s="169">
        <f>IF(OR(B550="",C550=""),"",IFERROR(INDEX(Vöruskrá!J:J,MATCH(B550,Vöruskrá!B:B,0))*C550/100000,""))</f>
        <v>166.89959999999999</v>
      </c>
      <c r="H550" s="169">
        <f>IF(OR(B550="",C550=""),"",IFERROR(INDEX(Vöruskrá!K:K,MATCH(B550,Vöruskrá!B:B,0))*C550/100000,""))</f>
        <v>10.256399999999999</v>
      </c>
      <c r="I550" s="169">
        <f>IF(OR(B550="",C550=""),"",IFERROR(INDEX(Vöruskrá!L:L,MATCH(B550,Vöruskrá!B:B,0))*C550/100000,""))</f>
        <v>2.8904399999999999</v>
      </c>
      <c r="J550" s="169">
        <f>IF(OR(B550="",C550=""),"",IFERROR(INDEX(Vöruskrá!M:M,MATCH(B550,Vöruskrá!B:B,0))*C550/100000,""))</f>
        <v>0</v>
      </c>
      <c r="K550" s="169">
        <f>IF(OR(B550="",C550=""),"",IFERROR(INDEX(Vöruskrá!N:N,MATCH(B550,Vöruskrá!B:B,0))*C550/100000,""))</f>
        <v>0</v>
      </c>
      <c r="L550" s="169">
        <f>IF(OR(B550="",C550=""),"",IFERROR(INDEX(Vöruskrá!O:O,MATCH(B550,Vöruskrá!B:B,0))*C550/100000,""))</f>
        <v>18.648</v>
      </c>
      <c r="M550" s="169">
        <f>IF(OR(B550="",C550=""),"",IFERROR(INDEX(Vöruskrá!P:P,MATCH(B550,Vöruskrá!B:B,0))*C550/100000,""))</f>
        <v>0.18648000000000001</v>
      </c>
      <c r="N550" s="169">
        <f>IF(OR(B550="",C550=""),"",IFERROR(INDEX(Vöruskrá!Q:Q,MATCH(B550,Vöruskrá!B:B,0))*C550/100000,""))</f>
        <v>0</v>
      </c>
      <c r="O550" s="170">
        <f>IF(OR(B550="",C550=""),"",IFERROR(C550/1000*INDEX(Vöruskrá!R:R,MATCH(B550,Vöruskrá!B:B,0))/1000,""))</f>
        <v>0</v>
      </c>
      <c r="P550" s="171"/>
      <c r="Q550" s="203"/>
      <c r="R550" s="204"/>
    </row>
    <row r="551" spans="1:18" ht="15">
      <c r="A551" s="173"/>
      <c r="B551" s="173" t="s">
        <v>1017</v>
      </c>
      <c r="C551" s="174">
        <v>1166</v>
      </c>
      <c r="D551" s="168" t="s">
        <v>1017</v>
      </c>
      <c r="E551" s="168" t="s">
        <v>134</v>
      </c>
      <c r="F551" s="168"/>
      <c r="G551" s="169">
        <f>IF(OR(B551="",C551=""),"",IFERROR(INDEX(Vöruskrá!J:J,MATCH(B551,Vöruskrá!B:B,0))*C551/100000,""))</f>
        <v>1.7373400000000001</v>
      </c>
      <c r="H551" s="169">
        <f>IF(OR(B551="",C551=""),"",IFERROR(INDEX(Vöruskrá!K:K,MATCH(B551,Vöruskrá!B:B,0))*C551/100000,""))</f>
        <v>5.8300000000000001E-3</v>
      </c>
      <c r="I551" s="169">
        <f>IF(OR(B551="",C551=""),"",IFERROR(INDEX(Vöruskrá!L:L,MATCH(B551,Vöruskrá!B:B,0))*C551/100000,""))</f>
        <v>1.1660000000000002E-3</v>
      </c>
      <c r="J551" s="169">
        <f>IF(OR(B551="",C551=""),"",IFERROR(INDEX(Vöruskrá!M:M,MATCH(B551,Vöruskrá!B:B,0))*C551/100000,""))</f>
        <v>0.38594600000000001</v>
      </c>
      <c r="K551" s="169">
        <f>IF(OR(B551="",C551=""),"",IFERROR(INDEX(Vöruskrá!N:N,MATCH(B551,Vöruskrá!B:B,0))*C551/100000,""))</f>
        <v>1.166E-2</v>
      </c>
      <c r="L551" s="169">
        <f>IF(OR(B551="",C551=""),"",IFERROR(INDEX(Vöruskrá!O:O,MATCH(B551,Vöruskrá!B:B,0))*C551/100000,""))</f>
        <v>7.462400000000001E-2</v>
      </c>
      <c r="M551" s="169">
        <f>IF(OR(B551="",C551=""),"",IFERROR(INDEX(Vöruskrá!P:P,MATCH(B551,Vöruskrá!B:B,0))*C551/100000,""))</f>
        <v>0</v>
      </c>
      <c r="N551" s="169">
        <f>IF(OR(B551="",C551=""),"",IFERROR(INDEX(Vöruskrá!Q:Q,MATCH(B551,Vöruskrá!B:B,0))*C551/100000,""))</f>
        <v>2.4486000000000001E-2</v>
      </c>
      <c r="O551" s="170">
        <f>IF(OR(B551="",C551=""),"",IFERROR(C551/1000*INDEX(Vöruskrá!R:R,MATCH(B551,Vöruskrá!B:B,0))/1000,""))</f>
        <v>0</v>
      </c>
      <c r="P551" s="173"/>
      <c r="Q551" s="158"/>
      <c r="R551" s="6"/>
    </row>
    <row r="552" spans="1:18" ht="15">
      <c r="A552" s="171"/>
      <c r="B552" s="171" t="s">
        <v>445</v>
      </c>
      <c r="C552" s="172">
        <v>3497</v>
      </c>
      <c r="D552" s="168" t="s">
        <v>448</v>
      </c>
      <c r="E552" s="168" t="s">
        <v>120</v>
      </c>
      <c r="F552" s="168"/>
      <c r="G552" s="169">
        <f>IF(OR(B552="",C552=""),"",IFERROR(INDEX(Vöruskrá!J:J,MATCH(B552,Vöruskrá!B:B,0))*C552/100000,""))</f>
        <v>25.807860000000002</v>
      </c>
      <c r="H552" s="169">
        <f>IF(OR(B552="",C552=""),"",IFERROR(INDEX(Vöruskrá!K:K,MATCH(B552,Vöruskrá!B:B,0))*C552/100000,""))</f>
        <v>2.86754</v>
      </c>
      <c r="I552" s="169">
        <f>IF(OR(B552="",C552=""),"",IFERROR(INDEX(Vöruskrá!L:L,MATCH(B552,Vöruskrá!B:B,0))*C552/100000,""))</f>
        <v>1.71353</v>
      </c>
      <c r="J552" s="169">
        <f>IF(OR(B552="",C552=""),"",IFERROR(INDEX(Vöruskrá!M:M,MATCH(B552,Vöruskrá!B:B,0))*C552/100000,""))</f>
        <v>1.3988000000000002E-2</v>
      </c>
      <c r="K552" s="169">
        <f>IF(OR(B552="",C552=""),"",IFERROR(INDEX(Vöruskrá!N:N,MATCH(B552,Vöruskrá!B:B,0))*C552/100000,""))</f>
        <v>1.3988000000000002E-2</v>
      </c>
      <c r="L552" s="169">
        <f>IF(OR(B552="",C552=""),"",IFERROR(INDEX(Vöruskrá!O:O,MATCH(B552,Vöruskrá!B:B,0))*C552/100000,""))</f>
        <v>2.0981999999999997E-2</v>
      </c>
      <c r="M552" s="169">
        <f>IF(OR(B552="",C552=""),"",IFERROR(INDEX(Vöruskrá!P:P,MATCH(B552,Vöruskrá!B:B,0))*C552/100000,""))</f>
        <v>4.1963999999999994E-2</v>
      </c>
      <c r="N552" s="169">
        <f>IF(OR(B552="",C552=""),"",IFERROR(INDEX(Vöruskrá!Q:Q,MATCH(B552,Vöruskrá!B:B,0))*C552/100000,""))</f>
        <v>0</v>
      </c>
      <c r="O552" s="170">
        <f>IF(OR(B552="",C552=""),"",IFERROR(C552/1000*INDEX(Vöruskrá!R:R,MATCH(B552,Vöruskrá!B:B,0))/1000,""))</f>
        <v>0</v>
      </c>
      <c r="P552" s="171"/>
      <c r="Q552" s="157"/>
      <c r="R552" s="27"/>
    </row>
    <row r="553" spans="1:18" ht="15">
      <c r="A553" s="173"/>
      <c r="B553" s="173" t="s">
        <v>1035</v>
      </c>
      <c r="C553" s="174">
        <v>350</v>
      </c>
      <c r="D553" s="168" t="s">
        <v>1036</v>
      </c>
      <c r="E553" s="168" t="s">
        <v>134</v>
      </c>
      <c r="F553" s="168" t="s">
        <v>1024</v>
      </c>
      <c r="G553" s="169">
        <f>IF(OR(B553="",C553=""),"",IFERROR(INDEX(Vöruskrá!J:J,MATCH(B553,Vöruskrá!B:B,0))*C553/100000,""))</f>
        <v>1.1585000000000001</v>
      </c>
      <c r="H553" s="169">
        <f>IF(OR(B553="",C553=""),"",IFERROR(INDEX(Vöruskrá!K:K,MATCH(B553,Vöruskrá!B:B,0))*C553/100000,""))</f>
        <v>5.3199999999999997E-2</v>
      </c>
      <c r="I553" s="169">
        <f>IF(OR(B553="",C553=""),"",IFERROR(INDEX(Vöruskrá!L:L,MATCH(B553,Vöruskrá!B:B,0))*C553/100000,""))</f>
        <v>2.5899999999999999E-2</v>
      </c>
      <c r="J553" s="169">
        <f>IF(OR(B553="",C553=""),"",IFERROR(INDEX(Vöruskrá!M:M,MATCH(B553,Vöruskrá!B:B,0))*C553/100000,""))</f>
        <v>0.16239999999999999</v>
      </c>
      <c r="K553" s="169">
        <f>IF(OR(B553="",C553=""),"",IFERROR(INDEX(Vöruskrá!N:N,MATCH(B553,Vöruskrá!B:B,0))*C553/100000,""))</f>
        <v>0</v>
      </c>
      <c r="L553" s="169">
        <f>IF(OR(B553="",C553=""),"",IFERROR(INDEX(Vöruskrá!O:O,MATCH(B553,Vöruskrá!B:B,0))*C553/100000,""))</f>
        <v>1.7150000000000002E-2</v>
      </c>
      <c r="M553" s="169">
        <f>IF(OR(B553="",C553=""),"",IFERROR(INDEX(Vöruskrá!P:P,MATCH(B553,Vöruskrá!B:B,0))*C553/100000,""))</f>
        <v>0</v>
      </c>
      <c r="N553" s="169">
        <f>IF(OR(B553="",C553=""),"",IFERROR(INDEX(Vöruskrá!Q:Q,MATCH(B553,Vöruskrá!B:B,0))*C553/100000,""))</f>
        <v>0.14910000000000001</v>
      </c>
      <c r="O553" s="170">
        <f>IF(OR(B553="",C553=""),"",IFERROR(C553/1000*INDEX(Vöruskrá!R:R,MATCH(B553,Vöruskrá!B:B,0))/1000,""))</f>
        <v>0</v>
      </c>
      <c r="P553" s="173"/>
      <c r="Q553" s="158"/>
      <c r="R553" s="6"/>
    </row>
    <row r="554" spans="1:18" ht="15">
      <c r="A554" s="171"/>
      <c r="B554" s="171" t="s">
        <v>299</v>
      </c>
      <c r="C554" s="172">
        <v>1166</v>
      </c>
      <c r="D554" s="168" t="s">
        <v>302</v>
      </c>
      <c r="E554" s="168" t="s">
        <v>134</v>
      </c>
      <c r="F554" s="168" t="s">
        <v>303</v>
      </c>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1.1659999999999999</v>
      </c>
      <c r="N554" s="169">
        <f>IF(OR(B554="",C554=""),"",IFERROR(INDEX(Vöruskrá!Q:Q,MATCH(B554,Vöruskrá!B:B,0))*C554/100000,""))</f>
        <v>0</v>
      </c>
      <c r="O554" s="170">
        <f>IF(OR(B554="",C554=""),"",IFERROR(C554/1000*INDEX(Vöruskrá!R:R,MATCH(B554,Vöruskrá!B:B,0))/1000,""))</f>
        <v>0</v>
      </c>
      <c r="P554" s="171"/>
      <c r="Q554" s="157"/>
      <c r="R554" s="27"/>
    </row>
    <row r="555" spans="1:18" ht="15">
      <c r="A555" s="173"/>
      <c r="B555" s="173" t="s">
        <v>819</v>
      </c>
      <c r="C555" s="174">
        <v>583</v>
      </c>
      <c r="D555" s="168" t="s">
        <v>820</v>
      </c>
      <c r="E555" s="168"/>
      <c r="F555" s="168" t="s">
        <v>311</v>
      </c>
      <c r="G555" s="169">
        <f>IF(OR(B555="",C555=""),"",IFERROR(INDEX(Vöruskrá!J:J,MATCH(B555,Vöruskrá!B:B,0))*C555/100000,""))</f>
        <v>2.2503799999999998</v>
      </c>
      <c r="H555" s="169">
        <f>IF(OR(B555="",C555=""),"",IFERROR(INDEX(Vöruskrá!K:K,MATCH(B555,Vöruskrá!B:B,0))*C555/100000,""))</f>
        <v>1.9238999999999999E-2</v>
      </c>
      <c r="I555" s="169">
        <f>IF(OR(B555="",C555=""),"",IFERROR(INDEX(Vöruskrá!L:L,MATCH(B555,Vöruskrá!B:B,0))*C555/100000,""))</f>
        <v>5.8300000000000001E-3</v>
      </c>
      <c r="J555" s="169">
        <f>IF(OR(B555="",C555=""),"",IFERROR(INDEX(Vöruskrá!M:M,MATCH(B555,Vöruskrá!B:B,0))*C555/100000,""))</f>
        <v>0.37895000000000001</v>
      </c>
      <c r="K555" s="169">
        <f>IF(OR(B555="",C555=""),"",IFERROR(INDEX(Vöruskrá!N:N,MATCH(B555,Vöruskrá!B:B,0))*C555/100000,""))</f>
        <v>3.4980000000000002E-3</v>
      </c>
      <c r="L555" s="169">
        <f>IF(OR(B555="",C555=""),"",IFERROR(INDEX(Vöruskrá!O:O,MATCH(B555,Vöruskrá!B:B,0))*C555/100000,""))</f>
        <v>6.4130000000000006E-2</v>
      </c>
      <c r="M555" s="169">
        <f>IF(OR(B555="",C555=""),"",IFERROR(INDEX(Vöruskrá!P:P,MATCH(B555,Vöruskrá!B:B,0))*C555/100000,""))</f>
        <v>5.8300000000000008E-4</v>
      </c>
      <c r="N555" s="169">
        <f>IF(OR(B555="",C555=""),"",IFERROR(INDEX(Vöruskrá!Q:Q,MATCH(B555,Vöruskrá!B:B,0))*C555/100000,""))</f>
        <v>0</v>
      </c>
      <c r="O555" s="170">
        <f>IF(OR(B555="",C555=""),"",IFERROR(C555/1000*INDEX(Vöruskrá!R:R,MATCH(B555,Vöruskrá!B:B,0))/1000,""))</f>
        <v>0</v>
      </c>
      <c r="P555" s="173"/>
      <c r="Q555" s="200"/>
      <c r="R555" s="159"/>
    </row>
    <row r="556" spans="1:18" ht="48">
      <c r="A556" s="147" t="s">
        <v>1828</v>
      </c>
      <c r="B556" s="147"/>
      <c r="C556" s="148"/>
      <c r="D556" s="165" t="s">
        <v>1829</v>
      </c>
      <c r="E556" s="165" t="s">
        <v>1830</v>
      </c>
      <c r="F556" s="165"/>
      <c r="G556" s="166">
        <v>167.9</v>
      </c>
      <c r="H556" s="166">
        <v>7.33</v>
      </c>
      <c r="I556" s="166">
        <v>1.95</v>
      </c>
      <c r="J556" s="166">
        <v>10.78</v>
      </c>
      <c r="K556" s="166"/>
      <c r="L556" s="166">
        <v>14.3</v>
      </c>
      <c r="M556" s="166">
        <v>1.1100000000000001</v>
      </c>
      <c r="N556" s="166">
        <f>IFERROR(SUM(N557:N564)/(SUM($C$557:$C$564)/100000),"")</f>
        <v>0.55926640733592659</v>
      </c>
      <c r="O556" s="167" t="str">
        <f>IF(OR(B556="",C556=""),"",IFERROR(C556/1000*INDEX(Vöruskrá!R:R,MATCH(B556,Vöruskrá!B:B,0))/1000,""))</f>
        <v/>
      </c>
      <c r="P556" s="196" t="s">
        <v>1831</v>
      </c>
      <c r="Q556" s="199" t="s">
        <v>1832</v>
      </c>
      <c r="R556" s="198" t="s">
        <v>1833</v>
      </c>
    </row>
    <row r="557" spans="1:18" ht="15">
      <c r="A557" s="171"/>
      <c r="B557" s="171" t="s">
        <v>542</v>
      </c>
      <c r="C557" s="172">
        <v>59657</v>
      </c>
      <c r="D557" s="168" t="s">
        <v>543</v>
      </c>
      <c r="E557" s="168" t="s">
        <v>134</v>
      </c>
      <c r="F557" s="168"/>
      <c r="G557" s="169">
        <f>IF(OR(B557="",C557=""),"",IFERROR(INDEX(Vöruskrá!J:J,MATCH(B557,Vöruskrá!B:B,0))*C557/100000,""))</f>
        <v>106.78603</v>
      </c>
      <c r="H557" s="169">
        <f>IF(OR(B557="",C557=""),"",IFERROR(INDEX(Vöruskrá!K:K,MATCH(B557,Vöruskrá!B:B,0))*C557/100000,""))</f>
        <v>6.5622699999999998</v>
      </c>
      <c r="I557" s="169">
        <f>IF(OR(B557="",C557=""),"",IFERROR(INDEX(Vöruskrá!L:L,MATCH(B557,Vöruskrá!B:B,0))*C557/100000,""))</f>
        <v>1.8493670000000002</v>
      </c>
      <c r="J557" s="169">
        <f>IF(OR(B557="",C557=""),"",IFERROR(INDEX(Vöruskrá!M:M,MATCH(B557,Vöruskrá!B:B,0))*C557/100000,""))</f>
        <v>0</v>
      </c>
      <c r="K557" s="169">
        <f>IF(OR(B557="",C557=""),"",IFERROR(INDEX(Vöruskrá!N:N,MATCH(B557,Vöruskrá!B:B,0))*C557/100000,""))</f>
        <v>0</v>
      </c>
      <c r="L557" s="169">
        <f>IF(OR(B557="",C557=""),"",IFERROR(INDEX(Vöruskrá!O:O,MATCH(B557,Vöruskrá!B:B,0))*C557/100000,""))</f>
        <v>11.9314</v>
      </c>
      <c r="M557" s="169">
        <f>IF(OR(B557="",C557=""),"",IFERROR(INDEX(Vöruskrá!P:P,MATCH(B557,Vöruskrá!B:B,0))*C557/100000,""))</f>
        <v>0.11931400000000002</v>
      </c>
      <c r="N557" s="169">
        <f>IF(OR(B557="",C557=""),"",IFERROR(INDEX(Vöruskrá!Q:Q,MATCH(B557,Vöruskrá!B:B,0))*C557/100000,""))</f>
        <v>0</v>
      </c>
      <c r="O557" s="170">
        <f>IF(OR(B557="",C557=""),"",IFERROR(C557/1000*INDEX(Vöruskrá!R:R,MATCH(B557,Vöruskrá!B:B,0))/1000,""))</f>
        <v>0</v>
      </c>
      <c r="P557" s="171"/>
      <c r="Q557" s="197"/>
      <c r="R557" s="164"/>
    </row>
    <row r="558" spans="1:18" ht="15">
      <c r="A558" s="173"/>
      <c r="B558" s="173" t="s">
        <v>463</v>
      </c>
      <c r="C558" s="174">
        <v>22371</v>
      </c>
      <c r="D558" s="168" t="s">
        <v>465</v>
      </c>
      <c r="E558" s="168" t="s">
        <v>466</v>
      </c>
      <c r="F558" s="168" t="s">
        <v>467</v>
      </c>
      <c r="G558" s="169">
        <f>IF(OR(B558="",C558=""),"",IFERROR(INDEX(Vöruskrá!J:J,MATCH(B558,Vöruskrá!B:B,0))*C558/100000,""))</f>
        <v>54.137819999999998</v>
      </c>
      <c r="H558" s="169">
        <f>IF(OR(B558="",C558=""),"",IFERROR(INDEX(Vöruskrá!K:K,MATCH(B558,Vöruskrá!B:B,0))*C558/100000,""))</f>
        <v>0.55927499999999997</v>
      </c>
      <c r="I558" s="169">
        <f>IF(OR(B558="",C558=""),"",IFERROR(INDEX(Vöruskrá!L:L,MATCH(B558,Vöruskrá!B:B,0))*C558/100000,""))</f>
        <v>8.9483999999999994E-2</v>
      </c>
      <c r="J558" s="169">
        <f>IF(OR(B558="",C558=""),"",IFERROR(INDEX(Vöruskrá!M:M,MATCH(B558,Vöruskrá!B:B,0))*C558/100000,""))</f>
        <v>9.8432399999999998</v>
      </c>
      <c r="K558" s="169">
        <f>IF(OR(B558="",C558=""),"",IFERROR(INDEX(Vöruskrá!N:N,MATCH(B558,Vöruskrá!B:B,0))*C558/100000,""))</f>
        <v>0.13422600000000001</v>
      </c>
      <c r="L558" s="169">
        <f>IF(OR(B558="",C558=""),"",IFERROR(INDEX(Vöruskrá!O:O,MATCH(B558,Vöruskrá!B:B,0))*C558/100000,""))</f>
        <v>2.1028739999999999</v>
      </c>
      <c r="M558" s="169">
        <f>IF(OR(B558="",C558=""),"",IFERROR(INDEX(Vöruskrá!P:P,MATCH(B558,Vöruskrá!B:B,0))*C558/100000,""))</f>
        <v>0.290823</v>
      </c>
      <c r="N558" s="169">
        <f>IF(OR(B558="",C558=""),"",IFERROR(INDEX(Vöruskrá!Q:Q,MATCH(B558,Vöruskrá!B:B,0))*C558/100000,""))</f>
        <v>0.40267800000000004</v>
      </c>
      <c r="O558" s="170">
        <f>IF(OR(B558="",C558=""),"",IFERROR(C558/1000*INDEX(Vöruskrá!R:R,MATCH(B558,Vöruskrá!B:B,0))/1000,""))</f>
        <v>0</v>
      </c>
      <c r="P558" s="173"/>
      <c r="Q558" s="157"/>
      <c r="R558" s="27"/>
    </row>
    <row r="559" spans="1:18" ht="15">
      <c r="A559" s="171"/>
      <c r="B559" s="171" t="s">
        <v>627</v>
      </c>
      <c r="C559" s="172">
        <v>3729</v>
      </c>
      <c r="D559" s="168" t="s">
        <v>629</v>
      </c>
      <c r="E559" s="168"/>
      <c r="F559" s="168"/>
      <c r="G559" s="169">
        <f>IF(OR(B559="",C559=""),"",IFERROR(INDEX(Vöruskrá!J:J,MATCH(B559,Vöruskrá!B:B,0))*C559/100000,""))</f>
        <v>1.8645</v>
      </c>
      <c r="H559" s="169">
        <f>IF(OR(B559="",C559=""),"",IFERROR(INDEX(Vöruskrá!K:K,MATCH(B559,Vöruskrá!B:B,0))*C559/100000,""))</f>
        <v>7.4580000000000011E-3</v>
      </c>
      <c r="I559" s="169">
        <f>IF(OR(B559="",C559=""),"",IFERROR(INDEX(Vöruskrá!L:L,MATCH(B559,Vöruskrá!B:B,0))*C559/100000,""))</f>
        <v>0</v>
      </c>
      <c r="J559" s="169">
        <f>IF(OR(B559="",C559=""),"",IFERROR(INDEX(Vöruskrá!M:M,MATCH(B559,Vöruskrá!B:B,0))*C559/100000,""))</f>
        <v>0.36917099999999997</v>
      </c>
      <c r="K559" s="169">
        <f>IF(OR(B559="",C559=""),"",IFERROR(INDEX(Vöruskrá!N:N,MATCH(B559,Vöruskrá!B:B,0))*C559/100000,""))</f>
        <v>0.36171299999999995</v>
      </c>
      <c r="L559" s="169">
        <f>IF(OR(B559="",C559=""),"",IFERROR(INDEX(Vöruskrá!O:O,MATCH(B559,Vöruskrá!B:B,0))*C559/100000,""))</f>
        <v>3.7289999999999997E-2</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1"/>
      <c r="Q559" s="158"/>
      <c r="R559" s="6"/>
    </row>
    <row r="560" spans="1:18" ht="15">
      <c r="A560" s="173"/>
      <c r="B560" s="173" t="s">
        <v>500</v>
      </c>
      <c r="C560" s="174">
        <v>7457</v>
      </c>
      <c r="D560" s="168" t="s">
        <v>1129</v>
      </c>
      <c r="E560" s="168" t="s">
        <v>1099</v>
      </c>
      <c r="F560" s="168"/>
      <c r="G560" s="169">
        <f>IF(OR(B560="",C560=""),"",IFERROR(INDEX(Vöruskrá!J:J,MATCH(B560,Vöruskrá!B:B,0))*C560/100000,""))</f>
        <v>1.34226</v>
      </c>
      <c r="H560" s="169">
        <f>IF(OR(B560="",C560=""),"",IFERROR(INDEX(Vöruskrá!K:K,MATCH(B560,Vöruskrá!B:B,0))*C560/100000,""))</f>
        <v>1.4914E-2</v>
      </c>
      <c r="I560" s="169">
        <f>IF(OR(B560="",C560=""),"",IFERROR(INDEX(Vöruskrá!L:L,MATCH(B560,Vöruskrá!B:B,0))*C560/100000,""))</f>
        <v>0</v>
      </c>
      <c r="J560" s="169">
        <f>IF(OR(B560="",C560=""),"",IFERROR(INDEX(Vöruskrá!M:M,MATCH(B560,Vöruskrá!B:B,0))*C560/100000,""))</f>
        <v>0.290823</v>
      </c>
      <c r="K560" s="169">
        <f>IF(OR(B560="",C560=""),"",IFERROR(INDEX(Vöruskrá!N:N,MATCH(B560,Vöruskrá!B:B,0))*C560/100000,""))</f>
        <v>0.193882</v>
      </c>
      <c r="L560" s="169">
        <f>IF(OR(B560="",C560=""),"",IFERROR(INDEX(Vöruskrá!O:O,MATCH(B560,Vöruskrá!B:B,0))*C560/100000,""))</f>
        <v>6.7113000000000006E-2</v>
      </c>
      <c r="M560" s="169">
        <f>IF(OR(B560="",C560=""),"",IFERROR(INDEX(Vöruskrá!P:P,MATCH(B560,Vöruskrá!B:B,0))*C560/100000,""))</f>
        <v>0</v>
      </c>
      <c r="N560" s="169">
        <f>IF(OR(B560="",C560=""),"",IFERROR(INDEX(Vöruskrá!Q:Q,MATCH(B560,Vöruskrá!B:B,0))*C560/100000,""))</f>
        <v>8.9483999999999994E-2</v>
      </c>
      <c r="O560" s="170">
        <f>IF(OR(B560="",C560=""),"",IFERROR(C560/1000*INDEX(Vöruskrá!R:R,MATCH(B560,Vöruskrá!B:B,0))/1000,""))</f>
        <v>0</v>
      </c>
      <c r="P560" s="173"/>
      <c r="Q560" s="157"/>
      <c r="R560" s="27"/>
    </row>
    <row r="561" spans="1:18" ht="15">
      <c r="A561" s="171"/>
      <c r="B561" s="171" t="s">
        <v>1157</v>
      </c>
      <c r="C561" s="172">
        <v>2237</v>
      </c>
      <c r="D561" s="168" t="s">
        <v>1160</v>
      </c>
      <c r="E561" s="168" t="s">
        <v>1161</v>
      </c>
      <c r="F561" s="168"/>
      <c r="G561" s="169">
        <f>IF(OR(B561="",C561=""),"",IFERROR(INDEX(Vöruskrá!J:J,MATCH(B561,Vöruskrá!B:B,0))*C561/100000,""))</f>
        <v>2.9081000000000001</v>
      </c>
      <c r="H561" s="169">
        <f>IF(OR(B561="",C561=""),"",IFERROR(INDEX(Vöruskrá!K:K,MATCH(B561,Vöruskrá!B:B,0))*C561/100000,""))</f>
        <v>0.17896000000000001</v>
      </c>
      <c r="I561" s="169">
        <f>IF(OR(B561="",C561=""),"",IFERROR(INDEX(Vöruskrá!L:L,MATCH(B561,Vöruskrá!B:B,0))*C561/100000,""))</f>
        <v>1.1185E-2</v>
      </c>
      <c r="J561" s="169">
        <f>IF(OR(B561="",C561=""),"",IFERROR(INDEX(Vöruskrá!M:M,MATCH(B561,Vöruskrá!B:B,0))*C561/100000,""))</f>
        <v>0.13422000000000001</v>
      </c>
      <c r="K561" s="169">
        <f>IF(OR(B561="",C561=""),"",IFERROR(INDEX(Vöruskrá!N:N,MATCH(B561,Vöruskrá!B:B,0))*C561/100000,""))</f>
        <v>4.4740000000000002E-2</v>
      </c>
      <c r="L561" s="169">
        <f>IF(OR(B561="",C561=""),"",IFERROR(INDEX(Vöruskrá!O:O,MATCH(B561,Vöruskrá!B:B,0))*C561/100000,""))</f>
        <v>0.13422000000000001</v>
      </c>
      <c r="M561" s="169">
        <f>IF(OR(B561="",C561=""),"",IFERROR(INDEX(Vöruskrá!P:P,MATCH(B561,Vöruskrá!B:B,0))*C561/100000,""))</f>
        <v>0.100665</v>
      </c>
      <c r="N561" s="169">
        <f>IF(OR(B561="",C561=""),"",IFERROR(INDEX(Vöruskrá!Q:Q,MATCH(B561,Vöruskrá!B:B,0))*C561/100000,""))</f>
        <v>6.7110000000000003E-2</v>
      </c>
      <c r="O561" s="170">
        <f>IF(OR(B561="",C561=""),"",IFERROR(C561/1000*INDEX(Vöruskrá!R:R,MATCH(B561,Vöruskrá!B:B,0))/1000,""))</f>
        <v>0</v>
      </c>
      <c r="P561" s="171"/>
      <c r="Q561" s="158"/>
      <c r="R561" s="6"/>
    </row>
    <row r="562" spans="1:18" ht="15">
      <c r="A562" s="173"/>
      <c r="B562" s="173" t="s">
        <v>1483</v>
      </c>
      <c r="C562" s="174">
        <v>3729</v>
      </c>
      <c r="D562" s="168"/>
      <c r="E562" s="168"/>
      <c r="F562" s="168"/>
      <c r="G562" s="169">
        <f>IF(OR(B562="",C562=""),"",IFERROR(INDEX(Vöruskrá!J:J,MATCH(B562,Vöruskrá!B:B,0))*C562/100000,""))</f>
        <v>0</v>
      </c>
      <c r="H562" s="169">
        <f>IF(OR(B562="",C562=""),"",IFERROR(INDEX(Vöruskrá!K:K,MATCH(B562,Vöruskrá!B:B,0))*C562/100000,""))</f>
        <v>0</v>
      </c>
      <c r="I562" s="169">
        <f>IF(OR(B562="",C562=""),"",IFERROR(INDEX(Vöruskrá!L:L,MATCH(B562,Vöruskrá!B:B,0))*C562/100000,""))</f>
        <v>0</v>
      </c>
      <c r="J562" s="169">
        <f>IF(OR(B562="",C562=""),"",IFERROR(INDEX(Vöruskrá!M:M,MATCH(B562,Vöruskrá!B:B,0))*C562/100000,""))</f>
        <v>0</v>
      </c>
      <c r="K562" s="169">
        <f>IF(OR(B562="",C562=""),"",IFERROR(INDEX(Vöruskrá!N:N,MATCH(B562,Vöruskrá!B:B,0))*C562/100000,""))</f>
        <v>0</v>
      </c>
      <c r="L562" s="169">
        <f>IF(OR(B562="",C562=""),"",IFERROR(INDEX(Vöruskrá!O:O,MATCH(B562,Vöruskrá!B:B,0))*C562/100000,""))</f>
        <v>0</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7"/>
      <c r="R562" s="27"/>
    </row>
    <row r="563" spans="1:18" ht="15">
      <c r="A563" s="171"/>
      <c r="B563" s="171" t="s">
        <v>299</v>
      </c>
      <c r="C563" s="172">
        <v>597</v>
      </c>
      <c r="D563" s="168" t="s">
        <v>302</v>
      </c>
      <c r="E563" s="168" t="s">
        <v>134</v>
      </c>
      <c r="F563" s="168" t="s">
        <v>303</v>
      </c>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0.59699999999999998</v>
      </c>
      <c r="N563" s="169">
        <f>IF(OR(B563="",C563=""),"",IFERROR(INDEX(Vöruskrá!Q:Q,MATCH(B563,Vöruskrá!B:B,0))*C563/100000,""))</f>
        <v>0</v>
      </c>
      <c r="O563" s="170">
        <f>IF(OR(B563="",C563=""),"",IFERROR(C563/1000*INDEX(Vöruskrá!R:R,MATCH(B563,Vöruskrá!B:B,0))/1000,""))</f>
        <v>0</v>
      </c>
      <c r="P563" s="171"/>
      <c r="Q563" s="158"/>
      <c r="R563" s="6"/>
    </row>
    <row r="564" spans="1:18" ht="15">
      <c r="A564" s="173"/>
      <c r="B564" s="173" t="s">
        <v>819</v>
      </c>
      <c r="C564" s="174">
        <v>224</v>
      </c>
      <c r="D564" s="168" t="s">
        <v>820</v>
      </c>
      <c r="E564" s="168"/>
      <c r="F564" s="168" t="s">
        <v>311</v>
      </c>
      <c r="G564" s="169">
        <f>IF(OR(B564="",C564=""),"",IFERROR(INDEX(Vöruskrá!J:J,MATCH(B564,Vöruskrá!B:B,0))*C564/100000,""))</f>
        <v>0.86463999999999996</v>
      </c>
      <c r="H564" s="169">
        <f>IF(OR(B564="",C564=""),"",IFERROR(INDEX(Vöruskrá!K:K,MATCH(B564,Vöruskrá!B:B,0))*C564/100000,""))</f>
        <v>7.3919999999999993E-3</v>
      </c>
      <c r="I564" s="169">
        <f>IF(OR(B564="",C564=""),"",IFERROR(INDEX(Vöruskrá!L:L,MATCH(B564,Vöruskrá!B:B,0))*C564/100000,""))</f>
        <v>2.2399999999999998E-3</v>
      </c>
      <c r="J564" s="169">
        <f>IF(OR(B564="",C564=""),"",IFERROR(INDEX(Vöruskrá!M:M,MATCH(B564,Vöruskrá!B:B,0))*C564/100000,""))</f>
        <v>0.14560000000000001</v>
      </c>
      <c r="K564" s="169">
        <f>IF(OR(B564="",C564=""),"",IFERROR(INDEX(Vöruskrá!N:N,MATCH(B564,Vöruskrá!B:B,0))*C564/100000,""))</f>
        <v>1.3440000000000001E-3</v>
      </c>
      <c r="L564" s="169">
        <f>IF(OR(B564="",C564=""),"",IFERROR(INDEX(Vöruskrá!O:O,MATCH(B564,Vöruskrá!B:B,0))*C564/100000,""))</f>
        <v>2.4639999999999999E-2</v>
      </c>
      <c r="M564" s="169">
        <f>IF(OR(B564="",C564=""),"",IFERROR(INDEX(Vöruskrá!P:P,MATCH(B564,Vöruskrá!B:B,0))*C564/100000,""))</f>
        <v>2.2400000000000002E-4</v>
      </c>
      <c r="N564" s="169">
        <f>IF(OR(B564="",C564=""),"",IFERROR(INDEX(Vöruskrá!Q:Q,MATCH(B564,Vöruskrá!B:B,0))*C564/100000,""))</f>
        <v>0</v>
      </c>
      <c r="O564" s="170">
        <f>IF(OR(B564="",C564=""),"",IFERROR(C564/1000*INDEX(Vöruskrá!R:R,MATCH(B564,Vöruskrá!B:B,0))/1000,""))</f>
        <v>0</v>
      </c>
      <c r="P564" s="173"/>
      <c r="Q564" s="201"/>
      <c r="R564" s="202"/>
    </row>
    <row r="565" spans="1:18" ht="60">
      <c r="A565" s="147" t="s">
        <v>1834</v>
      </c>
      <c r="B565" s="147"/>
      <c r="C565" s="148"/>
      <c r="D565" s="165" t="s">
        <v>1835</v>
      </c>
      <c r="E565" s="165" t="s">
        <v>1798</v>
      </c>
      <c r="F565" s="165"/>
      <c r="G565" s="166">
        <v>214.69</v>
      </c>
      <c r="H565" s="166">
        <v>12.26</v>
      </c>
      <c r="I565" s="166">
        <v>3.3</v>
      </c>
      <c r="J565" s="166">
        <v>11.57</v>
      </c>
      <c r="K565" s="166"/>
      <c r="L565" s="166">
        <v>13.78</v>
      </c>
      <c r="M565" s="166">
        <v>1.29</v>
      </c>
      <c r="N565" s="166">
        <f>IFERROR(SUM(N566:N573)/(SUM($C$566:$C$573)/100000),"")</f>
        <v>1.2905900940990589</v>
      </c>
      <c r="O565" s="167" t="str">
        <f>IF(OR(B565="",C565=""),"",IFERROR(C565/1000*INDEX(Vöruskrá!R:R,MATCH(B565,Vöruskrá!B:B,0))/1000,""))</f>
        <v/>
      </c>
      <c r="P565" s="196" t="s">
        <v>1836</v>
      </c>
      <c r="Q565" s="195" t="s">
        <v>1837</v>
      </c>
      <c r="R565" s="194" t="s">
        <v>1838</v>
      </c>
    </row>
    <row r="566" spans="1:18" ht="15">
      <c r="A566" s="171"/>
      <c r="B566" s="171" t="s">
        <v>542</v>
      </c>
      <c r="C566" s="172">
        <v>51282</v>
      </c>
      <c r="D566" s="168" t="s">
        <v>543</v>
      </c>
      <c r="E566" s="168" t="s">
        <v>134</v>
      </c>
      <c r="F566" s="168"/>
      <c r="G566" s="169">
        <f>IF(OR(B566="",C566=""),"",IFERROR(INDEX(Vöruskrá!J:J,MATCH(B566,Vöruskrá!B:B,0))*C566/100000,""))</f>
        <v>91.794780000000003</v>
      </c>
      <c r="H566" s="169">
        <f>IF(OR(B566="",C566=""),"",IFERROR(INDEX(Vöruskrá!K:K,MATCH(B566,Vöruskrá!B:B,0))*C566/100000,""))</f>
        <v>5.6410200000000001</v>
      </c>
      <c r="I566" s="169">
        <f>IF(OR(B566="",C566=""),"",IFERROR(INDEX(Vöruskrá!L:L,MATCH(B566,Vöruskrá!B:B,0))*C566/100000,""))</f>
        <v>1.5897420000000002</v>
      </c>
      <c r="J566" s="169">
        <f>IF(OR(B566="",C566=""),"",IFERROR(INDEX(Vöruskrá!M:M,MATCH(B566,Vöruskrá!B:B,0))*C566/100000,""))</f>
        <v>0</v>
      </c>
      <c r="K566" s="169">
        <f>IF(OR(B566="",C566=""),"",IFERROR(INDEX(Vöruskrá!N:N,MATCH(B566,Vöruskrá!B:B,0))*C566/100000,""))</f>
        <v>0</v>
      </c>
      <c r="L566" s="169">
        <f>IF(OR(B566="",C566=""),"",IFERROR(INDEX(Vöruskrá!O:O,MATCH(B566,Vöruskrá!B:B,0))*C566/100000,""))</f>
        <v>10.256399999999999</v>
      </c>
      <c r="M566" s="169">
        <f>IF(OR(B566="",C566=""),"",IFERROR(INDEX(Vöruskrá!P:P,MATCH(B566,Vöruskrá!B:B,0))*C566/100000,""))</f>
        <v>0.10256400000000002</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494</v>
      </c>
      <c r="C567" s="174">
        <v>17094</v>
      </c>
      <c r="D567" s="168" t="s">
        <v>495</v>
      </c>
      <c r="E567" s="168" t="s">
        <v>134</v>
      </c>
      <c r="F567" s="168"/>
      <c r="G567" s="169">
        <f>IF(OR(B567="",C567=""),"",IFERROR(INDEX(Vöruskrá!J:J,MATCH(B567,Vöruskrá!B:B,0))*C567/100000,""))</f>
        <v>82.564019999999999</v>
      </c>
      <c r="H567" s="169">
        <f>IF(OR(B567="",C567=""),"",IFERROR(INDEX(Vöruskrá!K:K,MATCH(B567,Vöruskrá!B:B,0))*C567/100000,""))</f>
        <v>4.2735000000000003</v>
      </c>
      <c r="I567" s="169">
        <f>IF(OR(B567="",C567=""),"",IFERROR(INDEX(Vöruskrá!L:L,MATCH(B567,Vöruskrá!B:B,0))*C567/100000,""))</f>
        <v>0.39316199999999996</v>
      </c>
      <c r="J567" s="169">
        <f>IF(OR(B567="",C567=""),"",IFERROR(INDEX(Vöruskrá!M:M,MATCH(B567,Vöruskrá!B:B,0))*C567/100000,""))</f>
        <v>9.5726399999999998</v>
      </c>
      <c r="K567" s="169">
        <f>IF(OR(B567="",C567=""),"",IFERROR(INDEX(Vöruskrá!N:N,MATCH(B567,Vöruskrá!B:B,0))*C567/100000,""))</f>
        <v>0.18803400000000001</v>
      </c>
      <c r="L567" s="169">
        <f>IF(OR(B567="",C567=""),"",IFERROR(INDEX(Vöruskrá!O:O,MATCH(B567,Vöruskrá!B:B,0))*C567/100000,""))</f>
        <v>0.97435800000000006</v>
      </c>
      <c r="M567" s="169">
        <f>IF(OR(B567="",C567=""),"",IFERROR(INDEX(Vöruskrá!P:P,MATCH(B567,Vöruskrá!B:B,0))*C567/100000,""))</f>
        <v>0.205128</v>
      </c>
      <c r="N567" s="169">
        <f>IF(OR(B567="",C567=""),"",IFERROR(INDEX(Vöruskrá!Q:Q,MATCH(B567,Vöruskrá!B:B,0))*C567/100000,""))</f>
        <v>1.0769219999999999</v>
      </c>
      <c r="O567" s="170">
        <f>IF(OR(B567="",C567=""),"",IFERROR(C567/1000*INDEX(Vöruskrá!R:R,MATCH(B567,Vöruskrá!B:B,0))/1000,""))</f>
        <v>0</v>
      </c>
      <c r="P567" s="173"/>
      <c r="Q567" s="158"/>
      <c r="R567" s="6"/>
    </row>
    <row r="568" spans="1:18" ht="15">
      <c r="A568" s="171"/>
      <c r="B568" s="171" t="s">
        <v>489</v>
      </c>
      <c r="C568" s="172">
        <v>1709</v>
      </c>
      <c r="D568" s="168" t="s">
        <v>490</v>
      </c>
      <c r="E568" s="168" t="s">
        <v>134</v>
      </c>
      <c r="F568" s="168" t="s">
        <v>311</v>
      </c>
      <c r="G568" s="169">
        <f>IF(OR(B568="",C568=""),"",IFERROR(INDEX(Vöruskrá!J:J,MATCH(B568,Vöruskrá!B:B,0))*C568/100000,""))</f>
        <v>3.7939799999999999</v>
      </c>
      <c r="H568" s="169">
        <f>IF(OR(B568="",C568=""),"",IFERROR(INDEX(Vöruskrá!K:K,MATCH(B568,Vöruskrá!B:B,0))*C568/100000,""))</f>
        <v>0.10254000000000001</v>
      </c>
      <c r="I568" s="169">
        <f>IF(OR(B568="",C568=""),"",IFERROR(INDEX(Vöruskrá!L:L,MATCH(B568,Vöruskrá!B:B,0))*C568/100000,""))</f>
        <v>1.5381000000000001E-2</v>
      </c>
      <c r="J568" s="169">
        <f>IF(OR(B568="",C568=""),"",IFERROR(INDEX(Vöruskrá!M:M,MATCH(B568,Vöruskrá!B:B,0))*C568/100000,""))</f>
        <v>0.51270000000000004</v>
      </c>
      <c r="K568" s="169">
        <f>IF(OR(B568="",C568=""),"",IFERROR(INDEX(Vöruskrá!N:N,MATCH(B568,Vöruskrá!B:B,0))*C568/100000,""))</f>
        <v>7.8613999999999989E-2</v>
      </c>
      <c r="L568" s="169">
        <f>IF(OR(B568="",C568=""),"",IFERROR(INDEX(Vöruskrá!O:O,MATCH(B568,Vöruskrá!B:B,0))*C568/100000,""))</f>
        <v>0.121339</v>
      </c>
      <c r="M568" s="169">
        <f>IF(OR(B568="",C568=""),"",IFERROR(INDEX(Vöruskrá!P:P,MATCH(B568,Vöruskrá!B:B,0))*C568/100000,""))</f>
        <v>0.76905000000000001</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895</v>
      </c>
      <c r="C569" s="174">
        <v>8547</v>
      </c>
      <c r="D569" s="168" t="s">
        <v>897</v>
      </c>
      <c r="E569" s="168" t="s">
        <v>120</v>
      </c>
      <c r="F569" s="168"/>
      <c r="G569" s="169">
        <f>IF(OR(B569="",C569=""),"",IFERROR(INDEX(Vöruskrá!J:J,MATCH(B569,Vöruskrá!B:B,0))*C569/100000,""))</f>
        <v>25.726469999999999</v>
      </c>
      <c r="H569" s="169">
        <f>IF(OR(B569="",C569=""),"",IFERROR(INDEX(Vöruskrá!K:K,MATCH(B569,Vöruskrá!B:B,0))*C569/100000,""))</f>
        <v>1.79487</v>
      </c>
      <c r="I569" s="169">
        <f>IF(OR(B569="",C569=""),"",IFERROR(INDEX(Vöruskrá!L:L,MATCH(B569,Vöruskrá!B:B,0))*C569/100000,""))</f>
        <v>1.0256400000000001</v>
      </c>
      <c r="J569" s="169">
        <f>IF(OR(B569="",C569=""),"",IFERROR(INDEX(Vöruskrá!M:M,MATCH(B569,Vöruskrá!B:B,0))*C569/100000,""))</f>
        <v>0.27350400000000002</v>
      </c>
      <c r="K569" s="169">
        <f>IF(OR(B569="",C569=""),"",IFERROR(INDEX(Vöruskrá!N:N,MATCH(B569,Vöruskrá!B:B,0))*C569/100000,""))</f>
        <v>8.5470000000000004E-2</v>
      </c>
      <c r="L569" s="169">
        <f>IF(OR(B569="",C569=""),"",IFERROR(INDEX(Vöruskrá!O:O,MATCH(B569,Vöruskrá!B:B,0))*C569/100000,""))</f>
        <v>2.0512800000000002</v>
      </c>
      <c r="M569" s="169">
        <f>IF(OR(B569="",C569=""),"",IFERROR(INDEX(Vöruskrá!P:P,MATCH(B569,Vöruskrá!B:B,0))*C569/100000,""))</f>
        <v>0.11965799999999999</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420</v>
      </c>
      <c r="C570" s="172">
        <v>8547</v>
      </c>
      <c r="D570" s="168" t="s">
        <v>421</v>
      </c>
      <c r="E570" s="168" t="s">
        <v>134</v>
      </c>
      <c r="F570" s="168"/>
      <c r="G570" s="169">
        <f>IF(OR(B570="",C570=""),"",IFERROR(INDEX(Vöruskrá!J:J,MATCH(B570,Vöruskrá!B:B,0))*C570/100000,""))</f>
        <v>2.8205100000000001</v>
      </c>
      <c r="H570" s="169">
        <f>IF(OR(B570="",C570=""),"",IFERROR(INDEX(Vöruskrá!K:K,MATCH(B570,Vöruskrá!B:B,0))*C570/100000,""))</f>
        <v>0</v>
      </c>
      <c r="I570" s="169">
        <f>IF(OR(B570="",C570=""),"",IFERROR(INDEX(Vöruskrá!L:L,MATCH(B570,Vöruskrá!B:B,0))*C570/100000,""))</f>
        <v>0</v>
      </c>
      <c r="J570" s="169">
        <f>IF(OR(B570="",C570=""),"",IFERROR(INDEX(Vöruskrá!M:M,MATCH(B570,Vöruskrá!B:B,0))*C570/100000,""))</f>
        <v>0.47008499999999998</v>
      </c>
      <c r="K570" s="169">
        <f>IF(OR(B570="",C570=""),"",IFERROR(INDEX(Vöruskrá!N:N,MATCH(B570,Vöruskrá!B:B,0))*C570/100000,""))</f>
        <v>0.41025600000000001</v>
      </c>
      <c r="L570" s="169">
        <f>IF(OR(B570="",C570=""),"",IFERROR(INDEX(Vöruskrá!O:O,MATCH(B570,Vöruskrá!B:B,0))*C570/100000,""))</f>
        <v>0.13675200000000001</v>
      </c>
      <c r="M570" s="169">
        <f>IF(OR(B570="",C570=""),"",IFERROR(INDEX(Vöruskrá!P:P,MATCH(B570,Vöruskrá!B:B,0))*C570/100000,""))</f>
        <v>8.5470000000000004E-2</v>
      </c>
      <c r="N570" s="169">
        <f>IF(OR(B570="",C570=""),"",IFERROR(INDEX(Vöruskrá!Q:Q,MATCH(B570,Vöruskrá!B:B,0))*C570/100000,""))</f>
        <v>0.16239299999999998</v>
      </c>
      <c r="O570" s="170">
        <f>IF(OR(B570="",C570=""),"",IFERROR(C570/1000*INDEX(Vöruskrá!R:R,MATCH(B570,Vöruskrá!B:B,0))/1000,""))</f>
        <v>0</v>
      </c>
      <c r="P570" s="171"/>
      <c r="Q570" s="157"/>
      <c r="R570" s="27"/>
    </row>
    <row r="571" spans="1:18" ht="15">
      <c r="A571" s="173"/>
      <c r="B571" s="173" t="s">
        <v>627</v>
      </c>
      <c r="C571" s="174">
        <v>4274</v>
      </c>
      <c r="D571" s="168" t="s">
        <v>629</v>
      </c>
      <c r="E571" s="168"/>
      <c r="F571" s="168"/>
      <c r="G571" s="169">
        <f>IF(OR(B571="",C571=""),"",IFERROR(INDEX(Vöruskrá!J:J,MATCH(B571,Vöruskrá!B:B,0))*C571/100000,""))</f>
        <v>2.137</v>
      </c>
      <c r="H571" s="169">
        <f>IF(OR(B571="",C571=""),"",IFERROR(INDEX(Vöruskrá!K:K,MATCH(B571,Vöruskrá!B:B,0))*C571/100000,""))</f>
        <v>8.548E-3</v>
      </c>
      <c r="I571" s="169">
        <f>IF(OR(B571="",C571=""),"",IFERROR(INDEX(Vöruskrá!L:L,MATCH(B571,Vöruskrá!B:B,0))*C571/100000,""))</f>
        <v>0</v>
      </c>
      <c r="J571" s="169">
        <f>IF(OR(B571="",C571=""),"",IFERROR(INDEX(Vöruskrá!M:M,MATCH(B571,Vöruskrá!B:B,0))*C571/100000,""))</f>
        <v>0.423126</v>
      </c>
      <c r="K571" s="169">
        <f>IF(OR(B571="",C571=""),"",IFERROR(INDEX(Vöruskrá!N:N,MATCH(B571,Vöruskrá!B:B,0))*C571/100000,""))</f>
        <v>0.41457799999999995</v>
      </c>
      <c r="L571" s="169">
        <f>IF(OR(B571="",C571=""),"",IFERROR(INDEX(Vöruskrá!O:O,MATCH(B571,Vöruskrá!B:B,0))*C571/100000,""))</f>
        <v>4.274E-2</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3"/>
      <c r="Q571" s="158"/>
      <c r="R571" s="6"/>
    </row>
    <row r="572" spans="1:18" ht="15">
      <c r="A572" s="171"/>
      <c r="B572" s="171" t="s">
        <v>483</v>
      </c>
      <c r="C572" s="172">
        <v>4274</v>
      </c>
      <c r="D572" s="168" t="s">
        <v>485</v>
      </c>
      <c r="E572" s="168" t="s">
        <v>120</v>
      </c>
      <c r="F572" s="168"/>
      <c r="G572" s="169">
        <f>IF(OR(B572="",C572=""),"",IFERROR(INDEX(Vöruskrá!J:J,MATCH(B572,Vöruskrá!B:B,0))*C572/100000,""))</f>
        <v>5.0860599999999998</v>
      </c>
      <c r="H572" s="169">
        <f>IF(OR(B572="",C572=""),"",IFERROR(INDEX(Vöruskrá!K:K,MATCH(B572,Vöruskrá!B:B,0))*C572/100000,""))</f>
        <v>0.4274</v>
      </c>
      <c r="I572" s="169">
        <f>IF(OR(B572="",C572=""),"",IFERROR(INDEX(Vöruskrá!L:L,MATCH(B572,Vöruskrá!B:B,0))*C572/100000,""))</f>
        <v>0.273536</v>
      </c>
      <c r="J572" s="169">
        <f>IF(OR(B572="",C572=""),"",IFERROR(INDEX(Vöruskrá!M:M,MATCH(B572,Vöruskrá!B:B,0))*C572/100000,""))</f>
        <v>0.14959</v>
      </c>
      <c r="K572" s="169">
        <f>IF(OR(B572="",C572=""),"",IFERROR(INDEX(Vöruskrá!N:N,MATCH(B572,Vöruskrá!B:B,0))*C572/100000,""))</f>
        <v>0.14959</v>
      </c>
      <c r="L572" s="169">
        <f>IF(OR(B572="",C572=""),"",IFERROR(INDEX(Vöruskrá!O:O,MATCH(B572,Vöruskrá!B:B,0))*C572/100000,""))</f>
        <v>0.162412</v>
      </c>
      <c r="M572" s="169">
        <f>IF(OR(B572="",C572=""),"",IFERROR(INDEX(Vöruskrá!P:P,MATCH(B572,Vöruskrá!B:B,0))*C572/100000,""))</f>
        <v>4.274E-3</v>
      </c>
      <c r="N572" s="169">
        <f>IF(OR(B572="",C572=""),"",IFERROR(INDEX(Vöruskrá!Q:Q,MATCH(B572,Vöruskrá!B:B,0))*C572/100000,""))</f>
        <v>0</v>
      </c>
      <c r="O572" s="170">
        <f>IF(OR(B572="",C572=""),"",IFERROR(C572/1000*INDEX(Vöruskrá!R:R,MATCH(B572,Vöruskrá!B:B,0))/1000,""))</f>
        <v>0</v>
      </c>
      <c r="P572" s="171"/>
      <c r="Q572" s="157"/>
      <c r="R572" s="27"/>
    </row>
    <row r="573" spans="1:18" ht="15">
      <c r="A573" s="180"/>
      <c r="B573" s="180" t="s">
        <v>500</v>
      </c>
      <c r="C573" s="181">
        <v>4274</v>
      </c>
      <c r="D573" s="177" t="s">
        <v>1129</v>
      </c>
      <c r="E573" s="177" t="s">
        <v>1099</v>
      </c>
      <c r="F573" s="177"/>
      <c r="G573" s="178">
        <f>IF(OR(B573="",C573=""),"",IFERROR(INDEX(Vöruskrá!J:J,MATCH(B573,Vöruskrá!B:B,0))*C573/100000,""))</f>
        <v>0.76932</v>
      </c>
      <c r="H573" s="178">
        <f>IF(OR(B573="",C573=""),"",IFERROR(INDEX(Vöruskrá!K:K,MATCH(B573,Vöruskrá!B:B,0))*C573/100000,""))</f>
        <v>8.548E-3</v>
      </c>
      <c r="I573" s="178">
        <f>IF(OR(B573="",C573=""),"",IFERROR(INDEX(Vöruskrá!L:L,MATCH(B573,Vöruskrá!B:B,0))*C573/100000,""))</f>
        <v>0</v>
      </c>
      <c r="J573" s="178">
        <f>IF(OR(B573="",C573=""),"",IFERROR(INDEX(Vöruskrá!M:M,MATCH(B573,Vöruskrá!B:B,0))*C573/100000,""))</f>
        <v>0.16668599999999997</v>
      </c>
      <c r="K573" s="178">
        <f>IF(OR(B573="",C573=""),"",IFERROR(INDEX(Vöruskrá!N:N,MATCH(B573,Vöruskrá!B:B,0))*C573/100000,""))</f>
        <v>0.111124</v>
      </c>
      <c r="L573" s="178">
        <f>IF(OR(B573="",C573=""),"",IFERROR(INDEX(Vöruskrá!O:O,MATCH(B573,Vöruskrá!B:B,0))*C573/100000,""))</f>
        <v>3.8466E-2</v>
      </c>
      <c r="M573" s="178">
        <f>IF(OR(B573="",C573=""),"",IFERROR(INDEX(Vöruskrá!P:P,MATCH(B573,Vöruskrá!B:B,0))*C573/100000,""))</f>
        <v>0</v>
      </c>
      <c r="N573" s="178">
        <f>IF(OR(B573="",C573=""),"",IFERROR(INDEX(Vöruskrá!Q:Q,MATCH(B573,Vöruskrá!B:B,0))*C573/100000,""))</f>
        <v>5.1288E-2</v>
      </c>
      <c r="O573" s="179">
        <f>IF(OR(B573="",C573=""),"",IFERROR(C573/1000*INDEX(Vöruskrá!R:R,MATCH(B573,Vöruskrá!B:B,0))/1000,""))</f>
        <v>0</v>
      </c>
      <c r="P573" s="180"/>
      <c r="Q573" s="200"/>
      <c r="R573" s="159"/>
    </row>
    <row r="574" spans="1:18" ht="48">
      <c r="A574" s="147" t="s">
        <v>1839</v>
      </c>
      <c r="B574" s="147"/>
      <c r="C574" s="148"/>
      <c r="D574" s="165" t="s">
        <v>1840</v>
      </c>
      <c r="E574" s="165" t="s">
        <v>134</v>
      </c>
      <c r="F574" s="165"/>
      <c r="G574" s="166">
        <v>3.17</v>
      </c>
      <c r="H574" s="166">
        <v>0.02</v>
      </c>
      <c r="I574" s="166">
        <v>0</v>
      </c>
      <c r="J574" s="166">
        <v>0.65</v>
      </c>
      <c r="K574" s="166"/>
      <c r="L574" s="166">
        <v>0.08</v>
      </c>
      <c r="M574" s="166">
        <v>0.59</v>
      </c>
      <c r="N574" s="166">
        <f>IFERROR(SUM(N575:N582)/(SUM($C$575:$C$582)/100000),"")</f>
        <v>6.4708705825883492E-2</v>
      </c>
      <c r="O574" s="167" t="str">
        <f>IF(OR(B574="",C574=""),"",IFERROR(C574/1000*INDEX(Vöruskrá!R:R,MATCH(B574,Vöruskrá!B:B,0))/1000,""))</f>
        <v/>
      </c>
      <c r="P574" s="196" t="s">
        <v>1776</v>
      </c>
      <c r="Q574" s="195" t="s">
        <v>1841</v>
      </c>
      <c r="R574" s="194" t="s">
        <v>1842</v>
      </c>
    </row>
    <row r="575" spans="1:18" ht="15">
      <c r="A575" s="171"/>
      <c r="B575" s="171" t="s">
        <v>1484</v>
      </c>
      <c r="C575" s="172">
        <v>57513</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97"/>
      <c r="R575" s="164"/>
    </row>
    <row r="576" spans="1:18" ht="15">
      <c r="A576" s="173"/>
      <c r="B576" s="173" t="s">
        <v>1010</v>
      </c>
      <c r="C576" s="174">
        <v>3595</v>
      </c>
      <c r="D576" s="168" t="s">
        <v>1010</v>
      </c>
      <c r="E576" s="168" t="s">
        <v>134</v>
      </c>
      <c r="F576" s="168"/>
      <c r="G576" s="169">
        <f>IF(OR(B576="",C576=""),"",IFERROR(INDEX(Vöruskrá!J:J,MATCH(B576,Vöruskrá!B:B,0))*C576/100000,""))</f>
        <v>1.4379999999999999</v>
      </c>
      <c r="H576" s="169">
        <f>IF(OR(B576="",C576=""),"",IFERROR(INDEX(Vöruskrá!K:K,MATCH(B576,Vöruskrá!B:B,0))*C576/100000,""))</f>
        <v>3.5950000000000001E-3</v>
      </c>
      <c r="I576" s="169">
        <f>IF(OR(B576="",C576=""),"",IFERROR(INDEX(Vöruskrá!L:L,MATCH(B576,Vöruskrá!B:B,0))*C576/100000,""))</f>
        <v>0</v>
      </c>
      <c r="J576" s="169">
        <f>IF(OR(B576="",C576=""),"",IFERROR(INDEX(Vöruskrá!M:M,MATCH(B576,Vöruskrá!B:B,0))*C576/100000,""))</f>
        <v>0.33433499999999999</v>
      </c>
      <c r="K576" s="169">
        <f>IF(OR(B576="",C576=""),"",IFERROR(INDEX(Vöruskrá!N:N,MATCH(B576,Vöruskrá!B:B,0))*C576/100000,""))</f>
        <v>0.15099000000000001</v>
      </c>
      <c r="L576" s="169">
        <f>IF(OR(B576="",C576=""),"",IFERROR(INDEX(Vöruskrá!O:O,MATCH(B576,Vöruskrá!B:B,0))*C576/100000,""))</f>
        <v>3.9545000000000004E-2</v>
      </c>
      <c r="M576" s="169">
        <f>IF(OR(B576="",C576=""),"",IFERROR(INDEX(Vöruskrá!P:P,MATCH(B576,Vöruskrá!B:B,0))*C576/100000,""))</f>
        <v>0</v>
      </c>
      <c r="N576" s="169">
        <f>IF(OR(B576="",C576=""),"",IFERROR(INDEX(Vöruskrá!Q:Q,MATCH(B576,Vöruskrá!B:B,0))*C576/100000,""))</f>
        <v>6.1115000000000003E-2</v>
      </c>
      <c r="O576" s="170">
        <f>IF(OR(B576="",C576=""),"",IFERROR(C576/1000*INDEX(Vöruskrá!R:R,MATCH(B576,Vöruskrá!B:B,0))/1000,""))</f>
        <v>0</v>
      </c>
      <c r="P576" s="173"/>
      <c r="Q576" s="157"/>
      <c r="R576" s="27"/>
    </row>
    <row r="577" spans="1:18" ht="15">
      <c r="A577" s="171"/>
      <c r="B577" s="171" t="s">
        <v>1463</v>
      </c>
      <c r="C577" s="172">
        <v>2876</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1"/>
      <c r="Q577" s="158"/>
      <c r="R577" s="6"/>
    </row>
    <row r="578" spans="1:18" ht="15">
      <c r="A578" s="173"/>
      <c r="B578" s="173" t="s">
        <v>1466</v>
      </c>
      <c r="C578" s="174">
        <v>2876</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293</v>
      </c>
      <c r="C579" s="172">
        <v>3595</v>
      </c>
      <c r="D579" s="168" t="s">
        <v>295</v>
      </c>
      <c r="E579" s="168" t="s">
        <v>134</v>
      </c>
      <c r="F579" s="168"/>
      <c r="G579" s="169">
        <f>IF(OR(B579="",C579=""),"",IFERROR(INDEX(Vöruskrá!J:J,MATCH(B579,Vöruskrá!B:B,0))*C579/100000,""))</f>
        <v>0.89875000000000005</v>
      </c>
      <c r="H579" s="169">
        <f>IF(OR(B579="",C579=""),"",IFERROR(INDEX(Vöruskrá!K:K,MATCH(B579,Vöruskrá!B:B,0))*C579/100000,""))</f>
        <v>1.0784999999999999E-2</v>
      </c>
      <c r="I579" s="169">
        <f>IF(OR(B579="",C579=""),"",IFERROR(INDEX(Vöruskrá!L:L,MATCH(B579,Vöruskrá!B:B,0))*C579/100000,""))</f>
        <v>0</v>
      </c>
      <c r="J579" s="169">
        <f>IF(OR(B579="",C579=""),"",IFERROR(INDEX(Vöruskrá!M:M,MATCH(B579,Vöruskrá!B:B,0))*C579/100000,""))</f>
        <v>0.17974999999999999</v>
      </c>
      <c r="K579" s="169">
        <f>IF(OR(B579="",C579=""),"",IFERROR(INDEX(Vöruskrá!N:N,MATCH(B579,Vöruskrá!B:B,0))*C579/100000,""))</f>
        <v>2.5165E-2</v>
      </c>
      <c r="L579" s="169">
        <f>IF(OR(B579="",C579=""),"",IFERROR(INDEX(Vöruskrá!O:O,MATCH(B579,Vöruskrá!B:B,0))*C579/100000,""))</f>
        <v>1.7975000000000001E-2</v>
      </c>
      <c r="M579" s="169">
        <f>IF(OR(B579="",C579=""),"",IFERROR(INDEX(Vöruskrá!P:P,MATCH(B579,Vöruskrá!B:B,0))*C579/100000,""))</f>
        <v>1.7975000000000001E-2</v>
      </c>
      <c r="N579" s="169">
        <f>IF(OR(B579="",C579=""),"",IFERROR(INDEX(Vöruskrá!Q:Q,MATCH(B579,Vöruskrá!B:B,0))*C579/100000,""))</f>
        <v>3.5950000000000001E-3</v>
      </c>
      <c r="O579" s="170">
        <f>IF(OR(B579="",C579=""),"",IFERROR(C579/1000*INDEX(Vöruskrá!R:R,MATCH(B579,Vöruskrá!B:B,0))/1000,""))</f>
        <v>0</v>
      </c>
      <c r="P579" s="171"/>
      <c r="Q579" s="158"/>
      <c r="R579" s="6"/>
    </row>
    <row r="580" spans="1:18" ht="15">
      <c r="A580" s="173"/>
      <c r="B580" s="173" t="s">
        <v>1020</v>
      </c>
      <c r="C580" s="174">
        <v>28756</v>
      </c>
      <c r="D580" s="168" t="s">
        <v>1020</v>
      </c>
      <c r="E580" s="168" t="s">
        <v>134</v>
      </c>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7"/>
      <c r="R580" s="27"/>
    </row>
    <row r="581" spans="1:18" ht="15">
      <c r="A581" s="171"/>
      <c r="B581" s="171" t="s">
        <v>299</v>
      </c>
      <c r="C581" s="172">
        <v>575</v>
      </c>
      <c r="D581" s="168" t="s">
        <v>302</v>
      </c>
      <c r="E581" s="168" t="s">
        <v>134</v>
      </c>
      <c r="F581" s="168" t="s">
        <v>303</v>
      </c>
      <c r="G581" s="169">
        <f>IF(OR(B581="",C581=""),"",IFERROR(INDEX(Vöruskrá!J:J,MATCH(B581,Vöruskrá!B:B,0))*C581/100000,""))</f>
        <v>0</v>
      </c>
      <c r="H581" s="169">
        <f>IF(OR(B581="",C581=""),"",IFERROR(INDEX(Vöruskrá!K:K,MATCH(B581,Vöruskrá!B:B,0))*C581/100000,""))</f>
        <v>0</v>
      </c>
      <c r="I581" s="169">
        <f>IF(OR(B581="",C581=""),"",IFERROR(INDEX(Vöruskrá!L:L,MATCH(B581,Vöruskrá!B:B,0))*C581/100000,""))</f>
        <v>0</v>
      </c>
      <c r="J581" s="169">
        <f>IF(OR(B581="",C581=""),"",IFERROR(INDEX(Vöruskrá!M:M,MATCH(B581,Vöruskrá!B:B,0))*C581/100000,""))</f>
        <v>0</v>
      </c>
      <c r="K581" s="169">
        <f>IF(OR(B581="",C581=""),"",IFERROR(INDEX(Vöruskrá!N:N,MATCH(B581,Vöruskrá!B:B,0))*C581/100000,""))</f>
        <v>0</v>
      </c>
      <c r="L581" s="169">
        <f>IF(OR(B581="",C581=""),"",IFERROR(INDEX(Vöruskrá!O:O,MATCH(B581,Vöruskrá!B:B,0))*C581/100000,""))</f>
        <v>0</v>
      </c>
      <c r="M581" s="169">
        <f>IF(OR(B581="",C581=""),"",IFERROR(INDEX(Vöruskrá!P:P,MATCH(B581,Vöruskrá!B:B,0))*C581/100000,""))</f>
        <v>0.57499999999999996</v>
      </c>
      <c r="N581" s="169">
        <f>IF(OR(B581="",C581=""),"",IFERROR(INDEX(Vöruskrá!Q:Q,MATCH(B581,Vöruskrá!B:B,0))*C581/100000,""))</f>
        <v>0</v>
      </c>
      <c r="O581" s="170">
        <f>IF(OR(B581="",C581=""),"",IFERROR(C581/1000*INDEX(Vöruskrá!R:R,MATCH(B581,Vöruskrá!B:B,0))/1000,""))</f>
        <v>0</v>
      </c>
      <c r="P581" s="171"/>
      <c r="Q581" s="158"/>
      <c r="R581" s="6"/>
    </row>
    <row r="582" spans="1:18" ht="15">
      <c r="A582" s="173"/>
      <c r="B582" s="173" t="s">
        <v>819</v>
      </c>
      <c r="C582" s="174">
        <v>216</v>
      </c>
      <c r="D582" s="168" t="s">
        <v>820</v>
      </c>
      <c r="E582" s="168"/>
      <c r="F582" s="168" t="s">
        <v>311</v>
      </c>
      <c r="G582" s="169">
        <f>IF(OR(B582="",C582=""),"",IFERROR(INDEX(Vöruskrá!J:J,MATCH(B582,Vöruskrá!B:B,0))*C582/100000,""))</f>
        <v>0.83375999999999995</v>
      </c>
      <c r="H582" s="169">
        <f>IF(OR(B582="",C582=""),"",IFERROR(INDEX(Vöruskrá!K:K,MATCH(B582,Vöruskrá!B:B,0))*C582/100000,""))</f>
        <v>7.1279999999999998E-3</v>
      </c>
      <c r="I582" s="169">
        <f>IF(OR(B582="",C582=""),"",IFERROR(INDEX(Vöruskrá!L:L,MATCH(B582,Vöruskrá!B:B,0))*C582/100000,""))</f>
        <v>2.16E-3</v>
      </c>
      <c r="J582" s="169">
        <f>IF(OR(B582="",C582=""),"",IFERROR(INDEX(Vöruskrá!M:M,MATCH(B582,Vöruskrá!B:B,0))*C582/100000,""))</f>
        <v>0.1404</v>
      </c>
      <c r="K582" s="169">
        <f>IF(OR(B582="",C582=""),"",IFERROR(INDEX(Vöruskrá!N:N,MATCH(B582,Vöruskrá!B:B,0))*C582/100000,""))</f>
        <v>1.2959999999999998E-3</v>
      </c>
      <c r="L582" s="169">
        <f>IF(OR(B582="",C582=""),"",IFERROR(INDEX(Vöruskrá!O:O,MATCH(B582,Vöruskrá!B:B,0))*C582/100000,""))</f>
        <v>2.376E-2</v>
      </c>
      <c r="M582" s="169">
        <f>IF(OR(B582="",C582=""),"",IFERROR(INDEX(Vöruskrá!P:P,MATCH(B582,Vöruskrá!B:B,0))*C582/100000,""))</f>
        <v>2.1600000000000002E-4</v>
      </c>
      <c r="N582" s="169">
        <f>IF(OR(B582="",C582=""),"",IFERROR(INDEX(Vöruskrá!Q:Q,MATCH(B582,Vöruskrá!B:B,0))*C582/100000,""))</f>
        <v>0</v>
      </c>
      <c r="O582" s="170">
        <f>IF(OR(B582="",C582=""),"",IFERROR(C582/1000*INDEX(Vöruskrá!R:R,MATCH(B582,Vöruskrá!B:B,0))/1000,""))</f>
        <v>0</v>
      </c>
      <c r="P582" s="173"/>
      <c r="Q582" s="201"/>
      <c r="R582" s="202"/>
    </row>
    <row r="583" spans="1:18" ht="60">
      <c r="A583" s="147" t="s">
        <v>1843</v>
      </c>
      <c r="B583" s="147"/>
      <c r="C583" s="148"/>
      <c r="D583" s="165" t="s">
        <v>1844</v>
      </c>
      <c r="E583" s="165" t="s">
        <v>1093</v>
      </c>
      <c r="F583" s="165"/>
      <c r="G583" s="166">
        <v>84.86</v>
      </c>
      <c r="H583" s="166">
        <v>7.86</v>
      </c>
      <c r="I583" s="166">
        <v>4.92</v>
      </c>
      <c r="J583" s="166">
        <v>0.92</v>
      </c>
      <c r="K583" s="166"/>
      <c r="L583" s="166">
        <v>2.4500000000000002</v>
      </c>
      <c r="M583" s="166">
        <v>1.03</v>
      </c>
      <c r="N583" s="166">
        <f>IFERROR(SUM(N584:N590)/(SUM($C$584:$C$590)/100000),"")</f>
        <v>2.4616966580976868E-2</v>
      </c>
      <c r="O583" s="167" t="str">
        <f>IF(OR(B583="",C583=""),"",IFERROR(C583/1000*INDEX(Vöruskrá!R:R,MATCH(B583,Vöruskrá!B:B,0))/1000,""))</f>
        <v/>
      </c>
      <c r="P583" s="196" t="s">
        <v>1845</v>
      </c>
      <c r="Q583" s="199" t="s">
        <v>1846</v>
      </c>
      <c r="R583" s="198" t="s">
        <v>1847</v>
      </c>
    </row>
    <row r="584" spans="1:18" ht="15">
      <c r="A584" s="171"/>
      <c r="B584" s="171" t="s">
        <v>1485</v>
      </c>
      <c r="C584" s="172">
        <v>47885</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203"/>
      <c r="R584" s="204"/>
    </row>
    <row r="585" spans="1:18" ht="15">
      <c r="A585" s="173"/>
      <c r="B585" s="173" t="s">
        <v>1058</v>
      </c>
      <c r="C585" s="174">
        <v>11971</v>
      </c>
      <c r="D585" s="168" t="s">
        <v>1059</v>
      </c>
      <c r="E585" s="168" t="s">
        <v>120</v>
      </c>
      <c r="F585" s="168"/>
      <c r="G585" s="169">
        <f>IF(OR(B585="",C585=""),"",IFERROR(INDEX(Vöruskrá!J:J,MATCH(B585,Vöruskrá!B:B,0))*C585/100000,""))</f>
        <v>40.7014</v>
      </c>
      <c r="H585" s="169">
        <f>IF(OR(B585="",C585=""),"",IFERROR(INDEX(Vöruskrá!K:K,MATCH(B585,Vöruskrá!B:B,0))*C585/100000,""))</f>
        <v>4.1898499999999999</v>
      </c>
      <c r="I585" s="169">
        <f>IF(OR(B585="",C585=""),"",IFERROR(INDEX(Vöruskrá!L:L,MATCH(B585,Vöruskrá!B:B,0))*C585/100000,""))</f>
        <v>2.6336200000000001</v>
      </c>
      <c r="J585" s="169">
        <f>IF(OR(B585="",C585=""),"",IFERROR(INDEX(Vöruskrá!M:M,MATCH(B585,Vöruskrá!B:B,0))*C585/100000,""))</f>
        <v>0.35913</v>
      </c>
      <c r="K585" s="169">
        <f>IF(OR(B585="",C585=""),"",IFERROR(INDEX(Vöruskrá!N:N,MATCH(B585,Vöruskrá!B:B,0))*C585/100000,""))</f>
        <v>0.35913</v>
      </c>
      <c r="L585" s="169">
        <f>IF(OR(B585="",C585=""),"",IFERROR(INDEX(Vöruskrá!O:O,MATCH(B585,Vöruskrá!B:B,0))*C585/100000,""))</f>
        <v>0.29927500000000001</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1487</v>
      </c>
      <c r="C586" s="172">
        <v>2394</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1"/>
      <c r="Q586" s="157"/>
      <c r="R586" s="27"/>
    </row>
    <row r="587" spans="1:18" ht="15">
      <c r="A587" s="173"/>
      <c r="B587" s="173" t="s">
        <v>1090</v>
      </c>
      <c r="C587" s="174">
        <v>3990</v>
      </c>
      <c r="D587" s="168" t="s">
        <v>1092</v>
      </c>
      <c r="E587" s="168" t="s">
        <v>1093</v>
      </c>
      <c r="F587" s="168" t="s">
        <v>1094</v>
      </c>
      <c r="G587" s="169">
        <f>IF(OR(B587="",C587=""),"",IFERROR(INDEX(Vöruskrá!J:J,MATCH(B587,Vöruskrá!B:B,0))*C587/100000,""))</f>
        <v>15.8802</v>
      </c>
      <c r="H587" s="169">
        <f>IF(OR(B587="",C587=""),"",IFERROR(INDEX(Vöruskrá!K:K,MATCH(B587,Vöruskrá!B:B,0))*C587/100000,""))</f>
        <v>1.1571</v>
      </c>
      <c r="I587" s="169">
        <f>IF(OR(B587="",C587=""),"",IFERROR(INDEX(Vöruskrá!L:L,MATCH(B587,Vöruskrá!B:B,0))*C587/100000,""))</f>
        <v>0.71819999999999995</v>
      </c>
      <c r="J587" s="169">
        <f>IF(OR(B587="",C587=""),"",IFERROR(INDEX(Vöruskrá!M:M,MATCH(B587,Vöruskrá!B:B,0))*C587/100000,""))</f>
        <v>0</v>
      </c>
      <c r="K587" s="169">
        <f>IF(OR(B587="",C587=""),"",IFERROR(INDEX(Vöruskrá!N:N,MATCH(B587,Vöruskrá!B:B,0))*C587/100000,""))</f>
        <v>0</v>
      </c>
      <c r="L587" s="169">
        <f>IF(OR(B587="",C587=""),"",IFERROR(INDEX(Vöruskrá!O:O,MATCH(B587,Vöruskrá!B:B,0))*C587/100000,""))</f>
        <v>1.3167</v>
      </c>
      <c r="M587" s="169">
        <f>IF(OR(B587="",C587=""),"",IFERROR(INDEX(Vöruskrá!P:P,MATCH(B587,Vöruskrá!B:B,0))*C587/100000,""))</f>
        <v>5.985E-2</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1017</v>
      </c>
      <c r="C588" s="172">
        <v>798</v>
      </c>
      <c r="D588" s="168" t="s">
        <v>1017</v>
      </c>
      <c r="E588" s="168" t="s">
        <v>134</v>
      </c>
      <c r="F588" s="168"/>
      <c r="G588" s="169">
        <f>IF(OR(B588="",C588=""),"",IFERROR(INDEX(Vöruskrá!J:J,MATCH(B588,Vöruskrá!B:B,0))*C588/100000,""))</f>
        <v>1.18902</v>
      </c>
      <c r="H588" s="169">
        <f>IF(OR(B588="",C588=""),"",IFERROR(INDEX(Vöruskrá!K:K,MATCH(B588,Vöruskrá!B:B,0))*C588/100000,""))</f>
        <v>3.9899999999999996E-3</v>
      </c>
      <c r="I588" s="169">
        <f>IF(OR(B588="",C588=""),"",IFERROR(INDEX(Vöruskrá!L:L,MATCH(B588,Vöruskrá!B:B,0))*C588/100000,""))</f>
        <v>7.980000000000001E-4</v>
      </c>
      <c r="J588" s="169">
        <f>IF(OR(B588="",C588=""),"",IFERROR(INDEX(Vöruskrá!M:M,MATCH(B588,Vöruskrá!B:B,0))*C588/100000,""))</f>
        <v>0.26413800000000004</v>
      </c>
      <c r="K588" s="169">
        <f>IF(OR(B588="",C588=""),"",IFERROR(INDEX(Vöruskrá!N:N,MATCH(B588,Vöruskrá!B:B,0))*C588/100000,""))</f>
        <v>7.9799999999999992E-3</v>
      </c>
      <c r="L588" s="169">
        <f>IF(OR(B588="",C588=""),"",IFERROR(INDEX(Vöruskrá!O:O,MATCH(B588,Vöruskrá!B:B,0))*C588/100000,""))</f>
        <v>5.1072000000000006E-2</v>
      </c>
      <c r="M588" s="169">
        <f>IF(OR(B588="",C588=""),"",IFERROR(INDEX(Vöruskrá!P:P,MATCH(B588,Vöruskrá!B:B,0))*C588/100000,""))</f>
        <v>0</v>
      </c>
      <c r="N588" s="169">
        <f>IF(OR(B588="",C588=""),"",IFERROR(INDEX(Vöruskrá!Q:Q,MATCH(B588,Vöruskrá!B:B,0))*C588/100000,""))</f>
        <v>1.6758000000000002E-2</v>
      </c>
      <c r="O588" s="170">
        <f>IF(OR(B588="",C588=""),"",IFERROR(C588/1000*INDEX(Vöruskrá!R:R,MATCH(B588,Vöruskrá!B:B,0))/1000,""))</f>
        <v>0</v>
      </c>
      <c r="P588" s="171"/>
      <c r="Q588" s="157"/>
      <c r="R588" s="27"/>
    </row>
    <row r="589" spans="1:18" ht="15">
      <c r="A589" s="173"/>
      <c r="B589" s="173" t="s">
        <v>1336</v>
      </c>
      <c r="C589" s="174">
        <v>399</v>
      </c>
      <c r="D589" s="168" t="s">
        <v>1337</v>
      </c>
      <c r="E589" s="168" t="s">
        <v>134</v>
      </c>
      <c r="F589" s="168" t="s">
        <v>311</v>
      </c>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299</v>
      </c>
      <c r="C590" s="172">
        <v>638</v>
      </c>
      <c r="D590" s="168" t="s">
        <v>302</v>
      </c>
      <c r="E590" s="168" t="s">
        <v>134</v>
      </c>
      <c r="F590" s="168" t="s">
        <v>303</v>
      </c>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0.63800000000000001</v>
      </c>
      <c r="N590" s="169">
        <f>IF(OR(B590="",C590=""),"",IFERROR(INDEX(Vöruskrá!Q:Q,MATCH(B590,Vöruskrá!B:B,0))*C590/100000,""))</f>
        <v>0</v>
      </c>
      <c r="O590" s="170">
        <f>IF(OR(B590="",C590=""),"",IFERROR(C590/1000*INDEX(Vöruskrá!R:R,MATCH(B590,Vöruskrá!B:B,0))/1000,""))</f>
        <v>0</v>
      </c>
      <c r="P590" s="171"/>
      <c r="Q590" s="201"/>
      <c r="R590" s="202"/>
    </row>
    <row r="591" spans="1:18" ht="60">
      <c r="A591" s="147" t="s">
        <v>1848</v>
      </c>
      <c r="B591" s="147"/>
      <c r="C591" s="148"/>
      <c r="D591" s="165" t="s">
        <v>1849</v>
      </c>
      <c r="E591" s="165" t="s">
        <v>1850</v>
      </c>
      <c r="F591" s="165"/>
      <c r="G591" s="166">
        <v>23.14</v>
      </c>
      <c r="H591" s="166">
        <v>0.15</v>
      </c>
      <c r="I591" s="166">
        <v>0.03</v>
      </c>
      <c r="J591" s="166">
        <v>5.28</v>
      </c>
      <c r="K591" s="166"/>
      <c r="L591" s="166">
        <v>0.32</v>
      </c>
      <c r="M591" s="166">
        <v>1.18</v>
      </c>
      <c r="N591" s="166">
        <f>IFERROR(SUM(N592:N598)/(SUM($C$592:$C$598)/100000),"")</f>
        <v>0.39436905630943686</v>
      </c>
      <c r="O591" s="167" t="str">
        <f>IF(OR(B591="",C591=""),"",IFERROR(C591/1000*INDEX(Vöruskrá!R:R,MATCH(B591,Vöruskrá!B:B,0))/1000,""))</f>
        <v/>
      </c>
      <c r="P591" s="196" t="s">
        <v>1851</v>
      </c>
      <c r="Q591" s="195" t="s">
        <v>1852</v>
      </c>
      <c r="R591" s="194" t="s">
        <v>1853</v>
      </c>
    </row>
    <row r="592" spans="1:18" ht="15">
      <c r="A592" s="171"/>
      <c r="B592" s="171" t="s">
        <v>1485</v>
      </c>
      <c r="C592" s="172">
        <v>85016</v>
      </c>
      <c r="D592" s="168"/>
      <c r="E592" s="168"/>
      <c r="F592" s="168"/>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203"/>
      <c r="R592" s="204"/>
    </row>
    <row r="593" spans="1:18" ht="15">
      <c r="A593" s="173"/>
      <c r="B593" s="173" t="s">
        <v>1001</v>
      </c>
      <c r="C593" s="174">
        <v>10627</v>
      </c>
      <c r="D593" s="168" t="s">
        <v>1003</v>
      </c>
      <c r="E593" s="168" t="s">
        <v>252</v>
      </c>
      <c r="F593" s="168"/>
      <c r="G593" s="169">
        <f>IF(OR(B593="",C593=""),"",IFERROR(INDEX(Vöruskrá!J:J,MATCH(B593,Vöruskrá!B:B,0))*C593/100000,""))</f>
        <v>13.071210000000001</v>
      </c>
      <c r="H593" s="169">
        <f>IF(OR(B593="",C593=""),"",IFERROR(INDEX(Vöruskrá!K:K,MATCH(B593,Vöruskrá!B:B,0))*C593/100000,""))</f>
        <v>0</v>
      </c>
      <c r="I593" s="169">
        <f>IF(OR(B593="",C593=""),"",IFERROR(INDEX(Vöruskrá!L:L,MATCH(B593,Vöruskrá!B:B,0))*C593/100000,""))</f>
        <v>0</v>
      </c>
      <c r="J593" s="169">
        <f>IF(OR(B593="",C593=""),"",IFERROR(INDEX(Vöruskrá!M:M,MATCH(B593,Vöruskrá!B:B,0))*C593/100000,""))</f>
        <v>3.0818300000000001</v>
      </c>
      <c r="K593" s="169">
        <f>IF(OR(B593="",C593=""),"",IFERROR(INDEX(Vöruskrá!N:N,MATCH(B593,Vöruskrá!B:B,0))*C593/100000,""))</f>
        <v>2.6567500000000002</v>
      </c>
      <c r="L593" s="169">
        <f>IF(OR(B593="",C593=""),"",IFERROR(INDEX(Vöruskrá!O:O,MATCH(B593,Vöruskrá!B:B,0))*C593/100000,""))</f>
        <v>6.3761999999999999E-2</v>
      </c>
      <c r="M593" s="169">
        <f>IF(OR(B593="",C593=""),"",IFERROR(INDEX(Vöruskrá!P:P,MATCH(B593,Vöruskrá!B:B,0))*C593/100000,""))</f>
        <v>0.32943700000000004</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1017</v>
      </c>
      <c r="C594" s="172">
        <v>1063</v>
      </c>
      <c r="D594" s="168" t="s">
        <v>1017</v>
      </c>
      <c r="E594" s="168" t="s">
        <v>134</v>
      </c>
      <c r="F594" s="168"/>
      <c r="G594" s="169">
        <f>IF(OR(B594="",C594=""),"",IFERROR(INDEX(Vöruskrá!J:J,MATCH(B594,Vöruskrá!B:B,0))*C594/100000,""))</f>
        <v>1.5838699999999999</v>
      </c>
      <c r="H594" s="169">
        <f>IF(OR(B594="",C594=""),"",IFERROR(INDEX(Vöruskrá!K:K,MATCH(B594,Vöruskrá!B:B,0))*C594/100000,""))</f>
        <v>5.3150000000000003E-3</v>
      </c>
      <c r="I594" s="169">
        <f>IF(OR(B594="",C594=""),"",IFERROR(INDEX(Vöruskrá!L:L,MATCH(B594,Vöruskrá!B:B,0))*C594/100000,""))</f>
        <v>1.0630000000000001E-3</v>
      </c>
      <c r="J594" s="169">
        <f>IF(OR(B594="",C594=""),"",IFERROR(INDEX(Vöruskrá!M:M,MATCH(B594,Vöruskrá!B:B,0))*C594/100000,""))</f>
        <v>0.35185300000000003</v>
      </c>
      <c r="K594" s="169">
        <f>IF(OR(B594="",C594=""),"",IFERROR(INDEX(Vöruskrá!N:N,MATCH(B594,Vöruskrá!B:B,0))*C594/100000,""))</f>
        <v>1.0630000000000001E-2</v>
      </c>
      <c r="L594" s="169">
        <f>IF(OR(B594="",C594=""),"",IFERROR(INDEX(Vöruskrá!O:O,MATCH(B594,Vöruskrá!B:B,0))*C594/100000,""))</f>
        <v>6.8032000000000009E-2</v>
      </c>
      <c r="M594" s="169">
        <f>IF(OR(B594="",C594=""),"",IFERROR(INDEX(Vöruskrá!P:P,MATCH(B594,Vöruskrá!B:B,0))*C594/100000,""))</f>
        <v>0</v>
      </c>
      <c r="N594" s="169">
        <f>IF(OR(B594="",C594=""),"",IFERROR(INDEX(Vöruskrá!Q:Q,MATCH(B594,Vöruskrá!B:B,0))*C594/100000,""))</f>
        <v>2.2323000000000003E-2</v>
      </c>
      <c r="O594" s="170">
        <f>IF(OR(B594="",C594=""),"",IFERROR(C594/1000*INDEX(Vöruskrá!R:R,MATCH(B594,Vöruskrá!B:B,0))/1000,""))</f>
        <v>0</v>
      </c>
      <c r="P594" s="171"/>
      <c r="Q594" s="157"/>
      <c r="R594" s="27"/>
    </row>
    <row r="595" spans="1:18" ht="15">
      <c r="A595" s="173"/>
      <c r="B595" s="173" t="s">
        <v>1026</v>
      </c>
      <c r="C595" s="174">
        <v>1063</v>
      </c>
      <c r="D595" s="168" t="s">
        <v>1027</v>
      </c>
      <c r="E595" s="168" t="s">
        <v>134</v>
      </c>
      <c r="F595" s="168" t="s">
        <v>1024</v>
      </c>
      <c r="G595" s="169">
        <f>IF(OR(B595="",C595=""),"",IFERROR(INDEX(Vöruskrá!J:J,MATCH(B595,Vöruskrá!B:B,0))*C595/100000,""))</f>
        <v>2.9976600000000002</v>
      </c>
      <c r="H595" s="169">
        <f>IF(OR(B595="",C595=""),"",IFERROR(INDEX(Vöruskrá!K:K,MATCH(B595,Vöruskrá!B:B,0))*C595/100000,""))</f>
        <v>0.13819000000000001</v>
      </c>
      <c r="I595" s="169">
        <f>IF(OR(B595="",C595=""),"",IFERROR(INDEX(Vöruskrá!L:L,MATCH(B595,Vöruskrá!B:B,0))*C595/100000,""))</f>
        <v>2.1260000000000001E-2</v>
      </c>
      <c r="J595" s="169">
        <f>IF(OR(B595="",C595=""),"",IFERROR(INDEX(Vöruskrá!M:M,MATCH(B595,Vöruskrá!B:B,0))*C595/100000,""))</f>
        <v>0.57401999999999997</v>
      </c>
      <c r="K595" s="169">
        <f>IF(OR(B595="",C595=""),"",IFERROR(INDEX(Vöruskrá!N:N,MATCH(B595,Vöruskrá!B:B,0))*C595/100000,""))</f>
        <v>0.10630000000000001</v>
      </c>
      <c r="L595" s="169">
        <f>IF(OR(B595="",C595=""),"",IFERROR(INDEX(Vöruskrá!O:O,MATCH(B595,Vöruskrá!B:B,0))*C595/100000,""))</f>
        <v>0.14882000000000001</v>
      </c>
      <c r="M595" s="169">
        <f>IF(OR(B595="",C595=""),"",IFERROR(INDEX(Vöruskrá!P:P,MATCH(B595,Vöruskrá!B:B,0))*C595/100000,""))</f>
        <v>1.0630000000000001E-3</v>
      </c>
      <c r="N595" s="169">
        <f>IF(OR(B595="",C595=""),"",IFERROR(INDEX(Vöruskrá!Q:Q,MATCH(B595,Vöruskrá!B:B,0))*C595/100000,""))</f>
        <v>0.37204999999999999</v>
      </c>
      <c r="O595" s="170">
        <f>IF(OR(B595="",C595=""),"",IFERROR(C595/1000*INDEX(Vöruskrá!R:R,MATCH(B595,Vöruskrá!B:B,0))/1000,""))</f>
        <v>0</v>
      </c>
      <c r="P595" s="173"/>
      <c r="Q595" s="158"/>
      <c r="R595" s="6"/>
    </row>
    <row r="596" spans="1:18" ht="15">
      <c r="A596" s="171"/>
      <c r="B596" s="171" t="s">
        <v>1125</v>
      </c>
      <c r="C596" s="172">
        <v>1063</v>
      </c>
      <c r="D596" s="168" t="s">
        <v>1126</v>
      </c>
      <c r="E596" s="168" t="s">
        <v>1099</v>
      </c>
      <c r="F596" s="168"/>
      <c r="G596" s="169">
        <f>IF(OR(B596="",C596=""),"",IFERROR(INDEX(Vöruskrá!J:J,MATCH(B596,Vöruskrá!B:B,0))*C596/100000,""))</f>
        <v>4.2519999999999998</v>
      </c>
      <c r="H596" s="169">
        <f>IF(OR(B596="",C596=""),"",IFERROR(INDEX(Vöruskrá!K:K,MATCH(B596,Vöruskrá!B:B,0))*C596/100000,""))</f>
        <v>0</v>
      </c>
      <c r="I596" s="169">
        <f>IF(OR(B596="",C596=""),"",IFERROR(INDEX(Vöruskrá!L:L,MATCH(B596,Vöruskrá!B:B,0))*C596/100000,""))</f>
        <v>0</v>
      </c>
      <c r="J596" s="169">
        <f>IF(OR(B596="",C596=""),"",IFERROR(INDEX(Vöruskrá!M:M,MATCH(B596,Vöruskrá!B:B,0))*C596/100000,""))</f>
        <v>1.0629999999999999</v>
      </c>
      <c r="K596" s="169">
        <f>IF(OR(B596="",C596=""),"",IFERROR(INDEX(Vöruskrá!N:N,MATCH(B596,Vöruskrá!B:B,0))*C596/100000,""))</f>
        <v>1.0629999999999999</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7"/>
      <c r="R596" s="27"/>
    </row>
    <row r="597" spans="1:18" ht="15">
      <c r="A597" s="173"/>
      <c r="B597" s="173" t="s">
        <v>299</v>
      </c>
      <c r="C597" s="174">
        <v>850</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0.85</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819</v>
      </c>
      <c r="C598" s="172">
        <v>319</v>
      </c>
      <c r="D598" s="168" t="s">
        <v>820</v>
      </c>
      <c r="E598" s="168"/>
      <c r="F598" s="168" t="s">
        <v>311</v>
      </c>
      <c r="G598" s="169">
        <f>IF(OR(B598="",C598=""),"",IFERROR(INDEX(Vöruskrá!J:J,MATCH(B598,Vöruskrá!B:B,0))*C598/100000,""))</f>
        <v>1.2313400000000001</v>
      </c>
      <c r="H598" s="169">
        <f>IF(OR(B598="",C598=""),"",IFERROR(INDEX(Vöruskrá!K:K,MATCH(B598,Vöruskrá!B:B,0))*C598/100000,""))</f>
        <v>1.0527E-2</v>
      </c>
      <c r="I598" s="169">
        <f>IF(OR(B598="",C598=""),"",IFERROR(INDEX(Vöruskrá!L:L,MATCH(B598,Vöruskrá!B:B,0))*C598/100000,""))</f>
        <v>3.1900000000000001E-3</v>
      </c>
      <c r="J598" s="169">
        <f>IF(OR(B598="",C598=""),"",IFERROR(INDEX(Vöruskrá!M:M,MATCH(B598,Vöruskrá!B:B,0))*C598/100000,""))</f>
        <v>0.20735000000000001</v>
      </c>
      <c r="K598" s="169">
        <f>IF(OR(B598="",C598=""),"",IFERROR(INDEX(Vöruskrá!N:N,MATCH(B598,Vöruskrá!B:B,0))*C598/100000,""))</f>
        <v>1.9140000000000001E-3</v>
      </c>
      <c r="L598" s="169">
        <f>IF(OR(B598="",C598=""),"",IFERROR(INDEX(Vöruskrá!O:O,MATCH(B598,Vöruskrá!B:B,0))*C598/100000,""))</f>
        <v>3.5090000000000003E-2</v>
      </c>
      <c r="M598" s="169">
        <f>IF(OR(B598="",C598=""),"",IFERROR(INDEX(Vöruskrá!P:P,MATCH(B598,Vöruskrá!B:B,0))*C598/100000,""))</f>
        <v>3.19E-4</v>
      </c>
      <c r="N598" s="169">
        <f>IF(OR(B598="",C598=""),"",IFERROR(INDEX(Vöruskrá!Q:Q,MATCH(B598,Vöruskrá!B:B,0))*C598/100000,""))</f>
        <v>0</v>
      </c>
      <c r="O598" s="170">
        <f>IF(OR(B598="",C598=""),"",IFERROR(C598/1000*INDEX(Vöruskrá!R:R,MATCH(B598,Vöruskrá!B:B,0))/1000,""))</f>
        <v>0</v>
      </c>
      <c r="P598" s="171"/>
      <c r="Q598" s="201"/>
      <c r="R598" s="202"/>
    </row>
    <row r="599" spans="1:18" ht="48">
      <c r="A599" s="147" t="s">
        <v>1854</v>
      </c>
      <c r="B599" s="147"/>
      <c r="C599" s="148"/>
      <c r="D599" s="165" t="s">
        <v>1855</v>
      </c>
      <c r="E599" s="165" t="s">
        <v>134</v>
      </c>
      <c r="F599" s="165"/>
      <c r="G599" s="166">
        <v>9.93</v>
      </c>
      <c r="H599" s="166">
        <v>0.08</v>
      </c>
      <c r="I599" s="166">
        <v>0</v>
      </c>
      <c r="J599" s="166">
        <v>1.46</v>
      </c>
      <c r="K599" s="166"/>
      <c r="L599" s="166">
        <v>0.68</v>
      </c>
      <c r="M599" s="166">
        <v>0.57999999999999996</v>
      </c>
      <c r="N599" s="166">
        <f>IFERROR(SUM(N600:N606)/(SUM($C$600:$C$606)/100000),"")</f>
        <v>0.4456191068003133</v>
      </c>
      <c r="O599" s="167" t="str">
        <f>IF(OR(B599="",C599=""),"",IFERROR(C599/1000*INDEX(Vöruskrá!R:R,MATCH(B599,Vöruskrá!B:B,0))/1000,""))</f>
        <v/>
      </c>
      <c r="P599" s="196" t="s">
        <v>1856</v>
      </c>
      <c r="Q599" s="199" t="s">
        <v>1857</v>
      </c>
      <c r="R599" s="198" t="s">
        <v>1858</v>
      </c>
    </row>
    <row r="600" spans="1:18" ht="15">
      <c r="A600" s="171"/>
      <c r="B600" s="171" t="s">
        <v>1485</v>
      </c>
      <c r="C600" s="172">
        <v>51948</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1476</v>
      </c>
      <c r="C601" s="174">
        <v>2597</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1282</v>
      </c>
      <c r="C602" s="172">
        <v>17316</v>
      </c>
      <c r="D602" s="168" t="s">
        <v>1283</v>
      </c>
      <c r="E602" s="168"/>
      <c r="F602" s="168"/>
      <c r="G602" s="169">
        <f>IF(OR(B602="",C602=""),"",IFERROR(INDEX(Vöruskrá!J:J,MATCH(B602,Vöruskrá!B:B,0))*C602/100000,""))</f>
        <v>6.0606</v>
      </c>
      <c r="H602" s="169">
        <f>IF(OR(B602="",C602=""),"",IFERROR(INDEX(Vöruskrá!K:K,MATCH(B602,Vöruskrá!B:B,0))*C602/100000,""))</f>
        <v>5.1948000000000001E-2</v>
      </c>
      <c r="I602" s="169">
        <f>IF(OR(B602="",C602=""),"",IFERROR(INDEX(Vöruskrá!L:L,MATCH(B602,Vöruskrá!B:B,0))*C602/100000,""))</f>
        <v>0</v>
      </c>
      <c r="J602" s="169">
        <f>IF(OR(B602="",C602=""),"",IFERROR(INDEX(Vöruskrá!M:M,MATCH(B602,Vöruskrá!B:B,0))*C602/100000,""))</f>
        <v>0.79653599999999991</v>
      </c>
      <c r="K602" s="169">
        <f>IF(OR(B602="",C602=""),"",IFERROR(INDEX(Vöruskrá!N:N,MATCH(B602,Vöruskrá!B:B,0))*C602/100000,""))</f>
        <v>0.62337599999999993</v>
      </c>
      <c r="L602" s="169">
        <f>IF(OR(B602="",C602=""),"",IFERROR(INDEX(Vöruskrá!O:O,MATCH(B602,Vöruskrá!B:B,0))*C602/100000,""))</f>
        <v>0.45021600000000001</v>
      </c>
      <c r="M602" s="169">
        <f>IF(OR(B602="",C602=""),"",IFERROR(INDEX(Vöruskrá!P:P,MATCH(B602,Vöruskrá!B:B,0))*C602/100000,""))</f>
        <v>0</v>
      </c>
      <c r="N602" s="169">
        <f>IF(OR(B602="",C602=""),"",IFERROR(INDEX(Vöruskrá!Q:Q,MATCH(B602,Vöruskrá!B:B,0))*C602/100000,""))</f>
        <v>0.31168799999999997</v>
      </c>
      <c r="O602" s="170">
        <f>IF(OR(B602="",C602=""),"",IFERROR(C602/1000*INDEX(Vöruskrá!R:R,MATCH(B602,Vöruskrá!B:B,0))/1000,""))</f>
        <v>0</v>
      </c>
      <c r="P602" s="171"/>
      <c r="Q602" s="157"/>
      <c r="R602" s="27"/>
    </row>
    <row r="603" spans="1:18" ht="15">
      <c r="A603" s="173"/>
      <c r="B603" s="173" t="s">
        <v>1488</v>
      </c>
      <c r="C603" s="174">
        <v>433</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866</v>
      </c>
      <c r="D604" s="168" t="s">
        <v>1017</v>
      </c>
      <c r="E604" s="168" t="s">
        <v>134</v>
      </c>
      <c r="F604" s="168"/>
      <c r="G604" s="169">
        <f>IF(OR(B604="",C604=""),"",IFERROR(INDEX(Vöruskrá!J:J,MATCH(B604,Vöruskrá!B:B,0))*C604/100000,""))</f>
        <v>1.29034</v>
      </c>
      <c r="H604" s="169">
        <f>IF(OR(B604="",C604=""),"",IFERROR(INDEX(Vöruskrá!K:K,MATCH(B604,Vöruskrá!B:B,0))*C604/100000,""))</f>
        <v>4.3299999999999996E-3</v>
      </c>
      <c r="I604" s="169">
        <f>IF(OR(B604="",C604=""),"",IFERROR(INDEX(Vöruskrá!L:L,MATCH(B604,Vöruskrá!B:B,0))*C604/100000,""))</f>
        <v>8.6600000000000012E-4</v>
      </c>
      <c r="J604" s="169">
        <f>IF(OR(B604="",C604=""),"",IFERROR(INDEX(Vöruskrá!M:M,MATCH(B604,Vöruskrá!B:B,0))*C604/100000,""))</f>
        <v>0.28664600000000001</v>
      </c>
      <c r="K604" s="169">
        <f>IF(OR(B604="",C604=""),"",IFERROR(INDEX(Vöruskrá!N:N,MATCH(B604,Vöruskrá!B:B,0))*C604/100000,""))</f>
        <v>8.6599999999999993E-3</v>
      </c>
      <c r="L604" s="169">
        <f>IF(OR(B604="",C604=""),"",IFERROR(INDEX(Vöruskrá!O:O,MATCH(B604,Vöruskrá!B:B,0))*C604/100000,""))</f>
        <v>5.5424000000000008E-2</v>
      </c>
      <c r="M604" s="169">
        <f>IF(OR(B604="",C604=""),"",IFERROR(INDEX(Vöruskrá!P:P,MATCH(B604,Vöruskrá!B:B,0))*C604/100000,""))</f>
        <v>0</v>
      </c>
      <c r="N604" s="169">
        <f>IF(OR(B604="",C604=""),"",IFERROR(INDEX(Vöruskrá!Q:Q,MATCH(B604,Vöruskrá!B:B,0))*C604/100000,""))</f>
        <v>1.8186000000000001E-2</v>
      </c>
      <c r="O604" s="170">
        <f>IF(OR(B604="",C604=""),"",IFERROR(C604/1000*INDEX(Vöruskrá!R:R,MATCH(B604,Vöruskrá!B:B,0))/1000,""))</f>
        <v>0</v>
      </c>
      <c r="P604" s="171"/>
      <c r="Q604" s="157"/>
      <c r="R604" s="27"/>
    </row>
    <row r="605" spans="1:18" ht="15">
      <c r="A605" s="173"/>
      <c r="B605" s="173" t="s">
        <v>1475</v>
      </c>
      <c r="C605" s="174">
        <v>433</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299</v>
      </c>
      <c r="C606" s="172">
        <v>433</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0.433</v>
      </c>
      <c r="N606" s="169">
        <f>IF(OR(B606="",C606=""),"",IFERROR(INDEX(Vöruskrá!Q:Q,MATCH(B606,Vöruskrá!B:B,0))*C606/100000,""))</f>
        <v>0</v>
      </c>
      <c r="O606" s="170">
        <f>IF(OR(B606="",C606=""),"",IFERROR(C606/1000*INDEX(Vöruskrá!R:R,MATCH(B606,Vöruskrá!B:B,0))/1000,""))</f>
        <v>0</v>
      </c>
      <c r="P606" s="171"/>
      <c r="Q606" s="201"/>
      <c r="R606" s="202"/>
    </row>
    <row r="607" spans="1:18" ht="60">
      <c r="A607" s="147" t="s">
        <v>1859</v>
      </c>
      <c r="B607" s="147"/>
      <c r="C607" s="148"/>
      <c r="D607" s="165" t="s">
        <v>1860</v>
      </c>
      <c r="E607" s="165" t="s">
        <v>1861</v>
      </c>
      <c r="F607" s="165"/>
      <c r="G607" s="166">
        <v>27.7</v>
      </c>
      <c r="H607" s="166">
        <v>2.2999999999999998</v>
      </c>
      <c r="I607" s="166">
        <v>0.15</v>
      </c>
      <c r="J607" s="166">
        <v>1.6</v>
      </c>
      <c r="K607" s="166"/>
      <c r="L607" s="166">
        <v>0.19</v>
      </c>
      <c r="M607" s="166">
        <v>0.65</v>
      </c>
      <c r="N607" s="166">
        <f>IFERROR(SUM(N608:N615)/(SUM($C$608:$C$615)/100000),"")</f>
        <v>0.15495100000000001</v>
      </c>
      <c r="O607" s="167" t="str">
        <f>IF(OR(B607="",C607=""),"",IFERROR(C607/1000*INDEX(Vöruskrá!R:R,MATCH(B607,Vöruskrá!B:B,0))/1000,""))</f>
        <v/>
      </c>
      <c r="P607" s="196" t="s">
        <v>1862</v>
      </c>
      <c r="Q607" s="195" t="s">
        <v>1863</v>
      </c>
      <c r="R607" s="194" t="s">
        <v>1864</v>
      </c>
    </row>
    <row r="608" spans="1:18" ht="15">
      <c r="A608" s="171"/>
      <c r="B608" s="171" t="s">
        <v>1485</v>
      </c>
      <c r="C608" s="172">
        <v>45351</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1489</v>
      </c>
      <c r="C609" s="174">
        <v>30234</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627</v>
      </c>
      <c r="C610" s="172">
        <v>7559</v>
      </c>
      <c r="D610" s="168" t="s">
        <v>629</v>
      </c>
      <c r="E610" s="168"/>
      <c r="F610" s="168"/>
      <c r="G610" s="169">
        <f>IF(OR(B610="",C610=""),"",IFERROR(INDEX(Vöruskrá!J:J,MATCH(B610,Vöruskrá!B:B,0))*C610/100000,""))</f>
        <v>3.7795000000000001</v>
      </c>
      <c r="H610" s="169">
        <f>IF(OR(B610="",C610=""),"",IFERROR(INDEX(Vöruskrá!K:K,MATCH(B610,Vöruskrá!B:B,0))*C610/100000,""))</f>
        <v>1.5118000000000001E-2</v>
      </c>
      <c r="I610" s="169">
        <f>IF(OR(B610="",C610=""),"",IFERROR(INDEX(Vöruskrá!L:L,MATCH(B610,Vöruskrá!B:B,0))*C610/100000,""))</f>
        <v>0</v>
      </c>
      <c r="J610" s="169">
        <f>IF(OR(B610="",C610=""),"",IFERROR(INDEX(Vöruskrá!M:M,MATCH(B610,Vöruskrá!B:B,0))*C610/100000,""))</f>
        <v>0.74834100000000003</v>
      </c>
      <c r="K610" s="169">
        <f>IF(OR(B610="",C610=""),"",IFERROR(INDEX(Vöruskrá!N:N,MATCH(B610,Vöruskrá!B:B,0))*C610/100000,""))</f>
        <v>0.73322299999999985</v>
      </c>
      <c r="L610" s="169">
        <f>IF(OR(B610="",C610=""),"",IFERROR(INDEX(Vöruskrá!O:O,MATCH(B610,Vöruskrá!B:B,0))*C610/100000,""))</f>
        <v>7.5590000000000004E-2</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7"/>
      <c r="R610" s="27"/>
    </row>
    <row r="611" spans="1:18" ht="15">
      <c r="A611" s="173"/>
      <c r="B611" s="173" t="s">
        <v>500</v>
      </c>
      <c r="C611" s="174">
        <v>7559</v>
      </c>
      <c r="D611" s="168" t="s">
        <v>1129</v>
      </c>
      <c r="E611" s="168" t="s">
        <v>1099</v>
      </c>
      <c r="F611" s="168"/>
      <c r="G611" s="169">
        <f>IF(OR(B611="",C611=""),"",IFERROR(INDEX(Vöruskrá!J:J,MATCH(B611,Vöruskrá!B:B,0))*C611/100000,""))</f>
        <v>1.3606199999999999</v>
      </c>
      <c r="H611" s="169">
        <f>IF(OR(B611="",C611=""),"",IFERROR(INDEX(Vöruskrá!K:K,MATCH(B611,Vöruskrá!B:B,0))*C611/100000,""))</f>
        <v>1.5118000000000001E-2</v>
      </c>
      <c r="I611" s="169">
        <f>IF(OR(B611="",C611=""),"",IFERROR(INDEX(Vöruskrá!L:L,MATCH(B611,Vöruskrá!B:B,0))*C611/100000,""))</f>
        <v>0</v>
      </c>
      <c r="J611" s="169">
        <f>IF(OR(B611="",C611=""),"",IFERROR(INDEX(Vöruskrá!M:M,MATCH(B611,Vöruskrá!B:B,0))*C611/100000,""))</f>
        <v>0.29480099999999998</v>
      </c>
      <c r="K611" s="169">
        <f>IF(OR(B611="",C611=""),"",IFERROR(INDEX(Vöruskrá!N:N,MATCH(B611,Vöruskrá!B:B,0))*C611/100000,""))</f>
        <v>0.19653400000000001</v>
      </c>
      <c r="L611" s="169">
        <f>IF(OR(B611="",C611=""),"",IFERROR(INDEX(Vöruskrá!O:O,MATCH(B611,Vöruskrá!B:B,0))*C611/100000,""))</f>
        <v>6.8031000000000008E-2</v>
      </c>
      <c r="M611" s="169">
        <f>IF(OR(B611="",C611=""),"",IFERROR(INDEX(Vöruskrá!P:P,MATCH(B611,Vöruskrá!B:B,0))*C611/100000,""))</f>
        <v>0</v>
      </c>
      <c r="N611" s="169">
        <f>IF(OR(B611="",C611=""),"",IFERROR(INDEX(Vöruskrá!Q:Q,MATCH(B611,Vöruskrá!B:B,0))*C611/100000,""))</f>
        <v>9.0707999999999997E-2</v>
      </c>
      <c r="O611" s="170">
        <f>IF(OR(B611="",C611=""),"",IFERROR(C611/1000*INDEX(Vöruskrá!R:R,MATCH(B611,Vöruskrá!B:B,0))/1000,""))</f>
        <v>0</v>
      </c>
      <c r="P611" s="173"/>
      <c r="Q611" s="158"/>
      <c r="R611" s="6"/>
    </row>
    <row r="612" spans="1:18" ht="24">
      <c r="A612" s="171"/>
      <c r="B612" s="171" t="s">
        <v>757</v>
      </c>
      <c r="C612" s="172">
        <v>3779</v>
      </c>
      <c r="D612" s="168" t="s">
        <v>758</v>
      </c>
      <c r="E612" s="168" t="s">
        <v>148</v>
      </c>
      <c r="F612" s="168"/>
      <c r="G612" s="169">
        <f>IF(OR(B612="",C612=""),"",IFERROR(INDEX(Vöruskrá!J:J,MATCH(B612,Vöruskrá!B:B,0))*C612/100000,""))</f>
        <v>21.049029999999998</v>
      </c>
      <c r="H612" s="169">
        <f>IF(OR(B612="",C612=""),"",IFERROR(INDEX(Vöruskrá!K:K,MATCH(B612,Vöruskrá!B:B,0))*C612/100000,""))</f>
        <v>2.2673999999999999</v>
      </c>
      <c r="I612" s="169">
        <f>IF(OR(B612="",C612=""),"",IFERROR(INDEX(Vöruskrá!L:L,MATCH(B612,Vöruskrá!B:B,0))*C612/100000,""))</f>
        <v>0.14738100000000001</v>
      </c>
      <c r="J612" s="169">
        <f>IF(OR(B612="",C612=""),"",IFERROR(INDEX(Vöruskrá!M:M,MATCH(B612,Vöruskrá!B:B,0))*C612/100000,""))</f>
        <v>0.20406600000000003</v>
      </c>
      <c r="K612" s="169">
        <f>IF(OR(B612="",C612=""),"",IFERROR(INDEX(Vöruskrá!N:N,MATCH(B612,Vöruskrá!B:B,0))*C612/100000,""))</f>
        <v>0.136044</v>
      </c>
      <c r="L612" s="169">
        <f>IF(OR(B612="",C612=""),"",IFERROR(INDEX(Vöruskrá!O:O,MATCH(B612,Vöruskrá!B:B,0))*C612/100000,""))</f>
        <v>0</v>
      </c>
      <c r="M612" s="169">
        <f>IF(OR(B612="",C612=""),"",IFERROR(INDEX(Vöruskrá!P:P,MATCH(B612,Vöruskrá!B:B,0))*C612/100000,""))</f>
        <v>4.5347999999999999E-2</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1010</v>
      </c>
      <c r="C613" s="174">
        <v>3779</v>
      </c>
      <c r="D613" s="168" t="s">
        <v>1010</v>
      </c>
      <c r="E613" s="168" t="s">
        <v>134</v>
      </c>
      <c r="F613" s="168"/>
      <c r="G613" s="169">
        <f>IF(OR(B613="",C613=""),"",IFERROR(INDEX(Vöruskrá!J:J,MATCH(B613,Vöruskrá!B:B,0))*C613/100000,""))</f>
        <v>1.5116000000000001</v>
      </c>
      <c r="H613" s="169">
        <f>IF(OR(B613="",C613=""),"",IFERROR(INDEX(Vöruskrá!K:K,MATCH(B613,Vöruskrá!B:B,0))*C613/100000,""))</f>
        <v>3.7790000000000002E-3</v>
      </c>
      <c r="I613" s="169">
        <f>IF(OR(B613="",C613=""),"",IFERROR(INDEX(Vöruskrá!L:L,MATCH(B613,Vöruskrá!B:B,0))*C613/100000,""))</f>
        <v>0</v>
      </c>
      <c r="J613" s="169">
        <f>IF(OR(B613="",C613=""),"",IFERROR(INDEX(Vöruskrá!M:M,MATCH(B613,Vöruskrá!B:B,0))*C613/100000,""))</f>
        <v>0.35144700000000006</v>
      </c>
      <c r="K613" s="169">
        <f>IF(OR(B613="",C613=""),"",IFERROR(INDEX(Vöruskrá!N:N,MATCH(B613,Vöruskrá!B:B,0))*C613/100000,""))</f>
        <v>0.158718</v>
      </c>
      <c r="L613" s="169">
        <f>IF(OR(B613="",C613=""),"",IFERROR(INDEX(Vöruskrá!O:O,MATCH(B613,Vöruskrá!B:B,0))*C613/100000,""))</f>
        <v>4.1569000000000009E-2</v>
      </c>
      <c r="M613" s="169">
        <f>IF(OR(B613="",C613=""),"",IFERROR(INDEX(Vöruskrá!P:P,MATCH(B613,Vöruskrá!B:B,0))*C613/100000,""))</f>
        <v>0</v>
      </c>
      <c r="N613" s="169">
        <f>IF(OR(B613="",C613=""),"",IFERROR(INDEX(Vöruskrá!Q:Q,MATCH(B613,Vöruskrá!B:B,0))*C613/100000,""))</f>
        <v>6.4243000000000008E-2</v>
      </c>
      <c r="O613" s="170">
        <f>IF(OR(B613="",C613=""),"",IFERROR(C613/1000*INDEX(Vöruskrá!R:R,MATCH(B613,Vöruskrá!B:B,0))/1000,""))</f>
        <v>0</v>
      </c>
      <c r="P613" s="173"/>
      <c r="Q613" s="158"/>
      <c r="R613" s="6"/>
    </row>
    <row r="614" spans="1:18" ht="15">
      <c r="A614" s="171"/>
      <c r="B614" s="171" t="s">
        <v>1490</v>
      </c>
      <c r="C614" s="172">
        <v>1134</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1"/>
      <c r="Q614" s="157"/>
      <c r="R614" s="27"/>
    </row>
    <row r="615" spans="1:18" ht="15">
      <c r="A615" s="173"/>
      <c r="B615" s="173" t="s">
        <v>299</v>
      </c>
      <c r="C615" s="174">
        <v>605</v>
      </c>
      <c r="D615" s="168" t="s">
        <v>302</v>
      </c>
      <c r="E615" s="168" t="s">
        <v>134</v>
      </c>
      <c r="F615" s="168" t="s">
        <v>303</v>
      </c>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0.60499999999999998</v>
      </c>
      <c r="N615" s="169">
        <f>IF(OR(B615="",C615=""),"",IFERROR(INDEX(Vöruskrá!Q:Q,MATCH(B615,Vöruskrá!B:B,0))*C615/100000,""))</f>
        <v>0</v>
      </c>
      <c r="O615" s="170">
        <f>IF(OR(B615="",C615=""),"",IFERROR(C615/1000*INDEX(Vöruskrá!R:R,MATCH(B615,Vöruskrá!B:B,0))/1000,""))</f>
        <v>0</v>
      </c>
      <c r="P615" s="173"/>
      <c r="Q615" s="200"/>
      <c r="R615" s="159"/>
    </row>
    <row r="616" spans="1:18" ht="48">
      <c r="A616" s="147" t="s">
        <v>1865</v>
      </c>
      <c r="B616" s="147"/>
      <c r="C616" s="148"/>
      <c r="D616" s="165" t="s">
        <v>1866</v>
      </c>
      <c r="E616" s="165" t="s">
        <v>134</v>
      </c>
      <c r="F616" s="165"/>
      <c r="G616" s="166">
        <v>34.69</v>
      </c>
      <c r="H616" s="166">
        <v>3.85</v>
      </c>
      <c r="I616" s="166">
        <v>0.27</v>
      </c>
      <c r="J616" s="166">
        <v>2.5099999999999998</v>
      </c>
      <c r="K616" s="166"/>
      <c r="L616" s="166">
        <v>0</v>
      </c>
      <c r="M616" s="166">
        <v>0.77</v>
      </c>
      <c r="N616" s="166">
        <f>IFERROR(SUM(N617:N623)/(SUM($C$617:$C$623)/100000),"")</f>
        <v>0</v>
      </c>
      <c r="O616" s="167" t="str">
        <f>IF(OR(B616="",C616=""),"",IFERROR(C616/1000*INDEX(Vöruskrá!R:R,MATCH(B616,Vöruskrá!B:B,0))/1000,""))</f>
        <v/>
      </c>
      <c r="P616" s="196" t="s">
        <v>1867</v>
      </c>
      <c r="Q616" s="199" t="s">
        <v>1868</v>
      </c>
      <c r="R616" s="198" t="s">
        <v>1869</v>
      </c>
    </row>
    <row r="617" spans="1:18" ht="15">
      <c r="A617" s="171"/>
      <c r="B617" s="171" t="s">
        <v>1485</v>
      </c>
      <c r="C617" s="172">
        <v>77071</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97"/>
      <c r="R617" s="164"/>
    </row>
    <row r="618" spans="1:18" ht="15">
      <c r="A618" s="173"/>
      <c r="B618" s="173" t="s">
        <v>1466</v>
      </c>
      <c r="C618" s="174">
        <v>9634</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7"/>
      <c r="R618" s="27"/>
    </row>
    <row r="619" spans="1:18" ht="15">
      <c r="A619" s="171"/>
      <c r="B619" s="171" t="s">
        <v>1463</v>
      </c>
      <c r="C619" s="172">
        <v>4817</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1465</v>
      </c>
      <c r="C620" s="174">
        <v>2890</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3"/>
      <c r="Q620" s="157"/>
      <c r="R620" s="27"/>
    </row>
    <row r="621" spans="1:18" ht="15">
      <c r="A621" s="171"/>
      <c r="B621" s="171" t="s">
        <v>1491</v>
      </c>
      <c r="C621" s="172">
        <v>963</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58"/>
      <c r="R621" s="6"/>
    </row>
    <row r="622" spans="1:18" ht="15">
      <c r="A622" s="173"/>
      <c r="B622" s="173" t="s">
        <v>299</v>
      </c>
      <c r="C622" s="174">
        <v>771</v>
      </c>
      <c r="D622" s="168" t="s">
        <v>302</v>
      </c>
      <c r="E622" s="168" t="s">
        <v>134</v>
      </c>
      <c r="F622" s="168" t="s">
        <v>303</v>
      </c>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0.77100000000000002</v>
      </c>
      <c r="N622" s="169">
        <f>IF(OR(B622="",C622=""),"",IFERROR(INDEX(Vöruskrá!Q:Q,MATCH(B622,Vöruskrá!B:B,0))*C622/100000,""))</f>
        <v>0</v>
      </c>
      <c r="O622" s="170">
        <f>IF(OR(B622="",C622=""),"",IFERROR(C622/1000*INDEX(Vöruskrá!R:R,MATCH(B622,Vöruskrá!B:B,0))/1000,""))</f>
        <v>0</v>
      </c>
      <c r="P622" s="173"/>
      <c r="Q622" s="157"/>
      <c r="R622" s="27"/>
    </row>
    <row r="623" spans="1:18" ht="15">
      <c r="A623" s="171"/>
      <c r="B623" s="171" t="s">
        <v>1270</v>
      </c>
      <c r="C623" s="172">
        <v>3854</v>
      </c>
      <c r="D623" s="168" t="s">
        <v>1270</v>
      </c>
      <c r="E623" s="168" t="s">
        <v>134</v>
      </c>
      <c r="F623" s="168"/>
      <c r="G623" s="169">
        <f>IF(OR(B623="",C623=""),"",IFERROR(INDEX(Vöruskrá!J:J,MATCH(B623,Vöruskrá!B:B,0))*C623/100000,""))</f>
        <v>34.686</v>
      </c>
      <c r="H623" s="169">
        <f>IF(OR(B623="",C623=""),"",IFERROR(INDEX(Vöruskrá!K:K,MATCH(B623,Vöruskrá!B:B,0))*C623/100000,""))</f>
        <v>3.8540000000000001</v>
      </c>
      <c r="I623" s="169">
        <f>IF(OR(B623="",C623=""),"",IFERROR(INDEX(Vöruskrá!L:L,MATCH(B623,Vöruskrá!B:B,0))*C623/100000,""))</f>
        <v>0.26978000000000002</v>
      </c>
      <c r="J623" s="169">
        <f>IF(OR(B623="",C623=""),"",IFERROR(INDEX(Vöruskrá!M:M,MATCH(B623,Vöruskrá!B:B,0))*C623/100000,""))</f>
        <v>2.5051000000000001</v>
      </c>
      <c r="K623" s="169">
        <f>IF(OR(B623="",C623=""),"",IFERROR(INDEX(Vöruskrá!N:N,MATCH(B623,Vöruskrá!B:B,0))*C623/100000,""))</f>
        <v>1.05985</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200"/>
      <c r="R623" s="159"/>
    </row>
    <row r="624" spans="1:18" ht="48">
      <c r="A624" s="147" t="s">
        <v>1870</v>
      </c>
      <c r="B624" s="147"/>
      <c r="C624" s="148"/>
      <c r="D624" s="165" t="s">
        <v>1871</v>
      </c>
      <c r="E624" s="165" t="s">
        <v>1830</v>
      </c>
      <c r="F624" s="165"/>
      <c r="G624" s="166">
        <v>60.6</v>
      </c>
      <c r="H624" s="166">
        <v>0.71</v>
      </c>
      <c r="I624" s="166">
        <v>0.1</v>
      </c>
      <c r="J624" s="166">
        <v>10.82</v>
      </c>
      <c r="K624" s="166"/>
      <c r="L624" s="166">
        <v>2.34</v>
      </c>
      <c r="M624" s="166">
        <v>0.96</v>
      </c>
      <c r="N624" s="166">
        <f>IFERROR(SUM(N625:N632)/(SUM($C$625:$C$632)/100000),"")</f>
        <v>0.5409480000000001</v>
      </c>
      <c r="O624" s="167" t="str">
        <f>IF(OR(B624="",C624=""),"",IFERROR(C624/1000*INDEX(Vöruskrá!R:R,MATCH(B624,Vöruskrá!B:B,0))/1000,""))</f>
        <v/>
      </c>
      <c r="P624" s="196" t="s">
        <v>1831</v>
      </c>
      <c r="Q624" s="195" t="s">
        <v>1872</v>
      </c>
      <c r="R624" s="194" t="s">
        <v>1873</v>
      </c>
    </row>
    <row r="625" spans="1:18" ht="15">
      <c r="A625" s="171"/>
      <c r="B625" s="171" t="s">
        <v>1485</v>
      </c>
      <c r="C625" s="172">
        <v>60105</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97"/>
      <c r="R625" s="164"/>
    </row>
    <row r="626" spans="1:18" ht="15">
      <c r="A626" s="173"/>
      <c r="B626" s="173" t="s">
        <v>463</v>
      </c>
      <c r="C626" s="174">
        <v>22539</v>
      </c>
      <c r="D626" s="168" t="s">
        <v>465</v>
      </c>
      <c r="E626" s="168" t="s">
        <v>466</v>
      </c>
      <c r="F626" s="168" t="s">
        <v>467</v>
      </c>
      <c r="G626" s="169">
        <f>IF(OR(B626="",C626=""),"",IFERROR(INDEX(Vöruskrá!J:J,MATCH(B626,Vöruskrá!B:B,0))*C626/100000,""))</f>
        <v>54.544379999999997</v>
      </c>
      <c r="H626" s="169">
        <f>IF(OR(B626="",C626=""),"",IFERROR(INDEX(Vöruskrá!K:K,MATCH(B626,Vöruskrá!B:B,0))*C626/100000,""))</f>
        <v>0.56347499999999995</v>
      </c>
      <c r="I626" s="169">
        <f>IF(OR(B626="",C626=""),"",IFERROR(INDEX(Vöruskrá!L:L,MATCH(B626,Vöruskrá!B:B,0))*C626/100000,""))</f>
        <v>9.0156E-2</v>
      </c>
      <c r="J626" s="169">
        <f>IF(OR(B626="",C626=""),"",IFERROR(INDEX(Vöruskrá!M:M,MATCH(B626,Vöruskrá!B:B,0))*C626/100000,""))</f>
        <v>9.9171600000000009</v>
      </c>
      <c r="K626" s="169">
        <f>IF(OR(B626="",C626=""),"",IFERROR(INDEX(Vöruskrá!N:N,MATCH(B626,Vöruskrá!B:B,0))*C626/100000,""))</f>
        <v>0.13523399999999999</v>
      </c>
      <c r="L626" s="169">
        <f>IF(OR(B626="",C626=""),"",IFERROR(INDEX(Vöruskrá!O:O,MATCH(B626,Vöruskrá!B:B,0))*C626/100000,""))</f>
        <v>2.1186660000000002</v>
      </c>
      <c r="M626" s="169">
        <f>IF(OR(B626="",C626=""),"",IFERROR(INDEX(Vöruskrá!P:P,MATCH(B626,Vöruskrá!B:B,0))*C626/100000,""))</f>
        <v>0.29300700000000002</v>
      </c>
      <c r="N626" s="169">
        <f>IF(OR(B626="",C626=""),"",IFERROR(INDEX(Vöruskrá!Q:Q,MATCH(B626,Vöruskrá!B:B,0))*C626/100000,""))</f>
        <v>0.40570200000000006</v>
      </c>
      <c r="O626" s="170">
        <f>IF(OR(B626="",C626=""),"",IFERROR(C626/1000*INDEX(Vöruskrá!R:R,MATCH(B626,Vöruskrá!B:B,0))/1000,""))</f>
        <v>0</v>
      </c>
      <c r="P626" s="173"/>
      <c r="Q626" s="157"/>
      <c r="R626" s="27"/>
    </row>
    <row r="627" spans="1:18" ht="15">
      <c r="A627" s="171"/>
      <c r="B627" s="171" t="s">
        <v>627</v>
      </c>
      <c r="C627" s="172">
        <v>3757</v>
      </c>
      <c r="D627" s="168" t="s">
        <v>629</v>
      </c>
      <c r="E627" s="168"/>
      <c r="F627" s="168"/>
      <c r="G627" s="169">
        <f>IF(OR(B627="",C627=""),"",IFERROR(INDEX(Vöruskrá!J:J,MATCH(B627,Vöruskrá!B:B,0))*C627/100000,""))</f>
        <v>1.8785000000000001</v>
      </c>
      <c r="H627" s="169">
        <f>IF(OR(B627="",C627=""),"",IFERROR(INDEX(Vöruskrá!K:K,MATCH(B627,Vöruskrá!B:B,0))*C627/100000,""))</f>
        <v>7.5140000000000007E-3</v>
      </c>
      <c r="I627" s="169">
        <f>IF(OR(B627="",C627=""),"",IFERROR(INDEX(Vöruskrá!L:L,MATCH(B627,Vöruskrá!B:B,0))*C627/100000,""))</f>
        <v>0</v>
      </c>
      <c r="J627" s="169">
        <f>IF(OR(B627="",C627=""),"",IFERROR(INDEX(Vöruskrá!M:M,MATCH(B627,Vöruskrá!B:B,0))*C627/100000,""))</f>
        <v>0.37194300000000002</v>
      </c>
      <c r="K627" s="169">
        <f>IF(OR(B627="",C627=""),"",IFERROR(INDEX(Vöruskrá!N:N,MATCH(B627,Vöruskrá!B:B,0))*C627/100000,""))</f>
        <v>0.36442899999999995</v>
      </c>
      <c r="L627" s="169">
        <f>IF(OR(B627="",C627=""),"",IFERROR(INDEX(Vöruskrá!O:O,MATCH(B627,Vöruskrá!B:B,0))*C627/100000,""))</f>
        <v>3.7569999999999999E-2</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500</v>
      </c>
      <c r="C628" s="174">
        <v>7513</v>
      </c>
      <c r="D628" s="168" t="s">
        <v>1129</v>
      </c>
      <c r="E628" s="168" t="s">
        <v>1099</v>
      </c>
      <c r="F628" s="168"/>
      <c r="G628" s="169">
        <f>IF(OR(B628="",C628=""),"",IFERROR(INDEX(Vöruskrá!J:J,MATCH(B628,Vöruskrá!B:B,0))*C628/100000,""))</f>
        <v>1.3523400000000001</v>
      </c>
      <c r="H628" s="169">
        <f>IF(OR(B628="",C628=""),"",IFERROR(INDEX(Vöruskrá!K:K,MATCH(B628,Vöruskrá!B:B,0))*C628/100000,""))</f>
        <v>1.5026000000000001E-2</v>
      </c>
      <c r="I628" s="169">
        <f>IF(OR(B628="",C628=""),"",IFERROR(INDEX(Vöruskrá!L:L,MATCH(B628,Vöruskrá!B:B,0))*C628/100000,""))</f>
        <v>0</v>
      </c>
      <c r="J628" s="169">
        <f>IF(OR(B628="",C628=""),"",IFERROR(INDEX(Vöruskrá!M:M,MATCH(B628,Vöruskrá!B:B,0))*C628/100000,""))</f>
        <v>0.29300700000000002</v>
      </c>
      <c r="K628" s="169">
        <f>IF(OR(B628="",C628=""),"",IFERROR(INDEX(Vöruskrá!N:N,MATCH(B628,Vöruskrá!B:B,0))*C628/100000,""))</f>
        <v>0.19533799999999998</v>
      </c>
      <c r="L628" s="169">
        <f>IF(OR(B628="",C628=""),"",IFERROR(INDEX(Vöruskrá!O:O,MATCH(B628,Vöruskrá!B:B,0))*C628/100000,""))</f>
        <v>6.7616999999999997E-2</v>
      </c>
      <c r="M628" s="169">
        <f>IF(OR(B628="",C628=""),"",IFERROR(INDEX(Vöruskrá!P:P,MATCH(B628,Vöruskrá!B:B,0))*C628/100000,""))</f>
        <v>0</v>
      </c>
      <c r="N628" s="169">
        <f>IF(OR(B628="",C628=""),"",IFERROR(INDEX(Vöruskrá!Q:Q,MATCH(B628,Vöruskrá!B:B,0))*C628/100000,""))</f>
        <v>9.0156E-2</v>
      </c>
      <c r="O628" s="170">
        <f>IF(OR(B628="",C628=""),"",IFERROR(C628/1000*INDEX(Vöruskrá!R:R,MATCH(B628,Vöruskrá!B:B,0))/1000,""))</f>
        <v>0</v>
      </c>
      <c r="P628" s="173"/>
      <c r="Q628" s="157"/>
      <c r="R628" s="27"/>
    </row>
    <row r="629" spans="1:18" ht="15">
      <c r="A629" s="171"/>
      <c r="B629" s="171" t="s">
        <v>1483</v>
      </c>
      <c r="C629" s="172">
        <v>3757</v>
      </c>
      <c r="D629" s="168"/>
      <c r="E629" s="168"/>
      <c r="F629" s="168"/>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1157</v>
      </c>
      <c r="C630" s="174">
        <v>1503</v>
      </c>
      <c r="D630" s="168" t="s">
        <v>1160</v>
      </c>
      <c r="E630" s="168" t="s">
        <v>1161</v>
      </c>
      <c r="F630" s="168"/>
      <c r="G630" s="169">
        <f>IF(OR(B630="",C630=""),"",IFERROR(INDEX(Vöruskrá!J:J,MATCH(B630,Vöruskrá!B:B,0))*C630/100000,""))</f>
        <v>1.9539</v>
      </c>
      <c r="H630" s="169">
        <f>IF(OR(B630="",C630=""),"",IFERROR(INDEX(Vöruskrá!K:K,MATCH(B630,Vöruskrá!B:B,0))*C630/100000,""))</f>
        <v>0.12024</v>
      </c>
      <c r="I630" s="169">
        <f>IF(OR(B630="",C630=""),"",IFERROR(INDEX(Vöruskrá!L:L,MATCH(B630,Vöruskrá!B:B,0))*C630/100000,""))</f>
        <v>7.515E-3</v>
      </c>
      <c r="J630" s="169">
        <f>IF(OR(B630="",C630=""),"",IFERROR(INDEX(Vöruskrá!M:M,MATCH(B630,Vöruskrá!B:B,0))*C630/100000,""))</f>
        <v>9.0179999999999996E-2</v>
      </c>
      <c r="K630" s="169">
        <f>IF(OR(B630="",C630=""),"",IFERROR(INDEX(Vöruskrá!N:N,MATCH(B630,Vöruskrá!B:B,0))*C630/100000,""))</f>
        <v>3.006E-2</v>
      </c>
      <c r="L630" s="169">
        <f>IF(OR(B630="",C630=""),"",IFERROR(INDEX(Vöruskrá!O:O,MATCH(B630,Vöruskrá!B:B,0))*C630/100000,""))</f>
        <v>9.0179999999999996E-2</v>
      </c>
      <c r="M630" s="169">
        <f>IF(OR(B630="",C630=""),"",IFERROR(INDEX(Vöruskrá!P:P,MATCH(B630,Vöruskrá!B:B,0))*C630/100000,""))</f>
        <v>6.7635000000000001E-2</v>
      </c>
      <c r="N630" s="169">
        <f>IF(OR(B630="",C630=""),"",IFERROR(INDEX(Vöruskrá!Q:Q,MATCH(B630,Vöruskrá!B:B,0))*C630/100000,""))</f>
        <v>4.5089999999999998E-2</v>
      </c>
      <c r="O630" s="170">
        <f>IF(OR(B630="",C630=""),"",IFERROR(C630/1000*INDEX(Vöruskrá!R:R,MATCH(B630,Vöruskrá!B:B,0))/1000,""))</f>
        <v>0</v>
      </c>
      <c r="P630" s="173"/>
      <c r="Q630" s="157"/>
      <c r="R630" s="27"/>
    </row>
    <row r="631" spans="1:18" ht="15">
      <c r="A631" s="171"/>
      <c r="B631" s="171" t="s">
        <v>299</v>
      </c>
      <c r="C631" s="172">
        <v>601</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0.60099999999999998</v>
      </c>
      <c r="N631" s="169">
        <f>IF(OR(B631="",C631=""),"",IFERROR(INDEX(Vöruskrá!Q:Q,MATCH(B631,Vöruskrá!B:B,0))*C631/100000,""))</f>
        <v>0</v>
      </c>
      <c r="O631" s="170">
        <f>IF(OR(B631="",C631=""),"",IFERROR(C631/1000*INDEX(Vöruskrá!R:R,MATCH(B631,Vöruskrá!B:B,0))/1000,""))</f>
        <v>0</v>
      </c>
      <c r="P631" s="171"/>
      <c r="Q631" s="158"/>
      <c r="R631" s="6"/>
    </row>
    <row r="632" spans="1:18" ht="15">
      <c r="A632" s="173"/>
      <c r="B632" s="173" t="s">
        <v>819</v>
      </c>
      <c r="C632" s="174">
        <v>225</v>
      </c>
      <c r="D632" s="168" t="s">
        <v>820</v>
      </c>
      <c r="E632" s="168"/>
      <c r="F632" s="168" t="s">
        <v>311</v>
      </c>
      <c r="G632" s="169">
        <f>IF(OR(B632="",C632=""),"",IFERROR(INDEX(Vöruskrá!J:J,MATCH(B632,Vöruskrá!B:B,0))*C632/100000,""))</f>
        <v>0.86850000000000005</v>
      </c>
      <c r="H632" s="169">
        <f>IF(OR(B632="",C632=""),"",IFERROR(INDEX(Vöruskrá!K:K,MATCH(B632,Vöruskrá!B:B,0))*C632/100000,""))</f>
        <v>7.4250000000000002E-3</v>
      </c>
      <c r="I632" s="169">
        <f>IF(OR(B632="",C632=""),"",IFERROR(INDEX(Vöruskrá!L:L,MATCH(B632,Vöruskrá!B:B,0))*C632/100000,""))</f>
        <v>2.2499999999999998E-3</v>
      </c>
      <c r="J632" s="169">
        <f>IF(OR(B632="",C632=""),"",IFERROR(INDEX(Vöruskrá!M:M,MATCH(B632,Vöruskrá!B:B,0))*C632/100000,""))</f>
        <v>0.14624999999999999</v>
      </c>
      <c r="K632" s="169">
        <f>IF(OR(B632="",C632=""),"",IFERROR(INDEX(Vöruskrá!N:N,MATCH(B632,Vöruskrá!B:B,0))*C632/100000,""))</f>
        <v>1.3500000000000001E-3</v>
      </c>
      <c r="L632" s="169">
        <f>IF(OR(B632="",C632=""),"",IFERROR(INDEX(Vöruskrá!O:O,MATCH(B632,Vöruskrá!B:B,0))*C632/100000,""))</f>
        <v>2.4750000000000001E-2</v>
      </c>
      <c r="M632" s="169">
        <f>IF(OR(B632="",C632=""),"",IFERROR(INDEX(Vöruskrá!P:P,MATCH(B632,Vöruskrá!B:B,0))*C632/100000,""))</f>
        <v>2.2499999999999999E-4</v>
      </c>
      <c r="N632" s="169">
        <f>IF(OR(B632="",C632=""),"",IFERROR(INDEX(Vöruskrá!Q:Q,MATCH(B632,Vöruskrá!B:B,0))*C632/100000,""))</f>
        <v>0</v>
      </c>
      <c r="O632" s="170">
        <f>IF(OR(B632="",C632=""),"",IFERROR(C632/1000*INDEX(Vöruskrá!R:R,MATCH(B632,Vöruskrá!B:B,0))/1000,""))</f>
        <v>0</v>
      </c>
      <c r="P632" s="173"/>
      <c r="Q632" s="201"/>
      <c r="R632" s="202"/>
    </row>
    <row r="633" spans="1:18" ht="48">
      <c r="A633" s="147" t="s">
        <v>1874</v>
      </c>
      <c r="B633" s="147"/>
      <c r="C633" s="148"/>
      <c r="D633" s="165" t="s">
        <v>1875</v>
      </c>
      <c r="E633" s="165" t="s">
        <v>1588</v>
      </c>
      <c r="F633" s="165"/>
      <c r="G633" s="166">
        <v>61.78</v>
      </c>
      <c r="H633" s="166">
        <v>5.33</v>
      </c>
      <c r="I633" s="166">
        <v>3.27</v>
      </c>
      <c r="J633" s="166">
        <v>2.6</v>
      </c>
      <c r="K633" s="166"/>
      <c r="L633" s="166">
        <v>0.75</v>
      </c>
      <c r="M633" s="166">
        <v>0.69</v>
      </c>
      <c r="N633" s="166">
        <f>IFERROR(SUM(N634:N641)/(SUM($C$634:$C$641)/100000),"")</f>
        <v>0.17663799999999999</v>
      </c>
      <c r="O633" s="167" t="str">
        <f>IF(OR(B633="",C633=""),"",IFERROR(C633/1000*INDEX(Vöruskrá!R:R,MATCH(B633,Vöruskrá!B:B,0))/1000,""))</f>
        <v/>
      </c>
      <c r="P633" s="196" t="s">
        <v>1876</v>
      </c>
      <c r="Q633" s="199" t="s">
        <v>1877</v>
      </c>
      <c r="R633" s="198" t="s">
        <v>1878</v>
      </c>
    </row>
    <row r="634" spans="1:18" ht="15">
      <c r="A634" s="171"/>
      <c r="B634" s="171" t="s">
        <v>1485</v>
      </c>
      <c r="C634" s="172">
        <v>59128</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203"/>
      <c r="R634" s="204"/>
    </row>
    <row r="635" spans="1:18" ht="24">
      <c r="A635" s="173"/>
      <c r="B635" s="173" t="s">
        <v>434</v>
      </c>
      <c r="C635" s="174">
        <v>2217</v>
      </c>
      <c r="D635" s="168" t="s">
        <v>436</v>
      </c>
      <c r="E635" s="168" t="s">
        <v>148</v>
      </c>
      <c r="F635" s="168"/>
      <c r="G635" s="169">
        <f>IF(OR(B635="",C635=""),"",IFERROR(INDEX(Vöruskrá!J:J,MATCH(B635,Vöruskrá!B:B,0))*C635/100000,""))</f>
        <v>3.3254999999999999</v>
      </c>
      <c r="H635" s="169">
        <f>IF(OR(B635="",C635=""),"",IFERROR(INDEX(Vöruskrá!K:K,MATCH(B635,Vöruskrá!B:B,0))*C635/100000,""))</f>
        <v>0.130803</v>
      </c>
      <c r="I635" s="169">
        <f>IF(OR(B635="",C635=""),"",IFERROR(INDEX(Vöruskrá!L:L,MATCH(B635,Vöruskrá!B:B,0))*C635/100000,""))</f>
        <v>1.3302E-2</v>
      </c>
      <c r="J635" s="169">
        <f>IF(OR(B635="",C635=""),"",IFERROR(INDEX(Vöruskrá!M:M,MATCH(B635,Vöruskrá!B:B,0))*C635/100000,""))</f>
        <v>0.48774000000000001</v>
      </c>
      <c r="K635" s="169">
        <f>IF(OR(B635="",C635=""),"",IFERROR(INDEX(Vöruskrá!N:N,MATCH(B635,Vöruskrá!B:B,0))*C635/100000,""))</f>
        <v>0.39906000000000003</v>
      </c>
      <c r="L635" s="169">
        <f>IF(OR(B635="",C635=""),"",IFERROR(INDEX(Vöruskrá!O:O,MATCH(B635,Vöruskrá!B:B,0))*C635/100000,""))</f>
        <v>3.1037999999999996E-2</v>
      </c>
      <c r="M635" s="169">
        <f>IF(OR(B635="",C635=""),"",IFERROR(INDEX(Vöruskrá!P:P,MATCH(B635,Vöruskrá!B:B,0))*C635/100000,""))</f>
        <v>9.754800000000001E-2</v>
      </c>
      <c r="N635" s="169">
        <f>IF(OR(B635="",C635=""),"",IFERROR(INDEX(Vöruskrá!Q:Q,MATCH(B635,Vöruskrá!B:B,0))*C635/100000,""))</f>
        <v>3.5472000000000004E-2</v>
      </c>
      <c r="O635" s="170">
        <f>IF(OR(B635="",C635=""),"",IFERROR(C635/1000*INDEX(Vöruskrá!R:R,MATCH(B635,Vöruskrá!B:B,0))/1000,""))</f>
        <v>0</v>
      </c>
      <c r="P635" s="173"/>
      <c r="Q635" s="158"/>
      <c r="R635" s="6"/>
    </row>
    <row r="636" spans="1:18" ht="15">
      <c r="A636" s="171"/>
      <c r="B636" s="171" t="s">
        <v>1058</v>
      </c>
      <c r="C636" s="172">
        <v>14782</v>
      </c>
      <c r="D636" s="168" t="s">
        <v>1059</v>
      </c>
      <c r="E636" s="168" t="s">
        <v>120</v>
      </c>
      <c r="F636" s="168"/>
      <c r="G636" s="169">
        <f>IF(OR(B636="",C636=""),"",IFERROR(INDEX(Vöruskrá!J:J,MATCH(B636,Vöruskrá!B:B,0))*C636/100000,""))</f>
        <v>50.258800000000001</v>
      </c>
      <c r="H636" s="169">
        <f>IF(OR(B636="",C636=""),"",IFERROR(INDEX(Vöruskrá!K:K,MATCH(B636,Vöruskrá!B:B,0))*C636/100000,""))</f>
        <v>5.1737000000000002</v>
      </c>
      <c r="I636" s="169">
        <f>IF(OR(B636="",C636=""),"",IFERROR(INDEX(Vöruskrá!L:L,MATCH(B636,Vöruskrá!B:B,0))*C636/100000,""))</f>
        <v>3.25204</v>
      </c>
      <c r="J636" s="169">
        <f>IF(OR(B636="",C636=""),"",IFERROR(INDEX(Vöruskrá!M:M,MATCH(B636,Vöruskrá!B:B,0))*C636/100000,""))</f>
        <v>0.44346000000000002</v>
      </c>
      <c r="K636" s="169">
        <f>IF(OR(B636="",C636=""),"",IFERROR(INDEX(Vöruskrá!N:N,MATCH(B636,Vöruskrá!B:B,0))*C636/100000,""))</f>
        <v>0.44346000000000002</v>
      </c>
      <c r="L636" s="169">
        <f>IF(OR(B636="",C636=""),"",IFERROR(INDEX(Vöruskrá!O:O,MATCH(B636,Vöruskrá!B:B,0))*C636/100000,""))</f>
        <v>0.36954999999999999</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157"/>
      <c r="R636" s="27"/>
    </row>
    <row r="637" spans="1:18" ht="15">
      <c r="A637" s="173"/>
      <c r="B637" s="173" t="s">
        <v>743</v>
      </c>
      <c r="C637" s="174">
        <v>14782</v>
      </c>
      <c r="D637" s="168" t="s">
        <v>745</v>
      </c>
      <c r="E637" s="168"/>
      <c r="F637" s="168"/>
      <c r="G637" s="169">
        <f>IF(OR(B637="",C637=""),"",IFERROR(INDEX(Vöruskrá!J:J,MATCH(B637,Vöruskrá!B:B,0))*C637/100000,""))</f>
        <v>4.13896</v>
      </c>
      <c r="H637" s="169">
        <f>IF(OR(B637="",C637=""),"",IFERROR(INDEX(Vöruskrá!K:K,MATCH(B637,Vöruskrá!B:B,0))*C637/100000,""))</f>
        <v>1.4782E-2</v>
      </c>
      <c r="I637" s="169">
        <f>IF(OR(B637="",C637=""),"",IFERROR(INDEX(Vöruskrá!L:L,MATCH(B637,Vöruskrá!B:B,0))*C637/100000,""))</f>
        <v>0</v>
      </c>
      <c r="J637" s="169">
        <f>IF(OR(B637="",C637=""),"",IFERROR(INDEX(Vöruskrá!M:M,MATCH(B637,Vöruskrá!B:B,0))*C637/100000,""))</f>
        <v>0.73909999999999998</v>
      </c>
      <c r="K637" s="169">
        <f>IF(OR(B637="",C637=""),"",IFERROR(INDEX(Vöruskrá!N:N,MATCH(B637,Vöruskrá!B:B,0))*C637/100000,""))</f>
        <v>0.50258799999999992</v>
      </c>
      <c r="L637" s="169">
        <f>IF(OR(B637="",C637=""),"",IFERROR(INDEX(Vöruskrá!O:O,MATCH(B637,Vöruskrá!B:B,0))*C637/100000,""))</f>
        <v>0.22173000000000001</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3"/>
      <c r="Q637" s="158"/>
      <c r="R637" s="6"/>
    </row>
    <row r="638" spans="1:18" ht="15">
      <c r="A638" s="171"/>
      <c r="B638" s="171" t="s">
        <v>1010</v>
      </c>
      <c r="C638" s="172">
        <v>7391</v>
      </c>
      <c r="D638" s="168" t="s">
        <v>1010</v>
      </c>
      <c r="E638" s="168" t="s">
        <v>134</v>
      </c>
      <c r="F638" s="168"/>
      <c r="G638" s="169">
        <f>IF(OR(B638="",C638=""),"",IFERROR(INDEX(Vöruskrá!J:J,MATCH(B638,Vöruskrá!B:B,0))*C638/100000,""))</f>
        <v>2.9563999999999999</v>
      </c>
      <c r="H638" s="169">
        <f>IF(OR(B638="",C638=""),"",IFERROR(INDEX(Vöruskrá!K:K,MATCH(B638,Vöruskrá!B:B,0))*C638/100000,""))</f>
        <v>7.391E-3</v>
      </c>
      <c r="I638" s="169">
        <f>IF(OR(B638="",C638=""),"",IFERROR(INDEX(Vöruskrá!L:L,MATCH(B638,Vöruskrá!B:B,0))*C638/100000,""))</f>
        <v>0</v>
      </c>
      <c r="J638" s="169">
        <f>IF(OR(B638="",C638=""),"",IFERROR(INDEX(Vöruskrá!M:M,MATCH(B638,Vöruskrá!B:B,0))*C638/100000,""))</f>
        <v>0.68736300000000006</v>
      </c>
      <c r="K638" s="169">
        <f>IF(OR(B638="",C638=""),"",IFERROR(INDEX(Vöruskrá!N:N,MATCH(B638,Vöruskrá!B:B,0))*C638/100000,""))</f>
        <v>0.31042200000000003</v>
      </c>
      <c r="L638" s="169">
        <f>IF(OR(B638="",C638=""),"",IFERROR(INDEX(Vöruskrá!O:O,MATCH(B638,Vöruskrá!B:B,0))*C638/100000,""))</f>
        <v>8.1300999999999998E-2</v>
      </c>
      <c r="M638" s="169">
        <f>IF(OR(B638="",C638=""),"",IFERROR(INDEX(Vöruskrá!P:P,MATCH(B638,Vöruskrá!B:B,0))*C638/100000,""))</f>
        <v>0</v>
      </c>
      <c r="N638" s="169">
        <f>IF(OR(B638="",C638=""),"",IFERROR(INDEX(Vöruskrá!Q:Q,MATCH(B638,Vöruskrá!B:B,0))*C638/100000,""))</f>
        <v>0.12564699999999998</v>
      </c>
      <c r="O638" s="170">
        <f>IF(OR(B638="",C638=""),"",IFERROR(C638/1000*INDEX(Vöruskrá!R:R,MATCH(B638,Vöruskrá!B:B,0))/1000,""))</f>
        <v>0</v>
      </c>
      <c r="P638" s="171"/>
      <c r="Q638" s="157"/>
      <c r="R638" s="27"/>
    </row>
    <row r="639" spans="1:18" ht="15">
      <c r="A639" s="173"/>
      <c r="B639" s="173" t="s">
        <v>1017</v>
      </c>
      <c r="C639" s="174">
        <v>739</v>
      </c>
      <c r="D639" s="168" t="s">
        <v>1017</v>
      </c>
      <c r="E639" s="168" t="s">
        <v>134</v>
      </c>
      <c r="F639" s="168"/>
      <c r="G639" s="169">
        <f>IF(OR(B639="",C639=""),"",IFERROR(INDEX(Vöruskrá!J:J,MATCH(B639,Vöruskrá!B:B,0))*C639/100000,""))</f>
        <v>1.10111</v>
      </c>
      <c r="H639" s="169">
        <f>IF(OR(B639="",C639=""),"",IFERROR(INDEX(Vöruskrá!K:K,MATCH(B639,Vöruskrá!B:B,0))*C639/100000,""))</f>
        <v>3.6949999999999999E-3</v>
      </c>
      <c r="I639" s="169">
        <f>IF(OR(B639="",C639=""),"",IFERROR(INDEX(Vöruskrá!L:L,MATCH(B639,Vöruskrá!B:B,0))*C639/100000,""))</f>
        <v>7.3900000000000007E-4</v>
      </c>
      <c r="J639" s="169">
        <f>IF(OR(B639="",C639=""),"",IFERROR(INDEX(Vöruskrá!M:M,MATCH(B639,Vöruskrá!B:B,0))*C639/100000,""))</f>
        <v>0.24460900000000002</v>
      </c>
      <c r="K639" s="169">
        <f>IF(OR(B639="",C639=""),"",IFERROR(INDEX(Vöruskrá!N:N,MATCH(B639,Vöruskrá!B:B,0))*C639/100000,""))</f>
        <v>7.3899999999999999E-3</v>
      </c>
      <c r="L639" s="169">
        <f>IF(OR(B639="",C639=""),"",IFERROR(INDEX(Vöruskrá!O:O,MATCH(B639,Vöruskrá!B:B,0))*C639/100000,""))</f>
        <v>4.7296000000000005E-2</v>
      </c>
      <c r="M639" s="169">
        <f>IF(OR(B639="",C639=""),"",IFERROR(INDEX(Vöruskrá!P:P,MATCH(B639,Vöruskrá!B:B,0))*C639/100000,""))</f>
        <v>0</v>
      </c>
      <c r="N639" s="169">
        <f>IF(OR(B639="",C639=""),"",IFERROR(INDEX(Vöruskrá!Q:Q,MATCH(B639,Vöruskrá!B:B,0))*C639/100000,""))</f>
        <v>1.5519000000000002E-2</v>
      </c>
      <c r="O639" s="170">
        <f>IF(OR(B639="",C639=""),"",IFERROR(C639/1000*INDEX(Vöruskrá!R:R,MATCH(B639,Vöruskrá!B:B,0))/1000,""))</f>
        <v>0</v>
      </c>
      <c r="P639" s="173"/>
      <c r="Q639" s="158"/>
      <c r="R639" s="6"/>
    </row>
    <row r="640" spans="1:18" ht="15">
      <c r="A640" s="171"/>
      <c r="B640" s="171" t="s">
        <v>1475</v>
      </c>
      <c r="C640" s="172">
        <v>370</v>
      </c>
      <c r="D640" s="168"/>
      <c r="E640" s="168"/>
      <c r="F640" s="168"/>
      <c r="G640" s="169">
        <f>IF(OR(B640="",C640=""),"",IFERROR(INDEX(Vöruskrá!J:J,MATCH(B640,Vöruskrá!B:B,0))*C640/100000,""))</f>
        <v>0</v>
      </c>
      <c r="H640" s="169">
        <f>IF(OR(B640="",C640=""),"",IFERROR(INDEX(Vöruskrá!K:K,MATCH(B640,Vöruskrá!B:B,0))*C640/100000,""))</f>
        <v>0</v>
      </c>
      <c r="I640" s="169">
        <f>IF(OR(B640="",C640=""),"",IFERROR(INDEX(Vöruskrá!L:L,MATCH(B640,Vöruskrá!B:B,0))*C640/100000,""))</f>
        <v>0</v>
      </c>
      <c r="J640" s="169">
        <f>IF(OR(B640="",C640=""),"",IFERROR(INDEX(Vöruskrá!M:M,MATCH(B640,Vöruskrá!B:B,0))*C640/100000,""))</f>
        <v>0</v>
      </c>
      <c r="K640" s="169">
        <f>IF(OR(B640="",C640=""),"",IFERROR(INDEX(Vöruskrá!N:N,MATCH(B640,Vöruskrá!B:B,0))*C640/100000,""))</f>
        <v>0</v>
      </c>
      <c r="L640" s="169">
        <f>IF(OR(B640="",C640=""),"",IFERROR(INDEX(Vöruskrá!O:O,MATCH(B640,Vöruskrá!B:B,0))*C640/100000,""))</f>
        <v>0</v>
      </c>
      <c r="M640" s="169">
        <f>IF(OR(B640="",C640=""),"",IFERROR(INDEX(Vöruskrá!P:P,MATCH(B640,Vöruskrá!B:B,0))*C640/100000,""))</f>
        <v>0</v>
      </c>
      <c r="N640" s="169">
        <f>IF(OR(B640="",C640=""),"",IFERROR(INDEX(Vöruskrá!Q:Q,MATCH(B640,Vöruskrá!B:B,0))*C640/100000,""))</f>
        <v>0</v>
      </c>
      <c r="O640" s="170">
        <f>IF(OR(B640="",C640=""),"",IFERROR(C640/1000*INDEX(Vöruskrá!R:R,MATCH(B640,Vöruskrá!B:B,0))/1000,""))</f>
        <v>0</v>
      </c>
      <c r="P640" s="171"/>
      <c r="Q640" s="157"/>
      <c r="R640" s="27"/>
    </row>
    <row r="641" spans="1:18" ht="15">
      <c r="A641" s="173"/>
      <c r="B641" s="173" t="s">
        <v>299</v>
      </c>
      <c r="C641" s="174">
        <v>591</v>
      </c>
      <c r="D641" s="168" t="s">
        <v>302</v>
      </c>
      <c r="E641" s="168" t="s">
        <v>134</v>
      </c>
      <c r="F641" s="168" t="s">
        <v>303</v>
      </c>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0.59099999999999997</v>
      </c>
      <c r="N641" s="169">
        <f>IF(OR(B641="",C641=""),"",IFERROR(INDEX(Vöruskrá!Q:Q,MATCH(B641,Vöruskrá!B:B,0))*C641/100000,""))</f>
        <v>0</v>
      </c>
      <c r="O641" s="170">
        <f>IF(OR(B641="",C641=""),"",IFERROR(C641/1000*INDEX(Vöruskrá!R:R,MATCH(B641,Vöruskrá!B:B,0))/1000,""))</f>
        <v>0</v>
      </c>
      <c r="P641" s="173"/>
      <c r="Q641" s="200"/>
      <c r="R641" s="159"/>
    </row>
    <row r="642" spans="1:18" ht="48">
      <c r="A642" s="147" t="s">
        <v>1879</v>
      </c>
      <c r="B642" s="147"/>
      <c r="C642" s="148"/>
      <c r="D642" s="165" t="s">
        <v>1880</v>
      </c>
      <c r="E642" s="165" t="s">
        <v>1798</v>
      </c>
      <c r="F642" s="165"/>
      <c r="G642" s="166">
        <v>54.12</v>
      </c>
      <c r="H642" s="166">
        <v>3.39</v>
      </c>
      <c r="I642" s="166">
        <v>1.9</v>
      </c>
      <c r="J642" s="166">
        <v>1.68</v>
      </c>
      <c r="K642" s="166"/>
      <c r="L642" s="166">
        <v>4.01</v>
      </c>
      <c r="M642" s="166">
        <v>1.19</v>
      </c>
      <c r="N642" s="166">
        <f>IFERROR(SUM(N643:N650)/(SUM($C$643:$C$650)/100000),"")</f>
        <v>0.22440900000000003</v>
      </c>
      <c r="O642" s="167" t="str">
        <f>IF(OR(B642="",C642=""),"",IFERROR(C642/1000*INDEX(Vöruskrá!R:R,MATCH(B642,Vöruskrá!B:B,0))/1000,""))</f>
        <v/>
      </c>
      <c r="P642" s="196" t="s">
        <v>1881</v>
      </c>
      <c r="Q642" s="195" t="s">
        <v>1882</v>
      </c>
      <c r="R642" s="194" t="s">
        <v>1883</v>
      </c>
    </row>
    <row r="643" spans="1:18" ht="15">
      <c r="A643" s="171"/>
      <c r="B643" s="171" t="s">
        <v>1486</v>
      </c>
      <c r="C643" s="172">
        <v>47244</v>
      </c>
      <c r="D643" s="168"/>
      <c r="E643" s="168"/>
      <c r="F643" s="168"/>
      <c r="G643" s="169">
        <f>IF(OR(B643="",C643=""),"",IFERROR(INDEX(Vöruskrá!J:J,MATCH(B643,Vöruskrá!B:B,0))*C643/100000,""))</f>
        <v>0</v>
      </c>
      <c r="H643" s="169">
        <f>IF(OR(B643="",C643=""),"",IFERROR(INDEX(Vöruskrá!K:K,MATCH(B643,Vöruskrá!B:B,0))*C643/100000,""))</f>
        <v>0</v>
      </c>
      <c r="I643" s="169">
        <f>IF(OR(B643="",C643=""),"",IFERROR(INDEX(Vöruskrá!L:L,MATCH(B643,Vöruskrá!B:B,0))*C643/100000,""))</f>
        <v>0</v>
      </c>
      <c r="J643" s="169">
        <f>IF(OR(B643="",C643=""),"",IFERROR(INDEX(Vöruskrá!M:M,MATCH(B643,Vöruskrá!B:B,0))*C643/100000,""))</f>
        <v>0</v>
      </c>
      <c r="K643" s="169">
        <f>IF(OR(B643="",C643=""),"",IFERROR(INDEX(Vöruskrá!N:N,MATCH(B643,Vöruskrá!B:B,0))*C643/100000,""))</f>
        <v>0</v>
      </c>
      <c r="L643" s="169">
        <f>IF(OR(B643="",C643=""),"",IFERROR(INDEX(Vöruskrá!O:O,MATCH(B643,Vöruskrá!B:B,0))*C643/100000,""))</f>
        <v>0</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97"/>
      <c r="R643" s="164"/>
    </row>
    <row r="644" spans="1:18">
      <c r="A644" s="173"/>
      <c r="B644" s="173" t="s">
        <v>1734</v>
      </c>
      <c r="C644" s="174">
        <v>23622</v>
      </c>
      <c r="D644" s="168"/>
      <c r="E644" s="168"/>
      <c r="F644" s="168"/>
      <c r="G644" s="169" t="str">
        <f>IF(OR(B644="",C644=""),"",IFERROR(INDEX(Vöruskrá!J:J,MATCH(B644,Vöruskrá!B:B,0))*C644/100000,""))</f>
        <v/>
      </c>
      <c r="H644" s="169" t="str">
        <f>IF(OR(B644="",C644=""),"",IFERROR(INDEX(Vöruskrá!K:K,MATCH(B644,Vöruskrá!B:B,0))*C644/100000,""))</f>
        <v/>
      </c>
      <c r="I644" s="169" t="str">
        <f>IF(OR(B644="",C644=""),"",IFERROR(INDEX(Vöruskrá!L:L,MATCH(B644,Vöruskrá!B:B,0))*C644/100000,""))</f>
        <v/>
      </c>
      <c r="J644" s="169" t="str">
        <f>IF(OR(B644="",C644=""),"",IFERROR(INDEX(Vöruskrá!M:M,MATCH(B644,Vöruskrá!B:B,0))*C644/100000,""))</f>
        <v/>
      </c>
      <c r="K644" s="169" t="str">
        <f>IF(OR(B644="",C644=""),"",IFERROR(INDEX(Vöruskrá!N:N,MATCH(B644,Vöruskrá!B:B,0))*C644/100000,""))</f>
        <v/>
      </c>
      <c r="L644" s="169" t="str">
        <f>IF(OR(B644="",C644=""),"",IFERROR(INDEX(Vöruskrá!O:O,MATCH(B644,Vöruskrá!B:B,0))*C644/100000,""))</f>
        <v/>
      </c>
      <c r="M644" s="169" t="str">
        <f>IF(OR(B644="",C644=""),"",IFERROR(INDEX(Vöruskrá!P:P,MATCH(B644,Vöruskrá!B:B,0))*C644/100000,""))</f>
        <v/>
      </c>
      <c r="N644" s="169" t="str">
        <f>IF(OR(B644="",C644=""),"",IFERROR(INDEX(Vöruskrá!Q:Q,MATCH(B644,Vöruskrá!B:B,0))*C644/100000,""))</f>
        <v/>
      </c>
      <c r="O644" s="170" t="str">
        <f>IF(OR(B644="",C644=""),"",IFERROR(C644/1000*INDEX(Vöruskrá!R:R,MATCH(B644,Vöruskrá!B:B,0))/1000,""))</f>
        <v/>
      </c>
      <c r="P644" s="173"/>
      <c r="Q644" s="157"/>
      <c r="R644" s="27"/>
    </row>
    <row r="645" spans="1:18" ht="15">
      <c r="A645" s="171"/>
      <c r="B645" s="171" t="s">
        <v>895</v>
      </c>
      <c r="C645" s="172">
        <v>15748</v>
      </c>
      <c r="D645" s="168" t="s">
        <v>897</v>
      </c>
      <c r="E645" s="168" t="s">
        <v>120</v>
      </c>
      <c r="F645" s="168"/>
      <c r="G645" s="169">
        <f>IF(OR(B645="",C645=""),"",IFERROR(INDEX(Vöruskrá!J:J,MATCH(B645,Vöruskrá!B:B,0))*C645/100000,""))</f>
        <v>47.401479999999999</v>
      </c>
      <c r="H645" s="169">
        <f>IF(OR(B645="",C645=""),"",IFERROR(INDEX(Vöruskrá!K:K,MATCH(B645,Vöruskrá!B:B,0))*C645/100000,""))</f>
        <v>3.30708</v>
      </c>
      <c r="I645" s="169">
        <f>IF(OR(B645="",C645=""),"",IFERROR(INDEX(Vöruskrá!L:L,MATCH(B645,Vöruskrá!B:B,0))*C645/100000,""))</f>
        <v>1.8897600000000001</v>
      </c>
      <c r="J645" s="169">
        <f>IF(OR(B645="",C645=""),"",IFERROR(INDEX(Vöruskrá!M:M,MATCH(B645,Vöruskrá!B:B,0))*C645/100000,""))</f>
        <v>0.50393600000000005</v>
      </c>
      <c r="K645" s="169">
        <f>IF(OR(B645="",C645=""),"",IFERROR(INDEX(Vöruskrá!N:N,MATCH(B645,Vöruskrá!B:B,0))*C645/100000,""))</f>
        <v>0.15748000000000001</v>
      </c>
      <c r="L645" s="169">
        <f>IF(OR(B645="",C645=""),"",IFERROR(INDEX(Vöruskrá!O:O,MATCH(B645,Vöruskrá!B:B,0))*C645/100000,""))</f>
        <v>3.7795200000000002</v>
      </c>
      <c r="M645" s="169">
        <f>IF(OR(B645="",C645=""),"",IFERROR(INDEX(Vöruskrá!P:P,MATCH(B645,Vöruskrá!B:B,0))*C645/100000,""))</f>
        <v>0.22047199999999997</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1116</v>
      </c>
      <c r="C646" s="174">
        <v>3937</v>
      </c>
      <c r="D646" s="168" t="s">
        <v>1117</v>
      </c>
      <c r="E646" s="168" t="s">
        <v>1099</v>
      </c>
      <c r="F646" s="168"/>
      <c r="G646" s="169">
        <f>IF(OR(B646="",C646=""),"",IFERROR(INDEX(Vöruskrá!J:J,MATCH(B646,Vöruskrá!B:B,0))*C646/100000,""))</f>
        <v>1.2204699999999999</v>
      </c>
      <c r="H646" s="169">
        <f>IF(OR(B646="",C646=""),"",IFERROR(INDEX(Vöruskrá!K:K,MATCH(B646,Vöruskrá!B:B,0))*C646/100000,""))</f>
        <v>1.1810999999999999E-2</v>
      </c>
      <c r="I646" s="169">
        <f>IF(OR(B646="",C646=""),"",IFERROR(INDEX(Vöruskrá!L:L,MATCH(B646,Vöruskrá!B:B,0))*C646/100000,""))</f>
        <v>0</v>
      </c>
      <c r="J646" s="169">
        <f>IF(OR(B646="",C646=""),"",IFERROR(INDEX(Vöruskrá!M:M,MATCH(B646,Vöruskrá!B:B,0))*C646/100000,""))</f>
        <v>0.23622000000000001</v>
      </c>
      <c r="K646" s="169">
        <f>IF(OR(B646="",C646=""),"",IFERROR(INDEX(Vöruskrá!N:N,MATCH(B646,Vöruskrá!B:B,0))*C646/100000,""))</f>
        <v>0.165354</v>
      </c>
      <c r="L646" s="169">
        <f>IF(OR(B646="",C646=""),"",IFERROR(INDEX(Vöruskrá!O:O,MATCH(B646,Vöruskrá!B:B,0))*C646/100000,""))</f>
        <v>3.9370000000000002E-2</v>
      </c>
      <c r="M646" s="169">
        <f>IF(OR(B646="",C646=""),"",IFERROR(INDEX(Vöruskrá!P:P,MATCH(B646,Vöruskrá!B:B,0))*C646/100000,""))</f>
        <v>0</v>
      </c>
      <c r="N646" s="169">
        <f>IF(OR(B646="",C646=""),"",IFERROR(INDEX(Vöruskrá!Q:Q,MATCH(B646,Vöruskrá!B:B,0))*C646/100000,""))</f>
        <v>8.2677E-2</v>
      </c>
      <c r="O646" s="170">
        <f>IF(OR(B646="",C646=""),"",IFERROR(C646/1000*INDEX(Vöruskrá!R:R,MATCH(B646,Vöruskrá!B:B,0))/1000,""))</f>
        <v>0</v>
      </c>
      <c r="P646" s="173"/>
      <c r="Q646" s="157"/>
      <c r="R646" s="27"/>
    </row>
    <row r="647" spans="1:18" ht="15">
      <c r="A647" s="171"/>
      <c r="B647" s="171" t="s">
        <v>489</v>
      </c>
      <c r="C647" s="172">
        <v>1181</v>
      </c>
      <c r="D647" s="168" t="s">
        <v>490</v>
      </c>
      <c r="E647" s="168" t="s">
        <v>134</v>
      </c>
      <c r="F647" s="168" t="s">
        <v>311</v>
      </c>
      <c r="G647" s="169">
        <f>IF(OR(B647="",C647=""),"",IFERROR(INDEX(Vöruskrá!J:J,MATCH(B647,Vöruskrá!B:B,0))*C647/100000,""))</f>
        <v>2.62182</v>
      </c>
      <c r="H647" s="169">
        <f>IF(OR(B647="",C647=""),"",IFERROR(INDEX(Vöruskrá!K:K,MATCH(B647,Vöruskrá!B:B,0))*C647/100000,""))</f>
        <v>7.0860000000000006E-2</v>
      </c>
      <c r="I647" s="169">
        <f>IF(OR(B647="",C647=""),"",IFERROR(INDEX(Vöruskrá!L:L,MATCH(B647,Vöruskrá!B:B,0))*C647/100000,""))</f>
        <v>1.0629000000000001E-2</v>
      </c>
      <c r="J647" s="169">
        <f>IF(OR(B647="",C647=""),"",IFERROR(INDEX(Vöruskrá!M:M,MATCH(B647,Vöruskrá!B:B,0))*C647/100000,""))</f>
        <v>0.3543</v>
      </c>
      <c r="K647" s="169">
        <f>IF(OR(B647="",C647=""),"",IFERROR(INDEX(Vöruskrá!N:N,MATCH(B647,Vöruskrá!B:B,0))*C647/100000,""))</f>
        <v>5.4325999999999992E-2</v>
      </c>
      <c r="L647" s="169">
        <f>IF(OR(B647="",C647=""),"",IFERROR(INDEX(Vöruskrá!O:O,MATCH(B647,Vöruskrá!B:B,0))*C647/100000,""))</f>
        <v>8.3851000000000009E-2</v>
      </c>
      <c r="M647" s="169">
        <f>IF(OR(B647="",C647=""),"",IFERROR(INDEX(Vöruskrá!P:P,MATCH(B647,Vöruskrá!B:B,0))*C647/100000,""))</f>
        <v>0.53144999999999998</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1010</v>
      </c>
      <c r="C648" s="174">
        <v>3937</v>
      </c>
      <c r="D648" s="168" t="s">
        <v>1010</v>
      </c>
      <c r="E648" s="168" t="s">
        <v>134</v>
      </c>
      <c r="F648" s="168"/>
      <c r="G648" s="169">
        <f>IF(OR(B648="",C648=""),"",IFERROR(INDEX(Vöruskrá!J:J,MATCH(B648,Vöruskrá!B:B,0))*C648/100000,""))</f>
        <v>1.5748</v>
      </c>
      <c r="H648" s="169">
        <f>IF(OR(B648="",C648=""),"",IFERROR(INDEX(Vöruskrá!K:K,MATCH(B648,Vöruskrá!B:B,0))*C648/100000,""))</f>
        <v>3.9370000000000004E-3</v>
      </c>
      <c r="I648" s="169">
        <f>IF(OR(B648="",C648=""),"",IFERROR(INDEX(Vöruskrá!L:L,MATCH(B648,Vöruskrá!B:B,0))*C648/100000,""))</f>
        <v>0</v>
      </c>
      <c r="J648" s="169">
        <f>IF(OR(B648="",C648=""),"",IFERROR(INDEX(Vöruskrá!M:M,MATCH(B648,Vöruskrá!B:B,0))*C648/100000,""))</f>
        <v>0.36614100000000005</v>
      </c>
      <c r="K648" s="169">
        <f>IF(OR(B648="",C648=""),"",IFERROR(INDEX(Vöruskrá!N:N,MATCH(B648,Vöruskrá!B:B,0))*C648/100000,""))</f>
        <v>0.165354</v>
      </c>
      <c r="L648" s="169">
        <f>IF(OR(B648="",C648=""),"",IFERROR(INDEX(Vöruskrá!O:O,MATCH(B648,Vöruskrá!B:B,0))*C648/100000,""))</f>
        <v>4.3307000000000005E-2</v>
      </c>
      <c r="M648" s="169">
        <f>IF(OR(B648="",C648=""),"",IFERROR(INDEX(Vöruskrá!P:P,MATCH(B648,Vöruskrá!B:B,0))*C648/100000,""))</f>
        <v>0</v>
      </c>
      <c r="N648" s="169">
        <f>IF(OR(B648="",C648=""),"",IFERROR(INDEX(Vöruskrá!Q:Q,MATCH(B648,Vöruskrá!B:B,0))*C648/100000,""))</f>
        <v>6.6929000000000002E-2</v>
      </c>
      <c r="O648" s="170">
        <f>IF(OR(B648="",C648=""),"",IFERROR(C648/1000*INDEX(Vöruskrá!R:R,MATCH(B648,Vöruskrá!B:B,0))/1000,""))</f>
        <v>0</v>
      </c>
      <c r="P648" s="173"/>
      <c r="Q648" s="157"/>
      <c r="R648" s="27"/>
    </row>
    <row r="649" spans="1:18" ht="15">
      <c r="A649" s="171"/>
      <c r="B649" s="171" t="s">
        <v>420</v>
      </c>
      <c r="C649" s="172">
        <v>3937</v>
      </c>
      <c r="D649" s="168" t="s">
        <v>421</v>
      </c>
      <c r="E649" s="168" t="s">
        <v>134</v>
      </c>
      <c r="F649" s="168"/>
      <c r="G649" s="169">
        <f>IF(OR(B649="",C649=""),"",IFERROR(INDEX(Vöruskrá!J:J,MATCH(B649,Vöruskrá!B:B,0))*C649/100000,""))</f>
        <v>1.29921</v>
      </c>
      <c r="H649" s="169">
        <f>IF(OR(B649="",C649=""),"",IFERROR(INDEX(Vöruskrá!K:K,MATCH(B649,Vöruskrá!B:B,0))*C649/100000,""))</f>
        <v>0</v>
      </c>
      <c r="I649" s="169">
        <f>IF(OR(B649="",C649=""),"",IFERROR(INDEX(Vöruskrá!L:L,MATCH(B649,Vöruskrá!B:B,0))*C649/100000,""))</f>
        <v>0</v>
      </c>
      <c r="J649" s="169">
        <f>IF(OR(B649="",C649=""),"",IFERROR(INDEX(Vöruskrá!M:M,MATCH(B649,Vöruskrá!B:B,0))*C649/100000,""))</f>
        <v>0.21653500000000001</v>
      </c>
      <c r="K649" s="169">
        <f>IF(OR(B649="",C649=""),"",IFERROR(INDEX(Vöruskrá!N:N,MATCH(B649,Vöruskrá!B:B,0))*C649/100000,""))</f>
        <v>0.18897599999999998</v>
      </c>
      <c r="L649" s="169">
        <f>IF(OR(B649="",C649=""),"",IFERROR(INDEX(Vöruskrá!O:O,MATCH(B649,Vöruskrá!B:B,0))*C649/100000,""))</f>
        <v>6.2992000000000006E-2</v>
      </c>
      <c r="M649" s="169">
        <f>IF(OR(B649="",C649=""),"",IFERROR(INDEX(Vöruskrá!P:P,MATCH(B649,Vöruskrá!B:B,0))*C649/100000,""))</f>
        <v>3.9370000000000002E-2</v>
      </c>
      <c r="N649" s="169">
        <f>IF(OR(B649="",C649=""),"",IFERROR(INDEX(Vöruskrá!Q:Q,MATCH(B649,Vöruskrá!B:B,0))*C649/100000,""))</f>
        <v>7.4802999999999994E-2</v>
      </c>
      <c r="O649" s="170">
        <f>IF(OR(B649="",C649=""),"",IFERROR(C649/1000*INDEX(Vöruskrá!R:R,MATCH(B649,Vöruskrá!B:B,0))/1000,""))</f>
        <v>0</v>
      </c>
      <c r="P649" s="171"/>
      <c r="Q649" s="158"/>
      <c r="R649" s="6"/>
    </row>
    <row r="650" spans="1:18" ht="15">
      <c r="A650" s="180"/>
      <c r="B650" s="180" t="s">
        <v>299</v>
      </c>
      <c r="C650" s="181">
        <v>394</v>
      </c>
      <c r="D650" s="177" t="s">
        <v>302</v>
      </c>
      <c r="E650" s="177" t="s">
        <v>134</v>
      </c>
      <c r="F650" s="177" t="s">
        <v>303</v>
      </c>
      <c r="G650" s="178">
        <f>IF(OR(B650="",C650=""),"",IFERROR(INDEX(Vöruskrá!J:J,MATCH(B650,Vöruskrá!B:B,0))*C650/100000,""))</f>
        <v>0</v>
      </c>
      <c r="H650" s="178">
        <f>IF(OR(B650="",C650=""),"",IFERROR(INDEX(Vöruskrá!K:K,MATCH(B650,Vöruskrá!B:B,0))*C650/100000,""))</f>
        <v>0</v>
      </c>
      <c r="I650" s="178">
        <f>IF(OR(B650="",C650=""),"",IFERROR(INDEX(Vöruskrá!L:L,MATCH(B650,Vöruskrá!B:B,0))*C650/100000,""))</f>
        <v>0</v>
      </c>
      <c r="J650" s="178">
        <f>IF(OR(B650="",C650=""),"",IFERROR(INDEX(Vöruskrá!M:M,MATCH(B650,Vöruskrá!B:B,0))*C650/100000,""))</f>
        <v>0</v>
      </c>
      <c r="K650" s="178">
        <f>IF(OR(B650="",C650=""),"",IFERROR(INDEX(Vöruskrá!N:N,MATCH(B650,Vöruskrá!B:B,0))*C650/100000,""))</f>
        <v>0</v>
      </c>
      <c r="L650" s="178">
        <f>IF(OR(B650="",C650=""),"",IFERROR(INDEX(Vöruskrá!O:O,MATCH(B650,Vöruskrá!B:B,0))*C650/100000,""))</f>
        <v>0</v>
      </c>
      <c r="M650" s="178">
        <f>IF(OR(B650="",C650=""),"",IFERROR(INDEX(Vöruskrá!P:P,MATCH(B650,Vöruskrá!B:B,0))*C650/100000,""))</f>
        <v>0.39400000000000002</v>
      </c>
      <c r="N650" s="178">
        <f>IF(OR(B650="",C650=""),"",IFERROR(INDEX(Vöruskrá!Q:Q,MATCH(B650,Vöruskrá!B:B,0))*C650/100000,""))</f>
        <v>0</v>
      </c>
      <c r="O650" s="179">
        <f>IF(OR(B650="",C650=""),"",IFERROR(C650/1000*INDEX(Vöruskrá!R:R,MATCH(B650,Vöruskrá!B:B,0))/1000,""))</f>
        <v>0</v>
      </c>
      <c r="P650" s="180"/>
      <c r="Q650" s="201"/>
      <c r="R650" s="202"/>
    </row>
    <row r="651" spans="1:18" ht="48">
      <c r="A651" s="147" t="s">
        <v>1884</v>
      </c>
      <c r="B651" s="147"/>
      <c r="C651" s="148"/>
      <c r="D651" s="165" t="s">
        <v>1885</v>
      </c>
      <c r="E651" s="165" t="s">
        <v>1099</v>
      </c>
      <c r="F651" s="165"/>
      <c r="G651" s="166">
        <v>29.12</v>
      </c>
      <c r="H651" s="166">
        <v>0.33</v>
      </c>
      <c r="I651" s="166">
        <v>0.04</v>
      </c>
      <c r="J651" s="166">
        <v>5.84</v>
      </c>
      <c r="K651" s="166"/>
      <c r="L651" s="166">
        <v>1.1299999999999999</v>
      </c>
      <c r="M651" s="166">
        <v>0.67</v>
      </c>
      <c r="N651" s="166">
        <f>IFERROR(SUM(N652:N659)/(SUM($C$652:$C$659)/100000),"")</f>
        <v>0.65653043469565309</v>
      </c>
      <c r="O651" s="167" t="str">
        <f>IF(OR(B651="",C651=""),"",IFERROR(C651/1000*IFERROR(INDEX(Vöruskrá!R:R,MATCH(B651,Vöruskrá!B:B,0)),0)/1000,""))</f>
        <v/>
      </c>
      <c r="P651" s="196" t="s">
        <v>1886</v>
      </c>
      <c r="Q651" s="199" t="s">
        <v>1887</v>
      </c>
      <c r="R651" s="198" t="s">
        <v>1888</v>
      </c>
    </row>
    <row r="652" spans="1:18" ht="15">
      <c r="A652" s="171"/>
      <c r="B652" s="171" t="s">
        <v>1478</v>
      </c>
      <c r="C652" s="172">
        <v>28986</v>
      </c>
      <c r="D652" s="168"/>
      <c r="E652" s="168"/>
      <c r="F652" s="168"/>
      <c r="G652" s="169">
        <f>IF(OR(B652="",C652=""),"",IFERROR(IFERROR(INDEX(Vöruskrá!J:J,MATCH(B652,Vöruskrá!B:B,0)),0)*C652/100000,""))</f>
        <v>0</v>
      </c>
      <c r="H652" s="169">
        <f>IF(OR(B652="",C652=""),"",IFERROR(IFERROR(INDEX(Vöruskrá!K:K,MATCH(B652,Vöruskrá!B:B,0)),0)*C652/100000,""))</f>
        <v>0</v>
      </c>
      <c r="I652" s="169">
        <f>IF(OR(B652="",C652=""),"",IFERROR(IFERROR(INDEX(Vöruskrá!L:L,MATCH(B652,Vöruskrá!B:B,0)),0)*C652/100000,""))</f>
        <v>0</v>
      </c>
      <c r="J652" s="169">
        <f>IF(OR(B652="",C652=""),"",IFERROR(IFERROR(INDEX(Vöruskrá!M:M,MATCH(B652,Vöruskrá!B:B,0)),0)*C652/100000,""))</f>
        <v>0</v>
      </c>
      <c r="K652" s="169">
        <f>IF(OR(B652="",C652=""),"",IFERROR(IFERROR(INDEX(Vöruskrá!N:N,MATCH(B652,Vöruskrá!B:B,0)),0)*C652/100000,""))</f>
        <v>0</v>
      </c>
      <c r="L652" s="169">
        <f>IF(OR(B652="",C652=""),"",IFERROR(IFERROR(INDEX(Vöruskrá!O:O,MATCH(B652,Vöruskrá!B:B,0)),0)*C652/100000,""))</f>
        <v>0</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1"/>
      <c r="Q652" s="203"/>
      <c r="R652" s="204"/>
    </row>
    <row r="653" spans="1:18" ht="15">
      <c r="A653" s="173"/>
      <c r="B653" s="173" t="s">
        <v>1479</v>
      </c>
      <c r="C653" s="174">
        <v>14493</v>
      </c>
      <c r="D653" s="168"/>
      <c r="E653" s="168"/>
      <c r="F653" s="168"/>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8"/>
      <c r="R653" s="6"/>
    </row>
    <row r="654" spans="1:18" ht="15">
      <c r="A654" s="171"/>
      <c r="B654" s="171" t="s">
        <v>1097</v>
      </c>
      <c r="C654" s="172">
        <v>14493</v>
      </c>
      <c r="D654" s="168" t="s">
        <v>1098</v>
      </c>
      <c r="E654" s="168" t="s">
        <v>1099</v>
      </c>
      <c r="F654" s="168" t="s">
        <v>1100</v>
      </c>
      <c r="G654" s="169">
        <f>IF(OR(B654="",C654=""),"",IFERROR(IFERROR(INDEX(Vöruskrá!J:J,MATCH(B654,Vöruskrá!B:B,0)),0)*C654/100000,""))</f>
        <v>12.463979999999999</v>
      </c>
      <c r="H654" s="169">
        <f>IF(OR(B654="",C654=""),"",IFERROR(IFERROR(INDEX(Vöruskrá!K:K,MATCH(B654,Vöruskrá!B:B,0)),0)*C654/100000,""))</f>
        <v>0.17391599999999999</v>
      </c>
      <c r="I654" s="169">
        <f>IF(OR(B654="",C654=""),"",IFERROR(IFERROR(INDEX(Vöruskrá!L:L,MATCH(B654,Vöruskrá!B:B,0)),0)*C654/100000,""))</f>
        <v>2.8986000000000005E-2</v>
      </c>
      <c r="J654" s="169">
        <f>IF(OR(B654="",C654=""),"",IFERROR(IFERROR(INDEX(Vöruskrá!M:M,MATCH(B654,Vöruskrá!B:B,0)),0)*C654/100000,""))</f>
        <v>2.7536700000000001</v>
      </c>
      <c r="K654" s="169">
        <f>IF(OR(B654="",C654=""),"",IFERROR(IFERROR(INDEX(Vöruskrá!N:N,MATCH(B654,Vöruskrá!B:B,0)),0)*C654/100000,""))</f>
        <v>0.46377600000000008</v>
      </c>
      <c r="L654" s="169">
        <f>IF(OR(B654="",C654=""),"",IFERROR(IFERROR(INDEX(Vöruskrá!O:O,MATCH(B654,Vöruskrá!B:B,0)),0)*C654/100000,""))</f>
        <v>0.46377600000000008</v>
      </c>
      <c r="M654" s="169">
        <f>IF(OR(B654="",C654=""),"",IFERROR(IFERROR(INDEX(Vöruskrá!P:P,MATCH(B654,Vöruskrá!B:B,0)),0)*C654/100000,""))</f>
        <v>1.4493000000000002E-2</v>
      </c>
      <c r="N654" s="169">
        <f>IF(OR(B654="",C654=""),"",IFERROR(IFERROR(INDEX(Vöruskrá!Q:Q,MATCH(B654,Vöruskrá!B:B,0)),0)*C654/100000,""))</f>
        <v>0.28986000000000001</v>
      </c>
      <c r="O654" s="170">
        <f>IF(OR(B654="",C654=""),"",IFERROR(C654/1000*IFERROR(INDEX(Vöruskrá!R:R,MATCH(B654,Vöruskrá!B:B,0)),0)/1000,""))</f>
        <v>0</v>
      </c>
      <c r="P654" s="171"/>
      <c r="Q654" s="157"/>
      <c r="R654" s="27"/>
    </row>
    <row r="655" spans="1:18" ht="15">
      <c r="A655" s="173"/>
      <c r="B655" s="173" t="s">
        <v>1116</v>
      </c>
      <c r="C655" s="174">
        <v>10870</v>
      </c>
      <c r="D655" s="168" t="s">
        <v>1117</v>
      </c>
      <c r="E655" s="168" t="s">
        <v>1099</v>
      </c>
      <c r="F655" s="168"/>
      <c r="G655" s="169">
        <f>IF(OR(B655="",C655=""),"",IFERROR(IFERROR(INDEX(Vöruskrá!J:J,MATCH(B655,Vöruskrá!B:B,0)),0)*C655/100000,""))</f>
        <v>3.3696999999999999</v>
      </c>
      <c r="H655" s="169">
        <f>IF(OR(B655="",C655=""),"",IFERROR(IFERROR(INDEX(Vöruskrá!K:K,MATCH(B655,Vöruskrá!B:B,0)),0)*C655/100000,""))</f>
        <v>3.261E-2</v>
      </c>
      <c r="I655" s="169">
        <f>IF(OR(B655="",C655=""),"",IFERROR(IFERROR(INDEX(Vöruskrá!L:L,MATCH(B655,Vöruskrá!B:B,0)),0)*C655/100000,""))</f>
        <v>0</v>
      </c>
      <c r="J655" s="169">
        <f>IF(OR(B655="",C655=""),"",IFERROR(IFERROR(INDEX(Vöruskrá!M:M,MATCH(B655,Vöruskrá!B:B,0)),0)*C655/100000,""))</f>
        <v>0.6522</v>
      </c>
      <c r="K655" s="169">
        <f>IF(OR(B655="",C655=""),"",IFERROR(IFERROR(INDEX(Vöruskrá!N:N,MATCH(B655,Vöruskrá!B:B,0)),0)*C655/100000,""))</f>
        <v>0.45654</v>
      </c>
      <c r="L655" s="169">
        <f>IF(OR(B655="",C655=""),"",IFERROR(IFERROR(INDEX(Vöruskrá!O:O,MATCH(B655,Vöruskrá!B:B,0)),0)*C655/100000,""))</f>
        <v>0.1087</v>
      </c>
      <c r="M655" s="169">
        <f>IF(OR(B655="",C655=""),"",IFERROR(IFERROR(INDEX(Vöruskrá!P:P,MATCH(B655,Vöruskrá!B:B,0)),0)*C655/100000,""))</f>
        <v>0</v>
      </c>
      <c r="N655" s="169">
        <f>IF(OR(B655="",C655=""),"",IFERROR(IFERROR(INDEX(Vöruskrá!Q:Q,MATCH(B655,Vöruskrá!B:B,0)),0)*C655/100000,""))</f>
        <v>0.22827</v>
      </c>
      <c r="O655" s="170">
        <f>IF(OR(B655="",C655=""),"",IFERROR(C655/1000*IFERROR(INDEX(Vöruskrá!R:R,MATCH(B655,Vöruskrá!B:B,0)),0)/1000,""))</f>
        <v>0</v>
      </c>
      <c r="P655" s="173"/>
      <c r="Q655" s="158"/>
      <c r="R655" s="6"/>
    </row>
    <row r="656" spans="1:18" ht="15">
      <c r="A656" s="171"/>
      <c r="B656" s="171" t="s">
        <v>1010</v>
      </c>
      <c r="C656" s="172">
        <v>7246</v>
      </c>
      <c r="D656" s="168" t="s">
        <v>1010</v>
      </c>
      <c r="E656" s="168" t="s">
        <v>134</v>
      </c>
      <c r="F656" s="168"/>
      <c r="G656" s="169">
        <f>IF(OR(B656="",C656=""),"",IFERROR(IFERROR(INDEX(Vöruskrá!J:J,MATCH(B656,Vöruskrá!B:B,0)),0)*C656/100000,""))</f>
        <v>2.8984000000000001</v>
      </c>
      <c r="H656" s="169">
        <f>IF(OR(B656="",C656=""),"",IFERROR(IFERROR(INDEX(Vöruskrá!K:K,MATCH(B656,Vöruskrá!B:B,0)),0)*C656/100000,""))</f>
        <v>7.2459999999999998E-3</v>
      </c>
      <c r="I656" s="169">
        <f>IF(OR(B656="",C656=""),"",IFERROR(IFERROR(INDEX(Vöruskrá!L:L,MATCH(B656,Vöruskrá!B:B,0)),0)*C656/100000,""))</f>
        <v>0</v>
      </c>
      <c r="J656" s="169">
        <f>IF(OR(B656="",C656=""),"",IFERROR(IFERROR(INDEX(Vöruskrá!M:M,MATCH(B656,Vöruskrá!B:B,0)),0)*C656/100000,""))</f>
        <v>0.67387799999999998</v>
      </c>
      <c r="K656" s="169">
        <f>IF(OR(B656="",C656=""),"",IFERROR(IFERROR(INDEX(Vöruskrá!N:N,MATCH(B656,Vöruskrá!B:B,0)),0)*C656/100000,""))</f>
        <v>0.30433199999999999</v>
      </c>
      <c r="L656" s="169">
        <f>IF(OR(B656="",C656=""),"",IFERROR(IFERROR(INDEX(Vöruskrá!O:O,MATCH(B656,Vöruskrá!B:B,0)),0)*C656/100000,""))</f>
        <v>7.9705999999999999E-2</v>
      </c>
      <c r="M656" s="169">
        <f>IF(OR(B656="",C656=""),"",IFERROR(IFERROR(INDEX(Vöruskrá!P:P,MATCH(B656,Vöruskrá!B:B,0)),0)*C656/100000,""))</f>
        <v>0</v>
      </c>
      <c r="N656" s="169">
        <f>IF(OR(B656="",C656=""),"",IFERROR(IFERROR(INDEX(Vöruskrá!Q:Q,MATCH(B656,Vöruskrá!B:B,0)),0)*C656/100000,""))</f>
        <v>0.12318199999999999</v>
      </c>
      <c r="O656" s="170">
        <f>IF(OR(B656="",C656=""),"",IFERROR(C656/1000*IFERROR(INDEX(Vöruskrá!R:R,MATCH(B656,Vöruskrá!B:B,0)),0)/1000,""))</f>
        <v>0</v>
      </c>
      <c r="P656" s="171"/>
      <c r="Q656" s="157"/>
      <c r="R656" s="27"/>
    </row>
    <row r="657" spans="1:18" ht="15">
      <c r="A657" s="173"/>
      <c r="B657" s="173" t="s">
        <v>743</v>
      </c>
      <c r="C657" s="174">
        <v>21739</v>
      </c>
      <c r="D657" s="168" t="s">
        <v>745</v>
      </c>
      <c r="E657" s="168"/>
      <c r="F657" s="168"/>
      <c r="G657" s="169">
        <f>IF(OR(B657="",C657=""),"",IFERROR(IFERROR(INDEX(Vöruskrá!J:J,MATCH(B657,Vöruskrá!B:B,0)),0)*C657/100000,""))</f>
        <v>6.0869200000000001</v>
      </c>
      <c r="H657" s="169">
        <f>IF(OR(B657="",C657=""),"",IFERROR(IFERROR(INDEX(Vöruskrá!K:K,MATCH(B657,Vöruskrá!B:B,0)),0)*C657/100000,""))</f>
        <v>2.1739000000000001E-2</v>
      </c>
      <c r="I657" s="169">
        <f>IF(OR(B657="",C657=""),"",IFERROR(IFERROR(INDEX(Vöruskrá!L:L,MATCH(B657,Vöruskrá!B:B,0)),0)*C657/100000,""))</f>
        <v>0</v>
      </c>
      <c r="J657" s="169">
        <f>IF(OR(B657="",C657=""),"",IFERROR(IFERROR(INDEX(Vöruskrá!M:M,MATCH(B657,Vöruskrá!B:B,0)),0)*C657/100000,""))</f>
        <v>1.0869500000000001</v>
      </c>
      <c r="K657" s="169">
        <f>IF(OR(B657="",C657=""),"",IFERROR(IFERROR(INDEX(Vöruskrá!N:N,MATCH(B657,Vöruskrá!B:B,0)),0)*C657/100000,""))</f>
        <v>0.73912599999999995</v>
      </c>
      <c r="L657" s="169">
        <f>IF(OR(B657="",C657=""),"",IFERROR(IFERROR(INDEX(Vöruskrá!O:O,MATCH(B657,Vöruskrá!B:B,0)),0)*C657/100000,""))</f>
        <v>0.32608500000000001</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3"/>
      <c r="Q657" s="158"/>
      <c r="R657" s="6"/>
    </row>
    <row r="658" spans="1:18" ht="15">
      <c r="A658" s="171"/>
      <c r="B658" s="171" t="s">
        <v>489</v>
      </c>
      <c r="C658" s="172">
        <v>1449</v>
      </c>
      <c r="D658" s="168" t="s">
        <v>490</v>
      </c>
      <c r="E658" s="168" t="s">
        <v>134</v>
      </c>
      <c r="F658" s="168" t="s">
        <v>311</v>
      </c>
      <c r="G658" s="169">
        <f>IF(OR(B658="",C658=""),"",IFERROR(IFERROR(INDEX(Vöruskrá!J:J,MATCH(B658,Vöruskrá!B:B,0)),0)*C658/100000,""))</f>
        <v>3.21678</v>
      </c>
      <c r="H658" s="169">
        <f>IF(OR(B658="",C658=""),"",IFERROR(IFERROR(INDEX(Vöruskrá!K:K,MATCH(B658,Vöruskrá!B:B,0)),0)*C658/100000,""))</f>
        <v>8.6940000000000003E-2</v>
      </c>
      <c r="I658" s="169">
        <f>IF(OR(B658="",C658=""),"",IFERROR(IFERROR(INDEX(Vöruskrá!L:L,MATCH(B658,Vöruskrá!B:B,0)),0)*C658/100000,""))</f>
        <v>1.3041000000000001E-2</v>
      </c>
      <c r="J658" s="169">
        <f>IF(OR(B658="",C658=""),"",IFERROR(IFERROR(INDEX(Vöruskrá!M:M,MATCH(B658,Vöruskrá!B:B,0)),0)*C658/100000,""))</f>
        <v>0.43469999999999998</v>
      </c>
      <c r="K658" s="169">
        <f>IF(OR(B658="",C658=""),"",IFERROR(IFERROR(INDEX(Vöruskrá!N:N,MATCH(B658,Vöruskrá!B:B,0)),0)*C658/100000,""))</f>
        <v>6.6653999999999991E-2</v>
      </c>
      <c r="L658" s="169">
        <f>IF(OR(B658="",C658=""),"",IFERROR(IFERROR(INDEX(Vöruskrá!O:O,MATCH(B658,Vöruskrá!B:B,0)),0)*C658/100000,""))</f>
        <v>0.102879</v>
      </c>
      <c r="M658" s="169">
        <f>IF(OR(B658="",C658=""),"",IFERROR(IFERROR(INDEX(Vöruskrá!P:P,MATCH(B658,Vöruskrá!B:B,0)),0)*C658/100000,""))</f>
        <v>0.65205000000000002</v>
      </c>
      <c r="N658" s="169">
        <f>IF(OR(B658="",C658=""),"",IFERROR(IFERROR(INDEX(Vöruskrá!Q:Q,MATCH(B658,Vöruskrá!B:B,0)),0)*C658/100000,""))</f>
        <v>0</v>
      </c>
      <c r="O658" s="170">
        <f>IF(OR(B658="",C658=""),"",IFERROR(C658/1000*IFERROR(INDEX(Vöruskrá!R:R,MATCH(B658,Vöruskrá!B:B,0)),0)/1000,""))</f>
        <v>0</v>
      </c>
      <c r="P658" s="171"/>
      <c r="Q658" s="157"/>
      <c r="R658" s="27"/>
    </row>
    <row r="659" spans="1:18" ht="15">
      <c r="A659" s="173"/>
      <c r="B659" s="173" t="s">
        <v>1017</v>
      </c>
      <c r="C659" s="174">
        <v>725</v>
      </c>
      <c r="D659" s="168" t="s">
        <v>1017</v>
      </c>
      <c r="E659" s="168" t="s">
        <v>134</v>
      </c>
      <c r="F659" s="168"/>
      <c r="G659" s="169">
        <f>IF(OR(B659="",C659=""),"",IFERROR(IFERROR(INDEX(Vöruskrá!J:J,MATCH(B659,Vöruskrá!B:B,0)),0)*C659/100000,""))</f>
        <v>1.0802499999999999</v>
      </c>
      <c r="H659" s="169">
        <f>IF(OR(B659="",C659=""),"",IFERROR(IFERROR(INDEX(Vöruskrá!K:K,MATCH(B659,Vöruskrá!B:B,0)),0)*C659/100000,""))</f>
        <v>3.6250000000000002E-3</v>
      </c>
      <c r="I659" s="169">
        <f>IF(OR(B659="",C659=""),"",IFERROR(IFERROR(INDEX(Vöruskrá!L:L,MATCH(B659,Vöruskrá!B:B,0)),0)*C659/100000,""))</f>
        <v>7.2499999999999995E-4</v>
      </c>
      <c r="J659" s="169">
        <f>IF(OR(B659="",C659=""),"",IFERROR(IFERROR(INDEX(Vöruskrá!M:M,MATCH(B659,Vöruskrá!B:B,0)),0)*C659/100000,""))</f>
        <v>0.23997499999999999</v>
      </c>
      <c r="K659" s="169">
        <f>IF(OR(B659="",C659=""),"",IFERROR(IFERROR(INDEX(Vöruskrá!N:N,MATCH(B659,Vöruskrá!B:B,0)),0)*C659/100000,""))</f>
        <v>7.2500000000000004E-3</v>
      </c>
      <c r="L659" s="169">
        <f>IF(OR(B659="",C659=""),"",IFERROR(IFERROR(INDEX(Vöruskrá!O:O,MATCH(B659,Vöruskrá!B:B,0)),0)*C659/100000,""))</f>
        <v>4.6399999999999997E-2</v>
      </c>
      <c r="M659" s="169">
        <f>IF(OR(B659="",C659=""),"",IFERROR(IFERROR(INDEX(Vöruskrá!P:P,MATCH(B659,Vöruskrá!B:B,0)),0)*C659/100000,""))</f>
        <v>0</v>
      </c>
      <c r="N659" s="169">
        <f>IF(OR(B659="",C659=""),"",IFERROR(IFERROR(INDEX(Vöruskrá!Q:Q,MATCH(B659,Vöruskrá!B:B,0)),0)*C659/100000,""))</f>
        <v>1.5225000000000001E-2</v>
      </c>
      <c r="O659" s="170">
        <f>IF(OR(B659="",C659=""),"",IFERROR(C659/1000*IFERROR(INDEX(Vöruskrá!R:R,MATCH(B659,Vöruskrá!B:B,0)),0)/1000,""))</f>
        <v>0</v>
      </c>
      <c r="P659" s="173"/>
      <c r="Q659" s="200"/>
      <c r="R659" s="159"/>
    </row>
    <row r="660" spans="1:18" ht="48">
      <c r="A660" s="147" t="s">
        <v>1889</v>
      </c>
      <c r="B660" s="147"/>
      <c r="C660" s="148"/>
      <c r="D660" s="165" t="s">
        <v>1890</v>
      </c>
      <c r="E660" s="165" t="s">
        <v>134</v>
      </c>
      <c r="F660" s="165"/>
      <c r="G660" s="166">
        <v>54.1</v>
      </c>
      <c r="H660" s="166">
        <v>4.66</v>
      </c>
      <c r="I660" s="166">
        <v>3.76</v>
      </c>
      <c r="J660" s="166">
        <v>2.56</v>
      </c>
      <c r="K660" s="166"/>
      <c r="L660" s="166">
        <v>0.87</v>
      </c>
      <c r="M660" s="166">
        <v>0</v>
      </c>
      <c r="N660" s="166">
        <f>IFERROR(SUM(N661:N667)/(SUM($C$661:$C$667)/100000),"")</f>
        <v>0.60032202491386166</v>
      </c>
      <c r="O660" s="167" t="str">
        <f>IF(OR(B660="",C660=""),"",IFERROR(C660/1000*IFERROR(INDEX(Vöruskrá!R:R,MATCH(B660,Vöruskrá!B:B,0)),0)/1000,""))</f>
        <v/>
      </c>
      <c r="P660" s="196" t="s">
        <v>1891</v>
      </c>
      <c r="Q660" s="195" t="s">
        <v>1892</v>
      </c>
      <c r="R660" s="194" t="s">
        <v>1893</v>
      </c>
    </row>
    <row r="661" spans="1:18">
      <c r="A661" s="171"/>
      <c r="B661" s="171" t="s">
        <v>1894</v>
      </c>
      <c r="C661" s="172">
        <v>30675</v>
      </c>
      <c r="D661" s="168"/>
      <c r="E661" s="168"/>
      <c r="F661" s="168"/>
      <c r="G661" s="169">
        <f>IF(OR(B661="",C661=""),"",IFERROR(IFERROR(INDEX(Vöruskrá!J:J,MATCH(B661,Vöruskrá!B:B,0)),0)*C661/100000,""))</f>
        <v>0</v>
      </c>
      <c r="H661" s="169">
        <f>IF(OR(B661="",C661=""),"",IFERROR(IFERROR(INDEX(Vöruskrá!K:K,MATCH(B661,Vöruskrá!B:B,0)),0)*C661/100000,""))</f>
        <v>0</v>
      </c>
      <c r="I661" s="169">
        <f>IF(OR(B661="",C661=""),"",IFERROR(IFERROR(INDEX(Vöruskrá!L:L,MATCH(B661,Vöruskrá!B:B,0)),0)*C661/100000,""))</f>
        <v>0</v>
      </c>
      <c r="J661" s="169">
        <f>IF(OR(B661="",C661=""),"",IFERROR(IFERROR(INDEX(Vöruskrá!M:M,MATCH(B661,Vöruskrá!B:B,0)),0)*C661/100000,""))</f>
        <v>0</v>
      </c>
      <c r="K661" s="169">
        <f>IF(OR(B661="",C661=""),"",IFERROR(IFERROR(INDEX(Vöruskrá!N:N,MATCH(B661,Vöruskrá!B:B,0)),0)*C661/100000,""))</f>
        <v>0</v>
      </c>
      <c r="L661" s="169">
        <f>IF(OR(B661="",C661=""),"",IFERROR(IFERROR(INDEX(Vöruskrá!O:O,MATCH(B661,Vöruskrá!B:B,0)),0)*C661/100000,""))</f>
        <v>0</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1"/>
      <c r="Q661" s="197"/>
      <c r="R661" s="164"/>
    </row>
    <row r="662" spans="1:18" ht="15">
      <c r="A662" s="173"/>
      <c r="B662" s="173" t="s">
        <v>1481</v>
      </c>
      <c r="C662" s="174">
        <v>18405</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7"/>
      <c r="R662" s="27"/>
    </row>
    <row r="663" spans="1:18" ht="15">
      <c r="A663" s="171"/>
      <c r="B663" s="171" t="s">
        <v>335</v>
      </c>
      <c r="C663" s="172">
        <v>18405</v>
      </c>
      <c r="D663" s="168" t="s">
        <v>337</v>
      </c>
      <c r="E663" s="168" t="s">
        <v>134</v>
      </c>
      <c r="F663" s="168"/>
      <c r="G663" s="169">
        <f>IF(OR(B663="",C663=""),"",IFERROR(IFERROR(INDEX(Vöruskrá!J:J,MATCH(B663,Vöruskrá!B:B,0)),0)*C663/100000,""))</f>
        <v>33.313049999999997</v>
      </c>
      <c r="H663" s="169">
        <f>IF(OR(B663="",C663=""),"",IFERROR(IFERROR(INDEX(Vöruskrá!K:K,MATCH(B663,Vöruskrá!B:B,0)),0)*C663/100000,""))</f>
        <v>3.3129</v>
      </c>
      <c r="I663" s="169">
        <f>IF(OR(B663="",C663=""),"",IFERROR(IFERROR(INDEX(Vöruskrá!L:L,MATCH(B663,Vöruskrá!B:B,0)),0)*C663/100000,""))</f>
        <v>2.8159649999999998</v>
      </c>
      <c r="J663" s="169">
        <f>IF(OR(B663="",C663=""),"",IFERROR(IFERROR(INDEX(Vöruskrá!M:M,MATCH(B663,Vöruskrá!B:B,0)),0)*C663/100000,""))</f>
        <v>0.51534000000000002</v>
      </c>
      <c r="K663" s="169">
        <f>IF(OR(B663="",C663=""),"",IFERROR(IFERROR(INDEX(Vöruskrá!N:N,MATCH(B663,Vöruskrá!B:B,0)),0)*C663/100000,""))</f>
        <v>0.18404999999999999</v>
      </c>
      <c r="L663" s="169">
        <f>IF(OR(B663="",C663=""),"",IFERROR(IFERROR(INDEX(Vöruskrá!O:O,MATCH(B663,Vöruskrá!B:B,0)),0)*C663/100000,""))</f>
        <v>0.36809999999999998</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1"/>
      <c r="Q663" s="158"/>
      <c r="R663" s="6"/>
    </row>
    <row r="664" spans="1:18" ht="15">
      <c r="A664" s="173"/>
      <c r="B664" s="173" t="s">
        <v>1022</v>
      </c>
      <c r="C664" s="174">
        <v>920</v>
      </c>
      <c r="D664" s="168" t="s">
        <v>1023</v>
      </c>
      <c r="E664" s="168" t="s">
        <v>134</v>
      </c>
      <c r="F664" s="168" t="s">
        <v>1024</v>
      </c>
      <c r="G664" s="169">
        <f>IF(OR(B664="",C664=""),"",IFERROR(IFERROR(INDEX(Vöruskrá!J:J,MATCH(B664,Vöruskrá!B:B,0)),0)*C664/100000,""))</f>
        <v>2.99</v>
      </c>
      <c r="H664" s="169">
        <f>IF(OR(B664="",C664=""),"",IFERROR(IFERROR(INDEX(Vöruskrá!K:K,MATCH(B664,Vöruskrá!B:B,0)),0)*C664/100000,""))</f>
        <v>0.1288</v>
      </c>
      <c r="I664" s="169">
        <f>IF(OR(B664="",C664=""),"",IFERROR(IFERROR(INDEX(Vöruskrá!L:L,MATCH(B664,Vöruskrá!B:B,0)),0)*C664/100000,""))</f>
        <v>1.84E-2</v>
      </c>
      <c r="J664" s="169">
        <f>IF(OR(B664="",C664=""),"",IFERROR(IFERROR(INDEX(Vöruskrá!M:M,MATCH(B664,Vöruskrá!B:B,0)),0)*C664/100000,""))</f>
        <v>0.50600000000000001</v>
      </c>
      <c r="K664" s="169">
        <f>IF(OR(B664="",C664=""),"",IFERROR(IFERROR(INDEX(Vöruskrá!N:N,MATCH(B664,Vöruskrá!B:B,0)),0)*C664/100000,""))</f>
        <v>2.5760000000000002E-2</v>
      </c>
      <c r="L664" s="169">
        <f>IF(OR(B664="",C664=""),"",IFERROR(IFERROR(INDEX(Vöruskrá!O:O,MATCH(B664,Vöruskrá!B:B,0)),0)*C664/100000,""))</f>
        <v>0.1288</v>
      </c>
      <c r="M664" s="169">
        <f>IF(OR(B664="",C664=""),"",IFERROR(IFERROR(INDEX(Vöruskrá!P:P,MATCH(B664,Vöruskrá!B:B,0)),0)*C664/100000,""))</f>
        <v>9.2000000000000003E-4</v>
      </c>
      <c r="N664" s="169">
        <f>IF(OR(B664="",C664=""),"",IFERROR(IFERROR(INDEX(Vöruskrá!Q:Q,MATCH(B664,Vöruskrá!B:B,0)),0)*C664/100000,""))</f>
        <v>0.30359999999999998</v>
      </c>
      <c r="O664" s="170">
        <f>IF(OR(B664="",C664=""),"",IFERROR(C664/1000*IFERROR(INDEX(Vöruskrá!R:R,MATCH(B664,Vöruskrá!B:B,0)),0)/1000,""))</f>
        <v>0</v>
      </c>
      <c r="P664" s="173"/>
      <c r="Q664" s="157"/>
      <c r="R664" s="27"/>
    </row>
    <row r="665" spans="1:18" ht="15">
      <c r="A665" s="171"/>
      <c r="B665" s="171" t="s">
        <v>1062</v>
      </c>
      <c r="C665" s="172">
        <v>307</v>
      </c>
      <c r="D665" s="168" t="s">
        <v>1063</v>
      </c>
      <c r="E665" s="168" t="s">
        <v>134</v>
      </c>
      <c r="F665" s="168" t="s">
        <v>1024</v>
      </c>
      <c r="G665" s="169">
        <f>IF(OR(B665="",C665=""),"",IFERROR(IFERROR(INDEX(Vöruskrá!J:J,MATCH(B665,Vöruskrá!B:B,0)),0)*C665/100000,""))</f>
        <v>1.1512500000000001</v>
      </c>
      <c r="H665" s="169">
        <f>IF(OR(B665="",C665=""),"",IFERROR(IFERROR(INDEX(Vöruskrá!K:K,MATCH(B665,Vöruskrá!B:B,0)),0)*C665/100000,""))</f>
        <v>6.8461000000000008E-2</v>
      </c>
      <c r="I665" s="169">
        <f>IF(OR(B665="",C665=""),"",IFERROR(IFERROR(INDEX(Vöruskrá!L:L,MATCH(B665,Vöruskrá!B:B,0)),0)*C665/100000,""))</f>
        <v>3.9910000000000006E-3</v>
      </c>
      <c r="J665" s="169">
        <f>IF(OR(B665="",C665=""),"",IFERROR(IFERROR(INDEX(Vöruskrá!M:M,MATCH(B665,Vöruskrá!B:B,0)),0)*C665/100000,""))</f>
        <v>0.13569400000000001</v>
      </c>
      <c r="K665" s="169">
        <f>IF(OR(B665="",C665=""),"",IFERROR(IFERROR(INDEX(Vöruskrá!N:N,MATCH(B665,Vöruskrá!B:B,0)),0)*C665/100000,""))</f>
        <v>7.0609999999999987E-3</v>
      </c>
      <c r="L665" s="169">
        <f>IF(OR(B665="",C665=""),"",IFERROR(IFERROR(INDEX(Vöruskrá!O:O,MATCH(B665,Vöruskrá!B:B,0)),0)*C665/100000,""))</f>
        <v>5.4646000000000007E-2</v>
      </c>
      <c r="M665" s="169">
        <f>IF(OR(B665="",C665=""),"",IFERROR(IFERROR(INDEX(Vöruskrá!P:P,MATCH(B665,Vöruskrá!B:B,0)),0)*C665/100000,""))</f>
        <v>6.1400000000000007E-4</v>
      </c>
      <c r="N665" s="169">
        <f>IF(OR(B665="",C665=""),"",IFERROR(IFERROR(INDEX(Vöruskrá!Q:Q,MATCH(B665,Vöruskrá!B:B,0)),0)*C665/100000,""))</f>
        <v>3.2235E-2</v>
      </c>
      <c r="O665" s="170">
        <f>IF(OR(B665="",C665=""),"",IFERROR(C665/1000*IFERROR(INDEX(Vöruskrá!R:R,MATCH(B665,Vöruskrá!B:B,0)),0)/1000,""))</f>
        <v>0</v>
      </c>
      <c r="P665" s="171"/>
      <c r="Q665" s="158"/>
      <c r="R665" s="6"/>
    </row>
    <row r="666" spans="1:18" ht="15">
      <c r="A666" s="173"/>
      <c r="B666" s="173" t="s">
        <v>1010</v>
      </c>
      <c r="C666" s="174">
        <v>6135</v>
      </c>
      <c r="D666" s="168" t="s">
        <v>1010</v>
      </c>
      <c r="E666" s="168" t="s">
        <v>134</v>
      </c>
      <c r="F666" s="168"/>
      <c r="G666" s="169">
        <f>IF(OR(B666="",C666=""),"",IFERROR(IFERROR(INDEX(Vöruskrá!J:J,MATCH(B666,Vöruskrá!B:B,0)),0)*C666/100000,""))</f>
        <v>2.4540000000000002</v>
      </c>
      <c r="H666" s="169">
        <f>IF(OR(B666="",C666=""),"",IFERROR(IFERROR(INDEX(Vöruskrá!K:K,MATCH(B666,Vöruskrá!B:B,0)),0)*C666/100000,""))</f>
        <v>6.1349999999999998E-3</v>
      </c>
      <c r="I666" s="169">
        <f>IF(OR(B666="",C666=""),"",IFERROR(IFERROR(INDEX(Vöruskrá!L:L,MATCH(B666,Vöruskrá!B:B,0)),0)*C666/100000,""))</f>
        <v>0</v>
      </c>
      <c r="J666" s="169">
        <f>IF(OR(B666="",C666=""),"",IFERROR(IFERROR(INDEX(Vöruskrá!M:M,MATCH(B666,Vöruskrá!B:B,0)),0)*C666/100000,""))</f>
        <v>0.57055500000000003</v>
      </c>
      <c r="K666" s="169">
        <f>IF(OR(B666="",C666=""),"",IFERROR(IFERROR(INDEX(Vöruskrá!N:N,MATCH(B666,Vöruskrá!B:B,0)),0)*C666/100000,""))</f>
        <v>0.25767000000000001</v>
      </c>
      <c r="L666" s="169">
        <f>IF(OR(B666="",C666=""),"",IFERROR(IFERROR(INDEX(Vöruskrá!O:O,MATCH(B666,Vöruskrá!B:B,0)),0)*C666/100000,""))</f>
        <v>6.7485000000000003E-2</v>
      </c>
      <c r="M666" s="169">
        <f>IF(OR(B666="",C666=""),"",IFERROR(IFERROR(INDEX(Vöruskrá!P:P,MATCH(B666,Vöruskrá!B:B,0)),0)*C666/100000,""))</f>
        <v>0</v>
      </c>
      <c r="N666" s="169">
        <f>IF(OR(B666="",C666=""),"",IFERROR(IFERROR(INDEX(Vöruskrá!Q:Q,MATCH(B666,Vöruskrá!B:B,0)),0)*C666/100000,""))</f>
        <v>0.104295</v>
      </c>
      <c r="O666" s="170">
        <f>IF(OR(B666="",C666=""),"",IFERROR(C666/1000*IFERROR(INDEX(Vöruskrá!R:R,MATCH(B666,Vöruskrá!B:B,0)),0)/1000,""))</f>
        <v>0</v>
      </c>
      <c r="P666" s="173"/>
      <c r="Q666" s="157"/>
      <c r="R666" s="27"/>
    </row>
    <row r="667" spans="1:18" ht="15">
      <c r="A667" s="171"/>
      <c r="B667" s="171" t="s">
        <v>1017</v>
      </c>
      <c r="C667" s="172">
        <v>613</v>
      </c>
      <c r="D667" s="168" t="s">
        <v>1017</v>
      </c>
      <c r="E667" s="168" t="s">
        <v>134</v>
      </c>
      <c r="F667" s="168"/>
      <c r="G667" s="169">
        <f>IF(OR(B667="",C667=""),"",IFERROR(IFERROR(INDEX(Vöruskrá!J:J,MATCH(B667,Vöruskrá!B:B,0)),0)*C667/100000,""))</f>
        <v>0.91337000000000002</v>
      </c>
      <c r="H667" s="169">
        <f>IF(OR(B667="",C667=""),"",IFERROR(IFERROR(INDEX(Vöruskrá!K:K,MATCH(B667,Vöruskrá!B:B,0)),0)*C667/100000,""))</f>
        <v>3.065E-3</v>
      </c>
      <c r="I667" s="169">
        <f>IF(OR(B667="",C667=""),"",IFERROR(IFERROR(INDEX(Vöruskrá!L:L,MATCH(B667,Vöruskrá!B:B,0)),0)*C667/100000,""))</f>
        <v>6.1300000000000005E-4</v>
      </c>
      <c r="J667" s="169">
        <f>IF(OR(B667="",C667=""),"",IFERROR(IFERROR(INDEX(Vöruskrá!M:M,MATCH(B667,Vöruskrá!B:B,0)),0)*C667/100000,""))</f>
        <v>0.202903</v>
      </c>
      <c r="K667" s="169">
        <f>IF(OR(B667="",C667=""),"",IFERROR(IFERROR(INDEX(Vöruskrá!N:N,MATCH(B667,Vöruskrá!B:B,0)),0)*C667/100000,""))</f>
        <v>6.13E-3</v>
      </c>
      <c r="L667" s="169">
        <f>IF(OR(B667="",C667=""),"",IFERROR(IFERROR(INDEX(Vöruskrá!O:O,MATCH(B667,Vöruskrá!B:B,0)),0)*C667/100000,""))</f>
        <v>3.9232000000000003E-2</v>
      </c>
      <c r="M667" s="169">
        <f>IF(OR(B667="",C667=""),"",IFERROR(IFERROR(INDEX(Vöruskrá!P:P,MATCH(B667,Vöruskrá!B:B,0)),0)*C667/100000,""))</f>
        <v>0</v>
      </c>
      <c r="N667" s="169">
        <f>IF(OR(B667="",C667=""),"",IFERROR(IFERROR(INDEX(Vöruskrá!Q:Q,MATCH(B667,Vöruskrá!B:B,0)),0)*C667/100000,""))</f>
        <v>1.2872999999999999E-2</v>
      </c>
      <c r="O667" s="170">
        <f>IF(OR(B667="",C667=""),"",IFERROR(C667/1000*IFERROR(INDEX(Vöruskrá!R:R,MATCH(B667,Vöruskrá!B:B,0)),0)/1000,""))</f>
        <v>0</v>
      </c>
      <c r="P667" s="171"/>
      <c r="Q667" s="200"/>
      <c r="R667" s="159"/>
    </row>
    <row r="668" spans="1:18" ht="48">
      <c r="A668" s="147" t="s">
        <v>1895</v>
      </c>
      <c r="B668" s="147"/>
      <c r="C668" s="148"/>
      <c r="D668" s="165" t="s">
        <v>1896</v>
      </c>
      <c r="E668" s="165" t="s">
        <v>134</v>
      </c>
      <c r="F668" s="165"/>
      <c r="G668" s="166">
        <v>66.790000000000006</v>
      </c>
      <c r="H668" s="166">
        <v>5.44</v>
      </c>
      <c r="I668" s="166">
        <v>4.33</v>
      </c>
      <c r="J668" s="166">
        <v>3.84</v>
      </c>
      <c r="K668" s="166"/>
      <c r="L668" s="166">
        <v>1.22</v>
      </c>
      <c r="M668" s="166">
        <v>0.93</v>
      </c>
      <c r="N668" s="166">
        <f>IFERROR(SUM(N669:N676)/(SUM($C$669:$C$676)/100000),"")</f>
        <v>1.0987049870498704</v>
      </c>
      <c r="O668" s="167" t="str">
        <f>IF(OR(B668="",C668=""),"",IFERROR(C668/1000*IFERROR(INDEX(Vöruskrá!R:R,MATCH(B668,Vöruskrá!B:B,0)),0)/1000,""))</f>
        <v/>
      </c>
      <c r="P668" s="196" t="s">
        <v>1897</v>
      </c>
      <c r="Q668" s="199" t="s">
        <v>1898</v>
      </c>
      <c r="R668" s="198" t="s">
        <v>1899</v>
      </c>
    </row>
    <row r="669" spans="1:18">
      <c r="A669" s="171"/>
      <c r="B669" s="171" t="s">
        <v>1894</v>
      </c>
      <c r="C669" s="172">
        <v>55814</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1"/>
      <c r="Q669" s="197"/>
      <c r="R669" s="164"/>
    </row>
    <row r="670" spans="1:18" ht="15">
      <c r="A670" s="173"/>
      <c r="B670" s="173" t="s">
        <v>335</v>
      </c>
      <c r="C670" s="174">
        <v>27907</v>
      </c>
      <c r="D670" s="168" t="s">
        <v>337</v>
      </c>
      <c r="E670" s="168" t="s">
        <v>134</v>
      </c>
      <c r="F670" s="168"/>
      <c r="G670" s="169">
        <f>IF(OR(B670="",C670=""),"",IFERROR(IFERROR(INDEX(Vöruskrá!J:J,MATCH(B670,Vöruskrá!B:B,0)),0)*C670/100000,""))</f>
        <v>50.511670000000002</v>
      </c>
      <c r="H670" s="169">
        <f>IF(OR(B670="",C670=""),"",IFERROR(IFERROR(INDEX(Vöruskrá!K:K,MATCH(B670,Vöruskrá!B:B,0)),0)*C670/100000,""))</f>
        <v>5.0232599999999996</v>
      </c>
      <c r="I670" s="169">
        <f>IF(OR(B670="",C670=""),"",IFERROR(IFERROR(INDEX(Vöruskrá!L:L,MATCH(B670,Vöruskrá!B:B,0)),0)*C670/100000,""))</f>
        <v>4.2697710000000004</v>
      </c>
      <c r="J670" s="169">
        <f>IF(OR(B670="",C670=""),"",IFERROR(IFERROR(INDEX(Vöruskrá!M:M,MATCH(B670,Vöruskrá!B:B,0)),0)*C670/100000,""))</f>
        <v>0.78139599999999987</v>
      </c>
      <c r="K670" s="169">
        <f>IF(OR(B670="",C670=""),"",IFERROR(IFERROR(INDEX(Vöruskrá!N:N,MATCH(B670,Vöruskrá!B:B,0)),0)*C670/100000,""))</f>
        <v>0.27906999999999998</v>
      </c>
      <c r="L670" s="169">
        <f>IF(OR(B670="",C670=""),"",IFERROR(IFERROR(INDEX(Vöruskrá!O:O,MATCH(B670,Vöruskrá!B:B,0)),0)*C670/100000,""))</f>
        <v>0.55813999999999997</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7"/>
      <c r="R670" s="27"/>
    </row>
    <row r="671" spans="1:18" ht="15">
      <c r="A671" s="171"/>
      <c r="B671" s="171" t="s">
        <v>1022</v>
      </c>
      <c r="C671" s="172">
        <v>2791</v>
      </c>
      <c r="D671" s="168" t="s">
        <v>1023</v>
      </c>
      <c r="E671" s="168" t="s">
        <v>134</v>
      </c>
      <c r="F671" s="168" t="s">
        <v>1024</v>
      </c>
      <c r="G671" s="169">
        <f>IF(OR(B671="",C671=""),"",IFERROR(IFERROR(INDEX(Vöruskrá!J:J,MATCH(B671,Vöruskrá!B:B,0)),0)*C671/100000,""))</f>
        <v>9.0707500000000003</v>
      </c>
      <c r="H671" s="169">
        <f>IF(OR(B671="",C671=""),"",IFERROR(IFERROR(INDEX(Vöruskrá!K:K,MATCH(B671,Vöruskrá!B:B,0)),0)*C671/100000,""))</f>
        <v>0.39073999999999998</v>
      </c>
      <c r="I671" s="169">
        <f>IF(OR(B671="",C671=""),"",IFERROR(IFERROR(INDEX(Vöruskrá!L:L,MATCH(B671,Vöruskrá!B:B,0)),0)*C671/100000,""))</f>
        <v>5.5820000000000002E-2</v>
      </c>
      <c r="J671" s="169">
        <f>IF(OR(B671="",C671=""),"",IFERROR(IFERROR(INDEX(Vöruskrá!M:M,MATCH(B671,Vöruskrá!B:B,0)),0)*C671/100000,""))</f>
        <v>1.53505</v>
      </c>
      <c r="K671" s="169">
        <f>IF(OR(B671="",C671=""),"",IFERROR(IFERROR(INDEX(Vöruskrá!N:N,MATCH(B671,Vöruskrá!B:B,0)),0)*C671/100000,""))</f>
        <v>7.8147999999999995E-2</v>
      </c>
      <c r="L671" s="169">
        <f>IF(OR(B671="",C671=""),"",IFERROR(IFERROR(INDEX(Vöruskrá!O:O,MATCH(B671,Vöruskrá!B:B,0)),0)*C671/100000,""))</f>
        <v>0.39073999999999998</v>
      </c>
      <c r="M671" s="169">
        <f>IF(OR(B671="",C671=""),"",IFERROR(IFERROR(INDEX(Vöruskrá!P:P,MATCH(B671,Vöruskrá!B:B,0)),0)*C671/100000,""))</f>
        <v>2.7910000000000001E-3</v>
      </c>
      <c r="N671" s="169">
        <f>IF(OR(B671="",C671=""),"",IFERROR(IFERROR(INDEX(Vöruskrá!Q:Q,MATCH(B671,Vöruskrá!B:B,0)),0)*C671/100000,""))</f>
        <v>0.92103000000000002</v>
      </c>
      <c r="O671" s="170">
        <f>IF(OR(B671="",C671=""),"",IFERROR(C671/1000*IFERROR(INDEX(Vöruskrá!R:R,MATCH(B671,Vöruskrá!B:B,0)),0)/1000,""))</f>
        <v>0</v>
      </c>
      <c r="P671" s="171"/>
      <c r="Q671" s="158"/>
      <c r="R671" s="6"/>
    </row>
    <row r="672" spans="1:18" ht="15">
      <c r="A672" s="173"/>
      <c r="B672" s="173" t="s">
        <v>1010</v>
      </c>
      <c r="C672" s="174">
        <v>9302</v>
      </c>
      <c r="D672" s="168" t="s">
        <v>1010</v>
      </c>
      <c r="E672" s="168" t="s">
        <v>134</v>
      </c>
      <c r="F672" s="168"/>
      <c r="G672" s="169">
        <f>IF(OR(B672="",C672=""),"",IFERROR(IFERROR(INDEX(Vöruskrá!J:J,MATCH(B672,Vöruskrá!B:B,0)),0)*C672/100000,""))</f>
        <v>3.7208000000000001</v>
      </c>
      <c r="H672" s="169">
        <f>IF(OR(B672="",C672=""),"",IFERROR(IFERROR(INDEX(Vöruskrá!K:K,MATCH(B672,Vöruskrá!B:B,0)),0)*C672/100000,""))</f>
        <v>9.3020000000000012E-3</v>
      </c>
      <c r="I672" s="169">
        <f>IF(OR(B672="",C672=""),"",IFERROR(IFERROR(INDEX(Vöruskrá!L:L,MATCH(B672,Vöruskrá!B:B,0)),0)*C672/100000,""))</f>
        <v>0</v>
      </c>
      <c r="J672" s="169">
        <f>IF(OR(B672="",C672=""),"",IFERROR(IFERROR(INDEX(Vöruskrá!M:M,MATCH(B672,Vöruskrá!B:B,0)),0)*C672/100000,""))</f>
        <v>0.86508600000000002</v>
      </c>
      <c r="K672" s="169">
        <f>IF(OR(B672="",C672=""),"",IFERROR(IFERROR(INDEX(Vöruskrá!N:N,MATCH(B672,Vöruskrá!B:B,0)),0)*C672/100000,""))</f>
        <v>0.39068400000000003</v>
      </c>
      <c r="L672" s="169">
        <f>IF(OR(B672="",C672=""),"",IFERROR(IFERROR(INDEX(Vöruskrá!O:O,MATCH(B672,Vöruskrá!B:B,0)),0)*C672/100000,""))</f>
        <v>0.10232200000000001</v>
      </c>
      <c r="M672" s="169">
        <f>IF(OR(B672="",C672=""),"",IFERROR(IFERROR(INDEX(Vöruskrá!P:P,MATCH(B672,Vöruskrá!B:B,0)),0)*C672/100000,""))</f>
        <v>0</v>
      </c>
      <c r="N672" s="169">
        <f>IF(OR(B672="",C672=""),"",IFERROR(IFERROR(INDEX(Vöruskrá!Q:Q,MATCH(B672,Vöruskrá!B:B,0)),0)*C672/100000,""))</f>
        <v>0.158134</v>
      </c>
      <c r="O672" s="170">
        <f>IF(OR(B672="",C672=""),"",IFERROR(C672/1000*IFERROR(INDEX(Vöruskrá!R:R,MATCH(B672,Vöruskrá!B:B,0)),0)/1000,""))</f>
        <v>0</v>
      </c>
      <c r="P672" s="173"/>
      <c r="Q672" s="157"/>
      <c r="R672" s="27"/>
    </row>
    <row r="673" spans="1:18" ht="15">
      <c r="A673" s="171"/>
      <c r="B673" s="171" t="s">
        <v>1017</v>
      </c>
      <c r="C673" s="172">
        <v>930</v>
      </c>
      <c r="D673" s="168" t="s">
        <v>1017</v>
      </c>
      <c r="E673" s="168" t="s">
        <v>134</v>
      </c>
      <c r="F673" s="168"/>
      <c r="G673" s="169">
        <f>IF(OR(B673="",C673=""),"",IFERROR(IFERROR(INDEX(Vöruskrá!J:J,MATCH(B673,Vöruskrá!B:B,0)),0)*C673/100000,""))</f>
        <v>1.3856999999999999</v>
      </c>
      <c r="H673" s="169">
        <f>IF(OR(B673="",C673=""),"",IFERROR(IFERROR(INDEX(Vöruskrá!K:K,MATCH(B673,Vöruskrá!B:B,0)),0)*C673/100000,""))</f>
        <v>4.6499999999999996E-3</v>
      </c>
      <c r="I673" s="169">
        <f>IF(OR(B673="",C673=""),"",IFERROR(IFERROR(INDEX(Vöruskrá!L:L,MATCH(B673,Vöruskrá!B:B,0)),0)*C673/100000,""))</f>
        <v>9.3000000000000005E-4</v>
      </c>
      <c r="J673" s="169">
        <f>IF(OR(B673="",C673=""),"",IFERROR(IFERROR(INDEX(Vöruskrá!M:M,MATCH(B673,Vöruskrá!B:B,0)),0)*C673/100000,""))</f>
        <v>0.30782999999999999</v>
      </c>
      <c r="K673" s="169">
        <f>IF(OR(B673="",C673=""),"",IFERROR(IFERROR(INDEX(Vöruskrá!N:N,MATCH(B673,Vöruskrá!B:B,0)),0)*C673/100000,""))</f>
        <v>9.2999999999999992E-3</v>
      </c>
      <c r="L673" s="169">
        <f>IF(OR(B673="",C673=""),"",IFERROR(IFERROR(INDEX(Vöruskrá!O:O,MATCH(B673,Vöruskrá!B:B,0)),0)*C673/100000,""))</f>
        <v>5.9520000000000003E-2</v>
      </c>
      <c r="M673" s="169">
        <f>IF(OR(B673="",C673=""),"",IFERROR(IFERROR(INDEX(Vöruskrá!P:P,MATCH(B673,Vöruskrá!B:B,0)),0)*C673/100000,""))</f>
        <v>0</v>
      </c>
      <c r="N673" s="169">
        <f>IF(OR(B673="",C673=""),"",IFERROR(IFERROR(INDEX(Vöruskrá!Q:Q,MATCH(B673,Vöruskrá!B:B,0)),0)*C673/100000,""))</f>
        <v>1.9529999999999999E-2</v>
      </c>
      <c r="O673" s="170">
        <f>IF(OR(B673="",C673=""),"",IFERROR(C673/1000*IFERROR(INDEX(Vöruskrá!R:R,MATCH(B673,Vöruskrá!B:B,0)),0)/1000,""))</f>
        <v>0</v>
      </c>
      <c r="P673" s="171"/>
      <c r="Q673" s="158"/>
      <c r="R673" s="6"/>
    </row>
    <row r="674" spans="1:18" ht="15">
      <c r="A674" s="173"/>
      <c r="B674" s="173" t="s">
        <v>1475</v>
      </c>
      <c r="C674" s="174">
        <v>465</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3"/>
      <c r="Q674" s="157"/>
      <c r="R674" s="27"/>
    </row>
    <row r="675" spans="1:18" ht="15">
      <c r="A675" s="171"/>
      <c r="B675" s="171" t="s">
        <v>504</v>
      </c>
      <c r="C675" s="172">
        <v>1860</v>
      </c>
      <c r="D675" s="168" t="s">
        <v>500</v>
      </c>
      <c r="E675" s="168" t="s">
        <v>134</v>
      </c>
      <c r="F675" s="168"/>
      <c r="G675" s="169">
        <f>IF(OR(B675="",C675=""),"",IFERROR(IFERROR(INDEX(Vöruskrá!J:J,MATCH(B675,Vöruskrá!B:B,0)),0)*C675/100000,""))</f>
        <v>2.1017999999999999</v>
      </c>
      <c r="H675" s="169">
        <f>IF(OR(B675="",C675=""),"",IFERROR(IFERROR(INDEX(Vöruskrá!K:K,MATCH(B675,Vöruskrá!B:B,0)),0)*C675/100000,""))</f>
        <v>7.4400000000000004E-3</v>
      </c>
      <c r="I675" s="169">
        <f>IF(OR(B675="",C675=""),"",IFERROR(IFERROR(INDEX(Vöruskrá!L:L,MATCH(B675,Vöruskrá!B:B,0)),0)*C675/100000,""))</f>
        <v>0</v>
      </c>
      <c r="J675" s="169">
        <f>IF(OR(B675="",C675=""),"",IFERROR(IFERROR(INDEX(Vöruskrá!M:M,MATCH(B675,Vöruskrá!B:B,0)),0)*C675/100000,""))</f>
        <v>0.35339999999999999</v>
      </c>
      <c r="K675" s="169">
        <f>IF(OR(B675="",C675=""),"",IFERROR(IFERROR(INDEX(Vöruskrá!N:N,MATCH(B675,Vöruskrá!B:B,0)),0)*C675/100000,""))</f>
        <v>0.26040000000000002</v>
      </c>
      <c r="L675" s="169">
        <f>IF(OR(B675="",C675=""),"",IFERROR(IFERROR(INDEX(Vöruskrá!O:O,MATCH(B675,Vöruskrá!B:B,0)),0)*C675/100000,""))</f>
        <v>0.1116</v>
      </c>
      <c r="M675" s="169">
        <f>IF(OR(B675="",C675=""),"",IFERROR(IFERROR(INDEX(Vöruskrá!P:P,MATCH(B675,Vöruskrá!B:B,0)),0)*C675/100000,""))</f>
        <v>1.8600000000000001E-3</v>
      </c>
      <c r="N675" s="169">
        <f>IF(OR(B675="",C675=""),"",IFERROR(IFERROR(INDEX(Vöruskrá!Q:Q,MATCH(B675,Vöruskrá!B:B,0)),0)*C675/100000,""))</f>
        <v>0</v>
      </c>
      <c r="O675" s="170">
        <f>IF(OR(B675="",C675=""),"",IFERROR(C675/1000*IFERROR(INDEX(Vöruskrá!R:R,MATCH(B675,Vöruskrá!B:B,0)),0)/1000,""))</f>
        <v>0</v>
      </c>
      <c r="P675" s="171"/>
      <c r="Q675" s="158"/>
      <c r="R675" s="6"/>
    </row>
    <row r="676" spans="1:18" ht="15">
      <c r="A676" s="173"/>
      <c r="B676" s="173" t="s">
        <v>299</v>
      </c>
      <c r="C676" s="174">
        <v>930</v>
      </c>
      <c r="D676" s="168" t="s">
        <v>302</v>
      </c>
      <c r="E676" s="168" t="s">
        <v>134</v>
      </c>
      <c r="F676" s="168" t="s">
        <v>303</v>
      </c>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0.93</v>
      </c>
      <c r="N676" s="169">
        <f>IF(OR(B676="",C676=""),"",IFERROR(IFERROR(INDEX(Vöruskrá!Q:Q,MATCH(B676,Vöruskrá!B:B,0)),0)*C676/100000,""))</f>
        <v>0</v>
      </c>
      <c r="O676" s="170">
        <f>IF(OR(B676="",C676=""),"",IFERROR(C676/1000*IFERROR(INDEX(Vöruskrá!R:R,MATCH(B676,Vöruskrá!B:B,0)),0)/1000,""))</f>
        <v>0</v>
      </c>
      <c r="P676" s="173"/>
      <c r="Q676" s="201"/>
      <c r="R676" s="202"/>
    </row>
    <row r="677" spans="1:18" ht="60">
      <c r="A677" s="147" t="s">
        <v>1900</v>
      </c>
      <c r="B677" s="147"/>
      <c r="C677" s="148"/>
      <c r="D677" s="165" t="s">
        <v>1901</v>
      </c>
      <c r="E677" s="165" t="s">
        <v>1099</v>
      </c>
      <c r="F677" s="165"/>
      <c r="G677" s="166">
        <v>21.13</v>
      </c>
      <c r="H677" s="166">
        <v>0.24</v>
      </c>
      <c r="I677" s="166">
        <v>0.03</v>
      </c>
      <c r="J677" s="166">
        <v>4.16</v>
      </c>
      <c r="K677" s="166"/>
      <c r="L677" s="166">
        <v>0.82</v>
      </c>
      <c r="M677" s="166">
        <v>0.81</v>
      </c>
      <c r="N677" s="166">
        <f>IFERROR(SUM(N678:N684)/(SUM($C$678:$C$684)/100000),"")</f>
        <v>0.34293590160381443</v>
      </c>
      <c r="O677" s="167" t="str">
        <f>IF(OR(B677="",C677=""),"",IFERROR(C677/1000*IFERROR(INDEX(Vöruskrá!R:R,MATCH(B677,Vöruskrá!B:B,0)),0)/1000,""))</f>
        <v/>
      </c>
      <c r="P677" s="196" t="s">
        <v>1902</v>
      </c>
      <c r="Q677" s="195" t="s">
        <v>1903</v>
      </c>
      <c r="R677" s="194" t="s">
        <v>1904</v>
      </c>
    </row>
    <row r="678" spans="1:18">
      <c r="A678" s="171"/>
      <c r="B678" s="171" t="s">
        <v>1894</v>
      </c>
      <c r="C678" s="172">
        <v>26178</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1"/>
      <c r="Q678" s="203"/>
      <c r="R678" s="204"/>
    </row>
    <row r="679" spans="1:18" ht="15">
      <c r="A679" s="173"/>
      <c r="B679" s="173" t="s">
        <v>1478</v>
      </c>
      <c r="C679" s="174">
        <v>19634</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ht="15">
      <c r="A680" s="171"/>
      <c r="B680" s="171" t="s">
        <v>489</v>
      </c>
      <c r="C680" s="172">
        <v>1309</v>
      </c>
      <c r="D680" s="168" t="s">
        <v>490</v>
      </c>
      <c r="E680" s="168" t="s">
        <v>134</v>
      </c>
      <c r="F680" s="168" t="s">
        <v>311</v>
      </c>
      <c r="G680" s="169">
        <f>IF(OR(B680="",C680=""),"",IFERROR(IFERROR(INDEX(Vöruskrá!J:J,MATCH(B680,Vöruskrá!B:B,0)),0)*C680/100000,""))</f>
        <v>2.90598</v>
      </c>
      <c r="H680" s="169">
        <f>IF(OR(B680="",C680=""),"",IFERROR(IFERROR(INDEX(Vöruskrá!K:K,MATCH(B680,Vöruskrá!B:B,0)),0)*C680/100000,""))</f>
        <v>7.8539999999999999E-2</v>
      </c>
      <c r="I680" s="169">
        <f>IF(OR(B680="",C680=""),"",IFERROR(IFERROR(INDEX(Vöruskrá!L:L,MATCH(B680,Vöruskrá!B:B,0)),0)*C680/100000,""))</f>
        <v>1.1781000000000002E-2</v>
      </c>
      <c r="J680" s="169">
        <f>IF(OR(B680="",C680=""),"",IFERROR(IFERROR(INDEX(Vöruskrá!M:M,MATCH(B680,Vöruskrá!B:B,0)),0)*C680/100000,""))</f>
        <v>0.39269999999999999</v>
      </c>
      <c r="K680" s="169">
        <f>IF(OR(B680="",C680=""),"",IFERROR(IFERROR(INDEX(Vöruskrá!N:N,MATCH(B680,Vöruskrá!B:B,0)),0)*C680/100000,""))</f>
        <v>6.0213999999999997E-2</v>
      </c>
      <c r="L680" s="169">
        <f>IF(OR(B680="",C680=""),"",IFERROR(IFERROR(INDEX(Vöruskrá!O:O,MATCH(B680,Vöruskrá!B:B,0)),0)*C680/100000,""))</f>
        <v>9.2938999999999994E-2</v>
      </c>
      <c r="M680" s="169">
        <f>IF(OR(B680="",C680=""),"",IFERROR(IFERROR(INDEX(Vöruskrá!P:P,MATCH(B680,Vöruskrá!B:B,0)),0)*C680/100000,""))</f>
        <v>0.58904999999999996</v>
      </c>
      <c r="N680" s="169">
        <f>IF(OR(B680="",C680=""),"",IFERROR(IFERROR(INDEX(Vöruskrá!Q:Q,MATCH(B680,Vöruskrá!B:B,0)),0)*C680/100000,""))</f>
        <v>0</v>
      </c>
      <c r="O680" s="170">
        <f>IF(OR(B680="",C680=""),"",IFERROR(C680/1000*IFERROR(INDEX(Vöruskrá!R:R,MATCH(B680,Vöruskrá!B:B,0)),0)/1000,""))</f>
        <v>0</v>
      </c>
      <c r="P680" s="171"/>
      <c r="Q680" s="157"/>
      <c r="R680" s="27"/>
    </row>
    <row r="681" spans="1:18" ht="15">
      <c r="A681" s="173"/>
      <c r="B681" s="173" t="s">
        <v>743</v>
      </c>
      <c r="C681" s="174">
        <v>13089</v>
      </c>
      <c r="D681" s="168" t="s">
        <v>745</v>
      </c>
      <c r="E681" s="168"/>
      <c r="F681" s="168"/>
      <c r="G681" s="169">
        <f>IF(OR(B681="",C681=""),"",IFERROR(IFERROR(INDEX(Vöruskrá!J:J,MATCH(B681,Vöruskrá!B:B,0)),0)*C681/100000,""))</f>
        <v>3.66492</v>
      </c>
      <c r="H681" s="169">
        <f>IF(OR(B681="",C681=""),"",IFERROR(IFERROR(INDEX(Vöruskrá!K:K,MATCH(B681,Vöruskrá!B:B,0)),0)*C681/100000,""))</f>
        <v>1.3089000000000002E-2</v>
      </c>
      <c r="I681" s="169">
        <f>IF(OR(B681="",C681=""),"",IFERROR(IFERROR(INDEX(Vöruskrá!L:L,MATCH(B681,Vöruskrá!B:B,0)),0)*C681/100000,""))</f>
        <v>0</v>
      </c>
      <c r="J681" s="169">
        <f>IF(OR(B681="",C681=""),"",IFERROR(IFERROR(INDEX(Vöruskrá!M:M,MATCH(B681,Vöruskrá!B:B,0)),0)*C681/100000,""))</f>
        <v>0.65444999999999998</v>
      </c>
      <c r="K681" s="169">
        <f>IF(OR(B681="",C681=""),"",IFERROR(IFERROR(INDEX(Vöruskrá!N:N,MATCH(B681,Vöruskrá!B:B,0)),0)*C681/100000,""))</f>
        <v>0.44502599999999998</v>
      </c>
      <c r="L681" s="169">
        <f>IF(OR(B681="",C681=""),"",IFERROR(IFERROR(INDEX(Vöruskrá!O:O,MATCH(B681,Vöruskrá!B:B,0)),0)*C681/100000,""))</f>
        <v>0.19633500000000001</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158"/>
      <c r="R681" s="6"/>
    </row>
    <row r="682" spans="1:18" ht="15">
      <c r="A682" s="171"/>
      <c r="B682" s="171" t="s">
        <v>1097</v>
      </c>
      <c r="C682" s="172">
        <v>6545</v>
      </c>
      <c r="D682" s="168" t="s">
        <v>1098</v>
      </c>
      <c r="E682" s="168" t="s">
        <v>1099</v>
      </c>
      <c r="F682" s="168" t="s">
        <v>1100</v>
      </c>
      <c r="G682" s="169">
        <f>IF(OR(B682="",C682=""),"",IFERROR(IFERROR(INDEX(Vöruskrá!J:J,MATCH(B682,Vöruskrá!B:B,0)),0)*C682/100000,""))</f>
        <v>5.6287000000000003</v>
      </c>
      <c r="H682" s="169">
        <f>IF(OR(B682="",C682=""),"",IFERROR(IFERROR(INDEX(Vöruskrá!K:K,MATCH(B682,Vöruskrá!B:B,0)),0)*C682/100000,""))</f>
        <v>7.8539999999999999E-2</v>
      </c>
      <c r="I682" s="169">
        <f>IF(OR(B682="",C682=""),"",IFERROR(IFERROR(INDEX(Vöruskrá!L:L,MATCH(B682,Vöruskrá!B:B,0)),0)*C682/100000,""))</f>
        <v>1.3089999999999999E-2</v>
      </c>
      <c r="J682" s="169">
        <f>IF(OR(B682="",C682=""),"",IFERROR(IFERROR(INDEX(Vöruskrá!M:M,MATCH(B682,Vöruskrá!B:B,0)),0)*C682/100000,""))</f>
        <v>1.2435499999999999</v>
      </c>
      <c r="K682" s="169">
        <f>IF(OR(B682="",C682=""),"",IFERROR(IFERROR(INDEX(Vöruskrá!N:N,MATCH(B682,Vöruskrá!B:B,0)),0)*C682/100000,""))</f>
        <v>0.20943999999999999</v>
      </c>
      <c r="L682" s="169">
        <f>IF(OR(B682="",C682=""),"",IFERROR(IFERROR(INDEX(Vöruskrá!O:O,MATCH(B682,Vöruskrá!B:B,0)),0)*C682/100000,""))</f>
        <v>0.20943999999999999</v>
      </c>
      <c r="M682" s="169">
        <f>IF(OR(B682="",C682=""),"",IFERROR(IFERROR(INDEX(Vöruskrá!P:P,MATCH(B682,Vöruskrá!B:B,0)),0)*C682/100000,""))</f>
        <v>6.5449999999999996E-3</v>
      </c>
      <c r="N682" s="169">
        <f>IF(OR(B682="",C682=""),"",IFERROR(IFERROR(INDEX(Vöruskrá!Q:Q,MATCH(B682,Vöruskrá!B:B,0)),0)*C682/100000,""))</f>
        <v>0.13089999999999999</v>
      </c>
      <c r="O682" s="170">
        <f>IF(OR(B682="",C682=""),"",IFERROR(C682/1000*IFERROR(INDEX(Vöruskrá!R:R,MATCH(B682,Vöruskrá!B:B,0)),0)/1000,""))</f>
        <v>0</v>
      </c>
      <c r="P682" s="171"/>
      <c r="Q682" s="157"/>
      <c r="R682" s="27"/>
    </row>
    <row r="683" spans="1:18" ht="15">
      <c r="A683" s="173"/>
      <c r="B683" s="173" t="s">
        <v>1010</v>
      </c>
      <c r="C683" s="174">
        <v>6545</v>
      </c>
      <c r="D683" s="168" t="s">
        <v>1010</v>
      </c>
      <c r="E683" s="168" t="s">
        <v>134</v>
      </c>
      <c r="F683" s="168"/>
      <c r="G683" s="169">
        <f>IF(OR(B683="",C683=""),"",IFERROR(IFERROR(INDEX(Vöruskrá!J:J,MATCH(B683,Vöruskrá!B:B,0)),0)*C683/100000,""))</f>
        <v>2.6179999999999999</v>
      </c>
      <c r="H683" s="169">
        <f>IF(OR(B683="",C683=""),"",IFERROR(IFERROR(INDEX(Vöruskrá!K:K,MATCH(B683,Vöruskrá!B:B,0)),0)*C683/100000,""))</f>
        <v>6.5449999999999996E-3</v>
      </c>
      <c r="I683" s="169">
        <f>IF(OR(B683="",C683=""),"",IFERROR(IFERROR(INDEX(Vöruskrá!L:L,MATCH(B683,Vöruskrá!B:B,0)),0)*C683/100000,""))</f>
        <v>0</v>
      </c>
      <c r="J683" s="169">
        <f>IF(OR(B683="",C683=""),"",IFERROR(IFERROR(INDEX(Vöruskrá!M:M,MATCH(B683,Vöruskrá!B:B,0)),0)*C683/100000,""))</f>
        <v>0.60868500000000003</v>
      </c>
      <c r="K683" s="169">
        <f>IF(OR(B683="",C683=""),"",IFERROR(IFERROR(INDEX(Vöruskrá!N:N,MATCH(B683,Vöruskrá!B:B,0)),0)*C683/100000,""))</f>
        <v>0.27489000000000002</v>
      </c>
      <c r="L683" s="169">
        <f>IF(OR(B683="",C683=""),"",IFERROR(IFERROR(INDEX(Vöruskrá!O:O,MATCH(B683,Vöruskrá!B:B,0)),0)*C683/100000,""))</f>
        <v>7.1995000000000003E-2</v>
      </c>
      <c r="M683" s="169">
        <f>IF(OR(B683="",C683=""),"",IFERROR(IFERROR(INDEX(Vöruskrá!P:P,MATCH(B683,Vöruskrá!B:B,0)),0)*C683/100000,""))</f>
        <v>0</v>
      </c>
      <c r="N683" s="169">
        <f>IF(OR(B683="",C683=""),"",IFERROR(IFERROR(INDEX(Vöruskrá!Q:Q,MATCH(B683,Vöruskrá!B:B,0)),0)*C683/100000,""))</f>
        <v>0.111265</v>
      </c>
      <c r="O683" s="170">
        <f>IF(OR(B683="",C683=""),"",IFERROR(C683/1000*IFERROR(INDEX(Vöruskrá!R:R,MATCH(B683,Vöruskrá!B:B,0)),0)/1000,""))</f>
        <v>0</v>
      </c>
      <c r="P683" s="173"/>
      <c r="Q683" s="158"/>
      <c r="R683" s="6"/>
    </row>
    <row r="684" spans="1:18" ht="15">
      <c r="A684" s="171"/>
      <c r="B684" s="171" t="s">
        <v>1017</v>
      </c>
      <c r="C684" s="172">
        <v>524</v>
      </c>
      <c r="D684" s="168" t="s">
        <v>1017</v>
      </c>
      <c r="E684" s="168" t="s">
        <v>134</v>
      </c>
      <c r="F684" s="168"/>
      <c r="G684" s="169">
        <f>IF(OR(B684="",C684=""),"",IFERROR(IFERROR(INDEX(Vöruskrá!J:J,MATCH(B684,Vöruskrá!B:B,0)),0)*C684/100000,""))</f>
        <v>0.78076000000000001</v>
      </c>
      <c r="H684" s="169">
        <f>IF(OR(B684="",C684=""),"",IFERROR(IFERROR(INDEX(Vöruskrá!K:K,MATCH(B684,Vöruskrá!B:B,0)),0)*C684/100000,""))</f>
        <v>2.6199999999999999E-3</v>
      </c>
      <c r="I684" s="169">
        <f>IF(OR(B684="",C684=""),"",IFERROR(IFERROR(INDEX(Vöruskrá!L:L,MATCH(B684,Vöruskrá!B:B,0)),0)*C684/100000,""))</f>
        <v>5.2400000000000005E-4</v>
      </c>
      <c r="J684" s="169">
        <f>IF(OR(B684="",C684=""),"",IFERROR(IFERROR(INDEX(Vöruskrá!M:M,MATCH(B684,Vöruskrá!B:B,0)),0)*C684/100000,""))</f>
        <v>0.17344400000000001</v>
      </c>
      <c r="K684" s="169">
        <f>IF(OR(B684="",C684=""),"",IFERROR(IFERROR(INDEX(Vöruskrá!N:N,MATCH(B684,Vöruskrá!B:B,0)),0)*C684/100000,""))</f>
        <v>5.2399999999999999E-3</v>
      </c>
      <c r="L684" s="169">
        <f>IF(OR(B684="",C684=""),"",IFERROR(IFERROR(INDEX(Vöruskrá!O:O,MATCH(B684,Vöruskrá!B:B,0)),0)*C684/100000,""))</f>
        <v>3.3536000000000003E-2</v>
      </c>
      <c r="M684" s="169">
        <f>IF(OR(B684="",C684=""),"",IFERROR(IFERROR(INDEX(Vöruskrá!P:P,MATCH(B684,Vöruskrá!B:B,0)),0)*C684/100000,""))</f>
        <v>0</v>
      </c>
      <c r="N684" s="169">
        <f>IF(OR(B684="",C684=""),"",IFERROR(IFERROR(INDEX(Vöruskrá!Q:Q,MATCH(B684,Vöruskrá!B:B,0)),0)*C684/100000,""))</f>
        <v>1.1004000000000002E-2</v>
      </c>
      <c r="O684" s="170">
        <f>IF(OR(B684="",C684=""),"",IFERROR(C684/1000*IFERROR(INDEX(Vöruskrá!R:R,MATCH(B684,Vöruskrá!B:B,0)),0)/1000,""))</f>
        <v>0</v>
      </c>
      <c r="P684" s="171"/>
      <c r="Q684" s="201"/>
      <c r="R684" s="202"/>
    </row>
    <row r="685" spans="1:18" ht="60">
      <c r="A685" s="147" t="s">
        <v>1905</v>
      </c>
      <c r="B685" s="147"/>
      <c r="C685" s="148"/>
      <c r="D685" s="165" t="s">
        <v>1906</v>
      </c>
      <c r="E685" s="165" t="s">
        <v>134</v>
      </c>
      <c r="F685" s="165"/>
      <c r="G685" s="166">
        <v>81.78</v>
      </c>
      <c r="H685" s="166">
        <v>7.42</v>
      </c>
      <c r="I685" s="166">
        <v>0.52</v>
      </c>
      <c r="J685" s="166">
        <v>8.0399999999999991</v>
      </c>
      <c r="K685" s="166"/>
      <c r="L685" s="166">
        <v>0.91</v>
      </c>
      <c r="M685" s="166">
        <v>1.42</v>
      </c>
      <c r="N685" s="166">
        <f>IFERROR(SUM(N686:N693)/(SUM($C$686:$C$693)/100000),"")</f>
        <v>0.79510290205804113</v>
      </c>
      <c r="O685" s="167" t="str">
        <f>IF(OR(B685="",C685=""),"",IFERROR(C685/1000*IFERROR(INDEX(Vöruskrá!R:R,MATCH(B685,Vöruskrá!B:B,0)),0)/1000,""))</f>
        <v/>
      </c>
      <c r="P685" s="196" t="s">
        <v>1907</v>
      </c>
      <c r="Q685" s="199" t="s">
        <v>1908</v>
      </c>
      <c r="R685" s="198" t="s">
        <v>1909</v>
      </c>
    </row>
    <row r="686" spans="1:18" ht="15">
      <c r="A686" s="171"/>
      <c r="B686" s="171" t="s">
        <v>1481</v>
      </c>
      <c r="C686" s="172">
        <v>70621</v>
      </c>
      <c r="D686" s="168"/>
      <c r="E686" s="168"/>
      <c r="F686" s="168"/>
      <c r="G686" s="169">
        <f>IF(OR(B686="",C686=""),"",IFERROR(IFERROR(INDEX(Vöruskrá!J:J,MATCH(B686,Vöruskrá!B:B,0)),0)*C686/100000,""))</f>
        <v>0</v>
      </c>
      <c r="H686" s="169">
        <f>IF(OR(B686="",C686=""),"",IFERROR(IFERROR(INDEX(Vöruskrá!K:K,MATCH(B686,Vöruskrá!B:B,0)),0)*C686/100000,""))</f>
        <v>0</v>
      </c>
      <c r="I686" s="169">
        <f>IF(OR(B686="",C686=""),"",IFERROR(IFERROR(INDEX(Vöruskrá!L:L,MATCH(B686,Vöruskrá!B:B,0)),0)*C686/100000,""))</f>
        <v>0</v>
      </c>
      <c r="J686" s="169">
        <f>IF(OR(B686="",C686=""),"",IFERROR(IFERROR(INDEX(Vöruskrá!M:M,MATCH(B686,Vöruskrá!B:B,0)),0)*C686/100000,""))</f>
        <v>0</v>
      </c>
      <c r="K686" s="169">
        <f>IF(OR(B686="",C686=""),"",IFERROR(IFERROR(INDEX(Vöruskrá!N:N,MATCH(B686,Vöruskrá!B:B,0)),0)*C686/100000,""))</f>
        <v>0</v>
      </c>
      <c r="L686" s="169">
        <f>IF(OR(B686="",C686=""),"",IFERROR(IFERROR(INDEX(Vöruskrá!O:O,MATCH(B686,Vöruskrá!B:B,0)),0)*C686/100000,""))</f>
        <v>0</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1"/>
      <c r="Q686" s="203"/>
      <c r="R686" s="204"/>
    </row>
    <row r="687" spans="1:18" ht="15">
      <c r="A687" s="173"/>
      <c r="B687" s="173" t="s">
        <v>1010</v>
      </c>
      <c r="C687" s="174">
        <v>14124</v>
      </c>
      <c r="D687" s="168" t="s">
        <v>1010</v>
      </c>
      <c r="E687" s="168" t="s">
        <v>134</v>
      </c>
      <c r="F687" s="168"/>
      <c r="G687" s="169">
        <f>IF(OR(B687="",C687=""),"",IFERROR(IFERROR(INDEX(Vöruskrá!J:J,MATCH(B687,Vöruskrá!B:B,0)),0)*C687/100000,""))</f>
        <v>5.6496000000000004</v>
      </c>
      <c r="H687" s="169">
        <f>IF(OR(B687="",C687=""),"",IFERROR(IFERROR(INDEX(Vöruskrá!K:K,MATCH(B687,Vöruskrá!B:B,0)),0)*C687/100000,""))</f>
        <v>1.4124000000000001E-2</v>
      </c>
      <c r="I687" s="169">
        <f>IF(OR(B687="",C687=""),"",IFERROR(IFERROR(INDEX(Vöruskrá!L:L,MATCH(B687,Vöruskrá!B:B,0)),0)*C687/100000,""))</f>
        <v>0</v>
      </c>
      <c r="J687" s="169">
        <f>IF(OR(B687="",C687=""),"",IFERROR(IFERROR(INDEX(Vöruskrá!M:M,MATCH(B687,Vöruskrá!B:B,0)),0)*C687/100000,""))</f>
        <v>1.3135320000000001</v>
      </c>
      <c r="K687" s="169">
        <f>IF(OR(B687="",C687=""),"",IFERROR(IFERROR(INDEX(Vöruskrá!N:N,MATCH(B687,Vöruskrá!B:B,0)),0)*C687/100000,""))</f>
        <v>0.59320800000000007</v>
      </c>
      <c r="L687" s="169">
        <f>IF(OR(B687="",C687=""),"",IFERROR(IFERROR(INDEX(Vöruskrá!O:O,MATCH(B687,Vöruskrá!B:B,0)),0)*C687/100000,""))</f>
        <v>0.155364</v>
      </c>
      <c r="M687" s="169">
        <f>IF(OR(B687="",C687=""),"",IFERROR(IFERROR(INDEX(Vöruskrá!P:P,MATCH(B687,Vöruskrá!B:B,0)),0)*C687/100000,""))</f>
        <v>0</v>
      </c>
      <c r="N687" s="169">
        <f>IF(OR(B687="",C687=""),"",IFERROR(IFERROR(INDEX(Vöruskrá!Q:Q,MATCH(B687,Vöruskrá!B:B,0)),0)*C687/100000,""))</f>
        <v>0.24010799999999999</v>
      </c>
      <c r="O687" s="170">
        <f>IF(OR(B687="",C687=""),"",IFERROR(C687/1000*IFERROR(INDEX(Vöruskrá!R:R,MATCH(B687,Vöruskrá!B:B,0)),0)/1000,""))</f>
        <v>0</v>
      </c>
      <c r="P687" s="173"/>
      <c r="Q687" s="158"/>
      <c r="R687" s="6"/>
    </row>
    <row r="688" spans="1:18" ht="15">
      <c r="A688" s="171"/>
      <c r="B688" s="171" t="s">
        <v>1017</v>
      </c>
      <c r="C688" s="172">
        <v>2825</v>
      </c>
      <c r="D688" s="168" t="s">
        <v>1017</v>
      </c>
      <c r="E688" s="168" t="s">
        <v>134</v>
      </c>
      <c r="F688" s="168"/>
      <c r="G688" s="169">
        <f>IF(OR(B688="",C688=""),"",IFERROR(IFERROR(INDEX(Vöruskrá!J:J,MATCH(B688,Vöruskrá!B:B,0)),0)*C688/100000,""))</f>
        <v>4.2092499999999999</v>
      </c>
      <c r="H688" s="169">
        <f>IF(OR(B688="",C688=""),"",IFERROR(IFERROR(INDEX(Vöruskrá!K:K,MATCH(B688,Vöruskrá!B:B,0)),0)*C688/100000,""))</f>
        <v>1.4125E-2</v>
      </c>
      <c r="I688" s="169">
        <f>IF(OR(B688="",C688=""),"",IFERROR(IFERROR(INDEX(Vöruskrá!L:L,MATCH(B688,Vöruskrá!B:B,0)),0)*C688/100000,""))</f>
        <v>2.8249999999999998E-3</v>
      </c>
      <c r="J688" s="169">
        <f>IF(OR(B688="",C688=""),"",IFERROR(IFERROR(INDEX(Vöruskrá!M:M,MATCH(B688,Vöruskrá!B:B,0)),0)*C688/100000,""))</f>
        <v>0.93507499999999999</v>
      </c>
      <c r="K688" s="169">
        <f>IF(OR(B688="",C688=""),"",IFERROR(IFERROR(INDEX(Vöruskrá!N:N,MATCH(B688,Vöruskrá!B:B,0)),0)*C688/100000,""))</f>
        <v>2.8250000000000001E-2</v>
      </c>
      <c r="L688" s="169">
        <f>IF(OR(B688="",C688=""),"",IFERROR(IFERROR(INDEX(Vöruskrá!O:O,MATCH(B688,Vöruskrá!B:B,0)),0)*C688/100000,""))</f>
        <v>0.18079999999999999</v>
      </c>
      <c r="M688" s="169">
        <f>IF(OR(B688="",C688=""),"",IFERROR(IFERROR(INDEX(Vöruskrá!P:P,MATCH(B688,Vöruskrá!B:B,0)),0)*C688/100000,""))</f>
        <v>0</v>
      </c>
      <c r="N688" s="169">
        <f>IF(OR(B688="",C688=""),"",IFERROR(IFERROR(INDEX(Vöruskrá!Q:Q,MATCH(B688,Vöruskrá!B:B,0)),0)*C688/100000,""))</f>
        <v>5.9325000000000003E-2</v>
      </c>
      <c r="O688" s="170">
        <f>IF(OR(B688="",C688=""),"",IFERROR(C688/1000*IFERROR(INDEX(Vöruskrá!R:R,MATCH(B688,Vöruskrá!B:B,0)),0)/1000,""))</f>
        <v>0</v>
      </c>
      <c r="P688" s="171"/>
      <c r="Q688" s="157"/>
      <c r="R688" s="27"/>
    </row>
    <row r="689" spans="1:18" ht="15">
      <c r="A689" s="173"/>
      <c r="B689" s="173" t="s">
        <v>1471</v>
      </c>
      <c r="C689" s="174">
        <v>1412</v>
      </c>
      <c r="D689" s="168"/>
      <c r="E689" s="168"/>
      <c r="F689" s="168"/>
      <c r="G689" s="169">
        <f>IF(OR(B689="",C689=""),"",IFERROR(IFERROR(INDEX(Vöruskrá!J:J,MATCH(B689,Vöruskrá!B:B,0)),0)*C689/100000,""))</f>
        <v>0</v>
      </c>
      <c r="H689" s="169">
        <f>IF(OR(B689="",C689=""),"",IFERROR(IFERROR(INDEX(Vöruskrá!K:K,MATCH(B689,Vöruskrá!B:B,0)),0)*C689/100000,""))</f>
        <v>0</v>
      </c>
      <c r="I689" s="169">
        <f>IF(OR(B689="",C689=""),"",IFERROR(IFERROR(INDEX(Vöruskrá!L:L,MATCH(B689,Vöruskrá!B:B,0)),0)*C689/100000,""))</f>
        <v>0</v>
      </c>
      <c r="J689" s="169">
        <f>IF(OR(B689="",C689=""),"",IFERROR(IFERROR(INDEX(Vöruskrá!M:M,MATCH(B689,Vöruskrá!B:B,0)),0)*C689/100000,""))</f>
        <v>0</v>
      </c>
      <c r="K689" s="169">
        <f>IF(OR(B689="",C689=""),"",IFERROR(IFERROR(INDEX(Vöruskrá!N:N,MATCH(B689,Vöruskrá!B:B,0)),0)*C689/100000,""))</f>
        <v>0</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158"/>
      <c r="R689" s="6"/>
    </row>
    <row r="690" spans="1:18" ht="15">
      <c r="A690" s="171"/>
      <c r="B690" s="171" t="s">
        <v>1062</v>
      </c>
      <c r="C690" s="172">
        <v>1130</v>
      </c>
      <c r="D690" s="168" t="s">
        <v>1063</v>
      </c>
      <c r="E690" s="168" t="s">
        <v>134</v>
      </c>
      <c r="F690" s="168" t="s">
        <v>1024</v>
      </c>
      <c r="G690" s="169">
        <f>IF(OR(B690="",C690=""),"",IFERROR(IFERROR(INDEX(Vöruskrá!J:J,MATCH(B690,Vöruskrá!B:B,0)),0)*C690/100000,""))</f>
        <v>4.2374999999999998</v>
      </c>
      <c r="H690" s="169">
        <f>IF(OR(B690="",C690=""),"",IFERROR(IFERROR(INDEX(Vöruskrá!K:K,MATCH(B690,Vöruskrá!B:B,0)),0)*C690/100000,""))</f>
        <v>0.25198999999999999</v>
      </c>
      <c r="I690" s="169">
        <f>IF(OR(B690="",C690=""),"",IFERROR(IFERROR(INDEX(Vöruskrá!L:L,MATCH(B690,Vöruskrá!B:B,0)),0)*C690/100000,""))</f>
        <v>1.469E-2</v>
      </c>
      <c r="J690" s="169">
        <f>IF(OR(B690="",C690=""),"",IFERROR(IFERROR(INDEX(Vöruskrá!M:M,MATCH(B690,Vöruskrá!B:B,0)),0)*C690/100000,""))</f>
        <v>0.49946000000000002</v>
      </c>
      <c r="K690" s="169">
        <f>IF(OR(B690="",C690=""),"",IFERROR(IFERROR(INDEX(Vöruskrá!N:N,MATCH(B690,Vöruskrá!B:B,0)),0)*C690/100000,""))</f>
        <v>2.5989999999999999E-2</v>
      </c>
      <c r="L690" s="169">
        <f>IF(OR(B690="",C690=""),"",IFERROR(IFERROR(INDEX(Vöruskrá!O:O,MATCH(B690,Vöruskrá!B:B,0)),0)*C690/100000,""))</f>
        <v>0.20114000000000001</v>
      </c>
      <c r="M690" s="169">
        <f>IF(OR(B690="",C690=""),"",IFERROR(IFERROR(INDEX(Vöruskrá!P:P,MATCH(B690,Vöruskrá!B:B,0)),0)*C690/100000,""))</f>
        <v>2.2599999999999999E-3</v>
      </c>
      <c r="N690" s="169">
        <f>IF(OR(B690="",C690=""),"",IFERROR(IFERROR(INDEX(Vöruskrá!Q:Q,MATCH(B690,Vöruskrá!B:B,0)),0)*C690/100000,""))</f>
        <v>0.11865000000000001</v>
      </c>
      <c r="O690" s="170">
        <f>IF(OR(B690="",C690=""),"",IFERROR(C690/1000*IFERROR(INDEX(Vöruskrá!R:R,MATCH(B690,Vöruskrá!B:B,0)),0)/1000,""))</f>
        <v>0</v>
      </c>
      <c r="P690" s="171"/>
      <c r="Q690" s="157"/>
      <c r="R690" s="27"/>
    </row>
    <row r="691" spans="1:18" ht="15">
      <c r="A691" s="173"/>
      <c r="B691" s="173" t="s">
        <v>1030</v>
      </c>
      <c r="C691" s="174">
        <v>1412</v>
      </c>
      <c r="D691" s="168" t="s">
        <v>1032</v>
      </c>
      <c r="E691" s="168" t="s">
        <v>134</v>
      </c>
      <c r="F691" s="168" t="s">
        <v>1024</v>
      </c>
      <c r="G691" s="169">
        <f>IF(OR(B691="",C691=""),"",IFERROR(IFERROR(INDEX(Vöruskrá!J:J,MATCH(B691,Vöruskrá!B:B,0)),0)*C691/100000,""))</f>
        <v>4.1230399999999996</v>
      </c>
      <c r="H691" s="169">
        <f>IF(OR(B691="",C691=""),"",IFERROR(IFERROR(INDEX(Vöruskrá!K:K,MATCH(B691,Vöruskrá!B:B,0)),0)*C691/100000,""))</f>
        <v>7.7660000000000007E-2</v>
      </c>
      <c r="I691" s="169">
        <f>IF(OR(B691="",C691=""),"",IFERROR(IFERROR(INDEX(Vöruskrá!L:L,MATCH(B691,Vöruskrá!B:B,0)),0)*C691/100000,""))</f>
        <v>1.2707999999999999E-2</v>
      </c>
      <c r="J691" s="169">
        <f>IF(OR(B691="",C691=""),"",IFERROR(IFERROR(INDEX(Vöruskrá!M:M,MATCH(B691,Vöruskrá!B:B,0)),0)*C691/100000,""))</f>
        <v>0.70599999999999996</v>
      </c>
      <c r="K691" s="169">
        <f>IF(OR(B691="",C691=""),"",IFERROR(IFERROR(INDEX(Vöruskrá!N:N,MATCH(B691,Vöruskrá!B:B,0)),0)*C691/100000,""))</f>
        <v>5.6480000000000002E-2</v>
      </c>
      <c r="L691" s="169">
        <f>IF(OR(B691="",C691=""),"",IFERROR(IFERROR(INDEX(Vöruskrá!O:O,MATCH(B691,Vöruskrá!B:B,0)),0)*C691/100000,""))</f>
        <v>0.37559200000000004</v>
      </c>
      <c r="M691" s="169">
        <f>IF(OR(B691="",C691=""),"",IFERROR(IFERROR(INDEX(Vöruskrá!P:P,MATCH(B691,Vöruskrá!B:B,0)),0)*C691/100000,""))</f>
        <v>1.4120000000000003E-3</v>
      </c>
      <c r="N691" s="169">
        <f>IF(OR(B691="",C691=""),"",IFERROR(IFERROR(INDEX(Vöruskrá!Q:Q,MATCH(B691,Vöruskrá!B:B,0)),0)*C691/100000,""))</f>
        <v>0.37700400000000001</v>
      </c>
      <c r="O691" s="170">
        <f>IF(OR(B691="",C691=""),"",IFERROR(C691/1000*IFERROR(INDEX(Vöruskrá!R:R,MATCH(B691,Vöruskrá!B:B,0)),0)/1000,""))</f>
        <v>0</v>
      </c>
      <c r="P691" s="173"/>
      <c r="Q691" s="158"/>
      <c r="R691" s="6"/>
    </row>
    <row r="692" spans="1:18" ht="15">
      <c r="A692" s="171"/>
      <c r="B692" s="171" t="s">
        <v>299</v>
      </c>
      <c r="C692" s="172">
        <v>1412</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1.4119999999999999</v>
      </c>
      <c r="N692" s="169">
        <f>IF(OR(B692="",C692=""),"",IFERROR(IFERROR(INDEX(Vöruskrá!Q:Q,MATCH(B692,Vöruskrá!B:B,0)),0)*C692/100000,""))</f>
        <v>0</v>
      </c>
      <c r="O692" s="170">
        <f>IF(OR(B692="",C692=""),"",IFERROR(C692/1000*IFERROR(INDEX(Vöruskrá!R:R,MATCH(B692,Vöruskrá!B:B,0)),0)/1000,""))</f>
        <v>0</v>
      </c>
      <c r="P692" s="171"/>
      <c r="Q692" s="157"/>
      <c r="R692" s="27"/>
    </row>
    <row r="693" spans="1:18" ht="15">
      <c r="A693" s="173"/>
      <c r="B693" s="173" t="s">
        <v>1270</v>
      </c>
      <c r="C693" s="174">
        <v>7062</v>
      </c>
      <c r="D693" s="168" t="s">
        <v>1270</v>
      </c>
      <c r="E693" s="168" t="s">
        <v>134</v>
      </c>
      <c r="F693" s="168"/>
      <c r="G693" s="169">
        <f>IF(OR(B693="",C693=""),"",IFERROR(IFERROR(INDEX(Vöruskrá!J:J,MATCH(B693,Vöruskrá!B:B,0)),0)*C693/100000,""))</f>
        <v>63.558</v>
      </c>
      <c r="H693" s="169">
        <f>IF(OR(B693="",C693=""),"",IFERROR(IFERROR(INDEX(Vöruskrá!K:K,MATCH(B693,Vöruskrá!B:B,0)),0)*C693/100000,""))</f>
        <v>7.0620000000000003</v>
      </c>
      <c r="I693" s="169">
        <f>IF(OR(B693="",C693=""),"",IFERROR(IFERROR(INDEX(Vöruskrá!L:L,MATCH(B693,Vöruskrá!B:B,0)),0)*C693/100000,""))</f>
        <v>0.49434</v>
      </c>
      <c r="J693" s="169">
        <f>IF(OR(B693="",C693=""),"",IFERROR(IFERROR(INDEX(Vöruskrá!M:M,MATCH(B693,Vöruskrá!B:B,0)),0)*C693/100000,""))</f>
        <v>4.5903</v>
      </c>
      <c r="K693" s="169">
        <f>IF(OR(B693="",C693=""),"",IFERROR(IFERROR(INDEX(Vöruskrá!N:N,MATCH(B693,Vöruskrá!B:B,0)),0)*C693/100000,""))</f>
        <v>1.9420500000000001</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200"/>
      <c r="R693" s="159"/>
    </row>
    <row r="694" spans="1:18" ht="72">
      <c r="A694" s="147" t="s">
        <v>1910</v>
      </c>
      <c r="B694" s="147"/>
      <c r="C694" s="148"/>
      <c r="D694" s="165" t="s">
        <v>1911</v>
      </c>
      <c r="E694" s="165" t="s">
        <v>1912</v>
      </c>
      <c r="F694" s="165"/>
      <c r="G694" s="166">
        <v>188.56</v>
      </c>
      <c r="H694" s="166">
        <v>7.96</v>
      </c>
      <c r="I694" s="166">
        <v>0.78</v>
      </c>
      <c r="J694" s="166">
        <v>23.37</v>
      </c>
      <c r="K694" s="166"/>
      <c r="L694" s="166">
        <v>4.78</v>
      </c>
      <c r="M694" s="166">
        <v>1.63</v>
      </c>
      <c r="N694" s="166">
        <f>IFERROR(SUM(N695:N702)/(SUM($C$695:$C$702)/100000),"")</f>
        <v>2.2615526155261554</v>
      </c>
      <c r="O694" s="167" t="str">
        <f>IF(OR(B694="",C694=""),"",IFERROR(C694/1000*IFERROR(INDEX(Vöruskrá!R:R,MATCH(B694,Vöruskrá!B:B,0)),0)/1000,""))</f>
        <v/>
      </c>
      <c r="P694" s="196" t="s">
        <v>1913</v>
      </c>
      <c r="Q694" s="195" t="s">
        <v>1914</v>
      </c>
      <c r="R694" s="194" t="s">
        <v>1915</v>
      </c>
    </row>
    <row r="695" spans="1:18" ht="15">
      <c r="A695" s="171"/>
      <c r="B695" s="171" t="s">
        <v>510</v>
      </c>
      <c r="C695" s="172">
        <v>41026</v>
      </c>
      <c r="D695" s="168" t="s">
        <v>512</v>
      </c>
      <c r="E695" s="168" t="s">
        <v>513</v>
      </c>
      <c r="F695" s="168"/>
      <c r="G695" s="169">
        <f>IF(OR(B695="",C695=""),"",IFERROR(IFERROR(INDEX(Vöruskrá!J:J,MATCH(B695,Vöruskrá!B:B,0)),0)*C695/100000,""))</f>
        <v>72.616020000000006</v>
      </c>
      <c r="H695" s="169">
        <f>IF(OR(B695="",C695=""),"",IFERROR(IFERROR(INDEX(Vöruskrá!K:K,MATCH(B695,Vöruskrá!B:B,0)),0)*C695/100000,""))</f>
        <v>3.4051580000000006</v>
      </c>
      <c r="I695" s="169">
        <f>IF(OR(B695="",C695=""),"",IFERROR(IFERROR(INDEX(Vöruskrá!L:L,MATCH(B695,Vöruskrá!B:B,0)),0)*C695/100000,""))</f>
        <v>0.41026000000000001</v>
      </c>
      <c r="J695" s="169">
        <f>IF(OR(B695="",C695=""),"",IFERROR(IFERROR(INDEX(Vöruskrá!M:M,MATCH(B695,Vöruskrá!B:B,0)),0)*C695/100000,""))</f>
        <v>8.2051999999999996</v>
      </c>
      <c r="K695" s="169">
        <f>IF(OR(B695="",C695=""),"",IFERROR(IFERROR(INDEX(Vöruskrá!N:N,MATCH(B695,Vöruskrá!B:B,0)),0)*C695/100000,""))</f>
        <v>1.6410400000000001</v>
      </c>
      <c r="L695" s="169">
        <f>IF(OR(B695="",C695=""),"",IFERROR(IFERROR(INDEX(Vöruskrá!O:O,MATCH(B695,Vöruskrá!B:B,0)),0)*C695/100000,""))</f>
        <v>1.5589879999999998</v>
      </c>
      <c r="M695" s="169">
        <f>IF(OR(B695="",C695=""),"",IFERROR(IFERROR(INDEX(Vöruskrá!P:P,MATCH(B695,Vöruskrá!B:B,0)),0)*C695/100000,""))</f>
        <v>0.57436399999999999</v>
      </c>
      <c r="N695" s="169">
        <f>IF(OR(B695="",C695=""),"",IFERROR(IFERROR(INDEX(Vöruskrá!Q:Q,MATCH(B695,Vöruskrá!B:B,0)),0)*C695/100000,""))</f>
        <v>1.43591</v>
      </c>
      <c r="O695" s="170">
        <f>IF(OR(B695="",C695=""),"",IFERROR(C695/1000*IFERROR(INDEX(Vöruskrá!R:R,MATCH(B695,Vöruskrá!B:B,0)),0)/1000,""))</f>
        <v>0</v>
      </c>
      <c r="P695" s="171"/>
      <c r="Q695" s="197"/>
      <c r="R695" s="164"/>
    </row>
    <row r="696" spans="1:18" ht="15">
      <c r="A696" s="173"/>
      <c r="B696" s="173" t="s">
        <v>463</v>
      </c>
      <c r="C696" s="174">
        <v>30769</v>
      </c>
      <c r="D696" s="168" t="s">
        <v>465</v>
      </c>
      <c r="E696" s="168" t="s">
        <v>466</v>
      </c>
      <c r="F696" s="168" t="s">
        <v>467</v>
      </c>
      <c r="G696" s="169">
        <f>IF(OR(B696="",C696=""),"",IFERROR(IFERROR(INDEX(Vöruskrá!J:J,MATCH(B696,Vöruskrá!B:B,0)),0)*C696/100000,""))</f>
        <v>74.460980000000006</v>
      </c>
      <c r="H696" s="169">
        <f>IF(OR(B696="",C696=""),"",IFERROR(IFERROR(INDEX(Vöruskrá!K:K,MATCH(B696,Vöruskrá!B:B,0)),0)*C696/100000,""))</f>
        <v>0.76922500000000005</v>
      </c>
      <c r="I696" s="169">
        <f>IF(OR(B696="",C696=""),"",IFERROR(IFERROR(INDEX(Vöruskrá!L:L,MATCH(B696,Vöruskrá!B:B,0)),0)*C696/100000,""))</f>
        <v>0.123076</v>
      </c>
      <c r="J696" s="169">
        <f>IF(OR(B696="",C696=""),"",IFERROR(IFERROR(INDEX(Vöruskrá!M:M,MATCH(B696,Vöruskrá!B:B,0)),0)*C696/100000,""))</f>
        <v>13.538360000000001</v>
      </c>
      <c r="K696" s="169">
        <f>IF(OR(B696="",C696=""),"",IFERROR(IFERROR(INDEX(Vöruskrá!N:N,MATCH(B696,Vöruskrá!B:B,0)),0)*C696/100000,""))</f>
        <v>0.18461399999999997</v>
      </c>
      <c r="L696" s="169">
        <f>IF(OR(B696="",C696=""),"",IFERROR(IFERROR(INDEX(Vöruskrá!O:O,MATCH(B696,Vöruskrá!B:B,0)),0)*C696/100000,""))</f>
        <v>2.8922860000000004</v>
      </c>
      <c r="M696" s="169">
        <f>IF(OR(B696="",C696=""),"",IFERROR(IFERROR(INDEX(Vöruskrá!P:P,MATCH(B696,Vöruskrá!B:B,0)),0)*C696/100000,""))</f>
        <v>0.39999700000000005</v>
      </c>
      <c r="N696" s="169">
        <f>IF(OR(B696="",C696=""),"",IFERROR(IFERROR(INDEX(Vöruskrá!Q:Q,MATCH(B696,Vöruskrá!B:B,0)),0)*C696/100000,""))</f>
        <v>0.55384200000000006</v>
      </c>
      <c r="O696" s="170">
        <f>IF(OR(B696="",C696=""),"",IFERROR(C696/1000*IFERROR(INDEX(Vöruskrá!R:R,MATCH(B696,Vöruskrá!B:B,0)),0)/1000,""))</f>
        <v>0</v>
      </c>
      <c r="P696" s="173"/>
      <c r="Q696" s="157"/>
      <c r="R696" s="27"/>
    </row>
    <row r="697" spans="1:18" ht="15">
      <c r="A697" s="171"/>
      <c r="B697" s="171" t="s">
        <v>627</v>
      </c>
      <c r="C697" s="172">
        <v>5128</v>
      </c>
      <c r="D697" s="168" t="s">
        <v>629</v>
      </c>
      <c r="E697" s="168"/>
      <c r="F697" s="168"/>
      <c r="G697" s="169">
        <f>IF(OR(B697="",C697=""),"",IFERROR(IFERROR(INDEX(Vöruskrá!J:J,MATCH(B697,Vöruskrá!B:B,0)),0)*C697/100000,""))</f>
        <v>2.5640000000000001</v>
      </c>
      <c r="H697" s="169">
        <f>IF(OR(B697="",C697=""),"",IFERROR(IFERROR(INDEX(Vöruskrá!K:K,MATCH(B697,Vöruskrá!B:B,0)),0)*C697/100000,""))</f>
        <v>1.0256000000000001E-2</v>
      </c>
      <c r="I697" s="169">
        <f>IF(OR(B697="",C697=""),"",IFERROR(IFERROR(INDEX(Vöruskrá!L:L,MATCH(B697,Vöruskrá!B:B,0)),0)*C697/100000,""))</f>
        <v>0</v>
      </c>
      <c r="J697" s="169">
        <f>IF(OR(B697="",C697=""),"",IFERROR(IFERROR(INDEX(Vöruskrá!M:M,MATCH(B697,Vöruskrá!B:B,0)),0)*C697/100000,""))</f>
        <v>0.50767200000000001</v>
      </c>
      <c r="K697" s="169">
        <f>IF(OR(B697="",C697=""),"",IFERROR(IFERROR(INDEX(Vöruskrá!N:N,MATCH(B697,Vöruskrá!B:B,0)),0)*C697/100000,""))</f>
        <v>0.49741599999999997</v>
      </c>
      <c r="L697" s="169">
        <f>IF(OR(B697="",C697=""),"",IFERROR(IFERROR(INDEX(Vöruskrá!O:O,MATCH(B697,Vöruskrá!B:B,0)),0)*C697/100000,""))</f>
        <v>5.1279999999999999E-2</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1"/>
      <c r="Q697" s="158"/>
      <c r="R697" s="6"/>
    </row>
    <row r="698" spans="1:18" ht="15">
      <c r="A698" s="173"/>
      <c r="B698" s="173" t="s">
        <v>500</v>
      </c>
      <c r="C698" s="174">
        <v>10256</v>
      </c>
      <c r="D698" s="168" t="s">
        <v>1129</v>
      </c>
      <c r="E698" s="168" t="s">
        <v>1099</v>
      </c>
      <c r="F698" s="168"/>
      <c r="G698" s="169">
        <f>IF(OR(B698="",C698=""),"",IFERROR(IFERROR(INDEX(Vöruskrá!J:J,MATCH(B698,Vöruskrá!B:B,0)),0)*C698/100000,""))</f>
        <v>1.8460799999999999</v>
      </c>
      <c r="H698" s="169">
        <f>IF(OR(B698="",C698=""),"",IFERROR(IFERROR(INDEX(Vöruskrá!K:K,MATCH(B698,Vöruskrá!B:B,0)),0)*C698/100000,""))</f>
        <v>2.0512000000000002E-2</v>
      </c>
      <c r="I698" s="169">
        <f>IF(OR(B698="",C698=""),"",IFERROR(IFERROR(INDEX(Vöruskrá!L:L,MATCH(B698,Vöruskrá!B:B,0)),0)*C698/100000,""))</f>
        <v>0</v>
      </c>
      <c r="J698" s="169">
        <f>IF(OR(B698="",C698=""),"",IFERROR(IFERROR(INDEX(Vöruskrá!M:M,MATCH(B698,Vöruskrá!B:B,0)),0)*C698/100000,""))</f>
        <v>0.39998400000000001</v>
      </c>
      <c r="K698" s="169">
        <f>IF(OR(B698="",C698=""),"",IFERROR(IFERROR(INDEX(Vöruskrá!N:N,MATCH(B698,Vöruskrá!B:B,0)),0)*C698/100000,""))</f>
        <v>0.266656</v>
      </c>
      <c r="L698" s="169">
        <f>IF(OR(B698="",C698=""),"",IFERROR(IFERROR(INDEX(Vöruskrá!O:O,MATCH(B698,Vöruskrá!B:B,0)),0)*C698/100000,""))</f>
        <v>9.2303999999999997E-2</v>
      </c>
      <c r="M698" s="169">
        <f>IF(OR(B698="",C698=""),"",IFERROR(IFERROR(INDEX(Vöruskrá!P:P,MATCH(B698,Vöruskrá!B:B,0)),0)*C698/100000,""))</f>
        <v>0</v>
      </c>
      <c r="N698" s="169">
        <f>IF(OR(B698="",C698=""),"",IFERROR(IFERROR(INDEX(Vöruskrá!Q:Q,MATCH(B698,Vöruskrá!B:B,0)),0)*C698/100000,""))</f>
        <v>0.12307199999999999</v>
      </c>
      <c r="O698" s="170">
        <f>IF(OR(B698="",C698=""),"",IFERROR(C698/1000*IFERROR(INDEX(Vöruskrá!R:R,MATCH(B698,Vöruskrá!B:B,0)),0)/1000,""))</f>
        <v>0</v>
      </c>
      <c r="P698" s="173"/>
      <c r="Q698" s="157"/>
      <c r="R698" s="27"/>
    </row>
    <row r="699" spans="1:18" ht="15">
      <c r="A699" s="171"/>
      <c r="B699" s="171" t="s">
        <v>1010</v>
      </c>
      <c r="C699" s="172">
        <v>5128</v>
      </c>
      <c r="D699" s="168" t="s">
        <v>1010</v>
      </c>
      <c r="E699" s="168" t="s">
        <v>134</v>
      </c>
      <c r="F699" s="168"/>
      <c r="G699" s="169">
        <f>IF(OR(B699="",C699=""),"",IFERROR(IFERROR(INDEX(Vöruskrá!J:J,MATCH(B699,Vöruskrá!B:B,0)),0)*C699/100000,""))</f>
        <v>2.0512000000000001</v>
      </c>
      <c r="H699" s="169">
        <f>IF(OR(B699="",C699=""),"",IFERROR(IFERROR(INDEX(Vöruskrá!K:K,MATCH(B699,Vöruskrá!B:B,0)),0)*C699/100000,""))</f>
        <v>5.1280000000000006E-3</v>
      </c>
      <c r="I699" s="169">
        <f>IF(OR(B699="",C699=""),"",IFERROR(IFERROR(INDEX(Vöruskrá!L:L,MATCH(B699,Vöruskrá!B:B,0)),0)*C699/100000,""))</f>
        <v>0</v>
      </c>
      <c r="J699" s="169">
        <f>IF(OR(B699="",C699=""),"",IFERROR(IFERROR(INDEX(Vöruskrá!M:M,MATCH(B699,Vöruskrá!B:B,0)),0)*C699/100000,""))</f>
        <v>0.47690399999999999</v>
      </c>
      <c r="K699" s="169">
        <f>IF(OR(B699="",C699=""),"",IFERROR(IFERROR(INDEX(Vöruskrá!N:N,MATCH(B699,Vöruskrá!B:B,0)),0)*C699/100000,""))</f>
        <v>0.21537600000000001</v>
      </c>
      <c r="L699" s="169">
        <f>IF(OR(B699="",C699=""),"",IFERROR(IFERROR(INDEX(Vöruskrá!O:O,MATCH(B699,Vöruskrá!B:B,0)),0)*C699/100000,""))</f>
        <v>5.6408E-2</v>
      </c>
      <c r="M699" s="169">
        <f>IF(OR(B699="",C699=""),"",IFERROR(IFERROR(INDEX(Vöruskrá!P:P,MATCH(B699,Vöruskrá!B:B,0)),0)*C699/100000,""))</f>
        <v>0</v>
      </c>
      <c r="N699" s="169">
        <f>IF(OR(B699="",C699=""),"",IFERROR(IFERROR(INDEX(Vöruskrá!Q:Q,MATCH(B699,Vöruskrá!B:B,0)),0)*C699/100000,""))</f>
        <v>8.7176000000000003E-2</v>
      </c>
      <c r="O699" s="170">
        <f>IF(OR(B699="",C699=""),"",IFERROR(C699/1000*IFERROR(INDEX(Vöruskrá!R:R,MATCH(B699,Vöruskrá!B:B,0)),0)/1000,""))</f>
        <v>0</v>
      </c>
      <c r="P699" s="171"/>
      <c r="Q699" s="158"/>
      <c r="R699" s="6"/>
    </row>
    <row r="700" spans="1:18" ht="15">
      <c r="A700" s="173"/>
      <c r="B700" s="173" t="s">
        <v>1405</v>
      </c>
      <c r="C700" s="174">
        <v>5128</v>
      </c>
      <c r="D700" s="168" t="s">
        <v>1407</v>
      </c>
      <c r="E700" s="168" t="s">
        <v>148</v>
      </c>
      <c r="F700" s="168"/>
      <c r="G700" s="169">
        <f>IF(OR(B700="",C700=""),"",IFERROR(IFERROR(INDEX(Vöruskrá!J:J,MATCH(B700,Vöruskrá!B:B,0)),0)*C700/100000,""))</f>
        <v>32.357680000000002</v>
      </c>
      <c r="H700" s="169">
        <f>IF(OR(B700="",C700=""),"",IFERROR(IFERROR(INDEX(Vöruskrá!K:K,MATCH(B700,Vöruskrá!B:B,0)),0)*C700/100000,""))</f>
        <v>3.5895999999999999</v>
      </c>
      <c r="I700" s="169">
        <f>IF(OR(B700="",C700=""),"",IFERROR(IFERROR(INDEX(Vöruskrá!L:L,MATCH(B700,Vöruskrá!B:B,0)),0)*C700/100000,""))</f>
        <v>0.24101600000000001</v>
      </c>
      <c r="J700" s="169">
        <f>IF(OR(B700="",C700=""),"",IFERROR(IFERROR(INDEX(Vöruskrá!M:M,MATCH(B700,Vöruskrá!B:B,0)),0)*C700/100000,""))</f>
        <v>0.12307199999999999</v>
      </c>
      <c r="K700" s="169">
        <f>IF(OR(B700="",C700=""),"",IFERROR(IFERROR(INDEX(Vöruskrá!N:N,MATCH(B700,Vöruskrá!B:B,0)),0)*C700/100000,""))</f>
        <v>7.6920000000000002E-2</v>
      </c>
      <c r="L700" s="169">
        <f>IF(OR(B700="",C700=""),"",IFERROR(IFERROR(INDEX(Vöruskrá!O:O,MATCH(B700,Vöruskrá!B:B,0)),0)*C700/100000,""))</f>
        <v>5.1280000000000006E-3</v>
      </c>
      <c r="M700" s="169">
        <f>IF(OR(B700="",C700=""),"",IFERROR(IFERROR(INDEX(Vöruskrá!P:P,MATCH(B700,Vöruskrá!B:B,0)),0)*C700/100000,""))</f>
        <v>5.1279999999999999E-2</v>
      </c>
      <c r="N700" s="169">
        <f>IF(OR(B700="",C700=""),"",IFERROR(IFERROR(INDEX(Vöruskrá!Q:Q,MATCH(B700,Vöruskrá!B:B,0)),0)*C700/100000,""))</f>
        <v>0</v>
      </c>
      <c r="O700" s="170">
        <f>IF(OR(B700="",C700=""),"",IFERROR(C700/1000*IFERROR(INDEX(Vöruskrá!R:R,MATCH(B700,Vöruskrá!B:B,0)),0)/1000,""))</f>
        <v>0</v>
      </c>
      <c r="P700" s="173"/>
      <c r="Q700" s="157"/>
      <c r="R700" s="27"/>
    </row>
    <row r="701" spans="1:18" ht="15">
      <c r="A701" s="171"/>
      <c r="B701" s="171" t="s">
        <v>1157</v>
      </c>
      <c r="C701" s="172">
        <v>2051</v>
      </c>
      <c r="D701" s="168" t="s">
        <v>1160</v>
      </c>
      <c r="E701" s="168" t="s">
        <v>1161</v>
      </c>
      <c r="F701" s="168"/>
      <c r="G701" s="169">
        <f>IF(OR(B701="",C701=""),"",IFERROR(IFERROR(INDEX(Vöruskrá!J:J,MATCH(B701,Vöruskrá!B:B,0)),0)*C701/100000,""))</f>
        <v>2.6663000000000001</v>
      </c>
      <c r="H701" s="169">
        <f>IF(OR(B701="",C701=""),"",IFERROR(IFERROR(INDEX(Vöruskrá!K:K,MATCH(B701,Vöruskrá!B:B,0)),0)*C701/100000,""))</f>
        <v>0.16408</v>
      </c>
      <c r="I701" s="169">
        <f>IF(OR(B701="",C701=""),"",IFERROR(IFERROR(INDEX(Vöruskrá!L:L,MATCH(B701,Vöruskrá!B:B,0)),0)*C701/100000,""))</f>
        <v>1.0255E-2</v>
      </c>
      <c r="J701" s="169">
        <f>IF(OR(B701="",C701=""),"",IFERROR(IFERROR(INDEX(Vöruskrá!M:M,MATCH(B701,Vöruskrá!B:B,0)),0)*C701/100000,""))</f>
        <v>0.12306</v>
      </c>
      <c r="K701" s="169">
        <f>IF(OR(B701="",C701=""),"",IFERROR(IFERROR(INDEX(Vöruskrá!N:N,MATCH(B701,Vöruskrá!B:B,0)),0)*C701/100000,""))</f>
        <v>4.1020000000000001E-2</v>
      </c>
      <c r="L701" s="169">
        <f>IF(OR(B701="",C701=""),"",IFERROR(IFERROR(INDEX(Vöruskrá!O:O,MATCH(B701,Vöruskrá!B:B,0)),0)*C701/100000,""))</f>
        <v>0.12306</v>
      </c>
      <c r="M701" s="169">
        <f>IF(OR(B701="",C701=""),"",IFERROR(IFERROR(INDEX(Vöruskrá!P:P,MATCH(B701,Vöruskrá!B:B,0)),0)*C701/100000,""))</f>
        <v>9.2295000000000002E-2</v>
      </c>
      <c r="N701" s="169">
        <f>IF(OR(B701="",C701=""),"",IFERROR(IFERROR(INDEX(Vöruskrá!Q:Q,MATCH(B701,Vöruskrá!B:B,0)),0)*C701/100000,""))</f>
        <v>6.1530000000000001E-2</v>
      </c>
      <c r="O701" s="170">
        <f>IF(OR(B701="",C701=""),"",IFERROR(C701/1000*IFERROR(INDEX(Vöruskrá!R:R,MATCH(B701,Vöruskrá!B:B,0)),0)/1000,""))</f>
        <v>0</v>
      </c>
      <c r="P701" s="171"/>
      <c r="Q701" s="158"/>
      <c r="R701" s="6"/>
    </row>
    <row r="702" spans="1:18" ht="15">
      <c r="A702" s="173"/>
      <c r="B702" s="173" t="s">
        <v>299</v>
      </c>
      <c r="C702" s="174">
        <v>513</v>
      </c>
      <c r="D702" s="168" t="s">
        <v>302</v>
      </c>
      <c r="E702" s="168" t="s">
        <v>134</v>
      </c>
      <c r="F702" s="168" t="s">
        <v>303</v>
      </c>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0.51300000000000001</v>
      </c>
      <c r="N702" s="169">
        <f>IF(OR(B702="",C702=""),"",IFERROR(IFERROR(INDEX(Vöruskrá!Q:Q,MATCH(B702,Vöruskrá!B:B,0)),0)*C702/100000,""))</f>
        <v>0</v>
      </c>
      <c r="O702" s="170">
        <f>IF(OR(B702="",C702=""),"",IFERROR(C702/1000*IFERROR(INDEX(Vöruskrá!R:R,MATCH(B702,Vöruskrá!B:B,0)),0)/1000,""))</f>
        <v>0</v>
      </c>
      <c r="P702" s="173"/>
      <c r="Q702" s="201"/>
      <c r="R702" s="202"/>
    </row>
    <row r="703" spans="1:18" ht="60">
      <c r="A703" s="147" t="s">
        <v>1916</v>
      </c>
      <c r="B703" s="147"/>
      <c r="C703" s="148"/>
      <c r="D703" s="165" t="s">
        <v>1917</v>
      </c>
      <c r="E703" s="165" t="s">
        <v>1099</v>
      </c>
      <c r="F703" s="165"/>
      <c r="G703" s="166">
        <v>37.69</v>
      </c>
      <c r="H703" s="166">
        <v>1.94</v>
      </c>
      <c r="I703" s="166">
        <v>1.55</v>
      </c>
      <c r="J703" s="166">
        <v>4.5</v>
      </c>
      <c r="K703" s="166"/>
      <c r="L703" s="166">
        <v>0.67</v>
      </c>
      <c r="M703" s="166">
        <v>1.36</v>
      </c>
      <c r="N703" s="166">
        <f>IFERROR(SUM(N704:N711)/(SUM($C$704:$C$711)/100000),"")</f>
        <v>0.14513854861451383</v>
      </c>
      <c r="O703" s="167" t="str">
        <f>IF(OR(B703="",C703=""),"",IFERROR(C703/1000*IFERROR(INDEX(Vöruskrá!R:R,MATCH(B703,Vöruskrá!B:B,0)),0)/1000,""))</f>
        <v/>
      </c>
      <c r="P703" s="196" t="s">
        <v>1918</v>
      </c>
      <c r="Q703" s="199" t="s">
        <v>1919</v>
      </c>
      <c r="R703" s="198" t="s">
        <v>1920</v>
      </c>
    </row>
    <row r="704" spans="1:18">
      <c r="A704" s="171"/>
      <c r="B704" s="171" t="s">
        <v>1894</v>
      </c>
      <c r="C704" s="172">
        <v>29028</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1"/>
      <c r="Q704" s="203"/>
      <c r="R704" s="204"/>
    </row>
    <row r="705" spans="1:18" ht="15">
      <c r="A705" s="173"/>
      <c r="B705" s="173" t="s">
        <v>1478</v>
      </c>
      <c r="C705" s="174">
        <v>14514</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1477</v>
      </c>
      <c r="C706" s="172">
        <v>18142</v>
      </c>
      <c r="D706" s="168"/>
      <c r="E706" s="168"/>
      <c r="F706" s="168"/>
      <c r="G706" s="169">
        <f>IF(OR(B706="",C706=""),"",IFERROR(IFERROR(INDEX(Vöruskrá!J:J,MATCH(B706,Vöruskrá!B:B,0)),0)*C706/100000,""))</f>
        <v>0</v>
      </c>
      <c r="H706" s="169">
        <f>IF(OR(B706="",C706=""),"",IFERROR(IFERROR(INDEX(Vöruskrá!K:K,MATCH(B706,Vöruskrá!B:B,0)),0)*C706/100000,""))</f>
        <v>0</v>
      </c>
      <c r="I706" s="169">
        <f>IF(OR(B706="",C706=""),"",IFERROR(IFERROR(INDEX(Vöruskrá!L:L,MATCH(B706,Vöruskrá!B:B,0)),0)*C706/100000,""))</f>
        <v>0</v>
      </c>
      <c r="J706" s="169">
        <f>IF(OR(B706="",C706=""),"",IFERROR(IFERROR(INDEX(Vöruskrá!M:M,MATCH(B706,Vöruskrá!B:B,0)),0)*C706/100000,""))</f>
        <v>0</v>
      </c>
      <c r="K706" s="169">
        <f>IF(OR(B706="",C706=""),"",IFERROR(IFERROR(INDEX(Vöruskrá!N:N,MATCH(B706,Vöruskrá!B:B,0)),0)*C706/100000,""))</f>
        <v>0</v>
      </c>
      <c r="L706" s="169">
        <f>IF(OR(B706="",C706=""),"",IFERROR(IFERROR(INDEX(Vöruskrá!O:O,MATCH(B706,Vöruskrá!B:B,0)),0)*C706/100000,""))</f>
        <v>0</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1"/>
      <c r="Q706" s="157"/>
      <c r="R706" s="27"/>
    </row>
    <row r="707" spans="1:18" ht="15">
      <c r="A707" s="173"/>
      <c r="B707" s="173" t="s">
        <v>743</v>
      </c>
      <c r="C707" s="174">
        <v>21771</v>
      </c>
      <c r="D707" s="168" t="s">
        <v>745</v>
      </c>
      <c r="E707" s="168"/>
      <c r="F707" s="168"/>
      <c r="G707" s="169">
        <f>IF(OR(B707="",C707=""),"",IFERROR(IFERROR(INDEX(Vöruskrá!J:J,MATCH(B707,Vöruskrá!B:B,0)),0)*C707/100000,""))</f>
        <v>6.0958800000000002</v>
      </c>
      <c r="H707" s="169">
        <f>IF(OR(B707="",C707=""),"",IFERROR(IFERROR(INDEX(Vöruskrá!K:K,MATCH(B707,Vöruskrá!B:B,0)),0)*C707/100000,""))</f>
        <v>2.1770999999999999E-2</v>
      </c>
      <c r="I707" s="169">
        <f>IF(OR(B707="",C707=""),"",IFERROR(IFERROR(INDEX(Vöruskrá!L:L,MATCH(B707,Vöruskrá!B:B,0)),0)*C707/100000,""))</f>
        <v>0</v>
      </c>
      <c r="J707" s="169">
        <f>IF(OR(B707="",C707=""),"",IFERROR(IFERROR(INDEX(Vöruskrá!M:M,MATCH(B707,Vöruskrá!B:B,0)),0)*C707/100000,""))</f>
        <v>1.0885499999999999</v>
      </c>
      <c r="K707" s="169">
        <f>IF(OR(B707="",C707=""),"",IFERROR(IFERROR(INDEX(Vöruskrá!N:N,MATCH(B707,Vöruskrá!B:B,0)),0)*C707/100000,""))</f>
        <v>0.74021399999999993</v>
      </c>
      <c r="L707" s="169">
        <f>IF(OR(B707="",C707=""),"",IFERROR(IFERROR(INDEX(Vöruskrá!O:O,MATCH(B707,Vöruskrá!B:B,0)),0)*C707/100000,""))</f>
        <v>0.32656499999999999</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8"/>
      <c r="R707" s="6"/>
    </row>
    <row r="708" spans="1:18" ht="15">
      <c r="A708" s="171"/>
      <c r="B708" s="171" t="s">
        <v>489</v>
      </c>
      <c r="C708" s="172">
        <v>1451</v>
      </c>
      <c r="D708" s="168" t="s">
        <v>490</v>
      </c>
      <c r="E708" s="168" t="s">
        <v>134</v>
      </c>
      <c r="F708" s="168" t="s">
        <v>311</v>
      </c>
      <c r="G708" s="169">
        <f>IF(OR(B708="",C708=""),"",IFERROR(IFERROR(INDEX(Vöruskrá!J:J,MATCH(B708,Vöruskrá!B:B,0)),0)*C708/100000,""))</f>
        <v>3.2212200000000002</v>
      </c>
      <c r="H708" s="169">
        <f>IF(OR(B708="",C708=""),"",IFERROR(IFERROR(INDEX(Vöruskrá!K:K,MATCH(B708,Vöruskrá!B:B,0)),0)*C708/100000,""))</f>
        <v>8.7059999999999998E-2</v>
      </c>
      <c r="I708" s="169">
        <f>IF(OR(B708="",C708=""),"",IFERROR(IFERROR(INDEX(Vöruskrá!L:L,MATCH(B708,Vöruskrá!B:B,0)),0)*C708/100000,""))</f>
        <v>1.3059000000000001E-2</v>
      </c>
      <c r="J708" s="169">
        <f>IF(OR(B708="",C708=""),"",IFERROR(IFERROR(INDEX(Vöruskrá!M:M,MATCH(B708,Vöruskrá!B:B,0)),0)*C708/100000,""))</f>
        <v>0.43530000000000002</v>
      </c>
      <c r="K708" s="169">
        <f>IF(OR(B708="",C708=""),"",IFERROR(IFERROR(INDEX(Vöruskrá!N:N,MATCH(B708,Vöruskrá!B:B,0)),0)*C708/100000,""))</f>
        <v>6.6746E-2</v>
      </c>
      <c r="L708" s="169">
        <f>IF(OR(B708="",C708=""),"",IFERROR(IFERROR(INDEX(Vöruskrá!O:O,MATCH(B708,Vöruskrá!B:B,0)),0)*C708/100000,""))</f>
        <v>0.103021</v>
      </c>
      <c r="M708" s="169">
        <f>IF(OR(B708="",C708=""),"",IFERROR(IFERROR(INDEX(Vöruskrá!P:P,MATCH(B708,Vöruskrá!B:B,0)),0)*C708/100000,""))</f>
        <v>0.65295000000000003</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1097</v>
      </c>
      <c r="C709" s="174">
        <v>7257</v>
      </c>
      <c r="D709" s="168" t="s">
        <v>1098</v>
      </c>
      <c r="E709" s="168" t="s">
        <v>1099</v>
      </c>
      <c r="F709" s="168" t="s">
        <v>1100</v>
      </c>
      <c r="G709" s="169">
        <f>IF(OR(B709="",C709=""),"",IFERROR(IFERROR(INDEX(Vöruskrá!J:J,MATCH(B709,Vöruskrá!B:B,0)),0)*C709/100000,""))</f>
        <v>6.2410199999999998</v>
      </c>
      <c r="H709" s="169">
        <f>IF(OR(B709="",C709=""),"",IFERROR(IFERROR(INDEX(Vöruskrá!K:K,MATCH(B709,Vöruskrá!B:B,0)),0)*C709/100000,""))</f>
        <v>8.7083999999999995E-2</v>
      </c>
      <c r="I709" s="169">
        <f>IF(OR(B709="",C709=""),"",IFERROR(IFERROR(INDEX(Vöruskrá!L:L,MATCH(B709,Vöruskrá!B:B,0)),0)*C709/100000,""))</f>
        <v>1.4514000000000001E-2</v>
      </c>
      <c r="J709" s="169">
        <f>IF(OR(B709="",C709=""),"",IFERROR(IFERROR(INDEX(Vöruskrá!M:M,MATCH(B709,Vöruskrá!B:B,0)),0)*C709/100000,""))</f>
        <v>1.37883</v>
      </c>
      <c r="K709" s="169">
        <f>IF(OR(B709="",C709=""),"",IFERROR(IFERROR(INDEX(Vöruskrá!N:N,MATCH(B709,Vöruskrá!B:B,0)),0)*C709/100000,""))</f>
        <v>0.23222400000000001</v>
      </c>
      <c r="L709" s="169">
        <f>IF(OR(B709="",C709=""),"",IFERROR(IFERROR(INDEX(Vöruskrá!O:O,MATCH(B709,Vöruskrá!B:B,0)),0)*C709/100000,""))</f>
        <v>0.23222400000000001</v>
      </c>
      <c r="M709" s="169">
        <f>IF(OR(B709="",C709=""),"",IFERROR(IFERROR(INDEX(Vöruskrá!P:P,MATCH(B709,Vöruskrá!B:B,0)),0)*C709/100000,""))</f>
        <v>7.2570000000000004E-3</v>
      </c>
      <c r="N709" s="169">
        <f>IF(OR(B709="",C709=""),"",IFERROR(IFERROR(INDEX(Vöruskrá!Q:Q,MATCH(B709,Vöruskrá!B:B,0)),0)*C709/100000,""))</f>
        <v>0.14513999999999999</v>
      </c>
      <c r="O709" s="170">
        <f>IF(OR(B709="",C709=""),"",IFERROR(C709/1000*IFERROR(INDEX(Vöruskrá!R:R,MATCH(B709,Vöruskrá!B:B,0)),0)/1000,""))</f>
        <v>0</v>
      </c>
      <c r="P709" s="173"/>
      <c r="Q709" s="158"/>
      <c r="R709" s="6"/>
    </row>
    <row r="710" spans="1:18" ht="15">
      <c r="A710" s="171"/>
      <c r="B710" s="171" t="s">
        <v>457</v>
      </c>
      <c r="C710" s="172">
        <v>7257</v>
      </c>
      <c r="D710" s="168" t="s">
        <v>459</v>
      </c>
      <c r="E710" s="168" t="s">
        <v>134</v>
      </c>
      <c r="F710" s="168"/>
      <c r="G710" s="169">
        <f>IF(OR(B710="",C710=""),"",IFERROR(IFERROR(INDEX(Vöruskrá!J:J,MATCH(B710,Vöruskrá!B:B,0)),0)*C710/100000,""))</f>
        <v>22.133849999999999</v>
      </c>
      <c r="H710" s="169">
        <f>IF(OR(B710="",C710=""),"",IFERROR(IFERROR(INDEX(Vöruskrá!K:K,MATCH(B710,Vöruskrá!B:B,0)),0)*C710/100000,""))</f>
        <v>1.7416799999999999</v>
      </c>
      <c r="I710" s="169">
        <f>IF(OR(B710="",C710=""),"",IFERROR(IFERROR(INDEX(Vöruskrá!L:L,MATCH(B710,Vöruskrá!B:B,0)),0)*C710/100000,""))</f>
        <v>1.52397</v>
      </c>
      <c r="J710" s="169">
        <f>IF(OR(B710="",C710=""),"",IFERROR(IFERROR(INDEX(Vöruskrá!M:M,MATCH(B710,Vöruskrá!B:B,0)),0)*C710/100000,""))</f>
        <v>1.5965400000000001</v>
      </c>
      <c r="K710" s="169">
        <f>IF(OR(B710="",C710=""),"",IFERROR(IFERROR(INDEX(Vöruskrá!N:N,MATCH(B710,Vöruskrá!B:B,0)),0)*C710/100000,""))</f>
        <v>0</v>
      </c>
      <c r="L710" s="169">
        <f>IF(OR(B710="",C710=""),"",IFERROR(IFERROR(INDEX(Vöruskrá!O:O,MATCH(B710,Vöruskrá!B:B,0)),0)*C710/100000,""))</f>
        <v>7.2570000000000004E-3</v>
      </c>
      <c r="M710" s="169">
        <f>IF(OR(B710="",C710=""),"",IFERROR(IFERROR(INDEX(Vöruskrá!P:P,MATCH(B710,Vöruskrá!B:B,0)),0)*C710/100000,""))</f>
        <v>0.12336899999999999</v>
      </c>
      <c r="N710" s="169">
        <f>IF(OR(B710="",C710=""),"",IFERROR(IFERROR(INDEX(Vöruskrá!Q:Q,MATCH(B710,Vöruskrá!B:B,0)),0)*C710/100000,""))</f>
        <v>0</v>
      </c>
      <c r="O710" s="170">
        <f>IF(OR(B710="",C710=""),"",IFERROR(C710/1000*IFERROR(INDEX(Vöruskrá!R:R,MATCH(B710,Vöruskrá!B:B,0)),0)/1000,""))</f>
        <v>0</v>
      </c>
      <c r="P710" s="171"/>
      <c r="Q710" s="157"/>
      <c r="R710" s="27"/>
    </row>
    <row r="711" spans="1:18" ht="15">
      <c r="A711" s="173"/>
      <c r="B711" s="173" t="s">
        <v>299</v>
      </c>
      <c r="C711" s="174">
        <v>581</v>
      </c>
      <c r="D711" s="168" t="s">
        <v>302</v>
      </c>
      <c r="E711" s="168" t="s">
        <v>134</v>
      </c>
      <c r="F711" s="168" t="s">
        <v>303</v>
      </c>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0.58099999999999996</v>
      </c>
      <c r="N711" s="169">
        <f>IF(OR(B711="",C711=""),"",IFERROR(IFERROR(INDEX(Vöruskrá!Q:Q,MATCH(B711,Vöruskrá!B:B,0)),0)*C711/100000,""))</f>
        <v>0</v>
      </c>
      <c r="O711" s="170">
        <f>IF(OR(B711="",C711=""),"",IFERROR(C711/1000*IFERROR(INDEX(Vöruskrá!R:R,MATCH(B711,Vöruskrá!B:B,0)),0)/1000,""))</f>
        <v>0</v>
      </c>
      <c r="P711" s="173"/>
      <c r="Q711" s="200"/>
      <c r="R711" s="159"/>
    </row>
    <row r="712" spans="1:18" ht="60">
      <c r="A712" s="147" t="s">
        <v>1921</v>
      </c>
      <c r="B712" s="147"/>
      <c r="C712" s="148"/>
      <c r="D712" s="165" t="s">
        <v>1922</v>
      </c>
      <c r="E712" s="165" t="s">
        <v>1099</v>
      </c>
      <c r="F712" s="165"/>
      <c r="G712" s="166">
        <v>7.59</v>
      </c>
      <c r="H712" s="166">
        <v>0.04</v>
      </c>
      <c r="I712" s="166">
        <v>0</v>
      </c>
      <c r="J712" s="166">
        <v>1.59</v>
      </c>
      <c r="K712" s="166"/>
      <c r="L712" s="166">
        <v>0.21</v>
      </c>
      <c r="M712" s="166">
        <v>0</v>
      </c>
      <c r="N712" s="166">
        <f>IFERROR(SUM(N713:N719)/(SUM($C$713:$C$719)/100000),"")</f>
        <v>0.17672199999999999</v>
      </c>
      <c r="O712" s="167" t="str">
        <f>IF(OR(B712="",C712=""),"",IFERROR(C712/1000*IFERROR(INDEX(Vöruskrá!R:R,MATCH(B712,Vöruskrá!B:B,0)),0)/1000,""))</f>
        <v/>
      </c>
      <c r="P712" s="196" t="s">
        <v>1923</v>
      </c>
      <c r="Q712" s="195" t="s">
        <v>1924</v>
      </c>
      <c r="R712" s="194" t="s">
        <v>1925</v>
      </c>
    </row>
    <row r="713" spans="1:18">
      <c r="A713" s="171"/>
      <c r="B713" s="171" t="s">
        <v>1894</v>
      </c>
      <c r="C713" s="172">
        <v>25862</v>
      </c>
      <c r="D713" s="168"/>
      <c r="E713" s="168"/>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97"/>
      <c r="R713" s="164"/>
    </row>
    <row r="714" spans="1:18" ht="15">
      <c r="A714" s="173"/>
      <c r="B714" s="173" t="s">
        <v>1489</v>
      </c>
      <c r="C714" s="174">
        <v>34483</v>
      </c>
      <c r="D714" s="168"/>
      <c r="E714" s="168"/>
      <c r="F714" s="168"/>
      <c r="G714" s="169">
        <f>IF(OR(B714="",C714=""),"",IFERROR(IFERROR(INDEX(Vöruskrá!J:J,MATCH(B714,Vöruskrá!B:B,0)),0)*C714/100000,""))</f>
        <v>0</v>
      </c>
      <c r="H714" s="169">
        <f>IF(OR(B714="",C714=""),"",IFERROR(IFERROR(INDEX(Vöruskrá!K:K,MATCH(B714,Vöruskrá!B:B,0)),0)*C714/100000,""))</f>
        <v>0</v>
      </c>
      <c r="I714" s="169">
        <f>IF(OR(B714="",C714=""),"",IFERROR(IFERROR(INDEX(Vöruskrá!L:L,MATCH(B714,Vöruskrá!B:B,0)),0)*C714/100000,""))</f>
        <v>0</v>
      </c>
      <c r="J714" s="169">
        <f>IF(OR(B714="",C714=""),"",IFERROR(IFERROR(INDEX(Vöruskrá!M:M,MATCH(B714,Vöruskrá!B:B,0)),0)*C714/100000,""))</f>
        <v>0</v>
      </c>
      <c r="K714" s="169">
        <f>IF(OR(B714="",C714=""),"",IFERROR(IFERROR(INDEX(Vöruskrá!N:N,MATCH(B714,Vöruskrá!B:B,0)),0)*C714/100000,""))</f>
        <v>0</v>
      </c>
      <c r="L714" s="169">
        <f>IF(OR(B714="",C714=""),"",IFERROR(IFERROR(INDEX(Vöruskrá!O:O,MATCH(B714,Vöruskrá!B:B,0)),0)*C714/100000,""))</f>
        <v>0</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1493</v>
      </c>
      <c r="C715" s="172">
        <v>17241</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158"/>
      <c r="R715" s="6"/>
    </row>
    <row r="716" spans="1:18" ht="15">
      <c r="A716" s="173"/>
      <c r="B716" s="173" t="s">
        <v>627</v>
      </c>
      <c r="C716" s="174">
        <v>8621</v>
      </c>
      <c r="D716" s="168" t="s">
        <v>629</v>
      </c>
      <c r="E716" s="168"/>
      <c r="F716" s="168"/>
      <c r="G716" s="169">
        <f>IF(OR(B716="",C716=""),"",IFERROR(IFERROR(INDEX(Vöruskrá!J:J,MATCH(B716,Vöruskrá!B:B,0)),0)*C716/100000,""))</f>
        <v>4.3105000000000002</v>
      </c>
      <c r="H716" s="169">
        <f>IF(OR(B716="",C716=""),"",IFERROR(IFERROR(INDEX(Vöruskrá!K:K,MATCH(B716,Vöruskrá!B:B,0)),0)*C716/100000,""))</f>
        <v>1.7242E-2</v>
      </c>
      <c r="I716" s="169">
        <f>IF(OR(B716="",C716=""),"",IFERROR(IFERROR(INDEX(Vöruskrá!L:L,MATCH(B716,Vöruskrá!B:B,0)),0)*C716/100000,""))</f>
        <v>0</v>
      </c>
      <c r="J716" s="169">
        <f>IF(OR(B716="",C716=""),"",IFERROR(IFERROR(INDEX(Vöruskrá!M:M,MATCH(B716,Vöruskrá!B:B,0)),0)*C716/100000,""))</f>
        <v>0.8534790000000001</v>
      </c>
      <c r="K716" s="169">
        <f>IF(OR(B716="",C716=""),"",IFERROR(IFERROR(INDEX(Vöruskrá!N:N,MATCH(B716,Vöruskrá!B:B,0)),0)*C716/100000,""))</f>
        <v>0.83623700000000001</v>
      </c>
      <c r="L716" s="169">
        <f>IF(OR(B716="",C716=""),"",IFERROR(IFERROR(INDEX(Vöruskrá!O:O,MATCH(B716,Vöruskrá!B:B,0)),0)*C716/100000,""))</f>
        <v>8.6209999999999995E-2</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500</v>
      </c>
      <c r="C717" s="172">
        <v>8621</v>
      </c>
      <c r="D717" s="168" t="s">
        <v>1129</v>
      </c>
      <c r="E717" s="168" t="s">
        <v>1099</v>
      </c>
      <c r="F717" s="168"/>
      <c r="G717" s="169">
        <f>IF(OR(B717="",C717=""),"",IFERROR(IFERROR(INDEX(Vöruskrá!J:J,MATCH(B717,Vöruskrá!B:B,0)),0)*C717/100000,""))</f>
        <v>1.5517799999999999</v>
      </c>
      <c r="H717" s="169">
        <f>IF(OR(B717="",C717=""),"",IFERROR(IFERROR(INDEX(Vöruskrá!K:K,MATCH(B717,Vöruskrá!B:B,0)),0)*C717/100000,""))</f>
        <v>1.7242E-2</v>
      </c>
      <c r="I717" s="169">
        <f>IF(OR(B717="",C717=""),"",IFERROR(IFERROR(INDEX(Vöruskrá!L:L,MATCH(B717,Vöruskrá!B:B,0)),0)*C717/100000,""))</f>
        <v>0</v>
      </c>
      <c r="J717" s="169">
        <f>IF(OR(B717="",C717=""),"",IFERROR(IFERROR(INDEX(Vöruskrá!M:M,MATCH(B717,Vöruskrá!B:B,0)),0)*C717/100000,""))</f>
        <v>0.33621899999999999</v>
      </c>
      <c r="K717" s="169">
        <f>IF(OR(B717="",C717=""),"",IFERROR(IFERROR(INDEX(Vöruskrá!N:N,MATCH(B717,Vöruskrá!B:B,0)),0)*C717/100000,""))</f>
        <v>0.22414600000000001</v>
      </c>
      <c r="L717" s="169">
        <f>IF(OR(B717="",C717=""),"",IFERROR(IFERROR(INDEX(Vöruskrá!O:O,MATCH(B717,Vöruskrá!B:B,0)),0)*C717/100000,""))</f>
        <v>7.7589000000000005E-2</v>
      </c>
      <c r="M717" s="169">
        <f>IF(OR(B717="",C717=""),"",IFERROR(IFERROR(INDEX(Vöruskrá!P:P,MATCH(B717,Vöruskrá!B:B,0)),0)*C717/100000,""))</f>
        <v>0</v>
      </c>
      <c r="N717" s="169">
        <f>IF(OR(B717="",C717=""),"",IFERROR(IFERROR(INDEX(Vöruskrá!Q:Q,MATCH(B717,Vöruskrá!B:B,0)),0)*C717/100000,""))</f>
        <v>0.10345199999999999</v>
      </c>
      <c r="O717" s="170">
        <f>IF(OR(B717="",C717=""),"",IFERROR(C717/1000*IFERROR(INDEX(Vöruskrá!R:R,MATCH(B717,Vöruskrá!B:B,0)),0)/1000,""))</f>
        <v>0</v>
      </c>
      <c r="P717" s="171"/>
      <c r="Q717" s="158"/>
      <c r="R717" s="6"/>
    </row>
    <row r="718" spans="1:18" ht="15">
      <c r="A718" s="173"/>
      <c r="B718" s="173" t="s">
        <v>1010</v>
      </c>
      <c r="C718" s="174">
        <v>4310</v>
      </c>
      <c r="D718" s="168" t="s">
        <v>1010</v>
      </c>
      <c r="E718" s="168" t="s">
        <v>134</v>
      </c>
      <c r="F718" s="168"/>
      <c r="G718" s="169">
        <f>IF(OR(B718="",C718=""),"",IFERROR(IFERROR(INDEX(Vöruskrá!J:J,MATCH(B718,Vöruskrá!B:B,0)),0)*C718/100000,""))</f>
        <v>1.724</v>
      </c>
      <c r="H718" s="169">
        <f>IF(OR(B718="",C718=""),"",IFERROR(IFERROR(INDEX(Vöruskrá!K:K,MATCH(B718,Vöruskrá!B:B,0)),0)*C718/100000,""))</f>
        <v>4.3099999999999996E-3</v>
      </c>
      <c r="I718" s="169">
        <f>IF(OR(B718="",C718=""),"",IFERROR(IFERROR(INDEX(Vöruskrá!L:L,MATCH(B718,Vöruskrá!B:B,0)),0)*C718/100000,""))</f>
        <v>0</v>
      </c>
      <c r="J718" s="169">
        <f>IF(OR(B718="",C718=""),"",IFERROR(IFERROR(INDEX(Vöruskrá!M:M,MATCH(B718,Vöruskrá!B:B,0)),0)*C718/100000,""))</f>
        <v>0.40083000000000002</v>
      </c>
      <c r="K718" s="169">
        <f>IF(OR(B718="",C718=""),"",IFERROR(IFERROR(INDEX(Vöruskrá!N:N,MATCH(B718,Vöruskrá!B:B,0)),0)*C718/100000,""))</f>
        <v>0.18101999999999999</v>
      </c>
      <c r="L718" s="169">
        <f>IF(OR(B718="",C718=""),"",IFERROR(IFERROR(INDEX(Vöruskrá!O:O,MATCH(B718,Vöruskrá!B:B,0)),0)*C718/100000,""))</f>
        <v>4.7410000000000001E-2</v>
      </c>
      <c r="M718" s="169">
        <f>IF(OR(B718="",C718=""),"",IFERROR(IFERROR(INDEX(Vöruskrá!P:P,MATCH(B718,Vöruskrá!B:B,0)),0)*C718/100000,""))</f>
        <v>0</v>
      </c>
      <c r="N718" s="169">
        <f>IF(OR(B718="",C718=""),"",IFERROR(IFERROR(INDEX(Vöruskrá!Q:Q,MATCH(B718,Vöruskrá!B:B,0)),0)*C718/100000,""))</f>
        <v>7.3270000000000002E-2</v>
      </c>
      <c r="O718" s="170">
        <f>IF(OR(B718="",C718=""),"",IFERROR(C718/1000*IFERROR(INDEX(Vöruskrá!R:R,MATCH(B718,Vöruskrá!B:B,0)),0)/1000,""))</f>
        <v>0</v>
      </c>
      <c r="P718" s="173"/>
      <c r="Q718" s="157"/>
      <c r="R718" s="27"/>
    </row>
    <row r="719" spans="1:18" ht="15">
      <c r="A719" s="171"/>
      <c r="B719" s="171" t="s">
        <v>1492</v>
      </c>
      <c r="C719" s="172">
        <v>862</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200"/>
      <c r="R719" s="159"/>
    </row>
    <row r="720" spans="1:18" ht="48">
      <c r="A720" s="147" t="s">
        <v>1926</v>
      </c>
      <c r="B720" s="147"/>
      <c r="C720" s="148"/>
      <c r="D720" s="165" t="s">
        <v>1927</v>
      </c>
      <c r="E720" s="165" t="s">
        <v>1099</v>
      </c>
      <c r="F720" s="165"/>
      <c r="G720" s="166">
        <v>58.43</v>
      </c>
      <c r="H720" s="166">
        <v>4.04</v>
      </c>
      <c r="I720" s="166">
        <v>3.47</v>
      </c>
      <c r="J720" s="166">
        <v>5.0999999999999996</v>
      </c>
      <c r="K720" s="166"/>
      <c r="L720" s="166">
        <v>0.3</v>
      </c>
      <c r="M720" s="166">
        <v>0.83</v>
      </c>
      <c r="N720" s="166">
        <f>IFERROR(SUM(N721:N727)/(SUM($C$721:$C$727)/100000),"")</f>
        <v>0.31320873582528352</v>
      </c>
      <c r="O720" s="167" t="str">
        <f>IF(OR(B720="",C720=""),"",IFERROR(C720/1000*IFERROR(INDEX(Vöruskrá!R:R,MATCH(B720,Vöruskrá!B:B,0)),0)/1000,""))</f>
        <v/>
      </c>
      <c r="P720" s="196" t="s">
        <v>1928</v>
      </c>
      <c r="Q720" s="199" t="s">
        <v>1929</v>
      </c>
      <c r="R720" s="198" t="s">
        <v>1930</v>
      </c>
    </row>
    <row r="721" spans="1:18">
      <c r="A721" s="171"/>
      <c r="B721" s="171" t="s">
        <v>1894</v>
      </c>
      <c r="C721" s="172">
        <v>32967</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1"/>
      <c r="Q721" s="197"/>
      <c r="R721" s="164"/>
    </row>
    <row r="722" spans="1:18">
      <c r="A722" s="173"/>
      <c r="B722" s="173" t="s">
        <v>1734</v>
      </c>
      <c r="C722" s="174">
        <v>32967</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457</v>
      </c>
      <c r="C723" s="172">
        <v>16484</v>
      </c>
      <c r="D723" s="168" t="s">
        <v>459</v>
      </c>
      <c r="E723" s="168" t="s">
        <v>134</v>
      </c>
      <c r="F723" s="168"/>
      <c r="G723" s="169">
        <f>IF(OR(B723="",C723=""),"",IFERROR(IFERROR(INDEX(Vöruskrá!J:J,MATCH(B723,Vöruskrá!B:B,0)),0)*C723/100000,""))</f>
        <v>50.276200000000003</v>
      </c>
      <c r="H723" s="169">
        <f>IF(OR(B723="",C723=""),"",IFERROR(IFERROR(INDEX(Vöruskrá!K:K,MATCH(B723,Vöruskrá!B:B,0)),0)*C723/100000,""))</f>
        <v>3.9561600000000001</v>
      </c>
      <c r="I723" s="169">
        <f>IF(OR(B723="",C723=""),"",IFERROR(IFERROR(INDEX(Vöruskrá!L:L,MATCH(B723,Vöruskrá!B:B,0)),0)*C723/100000,""))</f>
        <v>3.4616400000000001</v>
      </c>
      <c r="J723" s="169">
        <f>IF(OR(B723="",C723=""),"",IFERROR(IFERROR(INDEX(Vöruskrá!M:M,MATCH(B723,Vöruskrá!B:B,0)),0)*C723/100000,""))</f>
        <v>3.6264799999999999</v>
      </c>
      <c r="K723" s="169">
        <f>IF(OR(B723="",C723=""),"",IFERROR(IFERROR(INDEX(Vöruskrá!N:N,MATCH(B723,Vöruskrá!B:B,0)),0)*C723/100000,""))</f>
        <v>0</v>
      </c>
      <c r="L723" s="169">
        <f>IF(OR(B723="",C723=""),"",IFERROR(IFERROR(INDEX(Vöruskrá!O:O,MATCH(B723,Vöruskrá!B:B,0)),0)*C723/100000,""))</f>
        <v>1.6484000000000002E-2</v>
      </c>
      <c r="M723" s="169">
        <f>IF(OR(B723="",C723=""),"",IFERROR(IFERROR(INDEX(Vöruskrá!P:P,MATCH(B723,Vöruskrá!B:B,0)),0)*C723/100000,""))</f>
        <v>0.28022799999999998</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1116</v>
      </c>
      <c r="C724" s="174">
        <v>5495</v>
      </c>
      <c r="D724" s="168" t="s">
        <v>1117</v>
      </c>
      <c r="E724" s="168" t="s">
        <v>1099</v>
      </c>
      <c r="F724" s="168"/>
      <c r="G724" s="169">
        <f>IF(OR(B724="",C724=""),"",IFERROR(IFERROR(INDEX(Vöruskrá!J:J,MATCH(B724,Vöruskrá!B:B,0)),0)*C724/100000,""))</f>
        <v>1.7034499999999999</v>
      </c>
      <c r="H724" s="169">
        <f>IF(OR(B724="",C724=""),"",IFERROR(IFERROR(INDEX(Vöruskrá!K:K,MATCH(B724,Vöruskrá!B:B,0)),0)*C724/100000,""))</f>
        <v>1.6485E-2</v>
      </c>
      <c r="I724" s="169">
        <f>IF(OR(B724="",C724=""),"",IFERROR(IFERROR(INDEX(Vöruskrá!L:L,MATCH(B724,Vöruskrá!B:B,0)),0)*C724/100000,""))</f>
        <v>0</v>
      </c>
      <c r="J724" s="169">
        <f>IF(OR(B724="",C724=""),"",IFERROR(IFERROR(INDEX(Vöruskrá!M:M,MATCH(B724,Vöruskrá!B:B,0)),0)*C724/100000,""))</f>
        <v>0.32969999999999999</v>
      </c>
      <c r="K724" s="169">
        <f>IF(OR(B724="",C724=""),"",IFERROR(IFERROR(INDEX(Vöruskrá!N:N,MATCH(B724,Vöruskrá!B:B,0)),0)*C724/100000,""))</f>
        <v>0.23079</v>
      </c>
      <c r="L724" s="169">
        <f>IF(OR(B724="",C724=""),"",IFERROR(IFERROR(INDEX(Vöruskrá!O:O,MATCH(B724,Vöruskrá!B:B,0)),0)*C724/100000,""))</f>
        <v>5.4949999999999999E-2</v>
      </c>
      <c r="M724" s="169">
        <f>IF(OR(B724="",C724=""),"",IFERROR(IFERROR(INDEX(Vöruskrá!P:P,MATCH(B724,Vöruskrá!B:B,0)),0)*C724/100000,""))</f>
        <v>0</v>
      </c>
      <c r="N724" s="169">
        <f>IF(OR(B724="",C724=""),"",IFERROR(IFERROR(INDEX(Vöruskrá!Q:Q,MATCH(B724,Vöruskrá!B:B,0)),0)*C724/100000,""))</f>
        <v>0.115395</v>
      </c>
      <c r="O724" s="170">
        <f>IF(OR(B724="",C724=""),"",IFERROR(C724/1000*IFERROR(INDEX(Vöruskrá!R:R,MATCH(B724,Vöruskrá!B:B,0)),0)/1000,""))</f>
        <v>0</v>
      </c>
      <c r="P724" s="173"/>
      <c r="Q724" s="157"/>
      <c r="R724" s="27"/>
    </row>
    <row r="725" spans="1:18" ht="15">
      <c r="A725" s="171"/>
      <c r="B725" s="171" t="s">
        <v>1010</v>
      </c>
      <c r="C725" s="172">
        <v>5495</v>
      </c>
      <c r="D725" s="168" t="s">
        <v>1010</v>
      </c>
      <c r="E725" s="168" t="s">
        <v>134</v>
      </c>
      <c r="F725" s="168"/>
      <c r="G725" s="169">
        <f>IF(OR(B725="",C725=""),"",IFERROR(IFERROR(INDEX(Vöruskrá!J:J,MATCH(B725,Vöruskrá!B:B,0)),0)*C725/100000,""))</f>
        <v>2.198</v>
      </c>
      <c r="H725" s="169">
        <f>IF(OR(B725="",C725=""),"",IFERROR(IFERROR(INDEX(Vöruskrá!K:K,MATCH(B725,Vöruskrá!B:B,0)),0)*C725/100000,""))</f>
        <v>5.4949999999999999E-3</v>
      </c>
      <c r="I725" s="169">
        <f>IF(OR(B725="",C725=""),"",IFERROR(IFERROR(INDEX(Vöruskrá!L:L,MATCH(B725,Vöruskrá!B:B,0)),0)*C725/100000,""))</f>
        <v>0</v>
      </c>
      <c r="J725" s="169">
        <f>IF(OR(B725="",C725=""),"",IFERROR(IFERROR(INDEX(Vöruskrá!M:M,MATCH(B725,Vöruskrá!B:B,0)),0)*C725/100000,""))</f>
        <v>0.51103500000000013</v>
      </c>
      <c r="K725" s="169">
        <f>IF(OR(B725="",C725=""),"",IFERROR(IFERROR(INDEX(Vöruskrá!N:N,MATCH(B725,Vöruskrá!B:B,0)),0)*C725/100000,""))</f>
        <v>0.23079</v>
      </c>
      <c r="L725" s="169">
        <f>IF(OR(B725="",C725=""),"",IFERROR(IFERROR(INDEX(Vöruskrá!O:O,MATCH(B725,Vöruskrá!B:B,0)),0)*C725/100000,""))</f>
        <v>6.0445000000000006E-2</v>
      </c>
      <c r="M725" s="169">
        <f>IF(OR(B725="",C725=""),"",IFERROR(IFERROR(INDEX(Vöruskrá!P:P,MATCH(B725,Vöruskrá!B:B,0)),0)*C725/100000,""))</f>
        <v>0</v>
      </c>
      <c r="N725" s="169">
        <f>IF(OR(B725="",C725=""),"",IFERROR(IFERROR(INDEX(Vöruskrá!Q:Q,MATCH(B725,Vöruskrá!B:B,0)),0)*C725/100000,""))</f>
        <v>9.3414999999999998E-2</v>
      </c>
      <c r="O725" s="170">
        <f>IF(OR(B725="",C725=""),"",IFERROR(C725/1000*IFERROR(INDEX(Vöruskrá!R:R,MATCH(B725,Vöruskrá!B:B,0)),0)/1000,""))</f>
        <v>0</v>
      </c>
      <c r="P725" s="171"/>
      <c r="Q725" s="158"/>
      <c r="R725" s="6"/>
    </row>
    <row r="726" spans="1:18" ht="15">
      <c r="A726" s="173"/>
      <c r="B726" s="173" t="s">
        <v>489</v>
      </c>
      <c r="C726" s="174">
        <v>1099</v>
      </c>
      <c r="D726" s="168" t="s">
        <v>490</v>
      </c>
      <c r="E726" s="168" t="s">
        <v>134</v>
      </c>
      <c r="F726" s="168" t="s">
        <v>311</v>
      </c>
      <c r="G726" s="169">
        <f>IF(OR(B726="",C726=""),"",IFERROR(IFERROR(INDEX(Vöruskrá!J:J,MATCH(B726,Vöruskrá!B:B,0)),0)*C726/100000,""))</f>
        <v>2.4397799999999998</v>
      </c>
      <c r="H726" s="169">
        <f>IF(OR(B726="",C726=""),"",IFERROR(IFERROR(INDEX(Vöruskrá!K:K,MATCH(B726,Vöruskrá!B:B,0)),0)*C726/100000,""))</f>
        <v>6.5939999999999999E-2</v>
      </c>
      <c r="I726" s="169">
        <f>IF(OR(B726="",C726=""),"",IFERROR(IFERROR(INDEX(Vöruskrá!L:L,MATCH(B726,Vöruskrá!B:B,0)),0)*C726/100000,""))</f>
        <v>9.8910000000000005E-3</v>
      </c>
      <c r="J726" s="169">
        <f>IF(OR(B726="",C726=""),"",IFERROR(IFERROR(INDEX(Vöruskrá!M:M,MATCH(B726,Vöruskrá!B:B,0)),0)*C726/100000,""))</f>
        <v>0.32969999999999999</v>
      </c>
      <c r="K726" s="169">
        <f>IF(OR(B726="",C726=""),"",IFERROR(IFERROR(INDEX(Vöruskrá!N:N,MATCH(B726,Vöruskrá!B:B,0)),0)*C726/100000,""))</f>
        <v>5.0553999999999995E-2</v>
      </c>
      <c r="L726" s="169">
        <f>IF(OR(B726="",C726=""),"",IFERROR(IFERROR(INDEX(Vöruskrá!O:O,MATCH(B726,Vöruskrá!B:B,0)),0)*C726/100000,""))</f>
        <v>7.8029000000000001E-2</v>
      </c>
      <c r="M726" s="169">
        <f>IF(OR(B726="",C726=""),"",IFERROR(IFERROR(INDEX(Vöruskrá!P:P,MATCH(B726,Vöruskrá!B:B,0)),0)*C726/100000,""))</f>
        <v>0.49454999999999999</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420</v>
      </c>
      <c r="C727" s="172">
        <v>5495</v>
      </c>
      <c r="D727" s="168" t="s">
        <v>421</v>
      </c>
      <c r="E727" s="168" t="s">
        <v>134</v>
      </c>
      <c r="F727" s="168"/>
      <c r="G727" s="169">
        <f>IF(OR(B727="",C727=""),"",IFERROR(IFERROR(INDEX(Vöruskrá!J:J,MATCH(B727,Vöruskrá!B:B,0)),0)*C727/100000,""))</f>
        <v>1.81335</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0.30222500000000002</v>
      </c>
      <c r="K727" s="169">
        <f>IF(OR(B727="",C727=""),"",IFERROR(IFERROR(INDEX(Vöruskrá!N:N,MATCH(B727,Vöruskrá!B:B,0)),0)*C727/100000,""))</f>
        <v>0.26375999999999999</v>
      </c>
      <c r="L727" s="169">
        <f>IF(OR(B727="",C727=""),"",IFERROR(IFERROR(INDEX(Vöruskrá!O:O,MATCH(B727,Vöruskrá!B:B,0)),0)*C727/100000,""))</f>
        <v>8.7919999999999998E-2</v>
      </c>
      <c r="M727" s="169">
        <f>IF(OR(B727="",C727=""),"",IFERROR(IFERROR(INDEX(Vöruskrá!P:P,MATCH(B727,Vöruskrá!B:B,0)),0)*C727/100000,""))</f>
        <v>5.4949999999999999E-2</v>
      </c>
      <c r="N727" s="169">
        <f>IF(OR(B727="",C727=""),"",IFERROR(IFERROR(INDEX(Vöruskrá!Q:Q,MATCH(B727,Vöruskrá!B:B,0)),0)*C727/100000,""))</f>
        <v>0.104405</v>
      </c>
      <c r="O727" s="170">
        <f>IF(OR(B727="",C727=""),"",IFERROR(C727/1000*IFERROR(INDEX(Vöruskrá!R:R,MATCH(B727,Vöruskrá!B:B,0)),0)/1000,""))</f>
        <v>0</v>
      </c>
      <c r="P727" s="171"/>
      <c r="Q727" s="200"/>
      <c r="R727" s="159"/>
    </row>
    <row r="728" spans="1:18" ht="60">
      <c r="A728" s="147" t="s">
        <v>1931</v>
      </c>
      <c r="B728" s="147"/>
      <c r="C728" s="148"/>
      <c r="D728" s="165" t="s">
        <v>1932</v>
      </c>
      <c r="E728" s="165" t="s">
        <v>1933</v>
      </c>
      <c r="F728" s="165"/>
      <c r="G728" s="166">
        <v>87.66</v>
      </c>
      <c r="H728" s="166">
        <v>4.33</v>
      </c>
      <c r="I728" s="166">
        <v>0.35</v>
      </c>
      <c r="J728" s="166">
        <v>4.55</v>
      </c>
      <c r="K728" s="166"/>
      <c r="L728" s="166">
        <v>6.44</v>
      </c>
      <c r="M728" s="166">
        <v>1.74</v>
      </c>
      <c r="N728" s="166">
        <f>IFERROR(SUM(N729:N739)/(SUM($C$729:$C$739)/100000),"")</f>
        <v>1.6819999999999999</v>
      </c>
      <c r="O728" s="167" t="str">
        <f>IF(OR(B728="",C728=""),"",IFERROR(C728/1000*IFERROR(INDEX(Vöruskrá!R:R,MATCH(B728,Vöruskrá!B:B,0)),0)/1000,""))</f>
        <v/>
      </c>
      <c r="P728" s="196" t="s">
        <v>1934</v>
      </c>
      <c r="Q728" s="195" t="s">
        <v>1935</v>
      </c>
      <c r="R728" s="194" t="s">
        <v>1936</v>
      </c>
    </row>
    <row r="729" spans="1:18" ht="15">
      <c r="A729" s="171"/>
      <c r="B729" s="171" t="s">
        <v>376</v>
      </c>
      <c r="C729" s="172">
        <v>40000</v>
      </c>
      <c r="D729" s="168" t="s">
        <v>377</v>
      </c>
      <c r="E729" s="168" t="s">
        <v>213</v>
      </c>
      <c r="F729" s="168"/>
      <c r="G729" s="169">
        <f>IF(OR(B729="",C729=""),"",IFERROR(IFERROR(INDEX(Vöruskrá!J:J,MATCH(B729,Vöruskrá!B:B,0)),0)*C729/100000,""))</f>
        <v>52.4</v>
      </c>
      <c r="H729" s="169">
        <f>IF(OR(B729="",C729=""),"",IFERROR(IFERROR(INDEX(Vöruskrá!K:K,MATCH(B729,Vöruskrá!B:B,0)),0)*C729/100000,""))</f>
        <v>2.88</v>
      </c>
      <c r="I729" s="169">
        <f>IF(OR(B729="",C729=""),"",IFERROR(IFERROR(INDEX(Vöruskrá!L:L,MATCH(B729,Vöruskrá!B:B,0)),0)*C729/100000,""))</f>
        <v>0.2</v>
      </c>
      <c r="J729" s="169">
        <f>IF(OR(B729="",C729=""),"",IFERROR(IFERROR(INDEX(Vöruskrá!M:M,MATCH(B729,Vöruskrá!B:B,0)),0)*C729/100000,""))</f>
        <v>0.56000000000000005</v>
      </c>
      <c r="K729" s="169">
        <f>IF(OR(B729="",C729=""),"",IFERROR(IFERROR(INDEX(Vöruskrá!N:N,MATCH(B729,Vöruskrá!B:B,0)),0)*C729/100000,""))</f>
        <v>0.24</v>
      </c>
      <c r="L729" s="169">
        <f>IF(OR(B729="",C729=""),"",IFERROR(IFERROR(INDEX(Vöruskrá!O:O,MATCH(B729,Vöruskrá!B:B,0)),0)*C729/100000,""))</f>
        <v>5.2</v>
      </c>
      <c r="M729" s="169">
        <f>IF(OR(B729="",C729=""),"",IFERROR(IFERROR(INDEX(Vöruskrá!P:P,MATCH(B729,Vöruskrá!B:B,0)),0)*C729/100000,""))</f>
        <v>0.36</v>
      </c>
      <c r="N729" s="169">
        <f>IF(OR(B729="",C729=""),"",IFERROR(IFERROR(INDEX(Vöruskrá!Q:Q,MATCH(B729,Vöruskrá!B:B,0)),0)*C729/100000,""))</f>
        <v>1.68</v>
      </c>
      <c r="O729" s="170">
        <f>IF(OR(B729="",C729=""),"",IFERROR(C729/1000*IFERROR(INDEX(Vöruskrá!R:R,MATCH(B729,Vöruskrá!B:B,0)),0)/1000,""))</f>
        <v>0</v>
      </c>
      <c r="P729" s="171"/>
      <c r="Q729" s="197"/>
      <c r="R729" s="164"/>
    </row>
    <row r="730" spans="1:18" ht="15">
      <c r="A730" s="173"/>
      <c r="B730" s="173" t="s">
        <v>743</v>
      </c>
      <c r="C730" s="174">
        <v>33300</v>
      </c>
      <c r="D730" s="168" t="s">
        <v>745</v>
      </c>
      <c r="E730" s="168"/>
      <c r="F730" s="168"/>
      <c r="G730" s="169">
        <f>IF(OR(B730="",C730=""),"",IFERROR(IFERROR(INDEX(Vöruskrá!J:J,MATCH(B730,Vöruskrá!B:B,0)),0)*C730/100000,""))</f>
        <v>9.3239999999999998</v>
      </c>
      <c r="H730" s="169">
        <f>IF(OR(B730="",C730=""),"",IFERROR(IFERROR(INDEX(Vöruskrá!K:K,MATCH(B730,Vöruskrá!B:B,0)),0)*C730/100000,""))</f>
        <v>3.3300000000000003E-2</v>
      </c>
      <c r="I730" s="169">
        <f>IF(OR(B730="",C730=""),"",IFERROR(IFERROR(INDEX(Vöruskrá!L:L,MATCH(B730,Vöruskrá!B:B,0)),0)*C730/100000,""))</f>
        <v>0</v>
      </c>
      <c r="J730" s="169">
        <f>IF(OR(B730="",C730=""),"",IFERROR(IFERROR(INDEX(Vöruskrá!M:M,MATCH(B730,Vöruskrá!B:B,0)),0)*C730/100000,""))</f>
        <v>1.665</v>
      </c>
      <c r="K730" s="169">
        <f>IF(OR(B730="",C730=""),"",IFERROR(IFERROR(INDEX(Vöruskrá!N:N,MATCH(B730,Vöruskrá!B:B,0)),0)*C730/100000,""))</f>
        <v>1.1322000000000001</v>
      </c>
      <c r="L730" s="169">
        <f>IF(OR(B730="",C730=""),"",IFERROR(IFERROR(INDEX(Vöruskrá!O:O,MATCH(B730,Vöruskrá!B:B,0)),0)*C730/100000,""))</f>
        <v>0.4995</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504</v>
      </c>
      <c r="C731" s="172">
        <v>5000</v>
      </c>
      <c r="D731" s="168" t="s">
        <v>500</v>
      </c>
      <c r="E731" s="168" t="s">
        <v>134</v>
      </c>
      <c r="F731" s="168"/>
      <c r="G731" s="169">
        <f>IF(OR(B731="",C731=""),"",IFERROR(IFERROR(INDEX(Vöruskrá!J:J,MATCH(B731,Vöruskrá!B:B,0)),0)*C731/100000,""))</f>
        <v>5.65</v>
      </c>
      <c r="H731" s="169">
        <f>IF(OR(B731="",C731=""),"",IFERROR(IFERROR(INDEX(Vöruskrá!K:K,MATCH(B731,Vöruskrá!B:B,0)),0)*C731/100000,""))</f>
        <v>0.02</v>
      </c>
      <c r="I731" s="169">
        <f>IF(OR(B731="",C731=""),"",IFERROR(IFERROR(INDEX(Vöruskrá!L:L,MATCH(B731,Vöruskrá!B:B,0)),0)*C731/100000,""))</f>
        <v>0</v>
      </c>
      <c r="J731" s="169">
        <f>IF(OR(B731="",C731=""),"",IFERROR(IFERROR(INDEX(Vöruskrá!M:M,MATCH(B731,Vöruskrá!B:B,0)),0)*C731/100000,""))</f>
        <v>0.95</v>
      </c>
      <c r="K731" s="169">
        <f>IF(OR(B731="",C731=""),"",IFERROR(IFERROR(INDEX(Vöruskrá!N:N,MATCH(B731,Vöruskrá!B:B,0)),0)*C731/100000,""))</f>
        <v>0.7</v>
      </c>
      <c r="L731" s="169">
        <f>IF(OR(B731="",C731=""),"",IFERROR(IFERROR(INDEX(Vöruskrá!O:O,MATCH(B731,Vöruskrá!B:B,0)),0)*C731/100000,""))</f>
        <v>0.3</v>
      </c>
      <c r="M731" s="169">
        <f>IF(OR(B731="",C731=""),"",IFERROR(IFERROR(INDEX(Vöruskrá!P:P,MATCH(B731,Vöruskrá!B:B,0)),0)*C731/100000,""))</f>
        <v>5.0000000000000001E-3</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247</v>
      </c>
      <c r="C732" s="174">
        <v>6700</v>
      </c>
      <c r="D732" s="168" t="s">
        <v>251</v>
      </c>
      <c r="E732" s="168" t="s">
        <v>252</v>
      </c>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1072</v>
      </c>
      <c r="C733" s="172">
        <v>2000</v>
      </c>
      <c r="D733" s="168" t="s">
        <v>1075</v>
      </c>
      <c r="E733" s="168" t="s">
        <v>252</v>
      </c>
      <c r="F733" s="168"/>
      <c r="G733" s="169">
        <f>IF(OR(B733="",C733=""),"",IFERROR(IFERROR(INDEX(Vöruskrá!J:J,MATCH(B733,Vöruskrá!B:B,0)),0)*C733/100000,""))</f>
        <v>4.74</v>
      </c>
      <c r="H733" s="169">
        <f>IF(OR(B733="",C733=""),"",IFERROR(IFERROR(INDEX(Vöruskrá!K:K,MATCH(B733,Vöruskrá!B:B,0)),0)*C733/100000,""))</f>
        <v>2.4E-2</v>
      </c>
      <c r="I733" s="169">
        <f>IF(OR(B733="",C733=""),"",IFERROR(IFERROR(INDEX(Vöruskrá!L:L,MATCH(B733,Vöruskrá!B:B,0)),0)*C733/100000,""))</f>
        <v>2E-3</v>
      </c>
      <c r="J733" s="169">
        <f>IF(OR(B733="",C733=""),"",IFERROR(IFERROR(INDEX(Vöruskrá!M:M,MATCH(B733,Vöruskrá!B:B,0)),0)*C733/100000,""))</f>
        <v>0.82</v>
      </c>
      <c r="K733" s="169">
        <f>IF(OR(B733="",C733=""),"",IFERROR(IFERROR(INDEX(Vöruskrá!N:N,MATCH(B733,Vöruskrá!B:B,0)),0)*C733/100000,""))</f>
        <v>0.57599999999999996</v>
      </c>
      <c r="L733" s="169">
        <f>IF(OR(B733="",C733=""),"",IFERROR(IFERROR(INDEX(Vöruskrá!O:O,MATCH(B733,Vöruskrá!B:B,0)),0)*C733/100000,""))</f>
        <v>0.312</v>
      </c>
      <c r="M733" s="169">
        <f>IF(OR(B733="",C733=""),"",IFERROR(IFERROR(INDEX(Vöruskrá!P:P,MATCH(B733,Vöruskrá!B:B,0)),0)*C733/100000,""))</f>
        <v>0.7</v>
      </c>
      <c r="N733" s="169">
        <f>IF(OR(B733="",C733=""),"",IFERROR(IFERROR(INDEX(Vöruskrá!Q:Q,MATCH(B733,Vöruskrá!B:B,0)),0)*C733/100000,""))</f>
        <v>2E-3</v>
      </c>
      <c r="O733" s="170">
        <f>IF(OR(B733="",C733=""),"",IFERROR(C733/1000*IFERROR(INDEX(Vöruskrá!R:R,MATCH(B733,Vöruskrá!B:B,0)),0)/1000,""))</f>
        <v>0</v>
      </c>
      <c r="P733" s="171"/>
      <c r="Q733" s="158"/>
      <c r="R733" s="6"/>
    </row>
    <row r="734" spans="1:18" ht="15">
      <c r="A734" s="173"/>
      <c r="B734" s="173" t="s">
        <v>574</v>
      </c>
      <c r="C734" s="174">
        <v>830</v>
      </c>
      <c r="D734" s="168" t="s">
        <v>576</v>
      </c>
      <c r="E734" s="168" t="s">
        <v>577</v>
      </c>
      <c r="F734" s="168"/>
      <c r="G734" s="169">
        <f>IF(OR(B734="",C734=""),"",IFERROR(IFERROR(INDEX(Vöruskrá!J:J,MATCH(B734,Vöruskrá!B:B,0)),0)*C734/100000,""))</f>
        <v>1.2699</v>
      </c>
      <c r="H734" s="169">
        <f>IF(OR(B734="",C734=""),"",IFERROR(IFERROR(INDEX(Vöruskrá!K:K,MATCH(B734,Vöruskrá!B:B,0)),0)*C734/100000,""))</f>
        <v>3.4860000000000002E-2</v>
      </c>
      <c r="I734" s="169">
        <f>IF(OR(B734="",C734=""),"",IFERROR(IFERROR(INDEX(Vöruskrá!L:L,MATCH(B734,Vöruskrá!B:B,0)),0)*C734/100000,""))</f>
        <v>0</v>
      </c>
      <c r="J734" s="169">
        <f>IF(OR(B734="",C734=""),"",IFERROR(IFERROR(INDEX(Vöruskrá!M:M,MATCH(B734,Vöruskrá!B:B,0)),0)*C734/100000,""))</f>
        <v>0.19422</v>
      </c>
      <c r="K734" s="169">
        <f>IF(OR(B734="",C734=""),"",IFERROR(IFERROR(INDEX(Vöruskrá!N:N,MATCH(B734,Vöruskrá!B:B,0)),0)*C734/100000,""))</f>
        <v>0</v>
      </c>
      <c r="L734" s="169">
        <f>IF(OR(B734="",C734=""),"",IFERROR(IFERROR(INDEX(Vöruskrá!O:O,MATCH(B734,Vöruskrá!B:B,0)),0)*C734/100000,""))</f>
        <v>4.233E-2</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1018</v>
      </c>
      <c r="C735" s="172">
        <v>1300</v>
      </c>
      <c r="D735" s="168" t="s">
        <v>1018</v>
      </c>
      <c r="E735" s="168" t="s">
        <v>134</v>
      </c>
      <c r="F735" s="168"/>
      <c r="G735" s="169">
        <f>IF(OR(B735="",C735=""),"",IFERROR(IFERROR(INDEX(Vöruskrá!J:J,MATCH(B735,Vöruskrá!B:B,0)),0)*C735/100000,""))</f>
        <v>11.7</v>
      </c>
      <c r="H735" s="169">
        <f>IF(OR(B735="",C735=""),"",IFERROR(IFERROR(INDEX(Vöruskrá!K:K,MATCH(B735,Vöruskrá!B:B,0)),0)*C735/100000,""))</f>
        <v>1.3</v>
      </c>
      <c r="I735" s="169">
        <f>IF(OR(B735="",C735=""),"",IFERROR(IFERROR(INDEX(Vöruskrá!L:L,MATCH(B735,Vöruskrá!B:B,0)),0)*C735/100000,""))</f>
        <v>0.14299999999999999</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299</v>
      </c>
      <c r="C736" s="174">
        <v>670</v>
      </c>
      <c r="D736" s="168" t="s">
        <v>302</v>
      </c>
      <c r="E736" s="168" t="s">
        <v>134</v>
      </c>
      <c r="F736" s="168" t="s">
        <v>303</v>
      </c>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0.67</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819</v>
      </c>
      <c r="C737" s="172">
        <v>133</v>
      </c>
      <c r="D737" s="168" t="s">
        <v>820</v>
      </c>
      <c r="E737" s="168"/>
      <c r="F737" s="168" t="s">
        <v>311</v>
      </c>
      <c r="G737" s="169">
        <f>IF(OR(B737="",C737=""),"",IFERROR(IFERROR(INDEX(Vöruskrá!J:J,MATCH(B737,Vöruskrá!B:B,0)),0)*C737/100000,""))</f>
        <v>0.51337999999999995</v>
      </c>
      <c r="H737" s="169">
        <f>IF(OR(B737="",C737=""),"",IFERROR(IFERROR(INDEX(Vöruskrá!K:K,MATCH(B737,Vöruskrá!B:B,0)),0)*C737/100000,""))</f>
        <v>4.3889999999999997E-3</v>
      </c>
      <c r="I737" s="169">
        <f>IF(OR(B737="",C737=""),"",IFERROR(IFERROR(INDEX(Vöruskrá!L:L,MATCH(B737,Vöruskrá!B:B,0)),0)*C737/100000,""))</f>
        <v>1.33E-3</v>
      </c>
      <c r="J737" s="169">
        <f>IF(OR(B737="",C737=""),"",IFERROR(IFERROR(INDEX(Vöruskrá!M:M,MATCH(B737,Vöruskrá!B:B,0)),0)*C737/100000,""))</f>
        <v>8.6449999999999999E-2</v>
      </c>
      <c r="K737" s="169">
        <f>IF(OR(B737="",C737=""),"",IFERROR(IFERROR(INDEX(Vöruskrá!N:N,MATCH(B737,Vöruskrá!B:B,0)),0)*C737/100000,""))</f>
        <v>7.9799999999999999E-4</v>
      </c>
      <c r="L737" s="169">
        <f>IF(OR(B737="",C737=""),"",IFERROR(IFERROR(INDEX(Vöruskrá!O:O,MATCH(B737,Vöruskrá!B:B,0)),0)*C737/100000,""))</f>
        <v>1.4630000000000001E-2</v>
      </c>
      <c r="M737" s="169">
        <f>IF(OR(B737="",C737=""),"",IFERROR(IFERROR(INDEX(Vöruskrá!P:P,MATCH(B737,Vöruskrá!B:B,0)),0)*C737/100000,""))</f>
        <v>1.3300000000000001E-4</v>
      </c>
      <c r="N737" s="169">
        <f>IF(OR(B737="",C737=""),"",IFERROR(IFERROR(INDEX(Vöruskrá!Q:Q,MATCH(B737,Vöruskrá!B:B,0)),0)*C737/100000,""))</f>
        <v>0</v>
      </c>
      <c r="O737" s="170">
        <f>IF(OR(B737="",C737=""),"",IFERROR(C737/1000*IFERROR(INDEX(Vöruskrá!R:R,MATCH(B737,Vöruskrá!B:B,0)),0)/1000,""))</f>
        <v>0</v>
      </c>
      <c r="P737" s="171"/>
      <c r="Q737" s="158"/>
      <c r="R737" s="6"/>
    </row>
    <row r="738" spans="1:18" ht="15">
      <c r="A738" s="173"/>
      <c r="B738" s="173" t="s">
        <v>815</v>
      </c>
      <c r="C738" s="174">
        <v>67</v>
      </c>
      <c r="D738" s="168" t="s">
        <v>816</v>
      </c>
      <c r="E738" s="168"/>
      <c r="F738" s="168" t="s">
        <v>311</v>
      </c>
      <c r="G738" s="169">
        <f>IF(OR(B738="",C738=""),"",IFERROR(IFERROR(INDEX(Vöruskrá!J:J,MATCH(B738,Vöruskrá!B:B,0)),0)*C738/100000,""))</f>
        <v>0.3216</v>
      </c>
      <c r="H738" s="169">
        <f>IF(OR(B738="",C738=""),"",IFERROR(IFERROR(INDEX(Vöruskrá!K:K,MATCH(B738,Vöruskrá!B:B,0)),0)*C738/100000,""))</f>
        <v>6.7000000000000002E-3</v>
      </c>
      <c r="I738" s="169">
        <f>IF(OR(B738="",C738=""),"",IFERROR(IFERROR(INDEX(Vöruskrá!L:L,MATCH(B738,Vöruskrá!B:B,0)),0)*C738/100000,""))</f>
        <v>1.8090000000000001E-3</v>
      </c>
      <c r="J738" s="169">
        <f>IF(OR(B738="",C738=""),"",IFERROR(IFERROR(INDEX(Vöruskrá!M:M,MATCH(B738,Vöruskrá!B:B,0)),0)*C738/100000,""))</f>
        <v>4.2880000000000001E-2</v>
      </c>
      <c r="K738" s="169">
        <f>IF(OR(B738="",C738=""),"",IFERROR(IFERROR(INDEX(Vöruskrá!N:N,MATCH(B738,Vöruskrá!B:B,0)),0)*C738/100000,""))</f>
        <v>2.7469999999999999E-3</v>
      </c>
      <c r="L738" s="169">
        <f>IF(OR(B738="",C738=""),"",IFERROR(IFERROR(INDEX(Vöruskrá!O:O,MATCH(B738,Vöruskrá!B:B,0)),0)*C738/100000,""))</f>
        <v>7.3699999999999998E-3</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1020</v>
      </c>
      <c r="C739" s="172">
        <v>10000</v>
      </c>
      <c r="D739" s="168" t="s">
        <v>1020</v>
      </c>
      <c r="E739" s="168" t="s">
        <v>134</v>
      </c>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200"/>
      <c r="R739" s="159"/>
    </row>
    <row r="740" spans="1:18" ht="48">
      <c r="A740" s="147" t="s">
        <v>1937</v>
      </c>
      <c r="B740" s="147"/>
      <c r="C740" s="148"/>
      <c r="D740" s="165" t="s">
        <v>1938</v>
      </c>
      <c r="E740" s="165" t="s">
        <v>1099</v>
      </c>
      <c r="F740" s="165"/>
      <c r="G740" s="166">
        <v>8.23</v>
      </c>
      <c r="H740" s="166">
        <v>0.05</v>
      </c>
      <c r="I740" s="166">
        <v>0</v>
      </c>
      <c r="J740" s="166">
        <v>1.64</v>
      </c>
      <c r="K740" s="166"/>
      <c r="L740" s="166">
        <v>0.22</v>
      </c>
      <c r="M740" s="166">
        <v>0.55000000000000004</v>
      </c>
      <c r="N740" s="166">
        <f>IFERROR(SUM(N741:N747)/(SUM($C$741:$C$747)/100000),"")</f>
        <v>0.18232500000000001</v>
      </c>
      <c r="O740" s="167" t="str">
        <f>IF(OR(B740="",C740=""),"",IFERROR(C740/1000*IFERROR(INDEX(Vöruskrá!R:R,MATCH(B740,Vöruskrá!B:B,0)),0)/1000,""))</f>
        <v/>
      </c>
      <c r="P740" s="196" t="s">
        <v>1939</v>
      </c>
      <c r="Q740" s="199" t="s">
        <v>1940</v>
      </c>
      <c r="R740" s="198" t="s">
        <v>1941</v>
      </c>
    </row>
    <row r="741" spans="1:18">
      <c r="A741" s="171"/>
      <c r="B741" s="171" t="s">
        <v>1894</v>
      </c>
      <c r="C741" s="172">
        <v>33149</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97"/>
      <c r="R741" s="164"/>
    </row>
    <row r="742" spans="1:18">
      <c r="A742" s="173"/>
      <c r="B742" s="173" t="s">
        <v>1734</v>
      </c>
      <c r="C742" s="174">
        <v>33149</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1493</v>
      </c>
      <c r="C743" s="172">
        <v>11050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58"/>
      <c r="R743" s="6"/>
    </row>
    <row r="744" spans="1:18" ht="15">
      <c r="A744" s="173"/>
      <c r="B744" s="173" t="s">
        <v>627</v>
      </c>
      <c r="C744" s="174">
        <v>11050</v>
      </c>
      <c r="D744" s="168" t="s">
        <v>629</v>
      </c>
      <c r="E744" s="168"/>
      <c r="F744" s="168"/>
      <c r="G744" s="169">
        <f>IF(OR(B744="",C744=""),"",IFERROR(IFERROR(INDEX(Vöruskrá!J:J,MATCH(B744,Vöruskrá!B:B,0)),0)*C744/100000,""))</f>
        <v>5.5250000000000004</v>
      </c>
      <c r="H744" s="169">
        <f>IF(OR(B744="",C744=""),"",IFERROR(IFERROR(INDEX(Vöruskrá!K:K,MATCH(B744,Vöruskrá!B:B,0)),0)*C744/100000,""))</f>
        <v>2.2100000000000002E-2</v>
      </c>
      <c r="I744" s="169">
        <f>IF(OR(B744="",C744=""),"",IFERROR(IFERROR(INDEX(Vöruskrá!L:L,MATCH(B744,Vöruskrá!B:B,0)),0)*C744/100000,""))</f>
        <v>0</v>
      </c>
      <c r="J744" s="169">
        <f>IF(OR(B744="",C744=""),"",IFERROR(IFERROR(INDEX(Vöruskrá!M:M,MATCH(B744,Vöruskrá!B:B,0)),0)*C744/100000,""))</f>
        <v>1.09395</v>
      </c>
      <c r="K744" s="169">
        <f>IF(OR(B744="",C744=""),"",IFERROR(IFERROR(INDEX(Vöruskrá!N:N,MATCH(B744,Vöruskrá!B:B,0)),0)*C744/100000,""))</f>
        <v>1.0718499999999997</v>
      </c>
      <c r="L744" s="169">
        <f>IF(OR(B744="",C744=""),"",IFERROR(IFERROR(INDEX(Vöruskrá!O:O,MATCH(B744,Vöruskrá!B:B,0)),0)*C744/100000,""))</f>
        <v>0.1105</v>
      </c>
      <c r="M744" s="169">
        <f>IF(OR(B744="",C744=""),"",IFERROR(IFERROR(INDEX(Vöruskrá!P:P,MATCH(B744,Vöruskrá!B:B,0)),0)*C744/100000,""))</f>
        <v>0</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500</v>
      </c>
      <c r="C745" s="172">
        <v>5525</v>
      </c>
      <c r="D745" s="168" t="s">
        <v>1129</v>
      </c>
      <c r="E745" s="168" t="s">
        <v>1099</v>
      </c>
      <c r="F745" s="168"/>
      <c r="G745" s="169">
        <f>IF(OR(B745="",C745=""),"",IFERROR(IFERROR(INDEX(Vöruskrá!J:J,MATCH(B745,Vöruskrá!B:B,0)),0)*C745/100000,""))</f>
        <v>0.99450000000000005</v>
      </c>
      <c r="H745" s="169">
        <f>IF(OR(B745="",C745=""),"",IFERROR(IFERROR(INDEX(Vöruskrá!K:K,MATCH(B745,Vöruskrá!B:B,0)),0)*C745/100000,""))</f>
        <v>1.1050000000000001E-2</v>
      </c>
      <c r="I745" s="169">
        <f>IF(OR(B745="",C745=""),"",IFERROR(IFERROR(INDEX(Vöruskrá!L:L,MATCH(B745,Vöruskrá!B:B,0)),0)*C745/100000,""))</f>
        <v>0</v>
      </c>
      <c r="J745" s="169">
        <f>IF(OR(B745="",C745=""),"",IFERROR(IFERROR(INDEX(Vöruskrá!M:M,MATCH(B745,Vöruskrá!B:B,0)),0)*C745/100000,""))</f>
        <v>0.215475</v>
      </c>
      <c r="K745" s="169">
        <f>IF(OR(B745="",C745=""),"",IFERROR(IFERROR(INDEX(Vöruskrá!N:N,MATCH(B745,Vöruskrá!B:B,0)),0)*C745/100000,""))</f>
        <v>0.14365</v>
      </c>
      <c r="L745" s="169">
        <f>IF(OR(B745="",C745=""),"",IFERROR(IFERROR(INDEX(Vöruskrá!O:O,MATCH(B745,Vöruskrá!B:B,0)),0)*C745/100000,""))</f>
        <v>4.9724999999999998E-2</v>
      </c>
      <c r="M745" s="169">
        <f>IF(OR(B745="",C745=""),"",IFERROR(IFERROR(INDEX(Vöruskrá!P:P,MATCH(B745,Vöruskrá!B:B,0)),0)*C745/100000,""))</f>
        <v>0</v>
      </c>
      <c r="N745" s="169">
        <f>IF(OR(B745="",C745=""),"",IFERROR(IFERROR(INDEX(Vöruskrá!Q:Q,MATCH(B745,Vöruskrá!B:B,0)),0)*C745/100000,""))</f>
        <v>6.6299999999999998E-2</v>
      </c>
      <c r="O745" s="170">
        <f>IF(OR(B745="",C745=""),"",IFERROR(C745/1000*IFERROR(INDEX(Vöruskrá!R:R,MATCH(B745,Vöruskrá!B:B,0)),0)/1000,""))</f>
        <v>0</v>
      </c>
      <c r="P745" s="171"/>
      <c r="Q745" s="158"/>
      <c r="R745" s="6"/>
    </row>
    <row r="746" spans="1:18" ht="15">
      <c r="A746" s="173"/>
      <c r="B746" s="173" t="s">
        <v>1116</v>
      </c>
      <c r="C746" s="174">
        <v>5525</v>
      </c>
      <c r="D746" s="168" t="s">
        <v>1117</v>
      </c>
      <c r="E746" s="168" t="s">
        <v>1099</v>
      </c>
      <c r="F746" s="168"/>
      <c r="G746" s="169">
        <f>IF(OR(B746="",C746=""),"",IFERROR(IFERROR(INDEX(Vöruskrá!J:J,MATCH(B746,Vöruskrá!B:B,0)),0)*C746/100000,""))</f>
        <v>1.71275</v>
      </c>
      <c r="H746" s="169">
        <f>IF(OR(B746="",C746=""),"",IFERROR(IFERROR(INDEX(Vöruskrá!K:K,MATCH(B746,Vöruskrá!B:B,0)),0)*C746/100000,""))</f>
        <v>1.6574999999999999E-2</v>
      </c>
      <c r="I746" s="169">
        <f>IF(OR(B746="",C746=""),"",IFERROR(IFERROR(INDEX(Vöruskrá!L:L,MATCH(B746,Vöruskrá!B:B,0)),0)*C746/100000,""))</f>
        <v>0</v>
      </c>
      <c r="J746" s="169">
        <f>IF(OR(B746="",C746=""),"",IFERROR(IFERROR(INDEX(Vöruskrá!M:M,MATCH(B746,Vöruskrá!B:B,0)),0)*C746/100000,""))</f>
        <v>0.33150000000000002</v>
      </c>
      <c r="K746" s="169">
        <f>IF(OR(B746="",C746=""),"",IFERROR(IFERROR(INDEX(Vöruskrá!N:N,MATCH(B746,Vöruskrá!B:B,0)),0)*C746/100000,""))</f>
        <v>0.23205000000000001</v>
      </c>
      <c r="L746" s="169">
        <f>IF(OR(B746="",C746=""),"",IFERROR(IFERROR(INDEX(Vöruskrá!O:O,MATCH(B746,Vöruskrá!B:B,0)),0)*C746/100000,""))</f>
        <v>5.525E-2</v>
      </c>
      <c r="M746" s="169">
        <f>IF(OR(B746="",C746=""),"",IFERROR(IFERROR(INDEX(Vöruskrá!P:P,MATCH(B746,Vöruskrá!B:B,0)),0)*C746/100000,""))</f>
        <v>0</v>
      </c>
      <c r="N746" s="169">
        <f>IF(OR(B746="",C746=""),"",IFERROR(IFERROR(INDEX(Vöruskrá!Q:Q,MATCH(B746,Vöruskrá!B:B,0)),0)*C746/100000,""))</f>
        <v>0.116025</v>
      </c>
      <c r="O746" s="170">
        <f>IF(OR(B746="",C746=""),"",IFERROR(C746/1000*IFERROR(INDEX(Vöruskrá!R:R,MATCH(B746,Vöruskrá!B:B,0)),0)/1000,""))</f>
        <v>0</v>
      </c>
      <c r="P746" s="173"/>
      <c r="Q746" s="157"/>
      <c r="R746" s="27"/>
    </row>
    <row r="747" spans="1:18" ht="15">
      <c r="A747" s="171"/>
      <c r="B747" s="171" t="s">
        <v>299</v>
      </c>
      <c r="C747" s="172">
        <v>552</v>
      </c>
      <c r="D747" s="168" t="s">
        <v>302</v>
      </c>
      <c r="E747" s="168" t="s">
        <v>134</v>
      </c>
      <c r="F747" s="168" t="s">
        <v>303</v>
      </c>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0.55200000000000005</v>
      </c>
      <c r="N747" s="169">
        <f>IF(OR(B747="",C747=""),"",IFERROR(IFERROR(INDEX(Vöruskrá!Q:Q,MATCH(B747,Vöruskrá!B:B,0)),0)*C747/100000,""))</f>
        <v>0</v>
      </c>
      <c r="O747" s="170">
        <f>IF(OR(B747="",C747=""),"",IFERROR(C747/1000*IFERROR(INDEX(Vöruskrá!R:R,MATCH(B747,Vöruskrá!B:B,0)),0)/1000,""))</f>
        <v>0</v>
      </c>
      <c r="P747" s="171"/>
      <c r="Q747" s="200"/>
      <c r="R747" s="159"/>
    </row>
    <row r="748" spans="1:18" ht="72">
      <c r="A748" s="147" t="s">
        <v>1942</v>
      </c>
      <c r="B748" s="147"/>
      <c r="C748" s="148"/>
      <c r="D748" s="165" t="s">
        <v>1943</v>
      </c>
      <c r="E748" s="165" t="s">
        <v>120</v>
      </c>
      <c r="F748" s="165"/>
      <c r="G748" s="166">
        <v>47.77</v>
      </c>
      <c r="H748" s="166">
        <v>3.21</v>
      </c>
      <c r="I748" s="166">
        <v>1.85</v>
      </c>
      <c r="J748" s="166">
        <v>1.65</v>
      </c>
      <c r="K748" s="166"/>
      <c r="L748" s="166">
        <v>2.94</v>
      </c>
      <c r="M748" s="166">
        <v>0.66</v>
      </c>
      <c r="N748" s="166">
        <f>IFERROR(SUM(N749:N757)/(SUM($C$749:$C$757)/100000),"")</f>
        <v>0</v>
      </c>
      <c r="O748" s="167" t="str">
        <f>IF(OR(B748="",C748=""),"",IFERROR(C748/1000*IFERROR(INDEX(Vöruskrá!R:R,MATCH(B748,Vöruskrá!B:B,0)),0)/1000,""))</f>
        <v/>
      </c>
      <c r="P748" s="196" t="s">
        <v>1944</v>
      </c>
      <c r="Q748" s="195" t="s">
        <v>1945</v>
      </c>
      <c r="R748" s="194" t="s">
        <v>1946</v>
      </c>
    </row>
    <row r="749" spans="1:18" ht="15">
      <c r="A749" s="171"/>
      <c r="B749" s="171" t="s">
        <v>1477</v>
      </c>
      <c r="C749" s="172">
        <v>20000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97"/>
      <c r="R749" s="164"/>
    </row>
    <row r="750" spans="1:18" ht="15">
      <c r="A750" s="173"/>
      <c r="B750" s="173" t="s">
        <v>1494</v>
      </c>
      <c r="C750" s="174">
        <v>25000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743</v>
      </c>
      <c r="C751" s="172">
        <v>20000</v>
      </c>
      <c r="D751" s="168" t="s">
        <v>745</v>
      </c>
      <c r="E751" s="168"/>
      <c r="F751" s="168"/>
      <c r="G751" s="169">
        <f>IF(OR(B751="",C751=""),"",IFERROR(IFERROR(INDEX(Vöruskrá!J:J,MATCH(B751,Vöruskrá!B:B,0)),0)*C751/100000,""))</f>
        <v>5.6</v>
      </c>
      <c r="H751" s="169">
        <f>IF(OR(B751="",C751=""),"",IFERROR(IFERROR(INDEX(Vöruskrá!K:K,MATCH(B751,Vöruskrá!B:B,0)),0)*C751/100000,""))</f>
        <v>0.02</v>
      </c>
      <c r="I751" s="169">
        <f>IF(OR(B751="",C751=""),"",IFERROR(IFERROR(INDEX(Vöruskrá!L:L,MATCH(B751,Vöruskrá!B:B,0)),0)*C751/100000,""))</f>
        <v>0</v>
      </c>
      <c r="J751" s="169">
        <f>IF(OR(B751="",C751=""),"",IFERROR(IFERROR(INDEX(Vöruskrá!M:M,MATCH(B751,Vöruskrá!B:B,0)),0)*C751/100000,""))</f>
        <v>1</v>
      </c>
      <c r="K751" s="169">
        <f>IF(OR(B751="",C751=""),"",IFERROR(IFERROR(INDEX(Vöruskrá!N:N,MATCH(B751,Vöruskrá!B:B,0)),0)*C751/100000,""))</f>
        <v>0.68</v>
      </c>
      <c r="L751" s="169">
        <f>IF(OR(B751="",C751=""),"",IFERROR(IFERROR(INDEX(Vöruskrá!O:O,MATCH(B751,Vöruskrá!B:B,0)),0)*C751/100000,""))</f>
        <v>0.3</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c r="A752" s="173"/>
      <c r="B752" s="173" t="s">
        <v>1894</v>
      </c>
      <c r="C752" s="174">
        <v>15000</v>
      </c>
      <c r="D752" s="168"/>
      <c r="E752" s="168"/>
      <c r="F752" s="168"/>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895</v>
      </c>
      <c r="C753" s="172">
        <v>10000</v>
      </c>
      <c r="D753" s="168" t="s">
        <v>897</v>
      </c>
      <c r="E753" s="168" t="s">
        <v>120</v>
      </c>
      <c r="F753" s="168"/>
      <c r="G753" s="169">
        <f>IF(OR(B753="",C753=""),"",IFERROR(IFERROR(INDEX(Vöruskrá!J:J,MATCH(B753,Vöruskrá!B:B,0)),0)*C753/100000,""))</f>
        <v>30.1</v>
      </c>
      <c r="H753" s="169">
        <f>IF(OR(B753="",C753=""),"",IFERROR(IFERROR(INDEX(Vöruskrá!K:K,MATCH(B753,Vöruskrá!B:B,0)),0)*C753/100000,""))</f>
        <v>2.1</v>
      </c>
      <c r="I753" s="169">
        <f>IF(OR(B753="",C753=""),"",IFERROR(IFERROR(INDEX(Vöruskrá!L:L,MATCH(B753,Vöruskrá!B:B,0)),0)*C753/100000,""))</f>
        <v>1.2</v>
      </c>
      <c r="J753" s="169">
        <f>IF(OR(B753="",C753=""),"",IFERROR(IFERROR(INDEX(Vöruskrá!M:M,MATCH(B753,Vöruskrá!B:B,0)),0)*C753/100000,""))</f>
        <v>0.32</v>
      </c>
      <c r="K753" s="169">
        <f>IF(OR(B753="",C753=""),"",IFERROR(IFERROR(INDEX(Vöruskrá!N:N,MATCH(B753,Vöruskrá!B:B,0)),0)*C753/100000,""))</f>
        <v>0.1</v>
      </c>
      <c r="L753" s="169">
        <f>IF(OR(B753="",C753=""),"",IFERROR(IFERROR(INDEX(Vöruskrá!O:O,MATCH(B753,Vöruskrá!B:B,0)),0)*C753/100000,""))</f>
        <v>2.4</v>
      </c>
      <c r="M753" s="169">
        <f>IF(OR(B753="",C753=""),"",IFERROR(IFERROR(INDEX(Vöruskrá!P:P,MATCH(B753,Vöruskrá!B:B,0)),0)*C753/100000,""))</f>
        <v>0.14000000000000001</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849</v>
      </c>
      <c r="C754" s="174">
        <v>7000</v>
      </c>
      <c r="D754" s="168" t="s">
        <v>850</v>
      </c>
      <c r="E754" s="168" t="s">
        <v>120</v>
      </c>
      <c r="F754" s="168"/>
      <c r="G754" s="169">
        <f>IF(OR(B754="",C754=""),"",IFERROR(IFERROR(INDEX(Vöruskrá!J:J,MATCH(B754,Vöruskrá!B:B,0)),0)*C754/100000,""))</f>
        <v>4.6900000000000004</v>
      </c>
      <c r="H754" s="169">
        <f>IF(OR(B754="",C754=""),"",IFERROR(IFERROR(INDEX(Vöruskrá!K:K,MATCH(B754,Vöruskrá!B:B,0)),0)*C754/100000,""))</f>
        <v>0.27300000000000002</v>
      </c>
      <c r="I754" s="169">
        <f>IF(OR(B754="",C754=""),"",IFERROR(IFERROR(INDEX(Vöruskrá!L:L,MATCH(B754,Vöruskrá!B:B,0)),0)*C754/100000,""))</f>
        <v>0.16099999999999998</v>
      </c>
      <c r="J754" s="169">
        <f>IF(OR(B754="",C754=""),"",IFERROR(IFERROR(INDEX(Vöruskrá!M:M,MATCH(B754,Vöruskrá!B:B,0)),0)*C754/100000,""))</f>
        <v>0.32900000000000001</v>
      </c>
      <c r="K754" s="169">
        <f>IF(OR(B754="",C754=""),"",IFERROR(IFERROR(INDEX(Vöruskrá!N:N,MATCH(B754,Vöruskrá!B:B,0)),0)*C754/100000,""))</f>
        <v>0.32900000000000001</v>
      </c>
      <c r="L754" s="169">
        <f>IF(OR(B754="",C754=""),"",IFERROR(IFERROR(INDEX(Vöruskrá!O:O,MATCH(B754,Vöruskrá!B:B,0)),0)*C754/100000,""))</f>
        <v>0.23100000000000001</v>
      </c>
      <c r="M754" s="169">
        <f>IF(OR(B754="",C754=""),"",IFERROR(IFERROR(INDEX(Vöruskrá!P:P,MATCH(B754,Vöruskrá!B:B,0)),0)*C754/100000,""))</f>
        <v>7.0000000000000001E-3</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1465</v>
      </c>
      <c r="C755" s="172">
        <v>1500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445</v>
      </c>
      <c r="C756" s="174">
        <v>1000</v>
      </c>
      <c r="D756" s="168" t="s">
        <v>448</v>
      </c>
      <c r="E756" s="168" t="s">
        <v>120</v>
      </c>
      <c r="F756" s="168"/>
      <c r="G756" s="169">
        <f>IF(OR(B756="",C756=""),"",IFERROR(IFERROR(INDEX(Vöruskrá!J:J,MATCH(B756,Vöruskrá!B:B,0)),0)*C756/100000,""))</f>
        <v>7.38</v>
      </c>
      <c r="H756" s="169">
        <f>IF(OR(B756="",C756=""),"",IFERROR(IFERROR(INDEX(Vöruskrá!K:K,MATCH(B756,Vöruskrá!B:B,0)),0)*C756/100000,""))</f>
        <v>0.82</v>
      </c>
      <c r="I756" s="169">
        <f>IF(OR(B756="",C756=""),"",IFERROR(IFERROR(INDEX(Vöruskrá!L:L,MATCH(B756,Vöruskrá!B:B,0)),0)*C756/100000,""))</f>
        <v>0.49</v>
      </c>
      <c r="J756" s="169">
        <f>IF(OR(B756="",C756=""),"",IFERROR(IFERROR(INDEX(Vöruskrá!M:M,MATCH(B756,Vöruskrá!B:B,0)),0)*C756/100000,""))</f>
        <v>4.0000000000000001E-3</v>
      </c>
      <c r="K756" s="169">
        <f>IF(OR(B756="",C756=""),"",IFERROR(IFERROR(INDEX(Vöruskrá!N:N,MATCH(B756,Vöruskrá!B:B,0)),0)*C756/100000,""))</f>
        <v>4.0000000000000001E-3</v>
      </c>
      <c r="L756" s="169">
        <f>IF(OR(B756="",C756=""),"",IFERROR(IFERROR(INDEX(Vöruskrá!O:O,MATCH(B756,Vöruskrá!B:B,0)),0)*C756/100000,""))</f>
        <v>6.0000000000000001E-3</v>
      </c>
      <c r="M756" s="169">
        <f>IF(OR(B756="",C756=""),"",IFERROR(IFERROR(INDEX(Vöruskrá!P:P,MATCH(B756,Vöruskrá!B:B,0)),0)*C756/100000,""))</f>
        <v>1.2E-2</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299</v>
      </c>
      <c r="C757" s="172">
        <v>500</v>
      </c>
      <c r="D757" s="168" t="s">
        <v>302</v>
      </c>
      <c r="E757" s="168" t="s">
        <v>134</v>
      </c>
      <c r="F757" s="168" t="s">
        <v>303</v>
      </c>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0.5</v>
      </c>
      <c r="N757" s="169">
        <f>IF(OR(B757="",C757=""),"",IFERROR(IFERROR(INDEX(Vöruskrá!Q:Q,MATCH(B757,Vöruskrá!B:B,0)),0)*C757/100000,""))</f>
        <v>0</v>
      </c>
      <c r="O757" s="170">
        <f>IF(OR(B757="",C757=""),"",IFERROR(C757/1000*IFERROR(INDEX(Vöruskrá!R:R,MATCH(B757,Vöruskrá!B:B,0)),0)/1000,""))</f>
        <v>0</v>
      </c>
      <c r="P757" s="171"/>
      <c r="Q757" s="200"/>
      <c r="R757" s="159"/>
    </row>
    <row r="758" spans="1:18" ht="48">
      <c r="A758" s="147" t="s">
        <v>1947</v>
      </c>
      <c r="B758" s="147"/>
      <c r="C758" s="148"/>
      <c r="D758" s="165" t="s">
        <v>1948</v>
      </c>
      <c r="E758" s="165" t="s">
        <v>1099</v>
      </c>
      <c r="F758" s="165"/>
      <c r="G758" s="166">
        <v>33.65</v>
      </c>
      <c r="H758" s="166">
        <v>0.09</v>
      </c>
      <c r="I758" s="166">
        <v>0.01</v>
      </c>
      <c r="J758" s="166">
        <v>6.97</v>
      </c>
      <c r="K758" s="166"/>
      <c r="L758" s="166">
        <v>0.69</v>
      </c>
      <c r="M758" s="166">
        <v>0.54</v>
      </c>
      <c r="N758" s="166">
        <f>IFERROR(SUM(N759:N767)/(SUM($C$759:$C$767)/100000),"")</f>
        <v>0.93500000000000005</v>
      </c>
      <c r="O758" s="167" t="str">
        <f>IF(OR(B758="",C758=""),"",IFERROR(C758/1000*IFERROR(INDEX(Vöruskrá!R:R,MATCH(B758,Vöruskrá!B:B,0)),0)/1000,""))</f>
        <v/>
      </c>
      <c r="P758" s="196" t="s">
        <v>1949</v>
      </c>
      <c r="Q758" s="199" t="s">
        <v>1950</v>
      </c>
      <c r="R758" s="198" t="s">
        <v>1951</v>
      </c>
    </row>
    <row r="759" spans="1:18" ht="15">
      <c r="A759" s="171"/>
      <c r="B759" s="171" t="s">
        <v>1496</v>
      </c>
      <c r="C759" s="172">
        <v>25000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97"/>
      <c r="R759" s="164"/>
    </row>
    <row r="760" spans="1:18" ht="15">
      <c r="A760" s="173"/>
      <c r="B760" s="173" t="s">
        <v>413</v>
      </c>
      <c r="C760" s="174">
        <v>35000</v>
      </c>
      <c r="D760" s="168" t="s">
        <v>416</v>
      </c>
      <c r="E760" s="168" t="s">
        <v>134</v>
      </c>
      <c r="F760" s="168"/>
      <c r="G760" s="169">
        <f>IF(OR(B760="",C760=""),"",IFERROR(IFERROR(INDEX(Vöruskrá!J:J,MATCH(B760,Vöruskrá!B:B,0)),0)*C760/100000,""))</f>
        <v>25.2</v>
      </c>
      <c r="H760" s="169">
        <f>IF(OR(B760="",C760=""),"",IFERROR(IFERROR(INDEX(Vöruskrá!K:K,MATCH(B760,Vöruskrá!B:B,0)),0)*C760/100000,""))</f>
        <v>3.5000000000000003E-2</v>
      </c>
      <c r="I760" s="169">
        <f>IF(OR(B760="",C760=""),"",IFERROR(IFERROR(INDEX(Vöruskrá!L:L,MATCH(B760,Vöruskrá!B:B,0)),0)*C760/100000,""))</f>
        <v>0</v>
      </c>
      <c r="J760" s="169">
        <f>IF(OR(B760="",C760=""),"",IFERROR(IFERROR(INDEX(Vöruskrá!M:M,MATCH(B760,Vöruskrá!B:B,0)),0)*C760/100000,""))</f>
        <v>5.32</v>
      </c>
      <c r="K760" s="169">
        <f>IF(OR(B760="",C760=""),"",IFERROR(IFERROR(INDEX(Vöruskrá!N:N,MATCH(B760,Vöruskrá!B:B,0)),0)*C760/100000,""))</f>
        <v>1.9950000000000001</v>
      </c>
      <c r="L760" s="169">
        <f>IF(OR(B760="",C760=""),"",IFERROR(IFERROR(INDEX(Vöruskrá!O:O,MATCH(B760,Vöruskrá!B:B,0)),0)*C760/100000,""))</f>
        <v>0.49</v>
      </c>
      <c r="M760" s="169">
        <f>IF(OR(B760="",C760=""),"",IFERROR(IFERROR(INDEX(Vöruskrá!P:P,MATCH(B760,Vöruskrá!B:B,0)),0)*C760/100000,""))</f>
        <v>3.5000000000000003E-2</v>
      </c>
      <c r="N760" s="169">
        <f>IF(OR(B760="",C760=""),"",IFERROR(IFERROR(INDEX(Vöruskrá!Q:Q,MATCH(B760,Vöruskrá!B:B,0)),0)*C760/100000,""))</f>
        <v>0.875</v>
      </c>
      <c r="O760" s="170">
        <f>IF(OR(B760="",C760=""),"",IFERROR(C760/1000*IFERROR(INDEX(Vöruskrá!R:R,MATCH(B760,Vöruskrá!B:B,0)),0)/1000,""))</f>
        <v>0</v>
      </c>
      <c r="P760" s="173"/>
      <c r="Q760" s="157"/>
      <c r="R760" s="27"/>
    </row>
    <row r="761" spans="1:18" ht="15">
      <c r="A761" s="171"/>
      <c r="B761" s="171" t="s">
        <v>1497</v>
      </c>
      <c r="C761" s="172">
        <v>20000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ht="15">
      <c r="A762" s="173"/>
      <c r="B762" s="173" t="s">
        <v>627</v>
      </c>
      <c r="C762" s="174">
        <v>10000</v>
      </c>
      <c r="D762" s="168" t="s">
        <v>629</v>
      </c>
      <c r="E762" s="168"/>
      <c r="F762" s="168"/>
      <c r="G762" s="169">
        <f>IF(OR(B762="",C762=""),"",IFERROR(IFERROR(INDEX(Vöruskrá!J:J,MATCH(B762,Vöruskrá!B:B,0)),0)*C762/100000,""))</f>
        <v>5</v>
      </c>
      <c r="H762" s="169">
        <f>IF(OR(B762="",C762=""),"",IFERROR(IFERROR(INDEX(Vöruskrá!K:K,MATCH(B762,Vöruskrá!B:B,0)),0)*C762/100000,""))</f>
        <v>0.02</v>
      </c>
      <c r="I762" s="169">
        <f>IF(OR(B762="",C762=""),"",IFERROR(IFERROR(INDEX(Vöruskrá!L:L,MATCH(B762,Vöruskrá!B:B,0)),0)*C762/100000,""))</f>
        <v>0</v>
      </c>
      <c r="J762" s="169">
        <f>IF(OR(B762="",C762=""),"",IFERROR(IFERROR(INDEX(Vöruskrá!M:M,MATCH(B762,Vöruskrá!B:B,0)),0)*C762/100000,""))</f>
        <v>0.99</v>
      </c>
      <c r="K762" s="169">
        <f>IF(OR(B762="",C762=""),"",IFERROR(IFERROR(INDEX(Vöruskrá!N:N,MATCH(B762,Vöruskrá!B:B,0)),0)*C762/100000,""))</f>
        <v>0.97</v>
      </c>
      <c r="L762" s="169">
        <f>IF(OR(B762="",C762=""),"",IFERROR(IFERROR(INDEX(Vöruskrá!O:O,MATCH(B762,Vöruskrá!B:B,0)),0)*C762/100000,""))</f>
        <v>0.1</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500</v>
      </c>
      <c r="C763" s="172">
        <v>5000</v>
      </c>
      <c r="D763" s="168" t="s">
        <v>1129</v>
      </c>
      <c r="E763" s="168" t="s">
        <v>1099</v>
      </c>
      <c r="F763" s="168"/>
      <c r="G763" s="169">
        <f>IF(OR(B763="",C763=""),"",IFERROR(IFERROR(INDEX(Vöruskrá!J:J,MATCH(B763,Vöruskrá!B:B,0)),0)*C763/100000,""))</f>
        <v>0.9</v>
      </c>
      <c r="H763" s="169">
        <f>IF(OR(B763="",C763=""),"",IFERROR(IFERROR(INDEX(Vöruskrá!K:K,MATCH(B763,Vöruskrá!B:B,0)),0)*C763/100000,""))</f>
        <v>0.01</v>
      </c>
      <c r="I763" s="169">
        <f>IF(OR(B763="",C763=""),"",IFERROR(IFERROR(INDEX(Vöruskrá!L:L,MATCH(B763,Vöruskrá!B:B,0)),0)*C763/100000,""))</f>
        <v>0</v>
      </c>
      <c r="J763" s="169">
        <f>IF(OR(B763="",C763=""),"",IFERROR(IFERROR(INDEX(Vöruskrá!M:M,MATCH(B763,Vöruskrá!B:B,0)),0)*C763/100000,""))</f>
        <v>0.19500000000000001</v>
      </c>
      <c r="K763" s="169">
        <f>IF(OR(B763="",C763=""),"",IFERROR(IFERROR(INDEX(Vöruskrá!N:N,MATCH(B763,Vöruskrá!B:B,0)),0)*C763/100000,""))</f>
        <v>0.13</v>
      </c>
      <c r="L763" s="169">
        <f>IF(OR(B763="",C763=""),"",IFERROR(IFERROR(INDEX(Vöruskrá!O:O,MATCH(B763,Vöruskrá!B:B,0)),0)*C763/100000,""))</f>
        <v>4.4999999999999998E-2</v>
      </c>
      <c r="M763" s="169">
        <f>IF(OR(B763="",C763=""),"",IFERROR(IFERROR(INDEX(Vöruskrá!P:P,MATCH(B763,Vöruskrá!B:B,0)),0)*C763/100000,""))</f>
        <v>0</v>
      </c>
      <c r="N763" s="169">
        <f>IF(OR(B763="",C763=""),"",IFERROR(IFERROR(INDEX(Vöruskrá!Q:Q,MATCH(B763,Vöruskrá!B:B,0)),0)*C763/100000,""))</f>
        <v>0.06</v>
      </c>
      <c r="O763" s="170">
        <f>IF(OR(B763="",C763=""),"",IFERROR(C763/1000*IFERROR(INDEX(Vöruskrá!R:R,MATCH(B763,Vöruskrá!B:B,0)),0)/1000,""))</f>
        <v>0</v>
      </c>
      <c r="P763" s="171"/>
      <c r="Q763" s="158"/>
      <c r="R763" s="6"/>
    </row>
    <row r="764" spans="1:18" ht="15">
      <c r="A764" s="173"/>
      <c r="B764" s="173" t="s">
        <v>833</v>
      </c>
      <c r="C764" s="174">
        <v>2000</v>
      </c>
      <c r="D764" s="168" t="s">
        <v>835</v>
      </c>
      <c r="E764" s="168"/>
      <c r="F764" s="168"/>
      <c r="G764" s="169">
        <f>IF(OR(B764="",C764=""),"",IFERROR(IFERROR(INDEX(Vöruskrá!J:J,MATCH(B764,Vöruskrá!B:B,0)),0)*C764/100000,""))</f>
        <v>0.62</v>
      </c>
      <c r="H764" s="169">
        <f>IF(OR(B764="",C764=""),"",IFERROR(IFERROR(INDEX(Vöruskrá!K:K,MATCH(B764,Vöruskrá!B:B,0)),0)*C764/100000,""))</f>
        <v>4.0000000000000001E-3</v>
      </c>
      <c r="I764" s="169">
        <f>IF(OR(B764="",C764=""),"",IFERROR(IFERROR(INDEX(Vöruskrá!L:L,MATCH(B764,Vöruskrá!B:B,0)),0)*C764/100000,""))</f>
        <v>0</v>
      </c>
      <c r="J764" s="169">
        <f>IF(OR(B764="",C764=""),"",IFERROR(IFERROR(INDEX(Vöruskrá!M:M,MATCH(B764,Vöruskrá!B:B,0)),0)*C764/100000,""))</f>
        <v>0.13800000000000001</v>
      </c>
      <c r="K764" s="169">
        <f>IF(OR(B764="",C764=""),"",IFERROR(IFERROR(INDEX(Vöruskrá!N:N,MATCH(B764,Vöruskrá!B:B,0)),0)*C764/100000,""))</f>
        <v>4.8000000000000001E-2</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1467</v>
      </c>
      <c r="C765" s="172">
        <v>2000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299</v>
      </c>
      <c r="C766" s="174">
        <v>500</v>
      </c>
      <c r="D766" s="168" t="s">
        <v>302</v>
      </c>
      <c r="E766" s="168" t="s">
        <v>134</v>
      </c>
      <c r="F766" s="168" t="s">
        <v>303</v>
      </c>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0.5</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819</v>
      </c>
      <c r="C767" s="172">
        <v>500</v>
      </c>
      <c r="D767" s="168" t="s">
        <v>820</v>
      </c>
      <c r="E767" s="168"/>
      <c r="F767" s="168" t="s">
        <v>311</v>
      </c>
      <c r="G767" s="169">
        <f>IF(OR(B767="",C767=""),"",IFERROR(IFERROR(INDEX(Vöruskrá!J:J,MATCH(B767,Vöruskrá!B:B,0)),0)*C767/100000,""))</f>
        <v>1.93</v>
      </c>
      <c r="H767" s="169">
        <f>IF(OR(B767="",C767=""),"",IFERROR(IFERROR(INDEX(Vöruskrá!K:K,MATCH(B767,Vöruskrá!B:B,0)),0)*C767/100000,""))</f>
        <v>1.6500000000000001E-2</v>
      </c>
      <c r="I767" s="169">
        <f>IF(OR(B767="",C767=""),"",IFERROR(IFERROR(INDEX(Vöruskrá!L:L,MATCH(B767,Vöruskrá!B:B,0)),0)*C767/100000,""))</f>
        <v>5.0000000000000001E-3</v>
      </c>
      <c r="J767" s="169">
        <f>IF(OR(B767="",C767=""),"",IFERROR(IFERROR(INDEX(Vöruskrá!M:M,MATCH(B767,Vöruskrá!B:B,0)),0)*C767/100000,""))</f>
        <v>0.32500000000000001</v>
      </c>
      <c r="K767" s="169">
        <f>IF(OR(B767="",C767=""),"",IFERROR(IFERROR(INDEX(Vöruskrá!N:N,MATCH(B767,Vöruskrá!B:B,0)),0)*C767/100000,""))</f>
        <v>3.0000000000000001E-3</v>
      </c>
      <c r="L767" s="169">
        <f>IF(OR(B767="",C767=""),"",IFERROR(IFERROR(INDEX(Vöruskrá!O:O,MATCH(B767,Vöruskrá!B:B,0)),0)*C767/100000,""))</f>
        <v>5.5E-2</v>
      </c>
      <c r="M767" s="169">
        <f>IF(OR(B767="",C767=""),"",IFERROR(IFERROR(INDEX(Vöruskrá!P:P,MATCH(B767,Vöruskrá!B:B,0)),0)*C767/100000,""))</f>
        <v>5.0000000000000001E-4</v>
      </c>
      <c r="N767" s="169">
        <f>IF(OR(B767="",C767=""),"",IFERROR(IFERROR(INDEX(Vöruskrá!Q:Q,MATCH(B767,Vöruskrá!B:B,0)),0)*C767/100000,""))</f>
        <v>0</v>
      </c>
      <c r="O767" s="170">
        <f>IF(OR(B767="",C767=""),"",IFERROR(C767/1000*IFERROR(INDEX(Vöruskrá!R:R,MATCH(B767,Vöruskrá!B:B,0)),0)/1000,""))</f>
        <v>0</v>
      </c>
      <c r="P767" s="171"/>
      <c r="Q767" s="200"/>
      <c r="R767" s="159"/>
    </row>
    <row r="768" spans="1:18" ht="48">
      <c r="A768" s="147" t="s">
        <v>1952</v>
      </c>
      <c r="B768" s="147"/>
      <c r="C768" s="148"/>
      <c r="D768" s="165" t="s">
        <v>1953</v>
      </c>
      <c r="E768" s="165" t="s">
        <v>134</v>
      </c>
      <c r="F768" s="165"/>
      <c r="G768" s="166">
        <v>17.489999999999998</v>
      </c>
      <c r="H768" s="166">
        <v>0.11</v>
      </c>
      <c r="I768" s="166">
        <v>0</v>
      </c>
      <c r="J768" s="166">
        <v>2.83</v>
      </c>
      <c r="K768" s="166"/>
      <c r="L768" s="166">
        <v>1.02</v>
      </c>
      <c r="M768" s="166">
        <v>0.71</v>
      </c>
      <c r="N768" s="166">
        <f>IFERROR(SUM(N769:N777)/(SUM($C$769:$C$777)/100000),"")</f>
        <v>0.67285714285714293</v>
      </c>
      <c r="O768" s="167" t="str">
        <f>IF(OR(B768="",C768=""),"",IFERROR(C768/1000*IFERROR(INDEX(Vöruskrá!R:R,MATCH(B768,Vöruskrá!B:B,0)),0)/1000,""))</f>
        <v/>
      </c>
      <c r="P768" s="196" t="s">
        <v>1954</v>
      </c>
      <c r="Q768" s="195" t="s">
        <v>1955</v>
      </c>
      <c r="R768" s="194" t="s">
        <v>1956</v>
      </c>
    </row>
    <row r="769" spans="1:18" ht="15">
      <c r="A769" s="171"/>
      <c r="B769" s="171" t="s">
        <v>1498</v>
      </c>
      <c r="C769" s="172">
        <v>30000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97"/>
      <c r="R769" s="164"/>
    </row>
    <row r="770" spans="1:18" ht="15">
      <c r="A770" s="173"/>
      <c r="B770" s="173" t="s">
        <v>1282</v>
      </c>
      <c r="C770" s="174">
        <v>25000</v>
      </c>
      <c r="D770" s="168" t="s">
        <v>1283</v>
      </c>
      <c r="E770" s="168"/>
      <c r="F770" s="168"/>
      <c r="G770" s="169">
        <f>IF(OR(B770="",C770=""),"",IFERROR(IFERROR(INDEX(Vöruskrá!J:J,MATCH(B770,Vöruskrá!B:B,0)),0)*C770/100000,""))</f>
        <v>8.75</v>
      </c>
      <c r="H770" s="169">
        <f>IF(OR(B770="",C770=""),"",IFERROR(IFERROR(INDEX(Vöruskrá!K:K,MATCH(B770,Vöruskrá!B:B,0)),0)*C770/100000,""))</f>
        <v>7.4999999999999997E-2</v>
      </c>
      <c r="I770" s="169">
        <f>IF(OR(B770="",C770=""),"",IFERROR(IFERROR(INDEX(Vöruskrá!L:L,MATCH(B770,Vöruskrá!B:B,0)),0)*C770/100000,""))</f>
        <v>0</v>
      </c>
      <c r="J770" s="169">
        <f>IF(OR(B770="",C770=""),"",IFERROR(IFERROR(INDEX(Vöruskrá!M:M,MATCH(B770,Vöruskrá!B:B,0)),0)*C770/100000,""))</f>
        <v>1.1499999999999999</v>
      </c>
      <c r="K770" s="169">
        <f>IF(OR(B770="",C770=""),"",IFERROR(IFERROR(INDEX(Vöruskrá!N:N,MATCH(B770,Vöruskrá!B:B,0)),0)*C770/100000,""))</f>
        <v>0.9</v>
      </c>
      <c r="L770" s="169">
        <f>IF(OR(B770="",C770=""),"",IFERROR(IFERROR(INDEX(Vöruskrá!O:O,MATCH(B770,Vöruskrá!B:B,0)),0)*C770/100000,""))</f>
        <v>0.65</v>
      </c>
      <c r="M770" s="169">
        <f>IF(OR(B770="",C770=""),"",IFERROR(IFERROR(INDEX(Vöruskrá!P:P,MATCH(B770,Vöruskrá!B:B,0)),0)*C770/100000,""))</f>
        <v>0</v>
      </c>
      <c r="N770" s="169">
        <f>IF(OR(B770="",C770=""),"",IFERROR(IFERROR(INDEX(Vöruskrá!Q:Q,MATCH(B770,Vöruskrá!B:B,0)),0)*C770/100000,""))</f>
        <v>0.45</v>
      </c>
      <c r="O770" s="170">
        <f>IF(OR(B770="",C770=""),"",IFERROR(C770/1000*IFERROR(INDEX(Vöruskrá!R:R,MATCH(B770,Vöruskrá!B:B,0)),0)/1000,""))</f>
        <v>0</v>
      </c>
      <c r="P770" s="173"/>
      <c r="Q770" s="157"/>
      <c r="R770" s="27"/>
    </row>
    <row r="771" spans="1:18" ht="15">
      <c r="A771" s="171"/>
      <c r="B771" s="171" t="s">
        <v>1476</v>
      </c>
      <c r="C771" s="172">
        <v>5000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1488</v>
      </c>
      <c r="C772" s="174">
        <v>2000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1017</v>
      </c>
      <c r="C773" s="172">
        <v>1000</v>
      </c>
      <c r="D773" s="168" t="s">
        <v>1017</v>
      </c>
      <c r="E773" s="168" t="s">
        <v>134</v>
      </c>
      <c r="F773" s="168"/>
      <c r="G773" s="169">
        <f>IF(OR(B773="",C773=""),"",IFERROR(IFERROR(INDEX(Vöruskrá!J:J,MATCH(B773,Vöruskrá!B:B,0)),0)*C773/100000,""))</f>
        <v>1.49</v>
      </c>
      <c r="H773" s="169">
        <f>IF(OR(B773="",C773=""),"",IFERROR(IFERROR(INDEX(Vöruskrá!K:K,MATCH(B773,Vöruskrá!B:B,0)),0)*C773/100000,""))</f>
        <v>5.0000000000000001E-3</v>
      </c>
      <c r="I773" s="169">
        <f>IF(OR(B773="",C773=""),"",IFERROR(IFERROR(INDEX(Vöruskrá!L:L,MATCH(B773,Vöruskrá!B:B,0)),0)*C773/100000,""))</f>
        <v>1E-3</v>
      </c>
      <c r="J773" s="169">
        <f>IF(OR(B773="",C773=""),"",IFERROR(IFERROR(INDEX(Vöruskrá!M:M,MATCH(B773,Vöruskrá!B:B,0)),0)*C773/100000,""))</f>
        <v>0.33100000000000002</v>
      </c>
      <c r="K773" s="169">
        <f>IF(OR(B773="",C773=""),"",IFERROR(IFERROR(INDEX(Vöruskrá!N:N,MATCH(B773,Vöruskrá!B:B,0)),0)*C773/100000,""))</f>
        <v>0.01</v>
      </c>
      <c r="L773" s="169">
        <f>IF(OR(B773="",C773=""),"",IFERROR(IFERROR(INDEX(Vöruskrá!O:O,MATCH(B773,Vöruskrá!B:B,0)),0)*C773/100000,""))</f>
        <v>6.4000000000000001E-2</v>
      </c>
      <c r="M773" s="169">
        <f>IF(OR(B773="",C773=""),"",IFERROR(IFERROR(INDEX(Vöruskrá!P:P,MATCH(B773,Vöruskrá!B:B,0)),0)*C773/100000,""))</f>
        <v>0</v>
      </c>
      <c r="N773" s="169">
        <f>IF(OR(B773="",C773=""),"",IFERROR(IFERROR(INDEX(Vöruskrá!Q:Q,MATCH(B773,Vöruskrá!B:B,0)),0)*C773/100000,""))</f>
        <v>2.1000000000000001E-2</v>
      </c>
      <c r="O773" s="170">
        <f>IF(OR(B773="",C773=""),"",IFERROR(C773/1000*IFERROR(INDEX(Vöruskrá!R:R,MATCH(B773,Vöruskrá!B:B,0)),0)/1000,""))</f>
        <v>0</v>
      </c>
      <c r="P773" s="171"/>
      <c r="Q773" s="158"/>
      <c r="R773" s="6"/>
    </row>
    <row r="774" spans="1:18" ht="15">
      <c r="A774" s="173"/>
      <c r="B774" s="173" t="s">
        <v>1475</v>
      </c>
      <c r="C774" s="174">
        <v>1000</v>
      </c>
      <c r="D774" s="168"/>
      <c r="E774" s="168"/>
      <c r="F774" s="168"/>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477</v>
      </c>
      <c r="C775" s="172">
        <v>500</v>
      </c>
      <c r="D775" s="168" t="s">
        <v>479</v>
      </c>
      <c r="E775" s="168" t="s">
        <v>134</v>
      </c>
      <c r="F775" s="168"/>
      <c r="G775" s="169">
        <f>IF(OR(B775="",C775=""),"",IFERROR(IFERROR(INDEX(Vöruskrá!J:J,MATCH(B775,Vöruskrá!B:B,0)),0)*C775/100000,""))</f>
        <v>2</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0.5</v>
      </c>
      <c r="K775" s="169">
        <f>IF(OR(B775="",C775=""),"",IFERROR(IFERROR(INDEX(Vöruskrá!N:N,MATCH(B775,Vöruskrá!B:B,0)),0)*C775/100000,""))</f>
        <v>0.5</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299</v>
      </c>
      <c r="C776" s="174">
        <v>500</v>
      </c>
      <c r="D776" s="168" t="s">
        <v>302</v>
      </c>
      <c r="E776" s="168" t="s">
        <v>134</v>
      </c>
      <c r="F776" s="168" t="s">
        <v>303</v>
      </c>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0.5</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1020</v>
      </c>
      <c r="C777" s="172">
        <v>5000</v>
      </c>
      <c r="D777" s="168" t="s">
        <v>1020</v>
      </c>
      <c r="E777" s="168" t="s">
        <v>134</v>
      </c>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200"/>
      <c r="R777" s="159"/>
    </row>
    <row r="778" spans="1:18" ht="48">
      <c r="A778" s="147" t="s">
        <v>1957</v>
      </c>
      <c r="B778" s="147"/>
      <c r="C778" s="148"/>
      <c r="D778" s="165" t="s">
        <v>1958</v>
      </c>
      <c r="E778" s="165" t="s">
        <v>120</v>
      </c>
      <c r="F778" s="165"/>
      <c r="G778" s="166">
        <v>68.73</v>
      </c>
      <c r="H778" s="166">
        <v>4.28</v>
      </c>
      <c r="I778" s="166">
        <v>2.42</v>
      </c>
      <c r="J778" s="166">
        <v>2.04</v>
      </c>
      <c r="K778" s="166"/>
      <c r="L778" s="166">
        <v>5.14</v>
      </c>
      <c r="M778" s="166">
        <v>1.28</v>
      </c>
      <c r="N778" s="166">
        <f>IFERROR(SUM(N779:N786)/(SUM($C$779:$C$786)/100000),"")</f>
        <v>0</v>
      </c>
      <c r="O778" s="167" t="str">
        <f>IF(OR(B778="",C778=""),"",IFERROR(C778/1000*IFERROR(INDEX(Vöruskrá!R:R,MATCH(B778,Vöruskrá!B:B,0)),0)/1000,""))</f>
        <v/>
      </c>
      <c r="P778" s="196" t="s">
        <v>1959</v>
      </c>
      <c r="Q778" s="199" t="s">
        <v>1960</v>
      </c>
      <c r="R778" s="198" t="s">
        <v>1961</v>
      </c>
    </row>
    <row r="779" spans="1:18" ht="15">
      <c r="A779" s="171"/>
      <c r="B779" s="171" t="s">
        <v>1499</v>
      </c>
      <c r="C779" s="172">
        <v>45000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97"/>
      <c r="R779" s="164"/>
    </row>
    <row r="780" spans="1:18" ht="15">
      <c r="A780" s="173"/>
      <c r="B780" s="173" t="s">
        <v>743</v>
      </c>
      <c r="C780" s="174">
        <v>15000</v>
      </c>
      <c r="D780" s="168" t="s">
        <v>745</v>
      </c>
      <c r="E780" s="168"/>
      <c r="F780" s="168"/>
      <c r="G780" s="169">
        <f>IF(OR(B780="",C780=""),"",IFERROR(IFERROR(INDEX(Vöruskrá!J:J,MATCH(B780,Vöruskrá!B:B,0)),0)*C780/100000,""))</f>
        <v>4.2</v>
      </c>
      <c r="H780" s="169">
        <f>IF(OR(B780="",C780=""),"",IFERROR(IFERROR(INDEX(Vöruskrá!K:K,MATCH(B780,Vöruskrá!B:B,0)),0)*C780/100000,""))</f>
        <v>1.4999999999999999E-2</v>
      </c>
      <c r="I780" s="169">
        <f>IF(OR(B780="",C780=""),"",IFERROR(IFERROR(INDEX(Vöruskrá!L:L,MATCH(B780,Vöruskrá!B:B,0)),0)*C780/100000,""))</f>
        <v>0</v>
      </c>
      <c r="J780" s="169">
        <f>IF(OR(B780="",C780=""),"",IFERROR(IFERROR(INDEX(Vöruskrá!M:M,MATCH(B780,Vöruskrá!B:B,0)),0)*C780/100000,""))</f>
        <v>0.75</v>
      </c>
      <c r="K780" s="169">
        <f>IF(OR(B780="",C780=""),"",IFERROR(IFERROR(INDEX(Vöruskrá!N:N,MATCH(B780,Vöruskrá!B:B,0)),0)*C780/100000,""))</f>
        <v>0.51</v>
      </c>
      <c r="L780" s="169">
        <f>IF(OR(B780="",C780=""),"",IFERROR(IFERROR(INDEX(Vöruskrá!O:O,MATCH(B780,Vöruskrá!B:B,0)),0)*C780/100000,""))</f>
        <v>0.22500000000000001</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895</v>
      </c>
      <c r="C781" s="172">
        <v>20000</v>
      </c>
      <c r="D781" s="168" t="s">
        <v>897</v>
      </c>
      <c r="E781" s="168" t="s">
        <v>120</v>
      </c>
      <c r="F781" s="168"/>
      <c r="G781" s="169">
        <f>IF(OR(B781="",C781=""),"",IFERROR(IFERROR(INDEX(Vöruskrá!J:J,MATCH(B781,Vöruskrá!B:B,0)),0)*C781/100000,""))</f>
        <v>60.2</v>
      </c>
      <c r="H781" s="169">
        <f>IF(OR(B781="",C781=""),"",IFERROR(IFERROR(INDEX(Vöruskrá!K:K,MATCH(B781,Vöruskrá!B:B,0)),0)*C781/100000,""))</f>
        <v>4.2</v>
      </c>
      <c r="I781" s="169">
        <f>IF(OR(B781="",C781=""),"",IFERROR(IFERROR(INDEX(Vöruskrá!L:L,MATCH(B781,Vöruskrá!B:B,0)),0)*C781/100000,""))</f>
        <v>2.4</v>
      </c>
      <c r="J781" s="169">
        <f>IF(OR(B781="",C781=""),"",IFERROR(IFERROR(INDEX(Vöruskrá!M:M,MATCH(B781,Vöruskrá!B:B,0)),0)*C781/100000,""))</f>
        <v>0.64</v>
      </c>
      <c r="K781" s="169">
        <f>IF(OR(B781="",C781=""),"",IFERROR(IFERROR(INDEX(Vöruskrá!N:N,MATCH(B781,Vöruskrá!B:B,0)),0)*C781/100000,""))</f>
        <v>0.2</v>
      </c>
      <c r="L781" s="169">
        <f>IF(OR(B781="",C781=""),"",IFERROR(IFERROR(INDEX(Vöruskrá!O:O,MATCH(B781,Vöruskrá!B:B,0)),0)*C781/100000,""))</f>
        <v>4.8</v>
      </c>
      <c r="M781" s="169">
        <f>IF(OR(B781="",C781=""),"",IFERROR(IFERROR(INDEX(Vöruskrá!P:P,MATCH(B781,Vöruskrá!B:B,0)),0)*C781/100000,""))</f>
        <v>0.28000000000000003</v>
      </c>
      <c r="N781" s="169">
        <f>IF(OR(B781="",C781=""),"",IFERROR(IFERROR(INDEX(Vöruskrá!Q:Q,MATCH(B781,Vöruskrá!B:B,0)),0)*C781/100000,""))</f>
        <v>0</v>
      </c>
      <c r="O781" s="170">
        <f>IF(OR(B781="",C781=""),"",IFERROR(C781/1000*IFERROR(INDEX(Vöruskrá!R:R,MATCH(B781,Vöruskrá!B:B,0)),0)/1000,""))</f>
        <v>0</v>
      </c>
      <c r="P781" s="171"/>
      <c r="Q781" s="158"/>
      <c r="R781" s="6"/>
    </row>
    <row r="782" spans="1:18">
      <c r="A782" s="173"/>
      <c r="B782" s="173" t="s">
        <v>1894</v>
      </c>
      <c r="C782" s="174">
        <v>15000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1467</v>
      </c>
      <c r="C783" s="172">
        <v>3000</v>
      </c>
      <c r="D783" s="168"/>
      <c r="E783" s="168"/>
      <c r="F783" s="168"/>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v>
      </c>
      <c r="N783" s="169">
        <f>IF(OR(B783="",C783=""),"",IFERROR(IFERROR(INDEX(Vöruskrá!Q:Q,MATCH(B783,Vöruskrá!B:B,0)),0)*C783/100000,""))</f>
        <v>0</v>
      </c>
      <c r="O783" s="170">
        <f>IF(OR(B783="",C783=""),"",IFERROR(C783/1000*IFERROR(INDEX(Vöruskrá!R:R,MATCH(B783,Vöruskrá!B:B,0)),0)/1000,""))</f>
        <v>0</v>
      </c>
      <c r="P783" s="171"/>
      <c r="Q783" s="158"/>
      <c r="R783" s="6"/>
    </row>
    <row r="784" spans="1:18" ht="15">
      <c r="A784" s="173"/>
      <c r="B784" s="173" t="s">
        <v>815</v>
      </c>
      <c r="C784" s="174">
        <v>500</v>
      </c>
      <c r="D784" s="168" t="s">
        <v>816</v>
      </c>
      <c r="E784" s="168"/>
      <c r="F784" s="168" t="s">
        <v>311</v>
      </c>
      <c r="G784" s="169">
        <f>IF(OR(B784="",C784=""),"",IFERROR(IFERROR(INDEX(Vöruskrá!J:J,MATCH(B784,Vöruskrá!B:B,0)),0)*C784/100000,""))</f>
        <v>2.4</v>
      </c>
      <c r="H784" s="169">
        <f>IF(OR(B784="",C784=""),"",IFERROR(IFERROR(INDEX(Vöruskrá!K:K,MATCH(B784,Vöruskrá!B:B,0)),0)*C784/100000,""))</f>
        <v>0.05</v>
      </c>
      <c r="I784" s="169">
        <f>IF(OR(B784="",C784=""),"",IFERROR(IFERROR(INDEX(Vöruskrá!L:L,MATCH(B784,Vöruskrá!B:B,0)),0)*C784/100000,""))</f>
        <v>1.35E-2</v>
      </c>
      <c r="J784" s="169">
        <f>IF(OR(B784="",C784=""),"",IFERROR(IFERROR(INDEX(Vöruskrá!M:M,MATCH(B784,Vöruskrá!B:B,0)),0)*C784/100000,""))</f>
        <v>0.32</v>
      </c>
      <c r="K784" s="169">
        <f>IF(OR(B784="",C784=""),"",IFERROR(IFERROR(INDEX(Vöruskrá!N:N,MATCH(B784,Vöruskrá!B:B,0)),0)*C784/100000,""))</f>
        <v>2.0500000000000001E-2</v>
      </c>
      <c r="L784" s="169">
        <f>IF(OR(B784="",C784=""),"",IFERROR(IFERROR(INDEX(Vöruskrá!O:O,MATCH(B784,Vöruskrá!B:B,0)),0)*C784/100000,""))</f>
        <v>5.5E-2</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3"/>
      <c r="Q784" s="157"/>
      <c r="R784" s="27"/>
    </row>
    <row r="785" spans="1:18" ht="15">
      <c r="A785" s="171"/>
      <c r="B785" s="171" t="s">
        <v>299</v>
      </c>
      <c r="C785" s="172">
        <v>1000</v>
      </c>
      <c r="D785" s="168" t="s">
        <v>302</v>
      </c>
      <c r="E785" s="168" t="s">
        <v>134</v>
      </c>
      <c r="F785" s="168" t="s">
        <v>303</v>
      </c>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1</v>
      </c>
      <c r="N785" s="169">
        <f>IF(OR(B785="",C785=""),"",IFERROR(IFERROR(INDEX(Vöruskrá!Q:Q,MATCH(B785,Vöruskrá!B:B,0)),0)*C785/100000,""))</f>
        <v>0</v>
      </c>
      <c r="O785" s="170">
        <f>IF(OR(B785="",C785=""),"",IFERROR(C785/1000*IFERROR(INDEX(Vöruskrá!R:R,MATCH(B785,Vöruskrá!B:B,0)),0)/1000,""))</f>
        <v>0</v>
      </c>
      <c r="P785" s="171"/>
      <c r="Q785" s="158"/>
      <c r="R785" s="6"/>
    </row>
    <row r="786" spans="1:18" ht="15">
      <c r="A786" s="173"/>
      <c r="B786" s="173" t="s">
        <v>819</v>
      </c>
      <c r="C786" s="174">
        <v>500</v>
      </c>
      <c r="D786" s="168" t="s">
        <v>820</v>
      </c>
      <c r="E786" s="168"/>
      <c r="F786" s="168" t="s">
        <v>311</v>
      </c>
      <c r="G786" s="169">
        <f>IF(OR(B786="",C786=""),"",IFERROR(IFERROR(INDEX(Vöruskrá!J:J,MATCH(B786,Vöruskrá!B:B,0)),0)*C786/100000,""))</f>
        <v>1.93</v>
      </c>
      <c r="H786" s="169">
        <f>IF(OR(B786="",C786=""),"",IFERROR(IFERROR(INDEX(Vöruskrá!K:K,MATCH(B786,Vöruskrá!B:B,0)),0)*C786/100000,""))</f>
        <v>1.6500000000000001E-2</v>
      </c>
      <c r="I786" s="169">
        <f>IF(OR(B786="",C786=""),"",IFERROR(IFERROR(INDEX(Vöruskrá!L:L,MATCH(B786,Vöruskrá!B:B,0)),0)*C786/100000,""))</f>
        <v>5.0000000000000001E-3</v>
      </c>
      <c r="J786" s="169">
        <f>IF(OR(B786="",C786=""),"",IFERROR(IFERROR(INDEX(Vöruskrá!M:M,MATCH(B786,Vöruskrá!B:B,0)),0)*C786/100000,""))</f>
        <v>0.32500000000000001</v>
      </c>
      <c r="K786" s="169">
        <f>IF(OR(B786="",C786=""),"",IFERROR(IFERROR(INDEX(Vöruskrá!N:N,MATCH(B786,Vöruskrá!B:B,0)),0)*C786/100000,""))</f>
        <v>3.0000000000000001E-3</v>
      </c>
      <c r="L786" s="169">
        <f>IF(OR(B786="",C786=""),"",IFERROR(IFERROR(INDEX(Vöruskrá!O:O,MATCH(B786,Vöruskrá!B:B,0)),0)*C786/100000,""))</f>
        <v>5.5E-2</v>
      </c>
      <c r="M786" s="169">
        <f>IF(OR(B786="",C786=""),"",IFERROR(IFERROR(INDEX(Vöruskrá!P:P,MATCH(B786,Vöruskrá!B:B,0)),0)*C786/100000,""))</f>
        <v>5.0000000000000001E-4</v>
      </c>
      <c r="N786" s="169">
        <f>IF(OR(B786="",C786=""),"",IFERROR(IFERROR(INDEX(Vöruskrá!Q:Q,MATCH(B786,Vöruskrá!B:B,0)),0)*C786/100000,""))</f>
        <v>0</v>
      </c>
      <c r="O786" s="170">
        <f>IF(OR(B786="",C786=""),"",IFERROR(C786/1000*IFERROR(INDEX(Vöruskrá!R:R,MATCH(B786,Vöruskrá!B:B,0)),0)/1000,""))</f>
        <v>0</v>
      </c>
      <c r="P786" s="173"/>
      <c r="Q786" s="201"/>
      <c r="R786" s="202"/>
    </row>
    <row r="787" spans="1:18" ht="48">
      <c r="A787" s="147" t="s">
        <v>1962</v>
      </c>
      <c r="B787" s="147"/>
      <c r="C787" s="148"/>
      <c r="D787" s="165" t="s">
        <v>1963</v>
      </c>
      <c r="E787" s="165" t="s">
        <v>134</v>
      </c>
      <c r="F787" s="165"/>
      <c r="G787" s="166">
        <v>7.12</v>
      </c>
      <c r="H787" s="166">
        <v>0.11</v>
      </c>
      <c r="I787" s="166">
        <v>0.03</v>
      </c>
      <c r="J787" s="166">
        <v>1.08</v>
      </c>
      <c r="K787" s="166"/>
      <c r="L787" s="166">
        <v>0.19</v>
      </c>
      <c r="M787" s="166">
        <v>1</v>
      </c>
      <c r="N787" s="166">
        <f>IFERROR(SUM(N788:N798)/(SUM($C$788:$C$798)/100000),"")</f>
        <v>1.0500000000000001E-2</v>
      </c>
      <c r="O787" s="167" t="str">
        <f>IF(OR(B787="",C787=""),"",IFERROR(C787/1000*IFERROR(INDEX(Vöruskrá!R:R,MATCH(B787,Vöruskrá!B:B,0)),0)/1000,""))</f>
        <v/>
      </c>
      <c r="P787" s="196" t="s">
        <v>1964</v>
      </c>
      <c r="Q787" s="195" t="s">
        <v>1965</v>
      </c>
      <c r="R787" s="194" t="s">
        <v>1966</v>
      </c>
    </row>
    <row r="788" spans="1:18" ht="15">
      <c r="A788" s="171"/>
      <c r="B788" s="171" t="s">
        <v>1500</v>
      </c>
      <c r="C788" s="172">
        <v>30000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203"/>
      <c r="R788" s="204"/>
    </row>
    <row r="789" spans="1:18">
      <c r="A789" s="173"/>
      <c r="B789" s="173" t="s">
        <v>1894</v>
      </c>
      <c r="C789" s="174">
        <v>35000</v>
      </c>
      <c r="D789" s="168"/>
      <c r="E789" s="168"/>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1495</v>
      </c>
      <c r="C790" s="172">
        <v>15000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1020</v>
      </c>
      <c r="C791" s="174">
        <v>10000</v>
      </c>
      <c r="D791" s="168" t="s">
        <v>1020</v>
      </c>
      <c r="E791" s="168" t="s">
        <v>134</v>
      </c>
      <c r="F791" s="168"/>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1467</v>
      </c>
      <c r="C792" s="172">
        <v>5000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823</v>
      </c>
      <c r="C793" s="174">
        <v>500</v>
      </c>
      <c r="D793" s="168" t="s">
        <v>824</v>
      </c>
      <c r="E793" s="168"/>
      <c r="F793" s="168" t="s">
        <v>311</v>
      </c>
      <c r="G793" s="169">
        <f>IF(OR(B793="",C793=""),"",IFERROR(IFERROR(INDEX(Vöruskrá!J:J,MATCH(B793,Vöruskrá!B:B,0)),0)*C793/100000,""))</f>
        <v>1.425</v>
      </c>
      <c r="H793" s="169">
        <f>IF(OR(B793="",C793=""),"",IFERROR(IFERROR(INDEX(Vöruskrá!K:K,MATCH(B793,Vöruskrá!B:B,0)),0)*C793/100000,""))</f>
        <v>3.6999999999999998E-2</v>
      </c>
      <c r="I793" s="169">
        <f>IF(OR(B793="",C793=""),"",IFERROR(IFERROR(INDEX(Vöruskrá!L:L,MATCH(B793,Vöruskrá!B:B,0)),0)*C793/100000,""))</f>
        <v>1.35E-2</v>
      </c>
      <c r="J793" s="169">
        <f>IF(OR(B793="",C793=""),"",IFERROR(IFERROR(INDEX(Vöruskrá!M:M,MATCH(B793,Vöruskrá!B:B,0)),0)*C793/100000,""))</f>
        <v>0.13500000000000001</v>
      </c>
      <c r="K793" s="169">
        <f>IF(OR(B793="",C793=""),"",IFERROR(IFERROR(INDEX(Vöruskrá!N:N,MATCH(B793,Vöruskrá!B:B,0)),0)*C793/100000,""))</f>
        <v>8.5000000000000006E-3</v>
      </c>
      <c r="L793" s="169">
        <f>IF(OR(B793="",C793=""),"",IFERROR(IFERROR(INDEX(Vöruskrá!O:O,MATCH(B793,Vöruskrá!B:B,0)),0)*C793/100000,""))</f>
        <v>4.5499999999999999E-2</v>
      </c>
      <c r="M793" s="169">
        <f>IF(OR(B793="",C793=""),"",IFERROR(IFERROR(INDEX(Vöruskrá!P:P,MATCH(B793,Vöruskrá!B:B,0)),0)*C793/100000,""))</f>
        <v>5.0000000000000001E-4</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815</v>
      </c>
      <c r="C794" s="172">
        <v>500</v>
      </c>
      <c r="D794" s="168" t="s">
        <v>816</v>
      </c>
      <c r="E794" s="168"/>
      <c r="F794" s="168" t="s">
        <v>311</v>
      </c>
      <c r="G794" s="169">
        <f>IF(OR(B794="",C794=""),"",IFERROR(IFERROR(INDEX(Vöruskrá!J:J,MATCH(B794,Vöruskrá!B:B,0)),0)*C794/100000,""))</f>
        <v>2.4</v>
      </c>
      <c r="H794" s="169">
        <f>IF(OR(B794="",C794=""),"",IFERROR(IFERROR(INDEX(Vöruskrá!K:K,MATCH(B794,Vöruskrá!B:B,0)),0)*C794/100000,""))</f>
        <v>0.05</v>
      </c>
      <c r="I794" s="169">
        <f>IF(OR(B794="",C794=""),"",IFERROR(IFERROR(INDEX(Vöruskrá!L:L,MATCH(B794,Vöruskrá!B:B,0)),0)*C794/100000,""))</f>
        <v>1.35E-2</v>
      </c>
      <c r="J794" s="169">
        <f>IF(OR(B794="",C794=""),"",IFERROR(IFERROR(INDEX(Vöruskrá!M:M,MATCH(B794,Vöruskrá!B:B,0)),0)*C794/100000,""))</f>
        <v>0.32</v>
      </c>
      <c r="K794" s="169">
        <f>IF(OR(B794="",C794=""),"",IFERROR(IFERROR(INDEX(Vöruskrá!N:N,MATCH(B794,Vöruskrá!B:B,0)),0)*C794/100000,""))</f>
        <v>2.0500000000000001E-2</v>
      </c>
      <c r="L794" s="169">
        <f>IF(OR(B794="",C794=""),"",IFERROR(IFERROR(INDEX(Vöruskrá!O:O,MATCH(B794,Vöruskrá!B:B,0)),0)*C794/100000,""))</f>
        <v>5.5E-2</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299</v>
      </c>
      <c r="C795" s="174">
        <v>1000</v>
      </c>
      <c r="D795" s="168" t="s">
        <v>302</v>
      </c>
      <c r="E795" s="168" t="s">
        <v>134</v>
      </c>
      <c r="F795" s="168" t="s">
        <v>303</v>
      </c>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1</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819</v>
      </c>
      <c r="C796" s="172">
        <v>500</v>
      </c>
      <c r="D796" s="168" t="s">
        <v>820</v>
      </c>
      <c r="E796" s="168"/>
      <c r="F796" s="168" t="s">
        <v>311</v>
      </c>
      <c r="G796" s="169">
        <f>IF(OR(B796="",C796=""),"",IFERROR(IFERROR(INDEX(Vöruskrá!J:J,MATCH(B796,Vöruskrá!B:B,0)),0)*C796/100000,""))</f>
        <v>1.93</v>
      </c>
      <c r="H796" s="169">
        <f>IF(OR(B796="",C796=""),"",IFERROR(IFERROR(INDEX(Vöruskrá!K:K,MATCH(B796,Vöruskrá!B:B,0)),0)*C796/100000,""))</f>
        <v>1.6500000000000001E-2</v>
      </c>
      <c r="I796" s="169">
        <f>IF(OR(B796="",C796=""),"",IFERROR(IFERROR(INDEX(Vöruskrá!L:L,MATCH(B796,Vöruskrá!B:B,0)),0)*C796/100000,""))</f>
        <v>5.0000000000000001E-3</v>
      </c>
      <c r="J796" s="169">
        <f>IF(OR(B796="",C796=""),"",IFERROR(IFERROR(INDEX(Vöruskrá!M:M,MATCH(B796,Vöruskrá!B:B,0)),0)*C796/100000,""))</f>
        <v>0.32500000000000001</v>
      </c>
      <c r="K796" s="169">
        <f>IF(OR(B796="",C796=""),"",IFERROR(IFERROR(INDEX(Vöruskrá!N:N,MATCH(B796,Vöruskrá!B:B,0)),0)*C796/100000,""))</f>
        <v>3.0000000000000001E-3</v>
      </c>
      <c r="L796" s="169">
        <f>IF(OR(B796="",C796=""),"",IFERROR(IFERROR(INDEX(Vöruskrá!O:O,MATCH(B796,Vöruskrá!B:B,0)),0)*C796/100000,""))</f>
        <v>5.5E-2</v>
      </c>
      <c r="M796" s="169">
        <f>IF(OR(B796="",C796=""),"",IFERROR(IFERROR(INDEX(Vöruskrá!P:P,MATCH(B796,Vöruskrá!B:B,0)),0)*C796/100000,""))</f>
        <v>5.0000000000000001E-4</v>
      </c>
      <c r="N796" s="169">
        <f>IF(OR(B796="",C796=""),"",IFERROR(IFERROR(INDEX(Vöruskrá!Q:Q,MATCH(B796,Vöruskrá!B:B,0)),0)*C796/100000,""))</f>
        <v>0</v>
      </c>
      <c r="O796" s="170">
        <f>IF(OR(B796="",C796=""),"",IFERROR(C796/1000*IFERROR(INDEX(Vöruskrá!R:R,MATCH(B796,Vöruskrá!B:B,0)),0)/1000,""))</f>
        <v>0</v>
      </c>
      <c r="P796" s="171"/>
      <c r="Q796" s="157"/>
      <c r="R796" s="27"/>
    </row>
    <row r="797" spans="1:18" ht="15">
      <c r="A797" s="173"/>
      <c r="B797" s="173" t="s">
        <v>833</v>
      </c>
      <c r="C797" s="174">
        <v>2000</v>
      </c>
      <c r="D797" s="168" t="s">
        <v>835</v>
      </c>
      <c r="E797" s="168"/>
      <c r="F797" s="168"/>
      <c r="G797" s="169">
        <f>IF(OR(B797="",C797=""),"",IFERROR(IFERROR(INDEX(Vöruskrá!J:J,MATCH(B797,Vöruskrá!B:B,0)),0)*C797/100000,""))</f>
        <v>0.62</v>
      </c>
      <c r="H797" s="169">
        <f>IF(OR(B797="",C797=""),"",IFERROR(IFERROR(INDEX(Vöruskrá!K:K,MATCH(B797,Vöruskrá!B:B,0)),0)*C797/100000,""))</f>
        <v>4.0000000000000001E-3</v>
      </c>
      <c r="I797" s="169">
        <f>IF(OR(B797="",C797=""),"",IFERROR(IFERROR(INDEX(Vöruskrá!L:L,MATCH(B797,Vöruskrá!B:B,0)),0)*C797/100000,""))</f>
        <v>0</v>
      </c>
      <c r="J797" s="169">
        <f>IF(OR(B797="",C797=""),"",IFERROR(IFERROR(INDEX(Vöruskrá!M:M,MATCH(B797,Vöruskrá!B:B,0)),0)*C797/100000,""))</f>
        <v>0.13800000000000001</v>
      </c>
      <c r="K797" s="169">
        <f>IF(OR(B797="",C797=""),"",IFERROR(IFERROR(INDEX(Vöruskrá!N:N,MATCH(B797,Vöruskrá!B:B,0)),0)*C797/100000,""))</f>
        <v>4.8000000000000001E-2</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3"/>
      <c r="Q797" s="158"/>
      <c r="R797" s="6"/>
    </row>
    <row r="798" spans="1:18" ht="15">
      <c r="A798" s="171"/>
      <c r="B798" s="171" t="s">
        <v>1017</v>
      </c>
      <c r="C798" s="172">
        <v>500</v>
      </c>
      <c r="D798" s="168" t="s">
        <v>1017</v>
      </c>
      <c r="E798" s="168" t="s">
        <v>134</v>
      </c>
      <c r="F798" s="168"/>
      <c r="G798" s="169">
        <f>IF(OR(B798="",C798=""),"",IFERROR(IFERROR(INDEX(Vöruskrá!J:J,MATCH(B798,Vöruskrá!B:B,0)),0)*C798/100000,""))</f>
        <v>0.745</v>
      </c>
      <c r="H798" s="169">
        <f>IF(OR(B798="",C798=""),"",IFERROR(IFERROR(INDEX(Vöruskrá!K:K,MATCH(B798,Vöruskrá!B:B,0)),0)*C798/100000,""))</f>
        <v>2.5000000000000001E-3</v>
      </c>
      <c r="I798" s="169">
        <f>IF(OR(B798="",C798=""),"",IFERROR(IFERROR(INDEX(Vöruskrá!L:L,MATCH(B798,Vöruskrá!B:B,0)),0)*C798/100000,""))</f>
        <v>5.0000000000000001E-4</v>
      </c>
      <c r="J798" s="169">
        <f>IF(OR(B798="",C798=""),"",IFERROR(IFERROR(INDEX(Vöruskrá!M:M,MATCH(B798,Vöruskrá!B:B,0)),0)*C798/100000,""))</f>
        <v>0.16550000000000001</v>
      </c>
      <c r="K798" s="169">
        <f>IF(OR(B798="",C798=""),"",IFERROR(IFERROR(INDEX(Vöruskrá!N:N,MATCH(B798,Vöruskrá!B:B,0)),0)*C798/100000,""))</f>
        <v>5.0000000000000001E-3</v>
      </c>
      <c r="L798" s="169">
        <f>IF(OR(B798="",C798=""),"",IFERROR(IFERROR(INDEX(Vöruskrá!O:O,MATCH(B798,Vöruskrá!B:B,0)),0)*C798/100000,""))</f>
        <v>3.2000000000000001E-2</v>
      </c>
      <c r="M798" s="169">
        <f>IF(OR(B798="",C798=""),"",IFERROR(IFERROR(INDEX(Vöruskrá!P:P,MATCH(B798,Vöruskrá!B:B,0)),0)*C798/100000,""))</f>
        <v>0</v>
      </c>
      <c r="N798" s="169">
        <f>IF(OR(B798="",C798=""),"",IFERROR(IFERROR(INDEX(Vöruskrá!Q:Q,MATCH(B798,Vöruskrá!B:B,0)),0)*C798/100000,""))</f>
        <v>1.0500000000000001E-2</v>
      </c>
      <c r="O798" s="170">
        <f>IF(OR(B798="",C798=""),"",IFERROR(C798/1000*IFERROR(INDEX(Vöruskrá!R:R,MATCH(B798,Vöruskrá!B:B,0)),0)/1000,""))</f>
        <v>0</v>
      </c>
      <c r="P798" s="171"/>
      <c r="Q798" s="201"/>
      <c r="R798" s="202"/>
    </row>
    <row r="799" spans="1:18" ht="60">
      <c r="A799" s="147" t="s">
        <v>1967</v>
      </c>
      <c r="B799" s="147"/>
      <c r="C799" s="148"/>
      <c r="D799" s="165" t="s">
        <v>1968</v>
      </c>
      <c r="E799" s="165" t="s">
        <v>1969</v>
      </c>
      <c r="F799" s="165"/>
      <c r="G799" s="166">
        <v>248.57</v>
      </c>
      <c r="H799" s="166">
        <v>16.3</v>
      </c>
      <c r="I799" s="166">
        <v>1.38</v>
      </c>
      <c r="J799" s="166">
        <v>24.28</v>
      </c>
      <c r="K799" s="166"/>
      <c r="L799" s="166">
        <v>3.99</v>
      </c>
      <c r="M799" s="166">
        <v>1.54</v>
      </c>
      <c r="N799" s="166">
        <f>IFERROR(SUM(N800:N807)/(SUM($C$800:$C$807)/100000),"")</f>
        <v>2.194</v>
      </c>
      <c r="O799" s="167" t="str">
        <f>IF(OR(B799="",C799=""),"",IFERROR(C799/1000*IFERROR(INDEX(Vöruskrá!R:R,MATCH(B799,Vöruskrá!B:B,0)),0)/1000,""))</f>
        <v/>
      </c>
      <c r="P799" s="196" t="s">
        <v>1970</v>
      </c>
      <c r="Q799" s="199" t="s">
        <v>1971</v>
      </c>
      <c r="R799" s="198" t="s">
        <v>1972</v>
      </c>
    </row>
    <row r="800" spans="1:18" ht="15">
      <c r="A800" s="171"/>
      <c r="B800" s="171" t="s">
        <v>510</v>
      </c>
      <c r="C800" s="172">
        <v>50000</v>
      </c>
      <c r="D800" s="168" t="s">
        <v>512</v>
      </c>
      <c r="E800" s="168" t="s">
        <v>513</v>
      </c>
      <c r="F800" s="168"/>
      <c r="G800" s="169">
        <f>IF(OR(B800="",C800=""),"",IFERROR(IFERROR(INDEX(Vöruskrá!J:J,MATCH(B800,Vöruskrá!B:B,0)),0)*C800/100000,""))</f>
        <v>88.5</v>
      </c>
      <c r="H800" s="169">
        <f>IF(OR(B800="",C800=""),"",IFERROR(IFERROR(INDEX(Vöruskrá!K:K,MATCH(B800,Vöruskrá!B:B,0)),0)*C800/100000,""))</f>
        <v>4.1500000000000004</v>
      </c>
      <c r="I800" s="169">
        <f>IF(OR(B800="",C800=""),"",IFERROR(IFERROR(INDEX(Vöruskrá!L:L,MATCH(B800,Vöruskrá!B:B,0)),0)*C800/100000,""))</f>
        <v>0.5</v>
      </c>
      <c r="J800" s="169">
        <f>IF(OR(B800="",C800=""),"",IFERROR(IFERROR(INDEX(Vöruskrá!M:M,MATCH(B800,Vöruskrá!B:B,0)),0)*C800/100000,""))</f>
        <v>10</v>
      </c>
      <c r="K800" s="169">
        <f>IF(OR(B800="",C800=""),"",IFERROR(IFERROR(INDEX(Vöruskrá!N:N,MATCH(B800,Vöruskrá!B:B,0)),0)*C800/100000,""))</f>
        <v>2</v>
      </c>
      <c r="L800" s="169">
        <f>IF(OR(B800="",C800=""),"",IFERROR(IFERROR(INDEX(Vöruskrá!O:O,MATCH(B800,Vöruskrá!B:B,0)),0)*C800/100000,""))</f>
        <v>1.9</v>
      </c>
      <c r="M800" s="169">
        <f>IF(OR(B800="",C800=""),"",IFERROR(IFERROR(INDEX(Vöruskrá!P:P,MATCH(B800,Vöruskrá!B:B,0)),0)*C800/100000,""))</f>
        <v>0.7</v>
      </c>
      <c r="N800" s="169">
        <f>IF(OR(B800="",C800=""),"",IFERROR(IFERROR(INDEX(Vöruskrá!Q:Q,MATCH(B800,Vöruskrá!B:B,0)),0)*C800/100000,""))</f>
        <v>1.75</v>
      </c>
      <c r="O800" s="170">
        <f>IF(OR(B800="",C800=""),"",IFERROR(C800/1000*IFERROR(INDEX(Vöruskrá!R:R,MATCH(B800,Vöruskrá!B:B,0)),0)/1000,""))</f>
        <v>0</v>
      </c>
      <c r="P800" s="171"/>
      <c r="Q800" s="203"/>
      <c r="R800" s="204"/>
    </row>
    <row r="801" spans="1:18" ht="15">
      <c r="A801" s="173"/>
      <c r="B801" s="173" t="s">
        <v>463</v>
      </c>
      <c r="C801" s="174">
        <v>20000</v>
      </c>
      <c r="D801" s="168" t="s">
        <v>465</v>
      </c>
      <c r="E801" s="168" t="s">
        <v>466</v>
      </c>
      <c r="F801" s="168" t="s">
        <v>467</v>
      </c>
      <c r="G801" s="169">
        <f>IF(OR(B801="",C801=""),"",IFERROR(IFERROR(INDEX(Vöruskrá!J:J,MATCH(B801,Vöruskrá!B:B,0)),0)*C801/100000,""))</f>
        <v>48.4</v>
      </c>
      <c r="H801" s="169">
        <f>IF(OR(B801="",C801=""),"",IFERROR(IFERROR(INDEX(Vöruskrá!K:K,MATCH(B801,Vöruskrá!B:B,0)),0)*C801/100000,""))</f>
        <v>0.5</v>
      </c>
      <c r="I801" s="169">
        <f>IF(OR(B801="",C801=""),"",IFERROR(IFERROR(INDEX(Vöruskrá!L:L,MATCH(B801,Vöruskrá!B:B,0)),0)*C801/100000,""))</f>
        <v>0.08</v>
      </c>
      <c r="J801" s="169">
        <f>IF(OR(B801="",C801=""),"",IFERROR(IFERROR(INDEX(Vöruskrá!M:M,MATCH(B801,Vöruskrá!B:B,0)),0)*C801/100000,""))</f>
        <v>8.8000000000000007</v>
      </c>
      <c r="K801" s="169">
        <f>IF(OR(B801="",C801=""),"",IFERROR(IFERROR(INDEX(Vöruskrá!N:N,MATCH(B801,Vöruskrá!B:B,0)),0)*C801/100000,""))</f>
        <v>0.12</v>
      </c>
      <c r="L801" s="169">
        <f>IF(OR(B801="",C801=""),"",IFERROR(IFERROR(INDEX(Vöruskrá!O:O,MATCH(B801,Vöruskrá!B:B,0)),0)*C801/100000,""))</f>
        <v>1.88</v>
      </c>
      <c r="M801" s="169">
        <f>IF(OR(B801="",C801=""),"",IFERROR(IFERROR(INDEX(Vöruskrá!P:P,MATCH(B801,Vöruskrá!B:B,0)),0)*C801/100000,""))</f>
        <v>0.26</v>
      </c>
      <c r="N801" s="169">
        <f>IF(OR(B801="",C801=""),"",IFERROR(IFERROR(INDEX(Vöruskrá!Q:Q,MATCH(B801,Vöruskrá!B:B,0)),0)*C801/100000,""))</f>
        <v>0.36</v>
      </c>
      <c r="O801" s="170">
        <f>IF(OR(B801="",C801=""),"",IFERROR(C801/1000*IFERROR(INDEX(Vöruskrá!R:R,MATCH(B801,Vöruskrá!B:B,0)),0)/1000,""))</f>
        <v>0</v>
      </c>
      <c r="P801" s="173"/>
      <c r="Q801" s="158"/>
      <c r="R801" s="6"/>
    </row>
    <row r="802" spans="1:18" ht="15">
      <c r="A802" s="171"/>
      <c r="B802" s="171" t="s">
        <v>627</v>
      </c>
      <c r="C802" s="172">
        <v>8000</v>
      </c>
      <c r="D802" s="168" t="s">
        <v>629</v>
      </c>
      <c r="E802" s="168"/>
      <c r="F802" s="168"/>
      <c r="G802" s="169">
        <f>IF(OR(B802="",C802=""),"",IFERROR(IFERROR(INDEX(Vöruskrá!J:J,MATCH(B802,Vöruskrá!B:B,0)),0)*C802/100000,""))</f>
        <v>4</v>
      </c>
      <c r="H802" s="169">
        <f>IF(OR(B802="",C802=""),"",IFERROR(IFERROR(INDEX(Vöruskrá!K:K,MATCH(B802,Vöruskrá!B:B,0)),0)*C802/100000,""))</f>
        <v>1.6E-2</v>
      </c>
      <c r="I802" s="169">
        <f>IF(OR(B802="",C802=""),"",IFERROR(IFERROR(INDEX(Vöruskrá!L:L,MATCH(B802,Vöruskrá!B:B,0)),0)*C802/100000,""))</f>
        <v>0</v>
      </c>
      <c r="J802" s="169">
        <f>IF(OR(B802="",C802=""),"",IFERROR(IFERROR(INDEX(Vöruskrá!M:M,MATCH(B802,Vöruskrá!B:B,0)),0)*C802/100000,""))</f>
        <v>0.79200000000000004</v>
      </c>
      <c r="K802" s="169">
        <f>IF(OR(B802="",C802=""),"",IFERROR(IFERROR(INDEX(Vöruskrá!N:N,MATCH(B802,Vöruskrá!B:B,0)),0)*C802/100000,""))</f>
        <v>0.77600000000000002</v>
      </c>
      <c r="L802" s="169">
        <f>IF(OR(B802="",C802=""),"",IFERROR(IFERROR(INDEX(Vöruskrá!O:O,MATCH(B802,Vöruskrá!B:B,0)),0)*C802/100000,""))</f>
        <v>0.08</v>
      </c>
      <c r="M802" s="169">
        <f>IF(OR(B802="",C802=""),"",IFERROR(IFERROR(INDEX(Vöruskrá!P:P,MATCH(B802,Vöruskrá!B:B,0)),0)*C802/100000,""))</f>
        <v>0</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500</v>
      </c>
      <c r="C803" s="174">
        <v>7000</v>
      </c>
      <c r="D803" s="168" t="s">
        <v>1129</v>
      </c>
      <c r="E803" s="168" t="s">
        <v>1099</v>
      </c>
      <c r="F803" s="168"/>
      <c r="G803" s="169">
        <f>IF(OR(B803="",C803=""),"",IFERROR(IFERROR(INDEX(Vöruskrá!J:J,MATCH(B803,Vöruskrá!B:B,0)),0)*C803/100000,""))</f>
        <v>1.26</v>
      </c>
      <c r="H803" s="169">
        <f>IF(OR(B803="",C803=""),"",IFERROR(IFERROR(INDEX(Vöruskrá!K:K,MATCH(B803,Vöruskrá!B:B,0)),0)*C803/100000,""))</f>
        <v>1.4E-2</v>
      </c>
      <c r="I803" s="169">
        <f>IF(OR(B803="",C803=""),"",IFERROR(IFERROR(INDEX(Vöruskrá!L:L,MATCH(B803,Vöruskrá!B:B,0)),0)*C803/100000,""))</f>
        <v>0</v>
      </c>
      <c r="J803" s="169">
        <f>IF(OR(B803="",C803=""),"",IFERROR(IFERROR(INDEX(Vöruskrá!M:M,MATCH(B803,Vöruskrá!B:B,0)),0)*C803/100000,""))</f>
        <v>0.27300000000000002</v>
      </c>
      <c r="K803" s="169">
        <f>IF(OR(B803="",C803=""),"",IFERROR(IFERROR(INDEX(Vöruskrá!N:N,MATCH(B803,Vöruskrá!B:B,0)),0)*C803/100000,""))</f>
        <v>0.182</v>
      </c>
      <c r="L803" s="169">
        <f>IF(OR(B803="",C803=""),"",IFERROR(IFERROR(INDEX(Vöruskrá!O:O,MATCH(B803,Vöruskrá!B:B,0)),0)*C803/100000,""))</f>
        <v>6.3E-2</v>
      </c>
      <c r="M803" s="169">
        <f>IF(OR(B803="",C803=""),"",IFERROR(IFERROR(INDEX(Vöruskrá!P:P,MATCH(B803,Vöruskrá!B:B,0)),0)*C803/100000,""))</f>
        <v>0</v>
      </c>
      <c r="N803" s="169">
        <f>IF(OR(B803="",C803=""),"",IFERROR(IFERROR(INDEX(Vöruskrá!Q:Q,MATCH(B803,Vöruskrá!B:B,0)),0)*C803/100000,""))</f>
        <v>8.4000000000000005E-2</v>
      </c>
      <c r="O803" s="170">
        <f>IF(OR(B803="",C803=""),"",IFERROR(C803/1000*IFERROR(INDEX(Vöruskrá!R:R,MATCH(B803,Vöruskrá!B:B,0)),0)/1000,""))</f>
        <v>0</v>
      </c>
      <c r="P803" s="173"/>
      <c r="Q803" s="158"/>
      <c r="R803" s="6"/>
    </row>
    <row r="804" spans="1:18" ht="15">
      <c r="A804" s="171"/>
      <c r="B804" s="171" t="s">
        <v>1405</v>
      </c>
      <c r="C804" s="172">
        <v>8000</v>
      </c>
      <c r="D804" s="168" t="s">
        <v>1407</v>
      </c>
      <c r="E804" s="168" t="s">
        <v>148</v>
      </c>
      <c r="F804" s="168"/>
      <c r="G804" s="169">
        <f>IF(OR(B804="",C804=""),"",IFERROR(IFERROR(INDEX(Vöruskrá!J:J,MATCH(B804,Vöruskrá!B:B,0)),0)*C804/100000,""))</f>
        <v>50.48</v>
      </c>
      <c r="H804" s="169">
        <f>IF(OR(B804="",C804=""),"",IFERROR(IFERROR(INDEX(Vöruskrá!K:K,MATCH(B804,Vöruskrá!B:B,0)),0)*C804/100000,""))</f>
        <v>5.6</v>
      </c>
      <c r="I804" s="169">
        <f>IF(OR(B804="",C804=""),"",IFERROR(IFERROR(INDEX(Vöruskrá!L:L,MATCH(B804,Vöruskrá!B:B,0)),0)*C804/100000,""))</f>
        <v>0.376</v>
      </c>
      <c r="J804" s="169">
        <f>IF(OR(B804="",C804=""),"",IFERROR(IFERROR(INDEX(Vöruskrá!M:M,MATCH(B804,Vöruskrá!B:B,0)),0)*C804/100000,""))</f>
        <v>0.192</v>
      </c>
      <c r="K804" s="169">
        <f>IF(OR(B804="",C804=""),"",IFERROR(IFERROR(INDEX(Vöruskrá!N:N,MATCH(B804,Vöruskrá!B:B,0)),0)*C804/100000,""))</f>
        <v>0.12</v>
      </c>
      <c r="L804" s="169">
        <f>IF(OR(B804="",C804=""),"",IFERROR(IFERROR(INDEX(Vöruskrá!O:O,MATCH(B804,Vöruskrá!B:B,0)),0)*C804/100000,""))</f>
        <v>8.0000000000000002E-3</v>
      </c>
      <c r="M804" s="169">
        <f>IF(OR(B804="",C804=""),"",IFERROR(IFERROR(INDEX(Vöruskrá!P:P,MATCH(B804,Vöruskrá!B:B,0)),0)*C804/100000,""))</f>
        <v>0.08</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1270</v>
      </c>
      <c r="C805" s="174">
        <v>6000</v>
      </c>
      <c r="D805" s="168" t="s">
        <v>1270</v>
      </c>
      <c r="E805" s="168" t="s">
        <v>134</v>
      </c>
      <c r="F805" s="168"/>
      <c r="G805" s="169">
        <f>IF(OR(B805="",C805=""),"",IFERROR(IFERROR(INDEX(Vöruskrá!J:J,MATCH(B805,Vöruskrá!B:B,0)),0)*C805/100000,""))</f>
        <v>54</v>
      </c>
      <c r="H805" s="169">
        <f>IF(OR(B805="",C805=""),"",IFERROR(IFERROR(INDEX(Vöruskrá!K:K,MATCH(B805,Vöruskrá!B:B,0)),0)*C805/100000,""))</f>
        <v>6</v>
      </c>
      <c r="I805" s="169">
        <f>IF(OR(B805="",C805=""),"",IFERROR(IFERROR(INDEX(Vöruskrá!L:L,MATCH(B805,Vöruskrá!B:B,0)),0)*C805/100000,""))</f>
        <v>0.42</v>
      </c>
      <c r="J805" s="169">
        <f>IF(OR(B805="",C805=""),"",IFERROR(IFERROR(INDEX(Vöruskrá!M:M,MATCH(B805,Vöruskrá!B:B,0)),0)*C805/100000,""))</f>
        <v>3.9</v>
      </c>
      <c r="K805" s="169">
        <f>IF(OR(B805="",C805=""),"",IFERROR(IFERROR(INDEX(Vöruskrá!N:N,MATCH(B805,Vöruskrá!B:B,0)),0)*C805/100000,""))</f>
        <v>1.65</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299</v>
      </c>
      <c r="C806" s="172">
        <v>500</v>
      </c>
      <c r="D806" s="168" t="s">
        <v>302</v>
      </c>
      <c r="E806" s="168" t="s">
        <v>134</v>
      </c>
      <c r="F806" s="168" t="s">
        <v>303</v>
      </c>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0.5</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819</v>
      </c>
      <c r="C807" s="174">
        <v>500</v>
      </c>
      <c r="D807" s="168" t="s">
        <v>820</v>
      </c>
      <c r="E807" s="168"/>
      <c r="F807" s="168" t="s">
        <v>311</v>
      </c>
      <c r="G807" s="169">
        <f>IF(OR(B807="",C807=""),"",IFERROR(IFERROR(INDEX(Vöruskrá!J:J,MATCH(B807,Vöruskrá!B:B,0)),0)*C807/100000,""))</f>
        <v>1.93</v>
      </c>
      <c r="H807" s="169">
        <f>IF(OR(B807="",C807=""),"",IFERROR(IFERROR(INDEX(Vöruskrá!K:K,MATCH(B807,Vöruskrá!B:B,0)),0)*C807/100000,""))</f>
        <v>1.6500000000000001E-2</v>
      </c>
      <c r="I807" s="169">
        <f>IF(OR(B807="",C807=""),"",IFERROR(IFERROR(INDEX(Vöruskrá!L:L,MATCH(B807,Vöruskrá!B:B,0)),0)*C807/100000,""))</f>
        <v>5.0000000000000001E-3</v>
      </c>
      <c r="J807" s="169">
        <f>IF(OR(B807="",C807=""),"",IFERROR(IFERROR(INDEX(Vöruskrá!M:M,MATCH(B807,Vöruskrá!B:B,0)),0)*C807/100000,""))</f>
        <v>0.32500000000000001</v>
      </c>
      <c r="K807" s="169">
        <f>IF(OR(B807="",C807=""),"",IFERROR(IFERROR(INDEX(Vöruskrá!N:N,MATCH(B807,Vöruskrá!B:B,0)),0)*C807/100000,""))</f>
        <v>3.0000000000000001E-3</v>
      </c>
      <c r="L807" s="169">
        <f>IF(OR(B807="",C807=""),"",IFERROR(IFERROR(INDEX(Vöruskrá!O:O,MATCH(B807,Vöruskrá!B:B,0)),0)*C807/100000,""))</f>
        <v>5.5E-2</v>
      </c>
      <c r="M807" s="169">
        <f>IF(OR(B807="",C807=""),"",IFERROR(IFERROR(INDEX(Vöruskrá!P:P,MATCH(B807,Vöruskrá!B:B,0)),0)*C807/100000,""))</f>
        <v>5.0000000000000001E-4</v>
      </c>
      <c r="N807" s="169">
        <f>IF(OR(B807="",C807=""),"",IFERROR(IFERROR(INDEX(Vöruskrá!Q:Q,MATCH(B807,Vöruskrá!B:B,0)),0)*C807/100000,""))</f>
        <v>0</v>
      </c>
      <c r="O807" s="170">
        <f>IF(OR(B807="",C807=""),"",IFERROR(C807/1000*IFERROR(INDEX(Vöruskrá!R:R,MATCH(B807,Vöruskrá!B:B,0)),0)/1000,""))</f>
        <v>0</v>
      </c>
      <c r="P807" s="173"/>
      <c r="Q807" s="200"/>
      <c r="R807" s="159"/>
    </row>
    <row r="808" spans="1:18" ht="48">
      <c r="A808" s="147" t="s">
        <v>1973</v>
      </c>
      <c r="B808" s="147"/>
      <c r="C808" s="148"/>
      <c r="D808" s="165" t="s">
        <v>1974</v>
      </c>
      <c r="E808" s="165" t="s">
        <v>134</v>
      </c>
      <c r="F808" s="165"/>
      <c r="G808" s="166">
        <v>58.89</v>
      </c>
      <c r="H808" s="166">
        <v>4.71</v>
      </c>
      <c r="I808" s="166">
        <v>2.2200000000000002</v>
      </c>
      <c r="J808" s="166">
        <v>4.83</v>
      </c>
      <c r="K808" s="166"/>
      <c r="L808" s="166">
        <v>1.01</v>
      </c>
      <c r="M808" s="166">
        <v>0.67</v>
      </c>
      <c r="N808" s="166">
        <f>IFERROR(SUM(N809:N817)/(SUM($C$809:$C$817)/100000),"")</f>
        <v>0.80133333333333334</v>
      </c>
      <c r="O808" s="167" t="str">
        <f>IF(OR(B808="",C808=""),"",IFERROR(C808/1000*IFERROR(INDEX(Vöruskrá!R:R,MATCH(B808,Vöruskrá!B:B,0)),0)/1000,""))</f>
        <v/>
      </c>
      <c r="P808" s="196" t="s">
        <v>1975</v>
      </c>
      <c r="Q808" s="195" t="s">
        <v>1976</v>
      </c>
      <c r="R808" s="194" t="s">
        <v>1977</v>
      </c>
    </row>
    <row r="809" spans="1:18" ht="15">
      <c r="A809" s="171"/>
      <c r="B809" s="171" t="s">
        <v>1481</v>
      </c>
      <c r="C809" s="172">
        <v>40000</v>
      </c>
      <c r="D809" s="168"/>
      <c r="E809" s="168"/>
      <c r="F809" s="168"/>
      <c r="G809" s="169">
        <f>IF(OR(B809="",C809=""),"",IFERROR(IFERROR(INDEX(Vöruskrá!J:J,MATCH(B809,Vöruskrá!B:B,0)),0)*C809/100000,""))</f>
        <v>0</v>
      </c>
      <c r="H809" s="169">
        <f>IF(OR(B809="",C809=""),"",IFERROR(IFERROR(INDEX(Vöruskrá!K:K,MATCH(B809,Vöruskrá!B:B,0)),0)*C809/100000,""))</f>
        <v>0</v>
      </c>
      <c r="I809" s="169">
        <f>IF(OR(B809="",C809=""),"",IFERROR(IFERROR(INDEX(Vöruskrá!L:L,MATCH(B809,Vöruskrá!B:B,0)),0)*C809/100000,""))</f>
        <v>0</v>
      </c>
      <c r="J809" s="169">
        <f>IF(OR(B809="",C809=""),"",IFERROR(IFERROR(INDEX(Vöruskrá!M:M,MATCH(B809,Vöruskrá!B:B,0)),0)*C809/100000,""))</f>
        <v>0</v>
      </c>
      <c r="K809" s="169">
        <f>IF(OR(B809="",C809=""),"",IFERROR(IFERROR(INDEX(Vöruskrá!N:N,MATCH(B809,Vöruskrá!B:B,0)),0)*C809/100000,""))</f>
        <v>0</v>
      </c>
      <c r="L809" s="169">
        <f>IF(OR(B809="",C809=""),"",IFERROR(IFERROR(INDEX(Vöruskrá!O:O,MATCH(B809,Vöruskrá!B:B,0)),0)*C809/100000,""))</f>
        <v>0</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197"/>
      <c r="R809" s="164"/>
    </row>
    <row r="810" spans="1:18" ht="15">
      <c r="A810" s="173"/>
      <c r="B810" s="173" t="s">
        <v>743</v>
      </c>
      <c r="C810" s="174">
        <v>15000</v>
      </c>
      <c r="D810" s="168" t="s">
        <v>745</v>
      </c>
      <c r="E810" s="168"/>
      <c r="F810" s="168"/>
      <c r="G810" s="169">
        <f>IF(OR(B810="",C810=""),"",IFERROR(IFERROR(INDEX(Vöruskrá!J:J,MATCH(B810,Vöruskrá!B:B,0)),0)*C810/100000,""))</f>
        <v>4.2</v>
      </c>
      <c r="H810" s="169">
        <f>IF(OR(B810="",C810=""),"",IFERROR(IFERROR(INDEX(Vöruskrá!K:K,MATCH(B810,Vöruskrá!B:B,0)),0)*C810/100000,""))</f>
        <v>1.4999999999999999E-2</v>
      </c>
      <c r="I810" s="169">
        <f>IF(OR(B810="",C810=""),"",IFERROR(IFERROR(INDEX(Vöruskrá!L:L,MATCH(B810,Vöruskrá!B:B,0)),0)*C810/100000,""))</f>
        <v>0</v>
      </c>
      <c r="J810" s="169">
        <f>IF(OR(B810="",C810=""),"",IFERROR(IFERROR(INDEX(Vöruskrá!M:M,MATCH(B810,Vöruskrá!B:B,0)),0)*C810/100000,""))</f>
        <v>0.75</v>
      </c>
      <c r="K810" s="169">
        <f>IF(OR(B810="",C810=""),"",IFERROR(IFERROR(INDEX(Vöruskrá!N:N,MATCH(B810,Vöruskrá!B:B,0)),0)*C810/100000,""))</f>
        <v>0.51</v>
      </c>
      <c r="L810" s="169">
        <f>IF(OR(B810="",C810=""),"",IFERROR(IFERROR(INDEX(Vöruskrá!O:O,MATCH(B810,Vöruskrá!B:B,0)),0)*C810/100000,""))</f>
        <v>0.22500000000000001</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3"/>
      <c r="Q810" s="157"/>
      <c r="R810" s="27"/>
    </row>
    <row r="811" spans="1:18" ht="15">
      <c r="A811" s="171"/>
      <c r="B811" s="171" t="s">
        <v>335</v>
      </c>
      <c r="C811" s="172">
        <v>10000</v>
      </c>
      <c r="D811" s="168" t="s">
        <v>337</v>
      </c>
      <c r="E811" s="168" t="s">
        <v>134</v>
      </c>
      <c r="F811" s="168"/>
      <c r="G811" s="169">
        <f>IF(OR(B811="",C811=""),"",IFERROR(IFERROR(INDEX(Vöruskrá!J:J,MATCH(B811,Vöruskrá!B:B,0)),0)*C811/100000,""))</f>
        <v>18.100000000000001</v>
      </c>
      <c r="H811" s="169">
        <f>IF(OR(B811="",C811=""),"",IFERROR(IFERROR(INDEX(Vöruskrá!K:K,MATCH(B811,Vöruskrá!B:B,0)),0)*C811/100000,""))</f>
        <v>1.8</v>
      </c>
      <c r="I811" s="169">
        <f>IF(OR(B811="",C811=""),"",IFERROR(IFERROR(INDEX(Vöruskrá!L:L,MATCH(B811,Vöruskrá!B:B,0)),0)*C811/100000,""))</f>
        <v>1.53</v>
      </c>
      <c r="J811" s="169">
        <f>IF(OR(B811="",C811=""),"",IFERROR(IFERROR(INDEX(Vöruskrá!M:M,MATCH(B811,Vöruskrá!B:B,0)),0)*C811/100000,""))</f>
        <v>0.28000000000000003</v>
      </c>
      <c r="K811" s="169">
        <f>IF(OR(B811="",C811=""),"",IFERROR(IFERROR(INDEX(Vöruskrá!N:N,MATCH(B811,Vöruskrá!B:B,0)),0)*C811/100000,""))</f>
        <v>0.1</v>
      </c>
      <c r="L811" s="169">
        <f>IF(OR(B811="",C811=""),"",IFERROR(IFERROR(INDEX(Vöruskrá!O:O,MATCH(B811,Vöruskrá!B:B,0)),0)*C811/100000,""))</f>
        <v>0.2</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1010</v>
      </c>
      <c r="C812" s="174">
        <v>5000</v>
      </c>
      <c r="D812" s="168" t="s">
        <v>1010</v>
      </c>
      <c r="E812" s="168" t="s">
        <v>134</v>
      </c>
      <c r="F812" s="168"/>
      <c r="G812" s="169">
        <f>IF(OR(B812="",C812=""),"",IFERROR(IFERROR(INDEX(Vöruskrá!J:J,MATCH(B812,Vöruskrá!B:B,0)),0)*C812/100000,""))</f>
        <v>2</v>
      </c>
      <c r="H812" s="169">
        <f>IF(OR(B812="",C812=""),"",IFERROR(IFERROR(INDEX(Vöruskrá!K:K,MATCH(B812,Vöruskrá!B:B,0)),0)*C812/100000,""))</f>
        <v>5.0000000000000001E-3</v>
      </c>
      <c r="I812" s="169">
        <f>IF(OR(B812="",C812=""),"",IFERROR(IFERROR(INDEX(Vöruskrá!L:L,MATCH(B812,Vöruskrá!B:B,0)),0)*C812/100000,""))</f>
        <v>0</v>
      </c>
      <c r="J812" s="169">
        <f>IF(OR(B812="",C812=""),"",IFERROR(IFERROR(INDEX(Vöruskrá!M:M,MATCH(B812,Vöruskrá!B:B,0)),0)*C812/100000,""))</f>
        <v>0.46500000000000002</v>
      </c>
      <c r="K812" s="169">
        <f>IF(OR(B812="",C812=""),"",IFERROR(IFERROR(INDEX(Vöruskrá!N:N,MATCH(B812,Vöruskrá!B:B,0)),0)*C812/100000,""))</f>
        <v>0.21</v>
      </c>
      <c r="L812" s="169">
        <f>IF(OR(B812="",C812=""),"",IFERROR(IFERROR(INDEX(Vöruskrá!O:O,MATCH(B812,Vöruskrá!B:B,0)),0)*C812/100000,""))</f>
        <v>5.5E-2</v>
      </c>
      <c r="M812" s="169">
        <f>IF(OR(B812="",C812=""),"",IFERROR(IFERROR(INDEX(Vöruskrá!P:P,MATCH(B812,Vöruskrá!B:B,0)),0)*C812/100000,""))</f>
        <v>0</v>
      </c>
      <c r="N812" s="169">
        <f>IF(OR(B812="",C812=""),"",IFERROR(IFERROR(INDEX(Vöruskrá!Q:Q,MATCH(B812,Vöruskrá!B:B,0)),0)*C812/100000,""))</f>
        <v>8.5000000000000006E-2</v>
      </c>
      <c r="O812" s="170">
        <f>IF(OR(B812="",C812=""),"",IFERROR(C812/1000*IFERROR(INDEX(Vöruskrá!R:R,MATCH(B812,Vöruskrá!B:B,0)),0)/1000,""))</f>
        <v>0</v>
      </c>
      <c r="P812" s="173"/>
      <c r="Q812" s="157"/>
      <c r="R812" s="27"/>
    </row>
    <row r="813" spans="1:18" ht="15">
      <c r="A813" s="171"/>
      <c r="B813" s="171" t="s">
        <v>1017</v>
      </c>
      <c r="C813" s="172">
        <v>1000</v>
      </c>
      <c r="D813" s="168" t="s">
        <v>1017</v>
      </c>
      <c r="E813" s="168" t="s">
        <v>134</v>
      </c>
      <c r="F813" s="168"/>
      <c r="G813" s="169">
        <f>IF(OR(B813="",C813=""),"",IFERROR(IFERROR(INDEX(Vöruskrá!J:J,MATCH(B813,Vöruskrá!B:B,0)),0)*C813/100000,""))</f>
        <v>1.49</v>
      </c>
      <c r="H813" s="169">
        <f>IF(OR(B813="",C813=""),"",IFERROR(IFERROR(INDEX(Vöruskrá!K:K,MATCH(B813,Vöruskrá!B:B,0)),0)*C813/100000,""))</f>
        <v>5.0000000000000001E-3</v>
      </c>
      <c r="I813" s="169">
        <f>IF(OR(B813="",C813=""),"",IFERROR(IFERROR(INDEX(Vöruskrá!L:L,MATCH(B813,Vöruskrá!B:B,0)),0)*C813/100000,""))</f>
        <v>1E-3</v>
      </c>
      <c r="J813" s="169">
        <f>IF(OR(B813="",C813=""),"",IFERROR(IFERROR(INDEX(Vöruskrá!M:M,MATCH(B813,Vöruskrá!B:B,0)),0)*C813/100000,""))</f>
        <v>0.33100000000000002</v>
      </c>
      <c r="K813" s="169">
        <f>IF(OR(B813="",C813=""),"",IFERROR(IFERROR(INDEX(Vöruskrá!N:N,MATCH(B813,Vöruskrá!B:B,0)),0)*C813/100000,""))</f>
        <v>0.01</v>
      </c>
      <c r="L813" s="169">
        <f>IF(OR(B813="",C813=""),"",IFERROR(IFERROR(INDEX(Vöruskrá!O:O,MATCH(B813,Vöruskrá!B:B,0)),0)*C813/100000,""))</f>
        <v>6.4000000000000001E-2</v>
      </c>
      <c r="M813" s="169">
        <f>IF(OR(B813="",C813=""),"",IFERROR(IFERROR(INDEX(Vöruskrá!P:P,MATCH(B813,Vöruskrá!B:B,0)),0)*C813/100000,""))</f>
        <v>0</v>
      </c>
      <c r="N813" s="169">
        <f>IF(OR(B813="",C813=""),"",IFERROR(IFERROR(INDEX(Vöruskrá!Q:Q,MATCH(B813,Vöruskrá!B:B,0)),0)*C813/100000,""))</f>
        <v>2.1000000000000001E-2</v>
      </c>
      <c r="O813" s="170">
        <f>IF(OR(B813="",C813=""),"",IFERROR(C813/1000*IFERROR(INDEX(Vöruskrá!R:R,MATCH(B813,Vöruskrá!B:B,0)),0)/1000,""))</f>
        <v>0</v>
      </c>
      <c r="P813" s="171"/>
      <c r="Q813" s="158"/>
      <c r="R813" s="6"/>
    </row>
    <row r="814" spans="1:18" ht="15">
      <c r="A814" s="173"/>
      <c r="B814" s="173" t="s">
        <v>1022</v>
      </c>
      <c r="C814" s="174">
        <v>1500</v>
      </c>
      <c r="D814" s="168" t="s">
        <v>1023</v>
      </c>
      <c r="E814" s="168" t="s">
        <v>134</v>
      </c>
      <c r="F814" s="168" t="s">
        <v>1024</v>
      </c>
      <c r="G814" s="169">
        <f>IF(OR(B814="",C814=""),"",IFERROR(IFERROR(INDEX(Vöruskrá!J:J,MATCH(B814,Vöruskrá!B:B,0)),0)*C814/100000,""))</f>
        <v>4.875</v>
      </c>
      <c r="H814" s="169">
        <f>IF(OR(B814="",C814=""),"",IFERROR(IFERROR(INDEX(Vöruskrá!K:K,MATCH(B814,Vöruskrá!B:B,0)),0)*C814/100000,""))</f>
        <v>0.21</v>
      </c>
      <c r="I814" s="169">
        <f>IF(OR(B814="",C814=""),"",IFERROR(IFERROR(INDEX(Vöruskrá!L:L,MATCH(B814,Vöruskrá!B:B,0)),0)*C814/100000,""))</f>
        <v>0.03</v>
      </c>
      <c r="J814" s="169">
        <f>IF(OR(B814="",C814=""),"",IFERROR(IFERROR(INDEX(Vöruskrá!M:M,MATCH(B814,Vöruskrá!B:B,0)),0)*C814/100000,""))</f>
        <v>0.82499999999999996</v>
      </c>
      <c r="K814" s="169">
        <f>IF(OR(B814="",C814=""),"",IFERROR(IFERROR(INDEX(Vöruskrá!N:N,MATCH(B814,Vöruskrá!B:B,0)),0)*C814/100000,""))</f>
        <v>4.2000000000000003E-2</v>
      </c>
      <c r="L814" s="169">
        <f>IF(OR(B814="",C814=""),"",IFERROR(IFERROR(INDEX(Vöruskrá!O:O,MATCH(B814,Vöruskrá!B:B,0)),0)*C814/100000,""))</f>
        <v>0.21</v>
      </c>
      <c r="M814" s="169">
        <f>IF(OR(B814="",C814=""),"",IFERROR(IFERROR(INDEX(Vöruskrá!P:P,MATCH(B814,Vöruskrá!B:B,0)),0)*C814/100000,""))</f>
        <v>1.5E-3</v>
      </c>
      <c r="N814" s="169">
        <f>IF(OR(B814="",C814=""),"",IFERROR(IFERROR(INDEX(Vöruskrá!Q:Q,MATCH(B814,Vöruskrá!B:B,0)),0)*C814/100000,""))</f>
        <v>0.495</v>
      </c>
      <c r="O814" s="170">
        <f>IF(OR(B814="",C814=""),"",IFERROR(C814/1000*IFERROR(INDEX(Vöruskrá!R:R,MATCH(B814,Vöruskrá!B:B,0)),0)/1000,""))</f>
        <v>0</v>
      </c>
      <c r="P814" s="173"/>
      <c r="Q814" s="157"/>
      <c r="R814" s="27"/>
    </row>
    <row r="815" spans="1:18" ht="15">
      <c r="A815" s="171"/>
      <c r="B815" s="171" t="s">
        <v>1475</v>
      </c>
      <c r="C815" s="172">
        <v>500</v>
      </c>
      <c r="D815" s="168"/>
      <c r="E815" s="168"/>
      <c r="F815" s="168"/>
      <c r="G815" s="169">
        <f>IF(OR(B815="",C815=""),"",IFERROR(IFERROR(INDEX(Vöruskrá!J:J,MATCH(B815,Vöruskrá!B:B,0)),0)*C815/100000,""))</f>
        <v>0</v>
      </c>
      <c r="H815" s="169">
        <f>IF(OR(B815="",C815=""),"",IFERROR(IFERROR(INDEX(Vöruskrá!K:K,MATCH(B815,Vöruskrá!B:B,0)),0)*C815/100000,""))</f>
        <v>0</v>
      </c>
      <c r="I815" s="169">
        <f>IF(OR(B815="",C815=""),"",IFERROR(IFERROR(INDEX(Vöruskrá!L:L,MATCH(B815,Vöruskrá!B:B,0)),0)*C815/100000,""))</f>
        <v>0</v>
      </c>
      <c r="J815" s="169">
        <f>IF(OR(B815="",C815=""),"",IFERROR(IFERROR(INDEX(Vöruskrá!M:M,MATCH(B815,Vöruskrá!B:B,0)),0)*C815/100000,""))</f>
        <v>0</v>
      </c>
      <c r="K815" s="169">
        <f>IF(OR(B815="",C815=""),"",IFERROR(IFERROR(INDEX(Vöruskrá!N:N,MATCH(B815,Vöruskrá!B:B,0)),0)*C815/100000,""))</f>
        <v>0</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158"/>
      <c r="R815" s="6"/>
    </row>
    <row r="816" spans="1:18" ht="15">
      <c r="A816" s="173"/>
      <c r="B816" s="173" t="s">
        <v>299</v>
      </c>
      <c r="C816" s="174">
        <v>500</v>
      </c>
      <c r="D816" s="168" t="s">
        <v>302</v>
      </c>
      <c r="E816" s="168" t="s">
        <v>134</v>
      </c>
      <c r="F816" s="168" t="s">
        <v>303</v>
      </c>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0.5</v>
      </c>
      <c r="N816" s="169">
        <f>IF(OR(B816="",C816=""),"",IFERROR(IFERROR(INDEX(Vöruskrá!Q:Q,MATCH(B816,Vöruskrá!B:B,0)),0)*C816/100000,""))</f>
        <v>0</v>
      </c>
      <c r="O816" s="170">
        <f>IF(OR(B816="",C816=""),"",IFERROR(C816/1000*IFERROR(INDEX(Vöruskrá!R:R,MATCH(B816,Vöruskrá!B:B,0)),0)/1000,""))</f>
        <v>0</v>
      </c>
      <c r="P816" s="173"/>
      <c r="Q816" s="157"/>
      <c r="R816" s="27"/>
    </row>
    <row r="817" spans="1:18" ht="15">
      <c r="A817" s="171"/>
      <c r="B817" s="171" t="s">
        <v>1270</v>
      </c>
      <c r="C817" s="172">
        <v>1500</v>
      </c>
      <c r="D817" s="168" t="s">
        <v>1270</v>
      </c>
      <c r="E817" s="168" t="s">
        <v>134</v>
      </c>
      <c r="F817" s="168"/>
      <c r="G817" s="169">
        <f>IF(OR(B817="",C817=""),"",IFERROR(IFERROR(INDEX(Vöruskrá!J:J,MATCH(B817,Vöruskrá!B:B,0)),0)*C817/100000,""))</f>
        <v>13.5</v>
      </c>
      <c r="H817" s="169">
        <f>IF(OR(B817="",C817=""),"",IFERROR(IFERROR(INDEX(Vöruskrá!K:K,MATCH(B817,Vöruskrá!B:B,0)),0)*C817/100000,""))</f>
        <v>1.5</v>
      </c>
      <c r="I817" s="169">
        <f>IF(OR(B817="",C817=""),"",IFERROR(IFERROR(INDEX(Vöruskrá!L:L,MATCH(B817,Vöruskrá!B:B,0)),0)*C817/100000,""))</f>
        <v>0.105</v>
      </c>
      <c r="J817" s="169">
        <f>IF(OR(B817="",C817=""),"",IFERROR(IFERROR(INDEX(Vöruskrá!M:M,MATCH(B817,Vöruskrá!B:B,0)),0)*C817/100000,""))</f>
        <v>0.97499999999999998</v>
      </c>
      <c r="K817" s="169">
        <f>IF(OR(B817="",C817=""),"",IFERROR(IFERROR(INDEX(Vöruskrá!N:N,MATCH(B817,Vöruskrá!B:B,0)),0)*C817/100000,""))</f>
        <v>0.41249999999999998</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200"/>
      <c r="R817" s="159"/>
    </row>
    <row r="818" spans="1:18" ht="48">
      <c r="A818" s="147" t="s">
        <v>1978</v>
      </c>
      <c r="B818" s="147"/>
      <c r="C818" s="148"/>
      <c r="D818" s="165" t="s">
        <v>1979</v>
      </c>
      <c r="E818" s="165" t="s">
        <v>1655</v>
      </c>
      <c r="F818" s="165"/>
      <c r="G818" s="166">
        <v>184.6</v>
      </c>
      <c r="H818" s="166">
        <v>8.61</v>
      </c>
      <c r="I818" s="166">
        <v>3.09</v>
      </c>
      <c r="J818" s="166">
        <v>16.79</v>
      </c>
      <c r="K818" s="166"/>
      <c r="L818" s="166">
        <v>7.28</v>
      </c>
      <c r="M818" s="166">
        <v>2.2799999999999998</v>
      </c>
      <c r="N818" s="166">
        <f>IFERROR(SUM(N819:N825)/(SUM($C$819:$C$825)/100000),"")</f>
        <v>5.3630573248407645</v>
      </c>
      <c r="O818" s="167" t="str">
        <f>IF(OR(B818="",C818=""),"",IFERROR(C818/1000*IFERROR(INDEX(Vöruskrá!R:R,MATCH(B818,Vöruskrá!B:B,0)),0)/1000,""))</f>
        <v/>
      </c>
      <c r="P818" s="196" t="s">
        <v>1980</v>
      </c>
      <c r="Q818" s="199" t="s">
        <v>1981</v>
      </c>
      <c r="R818" s="198" t="s">
        <v>1982</v>
      </c>
    </row>
    <row r="819" spans="1:18" ht="15">
      <c r="A819" s="171"/>
      <c r="B819" s="171" t="s">
        <v>568</v>
      </c>
      <c r="C819" s="172">
        <v>40000</v>
      </c>
      <c r="D819" s="168" t="s">
        <v>569</v>
      </c>
      <c r="E819" s="168" t="s">
        <v>537</v>
      </c>
      <c r="F819" s="168" t="s">
        <v>570</v>
      </c>
      <c r="G819" s="169">
        <f>IF(OR(B819="",C819=""),"",IFERROR(IFERROR(INDEX(Vöruskrá!J:J,MATCH(B819,Vöruskrá!B:B,0)),0)*C819/100000,""))</f>
        <v>105.6</v>
      </c>
      <c r="H819" s="169">
        <f>IF(OR(B819="",C819=""),"",IFERROR(IFERROR(INDEX(Vöruskrá!K:K,MATCH(B819,Vöruskrá!B:B,0)),0)*C819/100000,""))</f>
        <v>3.12</v>
      </c>
      <c r="I819" s="169">
        <f>IF(OR(B819="",C819=""),"",IFERROR(IFERROR(INDEX(Vöruskrá!L:L,MATCH(B819,Vöruskrá!B:B,0)),0)*C819/100000,""))</f>
        <v>0.28000000000000003</v>
      </c>
      <c r="J819" s="169">
        <f>IF(OR(B819="",C819=""),"",IFERROR(IFERROR(INDEX(Vöruskrá!M:M,MATCH(B819,Vöruskrá!B:B,0)),0)*C819/100000,""))</f>
        <v>11.96</v>
      </c>
      <c r="K819" s="169">
        <f>IF(OR(B819="",C819=""),"",IFERROR(IFERROR(INDEX(Vöruskrá!N:N,MATCH(B819,Vöruskrá!B:B,0)),0)*C819/100000,""))</f>
        <v>1.1200000000000001</v>
      </c>
      <c r="L819" s="169">
        <f>IF(OR(B819="",C819=""),"",IFERROR(IFERROR(INDEX(Vöruskrá!O:O,MATCH(B819,Vöruskrá!B:B,0)),0)*C819/100000,""))</f>
        <v>5.32</v>
      </c>
      <c r="M819" s="169">
        <f>IF(OR(B819="",C819=""),"",IFERROR(IFERROR(INDEX(Vöruskrá!P:P,MATCH(B819,Vöruskrá!B:B,0)),0)*C819/100000,""))</f>
        <v>0.68</v>
      </c>
      <c r="N819" s="169">
        <f>IF(OR(B819="",C819=""),"",IFERROR(IFERROR(INDEX(Vöruskrá!Q:Q,MATCH(B819,Vöruskrá!B:B,0)),0)*C819/100000,""))</f>
        <v>4.2</v>
      </c>
      <c r="O819" s="170">
        <f>IF(OR(B819="",C819=""),"",IFERROR(C819/1000*IFERROR(INDEX(Vöruskrá!R:R,MATCH(B819,Vöruskrá!B:B,0)),0)/1000,""))</f>
        <v>0</v>
      </c>
      <c r="P819" s="171"/>
      <c r="Q819" s="197"/>
      <c r="R819" s="164"/>
    </row>
    <row r="820" spans="1:18" ht="15">
      <c r="A820" s="173"/>
      <c r="B820" s="173" t="s">
        <v>293</v>
      </c>
      <c r="C820" s="174">
        <v>10000</v>
      </c>
      <c r="D820" s="168" t="s">
        <v>295</v>
      </c>
      <c r="E820" s="168" t="s">
        <v>134</v>
      </c>
      <c r="F820" s="168"/>
      <c r="G820" s="169">
        <f>IF(OR(B820="",C820=""),"",IFERROR(IFERROR(INDEX(Vöruskrá!J:J,MATCH(B820,Vöruskrá!B:B,0)),0)*C820/100000,""))</f>
        <v>2.5</v>
      </c>
      <c r="H820" s="169">
        <f>IF(OR(B820="",C820=""),"",IFERROR(IFERROR(INDEX(Vöruskrá!K:K,MATCH(B820,Vöruskrá!B:B,0)),0)*C820/100000,""))</f>
        <v>0.03</v>
      </c>
      <c r="I820" s="169">
        <f>IF(OR(B820="",C820=""),"",IFERROR(IFERROR(INDEX(Vöruskrá!L:L,MATCH(B820,Vöruskrá!B:B,0)),0)*C820/100000,""))</f>
        <v>0</v>
      </c>
      <c r="J820" s="169">
        <f>IF(OR(B820="",C820=""),"",IFERROR(IFERROR(INDEX(Vöruskrá!M:M,MATCH(B820,Vöruskrá!B:B,0)),0)*C820/100000,""))</f>
        <v>0.5</v>
      </c>
      <c r="K820" s="169">
        <f>IF(OR(B820="",C820=""),"",IFERROR(IFERROR(INDEX(Vöruskrá!N:N,MATCH(B820,Vöruskrá!B:B,0)),0)*C820/100000,""))</f>
        <v>7.0000000000000007E-2</v>
      </c>
      <c r="L820" s="169">
        <f>IF(OR(B820="",C820=""),"",IFERROR(IFERROR(INDEX(Vöruskrá!O:O,MATCH(B820,Vöruskrá!B:B,0)),0)*C820/100000,""))</f>
        <v>0.05</v>
      </c>
      <c r="M820" s="169">
        <f>IF(OR(B820="",C820=""),"",IFERROR(IFERROR(INDEX(Vöruskrá!P:P,MATCH(B820,Vöruskrá!B:B,0)),0)*C820/100000,""))</f>
        <v>0.05</v>
      </c>
      <c r="N820" s="169">
        <f>IF(OR(B820="",C820=""),"",IFERROR(IFERROR(INDEX(Vöruskrá!Q:Q,MATCH(B820,Vöruskrá!B:B,0)),0)*C820/100000,""))</f>
        <v>0.01</v>
      </c>
      <c r="O820" s="170">
        <f>IF(OR(B820="",C820=""),"",IFERROR(C820/1000*IFERROR(INDEX(Vöruskrá!R:R,MATCH(B820,Vöruskrá!B:B,0)),0)/1000,""))</f>
        <v>0</v>
      </c>
      <c r="P820" s="173"/>
      <c r="Q820" s="157"/>
      <c r="R820" s="27"/>
    </row>
    <row r="821" spans="1:18" ht="15">
      <c r="A821" s="171"/>
      <c r="B821" s="171" t="s">
        <v>445</v>
      </c>
      <c r="C821" s="172">
        <v>4000</v>
      </c>
      <c r="D821" s="168" t="s">
        <v>448</v>
      </c>
      <c r="E821" s="168" t="s">
        <v>120</v>
      </c>
      <c r="F821" s="168"/>
      <c r="G821" s="169">
        <f>IF(OR(B821="",C821=""),"",IFERROR(IFERROR(INDEX(Vöruskrá!J:J,MATCH(B821,Vöruskrá!B:B,0)),0)*C821/100000,""))</f>
        <v>29.52</v>
      </c>
      <c r="H821" s="169">
        <f>IF(OR(B821="",C821=""),"",IFERROR(IFERROR(INDEX(Vöruskrá!K:K,MATCH(B821,Vöruskrá!B:B,0)),0)*C821/100000,""))</f>
        <v>3.28</v>
      </c>
      <c r="I821" s="169">
        <f>IF(OR(B821="",C821=""),"",IFERROR(IFERROR(INDEX(Vöruskrá!L:L,MATCH(B821,Vöruskrá!B:B,0)),0)*C821/100000,""))</f>
        <v>1.96</v>
      </c>
      <c r="J821" s="169">
        <f>IF(OR(B821="",C821=""),"",IFERROR(IFERROR(INDEX(Vöruskrá!M:M,MATCH(B821,Vöruskrá!B:B,0)),0)*C821/100000,""))</f>
        <v>1.6E-2</v>
      </c>
      <c r="K821" s="169">
        <f>IF(OR(B821="",C821=""),"",IFERROR(IFERROR(INDEX(Vöruskrá!N:N,MATCH(B821,Vöruskrá!B:B,0)),0)*C821/100000,""))</f>
        <v>1.6E-2</v>
      </c>
      <c r="L821" s="169">
        <f>IF(OR(B821="",C821=""),"",IFERROR(IFERROR(INDEX(Vöruskrá!O:O,MATCH(B821,Vöruskrá!B:B,0)),0)*C821/100000,""))</f>
        <v>2.4E-2</v>
      </c>
      <c r="M821" s="169">
        <f>IF(OR(B821="",C821=""),"",IFERROR(IFERROR(INDEX(Vöruskrá!P:P,MATCH(B821,Vöruskrá!B:B,0)),0)*C821/100000,""))</f>
        <v>4.8000000000000001E-2</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849</v>
      </c>
      <c r="C822" s="174">
        <v>8000</v>
      </c>
      <c r="D822" s="168" t="s">
        <v>850</v>
      </c>
      <c r="E822" s="168" t="s">
        <v>120</v>
      </c>
      <c r="F822" s="168"/>
      <c r="G822" s="169">
        <f>IF(OR(B822="",C822=""),"",IFERROR(IFERROR(INDEX(Vöruskrá!J:J,MATCH(B822,Vöruskrá!B:B,0)),0)*C822/100000,""))</f>
        <v>5.36</v>
      </c>
      <c r="H822" s="169">
        <f>IF(OR(B822="",C822=""),"",IFERROR(IFERROR(INDEX(Vöruskrá!K:K,MATCH(B822,Vöruskrá!B:B,0)),0)*C822/100000,""))</f>
        <v>0.312</v>
      </c>
      <c r="I822" s="169">
        <f>IF(OR(B822="",C822=""),"",IFERROR(IFERROR(INDEX(Vöruskrá!L:L,MATCH(B822,Vöruskrá!B:B,0)),0)*C822/100000,""))</f>
        <v>0.184</v>
      </c>
      <c r="J822" s="169">
        <f>IF(OR(B822="",C822=""),"",IFERROR(IFERROR(INDEX(Vöruskrá!M:M,MATCH(B822,Vöruskrá!B:B,0)),0)*C822/100000,""))</f>
        <v>0.376</v>
      </c>
      <c r="K822" s="169">
        <f>IF(OR(B822="",C822=""),"",IFERROR(IFERROR(INDEX(Vöruskrá!N:N,MATCH(B822,Vöruskrá!B:B,0)),0)*C822/100000,""))</f>
        <v>0.376</v>
      </c>
      <c r="L822" s="169">
        <f>IF(OR(B822="",C822=""),"",IFERROR(IFERROR(INDEX(Vöruskrá!O:O,MATCH(B822,Vöruskrá!B:B,0)),0)*C822/100000,""))</f>
        <v>0.26400000000000001</v>
      </c>
      <c r="M822" s="169">
        <f>IF(OR(B822="",C822=""),"",IFERROR(IFERROR(INDEX(Vöruskrá!P:P,MATCH(B822,Vöruskrá!B:B,0)),0)*C822/100000,""))</f>
        <v>8.0000000000000002E-3</v>
      </c>
      <c r="N822" s="169">
        <f>IF(OR(B822="",C822=""),"",IFERROR(IFERROR(INDEX(Vöruskrá!Q:Q,MATCH(B822,Vöruskrá!B:B,0)),0)*C822/100000,""))</f>
        <v>0</v>
      </c>
      <c r="O822" s="170">
        <f>IF(OR(B822="",C822=""),"",IFERROR(C822/1000*IFERROR(INDEX(Vöruskrá!R:R,MATCH(B822,Vöruskrá!B:B,0)),0)/1000,""))</f>
        <v>0</v>
      </c>
      <c r="P822" s="173"/>
      <c r="Q822" s="157"/>
      <c r="R822" s="27"/>
    </row>
    <row r="823" spans="1:18" ht="15">
      <c r="A823" s="171"/>
      <c r="B823" s="171" t="s">
        <v>299</v>
      </c>
      <c r="C823" s="172">
        <v>1000</v>
      </c>
      <c r="D823" s="168" t="s">
        <v>302</v>
      </c>
      <c r="E823" s="168" t="s">
        <v>134</v>
      </c>
      <c r="F823" s="168" t="s">
        <v>303</v>
      </c>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1</v>
      </c>
      <c r="N823" s="169">
        <f>IF(OR(B823="",C823=""),"",IFERROR(IFERROR(INDEX(Vöruskrá!Q:Q,MATCH(B823,Vöruskrá!B:B,0)),0)*C823/100000,""))</f>
        <v>0</v>
      </c>
      <c r="O823" s="170">
        <f>IF(OR(B823="",C823=""),"",IFERROR(C823/1000*IFERROR(INDEX(Vöruskrá!R:R,MATCH(B823,Vöruskrá!B:B,0)),0)/1000,""))</f>
        <v>0</v>
      </c>
      <c r="P823" s="171"/>
      <c r="Q823" s="158"/>
      <c r="R823" s="6"/>
    </row>
    <row r="824" spans="1:18" ht="15">
      <c r="A824" s="173"/>
      <c r="B824" s="173" t="s">
        <v>819</v>
      </c>
      <c r="C824" s="174">
        <v>500</v>
      </c>
      <c r="D824" s="168" t="s">
        <v>820</v>
      </c>
      <c r="E824" s="168"/>
      <c r="F824" s="168" t="s">
        <v>311</v>
      </c>
      <c r="G824" s="169">
        <f>IF(OR(B824="",C824=""),"",IFERROR(IFERROR(INDEX(Vöruskrá!J:J,MATCH(B824,Vöruskrá!B:B,0)),0)*C824/100000,""))</f>
        <v>1.93</v>
      </c>
      <c r="H824" s="169">
        <f>IF(OR(B824="",C824=""),"",IFERROR(IFERROR(INDEX(Vöruskrá!K:K,MATCH(B824,Vöruskrá!B:B,0)),0)*C824/100000,""))</f>
        <v>1.6500000000000001E-2</v>
      </c>
      <c r="I824" s="169">
        <f>IF(OR(B824="",C824=""),"",IFERROR(IFERROR(INDEX(Vöruskrá!L:L,MATCH(B824,Vöruskrá!B:B,0)),0)*C824/100000,""))</f>
        <v>5.0000000000000001E-3</v>
      </c>
      <c r="J824" s="169">
        <f>IF(OR(B824="",C824=""),"",IFERROR(IFERROR(INDEX(Vöruskrá!M:M,MATCH(B824,Vöruskrá!B:B,0)),0)*C824/100000,""))</f>
        <v>0.32500000000000001</v>
      </c>
      <c r="K824" s="169">
        <f>IF(OR(B824="",C824=""),"",IFERROR(IFERROR(INDEX(Vöruskrá!N:N,MATCH(B824,Vöruskrá!B:B,0)),0)*C824/100000,""))</f>
        <v>3.0000000000000001E-3</v>
      </c>
      <c r="L824" s="169">
        <f>IF(OR(B824="",C824=""),"",IFERROR(IFERROR(INDEX(Vöruskrá!O:O,MATCH(B824,Vöruskrá!B:B,0)),0)*C824/100000,""))</f>
        <v>5.5E-2</v>
      </c>
      <c r="M824" s="169">
        <f>IF(OR(B824="",C824=""),"",IFERROR(IFERROR(INDEX(Vöruskrá!P:P,MATCH(B824,Vöruskrá!B:B,0)),0)*C824/100000,""))</f>
        <v>5.0000000000000001E-4</v>
      </c>
      <c r="N824" s="169">
        <f>IF(OR(B824="",C824=""),"",IFERROR(IFERROR(INDEX(Vöruskrá!Q:Q,MATCH(B824,Vöruskrá!B:B,0)),0)*C824/100000,""))</f>
        <v>0</v>
      </c>
      <c r="O824" s="170">
        <f>IF(OR(B824="",C824=""),"",IFERROR(C824/1000*IFERROR(INDEX(Vöruskrá!R:R,MATCH(B824,Vöruskrá!B:B,0)),0)/1000,""))</f>
        <v>0</v>
      </c>
      <c r="P824" s="173"/>
      <c r="Q824" s="157"/>
      <c r="R824" s="27"/>
    </row>
    <row r="825" spans="1:18" ht="15">
      <c r="A825" s="175"/>
      <c r="B825" s="175" t="s">
        <v>1020</v>
      </c>
      <c r="C825" s="176">
        <v>15000</v>
      </c>
      <c r="D825" s="177" t="s">
        <v>1020</v>
      </c>
      <c r="E825" s="177" t="s">
        <v>134</v>
      </c>
      <c r="F825" s="177"/>
      <c r="G825" s="178">
        <f>IF(OR(B825="",C825=""),"",IFERROR(IFERROR(INDEX(Vöruskrá!J:J,MATCH(B825,Vöruskrá!B:B,0)),0)*C825/100000,""))</f>
        <v>0</v>
      </c>
      <c r="H825" s="178">
        <f>IF(OR(B825="",C825=""),"",IFERROR(IFERROR(INDEX(Vöruskrá!K:K,MATCH(B825,Vöruskrá!B:B,0)),0)*C825/100000,""))</f>
        <v>0</v>
      </c>
      <c r="I825" s="178">
        <f>IF(OR(B825="",C825=""),"",IFERROR(IFERROR(INDEX(Vöruskrá!L:L,MATCH(B825,Vöruskrá!B:B,0)),0)*C825/100000,""))</f>
        <v>0</v>
      </c>
      <c r="J825" s="178">
        <f>IF(OR(B825="",C825=""),"",IFERROR(IFERROR(INDEX(Vöruskrá!M:M,MATCH(B825,Vöruskrá!B:B,0)),0)*C825/100000,""))</f>
        <v>0</v>
      </c>
      <c r="K825" s="178">
        <f>IF(OR(B825="",C825=""),"",IFERROR(IFERROR(INDEX(Vöruskrá!N:N,MATCH(B825,Vöruskrá!B:B,0)),0)*C825/100000,""))</f>
        <v>0</v>
      </c>
      <c r="L825" s="178">
        <f>IF(OR(B825="",C825=""),"",IFERROR(IFERROR(INDEX(Vöruskrá!O:O,MATCH(B825,Vöruskrá!B:B,0)),0)*C825/100000,""))</f>
        <v>0</v>
      </c>
      <c r="M825" s="178">
        <f>IF(OR(B825="",C825=""),"",IFERROR(IFERROR(INDEX(Vöruskrá!P:P,MATCH(B825,Vöruskrá!B:B,0)),0)*C825/100000,""))</f>
        <v>0</v>
      </c>
      <c r="N825" s="178">
        <f>IF(OR(B825="",C825=""),"",IFERROR(IFERROR(INDEX(Vöruskrá!Q:Q,MATCH(B825,Vöruskrá!B:B,0)),0)*C825/100000,""))</f>
        <v>0</v>
      </c>
      <c r="O825" s="179">
        <f>IF(OR(B825="",C825=""),"",IFERROR(C825/1000*IFERROR(INDEX(Vöruskrá!R:R,MATCH(B825,Vöruskrá!B:B,0)),0)/1000,""))</f>
        <v>0</v>
      </c>
      <c r="P825" s="175"/>
      <c r="Q825" s="200"/>
      <c r="R825" s="159"/>
    </row>
    <row r="826" spans="1:18" ht="60">
      <c r="A826" s="147" t="s">
        <v>1983</v>
      </c>
      <c r="B826" s="147"/>
      <c r="C826" s="148"/>
      <c r="D826" s="165" t="s">
        <v>1984</v>
      </c>
      <c r="E826" s="165" t="s">
        <v>120</v>
      </c>
      <c r="F826" s="165"/>
      <c r="G826" s="166">
        <v>150.15</v>
      </c>
      <c r="H826" s="166">
        <v>3.8</v>
      </c>
      <c r="I826" s="166">
        <v>2.2000000000000002</v>
      </c>
      <c r="J826" s="166">
        <v>24.26</v>
      </c>
      <c r="K826" s="166"/>
      <c r="L826" s="166">
        <v>4.13</v>
      </c>
      <c r="M826" s="166">
        <v>0.47</v>
      </c>
      <c r="N826" s="166">
        <f>IFERROR(SUM(N827:N832)/(SUM($C$827:$C$832)/100000),"")</f>
        <v>0.315081</v>
      </c>
      <c r="O826" s="167" t="str">
        <f>IF(OR(B826="",C826=""),"",IFERROR(C826/1000*IFERROR(INDEX(Vöruskrá!R:R,MATCH(B826,Vöruskrá!B:B,0)),0)/1000,""))</f>
        <v/>
      </c>
      <c r="P826" s="196" t="s">
        <v>1985</v>
      </c>
      <c r="Q826" s="195" t="s">
        <v>1986</v>
      </c>
      <c r="R826" s="194" t="s">
        <v>1987</v>
      </c>
    </row>
    <row r="827" spans="1:18" ht="15">
      <c r="A827" s="171"/>
      <c r="B827" s="171" t="s">
        <v>341</v>
      </c>
      <c r="C827" s="172">
        <v>24237</v>
      </c>
      <c r="D827" s="168" t="s">
        <v>344</v>
      </c>
      <c r="E827" s="168" t="s">
        <v>134</v>
      </c>
      <c r="F827" s="168"/>
      <c r="G827" s="169">
        <f>IF(OR(B827="",C827=""),"",IFERROR(IFERROR(INDEX(Vöruskrá!J:J,MATCH(B827,Vöruskrá!B:B,0)),0)*C827/100000,""))</f>
        <v>88.465050000000005</v>
      </c>
      <c r="H827" s="169">
        <f>IF(OR(B827="",C827=""),"",IFERROR(IFERROR(INDEX(Vöruskrá!K:K,MATCH(B827,Vöruskrá!B:B,0)),0)*C827/100000,""))</f>
        <v>0.16965899999999998</v>
      </c>
      <c r="I827" s="169">
        <f>IF(OR(B827="",C827=""),"",IFERROR(IFERROR(INDEX(Vöruskrá!L:L,MATCH(B827,Vöruskrá!B:B,0)),0)*C827/100000,""))</f>
        <v>4.8474000000000003E-2</v>
      </c>
      <c r="J827" s="169">
        <f>IF(OR(B827="",C827=""),"",IFERROR(IFERROR(INDEX(Vöruskrá!M:M,MATCH(B827,Vöruskrá!B:B,0)),0)*C827/100000,""))</f>
        <v>19.389600000000002</v>
      </c>
      <c r="K827" s="169">
        <f>IF(OR(B827="",C827=""),"",IFERROR(IFERROR(INDEX(Vöruskrá!N:N,MATCH(B827,Vöruskrá!B:B,0)),0)*C827/100000,""))</f>
        <v>2.4237000000000002E-2</v>
      </c>
      <c r="L827" s="169">
        <f>IF(OR(B827="",C827=""),"",IFERROR(IFERROR(INDEX(Vöruskrá!O:O,MATCH(B827,Vöruskrá!B:B,0)),0)*C827/100000,""))</f>
        <v>1.7208269999999999</v>
      </c>
      <c r="M827" s="169">
        <f>IF(OR(B827="",C827=""),"",IFERROR(IFERROR(INDEX(Vöruskrá!P:P,MATCH(B827,Vöruskrá!B:B,0)),0)*C827/100000,""))</f>
        <v>0</v>
      </c>
      <c r="N827" s="169">
        <f>IF(OR(B827="",C827=""),"",IFERROR(IFERROR(INDEX(Vöruskrá!Q:Q,MATCH(B827,Vöruskrá!B:B,0)),0)*C827/100000,""))</f>
        <v>0.315081</v>
      </c>
      <c r="O827" s="170">
        <f>IF(OR(B827="",C827=""),"",IFERROR(C827/1000*IFERROR(INDEX(Vöruskrá!R:R,MATCH(B827,Vöruskrá!B:B,0)),0)/1000,""))</f>
        <v>0</v>
      </c>
      <c r="P827" s="171"/>
      <c r="Q827" s="197"/>
      <c r="R827" s="164"/>
    </row>
    <row r="828" spans="1:18" ht="15">
      <c r="A828" s="173"/>
      <c r="B828" s="173" t="s">
        <v>849</v>
      </c>
      <c r="C828" s="174">
        <v>72710</v>
      </c>
      <c r="D828" s="168" t="s">
        <v>850</v>
      </c>
      <c r="E828" s="168" t="s">
        <v>120</v>
      </c>
      <c r="F828" s="168"/>
      <c r="G828" s="169">
        <f>IF(OR(B828="",C828=""),"",IFERROR(IFERROR(INDEX(Vöruskrá!J:J,MATCH(B828,Vöruskrá!B:B,0)),0)*C828/100000,""))</f>
        <v>48.715699999999998</v>
      </c>
      <c r="H828" s="169">
        <f>IF(OR(B828="",C828=""),"",IFERROR(IFERROR(INDEX(Vöruskrá!K:K,MATCH(B828,Vöruskrá!B:B,0)),0)*C828/100000,""))</f>
        <v>2.83569</v>
      </c>
      <c r="I828" s="169">
        <f>IF(OR(B828="",C828=""),"",IFERROR(IFERROR(INDEX(Vöruskrá!L:L,MATCH(B828,Vöruskrá!B:B,0)),0)*C828/100000,""))</f>
        <v>1.6723300000000001</v>
      </c>
      <c r="J828" s="169">
        <f>IF(OR(B828="",C828=""),"",IFERROR(IFERROR(INDEX(Vöruskrá!M:M,MATCH(B828,Vöruskrá!B:B,0)),0)*C828/100000,""))</f>
        <v>3.41737</v>
      </c>
      <c r="K828" s="169">
        <f>IF(OR(B828="",C828=""),"",IFERROR(IFERROR(INDEX(Vöruskrá!N:N,MATCH(B828,Vöruskrá!B:B,0)),0)*C828/100000,""))</f>
        <v>3.41737</v>
      </c>
      <c r="L828" s="169">
        <f>IF(OR(B828="",C828=""),"",IFERROR(IFERROR(INDEX(Vöruskrá!O:O,MATCH(B828,Vöruskrá!B:B,0)),0)*C828/100000,""))</f>
        <v>2.3994300000000002</v>
      </c>
      <c r="M828" s="169">
        <f>IF(OR(B828="",C828=""),"",IFERROR(IFERROR(INDEX(Vöruskrá!P:P,MATCH(B828,Vöruskrá!B:B,0)),0)*C828/100000,""))</f>
        <v>7.2709999999999997E-2</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477</v>
      </c>
      <c r="C829" s="172">
        <v>1454</v>
      </c>
      <c r="D829" s="168" t="s">
        <v>479</v>
      </c>
      <c r="E829" s="168" t="s">
        <v>134</v>
      </c>
      <c r="F829" s="168"/>
      <c r="G829" s="169">
        <f>IF(OR(B829="",C829=""),"",IFERROR(IFERROR(INDEX(Vöruskrá!J:J,MATCH(B829,Vöruskrá!B:B,0)),0)*C829/100000,""))</f>
        <v>5.8159999999999998</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1.454</v>
      </c>
      <c r="K829" s="169">
        <f>IF(OR(B829="",C829=""),"",IFERROR(IFERROR(INDEX(Vöruskrá!N:N,MATCH(B829,Vöruskrá!B:B,0)),0)*C829/100000,""))</f>
        <v>1.454</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58"/>
      <c r="R829" s="6"/>
    </row>
    <row r="830" spans="1:18" ht="15">
      <c r="A830" s="173"/>
      <c r="B830" s="173" t="s">
        <v>299</v>
      </c>
      <c r="C830" s="174">
        <v>388</v>
      </c>
      <c r="D830" s="168" t="s">
        <v>302</v>
      </c>
      <c r="E830" s="168" t="s">
        <v>134</v>
      </c>
      <c r="F830" s="168" t="s">
        <v>303</v>
      </c>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0.38800000000000001</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1501</v>
      </c>
      <c r="C831" s="172">
        <v>242</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445</v>
      </c>
      <c r="C832" s="174">
        <v>969</v>
      </c>
      <c r="D832" s="168" t="s">
        <v>448</v>
      </c>
      <c r="E832" s="168" t="s">
        <v>120</v>
      </c>
      <c r="F832" s="168"/>
      <c r="G832" s="169">
        <f>IF(OR(B832="",C832=""),"",IFERROR(IFERROR(INDEX(Vöruskrá!J:J,MATCH(B832,Vöruskrá!B:B,0)),0)*C832/100000,""))</f>
        <v>7.1512200000000004</v>
      </c>
      <c r="H832" s="169">
        <f>IF(OR(B832="",C832=""),"",IFERROR(IFERROR(INDEX(Vöruskrá!K:K,MATCH(B832,Vöruskrá!B:B,0)),0)*C832/100000,""))</f>
        <v>0.79457999999999995</v>
      </c>
      <c r="I832" s="169">
        <f>IF(OR(B832="",C832=""),"",IFERROR(IFERROR(INDEX(Vöruskrá!L:L,MATCH(B832,Vöruskrá!B:B,0)),0)*C832/100000,""))</f>
        <v>0.47481000000000001</v>
      </c>
      <c r="J832" s="169">
        <f>IF(OR(B832="",C832=""),"",IFERROR(IFERROR(INDEX(Vöruskrá!M:M,MATCH(B832,Vöruskrá!B:B,0)),0)*C832/100000,""))</f>
        <v>3.8760000000000001E-3</v>
      </c>
      <c r="K832" s="169">
        <f>IF(OR(B832="",C832=""),"",IFERROR(IFERROR(INDEX(Vöruskrá!N:N,MATCH(B832,Vöruskrá!B:B,0)),0)*C832/100000,""))</f>
        <v>3.8760000000000001E-3</v>
      </c>
      <c r="L832" s="169">
        <f>IF(OR(B832="",C832=""),"",IFERROR(IFERROR(INDEX(Vöruskrá!O:O,MATCH(B832,Vöruskrá!B:B,0)),0)*C832/100000,""))</f>
        <v>5.8139999999999997E-3</v>
      </c>
      <c r="M832" s="169">
        <f>IF(OR(B832="",C832=""),"",IFERROR(IFERROR(INDEX(Vöruskrá!P:P,MATCH(B832,Vöruskrá!B:B,0)),0)*C832/100000,""))</f>
        <v>1.1627999999999999E-2</v>
      </c>
      <c r="N832" s="169">
        <f>IF(OR(B832="",C832=""),"",IFERROR(IFERROR(INDEX(Vöruskrá!Q:Q,MATCH(B832,Vöruskrá!B:B,0)),0)*C832/100000,""))</f>
        <v>0</v>
      </c>
      <c r="O832" s="170">
        <f>IF(OR(B832="",C832=""),"",IFERROR(C832/1000*IFERROR(INDEX(Vöruskrá!R:R,MATCH(B832,Vöruskrá!B:B,0)),0)/1000,""))</f>
        <v>0</v>
      </c>
      <c r="P832" s="173"/>
      <c r="Q832" s="201"/>
      <c r="R832" s="202"/>
    </row>
    <row r="833" spans="1:18" ht="48">
      <c r="A833" s="147" t="s">
        <v>1988</v>
      </c>
      <c r="B833" s="147"/>
      <c r="C833" s="148"/>
      <c r="D833" s="165" t="s">
        <v>1989</v>
      </c>
      <c r="E833" s="165" t="s">
        <v>1990</v>
      </c>
      <c r="F833" s="165"/>
      <c r="G833" s="166">
        <v>87.72</v>
      </c>
      <c r="H833" s="166">
        <v>0.85</v>
      </c>
      <c r="I833" s="166">
        <v>0.52</v>
      </c>
      <c r="J833" s="166">
        <v>10.9</v>
      </c>
      <c r="K833" s="166"/>
      <c r="L833" s="166">
        <v>9.18</v>
      </c>
      <c r="M833" s="166">
        <v>0.09</v>
      </c>
      <c r="N833" s="166">
        <f>IFERROR(SUM(N834:N837)/(SUM($C$834:$C$837)/100000),"")</f>
        <v>0</v>
      </c>
      <c r="O833" s="167" t="str">
        <f>IF(OR(B833="",C833=""),"",IFERROR(C833/1000*IFERROR(INDEX(Vöruskrá!R:R,MATCH(B833,Vöruskrá!B:B,0)),0)/1000,""))</f>
        <v/>
      </c>
      <c r="P833" s="196" t="s">
        <v>1991</v>
      </c>
      <c r="Q833" s="199" t="s">
        <v>1992</v>
      </c>
      <c r="R833" s="198" t="s">
        <v>1993</v>
      </c>
    </row>
    <row r="834" spans="1:18" ht="15">
      <c r="A834" s="171"/>
      <c r="B834" s="171" t="s">
        <v>109</v>
      </c>
      <c r="C834" s="172">
        <v>78740</v>
      </c>
      <c r="D834" s="168" t="s">
        <v>112</v>
      </c>
      <c r="E834" s="168" t="s">
        <v>113</v>
      </c>
      <c r="F834" s="168"/>
      <c r="G834" s="169">
        <f>IF(OR(B834="",C834=""),"",IFERROR(IFERROR(INDEX(Vöruskrá!J:J,MATCH(B834,Vöruskrá!B:B,0)),0)*C834/100000,""))</f>
        <v>61.417200000000001</v>
      </c>
      <c r="H834" s="169">
        <f>IF(OR(B834="",C834=""),"",IFERROR(IFERROR(INDEX(Vöruskrá!K:K,MATCH(B834,Vöruskrá!B:B,0)),0)*C834/100000,""))</f>
        <v>0.23622000000000001</v>
      </c>
      <c r="I834" s="169">
        <f>IF(OR(B834="",C834=""),"",IFERROR(IFERROR(INDEX(Vöruskrá!L:L,MATCH(B834,Vöruskrá!B:B,0)),0)*C834/100000,""))</f>
        <v>0.15748000000000001</v>
      </c>
      <c r="J834" s="169">
        <f>IF(OR(B834="",C834=""),"",IFERROR(IFERROR(INDEX(Vöruskrá!M:M,MATCH(B834,Vöruskrá!B:B,0)),0)*C834/100000,""))</f>
        <v>6.2204600000000001</v>
      </c>
      <c r="K834" s="169">
        <f>IF(OR(B834="",C834=""),"",IFERROR(IFERROR(INDEX(Vöruskrá!N:N,MATCH(B834,Vöruskrá!B:B,0)),0)*C834/100000,""))</f>
        <v>6.2204600000000001</v>
      </c>
      <c r="L834" s="169">
        <f>IF(OR(B834="",C834=""),"",IFERROR(IFERROR(INDEX(Vöruskrá!O:O,MATCH(B834,Vöruskrá!B:B,0)),0)*C834/100000,""))</f>
        <v>8.6614000000000004</v>
      </c>
      <c r="M834" s="169">
        <f>IF(OR(B834="",C834=""),"",IFERROR(IFERROR(INDEX(Vöruskrá!P:P,MATCH(B834,Vöruskrá!B:B,0)),0)*C834/100000,""))</f>
        <v>7.8740000000000004E-2</v>
      </c>
      <c r="N834" s="169">
        <f>IF(OR(B834="",C834=""),"",IFERROR(IFERROR(INDEX(Vöruskrá!Q:Q,MATCH(B834,Vöruskrá!B:B,0)),0)*C834/100000,""))</f>
        <v>0</v>
      </c>
      <c r="O834" s="170">
        <f>IF(OR(B834="",C834=""),"",IFERROR(C834/1000*IFERROR(INDEX(Vöruskrá!R:R,MATCH(B834,Vöruskrá!B:B,0)),0)/1000,""))</f>
        <v>0</v>
      </c>
      <c r="P834" s="171"/>
      <c r="Q834" s="203"/>
      <c r="R834" s="204"/>
    </row>
    <row r="835" spans="1:18" ht="15">
      <c r="A835" s="173"/>
      <c r="B835" s="173" t="s">
        <v>1501</v>
      </c>
      <c r="C835" s="174">
        <v>1575</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3"/>
      <c r="Q835" s="158"/>
      <c r="R835" s="6"/>
    </row>
    <row r="836" spans="1:18" ht="15">
      <c r="A836" s="171"/>
      <c r="B836" s="171" t="s">
        <v>477</v>
      </c>
      <c r="C836" s="172">
        <v>3937</v>
      </c>
      <c r="D836" s="168" t="s">
        <v>479</v>
      </c>
      <c r="E836" s="168" t="s">
        <v>134</v>
      </c>
      <c r="F836" s="168"/>
      <c r="G836" s="169">
        <f>IF(OR(B836="",C836=""),"",IFERROR(IFERROR(INDEX(Vöruskrá!J:J,MATCH(B836,Vöruskrá!B:B,0)),0)*C836/100000,""))</f>
        <v>15.747999999999999</v>
      </c>
      <c r="H836" s="169">
        <f>IF(OR(B836="",C836=""),"",IFERROR(IFERROR(INDEX(Vöruskrá!K:K,MATCH(B836,Vöruskrá!B:B,0)),0)*C836/100000,""))</f>
        <v>0</v>
      </c>
      <c r="I836" s="169">
        <f>IF(OR(B836="",C836=""),"",IFERROR(IFERROR(INDEX(Vöruskrá!L:L,MATCH(B836,Vöruskrá!B:B,0)),0)*C836/100000,""))</f>
        <v>0</v>
      </c>
      <c r="J836" s="169">
        <f>IF(OR(B836="",C836=""),"",IFERROR(IFERROR(INDEX(Vöruskrá!M:M,MATCH(B836,Vöruskrá!B:B,0)),0)*C836/100000,""))</f>
        <v>3.9369999999999998</v>
      </c>
      <c r="K836" s="169">
        <f>IF(OR(B836="",C836=""),"",IFERROR(IFERROR(INDEX(Vöruskrá!N:N,MATCH(B836,Vöruskrá!B:B,0)),0)*C836/100000,""))</f>
        <v>3.9369999999999998</v>
      </c>
      <c r="L836" s="169">
        <f>IF(OR(B836="",C836=""),"",IFERROR(IFERROR(INDEX(Vöruskrá!O:O,MATCH(B836,Vöruskrá!B:B,0)),0)*C836/100000,""))</f>
        <v>0</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1"/>
      <c r="Q836" s="157"/>
      <c r="R836" s="27"/>
    </row>
    <row r="837" spans="1:18" ht="15">
      <c r="A837" s="173"/>
      <c r="B837" s="173" t="s">
        <v>849</v>
      </c>
      <c r="C837" s="174">
        <v>15748</v>
      </c>
      <c r="D837" s="168" t="s">
        <v>850</v>
      </c>
      <c r="E837" s="168" t="s">
        <v>120</v>
      </c>
      <c r="F837" s="168"/>
      <c r="G837" s="169">
        <f>IF(OR(B837="",C837=""),"",IFERROR(IFERROR(INDEX(Vöruskrá!J:J,MATCH(B837,Vöruskrá!B:B,0)),0)*C837/100000,""))</f>
        <v>10.551159999999999</v>
      </c>
      <c r="H837" s="169">
        <f>IF(OR(B837="",C837=""),"",IFERROR(IFERROR(INDEX(Vöruskrá!K:K,MATCH(B837,Vöruskrá!B:B,0)),0)*C837/100000,""))</f>
        <v>0.61417199999999994</v>
      </c>
      <c r="I837" s="169">
        <f>IF(OR(B837="",C837=""),"",IFERROR(IFERROR(INDEX(Vöruskrá!L:L,MATCH(B837,Vöruskrá!B:B,0)),0)*C837/100000,""))</f>
        <v>0.36220399999999991</v>
      </c>
      <c r="J837" s="169">
        <f>IF(OR(B837="",C837=""),"",IFERROR(IFERROR(INDEX(Vöruskrá!M:M,MATCH(B837,Vöruskrá!B:B,0)),0)*C837/100000,""))</f>
        <v>0.74015600000000004</v>
      </c>
      <c r="K837" s="169">
        <f>IF(OR(B837="",C837=""),"",IFERROR(IFERROR(INDEX(Vöruskrá!N:N,MATCH(B837,Vöruskrá!B:B,0)),0)*C837/100000,""))</f>
        <v>0.74015600000000004</v>
      </c>
      <c r="L837" s="169">
        <f>IF(OR(B837="",C837=""),"",IFERROR(IFERROR(INDEX(Vöruskrá!O:O,MATCH(B837,Vöruskrá!B:B,0)),0)*C837/100000,""))</f>
        <v>0.51968399999999992</v>
      </c>
      <c r="M837" s="169">
        <f>IF(OR(B837="",C837=""),"",IFERROR(IFERROR(INDEX(Vöruskrá!P:P,MATCH(B837,Vöruskrá!B:B,0)),0)*C837/100000,""))</f>
        <v>1.5748000000000002E-2</v>
      </c>
      <c r="N837" s="169">
        <f>IF(OR(B837="",C837=""),"",IFERROR(IFERROR(INDEX(Vöruskrá!Q:Q,MATCH(B837,Vöruskrá!B:B,0)),0)*C837/100000,""))</f>
        <v>0</v>
      </c>
      <c r="O837" s="170">
        <f>IF(OR(B837="",C837=""),"",IFERROR(C837/1000*IFERROR(INDEX(Vöruskrá!R:R,MATCH(B837,Vöruskrá!B:B,0)),0)/1000,""))</f>
        <v>0</v>
      </c>
      <c r="P837" s="173"/>
      <c r="Q837" s="200"/>
      <c r="R837" s="159"/>
    </row>
    <row r="838" spans="1:18" ht="60">
      <c r="A838" s="147" t="s">
        <v>1994</v>
      </c>
      <c r="B838" s="147"/>
      <c r="C838" s="148"/>
      <c r="D838" s="165" t="s">
        <v>1995</v>
      </c>
      <c r="E838" s="165" t="s">
        <v>134</v>
      </c>
      <c r="F838" s="165"/>
      <c r="G838" s="166">
        <v>99.59</v>
      </c>
      <c r="H838" s="166">
        <v>0.95</v>
      </c>
      <c r="I838" s="166">
        <v>0.47</v>
      </c>
      <c r="J838" s="166">
        <v>19.940000000000001</v>
      </c>
      <c r="K838" s="166"/>
      <c r="L838" s="166">
        <v>3.07</v>
      </c>
      <c r="M838" s="166">
        <v>21.42</v>
      </c>
      <c r="N838" s="166">
        <f>IFERROR(SUM(N839:N845)/(SUM($C$839:$C$845)/100000),"")</f>
        <v>0.11116233554419919</v>
      </c>
      <c r="O838" s="167" t="str">
        <f>IF(OR(B838="",C838=""),"",IFERROR(C838/1000*IFERROR(INDEX(Vöruskrá!R:R,MATCH(B838,Vöruskrá!B:B,0)),0)/1000,""))</f>
        <v/>
      </c>
      <c r="P838" s="196" t="s">
        <v>1996</v>
      </c>
      <c r="Q838" s="195" t="s">
        <v>1997</v>
      </c>
      <c r="R838" s="194" t="s">
        <v>1998</v>
      </c>
    </row>
    <row r="839" spans="1:18">
      <c r="A839" s="171"/>
      <c r="B839" s="171" t="s">
        <v>1894</v>
      </c>
      <c r="C839" s="172">
        <v>26767</v>
      </c>
      <c r="D839" s="168"/>
      <c r="E839" s="168"/>
      <c r="F839" s="168"/>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97"/>
      <c r="R839" s="164"/>
    </row>
    <row r="840" spans="1:18" ht="15">
      <c r="A840" s="173"/>
      <c r="B840" s="173" t="s">
        <v>743</v>
      </c>
      <c r="C840" s="174">
        <v>10707</v>
      </c>
      <c r="D840" s="168" t="s">
        <v>745</v>
      </c>
      <c r="E840" s="168"/>
      <c r="F840" s="168"/>
      <c r="G840" s="169">
        <f>IF(OR(B840="",C840=""),"",IFERROR(IFERROR(INDEX(Vöruskrá!J:J,MATCH(B840,Vöruskrá!B:B,0)),0)*C840/100000,""))</f>
        <v>2.99796</v>
      </c>
      <c r="H840" s="169">
        <f>IF(OR(B840="",C840=""),"",IFERROR(IFERROR(INDEX(Vöruskrá!K:K,MATCH(B840,Vöruskrá!B:B,0)),0)*C840/100000,""))</f>
        <v>1.0707000000000001E-2</v>
      </c>
      <c r="I840" s="169">
        <f>IF(OR(B840="",C840=""),"",IFERROR(IFERROR(INDEX(Vöruskrá!L:L,MATCH(B840,Vöruskrá!B:B,0)),0)*C840/100000,""))</f>
        <v>0</v>
      </c>
      <c r="J840" s="169">
        <f>IF(OR(B840="",C840=""),"",IFERROR(IFERROR(INDEX(Vöruskrá!M:M,MATCH(B840,Vöruskrá!B:B,0)),0)*C840/100000,""))</f>
        <v>0.53534999999999999</v>
      </c>
      <c r="K840" s="169">
        <f>IF(OR(B840="",C840=""),"",IFERROR(IFERROR(INDEX(Vöruskrá!N:N,MATCH(B840,Vöruskrá!B:B,0)),0)*C840/100000,""))</f>
        <v>0.36403799999999997</v>
      </c>
      <c r="L840" s="169">
        <f>IF(OR(B840="",C840=""),"",IFERROR(IFERROR(INDEX(Vöruskrá!O:O,MATCH(B840,Vöruskrá!B:B,0)),0)*C840/100000,""))</f>
        <v>0.160605</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1017</v>
      </c>
      <c r="C841" s="172">
        <v>535</v>
      </c>
      <c r="D841" s="168" t="s">
        <v>1017</v>
      </c>
      <c r="E841" s="168" t="s">
        <v>134</v>
      </c>
      <c r="F841" s="168"/>
      <c r="G841" s="169">
        <f>IF(OR(B841="",C841=""),"",IFERROR(IFERROR(INDEX(Vöruskrá!J:J,MATCH(B841,Vöruskrá!B:B,0)),0)*C841/100000,""))</f>
        <v>0.79715000000000003</v>
      </c>
      <c r="H841" s="169">
        <f>IF(OR(B841="",C841=""),"",IFERROR(IFERROR(INDEX(Vöruskrá!K:K,MATCH(B841,Vöruskrá!B:B,0)),0)*C841/100000,""))</f>
        <v>2.6749999999999999E-3</v>
      </c>
      <c r="I841" s="169">
        <f>IF(OR(B841="",C841=""),"",IFERROR(IFERROR(INDEX(Vöruskrá!L:L,MATCH(B841,Vöruskrá!B:B,0)),0)*C841/100000,""))</f>
        <v>5.3499999999999999E-4</v>
      </c>
      <c r="J841" s="169">
        <f>IF(OR(B841="",C841=""),"",IFERROR(IFERROR(INDEX(Vöruskrá!M:M,MATCH(B841,Vöruskrá!B:B,0)),0)*C841/100000,""))</f>
        <v>0.17708499999999999</v>
      </c>
      <c r="K841" s="169">
        <f>IF(OR(B841="",C841=""),"",IFERROR(IFERROR(INDEX(Vöruskrá!N:N,MATCH(B841,Vöruskrá!B:B,0)),0)*C841/100000,""))</f>
        <v>5.3499999999999997E-3</v>
      </c>
      <c r="L841" s="169">
        <f>IF(OR(B841="",C841=""),"",IFERROR(IFERROR(INDEX(Vöruskrá!O:O,MATCH(B841,Vöruskrá!B:B,0)),0)*C841/100000,""))</f>
        <v>3.424E-2</v>
      </c>
      <c r="M841" s="169">
        <f>IF(OR(B841="",C841=""),"",IFERROR(IFERROR(INDEX(Vöruskrá!P:P,MATCH(B841,Vöruskrá!B:B,0)),0)*C841/100000,""))</f>
        <v>0</v>
      </c>
      <c r="N841" s="169">
        <f>IF(OR(B841="",C841=""),"",IFERROR(IFERROR(INDEX(Vöruskrá!Q:Q,MATCH(B841,Vöruskrá!B:B,0)),0)*C841/100000,""))</f>
        <v>1.1235E-2</v>
      </c>
      <c r="O841" s="170">
        <f>IF(OR(B841="",C841=""),"",IFERROR(C841/1000*IFERROR(INDEX(Vöruskrá!R:R,MATCH(B841,Vöruskrá!B:B,0)),0)/1000,""))</f>
        <v>0</v>
      </c>
      <c r="P841" s="171"/>
      <c r="Q841" s="158"/>
      <c r="R841" s="6"/>
    </row>
    <row r="842" spans="1:18" ht="15">
      <c r="A842" s="173"/>
      <c r="B842" s="173" t="s">
        <v>330</v>
      </c>
      <c r="C842" s="174">
        <v>42827</v>
      </c>
      <c r="D842" s="168" t="s">
        <v>331</v>
      </c>
      <c r="E842" s="168" t="s">
        <v>134</v>
      </c>
      <c r="F842" s="168"/>
      <c r="G842" s="169">
        <f>IF(OR(B842="",C842=""),"",IFERROR(IFERROR(INDEX(Vöruskrá!J:J,MATCH(B842,Vöruskrá!B:B,0)),0)*C842/100000,""))</f>
        <v>85.653999999999996</v>
      </c>
      <c r="H842" s="169">
        <f>IF(OR(B842="",C842=""),"",IFERROR(IFERROR(INDEX(Vöruskrá!K:K,MATCH(B842,Vöruskrá!B:B,0)),0)*C842/100000,""))</f>
        <v>0.85653999999999997</v>
      </c>
      <c r="I842" s="169">
        <f>IF(OR(B842="",C842=""),"",IFERROR(IFERROR(INDEX(Vöruskrá!L:L,MATCH(B842,Vöruskrá!B:B,0)),0)*C842/100000,""))</f>
        <v>0.42826999999999998</v>
      </c>
      <c r="J842" s="169">
        <f>IF(OR(B842="",C842=""),"",IFERROR(IFERROR(INDEX(Vöruskrá!M:M,MATCH(B842,Vöruskrá!B:B,0)),0)*C842/100000,""))</f>
        <v>17.130800000000001</v>
      </c>
      <c r="K842" s="169">
        <f>IF(OR(B842="",C842=""),"",IFERROR(IFERROR(INDEX(Vöruskrá!N:N,MATCH(B842,Vöruskrá!B:B,0)),0)*C842/100000,""))</f>
        <v>5.13924</v>
      </c>
      <c r="L842" s="169">
        <f>IF(OR(B842="",C842=""),"",IFERROR(IFERROR(INDEX(Vöruskrá!O:O,MATCH(B842,Vöruskrá!B:B,0)),0)*C842/100000,""))</f>
        <v>2.56962</v>
      </c>
      <c r="M842" s="169">
        <f>IF(OR(B842="",C842=""),"",IFERROR(IFERROR(INDEX(Vöruskrá!P:P,MATCH(B842,Vöruskrá!B:B,0)),0)*C842/100000,""))</f>
        <v>19.27215</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1010</v>
      </c>
      <c r="C843" s="172">
        <v>5353</v>
      </c>
      <c r="D843" s="168" t="s">
        <v>1010</v>
      </c>
      <c r="E843" s="168" t="s">
        <v>134</v>
      </c>
      <c r="F843" s="168"/>
      <c r="G843" s="169">
        <f>IF(OR(B843="",C843=""),"",IFERROR(IFERROR(INDEX(Vöruskrá!J:J,MATCH(B843,Vöruskrá!B:B,0)),0)*C843/100000,""))</f>
        <v>2.1412</v>
      </c>
      <c r="H843" s="169">
        <f>IF(OR(B843="",C843=""),"",IFERROR(IFERROR(INDEX(Vöruskrá!K:K,MATCH(B843,Vöruskrá!B:B,0)),0)*C843/100000,""))</f>
        <v>5.353000000000001E-3</v>
      </c>
      <c r="I843" s="169">
        <f>IF(OR(B843="",C843=""),"",IFERROR(IFERROR(INDEX(Vöruskrá!L:L,MATCH(B843,Vöruskrá!B:B,0)),0)*C843/100000,""))</f>
        <v>0</v>
      </c>
      <c r="J843" s="169">
        <f>IF(OR(B843="",C843=""),"",IFERROR(IFERROR(INDEX(Vöruskrá!M:M,MATCH(B843,Vöruskrá!B:B,0)),0)*C843/100000,""))</f>
        <v>0.49782900000000002</v>
      </c>
      <c r="K843" s="169">
        <f>IF(OR(B843="",C843=""),"",IFERROR(IFERROR(INDEX(Vöruskrá!N:N,MATCH(B843,Vöruskrá!B:B,0)),0)*C843/100000,""))</f>
        <v>0.22482600000000003</v>
      </c>
      <c r="L843" s="169">
        <f>IF(OR(B843="",C843=""),"",IFERROR(IFERROR(INDEX(Vöruskrá!O:O,MATCH(B843,Vöruskrá!B:B,0)),0)*C843/100000,""))</f>
        <v>5.8883000000000005E-2</v>
      </c>
      <c r="M843" s="169">
        <f>IF(OR(B843="",C843=""),"",IFERROR(IFERROR(INDEX(Vöruskrá!P:P,MATCH(B843,Vöruskrá!B:B,0)),0)*C843/100000,""))</f>
        <v>0</v>
      </c>
      <c r="N843" s="169">
        <f>IF(OR(B843="",C843=""),"",IFERROR(IFERROR(INDEX(Vöruskrá!Q:Q,MATCH(B843,Vöruskrá!B:B,0)),0)*C843/100000,""))</f>
        <v>9.1000999999999999E-2</v>
      </c>
      <c r="O843" s="170">
        <f>IF(OR(B843="",C843=""),"",IFERROR(C843/1000*IFERROR(INDEX(Vöruskrá!R:R,MATCH(B843,Vöruskrá!B:B,0)),0)/1000,""))</f>
        <v>0</v>
      </c>
      <c r="P843" s="171"/>
      <c r="Q843" s="158"/>
      <c r="R843" s="6"/>
    </row>
    <row r="844" spans="1:18" ht="15">
      <c r="A844" s="173"/>
      <c r="B844" s="173" t="s">
        <v>1480</v>
      </c>
      <c r="C844" s="174">
        <v>5353</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299</v>
      </c>
      <c r="C845" s="172">
        <v>428</v>
      </c>
      <c r="D845" s="168" t="s">
        <v>302</v>
      </c>
      <c r="E845" s="168" t="s">
        <v>134</v>
      </c>
      <c r="F845" s="168" t="s">
        <v>303</v>
      </c>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0.42799999999999999</v>
      </c>
      <c r="N845" s="169">
        <f>IF(OR(B845="",C845=""),"",IFERROR(IFERROR(INDEX(Vöruskrá!Q:Q,MATCH(B845,Vöruskrá!B:B,0)),0)*C845/100000,""))</f>
        <v>0</v>
      </c>
      <c r="O845" s="170">
        <f>IF(OR(B845="",C845=""),"",IFERROR(C845/1000*IFERROR(INDEX(Vöruskrá!R:R,MATCH(B845,Vöruskrá!B:B,0)),0)/1000,""))</f>
        <v>0</v>
      </c>
      <c r="P845" s="171"/>
      <c r="Q845" s="200"/>
      <c r="R845" s="159"/>
    </row>
    <row r="846" spans="1:18" ht="48">
      <c r="A846" s="147" t="s">
        <v>1999</v>
      </c>
      <c r="B846" s="147"/>
      <c r="C846" s="148"/>
      <c r="D846" s="165" t="s">
        <v>2000</v>
      </c>
      <c r="E846" s="165" t="s">
        <v>134</v>
      </c>
      <c r="F846" s="165"/>
      <c r="G846" s="166">
        <v>221.33</v>
      </c>
      <c r="H846" s="166">
        <v>5.17</v>
      </c>
      <c r="I846" s="166">
        <v>2.16</v>
      </c>
      <c r="J846" s="166">
        <v>40.25</v>
      </c>
      <c r="K846" s="166"/>
      <c r="L846" s="166">
        <v>3.5</v>
      </c>
      <c r="M846" s="166">
        <v>7.25</v>
      </c>
      <c r="N846" s="166">
        <f>IFERROR(SUM(N847:N854)/(SUM($C$847:$C$854)/100000),"")</f>
        <v>0.37555899999999998</v>
      </c>
      <c r="O846" s="167" t="str">
        <f>IF(OR(B846="",C846=""),"",IFERROR(C846/1000*IFERROR(INDEX(Vöruskrá!R:R,MATCH(B846,Vöruskrá!B:B,0)),0)/1000,""))</f>
        <v/>
      </c>
      <c r="P846" s="196" t="s">
        <v>2001</v>
      </c>
      <c r="Q846" s="199" t="s">
        <v>2002</v>
      </c>
      <c r="R846" s="198" t="s">
        <v>2003</v>
      </c>
    </row>
    <row r="847" spans="1:18" ht="15">
      <c r="A847" s="171"/>
      <c r="B847" s="171" t="s">
        <v>1480</v>
      </c>
      <c r="C847" s="172">
        <v>23966</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97"/>
      <c r="R847" s="164"/>
    </row>
    <row r="848" spans="1:18" ht="15">
      <c r="A848" s="173"/>
      <c r="B848" s="173" t="s">
        <v>1010</v>
      </c>
      <c r="C848" s="174">
        <v>5992</v>
      </c>
      <c r="D848" s="168" t="s">
        <v>1010</v>
      </c>
      <c r="E848" s="168" t="s">
        <v>134</v>
      </c>
      <c r="F848" s="168"/>
      <c r="G848" s="169">
        <f>IF(OR(B848="",C848=""),"",IFERROR(IFERROR(INDEX(Vöruskrá!J:J,MATCH(B848,Vöruskrá!B:B,0)),0)*C848/100000,""))</f>
        <v>2.3967999999999998</v>
      </c>
      <c r="H848" s="169">
        <f>IF(OR(B848="",C848=""),"",IFERROR(IFERROR(INDEX(Vöruskrá!K:K,MATCH(B848,Vöruskrá!B:B,0)),0)*C848/100000,""))</f>
        <v>5.9920000000000008E-3</v>
      </c>
      <c r="I848" s="169">
        <f>IF(OR(B848="",C848=""),"",IFERROR(IFERROR(INDEX(Vöruskrá!L:L,MATCH(B848,Vöruskrá!B:B,0)),0)*C848/100000,""))</f>
        <v>0</v>
      </c>
      <c r="J848" s="169">
        <f>IF(OR(B848="",C848=""),"",IFERROR(IFERROR(INDEX(Vöruskrá!M:M,MATCH(B848,Vöruskrá!B:B,0)),0)*C848/100000,""))</f>
        <v>0.55725600000000008</v>
      </c>
      <c r="K848" s="169">
        <f>IF(OR(B848="",C848=""),"",IFERROR(IFERROR(INDEX(Vöruskrá!N:N,MATCH(B848,Vöruskrá!B:B,0)),0)*C848/100000,""))</f>
        <v>0.251664</v>
      </c>
      <c r="L848" s="169">
        <f>IF(OR(B848="",C848=""),"",IFERROR(IFERROR(INDEX(Vöruskrá!O:O,MATCH(B848,Vöruskrá!B:B,0)),0)*C848/100000,""))</f>
        <v>6.5912000000000012E-2</v>
      </c>
      <c r="M848" s="169">
        <f>IF(OR(B848="",C848=""),"",IFERROR(IFERROR(INDEX(Vöruskrá!P:P,MATCH(B848,Vöruskrá!B:B,0)),0)*C848/100000,""))</f>
        <v>0</v>
      </c>
      <c r="N848" s="169">
        <f>IF(OR(B848="",C848=""),"",IFERROR(IFERROR(INDEX(Vöruskrá!Q:Q,MATCH(B848,Vöruskrá!B:B,0)),0)*C848/100000,""))</f>
        <v>0.101864</v>
      </c>
      <c r="O848" s="170">
        <f>IF(OR(B848="",C848=""),"",IFERROR(C848/1000*IFERROR(INDEX(Vöruskrá!R:R,MATCH(B848,Vöruskrá!B:B,0)),0)/1000,""))</f>
        <v>0</v>
      </c>
      <c r="P848" s="173"/>
      <c r="Q848" s="157"/>
      <c r="R848" s="27"/>
    </row>
    <row r="849" spans="1:18" ht="15">
      <c r="A849" s="171"/>
      <c r="B849" s="171" t="s">
        <v>1017</v>
      </c>
      <c r="C849" s="172">
        <v>479</v>
      </c>
      <c r="D849" s="168" t="s">
        <v>1017</v>
      </c>
      <c r="E849" s="168" t="s">
        <v>134</v>
      </c>
      <c r="F849" s="168"/>
      <c r="G849" s="169">
        <f>IF(OR(B849="",C849=""),"",IFERROR(IFERROR(INDEX(Vöruskrá!J:J,MATCH(B849,Vöruskrá!B:B,0)),0)*C849/100000,""))</f>
        <v>0.71370999999999996</v>
      </c>
      <c r="H849" s="169">
        <f>IF(OR(B849="",C849=""),"",IFERROR(IFERROR(INDEX(Vöruskrá!K:K,MATCH(B849,Vöruskrá!B:B,0)),0)*C849/100000,""))</f>
        <v>2.395E-3</v>
      </c>
      <c r="I849" s="169">
        <f>IF(OR(B849="",C849=""),"",IFERROR(IFERROR(INDEX(Vöruskrá!L:L,MATCH(B849,Vöruskrá!B:B,0)),0)*C849/100000,""))</f>
        <v>4.7900000000000004E-4</v>
      </c>
      <c r="J849" s="169">
        <f>IF(OR(B849="",C849=""),"",IFERROR(IFERROR(INDEX(Vöruskrá!M:M,MATCH(B849,Vöruskrá!B:B,0)),0)*C849/100000,""))</f>
        <v>0.15854900000000002</v>
      </c>
      <c r="K849" s="169">
        <f>IF(OR(B849="",C849=""),"",IFERROR(IFERROR(INDEX(Vöruskrá!N:N,MATCH(B849,Vöruskrá!B:B,0)),0)*C849/100000,""))</f>
        <v>4.79E-3</v>
      </c>
      <c r="L849" s="169">
        <f>IF(OR(B849="",C849=""),"",IFERROR(IFERROR(INDEX(Vöruskrá!O:O,MATCH(B849,Vöruskrá!B:B,0)),0)*C849/100000,""))</f>
        <v>3.0656000000000003E-2</v>
      </c>
      <c r="M849" s="169">
        <f>IF(OR(B849="",C849=""),"",IFERROR(IFERROR(INDEX(Vöruskrá!P:P,MATCH(B849,Vöruskrá!B:B,0)),0)*C849/100000,""))</f>
        <v>0</v>
      </c>
      <c r="N849" s="169">
        <f>IF(OR(B849="",C849=""),"",IFERROR(IFERROR(INDEX(Vöruskrá!Q:Q,MATCH(B849,Vöruskrá!B:B,0)),0)*C849/100000,""))</f>
        <v>1.0059E-2</v>
      </c>
      <c r="O849" s="170">
        <f>IF(OR(B849="",C849=""),"",IFERROR(C849/1000*IFERROR(INDEX(Vöruskrá!R:R,MATCH(B849,Vöruskrá!B:B,0)),0)/1000,""))</f>
        <v>0</v>
      </c>
      <c r="P849" s="171"/>
      <c r="Q849" s="158"/>
      <c r="R849" s="6"/>
    </row>
    <row r="850" spans="1:18" ht="15">
      <c r="A850" s="173"/>
      <c r="B850" s="173" t="s">
        <v>1502</v>
      </c>
      <c r="C850" s="174">
        <v>5992</v>
      </c>
      <c r="D850" s="168"/>
      <c r="E850" s="168"/>
      <c r="F850" s="168"/>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3"/>
      <c r="Q850" s="157"/>
      <c r="R850" s="27"/>
    </row>
    <row r="851" spans="1:18" ht="15">
      <c r="A851" s="171"/>
      <c r="B851" s="171" t="s">
        <v>789</v>
      </c>
      <c r="C851" s="172">
        <v>59916</v>
      </c>
      <c r="D851" s="168" t="s">
        <v>792</v>
      </c>
      <c r="E851" s="168" t="s">
        <v>134</v>
      </c>
      <c r="F851" s="168"/>
      <c r="G851" s="169">
        <f>IF(OR(B851="",C851=""),"",IFERROR(IFERROR(INDEX(Vöruskrá!J:J,MATCH(B851,Vöruskrá!B:B,0)),0)*C851/100000,""))</f>
        <v>216.29676000000001</v>
      </c>
      <c r="H851" s="169">
        <f>IF(OR(B851="",C851=""),"",IFERROR(IFERROR(INDEX(Vöruskrá!K:K,MATCH(B851,Vöruskrá!B:B,0)),0)*C851/100000,""))</f>
        <v>5.1527759999999994</v>
      </c>
      <c r="I851" s="169">
        <f>IF(OR(B851="",C851=""),"",IFERROR(IFERROR(INDEX(Vöruskrá!L:L,MATCH(B851,Vöruskrá!B:B,0)),0)*C851/100000,""))</f>
        <v>2.1569760000000002</v>
      </c>
      <c r="J851" s="169">
        <f>IF(OR(B851="",C851=""),"",IFERROR(IFERROR(INDEX(Vöruskrá!M:M,MATCH(B851,Vöruskrá!B:B,0)),0)*C851/100000,""))</f>
        <v>39.125147999999996</v>
      </c>
      <c r="K851" s="169">
        <f>IF(OR(B851="",C851=""),"",IFERROR(IFERROR(INDEX(Vöruskrá!N:N,MATCH(B851,Vöruskrá!B:B,0)),0)*C851/100000,""))</f>
        <v>2.3966400000000001</v>
      </c>
      <c r="L851" s="169">
        <f>IF(OR(B851="",C851=""),"",IFERROR(IFERROR(INDEX(Vöruskrá!O:O,MATCH(B851,Vöruskrá!B:B,0)),0)*C851/100000,""))</f>
        <v>3.3552959999999996</v>
      </c>
      <c r="M851" s="169">
        <f>IF(OR(B851="",C851=""),"",IFERROR(IFERROR(INDEX(Vöruskrá!P:P,MATCH(B851,Vöruskrá!B:B,0)),0)*C851/100000,""))</f>
        <v>6.7705080000000004</v>
      </c>
      <c r="N851" s="169">
        <f>IF(OR(B851="",C851=""),"",IFERROR(IFERROR(INDEX(Vöruskrá!Q:Q,MATCH(B851,Vöruskrá!B:B,0)),0)*C851/100000,""))</f>
        <v>0.17974799999999999</v>
      </c>
      <c r="O851" s="170">
        <f>IF(OR(B851="",C851=""),"",IFERROR(C851/1000*IFERROR(INDEX(Vöruskrá!R:R,MATCH(B851,Vöruskrá!B:B,0)),0)/1000,""))</f>
        <v>0</v>
      </c>
      <c r="P851" s="171"/>
      <c r="Q851" s="158"/>
      <c r="R851" s="6"/>
    </row>
    <row r="852" spans="1:18" ht="15">
      <c r="A852" s="173"/>
      <c r="B852" s="173" t="s">
        <v>1006</v>
      </c>
      <c r="C852" s="174">
        <v>2996</v>
      </c>
      <c r="D852" s="168" t="s">
        <v>1006</v>
      </c>
      <c r="E852" s="168" t="s">
        <v>134</v>
      </c>
      <c r="F852" s="168"/>
      <c r="G852" s="169">
        <f>IF(OR(B852="",C852=""),"",IFERROR(IFERROR(INDEX(Vöruskrá!J:J,MATCH(B852,Vöruskrá!B:B,0)),0)*C852/100000,""))</f>
        <v>1.2283599999999999</v>
      </c>
      <c r="H852" s="169">
        <f>IF(OR(B852="",C852=""),"",IFERROR(IFERROR(INDEX(Vöruskrá!K:K,MATCH(B852,Vöruskrá!B:B,0)),0)*C852/100000,""))</f>
        <v>5.9920000000000008E-3</v>
      </c>
      <c r="I852" s="169">
        <f>IF(OR(B852="",C852=""),"",IFERROR(IFERROR(INDEX(Vöruskrá!L:L,MATCH(B852,Vöruskrá!B:B,0)),0)*C852/100000,""))</f>
        <v>0</v>
      </c>
      <c r="J852" s="169">
        <f>IF(OR(B852="",C852=""),"",IFERROR(IFERROR(INDEX(Vöruskrá!M:M,MATCH(B852,Vöruskrá!B:B,0)),0)*C852/100000,""))</f>
        <v>0.28761599999999998</v>
      </c>
      <c r="K852" s="169">
        <f>IF(OR(B852="",C852=""),"",IFERROR(IFERROR(INDEX(Vöruskrá!N:N,MATCH(B852,Vöruskrá!B:B,0)),0)*C852/100000,""))</f>
        <v>0.14081200000000002</v>
      </c>
      <c r="L852" s="169">
        <f>IF(OR(B852="",C852=""),"",IFERROR(IFERROR(INDEX(Vöruskrá!O:O,MATCH(B852,Vöruskrá!B:B,0)),0)*C852/100000,""))</f>
        <v>2.6964000000000002E-2</v>
      </c>
      <c r="M852" s="169">
        <f>IF(OR(B852="",C852=""),"",IFERROR(IFERROR(INDEX(Vöruskrá!P:P,MATCH(B852,Vöruskrá!B:B,0)),0)*C852/100000,""))</f>
        <v>2.9960000000000004E-3</v>
      </c>
      <c r="N852" s="169">
        <f>IF(OR(B852="",C852=""),"",IFERROR(IFERROR(INDEX(Vöruskrá!Q:Q,MATCH(B852,Vöruskrá!B:B,0)),0)*C852/100000,""))</f>
        <v>8.388799999999999E-2</v>
      </c>
      <c r="O852" s="170">
        <f>IF(OR(B852="",C852=""),"",IFERROR(C852/1000*IFERROR(INDEX(Vöruskrá!R:R,MATCH(B852,Vöruskrá!B:B,0)),0)/1000,""))</f>
        <v>0</v>
      </c>
      <c r="P852" s="173"/>
      <c r="Q852" s="157"/>
      <c r="R852" s="27"/>
    </row>
    <row r="853" spans="1:18" ht="15">
      <c r="A853" s="171"/>
      <c r="B853" s="171" t="s">
        <v>299</v>
      </c>
      <c r="C853" s="172">
        <v>479</v>
      </c>
      <c r="D853" s="168" t="s">
        <v>302</v>
      </c>
      <c r="E853" s="168" t="s">
        <v>134</v>
      </c>
      <c r="F853" s="168" t="s">
        <v>303</v>
      </c>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0.47899999999999998</v>
      </c>
      <c r="N853" s="169">
        <f>IF(OR(B853="",C853=""),"",IFERROR(IFERROR(INDEX(Vöruskrá!Q:Q,MATCH(B853,Vöruskrá!B:B,0)),0)*C853/100000,""))</f>
        <v>0</v>
      </c>
      <c r="O853" s="170">
        <f>IF(OR(B853="",C853=""),"",IFERROR(C853/1000*IFERROR(INDEX(Vöruskrá!R:R,MATCH(B853,Vöruskrá!B:B,0)),0)/1000,""))</f>
        <v>0</v>
      </c>
      <c r="P853" s="171"/>
      <c r="Q853" s="158"/>
      <c r="R853" s="6"/>
    </row>
    <row r="854" spans="1:18" ht="15">
      <c r="A854" s="173"/>
      <c r="B854" s="173" t="s">
        <v>819</v>
      </c>
      <c r="C854" s="174">
        <v>180</v>
      </c>
      <c r="D854" s="168" t="s">
        <v>820</v>
      </c>
      <c r="E854" s="168"/>
      <c r="F854" s="168" t="s">
        <v>311</v>
      </c>
      <c r="G854" s="169">
        <f>IF(OR(B854="",C854=""),"",IFERROR(IFERROR(INDEX(Vöruskrá!J:J,MATCH(B854,Vöruskrá!B:B,0)),0)*C854/100000,""))</f>
        <v>0.69479999999999997</v>
      </c>
      <c r="H854" s="169">
        <f>IF(OR(B854="",C854=""),"",IFERROR(IFERROR(INDEX(Vöruskrá!K:K,MATCH(B854,Vöruskrá!B:B,0)),0)*C854/100000,""))</f>
        <v>5.94E-3</v>
      </c>
      <c r="I854" s="169">
        <f>IF(OR(B854="",C854=""),"",IFERROR(IFERROR(INDEX(Vöruskrá!L:L,MATCH(B854,Vöruskrá!B:B,0)),0)*C854/100000,""))</f>
        <v>1.8E-3</v>
      </c>
      <c r="J854" s="169">
        <f>IF(OR(B854="",C854=""),"",IFERROR(IFERROR(INDEX(Vöruskrá!M:M,MATCH(B854,Vöruskrá!B:B,0)),0)*C854/100000,""))</f>
        <v>0.11700000000000001</v>
      </c>
      <c r="K854" s="169">
        <f>IF(OR(B854="",C854=""),"",IFERROR(IFERROR(INDEX(Vöruskrá!N:N,MATCH(B854,Vöruskrá!B:B,0)),0)*C854/100000,""))</f>
        <v>1.08E-3</v>
      </c>
      <c r="L854" s="169">
        <f>IF(OR(B854="",C854=""),"",IFERROR(IFERROR(INDEX(Vöruskrá!O:O,MATCH(B854,Vöruskrá!B:B,0)),0)*C854/100000,""))</f>
        <v>1.9800000000000002E-2</v>
      </c>
      <c r="M854" s="169">
        <f>IF(OR(B854="",C854=""),"",IFERROR(IFERROR(INDEX(Vöruskrá!P:P,MATCH(B854,Vöruskrá!B:B,0)),0)*C854/100000,""))</f>
        <v>1.8000000000000001E-4</v>
      </c>
      <c r="N854" s="169">
        <f>IF(OR(B854="",C854=""),"",IFERROR(IFERROR(INDEX(Vöruskrá!Q:Q,MATCH(B854,Vöruskrá!B:B,0)),0)*C854/100000,""))</f>
        <v>0</v>
      </c>
      <c r="O854" s="170">
        <f>IF(OR(B854="",C854=""),"",IFERROR(C854/1000*IFERROR(INDEX(Vöruskrá!R:R,MATCH(B854,Vöruskrá!B:B,0)),0)/1000,""))</f>
        <v>0</v>
      </c>
      <c r="P854" s="173"/>
      <c r="Q854" s="201"/>
      <c r="R854" s="202"/>
    </row>
    <row r="855" spans="1:18" ht="60">
      <c r="A855" s="147" t="s">
        <v>2004</v>
      </c>
      <c r="B855" s="147"/>
      <c r="C855" s="148"/>
      <c r="D855" s="165" t="s">
        <v>2005</v>
      </c>
      <c r="E855" s="165" t="s">
        <v>1798</v>
      </c>
      <c r="F855" s="165"/>
      <c r="G855" s="166">
        <v>541.66</v>
      </c>
      <c r="H855" s="166">
        <v>3.44</v>
      </c>
      <c r="I855" s="166">
        <v>1.62</v>
      </c>
      <c r="J855" s="166">
        <v>18.809999999999999</v>
      </c>
      <c r="K855" s="166"/>
      <c r="L855" s="166">
        <v>12.14</v>
      </c>
      <c r="M855" s="166">
        <v>17.760000000000002</v>
      </c>
      <c r="N855" s="166">
        <f>IFERROR(SUM(N856:N863)/(SUM($C$856:$C$863)/100000),"")</f>
        <v>0.47298154036919265</v>
      </c>
      <c r="O855" s="167" t="str">
        <f>IF(OR(B855="",C855=""),"",IFERROR(C855/1000*IFERROR(INDEX(Vöruskrá!R:R,MATCH(B855,Vöruskrá!B:B,0)),0)/1000,""))</f>
        <v/>
      </c>
      <c r="P855" s="196" t="s">
        <v>2006</v>
      </c>
      <c r="Q855" s="195" t="s">
        <v>2007</v>
      </c>
      <c r="R855" s="194" t="s">
        <v>2008</v>
      </c>
    </row>
    <row r="856" spans="1:18" ht="15">
      <c r="A856" s="171"/>
      <c r="B856" s="171" t="s">
        <v>1485</v>
      </c>
      <c r="C856" s="172">
        <v>24570</v>
      </c>
      <c r="D856" s="168"/>
      <c r="E856" s="168"/>
      <c r="F856" s="168"/>
      <c r="G856" s="169">
        <f>IF(OR(B856="",C856=""),"",IFERROR(IFERROR(INDEX(Vöruskrá!J:J,MATCH(B856,Vöruskrá!B:B,0)),0)*C856/100000,""))</f>
        <v>0</v>
      </c>
      <c r="H856" s="169">
        <f>IF(OR(B856="",C856=""),"",IFERROR(IFERROR(INDEX(Vöruskrá!K:K,MATCH(B856,Vöruskrá!B:B,0)),0)*C856/100000,""))</f>
        <v>0</v>
      </c>
      <c r="I856" s="169">
        <f>IF(OR(B856="",C856=""),"",IFERROR(IFERROR(INDEX(Vöruskrá!L:L,MATCH(B856,Vöruskrá!B:B,0)),0)*C856/100000,""))</f>
        <v>0</v>
      </c>
      <c r="J856" s="169">
        <f>IF(OR(B856="",C856=""),"",IFERROR(IFERROR(INDEX(Vöruskrá!M:M,MATCH(B856,Vöruskrá!B:B,0)),0)*C856/100000,""))</f>
        <v>0</v>
      </c>
      <c r="K856" s="169">
        <f>IF(OR(B856="",C856=""),"",IFERROR(IFERROR(INDEX(Vöruskrá!N:N,MATCH(B856,Vöruskrá!B:B,0)),0)*C856/100000,""))</f>
        <v>0</v>
      </c>
      <c r="L856" s="169">
        <f>IF(OR(B856="",C856=""),"",IFERROR(IFERROR(INDEX(Vöruskrá!O:O,MATCH(B856,Vöruskrá!B:B,0)),0)*C856/100000,""))</f>
        <v>0</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1"/>
      <c r="Q856" s="203"/>
      <c r="R856" s="204"/>
    </row>
    <row r="857" spans="1:18" ht="15">
      <c r="A857" s="173"/>
      <c r="B857" s="173" t="s">
        <v>1285</v>
      </c>
      <c r="C857" s="174">
        <v>49140</v>
      </c>
      <c r="D857" s="168" t="s">
        <v>1287</v>
      </c>
      <c r="E857" s="168"/>
      <c r="F857" s="168"/>
      <c r="G857" s="169">
        <f>IF(OR(B857="",C857=""),"",IFERROR(IFERROR(INDEX(Vöruskrá!J:J,MATCH(B857,Vöruskrá!B:B,0)),0)*C857/100000,""))</f>
        <v>508.59899999999999</v>
      </c>
      <c r="H857" s="169">
        <f>IF(OR(B857="",C857=""),"",IFERROR(IFERROR(INDEX(Vöruskrá!K:K,MATCH(B857,Vöruskrá!B:B,0)),0)*C857/100000,""))</f>
        <v>1.1302199999999998</v>
      </c>
      <c r="I857" s="169">
        <f>IF(OR(B857="",C857=""),"",IFERROR(IFERROR(INDEX(Vöruskrá!L:L,MATCH(B857,Vöruskrá!B:B,0)),0)*C857/100000,""))</f>
        <v>0.2457</v>
      </c>
      <c r="J857" s="169">
        <f>IF(OR(B857="",C857=""),"",IFERROR(IFERROR(INDEX(Vöruskrá!M:M,MATCH(B857,Vöruskrá!B:B,0)),0)*C857/100000,""))</f>
        <v>16.216200000000001</v>
      </c>
      <c r="K857" s="169">
        <f>IF(OR(B857="",C857=""),"",IFERROR(IFERROR(INDEX(Vöruskrá!N:N,MATCH(B857,Vöruskrá!B:B,0)),0)*C857/100000,""))</f>
        <v>13.41522</v>
      </c>
      <c r="L857" s="169">
        <f>IF(OR(B857="",C857=""),"",IFERROR(IFERROR(INDEX(Vöruskrá!O:O,MATCH(B857,Vöruskrá!B:B,0)),0)*C857/100000,""))</f>
        <v>11.5479</v>
      </c>
      <c r="M857" s="169">
        <f>IF(OR(B857="",C857=""),"",IFERROR(IFERROR(INDEX(Vöruskrá!P:P,MATCH(B857,Vöruskrá!B:B,0)),0)*C857/100000,""))</f>
        <v>16.707599999999999</v>
      </c>
      <c r="N857" s="169">
        <f>IF(OR(B857="",C857=""),"",IFERROR(IFERROR(INDEX(Vöruskrá!Q:Q,MATCH(B857,Vöruskrá!B:B,0)),0)*C857/100000,""))</f>
        <v>0.2457</v>
      </c>
      <c r="O857" s="170">
        <f>IF(OR(B857="",C857=""),"",IFERROR(C857/1000*IFERROR(INDEX(Vöruskrá!R:R,MATCH(B857,Vöruskrá!B:B,0)),0)/1000,""))</f>
        <v>0</v>
      </c>
      <c r="P857" s="173"/>
      <c r="Q857" s="158"/>
      <c r="R857" s="6"/>
    </row>
    <row r="858" spans="1:18" ht="15">
      <c r="A858" s="171"/>
      <c r="B858" s="171" t="s">
        <v>489</v>
      </c>
      <c r="C858" s="172">
        <v>1229</v>
      </c>
      <c r="D858" s="168" t="s">
        <v>490</v>
      </c>
      <c r="E858" s="168" t="s">
        <v>134</v>
      </c>
      <c r="F858" s="168" t="s">
        <v>311</v>
      </c>
      <c r="G858" s="169">
        <f>IF(OR(B858="",C858=""),"",IFERROR(IFERROR(INDEX(Vöruskrá!J:J,MATCH(B858,Vöruskrá!B:B,0)),0)*C858/100000,""))</f>
        <v>2.72838</v>
      </c>
      <c r="H858" s="169">
        <f>IF(OR(B858="",C858=""),"",IFERROR(IFERROR(INDEX(Vöruskrá!K:K,MATCH(B858,Vöruskrá!B:B,0)),0)*C858/100000,""))</f>
        <v>7.374E-2</v>
      </c>
      <c r="I858" s="169">
        <f>IF(OR(B858="",C858=""),"",IFERROR(IFERROR(INDEX(Vöruskrá!L:L,MATCH(B858,Vöruskrá!B:B,0)),0)*C858/100000,""))</f>
        <v>1.1061000000000001E-2</v>
      </c>
      <c r="J858" s="169">
        <f>IF(OR(B858="",C858=""),"",IFERROR(IFERROR(INDEX(Vöruskrá!M:M,MATCH(B858,Vöruskrá!B:B,0)),0)*C858/100000,""))</f>
        <v>0.36870000000000003</v>
      </c>
      <c r="K858" s="169">
        <f>IF(OR(B858="",C858=""),"",IFERROR(IFERROR(INDEX(Vöruskrá!N:N,MATCH(B858,Vöruskrá!B:B,0)),0)*C858/100000,""))</f>
        <v>5.6533999999999994E-2</v>
      </c>
      <c r="L858" s="169">
        <f>IF(OR(B858="",C858=""),"",IFERROR(IFERROR(INDEX(Vöruskrá!O:O,MATCH(B858,Vöruskrá!B:B,0)),0)*C858/100000,""))</f>
        <v>8.7259000000000003E-2</v>
      </c>
      <c r="M858" s="169">
        <f>IF(OR(B858="",C858=""),"",IFERROR(IFERROR(INDEX(Vöruskrá!P:P,MATCH(B858,Vöruskrá!B:B,0)),0)*C858/100000,""))</f>
        <v>0.55305000000000004</v>
      </c>
      <c r="N858" s="169">
        <f>IF(OR(B858="",C858=""),"",IFERROR(IFERROR(INDEX(Vöruskrá!Q:Q,MATCH(B858,Vöruskrá!B:B,0)),0)*C858/100000,""))</f>
        <v>0</v>
      </c>
      <c r="O858" s="170">
        <f>IF(OR(B858="",C858=""),"",IFERROR(C858/1000*IFERROR(INDEX(Vöruskrá!R:R,MATCH(B858,Vöruskrá!B:B,0)),0)/1000,""))</f>
        <v>0</v>
      </c>
      <c r="P858" s="171"/>
      <c r="Q858" s="157"/>
      <c r="R858" s="27"/>
    </row>
    <row r="859" spans="1:18" ht="15">
      <c r="A859" s="173"/>
      <c r="B859" s="173" t="s">
        <v>1058</v>
      </c>
      <c r="C859" s="174">
        <v>6143</v>
      </c>
      <c r="D859" s="168" t="s">
        <v>1059</v>
      </c>
      <c r="E859" s="168" t="s">
        <v>120</v>
      </c>
      <c r="F859" s="168"/>
      <c r="G859" s="169">
        <f>IF(OR(B859="",C859=""),"",IFERROR(IFERROR(INDEX(Vöruskrá!J:J,MATCH(B859,Vöruskrá!B:B,0)),0)*C859/100000,""))</f>
        <v>20.886199999999999</v>
      </c>
      <c r="H859" s="169">
        <f>IF(OR(B859="",C859=""),"",IFERROR(IFERROR(INDEX(Vöruskrá!K:K,MATCH(B859,Vöruskrá!B:B,0)),0)*C859/100000,""))</f>
        <v>2.1500499999999998</v>
      </c>
      <c r="I859" s="169">
        <f>IF(OR(B859="",C859=""),"",IFERROR(IFERROR(INDEX(Vöruskrá!L:L,MATCH(B859,Vöruskrá!B:B,0)),0)*C859/100000,""))</f>
        <v>1.3514600000000001</v>
      </c>
      <c r="J859" s="169">
        <f>IF(OR(B859="",C859=""),"",IFERROR(IFERROR(INDEX(Vöruskrá!M:M,MATCH(B859,Vöruskrá!B:B,0)),0)*C859/100000,""))</f>
        <v>0.18429000000000001</v>
      </c>
      <c r="K859" s="169">
        <f>IF(OR(B859="",C859=""),"",IFERROR(IFERROR(INDEX(Vöruskrá!N:N,MATCH(B859,Vöruskrá!B:B,0)),0)*C859/100000,""))</f>
        <v>0.18429000000000001</v>
      </c>
      <c r="L859" s="169">
        <f>IF(OR(B859="",C859=""),"",IFERROR(IFERROR(INDEX(Vöruskrá!O:O,MATCH(B859,Vöruskrá!B:B,0)),0)*C859/100000,""))</f>
        <v>0.15357499999999999</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158"/>
      <c r="R859" s="6"/>
    </row>
    <row r="860" spans="1:18" ht="15">
      <c r="A860" s="171"/>
      <c r="B860" s="171" t="s">
        <v>1097</v>
      </c>
      <c r="C860" s="172">
        <v>6143</v>
      </c>
      <c r="D860" s="168" t="s">
        <v>1098</v>
      </c>
      <c r="E860" s="168" t="s">
        <v>1099</v>
      </c>
      <c r="F860" s="168" t="s">
        <v>1100</v>
      </c>
      <c r="G860" s="169">
        <f>IF(OR(B860="",C860=""),"",IFERROR(IFERROR(INDEX(Vöruskrá!J:J,MATCH(B860,Vöruskrá!B:B,0)),0)*C860/100000,""))</f>
        <v>5.2829800000000002</v>
      </c>
      <c r="H860" s="169">
        <f>IF(OR(B860="",C860=""),"",IFERROR(IFERROR(INDEX(Vöruskrá!K:K,MATCH(B860,Vöruskrá!B:B,0)),0)*C860/100000,""))</f>
        <v>7.371599999999999E-2</v>
      </c>
      <c r="I860" s="169">
        <f>IF(OR(B860="",C860=""),"",IFERROR(IFERROR(INDEX(Vöruskrá!L:L,MATCH(B860,Vöruskrá!B:B,0)),0)*C860/100000,""))</f>
        <v>1.2286000000000002E-2</v>
      </c>
      <c r="J860" s="169">
        <f>IF(OR(B860="",C860=""),"",IFERROR(IFERROR(INDEX(Vöruskrá!M:M,MATCH(B860,Vöruskrá!B:B,0)),0)*C860/100000,""))</f>
        <v>1.16717</v>
      </c>
      <c r="K860" s="169">
        <f>IF(OR(B860="",C860=""),"",IFERROR(IFERROR(INDEX(Vöruskrá!N:N,MATCH(B860,Vöruskrá!B:B,0)),0)*C860/100000,""))</f>
        <v>0.19657600000000003</v>
      </c>
      <c r="L860" s="169">
        <f>IF(OR(B860="",C860=""),"",IFERROR(IFERROR(INDEX(Vöruskrá!O:O,MATCH(B860,Vöruskrá!B:B,0)),0)*C860/100000,""))</f>
        <v>0.19657600000000003</v>
      </c>
      <c r="M860" s="169">
        <f>IF(OR(B860="",C860=""),"",IFERROR(IFERROR(INDEX(Vöruskrá!P:P,MATCH(B860,Vöruskrá!B:B,0)),0)*C860/100000,""))</f>
        <v>6.1430000000000009E-3</v>
      </c>
      <c r="N860" s="169">
        <f>IF(OR(B860="",C860=""),"",IFERROR(IFERROR(INDEX(Vöruskrá!Q:Q,MATCH(B860,Vöruskrá!B:B,0)),0)*C860/100000,""))</f>
        <v>0.12286</v>
      </c>
      <c r="O860" s="170">
        <f>IF(OR(B860="",C860=""),"",IFERROR(C860/1000*IFERROR(INDEX(Vöruskrá!R:R,MATCH(B860,Vöruskrá!B:B,0)),0)/1000,""))</f>
        <v>0</v>
      </c>
      <c r="P860" s="171"/>
      <c r="Q860" s="157"/>
      <c r="R860" s="27"/>
    </row>
    <row r="861" spans="1:18" ht="15">
      <c r="A861" s="173"/>
      <c r="B861" s="173" t="s">
        <v>1010</v>
      </c>
      <c r="C861" s="174">
        <v>6143</v>
      </c>
      <c r="D861" s="168" t="s">
        <v>1010</v>
      </c>
      <c r="E861" s="168" t="s">
        <v>134</v>
      </c>
      <c r="F861" s="168"/>
      <c r="G861" s="169">
        <f>IF(OR(B861="",C861=""),"",IFERROR(IFERROR(INDEX(Vöruskrá!J:J,MATCH(B861,Vöruskrá!B:B,0)),0)*C861/100000,""))</f>
        <v>2.4571999999999998</v>
      </c>
      <c r="H861" s="169">
        <f>IF(OR(B861="",C861=""),"",IFERROR(IFERROR(INDEX(Vöruskrá!K:K,MATCH(B861,Vöruskrá!B:B,0)),0)*C861/100000,""))</f>
        <v>6.1430000000000009E-3</v>
      </c>
      <c r="I861" s="169">
        <f>IF(OR(B861="",C861=""),"",IFERROR(IFERROR(INDEX(Vöruskrá!L:L,MATCH(B861,Vöruskrá!B:B,0)),0)*C861/100000,""))</f>
        <v>0</v>
      </c>
      <c r="J861" s="169">
        <f>IF(OR(B861="",C861=""),"",IFERROR(IFERROR(INDEX(Vöruskrá!M:M,MATCH(B861,Vöruskrá!B:B,0)),0)*C861/100000,""))</f>
        <v>0.571299</v>
      </c>
      <c r="K861" s="169">
        <f>IF(OR(B861="",C861=""),"",IFERROR(IFERROR(INDEX(Vöruskrá!N:N,MATCH(B861,Vöruskrá!B:B,0)),0)*C861/100000,""))</f>
        <v>0.25800600000000001</v>
      </c>
      <c r="L861" s="169">
        <f>IF(OR(B861="",C861=""),"",IFERROR(IFERROR(INDEX(Vöruskrá!O:O,MATCH(B861,Vöruskrá!B:B,0)),0)*C861/100000,""))</f>
        <v>6.7573000000000008E-2</v>
      </c>
      <c r="M861" s="169">
        <f>IF(OR(B861="",C861=""),"",IFERROR(IFERROR(INDEX(Vöruskrá!P:P,MATCH(B861,Vöruskrá!B:B,0)),0)*C861/100000,""))</f>
        <v>0</v>
      </c>
      <c r="N861" s="169">
        <f>IF(OR(B861="",C861=""),"",IFERROR(IFERROR(INDEX(Vöruskrá!Q:Q,MATCH(B861,Vöruskrá!B:B,0)),0)*C861/100000,""))</f>
        <v>0.10443100000000001</v>
      </c>
      <c r="O861" s="170">
        <f>IF(OR(B861="",C861=""),"",IFERROR(C861/1000*IFERROR(INDEX(Vöruskrá!R:R,MATCH(B861,Vöruskrá!B:B,0)),0)/1000,""))</f>
        <v>0</v>
      </c>
      <c r="P861" s="173"/>
      <c r="Q861" s="158"/>
      <c r="R861" s="6"/>
    </row>
    <row r="862" spans="1:18" ht="15">
      <c r="A862" s="171"/>
      <c r="B862" s="171" t="s">
        <v>743</v>
      </c>
      <c r="C862" s="172">
        <v>6143</v>
      </c>
      <c r="D862" s="168" t="s">
        <v>745</v>
      </c>
      <c r="E862" s="168"/>
      <c r="F862" s="168"/>
      <c r="G862" s="169">
        <f>IF(OR(B862="",C862=""),"",IFERROR(IFERROR(INDEX(Vöruskrá!J:J,MATCH(B862,Vöruskrá!B:B,0)),0)*C862/100000,""))</f>
        <v>1.72004</v>
      </c>
      <c r="H862" s="169">
        <f>IF(OR(B862="",C862=""),"",IFERROR(IFERROR(INDEX(Vöruskrá!K:K,MATCH(B862,Vöruskrá!B:B,0)),0)*C862/100000,""))</f>
        <v>6.1430000000000009E-3</v>
      </c>
      <c r="I862" s="169">
        <f>IF(OR(B862="",C862=""),"",IFERROR(IFERROR(INDEX(Vöruskrá!L:L,MATCH(B862,Vöruskrá!B:B,0)),0)*C862/100000,""))</f>
        <v>0</v>
      </c>
      <c r="J862" s="169">
        <f>IF(OR(B862="",C862=""),"",IFERROR(IFERROR(INDEX(Vöruskrá!M:M,MATCH(B862,Vöruskrá!B:B,0)),0)*C862/100000,""))</f>
        <v>0.30714999999999998</v>
      </c>
      <c r="K862" s="169">
        <f>IF(OR(B862="",C862=""),"",IFERROR(IFERROR(INDEX(Vöruskrá!N:N,MATCH(B862,Vöruskrá!B:B,0)),0)*C862/100000,""))</f>
        <v>0.20886200000000002</v>
      </c>
      <c r="L862" s="169">
        <f>IF(OR(B862="",C862=""),"",IFERROR(IFERROR(INDEX(Vöruskrá!O:O,MATCH(B862,Vöruskrá!B:B,0)),0)*C862/100000,""))</f>
        <v>9.2145000000000005E-2</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1"/>
      <c r="Q862" s="157"/>
      <c r="R862" s="27"/>
    </row>
    <row r="863" spans="1:18" ht="15">
      <c r="A863" s="173"/>
      <c r="B863" s="173" t="s">
        <v>299</v>
      </c>
      <c r="C863" s="174">
        <v>491</v>
      </c>
      <c r="D863" s="168" t="s">
        <v>302</v>
      </c>
      <c r="E863" s="168" t="s">
        <v>134</v>
      </c>
      <c r="F863" s="168" t="s">
        <v>303</v>
      </c>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0.49099999999999999</v>
      </c>
      <c r="N863" s="169">
        <f>IF(OR(B863="",C863=""),"",IFERROR(IFERROR(INDEX(Vöruskrá!Q:Q,MATCH(B863,Vöruskrá!B:B,0)),0)*C863/100000,""))</f>
        <v>0</v>
      </c>
      <c r="O863" s="170">
        <f>IF(OR(B863="",C863=""),"",IFERROR(C863/1000*IFERROR(INDEX(Vöruskrá!R:R,MATCH(B863,Vöruskrá!B:B,0)),0)/1000,""))</f>
        <v>0</v>
      </c>
      <c r="P863" s="173"/>
      <c r="Q863" s="200"/>
      <c r="R863" s="159"/>
    </row>
    <row r="864" spans="1:18" ht="72">
      <c r="A864" s="147" t="s">
        <v>2009</v>
      </c>
      <c r="B864" s="147"/>
      <c r="C864" s="148"/>
      <c r="D864" s="165" t="s">
        <v>2010</v>
      </c>
      <c r="E864" s="165" t="s">
        <v>577</v>
      </c>
      <c r="F864" s="165"/>
      <c r="G864" s="166">
        <v>47.85</v>
      </c>
      <c r="H864" s="166">
        <v>1.93</v>
      </c>
      <c r="I864" s="166">
        <v>0.73</v>
      </c>
      <c r="J864" s="166">
        <v>6.24</v>
      </c>
      <c r="K864" s="166"/>
      <c r="L864" s="166">
        <v>1.21</v>
      </c>
      <c r="M864" s="166">
        <v>2.4</v>
      </c>
      <c r="N864" s="166">
        <f>IFERROR(SUM(N865:N882)/(SUM($C$865:$C$882)/100000),"")</f>
        <v>0.40865000000000001</v>
      </c>
      <c r="O864" s="167" t="str">
        <f>IF(OR(B864="",C864=""),"",IFERROR(C864/1000*IFERROR(INDEX(Vöruskrá!R:R,MATCH(B864,Vöruskrá!B:B,0)),0)/1000,""))</f>
        <v/>
      </c>
      <c r="P864" s="196" t="s">
        <v>2011</v>
      </c>
      <c r="Q864" s="199" t="s">
        <v>2012</v>
      </c>
      <c r="R864" s="198" t="s">
        <v>2013</v>
      </c>
    </row>
    <row r="865" spans="1:18" ht="15">
      <c r="A865" s="171"/>
      <c r="B865" s="171" t="s">
        <v>784</v>
      </c>
      <c r="C865" s="172">
        <v>5500</v>
      </c>
      <c r="D865" s="168" t="s">
        <v>786</v>
      </c>
      <c r="E865" s="168"/>
      <c r="F865" s="168"/>
      <c r="G865" s="169">
        <f>IF(OR(B865="",C865=""),"",IFERROR(IFERROR(INDEX(Vöruskrá!J:J,MATCH(B865,Vöruskrá!B:B,0)),0)*C865/100000,""))</f>
        <v>26.29</v>
      </c>
      <c r="H865" s="169">
        <f>IF(OR(B865="",C865=""),"",IFERROR(IFERROR(INDEX(Vöruskrá!K:K,MATCH(B865,Vöruskrá!B:B,0)),0)*C865/100000,""))</f>
        <v>1.617</v>
      </c>
      <c r="I865" s="169">
        <f>IF(OR(B865="",C865=""),"",IFERROR(IFERROR(INDEX(Vöruskrá!L:L,MATCH(B865,Vöruskrá!B:B,0)),0)*C865/100000,""))</f>
        <v>0.69850000000000001</v>
      </c>
      <c r="J865" s="169">
        <f>IF(OR(B865="",C865=""),"",IFERROR(IFERROR(INDEX(Vöruskrá!M:M,MATCH(B865,Vöruskrá!B:B,0)),0)*C865/100000,""))</f>
        <v>2.585</v>
      </c>
      <c r="K865" s="169">
        <f>IF(OR(B865="",C865=""),"",IFERROR(IFERROR(INDEX(Vöruskrá!N:N,MATCH(B865,Vöruskrá!B:B,0)),0)*C865/100000,""))</f>
        <v>1.0669999999999999</v>
      </c>
      <c r="L865" s="169">
        <f>IF(OR(B865="",C865=""),"",IFERROR(IFERROR(INDEX(Vöruskrá!O:O,MATCH(B865,Vöruskrá!B:B,0)),0)*C865/100000,""))</f>
        <v>0.26400000000000001</v>
      </c>
      <c r="M865" s="169">
        <f>IF(OR(B865="",C865=""),"",IFERROR(IFERROR(INDEX(Vöruskrá!P:P,MATCH(B865,Vöruskrá!B:B,0)),0)*C865/100000,""))</f>
        <v>0.51700000000000002</v>
      </c>
      <c r="N865" s="169">
        <f>IF(OR(B865="",C865=""),"",IFERROR(IFERROR(INDEX(Vöruskrá!Q:Q,MATCH(B865,Vöruskrá!B:B,0)),0)*C865/100000,""))</f>
        <v>0.18149999999999999</v>
      </c>
      <c r="O865" s="170">
        <f>IF(OR(B865="",C865=""),"",IFERROR(C865/1000*IFERROR(INDEX(Vöruskrá!R:R,MATCH(B865,Vöruskrá!B:B,0)),0)/1000,""))</f>
        <v>0</v>
      </c>
      <c r="P865" s="171"/>
      <c r="Q865" s="197"/>
      <c r="R865" s="164"/>
    </row>
    <row r="866" spans="1:18" ht="15">
      <c r="A866" s="173"/>
      <c r="B866" s="173" t="s">
        <v>743</v>
      </c>
      <c r="C866" s="174">
        <v>6000</v>
      </c>
      <c r="D866" s="168" t="s">
        <v>745</v>
      </c>
      <c r="E866" s="168"/>
      <c r="F866" s="168"/>
      <c r="G866" s="169">
        <f>IF(OR(B866="",C866=""),"",IFERROR(IFERROR(INDEX(Vöruskrá!J:J,MATCH(B866,Vöruskrá!B:B,0)),0)*C866/100000,""))</f>
        <v>1.68</v>
      </c>
      <c r="H866" s="169">
        <f>IF(OR(B866="",C866=""),"",IFERROR(IFERROR(INDEX(Vöruskrá!K:K,MATCH(B866,Vöruskrá!B:B,0)),0)*C866/100000,""))</f>
        <v>6.0000000000000001E-3</v>
      </c>
      <c r="I866" s="169">
        <f>IF(OR(B866="",C866=""),"",IFERROR(IFERROR(INDEX(Vöruskrá!L:L,MATCH(B866,Vöruskrá!B:B,0)),0)*C866/100000,""))</f>
        <v>0</v>
      </c>
      <c r="J866" s="169">
        <f>IF(OR(B866="",C866=""),"",IFERROR(IFERROR(INDEX(Vöruskrá!M:M,MATCH(B866,Vöruskrá!B:B,0)),0)*C866/100000,""))</f>
        <v>0.3</v>
      </c>
      <c r="K866" s="169">
        <f>IF(OR(B866="",C866=""),"",IFERROR(IFERROR(INDEX(Vöruskrá!N:N,MATCH(B866,Vöruskrá!B:B,0)),0)*C866/100000,""))</f>
        <v>0.20399999999999999</v>
      </c>
      <c r="L866" s="169">
        <f>IF(OR(B866="",C866=""),"",IFERROR(IFERROR(INDEX(Vöruskrá!O:O,MATCH(B866,Vöruskrá!B:B,0)),0)*C866/100000,""))</f>
        <v>0.09</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420</v>
      </c>
      <c r="C867" s="172">
        <v>3000</v>
      </c>
      <c r="D867" s="168" t="s">
        <v>421</v>
      </c>
      <c r="E867" s="168" t="s">
        <v>134</v>
      </c>
      <c r="F867" s="168"/>
      <c r="G867" s="169">
        <f>IF(OR(B867="",C867=""),"",IFERROR(IFERROR(INDEX(Vöruskrá!J:J,MATCH(B867,Vöruskrá!B:B,0)),0)*C867/100000,""))</f>
        <v>0.99</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0.16500000000000001</v>
      </c>
      <c r="K867" s="169">
        <f>IF(OR(B867="",C867=""),"",IFERROR(IFERROR(INDEX(Vöruskrá!N:N,MATCH(B867,Vöruskrá!B:B,0)),0)*C867/100000,""))</f>
        <v>0.14399999999999999</v>
      </c>
      <c r="L867" s="169">
        <f>IF(OR(B867="",C867=""),"",IFERROR(IFERROR(INDEX(Vöruskrá!O:O,MATCH(B867,Vöruskrá!B:B,0)),0)*C867/100000,""))</f>
        <v>4.8000000000000001E-2</v>
      </c>
      <c r="M867" s="169">
        <f>IF(OR(B867="",C867=""),"",IFERROR(IFERROR(INDEX(Vöruskrá!P:P,MATCH(B867,Vöruskrá!B:B,0)),0)*C867/100000,""))</f>
        <v>0.03</v>
      </c>
      <c r="N867" s="169">
        <f>IF(OR(B867="",C867=""),"",IFERROR(IFERROR(INDEX(Vöruskrá!Q:Q,MATCH(B867,Vöruskrá!B:B,0)),0)*C867/100000,""))</f>
        <v>5.7000000000000002E-2</v>
      </c>
      <c r="O867" s="170">
        <f>IF(OR(B867="",C867=""),"",IFERROR(C867/1000*IFERROR(INDEX(Vöruskrá!R:R,MATCH(B867,Vöruskrá!B:B,0)),0)/1000,""))</f>
        <v>0</v>
      </c>
      <c r="P867" s="171"/>
      <c r="Q867" s="158"/>
      <c r="R867" s="6"/>
    </row>
    <row r="868" spans="1:18" ht="15">
      <c r="A868" s="173"/>
      <c r="B868" s="173" t="s">
        <v>739</v>
      </c>
      <c r="C868" s="174">
        <v>2500</v>
      </c>
      <c r="D868" s="168" t="s">
        <v>741</v>
      </c>
      <c r="E868" s="168"/>
      <c r="F868" s="168"/>
      <c r="G868" s="169">
        <f>IF(OR(B868="",C868=""),"",IFERROR(IFERROR(INDEX(Vöruskrá!J:J,MATCH(B868,Vöruskrá!B:B,0)),0)*C868/100000,""))</f>
        <v>0.7</v>
      </c>
      <c r="H868" s="169">
        <f>IF(OR(B868="",C868=""),"",IFERROR(IFERROR(INDEX(Vöruskrá!K:K,MATCH(B868,Vöruskrá!B:B,0)),0)*C868/100000,""))</f>
        <v>0.01</v>
      </c>
      <c r="I868" s="169">
        <f>IF(OR(B868="",C868=""),"",IFERROR(IFERROR(INDEX(Vöruskrá!L:L,MATCH(B868,Vöruskrá!B:B,0)),0)*C868/100000,""))</f>
        <v>2.5000000000000001E-3</v>
      </c>
      <c r="J868" s="169">
        <f>IF(OR(B868="",C868=""),"",IFERROR(IFERROR(INDEX(Vöruskrá!M:M,MATCH(B868,Vöruskrá!B:B,0)),0)*C868/100000,""))</f>
        <v>0.1125</v>
      </c>
      <c r="K868" s="169">
        <f>IF(OR(B868="",C868=""),"",IFERROR(IFERROR(INDEX(Vöruskrá!N:N,MATCH(B868,Vöruskrá!B:B,0)),0)*C868/100000,""))</f>
        <v>0.1075</v>
      </c>
      <c r="L868" s="169">
        <f>IF(OR(B868="",C868=""),"",IFERROR(IFERROR(INDEX(Vöruskrá!O:O,MATCH(B868,Vöruskrá!B:B,0)),0)*C868/100000,""))</f>
        <v>2.2499999999999999E-2</v>
      </c>
      <c r="M868" s="169">
        <f>IF(OR(B868="",C868=""),"",IFERROR(IFERROR(INDEX(Vöruskrá!P:P,MATCH(B868,Vöruskrá!B:B,0)),0)*C868/100000,""))</f>
        <v>0</v>
      </c>
      <c r="N868" s="169">
        <f>IF(OR(B868="",C868=""),"",IFERROR(IFERROR(INDEX(Vöruskrá!Q:Q,MATCH(B868,Vöruskrá!B:B,0)),0)*C868/100000,""))</f>
        <v>0.04</v>
      </c>
      <c r="O868" s="170">
        <f>IF(OR(B868="",C868=""),"",IFERROR(C868/1000*IFERROR(INDEX(Vöruskrá!R:R,MATCH(B868,Vöruskrá!B:B,0)),0)/1000,""))</f>
        <v>0</v>
      </c>
      <c r="P868" s="173"/>
      <c r="Q868" s="157"/>
      <c r="R868" s="27"/>
    </row>
    <row r="869" spans="1:18" ht="15">
      <c r="A869" s="171"/>
      <c r="B869" s="171" t="s">
        <v>564</v>
      </c>
      <c r="C869" s="172">
        <v>2000</v>
      </c>
      <c r="D869" s="168" t="s">
        <v>565</v>
      </c>
      <c r="E869" s="168" t="s">
        <v>134</v>
      </c>
      <c r="F869" s="168"/>
      <c r="G869" s="169">
        <f>IF(OR(B869="",C869=""),"",IFERROR(IFERROR(INDEX(Vöruskrá!J:J,MATCH(B869,Vöruskrá!B:B,0)),0)*C869/100000,""))</f>
        <v>2.2799999999999998</v>
      </c>
      <c r="H869" s="169">
        <f>IF(OR(B869="",C869=""),"",IFERROR(IFERROR(INDEX(Vöruskrá!K:K,MATCH(B869,Vöruskrá!B:B,0)),0)*C869/100000,""))</f>
        <v>0.17199999999999999</v>
      </c>
      <c r="I869" s="169">
        <f>IF(OR(B869="",C869=""),"",IFERROR(IFERROR(INDEX(Vöruskrá!L:L,MATCH(B869,Vöruskrá!B:B,0)),0)*C869/100000,""))</f>
        <v>2.1999999999999999E-2</v>
      </c>
      <c r="J869" s="169">
        <f>IF(OR(B869="",C869=""),"",IFERROR(IFERROR(INDEX(Vöruskrá!M:M,MATCH(B869,Vöruskrá!B:B,0)),0)*C869/100000,""))</f>
        <v>0.13800000000000001</v>
      </c>
      <c r="K869" s="169">
        <f>IF(OR(B869="",C869=""),"",IFERROR(IFERROR(INDEX(Vöruskrá!N:N,MATCH(B869,Vöruskrá!B:B,0)),0)*C869/100000,""))</f>
        <v>7.8E-2</v>
      </c>
      <c r="L869" s="169">
        <f>IF(OR(B869="",C869=""),"",IFERROR(IFERROR(INDEX(Vöruskrá!O:O,MATCH(B869,Vöruskrá!B:B,0)),0)*C869/100000,""))</f>
        <v>2.4E-2</v>
      </c>
      <c r="M869" s="169">
        <f>IF(OR(B869="",C869=""),"",IFERROR(IFERROR(INDEX(Vöruskrá!P:P,MATCH(B869,Vöruskrá!B:B,0)),0)*C869/100000,""))</f>
        <v>0</v>
      </c>
      <c r="N869" s="169">
        <f>IF(OR(B869="",C869=""),"",IFERROR(IFERROR(INDEX(Vöruskrá!Q:Q,MATCH(B869,Vöruskrá!B:B,0)),0)*C869/100000,""))</f>
        <v>3.7999999999999999E-2</v>
      </c>
      <c r="O869" s="170">
        <f>IF(OR(B869="",C869=""),"",IFERROR(C869/1000*IFERROR(INDEX(Vöruskrá!R:R,MATCH(B869,Vöruskrá!B:B,0)),0)/1000,""))</f>
        <v>0</v>
      </c>
      <c r="P869" s="171"/>
      <c r="Q869" s="158"/>
      <c r="R869" s="6"/>
    </row>
    <row r="870" spans="1:18" ht="15">
      <c r="A870" s="173"/>
      <c r="B870" s="173" t="s">
        <v>558</v>
      </c>
      <c r="C870" s="174">
        <v>1250</v>
      </c>
      <c r="D870" s="168" t="s">
        <v>560</v>
      </c>
      <c r="E870" s="168" t="s">
        <v>134</v>
      </c>
      <c r="F870" s="168"/>
      <c r="G870" s="169">
        <f>IF(OR(B870="",C870=""),"",IFERROR(IFERROR(INDEX(Vöruskrá!J:J,MATCH(B870,Vöruskrá!B:B,0)),0)*C870/100000,""))</f>
        <v>0.21249999999999999</v>
      </c>
      <c r="H870" s="169">
        <f>IF(OR(B870="",C870=""),"",IFERROR(IFERROR(INDEX(Vöruskrá!K:K,MATCH(B870,Vöruskrá!B:B,0)),0)*C870/100000,""))</f>
        <v>2.5000000000000001E-3</v>
      </c>
      <c r="I870" s="169">
        <f>IF(OR(B870="",C870=""),"",IFERROR(IFERROR(INDEX(Vöruskrá!L:L,MATCH(B870,Vöruskrá!B:B,0)),0)*C870/100000,""))</f>
        <v>0</v>
      </c>
      <c r="J870" s="169">
        <f>IF(OR(B870="",C870=""),"",IFERROR(IFERROR(INDEX(Vöruskrá!M:M,MATCH(B870,Vöruskrá!B:B,0)),0)*C870/100000,""))</f>
        <v>2.2499999999999999E-2</v>
      </c>
      <c r="K870" s="169">
        <f>IF(OR(B870="",C870=""),"",IFERROR(IFERROR(INDEX(Vöruskrá!N:N,MATCH(B870,Vöruskrá!B:B,0)),0)*C870/100000,""))</f>
        <v>2.1250000000000002E-2</v>
      </c>
      <c r="L870" s="169">
        <f>IF(OR(B870="",C870=""),"",IFERROR(IFERROR(INDEX(Vöruskrá!O:O,MATCH(B870,Vöruskrá!B:B,0)),0)*C870/100000,""))</f>
        <v>1.125E-2</v>
      </c>
      <c r="M870" s="169">
        <f>IF(OR(B870="",C870=""),"",IFERROR(IFERROR(INDEX(Vöruskrá!P:P,MATCH(B870,Vöruskrá!B:B,0)),0)*C870/100000,""))</f>
        <v>6.2500000000000003E-3</v>
      </c>
      <c r="N870" s="169">
        <f>IF(OR(B870="",C870=""),"",IFERROR(IFERROR(INDEX(Vöruskrá!Q:Q,MATCH(B870,Vöruskrá!B:B,0)),0)*C870/100000,""))</f>
        <v>2.8750000000000001E-2</v>
      </c>
      <c r="O870" s="170">
        <f>IF(OR(B870="",C870=""),"",IFERROR(C870/1000*IFERROR(INDEX(Vöruskrá!R:R,MATCH(B870,Vöruskrá!B:B,0)),0)/1000,""))</f>
        <v>0</v>
      </c>
      <c r="P870" s="173"/>
      <c r="Q870" s="157"/>
      <c r="R870" s="27"/>
    </row>
    <row r="871" spans="1:18" ht="15">
      <c r="A871" s="171"/>
      <c r="B871" s="171" t="s">
        <v>795</v>
      </c>
      <c r="C871" s="172">
        <v>5000</v>
      </c>
      <c r="D871" s="168" t="s">
        <v>797</v>
      </c>
      <c r="E871" s="168"/>
      <c r="F871" s="168"/>
      <c r="G871" s="169">
        <f>IF(OR(B871="",C871=""),"",IFERROR(IFERROR(INDEX(Vöruskrá!J:J,MATCH(B871,Vöruskrá!B:B,0)),0)*C871/100000,""))</f>
        <v>13.9</v>
      </c>
      <c r="H871" s="169">
        <f>IF(OR(B871="",C871=""),"",IFERROR(IFERROR(INDEX(Vöruskrá!K:K,MATCH(B871,Vöruskrá!B:B,0)),0)*C871/100000,""))</f>
        <v>6.5000000000000002E-2</v>
      </c>
      <c r="I871" s="169">
        <f>IF(OR(B871="",C871=""),"",IFERROR(IFERROR(INDEX(Vöruskrá!L:L,MATCH(B871,Vöruskrá!B:B,0)),0)*C871/100000,""))</f>
        <v>5.0000000000000001E-3</v>
      </c>
      <c r="J871" s="169">
        <f>IF(OR(B871="",C871=""),"",IFERROR(IFERROR(INDEX(Vöruskrá!M:M,MATCH(B871,Vöruskrá!B:B,0)),0)*C871/100000,""))</f>
        <v>2.63</v>
      </c>
      <c r="K871" s="169">
        <f>IF(OR(B871="",C871=""),"",IFERROR(IFERROR(INDEX(Vöruskrá!N:N,MATCH(B871,Vöruskrá!B:B,0)),0)*C871/100000,""))</f>
        <v>1.825</v>
      </c>
      <c r="L871" s="169">
        <f>IF(OR(B871="",C871=""),"",IFERROR(IFERROR(INDEX(Vöruskrá!O:O,MATCH(B871,Vöruskrá!B:B,0)),0)*C871/100000,""))</f>
        <v>0.69</v>
      </c>
      <c r="M871" s="169">
        <f>IF(OR(B871="",C871=""),"",IFERROR(IFERROR(INDEX(Vöruskrá!P:P,MATCH(B871,Vöruskrá!B:B,0)),0)*C871/100000,""))</f>
        <v>1.35</v>
      </c>
      <c r="N871" s="169">
        <f>IF(OR(B871="",C871=""),"",IFERROR(IFERROR(INDEX(Vöruskrá!Q:Q,MATCH(B871,Vöruskrá!B:B,0)),0)*C871/100000,""))</f>
        <v>0.02</v>
      </c>
      <c r="O871" s="170">
        <f>IF(OR(B871="",C871=""),"",IFERROR(C871/1000*IFERROR(INDEX(Vöruskrá!R:R,MATCH(B871,Vöruskrá!B:B,0)),0)/1000,""))</f>
        <v>0</v>
      </c>
      <c r="P871" s="171"/>
      <c r="Q871" s="158"/>
      <c r="R871" s="6"/>
    </row>
    <row r="872" spans="1:18" ht="15">
      <c r="A872" s="173"/>
      <c r="B872" s="173" t="s">
        <v>574</v>
      </c>
      <c r="C872" s="174">
        <v>400</v>
      </c>
      <c r="D872" s="168" t="s">
        <v>576</v>
      </c>
      <c r="E872" s="168" t="s">
        <v>577</v>
      </c>
      <c r="F872" s="168"/>
      <c r="G872" s="169">
        <f>IF(OR(B872="",C872=""),"",IFERROR(IFERROR(INDEX(Vöruskrá!J:J,MATCH(B872,Vöruskrá!B:B,0)),0)*C872/100000,""))</f>
        <v>0.61199999999999999</v>
      </c>
      <c r="H872" s="169">
        <f>IF(OR(B872="",C872=""),"",IFERROR(IFERROR(INDEX(Vöruskrá!K:K,MATCH(B872,Vöruskrá!B:B,0)),0)*C872/100000,""))</f>
        <v>1.6799999999999999E-2</v>
      </c>
      <c r="I872" s="169">
        <f>IF(OR(B872="",C872=""),"",IFERROR(IFERROR(INDEX(Vöruskrá!L:L,MATCH(B872,Vöruskrá!B:B,0)),0)*C872/100000,""))</f>
        <v>0</v>
      </c>
      <c r="J872" s="169">
        <f>IF(OR(B872="",C872=""),"",IFERROR(IFERROR(INDEX(Vöruskrá!M:M,MATCH(B872,Vöruskrá!B:B,0)),0)*C872/100000,""))</f>
        <v>9.3600000000000003E-2</v>
      </c>
      <c r="K872" s="169">
        <f>IF(OR(B872="",C872=""),"",IFERROR(IFERROR(INDEX(Vöruskrá!N:N,MATCH(B872,Vöruskrá!B:B,0)),0)*C872/100000,""))</f>
        <v>0</v>
      </c>
      <c r="L872" s="169">
        <f>IF(OR(B872="",C872=""),"",IFERROR(IFERROR(INDEX(Vöruskrá!O:O,MATCH(B872,Vöruskrá!B:B,0)),0)*C872/100000,""))</f>
        <v>2.0399999999999998E-2</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157"/>
      <c r="R872" s="27"/>
    </row>
    <row r="873" spans="1:18" ht="15">
      <c r="A873" s="171"/>
      <c r="B873" s="171" t="s">
        <v>299</v>
      </c>
      <c r="C873" s="172">
        <v>500</v>
      </c>
      <c r="D873" s="168" t="s">
        <v>302</v>
      </c>
      <c r="E873" s="168" t="s">
        <v>134</v>
      </c>
      <c r="F873" s="168" t="s">
        <v>303</v>
      </c>
      <c r="G873" s="169">
        <f>IF(OR(B873="",C873=""),"",IFERROR(IFERROR(INDEX(Vöruskrá!J:J,MATCH(B873,Vöruskrá!B:B,0)),0)*C873/100000,""))</f>
        <v>0</v>
      </c>
      <c r="H873" s="169">
        <f>IF(OR(B873="",C873=""),"",IFERROR(IFERROR(INDEX(Vöruskrá!K:K,MATCH(B873,Vöruskrá!B:B,0)),0)*C873/100000,""))</f>
        <v>0</v>
      </c>
      <c r="I873" s="169">
        <f>IF(OR(B873="",C873=""),"",IFERROR(IFERROR(INDEX(Vöruskrá!L:L,MATCH(B873,Vöruskrá!B:B,0)),0)*C873/100000,""))</f>
        <v>0</v>
      </c>
      <c r="J873" s="169">
        <f>IF(OR(B873="",C873=""),"",IFERROR(IFERROR(INDEX(Vöruskrá!M:M,MATCH(B873,Vöruskrá!B:B,0)),0)*C873/100000,""))</f>
        <v>0</v>
      </c>
      <c r="K873" s="169">
        <f>IF(OR(B873="",C873=""),"",IFERROR(IFERROR(INDEX(Vöruskrá!N:N,MATCH(B873,Vöruskrá!B:B,0)),0)*C873/100000,""))</f>
        <v>0</v>
      </c>
      <c r="L873" s="169">
        <f>IF(OR(B873="",C873=""),"",IFERROR(IFERROR(INDEX(Vöruskrá!O:O,MATCH(B873,Vöruskrá!B:B,0)),0)*C873/100000,""))</f>
        <v>0</v>
      </c>
      <c r="M873" s="169">
        <f>IF(OR(B873="",C873=""),"",IFERROR(IFERROR(INDEX(Vöruskrá!P:P,MATCH(B873,Vöruskrá!B:B,0)),0)*C873/100000,""))</f>
        <v>0.5</v>
      </c>
      <c r="N873" s="169">
        <f>IF(OR(B873="",C873=""),"",IFERROR(IFERROR(INDEX(Vöruskrá!Q:Q,MATCH(B873,Vöruskrá!B:B,0)),0)*C873/100000,""))</f>
        <v>0</v>
      </c>
      <c r="O873" s="170">
        <f>IF(OR(B873="",C873=""),"",IFERROR(C873/1000*IFERROR(INDEX(Vöruskrá!R:R,MATCH(B873,Vöruskrá!B:B,0)),0)/1000,""))</f>
        <v>0</v>
      </c>
      <c r="P873" s="171"/>
      <c r="Q873" s="158"/>
      <c r="R873" s="6"/>
    </row>
    <row r="874" spans="1:18" ht="15">
      <c r="A874" s="173"/>
      <c r="B874" s="173" t="s">
        <v>1062</v>
      </c>
      <c r="C874" s="174">
        <v>80</v>
      </c>
      <c r="D874" s="168" t="s">
        <v>1063</v>
      </c>
      <c r="E874" s="168" t="s">
        <v>134</v>
      </c>
      <c r="F874" s="168" t="s">
        <v>1024</v>
      </c>
      <c r="G874" s="169">
        <f>IF(OR(B874="",C874=""),"",IFERROR(IFERROR(INDEX(Vöruskrá!J:J,MATCH(B874,Vöruskrá!B:B,0)),0)*C874/100000,""))</f>
        <v>0.3</v>
      </c>
      <c r="H874" s="169">
        <f>IF(OR(B874="",C874=""),"",IFERROR(IFERROR(INDEX(Vöruskrá!K:K,MATCH(B874,Vöruskrá!B:B,0)),0)*C874/100000,""))</f>
        <v>1.7840000000000002E-2</v>
      </c>
      <c r="I874" s="169">
        <f>IF(OR(B874="",C874=""),"",IFERROR(IFERROR(INDEX(Vöruskrá!L:L,MATCH(B874,Vöruskrá!B:B,0)),0)*C874/100000,""))</f>
        <v>1.0399999999999999E-3</v>
      </c>
      <c r="J874" s="169">
        <f>IF(OR(B874="",C874=""),"",IFERROR(IFERROR(INDEX(Vöruskrá!M:M,MATCH(B874,Vöruskrá!B:B,0)),0)*C874/100000,""))</f>
        <v>3.5360000000000003E-2</v>
      </c>
      <c r="K874" s="169">
        <f>IF(OR(B874="",C874=""),"",IFERROR(IFERROR(INDEX(Vöruskrá!N:N,MATCH(B874,Vöruskrá!B:B,0)),0)*C874/100000,""))</f>
        <v>1.8400000000000001E-3</v>
      </c>
      <c r="L874" s="169">
        <f>IF(OR(B874="",C874=""),"",IFERROR(IFERROR(INDEX(Vöruskrá!O:O,MATCH(B874,Vöruskrá!B:B,0)),0)*C874/100000,""))</f>
        <v>1.4239999999999999E-2</v>
      </c>
      <c r="M874" s="169">
        <f>IF(OR(B874="",C874=""),"",IFERROR(IFERROR(INDEX(Vöruskrá!P:P,MATCH(B874,Vöruskrá!B:B,0)),0)*C874/100000,""))</f>
        <v>1.6000000000000001E-4</v>
      </c>
      <c r="N874" s="169">
        <f>IF(OR(B874="",C874=""),"",IFERROR(IFERROR(INDEX(Vöruskrá!Q:Q,MATCH(B874,Vöruskrá!B:B,0)),0)*C874/100000,""))</f>
        <v>8.3999999999999995E-3</v>
      </c>
      <c r="O874" s="170">
        <f>IF(OR(B874="",C874=""),"",IFERROR(C874/1000*IFERROR(INDEX(Vöruskrá!R:R,MATCH(B874,Vöruskrá!B:B,0)),0)/1000,""))</f>
        <v>0</v>
      </c>
      <c r="P874" s="173"/>
      <c r="Q874" s="157"/>
      <c r="R874" s="27"/>
    </row>
    <row r="875" spans="1:18" ht="15">
      <c r="A875" s="171"/>
      <c r="B875" s="171" t="s">
        <v>819</v>
      </c>
      <c r="C875" s="172">
        <v>50</v>
      </c>
      <c r="D875" s="168" t="s">
        <v>820</v>
      </c>
      <c r="E875" s="168"/>
      <c r="F875" s="168" t="s">
        <v>311</v>
      </c>
      <c r="G875" s="169">
        <f>IF(OR(B875="",C875=""),"",IFERROR(IFERROR(INDEX(Vöruskrá!J:J,MATCH(B875,Vöruskrá!B:B,0)),0)*C875/100000,""))</f>
        <v>0.193</v>
      </c>
      <c r="H875" s="169">
        <f>IF(OR(B875="",C875=""),"",IFERROR(IFERROR(INDEX(Vöruskrá!K:K,MATCH(B875,Vöruskrá!B:B,0)),0)*C875/100000,""))</f>
        <v>1.65E-3</v>
      </c>
      <c r="I875" s="169">
        <f>IF(OR(B875="",C875=""),"",IFERROR(IFERROR(INDEX(Vöruskrá!L:L,MATCH(B875,Vöruskrá!B:B,0)),0)*C875/100000,""))</f>
        <v>5.0000000000000001E-4</v>
      </c>
      <c r="J875" s="169">
        <f>IF(OR(B875="",C875=""),"",IFERROR(IFERROR(INDEX(Vöruskrá!M:M,MATCH(B875,Vöruskrá!B:B,0)),0)*C875/100000,""))</f>
        <v>3.2500000000000001E-2</v>
      </c>
      <c r="K875" s="169">
        <f>IF(OR(B875="",C875=""),"",IFERROR(IFERROR(INDEX(Vöruskrá!N:N,MATCH(B875,Vöruskrá!B:B,0)),0)*C875/100000,""))</f>
        <v>2.9999999999999997E-4</v>
      </c>
      <c r="L875" s="169">
        <f>IF(OR(B875="",C875=""),"",IFERROR(IFERROR(INDEX(Vöruskrá!O:O,MATCH(B875,Vöruskrá!B:B,0)),0)*C875/100000,""))</f>
        <v>5.4999999999999997E-3</v>
      </c>
      <c r="M875" s="169">
        <f>IF(OR(B875="",C875=""),"",IFERROR(IFERROR(INDEX(Vöruskrá!P:P,MATCH(B875,Vöruskrá!B:B,0)),0)*C875/100000,""))</f>
        <v>5.0000000000000002E-5</v>
      </c>
      <c r="N875" s="169">
        <f>IF(OR(B875="",C875=""),"",IFERROR(IFERROR(INDEX(Vöruskrá!Q:Q,MATCH(B875,Vöruskrá!B:B,0)),0)*C875/100000,""))</f>
        <v>0</v>
      </c>
      <c r="O875" s="170">
        <f>IF(OR(B875="",C875=""),"",IFERROR(C875/1000*IFERROR(INDEX(Vöruskrá!R:R,MATCH(B875,Vöruskrá!B:B,0)),0)/1000,""))</f>
        <v>0</v>
      </c>
      <c r="P875" s="171"/>
      <c r="Q875" s="158"/>
      <c r="R875" s="6"/>
    </row>
    <row r="876" spans="1:18" ht="15">
      <c r="A876" s="173"/>
      <c r="B876" s="173" t="s">
        <v>1026</v>
      </c>
      <c r="C876" s="174">
        <v>60</v>
      </c>
      <c r="D876" s="168" t="s">
        <v>1027</v>
      </c>
      <c r="E876" s="168" t="s">
        <v>134</v>
      </c>
      <c r="F876" s="168" t="s">
        <v>1024</v>
      </c>
      <c r="G876" s="169">
        <f>IF(OR(B876="",C876=""),"",IFERROR(IFERROR(INDEX(Vöruskrá!J:J,MATCH(B876,Vöruskrá!B:B,0)),0)*C876/100000,""))</f>
        <v>0.16919999999999999</v>
      </c>
      <c r="H876" s="169">
        <f>IF(OR(B876="",C876=""),"",IFERROR(IFERROR(INDEX(Vöruskrá!K:K,MATCH(B876,Vöruskrá!B:B,0)),0)*C876/100000,""))</f>
        <v>7.7999999999999996E-3</v>
      </c>
      <c r="I876" s="169">
        <f>IF(OR(B876="",C876=""),"",IFERROR(IFERROR(INDEX(Vöruskrá!L:L,MATCH(B876,Vöruskrá!B:B,0)),0)*C876/100000,""))</f>
        <v>1.1999999999999999E-3</v>
      </c>
      <c r="J876" s="169">
        <f>IF(OR(B876="",C876=""),"",IFERROR(IFERROR(INDEX(Vöruskrá!M:M,MATCH(B876,Vöruskrá!B:B,0)),0)*C876/100000,""))</f>
        <v>3.2399999999999998E-2</v>
      </c>
      <c r="K876" s="169">
        <f>IF(OR(B876="",C876=""),"",IFERROR(IFERROR(INDEX(Vöruskrá!N:N,MATCH(B876,Vöruskrá!B:B,0)),0)*C876/100000,""))</f>
        <v>6.0000000000000001E-3</v>
      </c>
      <c r="L876" s="169">
        <f>IF(OR(B876="",C876=""),"",IFERROR(IFERROR(INDEX(Vöruskrá!O:O,MATCH(B876,Vöruskrá!B:B,0)),0)*C876/100000,""))</f>
        <v>8.3999999999999995E-3</v>
      </c>
      <c r="M876" s="169">
        <f>IF(OR(B876="",C876=""),"",IFERROR(IFERROR(INDEX(Vöruskrá!P:P,MATCH(B876,Vöruskrá!B:B,0)),0)*C876/100000,""))</f>
        <v>6.0000000000000002E-5</v>
      </c>
      <c r="N876" s="169">
        <f>IF(OR(B876="",C876=""),"",IFERROR(IFERROR(INDEX(Vöruskrá!Q:Q,MATCH(B876,Vöruskrá!B:B,0)),0)*C876/100000,""))</f>
        <v>2.1000000000000001E-2</v>
      </c>
      <c r="O876" s="170">
        <f>IF(OR(B876="",C876=""),"",IFERROR(C876/1000*IFERROR(INDEX(Vöruskrá!R:R,MATCH(B876,Vöruskrá!B:B,0)),0)/1000,""))</f>
        <v>0</v>
      </c>
      <c r="P876" s="173"/>
      <c r="Q876" s="157"/>
      <c r="R876" s="27"/>
    </row>
    <row r="877" spans="1:18" ht="15">
      <c r="A877" s="171"/>
      <c r="B877" s="171" t="s">
        <v>1148</v>
      </c>
      <c r="C877" s="172">
        <v>40</v>
      </c>
      <c r="D877" s="168" t="s">
        <v>1149</v>
      </c>
      <c r="E877" s="168" t="s">
        <v>134</v>
      </c>
      <c r="F877" s="168" t="s">
        <v>311</v>
      </c>
      <c r="G877" s="169">
        <f>IF(OR(B877="",C877=""),"",IFERROR(IFERROR(INDEX(Vöruskrá!J:J,MATCH(B877,Vöruskrá!B:B,0)),0)*C877/100000,""))</f>
        <v>0.1128</v>
      </c>
      <c r="H877" s="169">
        <f>IF(OR(B877="",C877=""),"",IFERROR(IFERROR(INDEX(Vöruskrá!K:K,MATCH(B877,Vöruskrá!B:B,0)),0)*C877/100000,""))</f>
        <v>4.7999999999999996E-3</v>
      </c>
      <c r="I877" s="169">
        <f>IF(OR(B877="",C877=""),"",IFERROR(IFERROR(INDEX(Vöruskrá!L:L,MATCH(B877,Vöruskrá!B:B,0)),0)*C877/100000,""))</f>
        <v>8.0000000000000004E-4</v>
      </c>
      <c r="J877" s="169">
        <f>IF(OR(B877="",C877=""),"",IFERROR(IFERROR(INDEX(Vöruskrá!M:M,MATCH(B877,Vöruskrá!B:B,0)),0)*C877/100000,""))</f>
        <v>0.02</v>
      </c>
      <c r="K877" s="169">
        <f>IF(OR(B877="",C877=""),"",IFERROR(IFERROR(INDEX(Vöruskrá!N:N,MATCH(B877,Vöruskrá!B:B,0)),0)*C877/100000,""))</f>
        <v>4.0000000000000001E-3</v>
      </c>
      <c r="L877" s="169">
        <f>IF(OR(B877="",C877=""),"",IFERROR(IFERROR(INDEX(Vöruskrá!O:O,MATCH(B877,Vöruskrá!B:B,0)),0)*C877/100000,""))</f>
        <v>5.5999999999999999E-3</v>
      </c>
      <c r="M877" s="169">
        <f>IF(OR(B877="",C877=""),"",IFERROR(IFERROR(INDEX(Vöruskrá!P:P,MATCH(B877,Vöruskrá!B:B,0)),0)*C877/100000,""))</f>
        <v>4.0000000000000003E-5</v>
      </c>
      <c r="N877" s="169">
        <f>IF(OR(B877="",C877=""),"",IFERROR(IFERROR(INDEX(Vöruskrá!Q:Q,MATCH(B877,Vöruskrá!B:B,0)),0)*C877/100000,""))</f>
        <v>1.4E-2</v>
      </c>
      <c r="O877" s="170">
        <f>IF(OR(B877="",C877=""),"",IFERROR(C877/1000*IFERROR(INDEX(Vöruskrá!R:R,MATCH(B877,Vöruskrá!B:B,0)),0)/1000,""))</f>
        <v>0</v>
      </c>
      <c r="P877" s="171"/>
      <c r="Q877" s="158"/>
      <c r="R877" s="6"/>
    </row>
    <row r="878" spans="1:18" ht="15">
      <c r="A878" s="173"/>
      <c r="B878" s="173" t="s">
        <v>815</v>
      </c>
      <c r="C878" s="174">
        <v>40</v>
      </c>
      <c r="D878" s="168" t="s">
        <v>816</v>
      </c>
      <c r="E878" s="168"/>
      <c r="F878" s="168" t="s">
        <v>311</v>
      </c>
      <c r="G878" s="169">
        <f>IF(OR(B878="",C878=""),"",IFERROR(IFERROR(INDEX(Vöruskrá!J:J,MATCH(B878,Vöruskrá!B:B,0)),0)*C878/100000,""))</f>
        <v>0.192</v>
      </c>
      <c r="H878" s="169">
        <f>IF(OR(B878="",C878=""),"",IFERROR(IFERROR(INDEX(Vöruskrá!K:K,MATCH(B878,Vöruskrá!B:B,0)),0)*C878/100000,""))</f>
        <v>4.0000000000000001E-3</v>
      </c>
      <c r="I878" s="169">
        <f>IF(OR(B878="",C878=""),"",IFERROR(IFERROR(INDEX(Vöruskrá!L:L,MATCH(B878,Vöruskrá!B:B,0)),0)*C878/100000,""))</f>
        <v>1.08E-3</v>
      </c>
      <c r="J878" s="169">
        <f>IF(OR(B878="",C878=""),"",IFERROR(IFERROR(INDEX(Vöruskrá!M:M,MATCH(B878,Vöruskrá!B:B,0)),0)*C878/100000,""))</f>
        <v>2.5600000000000001E-2</v>
      </c>
      <c r="K878" s="169">
        <f>IF(OR(B878="",C878=""),"",IFERROR(IFERROR(INDEX(Vöruskrá!N:N,MATCH(B878,Vöruskrá!B:B,0)),0)*C878/100000,""))</f>
        <v>1.64E-3</v>
      </c>
      <c r="L878" s="169">
        <f>IF(OR(B878="",C878=""),"",IFERROR(IFERROR(INDEX(Vöruskrá!O:O,MATCH(B878,Vöruskrá!B:B,0)),0)*C878/100000,""))</f>
        <v>4.4000000000000003E-3</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3"/>
      <c r="Q878" s="157"/>
      <c r="R878" s="27"/>
    </row>
    <row r="879" spans="1:18" ht="15">
      <c r="A879" s="171"/>
      <c r="B879" s="171" t="s">
        <v>808</v>
      </c>
      <c r="C879" s="172">
        <v>4</v>
      </c>
      <c r="D879" s="168" t="s">
        <v>809</v>
      </c>
      <c r="E879" s="168"/>
      <c r="F879" s="168" t="s">
        <v>311</v>
      </c>
      <c r="G879" s="169">
        <f>IF(OR(B879="",C879=""),"",IFERROR(IFERROR(INDEX(Vöruskrá!J:J,MATCH(B879,Vöruskrá!B:B,0)),0)*C879/100000,""))</f>
        <v>1.4120000000000001E-2</v>
      </c>
      <c r="H879" s="169">
        <f>IF(OR(B879="",C879=""),"",IFERROR(IFERROR(INDEX(Vöruskrá!K:K,MATCH(B879,Vöruskrá!B:B,0)),0)*C879/100000,""))</f>
        <v>3.3600000000000004E-4</v>
      </c>
      <c r="I879" s="169">
        <f>IF(OR(B879="",C879=""),"",IFERROR(IFERROR(INDEX(Vöruskrá!L:L,MATCH(B879,Vöruskrá!B:B,0)),0)*C879/100000,""))</f>
        <v>9.1999999999999987E-5</v>
      </c>
      <c r="J879" s="169">
        <f>IF(OR(B879="",C879=""),"",IFERROR(IFERROR(INDEX(Vöruskrá!M:M,MATCH(B879,Vöruskrá!B:B,0)),0)*C879/100000,""))</f>
        <v>1.9599999999999999E-3</v>
      </c>
      <c r="K879" s="169">
        <f>IF(OR(B879="",C879=""),"",IFERROR(IFERROR(INDEX(Vöruskrá!N:N,MATCH(B879,Vöruskrá!B:B,0)),0)*C879/100000,""))</f>
        <v>0</v>
      </c>
      <c r="L879" s="169">
        <f>IF(OR(B879="",C879=""),"",IFERROR(IFERROR(INDEX(Vöruskrá!O:O,MATCH(B879,Vöruskrá!B:B,0)),0)*C879/100000,""))</f>
        <v>3.0399999999999996E-4</v>
      </c>
      <c r="M879" s="169">
        <f>IF(OR(B879="",C879=""),"",IFERROR(IFERROR(INDEX(Vöruskrá!P:P,MATCH(B879,Vöruskrá!B:B,0)),0)*C879/100000,""))</f>
        <v>3.9999999999999998E-6</v>
      </c>
      <c r="N879" s="169">
        <f>IF(OR(B879="",C879=""),"",IFERROR(IFERROR(INDEX(Vöruskrá!Q:Q,MATCH(B879,Vöruskrá!B:B,0)),0)*C879/100000,""))</f>
        <v>0</v>
      </c>
      <c r="O879" s="170">
        <f>IF(OR(B879="",C879=""),"",IFERROR(C879/1000*IFERROR(INDEX(Vöruskrá!R:R,MATCH(B879,Vöruskrá!B:B,0)),0)/1000,""))</f>
        <v>0</v>
      </c>
      <c r="P879" s="171"/>
      <c r="Q879" s="158"/>
      <c r="R879" s="6"/>
    </row>
    <row r="880" spans="1:18" ht="15">
      <c r="A880" s="173"/>
      <c r="B880" s="173" t="s">
        <v>477</v>
      </c>
      <c r="C880" s="174">
        <v>50</v>
      </c>
      <c r="D880" s="168" t="s">
        <v>479</v>
      </c>
      <c r="E880" s="168" t="s">
        <v>134</v>
      </c>
      <c r="F880" s="168"/>
      <c r="G880" s="169">
        <f>IF(OR(B880="",C880=""),"",IFERROR(IFERROR(INDEX(Vöruskrá!J:J,MATCH(B880,Vöruskrá!B:B,0)),0)*C880/100000,""))</f>
        <v>0.2</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0.05</v>
      </c>
      <c r="K880" s="169">
        <f>IF(OR(B880="",C880=""),"",IFERROR(IFERROR(INDEX(Vöruskrá!N:N,MATCH(B880,Vöruskrá!B:B,0)),0)*C880/100000,""))</f>
        <v>0.05</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157"/>
      <c r="R880" s="27"/>
    </row>
    <row r="881" spans="1:18" ht="15">
      <c r="A881" s="171"/>
      <c r="B881" s="171" t="s">
        <v>1485</v>
      </c>
      <c r="C881" s="172">
        <v>9000</v>
      </c>
      <c r="D881" s="168"/>
      <c r="E881" s="168"/>
      <c r="F881" s="168"/>
      <c r="G881" s="169">
        <f>IF(OR(B881="",C881=""),"",IFERROR(IFERROR(INDEX(Vöruskrá!J:J,MATCH(B881,Vöruskrá!B:B,0)),0)*C881/100000,""))</f>
        <v>0</v>
      </c>
      <c r="H881" s="169">
        <f>IF(OR(B881="",C881=""),"",IFERROR(IFERROR(INDEX(Vöruskrá!K:K,MATCH(B881,Vöruskrá!B:B,0)),0)*C881/100000,""))</f>
        <v>0</v>
      </c>
      <c r="I881" s="169">
        <f>IF(OR(B881="",C881=""),"",IFERROR(IFERROR(INDEX(Vöruskrá!L:L,MATCH(B881,Vöruskrá!B:B,0)),0)*C881/100000,""))</f>
        <v>0</v>
      </c>
      <c r="J881" s="169">
        <f>IF(OR(B881="",C881=""),"",IFERROR(IFERROR(INDEX(Vöruskrá!M:M,MATCH(B881,Vöruskrá!B:B,0)),0)*C881/100000,""))</f>
        <v>0</v>
      </c>
      <c r="K881" s="169">
        <f>IF(OR(B881="",C881=""),"",IFERROR(IFERROR(INDEX(Vöruskrá!N:N,MATCH(B881,Vöruskrá!B:B,0)),0)*C881/100000,""))</f>
        <v>0</v>
      </c>
      <c r="L881" s="169">
        <f>IF(OR(B881="",C881=""),"",IFERROR(IFERROR(INDEX(Vöruskrá!O:O,MATCH(B881,Vöruskrá!B:B,0)),0)*C881/100000,""))</f>
        <v>0</v>
      </c>
      <c r="M881" s="169">
        <f>IF(OR(B881="",C881=""),"",IFERROR(IFERROR(INDEX(Vöruskrá!P:P,MATCH(B881,Vöruskrá!B:B,0)),0)*C881/100000,""))</f>
        <v>0</v>
      </c>
      <c r="N881" s="169">
        <f>IF(OR(B881="",C881=""),"",IFERROR(IFERROR(INDEX(Vöruskrá!Q:Q,MATCH(B881,Vöruskrá!B:B,0)),0)*C881/100000,""))</f>
        <v>0</v>
      </c>
      <c r="O881" s="170">
        <f>IF(OR(B881="",C881=""),"",IFERROR(C881/1000*IFERROR(INDEX(Vöruskrá!R:R,MATCH(B881,Vöruskrá!B:B,0)),0)/1000,""))</f>
        <v>0</v>
      </c>
      <c r="P881" s="171"/>
      <c r="Q881" s="158"/>
      <c r="R881" s="6"/>
    </row>
    <row r="882" spans="1:18" ht="15">
      <c r="A882" s="173"/>
      <c r="B882" s="173" t="s">
        <v>1020</v>
      </c>
      <c r="C882" s="174">
        <v>64526</v>
      </c>
      <c r="D882" s="168" t="s">
        <v>1020</v>
      </c>
      <c r="E882" s="168" t="s">
        <v>134</v>
      </c>
      <c r="F882" s="168"/>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201"/>
      <c r="R882" s="202"/>
    </row>
    <row r="883" spans="1:18" ht="48">
      <c r="A883" s="147" t="s">
        <v>2014</v>
      </c>
      <c r="B883" s="147"/>
      <c r="C883" s="148"/>
      <c r="D883" s="165" t="s">
        <v>2015</v>
      </c>
      <c r="E883" s="165" t="s">
        <v>252</v>
      </c>
      <c r="F883" s="165"/>
      <c r="G883" s="166">
        <v>79.63</v>
      </c>
      <c r="H883" s="166">
        <v>3.17</v>
      </c>
      <c r="I883" s="166">
        <v>1.42</v>
      </c>
      <c r="J883" s="166">
        <v>8.14</v>
      </c>
      <c r="K883" s="166"/>
      <c r="L883" s="166">
        <v>4.33</v>
      </c>
      <c r="M883" s="166">
        <v>1.07</v>
      </c>
      <c r="N883" s="166">
        <f>IFERROR(SUM(N884:N895)/(SUM($C$884:$C$895)/100000),"")</f>
        <v>1.004</v>
      </c>
      <c r="O883" s="167" t="str">
        <f>IF(OR(B883="",C883=""),"",IFERROR(C883/1000*IFERROR(INDEX(Vöruskrá!R:R,MATCH(B883,Vöruskrá!B:B,0)),0)/1000,""))</f>
        <v/>
      </c>
      <c r="P883" s="196" t="s">
        <v>2016</v>
      </c>
      <c r="Q883" s="195" t="s">
        <v>2017</v>
      </c>
      <c r="R883" s="194" t="s">
        <v>2018</v>
      </c>
    </row>
    <row r="884" spans="1:18" ht="15">
      <c r="A884" s="171"/>
      <c r="B884" s="171" t="s">
        <v>1043</v>
      </c>
      <c r="C884" s="172">
        <v>20000</v>
      </c>
      <c r="D884" s="168" t="s">
        <v>1044</v>
      </c>
      <c r="E884" s="168" t="s">
        <v>134</v>
      </c>
      <c r="F884" s="168"/>
      <c r="G884" s="169">
        <f>IF(OR(B884="",C884=""),"",IFERROR(IFERROR(INDEX(Vöruskrá!J:J,MATCH(B884,Vöruskrá!B:B,0)),0)*C884/100000,""))</f>
        <v>40</v>
      </c>
      <c r="H884" s="169">
        <f>IF(OR(B884="",C884=""),"",IFERROR(IFERROR(INDEX(Vöruskrá!K:K,MATCH(B884,Vöruskrá!B:B,0)),0)*C884/100000,""))</f>
        <v>2.8</v>
      </c>
      <c r="I884" s="169">
        <f>IF(OR(B884="",C884=""),"",IFERROR(IFERROR(INDEX(Vöruskrá!L:L,MATCH(B884,Vöruskrá!B:B,0)),0)*C884/100000,""))</f>
        <v>1.3</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3.4</v>
      </c>
      <c r="M884" s="169">
        <f>IF(OR(B884="",C884=""),"",IFERROR(IFERROR(INDEX(Vöruskrá!P:P,MATCH(B884,Vöruskrá!B:B,0)),0)*C884/100000,""))</f>
        <v>0.02</v>
      </c>
      <c r="N884" s="169">
        <f>IF(OR(B884="",C884=""),"",IFERROR(IFERROR(INDEX(Vöruskrá!Q:Q,MATCH(B884,Vöruskrá!B:B,0)),0)*C884/100000,""))</f>
        <v>0</v>
      </c>
      <c r="O884" s="170">
        <f>IF(OR(B884="",C884=""),"",IFERROR(C884/1000*IFERROR(INDEX(Vöruskrá!R:R,MATCH(B884,Vöruskrá!B:B,0)),0)/1000,""))</f>
        <v>0</v>
      </c>
      <c r="P884" s="171"/>
      <c r="Q884" s="203"/>
      <c r="R884" s="204"/>
    </row>
    <row r="885" spans="1:18" ht="15">
      <c r="A885" s="173"/>
      <c r="B885" s="173" t="s">
        <v>635</v>
      </c>
      <c r="C885" s="174">
        <v>25000</v>
      </c>
      <c r="D885" s="168" t="s">
        <v>635</v>
      </c>
      <c r="E885" s="168" t="s">
        <v>134</v>
      </c>
      <c r="F885" s="168"/>
      <c r="G885" s="169">
        <f>IF(OR(B885="",C885=""),"",IFERROR(IFERROR(INDEX(Vöruskrá!J:J,MATCH(B885,Vöruskrá!B:B,0)),0)*C885/100000,""))</f>
        <v>19.25</v>
      </c>
      <c r="H885" s="169">
        <f>IF(OR(B885="",C885=""),"",IFERROR(IFERROR(INDEX(Vöruskrá!K:K,MATCH(B885,Vöruskrá!B:B,0)),0)*C885/100000,""))</f>
        <v>2.5000000000000001E-2</v>
      </c>
      <c r="I885" s="169">
        <f>IF(OR(B885="",C885=""),"",IFERROR(IFERROR(INDEX(Vöruskrá!L:L,MATCH(B885,Vöruskrá!B:B,0)),0)*C885/100000,""))</f>
        <v>0</v>
      </c>
      <c r="J885" s="169">
        <f>IF(OR(B885="",C885=""),"",IFERROR(IFERROR(INDEX(Vöruskrá!M:M,MATCH(B885,Vöruskrá!B:B,0)),0)*C885/100000,""))</f>
        <v>4.25</v>
      </c>
      <c r="K885" s="169">
        <f>IF(OR(B885="",C885=""),"",IFERROR(IFERROR(INDEX(Vöruskrá!N:N,MATCH(B885,Vöruskrá!B:B,0)),0)*C885/100000,""))</f>
        <v>0.2</v>
      </c>
      <c r="L885" s="169">
        <f>IF(OR(B885="",C885=""),"",IFERROR(IFERROR(INDEX(Vöruskrá!O:O,MATCH(B885,Vöruskrá!B:B,0)),0)*C885/100000,""))</f>
        <v>0.5</v>
      </c>
      <c r="M885" s="169">
        <f>IF(OR(B885="",C885=""),"",IFERROR(IFERROR(INDEX(Vöruskrá!P:P,MATCH(B885,Vöruskrá!B:B,0)),0)*C885/100000,""))</f>
        <v>0</v>
      </c>
      <c r="N885" s="169">
        <f>IF(OR(B885="",C885=""),"",IFERROR(IFERROR(INDEX(Vöruskrá!Q:Q,MATCH(B885,Vöruskrá!B:B,0)),0)*C885/100000,""))</f>
        <v>0.55000000000000004</v>
      </c>
      <c r="O885" s="170">
        <f>IF(OR(B885="",C885=""),"",IFERROR(C885/1000*IFERROR(INDEX(Vöruskrá!R:R,MATCH(B885,Vöruskrá!B:B,0)),0)/1000,""))</f>
        <v>0</v>
      </c>
      <c r="P885" s="173"/>
      <c r="Q885" s="158"/>
      <c r="R885" s="6"/>
    </row>
    <row r="886" spans="1:18" ht="15">
      <c r="A886" s="171"/>
      <c r="B886" s="171" t="s">
        <v>1006</v>
      </c>
      <c r="C886" s="172">
        <v>10000</v>
      </c>
      <c r="D886" s="168" t="s">
        <v>1006</v>
      </c>
      <c r="E886" s="168" t="s">
        <v>134</v>
      </c>
      <c r="F886" s="168"/>
      <c r="G886" s="169">
        <f>IF(OR(B886="",C886=""),"",IFERROR(IFERROR(INDEX(Vöruskrá!J:J,MATCH(B886,Vöruskrá!B:B,0)),0)*C886/100000,""))</f>
        <v>4.0999999999999996</v>
      </c>
      <c r="H886" s="169">
        <f>IF(OR(B886="",C886=""),"",IFERROR(IFERROR(INDEX(Vöruskrá!K:K,MATCH(B886,Vöruskrá!B:B,0)),0)*C886/100000,""))</f>
        <v>0.02</v>
      </c>
      <c r="I886" s="169">
        <f>IF(OR(B886="",C886=""),"",IFERROR(IFERROR(INDEX(Vöruskrá!L:L,MATCH(B886,Vöruskrá!B:B,0)),0)*C886/100000,""))</f>
        <v>0</v>
      </c>
      <c r="J886" s="169">
        <f>IF(OR(B886="",C886=""),"",IFERROR(IFERROR(INDEX(Vöruskrá!M:M,MATCH(B886,Vöruskrá!B:B,0)),0)*C886/100000,""))</f>
        <v>0.96</v>
      </c>
      <c r="K886" s="169">
        <f>IF(OR(B886="",C886=""),"",IFERROR(IFERROR(INDEX(Vöruskrá!N:N,MATCH(B886,Vöruskrá!B:B,0)),0)*C886/100000,""))</f>
        <v>0.47</v>
      </c>
      <c r="L886" s="169">
        <f>IF(OR(B886="",C886=""),"",IFERROR(IFERROR(INDEX(Vöruskrá!O:O,MATCH(B886,Vöruskrá!B:B,0)),0)*C886/100000,""))</f>
        <v>0.09</v>
      </c>
      <c r="M886" s="169">
        <f>IF(OR(B886="",C886=""),"",IFERROR(IFERROR(INDEX(Vöruskrá!P:P,MATCH(B886,Vöruskrá!B:B,0)),0)*C886/100000,""))</f>
        <v>0.01</v>
      </c>
      <c r="N886" s="169">
        <f>IF(OR(B886="",C886=""),"",IFERROR(IFERROR(INDEX(Vöruskrá!Q:Q,MATCH(B886,Vöruskrá!B:B,0)),0)*C886/100000,""))</f>
        <v>0.28000000000000003</v>
      </c>
      <c r="O886" s="170">
        <f>IF(OR(B886="",C886=""),"",IFERROR(C886/1000*IFERROR(INDEX(Vöruskrá!R:R,MATCH(B886,Vöruskrá!B:B,0)),0)/1000,""))</f>
        <v>0</v>
      </c>
      <c r="P886" s="171"/>
      <c r="Q886" s="157"/>
      <c r="R886" s="27"/>
    </row>
    <row r="887" spans="1:18" ht="15">
      <c r="A887" s="173"/>
      <c r="B887" s="173" t="s">
        <v>1503</v>
      </c>
      <c r="C887" s="174">
        <v>8000</v>
      </c>
      <c r="D887" s="168"/>
      <c r="E887" s="168"/>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3"/>
      <c r="Q887" s="158"/>
      <c r="R887" s="6"/>
    </row>
    <row r="888" spans="1:18" ht="15">
      <c r="A888" s="171"/>
      <c r="B888" s="171" t="s">
        <v>252</v>
      </c>
      <c r="C888" s="172">
        <v>5000</v>
      </c>
      <c r="D888" s="168" t="s">
        <v>1014</v>
      </c>
      <c r="E888" s="168" t="s">
        <v>252</v>
      </c>
      <c r="F888" s="168"/>
      <c r="G888" s="169">
        <f>IF(OR(B888="",C888=""),"",IFERROR(IFERROR(INDEX(Vöruskrá!J:J,MATCH(B888,Vöruskrá!B:B,0)),0)*C888/100000,""))</f>
        <v>0.8</v>
      </c>
      <c r="H888" s="169">
        <f>IF(OR(B888="",C888=""),"",IFERROR(IFERROR(INDEX(Vöruskrá!K:K,MATCH(B888,Vöruskrá!B:B,0)),0)*C888/100000,""))</f>
        <v>0.01</v>
      </c>
      <c r="I888" s="169">
        <f>IF(OR(B888="",C888=""),"",IFERROR(IFERROR(INDEX(Vöruskrá!L:L,MATCH(B888,Vöruskrá!B:B,0)),0)*C888/100000,""))</f>
        <v>0</v>
      </c>
      <c r="J888" s="169">
        <f>IF(OR(B888="",C888=""),"",IFERROR(IFERROR(INDEX(Vöruskrá!M:M,MATCH(B888,Vöruskrá!B:B,0)),0)*C888/100000,""))</f>
        <v>0.15</v>
      </c>
      <c r="K888" s="169">
        <f>IF(OR(B888="",C888=""),"",IFERROR(IFERROR(INDEX(Vöruskrá!N:N,MATCH(B888,Vöruskrá!B:B,0)),0)*C888/100000,""))</f>
        <v>6.5000000000000002E-2</v>
      </c>
      <c r="L888" s="169">
        <f>IF(OR(B888="",C888=""),"",IFERROR(IFERROR(INDEX(Vöruskrá!O:O,MATCH(B888,Vöruskrá!B:B,0)),0)*C888/100000,""))</f>
        <v>3.5000000000000003E-2</v>
      </c>
      <c r="M888" s="169">
        <f>IF(OR(B888="",C888=""),"",IFERROR(IFERROR(INDEX(Vöruskrá!P:P,MATCH(B888,Vöruskrá!B:B,0)),0)*C888/100000,""))</f>
        <v>5.0000000000000001E-3</v>
      </c>
      <c r="N888" s="169">
        <f>IF(OR(B888="",C888=""),"",IFERROR(IFERROR(INDEX(Vöruskrá!Q:Q,MATCH(B888,Vöruskrá!B:B,0)),0)*C888/100000,""))</f>
        <v>0.08</v>
      </c>
      <c r="O888" s="170">
        <f>IF(OR(B888="",C888=""),"",IFERROR(C888/1000*IFERROR(INDEX(Vöruskrá!R:R,MATCH(B888,Vöruskrá!B:B,0)),0)/1000,""))</f>
        <v>0</v>
      </c>
      <c r="P888" s="171"/>
      <c r="Q888" s="157"/>
      <c r="R888" s="27"/>
    </row>
    <row r="889" spans="1:18" ht="15">
      <c r="A889" s="173"/>
      <c r="B889" s="173" t="s">
        <v>1010</v>
      </c>
      <c r="C889" s="174">
        <v>5000</v>
      </c>
      <c r="D889" s="168" t="s">
        <v>1010</v>
      </c>
      <c r="E889" s="168" t="s">
        <v>134</v>
      </c>
      <c r="F889" s="168"/>
      <c r="G889" s="169">
        <f>IF(OR(B889="",C889=""),"",IFERROR(IFERROR(INDEX(Vöruskrá!J:J,MATCH(B889,Vöruskrá!B:B,0)),0)*C889/100000,""))</f>
        <v>2</v>
      </c>
      <c r="H889" s="169">
        <f>IF(OR(B889="",C889=""),"",IFERROR(IFERROR(INDEX(Vöruskrá!K:K,MATCH(B889,Vöruskrá!B:B,0)),0)*C889/100000,""))</f>
        <v>5.0000000000000001E-3</v>
      </c>
      <c r="I889" s="169">
        <f>IF(OR(B889="",C889=""),"",IFERROR(IFERROR(INDEX(Vöruskrá!L:L,MATCH(B889,Vöruskrá!B:B,0)),0)*C889/100000,""))</f>
        <v>0</v>
      </c>
      <c r="J889" s="169">
        <f>IF(OR(B889="",C889=""),"",IFERROR(IFERROR(INDEX(Vöruskrá!M:M,MATCH(B889,Vöruskrá!B:B,0)),0)*C889/100000,""))</f>
        <v>0.46500000000000002</v>
      </c>
      <c r="K889" s="169">
        <f>IF(OR(B889="",C889=""),"",IFERROR(IFERROR(INDEX(Vöruskrá!N:N,MATCH(B889,Vöruskrá!B:B,0)),0)*C889/100000,""))</f>
        <v>0.21</v>
      </c>
      <c r="L889" s="169">
        <f>IF(OR(B889="",C889=""),"",IFERROR(IFERROR(INDEX(Vöruskrá!O:O,MATCH(B889,Vöruskrá!B:B,0)),0)*C889/100000,""))</f>
        <v>5.5E-2</v>
      </c>
      <c r="M889" s="169">
        <f>IF(OR(B889="",C889=""),"",IFERROR(IFERROR(INDEX(Vöruskrá!P:P,MATCH(B889,Vöruskrá!B:B,0)),0)*C889/100000,""))</f>
        <v>0</v>
      </c>
      <c r="N889" s="169">
        <f>IF(OR(B889="",C889=""),"",IFERROR(IFERROR(INDEX(Vöruskrá!Q:Q,MATCH(B889,Vöruskrá!B:B,0)),0)*C889/100000,""))</f>
        <v>8.5000000000000006E-2</v>
      </c>
      <c r="O889" s="170">
        <f>IF(OR(B889="",C889=""),"",IFERROR(C889/1000*IFERROR(INDEX(Vöruskrá!R:R,MATCH(B889,Vöruskrá!B:B,0)),0)/1000,""))</f>
        <v>0</v>
      </c>
      <c r="P889" s="173"/>
      <c r="Q889" s="158"/>
      <c r="R889" s="6"/>
    </row>
    <row r="890" spans="1:18" ht="15">
      <c r="A890" s="171"/>
      <c r="B890" s="171" t="s">
        <v>1020</v>
      </c>
      <c r="C890" s="172">
        <v>22500</v>
      </c>
      <c r="D890" s="168" t="s">
        <v>1020</v>
      </c>
      <c r="E890" s="168" t="s">
        <v>134</v>
      </c>
      <c r="F890" s="168"/>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57"/>
      <c r="R890" s="27"/>
    </row>
    <row r="891" spans="1:18" ht="15">
      <c r="A891" s="173"/>
      <c r="B891" s="173" t="s">
        <v>789</v>
      </c>
      <c r="C891" s="174">
        <v>3000</v>
      </c>
      <c r="D891" s="168" t="s">
        <v>792</v>
      </c>
      <c r="E891" s="168" t="s">
        <v>134</v>
      </c>
      <c r="F891" s="168"/>
      <c r="G891" s="169">
        <f>IF(OR(B891="",C891=""),"",IFERROR(IFERROR(INDEX(Vöruskrá!J:J,MATCH(B891,Vöruskrá!B:B,0)),0)*C891/100000,""))</f>
        <v>10.83</v>
      </c>
      <c r="H891" s="169">
        <f>IF(OR(B891="",C891=""),"",IFERROR(IFERROR(INDEX(Vöruskrá!K:K,MATCH(B891,Vöruskrá!B:B,0)),0)*C891/100000,""))</f>
        <v>0.25800000000000001</v>
      </c>
      <c r="I891" s="169">
        <f>IF(OR(B891="",C891=""),"",IFERROR(IFERROR(INDEX(Vöruskrá!L:L,MATCH(B891,Vöruskrá!B:B,0)),0)*C891/100000,""))</f>
        <v>0.108</v>
      </c>
      <c r="J891" s="169">
        <f>IF(OR(B891="",C891=""),"",IFERROR(IFERROR(INDEX(Vöruskrá!M:M,MATCH(B891,Vöruskrá!B:B,0)),0)*C891/100000,""))</f>
        <v>1.9590000000000001</v>
      </c>
      <c r="K891" s="169">
        <f>IF(OR(B891="",C891=""),"",IFERROR(IFERROR(INDEX(Vöruskrá!N:N,MATCH(B891,Vöruskrá!B:B,0)),0)*C891/100000,""))</f>
        <v>0.12</v>
      </c>
      <c r="L891" s="169">
        <f>IF(OR(B891="",C891=""),"",IFERROR(IFERROR(INDEX(Vöruskrá!O:O,MATCH(B891,Vöruskrá!B:B,0)),0)*C891/100000,""))</f>
        <v>0.16800000000000001</v>
      </c>
      <c r="M891" s="169">
        <f>IF(OR(B891="",C891=""),"",IFERROR(IFERROR(INDEX(Vöruskrá!P:P,MATCH(B891,Vöruskrá!B:B,0)),0)*C891/100000,""))</f>
        <v>0.33900000000000002</v>
      </c>
      <c r="N891" s="169">
        <f>IF(OR(B891="",C891=""),"",IFERROR(IFERROR(INDEX(Vöruskrá!Q:Q,MATCH(B891,Vöruskrá!B:B,0)),0)*C891/100000,""))</f>
        <v>8.9999999999999993E-3</v>
      </c>
      <c r="O891" s="170">
        <f>IF(OR(B891="",C891=""),"",IFERROR(C891/1000*IFERROR(INDEX(Vöruskrá!R:R,MATCH(B891,Vöruskrá!B:B,0)),0)/1000,""))</f>
        <v>0</v>
      </c>
      <c r="P891" s="173"/>
      <c r="Q891" s="158"/>
      <c r="R891" s="6"/>
    </row>
    <row r="892" spans="1:18" ht="15">
      <c r="A892" s="171"/>
      <c r="B892" s="171" t="s">
        <v>299</v>
      </c>
      <c r="C892" s="172">
        <v>700</v>
      </c>
      <c r="D892" s="168" t="s">
        <v>302</v>
      </c>
      <c r="E892" s="168" t="s">
        <v>134</v>
      </c>
      <c r="F892" s="168" t="s">
        <v>303</v>
      </c>
      <c r="G892" s="169">
        <f>IF(OR(B892="",C892=""),"",IFERROR(IFERROR(INDEX(Vöruskrá!J:J,MATCH(B892,Vöruskrá!B:B,0)),0)*C892/100000,""))</f>
        <v>0</v>
      </c>
      <c r="H892" s="169">
        <f>IF(OR(B892="",C892=""),"",IFERROR(IFERROR(INDEX(Vöruskrá!K:K,MATCH(B892,Vöruskrá!B:B,0)),0)*C892/100000,""))</f>
        <v>0</v>
      </c>
      <c r="I892" s="169">
        <f>IF(OR(B892="",C892=""),"",IFERROR(IFERROR(INDEX(Vöruskrá!L:L,MATCH(B892,Vöruskrá!B:B,0)),0)*C892/100000,""))</f>
        <v>0</v>
      </c>
      <c r="J892" s="169">
        <f>IF(OR(B892="",C892=""),"",IFERROR(IFERROR(INDEX(Vöruskrá!M:M,MATCH(B892,Vöruskrá!B:B,0)),0)*C892/100000,""))</f>
        <v>0</v>
      </c>
      <c r="K892" s="169">
        <f>IF(OR(B892="",C892=""),"",IFERROR(IFERROR(INDEX(Vöruskrá!N:N,MATCH(B892,Vöruskrá!B:B,0)),0)*C892/100000,""))</f>
        <v>0</v>
      </c>
      <c r="L892" s="169">
        <f>IF(OR(B892="",C892=""),"",IFERROR(IFERROR(INDEX(Vöruskrá!O:O,MATCH(B892,Vöruskrá!B:B,0)),0)*C892/100000,""))</f>
        <v>0</v>
      </c>
      <c r="M892" s="169">
        <f>IF(OR(B892="",C892=""),"",IFERROR(IFERROR(INDEX(Vöruskrá!P:P,MATCH(B892,Vöruskrá!B:B,0)),0)*C892/100000,""))</f>
        <v>0.7</v>
      </c>
      <c r="N892" s="169">
        <f>IF(OR(B892="",C892=""),"",IFERROR(IFERROR(INDEX(Vöruskrá!Q:Q,MATCH(B892,Vöruskrá!B:B,0)),0)*C892/100000,""))</f>
        <v>0</v>
      </c>
      <c r="O892" s="170">
        <f>IF(OR(B892="",C892=""),"",IFERROR(C892/1000*IFERROR(INDEX(Vöruskrá!R:R,MATCH(B892,Vöruskrá!B:B,0)),0)/1000,""))</f>
        <v>0</v>
      </c>
      <c r="P892" s="171"/>
      <c r="Q892" s="157"/>
      <c r="R892" s="27"/>
    </row>
    <row r="893" spans="1:18" ht="15">
      <c r="A893" s="173"/>
      <c r="B893" s="173" t="s">
        <v>819</v>
      </c>
      <c r="C893" s="174">
        <v>300</v>
      </c>
      <c r="D893" s="168" t="s">
        <v>820</v>
      </c>
      <c r="E893" s="168"/>
      <c r="F893" s="168" t="s">
        <v>311</v>
      </c>
      <c r="G893" s="169">
        <f>IF(OR(B893="",C893=""),"",IFERROR(IFERROR(INDEX(Vöruskrá!J:J,MATCH(B893,Vöruskrá!B:B,0)),0)*C893/100000,""))</f>
        <v>1.1579999999999999</v>
      </c>
      <c r="H893" s="169">
        <f>IF(OR(B893="",C893=""),"",IFERROR(IFERROR(INDEX(Vöruskrá!K:K,MATCH(B893,Vöruskrá!B:B,0)),0)*C893/100000,""))</f>
        <v>9.9000000000000008E-3</v>
      </c>
      <c r="I893" s="169">
        <f>IF(OR(B893="",C893=""),"",IFERROR(IFERROR(INDEX(Vöruskrá!L:L,MATCH(B893,Vöruskrá!B:B,0)),0)*C893/100000,""))</f>
        <v>3.0000000000000001E-3</v>
      </c>
      <c r="J893" s="169">
        <f>IF(OR(B893="",C893=""),"",IFERROR(IFERROR(INDEX(Vöruskrá!M:M,MATCH(B893,Vöruskrá!B:B,0)),0)*C893/100000,""))</f>
        <v>0.19500000000000001</v>
      </c>
      <c r="K893" s="169">
        <f>IF(OR(B893="",C893=""),"",IFERROR(IFERROR(INDEX(Vöruskrá!N:N,MATCH(B893,Vöruskrá!B:B,0)),0)*C893/100000,""))</f>
        <v>1.8E-3</v>
      </c>
      <c r="L893" s="169">
        <f>IF(OR(B893="",C893=""),"",IFERROR(IFERROR(INDEX(Vöruskrá!O:O,MATCH(B893,Vöruskrá!B:B,0)),0)*C893/100000,""))</f>
        <v>3.3000000000000002E-2</v>
      </c>
      <c r="M893" s="169">
        <f>IF(OR(B893="",C893=""),"",IFERROR(IFERROR(INDEX(Vöruskrá!P:P,MATCH(B893,Vöruskrá!B:B,0)),0)*C893/100000,""))</f>
        <v>2.9999999999999997E-4</v>
      </c>
      <c r="N893" s="169">
        <f>IF(OR(B893="",C893=""),"",IFERROR(IFERROR(INDEX(Vöruskrá!Q:Q,MATCH(B893,Vöruskrá!B:B,0)),0)*C893/100000,""))</f>
        <v>0</v>
      </c>
      <c r="O893" s="170">
        <f>IF(OR(B893="",C893=""),"",IFERROR(C893/1000*IFERROR(INDEX(Vöruskrá!R:R,MATCH(B893,Vöruskrá!B:B,0)),0)/1000,""))</f>
        <v>0</v>
      </c>
      <c r="P893" s="173"/>
      <c r="Q893" s="158"/>
      <c r="R893" s="6"/>
    </row>
    <row r="894" spans="1:18" ht="15">
      <c r="A894" s="171"/>
      <c r="B894" s="171" t="s">
        <v>808</v>
      </c>
      <c r="C894" s="172">
        <v>100</v>
      </c>
      <c r="D894" s="168" t="s">
        <v>809</v>
      </c>
      <c r="E894" s="168"/>
      <c r="F894" s="168" t="s">
        <v>311</v>
      </c>
      <c r="G894" s="169">
        <f>IF(OR(B894="",C894=""),"",IFERROR(IFERROR(INDEX(Vöruskrá!J:J,MATCH(B894,Vöruskrá!B:B,0)),0)*C894/100000,""))</f>
        <v>0.35299999999999998</v>
      </c>
      <c r="H894" s="169">
        <f>IF(OR(B894="",C894=""),"",IFERROR(IFERROR(INDEX(Vöruskrá!K:K,MATCH(B894,Vöruskrá!B:B,0)),0)*C894/100000,""))</f>
        <v>8.3999999999999995E-3</v>
      </c>
      <c r="I894" s="169">
        <f>IF(OR(B894="",C894=""),"",IFERROR(IFERROR(INDEX(Vöruskrá!L:L,MATCH(B894,Vöruskrá!B:B,0)),0)*C894/100000,""))</f>
        <v>2.2999999999999995E-3</v>
      </c>
      <c r="J894" s="169">
        <f>IF(OR(B894="",C894=""),"",IFERROR(IFERROR(INDEX(Vöruskrá!M:M,MATCH(B894,Vöruskrá!B:B,0)),0)*C894/100000,""))</f>
        <v>4.9000000000000002E-2</v>
      </c>
      <c r="K894" s="169">
        <f>IF(OR(B894="",C894=""),"",IFERROR(IFERROR(INDEX(Vöruskrá!N:N,MATCH(B894,Vöruskrá!B:B,0)),0)*C894/100000,""))</f>
        <v>0</v>
      </c>
      <c r="L894" s="169">
        <f>IF(OR(B894="",C894=""),"",IFERROR(IFERROR(INDEX(Vöruskrá!O:O,MATCH(B894,Vöruskrá!B:B,0)),0)*C894/100000,""))</f>
        <v>7.6E-3</v>
      </c>
      <c r="M894" s="169">
        <f>IF(OR(B894="",C894=""),"",IFERROR(IFERROR(INDEX(Vöruskrá!P:P,MATCH(B894,Vöruskrá!B:B,0)),0)*C894/100000,""))</f>
        <v>1E-4</v>
      </c>
      <c r="N894" s="169">
        <f>IF(OR(B894="",C894=""),"",IFERROR(IFERROR(INDEX(Vöruskrá!Q:Q,MATCH(B894,Vöruskrá!B:B,0)),0)*C894/100000,""))</f>
        <v>0</v>
      </c>
      <c r="O894" s="170">
        <f>IF(OR(B894="",C894=""),"",IFERROR(C894/1000*IFERROR(INDEX(Vöruskrá!R:R,MATCH(B894,Vöruskrá!B:B,0)),0)/1000,""))</f>
        <v>0</v>
      </c>
      <c r="P894" s="171"/>
      <c r="Q894" s="157"/>
      <c r="R894" s="27"/>
    </row>
    <row r="895" spans="1:18" ht="15">
      <c r="A895" s="173"/>
      <c r="B895" s="173" t="s">
        <v>823</v>
      </c>
      <c r="C895" s="174">
        <v>400</v>
      </c>
      <c r="D895" s="168" t="s">
        <v>824</v>
      </c>
      <c r="E895" s="168"/>
      <c r="F895" s="168" t="s">
        <v>311</v>
      </c>
      <c r="G895" s="169">
        <f>IF(OR(B895="",C895=""),"",IFERROR(IFERROR(INDEX(Vöruskrá!J:J,MATCH(B895,Vöruskrá!B:B,0)),0)*C895/100000,""))</f>
        <v>1.1399999999999999</v>
      </c>
      <c r="H895" s="169">
        <f>IF(OR(B895="",C895=""),"",IFERROR(IFERROR(INDEX(Vöruskrá!K:K,MATCH(B895,Vöruskrá!B:B,0)),0)*C895/100000,""))</f>
        <v>2.9600000000000001E-2</v>
      </c>
      <c r="I895" s="169">
        <f>IF(OR(B895="",C895=""),"",IFERROR(IFERROR(INDEX(Vöruskrá!L:L,MATCH(B895,Vöruskrá!B:B,0)),0)*C895/100000,""))</f>
        <v>1.0800000000000001E-2</v>
      </c>
      <c r="J895" s="169">
        <f>IF(OR(B895="",C895=""),"",IFERROR(IFERROR(INDEX(Vöruskrá!M:M,MATCH(B895,Vöruskrá!B:B,0)),0)*C895/100000,""))</f>
        <v>0.108</v>
      </c>
      <c r="K895" s="169">
        <f>IF(OR(B895="",C895=""),"",IFERROR(IFERROR(INDEX(Vöruskrá!N:N,MATCH(B895,Vöruskrá!B:B,0)),0)*C895/100000,""))</f>
        <v>6.7999999999999996E-3</v>
      </c>
      <c r="L895" s="169">
        <f>IF(OR(B895="",C895=""),"",IFERROR(IFERROR(INDEX(Vöruskrá!O:O,MATCH(B895,Vöruskrá!B:B,0)),0)*C895/100000,""))</f>
        <v>3.6400000000000002E-2</v>
      </c>
      <c r="M895" s="169">
        <f>IF(OR(B895="",C895=""),"",IFERROR(IFERROR(INDEX(Vöruskrá!P:P,MATCH(B895,Vöruskrá!B:B,0)),0)*C895/100000,""))</f>
        <v>4.0000000000000002E-4</v>
      </c>
      <c r="N895" s="169">
        <f>IF(OR(B895="",C895=""),"",IFERROR(IFERROR(INDEX(Vöruskrá!Q:Q,MATCH(B895,Vöruskrá!B:B,0)),0)*C895/100000,""))</f>
        <v>0</v>
      </c>
      <c r="O895" s="170">
        <f>IF(OR(B895="",C895=""),"",IFERROR(C895/1000*IFERROR(INDEX(Vöruskrá!R:R,MATCH(B895,Vöruskrá!B:B,0)),0)/1000,""))</f>
        <v>0</v>
      </c>
      <c r="P895" s="173"/>
      <c r="Q895" s="200"/>
      <c r="R895" s="159"/>
    </row>
    <row r="896" spans="1:18" ht="60">
      <c r="A896" s="147" t="s">
        <v>2019</v>
      </c>
      <c r="B896" s="147"/>
      <c r="C896" s="148"/>
      <c r="D896" s="165" t="s">
        <v>2020</v>
      </c>
      <c r="E896" s="165" t="s">
        <v>134</v>
      </c>
      <c r="F896" s="165"/>
      <c r="G896" s="166">
        <v>128.58000000000001</v>
      </c>
      <c r="H896" s="166">
        <v>4.53</v>
      </c>
      <c r="I896" s="166">
        <v>2.08</v>
      </c>
      <c r="J896" s="166">
        <v>20.18</v>
      </c>
      <c r="K896" s="166"/>
      <c r="L896" s="166">
        <v>3.4</v>
      </c>
      <c r="M896" s="166">
        <v>17.989999999999998</v>
      </c>
      <c r="N896" s="166">
        <f>IFERROR(SUM(N897:N909)/(SUM($C$897:$C$909)/100000),"")</f>
        <v>0.86111111111111116</v>
      </c>
      <c r="O896" s="167" t="str">
        <f>IF(OR(B896="",C896=""),"",IFERROR(C896/1000*IFERROR(INDEX(Vöruskrá!R:R,MATCH(B896,Vöruskrá!B:B,0)),0)/1000,""))</f>
        <v/>
      </c>
      <c r="P896" s="196" t="s">
        <v>2021</v>
      </c>
      <c r="Q896" s="199" t="s">
        <v>2022</v>
      </c>
      <c r="R896" s="198" t="s">
        <v>2023</v>
      </c>
    </row>
    <row r="897" spans="1:18" ht="15">
      <c r="A897" s="171"/>
      <c r="B897" s="171" t="s">
        <v>1482</v>
      </c>
      <c r="C897" s="172">
        <v>20000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97"/>
      <c r="R897" s="164"/>
    </row>
    <row r="898" spans="1:18" ht="15">
      <c r="A898" s="173"/>
      <c r="B898" s="173" t="s">
        <v>743</v>
      </c>
      <c r="C898" s="174">
        <v>15000</v>
      </c>
      <c r="D898" s="168" t="s">
        <v>745</v>
      </c>
      <c r="E898" s="168"/>
      <c r="F898" s="168"/>
      <c r="G898" s="169">
        <f>IF(OR(B898="",C898=""),"",IFERROR(IFERROR(INDEX(Vöruskrá!J:J,MATCH(B898,Vöruskrá!B:B,0)),0)*C898/100000,""))</f>
        <v>4.2</v>
      </c>
      <c r="H898" s="169">
        <f>IF(OR(B898="",C898=""),"",IFERROR(IFERROR(INDEX(Vöruskrá!K:K,MATCH(B898,Vöruskrá!B:B,0)),0)*C898/100000,""))</f>
        <v>1.4999999999999999E-2</v>
      </c>
      <c r="I898" s="169">
        <f>IF(OR(B898="",C898=""),"",IFERROR(IFERROR(INDEX(Vöruskrá!L:L,MATCH(B898,Vöruskrá!B:B,0)),0)*C898/100000,""))</f>
        <v>0</v>
      </c>
      <c r="J898" s="169">
        <f>IF(OR(B898="",C898=""),"",IFERROR(IFERROR(INDEX(Vöruskrá!M:M,MATCH(B898,Vöruskrá!B:B,0)),0)*C898/100000,""))</f>
        <v>0.75</v>
      </c>
      <c r="K898" s="169">
        <f>IF(OR(B898="",C898=""),"",IFERROR(IFERROR(INDEX(Vöruskrá!N:N,MATCH(B898,Vöruskrá!B:B,0)),0)*C898/100000,""))</f>
        <v>0.51</v>
      </c>
      <c r="L898" s="169">
        <f>IF(OR(B898="",C898=""),"",IFERROR(IFERROR(INDEX(Vöruskrá!O:O,MATCH(B898,Vöruskrá!B:B,0)),0)*C898/100000,""))</f>
        <v>0.22500000000000001</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335</v>
      </c>
      <c r="C899" s="172">
        <v>10000</v>
      </c>
      <c r="D899" s="168" t="s">
        <v>337</v>
      </c>
      <c r="E899" s="168" t="s">
        <v>134</v>
      </c>
      <c r="F899" s="168"/>
      <c r="G899" s="169">
        <f>IF(OR(B899="",C899=""),"",IFERROR(IFERROR(INDEX(Vöruskrá!J:J,MATCH(B899,Vöruskrá!B:B,0)),0)*C899/100000,""))</f>
        <v>18.100000000000001</v>
      </c>
      <c r="H899" s="169">
        <f>IF(OR(B899="",C899=""),"",IFERROR(IFERROR(INDEX(Vöruskrá!K:K,MATCH(B899,Vöruskrá!B:B,0)),0)*C899/100000,""))</f>
        <v>1.8</v>
      </c>
      <c r="I899" s="169">
        <f>IF(OR(B899="",C899=""),"",IFERROR(IFERROR(INDEX(Vöruskrá!L:L,MATCH(B899,Vöruskrá!B:B,0)),0)*C899/100000,""))</f>
        <v>1.53</v>
      </c>
      <c r="J899" s="169">
        <f>IF(OR(B899="",C899=""),"",IFERROR(IFERROR(INDEX(Vöruskrá!M:M,MATCH(B899,Vöruskrá!B:B,0)),0)*C899/100000,""))</f>
        <v>0.28000000000000003</v>
      </c>
      <c r="K899" s="169">
        <f>IF(OR(B899="",C899=""),"",IFERROR(IFERROR(INDEX(Vöruskrá!N:N,MATCH(B899,Vöruskrá!B:B,0)),0)*C899/100000,""))</f>
        <v>0.1</v>
      </c>
      <c r="L899" s="169">
        <f>IF(OR(B899="",C899=""),"",IFERROR(IFERROR(INDEX(Vöruskrá!O:O,MATCH(B899,Vöruskrá!B:B,0)),0)*C899/100000,""))</f>
        <v>0.2</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158"/>
      <c r="R899" s="6"/>
    </row>
    <row r="900" spans="1:18" ht="15">
      <c r="A900" s="173"/>
      <c r="B900" s="173" t="s">
        <v>330</v>
      </c>
      <c r="C900" s="174">
        <v>38000</v>
      </c>
      <c r="D900" s="168" t="s">
        <v>331</v>
      </c>
      <c r="E900" s="168" t="s">
        <v>134</v>
      </c>
      <c r="F900" s="168"/>
      <c r="G900" s="169">
        <f>IF(OR(B900="",C900=""),"",IFERROR(IFERROR(INDEX(Vöruskrá!J:J,MATCH(B900,Vöruskrá!B:B,0)),0)*C900/100000,""))</f>
        <v>76</v>
      </c>
      <c r="H900" s="169">
        <f>IF(OR(B900="",C900=""),"",IFERROR(IFERROR(INDEX(Vöruskrá!K:K,MATCH(B900,Vöruskrá!B:B,0)),0)*C900/100000,""))</f>
        <v>0.76</v>
      </c>
      <c r="I900" s="169">
        <f>IF(OR(B900="",C900=""),"",IFERROR(IFERROR(INDEX(Vöruskrá!L:L,MATCH(B900,Vöruskrá!B:B,0)),0)*C900/100000,""))</f>
        <v>0.38</v>
      </c>
      <c r="J900" s="169">
        <f>IF(OR(B900="",C900=""),"",IFERROR(IFERROR(INDEX(Vöruskrá!M:M,MATCH(B900,Vöruskrá!B:B,0)),0)*C900/100000,""))</f>
        <v>15.2</v>
      </c>
      <c r="K900" s="169">
        <f>IF(OR(B900="",C900=""),"",IFERROR(IFERROR(INDEX(Vöruskrá!N:N,MATCH(B900,Vöruskrá!B:B,0)),0)*C900/100000,""))</f>
        <v>4.5599999999999996</v>
      </c>
      <c r="L900" s="169">
        <f>IF(OR(B900="",C900=""),"",IFERROR(IFERROR(INDEX(Vöruskrá!O:O,MATCH(B900,Vöruskrá!B:B,0)),0)*C900/100000,""))</f>
        <v>2.2799999999999998</v>
      </c>
      <c r="M900" s="169">
        <f>IF(OR(B900="",C900=""),"",IFERROR(IFERROR(INDEX(Vöruskrá!P:P,MATCH(B900,Vöruskrá!B:B,0)),0)*C900/100000,""))</f>
        <v>17.100000000000001</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1010</v>
      </c>
      <c r="C901" s="172">
        <v>7000</v>
      </c>
      <c r="D901" s="168" t="s">
        <v>1010</v>
      </c>
      <c r="E901" s="168" t="s">
        <v>134</v>
      </c>
      <c r="F901" s="168"/>
      <c r="G901" s="169">
        <f>IF(OR(B901="",C901=""),"",IFERROR(IFERROR(INDEX(Vöruskrá!J:J,MATCH(B901,Vöruskrá!B:B,0)),0)*C901/100000,""))</f>
        <v>2.8</v>
      </c>
      <c r="H901" s="169">
        <f>IF(OR(B901="",C901=""),"",IFERROR(IFERROR(INDEX(Vöruskrá!K:K,MATCH(B901,Vöruskrá!B:B,0)),0)*C901/100000,""))</f>
        <v>7.0000000000000001E-3</v>
      </c>
      <c r="I901" s="169">
        <f>IF(OR(B901="",C901=""),"",IFERROR(IFERROR(INDEX(Vöruskrá!L:L,MATCH(B901,Vöruskrá!B:B,0)),0)*C901/100000,""))</f>
        <v>0</v>
      </c>
      <c r="J901" s="169">
        <f>IF(OR(B901="",C901=""),"",IFERROR(IFERROR(INDEX(Vöruskrá!M:M,MATCH(B901,Vöruskrá!B:B,0)),0)*C901/100000,""))</f>
        <v>0.65100000000000002</v>
      </c>
      <c r="K901" s="169">
        <f>IF(OR(B901="",C901=""),"",IFERROR(IFERROR(INDEX(Vöruskrá!N:N,MATCH(B901,Vöruskrá!B:B,0)),0)*C901/100000,""))</f>
        <v>0.29399999999999998</v>
      </c>
      <c r="L901" s="169">
        <f>IF(OR(B901="",C901=""),"",IFERROR(IFERROR(INDEX(Vöruskrá!O:O,MATCH(B901,Vöruskrá!B:B,0)),0)*C901/100000,""))</f>
        <v>7.7000000000000013E-2</v>
      </c>
      <c r="M901" s="169">
        <f>IF(OR(B901="",C901=""),"",IFERROR(IFERROR(INDEX(Vöruskrá!P:P,MATCH(B901,Vöruskrá!B:B,0)),0)*C901/100000,""))</f>
        <v>0</v>
      </c>
      <c r="N901" s="169">
        <f>IF(OR(B901="",C901=""),"",IFERROR(IFERROR(INDEX(Vöruskrá!Q:Q,MATCH(B901,Vöruskrá!B:B,0)),0)*C901/100000,""))</f>
        <v>0.11899999999999999</v>
      </c>
      <c r="O901" s="170">
        <f>IF(OR(B901="",C901=""),"",IFERROR(C901/1000*IFERROR(INDEX(Vöruskrá!R:R,MATCH(B901,Vöruskrá!B:B,0)),0)/1000,""))</f>
        <v>0</v>
      </c>
      <c r="P901" s="171"/>
      <c r="Q901" s="158"/>
      <c r="R901" s="6"/>
    </row>
    <row r="902" spans="1:18" ht="15">
      <c r="A902" s="173"/>
      <c r="B902" s="173" t="s">
        <v>1017</v>
      </c>
      <c r="C902" s="174">
        <v>1000</v>
      </c>
      <c r="D902" s="168" t="s">
        <v>1017</v>
      </c>
      <c r="E902" s="168" t="s">
        <v>134</v>
      </c>
      <c r="F902" s="168"/>
      <c r="G902" s="169">
        <f>IF(OR(B902="",C902=""),"",IFERROR(IFERROR(INDEX(Vöruskrá!J:J,MATCH(B902,Vöruskrá!B:B,0)),0)*C902/100000,""))</f>
        <v>1.49</v>
      </c>
      <c r="H902" s="169">
        <f>IF(OR(B902="",C902=""),"",IFERROR(IFERROR(INDEX(Vöruskrá!K:K,MATCH(B902,Vöruskrá!B:B,0)),0)*C902/100000,""))</f>
        <v>5.0000000000000001E-3</v>
      </c>
      <c r="I902" s="169">
        <f>IF(OR(B902="",C902=""),"",IFERROR(IFERROR(INDEX(Vöruskrá!L:L,MATCH(B902,Vöruskrá!B:B,0)),0)*C902/100000,""))</f>
        <v>1E-3</v>
      </c>
      <c r="J902" s="169">
        <f>IF(OR(B902="",C902=""),"",IFERROR(IFERROR(INDEX(Vöruskrá!M:M,MATCH(B902,Vöruskrá!B:B,0)),0)*C902/100000,""))</f>
        <v>0.33100000000000002</v>
      </c>
      <c r="K902" s="169">
        <f>IF(OR(B902="",C902=""),"",IFERROR(IFERROR(INDEX(Vöruskrá!N:N,MATCH(B902,Vöruskrá!B:B,0)),0)*C902/100000,""))</f>
        <v>0.01</v>
      </c>
      <c r="L902" s="169">
        <f>IF(OR(B902="",C902=""),"",IFERROR(IFERROR(INDEX(Vöruskrá!O:O,MATCH(B902,Vöruskrá!B:B,0)),0)*C902/100000,""))</f>
        <v>6.4000000000000001E-2</v>
      </c>
      <c r="M902" s="169">
        <f>IF(OR(B902="",C902=""),"",IFERROR(IFERROR(INDEX(Vöruskrá!P:P,MATCH(B902,Vöruskrá!B:B,0)),0)*C902/100000,""))</f>
        <v>0</v>
      </c>
      <c r="N902" s="169">
        <f>IF(OR(B902="",C902=""),"",IFERROR(IFERROR(INDEX(Vöruskrá!Q:Q,MATCH(B902,Vöruskrá!B:B,0)),0)*C902/100000,""))</f>
        <v>2.1000000000000001E-2</v>
      </c>
      <c r="O902" s="170">
        <f>IF(OR(B902="",C902=""),"",IFERROR(C902/1000*IFERROR(INDEX(Vöruskrá!R:R,MATCH(B902,Vöruskrá!B:B,0)),0)/1000,""))</f>
        <v>0</v>
      </c>
      <c r="P902" s="173"/>
      <c r="Q902" s="157"/>
      <c r="R902" s="27"/>
    </row>
    <row r="903" spans="1:18" ht="15">
      <c r="A903" s="171"/>
      <c r="B903" s="171" t="s">
        <v>1022</v>
      </c>
      <c r="C903" s="172">
        <v>2000</v>
      </c>
      <c r="D903" s="168" t="s">
        <v>1023</v>
      </c>
      <c r="E903" s="168" t="s">
        <v>134</v>
      </c>
      <c r="F903" s="168" t="s">
        <v>1024</v>
      </c>
      <c r="G903" s="169">
        <f>IF(OR(B903="",C903=""),"",IFERROR(IFERROR(INDEX(Vöruskrá!J:J,MATCH(B903,Vöruskrá!B:B,0)),0)*C903/100000,""))</f>
        <v>6.5</v>
      </c>
      <c r="H903" s="169">
        <f>IF(OR(B903="",C903=""),"",IFERROR(IFERROR(INDEX(Vöruskrá!K:K,MATCH(B903,Vöruskrá!B:B,0)),0)*C903/100000,""))</f>
        <v>0.28000000000000003</v>
      </c>
      <c r="I903" s="169">
        <f>IF(OR(B903="",C903=""),"",IFERROR(IFERROR(INDEX(Vöruskrá!L:L,MATCH(B903,Vöruskrá!B:B,0)),0)*C903/100000,""))</f>
        <v>0.04</v>
      </c>
      <c r="J903" s="169">
        <f>IF(OR(B903="",C903=""),"",IFERROR(IFERROR(INDEX(Vöruskrá!M:M,MATCH(B903,Vöruskrá!B:B,0)),0)*C903/100000,""))</f>
        <v>1.1000000000000001</v>
      </c>
      <c r="K903" s="169">
        <f>IF(OR(B903="",C903=""),"",IFERROR(IFERROR(INDEX(Vöruskrá!N:N,MATCH(B903,Vöruskrá!B:B,0)),0)*C903/100000,""))</f>
        <v>5.6000000000000001E-2</v>
      </c>
      <c r="L903" s="169">
        <f>IF(OR(B903="",C903=""),"",IFERROR(IFERROR(INDEX(Vöruskrá!O:O,MATCH(B903,Vöruskrá!B:B,0)),0)*C903/100000,""))</f>
        <v>0.28000000000000003</v>
      </c>
      <c r="M903" s="169">
        <f>IF(OR(B903="",C903=""),"",IFERROR(IFERROR(INDEX(Vöruskrá!P:P,MATCH(B903,Vöruskrá!B:B,0)),0)*C903/100000,""))</f>
        <v>2E-3</v>
      </c>
      <c r="N903" s="169">
        <f>IF(OR(B903="",C903=""),"",IFERROR(IFERROR(INDEX(Vöruskrá!Q:Q,MATCH(B903,Vöruskrá!B:B,0)),0)*C903/100000,""))</f>
        <v>0.66</v>
      </c>
      <c r="O903" s="170">
        <f>IF(OR(B903="",C903=""),"",IFERROR(C903/1000*IFERROR(INDEX(Vöruskrá!R:R,MATCH(B903,Vöruskrá!B:B,0)),0)/1000,""))</f>
        <v>0</v>
      </c>
      <c r="P903" s="171"/>
      <c r="Q903" s="158"/>
      <c r="R903" s="6"/>
    </row>
    <row r="904" spans="1:18" ht="15">
      <c r="A904" s="173"/>
      <c r="B904" s="173" t="s">
        <v>1062</v>
      </c>
      <c r="C904" s="174">
        <v>500</v>
      </c>
      <c r="D904" s="168" t="s">
        <v>1063</v>
      </c>
      <c r="E904" s="168" t="s">
        <v>134</v>
      </c>
      <c r="F904" s="168" t="s">
        <v>1024</v>
      </c>
      <c r="G904" s="169">
        <f>IF(OR(B904="",C904=""),"",IFERROR(IFERROR(INDEX(Vöruskrá!J:J,MATCH(B904,Vöruskrá!B:B,0)),0)*C904/100000,""))</f>
        <v>1.875</v>
      </c>
      <c r="H904" s="169">
        <f>IF(OR(B904="",C904=""),"",IFERROR(IFERROR(INDEX(Vöruskrá!K:K,MATCH(B904,Vöruskrá!B:B,0)),0)*C904/100000,""))</f>
        <v>0.1115</v>
      </c>
      <c r="I904" s="169">
        <f>IF(OR(B904="",C904=""),"",IFERROR(IFERROR(INDEX(Vöruskrá!L:L,MATCH(B904,Vöruskrá!B:B,0)),0)*C904/100000,""))</f>
        <v>6.4999999999999997E-3</v>
      </c>
      <c r="J904" s="169">
        <f>IF(OR(B904="",C904=""),"",IFERROR(IFERROR(INDEX(Vöruskrá!M:M,MATCH(B904,Vöruskrá!B:B,0)),0)*C904/100000,""))</f>
        <v>0.221</v>
      </c>
      <c r="K904" s="169">
        <f>IF(OR(B904="",C904=""),"",IFERROR(IFERROR(INDEX(Vöruskrá!N:N,MATCH(B904,Vöruskrá!B:B,0)),0)*C904/100000,""))</f>
        <v>1.15E-2</v>
      </c>
      <c r="L904" s="169">
        <f>IF(OR(B904="",C904=""),"",IFERROR(IFERROR(INDEX(Vöruskrá!O:O,MATCH(B904,Vöruskrá!B:B,0)),0)*C904/100000,""))</f>
        <v>8.8999999999999996E-2</v>
      </c>
      <c r="M904" s="169">
        <f>IF(OR(B904="",C904=""),"",IFERROR(IFERROR(INDEX(Vöruskrá!P:P,MATCH(B904,Vöruskrá!B:B,0)),0)*C904/100000,""))</f>
        <v>1E-3</v>
      </c>
      <c r="N904" s="169">
        <f>IF(OR(B904="",C904=""),"",IFERROR(IFERROR(INDEX(Vöruskrá!Q:Q,MATCH(B904,Vöruskrá!B:B,0)),0)*C904/100000,""))</f>
        <v>5.2499999999999998E-2</v>
      </c>
      <c r="O904" s="170">
        <f>IF(OR(B904="",C904=""),"",IFERROR(C904/1000*IFERROR(INDEX(Vöruskrá!R:R,MATCH(B904,Vöruskrá!B:B,0)),0)/1000,""))</f>
        <v>0</v>
      </c>
      <c r="P904" s="173"/>
      <c r="Q904" s="157"/>
      <c r="R904" s="27"/>
    </row>
    <row r="905" spans="1:18" ht="15">
      <c r="A905" s="171"/>
      <c r="B905" s="171" t="s">
        <v>1475</v>
      </c>
      <c r="C905" s="172">
        <v>500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504</v>
      </c>
      <c r="C906" s="174">
        <v>2500</v>
      </c>
      <c r="D906" s="168" t="s">
        <v>500</v>
      </c>
      <c r="E906" s="168" t="s">
        <v>134</v>
      </c>
      <c r="F906" s="168"/>
      <c r="G906" s="169">
        <f>IF(OR(B906="",C906=""),"",IFERROR(IFERROR(INDEX(Vöruskrá!J:J,MATCH(B906,Vöruskrá!B:B,0)),0)*C906/100000,""))</f>
        <v>2.8250000000000002</v>
      </c>
      <c r="H906" s="169">
        <f>IF(OR(B906="",C906=""),"",IFERROR(IFERROR(INDEX(Vöruskrá!K:K,MATCH(B906,Vöruskrá!B:B,0)),0)*C906/100000,""))</f>
        <v>0.01</v>
      </c>
      <c r="I906" s="169">
        <f>IF(OR(B906="",C906=""),"",IFERROR(IFERROR(INDEX(Vöruskrá!L:L,MATCH(B906,Vöruskrá!B:B,0)),0)*C906/100000,""))</f>
        <v>0</v>
      </c>
      <c r="J906" s="169">
        <f>IF(OR(B906="",C906=""),"",IFERROR(IFERROR(INDEX(Vöruskrá!M:M,MATCH(B906,Vöruskrá!B:B,0)),0)*C906/100000,""))</f>
        <v>0.47499999999999998</v>
      </c>
      <c r="K906" s="169">
        <f>IF(OR(B906="",C906=""),"",IFERROR(IFERROR(INDEX(Vöruskrá!N:N,MATCH(B906,Vöruskrá!B:B,0)),0)*C906/100000,""))</f>
        <v>0.35</v>
      </c>
      <c r="L906" s="169">
        <f>IF(OR(B906="",C906=""),"",IFERROR(IFERROR(INDEX(Vöruskrá!O:O,MATCH(B906,Vöruskrá!B:B,0)),0)*C906/100000,""))</f>
        <v>0.15</v>
      </c>
      <c r="M906" s="169">
        <f>IF(OR(B906="",C906=""),"",IFERROR(IFERROR(INDEX(Vöruskrá!P:P,MATCH(B906,Vöruskrá!B:B,0)),0)*C906/100000,""))</f>
        <v>2.5000000000000001E-3</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299</v>
      </c>
      <c r="C907" s="172">
        <v>700</v>
      </c>
      <c r="D907" s="168" t="s">
        <v>302</v>
      </c>
      <c r="E907" s="168" t="s">
        <v>134</v>
      </c>
      <c r="F907" s="168" t="s">
        <v>303</v>
      </c>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0.7</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1270</v>
      </c>
      <c r="C908" s="174">
        <v>1500</v>
      </c>
      <c r="D908" s="168" t="s">
        <v>1270</v>
      </c>
      <c r="E908" s="168" t="s">
        <v>134</v>
      </c>
      <c r="F908" s="168"/>
      <c r="G908" s="169">
        <f>IF(OR(B908="",C908=""),"",IFERROR(IFERROR(INDEX(Vöruskrá!J:J,MATCH(B908,Vöruskrá!B:B,0)),0)*C908/100000,""))</f>
        <v>13.5</v>
      </c>
      <c r="H908" s="169">
        <f>IF(OR(B908="",C908=""),"",IFERROR(IFERROR(INDEX(Vöruskrá!K:K,MATCH(B908,Vöruskrá!B:B,0)),0)*C908/100000,""))</f>
        <v>1.5</v>
      </c>
      <c r="I908" s="169">
        <f>IF(OR(B908="",C908=""),"",IFERROR(IFERROR(INDEX(Vöruskrá!L:L,MATCH(B908,Vöruskrá!B:B,0)),0)*C908/100000,""))</f>
        <v>0.105</v>
      </c>
      <c r="J908" s="169">
        <f>IF(OR(B908="",C908=""),"",IFERROR(IFERROR(INDEX(Vöruskrá!M:M,MATCH(B908,Vöruskrá!B:B,0)),0)*C908/100000,""))</f>
        <v>0.97499999999999998</v>
      </c>
      <c r="K908" s="169">
        <f>IF(OR(B908="",C908=""),"",IFERROR(IFERROR(INDEX(Vöruskrá!N:N,MATCH(B908,Vöruskrá!B:B,0)),0)*C908/100000,""))</f>
        <v>0.41249999999999998</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1471</v>
      </c>
      <c r="C909" s="172">
        <v>300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200"/>
      <c r="R909" s="159"/>
    </row>
    <row r="910" spans="1:18" ht="60">
      <c r="A910" s="147" t="s">
        <v>2024</v>
      </c>
      <c r="B910" s="147"/>
      <c r="C910" s="148"/>
      <c r="D910" s="165" t="s">
        <v>2025</v>
      </c>
      <c r="E910" s="165" t="s">
        <v>120</v>
      </c>
      <c r="F910" s="165"/>
      <c r="G910" s="166">
        <v>156.44999999999999</v>
      </c>
      <c r="H910" s="166">
        <v>8.52</v>
      </c>
      <c r="I910" s="166">
        <v>5.17</v>
      </c>
      <c r="J910" s="166">
        <v>17.21</v>
      </c>
      <c r="K910" s="166"/>
      <c r="L910" s="166">
        <v>2.9</v>
      </c>
      <c r="M910" s="166">
        <v>18.84</v>
      </c>
      <c r="N910" s="166">
        <f>IFERROR(SUM(N911:N919)/(SUM($C$911:$C$919)/100000),"")</f>
        <v>8.900000000000001E-2</v>
      </c>
      <c r="O910" s="167" t="str">
        <f>IF(OR(B910="",C910=""),"",IFERROR(C910/1000*IFERROR(INDEX(Vöruskrá!R:R,MATCH(B910,Vöruskrá!B:B,0)),0)/1000,""))</f>
        <v/>
      </c>
      <c r="P910" s="196" t="s">
        <v>2026</v>
      </c>
      <c r="Q910" s="195" t="s">
        <v>2027</v>
      </c>
      <c r="R910" s="194" t="s">
        <v>2028</v>
      </c>
    </row>
    <row r="911" spans="1:18" ht="15">
      <c r="A911" s="171"/>
      <c r="B911" s="171" t="s">
        <v>1504</v>
      </c>
      <c r="C911" s="172">
        <v>35000</v>
      </c>
      <c r="D911" s="168"/>
      <c r="E911" s="168"/>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97"/>
      <c r="R911" s="164"/>
    </row>
    <row r="912" spans="1:18" ht="15">
      <c r="A912" s="173"/>
      <c r="B912" s="173" t="s">
        <v>330</v>
      </c>
      <c r="C912" s="174">
        <v>40000</v>
      </c>
      <c r="D912" s="168" t="s">
        <v>331</v>
      </c>
      <c r="E912" s="168" t="s">
        <v>134</v>
      </c>
      <c r="F912" s="168"/>
      <c r="G912" s="169">
        <f>IF(OR(B912="",C912=""),"",IFERROR(IFERROR(INDEX(Vöruskrá!J:J,MATCH(B912,Vöruskrá!B:B,0)),0)*C912/100000,""))</f>
        <v>80</v>
      </c>
      <c r="H912" s="169">
        <f>IF(OR(B912="",C912=""),"",IFERROR(IFERROR(INDEX(Vöruskrá!K:K,MATCH(B912,Vöruskrá!B:B,0)),0)*C912/100000,""))</f>
        <v>0.8</v>
      </c>
      <c r="I912" s="169">
        <f>IF(OR(B912="",C912=""),"",IFERROR(IFERROR(INDEX(Vöruskrá!L:L,MATCH(B912,Vöruskrá!B:B,0)),0)*C912/100000,""))</f>
        <v>0.4</v>
      </c>
      <c r="J912" s="169">
        <f>IF(OR(B912="",C912=""),"",IFERROR(IFERROR(INDEX(Vöruskrá!M:M,MATCH(B912,Vöruskrá!B:B,0)),0)*C912/100000,""))</f>
        <v>16</v>
      </c>
      <c r="K912" s="169">
        <f>IF(OR(B912="",C912=""),"",IFERROR(IFERROR(INDEX(Vöruskrá!N:N,MATCH(B912,Vöruskrá!B:B,0)),0)*C912/100000,""))</f>
        <v>4.8</v>
      </c>
      <c r="L912" s="169">
        <f>IF(OR(B912="",C912=""),"",IFERROR(IFERROR(INDEX(Vöruskrá!O:O,MATCH(B912,Vöruskrá!B:B,0)),0)*C912/100000,""))</f>
        <v>2.4</v>
      </c>
      <c r="M912" s="169">
        <f>IF(OR(B912="",C912=""),"",IFERROR(IFERROR(INDEX(Vöruskrá!P:P,MATCH(B912,Vöruskrá!B:B,0)),0)*C912/100000,""))</f>
        <v>18</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1058</v>
      </c>
      <c r="C913" s="172">
        <v>15000</v>
      </c>
      <c r="D913" s="168" t="s">
        <v>1059</v>
      </c>
      <c r="E913" s="168" t="s">
        <v>120</v>
      </c>
      <c r="F913" s="168"/>
      <c r="G913" s="169">
        <f>IF(OR(B913="",C913=""),"",IFERROR(IFERROR(INDEX(Vöruskrá!J:J,MATCH(B913,Vöruskrá!B:B,0)),0)*C913/100000,""))</f>
        <v>51</v>
      </c>
      <c r="H913" s="169">
        <f>IF(OR(B913="",C913=""),"",IFERROR(IFERROR(INDEX(Vöruskrá!K:K,MATCH(B913,Vöruskrá!B:B,0)),0)*C913/100000,""))</f>
        <v>5.25</v>
      </c>
      <c r="I913" s="169">
        <f>IF(OR(B913="",C913=""),"",IFERROR(IFERROR(INDEX(Vöruskrá!L:L,MATCH(B913,Vöruskrá!B:B,0)),0)*C913/100000,""))</f>
        <v>3.3</v>
      </c>
      <c r="J913" s="169">
        <f>IF(OR(B913="",C913=""),"",IFERROR(IFERROR(INDEX(Vöruskrá!M:M,MATCH(B913,Vöruskrá!B:B,0)),0)*C913/100000,""))</f>
        <v>0.45</v>
      </c>
      <c r="K913" s="169">
        <f>IF(OR(B913="",C913=""),"",IFERROR(IFERROR(INDEX(Vöruskrá!N:N,MATCH(B913,Vöruskrá!B:B,0)),0)*C913/100000,""))</f>
        <v>0.45</v>
      </c>
      <c r="L913" s="169">
        <f>IF(OR(B913="",C913=""),"",IFERROR(IFERROR(INDEX(Vöruskrá!O:O,MATCH(B913,Vöruskrá!B:B,0)),0)*C913/100000,""))</f>
        <v>0.375</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445</v>
      </c>
      <c r="C914" s="174">
        <v>3000</v>
      </c>
      <c r="D914" s="168" t="s">
        <v>448</v>
      </c>
      <c r="E914" s="168" t="s">
        <v>120</v>
      </c>
      <c r="F914" s="168"/>
      <c r="G914" s="169">
        <f>IF(OR(B914="",C914=""),"",IFERROR(IFERROR(INDEX(Vöruskrá!J:J,MATCH(B914,Vöruskrá!B:B,0)),0)*C914/100000,""))</f>
        <v>22.14</v>
      </c>
      <c r="H914" s="169">
        <f>IF(OR(B914="",C914=""),"",IFERROR(IFERROR(INDEX(Vöruskrá!K:K,MATCH(B914,Vöruskrá!B:B,0)),0)*C914/100000,""))</f>
        <v>2.46</v>
      </c>
      <c r="I914" s="169">
        <f>IF(OR(B914="",C914=""),"",IFERROR(IFERROR(INDEX(Vöruskrá!L:L,MATCH(B914,Vöruskrá!B:B,0)),0)*C914/100000,""))</f>
        <v>1.47</v>
      </c>
      <c r="J914" s="169">
        <f>IF(OR(B914="",C914=""),"",IFERROR(IFERROR(INDEX(Vöruskrá!M:M,MATCH(B914,Vöruskrá!B:B,0)),0)*C914/100000,""))</f>
        <v>1.2E-2</v>
      </c>
      <c r="K914" s="169">
        <f>IF(OR(B914="",C914=""),"",IFERROR(IFERROR(INDEX(Vöruskrá!N:N,MATCH(B914,Vöruskrá!B:B,0)),0)*C914/100000,""))</f>
        <v>1.2E-2</v>
      </c>
      <c r="L914" s="169">
        <f>IF(OR(B914="",C914=""),"",IFERROR(IFERROR(INDEX(Vöruskrá!O:O,MATCH(B914,Vöruskrá!B:B,0)),0)*C914/100000,""))</f>
        <v>1.7999999999999999E-2</v>
      </c>
      <c r="M914" s="169">
        <f>IF(OR(B914="",C914=""),"",IFERROR(IFERROR(INDEX(Vöruskrá!P:P,MATCH(B914,Vöruskrá!B:B,0)),0)*C914/100000,""))</f>
        <v>3.5999999999999997E-2</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1010</v>
      </c>
      <c r="C915" s="172">
        <v>4000</v>
      </c>
      <c r="D915" s="168" t="s">
        <v>1010</v>
      </c>
      <c r="E915" s="168" t="s">
        <v>134</v>
      </c>
      <c r="F915" s="168"/>
      <c r="G915" s="169">
        <f>IF(OR(B915="",C915=""),"",IFERROR(IFERROR(INDEX(Vöruskrá!J:J,MATCH(B915,Vöruskrá!B:B,0)),0)*C915/100000,""))</f>
        <v>1.6</v>
      </c>
      <c r="H915" s="169">
        <f>IF(OR(B915="",C915=""),"",IFERROR(IFERROR(INDEX(Vöruskrá!K:K,MATCH(B915,Vöruskrá!B:B,0)),0)*C915/100000,""))</f>
        <v>4.0000000000000001E-3</v>
      </c>
      <c r="I915" s="169">
        <f>IF(OR(B915="",C915=""),"",IFERROR(IFERROR(INDEX(Vöruskrá!L:L,MATCH(B915,Vöruskrá!B:B,0)),0)*C915/100000,""))</f>
        <v>0</v>
      </c>
      <c r="J915" s="169">
        <f>IF(OR(B915="",C915=""),"",IFERROR(IFERROR(INDEX(Vöruskrá!M:M,MATCH(B915,Vöruskrá!B:B,0)),0)*C915/100000,""))</f>
        <v>0.372</v>
      </c>
      <c r="K915" s="169">
        <f>IF(OR(B915="",C915=""),"",IFERROR(IFERROR(INDEX(Vöruskrá!N:N,MATCH(B915,Vöruskrá!B:B,0)),0)*C915/100000,""))</f>
        <v>0.16800000000000001</v>
      </c>
      <c r="L915" s="169">
        <f>IF(OR(B915="",C915=""),"",IFERROR(IFERROR(INDEX(Vöruskrá!O:O,MATCH(B915,Vöruskrá!B:B,0)),0)*C915/100000,""))</f>
        <v>4.3999999999999997E-2</v>
      </c>
      <c r="M915" s="169">
        <f>IF(OR(B915="",C915=""),"",IFERROR(IFERROR(INDEX(Vöruskrá!P:P,MATCH(B915,Vöruskrá!B:B,0)),0)*C915/100000,""))</f>
        <v>0</v>
      </c>
      <c r="N915" s="169">
        <f>IF(OR(B915="",C915=""),"",IFERROR(IFERROR(INDEX(Vöruskrá!Q:Q,MATCH(B915,Vöruskrá!B:B,0)),0)*C915/100000,""))</f>
        <v>6.8000000000000005E-2</v>
      </c>
      <c r="O915" s="170">
        <f>IF(OR(B915="",C915=""),"",IFERROR(C915/1000*IFERROR(INDEX(Vöruskrá!R:R,MATCH(B915,Vöruskrá!B:B,0)),0)/1000,""))</f>
        <v>0</v>
      </c>
      <c r="P915" s="171"/>
      <c r="Q915" s="158"/>
      <c r="R915" s="6"/>
    </row>
    <row r="916" spans="1:18" ht="15">
      <c r="A916" s="173"/>
      <c r="B916" s="173" t="s">
        <v>1017</v>
      </c>
      <c r="C916" s="174">
        <v>1000</v>
      </c>
      <c r="D916" s="168" t="s">
        <v>1017</v>
      </c>
      <c r="E916" s="168" t="s">
        <v>134</v>
      </c>
      <c r="F916" s="168"/>
      <c r="G916" s="169">
        <f>IF(OR(B916="",C916=""),"",IFERROR(IFERROR(INDEX(Vöruskrá!J:J,MATCH(B916,Vöruskrá!B:B,0)),0)*C916/100000,""))</f>
        <v>1.49</v>
      </c>
      <c r="H916" s="169">
        <f>IF(OR(B916="",C916=""),"",IFERROR(IFERROR(INDEX(Vöruskrá!K:K,MATCH(B916,Vöruskrá!B:B,0)),0)*C916/100000,""))</f>
        <v>5.0000000000000001E-3</v>
      </c>
      <c r="I916" s="169">
        <f>IF(OR(B916="",C916=""),"",IFERROR(IFERROR(INDEX(Vöruskrá!L:L,MATCH(B916,Vöruskrá!B:B,0)),0)*C916/100000,""))</f>
        <v>1E-3</v>
      </c>
      <c r="J916" s="169">
        <f>IF(OR(B916="",C916=""),"",IFERROR(IFERROR(INDEX(Vöruskrá!M:M,MATCH(B916,Vöruskrá!B:B,0)),0)*C916/100000,""))</f>
        <v>0.33100000000000002</v>
      </c>
      <c r="K916" s="169">
        <f>IF(OR(B916="",C916=""),"",IFERROR(IFERROR(INDEX(Vöruskrá!N:N,MATCH(B916,Vöruskrá!B:B,0)),0)*C916/100000,""))</f>
        <v>0.01</v>
      </c>
      <c r="L916" s="169">
        <f>IF(OR(B916="",C916=""),"",IFERROR(IFERROR(INDEX(Vöruskrá!O:O,MATCH(B916,Vöruskrá!B:B,0)),0)*C916/100000,""))</f>
        <v>6.4000000000000001E-2</v>
      </c>
      <c r="M916" s="169">
        <f>IF(OR(B916="",C916=""),"",IFERROR(IFERROR(INDEX(Vöruskrá!P:P,MATCH(B916,Vöruskrá!B:B,0)),0)*C916/100000,""))</f>
        <v>0</v>
      </c>
      <c r="N916" s="169">
        <f>IF(OR(B916="",C916=""),"",IFERROR(IFERROR(INDEX(Vöruskrá!Q:Q,MATCH(B916,Vöruskrá!B:B,0)),0)*C916/100000,""))</f>
        <v>2.1000000000000001E-2</v>
      </c>
      <c r="O916" s="170">
        <f>IF(OR(B916="",C916=""),"",IFERROR(C916/1000*IFERROR(INDEX(Vöruskrá!R:R,MATCH(B916,Vöruskrá!B:B,0)),0)/1000,""))</f>
        <v>0</v>
      </c>
      <c r="P916" s="173"/>
      <c r="Q916" s="157"/>
      <c r="R916" s="27"/>
    </row>
    <row r="917" spans="1:18" ht="15">
      <c r="A917" s="171"/>
      <c r="B917" s="171" t="s">
        <v>299</v>
      </c>
      <c r="C917" s="172">
        <v>800</v>
      </c>
      <c r="D917" s="168" t="s">
        <v>302</v>
      </c>
      <c r="E917" s="168" t="s">
        <v>134</v>
      </c>
      <c r="F917" s="168" t="s">
        <v>303</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0.8</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1505</v>
      </c>
      <c r="C918" s="174">
        <v>500</v>
      </c>
      <c r="D918" s="168"/>
      <c r="E918" s="168"/>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833</v>
      </c>
      <c r="C919" s="172">
        <v>700</v>
      </c>
      <c r="D919" s="168" t="s">
        <v>835</v>
      </c>
      <c r="E919" s="168"/>
      <c r="F919" s="168"/>
      <c r="G919" s="169">
        <f>IF(OR(B919="",C919=""),"",IFERROR(IFERROR(INDEX(Vöruskrá!J:J,MATCH(B919,Vöruskrá!B:B,0)),0)*C919/100000,""))</f>
        <v>0.217</v>
      </c>
      <c r="H919" s="169">
        <f>IF(OR(B919="",C919=""),"",IFERROR(IFERROR(INDEX(Vöruskrá!K:K,MATCH(B919,Vöruskrá!B:B,0)),0)*C919/100000,""))</f>
        <v>1.4E-3</v>
      </c>
      <c r="I919" s="169">
        <f>IF(OR(B919="",C919=""),"",IFERROR(IFERROR(INDEX(Vöruskrá!L:L,MATCH(B919,Vöruskrá!B:B,0)),0)*C919/100000,""))</f>
        <v>0</v>
      </c>
      <c r="J919" s="169">
        <f>IF(OR(B919="",C919=""),"",IFERROR(IFERROR(INDEX(Vöruskrá!M:M,MATCH(B919,Vöruskrá!B:B,0)),0)*C919/100000,""))</f>
        <v>4.8300000000000003E-2</v>
      </c>
      <c r="K919" s="169">
        <f>IF(OR(B919="",C919=""),"",IFERROR(IFERROR(INDEX(Vöruskrá!N:N,MATCH(B919,Vöruskrá!B:B,0)),0)*C919/100000,""))</f>
        <v>1.6799999999999999E-2</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200"/>
      <c r="R919" s="159"/>
    </row>
    <row r="920" spans="1:18" ht="48">
      <c r="A920" s="147" t="s">
        <v>2029</v>
      </c>
      <c r="B920" s="147"/>
      <c r="C920" s="148"/>
      <c r="D920" s="165" t="s">
        <v>2030</v>
      </c>
      <c r="E920" s="165" t="s">
        <v>120</v>
      </c>
      <c r="F920" s="165"/>
      <c r="G920" s="166">
        <v>157.28</v>
      </c>
      <c r="H920" s="166">
        <v>9.2100000000000009</v>
      </c>
      <c r="I920" s="166">
        <v>5.57</v>
      </c>
      <c r="J920" s="166">
        <v>15.89</v>
      </c>
      <c r="K920" s="166"/>
      <c r="L920" s="166">
        <v>2.75</v>
      </c>
      <c r="M920" s="166">
        <v>16.63</v>
      </c>
      <c r="N920" s="166">
        <f>IFERROR(SUM(N921:N931)/(SUM($C$921:$C$931)/100000),"")</f>
        <v>0.12574257425742574</v>
      </c>
      <c r="O920" s="167" t="str">
        <f>IF(OR(B920="",C920=""),"",IFERROR(C920/1000*IFERROR(INDEX(Vöruskrá!R:R,MATCH(B920,Vöruskrá!B:B,0)),0)/1000,""))</f>
        <v/>
      </c>
      <c r="P920" s="196" t="s">
        <v>2031</v>
      </c>
      <c r="Q920" s="199" t="s">
        <v>2032</v>
      </c>
      <c r="R920" s="198" t="s">
        <v>2033</v>
      </c>
    </row>
    <row r="921" spans="1:18" ht="15">
      <c r="A921" s="171"/>
      <c r="B921" s="171" t="s">
        <v>1506</v>
      </c>
      <c r="C921" s="172">
        <v>35000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97"/>
      <c r="R921" s="164"/>
    </row>
    <row r="922" spans="1:18" ht="15">
      <c r="A922" s="173"/>
      <c r="B922" s="173" t="s">
        <v>330</v>
      </c>
      <c r="C922" s="174">
        <v>35000</v>
      </c>
      <c r="D922" s="168" t="s">
        <v>331</v>
      </c>
      <c r="E922" s="168" t="s">
        <v>134</v>
      </c>
      <c r="F922" s="168"/>
      <c r="G922" s="169">
        <f>IF(OR(B922="",C922=""),"",IFERROR(IFERROR(INDEX(Vöruskrá!J:J,MATCH(B922,Vöruskrá!B:B,0)),0)*C922/100000,""))</f>
        <v>70</v>
      </c>
      <c r="H922" s="169">
        <f>IF(OR(B922="",C922=""),"",IFERROR(IFERROR(INDEX(Vöruskrá!K:K,MATCH(B922,Vöruskrá!B:B,0)),0)*C922/100000,""))</f>
        <v>0.7</v>
      </c>
      <c r="I922" s="169">
        <f>IF(OR(B922="",C922=""),"",IFERROR(IFERROR(INDEX(Vöruskrá!L:L,MATCH(B922,Vöruskrá!B:B,0)),0)*C922/100000,""))</f>
        <v>0.35</v>
      </c>
      <c r="J922" s="169">
        <f>IF(OR(B922="",C922=""),"",IFERROR(IFERROR(INDEX(Vöruskrá!M:M,MATCH(B922,Vöruskrá!B:B,0)),0)*C922/100000,""))</f>
        <v>14</v>
      </c>
      <c r="K922" s="169">
        <f>IF(OR(B922="",C922=""),"",IFERROR(IFERROR(INDEX(Vöruskrá!N:N,MATCH(B922,Vöruskrá!B:B,0)),0)*C922/100000,""))</f>
        <v>4.2</v>
      </c>
      <c r="L922" s="169">
        <f>IF(OR(B922="",C922=""),"",IFERROR(IFERROR(INDEX(Vöruskrá!O:O,MATCH(B922,Vöruskrá!B:B,0)),0)*C922/100000,""))</f>
        <v>2.1</v>
      </c>
      <c r="M922" s="169">
        <f>IF(OR(B922="",C922=""),"",IFERROR(IFERROR(INDEX(Vöruskrá!P:P,MATCH(B922,Vöruskrá!B:B,0)),0)*C922/100000,""))</f>
        <v>15.75</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1058</v>
      </c>
      <c r="C923" s="172">
        <v>15000</v>
      </c>
      <c r="D923" s="168" t="s">
        <v>1059</v>
      </c>
      <c r="E923" s="168" t="s">
        <v>120</v>
      </c>
      <c r="F923" s="168"/>
      <c r="G923" s="169">
        <f>IF(OR(B923="",C923=""),"",IFERROR(IFERROR(INDEX(Vöruskrá!J:J,MATCH(B923,Vöruskrá!B:B,0)),0)*C923/100000,""))</f>
        <v>51</v>
      </c>
      <c r="H923" s="169">
        <f>IF(OR(B923="",C923=""),"",IFERROR(IFERROR(INDEX(Vöruskrá!K:K,MATCH(B923,Vöruskrá!B:B,0)),0)*C923/100000,""))</f>
        <v>5.25</v>
      </c>
      <c r="I923" s="169">
        <f>IF(OR(B923="",C923=""),"",IFERROR(IFERROR(INDEX(Vöruskrá!L:L,MATCH(B923,Vöruskrá!B:B,0)),0)*C923/100000,""))</f>
        <v>3.3</v>
      </c>
      <c r="J923" s="169">
        <f>IF(OR(B923="",C923=""),"",IFERROR(IFERROR(INDEX(Vöruskrá!M:M,MATCH(B923,Vöruskrá!B:B,0)),0)*C923/100000,""))</f>
        <v>0.45</v>
      </c>
      <c r="K923" s="169">
        <f>IF(OR(B923="",C923=""),"",IFERROR(IFERROR(INDEX(Vöruskrá!N:N,MATCH(B923,Vöruskrá!B:B,0)),0)*C923/100000,""))</f>
        <v>0.45</v>
      </c>
      <c r="L923" s="169">
        <f>IF(OR(B923="",C923=""),"",IFERROR(IFERROR(INDEX(Vöruskrá!O:O,MATCH(B923,Vöruskrá!B:B,0)),0)*C923/100000,""))</f>
        <v>0.375</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445</v>
      </c>
      <c r="C924" s="174">
        <v>4000</v>
      </c>
      <c r="D924" s="168" t="s">
        <v>448</v>
      </c>
      <c r="E924" s="168" t="s">
        <v>120</v>
      </c>
      <c r="F924" s="168"/>
      <c r="G924" s="169">
        <f>IF(OR(B924="",C924=""),"",IFERROR(IFERROR(INDEX(Vöruskrá!J:J,MATCH(B924,Vöruskrá!B:B,0)),0)*C924/100000,""))</f>
        <v>29.52</v>
      </c>
      <c r="H924" s="169">
        <f>IF(OR(B924="",C924=""),"",IFERROR(IFERROR(INDEX(Vöruskrá!K:K,MATCH(B924,Vöruskrá!B:B,0)),0)*C924/100000,""))</f>
        <v>3.28</v>
      </c>
      <c r="I924" s="169">
        <f>IF(OR(B924="",C924=""),"",IFERROR(IFERROR(INDEX(Vöruskrá!L:L,MATCH(B924,Vöruskrá!B:B,0)),0)*C924/100000,""))</f>
        <v>1.96</v>
      </c>
      <c r="J924" s="169">
        <f>IF(OR(B924="",C924=""),"",IFERROR(IFERROR(INDEX(Vöruskrá!M:M,MATCH(B924,Vöruskrá!B:B,0)),0)*C924/100000,""))</f>
        <v>1.6E-2</v>
      </c>
      <c r="K924" s="169">
        <f>IF(OR(B924="",C924=""),"",IFERROR(IFERROR(INDEX(Vöruskrá!N:N,MATCH(B924,Vöruskrá!B:B,0)),0)*C924/100000,""))</f>
        <v>1.6E-2</v>
      </c>
      <c r="L924" s="169">
        <f>IF(OR(B924="",C924=""),"",IFERROR(IFERROR(INDEX(Vöruskrá!O:O,MATCH(B924,Vöruskrá!B:B,0)),0)*C924/100000,""))</f>
        <v>2.4E-2</v>
      </c>
      <c r="M924" s="169">
        <f>IF(OR(B924="",C924=""),"",IFERROR(IFERROR(INDEX(Vöruskrá!P:P,MATCH(B924,Vöruskrá!B:B,0)),0)*C924/100000,""))</f>
        <v>4.8000000000000001E-2</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1010</v>
      </c>
      <c r="C925" s="172">
        <v>5000</v>
      </c>
      <c r="D925" s="168" t="s">
        <v>1010</v>
      </c>
      <c r="E925" s="168" t="s">
        <v>134</v>
      </c>
      <c r="F925" s="168"/>
      <c r="G925" s="169">
        <f>IF(OR(B925="",C925=""),"",IFERROR(IFERROR(INDEX(Vöruskrá!J:J,MATCH(B925,Vöruskrá!B:B,0)),0)*C925/100000,""))</f>
        <v>2</v>
      </c>
      <c r="H925" s="169">
        <f>IF(OR(B925="",C925=""),"",IFERROR(IFERROR(INDEX(Vöruskrá!K:K,MATCH(B925,Vöruskrá!B:B,0)),0)*C925/100000,""))</f>
        <v>5.0000000000000001E-3</v>
      </c>
      <c r="I925" s="169">
        <f>IF(OR(B925="",C925=""),"",IFERROR(IFERROR(INDEX(Vöruskrá!L:L,MATCH(B925,Vöruskrá!B:B,0)),0)*C925/100000,""))</f>
        <v>0</v>
      </c>
      <c r="J925" s="169">
        <f>IF(OR(B925="",C925=""),"",IFERROR(IFERROR(INDEX(Vöruskrá!M:M,MATCH(B925,Vöruskrá!B:B,0)),0)*C925/100000,""))</f>
        <v>0.46500000000000002</v>
      </c>
      <c r="K925" s="169">
        <f>IF(OR(B925="",C925=""),"",IFERROR(IFERROR(INDEX(Vöruskrá!N:N,MATCH(B925,Vöruskrá!B:B,0)),0)*C925/100000,""))</f>
        <v>0.21</v>
      </c>
      <c r="L925" s="169">
        <f>IF(OR(B925="",C925=""),"",IFERROR(IFERROR(INDEX(Vöruskrá!O:O,MATCH(B925,Vöruskrá!B:B,0)),0)*C925/100000,""))</f>
        <v>5.5E-2</v>
      </c>
      <c r="M925" s="169">
        <f>IF(OR(B925="",C925=""),"",IFERROR(IFERROR(INDEX(Vöruskrá!P:P,MATCH(B925,Vöruskrá!B:B,0)),0)*C925/100000,""))</f>
        <v>0</v>
      </c>
      <c r="N925" s="169">
        <f>IF(OR(B925="",C925=""),"",IFERROR(IFERROR(INDEX(Vöruskrá!Q:Q,MATCH(B925,Vöruskrá!B:B,0)),0)*C925/100000,""))</f>
        <v>8.5000000000000006E-2</v>
      </c>
      <c r="O925" s="170">
        <f>IF(OR(B925="",C925=""),"",IFERROR(C925/1000*IFERROR(INDEX(Vöruskrá!R:R,MATCH(B925,Vöruskrá!B:B,0)),0)/1000,""))</f>
        <v>0</v>
      </c>
      <c r="P925" s="171"/>
      <c r="Q925" s="158"/>
      <c r="R925" s="6"/>
    </row>
    <row r="926" spans="1:18" ht="15">
      <c r="A926" s="173"/>
      <c r="B926" s="173" t="s">
        <v>1017</v>
      </c>
      <c r="C926" s="174">
        <v>2000</v>
      </c>
      <c r="D926" s="168" t="s">
        <v>1017</v>
      </c>
      <c r="E926" s="168" t="s">
        <v>134</v>
      </c>
      <c r="F926" s="168"/>
      <c r="G926" s="169">
        <f>IF(OR(B926="",C926=""),"",IFERROR(IFERROR(INDEX(Vöruskrá!J:J,MATCH(B926,Vöruskrá!B:B,0)),0)*C926/100000,""))</f>
        <v>2.98</v>
      </c>
      <c r="H926" s="169">
        <f>IF(OR(B926="",C926=""),"",IFERROR(IFERROR(INDEX(Vöruskrá!K:K,MATCH(B926,Vöruskrá!B:B,0)),0)*C926/100000,""))</f>
        <v>0.01</v>
      </c>
      <c r="I926" s="169">
        <f>IF(OR(B926="",C926=""),"",IFERROR(IFERROR(INDEX(Vöruskrá!L:L,MATCH(B926,Vöruskrá!B:B,0)),0)*C926/100000,""))</f>
        <v>2E-3</v>
      </c>
      <c r="J926" s="169">
        <f>IF(OR(B926="",C926=""),"",IFERROR(IFERROR(INDEX(Vöruskrá!M:M,MATCH(B926,Vöruskrá!B:B,0)),0)*C926/100000,""))</f>
        <v>0.66200000000000003</v>
      </c>
      <c r="K926" s="169">
        <f>IF(OR(B926="",C926=""),"",IFERROR(IFERROR(INDEX(Vöruskrá!N:N,MATCH(B926,Vöruskrá!B:B,0)),0)*C926/100000,""))</f>
        <v>0.02</v>
      </c>
      <c r="L926" s="169">
        <f>IF(OR(B926="",C926=""),"",IFERROR(IFERROR(INDEX(Vöruskrá!O:O,MATCH(B926,Vöruskrá!B:B,0)),0)*C926/100000,""))</f>
        <v>0.128</v>
      </c>
      <c r="M926" s="169">
        <f>IF(OR(B926="",C926=""),"",IFERROR(IFERROR(INDEX(Vöruskrá!P:P,MATCH(B926,Vöruskrá!B:B,0)),0)*C926/100000,""))</f>
        <v>0</v>
      </c>
      <c r="N926" s="169">
        <f>IF(OR(B926="",C926=""),"",IFERROR(IFERROR(INDEX(Vöruskrá!Q:Q,MATCH(B926,Vöruskrá!B:B,0)),0)*C926/100000,""))</f>
        <v>4.2000000000000003E-2</v>
      </c>
      <c r="O926" s="170">
        <f>IF(OR(B926="",C926=""),"",IFERROR(C926/1000*IFERROR(INDEX(Vöruskrá!R:R,MATCH(B926,Vöruskrá!B:B,0)),0)/1000,""))</f>
        <v>0</v>
      </c>
      <c r="P926" s="173"/>
      <c r="Q926" s="157"/>
      <c r="R926" s="27"/>
    </row>
    <row r="927" spans="1:18" ht="15">
      <c r="A927" s="171"/>
      <c r="B927" s="171" t="s">
        <v>823</v>
      </c>
      <c r="C927" s="172">
        <v>500</v>
      </c>
      <c r="D927" s="168" t="s">
        <v>824</v>
      </c>
      <c r="E927" s="168"/>
      <c r="F927" s="168" t="s">
        <v>311</v>
      </c>
      <c r="G927" s="169">
        <f>IF(OR(B927="",C927=""),"",IFERROR(IFERROR(INDEX(Vöruskrá!J:J,MATCH(B927,Vöruskrá!B:B,0)),0)*C927/100000,""))</f>
        <v>1.425</v>
      </c>
      <c r="H927" s="169">
        <f>IF(OR(B927="",C927=""),"",IFERROR(IFERROR(INDEX(Vöruskrá!K:K,MATCH(B927,Vöruskrá!B:B,0)),0)*C927/100000,""))</f>
        <v>3.6999999999999998E-2</v>
      </c>
      <c r="I927" s="169">
        <f>IF(OR(B927="",C927=""),"",IFERROR(IFERROR(INDEX(Vöruskrá!L:L,MATCH(B927,Vöruskrá!B:B,0)),0)*C927/100000,""))</f>
        <v>1.35E-2</v>
      </c>
      <c r="J927" s="169">
        <f>IF(OR(B927="",C927=""),"",IFERROR(IFERROR(INDEX(Vöruskrá!M:M,MATCH(B927,Vöruskrá!B:B,0)),0)*C927/100000,""))</f>
        <v>0.13500000000000001</v>
      </c>
      <c r="K927" s="169">
        <f>IF(OR(B927="",C927=""),"",IFERROR(IFERROR(INDEX(Vöruskrá!N:N,MATCH(B927,Vöruskrá!B:B,0)),0)*C927/100000,""))</f>
        <v>8.5000000000000006E-3</v>
      </c>
      <c r="L927" s="169">
        <f>IF(OR(B927="",C927=""),"",IFERROR(IFERROR(INDEX(Vöruskrá!O:O,MATCH(B927,Vöruskrá!B:B,0)),0)*C927/100000,""))</f>
        <v>4.5499999999999999E-2</v>
      </c>
      <c r="M927" s="169">
        <f>IF(OR(B927="",C927=""),"",IFERROR(IFERROR(INDEX(Vöruskrá!P:P,MATCH(B927,Vöruskrá!B:B,0)),0)*C927/100000,""))</f>
        <v>5.0000000000000001E-4</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299</v>
      </c>
      <c r="C928" s="174">
        <v>1000</v>
      </c>
      <c r="D928" s="168" t="s">
        <v>302</v>
      </c>
      <c r="E928" s="168" t="s">
        <v>134</v>
      </c>
      <c r="F928" s="168" t="s">
        <v>303</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1</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819</v>
      </c>
      <c r="C929" s="172">
        <v>500</v>
      </c>
      <c r="D929" s="168" t="s">
        <v>820</v>
      </c>
      <c r="E929" s="168"/>
      <c r="F929" s="168" t="s">
        <v>311</v>
      </c>
      <c r="G929" s="169">
        <f>IF(OR(B929="",C929=""),"",IFERROR(IFERROR(INDEX(Vöruskrá!J:J,MATCH(B929,Vöruskrá!B:B,0)),0)*C929/100000,""))</f>
        <v>1.93</v>
      </c>
      <c r="H929" s="169">
        <f>IF(OR(B929="",C929=""),"",IFERROR(IFERROR(INDEX(Vöruskrá!K:K,MATCH(B929,Vöruskrá!B:B,0)),0)*C929/100000,""))</f>
        <v>1.6500000000000001E-2</v>
      </c>
      <c r="I929" s="169">
        <f>IF(OR(B929="",C929=""),"",IFERROR(IFERROR(INDEX(Vöruskrá!L:L,MATCH(B929,Vöruskrá!B:B,0)),0)*C929/100000,""))</f>
        <v>5.0000000000000001E-3</v>
      </c>
      <c r="J929" s="169">
        <f>IF(OR(B929="",C929=""),"",IFERROR(IFERROR(INDEX(Vöruskrá!M:M,MATCH(B929,Vöruskrá!B:B,0)),0)*C929/100000,""))</f>
        <v>0.32500000000000001</v>
      </c>
      <c r="K929" s="169">
        <f>IF(OR(B929="",C929=""),"",IFERROR(IFERROR(INDEX(Vöruskrá!N:N,MATCH(B929,Vöruskrá!B:B,0)),0)*C929/100000,""))</f>
        <v>3.0000000000000001E-3</v>
      </c>
      <c r="L929" s="169">
        <f>IF(OR(B929="",C929=""),"",IFERROR(IFERROR(INDEX(Vöruskrá!O:O,MATCH(B929,Vöruskrá!B:B,0)),0)*C929/100000,""))</f>
        <v>5.5E-2</v>
      </c>
      <c r="M929" s="169">
        <f>IF(OR(B929="",C929=""),"",IFERROR(IFERROR(INDEX(Vöruskrá!P:P,MATCH(B929,Vöruskrá!B:B,0)),0)*C929/100000,""))</f>
        <v>5.0000000000000001E-4</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1465</v>
      </c>
      <c r="C930" s="174">
        <v>2000</v>
      </c>
      <c r="D930" s="168"/>
      <c r="E930" s="168"/>
      <c r="F930" s="168"/>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1020</v>
      </c>
      <c r="C931" s="172">
        <v>1000</v>
      </c>
      <c r="D931" s="168" t="s">
        <v>1020</v>
      </c>
      <c r="E931" s="168" t="s">
        <v>134</v>
      </c>
      <c r="F931" s="168"/>
      <c r="G931" s="169">
        <f>IF(OR(B931="",C931=""),"",IFERROR(IFERROR(INDEX(Vöruskrá!J:J,MATCH(B931,Vöruskrá!B:B,0)),0)*C931/100000,""))</f>
        <v>0</v>
      </c>
      <c r="H931" s="169">
        <f>IF(OR(B931="",C931=""),"",IFERROR(IFERROR(INDEX(Vöruskrá!K:K,MATCH(B931,Vöruskrá!B:B,0)),0)*C931/100000,""))</f>
        <v>0</v>
      </c>
      <c r="I931" s="169">
        <f>IF(OR(B931="",C931=""),"",IFERROR(IFERROR(INDEX(Vöruskrá!L:L,MATCH(B931,Vöruskrá!B:B,0)),0)*C931/100000,""))</f>
        <v>0</v>
      </c>
      <c r="J931" s="169">
        <f>IF(OR(B931="",C931=""),"",IFERROR(IFERROR(INDEX(Vöruskrá!M:M,MATCH(B931,Vöruskrá!B:B,0)),0)*C931/100000,""))</f>
        <v>0</v>
      </c>
      <c r="K931" s="169">
        <f>IF(OR(B931="",C931=""),"",IFERROR(IFERROR(INDEX(Vöruskrá!N:N,MATCH(B931,Vöruskrá!B:B,0)),0)*C931/100000,""))</f>
        <v>0</v>
      </c>
      <c r="L931" s="169">
        <f>IF(OR(B931="",C931=""),"",IFERROR(IFERROR(INDEX(Vöruskrá!O:O,MATCH(B931,Vöruskrá!B:B,0)),0)*C931/100000,""))</f>
        <v>0</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200"/>
      <c r="R931" s="159"/>
    </row>
    <row r="932" spans="1:18" ht="48">
      <c r="A932" s="147" t="s">
        <v>2034</v>
      </c>
      <c r="B932" s="147"/>
      <c r="C932" s="148"/>
      <c r="D932" s="165" t="s">
        <v>2035</v>
      </c>
      <c r="E932" s="165" t="s">
        <v>120</v>
      </c>
      <c r="F932" s="165"/>
      <c r="G932" s="166">
        <v>113.69</v>
      </c>
      <c r="H932" s="166">
        <v>4.76</v>
      </c>
      <c r="I932" s="166">
        <v>2.89</v>
      </c>
      <c r="J932" s="166">
        <v>14.91</v>
      </c>
      <c r="K932" s="166"/>
      <c r="L932" s="166">
        <v>2.74</v>
      </c>
      <c r="M932" s="166">
        <v>11.75</v>
      </c>
      <c r="N932" s="166">
        <f>IFERROR(SUM(N933:N940)/(SUM($C$933:$C$940)/100000),"")</f>
        <v>0.10600000000000001</v>
      </c>
      <c r="O932" s="167" t="str">
        <f>IF(OR(B932="",C932=""),"",IFERROR(C932/1000*IFERROR(INDEX(Vöruskrá!R:R,MATCH(B932,Vöruskrá!B:B,0)),0)/1000,""))</f>
        <v/>
      </c>
      <c r="P932" s="196" t="s">
        <v>2036</v>
      </c>
      <c r="Q932" s="195" t="s">
        <v>2037</v>
      </c>
      <c r="R932" s="194" t="s">
        <v>2038</v>
      </c>
    </row>
    <row r="933" spans="1:18" ht="15">
      <c r="A933" s="171"/>
      <c r="B933" s="171" t="s">
        <v>743</v>
      </c>
      <c r="C933" s="172">
        <v>55000</v>
      </c>
      <c r="D933" s="168" t="s">
        <v>745</v>
      </c>
      <c r="E933" s="168"/>
      <c r="F933" s="168"/>
      <c r="G933" s="169">
        <f>IF(OR(B933="",C933=""),"",IFERROR(IFERROR(INDEX(Vöruskrá!J:J,MATCH(B933,Vöruskrá!B:B,0)),0)*C933/100000,""))</f>
        <v>15.4</v>
      </c>
      <c r="H933" s="169">
        <f>IF(OR(B933="",C933=""),"",IFERROR(IFERROR(INDEX(Vöruskrá!K:K,MATCH(B933,Vöruskrá!B:B,0)),0)*C933/100000,""))</f>
        <v>5.5E-2</v>
      </c>
      <c r="I933" s="169">
        <f>IF(OR(B933="",C933=""),"",IFERROR(IFERROR(INDEX(Vöruskrá!L:L,MATCH(B933,Vöruskrá!B:B,0)),0)*C933/100000,""))</f>
        <v>0</v>
      </c>
      <c r="J933" s="169">
        <f>IF(OR(B933="",C933=""),"",IFERROR(IFERROR(INDEX(Vöruskrá!M:M,MATCH(B933,Vöruskrá!B:B,0)),0)*C933/100000,""))</f>
        <v>2.75</v>
      </c>
      <c r="K933" s="169">
        <f>IF(OR(B933="",C933=""),"",IFERROR(IFERROR(INDEX(Vöruskrá!N:N,MATCH(B933,Vöruskrá!B:B,0)),0)*C933/100000,""))</f>
        <v>1.87</v>
      </c>
      <c r="L933" s="169">
        <f>IF(OR(B933="",C933=""),"",IFERROR(IFERROR(INDEX(Vöruskrá!O:O,MATCH(B933,Vöruskrá!B:B,0)),0)*C933/100000,""))</f>
        <v>0.82499999999999996</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97"/>
      <c r="R933" s="164"/>
    </row>
    <row r="934" spans="1:18" ht="15">
      <c r="A934" s="173"/>
      <c r="B934" s="173" t="s">
        <v>330</v>
      </c>
      <c r="C934" s="174">
        <v>25000</v>
      </c>
      <c r="D934" s="168" t="s">
        <v>331</v>
      </c>
      <c r="E934" s="168" t="s">
        <v>134</v>
      </c>
      <c r="F934" s="168"/>
      <c r="G934" s="169">
        <f>IF(OR(B934="",C934=""),"",IFERROR(IFERROR(INDEX(Vöruskrá!J:J,MATCH(B934,Vöruskrá!B:B,0)),0)*C934/100000,""))</f>
        <v>50</v>
      </c>
      <c r="H934" s="169">
        <f>IF(OR(B934="",C934=""),"",IFERROR(IFERROR(INDEX(Vöruskrá!K:K,MATCH(B934,Vöruskrá!B:B,0)),0)*C934/100000,""))</f>
        <v>0.5</v>
      </c>
      <c r="I934" s="169">
        <f>IF(OR(B934="",C934=""),"",IFERROR(IFERROR(INDEX(Vöruskrá!L:L,MATCH(B934,Vöruskrá!B:B,0)),0)*C934/100000,""))</f>
        <v>0.25</v>
      </c>
      <c r="J934" s="169">
        <f>IF(OR(B934="",C934=""),"",IFERROR(IFERROR(INDEX(Vöruskrá!M:M,MATCH(B934,Vöruskrá!B:B,0)),0)*C934/100000,""))</f>
        <v>10</v>
      </c>
      <c r="K934" s="169">
        <f>IF(OR(B934="",C934=""),"",IFERROR(IFERROR(INDEX(Vöruskrá!N:N,MATCH(B934,Vöruskrá!B:B,0)),0)*C934/100000,""))</f>
        <v>3</v>
      </c>
      <c r="L934" s="169">
        <f>IF(OR(B934="",C934=""),"",IFERROR(IFERROR(INDEX(Vöruskrá!O:O,MATCH(B934,Vöruskrá!B:B,0)),0)*C934/100000,""))</f>
        <v>1.5</v>
      </c>
      <c r="M934" s="169">
        <f>IF(OR(B934="",C934=""),"",IFERROR(IFERROR(INDEX(Vöruskrá!P:P,MATCH(B934,Vöruskrá!B:B,0)),0)*C934/100000,""))</f>
        <v>11.25</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1058</v>
      </c>
      <c r="C935" s="172">
        <v>12000</v>
      </c>
      <c r="D935" s="168" t="s">
        <v>1059</v>
      </c>
      <c r="E935" s="168" t="s">
        <v>120</v>
      </c>
      <c r="F935" s="168"/>
      <c r="G935" s="169">
        <f>IF(OR(B935="",C935=""),"",IFERROR(IFERROR(INDEX(Vöruskrá!J:J,MATCH(B935,Vöruskrá!B:B,0)),0)*C935/100000,""))</f>
        <v>40.799999999999997</v>
      </c>
      <c r="H935" s="169">
        <f>IF(OR(B935="",C935=""),"",IFERROR(IFERROR(INDEX(Vöruskrá!K:K,MATCH(B935,Vöruskrá!B:B,0)),0)*C935/100000,""))</f>
        <v>4.2</v>
      </c>
      <c r="I935" s="169">
        <f>IF(OR(B935="",C935=""),"",IFERROR(IFERROR(INDEX(Vöruskrá!L:L,MATCH(B935,Vöruskrá!B:B,0)),0)*C935/100000,""))</f>
        <v>2.64</v>
      </c>
      <c r="J935" s="169">
        <f>IF(OR(B935="",C935=""),"",IFERROR(IFERROR(INDEX(Vöruskrá!M:M,MATCH(B935,Vöruskrá!B:B,0)),0)*C935/100000,""))</f>
        <v>0.36</v>
      </c>
      <c r="K935" s="169">
        <f>IF(OR(B935="",C935=""),"",IFERROR(IFERROR(INDEX(Vöruskrá!N:N,MATCH(B935,Vöruskrá!B:B,0)),0)*C935/100000,""))</f>
        <v>0.36</v>
      </c>
      <c r="L935" s="169">
        <f>IF(OR(B935="",C935=""),"",IFERROR(IFERROR(INDEX(Vöruskrá!O:O,MATCH(B935,Vöruskrá!B:B,0)),0)*C935/100000,""))</f>
        <v>0.3</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158"/>
      <c r="R935" s="6"/>
    </row>
    <row r="936" spans="1:18" ht="15">
      <c r="A936" s="173"/>
      <c r="B936" s="173" t="s">
        <v>1010</v>
      </c>
      <c r="C936" s="174">
        <v>5000</v>
      </c>
      <c r="D936" s="168" t="s">
        <v>1010</v>
      </c>
      <c r="E936" s="168" t="s">
        <v>134</v>
      </c>
      <c r="F936" s="168"/>
      <c r="G936" s="169">
        <f>IF(OR(B936="",C936=""),"",IFERROR(IFERROR(INDEX(Vöruskrá!J:J,MATCH(B936,Vöruskrá!B:B,0)),0)*C936/100000,""))</f>
        <v>2</v>
      </c>
      <c r="H936" s="169">
        <f>IF(OR(B936="",C936=""),"",IFERROR(IFERROR(INDEX(Vöruskrá!K:K,MATCH(B936,Vöruskrá!B:B,0)),0)*C936/100000,""))</f>
        <v>5.0000000000000001E-3</v>
      </c>
      <c r="I936" s="169">
        <f>IF(OR(B936="",C936=""),"",IFERROR(IFERROR(INDEX(Vöruskrá!L:L,MATCH(B936,Vöruskrá!B:B,0)),0)*C936/100000,""))</f>
        <v>0</v>
      </c>
      <c r="J936" s="169">
        <f>IF(OR(B936="",C936=""),"",IFERROR(IFERROR(INDEX(Vöruskrá!M:M,MATCH(B936,Vöruskrá!B:B,0)),0)*C936/100000,""))</f>
        <v>0.46500000000000002</v>
      </c>
      <c r="K936" s="169">
        <f>IF(OR(B936="",C936=""),"",IFERROR(IFERROR(INDEX(Vöruskrá!N:N,MATCH(B936,Vöruskrá!B:B,0)),0)*C936/100000,""))</f>
        <v>0.21</v>
      </c>
      <c r="L936" s="169">
        <f>IF(OR(B936="",C936=""),"",IFERROR(IFERROR(INDEX(Vöruskrá!O:O,MATCH(B936,Vöruskrá!B:B,0)),0)*C936/100000,""))</f>
        <v>5.5E-2</v>
      </c>
      <c r="M936" s="169">
        <f>IF(OR(B936="",C936=""),"",IFERROR(IFERROR(INDEX(Vöruskrá!P:P,MATCH(B936,Vöruskrá!B:B,0)),0)*C936/100000,""))</f>
        <v>0</v>
      </c>
      <c r="N936" s="169">
        <f>IF(OR(B936="",C936=""),"",IFERROR(IFERROR(INDEX(Vöruskrá!Q:Q,MATCH(B936,Vöruskrá!B:B,0)),0)*C936/100000,""))</f>
        <v>8.5000000000000006E-2</v>
      </c>
      <c r="O936" s="170">
        <f>IF(OR(B936="",C936=""),"",IFERROR(C936/1000*IFERROR(INDEX(Vöruskrá!R:R,MATCH(B936,Vöruskrá!B:B,0)),0)/1000,""))</f>
        <v>0</v>
      </c>
      <c r="P936" s="173"/>
      <c r="Q936" s="157"/>
      <c r="R936" s="27"/>
    </row>
    <row r="937" spans="1:18" ht="15">
      <c r="A937" s="171"/>
      <c r="B937" s="171" t="s">
        <v>1017</v>
      </c>
      <c r="C937" s="172">
        <v>1000</v>
      </c>
      <c r="D937" s="168" t="s">
        <v>1017</v>
      </c>
      <c r="E937" s="168" t="s">
        <v>134</v>
      </c>
      <c r="F937" s="168"/>
      <c r="G937" s="169">
        <f>IF(OR(B937="",C937=""),"",IFERROR(IFERROR(INDEX(Vöruskrá!J:J,MATCH(B937,Vöruskrá!B:B,0)),0)*C937/100000,""))</f>
        <v>1.49</v>
      </c>
      <c r="H937" s="169">
        <f>IF(OR(B937="",C937=""),"",IFERROR(IFERROR(INDEX(Vöruskrá!K:K,MATCH(B937,Vöruskrá!B:B,0)),0)*C937/100000,""))</f>
        <v>5.0000000000000001E-3</v>
      </c>
      <c r="I937" s="169">
        <f>IF(OR(B937="",C937=""),"",IFERROR(IFERROR(INDEX(Vöruskrá!L:L,MATCH(B937,Vöruskrá!B:B,0)),0)*C937/100000,""))</f>
        <v>1E-3</v>
      </c>
      <c r="J937" s="169">
        <f>IF(OR(B937="",C937=""),"",IFERROR(IFERROR(INDEX(Vöruskrá!M:M,MATCH(B937,Vöruskrá!B:B,0)),0)*C937/100000,""))</f>
        <v>0.33100000000000002</v>
      </c>
      <c r="K937" s="169">
        <f>IF(OR(B937="",C937=""),"",IFERROR(IFERROR(INDEX(Vöruskrá!N:N,MATCH(B937,Vöruskrá!B:B,0)),0)*C937/100000,""))</f>
        <v>0.01</v>
      </c>
      <c r="L937" s="169">
        <f>IF(OR(B937="",C937=""),"",IFERROR(IFERROR(INDEX(Vöruskrá!O:O,MATCH(B937,Vöruskrá!B:B,0)),0)*C937/100000,""))</f>
        <v>6.4000000000000001E-2</v>
      </c>
      <c r="M937" s="169">
        <f>IF(OR(B937="",C937=""),"",IFERROR(IFERROR(INDEX(Vöruskrá!P:P,MATCH(B937,Vöruskrá!B:B,0)),0)*C937/100000,""))</f>
        <v>0</v>
      </c>
      <c r="N937" s="169">
        <f>IF(OR(B937="",C937=""),"",IFERROR(IFERROR(INDEX(Vöruskrá!Q:Q,MATCH(B937,Vöruskrá!B:B,0)),0)*C937/100000,""))</f>
        <v>2.1000000000000001E-2</v>
      </c>
      <c r="O937" s="170">
        <f>IF(OR(B937="",C937=""),"",IFERROR(C937/1000*IFERROR(INDEX(Vöruskrá!R:R,MATCH(B937,Vöruskrá!B:B,0)),0)/1000,""))</f>
        <v>0</v>
      </c>
      <c r="P937" s="171"/>
      <c r="Q937" s="158"/>
      <c r="R937" s="6"/>
    </row>
    <row r="938" spans="1:18" ht="15">
      <c r="A938" s="173"/>
      <c r="B938" s="173" t="s">
        <v>477</v>
      </c>
      <c r="C938" s="174">
        <v>1000</v>
      </c>
      <c r="D938" s="168" t="s">
        <v>479</v>
      </c>
      <c r="E938" s="168" t="s">
        <v>134</v>
      </c>
      <c r="F938" s="168"/>
      <c r="G938" s="169">
        <f>IF(OR(B938="",C938=""),"",IFERROR(IFERROR(INDEX(Vöruskrá!J:J,MATCH(B938,Vöruskrá!B:B,0)),0)*C938/100000,""))</f>
        <v>4</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1</v>
      </c>
      <c r="K938" s="169">
        <f>IF(OR(B938="",C938=""),"",IFERROR(IFERROR(INDEX(Vöruskrá!N:N,MATCH(B938,Vöruskrá!B:B,0)),0)*C938/100000,""))</f>
        <v>1</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299</v>
      </c>
      <c r="C939" s="172">
        <v>500</v>
      </c>
      <c r="D939" s="168" t="s">
        <v>302</v>
      </c>
      <c r="E939" s="168" t="s">
        <v>134</v>
      </c>
      <c r="F939" s="168" t="s">
        <v>303</v>
      </c>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0.5</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1336</v>
      </c>
      <c r="C940" s="174">
        <v>500</v>
      </c>
      <c r="D940" s="168" t="s">
        <v>1337</v>
      </c>
      <c r="E940" s="168" t="s">
        <v>134</v>
      </c>
      <c r="F940" s="168" t="s">
        <v>311</v>
      </c>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3"/>
      <c r="Q940" s="201"/>
      <c r="R940" s="202"/>
    </row>
    <row r="941" spans="1:18" ht="36">
      <c r="A941" s="147" t="s">
        <v>2039</v>
      </c>
      <c r="B941" s="147"/>
      <c r="C941" s="148"/>
      <c r="D941" s="165" t="s">
        <v>2040</v>
      </c>
      <c r="E941" s="165" t="s">
        <v>1824</v>
      </c>
      <c r="F941" s="165"/>
      <c r="G941" s="166">
        <v>181.07</v>
      </c>
      <c r="H941" s="166">
        <v>10.24</v>
      </c>
      <c r="I941" s="166">
        <v>6.12</v>
      </c>
      <c r="J941" s="166">
        <v>17.61</v>
      </c>
      <c r="K941" s="166"/>
      <c r="L941" s="166">
        <v>5.46</v>
      </c>
      <c r="M941" s="166">
        <v>16.399999999999999</v>
      </c>
      <c r="N941" s="166">
        <f>IFERROR(SUM(N942:N949)/(SUM($C$942:$C$949)/100000),"")</f>
        <v>0.97150000000000003</v>
      </c>
      <c r="O941" s="167" t="str">
        <f>IF(OR(B941="",C941=""),"",IFERROR(C941/1000*IFERROR(INDEX(Vöruskrá!R:R,MATCH(B941,Vöruskrá!B:B,0)),0)/1000,""))</f>
        <v/>
      </c>
      <c r="P941" s="196" t="s">
        <v>2041</v>
      </c>
      <c r="Q941" s="199" t="s">
        <v>2042</v>
      </c>
      <c r="R941" s="198" t="s">
        <v>2043</v>
      </c>
    </row>
    <row r="942" spans="1:18" ht="15">
      <c r="A942" s="171"/>
      <c r="B942" s="171" t="s">
        <v>1106</v>
      </c>
      <c r="C942" s="172">
        <v>35000</v>
      </c>
      <c r="D942" s="168" t="s">
        <v>1106</v>
      </c>
      <c r="E942" s="168" t="s">
        <v>1099</v>
      </c>
      <c r="F942" s="168"/>
      <c r="G942" s="169">
        <f>IF(OR(B942="",C942=""),"",IFERROR(IFERROR(INDEX(Vöruskrá!J:J,MATCH(B942,Vöruskrá!B:B,0)),0)*C942/100000,""))</f>
        <v>11.9</v>
      </c>
      <c r="H942" s="169">
        <f>IF(OR(B942="",C942=""),"",IFERROR(IFERROR(INDEX(Vöruskrá!K:K,MATCH(B942,Vöruskrá!B:B,0)),0)*C942/100000,""))</f>
        <v>0.14000000000000001</v>
      </c>
      <c r="I942" s="169">
        <f>IF(OR(B942="",C942=""),"",IFERROR(IFERROR(INDEX(Vöruskrá!L:L,MATCH(B942,Vöruskrá!B:B,0)),0)*C942/100000,""))</f>
        <v>3.5000000000000003E-2</v>
      </c>
      <c r="J942" s="169">
        <f>IF(OR(B942="",C942=""),"",IFERROR(IFERROR(INDEX(Vöruskrá!M:M,MATCH(B942,Vöruskrá!B:B,0)),0)*C942/100000,""))</f>
        <v>2.4500000000000002</v>
      </c>
      <c r="K942" s="169">
        <f>IF(OR(B942="",C942=""),"",IFERROR(IFERROR(INDEX(Vöruskrá!N:N,MATCH(B942,Vöruskrá!B:B,0)),0)*C942/100000,""))</f>
        <v>0.59499999999999997</v>
      </c>
      <c r="L942" s="169">
        <f>IF(OR(B942="",C942=""),"",IFERROR(IFERROR(INDEX(Vöruskrá!O:O,MATCH(B942,Vöruskrá!B:B,0)),0)*C942/100000,""))</f>
        <v>0.98</v>
      </c>
      <c r="M942" s="169">
        <f>IF(OR(B942="",C942=""),"",IFERROR(IFERROR(INDEX(Vöruskrá!P:P,MATCH(B942,Vöruskrá!B:B,0)),0)*C942/100000,""))</f>
        <v>0</v>
      </c>
      <c r="N942" s="169">
        <f>IF(OR(B942="",C942=""),"",IFERROR(IFERROR(INDEX(Vöruskrá!Q:Q,MATCH(B942,Vöruskrá!B:B,0)),0)*C942/100000,""))</f>
        <v>0.91</v>
      </c>
      <c r="O942" s="170">
        <f>IF(OR(B942="",C942=""),"",IFERROR(C942/1000*IFERROR(INDEX(Vöruskrá!R:R,MATCH(B942,Vöruskrá!B:B,0)),0)/1000,""))</f>
        <v>0</v>
      </c>
      <c r="P942" s="171"/>
      <c r="Q942" s="203"/>
      <c r="R942" s="204"/>
    </row>
    <row r="943" spans="1:18" ht="15">
      <c r="A943" s="173"/>
      <c r="B943" s="173" t="s">
        <v>330</v>
      </c>
      <c r="C943" s="174">
        <v>35000</v>
      </c>
      <c r="D943" s="168" t="s">
        <v>331</v>
      </c>
      <c r="E943" s="168" t="s">
        <v>134</v>
      </c>
      <c r="F943" s="168"/>
      <c r="G943" s="169">
        <f>IF(OR(B943="",C943=""),"",IFERROR(IFERROR(INDEX(Vöruskrá!J:J,MATCH(B943,Vöruskrá!B:B,0)),0)*C943/100000,""))</f>
        <v>70</v>
      </c>
      <c r="H943" s="169">
        <f>IF(OR(B943="",C943=""),"",IFERROR(IFERROR(INDEX(Vöruskrá!K:K,MATCH(B943,Vöruskrá!B:B,0)),0)*C943/100000,""))</f>
        <v>0.7</v>
      </c>
      <c r="I943" s="169">
        <f>IF(OR(B943="",C943=""),"",IFERROR(IFERROR(INDEX(Vöruskrá!L:L,MATCH(B943,Vöruskrá!B:B,0)),0)*C943/100000,""))</f>
        <v>0.35</v>
      </c>
      <c r="J943" s="169">
        <f>IF(OR(B943="",C943=""),"",IFERROR(IFERROR(INDEX(Vöruskrá!M:M,MATCH(B943,Vöruskrá!B:B,0)),0)*C943/100000,""))</f>
        <v>14</v>
      </c>
      <c r="K943" s="169">
        <f>IF(OR(B943="",C943=""),"",IFERROR(IFERROR(INDEX(Vöruskrá!N:N,MATCH(B943,Vöruskrá!B:B,0)),0)*C943/100000,""))</f>
        <v>4.2</v>
      </c>
      <c r="L943" s="169">
        <f>IF(OR(B943="",C943=""),"",IFERROR(IFERROR(INDEX(Vöruskrá!O:O,MATCH(B943,Vöruskrá!B:B,0)),0)*C943/100000,""))</f>
        <v>2.1</v>
      </c>
      <c r="M943" s="169">
        <f>IF(OR(B943="",C943=""),"",IFERROR(IFERROR(INDEX(Vöruskrá!P:P,MATCH(B943,Vöruskrá!B:B,0)),0)*C943/100000,""))</f>
        <v>15.75</v>
      </c>
      <c r="N943" s="169">
        <f>IF(OR(B943="",C943=""),"",IFERROR(IFERROR(INDEX(Vöruskrá!Q:Q,MATCH(B943,Vöruskrá!B:B,0)),0)*C943/100000,""))</f>
        <v>0</v>
      </c>
      <c r="O943" s="170">
        <f>IF(OR(B943="",C943=""),"",IFERROR(C943/1000*IFERROR(INDEX(Vöruskrá!R:R,MATCH(B943,Vöruskrá!B:B,0)),0)/1000,""))</f>
        <v>0</v>
      </c>
      <c r="P943" s="173"/>
      <c r="Q943" s="158"/>
      <c r="R943" s="6"/>
    </row>
    <row r="944" spans="1:18" ht="15">
      <c r="A944" s="171"/>
      <c r="B944" s="171" t="s">
        <v>1058</v>
      </c>
      <c r="C944" s="172">
        <v>15000</v>
      </c>
      <c r="D944" s="168" t="s">
        <v>1059</v>
      </c>
      <c r="E944" s="168" t="s">
        <v>120</v>
      </c>
      <c r="F944" s="168"/>
      <c r="G944" s="169">
        <f>IF(OR(B944="",C944=""),"",IFERROR(IFERROR(INDEX(Vöruskrá!J:J,MATCH(B944,Vöruskrá!B:B,0)),0)*C944/100000,""))</f>
        <v>51</v>
      </c>
      <c r="H944" s="169">
        <f>IF(OR(B944="",C944=""),"",IFERROR(IFERROR(INDEX(Vöruskrá!K:K,MATCH(B944,Vöruskrá!B:B,0)),0)*C944/100000,""))</f>
        <v>5.25</v>
      </c>
      <c r="I944" s="169">
        <f>IF(OR(B944="",C944=""),"",IFERROR(IFERROR(INDEX(Vöruskrá!L:L,MATCH(B944,Vöruskrá!B:B,0)),0)*C944/100000,""))</f>
        <v>3.3</v>
      </c>
      <c r="J944" s="169">
        <f>IF(OR(B944="",C944=""),"",IFERROR(IFERROR(INDEX(Vöruskrá!M:M,MATCH(B944,Vöruskrá!B:B,0)),0)*C944/100000,""))</f>
        <v>0.45</v>
      </c>
      <c r="K944" s="169">
        <f>IF(OR(B944="",C944=""),"",IFERROR(IFERROR(INDEX(Vöruskrá!N:N,MATCH(B944,Vöruskrá!B:B,0)),0)*C944/100000,""))</f>
        <v>0.45</v>
      </c>
      <c r="L944" s="169">
        <f>IF(OR(B944="",C944=""),"",IFERROR(IFERROR(INDEX(Vöruskrá!O:O,MATCH(B944,Vöruskrá!B:B,0)),0)*C944/100000,""))</f>
        <v>0.375</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1"/>
      <c r="Q944" s="157"/>
      <c r="R944" s="27"/>
    </row>
    <row r="945" spans="1:18" ht="15">
      <c r="A945" s="173"/>
      <c r="B945" s="173" t="s">
        <v>895</v>
      </c>
      <c r="C945" s="174">
        <v>8000</v>
      </c>
      <c r="D945" s="168" t="s">
        <v>897</v>
      </c>
      <c r="E945" s="168" t="s">
        <v>120</v>
      </c>
      <c r="F945" s="168"/>
      <c r="G945" s="169">
        <f>IF(OR(B945="",C945=""),"",IFERROR(IFERROR(INDEX(Vöruskrá!J:J,MATCH(B945,Vöruskrá!B:B,0)),0)*C945/100000,""))</f>
        <v>24.08</v>
      </c>
      <c r="H945" s="169">
        <f>IF(OR(B945="",C945=""),"",IFERROR(IFERROR(INDEX(Vöruskrá!K:K,MATCH(B945,Vöruskrá!B:B,0)),0)*C945/100000,""))</f>
        <v>1.68</v>
      </c>
      <c r="I945" s="169">
        <f>IF(OR(B945="",C945=""),"",IFERROR(IFERROR(INDEX(Vöruskrá!L:L,MATCH(B945,Vöruskrá!B:B,0)),0)*C945/100000,""))</f>
        <v>0.96</v>
      </c>
      <c r="J945" s="169">
        <f>IF(OR(B945="",C945=""),"",IFERROR(IFERROR(INDEX(Vöruskrá!M:M,MATCH(B945,Vöruskrá!B:B,0)),0)*C945/100000,""))</f>
        <v>0.25600000000000001</v>
      </c>
      <c r="K945" s="169">
        <f>IF(OR(B945="",C945=""),"",IFERROR(IFERROR(INDEX(Vöruskrá!N:N,MATCH(B945,Vöruskrá!B:B,0)),0)*C945/100000,""))</f>
        <v>0.08</v>
      </c>
      <c r="L945" s="169">
        <f>IF(OR(B945="",C945=""),"",IFERROR(IFERROR(INDEX(Vöruskrá!O:O,MATCH(B945,Vöruskrá!B:B,0)),0)*C945/100000,""))</f>
        <v>1.92</v>
      </c>
      <c r="M945" s="169">
        <f>IF(OR(B945="",C945=""),"",IFERROR(IFERROR(INDEX(Vöruskrá!P:P,MATCH(B945,Vöruskrá!B:B,0)),0)*C945/100000,""))</f>
        <v>0.112</v>
      </c>
      <c r="N945" s="169">
        <f>IF(OR(B945="",C945=""),"",IFERROR(IFERROR(INDEX(Vöruskrá!Q:Q,MATCH(B945,Vöruskrá!B:B,0)),0)*C945/100000,""))</f>
        <v>0</v>
      </c>
      <c r="O945" s="170">
        <f>IF(OR(B945="",C945=""),"",IFERROR(C945/1000*IFERROR(INDEX(Vöruskrá!R:R,MATCH(B945,Vöruskrá!B:B,0)),0)/1000,""))</f>
        <v>0</v>
      </c>
      <c r="P945" s="173"/>
      <c r="Q945" s="158"/>
      <c r="R945" s="6"/>
    </row>
    <row r="946" spans="1:18" ht="15">
      <c r="A946" s="171"/>
      <c r="B946" s="171" t="s">
        <v>445</v>
      </c>
      <c r="C946" s="172">
        <v>3000</v>
      </c>
      <c r="D946" s="168" t="s">
        <v>448</v>
      </c>
      <c r="E946" s="168" t="s">
        <v>120</v>
      </c>
      <c r="F946" s="168"/>
      <c r="G946" s="169">
        <f>IF(OR(B946="",C946=""),"",IFERROR(IFERROR(INDEX(Vöruskrá!J:J,MATCH(B946,Vöruskrá!B:B,0)),0)*C946/100000,""))</f>
        <v>22.14</v>
      </c>
      <c r="H946" s="169">
        <f>IF(OR(B946="",C946=""),"",IFERROR(IFERROR(INDEX(Vöruskrá!K:K,MATCH(B946,Vöruskrá!B:B,0)),0)*C946/100000,""))</f>
        <v>2.46</v>
      </c>
      <c r="I946" s="169">
        <f>IF(OR(B946="",C946=""),"",IFERROR(IFERROR(INDEX(Vöruskrá!L:L,MATCH(B946,Vöruskrá!B:B,0)),0)*C946/100000,""))</f>
        <v>1.47</v>
      </c>
      <c r="J946" s="169">
        <f>IF(OR(B946="",C946=""),"",IFERROR(IFERROR(INDEX(Vöruskrá!M:M,MATCH(B946,Vöruskrá!B:B,0)),0)*C946/100000,""))</f>
        <v>1.2E-2</v>
      </c>
      <c r="K946" s="169">
        <f>IF(OR(B946="",C946=""),"",IFERROR(IFERROR(INDEX(Vöruskrá!N:N,MATCH(B946,Vöruskrá!B:B,0)),0)*C946/100000,""))</f>
        <v>1.2E-2</v>
      </c>
      <c r="L946" s="169">
        <f>IF(OR(B946="",C946=""),"",IFERROR(IFERROR(INDEX(Vöruskrá!O:O,MATCH(B946,Vöruskrá!B:B,0)),0)*C946/100000,""))</f>
        <v>1.7999999999999999E-2</v>
      </c>
      <c r="M946" s="169">
        <f>IF(OR(B946="",C946=""),"",IFERROR(IFERROR(INDEX(Vöruskrá!P:P,MATCH(B946,Vöruskrá!B:B,0)),0)*C946/100000,""))</f>
        <v>3.5999999999999997E-2</v>
      </c>
      <c r="N946" s="169">
        <f>IF(OR(B946="",C946=""),"",IFERROR(IFERROR(INDEX(Vöruskrá!Q:Q,MATCH(B946,Vöruskrá!B:B,0)),0)*C946/100000,""))</f>
        <v>0</v>
      </c>
      <c r="O946" s="170">
        <f>IF(OR(B946="",C946=""),"",IFERROR(C946/1000*IFERROR(INDEX(Vöruskrá!R:R,MATCH(B946,Vöruskrá!B:B,0)),0)/1000,""))</f>
        <v>0</v>
      </c>
      <c r="P946" s="171"/>
      <c r="Q946" s="157"/>
      <c r="R946" s="27"/>
    </row>
    <row r="947" spans="1:18" ht="15">
      <c r="A947" s="173"/>
      <c r="B947" s="173" t="s">
        <v>1010</v>
      </c>
      <c r="C947" s="174">
        <v>3000</v>
      </c>
      <c r="D947" s="168" t="s">
        <v>1010</v>
      </c>
      <c r="E947" s="168" t="s">
        <v>134</v>
      </c>
      <c r="F947" s="168"/>
      <c r="G947" s="169">
        <f>IF(OR(B947="",C947=""),"",IFERROR(IFERROR(INDEX(Vöruskrá!J:J,MATCH(B947,Vöruskrá!B:B,0)),0)*C947/100000,""))</f>
        <v>1.2</v>
      </c>
      <c r="H947" s="169">
        <f>IF(OR(B947="",C947=""),"",IFERROR(IFERROR(INDEX(Vöruskrá!K:K,MATCH(B947,Vöruskrá!B:B,0)),0)*C947/100000,""))</f>
        <v>3.0000000000000001E-3</v>
      </c>
      <c r="I947" s="169">
        <f>IF(OR(B947="",C947=""),"",IFERROR(IFERROR(INDEX(Vöruskrá!L:L,MATCH(B947,Vöruskrá!B:B,0)),0)*C947/100000,""))</f>
        <v>0</v>
      </c>
      <c r="J947" s="169">
        <f>IF(OR(B947="",C947=""),"",IFERROR(IFERROR(INDEX(Vöruskrá!M:M,MATCH(B947,Vöruskrá!B:B,0)),0)*C947/100000,""))</f>
        <v>0.27900000000000003</v>
      </c>
      <c r="K947" s="169">
        <f>IF(OR(B947="",C947=""),"",IFERROR(IFERROR(INDEX(Vöruskrá!N:N,MATCH(B947,Vöruskrá!B:B,0)),0)*C947/100000,""))</f>
        <v>0.126</v>
      </c>
      <c r="L947" s="169">
        <f>IF(OR(B947="",C947=""),"",IFERROR(IFERROR(INDEX(Vöruskrá!O:O,MATCH(B947,Vöruskrá!B:B,0)),0)*C947/100000,""))</f>
        <v>3.3000000000000002E-2</v>
      </c>
      <c r="M947" s="169">
        <f>IF(OR(B947="",C947=""),"",IFERROR(IFERROR(INDEX(Vöruskrá!P:P,MATCH(B947,Vöruskrá!B:B,0)),0)*C947/100000,""))</f>
        <v>0</v>
      </c>
      <c r="N947" s="169">
        <f>IF(OR(B947="",C947=""),"",IFERROR(IFERROR(INDEX(Vöruskrá!Q:Q,MATCH(B947,Vöruskrá!B:B,0)),0)*C947/100000,""))</f>
        <v>5.0999999999999997E-2</v>
      </c>
      <c r="O947" s="170">
        <f>IF(OR(B947="",C947=""),"",IFERROR(C947/1000*IFERROR(INDEX(Vöruskrá!R:R,MATCH(B947,Vöruskrá!B:B,0)),0)/1000,""))</f>
        <v>0</v>
      </c>
      <c r="P947" s="173"/>
      <c r="Q947" s="158"/>
      <c r="R947" s="6"/>
    </row>
    <row r="948" spans="1:18" ht="15">
      <c r="A948" s="171"/>
      <c r="B948" s="171" t="s">
        <v>1017</v>
      </c>
      <c r="C948" s="172">
        <v>500</v>
      </c>
      <c r="D948" s="168" t="s">
        <v>1017</v>
      </c>
      <c r="E948" s="168" t="s">
        <v>134</v>
      </c>
      <c r="F948" s="168"/>
      <c r="G948" s="169">
        <f>IF(OR(B948="",C948=""),"",IFERROR(IFERROR(INDEX(Vöruskrá!J:J,MATCH(B948,Vöruskrá!B:B,0)),0)*C948/100000,""))</f>
        <v>0.745</v>
      </c>
      <c r="H948" s="169">
        <f>IF(OR(B948="",C948=""),"",IFERROR(IFERROR(INDEX(Vöruskrá!K:K,MATCH(B948,Vöruskrá!B:B,0)),0)*C948/100000,""))</f>
        <v>2.5000000000000001E-3</v>
      </c>
      <c r="I948" s="169">
        <f>IF(OR(B948="",C948=""),"",IFERROR(IFERROR(INDEX(Vöruskrá!L:L,MATCH(B948,Vöruskrá!B:B,0)),0)*C948/100000,""))</f>
        <v>5.0000000000000001E-4</v>
      </c>
      <c r="J948" s="169">
        <f>IF(OR(B948="",C948=""),"",IFERROR(IFERROR(INDEX(Vöruskrá!M:M,MATCH(B948,Vöruskrá!B:B,0)),0)*C948/100000,""))</f>
        <v>0.16550000000000001</v>
      </c>
      <c r="K948" s="169">
        <f>IF(OR(B948="",C948=""),"",IFERROR(IFERROR(INDEX(Vöruskrá!N:N,MATCH(B948,Vöruskrá!B:B,0)),0)*C948/100000,""))</f>
        <v>5.0000000000000001E-3</v>
      </c>
      <c r="L948" s="169">
        <f>IF(OR(B948="",C948=""),"",IFERROR(IFERROR(INDEX(Vöruskrá!O:O,MATCH(B948,Vöruskrá!B:B,0)),0)*C948/100000,""))</f>
        <v>3.2000000000000001E-2</v>
      </c>
      <c r="M948" s="169">
        <f>IF(OR(B948="",C948=""),"",IFERROR(IFERROR(INDEX(Vöruskrá!P:P,MATCH(B948,Vöruskrá!B:B,0)),0)*C948/100000,""))</f>
        <v>0</v>
      </c>
      <c r="N948" s="169">
        <f>IF(OR(B948="",C948=""),"",IFERROR(IFERROR(INDEX(Vöruskrá!Q:Q,MATCH(B948,Vöruskrá!B:B,0)),0)*C948/100000,""))</f>
        <v>1.0500000000000001E-2</v>
      </c>
      <c r="O948" s="170">
        <f>IF(OR(B948="",C948=""),"",IFERROR(C948/1000*IFERROR(INDEX(Vöruskrá!R:R,MATCH(B948,Vöruskrá!B:B,0)),0)/1000,""))</f>
        <v>0</v>
      </c>
      <c r="P948" s="171"/>
      <c r="Q948" s="157"/>
      <c r="R948" s="27"/>
    </row>
    <row r="949" spans="1:18" ht="15">
      <c r="A949" s="173"/>
      <c r="B949" s="173" t="s">
        <v>299</v>
      </c>
      <c r="C949" s="174">
        <v>500</v>
      </c>
      <c r="D949" s="168" t="s">
        <v>302</v>
      </c>
      <c r="E949" s="168" t="s">
        <v>134</v>
      </c>
      <c r="F949" s="168" t="s">
        <v>303</v>
      </c>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0.5</v>
      </c>
      <c r="N949" s="169">
        <f>IF(OR(B949="",C949=""),"",IFERROR(IFERROR(INDEX(Vöruskrá!Q:Q,MATCH(B949,Vöruskrá!B:B,0)),0)*C949/100000,""))</f>
        <v>0</v>
      </c>
      <c r="O949" s="170">
        <f>IF(OR(B949="",C949=""),"",IFERROR(C949/1000*IFERROR(INDEX(Vöruskrá!R:R,MATCH(B949,Vöruskrá!B:B,0)),0)/1000,""))</f>
        <v>0</v>
      </c>
      <c r="P949" s="173"/>
      <c r="Q949" s="200"/>
      <c r="R949" s="159"/>
    </row>
    <row r="950" spans="1:18" ht="48">
      <c r="A950" s="147" t="s">
        <v>2044</v>
      </c>
      <c r="B950" s="147"/>
      <c r="C950" s="148"/>
      <c r="D950" s="165" t="s">
        <v>2045</v>
      </c>
      <c r="E950" s="165" t="s">
        <v>134</v>
      </c>
      <c r="F950" s="165"/>
      <c r="G950" s="166">
        <v>98.18</v>
      </c>
      <c r="H950" s="166">
        <v>2.66</v>
      </c>
      <c r="I950" s="166">
        <v>0.44</v>
      </c>
      <c r="J950" s="166">
        <v>17.170000000000002</v>
      </c>
      <c r="K950" s="166"/>
      <c r="L950" s="166">
        <v>2.68</v>
      </c>
      <c r="M950" s="166">
        <v>13.93</v>
      </c>
      <c r="N950" s="166">
        <f>IFERROR(SUM(N951:N961)/(SUM($C$951:$C$961)/100000),"")</f>
        <v>9.5024875621890562E-2</v>
      </c>
      <c r="O950" s="167" t="str">
        <f>IF(OR(B950="",C950=""),"",IFERROR(C950/1000*IFERROR(INDEX(Vöruskrá!R:R,MATCH(B950,Vöruskrá!B:B,0)),0)/1000,""))</f>
        <v/>
      </c>
      <c r="P950" s="196" t="s">
        <v>2046</v>
      </c>
      <c r="Q950" s="195" t="s">
        <v>2047</v>
      </c>
      <c r="R950" s="194" t="s">
        <v>2048</v>
      </c>
    </row>
    <row r="951" spans="1:18" ht="15">
      <c r="A951" s="171"/>
      <c r="B951" s="171" t="s">
        <v>743</v>
      </c>
      <c r="C951" s="172">
        <v>50000</v>
      </c>
      <c r="D951" s="168" t="s">
        <v>745</v>
      </c>
      <c r="E951" s="168"/>
      <c r="F951" s="168"/>
      <c r="G951" s="169">
        <f>IF(OR(B951="",C951=""),"",IFERROR(IFERROR(INDEX(Vöruskrá!J:J,MATCH(B951,Vöruskrá!B:B,0)),0)*C951/100000,""))</f>
        <v>14</v>
      </c>
      <c r="H951" s="169">
        <f>IF(OR(B951="",C951=""),"",IFERROR(IFERROR(INDEX(Vöruskrá!K:K,MATCH(B951,Vöruskrá!B:B,0)),0)*C951/100000,""))</f>
        <v>0.05</v>
      </c>
      <c r="I951" s="169">
        <f>IF(OR(B951="",C951=""),"",IFERROR(IFERROR(INDEX(Vöruskrá!L:L,MATCH(B951,Vöruskrá!B:B,0)),0)*C951/100000,""))</f>
        <v>0</v>
      </c>
      <c r="J951" s="169">
        <f>IF(OR(B951="",C951=""),"",IFERROR(IFERROR(INDEX(Vöruskrá!M:M,MATCH(B951,Vöruskrá!B:B,0)),0)*C951/100000,""))</f>
        <v>2.5</v>
      </c>
      <c r="K951" s="169">
        <f>IF(OR(B951="",C951=""),"",IFERROR(IFERROR(INDEX(Vöruskrá!N:N,MATCH(B951,Vöruskrá!B:B,0)),0)*C951/100000,""))</f>
        <v>1.7</v>
      </c>
      <c r="L951" s="169">
        <f>IF(OR(B951="",C951=""),"",IFERROR(IFERROR(INDEX(Vöruskrá!O:O,MATCH(B951,Vöruskrá!B:B,0)),0)*C951/100000,""))</f>
        <v>0.75</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97"/>
      <c r="R951" s="164"/>
    </row>
    <row r="952" spans="1:18" ht="15">
      <c r="A952" s="173"/>
      <c r="B952" s="173" t="s">
        <v>330</v>
      </c>
      <c r="C952" s="174">
        <v>30000</v>
      </c>
      <c r="D952" s="168" t="s">
        <v>331</v>
      </c>
      <c r="E952" s="168" t="s">
        <v>134</v>
      </c>
      <c r="F952" s="168"/>
      <c r="G952" s="169">
        <f>IF(OR(B952="",C952=""),"",IFERROR(IFERROR(INDEX(Vöruskrá!J:J,MATCH(B952,Vöruskrá!B:B,0)),0)*C952/100000,""))</f>
        <v>60</v>
      </c>
      <c r="H952" s="169">
        <f>IF(OR(B952="",C952=""),"",IFERROR(IFERROR(INDEX(Vöruskrá!K:K,MATCH(B952,Vöruskrá!B:B,0)),0)*C952/100000,""))</f>
        <v>0.6</v>
      </c>
      <c r="I952" s="169">
        <f>IF(OR(B952="",C952=""),"",IFERROR(IFERROR(INDEX(Vöruskrá!L:L,MATCH(B952,Vöruskrá!B:B,0)),0)*C952/100000,""))</f>
        <v>0.3</v>
      </c>
      <c r="J952" s="169">
        <f>IF(OR(B952="",C952=""),"",IFERROR(IFERROR(INDEX(Vöruskrá!M:M,MATCH(B952,Vöruskrá!B:B,0)),0)*C952/100000,""))</f>
        <v>12</v>
      </c>
      <c r="K952" s="169">
        <f>IF(OR(B952="",C952=""),"",IFERROR(IFERROR(INDEX(Vöruskrá!N:N,MATCH(B952,Vöruskrá!B:B,0)),0)*C952/100000,""))</f>
        <v>3.6</v>
      </c>
      <c r="L952" s="169">
        <f>IF(OR(B952="",C952=""),"",IFERROR(IFERROR(INDEX(Vöruskrá!O:O,MATCH(B952,Vöruskrá!B:B,0)),0)*C952/100000,""))</f>
        <v>1.8</v>
      </c>
      <c r="M952" s="169">
        <f>IF(OR(B952="",C952=""),"",IFERROR(IFERROR(INDEX(Vöruskrá!P:P,MATCH(B952,Vöruskrá!B:B,0)),0)*C952/100000,""))</f>
        <v>13.5</v>
      </c>
      <c r="N952" s="169">
        <f>IF(OR(B952="",C952=""),"",IFERROR(IFERROR(INDEX(Vöruskrá!Q:Q,MATCH(B952,Vöruskrá!B:B,0)),0)*C952/100000,""))</f>
        <v>0</v>
      </c>
      <c r="O952" s="170">
        <f>IF(OR(B952="",C952=""),"",IFERROR(C952/1000*IFERROR(INDEX(Vöruskrá!R:R,MATCH(B952,Vöruskrá!B:B,0)),0)/1000,""))</f>
        <v>0</v>
      </c>
      <c r="P952" s="173"/>
      <c r="Q952" s="157"/>
      <c r="R952" s="27"/>
    </row>
    <row r="953" spans="1:18">
      <c r="A953" s="171"/>
      <c r="B953" s="171" t="s">
        <v>1894</v>
      </c>
      <c r="C953" s="172">
        <v>10000</v>
      </c>
      <c r="D953" s="168"/>
      <c r="E953" s="168"/>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8"/>
      <c r="R953" s="6"/>
    </row>
    <row r="954" spans="1:18" ht="15">
      <c r="A954" s="173"/>
      <c r="B954" s="173" t="s">
        <v>1010</v>
      </c>
      <c r="C954" s="174">
        <v>5000</v>
      </c>
      <c r="D954" s="168" t="s">
        <v>1010</v>
      </c>
      <c r="E954" s="168" t="s">
        <v>134</v>
      </c>
      <c r="F954" s="168"/>
      <c r="G954" s="169">
        <f>IF(OR(B954="",C954=""),"",IFERROR(IFERROR(INDEX(Vöruskrá!J:J,MATCH(B954,Vöruskrá!B:B,0)),0)*C954/100000,""))</f>
        <v>2</v>
      </c>
      <c r="H954" s="169">
        <f>IF(OR(B954="",C954=""),"",IFERROR(IFERROR(INDEX(Vöruskrá!K:K,MATCH(B954,Vöruskrá!B:B,0)),0)*C954/100000,""))</f>
        <v>5.0000000000000001E-3</v>
      </c>
      <c r="I954" s="169">
        <f>IF(OR(B954="",C954=""),"",IFERROR(IFERROR(INDEX(Vöruskrá!L:L,MATCH(B954,Vöruskrá!B:B,0)),0)*C954/100000,""))</f>
        <v>0</v>
      </c>
      <c r="J954" s="169">
        <f>IF(OR(B954="",C954=""),"",IFERROR(IFERROR(INDEX(Vöruskrá!M:M,MATCH(B954,Vöruskrá!B:B,0)),0)*C954/100000,""))</f>
        <v>0.46500000000000002</v>
      </c>
      <c r="K954" s="169">
        <f>IF(OR(B954="",C954=""),"",IFERROR(IFERROR(INDEX(Vöruskrá!N:N,MATCH(B954,Vöruskrá!B:B,0)),0)*C954/100000,""))</f>
        <v>0.21</v>
      </c>
      <c r="L954" s="169">
        <f>IF(OR(B954="",C954=""),"",IFERROR(IFERROR(INDEX(Vöruskrá!O:O,MATCH(B954,Vöruskrá!B:B,0)),0)*C954/100000,""))</f>
        <v>5.5E-2</v>
      </c>
      <c r="M954" s="169">
        <f>IF(OR(B954="",C954=""),"",IFERROR(IFERROR(INDEX(Vöruskrá!P:P,MATCH(B954,Vöruskrá!B:B,0)),0)*C954/100000,""))</f>
        <v>0</v>
      </c>
      <c r="N954" s="169">
        <f>IF(OR(B954="",C954=""),"",IFERROR(IFERROR(INDEX(Vöruskrá!Q:Q,MATCH(B954,Vöruskrá!B:B,0)),0)*C954/100000,""))</f>
        <v>8.5000000000000006E-2</v>
      </c>
      <c r="O954" s="170">
        <f>IF(OR(B954="",C954=""),"",IFERROR(C954/1000*IFERROR(INDEX(Vöruskrá!R:R,MATCH(B954,Vöruskrá!B:B,0)),0)/1000,""))</f>
        <v>0</v>
      </c>
      <c r="P954" s="173"/>
      <c r="Q954" s="157"/>
      <c r="R954" s="27"/>
    </row>
    <row r="955" spans="1:18" ht="15">
      <c r="A955" s="171"/>
      <c r="B955" s="171" t="s">
        <v>1017</v>
      </c>
      <c r="C955" s="172">
        <v>500</v>
      </c>
      <c r="D955" s="168" t="s">
        <v>1017</v>
      </c>
      <c r="E955" s="168" t="s">
        <v>134</v>
      </c>
      <c r="F955" s="168"/>
      <c r="G955" s="169">
        <f>IF(OR(B955="",C955=""),"",IFERROR(IFERROR(INDEX(Vöruskrá!J:J,MATCH(B955,Vöruskrá!B:B,0)),0)*C955/100000,""))</f>
        <v>0.745</v>
      </c>
      <c r="H955" s="169">
        <f>IF(OR(B955="",C955=""),"",IFERROR(IFERROR(INDEX(Vöruskrá!K:K,MATCH(B955,Vöruskrá!B:B,0)),0)*C955/100000,""))</f>
        <v>2.5000000000000001E-3</v>
      </c>
      <c r="I955" s="169">
        <f>IF(OR(B955="",C955=""),"",IFERROR(IFERROR(INDEX(Vöruskrá!L:L,MATCH(B955,Vöruskrá!B:B,0)),0)*C955/100000,""))</f>
        <v>5.0000000000000001E-4</v>
      </c>
      <c r="J955" s="169">
        <f>IF(OR(B955="",C955=""),"",IFERROR(IFERROR(INDEX(Vöruskrá!M:M,MATCH(B955,Vöruskrá!B:B,0)),0)*C955/100000,""))</f>
        <v>0.16550000000000001</v>
      </c>
      <c r="K955" s="169">
        <f>IF(OR(B955="",C955=""),"",IFERROR(IFERROR(INDEX(Vöruskrá!N:N,MATCH(B955,Vöruskrá!B:B,0)),0)*C955/100000,""))</f>
        <v>5.0000000000000001E-3</v>
      </c>
      <c r="L955" s="169">
        <f>IF(OR(B955="",C955=""),"",IFERROR(IFERROR(INDEX(Vöruskrá!O:O,MATCH(B955,Vöruskrá!B:B,0)),0)*C955/100000,""))</f>
        <v>3.2000000000000001E-2</v>
      </c>
      <c r="M955" s="169">
        <f>IF(OR(B955="",C955=""),"",IFERROR(IFERROR(INDEX(Vöruskrá!P:P,MATCH(B955,Vöruskrá!B:B,0)),0)*C955/100000,""))</f>
        <v>0</v>
      </c>
      <c r="N955" s="169">
        <f>IF(OR(B955="",C955=""),"",IFERROR(IFERROR(INDEX(Vöruskrá!Q:Q,MATCH(B955,Vöruskrá!B:B,0)),0)*C955/100000,""))</f>
        <v>1.0500000000000001E-2</v>
      </c>
      <c r="O955" s="170">
        <f>IF(OR(B955="",C955=""),"",IFERROR(C955/1000*IFERROR(INDEX(Vöruskrá!R:R,MATCH(B955,Vöruskrá!B:B,0)),0)/1000,""))</f>
        <v>0</v>
      </c>
      <c r="P955" s="171"/>
      <c r="Q955" s="158"/>
      <c r="R955" s="6"/>
    </row>
    <row r="956" spans="1:18" ht="15">
      <c r="A956" s="173"/>
      <c r="B956" s="173" t="s">
        <v>477</v>
      </c>
      <c r="C956" s="174">
        <v>500</v>
      </c>
      <c r="D956" s="168" t="s">
        <v>479</v>
      </c>
      <c r="E956" s="168" t="s">
        <v>134</v>
      </c>
      <c r="F956" s="168"/>
      <c r="G956" s="169">
        <f>IF(OR(B956="",C956=""),"",IFERROR(IFERROR(INDEX(Vöruskrá!J:J,MATCH(B956,Vöruskrá!B:B,0)),0)*C956/100000,""))</f>
        <v>2</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0.5</v>
      </c>
      <c r="K956" s="169">
        <f>IF(OR(B956="",C956=""),"",IFERROR(IFERROR(INDEX(Vöruskrá!N:N,MATCH(B956,Vöruskrá!B:B,0)),0)*C956/100000,""))</f>
        <v>0.5</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299</v>
      </c>
      <c r="C957" s="172">
        <v>500</v>
      </c>
      <c r="D957" s="168" t="s">
        <v>302</v>
      </c>
      <c r="E957" s="168" t="s">
        <v>134</v>
      </c>
      <c r="F957" s="168" t="s">
        <v>303</v>
      </c>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0.5</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1336</v>
      </c>
      <c r="C958" s="174">
        <v>500</v>
      </c>
      <c r="D958" s="168" t="s">
        <v>1337</v>
      </c>
      <c r="E958" s="168" t="s">
        <v>134</v>
      </c>
      <c r="F958" s="168" t="s">
        <v>311</v>
      </c>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3"/>
      <c r="Q958" s="157"/>
      <c r="R958" s="27"/>
    </row>
    <row r="959" spans="1:18" ht="15">
      <c r="A959" s="171"/>
      <c r="B959" s="171" t="s">
        <v>1270</v>
      </c>
      <c r="C959" s="172">
        <v>2000</v>
      </c>
      <c r="D959" s="168" t="s">
        <v>1270</v>
      </c>
      <c r="E959" s="168" t="s">
        <v>134</v>
      </c>
      <c r="F959" s="168"/>
      <c r="G959" s="169">
        <f>IF(OR(B959="",C959=""),"",IFERROR(IFERROR(INDEX(Vöruskrá!J:J,MATCH(B959,Vöruskrá!B:B,0)),0)*C959/100000,""))</f>
        <v>18</v>
      </c>
      <c r="H959" s="169">
        <f>IF(OR(B959="",C959=""),"",IFERROR(IFERROR(INDEX(Vöruskrá!K:K,MATCH(B959,Vöruskrá!B:B,0)),0)*C959/100000,""))</f>
        <v>2</v>
      </c>
      <c r="I959" s="169">
        <f>IF(OR(B959="",C959=""),"",IFERROR(IFERROR(INDEX(Vöruskrá!L:L,MATCH(B959,Vöruskrá!B:B,0)),0)*C959/100000,""))</f>
        <v>0.14000000000000001</v>
      </c>
      <c r="J959" s="169">
        <f>IF(OR(B959="",C959=""),"",IFERROR(IFERROR(INDEX(Vöruskrá!M:M,MATCH(B959,Vöruskrá!B:B,0)),0)*C959/100000,""))</f>
        <v>1.3</v>
      </c>
      <c r="K959" s="169">
        <f>IF(OR(B959="",C959=""),"",IFERROR(IFERROR(INDEX(Vöruskrá!N:N,MATCH(B959,Vöruskrá!B:B,0)),0)*C959/100000,""))</f>
        <v>0.55000000000000004</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158"/>
      <c r="R959" s="6"/>
    </row>
    <row r="960" spans="1:18" ht="15">
      <c r="A960" s="173"/>
      <c r="B960" s="173" t="s">
        <v>819</v>
      </c>
      <c r="C960" s="174">
        <v>500</v>
      </c>
      <c r="D960" s="168" t="s">
        <v>820</v>
      </c>
      <c r="E960" s="168"/>
      <c r="F960" s="168" t="s">
        <v>311</v>
      </c>
      <c r="G960" s="169">
        <f>IF(OR(B960="",C960=""),"",IFERROR(IFERROR(INDEX(Vöruskrá!J:J,MATCH(B960,Vöruskrá!B:B,0)),0)*C960/100000,""))</f>
        <v>1.93</v>
      </c>
      <c r="H960" s="169">
        <f>IF(OR(B960="",C960=""),"",IFERROR(IFERROR(INDEX(Vöruskrá!K:K,MATCH(B960,Vöruskrá!B:B,0)),0)*C960/100000,""))</f>
        <v>1.6500000000000001E-2</v>
      </c>
      <c r="I960" s="169">
        <f>IF(OR(B960="",C960=""),"",IFERROR(IFERROR(INDEX(Vöruskrá!L:L,MATCH(B960,Vöruskrá!B:B,0)),0)*C960/100000,""))</f>
        <v>5.0000000000000001E-3</v>
      </c>
      <c r="J960" s="169">
        <f>IF(OR(B960="",C960=""),"",IFERROR(IFERROR(INDEX(Vöruskrá!M:M,MATCH(B960,Vöruskrá!B:B,0)),0)*C960/100000,""))</f>
        <v>0.32500000000000001</v>
      </c>
      <c r="K960" s="169">
        <f>IF(OR(B960="",C960=""),"",IFERROR(IFERROR(INDEX(Vöruskrá!N:N,MATCH(B960,Vöruskrá!B:B,0)),0)*C960/100000,""))</f>
        <v>3.0000000000000001E-3</v>
      </c>
      <c r="L960" s="169">
        <f>IF(OR(B960="",C960=""),"",IFERROR(IFERROR(INDEX(Vöruskrá!O:O,MATCH(B960,Vöruskrá!B:B,0)),0)*C960/100000,""))</f>
        <v>5.5E-2</v>
      </c>
      <c r="M960" s="169">
        <f>IF(OR(B960="",C960=""),"",IFERROR(IFERROR(INDEX(Vöruskrá!P:P,MATCH(B960,Vöruskrá!B:B,0)),0)*C960/100000,""))</f>
        <v>5.0000000000000001E-4</v>
      </c>
      <c r="N960" s="169">
        <f>IF(OR(B960="",C960=""),"",IFERROR(IFERROR(INDEX(Vöruskrá!Q:Q,MATCH(B960,Vöruskrá!B:B,0)),0)*C960/100000,""))</f>
        <v>0</v>
      </c>
      <c r="O960" s="170">
        <f>IF(OR(B960="",C960=""),"",IFERROR(C960/1000*IFERROR(INDEX(Vöruskrá!R:R,MATCH(B960,Vöruskrá!B:B,0)),0)/1000,""))</f>
        <v>0</v>
      </c>
      <c r="P960" s="173"/>
      <c r="Q960" s="157"/>
      <c r="R960" s="27"/>
    </row>
    <row r="961" spans="1:18" ht="15">
      <c r="A961" s="171"/>
      <c r="B961" s="171" t="s">
        <v>1020</v>
      </c>
      <c r="C961" s="172">
        <v>1000</v>
      </c>
      <c r="D961" s="168" t="s">
        <v>1020</v>
      </c>
      <c r="E961" s="168" t="s">
        <v>134</v>
      </c>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200"/>
      <c r="R961" s="159"/>
    </row>
    <row r="962" spans="1:18" ht="60">
      <c r="A962" s="147" t="s">
        <v>2049</v>
      </c>
      <c r="B962" s="147"/>
      <c r="C962" s="148"/>
      <c r="D962" s="165" t="s">
        <v>2050</v>
      </c>
      <c r="E962" s="165" t="s">
        <v>120</v>
      </c>
      <c r="F962" s="165"/>
      <c r="G962" s="166">
        <v>55.58</v>
      </c>
      <c r="H962" s="166">
        <v>3.16</v>
      </c>
      <c r="I962" s="166">
        <v>1.87</v>
      </c>
      <c r="J962" s="166">
        <v>4.82</v>
      </c>
      <c r="K962" s="166"/>
      <c r="L962" s="166">
        <v>1.99</v>
      </c>
      <c r="M962" s="166">
        <v>0.56999999999999995</v>
      </c>
      <c r="N962" s="166">
        <f>IFERROR(SUM(N963:N968)/(SUM($C$963:$C$968)/100000),"")</f>
        <v>0</v>
      </c>
      <c r="O962" s="167" t="str">
        <f>IF(OR(B962="",C962=""),"",IFERROR(C962/1000*IFERROR(INDEX(Vöruskrá!R:R,MATCH(B962,Vöruskrá!B:B,0)),0)/1000,""))</f>
        <v/>
      </c>
      <c r="P962" s="196" t="s">
        <v>2051</v>
      </c>
      <c r="Q962" s="199" t="s">
        <v>2052</v>
      </c>
      <c r="R962" s="198" t="s">
        <v>2053</v>
      </c>
    </row>
    <row r="963" spans="1:18" ht="15">
      <c r="A963" s="171"/>
      <c r="B963" s="171" t="s">
        <v>1507</v>
      </c>
      <c r="C963" s="172">
        <v>25000</v>
      </c>
      <c r="D963" s="168"/>
      <c r="E963" s="168"/>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97"/>
      <c r="R963" s="164"/>
    </row>
    <row r="964" spans="1:18" ht="15">
      <c r="A964" s="173"/>
      <c r="B964" s="173" t="s">
        <v>849</v>
      </c>
      <c r="C964" s="174">
        <v>60000</v>
      </c>
      <c r="D964" s="168" t="s">
        <v>850</v>
      </c>
      <c r="E964" s="168" t="s">
        <v>120</v>
      </c>
      <c r="F964" s="168"/>
      <c r="G964" s="169">
        <f>IF(OR(B964="",C964=""),"",IFERROR(IFERROR(INDEX(Vöruskrá!J:J,MATCH(B964,Vöruskrá!B:B,0)),0)*C964/100000,""))</f>
        <v>40.200000000000003</v>
      </c>
      <c r="H964" s="169">
        <f>IF(OR(B964="",C964=""),"",IFERROR(IFERROR(INDEX(Vöruskrá!K:K,MATCH(B964,Vöruskrá!B:B,0)),0)*C964/100000,""))</f>
        <v>2.34</v>
      </c>
      <c r="I964" s="169">
        <f>IF(OR(B964="",C964=""),"",IFERROR(IFERROR(INDEX(Vöruskrá!L:L,MATCH(B964,Vöruskrá!B:B,0)),0)*C964/100000,""))</f>
        <v>1.38</v>
      </c>
      <c r="J964" s="169">
        <f>IF(OR(B964="",C964=""),"",IFERROR(IFERROR(INDEX(Vöruskrá!M:M,MATCH(B964,Vöruskrá!B:B,0)),0)*C964/100000,""))</f>
        <v>2.82</v>
      </c>
      <c r="K964" s="169">
        <f>IF(OR(B964="",C964=""),"",IFERROR(IFERROR(INDEX(Vöruskrá!N:N,MATCH(B964,Vöruskrá!B:B,0)),0)*C964/100000,""))</f>
        <v>2.82</v>
      </c>
      <c r="L964" s="169">
        <f>IF(OR(B964="",C964=""),"",IFERROR(IFERROR(INDEX(Vöruskrá!O:O,MATCH(B964,Vöruskrá!B:B,0)),0)*C964/100000,""))</f>
        <v>1.98</v>
      </c>
      <c r="M964" s="169">
        <f>IF(OR(B964="",C964=""),"",IFERROR(IFERROR(INDEX(Vöruskrá!P:P,MATCH(B964,Vöruskrá!B:B,0)),0)*C964/100000,""))</f>
        <v>0.06</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1020</v>
      </c>
      <c r="C965" s="172">
        <v>11500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477</v>
      </c>
      <c r="C966" s="174">
        <v>2000</v>
      </c>
      <c r="D966" s="168" t="s">
        <v>479</v>
      </c>
      <c r="E966" s="168" t="s">
        <v>134</v>
      </c>
      <c r="F966" s="168"/>
      <c r="G966" s="169">
        <f>IF(OR(B966="",C966=""),"",IFERROR(IFERROR(INDEX(Vöruskrá!J:J,MATCH(B966,Vöruskrá!B:B,0)),0)*C966/100000,""))</f>
        <v>8</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2</v>
      </c>
      <c r="K966" s="169">
        <f>IF(OR(B966="",C966=""),"",IFERROR(IFERROR(INDEX(Vöruskrá!N:N,MATCH(B966,Vöruskrá!B:B,0)),0)*C966/100000,""))</f>
        <v>2</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3"/>
      <c r="Q966" s="157"/>
      <c r="R966" s="27"/>
    </row>
    <row r="967" spans="1:18" ht="15">
      <c r="A967" s="171"/>
      <c r="B967" s="171" t="s">
        <v>299</v>
      </c>
      <c r="C967" s="172">
        <v>500</v>
      </c>
      <c r="D967" s="168" t="s">
        <v>302</v>
      </c>
      <c r="E967" s="168" t="s">
        <v>134</v>
      </c>
      <c r="F967" s="168" t="s">
        <v>303</v>
      </c>
      <c r="G967" s="169">
        <f>IF(OR(B967="",C967=""),"",IFERROR(IFERROR(INDEX(Vöruskrá!J:J,MATCH(B967,Vöruskrá!B:B,0)),0)*C967/100000,""))</f>
        <v>0</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0</v>
      </c>
      <c r="K967" s="169">
        <f>IF(OR(B967="",C967=""),"",IFERROR(IFERROR(INDEX(Vöruskrá!N:N,MATCH(B967,Vöruskrá!B:B,0)),0)*C967/100000,""))</f>
        <v>0</v>
      </c>
      <c r="L967" s="169">
        <f>IF(OR(B967="",C967=""),"",IFERROR(IFERROR(INDEX(Vöruskrá!O:O,MATCH(B967,Vöruskrá!B:B,0)),0)*C967/100000,""))</f>
        <v>0</v>
      </c>
      <c r="M967" s="169">
        <f>IF(OR(B967="",C967=""),"",IFERROR(IFERROR(INDEX(Vöruskrá!P:P,MATCH(B967,Vöruskrá!B:B,0)),0)*C967/100000,""))</f>
        <v>0.5</v>
      </c>
      <c r="N967" s="169">
        <f>IF(OR(B967="",C967=""),"",IFERROR(IFERROR(INDEX(Vöruskrá!Q:Q,MATCH(B967,Vöruskrá!B:B,0)),0)*C967/100000,""))</f>
        <v>0</v>
      </c>
      <c r="O967" s="170">
        <f>IF(OR(B967="",C967=""),"",IFERROR(C967/1000*IFERROR(INDEX(Vöruskrá!R:R,MATCH(B967,Vöruskrá!B:B,0)),0)/1000,""))</f>
        <v>0</v>
      </c>
      <c r="P967" s="171"/>
      <c r="Q967" s="158"/>
      <c r="R967" s="6"/>
    </row>
    <row r="968" spans="1:18" ht="15">
      <c r="A968" s="173"/>
      <c r="B968" s="173" t="s">
        <v>445</v>
      </c>
      <c r="C968" s="174">
        <v>1000</v>
      </c>
      <c r="D968" s="168" t="s">
        <v>448</v>
      </c>
      <c r="E968" s="168" t="s">
        <v>120</v>
      </c>
      <c r="F968" s="168"/>
      <c r="G968" s="169">
        <f>IF(OR(B968="",C968=""),"",IFERROR(IFERROR(INDEX(Vöruskrá!J:J,MATCH(B968,Vöruskrá!B:B,0)),0)*C968/100000,""))</f>
        <v>7.38</v>
      </c>
      <c r="H968" s="169">
        <f>IF(OR(B968="",C968=""),"",IFERROR(IFERROR(INDEX(Vöruskrá!K:K,MATCH(B968,Vöruskrá!B:B,0)),0)*C968/100000,""))</f>
        <v>0.82</v>
      </c>
      <c r="I968" s="169">
        <f>IF(OR(B968="",C968=""),"",IFERROR(IFERROR(INDEX(Vöruskrá!L:L,MATCH(B968,Vöruskrá!B:B,0)),0)*C968/100000,""))</f>
        <v>0.49</v>
      </c>
      <c r="J968" s="169">
        <f>IF(OR(B968="",C968=""),"",IFERROR(IFERROR(INDEX(Vöruskrá!M:M,MATCH(B968,Vöruskrá!B:B,0)),0)*C968/100000,""))</f>
        <v>4.0000000000000001E-3</v>
      </c>
      <c r="K968" s="169">
        <f>IF(OR(B968="",C968=""),"",IFERROR(IFERROR(INDEX(Vöruskrá!N:N,MATCH(B968,Vöruskrá!B:B,0)),0)*C968/100000,""))</f>
        <v>4.0000000000000001E-3</v>
      </c>
      <c r="L968" s="169">
        <f>IF(OR(B968="",C968=""),"",IFERROR(IFERROR(INDEX(Vöruskrá!O:O,MATCH(B968,Vöruskrá!B:B,0)),0)*C968/100000,""))</f>
        <v>6.0000000000000001E-3</v>
      </c>
      <c r="M968" s="169">
        <f>IF(OR(B968="",C968=""),"",IFERROR(IFERROR(INDEX(Vöruskrá!P:P,MATCH(B968,Vöruskrá!B:B,0)),0)*C968/100000,""))</f>
        <v>1.2E-2</v>
      </c>
      <c r="N968" s="169">
        <f>IF(OR(B968="",C968=""),"",IFERROR(IFERROR(INDEX(Vöruskrá!Q:Q,MATCH(B968,Vöruskrá!B:B,0)),0)*C968/100000,""))</f>
        <v>0</v>
      </c>
      <c r="O968" s="170">
        <f>IF(OR(B968="",C968=""),"",IFERROR(C968/1000*IFERROR(INDEX(Vöruskrá!R:R,MATCH(B968,Vöruskrá!B:B,0)),0)/1000,""))</f>
        <v>0</v>
      </c>
      <c r="P968" s="173"/>
      <c r="Q968" s="201"/>
      <c r="R968" s="202"/>
    </row>
    <row r="969" spans="1:18" ht="60">
      <c r="A969" s="147" t="s">
        <v>2054</v>
      </c>
      <c r="B969" s="147"/>
      <c r="C969" s="148"/>
      <c r="D969" s="165" t="s">
        <v>2055</v>
      </c>
      <c r="E969" s="165" t="s">
        <v>120</v>
      </c>
      <c r="F969" s="165"/>
      <c r="G969" s="166">
        <v>132.58000000000001</v>
      </c>
      <c r="H969" s="166">
        <v>3.3</v>
      </c>
      <c r="I969" s="166">
        <v>1.91</v>
      </c>
      <c r="J969" s="166">
        <v>21.82</v>
      </c>
      <c r="K969" s="166"/>
      <c r="L969" s="166">
        <v>3.41</v>
      </c>
      <c r="M969" s="166">
        <v>0.56999999999999995</v>
      </c>
      <c r="N969" s="166">
        <f>IFERROR(SUM(N970:N977)/(SUM($C$970:$C$977)/100000),"")</f>
        <v>0.26</v>
      </c>
      <c r="O969" s="167" t="str">
        <f>IF(OR(B969="",C969=""),"",IFERROR(C969/1000*IFERROR(INDEX(Vöruskrá!R:R,MATCH(B969,Vöruskrá!B:B,0)),0)/1000,""))</f>
        <v/>
      </c>
      <c r="P969" s="196" t="s">
        <v>2056</v>
      </c>
      <c r="Q969" s="195" t="s">
        <v>2057</v>
      </c>
      <c r="R969" s="194" t="s">
        <v>2058</v>
      </c>
    </row>
    <row r="970" spans="1:18" ht="15">
      <c r="A970" s="171"/>
      <c r="B970" s="171" t="s">
        <v>341</v>
      </c>
      <c r="C970" s="172">
        <v>20000</v>
      </c>
      <c r="D970" s="168" t="s">
        <v>344</v>
      </c>
      <c r="E970" s="168" t="s">
        <v>134</v>
      </c>
      <c r="F970" s="168"/>
      <c r="G970" s="169">
        <f>IF(OR(B970="",C970=""),"",IFERROR(IFERROR(INDEX(Vöruskrá!J:J,MATCH(B970,Vöruskrá!B:B,0)),0)*C970/100000,""))</f>
        <v>73</v>
      </c>
      <c r="H970" s="169">
        <f>IF(OR(B970="",C970=""),"",IFERROR(IFERROR(INDEX(Vöruskrá!K:K,MATCH(B970,Vöruskrá!B:B,0)),0)*C970/100000,""))</f>
        <v>0.14000000000000001</v>
      </c>
      <c r="I970" s="169">
        <f>IF(OR(B970="",C970=""),"",IFERROR(IFERROR(INDEX(Vöruskrá!L:L,MATCH(B970,Vöruskrá!B:B,0)),0)*C970/100000,""))</f>
        <v>0.04</v>
      </c>
      <c r="J970" s="169">
        <f>IF(OR(B970="",C970=""),"",IFERROR(IFERROR(INDEX(Vöruskrá!M:M,MATCH(B970,Vöruskrá!B:B,0)),0)*C970/100000,""))</f>
        <v>16</v>
      </c>
      <c r="K970" s="169">
        <f>IF(OR(B970="",C970=""),"",IFERROR(IFERROR(INDEX(Vöruskrá!N:N,MATCH(B970,Vöruskrá!B:B,0)),0)*C970/100000,""))</f>
        <v>0.02</v>
      </c>
      <c r="L970" s="169">
        <f>IF(OR(B970="",C970=""),"",IFERROR(IFERROR(INDEX(Vöruskrá!O:O,MATCH(B970,Vöruskrá!B:B,0)),0)*C970/100000,""))</f>
        <v>1.42</v>
      </c>
      <c r="M970" s="169">
        <f>IF(OR(B970="",C970=""),"",IFERROR(IFERROR(INDEX(Vöruskrá!P:P,MATCH(B970,Vöruskrá!B:B,0)),0)*C970/100000,""))</f>
        <v>0</v>
      </c>
      <c r="N970" s="169">
        <f>IF(OR(B970="",C970=""),"",IFERROR(IFERROR(INDEX(Vöruskrá!Q:Q,MATCH(B970,Vöruskrá!B:B,0)),0)*C970/100000,""))</f>
        <v>0.26</v>
      </c>
      <c r="O970" s="170">
        <f>IF(OR(B970="",C970=""),"",IFERROR(C970/1000*IFERROR(INDEX(Vöruskrá!R:R,MATCH(B970,Vöruskrá!B:B,0)),0)/1000,""))</f>
        <v>0</v>
      </c>
      <c r="P970" s="171"/>
      <c r="Q970" s="203"/>
      <c r="R970" s="204"/>
    </row>
    <row r="971" spans="1:18" ht="15">
      <c r="A971" s="173"/>
      <c r="B971" s="173" t="s">
        <v>849</v>
      </c>
      <c r="C971" s="174">
        <v>60000</v>
      </c>
      <c r="D971" s="168" t="s">
        <v>850</v>
      </c>
      <c r="E971" s="168" t="s">
        <v>120</v>
      </c>
      <c r="F971" s="168"/>
      <c r="G971" s="169">
        <f>IF(OR(B971="",C971=""),"",IFERROR(IFERROR(INDEX(Vöruskrá!J:J,MATCH(B971,Vöruskrá!B:B,0)),0)*C971/100000,""))</f>
        <v>40.200000000000003</v>
      </c>
      <c r="H971" s="169">
        <f>IF(OR(B971="",C971=""),"",IFERROR(IFERROR(INDEX(Vöruskrá!K:K,MATCH(B971,Vöruskrá!B:B,0)),0)*C971/100000,""))</f>
        <v>2.34</v>
      </c>
      <c r="I971" s="169">
        <f>IF(OR(B971="",C971=""),"",IFERROR(IFERROR(INDEX(Vöruskrá!L:L,MATCH(B971,Vöruskrá!B:B,0)),0)*C971/100000,""))</f>
        <v>1.38</v>
      </c>
      <c r="J971" s="169">
        <f>IF(OR(B971="",C971=""),"",IFERROR(IFERROR(INDEX(Vöruskrá!M:M,MATCH(B971,Vöruskrá!B:B,0)),0)*C971/100000,""))</f>
        <v>2.82</v>
      </c>
      <c r="K971" s="169">
        <f>IF(OR(B971="",C971=""),"",IFERROR(IFERROR(INDEX(Vöruskrá!N:N,MATCH(B971,Vöruskrá!B:B,0)),0)*C971/100000,""))</f>
        <v>2.82</v>
      </c>
      <c r="L971" s="169">
        <f>IF(OR(B971="",C971=""),"",IFERROR(IFERROR(INDEX(Vöruskrá!O:O,MATCH(B971,Vöruskrá!B:B,0)),0)*C971/100000,""))</f>
        <v>1.98</v>
      </c>
      <c r="M971" s="169">
        <f>IF(OR(B971="",C971=""),"",IFERROR(IFERROR(INDEX(Vöruskrá!P:P,MATCH(B971,Vöruskrá!B:B,0)),0)*C971/100000,""))</f>
        <v>0.06</v>
      </c>
      <c r="N971" s="169">
        <f>IF(OR(B971="",C971=""),"",IFERROR(IFERROR(INDEX(Vöruskrá!Q:Q,MATCH(B971,Vöruskrá!B:B,0)),0)*C971/100000,""))</f>
        <v>0</v>
      </c>
      <c r="O971" s="170">
        <f>IF(OR(B971="",C971=""),"",IFERROR(C971/1000*IFERROR(INDEX(Vöruskrá!R:R,MATCH(B971,Vöruskrá!B:B,0)),0)/1000,""))</f>
        <v>0</v>
      </c>
      <c r="P971" s="173"/>
      <c r="Q971" s="158"/>
      <c r="R971" s="6"/>
    </row>
    <row r="972" spans="1:18" ht="15">
      <c r="A972" s="171"/>
      <c r="B972" s="171" t="s">
        <v>1020</v>
      </c>
      <c r="C972" s="172">
        <v>12000</v>
      </c>
      <c r="D972" s="168" t="s">
        <v>1020</v>
      </c>
      <c r="E972" s="168" t="s">
        <v>134</v>
      </c>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7"/>
      <c r="R972" s="27"/>
    </row>
    <row r="973" spans="1:18" ht="15">
      <c r="A973" s="173"/>
      <c r="B973" s="173" t="s">
        <v>1508</v>
      </c>
      <c r="C973" s="174">
        <v>3000</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3"/>
      <c r="Q973" s="158"/>
      <c r="R973" s="6"/>
    </row>
    <row r="974" spans="1:18" ht="15">
      <c r="A974" s="171"/>
      <c r="B974" s="171" t="s">
        <v>477</v>
      </c>
      <c r="C974" s="172">
        <v>3000</v>
      </c>
      <c r="D974" s="168" t="s">
        <v>479</v>
      </c>
      <c r="E974" s="168" t="s">
        <v>134</v>
      </c>
      <c r="F974" s="168"/>
      <c r="G974" s="169">
        <f>IF(OR(B974="",C974=""),"",IFERROR(IFERROR(INDEX(Vöruskrá!J:J,MATCH(B974,Vöruskrá!B:B,0)),0)*C974/100000,""))</f>
        <v>12</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3</v>
      </c>
      <c r="K974" s="169">
        <f>IF(OR(B974="",C974=""),"",IFERROR(IFERROR(INDEX(Vöruskrá!N:N,MATCH(B974,Vöruskrá!B:B,0)),0)*C974/100000,""))</f>
        <v>3</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7"/>
      <c r="R974" s="27"/>
    </row>
    <row r="975" spans="1:18" ht="15">
      <c r="A975" s="173"/>
      <c r="B975" s="173" t="s">
        <v>299</v>
      </c>
      <c r="C975" s="174">
        <v>500</v>
      </c>
      <c r="D975" s="168" t="s">
        <v>302</v>
      </c>
      <c r="E975" s="168" t="s">
        <v>134</v>
      </c>
      <c r="F975" s="168" t="s">
        <v>303</v>
      </c>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0.5</v>
      </c>
      <c r="N975" s="169">
        <f>IF(OR(B975="",C975=""),"",IFERROR(IFERROR(INDEX(Vöruskrá!Q:Q,MATCH(B975,Vöruskrá!B:B,0)),0)*C975/100000,""))</f>
        <v>0</v>
      </c>
      <c r="O975" s="170">
        <f>IF(OR(B975="",C975=""),"",IFERROR(C975/1000*IFERROR(INDEX(Vöruskrá!R:R,MATCH(B975,Vöruskrá!B:B,0)),0)/1000,""))</f>
        <v>0</v>
      </c>
      <c r="P975" s="173"/>
      <c r="Q975" s="158"/>
      <c r="R975" s="6"/>
    </row>
    <row r="976" spans="1:18" ht="15">
      <c r="A976" s="171"/>
      <c r="B976" s="171" t="s">
        <v>1501</v>
      </c>
      <c r="C976" s="172">
        <v>500</v>
      </c>
      <c r="D976" s="168"/>
      <c r="E976" s="168"/>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1"/>
      <c r="Q976" s="157"/>
      <c r="R976" s="27"/>
    </row>
    <row r="977" spans="1:18" ht="15">
      <c r="A977" s="173"/>
      <c r="B977" s="173" t="s">
        <v>445</v>
      </c>
      <c r="C977" s="174">
        <v>1000</v>
      </c>
      <c r="D977" s="168" t="s">
        <v>448</v>
      </c>
      <c r="E977" s="168" t="s">
        <v>120</v>
      </c>
      <c r="F977" s="168"/>
      <c r="G977" s="169">
        <f>IF(OR(B977="",C977=""),"",IFERROR(IFERROR(INDEX(Vöruskrá!J:J,MATCH(B977,Vöruskrá!B:B,0)),0)*C977/100000,""))</f>
        <v>7.38</v>
      </c>
      <c r="H977" s="169">
        <f>IF(OR(B977="",C977=""),"",IFERROR(IFERROR(INDEX(Vöruskrá!K:K,MATCH(B977,Vöruskrá!B:B,0)),0)*C977/100000,""))</f>
        <v>0.82</v>
      </c>
      <c r="I977" s="169">
        <f>IF(OR(B977="",C977=""),"",IFERROR(IFERROR(INDEX(Vöruskrá!L:L,MATCH(B977,Vöruskrá!B:B,0)),0)*C977/100000,""))</f>
        <v>0.49</v>
      </c>
      <c r="J977" s="169">
        <f>IF(OR(B977="",C977=""),"",IFERROR(IFERROR(INDEX(Vöruskrá!M:M,MATCH(B977,Vöruskrá!B:B,0)),0)*C977/100000,""))</f>
        <v>4.0000000000000001E-3</v>
      </c>
      <c r="K977" s="169">
        <f>IF(OR(B977="",C977=""),"",IFERROR(IFERROR(INDEX(Vöruskrá!N:N,MATCH(B977,Vöruskrá!B:B,0)),0)*C977/100000,""))</f>
        <v>4.0000000000000001E-3</v>
      </c>
      <c r="L977" s="169">
        <f>IF(OR(B977="",C977=""),"",IFERROR(IFERROR(INDEX(Vöruskrá!O:O,MATCH(B977,Vöruskrá!B:B,0)),0)*C977/100000,""))</f>
        <v>6.0000000000000001E-3</v>
      </c>
      <c r="M977" s="169">
        <f>IF(OR(B977="",C977=""),"",IFERROR(IFERROR(INDEX(Vöruskrá!P:P,MATCH(B977,Vöruskrá!B:B,0)),0)*C977/100000,""))</f>
        <v>1.2E-2</v>
      </c>
      <c r="N977" s="169">
        <f>IF(OR(B977="",C977=""),"",IFERROR(IFERROR(INDEX(Vöruskrá!Q:Q,MATCH(B977,Vöruskrá!B:B,0)),0)*C977/100000,""))</f>
        <v>0</v>
      </c>
      <c r="O977" s="170">
        <f>IF(OR(B977="",C977=""),"",IFERROR(C977/1000*IFERROR(INDEX(Vöruskrá!R:R,MATCH(B977,Vöruskrá!B:B,0)),0)/1000,""))</f>
        <v>0</v>
      </c>
      <c r="P977" s="173"/>
      <c r="Q977" s="200"/>
      <c r="R977" s="159"/>
    </row>
    <row r="978" spans="1:18" ht="60">
      <c r="A978" s="147" t="s">
        <v>2059</v>
      </c>
      <c r="B978" s="147"/>
      <c r="C978" s="148"/>
      <c r="D978" s="165" t="s">
        <v>2060</v>
      </c>
      <c r="E978" s="165" t="s">
        <v>120</v>
      </c>
      <c r="F978" s="165"/>
      <c r="G978" s="166">
        <v>129.85</v>
      </c>
      <c r="H978" s="166">
        <v>2.69</v>
      </c>
      <c r="I978" s="166">
        <v>1.54</v>
      </c>
      <c r="J978" s="166">
        <v>22.16</v>
      </c>
      <c r="K978" s="166"/>
      <c r="L978" s="166">
        <v>3.71</v>
      </c>
      <c r="M978" s="166">
        <v>0.37</v>
      </c>
      <c r="N978" s="166">
        <f>IFERROR(SUM(N979:N985)/(SUM($C$979:$C$985)/100000),"")</f>
        <v>0.28599999999999998</v>
      </c>
      <c r="O978" s="167" t="str">
        <f>IF(OR(B978="",C978=""),"",IFERROR(C978/1000*IFERROR(INDEX(Vöruskrá!R:R,MATCH(B978,Vöruskrá!B:B,0)),0)/1000,""))</f>
        <v/>
      </c>
      <c r="P978" s="196" t="s">
        <v>2061</v>
      </c>
      <c r="Q978" s="199" t="s">
        <v>2062</v>
      </c>
      <c r="R978" s="198" t="s">
        <v>2063</v>
      </c>
    </row>
    <row r="979" spans="1:18" ht="15">
      <c r="A979" s="171"/>
      <c r="B979" s="171" t="s">
        <v>341</v>
      </c>
      <c r="C979" s="172">
        <v>22000</v>
      </c>
      <c r="D979" s="168" t="s">
        <v>344</v>
      </c>
      <c r="E979" s="168" t="s">
        <v>134</v>
      </c>
      <c r="F979" s="168"/>
      <c r="G979" s="169">
        <f>IF(OR(B979="",C979=""),"",IFERROR(IFERROR(INDEX(Vöruskrá!J:J,MATCH(B979,Vöruskrá!B:B,0)),0)*C979/100000,""))</f>
        <v>80.3</v>
      </c>
      <c r="H979" s="169">
        <f>IF(OR(B979="",C979=""),"",IFERROR(IFERROR(INDEX(Vöruskrá!K:K,MATCH(B979,Vöruskrá!B:B,0)),0)*C979/100000,""))</f>
        <v>0.15399999999999997</v>
      </c>
      <c r="I979" s="169">
        <f>IF(OR(B979="",C979=""),"",IFERROR(IFERROR(INDEX(Vöruskrá!L:L,MATCH(B979,Vöruskrá!B:B,0)),0)*C979/100000,""))</f>
        <v>4.3999999999999997E-2</v>
      </c>
      <c r="J979" s="169">
        <f>IF(OR(B979="",C979=""),"",IFERROR(IFERROR(INDEX(Vöruskrá!M:M,MATCH(B979,Vöruskrá!B:B,0)),0)*C979/100000,""))</f>
        <v>17.600000000000001</v>
      </c>
      <c r="K979" s="169">
        <f>IF(OR(B979="",C979=""),"",IFERROR(IFERROR(INDEX(Vöruskrá!N:N,MATCH(B979,Vöruskrá!B:B,0)),0)*C979/100000,""))</f>
        <v>2.1999999999999999E-2</v>
      </c>
      <c r="L979" s="169">
        <f>IF(OR(B979="",C979=""),"",IFERROR(IFERROR(INDEX(Vöruskrá!O:O,MATCH(B979,Vöruskrá!B:B,0)),0)*C979/100000,""))</f>
        <v>1.5620000000000001</v>
      </c>
      <c r="M979" s="169">
        <f>IF(OR(B979="",C979=""),"",IFERROR(IFERROR(INDEX(Vöruskrá!P:P,MATCH(B979,Vöruskrá!B:B,0)),0)*C979/100000,""))</f>
        <v>0</v>
      </c>
      <c r="N979" s="169">
        <f>IF(OR(B979="",C979=""),"",IFERROR(IFERROR(INDEX(Vöruskrá!Q:Q,MATCH(B979,Vöruskrá!B:B,0)),0)*C979/100000,""))</f>
        <v>0.28599999999999998</v>
      </c>
      <c r="O979" s="170">
        <f>IF(OR(B979="",C979=""),"",IFERROR(C979/1000*IFERROR(INDEX(Vöruskrá!R:R,MATCH(B979,Vöruskrá!B:B,0)),0)/1000,""))</f>
        <v>0</v>
      </c>
      <c r="P979" s="171"/>
      <c r="Q979" s="197"/>
      <c r="R979" s="164"/>
    </row>
    <row r="980" spans="1:18" ht="15">
      <c r="A980" s="173"/>
      <c r="B980" s="173" t="s">
        <v>849</v>
      </c>
      <c r="C980" s="174">
        <v>65000</v>
      </c>
      <c r="D980" s="168" t="s">
        <v>850</v>
      </c>
      <c r="E980" s="168" t="s">
        <v>120</v>
      </c>
      <c r="F980" s="168"/>
      <c r="G980" s="169">
        <f>IF(OR(B980="",C980=""),"",IFERROR(IFERROR(INDEX(Vöruskrá!J:J,MATCH(B980,Vöruskrá!B:B,0)),0)*C980/100000,""))</f>
        <v>43.55</v>
      </c>
      <c r="H980" s="169">
        <f>IF(OR(B980="",C980=""),"",IFERROR(IFERROR(INDEX(Vöruskrá!K:K,MATCH(B980,Vöruskrá!B:B,0)),0)*C980/100000,""))</f>
        <v>2.5350000000000001</v>
      </c>
      <c r="I980" s="169">
        <f>IF(OR(B980="",C980=""),"",IFERROR(IFERROR(INDEX(Vöruskrá!L:L,MATCH(B980,Vöruskrá!B:B,0)),0)*C980/100000,""))</f>
        <v>1.4950000000000001</v>
      </c>
      <c r="J980" s="169">
        <f>IF(OR(B980="",C980=""),"",IFERROR(IFERROR(INDEX(Vöruskrá!M:M,MATCH(B980,Vöruskrá!B:B,0)),0)*C980/100000,""))</f>
        <v>3.0550000000000002</v>
      </c>
      <c r="K980" s="169">
        <f>IF(OR(B980="",C980=""),"",IFERROR(IFERROR(INDEX(Vöruskrá!N:N,MATCH(B980,Vöruskrá!B:B,0)),0)*C980/100000,""))</f>
        <v>3.0550000000000002</v>
      </c>
      <c r="L980" s="169">
        <f>IF(OR(B980="",C980=""),"",IFERROR(IFERROR(INDEX(Vöruskrá!O:O,MATCH(B980,Vöruskrá!B:B,0)),0)*C980/100000,""))</f>
        <v>2.145</v>
      </c>
      <c r="M980" s="169">
        <f>IF(OR(B980="",C980=""),"",IFERROR(IFERROR(INDEX(Vöruskrá!P:P,MATCH(B980,Vöruskrá!B:B,0)),0)*C980/100000,""))</f>
        <v>6.5000000000000002E-2</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1020</v>
      </c>
      <c r="C981" s="172">
        <v>8000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1509</v>
      </c>
      <c r="C982" s="174">
        <v>3000</v>
      </c>
      <c r="D982" s="168"/>
      <c r="E982" s="168"/>
      <c r="F982" s="168"/>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477</v>
      </c>
      <c r="C983" s="172">
        <v>1500</v>
      </c>
      <c r="D983" s="168" t="s">
        <v>479</v>
      </c>
      <c r="E983" s="168" t="s">
        <v>134</v>
      </c>
      <c r="F983" s="168"/>
      <c r="G983" s="169">
        <f>IF(OR(B983="",C983=""),"",IFERROR(IFERROR(INDEX(Vöruskrá!J:J,MATCH(B983,Vöruskrá!B:B,0)),0)*C983/100000,""))</f>
        <v>6</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1.5</v>
      </c>
      <c r="K983" s="169">
        <f>IF(OR(B983="",C983=""),"",IFERROR(IFERROR(INDEX(Vöruskrá!N:N,MATCH(B983,Vöruskrá!B:B,0)),0)*C983/100000,""))</f>
        <v>1.5</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299</v>
      </c>
      <c r="C984" s="174">
        <v>300</v>
      </c>
      <c r="D984" s="168" t="s">
        <v>302</v>
      </c>
      <c r="E984" s="168" t="s">
        <v>134</v>
      </c>
      <c r="F984" s="168" t="s">
        <v>303</v>
      </c>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0.3</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1501</v>
      </c>
      <c r="C985" s="172">
        <v>200</v>
      </c>
      <c r="D985" s="168"/>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200"/>
      <c r="R985" s="159"/>
    </row>
    <row r="986" spans="1:18" ht="48">
      <c r="A986" s="147" t="s">
        <v>2064</v>
      </c>
      <c r="B986" s="147"/>
      <c r="C986" s="148"/>
      <c r="D986" s="165" t="s">
        <v>2065</v>
      </c>
      <c r="E986" s="165" t="s">
        <v>134</v>
      </c>
      <c r="F986" s="165"/>
      <c r="G986" s="166">
        <v>197.42</v>
      </c>
      <c r="H986" s="166">
        <v>13.24</v>
      </c>
      <c r="I986" s="166">
        <v>10.97</v>
      </c>
      <c r="J986" s="166">
        <v>17.97</v>
      </c>
      <c r="K986" s="166"/>
      <c r="L986" s="166">
        <v>1.1499999999999999</v>
      </c>
      <c r="M986" s="166">
        <v>0.27</v>
      </c>
      <c r="N986" s="166">
        <f>IFERROR(SUM(N987:N991)/(SUM($C$987:$C$991)/100000),"")</f>
        <v>0.21130282570642664</v>
      </c>
      <c r="O986" s="167" t="str">
        <f>IF(OR(B986="",C986=""),"",IFERROR(C986/1000*IFERROR(INDEX(Vöruskrá!R:R,MATCH(B986,Vöruskrá!B:B,0)),0)/1000,""))</f>
        <v/>
      </c>
      <c r="P986" s="196" t="s">
        <v>2066</v>
      </c>
      <c r="Q986" s="195" t="s">
        <v>2067</v>
      </c>
      <c r="R986" s="194" t="s">
        <v>2068</v>
      </c>
    </row>
    <row r="987" spans="1:18" ht="15">
      <c r="A987" s="171"/>
      <c r="B987" s="171" t="s">
        <v>341</v>
      </c>
      <c r="C987" s="172">
        <v>13000</v>
      </c>
      <c r="D987" s="168" t="s">
        <v>344</v>
      </c>
      <c r="E987" s="168" t="s">
        <v>134</v>
      </c>
      <c r="F987" s="168"/>
      <c r="G987" s="169">
        <f>IF(OR(B987="",C987=""),"",IFERROR(IFERROR(INDEX(Vöruskrá!J:J,MATCH(B987,Vöruskrá!B:B,0)),0)*C987/100000,""))</f>
        <v>47.45</v>
      </c>
      <c r="H987" s="169">
        <f>IF(OR(B987="",C987=""),"",IFERROR(IFERROR(INDEX(Vöruskrá!K:K,MATCH(B987,Vöruskrá!B:B,0)),0)*C987/100000,""))</f>
        <v>9.0999999999999998E-2</v>
      </c>
      <c r="I987" s="169">
        <f>IF(OR(B987="",C987=""),"",IFERROR(IFERROR(INDEX(Vöruskrá!L:L,MATCH(B987,Vöruskrá!B:B,0)),0)*C987/100000,""))</f>
        <v>2.5999999999999999E-2</v>
      </c>
      <c r="J987" s="169">
        <f>IF(OR(B987="",C987=""),"",IFERROR(IFERROR(INDEX(Vöruskrá!M:M,MATCH(B987,Vöruskrá!B:B,0)),0)*C987/100000,""))</f>
        <v>10.4</v>
      </c>
      <c r="K987" s="169">
        <f>IF(OR(B987="",C987=""),"",IFERROR(IFERROR(INDEX(Vöruskrá!N:N,MATCH(B987,Vöruskrá!B:B,0)),0)*C987/100000,""))</f>
        <v>1.2999999999999999E-2</v>
      </c>
      <c r="L987" s="169">
        <f>IF(OR(B987="",C987=""),"",IFERROR(IFERROR(INDEX(Vöruskrá!O:O,MATCH(B987,Vöruskrá!B:B,0)),0)*C987/100000,""))</f>
        <v>0.92300000000000004</v>
      </c>
      <c r="M987" s="169">
        <f>IF(OR(B987="",C987=""),"",IFERROR(IFERROR(INDEX(Vöruskrá!P:P,MATCH(B987,Vöruskrá!B:B,0)),0)*C987/100000,""))</f>
        <v>0</v>
      </c>
      <c r="N987" s="169">
        <f>IF(OR(B987="",C987=""),"",IFERROR(IFERROR(INDEX(Vöruskrá!Q:Q,MATCH(B987,Vöruskrá!B:B,0)),0)*C987/100000,""))</f>
        <v>0.16900000000000001</v>
      </c>
      <c r="O987" s="170">
        <f>IF(OR(B987="",C987=""),"",IFERROR(C987/1000*IFERROR(INDEX(Vöruskrá!R:R,MATCH(B987,Vöruskrá!B:B,0)),0)/1000,""))</f>
        <v>0</v>
      </c>
      <c r="P987" s="171"/>
      <c r="Q987" s="197"/>
      <c r="R987" s="164"/>
    </row>
    <row r="988" spans="1:18" ht="15">
      <c r="A988" s="173"/>
      <c r="B988" s="173" t="s">
        <v>1020</v>
      </c>
      <c r="C988" s="174">
        <v>30000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131</v>
      </c>
      <c r="C989" s="172">
        <v>35000</v>
      </c>
      <c r="D989" s="168" t="s">
        <v>133</v>
      </c>
      <c r="E989" s="168" t="s">
        <v>134</v>
      </c>
      <c r="F989" s="168"/>
      <c r="G989" s="169">
        <f>IF(OR(B989="",C989=""),"",IFERROR(IFERROR(INDEX(Vöruskrá!J:J,MATCH(B989,Vöruskrá!B:B,0)),0)*C989/100000,""))</f>
        <v>103.25</v>
      </c>
      <c r="H989" s="169">
        <f>IF(OR(B989="",C989=""),"",IFERROR(IFERROR(INDEX(Vöruskrá!K:K,MATCH(B989,Vöruskrá!B:B,0)),0)*C989/100000,""))</f>
        <v>10.5</v>
      </c>
      <c r="I989" s="169">
        <f>IF(OR(B989="",C989=""),"",IFERROR(IFERROR(INDEX(Vöruskrá!L:L,MATCH(B989,Vöruskrá!B:B,0)),0)*C989/100000,""))</f>
        <v>8.75</v>
      </c>
      <c r="J989" s="169">
        <f>IF(OR(B989="",C989=""),"",IFERROR(IFERROR(INDEX(Vöruskrá!M:M,MATCH(B989,Vöruskrá!B:B,0)),0)*C989/100000,""))</f>
        <v>2.17</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3.5000000000000003E-2</v>
      </c>
      <c r="N989" s="169">
        <f>IF(OR(B989="",C989=""),"",IFERROR(IFERROR(INDEX(Vöruskrá!Q:Q,MATCH(B989,Vöruskrá!B:B,0)),0)*C989/100000,""))</f>
        <v>0</v>
      </c>
      <c r="O989" s="170">
        <f>IF(OR(B989="",C989=""),"",IFERROR(C989/1000*IFERROR(INDEX(Vöruskrá!R:R,MATCH(B989,Vöruskrá!B:B,0)),0)/1000,""))</f>
        <v>0</v>
      </c>
      <c r="P989" s="171"/>
      <c r="Q989" s="158"/>
      <c r="R989" s="6"/>
    </row>
    <row r="990" spans="1:18" ht="15">
      <c r="A990" s="173"/>
      <c r="B990" s="173" t="s">
        <v>477</v>
      </c>
      <c r="C990" s="174">
        <v>1800</v>
      </c>
      <c r="D990" s="168" t="s">
        <v>479</v>
      </c>
      <c r="E990" s="168" t="s">
        <v>134</v>
      </c>
      <c r="F990" s="168"/>
      <c r="G990" s="169">
        <f>IF(OR(B990="",C990=""),"",IFERROR(IFERROR(INDEX(Vöruskrá!J:J,MATCH(B990,Vöruskrá!B:B,0)),0)*C990/100000,""))</f>
        <v>7.2</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1.8</v>
      </c>
      <c r="K990" s="169">
        <f>IF(OR(B990="",C990=""),"",IFERROR(IFERROR(INDEX(Vöruskrá!N:N,MATCH(B990,Vöruskrá!B:B,0)),0)*C990/100000,""))</f>
        <v>1.8</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157"/>
      <c r="R990" s="27"/>
    </row>
    <row r="991" spans="1:18" ht="15">
      <c r="A991" s="175"/>
      <c r="B991" s="175" t="s">
        <v>299</v>
      </c>
      <c r="C991" s="176">
        <v>180</v>
      </c>
      <c r="D991" s="177" t="s">
        <v>302</v>
      </c>
      <c r="E991" s="177" t="s">
        <v>134</v>
      </c>
      <c r="F991" s="177" t="s">
        <v>303</v>
      </c>
      <c r="G991" s="178">
        <f>IF(OR(B991="",C991=""),"",IFERROR(IFERROR(INDEX(Vöruskrá!J:J,MATCH(B991,Vöruskrá!B:B,0)),0)*C991/100000,""))</f>
        <v>0</v>
      </c>
      <c r="H991" s="178">
        <f>IF(OR(B991="",C991=""),"",IFERROR(IFERROR(INDEX(Vöruskrá!K:K,MATCH(B991,Vöruskrá!B:B,0)),0)*C991/100000,""))</f>
        <v>0</v>
      </c>
      <c r="I991" s="178">
        <f>IF(OR(B991="",C991=""),"",IFERROR(IFERROR(INDEX(Vöruskrá!L:L,MATCH(B991,Vöruskrá!B:B,0)),0)*C991/100000,""))</f>
        <v>0</v>
      </c>
      <c r="J991" s="178">
        <f>IF(OR(B991="",C991=""),"",IFERROR(IFERROR(INDEX(Vöruskrá!M:M,MATCH(B991,Vöruskrá!B:B,0)),0)*C991/100000,""))</f>
        <v>0</v>
      </c>
      <c r="K991" s="178">
        <f>IF(OR(B991="",C991=""),"",IFERROR(IFERROR(INDEX(Vöruskrá!N:N,MATCH(B991,Vöruskrá!B:B,0)),0)*C991/100000,""))</f>
        <v>0</v>
      </c>
      <c r="L991" s="178">
        <f>IF(OR(B991="",C991=""),"",IFERROR(IFERROR(INDEX(Vöruskrá!O:O,MATCH(B991,Vöruskrá!B:B,0)),0)*C991/100000,""))</f>
        <v>0</v>
      </c>
      <c r="M991" s="178">
        <f>IF(OR(B991="",C991=""),"",IFERROR(IFERROR(INDEX(Vöruskrá!P:P,MATCH(B991,Vöruskrá!B:B,0)),0)*C991/100000,""))</f>
        <v>0.18</v>
      </c>
      <c r="N991" s="178">
        <f>IF(OR(B991="",C991=""),"",IFERROR(IFERROR(INDEX(Vöruskrá!Q:Q,MATCH(B991,Vöruskrá!B:B,0)),0)*C991/100000,""))</f>
        <v>0</v>
      </c>
      <c r="O991" s="179">
        <f>IF(OR(B991="",C991=""),"",IFERROR(C991/1000*IFERROR(INDEX(Vöruskrá!R:R,MATCH(B991,Vöruskrá!B:B,0)),0)/1000,""))</f>
        <v>0</v>
      </c>
      <c r="P991" s="175"/>
      <c r="Q991" s="200"/>
      <c r="R991" s="159"/>
    </row>
    <row r="992" spans="1:18" ht="84">
      <c r="A992" s="147" t="s">
        <v>2069</v>
      </c>
      <c r="B992" s="147"/>
      <c r="C992" s="148"/>
      <c r="D992" s="165" t="s">
        <v>2070</v>
      </c>
      <c r="E992" s="165" t="s">
        <v>2071</v>
      </c>
      <c r="F992" s="165"/>
      <c r="G992" s="166">
        <v>141.19999999999999</v>
      </c>
      <c r="H992" s="166">
        <v>11.59</v>
      </c>
      <c r="I992" s="166">
        <v>6.64</v>
      </c>
      <c r="J992" s="166">
        <v>3.92</v>
      </c>
      <c r="K992" s="166"/>
      <c r="L992" s="166">
        <v>5.19</v>
      </c>
      <c r="M992" s="166">
        <v>1.1599999999999999</v>
      </c>
      <c r="N992" s="166">
        <f>IFERROR(SUM(N993:N1004)/(SUM($C$993:$C$1004)/100000),"")</f>
        <v>0.2200751476113795</v>
      </c>
      <c r="O992" s="167" t="str">
        <f>IF(OR(B992="",C992=""),"",IFERROR(C992/1000*IFERROR(INDEX(Vöruskrá!R:R,MATCH(B992,Vöruskrá!B:B,0)),0)/1000,""))</f>
        <v/>
      </c>
      <c r="P992" s="196" t="s">
        <v>2072</v>
      </c>
      <c r="Q992" s="199" t="s">
        <v>2073</v>
      </c>
      <c r="R992" s="198" t="s">
        <v>2074</v>
      </c>
    </row>
    <row r="993" spans="1:18" ht="15">
      <c r="A993" s="171"/>
      <c r="B993" s="171" t="s">
        <v>849</v>
      </c>
      <c r="C993" s="172">
        <v>23125</v>
      </c>
      <c r="D993" s="168" t="s">
        <v>850</v>
      </c>
      <c r="E993" s="168" t="s">
        <v>120</v>
      </c>
      <c r="F993" s="168"/>
      <c r="G993" s="169">
        <f>IF(OR(B993="",C993=""),"",IFERROR(IFERROR(INDEX(Vöruskrá!J:J,MATCH(B993,Vöruskrá!B:B,0)),0)*C993/100000,""))</f>
        <v>15.49375</v>
      </c>
      <c r="H993" s="169">
        <f>IF(OR(B993="",C993=""),"",IFERROR(IFERROR(INDEX(Vöruskrá!K:K,MATCH(B993,Vöruskrá!B:B,0)),0)*C993/100000,""))</f>
        <v>0.90187499999999998</v>
      </c>
      <c r="I993" s="169">
        <f>IF(OR(B993="",C993=""),"",IFERROR(IFERROR(INDEX(Vöruskrá!L:L,MATCH(B993,Vöruskrá!B:B,0)),0)*C993/100000,""))</f>
        <v>0.53187499999999988</v>
      </c>
      <c r="J993" s="169">
        <f>IF(OR(B993="",C993=""),"",IFERROR(IFERROR(INDEX(Vöruskrá!M:M,MATCH(B993,Vöruskrá!B:B,0)),0)*C993/100000,""))</f>
        <v>1.086875</v>
      </c>
      <c r="K993" s="169">
        <f>IF(OR(B993="",C993=""),"",IFERROR(IFERROR(INDEX(Vöruskrá!N:N,MATCH(B993,Vöruskrá!B:B,0)),0)*C993/100000,""))</f>
        <v>1.086875</v>
      </c>
      <c r="L993" s="169">
        <f>IF(OR(B993="",C993=""),"",IFERROR(IFERROR(INDEX(Vöruskrá!O:O,MATCH(B993,Vöruskrá!B:B,0)),0)*C993/100000,""))</f>
        <v>0.76312500000000005</v>
      </c>
      <c r="M993" s="169">
        <f>IF(OR(B993="",C993=""),"",IFERROR(IFERROR(INDEX(Vöruskrá!P:P,MATCH(B993,Vöruskrá!B:B,0)),0)*C993/100000,""))</f>
        <v>2.3125E-2</v>
      </c>
      <c r="N993" s="169">
        <f>IF(OR(B993="",C993=""),"",IFERROR(IFERROR(INDEX(Vöruskrá!Q:Q,MATCH(B993,Vöruskrá!B:B,0)),0)*C993/100000,""))</f>
        <v>0</v>
      </c>
      <c r="O993" s="170">
        <f>IF(OR(B993="",C993=""),"",IFERROR(C993/1000*IFERROR(INDEX(Vöruskrá!R:R,MATCH(B993,Vöruskrá!B:B,0)),0)/1000,""))</f>
        <v>0</v>
      </c>
      <c r="P993" s="171"/>
      <c r="Q993" s="197"/>
      <c r="R993" s="164"/>
    </row>
    <row r="994" spans="1:18" ht="15">
      <c r="A994" s="173"/>
      <c r="B994" s="173" t="s">
        <v>1085</v>
      </c>
      <c r="C994" s="174">
        <v>6250</v>
      </c>
      <c r="D994" s="168" t="s">
        <v>1087</v>
      </c>
      <c r="E994" s="168" t="s">
        <v>120</v>
      </c>
      <c r="F994" s="168"/>
      <c r="G994" s="169">
        <f>IF(OR(B994="",C994=""),"",IFERROR(IFERROR(INDEX(Vöruskrá!J:J,MATCH(B994,Vöruskrá!B:B,0)),0)*C994/100000,""))</f>
        <v>22.3125</v>
      </c>
      <c r="H994" s="169">
        <f>IF(OR(B994="",C994=""),"",IFERROR(IFERROR(INDEX(Vöruskrá!K:K,MATCH(B994,Vöruskrá!B:B,0)),0)*C994/100000,""))</f>
        <v>1.8125</v>
      </c>
      <c r="I994" s="169">
        <f>IF(OR(B994="",C994=""),"",IFERROR(IFERROR(INDEX(Vöruskrá!L:L,MATCH(B994,Vöruskrá!B:B,0)),0)*C994/100000,""))</f>
        <v>1</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1.5</v>
      </c>
      <c r="M994" s="169">
        <f>IF(OR(B994="",C994=""),"",IFERROR(IFERROR(INDEX(Vöruskrá!P:P,MATCH(B994,Vöruskrá!B:B,0)),0)*C994/100000,""))</f>
        <v>9.375E-2</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445</v>
      </c>
      <c r="C995" s="172">
        <v>3125</v>
      </c>
      <c r="D995" s="168" t="s">
        <v>448</v>
      </c>
      <c r="E995" s="168" t="s">
        <v>120</v>
      </c>
      <c r="F995" s="168"/>
      <c r="G995" s="169">
        <f>IF(OR(B995="",C995=""),"",IFERROR(IFERROR(INDEX(Vöruskrá!J:J,MATCH(B995,Vöruskrá!B:B,0)),0)*C995/100000,""))</f>
        <v>23.0625</v>
      </c>
      <c r="H995" s="169">
        <f>IF(OR(B995="",C995=""),"",IFERROR(IFERROR(INDEX(Vöruskrá!K:K,MATCH(B995,Vöruskrá!B:B,0)),0)*C995/100000,""))</f>
        <v>2.5625</v>
      </c>
      <c r="I995" s="169">
        <f>IF(OR(B995="",C995=""),"",IFERROR(IFERROR(INDEX(Vöruskrá!L:L,MATCH(B995,Vöruskrá!B:B,0)),0)*C995/100000,""))</f>
        <v>1.53125</v>
      </c>
      <c r="J995" s="169">
        <f>IF(OR(B995="",C995=""),"",IFERROR(IFERROR(INDEX(Vöruskrá!M:M,MATCH(B995,Vöruskrá!B:B,0)),0)*C995/100000,""))</f>
        <v>1.2500000000000001E-2</v>
      </c>
      <c r="K995" s="169">
        <f>IF(OR(B995="",C995=""),"",IFERROR(IFERROR(INDEX(Vöruskrá!N:N,MATCH(B995,Vöruskrá!B:B,0)),0)*C995/100000,""))</f>
        <v>1.2500000000000001E-2</v>
      </c>
      <c r="L995" s="169">
        <f>IF(OR(B995="",C995=""),"",IFERROR(IFERROR(INDEX(Vöruskrá!O:O,MATCH(B995,Vöruskrá!B:B,0)),0)*C995/100000,""))</f>
        <v>1.8749999999999999E-2</v>
      </c>
      <c r="M995" s="169">
        <f>IF(OR(B995="",C995=""),"",IFERROR(IFERROR(INDEX(Vöruskrá!P:P,MATCH(B995,Vöruskrá!B:B,0)),0)*C995/100000,""))</f>
        <v>3.7499999999999999E-2</v>
      </c>
      <c r="N995" s="169">
        <f>IF(OR(B995="",C995=""),"",IFERROR(IFERROR(INDEX(Vöruskrá!Q:Q,MATCH(B995,Vöruskrá!B:B,0)),0)*C995/100000,""))</f>
        <v>0</v>
      </c>
      <c r="O995" s="170">
        <f>IF(OR(B995="",C995=""),"",IFERROR(C995/1000*IFERROR(INDEX(Vöruskrá!R:R,MATCH(B995,Vöruskrá!B:B,0)),0)/1000,""))</f>
        <v>0</v>
      </c>
      <c r="P995" s="171"/>
      <c r="Q995" s="158"/>
      <c r="R995" s="6"/>
    </row>
    <row r="996" spans="1:18" ht="15">
      <c r="A996" s="173"/>
      <c r="B996" s="173" t="s">
        <v>1465</v>
      </c>
      <c r="C996" s="174">
        <v>3125</v>
      </c>
      <c r="D996" s="168"/>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1010</v>
      </c>
      <c r="C997" s="172">
        <v>2500</v>
      </c>
      <c r="D997" s="168" t="s">
        <v>1010</v>
      </c>
      <c r="E997" s="168" t="s">
        <v>134</v>
      </c>
      <c r="F997" s="168"/>
      <c r="G997" s="169">
        <f>IF(OR(B997="",C997=""),"",IFERROR(IFERROR(INDEX(Vöruskrá!J:J,MATCH(B997,Vöruskrá!B:B,0)),0)*C997/100000,""))</f>
        <v>1</v>
      </c>
      <c r="H997" s="169">
        <f>IF(OR(B997="",C997=""),"",IFERROR(IFERROR(INDEX(Vöruskrá!K:K,MATCH(B997,Vöruskrá!B:B,0)),0)*C997/100000,""))</f>
        <v>2.5000000000000001E-3</v>
      </c>
      <c r="I997" s="169">
        <f>IF(OR(B997="",C997=""),"",IFERROR(IFERROR(INDEX(Vöruskrá!L:L,MATCH(B997,Vöruskrá!B:B,0)),0)*C997/100000,""))</f>
        <v>0</v>
      </c>
      <c r="J997" s="169">
        <f>IF(OR(B997="",C997=""),"",IFERROR(IFERROR(INDEX(Vöruskrá!M:M,MATCH(B997,Vöruskrá!B:B,0)),0)*C997/100000,""))</f>
        <v>0.23250000000000001</v>
      </c>
      <c r="K997" s="169">
        <f>IF(OR(B997="",C997=""),"",IFERROR(IFERROR(INDEX(Vöruskrá!N:N,MATCH(B997,Vöruskrá!B:B,0)),0)*C997/100000,""))</f>
        <v>0.105</v>
      </c>
      <c r="L997" s="169">
        <f>IF(OR(B997="",C997=""),"",IFERROR(IFERROR(INDEX(Vöruskrá!O:O,MATCH(B997,Vöruskrá!B:B,0)),0)*C997/100000,""))</f>
        <v>2.75E-2</v>
      </c>
      <c r="M997" s="169">
        <f>IF(OR(B997="",C997=""),"",IFERROR(IFERROR(INDEX(Vöruskrá!P:P,MATCH(B997,Vöruskrá!B:B,0)),0)*C997/100000,""))</f>
        <v>0</v>
      </c>
      <c r="N997" s="169">
        <f>IF(OR(B997="",C997=""),"",IFERROR(IFERROR(INDEX(Vöruskrá!Q:Q,MATCH(B997,Vöruskrá!B:B,0)),0)*C997/100000,""))</f>
        <v>4.2500000000000003E-2</v>
      </c>
      <c r="O997" s="170">
        <f>IF(OR(B997="",C997=""),"",IFERROR(C997/1000*IFERROR(INDEX(Vöruskrá!R:R,MATCH(B997,Vöruskrá!B:B,0)),0)/1000,""))</f>
        <v>0</v>
      </c>
      <c r="P997" s="171"/>
      <c r="Q997" s="158"/>
      <c r="R997" s="6"/>
    </row>
    <row r="998" spans="1:18" ht="15">
      <c r="A998" s="173"/>
      <c r="B998" s="173" t="s">
        <v>723</v>
      </c>
      <c r="C998" s="174">
        <v>3750</v>
      </c>
      <c r="D998" s="168" t="s">
        <v>725</v>
      </c>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603</v>
      </c>
      <c r="C999" s="172">
        <v>2500</v>
      </c>
      <c r="D999" s="168" t="s">
        <v>605</v>
      </c>
      <c r="E999" s="168"/>
      <c r="F999" s="168"/>
      <c r="G999" s="169">
        <f>IF(OR(B999="",C999=""),"",IFERROR(IFERROR(INDEX(Vöruskrá!J:J,MATCH(B999,Vöruskrá!B:B,0)),0)*C999/100000,""))</f>
        <v>1.05</v>
      </c>
      <c r="H999" s="169">
        <f>IF(OR(B999="",C999=""),"",IFERROR(IFERROR(INDEX(Vöruskrá!K:K,MATCH(B999,Vöruskrá!B:B,0)),0)*C999/100000,""))</f>
        <v>7.4999999999999997E-3</v>
      </c>
      <c r="I999" s="169">
        <f>IF(OR(B999="",C999=""),"",IFERROR(IFERROR(INDEX(Vöruskrá!L:L,MATCH(B999,Vöruskrá!B:B,0)),0)*C999/100000,""))</f>
        <v>2.5000000000000001E-3</v>
      </c>
      <c r="J999" s="169">
        <f>IF(OR(B999="",C999=""),"",IFERROR(IFERROR(INDEX(Vöruskrá!M:M,MATCH(B999,Vöruskrá!B:B,0)),0)*C999/100000,""))</f>
        <v>0.19750000000000001</v>
      </c>
      <c r="K999" s="169">
        <f>IF(OR(B999="",C999=""),"",IFERROR(IFERROR(INDEX(Vöruskrá!N:N,MATCH(B999,Vöruskrá!B:B,0)),0)*C999/100000,""))</f>
        <v>0.185</v>
      </c>
      <c r="L999" s="169">
        <f>IF(OR(B999="",C999=""),"",IFERROR(IFERROR(INDEX(Vöruskrá!O:O,MATCH(B999,Vöruskrá!B:B,0)),0)*C999/100000,""))</f>
        <v>1.4999999999999999E-2</v>
      </c>
      <c r="M999" s="169">
        <f>IF(OR(B999="",C999=""),"",IFERROR(IFERROR(INDEX(Vöruskrá!P:P,MATCH(B999,Vöruskrá!B:B,0)),0)*C999/100000,""))</f>
        <v>2.5000000000000001E-3</v>
      </c>
      <c r="N999" s="169">
        <f>IF(OR(B999="",C999=""),"",IFERROR(IFERROR(INDEX(Vöruskrá!Q:Q,MATCH(B999,Vöruskrá!B:B,0)),0)*C999/100000,""))</f>
        <v>0.06</v>
      </c>
      <c r="O999" s="170">
        <f>IF(OR(B999="",C999=""),"",IFERROR(C999/1000*IFERROR(INDEX(Vöruskrá!R:R,MATCH(B999,Vöruskrá!B:B,0)),0)/1000,""))</f>
        <v>0</v>
      </c>
      <c r="P999" s="171"/>
      <c r="Q999" s="158"/>
      <c r="R999" s="6"/>
    </row>
    <row r="1000" spans="1:18" ht="36">
      <c r="A1000" s="173"/>
      <c r="B1000" s="173" t="s">
        <v>882</v>
      </c>
      <c r="C1000" s="174">
        <v>250</v>
      </c>
      <c r="D1000" s="168" t="s">
        <v>576</v>
      </c>
      <c r="E1000" s="168" t="s">
        <v>884</v>
      </c>
      <c r="F1000" s="168"/>
      <c r="G1000" s="169">
        <f>IF(OR(B1000="",C1000=""),"",IFERROR(IFERROR(INDEX(Vöruskrá!J:J,MATCH(B1000,Vöruskrá!B:B,0)),0)*C1000/100000,""))</f>
        <v>0.38250000000000001</v>
      </c>
      <c r="H1000" s="169">
        <f>IF(OR(B1000="",C1000=""),"",IFERROR(IFERROR(INDEX(Vöruskrá!K:K,MATCH(B1000,Vöruskrá!B:B,0)),0)*C1000/100000,""))</f>
        <v>1.0500000000000001E-2</v>
      </c>
      <c r="I1000" s="169">
        <f>IF(OR(B1000="",C1000=""),"",IFERROR(IFERROR(INDEX(Vöruskrá!L:L,MATCH(B1000,Vöruskrá!B:B,0)),0)*C1000/100000,""))</f>
        <v>0</v>
      </c>
      <c r="J1000" s="169">
        <f>IF(OR(B1000="",C1000=""),"",IFERROR(IFERROR(INDEX(Vöruskrá!M:M,MATCH(B1000,Vöruskrá!B:B,0)),0)*C1000/100000,""))</f>
        <v>5.8500000000000003E-2</v>
      </c>
      <c r="K1000" s="169">
        <f>IF(OR(B1000="",C1000=""),"",IFERROR(IFERROR(INDEX(Vöruskrá!N:N,MATCH(B1000,Vöruskrá!B:B,0)),0)*C1000/100000,""))</f>
        <v>0</v>
      </c>
      <c r="L1000" s="169">
        <f>IF(OR(B1000="",C1000=""),"",IFERROR(IFERROR(INDEX(Vöruskrá!O:O,MATCH(B1000,Vöruskrá!B:B,0)),0)*C1000/100000,""))</f>
        <v>1.2749999999999999E-2</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299</v>
      </c>
      <c r="C1001" s="172">
        <v>375</v>
      </c>
      <c r="D1001" s="168" t="s">
        <v>302</v>
      </c>
      <c r="E1001" s="168" t="s">
        <v>134</v>
      </c>
      <c r="F1001" s="168" t="s">
        <v>303</v>
      </c>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0.375</v>
      </c>
      <c r="N1001" s="169">
        <f>IF(OR(B1001="",C1001=""),"",IFERROR(IFERROR(INDEX(Vöruskrá!Q:Q,MATCH(B1001,Vöruskrá!B:B,0)),0)*C1001/100000,""))</f>
        <v>0</v>
      </c>
      <c r="O1001" s="170">
        <f>IF(OR(B1001="",C1001=""),"",IFERROR(C1001/1000*IFERROR(INDEX(Vöruskrá!R:R,MATCH(B1001,Vöruskrá!B:B,0)),0)/1000,""))</f>
        <v>0</v>
      </c>
      <c r="P1001" s="171"/>
      <c r="Q1001" s="158"/>
      <c r="R1001" s="6"/>
    </row>
    <row r="1002" spans="1:18" ht="15">
      <c r="A1002" s="173"/>
      <c r="B1002" s="173" t="s">
        <v>819</v>
      </c>
      <c r="C1002" s="174">
        <v>50</v>
      </c>
      <c r="D1002" s="168" t="s">
        <v>820</v>
      </c>
      <c r="E1002" s="168"/>
      <c r="F1002" s="168" t="s">
        <v>311</v>
      </c>
      <c r="G1002" s="169">
        <f>IF(OR(B1002="",C1002=""),"",IFERROR(IFERROR(INDEX(Vöruskrá!J:J,MATCH(B1002,Vöruskrá!B:B,0)),0)*C1002/100000,""))</f>
        <v>0.193</v>
      </c>
      <c r="H1002" s="169">
        <f>IF(OR(B1002="",C1002=""),"",IFERROR(IFERROR(INDEX(Vöruskrá!K:K,MATCH(B1002,Vöruskrá!B:B,0)),0)*C1002/100000,""))</f>
        <v>1.65E-3</v>
      </c>
      <c r="I1002" s="169">
        <f>IF(OR(B1002="",C1002=""),"",IFERROR(IFERROR(INDEX(Vöruskrá!L:L,MATCH(B1002,Vöruskrá!B:B,0)),0)*C1002/100000,""))</f>
        <v>5.0000000000000001E-4</v>
      </c>
      <c r="J1002" s="169">
        <f>IF(OR(B1002="",C1002=""),"",IFERROR(IFERROR(INDEX(Vöruskrá!M:M,MATCH(B1002,Vöruskrá!B:B,0)),0)*C1002/100000,""))</f>
        <v>3.2500000000000001E-2</v>
      </c>
      <c r="K1002" s="169">
        <f>IF(OR(B1002="",C1002=""),"",IFERROR(IFERROR(INDEX(Vöruskrá!N:N,MATCH(B1002,Vöruskrá!B:B,0)),0)*C1002/100000,""))</f>
        <v>2.9999999999999997E-4</v>
      </c>
      <c r="L1002" s="169">
        <f>IF(OR(B1002="",C1002=""),"",IFERROR(IFERROR(INDEX(Vöruskrá!O:O,MATCH(B1002,Vöruskrá!B:B,0)),0)*C1002/100000,""))</f>
        <v>5.4999999999999997E-3</v>
      </c>
      <c r="M1002" s="169">
        <f>IF(OR(B1002="",C1002=""),"",IFERROR(IFERROR(INDEX(Vöruskrá!P:P,MATCH(B1002,Vöruskrá!B:B,0)),0)*C1002/100000,""))</f>
        <v>5.0000000000000002E-5</v>
      </c>
      <c r="N1002" s="169">
        <f>IF(OR(B1002="",C1002=""),"",IFERROR(IFERROR(INDEX(Vöruskrá!Q:Q,MATCH(B1002,Vöruskrá!B:B,0)),0)*C1002/100000,""))</f>
        <v>0</v>
      </c>
      <c r="O1002" s="170">
        <f>IF(OR(B1002="",C1002=""),"",IFERROR(C1002/1000*IFERROR(INDEX(Vöruskrá!R:R,MATCH(B1002,Vöruskrá!B:B,0)),0)/1000,""))</f>
        <v>0</v>
      </c>
      <c r="P1002" s="173"/>
      <c r="Q1002" s="157"/>
      <c r="R1002" s="27"/>
    </row>
    <row r="1003" spans="1:18" ht="15">
      <c r="A1003" s="171"/>
      <c r="B1003" s="171" t="s">
        <v>812</v>
      </c>
      <c r="C1003" s="172">
        <v>25</v>
      </c>
      <c r="D1003" s="168" t="s">
        <v>813</v>
      </c>
      <c r="E1003" s="168"/>
      <c r="F1003" s="168" t="s">
        <v>311</v>
      </c>
      <c r="G1003" s="169">
        <f>IF(OR(B1003="",C1003=""),"",IFERROR(IFERROR(INDEX(Vöruskrá!J:J,MATCH(B1003,Vöruskrá!B:B,0)),0)*C1003/100000,""))</f>
        <v>0.13375000000000001</v>
      </c>
      <c r="H1003" s="169">
        <f>IF(OR(B1003="",C1003=""),"",IFERROR(IFERROR(INDEX(Vöruskrá!K:K,MATCH(B1003,Vöruskrá!B:B,0)),0)*C1003/100000,""))</f>
        <v>8.9999999999999993E-3</v>
      </c>
      <c r="I1003" s="169">
        <f>IF(OR(B1003="",C1003=""),"",IFERROR(IFERROR(INDEX(Vöruskrá!L:L,MATCH(B1003,Vöruskrá!B:B,0)),0)*C1003/100000,""))</f>
        <v>6.4999999999999997E-3</v>
      </c>
      <c r="J1003" s="169">
        <f>IF(OR(B1003="",C1003=""),"",IFERROR(IFERROR(INDEX(Vöruskrá!M:M,MATCH(B1003,Vöruskrá!B:B,0)),0)*C1003/100000,""))</f>
        <v>1.125E-2</v>
      </c>
      <c r="K1003" s="169">
        <f>IF(OR(B1003="",C1003=""),"",IFERROR(IFERROR(INDEX(Vöruskrá!N:N,MATCH(B1003,Vöruskrá!B:B,0)),0)*C1003/100000,""))</f>
        <v>5.7499999999999999E-3</v>
      </c>
      <c r="L1003" s="169">
        <f>IF(OR(B1003="",C1003=""),"",IFERROR(IFERROR(INDEX(Vöruskrá!O:O,MATCH(B1003,Vöruskrá!B:B,0)),0)*C1003/100000,""))</f>
        <v>1.4499999999999999E-3</v>
      </c>
      <c r="M1003" s="169">
        <f>IF(OR(B1003="",C1003=""),"",IFERROR(IFERROR(INDEX(Vöruskrá!P:P,MATCH(B1003,Vöruskrá!B:B,0)),0)*C1003/100000,""))</f>
        <v>2.5000000000000001E-5</v>
      </c>
      <c r="N1003" s="169">
        <f>IF(OR(B1003="",C1003=""),"",IFERROR(IFERROR(INDEX(Vöruskrá!Q:Q,MATCH(B1003,Vöruskrá!B:B,0)),0)*C1003/100000,""))</f>
        <v>0</v>
      </c>
      <c r="O1003" s="170">
        <f>IF(OR(B1003="",C1003=""),"",IFERROR(C1003/1000*IFERROR(INDEX(Vöruskrá!R:R,MATCH(B1003,Vöruskrá!B:B,0)),0)/1000,""))</f>
        <v>0</v>
      </c>
      <c r="P1003" s="171"/>
      <c r="Q1003" s="158"/>
      <c r="R1003" s="6"/>
    </row>
    <row r="1004" spans="1:18" ht="15">
      <c r="A1004" s="173"/>
      <c r="B1004" s="173" t="s">
        <v>1020</v>
      </c>
      <c r="C1004" s="174">
        <v>1500</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201"/>
      <c r="R1004" s="202"/>
    </row>
    <row r="1005" spans="1:18" ht="72">
      <c r="A1005" s="147" t="s">
        <v>2075</v>
      </c>
      <c r="B1005" s="147"/>
      <c r="C1005" s="148"/>
      <c r="D1005" s="165" t="s">
        <v>2076</v>
      </c>
      <c r="E1005" s="165" t="s">
        <v>884</v>
      </c>
      <c r="F1005" s="165"/>
      <c r="G1005" s="166">
        <v>184.35</v>
      </c>
      <c r="H1005" s="166">
        <v>16.940000000000001</v>
      </c>
      <c r="I1005" s="166">
        <v>14.09</v>
      </c>
      <c r="J1005" s="166">
        <v>7.43</v>
      </c>
      <c r="K1005" s="166"/>
      <c r="L1005" s="166">
        <v>0.32</v>
      </c>
      <c r="M1005" s="166">
        <v>1.1399999999999999</v>
      </c>
      <c r="N1005" s="166">
        <f>IFERROR(SUM(N1006:N1016)/(SUM($C$1006:$C$1016)/100000),"")</f>
        <v>0.2277777777777778</v>
      </c>
      <c r="O1005" s="167" t="str">
        <f>IF(OR(B1005="",C1005=""),"",IFERROR(C1005/1000*IFERROR(INDEX(Vöruskrá!R:R,MATCH(B1005,Vöruskrá!B:B,0)),0)/1000,""))</f>
        <v/>
      </c>
      <c r="P1005" s="196" t="s">
        <v>2077</v>
      </c>
      <c r="Q1005" s="195" t="s">
        <v>2078</v>
      </c>
      <c r="R1005" s="194" t="s">
        <v>2079</v>
      </c>
    </row>
    <row r="1006" spans="1:18" ht="15">
      <c r="A1006" s="171"/>
      <c r="B1006" s="171" t="s">
        <v>131</v>
      </c>
      <c r="C1006" s="172">
        <v>20000</v>
      </c>
      <c r="D1006" s="168" t="s">
        <v>133</v>
      </c>
      <c r="E1006" s="168" t="s">
        <v>134</v>
      </c>
      <c r="F1006" s="168"/>
      <c r="G1006" s="169">
        <f>IF(OR(B1006="",C1006=""),"",IFERROR(IFERROR(INDEX(Vöruskrá!J:J,MATCH(B1006,Vöruskrá!B:B,0)),0)*C1006/100000,""))</f>
        <v>59</v>
      </c>
      <c r="H1006" s="169">
        <f>IF(OR(B1006="",C1006=""),"",IFERROR(IFERROR(INDEX(Vöruskrá!K:K,MATCH(B1006,Vöruskrá!B:B,0)),0)*C1006/100000,""))</f>
        <v>6</v>
      </c>
      <c r="I1006" s="169">
        <f>IF(OR(B1006="",C1006=""),"",IFERROR(IFERROR(INDEX(Vöruskrá!L:L,MATCH(B1006,Vöruskrá!B:B,0)),0)*C1006/100000,""))</f>
        <v>5</v>
      </c>
      <c r="J1006" s="169">
        <f>IF(OR(B1006="",C1006=""),"",IFERROR(IFERROR(INDEX(Vöruskrá!M:M,MATCH(B1006,Vöruskrá!B:B,0)),0)*C1006/100000,""))</f>
        <v>1.24</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0.02</v>
      </c>
      <c r="N1006" s="169">
        <f>IF(OR(B1006="",C1006=""),"",IFERROR(IFERROR(INDEX(Vöruskrá!Q:Q,MATCH(B1006,Vöruskrá!B:B,0)),0)*C1006/100000,""))</f>
        <v>0</v>
      </c>
      <c r="O1006" s="170">
        <f>IF(OR(B1006="",C1006=""),"",IFERROR(C1006/1000*IFERROR(INDEX(Vöruskrá!R:R,MATCH(B1006,Vöruskrá!B:B,0)),0)/1000,""))</f>
        <v>0</v>
      </c>
      <c r="P1006" s="171"/>
      <c r="Q1006" s="203"/>
      <c r="R1006" s="204"/>
    </row>
    <row r="1007" spans="1:18" ht="15">
      <c r="A1007" s="173"/>
      <c r="B1007" s="173" t="s">
        <v>457</v>
      </c>
      <c r="C1007" s="174">
        <v>6250</v>
      </c>
      <c r="D1007" s="168" t="s">
        <v>459</v>
      </c>
      <c r="E1007" s="168" t="s">
        <v>134</v>
      </c>
      <c r="F1007" s="168"/>
      <c r="G1007" s="169">
        <f>IF(OR(B1007="",C1007=""),"",IFERROR(IFERROR(INDEX(Vöruskrá!J:J,MATCH(B1007,Vöruskrá!B:B,0)),0)*C1007/100000,""))</f>
        <v>19.0625</v>
      </c>
      <c r="H1007" s="169">
        <f>IF(OR(B1007="",C1007=""),"",IFERROR(IFERROR(INDEX(Vöruskrá!K:K,MATCH(B1007,Vöruskrá!B:B,0)),0)*C1007/100000,""))</f>
        <v>1.5</v>
      </c>
      <c r="I1007" s="169">
        <f>IF(OR(B1007="",C1007=""),"",IFERROR(IFERROR(INDEX(Vöruskrá!L:L,MATCH(B1007,Vöruskrá!B:B,0)),0)*C1007/100000,""))</f>
        <v>1.3125</v>
      </c>
      <c r="J1007" s="169">
        <f>IF(OR(B1007="",C1007=""),"",IFERROR(IFERROR(INDEX(Vöruskrá!M:M,MATCH(B1007,Vöruskrá!B:B,0)),0)*C1007/100000,""))</f>
        <v>1.375</v>
      </c>
      <c r="K1007" s="169">
        <f>IF(OR(B1007="",C1007=""),"",IFERROR(IFERROR(INDEX(Vöruskrá!N:N,MATCH(B1007,Vöruskrá!B:B,0)),0)*C1007/100000,""))</f>
        <v>0</v>
      </c>
      <c r="L1007" s="169">
        <f>IF(OR(B1007="",C1007=""),"",IFERROR(IFERROR(INDEX(Vöruskrá!O:O,MATCH(B1007,Vöruskrá!B:B,0)),0)*C1007/100000,""))</f>
        <v>6.2500000000000003E-3</v>
      </c>
      <c r="M1007" s="169">
        <f>IF(OR(B1007="",C1007=""),"",IFERROR(IFERROR(INDEX(Vöruskrá!P:P,MATCH(B1007,Vöruskrá!B:B,0)),0)*C1007/100000,""))</f>
        <v>0.10625</v>
      </c>
      <c r="N1007" s="169">
        <f>IF(OR(B1007="",C1007=""),"",IFERROR(IFERROR(INDEX(Vöruskrá!Q:Q,MATCH(B1007,Vöruskrá!B:B,0)),0)*C1007/100000,""))</f>
        <v>0</v>
      </c>
      <c r="O1007" s="170">
        <f>IF(OR(B1007="",C1007=""),"",IFERROR(C1007/1000*IFERROR(INDEX(Vöruskrá!R:R,MATCH(B1007,Vöruskrá!B:B,0)),0)/1000,""))</f>
        <v>0</v>
      </c>
      <c r="P1007" s="173"/>
      <c r="Q1007" s="158"/>
      <c r="R1007" s="6"/>
    </row>
    <row r="1008" spans="1:18" ht="15">
      <c r="A1008" s="171"/>
      <c r="B1008" s="171" t="s">
        <v>1465</v>
      </c>
      <c r="C1008" s="172">
        <v>3125</v>
      </c>
      <c r="D1008" s="168"/>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157"/>
      <c r="R1008" s="27"/>
    </row>
    <row r="1009" spans="1:18" ht="15">
      <c r="A1009" s="173"/>
      <c r="B1009" s="173" t="s">
        <v>1010</v>
      </c>
      <c r="C1009" s="174">
        <v>2500</v>
      </c>
      <c r="D1009" s="168" t="s">
        <v>1010</v>
      </c>
      <c r="E1009" s="168" t="s">
        <v>134</v>
      </c>
      <c r="F1009" s="168"/>
      <c r="G1009" s="169">
        <f>IF(OR(B1009="",C1009=""),"",IFERROR(IFERROR(INDEX(Vöruskrá!J:J,MATCH(B1009,Vöruskrá!B:B,0)),0)*C1009/100000,""))</f>
        <v>1</v>
      </c>
      <c r="H1009" s="169">
        <f>IF(OR(B1009="",C1009=""),"",IFERROR(IFERROR(INDEX(Vöruskrá!K:K,MATCH(B1009,Vöruskrá!B:B,0)),0)*C1009/100000,""))</f>
        <v>2.5000000000000001E-3</v>
      </c>
      <c r="I1009" s="169">
        <f>IF(OR(B1009="",C1009=""),"",IFERROR(IFERROR(INDEX(Vöruskrá!L:L,MATCH(B1009,Vöruskrá!B:B,0)),0)*C1009/100000,""))</f>
        <v>0</v>
      </c>
      <c r="J1009" s="169">
        <f>IF(OR(B1009="",C1009=""),"",IFERROR(IFERROR(INDEX(Vöruskrá!M:M,MATCH(B1009,Vöruskrá!B:B,0)),0)*C1009/100000,""))</f>
        <v>0.23250000000000001</v>
      </c>
      <c r="K1009" s="169">
        <f>IF(OR(B1009="",C1009=""),"",IFERROR(IFERROR(INDEX(Vöruskrá!N:N,MATCH(B1009,Vöruskrá!B:B,0)),0)*C1009/100000,""))</f>
        <v>0.105</v>
      </c>
      <c r="L1009" s="169">
        <f>IF(OR(B1009="",C1009=""),"",IFERROR(IFERROR(INDEX(Vöruskrá!O:O,MATCH(B1009,Vöruskrá!B:B,0)),0)*C1009/100000,""))</f>
        <v>2.75E-2</v>
      </c>
      <c r="M1009" s="169">
        <f>IF(OR(B1009="",C1009=""),"",IFERROR(IFERROR(INDEX(Vöruskrá!P:P,MATCH(B1009,Vöruskrá!B:B,0)),0)*C1009/100000,""))</f>
        <v>0</v>
      </c>
      <c r="N1009" s="169">
        <f>IF(OR(B1009="",C1009=""),"",IFERROR(IFERROR(INDEX(Vöruskrá!Q:Q,MATCH(B1009,Vöruskrá!B:B,0)),0)*C1009/100000,""))</f>
        <v>4.2500000000000003E-2</v>
      </c>
      <c r="O1009" s="170">
        <f>IF(OR(B1009="",C1009=""),"",IFERROR(C1009/1000*IFERROR(INDEX(Vöruskrá!R:R,MATCH(B1009,Vöruskrá!B:B,0)),0)/1000,""))</f>
        <v>0</v>
      </c>
      <c r="P1009" s="173"/>
      <c r="Q1009" s="158"/>
      <c r="R1009" s="6"/>
    </row>
    <row r="1010" spans="1:18" ht="15">
      <c r="A1010" s="171"/>
      <c r="B1010" s="171" t="s">
        <v>723</v>
      </c>
      <c r="C1010" s="172">
        <v>3750</v>
      </c>
      <c r="D1010" s="168" t="s">
        <v>725</v>
      </c>
      <c r="E1010" s="168"/>
      <c r="F1010" s="168"/>
      <c r="G1010" s="169">
        <f>IF(OR(B1010="",C1010=""),"",IFERROR(IFERROR(INDEX(Vöruskrá!J:J,MATCH(B1010,Vöruskrá!B:B,0)),0)*C1010/100000,""))</f>
        <v>0</v>
      </c>
      <c r="H1010" s="169">
        <f>IF(OR(B1010="",C1010=""),"",IFERROR(IFERROR(INDEX(Vöruskrá!K:K,MATCH(B1010,Vöruskrá!B:B,0)),0)*C1010/100000,""))</f>
        <v>0</v>
      </c>
      <c r="I1010" s="169">
        <f>IF(OR(B1010="",C1010=""),"",IFERROR(IFERROR(INDEX(Vöruskrá!L:L,MATCH(B1010,Vöruskrá!B:B,0)),0)*C1010/100000,""))</f>
        <v>0</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0</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1"/>
      <c r="Q1010" s="157"/>
      <c r="R1010" s="27"/>
    </row>
    <row r="1011" spans="1:18" ht="15">
      <c r="A1011" s="173"/>
      <c r="B1011" s="173" t="s">
        <v>603</v>
      </c>
      <c r="C1011" s="174">
        <v>2500</v>
      </c>
      <c r="D1011" s="168" t="s">
        <v>605</v>
      </c>
      <c r="E1011" s="168"/>
      <c r="F1011" s="168"/>
      <c r="G1011" s="169">
        <f>IF(OR(B1011="",C1011=""),"",IFERROR(IFERROR(INDEX(Vöruskrá!J:J,MATCH(B1011,Vöruskrá!B:B,0)),0)*C1011/100000,""))</f>
        <v>1.05</v>
      </c>
      <c r="H1011" s="169">
        <f>IF(OR(B1011="",C1011=""),"",IFERROR(IFERROR(INDEX(Vöruskrá!K:K,MATCH(B1011,Vöruskrá!B:B,0)),0)*C1011/100000,""))</f>
        <v>7.4999999999999997E-3</v>
      </c>
      <c r="I1011" s="169">
        <f>IF(OR(B1011="",C1011=""),"",IFERROR(IFERROR(INDEX(Vöruskrá!L:L,MATCH(B1011,Vöruskrá!B:B,0)),0)*C1011/100000,""))</f>
        <v>2.5000000000000001E-3</v>
      </c>
      <c r="J1011" s="169">
        <f>IF(OR(B1011="",C1011=""),"",IFERROR(IFERROR(INDEX(Vöruskrá!M:M,MATCH(B1011,Vöruskrá!B:B,0)),0)*C1011/100000,""))</f>
        <v>0.19750000000000001</v>
      </c>
      <c r="K1011" s="169">
        <f>IF(OR(B1011="",C1011=""),"",IFERROR(IFERROR(INDEX(Vöruskrá!N:N,MATCH(B1011,Vöruskrá!B:B,0)),0)*C1011/100000,""))</f>
        <v>0.185</v>
      </c>
      <c r="L1011" s="169">
        <f>IF(OR(B1011="",C1011=""),"",IFERROR(IFERROR(INDEX(Vöruskrá!O:O,MATCH(B1011,Vöruskrá!B:B,0)),0)*C1011/100000,""))</f>
        <v>1.4999999999999999E-2</v>
      </c>
      <c r="M1011" s="169">
        <f>IF(OR(B1011="",C1011=""),"",IFERROR(IFERROR(INDEX(Vöruskrá!P:P,MATCH(B1011,Vöruskrá!B:B,0)),0)*C1011/100000,""))</f>
        <v>2.5000000000000001E-3</v>
      </c>
      <c r="N1011" s="169">
        <f>IF(OR(B1011="",C1011=""),"",IFERROR(IFERROR(INDEX(Vöruskrá!Q:Q,MATCH(B1011,Vöruskrá!B:B,0)),0)*C1011/100000,""))</f>
        <v>0.06</v>
      </c>
      <c r="O1011" s="170">
        <f>IF(OR(B1011="",C1011=""),"",IFERROR(C1011/1000*IFERROR(INDEX(Vöruskrá!R:R,MATCH(B1011,Vöruskrá!B:B,0)),0)/1000,""))</f>
        <v>0</v>
      </c>
      <c r="P1011" s="173"/>
      <c r="Q1011" s="158"/>
      <c r="R1011" s="6"/>
    </row>
    <row r="1012" spans="1:18" ht="36">
      <c r="A1012" s="171"/>
      <c r="B1012" s="171" t="s">
        <v>882</v>
      </c>
      <c r="C1012" s="172">
        <v>250</v>
      </c>
      <c r="D1012" s="168" t="s">
        <v>576</v>
      </c>
      <c r="E1012" s="168" t="s">
        <v>884</v>
      </c>
      <c r="F1012" s="168"/>
      <c r="G1012" s="169">
        <f>IF(OR(B1012="",C1012=""),"",IFERROR(IFERROR(INDEX(Vöruskrá!J:J,MATCH(B1012,Vöruskrá!B:B,0)),0)*C1012/100000,""))</f>
        <v>0.38250000000000001</v>
      </c>
      <c r="H1012" s="169">
        <f>IF(OR(B1012="",C1012=""),"",IFERROR(IFERROR(INDEX(Vöruskrá!K:K,MATCH(B1012,Vöruskrá!B:B,0)),0)*C1012/100000,""))</f>
        <v>1.0500000000000001E-2</v>
      </c>
      <c r="I1012" s="169">
        <f>IF(OR(B1012="",C1012=""),"",IFERROR(IFERROR(INDEX(Vöruskrá!L:L,MATCH(B1012,Vöruskrá!B:B,0)),0)*C1012/100000,""))</f>
        <v>0</v>
      </c>
      <c r="J1012" s="169">
        <f>IF(OR(B1012="",C1012=""),"",IFERROR(IFERROR(INDEX(Vöruskrá!M:M,MATCH(B1012,Vöruskrá!B:B,0)),0)*C1012/100000,""))</f>
        <v>5.8500000000000003E-2</v>
      </c>
      <c r="K1012" s="169">
        <f>IF(OR(B1012="",C1012=""),"",IFERROR(IFERROR(INDEX(Vöruskrá!N:N,MATCH(B1012,Vöruskrá!B:B,0)),0)*C1012/100000,""))</f>
        <v>0</v>
      </c>
      <c r="L1012" s="169">
        <f>IF(OR(B1012="",C1012=""),"",IFERROR(IFERROR(INDEX(Vöruskrá!O:O,MATCH(B1012,Vöruskrá!B:B,0)),0)*C1012/100000,""))</f>
        <v>1.2749999999999999E-2</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1"/>
      <c r="Q1012" s="157"/>
      <c r="R1012" s="27"/>
    </row>
    <row r="1013" spans="1:18" ht="15">
      <c r="A1013" s="173"/>
      <c r="B1013" s="173" t="s">
        <v>299</v>
      </c>
      <c r="C1013" s="174">
        <v>375</v>
      </c>
      <c r="D1013" s="168" t="s">
        <v>302</v>
      </c>
      <c r="E1013" s="168" t="s">
        <v>134</v>
      </c>
      <c r="F1013" s="168" t="s">
        <v>303</v>
      </c>
      <c r="G1013" s="169">
        <f>IF(OR(B1013="",C1013=""),"",IFERROR(IFERROR(INDEX(Vöruskrá!J:J,MATCH(B1013,Vöruskrá!B:B,0)),0)*C1013/100000,""))</f>
        <v>0</v>
      </c>
      <c r="H1013" s="169">
        <f>IF(OR(B1013="",C1013=""),"",IFERROR(IFERROR(INDEX(Vöruskrá!K:K,MATCH(B1013,Vöruskrá!B:B,0)),0)*C1013/100000,""))</f>
        <v>0</v>
      </c>
      <c r="I1013" s="169">
        <f>IF(OR(B1013="",C1013=""),"",IFERROR(IFERROR(INDEX(Vöruskrá!L:L,MATCH(B1013,Vöruskrá!B:B,0)),0)*C1013/100000,""))</f>
        <v>0</v>
      </c>
      <c r="J1013" s="169">
        <f>IF(OR(B1013="",C1013=""),"",IFERROR(IFERROR(INDEX(Vöruskrá!M:M,MATCH(B1013,Vöruskrá!B:B,0)),0)*C1013/100000,""))</f>
        <v>0</v>
      </c>
      <c r="K1013" s="169">
        <f>IF(OR(B1013="",C1013=""),"",IFERROR(IFERROR(INDEX(Vöruskrá!N:N,MATCH(B1013,Vöruskrá!B:B,0)),0)*C1013/100000,""))</f>
        <v>0</v>
      </c>
      <c r="L1013" s="169">
        <f>IF(OR(B1013="",C1013=""),"",IFERROR(IFERROR(INDEX(Vöruskrá!O:O,MATCH(B1013,Vöruskrá!B:B,0)),0)*C1013/100000,""))</f>
        <v>0</v>
      </c>
      <c r="M1013" s="169">
        <f>IF(OR(B1013="",C1013=""),"",IFERROR(IFERROR(INDEX(Vöruskrá!P:P,MATCH(B1013,Vöruskrá!B:B,0)),0)*C1013/100000,""))</f>
        <v>0.375</v>
      </c>
      <c r="N1013" s="169">
        <f>IF(OR(B1013="",C1013=""),"",IFERROR(IFERROR(INDEX(Vöruskrá!Q:Q,MATCH(B1013,Vöruskrá!B:B,0)),0)*C1013/100000,""))</f>
        <v>0</v>
      </c>
      <c r="O1013" s="170">
        <f>IF(OR(B1013="",C1013=""),"",IFERROR(C1013/1000*IFERROR(INDEX(Vöruskrá!R:R,MATCH(B1013,Vöruskrá!B:B,0)),0)/1000,""))</f>
        <v>0</v>
      </c>
      <c r="P1013" s="173"/>
      <c r="Q1013" s="158"/>
      <c r="R1013" s="6"/>
    </row>
    <row r="1014" spans="1:18" ht="15">
      <c r="A1014" s="171"/>
      <c r="B1014" s="171" t="s">
        <v>819</v>
      </c>
      <c r="C1014" s="172">
        <v>50</v>
      </c>
      <c r="D1014" s="168" t="s">
        <v>820</v>
      </c>
      <c r="E1014" s="168"/>
      <c r="F1014" s="168" t="s">
        <v>311</v>
      </c>
      <c r="G1014" s="169">
        <f>IF(OR(B1014="",C1014=""),"",IFERROR(IFERROR(INDEX(Vöruskrá!J:J,MATCH(B1014,Vöruskrá!B:B,0)),0)*C1014/100000,""))</f>
        <v>0.193</v>
      </c>
      <c r="H1014" s="169">
        <f>IF(OR(B1014="",C1014=""),"",IFERROR(IFERROR(INDEX(Vöruskrá!K:K,MATCH(B1014,Vöruskrá!B:B,0)),0)*C1014/100000,""))</f>
        <v>1.65E-3</v>
      </c>
      <c r="I1014" s="169">
        <f>IF(OR(B1014="",C1014=""),"",IFERROR(IFERROR(INDEX(Vöruskrá!L:L,MATCH(B1014,Vöruskrá!B:B,0)),0)*C1014/100000,""))</f>
        <v>5.0000000000000001E-4</v>
      </c>
      <c r="J1014" s="169">
        <f>IF(OR(B1014="",C1014=""),"",IFERROR(IFERROR(INDEX(Vöruskrá!M:M,MATCH(B1014,Vöruskrá!B:B,0)),0)*C1014/100000,""))</f>
        <v>3.2500000000000001E-2</v>
      </c>
      <c r="K1014" s="169">
        <f>IF(OR(B1014="",C1014=""),"",IFERROR(IFERROR(INDEX(Vöruskrá!N:N,MATCH(B1014,Vöruskrá!B:B,0)),0)*C1014/100000,""))</f>
        <v>2.9999999999999997E-4</v>
      </c>
      <c r="L1014" s="169">
        <f>IF(OR(B1014="",C1014=""),"",IFERROR(IFERROR(INDEX(Vöruskrá!O:O,MATCH(B1014,Vöruskrá!B:B,0)),0)*C1014/100000,""))</f>
        <v>5.4999999999999997E-3</v>
      </c>
      <c r="M1014" s="169">
        <f>IF(OR(B1014="",C1014=""),"",IFERROR(IFERROR(INDEX(Vöruskrá!P:P,MATCH(B1014,Vöruskrá!B:B,0)),0)*C1014/100000,""))</f>
        <v>5.0000000000000002E-5</v>
      </c>
      <c r="N1014" s="169">
        <f>IF(OR(B1014="",C1014=""),"",IFERROR(IFERROR(INDEX(Vöruskrá!Q:Q,MATCH(B1014,Vöruskrá!B:B,0)),0)*C1014/100000,""))</f>
        <v>0</v>
      </c>
      <c r="O1014" s="170">
        <f>IF(OR(B1014="",C1014=""),"",IFERROR(C1014/1000*IFERROR(INDEX(Vöruskrá!R:R,MATCH(B1014,Vöruskrá!B:B,0)),0)/1000,""))</f>
        <v>0</v>
      </c>
      <c r="P1014" s="171"/>
      <c r="Q1014" s="157"/>
      <c r="R1014" s="27"/>
    </row>
    <row r="1015" spans="1:18" ht="15">
      <c r="A1015" s="173"/>
      <c r="B1015" s="173" t="s">
        <v>812</v>
      </c>
      <c r="C1015" s="174">
        <v>25</v>
      </c>
      <c r="D1015" s="168" t="s">
        <v>813</v>
      </c>
      <c r="E1015" s="168"/>
      <c r="F1015" s="168" t="s">
        <v>311</v>
      </c>
      <c r="G1015" s="169">
        <f>IF(OR(B1015="",C1015=""),"",IFERROR(IFERROR(INDEX(Vöruskrá!J:J,MATCH(B1015,Vöruskrá!B:B,0)),0)*C1015/100000,""))</f>
        <v>0.13375000000000001</v>
      </c>
      <c r="H1015" s="169">
        <f>IF(OR(B1015="",C1015=""),"",IFERROR(IFERROR(INDEX(Vöruskrá!K:K,MATCH(B1015,Vöruskrá!B:B,0)),0)*C1015/100000,""))</f>
        <v>8.9999999999999993E-3</v>
      </c>
      <c r="I1015" s="169">
        <f>IF(OR(B1015="",C1015=""),"",IFERROR(IFERROR(INDEX(Vöruskrá!L:L,MATCH(B1015,Vöruskrá!B:B,0)),0)*C1015/100000,""))</f>
        <v>6.4999999999999997E-3</v>
      </c>
      <c r="J1015" s="169">
        <f>IF(OR(B1015="",C1015=""),"",IFERROR(IFERROR(INDEX(Vöruskrá!M:M,MATCH(B1015,Vöruskrá!B:B,0)),0)*C1015/100000,""))</f>
        <v>1.125E-2</v>
      </c>
      <c r="K1015" s="169">
        <f>IF(OR(B1015="",C1015=""),"",IFERROR(IFERROR(INDEX(Vöruskrá!N:N,MATCH(B1015,Vöruskrá!B:B,0)),0)*C1015/100000,""))</f>
        <v>5.7499999999999999E-3</v>
      </c>
      <c r="L1015" s="169">
        <f>IF(OR(B1015="",C1015=""),"",IFERROR(IFERROR(INDEX(Vöruskrá!O:O,MATCH(B1015,Vöruskrá!B:B,0)),0)*C1015/100000,""))</f>
        <v>1.4499999999999999E-3</v>
      </c>
      <c r="M1015" s="169">
        <f>IF(OR(B1015="",C1015=""),"",IFERROR(IFERROR(INDEX(Vöruskrá!P:P,MATCH(B1015,Vöruskrá!B:B,0)),0)*C1015/100000,""))</f>
        <v>2.5000000000000001E-5</v>
      </c>
      <c r="N1015" s="169">
        <f>IF(OR(B1015="",C1015=""),"",IFERROR(IFERROR(INDEX(Vöruskrá!Q:Q,MATCH(B1015,Vöruskrá!B:B,0)),0)*C1015/100000,""))</f>
        <v>0</v>
      </c>
      <c r="O1015" s="170">
        <f>IF(OR(B1015="",C1015=""),"",IFERROR(C1015/1000*IFERROR(INDEX(Vöruskrá!R:R,MATCH(B1015,Vöruskrá!B:B,0)),0)/1000,""))</f>
        <v>0</v>
      </c>
      <c r="P1015" s="173"/>
      <c r="Q1015" s="158"/>
      <c r="R1015" s="6"/>
    </row>
    <row r="1016" spans="1:18" ht="15">
      <c r="A1016" s="171"/>
      <c r="B1016" s="171" t="s">
        <v>1020</v>
      </c>
      <c r="C1016" s="172">
        <v>6175</v>
      </c>
      <c r="D1016" s="168" t="s">
        <v>1020</v>
      </c>
      <c r="E1016" s="168" t="s">
        <v>134</v>
      </c>
      <c r="F1016" s="168"/>
      <c r="G1016" s="169">
        <f>IF(OR(B1016="",C1016=""),"",IFERROR(IFERROR(INDEX(Vöruskrá!J:J,MATCH(B1016,Vöruskrá!B:B,0)),0)*C1016/100000,""))</f>
        <v>0</v>
      </c>
      <c r="H1016" s="169">
        <f>IF(OR(B1016="",C1016=""),"",IFERROR(IFERROR(INDEX(Vöruskrá!K:K,MATCH(B1016,Vöruskrá!B:B,0)),0)*C1016/100000,""))</f>
        <v>0</v>
      </c>
      <c r="I1016" s="169">
        <f>IF(OR(B1016="",C1016=""),"",IFERROR(IFERROR(INDEX(Vöruskrá!L:L,MATCH(B1016,Vöruskrá!B:B,0)),0)*C1016/100000,""))</f>
        <v>0</v>
      </c>
      <c r="J1016" s="169">
        <f>IF(OR(B1016="",C1016=""),"",IFERROR(IFERROR(INDEX(Vöruskrá!M:M,MATCH(B1016,Vöruskrá!B:B,0)),0)*C1016/100000,""))</f>
        <v>0</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1"/>
      <c r="Q1016" s="201"/>
      <c r="R1016" s="202"/>
    </row>
    <row r="1017" spans="1:18" ht="48">
      <c r="A1017" s="147" t="s">
        <v>2080</v>
      </c>
      <c r="B1017" s="147"/>
      <c r="C1017" s="148"/>
      <c r="D1017" s="165" t="s">
        <v>2081</v>
      </c>
      <c r="E1017" s="165" t="s">
        <v>2082</v>
      </c>
      <c r="F1017" s="165"/>
      <c r="G1017" s="166">
        <v>117.37</v>
      </c>
      <c r="H1017" s="166">
        <v>7.75</v>
      </c>
      <c r="I1017" s="166">
        <v>4.51</v>
      </c>
      <c r="J1017" s="166">
        <v>2.59</v>
      </c>
      <c r="K1017" s="166"/>
      <c r="L1017" s="166">
        <v>9.1199999999999992</v>
      </c>
      <c r="M1017" s="166">
        <v>2.14</v>
      </c>
      <c r="N1017" s="166">
        <f>IFERROR(SUM(N1018:N1025)/(SUM($C$1018:$C$1025)/100000),"")</f>
        <v>0.3175</v>
      </c>
      <c r="O1017" s="167" t="str">
        <f>IF(OR(B1017="",C1017=""),"",IFERROR(C1017/1000*IFERROR(INDEX(Vöruskrá!R:R,MATCH(B1017,Vöruskrá!B:B,0)),0)/1000,""))</f>
        <v/>
      </c>
      <c r="P1017" s="196" t="s">
        <v>2083</v>
      </c>
      <c r="Q1017" s="199" t="s">
        <v>2084</v>
      </c>
      <c r="R1017" s="198" t="s">
        <v>2085</v>
      </c>
    </row>
    <row r="1018" spans="1:18" ht="15">
      <c r="A1018" s="171"/>
      <c r="B1018" s="171" t="s">
        <v>1510</v>
      </c>
      <c r="C1018" s="172">
        <v>20000</v>
      </c>
      <c r="D1018" s="168"/>
      <c r="E1018" s="168"/>
      <c r="F1018" s="168"/>
      <c r="G1018" s="169">
        <f>IF(OR(B1018="",C1018=""),"",IFERROR(IFERROR(INDEX(Vöruskrá!J:J,MATCH(B1018,Vöruskrá!B:B,0)),0)*C1018/100000,""))</f>
        <v>0</v>
      </c>
      <c r="H1018" s="169">
        <f>IF(OR(B1018="",C1018=""),"",IFERROR(IFERROR(INDEX(Vöruskrá!K:K,MATCH(B1018,Vöruskrá!B:B,0)),0)*C1018/100000,""))</f>
        <v>0</v>
      </c>
      <c r="I1018" s="169">
        <f>IF(OR(B1018="",C1018=""),"",IFERROR(IFERROR(INDEX(Vöruskrá!L:L,MATCH(B1018,Vöruskrá!B:B,0)),0)*C1018/100000,""))</f>
        <v>0</v>
      </c>
      <c r="J1018" s="169">
        <f>IF(OR(B1018="",C1018=""),"",IFERROR(IFERROR(INDEX(Vöruskrá!M:M,MATCH(B1018,Vöruskrá!B:B,0)),0)*C1018/100000,""))</f>
        <v>0</v>
      </c>
      <c r="K1018" s="169">
        <f>IF(OR(B1018="",C1018=""),"",IFERROR(IFERROR(INDEX(Vöruskrá!N:N,MATCH(B1018,Vöruskrá!B:B,0)),0)*C1018/100000,""))</f>
        <v>0</v>
      </c>
      <c r="L1018" s="169">
        <f>IF(OR(B1018="",C1018=""),"",IFERROR(IFERROR(INDEX(Vöruskrá!O:O,MATCH(B1018,Vöruskrá!B:B,0)),0)*C1018/100000,""))</f>
        <v>0</v>
      </c>
      <c r="M1018" s="169">
        <f>IF(OR(B1018="",C1018=""),"",IFERROR(IFERROR(INDEX(Vöruskrá!P:P,MATCH(B1018,Vöruskrá!B:B,0)),0)*C1018/100000,""))</f>
        <v>0</v>
      </c>
      <c r="N1018" s="169">
        <f>IF(OR(B1018="",C1018=""),"",IFERROR(IFERROR(INDEX(Vöruskrá!Q:Q,MATCH(B1018,Vöruskrá!B:B,0)),0)*C1018/100000,""))</f>
        <v>0</v>
      </c>
      <c r="O1018" s="170">
        <f>IF(OR(B1018="",C1018=""),"",IFERROR(C1018/1000*IFERROR(INDEX(Vöruskrá!R:R,MATCH(B1018,Vöruskrá!B:B,0)),0)/1000,""))</f>
        <v>0</v>
      </c>
      <c r="P1018" s="171"/>
      <c r="Q1018" s="203"/>
      <c r="R1018" s="204"/>
    </row>
    <row r="1019" spans="1:18">
      <c r="A1019" s="185"/>
      <c r="B1019" s="185" t="s">
        <v>500</v>
      </c>
      <c r="C1019" s="186">
        <v>15000</v>
      </c>
      <c r="D1019" s="182" t="s">
        <v>1129</v>
      </c>
      <c r="E1019" s="182" t="s">
        <v>1099</v>
      </c>
      <c r="F1019" s="182"/>
      <c r="G1019" s="183">
        <f>IF(OR(B1019="",C1019=""),"",IFERROR(IFERROR(INDEX(Vöruskrá!J:J,MATCH(B1019,Vöruskrá!B:B,0)),0)*C1019/100000,""))</f>
        <v>2.7</v>
      </c>
      <c r="H1019" s="183">
        <f>IF(OR(B1019="",C1019=""),"",IFERROR(IFERROR(INDEX(Vöruskrá!K:K,MATCH(B1019,Vöruskrá!B:B,0)),0)*C1019/100000,""))</f>
        <v>0.03</v>
      </c>
      <c r="I1019" s="183">
        <f>IF(OR(B1019="",C1019=""),"",IFERROR(IFERROR(INDEX(Vöruskrá!L:L,MATCH(B1019,Vöruskrá!B:B,0)),0)*C1019/100000,""))</f>
        <v>0</v>
      </c>
      <c r="J1019" s="183">
        <f>IF(OR(B1019="",C1019=""),"",IFERROR(IFERROR(INDEX(Vöruskrá!M:M,MATCH(B1019,Vöruskrá!B:B,0)),0)*C1019/100000,""))</f>
        <v>0.58499999999999996</v>
      </c>
      <c r="K1019" s="183">
        <f>IF(OR(B1019="",C1019=""),"",IFERROR(IFERROR(INDEX(Vöruskrá!N:N,MATCH(B1019,Vöruskrá!B:B,0)),0)*C1019/100000,""))</f>
        <v>0.39</v>
      </c>
      <c r="L1019" s="183">
        <f>IF(OR(B1019="",C1019=""),"",IFERROR(IFERROR(INDEX(Vöruskrá!O:O,MATCH(B1019,Vöruskrá!B:B,0)),0)*C1019/100000,""))</f>
        <v>0.13500000000000001</v>
      </c>
      <c r="M1019" s="183">
        <f>IF(OR(B1019="",C1019=""),"",IFERROR(IFERROR(INDEX(Vöruskrá!P:P,MATCH(B1019,Vöruskrá!B:B,0)),0)*C1019/100000,""))</f>
        <v>0</v>
      </c>
      <c r="N1019" s="183">
        <f>IF(OR(B1019="",C1019=""),"",IFERROR(IFERROR(INDEX(Vöruskrá!Q:Q,MATCH(B1019,Vöruskrá!B:B,0)),0)*C1019/100000,""))</f>
        <v>0.18</v>
      </c>
      <c r="O1019" s="184">
        <f>IF(OR(B1019="",C1019=""),"",IFERROR(C1019/1000*IFERROR(INDEX(Vöruskrá!R:R,MATCH(B1019,Vöruskrá!B:B,0)),0)/1000,""))</f>
        <v>0</v>
      </c>
      <c r="P1019" s="185"/>
    </row>
    <row r="1020" spans="1:18">
      <c r="A1020" s="187"/>
      <c r="B1020" s="187" t="s">
        <v>895</v>
      </c>
      <c r="C1020" s="188">
        <v>15000</v>
      </c>
      <c r="D1020" s="182" t="s">
        <v>897</v>
      </c>
      <c r="E1020" s="182" t="s">
        <v>120</v>
      </c>
      <c r="F1020" s="182"/>
      <c r="G1020" s="183">
        <f>IF(OR(B1020="",C1020=""),"",IFERROR(IFERROR(INDEX(Vöruskrá!J:J,MATCH(B1020,Vöruskrá!B:B,0)),0)*C1020/100000,""))</f>
        <v>45.15</v>
      </c>
      <c r="H1020" s="183">
        <f>IF(OR(B1020="",C1020=""),"",IFERROR(IFERROR(INDEX(Vöruskrá!K:K,MATCH(B1020,Vöruskrá!B:B,0)),0)*C1020/100000,""))</f>
        <v>3.15</v>
      </c>
      <c r="I1020" s="183">
        <f>IF(OR(B1020="",C1020=""),"",IFERROR(IFERROR(INDEX(Vöruskrá!L:L,MATCH(B1020,Vöruskrá!B:B,0)),0)*C1020/100000,""))</f>
        <v>1.8</v>
      </c>
      <c r="J1020" s="183">
        <f>IF(OR(B1020="",C1020=""),"",IFERROR(IFERROR(INDEX(Vöruskrá!M:M,MATCH(B1020,Vöruskrá!B:B,0)),0)*C1020/100000,""))</f>
        <v>0.48</v>
      </c>
      <c r="K1020" s="183">
        <f>IF(OR(B1020="",C1020=""),"",IFERROR(IFERROR(INDEX(Vöruskrá!N:N,MATCH(B1020,Vöruskrá!B:B,0)),0)*C1020/100000,""))</f>
        <v>0.15</v>
      </c>
      <c r="L1020" s="183">
        <f>IF(OR(B1020="",C1020=""),"",IFERROR(IFERROR(INDEX(Vöruskrá!O:O,MATCH(B1020,Vöruskrá!B:B,0)),0)*C1020/100000,""))</f>
        <v>3.6</v>
      </c>
      <c r="M1020" s="183">
        <f>IF(OR(B1020="",C1020=""),"",IFERROR(IFERROR(INDEX(Vöruskrá!P:P,MATCH(B1020,Vöruskrá!B:B,0)),0)*C1020/100000,""))</f>
        <v>0.21</v>
      </c>
      <c r="N1020" s="183">
        <f>IF(OR(B1020="",C1020=""),"",IFERROR(IFERROR(INDEX(Vöruskrá!Q:Q,MATCH(B1020,Vöruskrá!B:B,0)),0)*C1020/100000,""))</f>
        <v>0</v>
      </c>
      <c r="O1020" s="184">
        <f>IF(OR(B1020="",C1020=""),"",IFERROR(C1020/1000*IFERROR(INDEX(Vöruskrá!R:R,MATCH(B1020,Vöruskrá!B:B,0)),0)/1000,""))</f>
        <v>0</v>
      </c>
      <c r="P1020" s="187"/>
    </row>
    <row r="1021" spans="1:18">
      <c r="A1021" s="185"/>
      <c r="B1021" s="185" t="s">
        <v>1090</v>
      </c>
      <c r="C1021" s="186">
        <v>5000</v>
      </c>
      <c r="D1021" s="182" t="s">
        <v>1092</v>
      </c>
      <c r="E1021" s="182" t="s">
        <v>1093</v>
      </c>
      <c r="F1021" s="182" t="s">
        <v>1094</v>
      </c>
      <c r="G1021" s="183">
        <f>IF(OR(B1021="",C1021=""),"",IFERROR(IFERROR(INDEX(Vöruskrá!J:J,MATCH(B1021,Vöruskrá!B:B,0)),0)*C1021/100000,""))</f>
        <v>19.899999999999999</v>
      </c>
      <c r="H1021" s="183">
        <f>IF(OR(B1021="",C1021=""),"",IFERROR(IFERROR(INDEX(Vöruskrá!K:K,MATCH(B1021,Vöruskrá!B:B,0)),0)*C1021/100000,""))</f>
        <v>1.45</v>
      </c>
      <c r="I1021" s="183">
        <f>IF(OR(B1021="",C1021=""),"",IFERROR(IFERROR(INDEX(Vöruskrá!L:L,MATCH(B1021,Vöruskrá!B:B,0)),0)*C1021/100000,""))</f>
        <v>0.9</v>
      </c>
      <c r="J1021" s="183">
        <f>IF(OR(B1021="",C1021=""),"",IFERROR(IFERROR(INDEX(Vöruskrá!M:M,MATCH(B1021,Vöruskrá!B:B,0)),0)*C1021/100000,""))</f>
        <v>0</v>
      </c>
      <c r="K1021" s="183">
        <f>IF(OR(B1021="",C1021=""),"",IFERROR(IFERROR(INDEX(Vöruskrá!N:N,MATCH(B1021,Vöruskrá!B:B,0)),0)*C1021/100000,""))</f>
        <v>0</v>
      </c>
      <c r="L1021" s="183">
        <f>IF(OR(B1021="",C1021=""),"",IFERROR(IFERROR(INDEX(Vöruskrá!O:O,MATCH(B1021,Vöruskrá!B:B,0)),0)*C1021/100000,""))</f>
        <v>1.65</v>
      </c>
      <c r="M1021" s="183">
        <f>IF(OR(B1021="",C1021=""),"",IFERROR(IFERROR(INDEX(Vöruskrá!P:P,MATCH(B1021,Vöruskrá!B:B,0)),0)*C1021/100000,""))</f>
        <v>7.4999999999999997E-2</v>
      </c>
      <c r="N1021" s="183">
        <f>IF(OR(B1021="",C1021=""),"",IFERROR(IFERROR(INDEX(Vöruskrá!Q:Q,MATCH(B1021,Vöruskrá!B:B,0)),0)*C1021/100000,""))</f>
        <v>0</v>
      </c>
      <c r="O1021" s="184">
        <f>IF(OR(B1021="",C1021=""),"",IFERROR(C1021/1000*IFERROR(INDEX(Vöruskrá!R:R,MATCH(B1021,Vöruskrá!B:B,0)),0)/1000,""))</f>
        <v>0</v>
      </c>
      <c r="P1021" s="185"/>
    </row>
    <row r="1022" spans="1:18">
      <c r="A1022" s="187"/>
      <c r="B1022" s="187" t="s">
        <v>1467</v>
      </c>
      <c r="C1022" s="188">
        <v>3000</v>
      </c>
      <c r="D1022" s="182"/>
      <c r="E1022" s="182"/>
      <c r="F1022" s="182"/>
      <c r="G1022" s="183">
        <f>IF(OR(B1022="",C1022=""),"",IFERROR(IFERROR(INDEX(Vöruskrá!J:J,MATCH(B1022,Vöruskrá!B:B,0)),0)*C1022/100000,""))</f>
        <v>0</v>
      </c>
      <c r="H1022" s="183">
        <f>IF(OR(B1022="",C1022=""),"",IFERROR(IFERROR(INDEX(Vöruskrá!K:K,MATCH(B1022,Vöruskrá!B:B,0)),0)*C1022/100000,""))</f>
        <v>0</v>
      </c>
      <c r="I1022" s="183">
        <f>IF(OR(B1022="",C1022=""),"",IFERROR(IFERROR(INDEX(Vöruskrá!L:L,MATCH(B1022,Vöruskrá!B:B,0)),0)*C1022/100000,""))</f>
        <v>0</v>
      </c>
      <c r="J1022" s="183">
        <f>IF(OR(B1022="",C1022=""),"",IFERROR(IFERROR(INDEX(Vöruskrá!M:M,MATCH(B1022,Vöruskrá!B:B,0)),0)*C1022/100000,""))</f>
        <v>0</v>
      </c>
      <c r="K1022" s="183">
        <f>IF(OR(B1022="",C1022=""),"",IFERROR(IFERROR(INDEX(Vöruskrá!N:N,MATCH(B1022,Vöruskrá!B:B,0)),0)*C1022/100000,""))</f>
        <v>0</v>
      </c>
      <c r="L1022" s="183">
        <f>IF(OR(B1022="",C1022=""),"",IFERROR(IFERROR(INDEX(Vöruskrá!O:O,MATCH(B1022,Vöruskrá!B:B,0)),0)*C1022/100000,""))</f>
        <v>0</v>
      </c>
      <c r="M1022" s="183">
        <f>IF(OR(B1022="",C1022=""),"",IFERROR(IFERROR(INDEX(Vöruskrá!P:P,MATCH(B1022,Vöruskrá!B:B,0)),0)*C1022/100000,""))</f>
        <v>0</v>
      </c>
      <c r="N1022" s="183">
        <f>IF(OR(B1022="",C1022=""),"",IFERROR(IFERROR(INDEX(Vöruskrá!Q:Q,MATCH(B1022,Vöruskrá!B:B,0)),0)*C1022/100000,""))</f>
        <v>0</v>
      </c>
      <c r="O1022" s="184">
        <f>IF(OR(B1022="",C1022=""),"",IFERROR(C1022/1000*IFERROR(INDEX(Vöruskrá!R:R,MATCH(B1022,Vöruskrá!B:B,0)),0)/1000,""))</f>
        <v>0</v>
      </c>
      <c r="P1022" s="187"/>
    </row>
    <row r="1023" spans="1:18">
      <c r="A1023" s="185"/>
      <c r="B1023" s="185" t="s">
        <v>1017</v>
      </c>
      <c r="C1023" s="186">
        <v>500</v>
      </c>
      <c r="D1023" s="182" t="s">
        <v>1017</v>
      </c>
      <c r="E1023" s="182" t="s">
        <v>134</v>
      </c>
      <c r="F1023" s="182"/>
      <c r="G1023" s="183">
        <f>IF(OR(B1023="",C1023=""),"",IFERROR(IFERROR(INDEX(Vöruskrá!J:J,MATCH(B1023,Vöruskrá!B:B,0)),0)*C1023/100000,""))</f>
        <v>0.745</v>
      </c>
      <c r="H1023" s="183">
        <f>IF(OR(B1023="",C1023=""),"",IFERROR(IFERROR(INDEX(Vöruskrá!K:K,MATCH(B1023,Vöruskrá!B:B,0)),0)*C1023/100000,""))</f>
        <v>2.5000000000000001E-3</v>
      </c>
      <c r="I1023" s="183">
        <f>IF(OR(B1023="",C1023=""),"",IFERROR(IFERROR(INDEX(Vöruskrá!L:L,MATCH(B1023,Vöruskrá!B:B,0)),0)*C1023/100000,""))</f>
        <v>5.0000000000000001E-4</v>
      </c>
      <c r="J1023" s="183">
        <f>IF(OR(B1023="",C1023=""),"",IFERROR(IFERROR(INDEX(Vöruskrá!M:M,MATCH(B1023,Vöruskrá!B:B,0)),0)*C1023/100000,""))</f>
        <v>0.16550000000000001</v>
      </c>
      <c r="K1023" s="183">
        <f>IF(OR(B1023="",C1023=""),"",IFERROR(IFERROR(INDEX(Vöruskrá!N:N,MATCH(B1023,Vöruskrá!B:B,0)),0)*C1023/100000,""))</f>
        <v>5.0000000000000001E-3</v>
      </c>
      <c r="L1023" s="183">
        <f>IF(OR(B1023="",C1023=""),"",IFERROR(IFERROR(INDEX(Vöruskrá!O:O,MATCH(B1023,Vöruskrá!B:B,0)),0)*C1023/100000,""))</f>
        <v>3.2000000000000001E-2</v>
      </c>
      <c r="M1023" s="183">
        <f>IF(OR(B1023="",C1023=""),"",IFERROR(IFERROR(INDEX(Vöruskrá!P:P,MATCH(B1023,Vöruskrá!B:B,0)),0)*C1023/100000,""))</f>
        <v>0</v>
      </c>
      <c r="N1023" s="183">
        <f>IF(OR(B1023="",C1023=""),"",IFERROR(IFERROR(INDEX(Vöruskrá!Q:Q,MATCH(B1023,Vöruskrá!B:B,0)),0)*C1023/100000,""))</f>
        <v>1.0500000000000001E-2</v>
      </c>
      <c r="O1023" s="184">
        <f>IF(OR(B1023="",C1023=""),"",IFERROR(C1023/1000*IFERROR(INDEX(Vöruskrá!R:R,MATCH(B1023,Vöruskrá!B:B,0)),0)/1000,""))</f>
        <v>0</v>
      </c>
      <c r="P1023" s="185"/>
    </row>
    <row r="1024" spans="1:18">
      <c r="A1024" s="187"/>
      <c r="B1024" s="187" t="s">
        <v>299</v>
      </c>
      <c r="C1024" s="188">
        <v>1000</v>
      </c>
      <c r="D1024" s="182" t="s">
        <v>302</v>
      </c>
      <c r="E1024" s="182" t="s">
        <v>134</v>
      </c>
      <c r="F1024" s="182" t="s">
        <v>303</v>
      </c>
      <c r="G1024" s="183">
        <f>IF(OR(B1024="",C1024=""),"",IFERROR(IFERROR(INDEX(Vöruskrá!J:J,MATCH(B1024,Vöruskrá!B:B,0)),0)*C1024/100000,""))</f>
        <v>0</v>
      </c>
      <c r="H1024" s="183">
        <f>IF(OR(B1024="",C1024=""),"",IFERROR(IFERROR(INDEX(Vöruskrá!K:K,MATCH(B1024,Vöruskrá!B:B,0)),0)*C1024/100000,""))</f>
        <v>0</v>
      </c>
      <c r="I1024" s="183">
        <f>IF(OR(B1024="",C1024=""),"",IFERROR(IFERROR(INDEX(Vöruskrá!L:L,MATCH(B1024,Vöruskrá!B:B,0)),0)*C1024/100000,""))</f>
        <v>0</v>
      </c>
      <c r="J1024" s="183">
        <f>IF(OR(B1024="",C1024=""),"",IFERROR(IFERROR(INDEX(Vöruskrá!M:M,MATCH(B1024,Vöruskrá!B:B,0)),0)*C1024/100000,""))</f>
        <v>0</v>
      </c>
      <c r="K1024" s="183">
        <f>IF(OR(B1024="",C1024=""),"",IFERROR(IFERROR(INDEX(Vöruskrá!N:N,MATCH(B1024,Vöruskrá!B:B,0)),0)*C1024/100000,""))</f>
        <v>0</v>
      </c>
      <c r="L1024" s="183">
        <f>IF(OR(B1024="",C1024=""),"",IFERROR(IFERROR(INDEX(Vöruskrá!O:O,MATCH(B1024,Vöruskrá!B:B,0)),0)*C1024/100000,""))</f>
        <v>0</v>
      </c>
      <c r="M1024" s="183">
        <f>IF(OR(B1024="",C1024=""),"",IFERROR(IFERROR(INDEX(Vöruskrá!P:P,MATCH(B1024,Vöruskrá!B:B,0)),0)*C1024/100000,""))</f>
        <v>1</v>
      </c>
      <c r="N1024" s="183">
        <f>IF(OR(B1024="",C1024=""),"",IFERROR(IFERROR(INDEX(Vöruskrá!Q:Q,MATCH(B1024,Vöruskrá!B:B,0)),0)*C1024/100000,""))</f>
        <v>0</v>
      </c>
      <c r="O1024" s="184">
        <f>IF(OR(B1024="",C1024=""),"",IFERROR(C1024/1000*IFERROR(INDEX(Vöruskrá!R:R,MATCH(B1024,Vöruskrá!B:B,0)),0)/1000,""))</f>
        <v>0</v>
      </c>
      <c r="P1024" s="187"/>
    </row>
    <row r="1025" spans="1:18">
      <c r="A1025" s="185"/>
      <c r="B1025" s="185" t="s">
        <v>819</v>
      </c>
      <c r="C1025" s="186">
        <v>500</v>
      </c>
      <c r="D1025" s="182" t="s">
        <v>820</v>
      </c>
      <c r="E1025" s="182"/>
      <c r="F1025" s="182" t="s">
        <v>311</v>
      </c>
      <c r="G1025" s="183">
        <f>IF(OR(B1025="",C1025=""),"",IFERROR(IFERROR(INDEX(Vöruskrá!J:J,MATCH(B1025,Vöruskrá!B:B,0)),0)*C1025/100000,""))</f>
        <v>1.93</v>
      </c>
      <c r="H1025" s="183">
        <f>IF(OR(B1025="",C1025=""),"",IFERROR(IFERROR(INDEX(Vöruskrá!K:K,MATCH(B1025,Vöruskrá!B:B,0)),0)*C1025/100000,""))</f>
        <v>1.6500000000000001E-2</v>
      </c>
      <c r="I1025" s="183">
        <f>IF(OR(B1025="",C1025=""),"",IFERROR(IFERROR(INDEX(Vöruskrá!L:L,MATCH(B1025,Vöruskrá!B:B,0)),0)*C1025/100000,""))</f>
        <v>5.0000000000000001E-3</v>
      </c>
      <c r="J1025" s="183">
        <f>IF(OR(B1025="",C1025=""),"",IFERROR(IFERROR(INDEX(Vöruskrá!M:M,MATCH(B1025,Vöruskrá!B:B,0)),0)*C1025/100000,""))</f>
        <v>0.32500000000000001</v>
      </c>
      <c r="K1025" s="183">
        <f>IF(OR(B1025="",C1025=""),"",IFERROR(IFERROR(INDEX(Vöruskrá!N:N,MATCH(B1025,Vöruskrá!B:B,0)),0)*C1025/100000,""))</f>
        <v>3.0000000000000001E-3</v>
      </c>
      <c r="L1025" s="183">
        <f>IF(OR(B1025="",C1025=""),"",IFERROR(IFERROR(INDEX(Vöruskrá!O:O,MATCH(B1025,Vöruskrá!B:B,0)),0)*C1025/100000,""))</f>
        <v>5.5E-2</v>
      </c>
      <c r="M1025" s="183">
        <f>IF(OR(B1025="",C1025=""),"",IFERROR(IFERROR(INDEX(Vöruskrá!P:P,MATCH(B1025,Vöruskrá!B:B,0)),0)*C1025/100000,""))</f>
        <v>5.0000000000000001E-4</v>
      </c>
      <c r="N1025" s="183">
        <f>IF(OR(B1025="",C1025=""),"",IFERROR(IFERROR(INDEX(Vöruskrá!Q:Q,MATCH(B1025,Vöruskrá!B:B,0)),0)*C1025/100000,""))</f>
        <v>0</v>
      </c>
      <c r="O1025" s="184">
        <f>IF(OR(B1025="",C1025=""),"",IFERROR(C1025/1000*IFERROR(INDEX(Vöruskrá!R:R,MATCH(B1025,Vöruskrá!B:B,0)),0)/1000,""))</f>
        <v>0</v>
      </c>
      <c r="P1025" s="185"/>
    </row>
    <row r="1026" spans="1:18" ht="36">
      <c r="A1026" s="189" t="s">
        <v>1130</v>
      </c>
      <c r="B1026" s="189"/>
      <c r="C1026" s="190"/>
      <c r="D1026" s="189" t="s">
        <v>2086</v>
      </c>
      <c r="E1026" s="189" t="s">
        <v>2087</v>
      </c>
      <c r="F1026" s="189"/>
      <c r="G1026" s="191">
        <v>68.64</v>
      </c>
      <c r="H1026" s="191">
        <v>3.62</v>
      </c>
      <c r="I1026" s="191">
        <v>1.92</v>
      </c>
      <c r="J1026" s="191">
        <v>5.6</v>
      </c>
      <c r="K1026" s="191"/>
      <c r="L1026" s="191">
        <v>3.26</v>
      </c>
      <c r="M1026" s="191">
        <v>0.08</v>
      </c>
      <c r="N1026" s="191">
        <f>IFERROR(SUM(N1027:N1029)/(SUM($C$1027:$C$1029)/100000),"")</f>
        <v>0</v>
      </c>
      <c r="O1026" s="192" t="str">
        <f>IF(OR(B1026="",C1026=""),"",IFERROR(C1026/1000*IFERROR(INDEX(Vöruskrá!R:R,MATCH(B1026,Vöruskrá!B:B,0)),0)/1000,""))</f>
        <v/>
      </c>
      <c r="P1026" s="217" t="s">
        <v>2088</v>
      </c>
      <c r="Q1026" s="218" t="s">
        <v>2089</v>
      </c>
      <c r="R1026" s="218" t="s">
        <v>2090</v>
      </c>
    </row>
    <row r="1027" spans="1:18">
      <c r="A1027" s="187"/>
      <c r="B1027" s="187" t="s">
        <v>870</v>
      </c>
      <c r="C1027" s="188">
        <v>82600</v>
      </c>
      <c r="D1027" s="182" t="s">
        <v>871</v>
      </c>
      <c r="E1027" s="182" t="s">
        <v>120</v>
      </c>
      <c r="F1027" s="182"/>
      <c r="G1027" s="183">
        <f>IF(OR(B1027="",C1027=""),"",IFERROR(IFERROR(INDEX(Vöruskrá!J:J,MATCH(B1027,Vöruskrá!B:B,0)),0)*C1027/100000,""))</f>
        <v>52.863999999999997</v>
      </c>
      <c r="H1027" s="183">
        <f>IF(OR(B1027="",C1027=""),"",IFERROR(IFERROR(INDEX(Vöruskrá!K:K,MATCH(B1027,Vöruskrá!B:B,0)),0)*C1027/100000,""))</f>
        <v>3.2214</v>
      </c>
      <c r="I1027" s="183">
        <f>IF(OR(B1027="",C1027=""),"",IFERROR(IFERROR(INDEX(Vöruskrá!L:L,MATCH(B1027,Vöruskrá!B:B,0)),0)*C1027/100000,""))</f>
        <v>1.8997999999999997</v>
      </c>
      <c r="J1027" s="183">
        <f>IF(OR(B1027="",C1027=""),"",IFERROR(IFERROR(INDEX(Vöruskrá!M:M,MATCH(B1027,Vöruskrá!B:B,0)),0)*C1027/100000,""))</f>
        <v>3.0562</v>
      </c>
      <c r="K1027" s="183">
        <f>IF(OR(B1027="",C1027=""),"",IFERROR(IFERROR(INDEX(Vöruskrá!N:N,MATCH(B1027,Vöruskrá!B:B,0)),0)*C1027/100000,""))</f>
        <v>3.0562</v>
      </c>
      <c r="L1027" s="183">
        <f>IF(OR(B1027="",C1027=""),"",IFERROR(IFERROR(INDEX(Vöruskrá!O:O,MATCH(B1027,Vöruskrá!B:B,0)),0)*C1027/100000,""))</f>
        <v>2.8083999999999998</v>
      </c>
      <c r="M1027" s="183">
        <f>IF(OR(B1027="",C1027=""),"",IFERROR(IFERROR(INDEX(Vöruskrá!P:P,MATCH(B1027,Vöruskrá!B:B,0)),0)*C1027/100000,""))</f>
        <v>8.2600000000000007E-2</v>
      </c>
      <c r="N1027" s="183">
        <f>IF(OR(B1027="",C1027=""),"",IFERROR(IFERROR(INDEX(Vöruskrá!Q:Q,MATCH(B1027,Vöruskrá!B:B,0)),0)*C1027/100000,""))</f>
        <v>0</v>
      </c>
      <c r="O1027" s="184">
        <f>IF(OR(B1027="",C1027=""),"",IFERROR(C1027/1000*IFERROR(INDEX(Vöruskrá!R:R,MATCH(B1027,Vöruskrá!B:B,0)),0)/1000,""))</f>
        <v>0</v>
      </c>
      <c r="P1027" s="187"/>
    </row>
    <row r="1028" spans="1:18">
      <c r="A1028" s="185"/>
      <c r="B1028" s="185" t="s">
        <v>833</v>
      </c>
      <c r="C1028" s="186">
        <v>8200</v>
      </c>
      <c r="D1028" s="182" t="s">
        <v>835</v>
      </c>
      <c r="E1028" s="182"/>
      <c r="F1028" s="182"/>
      <c r="G1028" s="183">
        <f>IF(OR(B1028="",C1028=""),"",IFERROR(IFERROR(INDEX(Vöruskrá!J:J,MATCH(B1028,Vöruskrá!B:B,0)),0)*C1028/100000,""))</f>
        <v>2.5419999999999998</v>
      </c>
      <c r="H1028" s="183">
        <f>IF(OR(B1028="",C1028=""),"",IFERROR(IFERROR(INDEX(Vöruskrá!K:K,MATCH(B1028,Vöruskrá!B:B,0)),0)*C1028/100000,""))</f>
        <v>1.6400000000000001E-2</v>
      </c>
      <c r="I1028" s="183">
        <f>IF(OR(B1028="",C1028=""),"",IFERROR(IFERROR(INDEX(Vöruskrá!L:L,MATCH(B1028,Vöruskrá!B:B,0)),0)*C1028/100000,""))</f>
        <v>0</v>
      </c>
      <c r="J1028" s="183">
        <f>IF(OR(B1028="",C1028=""),"",IFERROR(IFERROR(INDEX(Vöruskrá!M:M,MATCH(B1028,Vöruskrá!B:B,0)),0)*C1028/100000,""))</f>
        <v>0.56579999999999997</v>
      </c>
      <c r="K1028" s="183">
        <f>IF(OR(B1028="",C1028=""),"",IFERROR(IFERROR(INDEX(Vöruskrá!N:N,MATCH(B1028,Vöruskrá!B:B,0)),0)*C1028/100000,""))</f>
        <v>0.1968</v>
      </c>
      <c r="L1028" s="183">
        <f>IF(OR(B1028="",C1028=""),"",IFERROR(IFERROR(INDEX(Vöruskrá!O:O,MATCH(B1028,Vöruskrá!B:B,0)),0)*C1028/100000,""))</f>
        <v>0</v>
      </c>
      <c r="M1028" s="183">
        <f>IF(OR(B1028="",C1028=""),"",IFERROR(IFERROR(INDEX(Vöruskrá!P:P,MATCH(B1028,Vöruskrá!B:B,0)),0)*C1028/100000,""))</f>
        <v>0</v>
      </c>
      <c r="N1028" s="183">
        <f>IF(OR(B1028="",C1028=""),"",IFERROR(IFERROR(INDEX(Vöruskrá!Q:Q,MATCH(B1028,Vöruskrá!B:B,0)),0)*C1028/100000,""))</f>
        <v>0</v>
      </c>
      <c r="O1028" s="184">
        <f>IF(OR(B1028="",C1028=""),"",IFERROR(C1028/1000*IFERROR(INDEX(Vöruskrá!R:R,MATCH(B1028,Vöruskrá!B:B,0)),0)/1000,""))</f>
        <v>0</v>
      </c>
      <c r="P1028" s="185"/>
    </row>
    <row r="1029" spans="1:18">
      <c r="A1029" s="187"/>
      <c r="B1029" s="187" t="s">
        <v>574</v>
      </c>
      <c r="C1029" s="188">
        <v>8200</v>
      </c>
      <c r="D1029" s="182" t="s">
        <v>576</v>
      </c>
      <c r="E1029" s="182" t="s">
        <v>577</v>
      </c>
      <c r="F1029" s="182"/>
      <c r="G1029" s="183">
        <f>IF(OR(B1029="",C1029=""),"",IFERROR(IFERROR(INDEX(Vöruskrá!J:J,MATCH(B1029,Vöruskrá!B:B,0)),0)*C1029/100000,""))</f>
        <v>12.545999999999999</v>
      </c>
      <c r="H1029" s="183">
        <f>IF(OR(B1029="",C1029=""),"",IFERROR(IFERROR(INDEX(Vöruskrá!K:K,MATCH(B1029,Vöruskrá!B:B,0)),0)*C1029/100000,""))</f>
        <v>0.34439999999999998</v>
      </c>
      <c r="I1029" s="183">
        <f>IF(OR(B1029="",C1029=""),"",IFERROR(IFERROR(INDEX(Vöruskrá!L:L,MATCH(B1029,Vöruskrá!B:B,0)),0)*C1029/100000,""))</f>
        <v>0</v>
      </c>
      <c r="J1029" s="183">
        <f>IF(OR(B1029="",C1029=""),"",IFERROR(IFERROR(INDEX(Vöruskrá!M:M,MATCH(B1029,Vöruskrá!B:B,0)),0)*C1029/100000,""))</f>
        <v>1.9188000000000001</v>
      </c>
      <c r="K1029" s="183">
        <f>IF(OR(B1029="",C1029=""),"",IFERROR(IFERROR(INDEX(Vöruskrá!N:N,MATCH(B1029,Vöruskrá!B:B,0)),0)*C1029/100000,""))</f>
        <v>0</v>
      </c>
      <c r="L1029" s="183">
        <f>IF(OR(B1029="",C1029=""),"",IFERROR(IFERROR(INDEX(Vöruskrá!O:O,MATCH(B1029,Vöruskrá!B:B,0)),0)*C1029/100000,""))</f>
        <v>0.41820000000000002</v>
      </c>
      <c r="M1029" s="183">
        <f>IF(OR(B1029="",C1029=""),"",IFERROR(IFERROR(INDEX(Vöruskrá!P:P,MATCH(B1029,Vöruskrá!B:B,0)),0)*C1029/100000,""))</f>
        <v>0</v>
      </c>
      <c r="N1029" s="183">
        <f>IF(OR(B1029="",C1029=""),"",IFERROR(IFERROR(INDEX(Vöruskrá!Q:Q,MATCH(B1029,Vöruskrá!B:B,0)),0)*C1029/100000,""))</f>
        <v>0</v>
      </c>
      <c r="O1029" s="184">
        <f>IF(OR(B1029="",C1029=""),"",IFERROR(C1029/1000*IFERROR(INDEX(Vöruskrá!R:R,MATCH(B1029,Vöruskrá!B:B,0)),0)/1000,""))</f>
        <v>0</v>
      </c>
      <c r="P1029" s="187"/>
    </row>
  </sheetData>
  <mergeCells count="1">
    <mergeCell ref="A1:P1"/>
  </mergeCells>
  <conditionalFormatting sqref="A3:P101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2091</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2092</v>
      </c>
      <c r="AC1" t="s">
        <v>2093</v>
      </c>
    </row>
    <row r="2" spans="1:29" ht="24">
      <c r="A2" s="11" t="s">
        <v>2094</v>
      </c>
      <c r="B2" s="72" t="s">
        <v>2095</v>
      </c>
      <c r="C2" s="72" t="s">
        <v>2096</v>
      </c>
      <c r="D2" s="11" t="s">
        <v>2097</v>
      </c>
      <c r="E2" s="11" t="s">
        <v>2098</v>
      </c>
      <c r="F2" s="11" t="s">
        <v>2099</v>
      </c>
      <c r="G2" s="12" t="s">
        <v>2100</v>
      </c>
      <c r="H2" s="12" t="s">
        <v>2101</v>
      </c>
      <c r="I2" s="11" t="s">
        <v>2102</v>
      </c>
      <c r="J2" s="3" t="s">
        <v>2103</v>
      </c>
      <c r="K2" s="72" t="s">
        <v>1515</v>
      </c>
      <c r="L2" s="72" t="s">
        <v>1516</v>
      </c>
      <c r="M2" s="72" t="s">
        <v>1517</v>
      </c>
      <c r="N2" s="72" t="s">
        <v>2104</v>
      </c>
      <c r="O2" s="72" t="s">
        <v>2105</v>
      </c>
      <c r="P2" s="72" t="s">
        <v>2106</v>
      </c>
      <c r="Q2" s="72" t="s">
        <v>2107</v>
      </c>
      <c r="R2" s="72" t="s">
        <v>2108</v>
      </c>
      <c r="S2" s="72" t="s">
        <v>2109</v>
      </c>
      <c r="T2" s="77" t="s">
        <v>2110</v>
      </c>
      <c r="U2" s="78" t="s">
        <v>2111</v>
      </c>
      <c r="V2" s="78" t="s">
        <v>2112</v>
      </c>
      <c r="W2" s="78" t="s">
        <v>2113</v>
      </c>
      <c r="X2" s="78" t="s">
        <v>2114</v>
      </c>
      <c r="Y2" s="78" t="s">
        <v>2115</v>
      </c>
      <c r="Z2" s="78" t="s">
        <v>2116</v>
      </c>
      <c r="AA2" s="78" t="s">
        <v>2117</v>
      </c>
      <c r="AC2" t="s">
        <v>2118</v>
      </c>
    </row>
    <row r="3" spans="1:29" ht="48">
      <c r="A3" s="33">
        <v>46216</v>
      </c>
      <c r="B3" s="34" t="s">
        <v>2119</v>
      </c>
      <c r="C3" s="34">
        <v>29</v>
      </c>
      <c r="D3" s="35" t="s">
        <v>2118</v>
      </c>
      <c r="E3" s="35" t="s">
        <v>2120</v>
      </c>
      <c r="F3" s="35"/>
      <c r="G3" s="35" t="s">
        <v>2121</v>
      </c>
      <c r="H3" s="36"/>
      <c r="I3" s="36"/>
      <c r="J3" s="37"/>
      <c r="K3" s="23" t="s">
        <v>2122</v>
      </c>
      <c r="L3" s="23" t="s">
        <v>134</v>
      </c>
      <c r="M3" s="23"/>
      <c r="N3" s="24"/>
      <c r="O3" s="24"/>
      <c r="P3" s="24"/>
      <c r="Q3" s="24"/>
      <c r="R3" s="24"/>
      <c r="S3" s="24"/>
      <c r="T3" s="81"/>
      <c r="U3" s="79"/>
      <c r="V3" s="79"/>
      <c r="W3" s="79"/>
      <c r="X3" s="79"/>
      <c r="Y3" s="79"/>
      <c r="Z3" s="79"/>
      <c r="AA3" s="79"/>
      <c r="AC3" t="s">
        <v>2123</v>
      </c>
    </row>
    <row r="4" spans="1:29" ht="15">
      <c r="A4" s="33"/>
      <c r="B4" s="34" t="s">
        <v>2119</v>
      </c>
      <c r="C4" s="34">
        <v>29</v>
      </c>
      <c r="D4" s="35" t="s">
        <v>2118</v>
      </c>
      <c r="E4" s="35" t="s">
        <v>2124</v>
      </c>
      <c r="F4" s="35" t="s">
        <v>340</v>
      </c>
      <c r="G4" s="35" t="s">
        <v>2125</v>
      </c>
      <c r="H4" s="36">
        <v>80</v>
      </c>
      <c r="I4" s="36"/>
      <c r="J4" s="37"/>
      <c r="K4" s="23" t="s">
        <v>344</v>
      </c>
      <c r="L4" s="23" t="s">
        <v>134</v>
      </c>
      <c r="M4" s="23"/>
      <c r="N4" s="24">
        <v>292</v>
      </c>
      <c r="O4" s="24">
        <v>0.6</v>
      </c>
      <c r="P4" s="24">
        <v>0.2</v>
      </c>
      <c r="Q4" s="24">
        <v>64</v>
      </c>
      <c r="R4" s="24">
        <v>5.7</v>
      </c>
      <c r="S4" s="24">
        <v>0</v>
      </c>
      <c r="T4" s="82">
        <v>1</v>
      </c>
      <c r="U4" s="80" t="s">
        <v>2126</v>
      </c>
      <c r="V4" s="80" t="s">
        <v>2127</v>
      </c>
      <c r="W4" s="80">
        <v>150</v>
      </c>
      <c r="X4" s="80">
        <v>15</v>
      </c>
      <c r="Y4" s="80">
        <v>75</v>
      </c>
      <c r="Z4" s="80" t="s">
        <v>2128</v>
      </c>
      <c r="AA4" s="80"/>
      <c r="AC4" t="s">
        <v>2129</v>
      </c>
    </row>
    <row r="5" spans="1:29" ht="48">
      <c r="A5" s="33"/>
      <c r="B5" s="34" t="s">
        <v>2119</v>
      </c>
      <c r="C5" s="34">
        <v>29</v>
      </c>
      <c r="D5" s="35" t="s">
        <v>2118</v>
      </c>
      <c r="E5" s="35" t="s">
        <v>2120</v>
      </c>
      <c r="F5" s="35" t="s">
        <v>990</v>
      </c>
      <c r="G5" s="35" t="s">
        <v>2130</v>
      </c>
      <c r="H5" s="36">
        <v>250</v>
      </c>
      <c r="I5" s="36"/>
      <c r="J5" s="37"/>
      <c r="K5" s="23" t="s">
        <v>1531</v>
      </c>
      <c r="L5" s="23" t="s">
        <v>134</v>
      </c>
      <c r="M5" s="23"/>
      <c r="N5" s="24">
        <v>423</v>
      </c>
      <c r="O5" s="24">
        <v>17</v>
      </c>
      <c r="P5" s="24">
        <v>7.6</v>
      </c>
      <c r="Q5" s="24">
        <v>47.8</v>
      </c>
      <c r="R5" s="24">
        <v>18.399999999999999</v>
      </c>
      <c r="S5" s="24">
        <v>2.5</v>
      </c>
      <c r="T5" s="81">
        <v>2</v>
      </c>
      <c r="U5" s="79" t="s">
        <v>2126</v>
      </c>
      <c r="V5" s="79" t="s">
        <v>2131</v>
      </c>
      <c r="W5" s="79"/>
      <c r="X5" s="79">
        <v>20</v>
      </c>
      <c r="Y5" s="79">
        <v>75</v>
      </c>
      <c r="Z5" s="79" t="s">
        <v>2132</v>
      </c>
      <c r="AA5" s="79"/>
      <c r="AC5" t="s">
        <v>2133</v>
      </c>
    </row>
    <row r="6" spans="1:29" ht="72">
      <c r="A6" s="33"/>
      <c r="B6" s="34" t="s">
        <v>2119</v>
      </c>
      <c r="C6" s="34">
        <v>29</v>
      </c>
      <c r="D6" s="35" t="s">
        <v>2118</v>
      </c>
      <c r="E6" s="35" t="s">
        <v>2134</v>
      </c>
      <c r="F6" s="35"/>
      <c r="G6" s="35" t="s">
        <v>2135</v>
      </c>
      <c r="H6" s="36"/>
      <c r="I6" s="36"/>
      <c r="J6" s="37"/>
      <c r="K6" s="23" t="s">
        <v>236</v>
      </c>
      <c r="L6" s="23" t="s">
        <v>237</v>
      </c>
      <c r="M6" s="23"/>
      <c r="N6" s="24"/>
      <c r="O6" s="24"/>
      <c r="P6" s="24"/>
      <c r="Q6" s="24"/>
      <c r="R6" s="24"/>
      <c r="S6" s="24"/>
      <c r="T6" s="82"/>
      <c r="U6" s="80"/>
      <c r="V6" s="80"/>
      <c r="W6" s="80"/>
      <c r="X6" s="80"/>
      <c r="Y6" s="80"/>
      <c r="Z6" s="80"/>
      <c r="AA6" s="80"/>
      <c r="AC6" t="s">
        <v>2136</v>
      </c>
    </row>
    <row r="7" spans="1:29" ht="72">
      <c r="A7" s="33"/>
      <c r="B7" s="34" t="s">
        <v>2119</v>
      </c>
      <c r="C7" s="34">
        <v>29</v>
      </c>
      <c r="D7" s="35" t="s">
        <v>2118</v>
      </c>
      <c r="E7" s="35" t="s">
        <v>2134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2137</v>
      </c>
      <c r="V7" s="79" t="s">
        <v>2127</v>
      </c>
      <c r="W7" s="79">
        <v>180</v>
      </c>
      <c r="X7" s="79">
        <v>22</v>
      </c>
      <c r="Y7" s="79">
        <v>75</v>
      </c>
      <c r="Z7" s="79" t="s">
        <v>2138</v>
      </c>
      <c r="AA7" s="79">
        <v>2</v>
      </c>
      <c r="AC7" t="s">
        <v>2139</v>
      </c>
    </row>
    <row r="8" spans="1:29" ht="60">
      <c r="A8" s="33"/>
      <c r="B8" s="34" t="s">
        <v>2119</v>
      </c>
      <c r="C8" s="34">
        <v>29</v>
      </c>
      <c r="D8" s="35" t="s">
        <v>2118</v>
      </c>
      <c r="E8" s="35" t="s">
        <v>2140</v>
      </c>
      <c r="F8" s="35"/>
      <c r="G8" s="35" t="s">
        <v>2141</v>
      </c>
      <c r="H8" s="36"/>
      <c r="I8" s="36"/>
      <c r="J8" s="37"/>
      <c r="K8" s="23" t="s">
        <v>2142</v>
      </c>
      <c r="L8" s="23" t="s">
        <v>537</v>
      </c>
      <c r="M8" s="23"/>
      <c r="N8" s="24"/>
      <c r="O8" s="24"/>
      <c r="P8" s="24"/>
      <c r="Q8" s="24"/>
      <c r="R8" s="24"/>
      <c r="S8" s="24"/>
      <c r="T8" s="82"/>
      <c r="U8" s="80"/>
      <c r="V8" s="80"/>
      <c r="W8" s="80"/>
      <c r="X8" s="80"/>
      <c r="Y8" s="80"/>
      <c r="Z8" s="80"/>
      <c r="AA8" s="80"/>
      <c r="AC8" t="s">
        <v>2143</v>
      </c>
    </row>
    <row r="9" spans="1:29" ht="15">
      <c r="A9" s="33"/>
      <c r="B9" s="34" t="s">
        <v>2119</v>
      </c>
      <c r="C9" s="34">
        <v>29</v>
      </c>
      <c r="D9" s="35" t="s">
        <v>2118</v>
      </c>
      <c r="E9" s="35" t="s">
        <v>2140</v>
      </c>
      <c r="F9" s="35" t="s">
        <v>340</v>
      </c>
      <c r="G9" s="35" t="s">
        <v>2125</v>
      </c>
      <c r="H9" s="36">
        <v>80</v>
      </c>
      <c r="I9" s="36"/>
      <c r="J9" s="37"/>
      <c r="K9" s="23" t="s">
        <v>344</v>
      </c>
      <c r="L9" s="23" t="s">
        <v>134</v>
      </c>
      <c r="M9" s="23"/>
      <c r="N9" s="24">
        <v>292</v>
      </c>
      <c r="O9" s="24">
        <v>0.6</v>
      </c>
      <c r="P9" s="24">
        <v>0.2</v>
      </c>
      <c r="Q9" s="24">
        <v>64</v>
      </c>
      <c r="R9" s="24">
        <v>5.7</v>
      </c>
      <c r="S9" s="24">
        <v>0</v>
      </c>
      <c r="T9" s="81">
        <v>1</v>
      </c>
      <c r="U9" s="79" t="s">
        <v>2126</v>
      </c>
      <c r="V9" s="79" t="s">
        <v>2127</v>
      </c>
      <c r="W9" s="79">
        <v>150</v>
      </c>
      <c r="X9" s="79">
        <v>15</v>
      </c>
      <c r="Y9" s="79">
        <v>75</v>
      </c>
      <c r="Z9" s="79" t="s">
        <v>2128</v>
      </c>
      <c r="AA9" s="79"/>
      <c r="AC9" t="s">
        <v>2144</v>
      </c>
    </row>
    <row r="10" spans="1:29" ht="60">
      <c r="A10" s="33"/>
      <c r="B10" s="34" t="s">
        <v>2119</v>
      </c>
      <c r="C10" s="34">
        <v>29</v>
      </c>
      <c r="D10" s="35" t="s">
        <v>2118</v>
      </c>
      <c r="E10" s="35" t="s">
        <v>2140</v>
      </c>
      <c r="F10" s="35" t="s">
        <v>1581</v>
      </c>
      <c r="G10" s="35" t="s">
        <v>2145</v>
      </c>
      <c r="H10" s="36">
        <v>250</v>
      </c>
      <c r="I10" s="36"/>
      <c r="J10" s="37"/>
      <c r="K10" s="23" t="s">
        <v>1582</v>
      </c>
      <c r="L10" s="23" t="s">
        <v>537</v>
      </c>
      <c r="M10" s="23"/>
      <c r="N10" s="24">
        <v>492.7</v>
      </c>
      <c r="O10" s="24">
        <v>10.9</v>
      </c>
      <c r="P10" s="24">
        <v>6.3</v>
      </c>
      <c r="Q10" s="24">
        <v>82.1</v>
      </c>
      <c r="R10" s="24">
        <v>12</v>
      </c>
      <c r="S10" s="24">
        <v>2.6</v>
      </c>
      <c r="T10" s="82">
        <v>2</v>
      </c>
      <c r="U10" s="80" t="s">
        <v>2126</v>
      </c>
      <c r="V10" s="80" t="s">
        <v>2131</v>
      </c>
      <c r="W10" s="80"/>
      <c r="X10" s="80">
        <v>20</v>
      </c>
      <c r="Y10" s="80">
        <v>75</v>
      </c>
      <c r="Z10" s="80" t="s">
        <v>2132</v>
      </c>
      <c r="AA10" s="80"/>
      <c r="AC10" t="s">
        <v>2146</v>
      </c>
    </row>
    <row r="11" spans="1:29" ht="15">
      <c r="A11" s="33"/>
      <c r="B11" s="34" t="s">
        <v>2119</v>
      </c>
      <c r="C11" s="34">
        <v>29</v>
      </c>
      <c r="D11" s="35" t="s">
        <v>2118</v>
      </c>
      <c r="E11" s="35" t="s">
        <v>2147</v>
      </c>
      <c r="F11" s="35"/>
      <c r="G11" s="35" t="s">
        <v>2148</v>
      </c>
      <c r="H11" s="36"/>
      <c r="I11" s="36"/>
      <c r="J11" s="37"/>
      <c r="K11" s="23"/>
      <c r="L11" s="23" t="s">
        <v>134</v>
      </c>
      <c r="M11" s="23"/>
      <c r="N11" s="24"/>
      <c r="O11" s="24"/>
      <c r="P11" s="24"/>
      <c r="Q11" s="24"/>
      <c r="R11" s="24"/>
      <c r="S11" s="24"/>
      <c r="T11" s="81"/>
      <c r="U11" s="79"/>
      <c r="V11" s="79" t="s">
        <v>2149</v>
      </c>
      <c r="W11" s="79"/>
      <c r="X11" s="79"/>
      <c r="Y11" s="79"/>
      <c r="Z11" s="79"/>
      <c r="AA11" s="79"/>
      <c r="AC11" t="s">
        <v>2150</v>
      </c>
    </row>
    <row r="12" spans="1:29" ht="48">
      <c r="A12" s="33"/>
      <c r="B12" s="34" t="s">
        <v>2119</v>
      </c>
      <c r="C12" s="34">
        <v>29</v>
      </c>
      <c r="D12" s="35" t="s">
        <v>2118</v>
      </c>
      <c r="E12" s="35" t="s">
        <v>2151</v>
      </c>
      <c r="F12" s="35"/>
      <c r="G12" s="35" t="s">
        <v>2152</v>
      </c>
      <c r="H12" s="36"/>
      <c r="I12" s="36"/>
      <c r="J12" s="37"/>
      <c r="K12" s="23" t="s">
        <v>2153</v>
      </c>
      <c r="L12" s="23" t="s">
        <v>1661</v>
      </c>
      <c r="M12" s="23"/>
      <c r="N12" s="24"/>
      <c r="O12" s="24"/>
      <c r="P12" s="24"/>
      <c r="Q12" s="24"/>
      <c r="R12" s="24"/>
      <c r="S12" s="24"/>
      <c r="T12" s="82"/>
      <c r="U12" s="80"/>
      <c r="V12" s="80"/>
      <c r="W12" s="80"/>
      <c r="X12" s="80"/>
      <c r="Y12" s="80"/>
      <c r="Z12" s="80"/>
      <c r="AA12" s="80"/>
      <c r="AC12" t="s">
        <v>2154</v>
      </c>
    </row>
    <row r="13" spans="1:29" ht="48">
      <c r="A13" s="33"/>
      <c r="B13" s="34" t="s">
        <v>2119</v>
      </c>
      <c r="C13" s="34">
        <v>29</v>
      </c>
      <c r="D13" s="35" t="s">
        <v>2118</v>
      </c>
      <c r="E13" s="35" t="s">
        <v>2151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2137</v>
      </c>
      <c r="V13" s="79" t="s">
        <v>2127</v>
      </c>
      <c r="W13" s="79">
        <v>180</v>
      </c>
      <c r="X13" s="79">
        <v>7</v>
      </c>
      <c r="Y13" s="79"/>
      <c r="Z13" s="79" t="s">
        <v>2155</v>
      </c>
      <c r="AA13" s="79">
        <v>2</v>
      </c>
      <c r="AC13" t="s">
        <v>2156</v>
      </c>
    </row>
    <row r="14" spans="1:29" ht="15">
      <c r="A14" s="33"/>
      <c r="B14" s="34" t="s">
        <v>2119</v>
      </c>
      <c r="C14" s="34">
        <v>29</v>
      </c>
      <c r="D14" s="35" t="s">
        <v>2118</v>
      </c>
      <c r="E14" s="35" t="s">
        <v>2151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2126</v>
      </c>
      <c r="V14" s="80" t="s">
        <v>2149</v>
      </c>
      <c r="W14" s="80"/>
      <c r="X14" s="80"/>
      <c r="Y14" s="80"/>
      <c r="Z14" s="80"/>
      <c r="AA14" s="80"/>
      <c r="AC14" t="s">
        <v>2157</v>
      </c>
    </row>
    <row r="15" spans="1:29" ht="24">
      <c r="A15" s="33">
        <v>46217</v>
      </c>
      <c r="B15" s="34" t="s">
        <v>2158</v>
      </c>
      <c r="C15" s="34">
        <v>29</v>
      </c>
      <c r="D15" s="35" t="s">
        <v>2118</v>
      </c>
      <c r="E15" s="35" t="s">
        <v>2120</v>
      </c>
      <c r="F15" s="35"/>
      <c r="G15" s="35" t="s">
        <v>2159</v>
      </c>
      <c r="H15" s="36"/>
      <c r="I15" s="36"/>
      <c r="J15" s="37"/>
      <c r="K15" s="23" t="s">
        <v>2160</v>
      </c>
      <c r="L15" s="23" t="s">
        <v>192</v>
      </c>
      <c r="M15" s="23"/>
      <c r="N15" s="24"/>
      <c r="O15" s="24"/>
      <c r="P15" s="24"/>
      <c r="Q15" s="24"/>
      <c r="R15" s="24"/>
      <c r="S15" s="24"/>
      <c r="T15" s="81"/>
      <c r="U15" s="79"/>
      <c r="V15" s="79"/>
      <c r="W15" s="79"/>
      <c r="X15" s="79"/>
      <c r="Y15" s="79"/>
      <c r="Z15" s="79"/>
      <c r="AA15" s="79"/>
      <c r="AC15" t="s">
        <v>2161</v>
      </c>
    </row>
    <row r="16" spans="1:29" ht="15">
      <c r="A16" s="33"/>
      <c r="B16" s="34" t="s">
        <v>2158</v>
      </c>
      <c r="C16" s="34">
        <v>29</v>
      </c>
      <c r="D16" s="35" t="s">
        <v>2118</v>
      </c>
      <c r="E16" s="35" t="s">
        <v>2120</v>
      </c>
      <c r="F16" s="35" t="s">
        <v>632</v>
      </c>
      <c r="G16" s="35" t="s">
        <v>2162</v>
      </c>
      <c r="H16" s="36">
        <v>100</v>
      </c>
      <c r="I16" s="36"/>
      <c r="J16" s="37"/>
      <c r="K16" s="23" t="s">
        <v>635</v>
      </c>
      <c r="L16" s="23" t="s">
        <v>134</v>
      </c>
      <c r="M16" s="23"/>
      <c r="N16" s="24">
        <v>77</v>
      </c>
      <c r="O16" s="24">
        <v>0.1</v>
      </c>
      <c r="P16" s="24">
        <v>0</v>
      </c>
      <c r="Q16" s="24">
        <v>20</v>
      </c>
      <c r="R16" s="24">
        <v>1.7</v>
      </c>
      <c r="S16" s="24">
        <v>0</v>
      </c>
      <c r="T16" s="82">
        <v>1</v>
      </c>
      <c r="U16" s="80" t="s">
        <v>2126</v>
      </c>
      <c r="V16" s="80" t="s">
        <v>2127</v>
      </c>
      <c r="W16" s="80">
        <v>200</v>
      </c>
      <c r="X16" s="80">
        <v>15</v>
      </c>
      <c r="Y16" s="80">
        <v>75</v>
      </c>
      <c r="Z16" s="80" t="s">
        <v>2138</v>
      </c>
      <c r="AA16" s="80"/>
      <c r="AC16" t="s">
        <v>2163</v>
      </c>
    </row>
    <row r="17" spans="1:29" ht="24">
      <c r="A17" s="33"/>
      <c r="B17" s="34" t="s">
        <v>2158</v>
      </c>
      <c r="C17" s="34">
        <v>29</v>
      </c>
      <c r="D17" s="35" t="s">
        <v>2118</v>
      </c>
      <c r="E17" s="35" t="s">
        <v>2120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2137</v>
      </c>
      <c r="V17" s="79" t="s">
        <v>2127</v>
      </c>
      <c r="W17" s="79">
        <v>200</v>
      </c>
      <c r="X17" s="79">
        <v>18</v>
      </c>
      <c r="Y17" s="79">
        <v>75</v>
      </c>
      <c r="Z17" s="79" t="s">
        <v>2155</v>
      </c>
      <c r="AA17" s="79">
        <v>3</v>
      </c>
      <c r="AC17" t="s">
        <v>2164</v>
      </c>
    </row>
    <row r="18" spans="1:29" ht="36">
      <c r="A18" s="33"/>
      <c r="B18" s="34" t="s">
        <v>2158</v>
      </c>
      <c r="C18" s="34">
        <v>29</v>
      </c>
      <c r="D18" s="35" t="s">
        <v>2118</v>
      </c>
      <c r="E18" s="35" t="s">
        <v>2134</v>
      </c>
      <c r="F18" s="35"/>
      <c r="G18" s="35" t="s">
        <v>2165</v>
      </c>
      <c r="H18" s="36"/>
      <c r="I18" s="36"/>
      <c r="J18" s="37"/>
      <c r="K18" s="23" t="s">
        <v>154</v>
      </c>
      <c r="L18" s="23" t="s">
        <v>155</v>
      </c>
      <c r="M18" s="23"/>
      <c r="N18" s="24"/>
      <c r="O18" s="24"/>
      <c r="P18" s="24"/>
      <c r="Q18" s="24"/>
      <c r="R18" s="24"/>
      <c r="S18" s="24"/>
      <c r="T18" s="82"/>
      <c r="U18" s="80"/>
      <c r="V18" s="80"/>
      <c r="W18" s="80"/>
      <c r="X18" s="80"/>
      <c r="Y18" s="80"/>
      <c r="Z18" s="80"/>
      <c r="AA18" s="80"/>
      <c r="AC18" t="s">
        <v>2166</v>
      </c>
    </row>
    <row r="19" spans="1:29" ht="36">
      <c r="A19" s="33"/>
      <c r="B19" s="34" t="s">
        <v>2158</v>
      </c>
      <c r="C19" s="34">
        <v>29</v>
      </c>
      <c r="D19" s="35" t="s">
        <v>2118</v>
      </c>
      <c r="E19" s="35" t="s">
        <v>2134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2137</v>
      </c>
      <c r="V19" s="79" t="s">
        <v>2127</v>
      </c>
      <c r="W19" s="79">
        <v>200</v>
      </c>
      <c r="X19" s="79">
        <v>14</v>
      </c>
      <c r="Y19" s="79">
        <v>75</v>
      </c>
      <c r="Z19" s="79" t="s">
        <v>2155</v>
      </c>
      <c r="AA19" s="79">
        <v>2</v>
      </c>
      <c r="AC19" t="s">
        <v>2167</v>
      </c>
    </row>
    <row r="20" spans="1:29" ht="15">
      <c r="A20" s="33"/>
      <c r="B20" s="34" t="s">
        <v>2158</v>
      </c>
      <c r="C20" s="34">
        <v>29</v>
      </c>
      <c r="D20" s="35" t="s">
        <v>2118</v>
      </c>
      <c r="E20" s="35" t="s">
        <v>2134</v>
      </c>
      <c r="F20" s="35"/>
      <c r="G20" s="35" t="s">
        <v>2168</v>
      </c>
      <c r="H20" s="36"/>
      <c r="I20" s="36"/>
      <c r="J20" s="37"/>
      <c r="K20" s="23" t="s">
        <v>448</v>
      </c>
      <c r="L20" s="23" t="s">
        <v>120</v>
      </c>
      <c r="M20" s="23"/>
      <c r="N20" s="24"/>
      <c r="O20" s="24"/>
      <c r="P20" s="24"/>
      <c r="Q20" s="24"/>
      <c r="R20" s="24"/>
      <c r="S20" s="24"/>
      <c r="T20" s="81"/>
      <c r="U20" s="80"/>
      <c r="V20" s="80"/>
      <c r="W20" s="80"/>
      <c r="X20" s="80"/>
      <c r="Y20" s="80"/>
      <c r="Z20" s="80"/>
      <c r="AA20" s="80"/>
      <c r="AC20" t="s">
        <v>2169</v>
      </c>
    </row>
    <row r="21" spans="1:29" ht="15">
      <c r="A21" s="33"/>
      <c r="B21" s="34" t="s">
        <v>2158</v>
      </c>
      <c r="C21" s="34">
        <v>29</v>
      </c>
      <c r="D21" s="35" t="s">
        <v>2118</v>
      </c>
      <c r="E21" s="35" t="s">
        <v>2134</v>
      </c>
      <c r="F21" s="35" t="s">
        <v>2170</v>
      </c>
      <c r="G21" s="35" t="s">
        <v>2171</v>
      </c>
      <c r="H21" s="36">
        <v>130</v>
      </c>
      <c r="I21" s="36"/>
      <c r="J21" s="37"/>
      <c r="K21" s="23" t="s">
        <v>2172</v>
      </c>
      <c r="L21" s="23"/>
      <c r="M21" s="23"/>
      <c r="N21" s="24"/>
      <c r="O21" s="24"/>
      <c r="P21" s="24"/>
      <c r="Q21" s="24"/>
      <c r="R21" s="24"/>
      <c r="S21" s="24"/>
      <c r="T21" s="81"/>
      <c r="U21" s="79"/>
      <c r="V21" s="79"/>
      <c r="W21" s="79"/>
      <c r="X21" s="79"/>
      <c r="Y21" s="79"/>
      <c r="Z21" s="79"/>
      <c r="AA21" s="79"/>
      <c r="AC21" t="s">
        <v>2173</v>
      </c>
    </row>
    <row r="22" spans="1:29" ht="15">
      <c r="A22" s="33"/>
      <c r="B22" s="34" t="s">
        <v>2158</v>
      </c>
      <c r="C22" s="34">
        <v>29</v>
      </c>
      <c r="D22" s="35" t="s">
        <v>2118</v>
      </c>
      <c r="E22" s="35" t="s">
        <v>2124</v>
      </c>
      <c r="F22" s="35" t="s">
        <v>444</v>
      </c>
      <c r="G22" s="35" t="s">
        <v>2174</v>
      </c>
      <c r="H22" s="36">
        <v>10</v>
      </c>
      <c r="I22" s="36"/>
      <c r="J22" s="37"/>
      <c r="K22" s="23" t="s">
        <v>448</v>
      </c>
      <c r="L22" s="23" t="s">
        <v>120</v>
      </c>
      <c r="M22" s="23"/>
      <c r="N22" s="24">
        <v>73.8</v>
      </c>
      <c r="O22" s="24">
        <v>8.1999999999999993</v>
      </c>
      <c r="P22" s="24">
        <v>4.9000000000000004</v>
      </c>
      <c r="Q22" s="24">
        <v>0</v>
      </c>
      <c r="R22" s="24">
        <v>0.1</v>
      </c>
      <c r="S22" s="24">
        <v>0.1</v>
      </c>
      <c r="T22" s="82">
        <v>3</v>
      </c>
      <c r="U22" s="80" t="s">
        <v>2126</v>
      </c>
      <c r="V22" s="80" t="s">
        <v>2131</v>
      </c>
      <c r="W22" s="80"/>
      <c r="X22" s="80">
        <v>3</v>
      </c>
      <c r="Y22" s="80"/>
      <c r="Z22" s="80" t="s">
        <v>2175</v>
      </c>
      <c r="AA22" s="80"/>
      <c r="AC22" t="s">
        <v>2176</v>
      </c>
    </row>
    <row r="23" spans="1:29" ht="48">
      <c r="A23" s="33"/>
      <c r="B23" s="34" t="s">
        <v>2158</v>
      </c>
      <c r="C23" s="34">
        <v>29</v>
      </c>
      <c r="D23" s="35" t="s">
        <v>2157</v>
      </c>
      <c r="E23" s="35" t="s">
        <v>2120</v>
      </c>
      <c r="F23" s="35"/>
      <c r="G23" s="35" t="s">
        <v>2177</v>
      </c>
      <c r="H23" s="36"/>
      <c r="I23" s="36"/>
      <c r="J23" s="37"/>
      <c r="K23" s="23" t="s">
        <v>1531</v>
      </c>
      <c r="L23" s="23" t="s">
        <v>134</v>
      </c>
      <c r="M23" s="23"/>
      <c r="N23" s="24"/>
      <c r="O23" s="24"/>
      <c r="P23" s="24"/>
      <c r="Q23" s="24"/>
      <c r="R23" s="24"/>
      <c r="S23" s="24"/>
      <c r="T23" s="82"/>
      <c r="U23" s="79"/>
      <c r="V23" s="79"/>
      <c r="W23" s="79"/>
      <c r="X23" s="79"/>
      <c r="Y23" s="79"/>
      <c r="Z23" s="79"/>
      <c r="AA23" s="79"/>
      <c r="AC23" t="s">
        <v>2178</v>
      </c>
    </row>
    <row r="24" spans="1:29" ht="48">
      <c r="A24" s="33"/>
      <c r="B24" s="34" t="s">
        <v>2158</v>
      </c>
      <c r="C24" s="34">
        <v>29</v>
      </c>
      <c r="D24" s="35" t="s">
        <v>2157</v>
      </c>
      <c r="E24" s="35" t="s">
        <v>2120</v>
      </c>
      <c r="F24" s="35" t="s">
        <v>990</v>
      </c>
      <c r="G24" s="35" t="s">
        <v>2179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2158</v>
      </c>
      <c r="C25" s="34">
        <v>29</v>
      </c>
      <c r="D25" s="35" t="s">
        <v>2118</v>
      </c>
      <c r="E25" s="35" t="s">
        <v>2140</v>
      </c>
      <c r="F25" s="35"/>
      <c r="G25" s="35" t="s">
        <v>2180</v>
      </c>
      <c r="H25" s="36"/>
      <c r="I25" s="36"/>
      <c r="J25" s="37"/>
      <c r="K25" s="23" t="s">
        <v>2181</v>
      </c>
      <c r="L25" s="23" t="s">
        <v>2182</v>
      </c>
      <c r="M25" s="23"/>
      <c r="N25" s="24"/>
      <c r="O25" s="24"/>
      <c r="P25" s="24"/>
      <c r="Q25" s="24"/>
      <c r="R25" s="24"/>
      <c r="S25" s="24"/>
      <c r="T25" s="81"/>
      <c r="U25" s="79"/>
      <c r="V25" s="79"/>
      <c r="W25" s="79"/>
      <c r="X25" s="79"/>
      <c r="Y25" s="79"/>
      <c r="Z25" s="79"/>
      <c r="AA25" s="79"/>
    </row>
    <row r="26" spans="1:29" ht="15">
      <c r="A26" s="33"/>
      <c r="B26" s="34" t="s">
        <v>2158</v>
      </c>
      <c r="C26" s="34">
        <v>29</v>
      </c>
      <c r="D26" s="35" t="s">
        <v>2118</v>
      </c>
      <c r="E26" s="35" t="s">
        <v>2140</v>
      </c>
      <c r="F26" s="35" t="s">
        <v>632</v>
      </c>
      <c r="G26" s="35" t="s">
        <v>2162</v>
      </c>
      <c r="H26" s="36">
        <v>100</v>
      </c>
      <c r="I26" s="36"/>
      <c r="J26" s="37"/>
      <c r="K26" s="23" t="s">
        <v>635</v>
      </c>
      <c r="L26" s="23" t="s">
        <v>134</v>
      </c>
      <c r="M26" s="23"/>
      <c r="N26" s="24">
        <v>77</v>
      </c>
      <c r="O26" s="24">
        <v>0.1</v>
      </c>
      <c r="P26" s="24">
        <v>0</v>
      </c>
      <c r="Q26" s="24">
        <v>20</v>
      </c>
      <c r="R26" s="24">
        <v>1.7</v>
      </c>
      <c r="S26" s="24">
        <v>0</v>
      </c>
      <c r="T26" s="82">
        <v>1</v>
      </c>
      <c r="U26" s="80" t="s">
        <v>2126</v>
      </c>
      <c r="V26" s="80" t="s">
        <v>2127</v>
      </c>
      <c r="W26" s="80">
        <v>200</v>
      </c>
      <c r="X26" s="80">
        <v>15</v>
      </c>
      <c r="Y26" s="80">
        <v>75</v>
      </c>
      <c r="Z26" s="80"/>
      <c r="AA26" s="80"/>
    </row>
    <row r="27" spans="1:29" ht="60">
      <c r="A27" s="33"/>
      <c r="B27" s="34" t="s">
        <v>2158</v>
      </c>
      <c r="C27" s="34">
        <v>29</v>
      </c>
      <c r="D27" s="35" t="s">
        <v>2118</v>
      </c>
      <c r="E27" s="35" t="s">
        <v>2140</v>
      </c>
      <c r="F27" s="35" t="s">
        <v>399</v>
      </c>
      <c r="G27" s="35" t="s">
        <v>2183</v>
      </c>
      <c r="H27" s="36">
        <v>140</v>
      </c>
      <c r="I27" s="36"/>
      <c r="J27" s="37"/>
      <c r="K27" s="23" t="s">
        <v>403</v>
      </c>
      <c r="L27" s="23" t="s">
        <v>404</v>
      </c>
      <c r="M27" s="23"/>
      <c r="N27" s="24">
        <v>296.8</v>
      </c>
      <c r="O27" s="24">
        <v>16</v>
      </c>
      <c r="P27" s="24">
        <v>1.8</v>
      </c>
      <c r="Q27" s="24">
        <v>30.4</v>
      </c>
      <c r="R27" s="24">
        <v>6.3</v>
      </c>
      <c r="S27" s="24">
        <v>1.4</v>
      </c>
      <c r="T27" s="81">
        <v>2</v>
      </c>
      <c r="U27" s="79" t="s">
        <v>2137</v>
      </c>
      <c r="V27" s="79" t="s">
        <v>2127</v>
      </c>
      <c r="W27" s="79">
        <v>200</v>
      </c>
      <c r="X27" s="79">
        <v>14</v>
      </c>
      <c r="Y27" s="79">
        <v>75</v>
      </c>
      <c r="Z27" s="79" t="s">
        <v>2155</v>
      </c>
      <c r="AA27" s="79">
        <v>2</v>
      </c>
    </row>
    <row r="28" spans="1:29" ht="48">
      <c r="A28" s="33"/>
      <c r="B28" s="34" t="s">
        <v>2158</v>
      </c>
      <c r="C28" s="34">
        <v>29</v>
      </c>
      <c r="D28" s="35" t="s">
        <v>2118</v>
      </c>
      <c r="E28" s="35" t="s">
        <v>2124</v>
      </c>
      <c r="F28" s="35" t="s">
        <v>275</v>
      </c>
      <c r="G28" s="35" t="s">
        <v>2184</v>
      </c>
      <c r="H28" s="36">
        <v>20</v>
      </c>
      <c r="I28" s="36"/>
      <c r="J28" s="37"/>
      <c r="K28" s="23" t="s">
        <v>279</v>
      </c>
      <c r="L28" s="23" t="s">
        <v>148</v>
      </c>
      <c r="M28" s="23"/>
      <c r="N28" s="24">
        <v>103.8</v>
      </c>
      <c r="O28" s="24">
        <v>11.2</v>
      </c>
      <c r="P28" s="24">
        <v>0.7</v>
      </c>
      <c r="Q28" s="24">
        <v>1.2</v>
      </c>
      <c r="R28" s="24"/>
      <c r="S28" s="24">
        <v>0.2</v>
      </c>
      <c r="T28" s="82">
        <v>3</v>
      </c>
      <c r="U28" s="80" t="s">
        <v>2126</v>
      </c>
      <c r="V28" s="80" t="s">
        <v>2149</v>
      </c>
      <c r="W28" s="80"/>
      <c r="X28" s="80"/>
      <c r="Y28" s="80"/>
      <c r="Z28" s="80"/>
      <c r="AA28" s="80"/>
    </row>
    <row r="29" spans="1:29" ht="15">
      <c r="A29" s="33"/>
      <c r="B29" s="34" t="s">
        <v>2158</v>
      </c>
      <c r="C29" s="34">
        <v>29</v>
      </c>
      <c r="D29" s="35" t="s">
        <v>2118</v>
      </c>
      <c r="E29" s="35" t="s">
        <v>2147</v>
      </c>
      <c r="F29" s="35"/>
      <c r="G29" s="35" t="s">
        <v>2185</v>
      </c>
      <c r="H29" s="36"/>
      <c r="I29" s="36"/>
      <c r="J29" s="37"/>
      <c r="K29" s="23" t="s">
        <v>962</v>
      </c>
      <c r="L29" s="23" t="s">
        <v>537</v>
      </c>
      <c r="M29" s="23"/>
      <c r="N29" s="24"/>
      <c r="O29" s="24"/>
      <c r="P29" s="24"/>
      <c r="Q29" s="24"/>
      <c r="R29" s="24"/>
      <c r="S29" s="24"/>
      <c r="T29" s="81"/>
      <c r="U29" s="79"/>
      <c r="V29" s="79" t="s">
        <v>2149</v>
      </c>
      <c r="W29" s="79"/>
      <c r="X29" s="79"/>
      <c r="Y29" s="79"/>
      <c r="Z29" s="79"/>
      <c r="AA29" s="79"/>
    </row>
    <row r="30" spans="1:29" ht="15">
      <c r="A30" s="33"/>
      <c r="B30" s="34" t="s">
        <v>2158</v>
      </c>
      <c r="C30" s="34">
        <v>29</v>
      </c>
      <c r="D30" s="35" t="s">
        <v>2118</v>
      </c>
      <c r="E30" s="35" t="s">
        <v>2147</v>
      </c>
      <c r="F30" s="35" t="s">
        <v>961</v>
      </c>
      <c r="G30" s="35" t="s">
        <v>961</v>
      </c>
      <c r="H30" s="36">
        <v>20</v>
      </c>
      <c r="I30" s="36"/>
      <c r="J30" s="37"/>
      <c r="K30" s="23" t="s">
        <v>962</v>
      </c>
      <c r="L30" s="23" t="s">
        <v>537</v>
      </c>
      <c r="M30" s="23"/>
      <c r="N30" s="24">
        <v>24.2</v>
      </c>
      <c r="O30" s="24">
        <v>0.1</v>
      </c>
      <c r="P30" s="24">
        <v>0</v>
      </c>
      <c r="Q30" s="24">
        <v>5.6</v>
      </c>
      <c r="R30" s="24">
        <v>0.5</v>
      </c>
      <c r="S30" s="24">
        <v>0</v>
      </c>
      <c r="T30" s="82"/>
      <c r="U30" s="80" t="s">
        <v>2126</v>
      </c>
      <c r="V30" s="80" t="s">
        <v>2149</v>
      </c>
      <c r="W30" s="80"/>
      <c r="X30" s="80"/>
      <c r="Y30" s="80"/>
      <c r="Z30" s="80"/>
      <c r="AA30" s="80"/>
    </row>
    <row r="31" spans="1:29" ht="60">
      <c r="A31" s="33"/>
      <c r="B31" s="34" t="s">
        <v>2158</v>
      </c>
      <c r="C31" s="34">
        <v>29</v>
      </c>
      <c r="D31" s="35" t="s">
        <v>2118</v>
      </c>
      <c r="E31" s="35" t="s">
        <v>2151</v>
      </c>
      <c r="F31" s="35"/>
      <c r="G31" s="35" t="s">
        <v>2186</v>
      </c>
      <c r="H31" s="36"/>
      <c r="I31" s="36"/>
      <c r="J31" s="37"/>
      <c r="K31" s="23" t="s">
        <v>2187</v>
      </c>
      <c r="L31" s="23" t="s">
        <v>38</v>
      </c>
      <c r="M31" s="23"/>
      <c r="N31" s="24"/>
      <c r="O31" s="24"/>
      <c r="P31" s="24"/>
      <c r="Q31" s="24"/>
      <c r="R31" s="24"/>
      <c r="S31" s="24"/>
      <c r="T31" s="81"/>
      <c r="U31" s="79"/>
      <c r="V31" s="79"/>
      <c r="W31" s="79"/>
      <c r="X31" s="79"/>
      <c r="Y31" s="79"/>
      <c r="Z31" s="79"/>
      <c r="AA31" s="79"/>
    </row>
    <row r="32" spans="1:29" ht="36">
      <c r="A32" s="33"/>
      <c r="B32" s="34" t="s">
        <v>2158</v>
      </c>
      <c r="C32" s="34">
        <v>29</v>
      </c>
      <c r="D32" s="35" t="s">
        <v>2118</v>
      </c>
      <c r="E32" s="35" t="s">
        <v>2151</v>
      </c>
      <c r="F32" s="35" t="s">
        <v>940</v>
      </c>
      <c r="G32" s="35" t="s">
        <v>2188</v>
      </c>
      <c r="H32" s="36">
        <v>60</v>
      </c>
      <c r="I32" s="36"/>
      <c r="J32" s="37"/>
      <c r="K32" s="23" t="s">
        <v>943</v>
      </c>
      <c r="L32" s="23" t="s">
        <v>38</v>
      </c>
      <c r="M32" s="23"/>
      <c r="N32" s="24">
        <v>162</v>
      </c>
      <c r="O32" s="24">
        <v>3.1</v>
      </c>
      <c r="P32" s="24">
        <v>0.4</v>
      </c>
      <c r="Q32" s="24">
        <v>24</v>
      </c>
      <c r="R32" s="24">
        <v>7.2</v>
      </c>
      <c r="S32" s="24">
        <v>0.6</v>
      </c>
      <c r="T32" s="82">
        <v>1</v>
      </c>
      <c r="U32" s="80" t="s">
        <v>2189</v>
      </c>
      <c r="V32" s="80" t="s">
        <v>2149</v>
      </c>
      <c r="W32" s="80"/>
      <c r="X32" s="80"/>
      <c r="Y32" s="80"/>
      <c r="Z32" s="80"/>
      <c r="AA32" s="80"/>
    </row>
    <row r="33" spans="1:27" ht="24">
      <c r="A33" s="33"/>
      <c r="B33" s="34" t="s">
        <v>2158</v>
      </c>
      <c r="C33" s="34">
        <v>29</v>
      </c>
      <c r="D33" s="35" t="s">
        <v>2118</v>
      </c>
      <c r="E33" s="35" t="s">
        <v>2151</v>
      </c>
      <c r="F33" s="35" t="s">
        <v>2190</v>
      </c>
      <c r="G33" s="35" t="s">
        <v>428</v>
      </c>
      <c r="H33" s="36">
        <v>20</v>
      </c>
      <c r="I33" s="36"/>
      <c r="J33" s="37"/>
      <c r="K33" s="23" t="s">
        <v>167</v>
      </c>
      <c r="L33" s="23"/>
      <c r="M33" s="23"/>
      <c r="N33" s="24">
        <v>41.2</v>
      </c>
      <c r="O33" s="24">
        <v>2</v>
      </c>
      <c r="P33" s="24">
        <v>0.4</v>
      </c>
      <c r="Q33" s="24">
        <v>0.8</v>
      </c>
      <c r="R33" s="24">
        <v>5</v>
      </c>
      <c r="S33" s="24">
        <v>0.6</v>
      </c>
      <c r="T33" s="81">
        <v>2</v>
      </c>
      <c r="U33" s="79" t="s">
        <v>2126</v>
      </c>
      <c r="V33" s="79" t="s">
        <v>2149</v>
      </c>
      <c r="W33" s="79"/>
      <c r="X33" s="79"/>
      <c r="Y33" s="79"/>
      <c r="Z33" s="79"/>
      <c r="AA33" s="79"/>
    </row>
    <row r="34" spans="1:27" ht="15">
      <c r="A34" s="33">
        <v>46218</v>
      </c>
      <c r="B34" s="34" t="s">
        <v>2191</v>
      </c>
      <c r="C34" s="34">
        <v>29</v>
      </c>
      <c r="D34" s="35" t="s">
        <v>2118</v>
      </c>
      <c r="E34" s="35" t="s">
        <v>2120</v>
      </c>
      <c r="F34" s="35"/>
      <c r="G34" s="35" t="s">
        <v>2192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2191</v>
      </c>
      <c r="C35" s="34">
        <v>29</v>
      </c>
      <c r="D35" s="35" t="s">
        <v>2118</v>
      </c>
      <c r="E35" s="35" t="s">
        <v>2120</v>
      </c>
      <c r="F35" s="35" t="s">
        <v>116</v>
      </c>
      <c r="G35" s="35" t="s">
        <v>2193</v>
      </c>
      <c r="H35" s="36">
        <v>250</v>
      </c>
      <c r="I35" s="36"/>
      <c r="J35" s="37"/>
      <c r="K35" s="23" t="s">
        <v>119</v>
      </c>
      <c r="L35" s="23" t="s">
        <v>120</v>
      </c>
      <c r="M35" s="23"/>
      <c r="N35" s="24">
        <v>227.5</v>
      </c>
      <c r="O35" s="24">
        <v>7.5</v>
      </c>
      <c r="P35" s="24">
        <v>4</v>
      </c>
      <c r="Q35" s="24">
        <v>35</v>
      </c>
      <c r="R35" s="24">
        <v>7.5</v>
      </c>
      <c r="S35" s="24">
        <v>1.3</v>
      </c>
      <c r="T35" s="81">
        <v>1</v>
      </c>
      <c r="U35" s="79" t="s">
        <v>2126</v>
      </c>
      <c r="V35" s="79" t="s">
        <v>2131</v>
      </c>
      <c r="W35" s="79"/>
      <c r="X35" s="79">
        <v>15</v>
      </c>
      <c r="Y35" s="79">
        <v>75</v>
      </c>
      <c r="Z35" s="79" t="s">
        <v>2194</v>
      </c>
      <c r="AA35" s="79"/>
    </row>
    <row r="36" spans="1:27" ht="36">
      <c r="A36" s="33"/>
      <c r="B36" s="34" t="s">
        <v>2191</v>
      </c>
      <c r="C36" s="34">
        <v>29</v>
      </c>
      <c r="D36" s="35" t="s">
        <v>2118</v>
      </c>
      <c r="E36" s="35" t="s">
        <v>2134</v>
      </c>
      <c r="F36" s="35"/>
      <c r="G36" s="35" t="s">
        <v>2195</v>
      </c>
      <c r="H36" s="36"/>
      <c r="I36" s="36"/>
      <c r="J36" s="37"/>
      <c r="K36" s="23" t="s">
        <v>2196</v>
      </c>
      <c r="L36" s="23" t="s">
        <v>184</v>
      </c>
      <c r="M36" s="23"/>
      <c r="N36" s="24"/>
      <c r="O36" s="24"/>
      <c r="P36" s="24"/>
      <c r="Q36" s="24"/>
      <c r="R36" s="24"/>
      <c r="S36" s="24"/>
      <c r="T36" s="81"/>
      <c r="U36" s="80"/>
      <c r="V36" s="80"/>
      <c r="W36" s="80"/>
      <c r="X36" s="80"/>
      <c r="Y36" s="80"/>
      <c r="Z36" s="80"/>
      <c r="AA36" s="80"/>
    </row>
    <row r="37" spans="1:27" ht="36">
      <c r="A37" s="33"/>
      <c r="B37" s="34" t="s">
        <v>2191</v>
      </c>
      <c r="C37" s="34">
        <v>29</v>
      </c>
      <c r="D37" s="35" t="s">
        <v>2118</v>
      </c>
      <c r="E37" s="35" t="s">
        <v>2134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2126</v>
      </c>
      <c r="V37" s="79" t="s">
        <v>2131</v>
      </c>
      <c r="W37" s="79"/>
      <c r="X37" s="79">
        <v>15</v>
      </c>
      <c r="Y37" s="79">
        <v>75</v>
      </c>
      <c r="Z37" s="79" t="s">
        <v>2132</v>
      </c>
      <c r="AA37" s="79"/>
    </row>
    <row r="38" spans="1:27" ht="15">
      <c r="A38" s="33"/>
      <c r="B38" s="34" t="s">
        <v>2191</v>
      </c>
      <c r="C38" s="34">
        <v>29</v>
      </c>
      <c r="D38" s="35" t="s">
        <v>2118</v>
      </c>
      <c r="E38" s="35" t="s">
        <v>2124</v>
      </c>
      <c r="F38" s="35" t="s">
        <v>181</v>
      </c>
      <c r="G38" s="35" t="s">
        <v>2197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2191</v>
      </c>
      <c r="C39" s="34">
        <v>29</v>
      </c>
      <c r="D39" s="35" t="s">
        <v>2118</v>
      </c>
      <c r="E39" s="35" t="s">
        <v>2140</v>
      </c>
      <c r="F39" s="35"/>
      <c r="G39" s="35" t="s">
        <v>2198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2191</v>
      </c>
      <c r="C40" s="34">
        <v>29</v>
      </c>
      <c r="D40" s="35" t="s">
        <v>2118</v>
      </c>
      <c r="E40" s="35" t="s">
        <v>2140</v>
      </c>
      <c r="F40" s="35" t="s">
        <v>241</v>
      </c>
      <c r="G40" s="35" t="s">
        <v>2198</v>
      </c>
      <c r="H40" s="36">
        <v>250</v>
      </c>
      <c r="I40" s="36"/>
      <c r="J40" s="37"/>
      <c r="K40" s="23" t="s">
        <v>244</v>
      </c>
      <c r="L40" s="23" t="s">
        <v>134</v>
      </c>
      <c r="M40" s="23"/>
      <c r="N40" s="24">
        <v>185</v>
      </c>
      <c r="O40" s="24">
        <v>4</v>
      </c>
      <c r="P40" s="24">
        <v>0.8</v>
      </c>
      <c r="Q40" s="24">
        <v>32.5</v>
      </c>
      <c r="R40" s="24">
        <v>4.5</v>
      </c>
      <c r="S40" s="24">
        <v>1</v>
      </c>
      <c r="T40" s="82">
        <v>1</v>
      </c>
      <c r="U40" s="80" t="s">
        <v>2126</v>
      </c>
      <c r="V40" s="80" t="s">
        <v>2131</v>
      </c>
      <c r="W40" s="80"/>
      <c r="X40" s="80">
        <v>15</v>
      </c>
      <c r="Y40" s="80">
        <v>75</v>
      </c>
      <c r="Z40" s="80" t="s">
        <v>2132</v>
      </c>
      <c r="AA40" s="80"/>
    </row>
    <row r="41" spans="1:27" ht="48">
      <c r="A41" s="33"/>
      <c r="B41" s="34" t="s">
        <v>2191</v>
      </c>
      <c r="C41" s="34">
        <v>29</v>
      </c>
      <c r="D41" s="35" t="s">
        <v>2118</v>
      </c>
      <c r="E41" s="35" t="s">
        <v>2147</v>
      </c>
      <c r="F41" s="35"/>
      <c r="G41" s="35" t="s">
        <v>2199</v>
      </c>
      <c r="H41" s="36"/>
      <c r="I41" s="36"/>
      <c r="J41" s="37"/>
      <c r="K41" s="23" t="s">
        <v>2200</v>
      </c>
      <c r="L41" s="23" t="s">
        <v>2201</v>
      </c>
      <c r="M41" s="23"/>
      <c r="N41" s="24"/>
      <c r="O41" s="24"/>
      <c r="P41" s="24"/>
      <c r="Q41" s="24"/>
      <c r="R41" s="24"/>
      <c r="S41" s="24"/>
      <c r="T41" s="81"/>
      <c r="U41" s="79"/>
      <c r="V41" s="79" t="s">
        <v>2149</v>
      </c>
      <c r="W41" s="79"/>
      <c r="X41" s="79"/>
      <c r="Y41" s="79"/>
      <c r="Z41" s="79"/>
      <c r="AA41" s="79"/>
    </row>
    <row r="42" spans="1:27" ht="36">
      <c r="A42" s="33"/>
      <c r="B42" s="34" t="s">
        <v>2191</v>
      </c>
      <c r="C42" s="34">
        <v>29</v>
      </c>
      <c r="D42" s="35" t="s">
        <v>2118</v>
      </c>
      <c r="E42" s="35" t="s">
        <v>2147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2189</v>
      </c>
      <c r="V42" s="80" t="s">
        <v>2149</v>
      </c>
      <c r="W42" s="80"/>
      <c r="X42" s="80"/>
      <c r="Y42" s="80"/>
      <c r="Z42" s="80"/>
      <c r="AA42" s="80"/>
    </row>
    <row r="43" spans="1:27" ht="15">
      <c r="A43" s="33"/>
      <c r="B43" s="34" t="s">
        <v>2191</v>
      </c>
      <c r="C43" s="34">
        <v>29</v>
      </c>
      <c r="D43" s="35" t="s">
        <v>2118</v>
      </c>
      <c r="E43" s="35" t="s">
        <v>2147</v>
      </c>
      <c r="F43" s="35" t="s">
        <v>451</v>
      </c>
      <c r="G43" s="35" t="s">
        <v>452</v>
      </c>
      <c r="H43" s="36">
        <v>5</v>
      </c>
      <c r="I43" s="36"/>
      <c r="J43" s="37"/>
      <c r="K43" s="23" t="s">
        <v>453</v>
      </c>
      <c r="L43" s="23" t="s">
        <v>120</v>
      </c>
      <c r="M43" s="23"/>
      <c r="N43" s="24">
        <v>35.1</v>
      </c>
      <c r="O43" s="24">
        <v>3.9</v>
      </c>
      <c r="P43" s="24">
        <v>1.9</v>
      </c>
      <c r="Q43" s="24">
        <v>0</v>
      </c>
      <c r="R43" s="24">
        <v>0</v>
      </c>
      <c r="S43" s="24">
        <v>0.1</v>
      </c>
      <c r="T43" s="81"/>
      <c r="U43" s="79" t="s">
        <v>2126</v>
      </c>
      <c r="V43" s="79" t="s">
        <v>2149</v>
      </c>
      <c r="W43" s="79"/>
      <c r="X43" s="79"/>
      <c r="Y43" s="79"/>
      <c r="Z43" s="79"/>
      <c r="AA43" s="79"/>
    </row>
    <row r="44" spans="1:27" ht="15">
      <c r="A44" s="33"/>
      <c r="B44" s="34" t="s">
        <v>2191</v>
      </c>
      <c r="C44" s="34">
        <v>29</v>
      </c>
      <c r="D44" s="35" t="s">
        <v>2118</v>
      </c>
      <c r="E44" s="35" t="s">
        <v>2147</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2126</v>
      </c>
      <c r="V44" s="80" t="s">
        <v>2149</v>
      </c>
      <c r="W44" s="80"/>
      <c r="X44" s="80"/>
      <c r="Y44" s="80"/>
      <c r="Z44" s="80"/>
      <c r="AA44" s="80"/>
    </row>
    <row r="45" spans="1:27" ht="15">
      <c r="A45" s="33"/>
      <c r="B45" s="34" t="s">
        <v>2191</v>
      </c>
      <c r="C45" s="34">
        <v>29</v>
      </c>
      <c r="D45" s="35" t="s">
        <v>2118</v>
      </c>
      <c r="E45" s="35" t="s">
        <v>2134</v>
      </c>
      <c r="F45" s="35"/>
      <c r="G45" s="35" t="s">
        <v>2202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2191</v>
      </c>
      <c r="C46" s="34">
        <v>29</v>
      </c>
      <c r="D46" s="35" t="s">
        <v>2118</v>
      </c>
      <c r="E46" s="35" t="s">
        <v>2134</v>
      </c>
      <c r="F46" s="35" t="s">
        <v>2203</v>
      </c>
      <c r="G46" s="35" t="s">
        <v>2204</v>
      </c>
      <c r="H46" s="36"/>
      <c r="I46" s="36"/>
      <c r="J46" s="37"/>
      <c r="K46" s="23" t="s">
        <v>2172</v>
      </c>
      <c r="L46" s="23"/>
      <c r="M46" s="23"/>
      <c r="N46" s="24"/>
      <c r="O46" s="24"/>
      <c r="P46" s="24"/>
      <c r="Q46" s="24"/>
      <c r="R46" s="24"/>
      <c r="S46" s="24"/>
      <c r="T46" s="82"/>
      <c r="U46" s="80"/>
      <c r="V46" s="80"/>
      <c r="W46" s="80"/>
      <c r="X46" s="80"/>
      <c r="Y46" s="80"/>
      <c r="Z46" s="80"/>
      <c r="AA46" s="80"/>
    </row>
    <row r="47" spans="1:27" ht="24">
      <c r="A47" s="33"/>
      <c r="B47" s="34" t="s">
        <v>2191</v>
      </c>
      <c r="C47" s="34">
        <v>29</v>
      </c>
      <c r="D47" s="35" t="s">
        <v>2118</v>
      </c>
      <c r="E47" s="35" t="s">
        <v>2151</v>
      </c>
      <c r="F47" s="35"/>
      <c r="G47" s="35" t="s">
        <v>2205</v>
      </c>
      <c r="H47" s="36"/>
      <c r="I47" s="36"/>
      <c r="J47" s="37"/>
      <c r="K47" s="23" t="s">
        <v>45</v>
      </c>
      <c r="L47" s="23" t="s">
        <v>46</v>
      </c>
      <c r="M47" s="23"/>
      <c r="N47" s="24"/>
      <c r="O47" s="24"/>
      <c r="P47" s="24"/>
      <c r="Q47" s="24"/>
      <c r="R47" s="24"/>
      <c r="S47" s="24"/>
      <c r="T47" s="81"/>
      <c r="U47" s="79"/>
      <c r="V47" s="79" t="s">
        <v>2149</v>
      </c>
      <c r="W47" s="79"/>
      <c r="X47" s="79"/>
      <c r="Y47" s="79"/>
      <c r="Z47" s="79"/>
      <c r="AA47" s="79"/>
    </row>
    <row r="48" spans="1:27" ht="24">
      <c r="A48" s="33"/>
      <c r="B48" s="34" t="s">
        <v>2191</v>
      </c>
      <c r="C48" s="34">
        <v>29</v>
      </c>
      <c r="D48" s="35" t="s">
        <v>2118</v>
      </c>
      <c r="E48" s="35" t="s">
        <v>2151</v>
      </c>
      <c r="F48" s="35" t="s">
        <v>42</v>
      </c>
      <c r="G48" s="35" t="s">
        <v>2206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2191</v>
      </c>
      <c r="C49" s="34">
        <v>29</v>
      </c>
      <c r="D49" s="35" t="s">
        <v>2118</v>
      </c>
      <c r="E49" s="35" t="s">
        <v>2134</v>
      </c>
      <c r="F49" s="35"/>
      <c r="G49" s="35" t="s">
        <v>2207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2191</v>
      </c>
      <c r="C50" s="34">
        <v>29</v>
      </c>
      <c r="D50" s="35" t="s">
        <v>2118</v>
      </c>
      <c r="E50" s="35" t="s">
        <v>2134</v>
      </c>
      <c r="F50" s="35" t="s">
        <v>727</v>
      </c>
      <c r="G50" s="35" t="s">
        <v>2208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2209</v>
      </c>
      <c r="C51" s="34">
        <v>29</v>
      </c>
      <c r="D51" s="35" t="s">
        <v>2118</v>
      </c>
      <c r="E51" s="35" t="s">
        <v>2120</v>
      </c>
      <c r="F51" s="35"/>
      <c r="G51" s="35" t="s">
        <v>2210</v>
      </c>
      <c r="H51" s="36"/>
      <c r="I51" s="36"/>
      <c r="J51" s="37"/>
      <c r="K51" s="23" t="s">
        <v>2211</v>
      </c>
      <c r="L51" s="23" t="s">
        <v>2212</v>
      </c>
      <c r="M51" s="23"/>
      <c r="N51" s="24"/>
      <c r="O51" s="24"/>
      <c r="P51" s="24"/>
      <c r="Q51" s="24"/>
      <c r="R51" s="24"/>
      <c r="S51" s="24"/>
      <c r="T51" s="82"/>
      <c r="U51" s="79"/>
      <c r="V51" s="79"/>
      <c r="W51" s="79"/>
      <c r="X51" s="79"/>
      <c r="Y51" s="79"/>
      <c r="Z51" s="79"/>
      <c r="AA51" s="79"/>
    </row>
    <row r="52" spans="1:27" ht="15">
      <c r="A52" s="33"/>
      <c r="B52" s="34" t="s">
        <v>2209</v>
      </c>
      <c r="C52" s="34">
        <v>29</v>
      </c>
      <c r="D52" s="35" t="s">
        <v>2118</v>
      </c>
      <c r="E52" s="35" t="s">
        <v>2120</v>
      </c>
      <c r="F52" s="35" t="s">
        <v>632</v>
      </c>
      <c r="G52" s="35" t="s">
        <v>2162</v>
      </c>
      <c r="H52" s="36">
        <v>100</v>
      </c>
      <c r="I52" s="36"/>
      <c r="J52" s="37"/>
      <c r="K52" s="23" t="s">
        <v>635</v>
      </c>
      <c r="L52" s="23" t="s">
        <v>134</v>
      </c>
      <c r="M52" s="23"/>
      <c r="N52" s="24">
        <v>77</v>
      </c>
      <c r="O52" s="24">
        <v>0.1</v>
      </c>
      <c r="P52" s="24">
        <v>0</v>
      </c>
      <c r="Q52" s="24">
        <v>20</v>
      </c>
      <c r="R52" s="24">
        <v>1.7</v>
      </c>
      <c r="S52" s="24">
        <v>0</v>
      </c>
      <c r="T52" s="81">
        <v>1</v>
      </c>
      <c r="U52" s="80" t="s">
        <v>2126</v>
      </c>
      <c r="V52" s="80" t="s">
        <v>2127</v>
      </c>
      <c r="W52" s="80">
        <v>200</v>
      </c>
      <c r="X52" s="80">
        <v>15</v>
      </c>
      <c r="Y52" s="80">
        <v>75</v>
      </c>
      <c r="Z52" s="80"/>
      <c r="AA52" s="80"/>
    </row>
    <row r="53" spans="1:27" ht="24">
      <c r="A53" s="33"/>
      <c r="B53" s="34" t="s">
        <v>2209</v>
      </c>
      <c r="C53" s="34">
        <v>29</v>
      </c>
      <c r="D53" s="35" t="s">
        <v>2118</v>
      </c>
      <c r="E53" s="35" t="s">
        <v>2120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2137</v>
      </c>
      <c r="V53" s="79" t="s">
        <v>2127</v>
      </c>
      <c r="W53" s="79">
        <v>200</v>
      </c>
      <c r="X53" s="79">
        <v>15</v>
      </c>
      <c r="Y53" s="79">
        <v>75</v>
      </c>
      <c r="Z53" s="79" t="s">
        <v>2155</v>
      </c>
      <c r="AA53" s="79">
        <v>2</v>
      </c>
    </row>
    <row r="54" spans="1:27" ht="60">
      <c r="A54" s="33"/>
      <c r="B54" s="34" t="s">
        <v>2209</v>
      </c>
      <c r="C54" s="34">
        <v>29</v>
      </c>
      <c r="D54" s="35" t="s">
        <v>2118</v>
      </c>
      <c r="E54" s="35" t="s">
        <v>2120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2126</v>
      </c>
      <c r="V54" s="80" t="s">
        <v>2131</v>
      </c>
      <c r="W54" s="80"/>
      <c r="X54" s="80">
        <v>10</v>
      </c>
      <c r="Y54" s="80">
        <v>75</v>
      </c>
      <c r="Z54" s="80" t="s">
        <v>2213</v>
      </c>
      <c r="AA54" s="80"/>
    </row>
    <row r="55" spans="1:27" ht="36">
      <c r="A55" s="33"/>
      <c r="B55" s="34" t="s">
        <v>2209</v>
      </c>
      <c r="C55" s="34">
        <v>29</v>
      </c>
      <c r="D55" s="35" t="s">
        <v>2118</v>
      </c>
      <c r="E55" s="35" t="s">
        <v>2134</v>
      </c>
      <c r="F55" s="35"/>
      <c r="G55" s="35" t="s">
        <v>2165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2209</v>
      </c>
      <c r="C56" s="34">
        <v>29</v>
      </c>
      <c r="D56" s="35" t="s">
        <v>2118</v>
      </c>
      <c r="E56" s="35" t="s">
        <v>2134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2137</v>
      </c>
      <c r="V56" s="80" t="s">
        <v>2127</v>
      </c>
      <c r="W56" s="80">
        <v>200</v>
      </c>
      <c r="X56" s="80">
        <v>14</v>
      </c>
      <c r="Y56" s="80">
        <v>75</v>
      </c>
      <c r="Z56" s="80" t="s">
        <v>2155</v>
      </c>
      <c r="AA56" s="80">
        <v>2</v>
      </c>
    </row>
    <row r="57" spans="1:27" ht="84">
      <c r="A57" s="33"/>
      <c r="B57" s="34" t="s">
        <v>2209</v>
      </c>
      <c r="C57" s="34">
        <v>29</v>
      </c>
      <c r="D57" s="35" t="s">
        <v>2118</v>
      </c>
      <c r="E57" s="35" t="s">
        <v>2140</v>
      </c>
      <c r="F57" s="35"/>
      <c r="G57" s="35" t="s">
        <v>2214</v>
      </c>
      <c r="H57" s="36"/>
      <c r="I57" s="36"/>
      <c r="J57" s="37"/>
      <c r="K57" s="23" t="s">
        <v>2215</v>
      </c>
      <c r="L57" s="23" t="s">
        <v>2216</v>
      </c>
      <c r="M57" s="23"/>
      <c r="N57" s="24"/>
      <c r="O57" s="24"/>
      <c r="P57" s="24"/>
      <c r="Q57" s="24"/>
      <c r="R57" s="24"/>
      <c r="S57" s="24"/>
      <c r="T57" s="82"/>
      <c r="U57" s="79"/>
      <c r="V57" s="79"/>
      <c r="W57" s="79"/>
      <c r="X57" s="79"/>
      <c r="Y57" s="79"/>
      <c r="Z57" s="79"/>
      <c r="AA57" s="79"/>
    </row>
    <row r="58" spans="1:27" ht="15">
      <c r="A58" s="33"/>
      <c r="B58" s="34" t="s">
        <v>2209</v>
      </c>
      <c r="C58" s="34">
        <v>29</v>
      </c>
      <c r="D58" s="35" t="s">
        <v>2118</v>
      </c>
      <c r="E58" s="35" t="s">
        <v>2140</v>
      </c>
      <c r="F58" s="35" t="s">
        <v>632</v>
      </c>
      <c r="G58" s="35" t="s">
        <v>2162</v>
      </c>
      <c r="H58" s="36">
        <v>100</v>
      </c>
      <c r="I58" s="36"/>
      <c r="J58" s="37"/>
      <c r="K58" s="23" t="s">
        <v>635</v>
      </c>
      <c r="L58" s="23" t="s">
        <v>134</v>
      </c>
      <c r="M58" s="23"/>
      <c r="N58" s="24">
        <v>77</v>
      </c>
      <c r="O58" s="24">
        <v>0.1</v>
      </c>
      <c r="P58" s="24">
        <v>0</v>
      </c>
      <c r="Q58" s="24">
        <v>20</v>
      </c>
      <c r="R58" s="24">
        <v>1.7</v>
      </c>
      <c r="S58" s="24">
        <v>0</v>
      </c>
      <c r="T58" s="81">
        <v>1</v>
      </c>
      <c r="U58" s="80" t="s">
        <v>2126</v>
      </c>
      <c r="V58" s="80" t="s">
        <v>2127</v>
      </c>
      <c r="W58" s="80">
        <v>200</v>
      </c>
      <c r="X58" s="80">
        <v>15</v>
      </c>
      <c r="Y58" s="80">
        <v>75</v>
      </c>
      <c r="Z58" s="80"/>
      <c r="AA58" s="80"/>
    </row>
    <row r="59" spans="1:27" ht="24">
      <c r="A59" s="33"/>
      <c r="B59" s="34" t="s">
        <v>2209</v>
      </c>
      <c r="C59" s="34">
        <v>29</v>
      </c>
      <c r="D59" s="35" t="s">
        <v>2118</v>
      </c>
      <c r="E59" s="35" t="s">
        <v>2140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2137</v>
      </c>
      <c r="V59" s="79" t="s">
        <v>2127</v>
      </c>
      <c r="W59" s="79">
        <v>200</v>
      </c>
      <c r="X59" s="79">
        <v>14</v>
      </c>
      <c r="Y59" s="79">
        <v>75</v>
      </c>
      <c r="Z59" s="79" t="s">
        <v>2155</v>
      </c>
      <c r="AA59" s="79">
        <v>2</v>
      </c>
    </row>
    <row r="60" spans="1:27" ht="60">
      <c r="A60" s="33"/>
      <c r="B60" s="34" t="s">
        <v>2209</v>
      </c>
      <c r="C60" s="34">
        <v>29</v>
      </c>
      <c r="D60" s="35" t="s">
        <v>2118</v>
      </c>
      <c r="E60" s="35" t="s">
        <v>2140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2126</v>
      </c>
      <c r="V60" s="80" t="s">
        <v>2131</v>
      </c>
      <c r="W60" s="80"/>
      <c r="X60" s="80">
        <v>10</v>
      </c>
      <c r="Y60" s="80">
        <v>75</v>
      </c>
      <c r="Z60" s="80" t="s">
        <v>2213</v>
      </c>
      <c r="AA60" s="80"/>
    </row>
    <row r="61" spans="1:27" ht="24">
      <c r="A61" s="33"/>
      <c r="B61" s="34" t="s">
        <v>2209</v>
      </c>
      <c r="C61" s="34">
        <v>29</v>
      </c>
      <c r="D61" s="35" t="s">
        <v>2118</v>
      </c>
      <c r="E61" s="35" t="s">
        <v>2147</v>
      </c>
      <c r="F61" s="35"/>
      <c r="G61" s="35" t="s">
        <v>2217</v>
      </c>
      <c r="H61" s="36"/>
      <c r="I61" s="36"/>
      <c r="J61" s="37"/>
      <c r="K61" s="23" t="s">
        <v>629</v>
      </c>
      <c r="L61" s="23" t="s">
        <v>134</v>
      </c>
      <c r="M61" s="23"/>
      <c r="N61" s="24"/>
      <c r="O61" s="24"/>
      <c r="P61" s="24"/>
      <c r="Q61" s="24"/>
      <c r="R61" s="24"/>
      <c r="S61" s="24"/>
      <c r="T61" s="82"/>
      <c r="U61" s="79"/>
      <c r="V61" s="79" t="s">
        <v>2149</v>
      </c>
      <c r="W61" s="79"/>
      <c r="X61" s="79"/>
      <c r="Y61" s="79"/>
      <c r="Z61" s="79"/>
      <c r="AA61" s="79"/>
    </row>
    <row r="62" spans="1:27" ht="24">
      <c r="A62" s="33"/>
      <c r="B62" s="34" t="s">
        <v>2209</v>
      </c>
      <c r="C62" s="34">
        <v>29</v>
      </c>
      <c r="D62" s="35" t="s">
        <v>2118</v>
      </c>
      <c r="E62" s="35" t="s">
        <v>2147</v>
      </c>
      <c r="F62" s="35" t="s">
        <v>627</v>
      </c>
      <c r="G62" s="35" t="s">
        <v>2218</v>
      </c>
      <c r="H62" s="36">
        <v>25</v>
      </c>
      <c r="I62" s="36"/>
      <c r="J62" s="37"/>
      <c r="K62" s="23" t="s">
        <v>629</v>
      </c>
      <c r="L62" s="23"/>
      <c r="M62" s="23"/>
      <c r="N62" s="24">
        <v>12.5</v>
      </c>
      <c r="O62" s="24">
        <v>0.1</v>
      </c>
      <c r="P62" s="24">
        <v>0</v>
      </c>
      <c r="Q62" s="24">
        <v>2.5</v>
      </c>
      <c r="R62" s="24">
        <v>0.3</v>
      </c>
      <c r="S62" s="24">
        <v>0</v>
      </c>
      <c r="T62" s="81"/>
      <c r="U62" s="80" t="s">
        <v>2189</v>
      </c>
      <c r="V62" s="80" t="s">
        <v>2149</v>
      </c>
      <c r="W62" s="80"/>
      <c r="X62" s="80"/>
      <c r="Y62" s="80"/>
      <c r="Z62" s="80"/>
      <c r="AA62" s="80"/>
    </row>
    <row r="63" spans="1:27" ht="36">
      <c r="A63" s="33"/>
      <c r="B63" s="34" t="s">
        <v>2209</v>
      </c>
      <c r="C63" s="34">
        <v>29</v>
      </c>
      <c r="D63" s="35" t="s">
        <v>2118</v>
      </c>
      <c r="E63" s="35" t="s">
        <v>2151</v>
      </c>
      <c r="F63" s="35"/>
      <c r="G63" s="35" t="s">
        <v>2219</v>
      </c>
      <c r="H63" s="36"/>
      <c r="I63" s="36"/>
      <c r="J63" s="37"/>
      <c r="K63" s="23" t="s">
        <v>2220</v>
      </c>
      <c r="L63" s="23" t="s">
        <v>31</v>
      </c>
      <c r="M63" s="23"/>
      <c r="N63" s="24"/>
      <c r="O63" s="24"/>
      <c r="P63" s="24"/>
      <c r="Q63" s="24"/>
      <c r="R63" s="24"/>
      <c r="S63" s="24"/>
      <c r="T63" s="82"/>
      <c r="U63" s="79"/>
      <c r="V63" s="79"/>
      <c r="W63" s="79"/>
      <c r="X63" s="79"/>
      <c r="Y63" s="79"/>
      <c r="Z63" s="79"/>
      <c r="AA63" s="79"/>
    </row>
    <row r="64" spans="1:27" ht="24">
      <c r="A64" s="33"/>
      <c r="B64" s="34" t="s">
        <v>2209</v>
      </c>
      <c r="C64" s="34">
        <v>29</v>
      </c>
      <c r="D64" s="35" t="s">
        <v>2118</v>
      </c>
      <c r="E64" s="35" t="s">
        <v>2151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2189</v>
      </c>
      <c r="V64" s="80" t="s">
        <v>2149</v>
      </c>
      <c r="W64" s="80"/>
      <c r="X64" s="80"/>
      <c r="Y64" s="80"/>
      <c r="Z64" s="80"/>
      <c r="AA64" s="80"/>
    </row>
    <row r="65" spans="1:27" ht="24">
      <c r="A65" s="33"/>
      <c r="B65" s="34" t="s">
        <v>2209</v>
      </c>
      <c r="C65" s="34">
        <v>29</v>
      </c>
      <c r="D65" s="35" t="s">
        <v>2118</v>
      </c>
      <c r="E65" s="35" t="s">
        <v>2151</v>
      </c>
      <c r="F65" s="35" t="s">
        <v>2190</v>
      </c>
      <c r="G65" s="35" t="s">
        <v>428</v>
      </c>
      <c r="H65" s="36">
        <v>20</v>
      </c>
      <c r="I65" s="36"/>
      <c r="J65" s="37"/>
      <c r="K65" s="23" t="s">
        <v>167</v>
      </c>
      <c r="L65" s="23"/>
      <c r="M65" s="23"/>
      <c r="N65" s="24">
        <v>41.2</v>
      </c>
      <c r="O65" s="24">
        <v>2</v>
      </c>
      <c r="P65" s="24">
        <v>0.4</v>
      </c>
      <c r="Q65" s="24">
        <v>0.8</v>
      </c>
      <c r="R65" s="24">
        <v>5</v>
      </c>
      <c r="S65" s="24">
        <v>0.6</v>
      </c>
      <c r="T65" s="82">
        <v>2</v>
      </c>
      <c r="U65" s="79" t="s">
        <v>2126</v>
      </c>
      <c r="V65" s="79" t="s">
        <v>2149</v>
      </c>
      <c r="W65" s="79"/>
      <c r="X65" s="79"/>
      <c r="Y65" s="79"/>
      <c r="Z65" s="79"/>
      <c r="AA65" s="79"/>
    </row>
    <row r="66" spans="1:27" ht="24">
      <c r="A66" s="33">
        <v>46220</v>
      </c>
      <c r="B66" s="34" t="s">
        <v>2221</v>
      </c>
      <c r="C66" s="34">
        <v>29</v>
      </c>
      <c r="D66" s="35" t="s">
        <v>2118</v>
      </c>
      <c r="E66" s="35" t="s">
        <v>2120</v>
      </c>
      <c r="F66" s="35"/>
      <c r="G66" s="35" t="s">
        <v>2222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2221</v>
      </c>
      <c r="C67" s="34">
        <v>29</v>
      </c>
      <c r="D67" s="35" t="s">
        <v>2118</v>
      </c>
      <c r="E67" s="35" t="s">
        <v>2120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2126</v>
      </c>
      <c r="V67" s="79" t="s">
        <v>2131</v>
      </c>
      <c r="W67" s="79"/>
      <c r="X67" s="79">
        <v>20</v>
      </c>
      <c r="Y67" s="79">
        <v>75</v>
      </c>
      <c r="Z67" s="79" t="s">
        <v>2132</v>
      </c>
      <c r="AA67" s="79"/>
    </row>
    <row r="68" spans="1:27" ht="96">
      <c r="A68" s="33"/>
      <c r="B68" s="34" t="s">
        <v>2221</v>
      </c>
      <c r="C68" s="34">
        <v>29</v>
      </c>
      <c r="D68" s="35" t="s">
        <v>2118</v>
      </c>
      <c r="E68" s="35" t="s">
        <v>2134</v>
      </c>
      <c r="F68" s="35"/>
      <c r="G68" s="35" t="s">
        <v>2165</v>
      </c>
      <c r="H68" s="36"/>
      <c r="I68" s="36"/>
      <c r="J68" s="37"/>
      <c r="K68" s="23" t="s">
        <v>2223</v>
      </c>
      <c r="L68" s="23" t="s">
        <v>2224</v>
      </c>
      <c r="M68" s="23"/>
      <c r="N68" s="24"/>
      <c r="O68" s="24"/>
      <c r="P68" s="24"/>
      <c r="Q68" s="24"/>
      <c r="R68" s="24"/>
      <c r="S68" s="24"/>
      <c r="T68" s="82"/>
      <c r="U68" s="80"/>
      <c r="V68" s="80"/>
      <c r="W68" s="80"/>
      <c r="X68" s="80"/>
      <c r="Y68" s="80"/>
      <c r="Z68" s="80"/>
      <c r="AA68" s="80"/>
    </row>
    <row r="69" spans="1:27" ht="36">
      <c r="A69" s="33"/>
      <c r="B69" s="34" t="s">
        <v>2221</v>
      </c>
      <c r="C69" s="34">
        <v>29</v>
      </c>
      <c r="D69" s="35" t="s">
        <v>2144</v>
      </c>
      <c r="E69" s="35" t="s">
        <v>2134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2221</v>
      </c>
      <c r="C70" s="34">
        <v>29</v>
      </c>
      <c r="D70" s="35" t="s">
        <v>2118</v>
      </c>
      <c r="E70" s="35" t="s">
        <v>2124</v>
      </c>
      <c r="F70" s="35" t="s">
        <v>632</v>
      </c>
      <c r="G70" s="35" t="s">
        <v>2162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2221</v>
      </c>
      <c r="C71" s="34">
        <v>29</v>
      </c>
      <c r="D71" s="35" t="s">
        <v>2118</v>
      </c>
      <c r="E71" s="35" t="s">
        <v>2124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2126</v>
      </c>
      <c r="V71" s="79" t="s">
        <v>2131</v>
      </c>
      <c r="W71" s="79"/>
      <c r="X71" s="79">
        <v>20</v>
      </c>
      <c r="Y71" s="79">
        <v>75</v>
      </c>
      <c r="Z71" s="79" t="s">
        <v>2132</v>
      </c>
      <c r="AA71" s="79"/>
    </row>
    <row r="72" spans="1:27" ht="84">
      <c r="A72" s="33"/>
      <c r="B72" s="34" t="s">
        <v>2221</v>
      </c>
      <c r="C72" s="34">
        <v>29</v>
      </c>
      <c r="D72" s="35" t="s">
        <v>2118</v>
      </c>
      <c r="E72" s="35" t="s">
        <v>2140</v>
      </c>
      <c r="F72" s="35"/>
      <c r="G72" s="35" t="s">
        <v>2214</v>
      </c>
      <c r="H72" s="36"/>
      <c r="I72" s="36"/>
      <c r="J72" s="37"/>
      <c r="K72" s="23" t="s">
        <v>2225</v>
      </c>
      <c r="L72" s="23" t="s">
        <v>2216</v>
      </c>
      <c r="M72" s="23"/>
      <c r="N72" s="24"/>
      <c r="O72" s="24"/>
      <c r="P72" s="24"/>
      <c r="Q72" s="24"/>
      <c r="R72" s="24"/>
      <c r="S72" s="24"/>
      <c r="T72" s="81"/>
      <c r="U72" s="80"/>
      <c r="V72" s="80" t="s">
        <v>2149</v>
      </c>
      <c r="W72" s="80"/>
      <c r="X72" s="80"/>
      <c r="Y72" s="80"/>
      <c r="Z72" s="80"/>
      <c r="AA72" s="80"/>
    </row>
    <row r="73" spans="1:27" ht="24">
      <c r="A73" s="33"/>
      <c r="B73" s="34" t="s">
        <v>2221</v>
      </c>
      <c r="C73" s="34">
        <v>29</v>
      </c>
      <c r="D73" s="35" t="s">
        <v>2118</v>
      </c>
      <c r="E73" s="35" t="s">
        <v>2140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2149</v>
      </c>
      <c r="W73" s="79"/>
      <c r="X73" s="79"/>
      <c r="Y73" s="79"/>
      <c r="Z73" s="79"/>
      <c r="AA73" s="79"/>
    </row>
    <row r="74" spans="1:27" ht="15">
      <c r="A74" s="33"/>
      <c r="B74" s="34" t="s">
        <v>2221</v>
      </c>
      <c r="C74" s="34">
        <v>29</v>
      </c>
      <c r="D74" s="35" t="s">
        <v>2118</v>
      </c>
      <c r="E74" s="35" t="s">
        <v>2140</v>
      </c>
      <c r="F74" s="35" t="s">
        <v>632</v>
      </c>
      <c r="G74" s="35" t="s">
        <v>2162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2221</v>
      </c>
      <c r="C75" s="34">
        <v>29</v>
      </c>
      <c r="D75" s="35" t="s">
        <v>2118</v>
      </c>
      <c r="E75" s="35" t="s">
        <v>2140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2221</v>
      </c>
      <c r="C76" s="34">
        <v>29</v>
      </c>
      <c r="D76" s="35" t="s">
        <v>2118</v>
      </c>
      <c r="E76" s="35" t="s">
        <v>2147</v>
      </c>
      <c r="F76" s="35"/>
      <c r="G76" s="35" t="s">
        <v>2217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2221</v>
      </c>
      <c r="C77" s="34">
        <v>29</v>
      </c>
      <c r="D77" s="35" t="s">
        <v>2118</v>
      </c>
      <c r="E77" s="35" t="s">
        <v>2147</v>
      </c>
      <c r="F77" s="35" t="s">
        <v>626</v>
      </c>
      <c r="G77" s="35" t="s">
        <v>2218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2221</v>
      </c>
      <c r="C78" s="34">
        <v>29</v>
      </c>
      <c r="D78" s="35" t="s">
        <v>2118</v>
      </c>
      <c r="E78" s="35" t="s">
        <v>2151</v>
      </c>
      <c r="F78" s="35"/>
      <c r="G78" s="35" t="s">
        <v>2219</v>
      </c>
      <c r="H78" s="36"/>
      <c r="I78" s="36"/>
      <c r="J78" s="37"/>
      <c r="K78" s="23" t="s">
        <v>2220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2221</v>
      </c>
      <c r="C79" s="34">
        <v>29</v>
      </c>
      <c r="D79" s="35" t="s">
        <v>2118</v>
      </c>
      <c r="E79" s="35" t="s">
        <v>2151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2221</v>
      </c>
      <c r="C80" s="34">
        <v>29</v>
      </c>
      <c r="D80" s="35" t="s">
        <v>2118</v>
      </c>
      <c r="E80" s="35" t="s">
        <v>2151</v>
      </c>
      <c r="F80" s="35" t="s">
        <v>2190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2158</v>
      </c>
      <c r="C81" s="34">
        <v>32</v>
      </c>
      <c r="D81" s="35" t="s">
        <v>2118</v>
      </c>
      <c r="E81" s="35" t="s">
        <v>2120</v>
      </c>
      <c r="F81" s="35"/>
      <c r="G81" s="35" t="s">
        <v>2226</v>
      </c>
      <c r="H81" s="36"/>
      <c r="I81" s="36"/>
      <c r="J81" s="37"/>
      <c r="K81" s="23" t="s">
        <v>2227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2158</v>
      </c>
      <c r="C82" s="34">
        <v>32</v>
      </c>
      <c r="D82" s="35" t="s">
        <v>2118</v>
      </c>
      <c r="E82" s="35" t="s">
        <v>2120</v>
      </c>
      <c r="F82" s="35" t="s">
        <v>109</v>
      </c>
      <c r="G82" s="35" t="s">
        <v>2228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2158</v>
      </c>
      <c r="C83" s="34">
        <v>32</v>
      </c>
      <c r="D83" s="35" t="s">
        <v>2118</v>
      </c>
      <c r="E83" s="35" t="s">
        <v>2120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2158</v>
      </c>
      <c r="C84" s="34">
        <v>32</v>
      </c>
      <c r="D84" s="35" t="s">
        <v>2118</v>
      </c>
      <c r="E84" s="35" t="s">
        <v>2120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2158</v>
      </c>
      <c r="C85" s="34">
        <v>32</v>
      </c>
      <c r="D85" s="35" t="s">
        <v>2118</v>
      </c>
      <c r="E85" s="35" t="s">
        <v>2140</v>
      </c>
      <c r="F85" s="35"/>
      <c r="G85" s="35" t="s">
        <v>2229</v>
      </c>
      <c r="H85" s="36"/>
      <c r="I85" s="36"/>
      <c r="J85" s="37"/>
      <c r="K85" s="23" t="s">
        <v>2230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2158</v>
      </c>
      <c r="C86" s="34">
        <v>32</v>
      </c>
      <c r="D86" s="35" t="s">
        <v>2118</v>
      </c>
      <c r="E86" s="35" t="s">
        <v>2140</v>
      </c>
      <c r="F86" s="35" t="s">
        <v>1454</v>
      </c>
      <c r="G86" s="35" t="s">
        <v>2231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2158</v>
      </c>
      <c r="C87" s="34">
        <v>32</v>
      </c>
      <c r="D87" s="35" t="s">
        <v>2118</v>
      </c>
      <c r="E87" s="35" t="s">
        <v>2140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2158</v>
      </c>
      <c r="C88" s="34">
        <v>32</v>
      </c>
      <c r="D88" s="35" t="s">
        <v>2118</v>
      </c>
      <c r="E88" s="35" t="s">
        <v>2140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2158</v>
      </c>
      <c r="C89" s="34">
        <v>32</v>
      </c>
      <c r="D89" s="35" t="s">
        <v>2118</v>
      </c>
      <c r="E89" s="35" t="s">
        <v>2134</v>
      </c>
      <c r="F89" s="35"/>
      <c r="G89" s="35"/>
      <c r="H89" s="36"/>
      <c r="I89" s="36"/>
      <c r="J89" s="37"/>
      <c r="K89" s="23" t="s">
        <v>2232</v>
      </c>
      <c r="L89" s="23" t="s">
        <v>2233</v>
      </c>
      <c r="M89" s="23"/>
      <c r="N89" s="24"/>
      <c r="O89" s="24"/>
      <c r="P89" s="24"/>
      <c r="Q89" s="24"/>
      <c r="R89" s="24"/>
      <c r="S89" s="24"/>
      <c r="T89" s="82"/>
      <c r="U89" s="79"/>
      <c r="V89" s="79"/>
      <c r="W89" s="79"/>
      <c r="X89" s="79"/>
      <c r="Y89" s="79"/>
      <c r="Z89" s="79"/>
      <c r="AA89" s="79"/>
    </row>
    <row r="90" spans="1:27" ht="36">
      <c r="A90" s="33"/>
      <c r="B90" s="34" t="s">
        <v>2158</v>
      </c>
      <c r="C90" s="34">
        <v>32</v>
      </c>
      <c r="D90" s="35" t="s">
        <v>2118</v>
      </c>
      <c r="E90" s="35" t="s">
        <v>2134</v>
      </c>
      <c r="F90" s="35" t="s">
        <v>1454</v>
      </c>
      <c r="G90" s="35" t="s">
        <v>2231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2158</v>
      </c>
      <c r="C91" s="34">
        <v>32</v>
      </c>
      <c r="D91" s="35" t="s">
        <v>2118</v>
      </c>
      <c r="E91" s="35" t="s">
        <v>2134</v>
      </c>
      <c r="F91" s="35" t="s">
        <v>709</v>
      </c>
      <c r="G91" s="35" t="s">
        <v>2234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2158</v>
      </c>
      <c r="C92" s="34">
        <v>32</v>
      </c>
      <c r="D92" s="35" t="s">
        <v>2118</v>
      </c>
      <c r="E92" s="35" t="s">
        <v>2147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2158</v>
      </c>
      <c r="C93" s="34">
        <v>32</v>
      </c>
      <c r="D93" s="35" t="s">
        <v>2118</v>
      </c>
      <c r="E93" s="35" t="s">
        <v>2147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2158</v>
      </c>
      <c r="C94" s="34">
        <v>32</v>
      </c>
      <c r="D94" s="35" t="s">
        <v>2118</v>
      </c>
      <c r="E94" s="35" t="s">
        <v>2147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2158</v>
      </c>
      <c r="C95" s="34">
        <v>32</v>
      </c>
      <c r="D95" s="35" t="s">
        <v>2118</v>
      </c>
      <c r="E95" s="35" t="s">
        <v>2151</v>
      </c>
      <c r="F95" s="35"/>
      <c r="G95" s="35" t="s">
        <v>2235</v>
      </c>
      <c r="H95" s="36"/>
      <c r="I95" s="36"/>
      <c r="J95" s="37"/>
      <c r="K95" s="23" t="s">
        <v>2236</v>
      </c>
      <c r="L95" s="23" t="s">
        <v>698</v>
      </c>
      <c r="M95" s="23"/>
      <c r="N95" s="24"/>
      <c r="O95" s="24"/>
      <c r="P95" s="24"/>
      <c r="Q95" s="24"/>
      <c r="R95" s="24"/>
      <c r="S95" s="24"/>
      <c r="T95" s="81"/>
      <c r="U95" s="79"/>
      <c r="V95" s="79"/>
      <c r="W95" s="79"/>
      <c r="X95" s="79"/>
      <c r="Y95" s="79"/>
      <c r="Z95" s="79"/>
      <c r="AA95" s="79"/>
    </row>
    <row r="96" spans="1:27" ht="24">
      <c r="A96" s="33"/>
      <c r="B96" s="34" t="s">
        <v>2158</v>
      </c>
      <c r="C96" s="34">
        <v>32</v>
      </c>
      <c r="D96" s="35" t="s">
        <v>2118</v>
      </c>
      <c r="E96" s="35" t="s">
        <v>2151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2158</v>
      </c>
      <c r="C97" s="34">
        <v>32</v>
      </c>
      <c r="D97" s="35" t="s">
        <v>2118</v>
      </c>
      <c r="E97" s="35" t="s">
        <v>2151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2191</v>
      </c>
      <c r="C98" s="34">
        <v>32</v>
      </c>
      <c r="D98" s="35" t="s">
        <v>2118</v>
      </c>
      <c r="E98" s="35" t="s">
        <v>2120</v>
      </c>
      <c r="F98" s="35"/>
      <c r="G98" s="35" t="s">
        <v>2237</v>
      </c>
      <c r="H98" s="36"/>
      <c r="I98" s="36"/>
      <c r="J98" s="37"/>
      <c r="K98" s="23" t="s">
        <v>2238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2191</v>
      </c>
      <c r="C99" s="34">
        <v>32</v>
      </c>
      <c r="D99" s="35" t="s">
        <v>2118</v>
      </c>
      <c r="E99" s="35" t="s">
        <v>2120</v>
      </c>
      <c r="F99" s="35" t="s">
        <v>684</v>
      </c>
      <c r="G99" s="35" t="s">
        <v>2239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2191</v>
      </c>
      <c r="C100" s="34">
        <v>32</v>
      </c>
      <c r="D100" s="35" t="s">
        <v>2118</v>
      </c>
      <c r="E100" s="35" t="s">
        <v>2120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2191</v>
      </c>
      <c r="C101" s="34">
        <v>32</v>
      </c>
      <c r="D101" s="35" t="s">
        <v>2118</v>
      </c>
      <c r="E101" s="35" t="s">
        <v>2120</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2191</v>
      </c>
      <c r="C102" s="34">
        <v>32</v>
      </c>
      <c r="D102" s="35" t="s">
        <v>2118</v>
      </c>
      <c r="E102" s="35" t="s">
        <v>2140</v>
      </c>
      <c r="F102" s="35"/>
      <c r="G102" s="35" t="s">
        <v>2240</v>
      </c>
      <c r="H102" s="36"/>
      <c r="I102" s="36"/>
      <c r="J102" s="37"/>
      <c r="K102" s="23" t="s">
        <v>2241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2191</v>
      </c>
      <c r="C103" s="34">
        <v>32</v>
      </c>
      <c r="D103" s="35" t="s">
        <v>2118</v>
      </c>
      <c r="E103" s="35" t="s">
        <v>2140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2191</v>
      </c>
      <c r="C104" s="34">
        <v>32</v>
      </c>
      <c r="D104" s="35" t="s">
        <v>2118</v>
      </c>
      <c r="E104" s="35" t="s">
        <v>2140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2191</v>
      </c>
      <c r="C105" s="34">
        <v>32</v>
      </c>
      <c r="D105" s="35" t="s">
        <v>2118</v>
      </c>
      <c r="E105" s="35" t="s">
        <v>2140</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2191</v>
      </c>
      <c r="C106" s="34">
        <v>32</v>
      </c>
      <c r="D106" s="35" t="s">
        <v>2118</v>
      </c>
      <c r="E106" s="35" t="s">
        <v>2147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2191</v>
      </c>
      <c r="C107" s="34">
        <v>32</v>
      </c>
      <c r="D107" s="35" t="s">
        <v>2118</v>
      </c>
      <c r="E107" s="35" t="s">
        <v>2151</v>
      </c>
      <c r="F107" s="35"/>
      <c r="G107" s="35" t="s">
        <v>2242</v>
      </c>
      <c r="H107" s="36"/>
      <c r="I107" s="36"/>
      <c r="J107" s="37"/>
      <c r="K107" s="23" t="s">
        <v>2243</v>
      </c>
      <c r="L107" s="23" t="s">
        <v>2244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2191</v>
      </c>
      <c r="C108" s="34">
        <v>32</v>
      </c>
      <c r="D108" s="35" t="s">
        <v>2118</v>
      </c>
      <c r="E108" s="35" t="s">
        <v>2151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2191</v>
      </c>
      <c r="C109" s="34">
        <v>32</v>
      </c>
      <c r="D109" s="35" t="s">
        <v>2118</v>
      </c>
      <c r="E109" s="35" t="s">
        <v>2151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2209</v>
      </c>
      <c r="C110" s="34">
        <v>32</v>
      </c>
      <c r="D110" s="35" t="s">
        <v>2118</v>
      </c>
      <c r="E110" s="35" t="s">
        <v>2120</v>
      </c>
      <c r="F110" s="35"/>
      <c r="G110" s="35" t="s">
        <v>2245</v>
      </c>
      <c r="H110" s="36"/>
      <c r="I110" s="36"/>
      <c r="J110" s="37"/>
      <c r="K110" s="23" t="s">
        <v>2246</v>
      </c>
      <c r="L110" s="23" t="s">
        <v>2247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2209</v>
      </c>
      <c r="C111" s="34">
        <v>32</v>
      </c>
      <c r="D111" s="35" t="s">
        <v>2118</v>
      </c>
      <c r="E111" s="35" t="s">
        <v>2120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2209</v>
      </c>
      <c r="C112" s="34">
        <v>32</v>
      </c>
      <c r="D112" s="35" t="s">
        <v>2118</v>
      </c>
      <c r="E112" s="35" t="s">
        <v>2120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2209</v>
      </c>
      <c r="C113" s="34">
        <v>32</v>
      </c>
      <c r="D113" s="35" t="s">
        <v>2118</v>
      </c>
      <c r="E113" s="35" t="s">
        <v>2120</v>
      </c>
      <c r="F113" s="35" t="s">
        <v>445</v>
      </c>
      <c r="G113" s="35" t="s">
        <v>2248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2209</v>
      </c>
      <c r="C114" s="34">
        <v>32</v>
      </c>
      <c r="D114" s="35" t="s">
        <v>2118</v>
      </c>
      <c r="E114" s="35" t="s">
        <v>2120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2209</v>
      </c>
      <c r="C115" s="34">
        <v>32</v>
      </c>
      <c r="D115" s="35" t="s">
        <v>2118</v>
      </c>
      <c r="E115" s="35" t="s">
        <v>2140</v>
      </c>
      <c r="F115" s="35"/>
      <c r="G115" s="35" t="s">
        <v>2249</v>
      </c>
      <c r="H115" s="36"/>
      <c r="I115" s="36"/>
      <c r="J115" s="37"/>
      <c r="K115" s="23" t="s">
        <v>2250</v>
      </c>
      <c r="L115" s="23" t="s">
        <v>2216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2209</v>
      </c>
      <c r="C116" s="34">
        <v>32</v>
      </c>
      <c r="D116" s="35" t="s">
        <v>2118</v>
      </c>
      <c r="E116" s="35" t="s">
        <v>2140</v>
      </c>
      <c r="F116" s="35" t="s">
        <v>1299</v>
      </c>
      <c r="G116" s="35" t="s">
        <v>2183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2209</v>
      </c>
      <c r="C117" s="34">
        <v>32</v>
      </c>
      <c r="D117" s="35" t="s">
        <v>2118</v>
      </c>
      <c r="E117" s="35" t="s">
        <v>2140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2209</v>
      </c>
      <c r="C118" s="34">
        <v>32</v>
      </c>
      <c r="D118" s="35" t="s">
        <v>2118</v>
      </c>
      <c r="E118" s="35" t="s">
        <v>2140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2209</v>
      </c>
      <c r="C119" s="34">
        <v>32</v>
      </c>
      <c r="D119" s="35" t="s">
        <v>2118</v>
      </c>
      <c r="E119" s="35" t="s">
        <v>2147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2209</v>
      </c>
      <c r="C120" s="34">
        <v>32</v>
      </c>
      <c r="D120" s="35" t="s">
        <v>2118</v>
      </c>
      <c r="E120" s="35" t="s">
        <v>2151</v>
      </c>
      <c r="F120" s="35"/>
      <c r="G120" s="35" t="s">
        <v>2251</v>
      </c>
      <c r="H120" s="36"/>
      <c r="I120" s="36"/>
      <c r="J120" s="37"/>
      <c r="K120" s="23" t="s">
        <v>2252</v>
      </c>
      <c r="L120" s="23" t="s">
        <v>2253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2209</v>
      </c>
      <c r="C121" s="34">
        <v>32</v>
      </c>
      <c r="D121" s="35" t="s">
        <v>2118</v>
      </c>
      <c r="E121" s="35" t="s">
        <v>2151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2209</v>
      </c>
      <c r="C122" s="34">
        <v>32</v>
      </c>
      <c r="D122" s="35" t="s">
        <v>2118</v>
      </c>
      <c r="E122" s="35" t="s">
        <v>2151</v>
      </c>
      <c r="F122" s="35" t="s">
        <v>964</v>
      </c>
      <c r="G122" s="35" t="s">
        <v>2254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2221</v>
      </c>
      <c r="C123" s="34">
        <v>32</v>
      </c>
      <c r="D123" s="35" t="s">
        <v>2118</v>
      </c>
      <c r="E123" s="35" t="s">
        <v>2120</v>
      </c>
      <c r="F123" s="35"/>
      <c r="G123" s="35" t="s">
        <v>2255</v>
      </c>
      <c r="H123" s="36"/>
      <c r="I123" s="36"/>
      <c r="J123" s="37"/>
      <c r="K123" s="23" t="s">
        <v>2256</v>
      </c>
      <c r="L123" s="23" t="s">
        <v>2257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2221</v>
      </c>
      <c r="C124" s="34">
        <v>32</v>
      </c>
      <c r="D124" s="35" t="s">
        <v>2118</v>
      </c>
      <c r="E124" s="35" t="s">
        <v>2120</v>
      </c>
      <c r="F124" s="35" t="s">
        <v>918</v>
      </c>
      <c r="G124" s="35" t="s">
        <v>2258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2221</v>
      </c>
      <c r="C125" s="34">
        <v>32</v>
      </c>
      <c r="D125" s="35" t="s">
        <v>2118</v>
      </c>
      <c r="E125" s="35" t="s">
        <v>2120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2221</v>
      </c>
      <c r="C126" s="34">
        <v>32</v>
      </c>
      <c r="D126" s="35" t="s">
        <v>2118</v>
      </c>
      <c r="E126" s="35" t="s">
        <v>2140</v>
      </c>
      <c r="F126" s="35"/>
      <c r="G126" s="35" t="s">
        <v>2259</v>
      </c>
      <c r="H126" s="36"/>
      <c r="I126" s="36"/>
      <c r="J126" s="37"/>
      <c r="K126" s="23" t="s">
        <v>2260</v>
      </c>
      <c r="L126" s="23" t="s">
        <v>2261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2221</v>
      </c>
      <c r="C127" s="34">
        <v>32</v>
      </c>
      <c r="D127" s="35" t="s">
        <v>2118</v>
      </c>
      <c r="E127" s="35" t="s">
        <v>2140</v>
      </c>
      <c r="F127" s="35" t="s">
        <v>906</v>
      </c>
      <c r="G127" s="35" t="s">
        <v>1931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2221</v>
      </c>
      <c r="C128" s="34">
        <v>32</v>
      </c>
      <c r="D128" s="35" t="s">
        <v>2118</v>
      </c>
      <c r="E128" s="35" t="s">
        <v>2140</v>
      </c>
      <c r="F128" s="35" t="s">
        <v>1257</v>
      </c>
      <c r="G128" s="35" t="s">
        <v>2262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2221</v>
      </c>
      <c r="C129" s="34">
        <v>32</v>
      </c>
      <c r="D129" s="35" t="s">
        <v>2118</v>
      </c>
      <c r="E129" s="35" t="s">
        <v>2147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2221</v>
      </c>
      <c r="C130" s="34">
        <v>32</v>
      </c>
      <c r="D130" s="35" t="s">
        <v>2118</v>
      </c>
      <c r="E130" s="35" t="s">
        <v>2151</v>
      </c>
      <c r="F130" s="35"/>
      <c r="G130" s="35" t="s">
        <v>2263</v>
      </c>
      <c r="H130" s="36"/>
      <c r="I130" s="36"/>
      <c r="J130" s="37"/>
      <c r="K130" s="23" t="s">
        <v>2264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2221</v>
      </c>
      <c r="C131" s="34">
        <v>32</v>
      </c>
      <c r="D131" s="35" t="s">
        <v>2118</v>
      </c>
      <c r="E131" s="35" t="s">
        <v>2151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2221</v>
      </c>
      <c r="C132" s="34">
        <v>32</v>
      </c>
      <c r="D132" s="35" t="s">
        <v>2118</v>
      </c>
      <c r="E132" s="35" t="s">
        <v>2151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2119</v>
      </c>
      <c r="C133" s="34">
        <v>33</v>
      </c>
      <c r="D133" s="35" t="s">
        <v>2118</v>
      </c>
      <c r="E133" s="35" t="s">
        <v>2120</v>
      </c>
      <c r="F133" s="35"/>
      <c r="G133" s="35" t="s">
        <v>2265</v>
      </c>
      <c r="H133" s="36"/>
      <c r="I133" s="36"/>
      <c r="J133" s="37"/>
      <c r="K133" s="23" t="s">
        <v>2266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2119</v>
      </c>
      <c r="C134" s="34">
        <v>33</v>
      </c>
      <c r="D134" s="35" t="s">
        <v>2118</v>
      </c>
      <c r="E134" s="35" t="s">
        <v>2120</v>
      </c>
      <c r="F134" s="35" t="s">
        <v>991</v>
      </c>
      <c r="G134" s="35" t="s">
        <v>2267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2119</v>
      </c>
      <c r="C135" s="34">
        <v>33</v>
      </c>
      <c r="D135" s="35" t="s">
        <v>2118</v>
      </c>
      <c r="E135" s="35" t="s">
        <v>2120</v>
      </c>
      <c r="F135" s="35" t="s">
        <v>347</v>
      </c>
      <c r="G135" s="35" t="s">
        <v>2125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2119</v>
      </c>
      <c r="C136" s="34">
        <v>33</v>
      </c>
      <c r="D136" s="35" t="s">
        <v>2118</v>
      </c>
      <c r="E136" s="35" t="s">
        <v>2140</v>
      </c>
      <c r="F136" s="35"/>
      <c r="G136" s="35" t="s">
        <v>2268</v>
      </c>
      <c r="H136" s="36"/>
      <c r="I136" s="36"/>
      <c r="J136" s="37"/>
      <c r="K136" s="23" t="s">
        <v>2269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2119</v>
      </c>
      <c r="C137" s="34">
        <v>33</v>
      </c>
      <c r="D137" s="35" t="s">
        <v>2118</v>
      </c>
      <c r="E137" s="35" t="s">
        <v>2140</v>
      </c>
      <c r="F137" s="35" t="s">
        <v>1249</v>
      </c>
      <c r="G137" s="35" t="s">
        <v>2270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2119</v>
      </c>
      <c r="C138" s="34">
        <v>33</v>
      </c>
      <c r="D138" s="35" t="s">
        <v>2118</v>
      </c>
      <c r="E138" s="35" t="s">
        <v>2140</v>
      </c>
      <c r="F138" s="35" t="s">
        <v>347</v>
      </c>
      <c r="G138" s="35" t="s">
        <v>2125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2119</v>
      </c>
      <c r="C139" s="34">
        <v>33</v>
      </c>
      <c r="D139" s="35" t="s">
        <v>2118</v>
      </c>
      <c r="E139" s="35" t="s">
        <v>2147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2119</v>
      </c>
      <c r="C140" s="34">
        <v>33</v>
      </c>
      <c r="D140" s="35" t="s">
        <v>2118</v>
      </c>
      <c r="E140" s="35" t="s">
        <v>2151</v>
      </c>
      <c r="F140" s="35"/>
      <c r="G140" s="35" t="s">
        <v>2271</v>
      </c>
      <c r="H140" s="36"/>
      <c r="I140" s="36"/>
      <c r="J140" s="37"/>
      <c r="K140" s="23" t="s">
        <v>2272</v>
      </c>
      <c r="L140" s="23" t="s">
        <v>2273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2119</v>
      </c>
      <c r="C141" s="34">
        <v>33</v>
      </c>
      <c r="D141" s="35" t="s">
        <v>2118</v>
      </c>
      <c r="E141" s="35" t="s">
        <v>2151</v>
      </c>
      <c r="F141" s="35" t="s">
        <v>63</v>
      </c>
      <c r="G141" s="35" t="s">
        <v>2274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2119</v>
      </c>
      <c r="C142" s="34">
        <v>33</v>
      </c>
      <c r="D142" s="35" t="s">
        <v>2118</v>
      </c>
      <c r="E142" s="35" t="s">
        <v>2151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2158</v>
      </c>
      <c r="C143" s="34">
        <v>33</v>
      </c>
      <c r="D143" s="35" t="s">
        <v>2118</v>
      </c>
      <c r="E143" s="35" t="s">
        <v>2120</v>
      </c>
      <c r="F143" s="35"/>
      <c r="G143" s="35" t="s">
        <v>2275</v>
      </c>
      <c r="H143" s="36"/>
      <c r="I143" s="36"/>
      <c r="J143" s="37"/>
      <c r="K143" s="23" t="s">
        <v>2276</v>
      </c>
      <c r="L143" s="23" t="s">
        <v>2277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2158</v>
      </c>
      <c r="C144" s="34">
        <v>33</v>
      </c>
      <c r="D144" s="35" t="s">
        <v>2118</v>
      </c>
      <c r="E144" s="35" t="s">
        <v>2120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2158</v>
      </c>
      <c r="C145" s="34">
        <v>33</v>
      </c>
      <c r="D145" s="35" t="s">
        <v>2118</v>
      </c>
      <c r="E145" s="35" t="s">
        <v>2120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2158</v>
      </c>
      <c r="C146" s="34">
        <v>33</v>
      </c>
      <c r="D146" s="35" t="s">
        <v>2118</v>
      </c>
      <c r="E146" s="35" t="s">
        <v>2120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2158</v>
      </c>
      <c r="C147" s="34">
        <v>33</v>
      </c>
      <c r="D147" s="35" t="s">
        <v>2118</v>
      </c>
      <c r="E147" s="35" t="s">
        <v>2140</v>
      </c>
      <c r="F147" s="35"/>
      <c r="G147" s="35" t="s">
        <v>2278</v>
      </c>
      <c r="H147" s="36"/>
      <c r="I147" s="36"/>
      <c r="J147" s="37"/>
      <c r="K147" s="23" t="s">
        <v>2279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2158</v>
      </c>
      <c r="C148" s="34">
        <v>33</v>
      </c>
      <c r="D148" s="35" t="s">
        <v>2118</v>
      </c>
      <c r="E148" s="35" t="s">
        <v>2140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2158</v>
      </c>
      <c r="C149" s="34">
        <v>33</v>
      </c>
      <c r="D149" s="35" t="s">
        <v>2118</v>
      </c>
      <c r="E149" s="35" t="s">
        <v>2140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2158</v>
      </c>
      <c r="C150" s="34">
        <v>33</v>
      </c>
      <c r="D150" s="35" t="s">
        <v>2118</v>
      </c>
      <c r="E150" s="35" t="s">
        <v>2140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2158</v>
      </c>
      <c r="C151" s="34">
        <v>33</v>
      </c>
      <c r="D151" s="35" t="s">
        <v>2118</v>
      </c>
      <c r="E151" s="35" t="s">
        <v>2147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2158</v>
      </c>
      <c r="C152" s="34">
        <v>33</v>
      </c>
      <c r="D152" s="35" t="s">
        <v>2118</v>
      </c>
      <c r="E152" s="35" t="s">
        <v>2151</v>
      </c>
      <c r="F152" s="35"/>
      <c r="G152" s="35" t="s">
        <v>2280</v>
      </c>
      <c r="H152" s="36"/>
      <c r="I152" s="36"/>
      <c r="J152" s="37"/>
      <c r="K152" s="23" t="s">
        <v>2281</v>
      </c>
      <c r="L152" s="23" t="s">
        <v>2282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2158</v>
      </c>
      <c r="C153" s="34">
        <v>33</v>
      </c>
      <c r="D153" s="35" t="s">
        <v>2118</v>
      </c>
      <c r="E153" s="35" t="s">
        <v>2151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2158</v>
      </c>
      <c r="C154" s="34">
        <v>33</v>
      </c>
      <c r="D154" s="35" t="s">
        <v>2118</v>
      </c>
      <c r="E154" s="35" t="s">
        <v>2151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2191</v>
      </c>
      <c r="C155" s="34">
        <v>33</v>
      </c>
      <c r="D155" s="35" t="s">
        <v>2118</v>
      </c>
      <c r="E155" s="35"/>
      <c r="F155" s="35"/>
      <c r="G155" s="35" t="s">
        <v>2283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2191</v>
      </c>
      <c r="C156" s="34">
        <v>33</v>
      </c>
      <c r="D156" s="35" t="s">
        <v>2118</v>
      </c>
      <c r="E156" s="35" t="s">
        <v>2120</v>
      </c>
      <c r="F156" s="35" t="s">
        <v>116</v>
      </c>
      <c r="G156" s="35" t="s">
        <v>2193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2191</v>
      </c>
      <c r="C157" s="34">
        <v>33</v>
      </c>
      <c r="D157" s="35" t="s">
        <v>2118</v>
      </c>
      <c r="E157" s="35" t="s">
        <v>2120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2191</v>
      </c>
      <c r="C158" s="34">
        <v>33</v>
      </c>
      <c r="D158" s="35" t="s">
        <v>2118</v>
      </c>
      <c r="E158" s="35" t="s">
        <v>2120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2191</v>
      </c>
      <c r="C159" s="34">
        <v>33</v>
      </c>
      <c r="D159" s="35" t="s">
        <v>2118</v>
      </c>
      <c r="E159" s="35" t="s">
        <v>2140</v>
      </c>
      <c r="F159" s="35"/>
      <c r="G159" s="35" t="s">
        <v>2284</v>
      </c>
      <c r="H159" s="36"/>
      <c r="I159" s="36"/>
      <c r="J159" s="37"/>
      <c r="K159" s="23" t="s">
        <v>2285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2191</v>
      </c>
      <c r="C160" s="34">
        <v>33</v>
      </c>
      <c r="D160" s="35" t="s">
        <v>2118</v>
      </c>
      <c r="E160" s="35" t="s">
        <v>2140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2191</v>
      </c>
      <c r="C161" s="34">
        <v>33</v>
      </c>
      <c r="D161" s="35" t="s">
        <v>2118</v>
      </c>
      <c r="E161" s="35" t="s">
        <v>2140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2191</v>
      </c>
      <c r="C162" s="34">
        <v>33</v>
      </c>
      <c r="D162" s="35" t="s">
        <v>2118</v>
      </c>
      <c r="E162" s="35" t="s">
        <v>2147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2191</v>
      </c>
      <c r="C163" s="34">
        <v>33</v>
      </c>
      <c r="D163" s="35" t="s">
        <v>2118</v>
      </c>
      <c r="E163" s="35" t="s">
        <v>2147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2191</v>
      </c>
      <c r="C164" s="34">
        <v>33</v>
      </c>
      <c r="D164" s="35" t="s">
        <v>2118</v>
      </c>
      <c r="E164" s="35" t="s">
        <v>2147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2191</v>
      </c>
      <c r="C165" s="34">
        <v>33</v>
      </c>
      <c r="D165" s="35" t="s">
        <v>2118</v>
      </c>
      <c r="E165" s="35" t="s">
        <v>2151</v>
      </c>
      <c r="F165" s="35"/>
      <c r="G165" s="35" t="s">
        <v>2286</v>
      </c>
      <c r="H165" s="36"/>
      <c r="I165" s="36"/>
      <c r="J165" s="37"/>
      <c r="K165" s="23" t="s">
        <v>2287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2191</v>
      </c>
      <c r="C166" s="34">
        <v>33</v>
      </c>
      <c r="D166" s="35" t="s">
        <v>2118</v>
      </c>
      <c r="E166" s="35" t="s">
        <v>2151</v>
      </c>
      <c r="F166" s="35" t="s">
        <v>87</v>
      </c>
      <c r="G166" s="35" t="s">
        <v>2288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2191</v>
      </c>
      <c r="C167" s="34">
        <v>33</v>
      </c>
      <c r="D167" s="35" t="s">
        <v>2118</v>
      </c>
      <c r="E167" s="35" t="s">
        <v>2151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2209</v>
      </c>
      <c r="C168" s="34">
        <v>33</v>
      </c>
      <c r="D168" s="35" t="s">
        <v>2118</v>
      </c>
      <c r="E168" s="35" t="s">
        <v>2120</v>
      </c>
      <c r="F168" s="35"/>
      <c r="G168" s="35" t="s">
        <v>2289</v>
      </c>
      <c r="H168" s="36"/>
      <c r="I168" s="36"/>
      <c r="J168" s="37"/>
      <c r="K168" s="23" t="s">
        <v>2290</v>
      </c>
      <c r="L168" s="23" t="s">
        <v>2291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2209</v>
      </c>
      <c r="C169" s="34">
        <v>33</v>
      </c>
      <c r="D169" s="35" t="s">
        <v>2118</v>
      </c>
      <c r="E169" s="35" t="s">
        <v>2120</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2209</v>
      </c>
      <c r="C170" s="34">
        <v>33</v>
      </c>
      <c r="D170" s="35" t="s">
        <v>2118</v>
      </c>
      <c r="E170" s="35" t="s">
        <v>2120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2209</v>
      </c>
      <c r="C171" s="34">
        <v>33</v>
      </c>
      <c r="D171" s="35" t="s">
        <v>2118</v>
      </c>
      <c r="E171" s="35" t="s">
        <v>2120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2209</v>
      </c>
      <c r="C172" s="34">
        <v>33</v>
      </c>
      <c r="D172" s="35" t="s">
        <v>2118</v>
      </c>
      <c r="E172" s="35" t="s">
        <v>2140</v>
      </c>
      <c r="F172" s="35"/>
      <c r="G172" s="35" t="s">
        <v>2292</v>
      </c>
      <c r="H172" s="36"/>
      <c r="I172" s="36"/>
      <c r="J172" s="37"/>
      <c r="K172" s="23" t="s">
        <v>2293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2209</v>
      </c>
      <c r="C173" s="34">
        <v>33</v>
      </c>
      <c r="D173" s="35" t="s">
        <v>2118</v>
      </c>
      <c r="E173" s="35" t="s">
        <v>2140</v>
      </c>
      <c r="F173" s="35" t="s">
        <v>1434</v>
      </c>
      <c r="G173" s="35" t="s">
        <v>2294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2209</v>
      </c>
      <c r="C174" s="34">
        <v>33</v>
      </c>
      <c r="D174" s="35" t="s">
        <v>2118</v>
      </c>
      <c r="E174" s="35" t="s">
        <v>2140</v>
      </c>
      <c r="F174" s="35" t="s">
        <v>1384</v>
      </c>
      <c r="G174" s="35" t="s">
        <v>2295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2209</v>
      </c>
      <c r="C175" s="34">
        <v>33</v>
      </c>
      <c r="D175" s="35" t="s">
        <v>2118</v>
      </c>
      <c r="E175" s="35" t="s">
        <v>2147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2209</v>
      </c>
      <c r="C176" s="34">
        <v>33</v>
      </c>
      <c r="D176" s="35" t="s">
        <v>2118</v>
      </c>
      <c r="E176" s="35" t="s">
        <v>2151</v>
      </c>
      <c r="F176" s="35"/>
      <c r="G176" s="35" t="s">
        <v>2296</v>
      </c>
      <c r="H176" s="36"/>
      <c r="I176" s="36"/>
      <c r="J176" s="37"/>
      <c r="K176" s="23" t="s">
        <v>2297</v>
      </c>
      <c r="L176" s="23" t="s">
        <v>2282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2209</v>
      </c>
      <c r="C177" s="34">
        <v>33</v>
      </c>
      <c r="D177" s="35" t="s">
        <v>2118</v>
      </c>
      <c r="E177" s="35" t="s">
        <v>2151</v>
      </c>
      <c r="F177" s="35" t="s">
        <v>82</v>
      </c>
      <c r="G177" s="35" t="s">
        <v>2298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2209</v>
      </c>
      <c r="C178" s="34">
        <v>33</v>
      </c>
      <c r="D178" s="35" t="s">
        <v>2118</v>
      </c>
      <c r="E178" s="35" t="s">
        <v>2151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2221</v>
      </c>
      <c r="C179" s="34">
        <v>33</v>
      </c>
      <c r="D179" s="35" t="s">
        <v>2118</v>
      </c>
      <c r="E179" s="35" t="s">
        <v>2120</v>
      </c>
      <c r="F179" s="35"/>
      <c r="G179" s="35" t="s">
        <v>2299</v>
      </c>
      <c r="H179" s="36"/>
      <c r="I179" s="36"/>
      <c r="J179" s="37"/>
      <c r="K179" s="23" t="s">
        <v>2300</v>
      </c>
      <c r="L179" s="23" t="s">
        <v>2301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2221</v>
      </c>
      <c r="C180" s="34">
        <v>33</v>
      </c>
      <c r="D180" s="35" t="s">
        <v>2118</v>
      </c>
      <c r="E180" s="35" t="s">
        <v>2120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2221</v>
      </c>
      <c r="C181" s="34">
        <v>33</v>
      </c>
      <c r="D181" s="35" t="s">
        <v>2118</v>
      </c>
      <c r="E181" s="35" t="s">
        <v>2120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2221</v>
      </c>
      <c r="C182" s="34">
        <v>33</v>
      </c>
      <c r="D182" s="35" t="s">
        <v>2118</v>
      </c>
      <c r="E182" s="35" t="s">
        <v>2140</v>
      </c>
      <c r="F182" s="35"/>
      <c r="G182" s="35" t="s">
        <v>2302</v>
      </c>
      <c r="H182" s="36"/>
      <c r="I182" s="36"/>
      <c r="J182" s="37"/>
      <c r="K182" s="23" t="s">
        <v>2303</v>
      </c>
      <c r="L182" s="23" t="s">
        <v>2301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2221</v>
      </c>
      <c r="C183" s="34">
        <v>33</v>
      </c>
      <c r="D183" s="35" t="s">
        <v>2118</v>
      </c>
      <c r="E183" s="35" t="s">
        <v>2140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2221</v>
      </c>
      <c r="C184" s="34">
        <v>33</v>
      </c>
      <c r="D184" s="35" t="s">
        <v>2118</v>
      </c>
      <c r="E184" s="35" t="s">
        <v>2140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2221</v>
      </c>
      <c r="C185" s="34">
        <v>33</v>
      </c>
      <c r="D185" s="35" t="s">
        <v>2118</v>
      </c>
      <c r="E185" s="35" t="s">
        <v>2147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2221</v>
      </c>
      <c r="C186" s="34">
        <v>33</v>
      </c>
      <c r="D186" s="35" t="s">
        <v>2118</v>
      </c>
      <c r="E186" s="35" t="s">
        <v>2151</v>
      </c>
      <c r="F186" s="35"/>
      <c r="G186" s="35" t="s">
        <v>2304</v>
      </c>
      <c r="H186" s="36"/>
      <c r="I186" s="36"/>
      <c r="J186" s="37"/>
      <c r="K186" s="23" t="s">
        <v>2305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2221</v>
      </c>
      <c r="C187" s="34">
        <v>33</v>
      </c>
      <c r="D187" s="35" t="s">
        <v>2118</v>
      </c>
      <c r="E187" s="35" t="s">
        <v>2151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2221</v>
      </c>
      <c r="C188" s="34">
        <v>33</v>
      </c>
      <c r="D188" s="35" t="s">
        <v>2118</v>
      </c>
      <c r="E188" s="35" t="s">
        <v>2151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2306</v>
      </c>
      <c r="B1" s="209"/>
      <c r="C1" s="209"/>
      <c r="D1" s="209"/>
      <c r="E1" s="209"/>
      <c r="F1" s="209"/>
      <c r="G1" s="209"/>
      <c r="H1" s="209"/>
      <c r="I1" s="209"/>
    </row>
    <row r="2" spans="1:15">
      <c r="A2" s="208" t="s">
        <v>2307</v>
      </c>
      <c r="B2" s="208"/>
      <c r="C2" s="208"/>
      <c r="D2" s="208"/>
      <c r="E2" s="208"/>
      <c r="F2" s="208"/>
      <c r="G2" s="208"/>
      <c r="H2" s="208"/>
      <c r="I2" s="208"/>
      <c r="J2" s="39"/>
      <c r="K2" s="39"/>
      <c r="L2" s="39"/>
      <c r="M2" s="39"/>
      <c r="N2" s="39"/>
      <c r="O2" s="39"/>
    </row>
    <row r="3" spans="1:15" ht="15">
      <c r="A3" s="69" t="s">
        <v>2308</v>
      </c>
      <c r="B3" s="73" t="s">
        <v>2309</v>
      </c>
      <c r="C3" s="74" t="s">
        <v>2310</v>
      </c>
      <c r="D3" s="74" t="s">
        <v>2311</v>
      </c>
      <c r="E3" s="74" t="s">
        <v>2312</v>
      </c>
      <c r="F3" s="74" t="s">
        <v>2313</v>
      </c>
      <c r="G3" s="64" t="s">
        <v>1519</v>
      </c>
      <c r="H3" s="64"/>
      <c r="I3" s="75"/>
      <c r="J3" s="40"/>
      <c r="K3" s="40"/>
      <c r="L3" s="40"/>
      <c r="M3" s="40"/>
      <c r="N3" s="40"/>
      <c r="O3" s="40"/>
    </row>
    <row r="4" spans="1:15" ht="17.25">
      <c r="A4" s="92" t="s">
        <v>2314</v>
      </c>
      <c r="B4" s="92"/>
      <c r="C4" s="92"/>
      <c r="D4" s="92"/>
      <c r="E4" s="93"/>
      <c r="F4" s="92"/>
      <c r="G4" s="92"/>
      <c r="I4"/>
      <c r="K4" s="6"/>
      <c r="L4" s="6"/>
      <c r="M4" s="6"/>
      <c r="N4" s="6"/>
      <c r="O4" s="6"/>
    </row>
    <row r="5" spans="1:15" ht="15">
      <c r="A5" s="65" t="s">
        <v>2315</v>
      </c>
      <c r="B5" s="65" t="s">
        <v>2316</v>
      </c>
      <c r="C5" s="65" t="s">
        <v>2317</v>
      </c>
      <c r="D5" s="65" t="s">
        <v>2318</v>
      </c>
      <c r="E5" s="91" t="s">
        <v>2319</v>
      </c>
      <c r="F5" s="65" t="s">
        <v>2141</v>
      </c>
      <c r="G5" s="65" t="s">
        <v>2320</v>
      </c>
      <c r="I5"/>
      <c r="K5" s="6"/>
      <c r="L5" s="6"/>
      <c r="M5" s="6"/>
      <c r="N5" s="6"/>
      <c r="O5" s="6"/>
    </row>
    <row r="6" spans="1:15" ht="15">
      <c r="A6" s="65" t="s">
        <v>2321</v>
      </c>
      <c r="B6" s="65" t="s">
        <v>2322</v>
      </c>
      <c r="C6" s="65" t="s">
        <v>2317</v>
      </c>
      <c r="D6" s="65" t="s">
        <v>2318</v>
      </c>
      <c r="E6" s="91" t="s">
        <v>2319</v>
      </c>
      <c r="F6" s="65" t="s">
        <v>2141</v>
      </c>
      <c r="G6" s="65" t="s">
        <v>2323</v>
      </c>
      <c r="I6"/>
      <c r="K6" s="6"/>
      <c r="L6" s="6"/>
      <c r="M6" s="6"/>
      <c r="N6" s="6"/>
      <c r="O6" s="6"/>
    </row>
    <row r="7" spans="1:15" ht="15">
      <c r="A7" s="65" t="s">
        <v>2324</v>
      </c>
      <c r="B7" s="65" t="s">
        <v>2322</v>
      </c>
      <c r="C7" s="65" t="s">
        <v>2317</v>
      </c>
      <c r="D7" s="65" t="s">
        <v>2318</v>
      </c>
      <c r="E7" s="91" t="s">
        <v>2319</v>
      </c>
      <c r="F7" s="65" t="s">
        <v>2141</v>
      </c>
      <c r="G7" s="65" t="s">
        <v>2323</v>
      </c>
      <c r="I7"/>
      <c r="K7" s="6"/>
      <c r="L7" s="6"/>
      <c r="M7" s="6"/>
      <c r="N7" s="6"/>
      <c r="O7" s="6"/>
    </row>
    <row r="8" spans="1:15" ht="15">
      <c r="A8" s="65" t="s">
        <v>2325</v>
      </c>
      <c r="B8" s="65" t="s">
        <v>2326</v>
      </c>
      <c r="C8" s="65" t="s">
        <v>2317</v>
      </c>
      <c r="D8" s="65" t="s">
        <v>2318</v>
      </c>
      <c r="E8" s="91" t="s">
        <v>2319</v>
      </c>
      <c r="F8" s="65" t="s">
        <v>2141</v>
      </c>
      <c r="G8" s="65" t="s">
        <v>2323</v>
      </c>
      <c r="I8"/>
      <c r="K8" s="6"/>
      <c r="L8" s="6"/>
      <c r="M8" s="6"/>
      <c r="N8" s="6"/>
      <c r="O8" s="6"/>
    </row>
    <row r="9" spans="1:15" ht="17.25">
      <c r="A9" s="92" t="s">
        <v>2327</v>
      </c>
      <c r="B9" s="92"/>
      <c r="C9" s="92"/>
      <c r="D9" s="92"/>
      <c r="E9" s="93"/>
      <c r="F9" s="92"/>
      <c r="G9" s="92"/>
      <c r="I9"/>
      <c r="K9" s="39"/>
      <c r="L9" s="39"/>
      <c r="M9" s="39"/>
      <c r="N9" s="39"/>
      <c r="O9" s="39"/>
    </row>
    <row r="10" spans="1:15" ht="15">
      <c r="A10" s="65" t="s">
        <v>2328</v>
      </c>
      <c r="B10" s="65"/>
      <c r="C10" s="65" t="s">
        <v>2329</v>
      </c>
      <c r="D10" s="65" t="s">
        <v>2318</v>
      </c>
      <c r="E10" s="91" t="s">
        <v>2330</v>
      </c>
      <c r="F10" s="65" t="s">
        <v>2141</v>
      </c>
      <c r="G10" s="65" t="s">
        <v>2331</v>
      </c>
      <c r="I10"/>
      <c r="K10" s="39"/>
      <c r="L10" s="39"/>
      <c r="M10" s="39"/>
      <c r="N10" s="39"/>
      <c r="O10" s="39"/>
    </row>
    <row r="11" spans="1:15" ht="17.25">
      <c r="A11" s="92" t="s">
        <v>2332</v>
      </c>
      <c r="B11" s="92"/>
      <c r="C11" s="92"/>
      <c r="D11" s="92"/>
      <c r="E11" s="93"/>
      <c r="F11" s="92"/>
      <c r="G11" s="92"/>
      <c r="I11"/>
      <c r="K11" s="39"/>
      <c r="L11" s="39"/>
      <c r="M11" s="39"/>
      <c r="N11" s="39"/>
      <c r="O11" s="39"/>
    </row>
    <row r="12" spans="1:15" ht="15">
      <c r="A12" s="65" t="s">
        <v>2333</v>
      </c>
      <c r="B12" s="65" t="s">
        <v>2334</v>
      </c>
      <c r="C12" s="65" t="s">
        <v>2335</v>
      </c>
      <c r="D12" s="65" t="s">
        <v>2318</v>
      </c>
      <c r="E12" s="91" t="s">
        <v>2330</v>
      </c>
      <c r="F12" s="65" t="s">
        <v>2141</v>
      </c>
      <c r="G12" s="65" t="s">
        <v>2323</v>
      </c>
      <c r="I12"/>
      <c r="K12" s="39"/>
      <c r="L12" s="39"/>
      <c r="M12" s="39"/>
      <c r="N12" s="39"/>
      <c r="O12" s="39"/>
    </row>
    <row r="13" spans="1:15" ht="15">
      <c r="A13" s="65" t="s">
        <v>2336</v>
      </c>
      <c r="B13" s="65" t="s">
        <v>2334</v>
      </c>
      <c r="C13" s="65" t="s">
        <v>2329</v>
      </c>
      <c r="D13" s="65" t="s">
        <v>2318</v>
      </c>
      <c r="E13" s="91" t="s">
        <v>2330</v>
      </c>
      <c r="F13" s="65" t="s">
        <v>2141</v>
      </c>
      <c r="G13" s="65" t="s">
        <v>2323</v>
      </c>
      <c r="I13"/>
      <c r="K13" s="39"/>
      <c r="L13" s="39"/>
      <c r="M13" s="39"/>
      <c r="N13" s="39"/>
      <c r="O13" s="39"/>
    </row>
    <row r="14" spans="1:15" ht="15">
      <c r="A14" s="65" t="s">
        <v>2337</v>
      </c>
      <c r="B14" s="65" t="s">
        <v>2334</v>
      </c>
      <c r="C14" s="65" t="s">
        <v>2329</v>
      </c>
      <c r="D14" s="65" t="s">
        <v>2318</v>
      </c>
      <c r="E14" s="91" t="s">
        <v>2330</v>
      </c>
      <c r="F14" s="65" t="s">
        <v>2141</v>
      </c>
      <c r="G14" s="65" t="s">
        <v>2323</v>
      </c>
      <c r="I14"/>
      <c r="K14" s="39"/>
      <c r="L14" s="39"/>
      <c r="M14" s="39"/>
      <c r="N14" s="39"/>
      <c r="O14" s="39"/>
    </row>
    <row r="15" spans="1:15" ht="15">
      <c r="A15" s="65" t="s">
        <v>2338</v>
      </c>
      <c r="B15" s="65" t="s">
        <v>2339</v>
      </c>
      <c r="C15" s="65" t="s">
        <v>2329</v>
      </c>
      <c r="D15" s="65" t="s">
        <v>2318</v>
      </c>
      <c r="E15" s="91" t="s">
        <v>2330</v>
      </c>
      <c r="F15" s="65" t="s">
        <v>2141</v>
      </c>
      <c r="G15" s="65" t="s">
        <v>2323</v>
      </c>
      <c r="I15"/>
      <c r="K15" s="39"/>
      <c r="L15" s="39"/>
      <c r="M15" s="39"/>
      <c r="N15" s="39"/>
      <c r="O15" s="39"/>
    </row>
    <row r="16" spans="1:15" ht="15">
      <c r="A16" s="65" t="s">
        <v>2340</v>
      </c>
      <c r="B16" s="65"/>
      <c r="C16" s="65" t="s">
        <v>2329</v>
      </c>
      <c r="D16" s="65" t="s">
        <v>2318</v>
      </c>
      <c r="E16" s="91" t="s">
        <v>2330</v>
      </c>
      <c r="F16" s="65" t="s">
        <v>2141</v>
      </c>
      <c r="G16" s="65" t="s">
        <v>2323</v>
      </c>
      <c r="I16"/>
      <c r="K16" s="41"/>
    </row>
    <row r="17" spans="1:11" ht="15">
      <c r="A17" s="65" t="s">
        <v>2341</v>
      </c>
      <c r="B17" s="65"/>
      <c r="C17" s="65" t="s">
        <v>2329</v>
      </c>
      <c r="D17" s="65" t="s">
        <v>2318</v>
      </c>
      <c r="E17" s="91" t="s">
        <v>2330</v>
      </c>
      <c r="F17" s="65" t="s">
        <v>2141</v>
      </c>
      <c r="G17" s="65" t="s">
        <v>2323</v>
      </c>
      <c r="I17"/>
      <c r="K17" s="41"/>
    </row>
    <row r="18" spans="1:11" ht="15">
      <c r="A18" s="65" t="s">
        <v>2342</v>
      </c>
      <c r="B18" s="65"/>
      <c r="C18" s="65" t="s">
        <v>2329</v>
      </c>
      <c r="D18" s="65" t="s">
        <v>2318</v>
      </c>
      <c r="E18" s="91" t="s">
        <v>2330</v>
      </c>
      <c r="F18" s="65" t="s">
        <v>2141</v>
      </c>
      <c r="G18" s="65" t="s">
        <v>2323</v>
      </c>
      <c r="I18"/>
      <c r="K18" s="41"/>
    </row>
    <row r="19" spans="1:11" ht="17.25">
      <c r="A19" s="92" t="s">
        <v>2343</v>
      </c>
      <c r="B19" s="92"/>
      <c r="C19" s="92"/>
      <c r="D19" s="92"/>
      <c r="E19" s="93"/>
      <c r="F19" s="92"/>
      <c r="G19" s="92"/>
      <c r="I19"/>
      <c r="K19" s="41"/>
    </row>
    <row r="20" spans="1:11" ht="15">
      <c r="A20" s="65" t="s">
        <v>2344</v>
      </c>
      <c r="B20" s="65"/>
      <c r="C20" s="65" t="s">
        <v>2345</v>
      </c>
      <c r="D20" s="65" t="s">
        <v>2318</v>
      </c>
      <c r="E20" s="91" t="s">
        <v>2346</v>
      </c>
      <c r="F20" s="65" t="s">
        <v>2135</v>
      </c>
      <c r="G20" s="65" t="s">
        <v>2323</v>
      </c>
      <c r="I20"/>
      <c r="K20" s="41"/>
    </row>
    <row r="21" spans="1:11" ht="15">
      <c r="A21" s="65" t="s">
        <v>2347</v>
      </c>
      <c r="B21" s="65"/>
      <c r="C21" s="65" t="s">
        <v>2329</v>
      </c>
      <c r="D21" s="65" t="s">
        <v>2318</v>
      </c>
      <c r="E21" s="91" t="s">
        <v>2330</v>
      </c>
      <c r="F21" s="65" t="s">
        <v>2141</v>
      </c>
      <c r="G21" s="65" t="s">
        <v>2323</v>
      </c>
      <c r="I21"/>
      <c r="K21" s="41"/>
    </row>
    <row r="22" spans="1:11" ht="15">
      <c r="A22" s="65" t="s">
        <v>2348</v>
      </c>
      <c r="B22" s="65"/>
      <c r="C22" s="65" t="s">
        <v>2329</v>
      </c>
      <c r="D22" s="65" t="s">
        <v>2318</v>
      </c>
      <c r="E22" s="91" t="s">
        <v>2330</v>
      </c>
      <c r="F22" s="65" t="s">
        <v>2141</v>
      </c>
      <c r="G22" s="65" t="s">
        <v>2323</v>
      </c>
      <c r="I22"/>
      <c r="K22" s="41"/>
    </row>
    <row r="23" spans="1:11" ht="17.25">
      <c r="A23" s="92" t="s">
        <v>2349</v>
      </c>
      <c r="B23" s="92"/>
      <c r="C23" s="92"/>
      <c r="D23" s="92"/>
      <c r="E23" s="93"/>
      <c r="F23" s="92"/>
      <c r="G23" s="92"/>
      <c r="I23"/>
      <c r="K23" s="41"/>
    </row>
    <row r="24" spans="1:11" ht="15">
      <c r="A24" s="65" t="s">
        <v>2350</v>
      </c>
      <c r="B24" s="65"/>
      <c r="C24" s="65" t="s">
        <v>2329</v>
      </c>
      <c r="D24" s="65" t="s">
        <v>2318</v>
      </c>
      <c r="E24" s="91" t="s">
        <v>2330</v>
      </c>
      <c r="F24" s="65" t="s">
        <v>2141</v>
      </c>
      <c r="G24" s="65" t="s">
        <v>2323</v>
      </c>
      <c r="I24"/>
      <c r="K24" s="41"/>
    </row>
    <row r="25" spans="1:11" ht="17.25">
      <c r="A25" s="92" t="s">
        <v>2351</v>
      </c>
      <c r="B25" s="92"/>
      <c r="C25" s="92"/>
      <c r="D25" s="92"/>
      <c r="E25" s="93"/>
      <c r="F25" s="92"/>
      <c r="G25" s="92"/>
      <c r="I25"/>
      <c r="K25" s="41"/>
    </row>
    <row r="26" spans="1:11" ht="15">
      <c r="A26" s="65" t="s">
        <v>2352</v>
      </c>
      <c r="B26" s="65" t="s">
        <v>2353</v>
      </c>
      <c r="C26" s="65" t="s">
        <v>2317</v>
      </c>
      <c r="D26" s="65" t="s">
        <v>2318</v>
      </c>
      <c r="E26" s="91" t="s">
        <v>2319</v>
      </c>
      <c r="F26" s="65" t="s">
        <v>2141</v>
      </c>
      <c r="G26" s="65" t="s">
        <v>2354</v>
      </c>
      <c r="I26"/>
      <c r="K26" s="41"/>
    </row>
    <row r="27" spans="1:11" ht="15">
      <c r="A27" s="65" t="s">
        <v>2355</v>
      </c>
      <c r="B27" s="65" t="s">
        <v>2356</v>
      </c>
      <c r="C27" s="65" t="s">
        <v>2317</v>
      </c>
      <c r="D27" s="65" t="s">
        <v>2318</v>
      </c>
      <c r="E27" s="91" t="s">
        <v>2319</v>
      </c>
      <c r="F27" s="65" t="s">
        <v>2141</v>
      </c>
      <c r="G27" s="65" t="s">
        <v>2357</v>
      </c>
      <c r="I27"/>
      <c r="K27" s="41"/>
    </row>
    <row r="28" spans="1:11" ht="15">
      <c r="A28" s="65" t="s">
        <v>2358</v>
      </c>
      <c r="B28" s="65"/>
      <c r="C28" s="65" t="s">
        <v>2329</v>
      </c>
      <c r="D28" s="65" t="s">
        <v>2318</v>
      </c>
      <c r="E28" s="91" t="s">
        <v>2330</v>
      </c>
      <c r="F28" s="65" t="s">
        <v>2141</v>
      </c>
      <c r="G28" s="65" t="s">
        <v>2323</v>
      </c>
      <c r="I28"/>
      <c r="K28" s="41"/>
    </row>
    <row r="29" spans="1:11" ht="17.25">
      <c r="A29" s="92" t="s">
        <v>2359</v>
      </c>
      <c r="B29" s="92"/>
      <c r="C29" s="92"/>
      <c r="D29" s="92"/>
      <c r="E29" s="93"/>
      <c r="F29" s="92"/>
      <c r="G29" s="92"/>
      <c r="I29"/>
      <c r="K29" s="41"/>
    </row>
    <row r="30" spans="1:11" ht="15">
      <c r="A30" s="65" t="s">
        <v>2360</v>
      </c>
      <c r="B30" s="65"/>
      <c r="C30" s="65" t="s">
        <v>2317</v>
      </c>
      <c r="D30" s="65" t="s">
        <v>2318</v>
      </c>
      <c r="E30" s="91" t="s">
        <v>2319</v>
      </c>
      <c r="F30" s="65" t="s">
        <v>2141</v>
      </c>
      <c r="G30" s="65" t="s">
        <v>2361</v>
      </c>
      <c r="I30"/>
      <c r="K30" s="41"/>
    </row>
    <row r="31" spans="1:11" ht="15">
      <c r="A31" s="65" t="s">
        <v>2362</v>
      </c>
      <c r="B31" s="65" t="s">
        <v>2363</v>
      </c>
      <c r="C31" s="65" t="s">
        <v>2364</v>
      </c>
      <c r="D31" s="65" t="s">
        <v>2318</v>
      </c>
      <c r="E31" s="91" t="s">
        <v>2365</v>
      </c>
      <c r="F31" s="65" t="s">
        <v>2141</v>
      </c>
      <c r="G31" s="65" t="s">
        <v>2323</v>
      </c>
      <c r="I31"/>
      <c r="K31" s="41"/>
    </row>
    <row r="32" spans="1:11" ht="17.25">
      <c r="A32" s="92" t="s">
        <v>2366</v>
      </c>
      <c r="B32" s="92"/>
      <c r="C32" s="92"/>
      <c r="D32" s="92"/>
      <c r="E32" s="93"/>
      <c r="F32" s="92"/>
      <c r="G32" s="92"/>
      <c r="I32"/>
      <c r="K32" s="41"/>
    </row>
    <row r="33" spans="1:11" ht="15">
      <c r="A33" s="65" t="s">
        <v>2367</v>
      </c>
      <c r="B33" s="65"/>
      <c r="C33" s="65" t="s">
        <v>2317</v>
      </c>
      <c r="D33" s="65" t="s">
        <v>2318</v>
      </c>
      <c r="E33" s="91" t="s">
        <v>2319</v>
      </c>
      <c r="F33" s="65" t="s">
        <v>2141</v>
      </c>
      <c r="G33" s="65" t="s">
        <v>2368</v>
      </c>
      <c r="I33"/>
      <c r="K33" s="41"/>
    </row>
    <row r="34" spans="1:11" ht="15">
      <c r="A34" s="65" t="s">
        <v>2369</v>
      </c>
      <c r="B34" s="65" t="s">
        <v>2370</v>
      </c>
      <c r="C34" s="65" t="s">
        <v>2317</v>
      </c>
      <c r="D34" s="65" t="s">
        <v>2318</v>
      </c>
      <c r="E34" s="91" t="s">
        <v>2319</v>
      </c>
      <c r="F34" s="65" t="s">
        <v>2141</v>
      </c>
      <c r="G34" s="65" t="s">
        <v>2371</v>
      </c>
      <c r="I34"/>
      <c r="K34" s="41"/>
    </row>
    <row r="35" spans="1:11" ht="15">
      <c r="A35" s="65" t="s">
        <v>2372</v>
      </c>
      <c r="B35" s="65"/>
      <c r="C35" s="65" t="s">
        <v>2329</v>
      </c>
      <c r="D35" s="65" t="s">
        <v>2318</v>
      </c>
      <c r="E35" s="91" t="s">
        <v>2330</v>
      </c>
      <c r="F35" s="65" t="s">
        <v>2141</v>
      </c>
      <c r="G35" s="65" t="s">
        <v>2323</v>
      </c>
      <c r="I35"/>
      <c r="K35" s="41"/>
    </row>
    <row r="36" spans="1:11" ht="17.25">
      <c r="A36" s="92" t="s">
        <v>2373</v>
      </c>
      <c r="B36" s="92"/>
      <c r="C36" s="92"/>
      <c r="D36" s="92"/>
      <c r="E36" s="93"/>
      <c r="F36" s="92"/>
      <c r="G36" s="92"/>
      <c r="I36"/>
      <c r="K36" s="41"/>
    </row>
    <row r="37" spans="1:11" ht="15">
      <c r="A37" s="65" t="s">
        <v>2374</v>
      </c>
      <c r="B37" s="65"/>
      <c r="C37" s="65" t="s">
        <v>2329</v>
      </c>
      <c r="D37" s="65" t="s">
        <v>2318</v>
      </c>
      <c r="E37" s="91" t="s">
        <v>2330</v>
      </c>
      <c r="F37" s="65" t="s">
        <v>2141</v>
      </c>
      <c r="G37" s="65" t="s">
        <v>2375</v>
      </c>
      <c r="I37"/>
      <c r="K37" s="41"/>
    </row>
    <row r="38" spans="1:11" ht="17.25">
      <c r="A38" s="92" t="s">
        <v>2376</v>
      </c>
      <c r="B38" s="92"/>
      <c r="C38" s="92"/>
      <c r="D38" s="92"/>
      <c r="E38" s="93"/>
      <c r="F38" s="92"/>
      <c r="G38" s="92"/>
      <c r="I38"/>
      <c r="K38" s="41"/>
    </row>
    <row r="39" spans="1:11" ht="15">
      <c r="A39" s="65" t="s">
        <v>2377</v>
      </c>
      <c r="B39" s="65" t="s">
        <v>2378</v>
      </c>
      <c r="C39" s="65" t="s">
        <v>1622</v>
      </c>
      <c r="D39" s="65" t="s">
        <v>2379</v>
      </c>
      <c r="E39" s="91" t="s">
        <v>621</v>
      </c>
      <c r="F39" s="65" t="s">
        <v>2165</v>
      </c>
      <c r="G39" s="65" t="s">
        <v>2380</v>
      </c>
      <c r="I39"/>
      <c r="K39" s="41"/>
    </row>
    <row r="40" spans="1:11" ht="15">
      <c r="A40" s="65" t="s">
        <v>2381</v>
      </c>
      <c r="B40" s="65"/>
      <c r="C40" s="65" t="s">
        <v>1396</v>
      </c>
      <c r="D40" s="65" t="s">
        <v>2379</v>
      </c>
      <c r="E40" s="91" t="s">
        <v>1396</v>
      </c>
      <c r="F40" s="65" t="s">
        <v>2168</v>
      </c>
      <c r="G40" s="65" t="s">
        <v>2323</v>
      </c>
      <c r="I40"/>
      <c r="K40" s="41"/>
    </row>
    <row r="41" spans="1:11" ht="15">
      <c r="A41" s="65" t="s">
        <v>2382</v>
      </c>
      <c r="B41" s="65"/>
      <c r="C41" s="65" t="s">
        <v>2383</v>
      </c>
      <c r="D41" s="65" t="s">
        <v>2379</v>
      </c>
      <c r="E41" s="91" t="s">
        <v>1396</v>
      </c>
      <c r="F41" s="65" t="s">
        <v>2168</v>
      </c>
      <c r="G41" s="65" t="s">
        <v>2323</v>
      </c>
      <c r="I41"/>
      <c r="K41" s="41"/>
    </row>
    <row r="42" spans="1:11" ht="17.25">
      <c r="A42" s="92" t="s">
        <v>2384</v>
      </c>
      <c r="B42" s="92"/>
      <c r="C42" s="92"/>
      <c r="D42" s="92"/>
      <c r="E42" s="93"/>
      <c r="F42" s="92"/>
      <c r="G42" s="92"/>
      <c r="I42"/>
      <c r="K42" s="41"/>
    </row>
    <row r="43" spans="1:11" ht="15">
      <c r="A43" s="65" t="s">
        <v>2328</v>
      </c>
      <c r="B43" s="65"/>
      <c r="C43" s="65" t="s">
        <v>2329</v>
      </c>
      <c r="D43" s="65" t="s">
        <v>2379</v>
      </c>
      <c r="E43" s="91" t="s">
        <v>2385</v>
      </c>
      <c r="F43" s="65" t="s">
        <v>2180</v>
      </c>
      <c r="G43" s="65" t="s">
        <v>2331</v>
      </c>
      <c r="I43"/>
      <c r="K43" s="41"/>
    </row>
    <row r="44" spans="1:11" ht="17.25">
      <c r="A44" s="92" t="s">
        <v>2386</v>
      </c>
      <c r="B44" s="92"/>
      <c r="C44" s="92"/>
      <c r="D44" s="92"/>
      <c r="E44" s="93"/>
      <c r="F44" s="92"/>
      <c r="G44" s="92"/>
      <c r="I44"/>
      <c r="K44" s="41"/>
    </row>
    <row r="45" spans="1:11" ht="15">
      <c r="A45" s="65" t="s">
        <v>2387</v>
      </c>
      <c r="B45" s="65"/>
      <c r="C45" s="65" t="s">
        <v>621</v>
      </c>
      <c r="D45" s="65" t="s">
        <v>2379</v>
      </c>
      <c r="E45" s="91" t="s">
        <v>621</v>
      </c>
      <c r="F45" s="65" t="s">
        <v>2165</v>
      </c>
      <c r="G45" s="65" t="s">
        <v>2388</v>
      </c>
      <c r="I45"/>
      <c r="K45" s="41"/>
    </row>
    <row r="46" spans="1:11" ht="15">
      <c r="A46" s="65" t="s">
        <v>2389</v>
      </c>
      <c r="B46" s="65" t="s">
        <v>2390</v>
      </c>
      <c r="C46" s="65" t="s">
        <v>621</v>
      </c>
      <c r="D46" s="65" t="s">
        <v>2379</v>
      </c>
      <c r="E46" s="91" t="s">
        <v>621</v>
      </c>
      <c r="F46" s="65" t="s">
        <v>2165</v>
      </c>
      <c r="G46" s="65" t="s">
        <v>2391</v>
      </c>
      <c r="I46"/>
      <c r="K46" s="41"/>
    </row>
    <row r="47" spans="1:11" ht="15">
      <c r="A47" s="65" t="s">
        <v>2392</v>
      </c>
      <c r="B47" s="65" t="s">
        <v>2390</v>
      </c>
      <c r="C47" s="65" t="s">
        <v>2393</v>
      </c>
      <c r="D47" s="65" t="s">
        <v>2379</v>
      </c>
      <c r="E47" s="91" t="s">
        <v>621</v>
      </c>
      <c r="F47" s="65" t="s">
        <v>2168</v>
      </c>
      <c r="G47" s="65" t="s">
        <v>2394</v>
      </c>
      <c r="I47"/>
      <c r="K47" s="41"/>
    </row>
    <row r="48" spans="1:11" ht="17.25">
      <c r="A48" s="92" t="s">
        <v>2395</v>
      </c>
      <c r="B48" s="92"/>
      <c r="C48" s="92"/>
      <c r="D48" s="92"/>
      <c r="E48" s="93"/>
      <c r="F48" s="92"/>
      <c r="G48" s="92"/>
      <c r="I48"/>
      <c r="K48" s="41"/>
    </row>
    <row r="49" spans="1:11" ht="15">
      <c r="A49" s="65" t="s">
        <v>2333</v>
      </c>
      <c r="B49" s="65" t="s">
        <v>2334</v>
      </c>
      <c r="C49" s="65" t="s">
        <v>2335</v>
      </c>
      <c r="D49" s="65" t="s">
        <v>2379</v>
      </c>
      <c r="E49" s="91" t="s">
        <v>2385</v>
      </c>
      <c r="F49" s="65" t="s">
        <v>2180</v>
      </c>
      <c r="G49" s="65" t="s">
        <v>2323</v>
      </c>
      <c r="I49"/>
      <c r="K49" s="41"/>
    </row>
    <row r="50" spans="1:11" ht="15">
      <c r="A50" s="65" t="s">
        <v>2336</v>
      </c>
      <c r="B50" s="65" t="s">
        <v>2334</v>
      </c>
      <c r="C50" s="65" t="s">
        <v>2329</v>
      </c>
      <c r="D50" s="65" t="s">
        <v>2379</v>
      </c>
      <c r="E50" s="91" t="s">
        <v>2385</v>
      </c>
      <c r="F50" s="65" t="s">
        <v>2180</v>
      </c>
      <c r="G50" s="65" t="s">
        <v>2323</v>
      </c>
      <c r="I50"/>
      <c r="K50" s="41"/>
    </row>
    <row r="51" spans="1:11" ht="15">
      <c r="A51" s="65" t="s">
        <v>2337</v>
      </c>
      <c r="B51" s="65" t="s">
        <v>2334</v>
      </c>
      <c r="C51" s="65" t="s">
        <v>2329</v>
      </c>
      <c r="D51" s="65" t="s">
        <v>2379</v>
      </c>
      <c r="E51" s="91" t="s">
        <v>2385</v>
      </c>
      <c r="F51" s="65" t="s">
        <v>2180</v>
      </c>
      <c r="G51" s="65" t="s">
        <v>2323</v>
      </c>
      <c r="I51"/>
      <c r="K51" s="41"/>
    </row>
    <row r="52" spans="1:11" ht="15">
      <c r="A52" s="65" t="s">
        <v>2338</v>
      </c>
      <c r="B52" s="65" t="s">
        <v>2339</v>
      </c>
      <c r="C52" s="65" t="s">
        <v>2329</v>
      </c>
      <c r="D52" s="65" t="s">
        <v>2379</v>
      </c>
      <c r="E52" s="91" t="s">
        <v>2385</v>
      </c>
      <c r="F52" s="65" t="s">
        <v>2180</v>
      </c>
      <c r="G52" s="65" t="s">
        <v>2323</v>
      </c>
      <c r="I52"/>
      <c r="K52" s="41"/>
    </row>
    <row r="53" spans="1:11" ht="15">
      <c r="A53" s="65" t="s">
        <v>2340</v>
      </c>
      <c r="B53" s="65"/>
      <c r="C53" s="65" t="s">
        <v>2329</v>
      </c>
      <c r="D53" s="65" t="s">
        <v>2379</v>
      </c>
      <c r="E53" s="91" t="s">
        <v>2385</v>
      </c>
      <c r="F53" s="65" t="s">
        <v>2180</v>
      </c>
      <c r="G53" s="65" t="s">
        <v>2323</v>
      </c>
      <c r="I53"/>
      <c r="K53" s="41"/>
    </row>
    <row r="54" spans="1:11" ht="15">
      <c r="A54" s="65" t="s">
        <v>2341</v>
      </c>
      <c r="B54" s="65"/>
      <c r="C54" s="65" t="s">
        <v>2329</v>
      </c>
      <c r="D54" s="65" t="s">
        <v>2379</v>
      </c>
      <c r="E54" s="91" t="s">
        <v>2385</v>
      </c>
      <c r="F54" s="65" t="s">
        <v>2180</v>
      </c>
      <c r="G54" s="65" t="s">
        <v>2323</v>
      </c>
      <c r="I54"/>
      <c r="K54" s="41"/>
    </row>
    <row r="55" spans="1:11" ht="15">
      <c r="A55" s="65" t="s">
        <v>2342</v>
      </c>
      <c r="B55" s="65"/>
      <c r="C55" s="65" t="s">
        <v>2329</v>
      </c>
      <c r="D55" s="65" t="s">
        <v>2379</v>
      </c>
      <c r="E55" s="91" t="s">
        <v>2385</v>
      </c>
      <c r="F55" s="65" t="s">
        <v>2180</v>
      </c>
      <c r="G55" s="65" t="s">
        <v>2323</v>
      </c>
      <c r="I55"/>
      <c r="K55" s="41"/>
    </row>
    <row r="56" spans="1:11" ht="17.25">
      <c r="A56" s="92" t="s">
        <v>2396</v>
      </c>
      <c r="B56" s="92"/>
      <c r="C56" s="92"/>
      <c r="D56" s="92"/>
      <c r="E56" s="93"/>
      <c r="F56" s="92"/>
      <c r="G56" s="92"/>
      <c r="I56"/>
      <c r="K56" s="41"/>
    </row>
    <row r="57" spans="1:11" ht="15">
      <c r="A57" s="65" t="s">
        <v>2347</v>
      </c>
      <c r="B57" s="65"/>
      <c r="C57" s="65" t="s">
        <v>2329</v>
      </c>
      <c r="D57" s="65" t="s">
        <v>2379</v>
      </c>
      <c r="E57" s="91" t="s">
        <v>2385</v>
      </c>
      <c r="F57" s="65" t="s">
        <v>2180</v>
      </c>
      <c r="G57" s="65" t="s">
        <v>2323</v>
      </c>
      <c r="I57"/>
      <c r="K57" s="41"/>
    </row>
    <row r="58" spans="1:11" ht="15">
      <c r="A58" s="65" t="s">
        <v>2348</v>
      </c>
      <c r="B58" s="65"/>
      <c r="C58" s="65" t="s">
        <v>2329</v>
      </c>
      <c r="D58" s="65" t="s">
        <v>2379</v>
      </c>
      <c r="E58" s="91" t="s">
        <v>2385</v>
      </c>
      <c r="F58" s="65" t="s">
        <v>2180</v>
      </c>
      <c r="G58" s="65" t="s">
        <v>2323</v>
      </c>
      <c r="I58"/>
      <c r="K58" s="41"/>
    </row>
    <row r="59" spans="1:11" ht="15">
      <c r="A59" s="65" t="s">
        <v>2397</v>
      </c>
      <c r="B59" s="65"/>
      <c r="C59" s="65" t="s">
        <v>621</v>
      </c>
      <c r="D59" s="65" t="s">
        <v>2379</v>
      </c>
      <c r="E59" s="91" t="s">
        <v>621</v>
      </c>
      <c r="F59" s="65" t="s">
        <v>2165</v>
      </c>
      <c r="G59" s="65" t="s">
        <v>2398</v>
      </c>
      <c r="I59"/>
      <c r="K59" s="41"/>
    </row>
    <row r="60" spans="1:11" ht="17.25">
      <c r="A60" s="92" t="s">
        <v>2399</v>
      </c>
      <c r="B60" s="92"/>
      <c r="C60" s="92"/>
      <c r="D60" s="92"/>
      <c r="E60" s="93"/>
      <c r="F60" s="92"/>
      <c r="G60" s="92"/>
      <c r="I60"/>
      <c r="K60" s="41"/>
    </row>
    <row r="61" spans="1:11" ht="15">
      <c r="A61" s="65" t="s">
        <v>2400</v>
      </c>
      <c r="B61" s="65"/>
      <c r="C61" s="65" t="s">
        <v>2401</v>
      </c>
      <c r="D61" s="65" t="s">
        <v>2379</v>
      </c>
      <c r="E61" s="91" t="s">
        <v>621</v>
      </c>
      <c r="F61" s="65" t="s">
        <v>2165</v>
      </c>
      <c r="G61" s="65" t="s">
        <v>2323</v>
      </c>
      <c r="I61"/>
      <c r="K61" s="41"/>
    </row>
    <row r="62" spans="1:11" ht="15">
      <c r="A62" s="65" t="s">
        <v>2350</v>
      </c>
      <c r="B62" s="65"/>
      <c r="C62" s="65" t="s">
        <v>2329</v>
      </c>
      <c r="D62" s="65" t="s">
        <v>2379</v>
      </c>
      <c r="E62" s="91" t="s">
        <v>2385</v>
      </c>
      <c r="F62" s="65" t="s">
        <v>2180</v>
      </c>
      <c r="G62" s="65" t="s">
        <v>2323</v>
      </c>
      <c r="I62"/>
      <c r="K62" s="41"/>
    </row>
    <row r="63" spans="1:11" ht="17.25">
      <c r="A63" s="92" t="s">
        <v>2402</v>
      </c>
      <c r="B63" s="92"/>
      <c r="C63" s="92"/>
      <c r="D63" s="92"/>
      <c r="E63" s="93"/>
      <c r="F63" s="92"/>
      <c r="G63" s="92"/>
      <c r="I63"/>
      <c r="K63" s="41"/>
    </row>
    <row r="64" spans="1:11" ht="15">
      <c r="A64" s="65" t="s">
        <v>2403</v>
      </c>
      <c r="B64" s="65" t="s">
        <v>2404</v>
      </c>
      <c r="C64" s="65" t="s">
        <v>621</v>
      </c>
      <c r="D64" s="65" t="s">
        <v>2379</v>
      </c>
      <c r="E64" s="91" t="s">
        <v>621</v>
      </c>
      <c r="F64" s="65" t="s">
        <v>2165</v>
      </c>
      <c r="G64" s="65" t="s">
        <v>2405</v>
      </c>
      <c r="I64"/>
      <c r="K64" s="41"/>
    </row>
    <row r="65" spans="1:11" ht="15">
      <c r="A65" s="65" t="s">
        <v>2406</v>
      </c>
      <c r="B65" s="65" t="s">
        <v>2407</v>
      </c>
      <c r="C65" s="65" t="s">
        <v>2408</v>
      </c>
      <c r="D65" s="65" t="s">
        <v>2379</v>
      </c>
      <c r="E65" s="91" t="s">
        <v>621</v>
      </c>
      <c r="F65" s="65" t="s">
        <v>2165</v>
      </c>
      <c r="G65" s="65" t="s">
        <v>2409</v>
      </c>
      <c r="I65"/>
      <c r="K65" s="41"/>
    </row>
    <row r="66" spans="1:11" ht="15">
      <c r="A66" s="65" t="s">
        <v>2358</v>
      </c>
      <c r="B66" s="65"/>
      <c r="C66" s="65" t="s">
        <v>2329</v>
      </c>
      <c r="D66" s="65" t="s">
        <v>2379</v>
      </c>
      <c r="E66" s="91" t="s">
        <v>2385</v>
      </c>
      <c r="F66" s="65" t="s">
        <v>2180</v>
      </c>
      <c r="G66" s="65" t="s">
        <v>2323</v>
      </c>
      <c r="I66"/>
      <c r="K66" s="41"/>
    </row>
    <row r="67" spans="1:11" ht="17.25">
      <c r="A67" s="92" t="s">
        <v>2410</v>
      </c>
      <c r="B67" s="92"/>
      <c r="C67" s="92"/>
      <c r="D67" s="92"/>
      <c r="E67" s="93"/>
      <c r="F67" s="92"/>
      <c r="G67" s="92"/>
      <c r="I67"/>
      <c r="K67" s="41"/>
    </row>
    <row r="68" spans="1:11" ht="15">
      <c r="A68" s="65" t="s">
        <v>2411</v>
      </c>
      <c r="B68" s="65" t="s">
        <v>2412</v>
      </c>
      <c r="C68" s="65" t="s">
        <v>621</v>
      </c>
      <c r="D68" s="65" t="s">
        <v>2379</v>
      </c>
      <c r="E68" s="91" t="s">
        <v>621</v>
      </c>
      <c r="F68" s="65" t="s">
        <v>2165</v>
      </c>
      <c r="G68" s="65" t="s">
        <v>2323</v>
      </c>
      <c r="I68"/>
      <c r="K68" s="41"/>
    </row>
    <row r="69" spans="1:11" ht="15">
      <c r="A69" s="65" t="s">
        <v>2413</v>
      </c>
      <c r="B69" s="65" t="s">
        <v>2407</v>
      </c>
      <c r="C69" s="65" t="s">
        <v>2414</v>
      </c>
      <c r="D69" s="65" t="s">
        <v>2379</v>
      </c>
      <c r="E69" s="91" t="s">
        <v>2415</v>
      </c>
      <c r="F69" s="65" t="s">
        <v>2168</v>
      </c>
      <c r="G69" s="65" t="s">
        <v>2416</v>
      </c>
      <c r="I69"/>
      <c r="K69" s="41"/>
    </row>
    <row r="70" spans="1:11" ht="15">
      <c r="A70" s="65" t="s">
        <v>2417</v>
      </c>
      <c r="B70" s="65"/>
      <c r="C70" s="65" t="s">
        <v>621</v>
      </c>
      <c r="D70" s="65" t="s">
        <v>2379</v>
      </c>
      <c r="E70" s="91" t="s">
        <v>621</v>
      </c>
      <c r="F70" s="65" t="s">
        <v>2165</v>
      </c>
      <c r="G70" s="65" t="s">
        <v>2361</v>
      </c>
      <c r="I70"/>
      <c r="K70" s="41"/>
    </row>
    <row r="71" spans="1:11" ht="15">
      <c r="A71" s="65" t="s">
        <v>2362</v>
      </c>
      <c r="B71" s="65" t="s">
        <v>2363</v>
      </c>
      <c r="C71" s="65" t="s">
        <v>2364</v>
      </c>
      <c r="D71" s="65" t="s">
        <v>2379</v>
      </c>
      <c r="E71" s="91" t="s">
        <v>2418</v>
      </c>
      <c r="F71" s="65" t="s">
        <v>2180</v>
      </c>
      <c r="G71" s="65" t="s">
        <v>2323</v>
      </c>
      <c r="I71"/>
      <c r="K71" s="41"/>
    </row>
    <row r="72" spans="1:11" ht="17.25">
      <c r="A72" s="92" t="s">
        <v>2419</v>
      </c>
      <c r="B72" s="92"/>
      <c r="C72" s="92"/>
      <c r="D72" s="92"/>
      <c r="E72" s="93"/>
      <c r="F72" s="92"/>
      <c r="G72" s="92"/>
      <c r="I72"/>
      <c r="K72" s="41"/>
    </row>
    <row r="73" spans="1:11" ht="15">
      <c r="A73" s="65" t="s">
        <v>2420</v>
      </c>
      <c r="B73" s="65"/>
      <c r="C73" s="65" t="s">
        <v>621</v>
      </c>
      <c r="D73" s="65" t="s">
        <v>2379</v>
      </c>
      <c r="E73" s="91" t="s">
        <v>621</v>
      </c>
      <c r="F73" s="65" t="s">
        <v>2165</v>
      </c>
      <c r="G73" s="65" t="s">
        <v>2323</v>
      </c>
      <c r="I73"/>
      <c r="K73" s="41"/>
    </row>
    <row r="74" spans="1:11" ht="15">
      <c r="A74" s="65" t="s">
        <v>2421</v>
      </c>
      <c r="B74" s="65" t="s">
        <v>2422</v>
      </c>
      <c r="C74" s="65" t="s">
        <v>2423</v>
      </c>
      <c r="D74" s="65" t="s">
        <v>2379</v>
      </c>
      <c r="E74" s="91" t="s">
        <v>2424</v>
      </c>
      <c r="F74" s="65" t="s">
        <v>2168</v>
      </c>
      <c r="G74" s="65" t="s">
        <v>2425</v>
      </c>
      <c r="I74"/>
      <c r="K74" s="41"/>
    </row>
    <row r="75" spans="1:11" ht="17.25">
      <c r="A75" s="92" t="s">
        <v>2426</v>
      </c>
      <c r="B75" s="92"/>
      <c r="C75" s="92"/>
      <c r="D75" s="92"/>
      <c r="E75" s="93"/>
      <c r="F75" s="92"/>
      <c r="G75" s="92"/>
      <c r="I75"/>
      <c r="K75" s="41"/>
    </row>
    <row r="76" spans="1:11" ht="15">
      <c r="A76" s="65" t="s">
        <v>2427</v>
      </c>
      <c r="B76" s="65" t="s">
        <v>2370</v>
      </c>
      <c r="C76" s="65" t="s">
        <v>2428</v>
      </c>
      <c r="D76" s="65" t="s">
        <v>2379</v>
      </c>
      <c r="E76" s="91" t="s">
        <v>621</v>
      </c>
      <c r="F76" s="65" t="s">
        <v>2165</v>
      </c>
      <c r="G76" s="65" t="s">
        <v>2429</v>
      </c>
      <c r="I76"/>
      <c r="K76" s="41"/>
    </row>
    <row r="77" spans="1:11" ht="15">
      <c r="A77" s="65" t="s">
        <v>2372</v>
      </c>
      <c r="B77" s="65"/>
      <c r="C77" s="65" t="s">
        <v>2329</v>
      </c>
      <c r="D77" s="65" t="s">
        <v>2379</v>
      </c>
      <c r="E77" s="91" t="s">
        <v>2385</v>
      </c>
      <c r="F77" s="65" t="s">
        <v>2180</v>
      </c>
      <c r="G77" s="65" t="s">
        <v>2323</v>
      </c>
      <c r="I77"/>
      <c r="K77" s="41"/>
    </row>
    <row r="78" spans="1:11" ht="17.25">
      <c r="A78" s="92" t="s">
        <v>2430</v>
      </c>
      <c r="B78" s="92"/>
      <c r="C78" s="92"/>
      <c r="D78" s="92"/>
      <c r="E78" s="93"/>
      <c r="F78" s="92"/>
      <c r="G78" s="92"/>
      <c r="I78"/>
      <c r="K78" s="41"/>
    </row>
    <row r="79" spans="1:11" ht="15">
      <c r="A79" s="65" t="s">
        <v>2374</v>
      </c>
      <c r="B79" s="65"/>
      <c r="C79" s="65" t="s">
        <v>2329</v>
      </c>
      <c r="D79" s="65" t="s">
        <v>2379</v>
      </c>
      <c r="E79" s="91" t="s">
        <v>2385</v>
      </c>
      <c r="F79" s="65" t="s">
        <v>2180</v>
      </c>
      <c r="G79" s="65" t="s">
        <v>2375</v>
      </c>
      <c r="I79"/>
      <c r="K79" s="41"/>
    </row>
    <row r="80" spans="1:11" ht="15">
      <c r="A80" s="65" t="s">
        <v>2431</v>
      </c>
      <c r="B80" s="65" t="s">
        <v>2432</v>
      </c>
      <c r="C80" s="65" t="s">
        <v>621</v>
      </c>
      <c r="D80" s="65" t="s">
        <v>2379</v>
      </c>
      <c r="E80" s="91" t="s">
        <v>621</v>
      </c>
      <c r="F80" s="65" t="s">
        <v>2165</v>
      </c>
      <c r="G80" s="65" t="s">
        <v>2433</v>
      </c>
      <c r="I80"/>
      <c r="K80" s="41"/>
    </row>
    <row r="81" spans="1:11" ht="15">
      <c r="A81" s="65" t="s">
        <v>2434</v>
      </c>
      <c r="B81" s="65" t="s">
        <v>2435</v>
      </c>
      <c r="C81" s="65" t="s">
        <v>2436</v>
      </c>
      <c r="D81" s="65" t="s">
        <v>2379</v>
      </c>
      <c r="E81" s="91" t="s">
        <v>2436</v>
      </c>
      <c r="F81" s="65" t="s">
        <v>2168</v>
      </c>
      <c r="G81" s="65" t="s">
        <v>2437</v>
      </c>
      <c r="I81"/>
      <c r="K81" s="41"/>
    </row>
    <row r="82" spans="1:11" ht="17.25">
      <c r="A82" s="92" t="s">
        <v>2438</v>
      </c>
      <c r="B82" s="92"/>
      <c r="C82" s="92"/>
      <c r="D82" s="92"/>
      <c r="E82" s="93"/>
      <c r="F82" s="92"/>
      <c r="G82" s="92"/>
      <c r="I82"/>
      <c r="K82" s="41"/>
    </row>
    <row r="83" spans="1:11" ht="15">
      <c r="A83" s="65" t="s">
        <v>2377</v>
      </c>
      <c r="B83" s="65" t="s">
        <v>2378</v>
      </c>
      <c r="C83" s="65" t="s">
        <v>1622</v>
      </c>
      <c r="D83" s="65" t="s">
        <v>2439</v>
      </c>
      <c r="E83" s="91" t="s">
        <v>120</v>
      </c>
      <c r="F83" s="65" t="s">
        <v>2195</v>
      </c>
      <c r="G83" s="65" t="s">
        <v>2380</v>
      </c>
      <c r="I83"/>
      <c r="K83" s="41"/>
    </row>
    <row r="84" spans="1:11" ht="15">
      <c r="A84" s="65" t="s">
        <v>2377</v>
      </c>
      <c r="B84" s="65" t="s">
        <v>2378</v>
      </c>
      <c r="C84" s="65" t="s">
        <v>1622</v>
      </c>
      <c r="D84" s="65" t="s">
        <v>2440</v>
      </c>
      <c r="E84" s="91" t="s">
        <v>120</v>
      </c>
      <c r="F84" s="65" t="s">
        <v>2202</v>
      </c>
      <c r="G84" s="65" t="s">
        <v>2380</v>
      </c>
      <c r="I84"/>
      <c r="K84" s="41"/>
    </row>
    <row r="85" spans="1:11" ht="15">
      <c r="A85" s="65" t="s">
        <v>2381</v>
      </c>
      <c r="B85" s="65"/>
      <c r="C85" s="65" t="s">
        <v>1396</v>
      </c>
      <c r="D85" s="65" t="s">
        <v>2440</v>
      </c>
      <c r="E85" s="91" t="s">
        <v>1396</v>
      </c>
      <c r="F85" s="65" t="s">
        <v>2202</v>
      </c>
      <c r="G85" s="65" t="s">
        <v>2323</v>
      </c>
      <c r="I85"/>
      <c r="K85" s="41"/>
    </row>
    <row r="86" spans="1:11" ht="15">
      <c r="A86" s="65" t="s">
        <v>2382</v>
      </c>
      <c r="B86" s="65"/>
      <c r="C86" s="65" t="s">
        <v>2383</v>
      </c>
      <c r="D86" s="65" t="s">
        <v>2439</v>
      </c>
      <c r="E86" s="91" t="s">
        <v>120</v>
      </c>
      <c r="F86" s="65" t="s">
        <v>2195</v>
      </c>
      <c r="G86" s="65" t="s">
        <v>2323</v>
      </c>
      <c r="I86"/>
      <c r="K86" s="41"/>
    </row>
    <row r="87" spans="1:11" ht="15">
      <c r="A87" s="65" t="s">
        <v>2382</v>
      </c>
      <c r="B87" s="65"/>
      <c r="C87" s="65" t="s">
        <v>2383</v>
      </c>
      <c r="D87" s="65" t="s">
        <v>2440</v>
      </c>
      <c r="E87" s="91" t="s">
        <v>2383</v>
      </c>
      <c r="F87" s="65" t="s">
        <v>2202</v>
      </c>
      <c r="G87" s="65" t="s">
        <v>2323</v>
      </c>
      <c r="I87"/>
      <c r="K87" s="41"/>
    </row>
    <row r="88" spans="1:11" ht="15">
      <c r="A88" s="65" t="s">
        <v>2441</v>
      </c>
      <c r="B88" s="65" t="s">
        <v>2316</v>
      </c>
      <c r="C88" s="65" t="s">
        <v>120</v>
      </c>
      <c r="D88" s="65" t="s">
        <v>2439</v>
      </c>
      <c r="E88" s="91" t="s">
        <v>120</v>
      </c>
      <c r="F88" s="65" t="s">
        <v>2195</v>
      </c>
      <c r="G88" s="65" t="s">
        <v>2323</v>
      </c>
      <c r="I88"/>
      <c r="K88" s="41"/>
    </row>
    <row r="89" spans="1:11" ht="15">
      <c r="A89" s="65" t="s">
        <v>2441</v>
      </c>
      <c r="B89" s="65" t="s">
        <v>2316</v>
      </c>
      <c r="C89" s="65" t="s">
        <v>120</v>
      </c>
      <c r="D89" s="65" t="s">
        <v>2440</v>
      </c>
      <c r="E89" s="91" t="s">
        <v>120</v>
      </c>
      <c r="F89" s="65" t="s">
        <v>2202</v>
      </c>
      <c r="G89" s="65" t="s">
        <v>2323</v>
      </c>
      <c r="I89"/>
      <c r="K89" s="41"/>
    </row>
    <row r="90" spans="1:11" ht="15">
      <c r="A90" s="65" t="s">
        <v>2442</v>
      </c>
      <c r="B90" s="65" t="s">
        <v>2326</v>
      </c>
      <c r="C90" s="65" t="s">
        <v>120</v>
      </c>
      <c r="D90" s="65" t="s">
        <v>2439</v>
      </c>
      <c r="E90" s="91" t="s">
        <v>120</v>
      </c>
      <c r="F90" s="65" t="s">
        <v>2195</v>
      </c>
      <c r="G90" s="65" t="s">
        <v>2443</v>
      </c>
      <c r="I90"/>
      <c r="K90" s="41"/>
    </row>
    <row r="91" spans="1:11" ht="15">
      <c r="A91" s="65" t="s">
        <v>2442</v>
      </c>
      <c r="B91" s="65" t="s">
        <v>2326</v>
      </c>
      <c r="C91" s="65" t="s">
        <v>120</v>
      </c>
      <c r="D91" s="65" t="s">
        <v>2440</v>
      </c>
      <c r="E91" s="91" t="s">
        <v>120</v>
      </c>
      <c r="F91" s="65" t="s">
        <v>2202</v>
      </c>
      <c r="G91" s="65" t="s">
        <v>2443</v>
      </c>
      <c r="I91"/>
      <c r="K91" s="41"/>
    </row>
    <row r="92" spans="1:11" ht="15">
      <c r="A92" s="65" t="s">
        <v>2444</v>
      </c>
      <c r="B92" s="65"/>
      <c r="C92" s="65" t="s">
        <v>120</v>
      </c>
      <c r="D92" s="65" t="s">
        <v>2439</v>
      </c>
      <c r="E92" s="91" t="s">
        <v>120</v>
      </c>
      <c r="F92" s="65" t="s">
        <v>2195</v>
      </c>
      <c r="G92" s="65" t="s">
        <v>2323</v>
      </c>
      <c r="I92"/>
      <c r="K92" s="41"/>
    </row>
    <row r="93" spans="1:11" ht="15">
      <c r="A93" s="65" t="s">
        <v>2444</v>
      </c>
      <c r="B93" s="65"/>
      <c r="C93" s="65" t="s">
        <v>120</v>
      </c>
      <c r="D93" s="65" t="s">
        <v>2440</v>
      </c>
      <c r="E93" s="91" t="s">
        <v>120</v>
      </c>
      <c r="F93" s="65" t="s">
        <v>2202</v>
      </c>
      <c r="G93" s="65" t="s">
        <v>2323</v>
      </c>
      <c r="I93"/>
      <c r="K93" s="41"/>
    </row>
    <row r="94" spans="1:11" ht="17.25">
      <c r="A94" s="92" t="s">
        <v>2445</v>
      </c>
      <c r="B94" s="92"/>
      <c r="C94" s="92"/>
      <c r="D94" s="92"/>
      <c r="E94" s="93"/>
      <c r="F94" s="92"/>
      <c r="G94" s="92"/>
      <c r="I94"/>
      <c r="K94" s="41"/>
    </row>
    <row r="95" spans="1:11" ht="15">
      <c r="A95" s="65" t="s">
        <v>2446</v>
      </c>
      <c r="B95" s="65" t="s">
        <v>2334</v>
      </c>
      <c r="C95" s="65" t="s">
        <v>120</v>
      </c>
      <c r="D95" s="65" t="s">
        <v>2439</v>
      </c>
      <c r="E95" s="91" t="s">
        <v>120</v>
      </c>
      <c r="F95" s="65" t="s">
        <v>2195</v>
      </c>
      <c r="G95" s="65" t="s">
        <v>2323</v>
      </c>
      <c r="I95"/>
      <c r="K95" s="41"/>
    </row>
    <row r="96" spans="1:11" ht="15">
      <c r="A96" s="65" t="s">
        <v>2446</v>
      </c>
      <c r="B96" s="65" t="s">
        <v>2334</v>
      </c>
      <c r="C96" s="65" t="s">
        <v>120</v>
      </c>
      <c r="D96" s="65" t="s">
        <v>2440</v>
      </c>
      <c r="E96" s="91" t="s">
        <v>120</v>
      </c>
      <c r="F96" s="65" t="s">
        <v>2202</v>
      </c>
      <c r="G96" s="65" t="s">
        <v>2323</v>
      </c>
      <c r="I96"/>
      <c r="K96" s="41"/>
    </row>
    <row r="97" spans="1:11" ht="15">
      <c r="A97" s="65" t="s">
        <v>2447</v>
      </c>
      <c r="B97" s="65" t="s">
        <v>2448</v>
      </c>
      <c r="C97" s="65" t="s">
        <v>120</v>
      </c>
      <c r="D97" s="65" t="s">
        <v>2439</v>
      </c>
      <c r="E97" s="91" t="s">
        <v>120</v>
      </c>
      <c r="F97" s="65" t="s">
        <v>2195</v>
      </c>
      <c r="G97" s="65" t="s">
        <v>2449</v>
      </c>
      <c r="I97"/>
      <c r="K97" s="41"/>
    </row>
    <row r="98" spans="1:11" ht="15">
      <c r="A98" s="65" t="s">
        <v>2447</v>
      </c>
      <c r="B98" s="65" t="s">
        <v>2448</v>
      </c>
      <c r="C98" s="65" t="s">
        <v>120</v>
      </c>
      <c r="D98" s="65" t="s">
        <v>2440</v>
      </c>
      <c r="E98" s="91" t="s">
        <v>120</v>
      </c>
      <c r="F98" s="65" t="s">
        <v>2202</v>
      </c>
      <c r="G98" s="65" t="s">
        <v>2449</v>
      </c>
      <c r="I98"/>
      <c r="K98" s="41"/>
    </row>
    <row r="99" spans="1:11" ht="15">
      <c r="A99" s="65" t="s">
        <v>2450</v>
      </c>
      <c r="B99" s="65" t="s">
        <v>2448</v>
      </c>
      <c r="C99" s="65" t="s">
        <v>120</v>
      </c>
      <c r="D99" s="65" t="s">
        <v>2439</v>
      </c>
      <c r="E99" s="91" t="s">
        <v>120</v>
      </c>
      <c r="F99" s="65" t="s">
        <v>2195</v>
      </c>
      <c r="G99" s="65" t="s">
        <v>2323</v>
      </c>
      <c r="I99"/>
      <c r="K99" s="41"/>
    </row>
    <row r="100" spans="1:11" ht="15">
      <c r="A100" s="65" t="s">
        <v>2450</v>
      </c>
      <c r="B100" s="65" t="s">
        <v>2448</v>
      </c>
      <c r="C100" s="65" t="s">
        <v>120</v>
      </c>
      <c r="D100" s="65" t="s">
        <v>2440</v>
      </c>
      <c r="E100" s="91" t="s">
        <v>120</v>
      </c>
      <c r="F100" s="65" t="s">
        <v>2202</v>
      </c>
      <c r="G100" s="65" t="s">
        <v>2323</v>
      </c>
      <c r="I100"/>
      <c r="K100" s="41"/>
    </row>
    <row r="101" spans="1:11" ht="15">
      <c r="A101" s="65" t="s">
        <v>2328</v>
      </c>
      <c r="B101" s="65"/>
      <c r="C101" s="65" t="s">
        <v>2329</v>
      </c>
      <c r="D101" s="65" t="s">
        <v>2439</v>
      </c>
      <c r="E101" s="91" t="s">
        <v>2451</v>
      </c>
      <c r="F101" s="65" t="s">
        <v>2198</v>
      </c>
      <c r="G101" s="65" t="s">
        <v>2331</v>
      </c>
      <c r="I101"/>
      <c r="K101" s="41"/>
    </row>
    <row r="102" spans="1:11" ht="15">
      <c r="A102" s="65" t="s">
        <v>2328</v>
      </c>
      <c r="B102" s="65"/>
      <c r="C102" s="65" t="s">
        <v>2329</v>
      </c>
      <c r="D102" s="65" t="s">
        <v>2440</v>
      </c>
      <c r="E102" s="91" t="s">
        <v>2451</v>
      </c>
      <c r="F102" s="65" t="s">
        <v>2202</v>
      </c>
      <c r="G102" s="65" t="s">
        <v>2331</v>
      </c>
      <c r="I102"/>
      <c r="K102" s="41"/>
    </row>
    <row r="103" spans="1:11" ht="15">
      <c r="A103" s="65" t="s">
        <v>2452</v>
      </c>
      <c r="B103" s="65" t="s">
        <v>2453</v>
      </c>
      <c r="C103" s="65" t="s">
        <v>120</v>
      </c>
      <c r="D103" s="65" t="s">
        <v>2439</v>
      </c>
      <c r="E103" s="91" t="s">
        <v>120</v>
      </c>
      <c r="F103" s="65" t="s">
        <v>2195</v>
      </c>
      <c r="G103" s="65" t="s">
        <v>2454</v>
      </c>
      <c r="I103"/>
      <c r="K103" s="41"/>
    </row>
    <row r="104" spans="1:11" ht="15">
      <c r="A104" s="65" t="s">
        <v>2452</v>
      </c>
      <c r="B104" s="65" t="s">
        <v>2453</v>
      </c>
      <c r="C104" s="65" t="s">
        <v>120</v>
      </c>
      <c r="D104" s="65" t="s">
        <v>2440</v>
      </c>
      <c r="E104" s="91" t="s">
        <v>120</v>
      </c>
      <c r="F104" s="65" t="s">
        <v>2202</v>
      </c>
      <c r="G104" s="65" t="s">
        <v>2454</v>
      </c>
      <c r="I104"/>
      <c r="K104" s="41"/>
    </row>
    <row r="105" spans="1:11" ht="17.25">
      <c r="A105" s="92" t="s">
        <v>2455</v>
      </c>
      <c r="B105" s="92"/>
      <c r="C105" s="92"/>
      <c r="D105" s="92"/>
      <c r="E105" s="93"/>
      <c r="F105" s="92"/>
      <c r="G105" s="92"/>
      <c r="I105"/>
      <c r="K105" s="41"/>
    </row>
    <row r="106" spans="1:11" ht="15">
      <c r="A106" s="65" t="s">
        <v>2456</v>
      </c>
      <c r="B106" s="65" t="s">
        <v>2457</v>
      </c>
      <c r="C106" s="65" t="s">
        <v>120</v>
      </c>
      <c r="D106" s="65" t="s">
        <v>2439</v>
      </c>
      <c r="E106" s="91" t="s">
        <v>120</v>
      </c>
      <c r="F106" s="65" t="s">
        <v>2195</v>
      </c>
      <c r="G106" s="65" t="s">
        <v>2323</v>
      </c>
      <c r="I106"/>
      <c r="K106" s="41"/>
    </row>
    <row r="107" spans="1:11" ht="15">
      <c r="A107" s="65" t="s">
        <v>2456</v>
      </c>
      <c r="B107" s="65" t="s">
        <v>2457</v>
      </c>
      <c r="C107" s="65" t="s">
        <v>120</v>
      </c>
      <c r="D107" s="65" t="s">
        <v>2440</v>
      </c>
      <c r="E107" s="91" t="s">
        <v>120</v>
      </c>
      <c r="F107" s="65" t="s">
        <v>2202</v>
      </c>
      <c r="G107" s="65" t="s">
        <v>2323</v>
      </c>
      <c r="I107"/>
      <c r="K107" s="41"/>
    </row>
    <row r="108" spans="1:11" ht="15">
      <c r="A108" s="65" t="s">
        <v>2458</v>
      </c>
      <c r="B108" s="65" t="s">
        <v>2457</v>
      </c>
      <c r="C108" s="65" t="s">
        <v>2459</v>
      </c>
      <c r="D108" s="65" t="s">
        <v>2439</v>
      </c>
      <c r="E108" s="91" t="s">
        <v>120</v>
      </c>
      <c r="F108" s="65" t="s">
        <v>2195</v>
      </c>
      <c r="G108" s="65" t="s">
        <v>2323</v>
      </c>
      <c r="I108"/>
      <c r="K108" s="41"/>
    </row>
    <row r="109" spans="1:11" ht="15">
      <c r="A109" s="65" t="s">
        <v>2458</v>
      </c>
      <c r="B109" s="65" t="s">
        <v>2457</v>
      </c>
      <c r="C109" s="65" t="s">
        <v>2459</v>
      </c>
      <c r="D109" s="65" t="s">
        <v>2440</v>
      </c>
      <c r="E109" s="91" t="s">
        <v>120</v>
      </c>
      <c r="F109" s="65" t="s">
        <v>2202</v>
      </c>
      <c r="G109" s="65" t="s">
        <v>2323</v>
      </c>
      <c r="I109"/>
      <c r="K109" s="41"/>
    </row>
    <row r="110" spans="1:11" ht="15">
      <c r="A110" s="65" t="s">
        <v>2460</v>
      </c>
      <c r="B110" s="65" t="s">
        <v>2457</v>
      </c>
      <c r="C110" s="65" t="s">
        <v>2461</v>
      </c>
      <c r="D110" s="65" t="s">
        <v>2439</v>
      </c>
      <c r="E110" s="91" t="s">
        <v>120</v>
      </c>
      <c r="F110" s="65" t="s">
        <v>2195</v>
      </c>
      <c r="G110" s="65" t="s">
        <v>2462</v>
      </c>
      <c r="I110"/>
      <c r="K110" s="41"/>
    </row>
    <row r="111" spans="1:11" ht="15">
      <c r="A111" s="65" t="s">
        <v>2460</v>
      </c>
      <c r="B111" s="65" t="s">
        <v>2457</v>
      </c>
      <c r="C111" s="65" t="s">
        <v>2461</v>
      </c>
      <c r="D111" s="65" t="s">
        <v>2440</v>
      </c>
      <c r="E111" s="91" t="s">
        <v>120</v>
      </c>
      <c r="F111" s="65" t="s">
        <v>2202</v>
      </c>
      <c r="G111" s="65" t="s">
        <v>2462</v>
      </c>
      <c r="I111"/>
      <c r="K111" s="41"/>
    </row>
    <row r="112" spans="1:11" ht="15">
      <c r="A112" s="65" t="s">
        <v>2463</v>
      </c>
      <c r="B112" s="65" t="s">
        <v>2457</v>
      </c>
      <c r="C112" s="65" t="s">
        <v>120</v>
      </c>
      <c r="D112" s="65" t="s">
        <v>2439</v>
      </c>
      <c r="E112" s="91" t="s">
        <v>120</v>
      </c>
      <c r="F112" s="65" t="s">
        <v>2195</v>
      </c>
      <c r="G112" s="65" t="s">
        <v>2323</v>
      </c>
      <c r="I112"/>
      <c r="K112" s="41"/>
    </row>
    <row r="113" spans="1:11" ht="15">
      <c r="A113" s="65" t="s">
        <v>2463</v>
      </c>
      <c r="B113" s="65" t="s">
        <v>2457</v>
      </c>
      <c r="C113" s="65" t="s">
        <v>120</v>
      </c>
      <c r="D113" s="65" t="s">
        <v>2440</v>
      </c>
      <c r="E113" s="91" t="s">
        <v>120</v>
      </c>
      <c r="F113" s="65" t="s">
        <v>2202</v>
      </c>
      <c r="G113" s="65" t="s">
        <v>2323</v>
      </c>
      <c r="I113"/>
      <c r="K113" s="41"/>
    </row>
    <row r="114" spans="1:11" ht="17.25">
      <c r="A114" s="92" t="s">
        <v>2464</v>
      </c>
      <c r="B114" s="92"/>
      <c r="C114" s="92"/>
      <c r="D114" s="92"/>
      <c r="E114" s="93"/>
      <c r="F114" s="92"/>
      <c r="G114" s="92"/>
      <c r="I114"/>
      <c r="K114" s="41"/>
    </row>
    <row r="115" spans="1:11" ht="15">
      <c r="A115" s="65" t="s">
        <v>2465</v>
      </c>
      <c r="B115" s="65" t="s">
        <v>2466</v>
      </c>
      <c r="C115" s="65" t="s">
        <v>2467</v>
      </c>
      <c r="D115" s="65" t="s">
        <v>2439</v>
      </c>
      <c r="E115" s="91" t="s">
        <v>120</v>
      </c>
      <c r="F115" s="65" t="s">
        <v>2195</v>
      </c>
      <c r="G115" s="65" t="s">
        <v>2323</v>
      </c>
      <c r="I115"/>
      <c r="K115" s="41"/>
    </row>
    <row r="116" spans="1:11" ht="15">
      <c r="A116" s="65" t="s">
        <v>2465</v>
      </c>
      <c r="B116" s="65" t="s">
        <v>2466</v>
      </c>
      <c r="C116" s="65" t="s">
        <v>2467</v>
      </c>
      <c r="D116" s="65" t="s">
        <v>2440</v>
      </c>
      <c r="E116" s="91" t="s">
        <v>120</v>
      </c>
      <c r="F116" s="65" t="s">
        <v>2202</v>
      </c>
      <c r="G116" s="65" t="s">
        <v>2323</v>
      </c>
      <c r="I116"/>
      <c r="K116" s="41"/>
    </row>
    <row r="117" spans="1:11" ht="15">
      <c r="A117" s="65" t="s">
        <v>2468</v>
      </c>
      <c r="B117" s="65" t="s">
        <v>2390</v>
      </c>
      <c r="C117" s="65" t="s">
        <v>120</v>
      </c>
      <c r="D117" s="65" t="s">
        <v>2439</v>
      </c>
      <c r="E117" s="91" t="s">
        <v>120</v>
      </c>
      <c r="F117" s="65" t="s">
        <v>2195</v>
      </c>
      <c r="G117" s="65" t="s">
        <v>2323</v>
      </c>
      <c r="I117"/>
      <c r="K117" s="41"/>
    </row>
    <row r="118" spans="1:11" ht="15">
      <c r="A118" s="65" t="s">
        <v>2468</v>
      </c>
      <c r="B118" s="65" t="s">
        <v>2390</v>
      </c>
      <c r="C118" s="65" t="s">
        <v>120</v>
      </c>
      <c r="D118" s="65" t="s">
        <v>2440</v>
      </c>
      <c r="E118" s="91" t="s">
        <v>120</v>
      </c>
      <c r="F118" s="65" t="s">
        <v>2202</v>
      </c>
      <c r="G118" s="65" t="s">
        <v>2323</v>
      </c>
      <c r="I118"/>
      <c r="K118" s="41"/>
    </row>
    <row r="119" spans="1:11" ht="15">
      <c r="A119" s="65" t="s">
        <v>2469</v>
      </c>
      <c r="B119" s="65" t="s">
        <v>2466</v>
      </c>
      <c r="C119" s="65" t="s">
        <v>2470</v>
      </c>
      <c r="D119" s="65" t="s">
        <v>2439</v>
      </c>
      <c r="E119" s="91" t="s">
        <v>120</v>
      </c>
      <c r="F119" s="65" t="s">
        <v>2195</v>
      </c>
      <c r="G119" s="65" t="s">
        <v>2323</v>
      </c>
      <c r="I119"/>
      <c r="K119" s="41"/>
    </row>
    <row r="120" spans="1:11" ht="15">
      <c r="A120" s="65" t="s">
        <v>2469</v>
      </c>
      <c r="B120" s="65" t="s">
        <v>2466</v>
      </c>
      <c r="C120" s="65" t="s">
        <v>2470</v>
      </c>
      <c r="D120" s="65" t="s">
        <v>2440</v>
      </c>
      <c r="E120" s="91" t="s">
        <v>120</v>
      </c>
      <c r="F120" s="65" t="s">
        <v>2202</v>
      </c>
      <c r="G120" s="65" t="s">
        <v>2323</v>
      </c>
      <c r="I120"/>
      <c r="K120" s="41"/>
    </row>
    <row r="121" spans="1:11" ht="15">
      <c r="A121" s="65" t="s">
        <v>2392</v>
      </c>
      <c r="B121" s="65" t="s">
        <v>2390</v>
      </c>
      <c r="C121" s="65" t="s">
        <v>2393</v>
      </c>
      <c r="D121" s="65" t="s">
        <v>2439</v>
      </c>
      <c r="E121" s="91" t="s">
        <v>120</v>
      </c>
      <c r="F121" s="65" t="s">
        <v>2195</v>
      </c>
      <c r="G121" s="65" t="s">
        <v>2394</v>
      </c>
      <c r="I121"/>
      <c r="K121" s="41"/>
    </row>
    <row r="122" spans="1:11" ht="15">
      <c r="A122" s="65" t="s">
        <v>2392</v>
      </c>
      <c r="B122" s="65" t="s">
        <v>2390</v>
      </c>
      <c r="C122" s="65" t="s">
        <v>2393</v>
      </c>
      <c r="D122" s="65" t="s">
        <v>2440</v>
      </c>
      <c r="E122" s="91" t="s">
        <v>120</v>
      </c>
      <c r="F122" s="65" t="s">
        <v>2202</v>
      </c>
      <c r="G122" s="65" t="s">
        <v>2394</v>
      </c>
      <c r="I122"/>
      <c r="K122" s="41"/>
    </row>
    <row r="123" spans="1:11" ht="15">
      <c r="A123" s="65" t="s">
        <v>2471</v>
      </c>
      <c r="B123" s="65" t="s">
        <v>2472</v>
      </c>
      <c r="C123" s="65" t="s">
        <v>120</v>
      </c>
      <c r="D123" s="65" t="s">
        <v>2439</v>
      </c>
      <c r="E123" s="91" t="s">
        <v>120</v>
      </c>
      <c r="F123" s="65" t="s">
        <v>2195</v>
      </c>
      <c r="G123" s="65" t="s">
        <v>2473</v>
      </c>
      <c r="I123"/>
      <c r="K123" s="41"/>
    </row>
    <row r="124" spans="1:11" ht="15">
      <c r="A124" s="65" t="s">
        <v>2471</v>
      </c>
      <c r="B124" s="65" t="s">
        <v>2472</v>
      </c>
      <c r="C124" s="65" t="s">
        <v>120</v>
      </c>
      <c r="D124" s="65" t="s">
        <v>2440</v>
      </c>
      <c r="E124" s="91" t="s">
        <v>120</v>
      </c>
      <c r="F124" s="65" t="s">
        <v>2202</v>
      </c>
      <c r="G124" s="65" t="s">
        <v>2473</v>
      </c>
      <c r="I124"/>
      <c r="K124" s="41"/>
    </row>
    <row r="125" spans="1:11" ht="15">
      <c r="A125" s="65" t="s">
        <v>2474</v>
      </c>
      <c r="B125" s="65" t="s">
        <v>2472</v>
      </c>
      <c r="C125" s="65" t="s">
        <v>120</v>
      </c>
      <c r="D125" s="65" t="s">
        <v>2439</v>
      </c>
      <c r="E125" s="91" t="s">
        <v>120</v>
      </c>
      <c r="F125" s="65" t="s">
        <v>2195</v>
      </c>
      <c r="G125" s="65" t="s">
        <v>2323</v>
      </c>
      <c r="I125"/>
      <c r="K125" s="41"/>
    </row>
    <row r="126" spans="1:11" ht="15">
      <c r="A126" s="65" t="s">
        <v>2474</v>
      </c>
      <c r="B126" s="65" t="s">
        <v>2472</v>
      </c>
      <c r="C126" s="65" t="s">
        <v>120</v>
      </c>
      <c r="D126" s="65" t="s">
        <v>2440</v>
      </c>
      <c r="E126" s="91" t="s">
        <v>120</v>
      </c>
      <c r="F126" s="65" t="s">
        <v>2202</v>
      </c>
      <c r="G126" s="65" t="s">
        <v>2323</v>
      </c>
      <c r="I126"/>
      <c r="K126" s="41"/>
    </row>
    <row r="127" spans="1:11" ht="17.25">
      <c r="A127" s="92" t="s">
        <v>2475</v>
      </c>
      <c r="B127" s="92"/>
      <c r="C127" s="92"/>
      <c r="D127" s="92"/>
      <c r="E127" s="93"/>
      <c r="F127" s="92"/>
      <c r="G127" s="92"/>
      <c r="I127"/>
      <c r="K127" s="41"/>
    </row>
    <row r="128" spans="1:11" ht="15">
      <c r="A128" s="65" t="s">
        <v>2476</v>
      </c>
      <c r="B128" s="65" t="s">
        <v>2477</v>
      </c>
      <c r="C128" s="65" t="s">
        <v>120</v>
      </c>
      <c r="D128" s="65" t="s">
        <v>2439</v>
      </c>
      <c r="E128" s="91" t="s">
        <v>120</v>
      </c>
      <c r="F128" s="65" t="s">
        <v>2195</v>
      </c>
      <c r="G128" s="65" t="s">
        <v>2478</v>
      </c>
      <c r="I128"/>
      <c r="K128" s="41"/>
    </row>
    <row r="129" spans="1:11" ht="15">
      <c r="A129" s="65" t="s">
        <v>2476</v>
      </c>
      <c r="B129" s="65" t="s">
        <v>2477</v>
      </c>
      <c r="C129" s="65" t="s">
        <v>120</v>
      </c>
      <c r="D129" s="65" t="s">
        <v>2440</v>
      </c>
      <c r="E129" s="91" t="s">
        <v>120</v>
      </c>
      <c r="F129" s="65" t="s">
        <v>2202</v>
      </c>
      <c r="G129" s="65" t="s">
        <v>2478</v>
      </c>
      <c r="I129"/>
      <c r="K129" s="41"/>
    </row>
    <row r="130" spans="1:11" ht="15">
      <c r="A130" s="65" t="s">
        <v>2333</v>
      </c>
      <c r="B130" s="65" t="s">
        <v>2334</v>
      </c>
      <c r="C130" s="65" t="s">
        <v>2335</v>
      </c>
      <c r="D130" s="65" t="s">
        <v>2439</v>
      </c>
      <c r="E130" s="91" t="s">
        <v>2451</v>
      </c>
      <c r="F130" s="65" t="s">
        <v>2198</v>
      </c>
      <c r="G130" s="65" t="s">
        <v>2323</v>
      </c>
      <c r="I130"/>
      <c r="K130" s="41"/>
    </row>
    <row r="131" spans="1:11" ht="15">
      <c r="A131" s="65" t="s">
        <v>2333</v>
      </c>
      <c r="B131" s="65" t="s">
        <v>2334</v>
      </c>
      <c r="C131" s="65" t="s">
        <v>2335</v>
      </c>
      <c r="D131" s="65" t="s">
        <v>2440</v>
      </c>
      <c r="E131" s="91" t="s">
        <v>2451</v>
      </c>
      <c r="F131" s="65" t="s">
        <v>2202</v>
      </c>
      <c r="G131" s="65" t="s">
        <v>2323</v>
      </c>
      <c r="I131"/>
      <c r="K131" s="41"/>
    </row>
    <row r="132" spans="1:11" ht="15">
      <c r="A132" s="65" t="s">
        <v>2336</v>
      </c>
      <c r="B132" s="65" t="s">
        <v>2334</v>
      </c>
      <c r="C132" s="65" t="s">
        <v>2329</v>
      </c>
      <c r="D132" s="65" t="s">
        <v>2439</v>
      </c>
      <c r="E132" s="91" t="s">
        <v>2451</v>
      </c>
      <c r="F132" s="65" t="s">
        <v>2198</v>
      </c>
      <c r="G132" s="65" t="s">
        <v>2323</v>
      </c>
      <c r="I132"/>
      <c r="K132" s="41"/>
    </row>
    <row r="133" spans="1:11" ht="15">
      <c r="A133" s="65" t="s">
        <v>2336</v>
      </c>
      <c r="B133" s="65" t="s">
        <v>2334</v>
      </c>
      <c r="C133" s="65" t="s">
        <v>2329</v>
      </c>
      <c r="D133" s="65" t="s">
        <v>2440</v>
      </c>
      <c r="E133" s="91" t="s">
        <v>2451</v>
      </c>
      <c r="F133" s="65" t="s">
        <v>2202</v>
      </c>
      <c r="G133" s="65" t="s">
        <v>2323</v>
      </c>
      <c r="I133"/>
      <c r="K133" s="41"/>
    </row>
    <row r="134" spans="1:11" ht="15">
      <c r="A134" s="65" t="s">
        <v>2337</v>
      </c>
      <c r="B134" s="65" t="s">
        <v>2334</v>
      </c>
      <c r="C134" s="65" t="s">
        <v>2329</v>
      </c>
      <c r="D134" s="65" t="s">
        <v>2439</v>
      </c>
      <c r="E134" s="91" t="s">
        <v>2451</v>
      </c>
      <c r="F134" s="65" t="s">
        <v>2198</v>
      </c>
      <c r="G134" s="65" t="s">
        <v>2323</v>
      </c>
      <c r="I134"/>
      <c r="K134" s="41"/>
    </row>
    <row r="135" spans="1:11" ht="15">
      <c r="A135" s="65" t="s">
        <v>2337</v>
      </c>
      <c r="B135" s="65" t="s">
        <v>2334</v>
      </c>
      <c r="C135" s="65" t="s">
        <v>2329</v>
      </c>
      <c r="D135" s="65" t="s">
        <v>2440</v>
      </c>
      <c r="E135" s="91" t="s">
        <v>2451</v>
      </c>
      <c r="F135" s="65" t="s">
        <v>2202</v>
      </c>
      <c r="G135" s="65" t="s">
        <v>2323</v>
      </c>
      <c r="I135"/>
      <c r="K135" s="41"/>
    </row>
    <row r="136" spans="1:11" ht="15">
      <c r="A136" s="65" t="s">
        <v>2338</v>
      </c>
      <c r="B136" s="65" t="s">
        <v>2339</v>
      </c>
      <c r="C136" s="65" t="s">
        <v>2329</v>
      </c>
      <c r="D136" s="65" t="s">
        <v>2439</v>
      </c>
      <c r="E136" s="91" t="s">
        <v>2451</v>
      </c>
      <c r="F136" s="65" t="s">
        <v>2198</v>
      </c>
      <c r="G136" s="65" t="s">
        <v>2323</v>
      </c>
      <c r="I136"/>
      <c r="K136" s="41"/>
    </row>
    <row r="137" spans="1:11" ht="15">
      <c r="A137" s="65" t="s">
        <v>2338</v>
      </c>
      <c r="B137" s="65" t="s">
        <v>2339</v>
      </c>
      <c r="C137" s="65" t="s">
        <v>2329</v>
      </c>
      <c r="D137" s="65" t="s">
        <v>2440</v>
      </c>
      <c r="E137" s="91" t="s">
        <v>2451</v>
      </c>
      <c r="F137" s="65" t="s">
        <v>2202</v>
      </c>
      <c r="G137" s="65" t="s">
        <v>2323</v>
      </c>
      <c r="I137"/>
      <c r="K137" s="41"/>
    </row>
    <row r="138" spans="1:11" ht="15">
      <c r="A138" s="65" t="s">
        <v>2340</v>
      </c>
      <c r="B138" s="65"/>
      <c r="C138" s="65" t="s">
        <v>2329</v>
      </c>
      <c r="D138" s="65" t="s">
        <v>2439</v>
      </c>
      <c r="E138" s="91" t="s">
        <v>2451</v>
      </c>
      <c r="F138" s="65" t="s">
        <v>2198</v>
      </c>
      <c r="G138" s="65" t="s">
        <v>2323</v>
      </c>
      <c r="I138"/>
      <c r="K138" s="41"/>
    </row>
    <row r="139" spans="1:11" ht="15">
      <c r="A139" s="65" t="s">
        <v>2340</v>
      </c>
      <c r="B139" s="65"/>
      <c r="C139" s="65" t="s">
        <v>2329</v>
      </c>
      <c r="D139" s="65" t="s">
        <v>2440</v>
      </c>
      <c r="E139" s="91" t="s">
        <v>2451</v>
      </c>
      <c r="F139" s="65" t="s">
        <v>2202</v>
      </c>
      <c r="G139" s="65" t="s">
        <v>2323</v>
      </c>
      <c r="I139"/>
      <c r="K139" s="41"/>
    </row>
    <row r="140" spans="1:11" ht="15">
      <c r="A140" s="65" t="s">
        <v>2341</v>
      </c>
      <c r="B140" s="65"/>
      <c r="C140" s="65" t="s">
        <v>2329</v>
      </c>
      <c r="D140" s="65" t="s">
        <v>2439</v>
      </c>
      <c r="E140" s="91" t="s">
        <v>2451</v>
      </c>
      <c r="F140" s="65" t="s">
        <v>2198</v>
      </c>
      <c r="G140" s="65" t="s">
        <v>2323</v>
      </c>
      <c r="I140"/>
      <c r="K140" s="41"/>
    </row>
    <row r="141" spans="1:11" ht="15">
      <c r="A141" s="65" t="s">
        <v>2341</v>
      </c>
      <c r="B141" s="65"/>
      <c r="C141" s="65" t="s">
        <v>2329</v>
      </c>
      <c r="D141" s="65" t="s">
        <v>2440</v>
      </c>
      <c r="E141" s="91" t="s">
        <v>2451</v>
      </c>
      <c r="F141" s="65" t="s">
        <v>2202</v>
      </c>
      <c r="G141" s="65" t="s">
        <v>2323</v>
      </c>
      <c r="I141"/>
      <c r="K141" s="41"/>
    </row>
    <row r="142" spans="1:11" ht="15">
      <c r="A142" s="65" t="s">
        <v>2342</v>
      </c>
      <c r="B142" s="65"/>
      <c r="C142" s="65" t="s">
        <v>2329</v>
      </c>
      <c r="D142" s="65" t="s">
        <v>2439</v>
      </c>
      <c r="E142" s="91" t="s">
        <v>2451</v>
      </c>
      <c r="F142" s="65" t="s">
        <v>2198</v>
      </c>
      <c r="G142" s="65" t="s">
        <v>2323</v>
      </c>
      <c r="I142"/>
      <c r="K142" s="41"/>
    </row>
    <row r="143" spans="1:11" ht="15">
      <c r="A143" s="65" t="s">
        <v>2342</v>
      </c>
      <c r="B143" s="65"/>
      <c r="C143" s="65" t="s">
        <v>2329</v>
      </c>
      <c r="D143" s="65" t="s">
        <v>2440</v>
      </c>
      <c r="E143" s="91" t="s">
        <v>2451</v>
      </c>
      <c r="F143" s="65" t="s">
        <v>2202</v>
      </c>
      <c r="G143" s="65" t="s">
        <v>2323</v>
      </c>
      <c r="I143"/>
      <c r="K143" s="41"/>
    </row>
    <row r="144" spans="1:11" ht="17.25">
      <c r="A144" s="92" t="s">
        <v>2479</v>
      </c>
      <c r="B144" s="92"/>
      <c r="C144" s="92"/>
      <c r="D144" s="92"/>
      <c r="E144" s="93"/>
      <c r="F144" s="92"/>
      <c r="G144" s="92"/>
      <c r="I144"/>
      <c r="K144" s="41"/>
    </row>
    <row r="145" spans="1:11" ht="15">
      <c r="A145" s="65" t="s">
        <v>2480</v>
      </c>
      <c r="B145" s="65" t="s">
        <v>2481</v>
      </c>
      <c r="C145" s="65" t="s">
        <v>120</v>
      </c>
      <c r="D145" s="65" t="s">
        <v>2439</v>
      </c>
      <c r="E145" s="91" t="s">
        <v>120</v>
      </c>
      <c r="F145" s="65" t="s">
        <v>2195</v>
      </c>
      <c r="G145" s="65" t="s">
        <v>2323</v>
      </c>
      <c r="I145"/>
      <c r="K145" s="41"/>
    </row>
    <row r="146" spans="1:11" ht="15">
      <c r="A146" s="65" t="s">
        <v>2480</v>
      </c>
      <c r="B146" s="65" t="s">
        <v>2481</v>
      </c>
      <c r="C146" s="65" t="s">
        <v>120</v>
      </c>
      <c r="D146" s="65" t="s">
        <v>2440</v>
      </c>
      <c r="E146" s="91" t="s">
        <v>120</v>
      </c>
      <c r="F146" s="65" t="s">
        <v>2202</v>
      </c>
      <c r="G146" s="65" t="s">
        <v>2323</v>
      </c>
      <c r="I146"/>
      <c r="K146" s="41"/>
    </row>
    <row r="147" spans="1:11" ht="15">
      <c r="A147" s="65" t="s">
        <v>2482</v>
      </c>
      <c r="B147" s="65" t="s">
        <v>2483</v>
      </c>
      <c r="C147" s="65" t="s">
        <v>120</v>
      </c>
      <c r="D147" s="65" t="s">
        <v>2439</v>
      </c>
      <c r="E147" s="91" t="s">
        <v>120</v>
      </c>
      <c r="F147" s="65" t="s">
        <v>2195</v>
      </c>
      <c r="G147" s="65" t="s">
        <v>2323</v>
      </c>
      <c r="I147"/>
      <c r="K147" s="41"/>
    </row>
    <row r="148" spans="1:11" ht="15">
      <c r="A148" s="65" t="s">
        <v>2482</v>
      </c>
      <c r="B148" s="65" t="s">
        <v>2483</v>
      </c>
      <c r="C148" s="65" t="s">
        <v>120</v>
      </c>
      <c r="D148" s="65" t="s">
        <v>2440</v>
      </c>
      <c r="E148" s="91" t="s">
        <v>120</v>
      </c>
      <c r="F148" s="65" t="s">
        <v>2202</v>
      </c>
      <c r="G148" s="65" t="s">
        <v>2323</v>
      </c>
      <c r="I148"/>
      <c r="K148" s="41"/>
    </row>
    <row r="149" spans="1:11" ht="15">
      <c r="A149" s="65" t="s">
        <v>2484</v>
      </c>
      <c r="B149" s="65" t="s">
        <v>2483</v>
      </c>
      <c r="C149" s="65" t="s">
        <v>2485</v>
      </c>
      <c r="D149" s="65" t="s">
        <v>2439</v>
      </c>
      <c r="E149" s="91" t="s">
        <v>120</v>
      </c>
      <c r="F149" s="65" t="s">
        <v>2195</v>
      </c>
      <c r="G149" s="65" t="s">
        <v>2486</v>
      </c>
      <c r="I149"/>
      <c r="K149" s="41"/>
    </row>
    <row r="150" spans="1:11" ht="15">
      <c r="A150" s="65" t="s">
        <v>2484</v>
      </c>
      <c r="B150" s="65" t="s">
        <v>2483</v>
      </c>
      <c r="C150" s="65" t="s">
        <v>2485</v>
      </c>
      <c r="D150" s="65" t="s">
        <v>2440</v>
      </c>
      <c r="E150" s="91" t="s">
        <v>120</v>
      </c>
      <c r="F150" s="65" t="s">
        <v>2202</v>
      </c>
      <c r="G150" s="65" t="s">
        <v>2486</v>
      </c>
      <c r="I150"/>
      <c r="K150" s="41"/>
    </row>
    <row r="151" spans="1:11" ht="15">
      <c r="A151" s="65" t="s">
        <v>2487</v>
      </c>
      <c r="B151" s="65" t="s">
        <v>2488</v>
      </c>
      <c r="C151" s="65" t="s">
        <v>120</v>
      </c>
      <c r="D151" s="65" t="s">
        <v>2439</v>
      </c>
      <c r="E151" s="91" t="s">
        <v>120</v>
      </c>
      <c r="F151" s="65" t="s">
        <v>2195</v>
      </c>
      <c r="G151" s="65" t="s">
        <v>2323</v>
      </c>
      <c r="I151"/>
      <c r="K151" s="41"/>
    </row>
    <row r="152" spans="1:11" ht="15">
      <c r="A152" s="65" t="s">
        <v>2487</v>
      </c>
      <c r="B152" s="65" t="s">
        <v>2488</v>
      </c>
      <c r="C152" s="65" t="s">
        <v>120</v>
      </c>
      <c r="D152" s="65" t="s">
        <v>2440</v>
      </c>
      <c r="E152" s="91" t="s">
        <v>120</v>
      </c>
      <c r="F152" s="65" t="s">
        <v>2202</v>
      </c>
      <c r="G152" s="65" t="s">
        <v>2323</v>
      </c>
      <c r="I152"/>
      <c r="K152" s="41"/>
    </row>
    <row r="153" spans="1:11" ht="15">
      <c r="A153" s="65" t="s">
        <v>2344</v>
      </c>
      <c r="B153" s="65"/>
      <c r="C153" s="65" t="s">
        <v>2345</v>
      </c>
      <c r="D153" s="65" t="s">
        <v>2439</v>
      </c>
      <c r="E153" s="91" t="s">
        <v>120</v>
      </c>
      <c r="F153" s="65" t="s">
        <v>2195</v>
      </c>
      <c r="G153" s="65" t="s">
        <v>2323</v>
      </c>
      <c r="I153"/>
      <c r="K153" s="41"/>
    </row>
    <row r="154" spans="1:11" ht="15">
      <c r="A154" s="65" t="s">
        <v>2344</v>
      </c>
      <c r="B154" s="65"/>
      <c r="C154" s="65" t="s">
        <v>2345</v>
      </c>
      <c r="D154" s="65" t="s">
        <v>2440</v>
      </c>
      <c r="E154" s="91" t="s">
        <v>120</v>
      </c>
      <c r="F154" s="65" t="s">
        <v>2202</v>
      </c>
      <c r="G154" s="65" t="s">
        <v>2323</v>
      </c>
      <c r="I154"/>
      <c r="K154" s="41"/>
    </row>
    <row r="155" spans="1:11" ht="15">
      <c r="A155" s="65" t="s">
        <v>2347</v>
      </c>
      <c r="B155" s="65"/>
      <c r="C155" s="65" t="s">
        <v>2329</v>
      </c>
      <c r="D155" s="65" t="s">
        <v>2439</v>
      </c>
      <c r="E155" s="91" t="s">
        <v>2451</v>
      </c>
      <c r="F155" s="65" t="s">
        <v>2198</v>
      </c>
      <c r="G155" s="65" t="s">
        <v>2323</v>
      </c>
      <c r="I155"/>
      <c r="K155" s="41"/>
    </row>
    <row r="156" spans="1:11" ht="15">
      <c r="A156" s="65" t="s">
        <v>2347</v>
      </c>
      <c r="B156" s="65"/>
      <c r="C156" s="65" t="s">
        <v>2329</v>
      </c>
      <c r="D156" s="65" t="s">
        <v>2440</v>
      </c>
      <c r="E156" s="91" t="s">
        <v>2451</v>
      </c>
      <c r="F156" s="65" t="s">
        <v>2202</v>
      </c>
      <c r="G156" s="65" t="s">
        <v>2323</v>
      </c>
      <c r="I156"/>
      <c r="K156" s="41"/>
    </row>
    <row r="157" spans="1:11" ht="15">
      <c r="A157" s="65" t="s">
        <v>2348</v>
      </c>
      <c r="B157" s="65"/>
      <c r="C157" s="65" t="s">
        <v>2329</v>
      </c>
      <c r="D157" s="65" t="s">
        <v>2439</v>
      </c>
      <c r="E157" s="91" t="s">
        <v>2451</v>
      </c>
      <c r="F157" s="65" t="s">
        <v>2198</v>
      </c>
      <c r="G157" s="65" t="s">
        <v>2323</v>
      </c>
      <c r="I157"/>
      <c r="K157" s="41"/>
    </row>
    <row r="158" spans="1:11" ht="15">
      <c r="A158" s="65" t="s">
        <v>2348</v>
      </c>
      <c r="B158" s="65"/>
      <c r="C158" s="65" t="s">
        <v>2329</v>
      </c>
      <c r="D158" s="65" t="s">
        <v>2440</v>
      </c>
      <c r="E158" s="91" t="s">
        <v>2451</v>
      </c>
      <c r="F158" s="65" t="s">
        <v>2202</v>
      </c>
      <c r="G158" s="65" t="s">
        <v>2323</v>
      </c>
      <c r="I158"/>
      <c r="K158" s="41"/>
    </row>
    <row r="159" spans="1:11" ht="15">
      <c r="A159" s="65" t="s">
        <v>2489</v>
      </c>
      <c r="B159" s="65" t="s">
        <v>2483</v>
      </c>
      <c r="C159" s="65" t="s">
        <v>2490</v>
      </c>
      <c r="D159" s="65" t="s">
        <v>2439</v>
      </c>
      <c r="E159" s="91" t="s">
        <v>2490</v>
      </c>
      <c r="F159" s="65" t="s">
        <v>2195</v>
      </c>
      <c r="G159" s="65" t="s">
        <v>2323</v>
      </c>
      <c r="I159"/>
      <c r="K159" s="41"/>
    </row>
    <row r="160" spans="1:11" ht="15">
      <c r="A160" s="65" t="s">
        <v>2489</v>
      </c>
      <c r="B160" s="65" t="s">
        <v>2483</v>
      </c>
      <c r="C160" s="65" t="s">
        <v>2490</v>
      </c>
      <c r="D160" s="65" t="s">
        <v>2440</v>
      </c>
      <c r="E160" s="91" t="s">
        <v>2490</v>
      </c>
      <c r="F160" s="65" t="s">
        <v>2202</v>
      </c>
      <c r="G160" s="65" t="s">
        <v>2323</v>
      </c>
      <c r="I160"/>
      <c r="K160" s="41"/>
    </row>
    <row r="161" spans="1:11" ht="15">
      <c r="A161" s="65" t="s">
        <v>2491</v>
      </c>
      <c r="B161" s="65" t="s">
        <v>2488</v>
      </c>
      <c r="C161" s="65" t="s">
        <v>120</v>
      </c>
      <c r="D161" s="65" t="s">
        <v>2439</v>
      </c>
      <c r="E161" s="91" t="s">
        <v>120</v>
      </c>
      <c r="F161" s="65" t="s">
        <v>2195</v>
      </c>
      <c r="G161" s="65" t="s">
        <v>2323</v>
      </c>
      <c r="I161"/>
      <c r="K161" s="41"/>
    </row>
    <row r="162" spans="1:11" ht="15">
      <c r="A162" s="65" t="s">
        <v>2491</v>
      </c>
      <c r="B162" s="65" t="s">
        <v>2488</v>
      </c>
      <c r="C162" s="65" t="s">
        <v>120</v>
      </c>
      <c r="D162" s="65" t="s">
        <v>2440</v>
      </c>
      <c r="E162" s="91" t="s">
        <v>120</v>
      </c>
      <c r="F162" s="65" t="s">
        <v>2202</v>
      </c>
      <c r="G162" s="65" t="s">
        <v>2323</v>
      </c>
      <c r="I162"/>
      <c r="K162" s="41"/>
    </row>
    <row r="163" spans="1:11" ht="17.25">
      <c r="A163" s="92" t="s">
        <v>2492</v>
      </c>
      <c r="B163" s="92"/>
      <c r="C163" s="92"/>
      <c r="D163" s="92"/>
      <c r="E163" s="93"/>
      <c r="F163" s="92"/>
      <c r="G163" s="92"/>
      <c r="I163"/>
      <c r="K163" s="41"/>
    </row>
    <row r="164" spans="1:11" ht="15">
      <c r="A164" s="65" t="s">
        <v>2493</v>
      </c>
      <c r="B164" s="65"/>
      <c r="C164" s="65" t="s">
        <v>2490</v>
      </c>
      <c r="D164" s="65" t="s">
        <v>2439</v>
      </c>
      <c r="E164" s="91" t="s">
        <v>2490</v>
      </c>
      <c r="F164" s="65" t="s">
        <v>2195</v>
      </c>
      <c r="G164" s="65" t="s">
        <v>2323</v>
      </c>
      <c r="I164"/>
      <c r="K164" s="41"/>
    </row>
    <row r="165" spans="1:11" ht="15">
      <c r="A165" s="65" t="s">
        <v>2493</v>
      </c>
      <c r="B165" s="65"/>
      <c r="C165" s="65" t="s">
        <v>2490</v>
      </c>
      <c r="D165" s="65" t="s">
        <v>2440</v>
      </c>
      <c r="E165" s="91" t="s">
        <v>2490</v>
      </c>
      <c r="F165" s="65" t="s">
        <v>2202</v>
      </c>
      <c r="G165" s="65" t="s">
        <v>2323</v>
      </c>
      <c r="I165"/>
      <c r="K165" s="41"/>
    </row>
    <row r="166" spans="1:11" ht="15">
      <c r="A166" s="65" t="s">
        <v>2494</v>
      </c>
      <c r="B166" s="65"/>
      <c r="C166" s="65" t="s">
        <v>2490</v>
      </c>
      <c r="D166" s="65" t="s">
        <v>2439</v>
      </c>
      <c r="E166" s="91" t="s">
        <v>2490</v>
      </c>
      <c r="F166" s="65" t="s">
        <v>2195</v>
      </c>
      <c r="G166" s="65" t="s">
        <v>2323</v>
      </c>
      <c r="I166"/>
      <c r="K166" s="41"/>
    </row>
    <row r="167" spans="1:11" ht="15">
      <c r="A167" s="65" t="s">
        <v>2494</v>
      </c>
      <c r="B167" s="65"/>
      <c r="C167" s="65" t="s">
        <v>2490</v>
      </c>
      <c r="D167" s="65" t="s">
        <v>2440</v>
      </c>
      <c r="E167" s="91" t="s">
        <v>2490</v>
      </c>
      <c r="F167" s="65" t="s">
        <v>2202</v>
      </c>
      <c r="G167" s="65" t="s">
        <v>2323</v>
      </c>
      <c r="I167"/>
      <c r="K167" s="41"/>
    </row>
    <row r="168" spans="1:11" ht="15">
      <c r="A168" s="65" t="s">
        <v>2400</v>
      </c>
      <c r="B168" s="65"/>
      <c r="C168" s="65" t="s">
        <v>2401</v>
      </c>
      <c r="D168" s="65" t="s">
        <v>2439</v>
      </c>
      <c r="E168" s="91" t="s">
        <v>2490</v>
      </c>
      <c r="F168" s="65" t="s">
        <v>2195</v>
      </c>
      <c r="G168" s="65" t="s">
        <v>2323</v>
      </c>
      <c r="I168"/>
      <c r="K168" s="41"/>
    </row>
    <row r="169" spans="1:11" ht="15">
      <c r="A169" s="65" t="s">
        <v>2400</v>
      </c>
      <c r="B169" s="65"/>
      <c r="C169" s="65" t="s">
        <v>2401</v>
      </c>
      <c r="D169" s="65" t="s">
        <v>2440</v>
      </c>
      <c r="E169" s="91" t="s">
        <v>2490</v>
      </c>
      <c r="F169" s="65" t="s">
        <v>2202</v>
      </c>
      <c r="G169" s="65" t="s">
        <v>2323</v>
      </c>
      <c r="I169"/>
      <c r="K169" s="41"/>
    </row>
    <row r="170" spans="1:11" ht="15">
      <c r="A170" s="65" t="s">
        <v>2495</v>
      </c>
      <c r="B170" s="65" t="s">
        <v>2483</v>
      </c>
      <c r="C170" s="65" t="s">
        <v>120</v>
      </c>
      <c r="D170" s="65" t="s">
        <v>2439</v>
      </c>
      <c r="E170" s="91" t="s">
        <v>120</v>
      </c>
      <c r="F170" s="65" t="s">
        <v>2195</v>
      </c>
      <c r="G170" s="65" t="s">
        <v>2323</v>
      </c>
      <c r="I170"/>
      <c r="K170" s="41"/>
    </row>
    <row r="171" spans="1:11" ht="15">
      <c r="A171" s="65" t="s">
        <v>2495</v>
      </c>
      <c r="B171" s="65" t="s">
        <v>2483</v>
      </c>
      <c r="C171" s="65" t="s">
        <v>120</v>
      </c>
      <c r="D171" s="65" t="s">
        <v>2440</v>
      </c>
      <c r="E171" s="91" t="s">
        <v>120</v>
      </c>
      <c r="F171" s="65" t="s">
        <v>2202</v>
      </c>
      <c r="G171" s="65" t="s">
        <v>2323</v>
      </c>
      <c r="I171"/>
      <c r="K171" s="41"/>
    </row>
    <row r="172" spans="1:11" ht="15">
      <c r="A172" s="65" t="s">
        <v>2496</v>
      </c>
      <c r="B172" s="65" t="s">
        <v>2483</v>
      </c>
      <c r="C172" s="65" t="s">
        <v>120</v>
      </c>
      <c r="D172" s="65" t="s">
        <v>2439</v>
      </c>
      <c r="E172" s="91" t="s">
        <v>120</v>
      </c>
      <c r="F172" s="65" t="s">
        <v>2195</v>
      </c>
      <c r="G172" s="65" t="s">
        <v>2323</v>
      </c>
      <c r="I172"/>
      <c r="K172" s="41"/>
    </row>
    <row r="173" spans="1:11" ht="15">
      <c r="A173" s="65" t="s">
        <v>2496</v>
      </c>
      <c r="B173" s="65" t="s">
        <v>2483</v>
      </c>
      <c r="C173" s="65" t="s">
        <v>120</v>
      </c>
      <c r="D173" s="65" t="s">
        <v>2440</v>
      </c>
      <c r="E173" s="91" t="s">
        <v>120</v>
      </c>
      <c r="F173" s="65" t="s">
        <v>2202</v>
      </c>
      <c r="G173" s="65" t="s">
        <v>2323</v>
      </c>
      <c r="I173"/>
      <c r="K173" s="41"/>
    </row>
    <row r="174" spans="1:11" ht="15">
      <c r="A174" s="65" t="s">
        <v>2497</v>
      </c>
      <c r="B174" s="65" t="s">
        <v>2339</v>
      </c>
      <c r="C174" s="65" t="s">
        <v>120</v>
      </c>
      <c r="D174" s="65" t="s">
        <v>2439</v>
      </c>
      <c r="E174" s="91" t="s">
        <v>120</v>
      </c>
      <c r="F174" s="65" t="s">
        <v>2195</v>
      </c>
      <c r="G174" s="65" t="s">
        <v>2323</v>
      </c>
      <c r="I174"/>
      <c r="K174" s="41"/>
    </row>
    <row r="175" spans="1:11" ht="15">
      <c r="A175" s="65" t="s">
        <v>2497</v>
      </c>
      <c r="B175" s="65" t="s">
        <v>2339</v>
      </c>
      <c r="C175" s="65" t="s">
        <v>120</v>
      </c>
      <c r="D175" s="65" t="s">
        <v>2440</v>
      </c>
      <c r="E175" s="91" t="s">
        <v>120</v>
      </c>
      <c r="F175" s="65" t="s">
        <v>2202</v>
      </c>
      <c r="G175" s="65" t="s">
        <v>2323</v>
      </c>
      <c r="I175"/>
      <c r="K175" s="41"/>
    </row>
    <row r="176" spans="1:11" ht="15">
      <c r="A176" s="65" t="s">
        <v>2498</v>
      </c>
      <c r="B176" s="65" t="s">
        <v>2499</v>
      </c>
      <c r="C176" s="65" t="s">
        <v>2490</v>
      </c>
      <c r="D176" s="65" t="s">
        <v>2439</v>
      </c>
      <c r="E176" s="91" t="s">
        <v>2490</v>
      </c>
      <c r="F176" s="65" t="s">
        <v>2195</v>
      </c>
      <c r="G176" s="65" t="s">
        <v>2323</v>
      </c>
      <c r="I176"/>
      <c r="K176" s="41"/>
    </row>
    <row r="177" spans="1:11" ht="15">
      <c r="A177" s="65" t="s">
        <v>2498</v>
      </c>
      <c r="B177" s="65" t="s">
        <v>2499</v>
      </c>
      <c r="C177" s="65" t="s">
        <v>2490</v>
      </c>
      <c r="D177" s="65" t="s">
        <v>2440</v>
      </c>
      <c r="E177" s="91" t="s">
        <v>2490</v>
      </c>
      <c r="F177" s="65" t="s">
        <v>2202</v>
      </c>
      <c r="G177" s="65" t="s">
        <v>2323</v>
      </c>
      <c r="I177"/>
      <c r="K177" s="41"/>
    </row>
    <row r="178" spans="1:11" ht="15">
      <c r="A178" s="65" t="s">
        <v>2500</v>
      </c>
      <c r="B178" s="65" t="s">
        <v>2499</v>
      </c>
      <c r="C178" s="65" t="s">
        <v>2490</v>
      </c>
      <c r="D178" s="65" t="s">
        <v>2439</v>
      </c>
      <c r="E178" s="91" t="s">
        <v>2490</v>
      </c>
      <c r="F178" s="65" t="s">
        <v>2195</v>
      </c>
      <c r="G178" s="65" t="s">
        <v>2323</v>
      </c>
      <c r="I178"/>
      <c r="K178" s="41"/>
    </row>
    <row r="179" spans="1:11" ht="15">
      <c r="A179" s="65" t="s">
        <v>2500</v>
      </c>
      <c r="B179" s="65" t="s">
        <v>2499</v>
      </c>
      <c r="C179" s="65" t="s">
        <v>2490</v>
      </c>
      <c r="D179" s="65" t="s">
        <v>2440</v>
      </c>
      <c r="E179" s="91" t="s">
        <v>2490</v>
      </c>
      <c r="F179" s="65" t="s">
        <v>2202</v>
      </c>
      <c r="G179" s="65" t="s">
        <v>2323</v>
      </c>
      <c r="I179"/>
      <c r="K179" s="41"/>
    </row>
    <row r="180" spans="1:11" ht="15">
      <c r="A180" s="65" t="s">
        <v>2350</v>
      </c>
      <c r="B180" s="65"/>
      <c r="C180" s="65" t="s">
        <v>2329</v>
      </c>
      <c r="D180" s="65" t="s">
        <v>2439</v>
      </c>
      <c r="E180" s="91" t="s">
        <v>2451</v>
      </c>
      <c r="F180" s="65" t="s">
        <v>2198</v>
      </c>
      <c r="G180" s="65" t="s">
        <v>2323</v>
      </c>
      <c r="I180"/>
      <c r="K180" s="41"/>
    </row>
    <row r="181" spans="1:11" ht="15">
      <c r="A181" s="65" t="s">
        <v>2350</v>
      </c>
      <c r="B181" s="65"/>
      <c r="C181" s="65" t="s">
        <v>2329</v>
      </c>
      <c r="D181" s="65" t="s">
        <v>2440</v>
      </c>
      <c r="E181" s="91" t="s">
        <v>2451</v>
      </c>
      <c r="F181" s="65" t="s">
        <v>2202</v>
      </c>
      <c r="G181" s="65" t="s">
        <v>2323</v>
      </c>
      <c r="I181"/>
      <c r="K181" s="41"/>
    </row>
    <row r="182" spans="1:11" ht="15">
      <c r="A182" s="65" t="s">
        <v>2501</v>
      </c>
      <c r="B182" s="65" t="s">
        <v>2499</v>
      </c>
      <c r="C182" s="65" t="s">
        <v>120</v>
      </c>
      <c r="D182" s="65" t="s">
        <v>2439</v>
      </c>
      <c r="E182" s="91" t="s">
        <v>120</v>
      </c>
      <c r="F182" s="65" t="s">
        <v>2195</v>
      </c>
      <c r="G182" s="65" t="s">
        <v>2502</v>
      </c>
      <c r="I182"/>
      <c r="K182" s="41"/>
    </row>
    <row r="183" spans="1:11" ht="15">
      <c r="A183" s="65" t="s">
        <v>2501</v>
      </c>
      <c r="B183" s="65" t="s">
        <v>2499</v>
      </c>
      <c r="C183" s="65" t="s">
        <v>120</v>
      </c>
      <c r="D183" s="65" t="s">
        <v>2440</v>
      </c>
      <c r="E183" s="91" t="s">
        <v>120</v>
      </c>
      <c r="F183" s="65" t="s">
        <v>2202</v>
      </c>
      <c r="G183" s="65" t="s">
        <v>2502</v>
      </c>
      <c r="I183"/>
      <c r="K183" s="41"/>
    </row>
    <row r="184" spans="1:11" ht="17.25">
      <c r="A184" s="92" t="s">
        <v>2503</v>
      </c>
      <c r="B184" s="92"/>
      <c r="C184" s="92"/>
      <c r="D184" s="92"/>
      <c r="E184" s="93"/>
      <c r="F184" s="92"/>
      <c r="G184" s="92"/>
      <c r="I184"/>
      <c r="K184" s="41"/>
    </row>
    <row r="185" spans="1:11" ht="15">
      <c r="A185" s="65" t="s">
        <v>2504</v>
      </c>
      <c r="B185" s="65" t="s">
        <v>2505</v>
      </c>
      <c r="C185" s="65" t="s">
        <v>120</v>
      </c>
      <c r="D185" s="65" t="s">
        <v>2439</v>
      </c>
      <c r="E185" s="91" t="s">
        <v>120</v>
      </c>
      <c r="F185" s="65" t="s">
        <v>2195</v>
      </c>
      <c r="G185" s="65" t="s">
        <v>2323</v>
      </c>
      <c r="I185"/>
      <c r="K185" s="41"/>
    </row>
    <row r="186" spans="1:11" ht="15">
      <c r="A186" s="65" t="s">
        <v>2504</v>
      </c>
      <c r="B186" s="65" t="s">
        <v>2505</v>
      </c>
      <c r="C186" s="65" t="s">
        <v>120</v>
      </c>
      <c r="D186" s="65" t="s">
        <v>2440</v>
      </c>
      <c r="E186" s="91" t="s">
        <v>120</v>
      </c>
      <c r="F186" s="65" t="s">
        <v>2202</v>
      </c>
      <c r="G186" s="65" t="s">
        <v>2323</v>
      </c>
      <c r="I186"/>
      <c r="K186" s="41"/>
    </row>
    <row r="187" spans="1:11" ht="15">
      <c r="A187" s="65" t="s">
        <v>2506</v>
      </c>
      <c r="B187" s="65" t="s">
        <v>2435</v>
      </c>
      <c r="C187" s="65" t="s">
        <v>120</v>
      </c>
      <c r="D187" s="65" t="s">
        <v>2439</v>
      </c>
      <c r="E187" s="91" t="s">
        <v>120</v>
      </c>
      <c r="F187" s="65" t="s">
        <v>2195</v>
      </c>
      <c r="G187" s="65" t="s">
        <v>2323</v>
      </c>
      <c r="I187"/>
      <c r="K187" s="41"/>
    </row>
    <row r="188" spans="1:11" ht="15">
      <c r="A188" s="65" t="s">
        <v>2506</v>
      </c>
      <c r="B188" s="65" t="s">
        <v>2435</v>
      </c>
      <c r="C188" s="65" t="s">
        <v>120</v>
      </c>
      <c r="D188" s="65" t="s">
        <v>2440</v>
      </c>
      <c r="E188" s="91" t="s">
        <v>120</v>
      </c>
      <c r="F188" s="65" t="s">
        <v>2202</v>
      </c>
      <c r="G188" s="65" t="s">
        <v>2323</v>
      </c>
      <c r="I188"/>
      <c r="K188" s="41"/>
    </row>
    <row r="189" spans="1:11" ht="15">
      <c r="A189" s="65" t="s">
        <v>2507</v>
      </c>
      <c r="B189" s="65" t="s">
        <v>2435</v>
      </c>
      <c r="C189" s="65" t="s">
        <v>120</v>
      </c>
      <c r="D189" s="65" t="s">
        <v>2439</v>
      </c>
      <c r="E189" s="91" t="s">
        <v>120</v>
      </c>
      <c r="F189" s="65" t="s">
        <v>2195</v>
      </c>
      <c r="G189" s="65" t="s">
        <v>2323</v>
      </c>
      <c r="I189"/>
      <c r="K189" s="41"/>
    </row>
    <row r="190" spans="1:11" ht="15">
      <c r="A190" s="65" t="s">
        <v>2507</v>
      </c>
      <c r="B190" s="65" t="s">
        <v>2435</v>
      </c>
      <c r="C190" s="65" t="s">
        <v>120</v>
      </c>
      <c r="D190" s="65" t="s">
        <v>2440</v>
      </c>
      <c r="E190" s="91" t="s">
        <v>120</v>
      </c>
      <c r="F190" s="65" t="s">
        <v>2202</v>
      </c>
      <c r="G190" s="65" t="s">
        <v>2323</v>
      </c>
      <c r="I190"/>
      <c r="K190" s="41"/>
    </row>
    <row r="191" spans="1:11" ht="17.25">
      <c r="A191" s="92" t="s">
        <v>2508</v>
      </c>
      <c r="B191" s="92"/>
      <c r="C191" s="92"/>
      <c r="D191" s="92"/>
      <c r="E191" s="93"/>
      <c r="F191" s="92"/>
      <c r="G191" s="92"/>
      <c r="I191"/>
      <c r="K191" s="41"/>
    </row>
    <row r="192" spans="1:11" ht="15">
      <c r="A192" s="65" t="s">
        <v>2509</v>
      </c>
      <c r="B192" s="65" t="s">
        <v>2353</v>
      </c>
      <c r="C192" s="65" t="s">
        <v>2490</v>
      </c>
      <c r="D192" s="65" t="s">
        <v>2439</v>
      </c>
      <c r="E192" s="91" t="s">
        <v>2490</v>
      </c>
      <c r="F192" s="65" t="s">
        <v>2195</v>
      </c>
      <c r="G192" s="65" t="s">
        <v>2510</v>
      </c>
      <c r="I192"/>
      <c r="K192" s="41"/>
    </row>
    <row r="193" spans="1:11" ht="15">
      <c r="A193" s="65" t="s">
        <v>2509</v>
      </c>
      <c r="B193" s="65" t="s">
        <v>2353</v>
      </c>
      <c r="C193" s="65" t="s">
        <v>2490</v>
      </c>
      <c r="D193" s="65" t="s">
        <v>2440</v>
      </c>
      <c r="E193" s="91" t="s">
        <v>2490</v>
      </c>
      <c r="F193" s="65" t="s">
        <v>2202</v>
      </c>
      <c r="G193" s="65" t="s">
        <v>2510</v>
      </c>
      <c r="I193"/>
      <c r="K193" s="41"/>
    </row>
    <row r="194" spans="1:11" ht="15">
      <c r="A194" s="65" t="s">
        <v>2511</v>
      </c>
      <c r="B194" s="65" t="s">
        <v>2407</v>
      </c>
      <c r="C194" s="65" t="s">
        <v>120</v>
      </c>
      <c r="D194" s="65" t="s">
        <v>2439</v>
      </c>
      <c r="E194" s="91" t="s">
        <v>120</v>
      </c>
      <c r="F194" s="65" t="s">
        <v>2195</v>
      </c>
      <c r="G194" s="65" t="s">
        <v>2512</v>
      </c>
      <c r="I194"/>
      <c r="K194" s="41"/>
    </row>
    <row r="195" spans="1:11" ht="15">
      <c r="A195" s="65" t="s">
        <v>2511</v>
      </c>
      <c r="B195" s="65" t="s">
        <v>2407</v>
      </c>
      <c r="C195" s="65" t="s">
        <v>120</v>
      </c>
      <c r="D195" s="65" t="s">
        <v>2440</v>
      </c>
      <c r="E195" s="91" t="s">
        <v>120</v>
      </c>
      <c r="F195" s="65" t="s">
        <v>2202</v>
      </c>
      <c r="G195" s="65" t="s">
        <v>2512</v>
      </c>
      <c r="I195"/>
      <c r="K195" s="41"/>
    </row>
    <row r="196" spans="1:11" ht="15">
      <c r="A196" s="65" t="s">
        <v>2513</v>
      </c>
      <c r="B196" s="65" t="s">
        <v>2404</v>
      </c>
      <c r="C196" s="65" t="s">
        <v>120</v>
      </c>
      <c r="D196" s="65" t="s">
        <v>2439</v>
      </c>
      <c r="E196" s="91" t="s">
        <v>120</v>
      </c>
      <c r="F196" s="65" t="s">
        <v>2195</v>
      </c>
      <c r="G196" s="65" t="s">
        <v>2514</v>
      </c>
      <c r="I196"/>
      <c r="K196" s="41"/>
    </row>
    <row r="197" spans="1:11" ht="15">
      <c r="A197" s="65" t="s">
        <v>2513</v>
      </c>
      <c r="B197" s="65" t="s">
        <v>2404</v>
      </c>
      <c r="C197" s="65" t="s">
        <v>120</v>
      </c>
      <c r="D197" s="65" t="s">
        <v>2440</v>
      </c>
      <c r="E197" s="91" t="s">
        <v>120</v>
      </c>
      <c r="F197" s="65" t="s">
        <v>2202</v>
      </c>
      <c r="G197" s="65" t="s">
        <v>2514</v>
      </c>
      <c r="I197"/>
      <c r="K197" s="41"/>
    </row>
    <row r="198" spans="1:11" ht="15">
      <c r="A198" s="65" t="s">
        <v>2515</v>
      </c>
      <c r="B198" s="65" t="s">
        <v>2516</v>
      </c>
      <c r="C198" s="65" t="s">
        <v>120</v>
      </c>
      <c r="D198" s="65" t="s">
        <v>2439</v>
      </c>
      <c r="E198" s="91" t="s">
        <v>120</v>
      </c>
      <c r="F198" s="65" t="s">
        <v>2195</v>
      </c>
      <c r="G198" s="65" t="s">
        <v>2517</v>
      </c>
      <c r="I198"/>
      <c r="K198" s="41"/>
    </row>
    <row r="199" spans="1:11" ht="15">
      <c r="A199" s="65" t="s">
        <v>2515</v>
      </c>
      <c r="B199" s="65" t="s">
        <v>2516</v>
      </c>
      <c r="C199" s="65" t="s">
        <v>120</v>
      </c>
      <c r="D199" s="65" t="s">
        <v>2440</v>
      </c>
      <c r="E199" s="91" t="s">
        <v>120</v>
      </c>
      <c r="F199" s="65" t="s">
        <v>2202</v>
      </c>
      <c r="G199" s="65" t="s">
        <v>2517</v>
      </c>
      <c r="I199"/>
      <c r="K199" s="41"/>
    </row>
    <row r="200" spans="1:11" ht="15">
      <c r="A200" s="65" t="s">
        <v>2358</v>
      </c>
      <c r="B200" s="65"/>
      <c r="C200" s="65" t="s">
        <v>2329</v>
      </c>
      <c r="D200" s="65" t="s">
        <v>2439</v>
      </c>
      <c r="E200" s="91" t="s">
        <v>2451</v>
      </c>
      <c r="F200" s="65" t="s">
        <v>2198</v>
      </c>
      <c r="G200" s="65" t="s">
        <v>2323</v>
      </c>
      <c r="I200"/>
    </row>
    <row r="201" spans="1:11" ht="15">
      <c r="A201" s="65" t="s">
        <v>2358</v>
      </c>
      <c r="B201" s="65"/>
      <c r="C201" s="65" t="s">
        <v>2329</v>
      </c>
      <c r="D201" s="65" t="s">
        <v>2440</v>
      </c>
      <c r="E201" s="91" t="s">
        <v>2451</v>
      </c>
      <c r="F201" s="65" t="s">
        <v>2202</v>
      </c>
      <c r="G201" s="65" t="s">
        <v>2323</v>
      </c>
      <c r="I201"/>
    </row>
    <row r="202" spans="1:11" ht="17.25">
      <c r="A202" s="92" t="s">
        <v>2518</v>
      </c>
      <c r="B202" s="92"/>
      <c r="C202" s="92"/>
      <c r="D202" s="92"/>
      <c r="E202" s="93"/>
      <c r="F202" s="92"/>
      <c r="G202" s="92"/>
      <c r="I202"/>
    </row>
    <row r="203" spans="1:11" ht="15">
      <c r="A203" s="65" t="s">
        <v>2519</v>
      </c>
      <c r="B203" s="65" t="s">
        <v>2407</v>
      </c>
      <c r="C203" s="65" t="s">
        <v>120</v>
      </c>
      <c r="D203" s="65" t="s">
        <v>2439</v>
      </c>
      <c r="E203" s="91" t="s">
        <v>120</v>
      </c>
      <c r="F203" s="65" t="s">
        <v>2195</v>
      </c>
      <c r="G203" s="65" t="s">
        <v>2520</v>
      </c>
      <c r="I203"/>
    </row>
    <row r="204" spans="1:11" ht="15">
      <c r="A204" s="65" t="s">
        <v>2519</v>
      </c>
      <c r="B204" s="65" t="s">
        <v>2407</v>
      </c>
      <c r="C204" s="65" t="s">
        <v>120</v>
      </c>
      <c r="D204" s="65" t="s">
        <v>2440</v>
      </c>
      <c r="E204" s="91" t="s">
        <v>120</v>
      </c>
      <c r="F204" s="65" t="s">
        <v>2202</v>
      </c>
      <c r="G204" s="65" t="s">
        <v>2520</v>
      </c>
      <c r="I204"/>
    </row>
    <row r="205" spans="1:11" ht="15">
      <c r="A205" s="65" t="s">
        <v>2521</v>
      </c>
      <c r="B205" s="65" t="s">
        <v>2407</v>
      </c>
      <c r="C205" s="65" t="s">
        <v>120</v>
      </c>
      <c r="D205" s="65" t="s">
        <v>2439</v>
      </c>
      <c r="E205" s="91" t="s">
        <v>120</v>
      </c>
      <c r="F205" s="65" t="s">
        <v>2195</v>
      </c>
      <c r="G205" s="65" t="s">
        <v>2323</v>
      </c>
      <c r="I205"/>
    </row>
    <row r="206" spans="1:11" ht="15">
      <c r="A206" s="65" t="s">
        <v>2521</v>
      </c>
      <c r="B206" s="65" t="s">
        <v>2407</v>
      </c>
      <c r="C206" s="65" t="s">
        <v>120</v>
      </c>
      <c r="D206" s="65" t="s">
        <v>2440</v>
      </c>
      <c r="E206" s="91" t="s">
        <v>120</v>
      </c>
      <c r="F206" s="65" t="s">
        <v>2202</v>
      </c>
      <c r="G206" s="65" t="s">
        <v>2323</v>
      </c>
      <c r="I206"/>
    </row>
    <row r="207" spans="1:11" ht="15">
      <c r="A207" s="65" t="s">
        <v>2522</v>
      </c>
      <c r="B207" s="65" t="s">
        <v>2523</v>
      </c>
      <c r="C207" s="65" t="s">
        <v>120</v>
      </c>
      <c r="D207" s="65" t="s">
        <v>2439</v>
      </c>
      <c r="E207" s="91" t="s">
        <v>120</v>
      </c>
      <c r="F207" s="65" t="s">
        <v>2195</v>
      </c>
      <c r="G207" s="65" t="s">
        <v>2524</v>
      </c>
      <c r="I207"/>
    </row>
    <row r="208" spans="1:11" ht="15">
      <c r="A208" s="65" t="s">
        <v>2522</v>
      </c>
      <c r="B208" s="65" t="s">
        <v>2523</v>
      </c>
      <c r="C208" s="65" t="s">
        <v>120</v>
      </c>
      <c r="D208" s="65" t="s">
        <v>2440</v>
      </c>
      <c r="E208" s="91" t="s">
        <v>120</v>
      </c>
      <c r="F208" s="65" t="s">
        <v>2202</v>
      </c>
      <c r="G208" s="65" t="s">
        <v>2524</v>
      </c>
      <c r="I208"/>
    </row>
    <row r="209" spans="1:9" ht="15">
      <c r="A209" s="65" t="s">
        <v>2525</v>
      </c>
      <c r="B209" s="65" t="s">
        <v>2412</v>
      </c>
      <c r="C209" s="65" t="s">
        <v>120</v>
      </c>
      <c r="D209" s="65" t="s">
        <v>2439</v>
      </c>
      <c r="E209" s="91" t="s">
        <v>120</v>
      </c>
      <c r="F209" s="65" t="s">
        <v>2195</v>
      </c>
      <c r="G209" s="65" t="s">
        <v>2520</v>
      </c>
      <c r="I209"/>
    </row>
    <row r="210" spans="1:9" ht="15">
      <c r="A210" s="65" t="s">
        <v>2525</v>
      </c>
      <c r="B210" s="65" t="s">
        <v>2412</v>
      </c>
      <c r="C210" s="65" t="s">
        <v>120</v>
      </c>
      <c r="D210" s="65" t="s">
        <v>2440</v>
      </c>
      <c r="E210" s="91" t="s">
        <v>120</v>
      </c>
      <c r="F210" s="65" t="s">
        <v>2202</v>
      </c>
      <c r="G210" s="65" t="s">
        <v>2520</v>
      </c>
      <c r="I210"/>
    </row>
    <row r="211" spans="1:9" ht="15">
      <c r="A211" s="65" t="s">
        <v>2526</v>
      </c>
      <c r="B211" s="65" t="s">
        <v>2412</v>
      </c>
      <c r="C211" s="65" t="s">
        <v>120</v>
      </c>
      <c r="D211" s="65" t="s">
        <v>2439</v>
      </c>
      <c r="E211" s="91" t="s">
        <v>120</v>
      </c>
      <c r="F211" s="65" t="s">
        <v>2195</v>
      </c>
      <c r="G211" s="65" t="s">
        <v>2527</v>
      </c>
      <c r="I211"/>
    </row>
    <row r="212" spans="1:9" ht="15">
      <c r="A212" s="65" t="s">
        <v>2526</v>
      </c>
      <c r="B212" s="65" t="s">
        <v>2412</v>
      </c>
      <c r="C212" s="65" t="s">
        <v>120</v>
      </c>
      <c r="D212" s="65" t="s">
        <v>2440</v>
      </c>
      <c r="E212" s="91" t="s">
        <v>120</v>
      </c>
      <c r="F212" s="65" t="s">
        <v>2202</v>
      </c>
      <c r="G212" s="65" t="s">
        <v>2527</v>
      </c>
      <c r="I212"/>
    </row>
    <row r="213" spans="1:9" ht="15">
      <c r="A213" s="65" t="s">
        <v>2528</v>
      </c>
      <c r="B213" s="65" t="s">
        <v>2529</v>
      </c>
      <c r="C213" s="65" t="s">
        <v>2490</v>
      </c>
      <c r="D213" s="65" t="s">
        <v>2439</v>
      </c>
      <c r="E213" s="91" t="s">
        <v>2490</v>
      </c>
      <c r="F213" s="65" t="s">
        <v>2195</v>
      </c>
      <c r="G213" s="65" t="s">
        <v>2323</v>
      </c>
      <c r="I213"/>
    </row>
    <row r="214" spans="1:9" ht="15">
      <c r="A214" s="65" t="s">
        <v>2528</v>
      </c>
      <c r="B214" s="65" t="s">
        <v>2529</v>
      </c>
      <c r="C214" s="65" t="s">
        <v>2490</v>
      </c>
      <c r="D214" s="65" t="s">
        <v>2440</v>
      </c>
      <c r="E214" s="91" t="s">
        <v>2490</v>
      </c>
      <c r="F214" s="65" t="s">
        <v>2202</v>
      </c>
      <c r="G214" s="65" t="s">
        <v>2323</v>
      </c>
      <c r="I214"/>
    </row>
    <row r="215" spans="1:9" ht="15">
      <c r="A215" s="66" t="s">
        <v>2413</v>
      </c>
      <c r="B215" s="66" t="s">
        <v>2407</v>
      </c>
      <c r="C215" s="66" t="s">
        <v>2414</v>
      </c>
      <c r="D215" s="66" t="s">
        <v>2439</v>
      </c>
      <c r="E215" s="67" t="s">
        <v>120</v>
      </c>
      <c r="F215" s="67" t="s">
        <v>2530</v>
      </c>
      <c r="G215" s="66" t="s">
        <v>2416</v>
      </c>
      <c r="I215"/>
    </row>
    <row r="216" spans="1:9" ht="15">
      <c r="A216" s="65" t="s">
        <v>2413</v>
      </c>
      <c r="B216" s="65" t="s">
        <v>2407</v>
      </c>
      <c r="C216" s="65" t="s">
        <v>2414</v>
      </c>
      <c r="D216" s="65" t="s">
        <v>2440</v>
      </c>
      <c r="E216" s="91" t="s">
        <v>2531</v>
      </c>
      <c r="F216" s="65" t="s">
        <v>2202</v>
      </c>
      <c r="G216" s="65" t="s">
        <v>2416</v>
      </c>
      <c r="I216"/>
    </row>
    <row r="217" spans="1:9" ht="15">
      <c r="A217" s="65" t="s">
        <v>2532</v>
      </c>
      <c r="B217" s="65" t="s">
        <v>2529</v>
      </c>
      <c r="C217" s="65" t="s">
        <v>2533</v>
      </c>
      <c r="D217" s="65" t="s">
        <v>2439</v>
      </c>
      <c r="E217" s="91" t="s">
        <v>120</v>
      </c>
      <c r="F217" s="65" t="s">
        <v>2195</v>
      </c>
      <c r="G217" s="65" t="s">
        <v>2323</v>
      </c>
      <c r="I217"/>
    </row>
    <row r="218" spans="1:9" ht="15">
      <c r="A218" s="65" t="s">
        <v>2532</v>
      </c>
      <c r="B218" s="65" t="s">
        <v>2529</v>
      </c>
      <c r="C218" s="65" t="s">
        <v>2533</v>
      </c>
      <c r="D218" s="65" t="s">
        <v>2440</v>
      </c>
      <c r="E218" s="91" t="s">
        <v>120</v>
      </c>
      <c r="F218" s="65" t="s">
        <v>2202</v>
      </c>
      <c r="G218" s="65" t="s">
        <v>2323</v>
      </c>
      <c r="I218"/>
    </row>
    <row r="219" spans="1:9" ht="15">
      <c r="A219" s="65" t="s">
        <v>2534</v>
      </c>
      <c r="B219" s="65" t="s">
        <v>2363</v>
      </c>
      <c r="C219" s="65" t="s">
        <v>120</v>
      </c>
      <c r="D219" s="65" t="s">
        <v>2439</v>
      </c>
      <c r="E219" s="91" t="s">
        <v>120</v>
      </c>
      <c r="F219" s="65" t="s">
        <v>2195</v>
      </c>
      <c r="G219" s="65" t="s">
        <v>2535</v>
      </c>
      <c r="I219"/>
    </row>
    <row r="220" spans="1:9" ht="15">
      <c r="A220" s="65" t="s">
        <v>2534</v>
      </c>
      <c r="B220" s="65" t="s">
        <v>2363</v>
      </c>
      <c r="C220" s="65" t="s">
        <v>120</v>
      </c>
      <c r="D220" s="65" t="s">
        <v>2440</v>
      </c>
      <c r="E220" s="91" t="s">
        <v>120</v>
      </c>
      <c r="F220" s="65" t="s">
        <v>2202</v>
      </c>
      <c r="G220" s="65" t="s">
        <v>2535</v>
      </c>
      <c r="I220"/>
    </row>
    <row r="221" spans="1:9" ht="17.25">
      <c r="A221" s="92" t="s">
        <v>2536</v>
      </c>
      <c r="B221" s="92"/>
      <c r="C221" s="92"/>
      <c r="D221" s="92"/>
      <c r="E221" s="93"/>
      <c r="F221" s="92"/>
      <c r="G221" s="92"/>
      <c r="I221"/>
    </row>
    <row r="222" spans="1:9" ht="15">
      <c r="A222" s="65" t="s">
        <v>2537</v>
      </c>
      <c r="B222" s="65" t="s">
        <v>2538</v>
      </c>
      <c r="C222" s="65" t="s">
        <v>120</v>
      </c>
      <c r="D222" s="65" t="s">
        <v>2439</v>
      </c>
      <c r="E222" s="91" t="s">
        <v>120</v>
      </c>
      <c r="F222" s="65" t="s">
        <v>2195</v>
      </c>
      <c r="G222" s="65" t="s">
        <v>2323</v>
      </c>
      <c r="I222"/>
    </row>
    <row r="223" spans="1:9" ht="15">
      <c r="A223" s="65" t="s">
        <v>2537</v>
      </c>
      <c r="B223" s="65" t="s">
        <v>2538</v>
      </c>
      <c r="C223" s="65" t="s">
        <v>120</v>
      </c>
      <c r="D223" s="65" t="s">
        <v>2440</v>
      </c>
      <c r="E223" s="91" t="s">
        <v>120</v>
      </c>
      <c r="F223" s="65" t="s">
        <v>2202</v>
      </c>
      <c r="G223" s="65" t="s">
        <v>2323</v>
      </c>
      <c r="I223"/>
    </row>
    <row r="224" spans="1:9" ht="15">
      <c r="A224" s="65" t="s">
        <v>2539</v>
      </c>
      <c r="B224" s="65" t="s">
        <v>2538</v>
      </c>
      <c r="C224" s="65" t="s">
        <v>2490</v>
      </c>
      <c r="D224" s="65" t="s">
        <v>2439</v>
      </c>
      <c r="E224" s="91" t="s">
        <v>2490</v>
      </c>
      <c r="F224" s="65" t="s">
        <v>2195</v>
      </c>
      <c r="G224" s="65" t="s">
        <v>2540</v>
      </c>
      <c r="I224"/>
    </row>
    <row r="225" spans="1:9" ht="15">
      <c r="A225" s="65" t="s">
        <v>2539</v>
      </c>
      <c r="B225" s="65" t="s">
        <v>2538</v>
      </c>
      <c r="C225" s="65" t="s">
        <v>2490</v>
      </c>
      <c r="D225" s="65" t="s">
        <v>2440</v>
      </c>
      <c r="E225" s="91" t="s">
        <v>2490</v>
      </c>
      <c r="F225" s="65" t="s">
        <v>2202</v>
      </c>
      <c r="G225" s="65" t="s">
        <v>2540</v>
      </c>
      <c r="I225"/>
    </row>
    <row r="226" spans="1:9" ht="15">
      <c r="A226" s="65" t="s">
        <v>2541</v>
      </c>
      <c r="B226" s="65" t="s">
        <v>2542</v>
      </c>
      <c r="C226" s="65" t="s">
        <v>2543</v>
      </c>
      <c r="D226" s="65" t="s">
        <v>2439</v>
      </c>
      <c r="E226" s="91" t="s">
        <v>120</v>
      </c>
      <c r="F226" s="65" t="s">
        <v>2195</v>
      </c>
      <c r="G226" s="65" t="s">
        <v>2323</v>
      </c>
      <c r="I226"/>
    </row>
    <row r="227" spans="1:9" ht="15">
      <c r="A227" s="65" t="s">
        <v>2541</v>
      </c>
      <c r="B227" s="65" t="s">
        <v>2542</v>
      </c>
      <c r="C227" s="65" t="s">
        <v>2543</v>
      </c>
      <c r="D227" s="65" t="s">
        <v>2440</v>
      </c>
      <c r="E227" s="91" t="s">
        <v>120</v>
      </c>
      <c r="F227" s="65" t="s">
        <v>2202</v>
      </c>
      <c r="G227" s="65" t="s">
        <v>2323</v>
      </c>
      <c r="I227"/>
    </row>
    <row r="228" spans="1:9" ht="15">
      <c r="A228" s="65" t="s">
        <v>2421</v>
      </c>
      <c r="B228" s="65" t="s">
        <v>2422</v>
      </c>
      <c r="C228" s="65" t="s">
        <v>2423</v>
      </c>
      <c r="D228" s="65" t="s">
        <v>2439</v>
      </c>
      <c r="E228" s="91" t="s">
        <v>120</v>
      </c>
      <c r="F228" s="65" t="s">
        <v>2195</v>
      </c>
      <c r="G228" s="65" t="s">
        <v>2425</v>
      </c>
      <c r="I228"/>
    </row>
    <row r="229" spans="1:9" ht="15">
      <c r="A229" s="65" t="s">
        <v>2421</v>
      </c>
      <c r="B229" s="65" t="s">
        <v>2422</v>
      </c>
      <c r="C229" s="65" t="s">
        <v>2423</v>
      </c>
      <c r="D229" s="65" t="s">
        <v>2440</v>
      </c>
      <c r="E229" s="91" t="s">
        <v>2544</v>
      </c>
      <c r="F229" s="65" t="s">
        <v>2202</v>
      </c>
      <c r="G229" s="65" t="s">
        <v>2425</v>
      </c>
      <c r="I229"/>
    </row>
    <row r="230" spans="1:9" ht="15">
      <c r="A230" s="65" t="s">
        <v>2545</v>
      </c>
      <c r="B230" s="65" t="s">
        <v>2422</v>
      </c>
      <c r="C230" s="65" t="s">
        <v>2461</v>
      </c>
      <c r="D230" s="65" t="s">
        <v>2439</v>
      </c>
      <c r="E230" s="91" t="s">
        <v>120</v>
      </c>
      <c r="F230" s="65" t="s">
        <v>2195</v>
      </c>
      <c r="G230" s="65" t="s">
        <v>2546</v>
      </c>
      <c r="I230"/>
    </row>
    <row r="231" spans="1:9" ht="15">
      <c r="A231" s="65" t="s">
        <v>2545</v>
      </c>
      <c r="B231" s="65" t="s">
        <v>2422</v>
      </c>
      <c r="C231" s="65" t="s">
        <v>2461</v>
      </c>
      <c r="D231" s="65" t="s">
        <v>2440</v>
      </c>
      <c r="E231" s="91" t="s">
        <v>120</v>
      </c>
      <c r="F231" s="65" t="s">
        <v>2202</v>
      </c>
      <c r="G231" s="65" t="s">
        <v>2546</v>
      </c>
      <c r="I231"/>
    </row>
    <row r="232" spans="1:9" ht="15">
      <c r="A232" s="65" t="s">
        <v>2547</v>
      </c>
      <c r="B232" s="65" t="s">
        <v>2538</v>
      </c>
      <c r="C232" s="65" t="s">
        <v>2548</v>
      </c>
      <c r="D232" s="65" t="s">
        <v>2439</v>
      </c>
      <c r="E232" s="91" t="s">
        <v>120</v>
      </c>
      <c r="F232" s="65" t="s">
        <v>2195</v>
      </c>
      <c r="G232" s="65" t="s">
        <v>2323</v>
      </c>
      <c r="I232"/>
    </row>
    <row r="233" spans="1:9" ht="15">
      <c r="A233" s="65" t="s">
        <v>2547</v>
      </c>
      <c r="B233" s="65" t="s">
        <v>2538</v>
      </c>
      <c r="C233" s="65" t="s">
        <v>2548</v>
      </c>
      <c r="D233" s="65" t="s">
        <v>2440</v>
      </c>
      <c r="E233" s="91" t="s">
        <v>120</v>
      </c>
      <c r="F233" s="65" t="s">
        <v>2202</v>
      </c>
      <c r="G233" s="65" t="s">
        <v>2323</v>
      </c>
      <c r="I233"/>
    </row>
    <row r="234" spans="1:9" ht="15">
      <c r="A234" s="65" t="s">
        <v>2549</v>
      </c>
      <c r="B234" s="65" t="s">
        <v>2538</v>
      </c>
      <c r="C234" s="65" t="s">
        <v>2550</v>
      </c>
      <c r="D234" s="65" t="s">
        <v>2439</v>
      </c>
      <c r="E234" s="91" t="s">
        <v>120</v>
      </c>
      <c r="F234" s="65" t="s">
        <v>2195</v>
      </c>
      <c r="G234" s="65" t="s">
        <v>2551</v>
      </c>
      <c r="I234"/>
    </row>
    <row r="235" spans="1:9" ht="15">
      <c r="A235" s="65" t="s">
        <v>2549</v>
      </c>
      <c r="B235" s="65" t="s">
        <v>2538</v>
      </c>
      <c r="C235" s="65" t="s">
        <v>2550</v>
      </c>
      <c r="D235" s="65" t="s">
        <v>2440</v>
      </c>
      <c r="E235" s="91" t="s">
        <v>120</v>
      </c>
      <c r="F235" s="65" t="s">
        <v>2202</v>
      </c>
      <c r="G235" s="65" t="s">
        <v>2551</v>
      </c>
      <c r="I235"/>
    </row>
    <row r="236" spans="1:9" ht="15">
      <c r="A236" s="65" t="s">
        <v>2552</v>
      </c>
      <c r="B236" s="65" t="s">
        <v>2538</v>
      </c>
      <c r="C236" s="65" t="s">
        <v>2553</v>
      </c>
      <c r="D236" s="65" t="s">
        <v>2439</v>
      </c>
      <c r="E236" s="91" t="s">
        <v>120</v>
      </c>
      <c r="F236" s="65" t="s">
        <v>2195</v>
      </c>
      <c r="G236" s="65" t="s">
        <v>2323</v>
      </c>
      <c r="I236"/>
    </row>
    <row r="237" spans="1:9" ht="15">
      <c r="A237" s="65" t="s">
        <v>2552</v>
      </c>
      <c r="B237" s="65" t="s">
        <v>2538</v>
      </c>
      <c r="C237" s="65" t="s">
        <v>2553</v>
      </c>
      <c r="D237" s="65" t="s">
        <v>2440</v>
      </c>
      <c r="E237" s="91" t="s">
        <v>120</v>
      </c>
      <c r="F237" s="65" t="s">
        <v>2202</v>
      </c>
      <c r="G237" s="65" t="s">
        <v>2323</v>
      </c>
      <c r="I237"/>
    </row>
    <row r="238" spans="1:9" ht="17.25">
      <c r="A238" s="92" t="s">
        <v>2554</v>
      </c>
      <c r="B238" s="92"/>
      <c r="C238" s="92"/>
      <c r="D238" s="92"/>
      <c r="E238" s="93"/>
      <c r="F238" s="92"/>
      <c r="G238" s="92"/>
      <c r="I238"/>
    </row>
    <row r="239" spans="1:9" ht="15">
      <c r="A239" s="65" t="s">
        <v>2427</v>
      </c>
      <c r="B239" s="65" t="s">
        <v>2370</v>
      </c>
      <c r="C239" s="65" t="s">
        <v>2428</v>
      </c>
      <c r="D239" s="65" t="s">
        <v>2439</v>
      </c>
      <c r="E239" s="91" t="s">
        <v>120</v>
      </c>
      <c r="F239" s="65" t="s">
        <v>2195</v>
      </c>
      <c r="G239" s="65" t="s">
        <v>2429</v>
      </c>
      <c r="I239"/>
    </row>
    <row r="240" spans="1:9" ht="15">
      <c r="A240" s="65" t="s">
        <v>2427</v>
      </c>
      <c r="B240" s="65" t="s">
        <v>2370</v>
      </c>
      <c r="C240" s="65" t="s">
        <v>2428</v>
      </c>
      <c r="D240" s="65" t="s">
        <v>2440</v>
      </c>
      <c r="E240" s="91" t="s">
        <v>120</v>
      </c>
      <c r="F240" s="65" t="s">
        <v>2202</v>
      </c>
      <c r="G240" s="65" t="s">
        <v>2429</v>
      </c>
      <c r="I240"/>
    </row>
    <row r="241" spans="1:9" ht="15">
      <c r="A241" s="65" t="s">
        <v>2555</v>
      </c>
      <c r="B241" s="65" t="s">
        <v>2363</v>
      </c>
      <c r="C241" s="65" t="s">
        <v>2556</v>
      </c>
      <c r="D241" s="65" t="s">
        <v>2439</v>
      </c>
      <c r="E241" s="91" t="s">
        <v>120</v>
      </c>
      <c r="F241" s="65" t="s">
        <v>2195</v>
      </c>
      <c r="G241" s="65" t="s">
        <v>2557</v>
      </c>
      <c r="I241"/>
    </row>
    <row r="242" spans="1:9" ht="15">
      <c r="A242" s="65" t="s">
        <v>2555</v>
      </c>
      <c r="B242" s="65" t="s">
        <v>2363</v>
      </c>
      <c r="C242" s="65" t="s">
        <v>2556</v>
      </c>
      <c r="D242" s="65" t="s">
        <v>2440</v>
      </c>
      <c r="E242" s="91" t="s">
        <v>120</v>
      </c>
      <c r="F242" s="65" t="s">
        <v>2202</v>
      </c>
      <c r="G242" s="65" t="s">
        <v>2557</v>
      </c>
      <c r="I242"/>
    </row>
    <row r="243" spans="1:9" ht="15">
      <c r="A243" s="65" t="s">
        <v>2558</v>
      </c>
      <c r="B243" s="65" t="s">
        <v>2559</v>
      </c>
      <c r="C243" s="65" t="s">
        <v>2560</v>
      </c>
      <c r="D243" s="65" t="s">
        <v>2439</v>
      </c>
      <c r="E243" s="91" t="s">
        <v>120</v>
      </c>
      <c r="F243" s="65" t="s">
        <v>2195</v>
      </c>
      <c r="G243" s="65" t="s">
        <v>2561</v>
      </c>
      <c r="I243"/>
    </row>
    <row r="244" spans="1:9" ht="15">
      <c r="A244" s="65" t="s">
        <v>2558</v>
      </c>
      <c r="B244" s="65" t="s">
        <v>2559</v>
      </c>
      <c r="C244" s="65" t="s">
        <v>2560</v>
      </c>
      <c r="D244" s="65" t="s">
        <v>2440</v>
      </c>
      <c r="E244" s="91" t="s">
        <v>120</v>
      </c>
      <c r="F244" s="65" t="s">
        <v>2202</v>
      </c>
      <c r="G244" s="65" t="s">
        <v>2561</v>
      </c>
      <c r="I244"/>
    </row>
    <row r="245" spans="1:9" ht="15">
      <c r="A245" s="65" t="s">
        <v>2562</v>
      </c>
      <c r="B245" s="65" t="s">
        <v>2370</v>
      </c>
      <c r="C245" s="65" t="s">
        <v>120</v>
      </c>
      <c r="D245" s="65" t="s">
        <v>2439</v>
      </c>
      <c r="E245" s="91" t="s">
        <v>120</v>
      </c>
      <c r="F245" s="65" t="s">
        <v>2195</v>
      </c>
      <c r="G245" s="65" t="s">
        <v>2563</v>
      </c>
      <c r="I245"/>
    </row>
    <row r="246" spans="1:9" ht="15">
      <c r="A246" s="65" t="s">
        <v>2562</v>
      </c>
      <c r="B246" s="65" t="s">
        <v>2370</v>
      </c>
      <c r="C246" s="65" t="s">
        <v>120</v>
      </c>
      <c r="D246" s="65" t="s">
        <v>2440</v>
      </c>
      <c r="E246" s="91" t="s">
        <v>120</v>
      </c>
      <c r="F246" s="65" t="s">
        <v>2202</v>
      </c>
      <c r="G246" s="65" t="s">
        <v>2563</v>
      </c>
      <c r="I246"/>
    </row>
    <row r="247" spans="1:9" ht="15">
      <c r="A247" s="65" t="s">
        <v>2372</v>
      </c>
      <c r="B247" s="65"/>
      <c r="C247" s="65" t="s">
        <v>2329</v>
      </c>
      <c r="D247" s="65" t="s">
        <v>2439</v>
      </c>
      <c r="E247" s="91" t="s">
        <v>2451</v>
      </c>
      <c r="F247" s="65" t="s">
        <v>2198</v>
      </c>
      <c r="G247" s="65" t="s">
        <v>2323</v>
      </c>
      <c r="I247"/>
    </row>
    <row r="248" spans="1:9" ht="15">
      <c r="A248" s="65" t="s">
        <v>2372</v>
      </c>
      <c r="B248" s="65"/>
      <c r="C248" s="65" t="s">
        <v>2329</v>
      </c>
      <c r="D248" s="65" t="s">
        <v>2440</v>
      </c>
      <c r="E248" s="91" t="s">
        <v>2451</v>
      </c>
      <c r="F248" s="65" t="s">
        <v>2202</v>
      </c>
      <c r="G248" s="65" t="s">
        <v>2323</v>
      </c>
      <c r="I248"/>
    </row>
    <row r="249" spans="1:9" ht="15">
      <c r="A249" s="65" t="s">
        <v>2564</v>
      </c>
      <c r="B249" s="65"/>
      <c r="C249" s="65" t="s">
        <v>120</v>
      </c>
      <c r="D249" s="65" t="s">
        <v>2439</v>
      </c>
      <c r="E249" s="91" t="s">
        <v>120</v>
      </c>
      <c r="F249" s="65" t="s">
        <v>2195</v>
      </c>
      <c r="G249" s="65" t="s">
        <v>2323</v>
      </c>
      <c r="I249"/>
    </row>
    <row r="250" spans="1:9" ht="15">
      <c r="A250" s="65" t="s">
        <v>2564</v>
      </c>
      <c r="B250" s="65"/>
      <c r="C250" s="65" t="s">
        <v>120</v>
      </c>
      <c r="D250" s="65" t="s">
        <v>2440</v>
      </c>
      <c r="E250" s="91" t="s">
        <v>120</v>
      </c>
      <c r="F250" s="65" t="s">
        <v>2202</v>
      </c>
      <c r="G250" s="65" t="s">
        <v>2323</v>
      </c>
      <c r="I250"/>
    </row>
    <row r="251" spans="1:9" ht="15">
      <c r="A251" s="65" t="s">
        <v>2565</v>
      </c>
      <c r="B251" s="65" t="s">
        <v>2370</v>
      </c>
      <c r="C251" s="65" t="s">
        <v>2566</v>
      </c>
      <c r="D251" s="65" t="s">
        <v>2439</v>
      </c>
      <c r="E251" s="91" t="s">
        <v>2566</v>
      </c>
      <c r="F251" s="65" t="s">
        <v>2195</v>
      </c>
      <c r="G251" s="65" t="s">
        <v>2567</v>
      </c>
      <c r="I251"/>
    </row>
    <row r="252" spans="1:9" ht="15">
      <c r="A252" s="65" t="s">
        <v>2565</v>
      </c>
      <c r="B252" s="65" t="s">
        <v>2370</v>
      </c>
      <c r="C252" s="65" t="s">
        <v>2566</v>
      </c>
      <c r="D252" s="65" t="s">
        <v>2440</v>
      </c>
      <c r="E252" s="91" t="s">
        <v>2566</v>
      </c>
      <c r="F252" s="65" t="s">
        <v>2202</v>
      </c>
      <c r="G252" s="65" t="s">
        <v>2567</v>
      </c>
      <c r="I252"/>
    </row>
    <row r="253" spans="1:9" ht="17.25">
      <c r="A253" s="92" t="s">
        <v>2568</v>
      </c>
      <c r="B253" s="92"/>
      <c r="C253" s="92"/>
      <c r="D253" s="92"/>
      <c r="E253" s="93"/>
      <c r="F253" s="92"/>
      <c r="G253" s="92"/>
      <c r="I253"/>
    </row>
    <row r="254" spans="1:9" ht="15">
      <c r="A254" s="65" t="s">
        <v>2374</v>
      </c>
      <c r="B254" s="65"/>
      <c r="C254" s="65" t="s">
        <v>2329</v>
      </c>
      <c r="D254" s="65" t="s">
        <v>2439</v>
      </c>
      <c r="E254" s="91" t="s">
        <v>2451</v>
      </c>
      <c r="F254" s="65" t="s">
        <v>2198</v>
      </c>
      <c r="G254" s="65" t="s">
        <v>2375</v>
      </c>
      <c r="I254"/>
    </row>
    <row r="255" spans="1:9" ht="15">
      <c r="A255" s="65" t="s">
        <v>2374</v>
      </c>
      <c r="B255" s="65"/>
      <c r="C255" s="65" t="s">
        <v>2329</v>
      </c>
      <c r="D255" s="65" t="s">
        <v>2440</v>
      </c>
      <c r="E255" s="91" t="s">
        <v>2451</v>
      </c>
      <c r="F255" s="65" t="s">
        <v>2202</v>
      </c>
      <c r="G255" s="65" t="s">
        <v>2375</v>
      </c>
      <c r="I255"/>
    </row>
    <row r="256" spans="1:9" ht="15">
      <c r="A256" s="65" t="s">
        <v>2569</v>
      </c>
      <c r="B256" s="65" t="s">
        <v>2570</v>
      </c>
      <c r="C256" s="65" t="s">
        <v>2571</v>
      </c>
      <c r="D256" s="65" t="s">
        <v>2439</v>
      </c>
      <c r="E256" s="91" t="s">
        <v>120</v>
      </c>
      <c r="F256" s="65" t="s">
        <v>2195</v>
      </c>
      <c r="G256" s="65" t="s">
        <v>2437</v>
      </c>
      <c r="I256"/>
    </row>
    <row r="257" spans="1:9" ht="15">
      <c r="A257" s="65" t="s">
        <v>2569</v>
      </c>
      <c r="B257" s="65" t="s">
        <v>2570</v>
      </c>
      <c r="C257" s="65" t="s">
        <v>2571</v>
      </c>
      <c r="D257" s="65" t="s">
        <v>2440</v>
      </c>
      <c r="E257" s="91" t="s">
        <v>120</v>
      </c>
      <c r="F257" s="65" t="s">
        <v>2202</v>
      </c>
      <c r="G257" s="65" t="s">
        <v>2437</v>
      </c>
      <c r="I257"/>
    </row>
    <row r="258" spans="1:9" ht="15">
      <c r="A258" s="65" t="s">
        <v>2572</v>
      </c>
      <c r="B258" s="65" t="s">
        <v>2432</v>
      </c>
      <c r="C258" s="65" t="s">
        <v>120</v>
      </c>
      <c r="D258" s="65" t="s">
        <v>2439</v>
      </c>
      <c r="E258" s="91" t="s">
        <v>120</v>
      </c>
      <c r="F258" s="65" t="s">
        <v>2195</v>
      </c>
      <c r="G258" s="65" t="s">
        <v>2573</v>
      </c>
      <c r="I258"/>
    </row>
    <row r="259" spans="1:9" ht="15">
      <c r="A259" s="65" t="s">
        <v>2572</v>
      </c>
      <c r="B259" s="65" t="s">
        <v>2432</v>
      </c>
      <c r="C259" s="65" t="s">
        <v>120</v>
      </c>
      <c r="D259" s="65" t="s">
        <v>2440</v>
      </c>
      <c r="E259" s="91" t="s">
        <v>120</v>
      </c>
      <c r="F259" s="65" t="s">
        <v>2202</v>
      </c>
      <c r="G259" s="65" t="s">
        <v>2573</v>
      </c>
      <c r="I259"/>
    </row>
    <row r="260" spans="1:9" ht="15">
      <c r="A260" s="65" t="s">
        <v>2574</v>
      </c>
      <c r="B260" s="65" t="s">
        <v>2570</v>
      </c>
      <c r="C260" s="65" t="s">
        <v>120</v>
      </c>
      <c r="D260" s="65" t="s">
        <v>2439</v>
      </c>
      <c r="E260" s="91" t="s">
        <v>120</v>
      </c>
      <c r="F260" s="65" t="s">
        <v>2195</v>
      </c>
      <c r="G260" s="65" t="s">
        <v>2573</v>
      </c>
      <c r="I260"/>
    </row>
    <row r="261" spans="1:9" ht="15">
      <c r="A261" s="65" t="s">
        <v>2574</v>
      </c>
      <c r="B261" s="65" t="s">
        <v>2570</v>
      </c>
      <c r="C261" s="65" t="s">
        <v>120</v>
      </c>
      <c r="D261" s="65" t="s">
        <v>2440</v>
      </c>
      <c r="E261" s="91" t="s">
        <v>120</v>
      </c>
      <c r="F261" s="65" t="s">
        <v>2202</v>
      </c>
      <c r="G261" s="65" t="s">
        <v>2573</v>
      </c>
      <c r="I261"/>
    </row>
    <row r="262" spans="1:9" ht="15">
      <c r="A262" s="65" t="s">
        <v>2575</v>
      </c>
      <c r="B262" s="65" t="s">
        <v>2576</v>
      </c>
      <c r="C262" s="65" t="s">
        <v>2490</v>
      </c>
      <c r="D262" s="65" t="s">
        <v>2439</v>
      </c>
      <c r="E262" s="91" t="s">
        <v>2490</v>
      </c>
      <c r="F262" s="65" t="s">
        <v>2195</v>
      </c>
      <c r="G262" s="65" t="s">
        <v>2577</v>
      </c>
      <c r="I262"/>
    </row>
    <row r="263" spans="1:9" ht="15">
      <c r="A263" s="65" t="s">
        <v>2575</v>
      </c>
      <c r="B263" s="65" t="s">
        <v>2576</v>
      </c>
      <c r="C263" s="65" t="s">
        <v>2490</v>
      </c>
      <c r="D263" s="65" t="s">
        <v>2440</v>
      </c>
      <c r="E263" s="91" t="s">
        <v>2490</v>
      </c>
      <c r="F263" s="65" t="s">
        <v>2202</v>
      </c>
      <c r="G263" s="65" t="s">
        <v>2577</v>
      </c>
      <c r="I263"/>
    </row>
    <row r="264" spans="1:9" ht="15">
      <c r="A264" s="65" t="s">
        <v>2578</v>
      </c>
      <c r="B264" s="65" t="s">
        <v>2579</v>
      </c>
      <c r="C264" s="65" t="s">
        <v>2543</v>
      </c>
      <c r="D264" s="65" t="s">
        <v>2439</v>
      </c>
      <c r="E264" s="91" t="s">
        <v>120</v>
      </c>
      <c r="F264" s="65" t="s">
        <v>2195</v>
      </c>
      <c r="G264" s="65" t="s">
        <v>2580</v>
      </c>
      <c r="I264"/>
    </row>
    <row r="265" spans="1:9" ht="15">
      <c r="A265" s="65" t="s">
        <v>2578</v>
      </c>
      <c r="B265" s="65" t="s">
        <v>2579</v>
      </c>
      <c r="C265" s="65" t="s">
        <v>2543</v>
      </c>
      <c r="D265" s="65" t="s">
        <v>2440</v>
      </c>
      <c r="E265" s="91" t="s">
        <v>120</v>
      </c>
      <c r="F265" s="65" t="s">
        <v>2202</v>
      </c>
      <c r="G265" s="65" t="s">
        <v>2580</v>
      </c>
      <c r="I265"/>
    </row>
    <row r="266" spans="1:9" ht="17.25">
      <c r="A266" s="92" t="s">
        <v>2581</v>
      </c>
      <c r="B266" s="92"/>
      <c r="C266" s="92"/>
      <c r="D266" s="92"/>
      <c r="E266" s="93"/>
      <c r="F266" s="92"/>
      <c r="G266" s="92"/>
      <c r="I266"/>
    </row>
    <row r="267" spans="1:9" ht="15">
      <c r="A267" s="65" t="s">
        <v>2377</v>
      </c>
      <c r="B267" s="65" t="s">
        <v>2378</v>
      </c>
      <c r="C267" s="65" t="s">
        <v>1622</v>
      </c>
      <c r="D267" s="65" t="s">
        <v>2582</v>
      </c>
      <c r="E267" s="91" t="s">
        <v>621</v>
      </c>
      <c r="F267" s="65" t="s">
        <v>2165</v>
      </c>
      <c r="G267" s="65" t="s">
        <v>2380</v>
      </c>
      <c r="I267"/>
    </row>
    <row r="268" spans="1:9" ht="17.25">
      <c r="A268" s="92" t="s">
        <v>2583</v>
      </c>
      <c r="B268" s="92"/>
      <c r="C268" s="92"/>
      <c r="D268" s="92"/>
      <c r="E268" s="93"/>
      <c r="F268" s="92"/>
      <c r="G268" s="92"/>
      <c r="I268"/>
    </row>
    <row r="269" spans="1:9" ht="15">
      <c r="A269" s="65" t="s">
        <v>2328</v>
      </c>
      <c r="B269" s="65"/>
      <c r="C269" s="65" t="s">
        <v>2329</v>
      </c>
      <c r="D269" s="65" t="s">
        <v>2582</v>
      </c>
      <c r="E269" s="91" t="s">
        <v>2385</v>
      </c>
      <c r="F269" s="65" t="s">
        <v>2214</v>
      </c>
      <c r="G269" s="65" t="s">
        <v>2331</v>
      </c>
      <c r="I269"/>
    </row>
    <row r="270" spans="1:9" ht="17.25">
      <c r="A270" s="92" t="s">
        <v>2584</v>
      </c>
      <c r="B270" s="92"/>
      <c r="C270" s="92"/>
      <c r="D270" s="92"/>
      <c r="E270" s="93"/>
      <c r="F270" s="92"/>
      <c r="G270" s="92"/>
      <c r="I270"/>
    </row>
    <row r="271" spans="1:9" ht="15">
      <c r="A271" s="66" t="s">
        <v>2458</v>
      </c>
      <c r="B271" s="66" t="s">
        <v>2457</v>
      </c>
      <c r="C271" s="66" t="s">
        <v>2459</v>
      </c>
      <c r="D271" s="66" t="s">
        <v>2582</v>
      </c>
      <c r="E271" s="67" t="s">
        <v>2585</v>
      </c>
      <c r="F271" s="67" t="s">
        <v>2530</v>
      </c>
      <c r="G271" s="66" t="s">
        <v>2323</v>
      </c>
      <c r="I271"/>
    </row>
    <row r="272" spans="1:9" ht="17.25">
      <c r="A272" s="92" t="s">
        <v>2586</v>
      </c>
      <c r="B272" s="92"/>
      <c r="C272" s="92"/>
      <c r="D272" s="92"/>
      <c r="E272" s="93"/>
      <c r="F272" s="92"/>
      <c r="G272" s="92"/>
      <c r="I272"/>
    </row>
    <row r="273" spans="1:9" ht="15">
      <c r="A273" s="66" t="s">
        <v>2587</v>
      </c>
      <c r="B273" s="66" t="s">
        <v>2363</v>
      </c>
      <c r="C273" s="66" t="s">
        <v>2588</v>
      </c>
      <c r="D273" s="66" t="s">
        <v>2582</v>
      </c>
      <c r="E273" s="67" t="s">
        <v>2585</v>
      </c>
      <c r="F273" s="67" t="s">
        <v>2530</v>
      </c>
      <c r="G273" s="66" t="s">
        <v>2323</v>
      </c>
      <c r="I273"/>
    </row>
    <row r="274" spans="1:9" ht="15">
      <c r="A274" s="65" t="s">
        <v>2387</v>
      </c>
      <c r="B274" s="65"/>
      <c r="C274" s="65" t="s">
        <v>621</v>
      </c>
      <c r="D274" s="65" t="s">
        <v>2582</v>
      </c>
      <c r="E274" s="91" t="s">
        <v>621</v>
      </c>
      <c r="F274" s="65" t="s">
        <v>2165</v>
      </c>
      <c r="G274" s="65" t="s">
        <v>2388</v>
      </c>
      <c r="I274"/>
    </row>
    <row r="275" spans="1:9" ht="15">
      <c r="A275" s="65" t="s">
        <v>2389</v>
      </c>
      <c r="B275" s="65" t="s">
        <v>2390</v>
      </c>
      <c r="C275" s="65" t="s">
        <v>621</v>
      </c>
      <c r="D275" s="65" t="s">
        <v>2582</v>
      </c>
      <c r="E275" s="91" t="s">
        <v>621</v>
      </c>
      <c r="F275" s="65" t="s">
        <v>2165</v>
      </c>
      <c r="G275" s="65" t="s">
        <v>2391</v>
      </c>
      <c r="I275"/>
    </row>
    <row r="276" spans="1:9" ht="15">
      <c r="A276" s="66" t="s">
        <v>2392</v>
      </c>
      <c r="B276" s="66" t="s">
        <v>2390</v>
      </c>
      <c r="C276" s="66" t="s">
        <v>2393</v>
      </c>
      <c r="D276" s="66" t="s">
        <v>2582</v>
      </c>
      <c r="E276" s="67" t="s">
        <v>2589</v>
      </c>
      <c r="F276" s="67" t="s">
        <v>2530</v>
      </c>
      <c r="G276" s="66" t="s">
        <v>2394</v>
      </c>
      <c r="I276"/>
    </row>
    <row r="277" spans="1:9" ht="17.25">
      <c r="A277" s="92" t="s">
        <v>2590</v>
      </c>
      <c r="B277" s="92"/>
      <c r="C277" s="92"/>
      <c r="D277" s="92"/>
      <c r="E277" s="93"/>
      <c r="F277" s="92"/>
      <c r="G277" s="92"/>
      <c r="I277"/>
    </row>
    <row r="278" spans="1:9" ht="15">
      <c r="A278" s="65" t="s">
        <v>2333</v>
      </c>
      <c r="B278" s="65" t="s">
        <v>2334</v>
      </c>
      <c r="C278" s="65" t="s">
        <v>2335</v>
      </c>
      <c r="D278" s="65" t="s">
        <v>2582</v>
      </c>
      <c r="E278" s="91" t="s">
        <v>2385</v>
      </c>
      <c r="F278" s="65" t="s">
        <v>2214</v>
      </c>
      <c r="G278" s="65" t="s">
        <v>2323</v>
      </c>
      <c r="I278"/>
    </row>
    <row r="279" spans="1:9" ht="15">
      <c r="A279" s="65" t="s">
        <v>2336</v>
      </c>
      <c r="B279" s="65" t="s">
        <v>2334</v>
      </c>
      <c r="C279" s="65" t="s">
        <v>2329</v>
      </c>
      <c r="D279" s="65" t="s">
        <v>2582</v>
      </c>
      <c r="E279" s="91" t="s">
        <v>2385</v>
      </c>
      <c r="F279" s="65" t="s">
        <v>2214</v>
      </c>
      <c r="G279" s="65" t="s">
        <v>2323</v>
      </c>
      <c r="I279"/>
    </row>
    <row r="280" spans="1:9" ht="15">
      <c r="A280" s="65" t="s">
        <v>2337</v>
      </c>
      <c r="B280" s="65" t="s">
        <v>2334</v>
      </c>
      <c r="C280" s="65" t="s">
        <v>2329</v>
      </c>
      <c r="D280" s="65" t="s">
        <v>2582</v>
      </c>
      <c r="E280" s="91" t="s">
        <v>2385</v>
      </c>
      <c r="F280" s="65" t="s">
        <v>2214</v>
      </c>
      <c r="G280" s="65" t="s">
        <v>2323</v>
      </c>
      <c r="I280"/>
    </row>
    <row r="281" spans="1:9" ht="15">
      <c r="A281" s="65" t="s">
        <v>2338</v>
      </c>
      <c r="B281" s="65" t="s">
        <v>2339</v>
      </c>
      <c r="C281" s="65" t="s">
        <v>2329</v>
      </c>
      <c r="D281" s="65" t="s">
        <v>2582</v>
      </c>
      <c r="E281" s="91" t="s">
        <v>2385</v>
      </c>
      <c r="F281" s="65" t="s">
        <v>2214</v>
      </c>
      <c r="G281" s="65" t="s">
        <v>2323</v>
      </c>
      <c r="I281"/>
    </row>
    <row r="282" spans="1:9" ht="15">
      <c r="A282" s="65" t="s">
        <v>2340</v>
      </c>
      <c r="B282" s="65"/>
      <c r="C282" s="65" t="s">
        <v>2329</v>
      </c>
      <c r="D282" s="65" t="s">
        <v>2582</v>
      </c>
      <c r="E282" s="91" t="s">
        <v>2385</v>
      </c>
      <c r="F282" s="65" t="s">
        <v>2214</v>
      </c>
      <c r="G282" s="65" t="s">
        <v>2323</v>
      </c>
      <c r="I282"/>
    </row>
    <row r="283" spans="1:9" ht="15">
      <c r="A283" s="65" t="s">
        <v>2341</v>
      </c>
      <c r="B283" s="65"/>
      <c r="C283" s="65" t="s">
        <v>2329</v>
      </c>
      <c r="D283" s="65" t="s">
        <v>2582</v>
      </c>
      <c r="E283" s="91" t="s">
        <v>2385</v>
      </c>
      <c r="F283" s="65" t="s">
        <v>2214</v>
      </c>
      <c r="G283" s="65" t="s">
        <v>2323</v>
      </c>
      <c r="I283"/>
    </row>
    <row r="284" spans="1:9" ht="15">
      <c r="A284" s="65" t="s">
        <v>2342</v>
      </c>
      <c r="B284" s="65"/>
      <c r="C284" s="65" t="s">
        <v>2329</v>
      </c>
      <c r="D284" s="65" t="s">
        <v>2582</v>
      </c>
      <c r="E284" s="91" t="s">
        <v>2385</v>
      </c>
      <c r="F284" s="65" t="s">
        <v>2214</v>
      </c>
      <c r="G284" s="65" t="s">
        <v>2323</v>
      </c>
      <c r="I284"/>
    </row>
    <row r="285" spans="1:9" ht="17.25">
      <c r="A285" s="92" t="s">
        <v>2591</v>
      </c>
      <c r="B285" s="92"/>
      <c r="C285" s="92"/>
      <c r="D285" s="92"/>
      <c r="E285" s="93"/>
      <c r="F285" s="92"/>
      <c r="G285" s="92"/>
      <c r="I285"/>
    </row>
    <row r="286" spans="1:9" ht="15">
      <c r="A286" s="65" t="s">
        <v>2347</v>
      </c>
      <c r="B286" s="65"/>
      <c r="C286" s="65" t="s">
        <v>2329</v>
      </c>
      <c r="D286" s="65" t="s">
        <v>2582</v>
      </c>
      <c r="E286" s="91" t="s">
        <v>2385</v>
      </c>
      <c r="F286" s="65" t="s">
        <v>2214</v>
      </c>
      <c r="G286" s="65" t="s">
        <v>2323</v>
      </c>
      <c r="I286"/>
    </row>
    <row r="287" spans="1:9" ht="15">
      <c r="A287" s="65" t="s">
        <v>2348</v>
      </c>
      <c r="B287" s="65"/>
      <c r="C287" s="65" t="s">
        <v>2329</v>
      </c>
      <c r="D287" s="65" t="s">
        <v>2582</v>
      </c>
      <c r="E287" s="91" t="s">
        <v>2385</v>
      </c>
      <c r="F287" s="65" t="s">
        <v>2214</v>
      </c>
      <c r="G287" s="65" t="s">
        <v>2323</v>
      </c>
      <c r="I287"/>
    </row>
    <row r="288" spans="1:9" ht="15">
      <c r="A288" s="65" t="s">
        <v>2397</v>
      </c>
      <c r="B288" s="65"/>
      <c r="C288" s="65" t="s">
        <v>621</v>
      </c>
      <c r="D288" s="65" t="s">
        <v>2582</v>
      </c>
      <c r="E288" s="91" t="s">
        <v>621</v>
      </c>
      <c r="F288" s="65" t="s">
        <v>2165</v>
      </c>
      <c r="G288" s="65" t="s">
        <v>2398</v>
      </c>
      <c r="I288"/>
    </row>
    <row r="289" spans="1:9" ht="17.25">
      <c r="A289" s="92" t="s">
        <v>2592</v>
      </c>
      <c r="B289" s="92"/>
      <c r="C289" s="92"/>
      <c r="D289" s="92"/>
      <c r="E289" s="93"/>
      <c r="F289" s="92"/>
      <c r="G289" s="92"/>
      <c r="I289"/>
    </row>
    <row r="290" spans="1:9" ht="15">
      <c r="A290" s="65" t="s">
        <v>2400</v>
      </c>
      <c r="B290" s="65"/>
      <c r="C290" s="65" t="s">
        <v>2401</v>
      </c>
      <c r="D290" s="65" t="s">
        <v>2582</v>
      </c>
      <c r="E290" s="91" t="s">
        <v>621</v>
      </c>
      <c r="F290" s="65" t="s">
        <v>2165</v>
      </c>
      <c r="G290" s="65" t="s">
        <v>2323</v>
      </c>
      <c r="I290"/>
    </row>
    <row r="291" spans="1:9" ht="15">
      <c r="A291" s="65" t="s">
        <v>2350</v>
      </c>
      <c r="B291" s="65"/>
      <c r="C291" s="65" t="s">
        <v>2329</v>
      </c>
      <c r="D291" s="65" t="s">
        <v>2582</v>
      </c>
      <c r="E291" s="91" t="s">
        <v>2385</v>
      </c>
      <c r="F291" s="65" t="s">
        <v>2214</v>
      </c>
      <c r="G291" s="65" t="s">
        <v>2323</v>
      </c>
      <c r="I291"/>
    </row>
    <row r="292" spans="1:9" ht="17.25">
      <c r="A292" s="92" t="s">
        <v>2593</v>
      </c>
      <c r="B292" s="92"/>
      <c r="C292" s="92"/>
      <c r="D292" s="92"/>
      <c r="E292" s="93"/>
      <c r="F292" s="92"/>
      <c r="G292" s="92"/>
      <c r="I292"/>
    </row>
    <row r="293" spans="1:9" ht="15">
      <c r="A293" s="65" t="s">
        <v>2403</v>
      </c>
      <c r="B293" s="65" t="s">
        <v>2404</v>
      </c>
      <c r="C293" s="65" t="s">
        <v>621</v>
      </c>
      <c r="D293" s="65" t="s">
        <v>2582</v>
      </c>
      <c r="E293" s="91" t="s">
        <v>621</v>
      </c>
      <c r="F293" s="65" t="s">
        <v>2165</v>
      </c>
      <c r="G293" s="65" t="s">
        <v>2405</v>
      </c>
      <c r="I293"/>
    </row>
    <row r="294" spans="1:9" ht="15">
      <c r="A294" s="65" t="s">
        <v>2406</v>
      </c>
      <c r="B294" s="65" t="s">
        <v>2407</v>
      </c>
      <c r="C294" s="65" t="s">
        <v>2408</v>
      </c>
      <c r="D294" s="65" t="s">
        <v>2582</v>
      </c>
      <c r="E294" s="91" t="s">
        <v>621</v>
      </c>
      <c r="F294" s="65" t="s">
        <v>2165</v>
      </c>
      <c r="G294" s="65" t="s">
        <v>2409</v>
      </c>
      <c r="I294"/>
    </row>
    <row r="295" spans="1:9" ht="15">
      <c r="A295" s="65" t="s">
        <v>2358</v>
      </c>
      <c r="B295" s="65"/>
      <c r="C295" s="65" t="s">
        <v>2329</v>
      </c>
      <c r="D295" s="65" t="s">
        <v>2582</v>
      </c>
      <c r="E295" s="91" t="s">
        <v>2385</v>
      </c>
      <c r="F295" s="65" t="s">
        <v>2214</v>
      </c>
      <c r="G295" s="65" t="s">
        <v>2323</v>
      </c>
      <c r="I295"/>
    </row>
    <row r="296" spans="1:9" ht="17.25">
      <c r="A296" s="92" t="s">
        <v>2594</v>
      </c>
      <c r="B296" s="92"/>
      <c r="C296" s="92"/>
      <c r="D296" s="92"/>
      <c r="E296" s="93"/>
      <c r="F296" s="92"/>
      <c r="G296" s="92"/>
      <c r="I296"/>
    </row>
    <row r="297" spans="1:9" ht="15">
      <c r="A297" s="65" t="s">
        <v>2411</v>
      </c>
      <c r="B297" s="65" t="s">
        <v>2412</v>
      </c>
      <c r="C297" s="65" t="s">
        <v>621</v>
      </c>
      <c r="D297" s="65" t="s">
        <v>2582</v>
      </c>
      <c r="E297" s="91" t="s">
        <v>621</v>
      </c>
      <c r="F297" s="65" t="s">
        <v>2165</v>
      </c>
      <c r="G297" s="65" t="s">
        <v>2323</v>
      </c>
      <c r="I297"/>
    </row>
    <row r="298" spans="1:9" ht="15">
      <c r="A298" s="66" t="s">
        <v>2413</v>
      </c>
      <c r="B298" s="66" t="s">
        <v>2407</v>
      </c>
      <c r="C298" s="66" t="s">
        <v>2414</v>
      </c>
      <c r="D298" s="66" t="s">
        <v>2582</v>
      </c>
      <c r="E298" s="67" t="s">
        <v>2595</v>
      </c>
      <c r="F298" s="67" t="s">
        <v>2530</v>
      </c>
      <c r="G298" s="66" t="s">
        <v>2416</v>
      </c>
      <c r="I298"/>
    </row>
    <row r="299" spans="1:9" ht="15">
      <c r="A299" s="65" t="s">
        <v>2417</v>
      </c>
      <c r="B299" s="65"/>
      <c r="C299" s="65" t="s">
        <v>621</v>
      </c>
      <c r="D299" s="65" t="s">
        <v>2582</v>
      </c>
      <c r="E299" s="91" t="s">
        <v>621</v>
      </c>
      <c r="F299" s="65" t="s">
        <v>2165</v>
      </c>
      <c r="G299" s="65" t="s">
        <v>2361</v>
      </c>
      <c r="I299"/>
    </row>
    <row r="300" spans="1:9" ht="15">
      <c r="A300" s="65" t="s">
        <v>2362</v>
      </c>
      <c r="B300" s="65" t="s">
        <v>2363</v>
      </c>
      <c r="C300" s="65" t="s">
        <v>2364</v>
      </c>
      <c r="D300" s="65" t="s">
        <v>2582</v>
      </c>
      <c r="E300" s="91" t="s">
        <v>2418</v>
      </c>
      <c r="F300" s="65" t="s">
        <v>2214</v>
      </c>
      <c r="G300" s="65" t="s">
        <v>2323</v>
      </c>
      <c r="I300"/>
    </row>
    <row r="301" spans="1:9" ht="17.25">
      <c r="A301" s="92" t="s">
        <v>2596</v>
      </c>
      <c r="B301" s="92"/>
      <c r="C301" s="92"/>
      <c r="D301" s="92"/>
      <c r="E301" s="93"/>
      <c r="F301" s="92"/>
      <c r="G301" s="92"/>
      <c r="I301"/>
    </row>
    <row r="302" spans="1:9" ht="15">
      <c r="A302" s="65" t="s">
        <v>2420</v>
      </c>
      <c r="B302" s="65"/>
      <c r="C302" s="65" t="s">
        <v>621</v>
      </c>
      <c r="D302" s="65" t="s">
        <v>2582</v>
      </c>
      <c r="E302" s="91" t="s">
        <v>621</v>
      </c>
      <c r="F302" s="65" t="s">
        <v>2165</v>
      </c>
      <c r="G302" s="65" t="s">
        <v>2323</v>
      </c>
      <c r="I302"/>
    </row>
    <row r="303" spans="1:9" ht="15">
      <c r="A303" s="66" t="s">
        <v>2541</v>
      </c>
      <c r="B303" s="66" t="s">
        <v>2542</v>
      </c>
      <c r="C303" s="66" t="s">
        <v>2543</v>
      </c>
      <c r="D303" s="66" t="s">
        <v>2582</v>
      </c>
      <c r="E303" s="67" t="s">
        <v>2585</v>
      </c>
      <c r="F303" s="67" t="s">
        <v>2530</v>
      </c>
      <c r="G303" s="66" t="s">
        <v>2323</v>
      </c>
      <c r="I303"/>
    </row>
    <row r="304" spans="1:9" ht="17.25">
      <c r="A304" s="92" t="s">
        <v>2597</v>
      </c>
      <c r="B304" s="92"/>
      <c r="C304" s="92"/>
      <c r="D304" s="92"/>
      <c r="E304" s="93"/>
      <c r="F304" s="92"/>
      <c r="G304" s="92"/>
      <c r="I304"/>
    </row>
    <row r="305" spans="1:9" ht="15">
      <c r="A305" s="65" t="s">
        <v>2427</v>
      </c>
      <c r="B305" s="65" t="s">
        <v>2370</v>
      </c>
      <c r="C305" s="65" t="s">
        <v>2428</v>
      </c>
      <c r="D305" s="65" t="s">
        <v>2582</v>
      </c>
      <c r="E305" s="91" t="s">
        <v>621</v>
      </c>
      <c r="F305" s="65" t="s">
        <v>2165</v>
      </c>
      <c r="G305" s="65" t="s">
        <v>2429</v>
      </c>
      <c r="I305"/>
    </row>
    <row r="306" spans="1:9" ht="15">
      <c r="A306" s="65" t="s">
        <v>2372</v>
      </c>
      <c r="B306" s="65"/>
      <c r="C306" s="65" t="s">
        <v>2329</v>
      </c>
      <c r="D306" s="65" t="s">
        <v>2582</v>
      </c>
      <c r="E306" s="91" t="s">
        <v>2385</v>
      </c>
      <c r="F306" s="65" t="s">
        <v>2214</v>
      </c>
      <c r="G306" s="65" t="s">
        <v>2323</v>
      </c>
      <c r="I306"/>
    </row>
    <row r="307" spans="1:9" ht="17.25">
      <c r="A307" s="92" t="s">
        <v>2598</v>
      </c>
      <c r="B307" s="92"/>
      <c r="C307" s="92"/>
      <c r="D307" s="92"/>
      <c r="E307" s="93"/>
      <c r="F307" s="92"/>
      <c r="G307" s="92"/>
      <c r="I307"/>
    </row>
    <row r="308" spans="1:9" ht="15">
      <c r="A308" s="65" t="s">
        <v>2374</v>
      </c>
      <c r="B308" s="65"/>
      <c r="C308" s="65" t="s">
        <v>2329</v>
      </c>
      <c r="D308" s="65" t="s">
        <v>2582</v>
      </c>
      <c r="E308" s="91" t="s">
        <v>2385</v>
      </c>
      <c r="F308" s="65" t="s">
        <v>2214</v>
      </c>
      <c r="G308" s="65" t="s">
        <v>2375</v>
      </c>
      <c r="I308"/>
    </row>
    <row r="309" spans="1:9" ht="15">
      <c r="A309" s="65" t="s">
        <v>2431</v>
      </c>
      <c r="B309" s="65" t="s">
        <v>2432</v>
      </c>
      <c r="C309" s="65" t="s">
        <v>621</v>
      </c>
      <c r="D309" s="65" t="s">
        <v>2582</v>
      </c>
      <c r="E309" s="91" t="s">
        <v>621</v>
      </c>
      <c r="F309" s="65" t="s">
        <v>2165</v>
      </c>
      <c r="G309" s="65" t="s">
        <v>2433</v>
      </c>
      <c r="I309"/>
    </row>
    <row r="310" spans="1:9" ht="15">
      <c r="A310" s="66" t="s">
        <v>2578</v>
      </c>
      <c r="B310" s="66" t="s">
        <v>2579</v>
      </c>
      <c r="C310" s="66" t="s">
        <v>2543</v>
      </c>
      <c r="D310" s="66" t="s">
        <v>2582</v>
      </c>
      <c r="E310" s="67" t="s">
        <v>2585</v>
      </c>
      <c r="F310" s="67" t="s">
        <v>2530</v>
      </c>
      <c r="G310" s="66" t="s">
        <v>2580</v>
      </c>
      <c r="I310"/>
    </row>
    <row r="311" spans="1:9" ht="15">
      <c r="A311" s="66" t="s">
        <v>2434</v>
      </c>
      <c r="B311" s="66" t="s">
        <v>2435</v>
      </c>
      <c r="C311" s="66" t="s">
        <v>2436</v>
      </c>
      <c r="D311" s="66" t="s">
        <v>2582</v>
      </c>
      <c r="E311" s="67" t="s">
        <v>2436</v>
      </c>
      <c r="F311" s="67" t="s">
        <v>2530</v>
      </c>
      <c r="G311" s="66" t="s">
        <v>2437</v>
      </c>
      <c r="I311"/>
    </row>
    <row r="312" spans="1:9" ht="15">
      <c r="A312" s="66" t="s">
        <v>2599</v>
      </c>
      <c r="B312" s="66" t="s">
        <v>2435</v>
      </c>
      <c r="C312" s="66" t="s">
        <v>2585</v>
      </c>
      <c r="D312" s="66" t="s">
        <v>2582</v>
      </c>
      <c r="E312" s="67" t="s">
        <v>2585</v>
      </c>
      <c r="F312" s="67" t="s">
        <v>2530</v>
      </c>
      <c r="G312" s="66" t="s">
        <v>2375</v>
      </c>
      <c r="I312"/>
    </row>
    <row r="313" spans="1:9" ht="17.25">
      <c r="A313" s="92" t="s">
        <v>2600</v>
      </c>
      <c r="B313" s="92"/>
      <c r="C313" s="92"/>
      <c r="D313" s="92"/>
      <c r="E313" s="93"/>
      <c r="F313" s="92"/>
      <c r="G313" s="92"/>
      <c r="I313"/>
    </row>
    <row r="314" spans="1:9" ht="15">
      <c r="A314" s="66" t="s">
        <v>2377</v>
      </c>
      <c r="B314" s="66" t="s">
        <v>2378</v>
      </c>
      <c r="C314" s="66" t="s">
        <v>1622</v>
      </c>
      <c r="D314" s="66" t="s">
        <v>2601</v>
      </c>
      <c r="E314" s="67" t="s">
        <v>621</v>
      </c>
      <c r="F314" s="67" t="s">
        <v>2530</v>
      </c>
      <c r="G314" s="66" t="s">
        <v>2380</v>
      </c>
      <c r="I314"/>
    </row>
    <row r="315" spans="1:9" ht="17.25">
      <c r="A315" s="92" t="s">
        <v>2602</v>
      </c>
      <c r="B315" s="92"/>
      <c r="C315" s="92"/>
      <c r="D315" s="92"/>
      <c r="E315" s="93"/>
      <c r="F315" s="92"/>
      <c r="G315" s="92"/>
      <c r="I315"/>
    </row>
    <row r="316" spans="1:9" ht="15">
      <c r="A316" s="65" t="s">
        <v>2328</v>
      </c>
      <c r="B316" s="65"/>
      <c r="C316" s="65" t="s">
        <v>2329</v>
      </c>
      <c r="D316" s="65" t="s">
        <v>2601</v>
      </c>
      <c r="E316" s="91" t="s">
        <v>2385</v>
      </c>
      <c r="F316" s="65" t="s">
        <v>2214</v>
      </c>
      <c r="G316" s="65" t="s">
        <v>2331</v>
      </c>
      <c r="I316"/>
    </row>
    <row r="317" spans="1:9" ht="17.25">
      <c r="A317" s="92" t="s">
        <v>2603</v>
      </c>
      <c r="B317" s="92"/>
      <c r="C317" s="92"/>
      <c r="D317" s="92"/>
      <c r="E317" s="93"/>
      <c r="F317" s="92"/>
      <c r="G317" s="92"/>
      <c r="I317"/>
    </row>
    <row r="318" spans="1:9" ht="15">
      <c r="A318" s="66" t="s">
        <v>2458</v>
      </c>
      <c r="B318" s="66" t="s">
        <v>2457</v>
      </c>
      <c r="C318" s="66" t="s">
        <v>2459</v>
      </c>
      <c r="D318" s="66" t="s">
        <v>2601</v>
      </c>
      <c r="E318" s="67" t="s">
        <v>2585</v>
      </c>
      <c r="F318" s="67" t="s">
        <v>2530</v>
      </c>
      <c r="G318" s="66" t="s">
        <v>2323</v>
      </c>
      <c r="I318"/>
    </row>
    <row r="319" spans="1:9" ht="17.25">
      <c r="A319" s="92" t="s">
        <v>2604</v>
      </c>
      <c r="B319" s="92"/>
      <c r="C319" s="92"/>
      <c r="D319" s="92"/>
      <c r="E319" s="93"/>
      <c r="F319" s="92"/>
      <c r="G319" s="92"/>
      <c r="I319"/>
    </row>
    <row r="320" spans="1:9" ht="15">
      <c r="A320" s="66" t="s">
        <v>2587</v>
      </c>
      <c r="B320" s="66" t="s">
        <v>2363</v>
      </c>
      <c r="C320" s="66" t="s">
        <v>2588</v>
      </c>
      <c r="D320" s="66" t="s">
        <v>2601</v>
      </c>
      <c r="E320" s="67" t="s">
        <v>2585</v>
      </c>
      <c r="F320" s="67" t="s">
        <v>2530</v>
      </c>
      <c r="G320" s="66" t="s">
        <v>2323</v>
      </c>
      <c r="I320"/>
    </row>
    <row r="321" spans="1:9" ht="15">
      <c r="A321" s="66" t="s">
        <v>2387</v>
      </c>
      <c r="B321" s="66"/>
      <c r="C321" s="66" t="s">
        <v>621</v>
      </c>
      <c r="D321" s="66" t="s">
        <v>2601</v>
      </c>
      <c r="E321" s="67" t="s">
        <v>621</v>
      </c>
      <c r="F321" s="67" t="s">
        <v>2530</v>
      </c>
      <c r="G321" s="66" t="s">
        <v>2388</v>
      </c>
      <c r="I321"/>
    </row>
    <row r="322" spans="1:9" ht="15">
      <c r="A322" s="66" t="s">
        <v>2389</v>
      </c>
      <c r="B322" s="66" t="s">
        <v>2390</v>
      </c>
      <c r="C322" s="66" t="s">
        <v>621</v>
      </c>
      <c r="D322" s="66" t="s">
        <v>2601</v>
      </c>
      <c r="E322" s="67" t="s">
        <v>621</v>
      </c>
      <c r="F322" s="67" t="s">
        <v>2530</v>
      </c>
      <c r="G322" s="66" t="s">
        <v>2391</v>
      </c>
      <c r="I322"/>
    </row>
    <row r="323" spans="1:9" ht="15">
      <c r="A323" s="66" t="s">
        <v>2392</v>
      </c>
      <c r="B323" s="66" t="s">
        <v>2390</v>
      </c>
      <c r="C323" s="66" t="s">
        <v>2393</v>
      </c>
      <c r="D323" s="66" t="s">
        <v>2601</v>
      </c>
      <c r="E323" s="67" t="s">
        <v>2589</v>
      </c>
      <c r="F323" s="67" t="s">
        <v>2530</v>
      </c>
      <c r="G323" s="66" t="s">
        <v>2394</v>
      </c>
      <c r="I323"/>
    </row>
    <row r="324" spans="1:9" ht="17.25">
      <c r="A324" s="92" t="s">
        <v>2605</v>
      </c>
      <c r="B324" s="92"/>
      <c r="C324" s="92"/>
      <c r="D324" s="92"/>
      <c r="E324" s="93"/>
      <c r="F324" s="92"/>
      <c r="G324" s="92"/>
      <c r="I324"/>
    </row>
    <row r="325" spans="1:9" ht="15">
      <c r="A325" s="65" t="s">
        <v>2333</v>
      </c>
      <c r="B325" s="65" t="s">
        <v>2334</v>
      </c>
      <c r="C325" s="65" t="s">
        <v>2335</v>
      </c>
      <c r="D325" s="65" t="s">
        <v>2601</v>
      </c>
      <c r="E325" s="91" t="s">
        <v>2385</v>
      </c>
      <c r="F325" s="65" t="s">
        <v>2214</v>
      </c>
      <c r="G325" s="65" t="s">
        <v>2323</v>
      </c>
      <c r="I325"/>
    </row>
    <row r="326" spans="1:9" ht="15">
      <c r="A326" s="65" t="s">
        <v>2336</v>
      </c>
      <c r="B326" s="65" t="s">
        <v>2334</v>
      </c>
      <c r="C326" s="65" t="s">
        <v>2329</v>
      </c>
      <c r="D326" s="65" t="s">
        <v>2601</v>
      </c>
      <c r="E326" s="91" t="s">
        <v>2385</v>
      </c>
      <c r="F326" s="65" t="s">
        <v>2214</v>
      </c>
      <c r="G326" s="65" t="s">
        <v>2323</v>
      </c>
      <c r="I326"/>
    </row>
    <row r="327" spans="1:9" ht="15">
      <c r="A327" s="65" t="s">
        <v>2337</v>
      </c>
      <c r="B327" s="65" t="s">
        <v>2334</v>
      </c>
      <c r="C327" s="65" t="s">
        <v>2329</v>
      </c>
      <c r="D327" s="65" t="s">
        <v>2601</v>
      </c>
      <c r="E327" s="91" t="s">
        <v>2385</v>
      </c>
      <c r="F327" s="65" t="s">
        <v>2214</v>
      </c>
      <c r="G327" s="65" t="s">
        <v>2323</v>
      </c>
      <c r="I327"/>
    </row>
    <row r="328" spans="1:9" ht="15">
      <c r="A328" s="65" t="s">
        <v>2338</v>
      </c>
      <c r="B328" s="65" t="s">
        <v>2339</v>
      </c>
      <c r="C328" s="65" t="s">
        <v>2329</v>
      </c>
      <c r="D328" s="65" t="s">
        <v>2601</v>
      </c>
      <c r="E328" s="91" t="s">
        <v>2385</v>
      </c>
      <c r="F328" s="65" t="s">
        <v>2214</v>
      </c>
      <c r="G328" s="65" t="s">
        <v>2323</v>
      </c>
      <c r="I328"/>
    </row>
    <row r="329" spans="1:9" ht="15">
      <c r="A329" s="65" t="s">
        <v>2340</v>
      </c>
      <c r="B329" s="65"/>
      <c r="C329" s="65" t="s">
        <v>2329</v>
      </c>
      <c r="D329" s="65" t="s">
        <v>2601</v>
      </c>
      <c r="E329" s="91" t="s">
        <v>2385</v>
      </c>
      <c r="F329" s="65" t="s">
        <v>2214</v>
      </c>
      <c r="G329" s="65" t="s">
        <v>2323</v>
      </c>
      <c r="I329"/>
    </row>
    <row r="330" spans="1:9" ht="15">
      <c r="A330" s="65" t="s">
        <v>2341</v>
      </c>
      <c r="B330" s="65"/>
      <c r="C330" s="65" t="s">
        <v>2329</v>
      </c>
      <c r="D330" s="65" t="s">
        <v>2601</v>
      </c>
      <c r="E330" s="91" t="s">
        <v>2385</v>
      </c>
      <c r="F330" s="65" t="s">
        <v>2214</v>
      </c>
      <c r="G330" s="65" t="s">
        <v>2323</v>
      </c>
      <c r="I330"/>
    </row>
    <row r="331" spans="1:9" ht="15">
      <c r="A331" s="65" t="s">
        <v>2342</v>
      </c>
      <c r="B331" s="65"/>
      <c r="C331" s="65" t="s">
        <v>2329</v>
      </c>
      <c r="D331" s="65" t="s">
        <v>2601</v>
      </c>
      <c r="E331" s="91" t="s">
        <v>2385</v>
      </c>
      <c r="F331" s="65" t="s">
        <v>2214</v>
      </c>
      <c r="G331" s="65" t="s">
        <v>2323</v>
      </c>
      <c r="I331"/>
    </row>
    <row r="332" spans="1:9" ht="17.25">
      <c r="A332" s="92" t="s">
        <v>2606</v>
      </c>
      <c r="B332" s="92"/>
      <c r="C332" s="92"/>
      <c r="D332" s="92"/>
      <c r="E332" s="93"/>
      <c r="F332" s="92"/>
      <c r="G332" s="92"/>
      <c r="I332"/>
    </row>
    <row r="333" spans="1:9" ht="15">
      <c r="A333" s="65" t="s">
        <v>2347</v>
      </c>
      <c r="B333" s="65"/>
      <c r="C333" s="65" t="s">
        <v>2329</v>
      </c>
      <c r="D333" s="65" t="s">
        <v>2601</v>
      </c>
      <c r="E333" s="91" t="s">
        <v>2385</v>
      </c>
      <c r="F333" s="65" t="s">
        <v>2214</v>
      </c>
      <c r="G333" s="65" t="s">
        <v>2323</v>
      </c>
      <c r="I333"/>
    </row>
    <row r="334" spans="1:9" ht="15">
      <c r="A334" s="65" t="s">
        <v>2348</v>
      </c>
      <c r="B334" s="65"/>
      <c r="C334" s="65" t="s">
        <v>2329</v>
      </c>
      <c r="D334" s="65" t="s">
        <v>2601</v>
      </c>
      <c r="E334" s="91" t="s">
        <v>2385</v>
      </c>
      <c r="F334" s="65" t="s">
        <v>2214</v>
      </c>
      <c r="G334" s="65" t="s">
        <v>2323</v>
      </c>
      <c r="I334"/>
    </row>
    <row r="335" spans="1:9" ht="15">
      <c r="A335" s="66" t="s">
        <v>2397</v>
      </c>
      <c r="B335" s="66"/>
      <c r="C335" s="66" t="s">
        <v>621</v>
      </c>
      <c r="D335" s="66" t="s">
        <v>2601</v>
      </c>
      <c r="E335" s="67" t="s">
        <v>621</v>
      </c>
      <c r="F335" s="67" t="s">
        <v>2530</v>
      </c>
      <c r="G335" s="66" t="s">
        <v>2398</v>
      </c>
      <c r="I335"/>
    </row>
    <row r="336" spans="1:9" ht="17.25">
      <c r="A336" s="92" t="s">
        <v>2607</v>
      </c>
      <c r="B336" s="92"/>
      <c r="C336" s="92"/>
      <c r="D336" s="92"/>
      <c r="E336" s="93"/>
      <c r="F336" s="92"/>
      <c r="G336" s="92"/>
      <c r="I336"/>
    </row>
    <row r="337" spans="1:9" ht="15">
      <c r="A337" s="66" t="s">
        <v>2400</v>
      </c>
      <c r="B337" s="66"/>
      <c r="C337" s="66" t="s">
        <v>2401</v>
      </c>
      <c r="D337" s="66" t="s">
        <v>2601</v>
      </c>
      <c r="E337" s="67" t="s">
        <v>621</v>
      </c>
      <c r="F337" s="67" t="s">
        <v>2530</v>
      </c>
      <c r="G337" s="66" t="s">
        <v>2323</v>
      </c>
      <c r="I337"/>
    </row>
    <row r="338" spans="1:9" ht="15">
      <c r="A338" s="65" t="s">
        <v>2350</v>
      </c>
      <c r="B338" s="65"/>
      <c r="C338" s="65" t="s">
        <v>2329</v>
      </c>
      <c r="D338" s="65" t="s">
        <v>2601</v>
      </c>
      <c r="E338" s="91" t="s">
        <v>2385</v>
      </c>
      <c r="F338" s="65" t="s">
        <v>2214</v>
      </c>
      <c r="G338" s="65" t="s">
        <v>2323</v>
      </c>
      <c r="I338"/>
    </row>
    <row r="339" spans="1:9" ht="17.25">
      <c r="A339" s="92" t="s">
        <v>2608</v>
      </c>
      <c r="B339" s="92"/>
      <c r="C339" s="92"/>
      <c r="D339" s="92"/>
      <c r="E339" s="93"/>
      <c r="F339" s="92"/>
      <c r="G339" s="92"/>
      <c r="I339"/>
    </row>
    <row r="340" spans="1:9" ht="15">
      <c r="A340" s="66" t="s">
        <v>2403</v>
      </c>
      <c r="B340" s="66" t="s">
        <v>2404</v>
      </c>
      <c r="C340" s="66" t="s">
        <v>621</v>
      </c>
      <c r="D340" s="66" t="s">
        <v>2601</v>
      </c>
      <c r="E340" s="67" t="s">
        <v>621</v>
      </c>
      <c r="F340" s="67" t="s">
        <v>2530</v>
      </c>
      <c r="G340" s="66" t="s">
        <v>2405</v>
      </c>
      <c r="I340"/>
    </row>
    <row r="341" spans="1:9" ht="15">
      <c r="A341" s="66" t="s">
        <v>2406</v>
      </c>
      <c r="B341" s="66" t="s">
        <v>2407</v>
      </c>
      <c r="C341" s="66" t="s">
        <v>2408</v>
      </c>
      <c r="D341" s="66" t="s">
        <v>2601</v>
      </c>
      <c r="E341" s="67" t="s">
        <v>621</v>
      </c>
      <c r="F341" s="67" t="s">
        <v>2530</v>
      </c>
      <c r="G341" s="66" t="s">
        <v>2409</v>
      </c>
      <c r="I341"/>
    </row>
    <row r="342" spans="1:9" ht="15">
      <c r="A342" s="65" t="s">
        <v>2358</v>
      </c>
      <c r="B342" s="65"/>
      <c r="C342" s="65" t="s">
        <v>2329</v>
      </c>
      <c r="D342" s="65" t="s">
        <v>2601</v>
      </c>
      <c r="E342" s="91" t="s">
        <v>2385</v>
      </c>
      <c r="F342" s="65" t="s">
        <v>2214</v>
      </c>
      <c r="G342" s="65" t="s">
        <v>2323</v>
      </c>
      <c r="I342"/>
    </row>
    <row r="343" spans="1:9" ht="17.25">
      <c r="A343" s="92" t="s">
        <v>2609</v>
      </c>
      <c r="B343" s="92"/>
      <c r="C343" s="92"/>
      <c r="D343" s="92"/>
      <c r="E343" s="93"/>
      <c r="F343" s="92"/>
      <c r="G343" s="92"/>
      <c r="I343"/>
    </row>
    <row r="344" spans="1:9" ht="15">
      <c r="A344" s="66" t="s">
        <v>2411</v>
      </c>
      <c r="B344" s="66" t="s">
        <v>2412</v>
      </c>
      <c r="C344" s="66" t="s">
        <v>621</v>
      </c>
      <c r="D344" s="66" t="s">
        <v>2601</v>
      </c>
      <c r="E344" s="67" t="s">
        <v>621</v>
      </c>
      <c r="F344" s="67" t="s">
        <v>2530</v>
      </c>
      <c r="G344" s="66" t="s">
        <v>2323</v>
      </c>
      <c r="I344"/>
    </row>
    <row r="345" spans="1:9" ht="15">
      <c r="A345" s="66" t="s">
        <v>2413</v>
      </c>
      <c r="B345" s="66" t="s">
        <v>2407</v>
      </c>
      <c r="C345" s="66" t="s">
        <v>2414</v>
      </c>
      <c r="D345" s="66" t="s">
        <v>2601</v>
      </c>
      <c r="E345" s="67" t="s">
        <v>2595</v>
      </c>
      <c r="F345" s="67" t="s">
        <v>2530</v>
      </c>
      <c r="G345" s="66" t="s">
        <v>2416</v>
      </c>
      <c r="I345"/>
    </row>
    <row r="346" spans="1:9" ht="15">
      <c r="A346" s="66" t="s">
        <v>2417</v>
      </c>
      <c r="B346" s="66"/>
      <c r="C346" s="66" t="s">
        <v>621</v>
      </c>
      <c r="D346" s="66" t="s">
        <v>2601</v>
      </c>
      <c r="E346" s="67" t="s">
        <v>621</v>
      </c>
      <c r="F346" s="67" t="s">
        <v>2530</v>
      </c>
      <c r="G346" s="66" t="s">
        <v>2361</v>
      </c>
      <c r="I346"/>
    </row>
    <row r="347" spans="1:9" ht="15">
      <c r="A347" s="65" t="s">
        <v>2362</v>
      </c>
      <c r="B347" s="65" t="s">
        <v>2363</v>
      </c>
      <c r="C347" s="65" t="s">
        <v>2364</v>
      </c>
      <c r="D347" s="65" t="s">
        <v>2601</v>
      </c>
      <c r="E347" s="91" t="s">
        <v>2418</v>
      </c>
      <c r="F347" s="65" t="s">
        <v>2214</v>
      </c>
      <c r="G347" s="65" t="s">
        <v>2323</v>
      </c>
      <c r="I347"/>
    </row>
    <row r="348" spans="1:9" ht="17.25">
      <c r="A348" s="92" t="s">
        <v>2610</v>
      </c>
      <c r="B348" s="92"/>
      <c r="C348" s="92"/>
      <c r="D348" s="92"/>
      <c r="E348" s="93"/>
      <c r="F348" s="92"/>
      <c r="G348" s="92"/>
      <c r="I348"/>
    </row>
    <row r="349" spans="1:9" ht="15">
      <c r="A349" s="66" t="s">
        <v>2420</v>
      </c>
      <c r="B349" s="66"/>
      <c r="C349" s="66" t="s">
        <v>621</v>
      </c>
      <c r="D349" s="66" t="s">
        <v>2601</v>
      </c>
      <c r="E349" s="67" t="s">
        <v>621</v>
      </c>
      <c r="F349" s="67" t="s">
        <v>2530</v>
      </c>
      <c r="G349" s="66" t="s">
        <v>2323</v>
      </c>
      <c r="I349"/>
    </row>
    <row r="350" spans="1:9" ht="15">
      <c r="A350" s="66" t="s">
        <v>2541</v>
      </c>
      <c r="B350" s="66" t="s">
        <v>2542</v>
      </c>
      <c r="C350" s="66" t="s">
        <v>2543</v>
      </c>
      <c r="D350" s="66" t="s">
        <v>2601</v>
      </c>
      <c r="E350" s="67" t="s">
        <v>2585</v>
      </c>
      <c r="F350" s="67" t="s">
        <v>2530</v>
      </c>
      <c r="G350" s="66" t="s">
        <v>2323</v>
      </c>
      <c r="I350"/>
    </row>
    <row r="351" spans="1:9" ht="17.25">
      <c r="A351" s="92" t="s">
        <v>2611</v>
      </c>
      <c r="B351" s="92"/>
      <c r="C351" s="92"/>
      <c r="D351" s="92"/>
      <c r="E351" s="93"/>
      <c r="F351" s="92"/>
      <c r="G351" s="92"/>
      <c r="I351"/>
    </row>
    <row r="352" spans="1:9" ht="15">
      <c r="A352" s="66" t="s">
        <v>2427</v>
      </c>
      <c r="B352" s="66" t="s">
        <v>2370</v>
      </c>
      <c r="C352" s="66" t="s">
        <v>2428</v>
      </c>
      <c r="D352" s="66" t="s">
        <v>2601</v>
      </c>
      <c r="E352" s="67" t="s">
        <v>621</v>
      </c>
      <c r="F352" s="67" t="s">
        <v>2530</v>
      </c>
      <c r="G352" s="66" t="s">
        <v>2429</v>
      </c>
      <c r="I352"/>
    </row>
    <row r="353" spans="1:9" ht="15">
      <c r="A353" s="65" t="s">
        <v>2372</v>
      </c>
      <c r="B353" s="65"/>
      <c r="C353" s="65" t="s">
        <v>2329</v>
      </c>
      <c r="D353" s="65" t="s">
        <v>2601</v>
      </c>
      <c r="E353" s="91" t="s">
        <v>2385</v>
      </c>
      <c r="F353" s="65" t="s">
        <v>2214</v>
      </c>
      <c r="G353" s="65" t="s">
        <v>2323</v>
      </c>
      <c r="I353"/>
    </row>
    <row r="354" spans="1:9" ht="17.25">
      <c r="A354" s="92" t="s">
        <v>2612</v>
      </c>
      <c r="B354" s="92"/>
      <c r="C354" s="92"/>
      <c r="D354" s="92"/>
      <c r="E354" s="93"/>
      <c r="F354" s="92"/>
      <c r="G354" s="92"/>
      <c r="I354"/>
    </row>
    <row r="355" spans="1:9" ht="15">
      <c r="A355" s="65" t="s">
        <v>2374</v>
      </c>
      <c r="B355" s="65"/>
      <c r="C355" s="65" t="s">
        <v>2329</v>
      </c>
      <c r="D355" s="65" t="s">
        <v>2601</v>
      </c>
      <c r="E355" s="91" t="s">
        <v>2385</v>
      </c>
      <c r="F355" s="65" t="s">
        <v>2214</v>
      </c>
      <c r="G355" s="65" t="s">
        <v>2375</v>
      </c>
      <c r="I355"/>
    </row>
    <row r="356" spans="1:9" ht="15">
      <c r="A356" s="66" t="s">
        <v>2431</v>
      </c>
      <c r="B356" s="66" t="s">
        <v>2432</v>
      </c>
      <c r="C356" s="66" t="s">
        <v>621</v>
      </c>
      <c r="D356" s="66" t="s">
        <v>2601</v>
      </c>
      <c r="E356" s="67" t="s">
        <v>621</v>
      </c>
      <c r="F356" s="67" t="s">
        <v>2530</v>
      </c>
      <c r="G356" s="66" t="s">
        <v>2433</v>
      </c>
      <c r="I356"/>
    </row>
    <row r="357" spans="1:9" ht="15">
      <c r="A357" s="66" t="s">
        <v>2578</v>
      </c>
      <c r="B357" s="66" t="s">
        <v>2579</v>
      </c>
      <c r="C357" s="66" t="s">
        <v>2543</v>
      </c>
      <c r="D357" s="66" t="s">
        <v>2601</v>
      </c>
      <c r="E357" s="67" t="s">
        <v>2585</v>
      </c>
      <c r="F357" s="67" t="s">
        <v>2530</v>
      </c>
      <c r="G357" s="66" t="s">
        <v>2580</v>
      </c>
      <c r="I357"/>
    </row>
    <row r="358" spans="1:9" ht="15">
      <c r="A358" s="66" t="s">
        <v>2599</v>
      </c>
      <c r="B358" s="66" t="s">
        <v>2435</v>
      </c>
      <c r="C358" s="66" t="s">
        <v>2585</v>
      </c>
      <c r="D358" s="66" t="s">
        <v>2601</v>
      </c>
      <c r="E358" s="67" t="s">
        <v>2585</v>
      </c>
      <c r="F358" s="67" t="s">
        <v>2530</v>
      </c>
      <c r="G358" s="66" t="s">
        <v>2375</v>
      </c>
      <c r="I358"/>
    </row>
    <row r="359" spans="1:9" ht="17.25">
      <c r="A359" s="92" t="s">
        <v>2613</v>
      </c>
      <c r="B359" s="92"/>
      <c r="C359" s="92"/>
      <c r="D359" s="92"/>
      <c r="E359" s="93"/>
      <c r="F359" s="92"/>
      <c r="G359" s="92"/>
      <c r="I359"/>
    </row>
    <row r="360" spans="1:9" ht="15">
      <c r="A360" s="66" t="s">
        <v>2377</v>
      </c>
      <c r="B360" s="66" t="s">
        <v>2378</v>
      </c>
      <c r="C360" s="66" t="s">
        <v>1622</v>
      </c>
      <c r="D360" s="66" t="s">
        <v>2614</v>
      </c>
      <c r="E360" s="67" t="s">
        <v>120</v>
      </c>
      <c r="F360" s="67" t="s">
        <v>2530</v>
      </c>
      <c r="G360" s="66" t="s">
        <v>2380</v>
      </c>
      <c r="I360"/>
    </row>
    <row r="361" spans="1:9" ht="15">
      <c r="A361" s="66" t="s">
        <v>2382</v>
      </c>
      <c r="B361" s="66"/>
      <c r="C361" s="66" t="s">
        <v>2383</v>
      </c>
      <c r="D361" s="66" t="s">
        <v>2614</v>
      </c>
      <c r="E361" s="67" t="s">
        <v>120</v>
      </c>
      <c r="F361" s="67" t="s">
        <v>2530</v>
      </c>
      <c r="G361" s="66" t="s">
        <v>2323</v>
      </c>
      <c r="I361"/>
    </row>
    <row r="362" spans="1:9" ht="15">
      <c r="A362" s="66" t="s">
        <v>2441</v>
      </c>
      <c r="B362" s="66" t="s">
        <v>2316</v>
      </c>
      <c r="C362" s="66" t="s">
        <v>120</v>
      </c>
      <c r="D362" s="66" t="s">
        <v>2614</v>
      </c>
      <c r="E362" s="67" t="s">
        <v>120</v>
      </c>
      <c r="F362" s="67" t="s">
        <v>2530</v>
      </c>
      <c r="G362" s="66" t="s">
        <v>2323</v>
      </c>
      <c r="I362"/>
    </row>
    <row r="363" spans="1:9" ht="15">
      <c r="A363" s="66" t="s">
        <v>2442</v>
      </c>
      <c r="B363" s="66" t="s">
        <v>2326</v>
      </c>
      <c r="C363" s="66" t="s">
        <v>120</v>
      </c>
      <c r="D363" s="66" t="s">
        <v>2614</v>
      </c>
      <c r="E363" s="67" t="s">
        <v>120</v>
      </c>
      <c r="F363" s="67" t="s">
        <v>2530</v>
      </c>
      <c r="G363" s="66" t="s">
        <v>2443</v>
      </c>
      <c r="I363"/>
    </row>
    <row r="364" spans="1:9" ht="15">
      <c r="A364" s="66" t="s">
        <v>2444</v>
      </c>
      <c r="B364" s="66"/>
      <c r="C364" s="66" t="s">
        <v>120</v>
      </c>
      <c r="D364" s="66" t="s">
        <v>2614</v>
      </c>
      <c r="E364" s="67" t="s">
        <v>120</v>
      </c>
      <c r="F364" s="67" t="s">
        <v>2530</v>
      </c>
      <c r="G364" s="66" t="s">
        <v>2323</v>
      </c>
      <c r="I364"/>
    </row>
    <row r="365" spans="1:9" ht="17.25">
      <c r="A365" s="92" t="s">
        <v>2615</v>
      </c>
      <c r="B365" s="92"/>
      <c r="C365" s="92"/>
      <c r="D365" s="92"/>
      <c r="E365" s="93"/>
      <c r="F365" s="92"/>
      <c r="G365" s="92"/>
      <c r="I365"/>
    </row>
    <row r="366" spans="1:9" ht="15">
      <c r="A366" s="66" t="s">
        <v>2446</v>
      </c>
      <c r="B366" s="66" t="s">
        <v>2334</v>
      </c>
      <c r="C366" s="66" t="s">
        <v>120</v>
      </c>
      <c r="D366" s="66" t="s">
        <v>2614</v>
      </c>
      <c r="E366" s="67" t="s">
        <v>120</v>
      </c>
      <c r="F366" s="67" t="s">
        <v>2530</v>
      </c>
      <c r="G366" s="66" t="s">
        <v>2323</v>
      </c>
      <c r="I366"/>
    </row>
    <row r="367" spans="1:9" ht="15">
      <c r="A367" s="66" t="s">
        <v>2447</v>
      </c>
      <c r="B367" s="66" t="s">
        <v>2448</v>
      </c>
      <c r="C367" s="66" t="s">
        <v>120</v>
      </c>
      <c r="D367" s="66" t="s">
        <v>2614</v>
      </c>
      <c r="E367" s="67" t="s">
        <v>120</v>
      </c>
      <c r="F367" s="67" t="s">
        <v>2530</v>
      </c>
      <c r="G367" s="66" t="s">
        <v>2449</v>
      </c>
      <c r="I367"/>
    </row>
    <row r="368" spans="1:9" ht="15">
      <c r="A368" s="66" t="s">
        <v>2450</v>
      </c>
      <c r="B368" s="66" t="s">
        <v>2448</v>
      </c>
      <c r="C368" s="66" t="s">
        <v>120</v>
      </c>
      <c r="D368" s="66" t="s">
        <v>2614</v>
      </c>
      <c r="E368" s="67" t="s">
        <v>120</v>
      </c>
      <c r="F368" s="67" t="s">
        <v>2530</v>
      </c>
      <c r="G368" s="66" t="s">
        <v>2323</v>
      </c>
      <c r="I368"/>
    </row>
    <row r="369" spans="1:9" ht="15">
      <c r="A369" s="65" t="s">
        <v>2328</v>
      </c>
      <c r="B369" s="65"/>
      <c r="C369" s="65" t="s">
        <v>2329</v>
      </c>
      <c r="D369" s="65" t="s">
        <v>2614</v>
      </c>
      <c r="E369" s="91" t="s">
        <v>2451</v>
      </c>
      <c r="F369" s="65" t="s">
        <v>2229</v>
      </c>
      <c r="G369" s="65" t="s">
        <v>2331</v>
      </c>
      <c r="I369"/>
    </row>
    <row r="370" spans="1:9" ht="15">
      <c r="A370" s="66" t="s">
        <v>2452</v>
      </c>
      <c r="B370" s="66" t="s">
        <v>2453</v>
      </c>
      <c r="C370" s="66" t="s">
        <v>120</v>
      </c>
      <c r="D370" s="66" t="s">
        <v>2614</v>
      </c>
      <c r="E370" s="67" t="s">
        <v>120</v>
      </c>
      <c r="F370" s="67" t="s">
        <v>2530</v>
      </c>
      <c r="G370" s="66" t="s">
        <v>2454</v>
      </c>
      <c r="I370"/>
    </row>
    <row r="371" spans="1:9" ht="17.25">
      <c r="A371" s="92" t="s">
        <v>2616</v>
      </c>
      <c r="B371" s="92"/>
      <c r="C371" s="92"/>
      <c r="D371" s="92"/>
      <c r="E371" s="93"/>
      <c r="F371" s="92"/>
      <c r="G371" s="92"/>
      <c r="I371"/>
    </row>
    <row r="372" spans="1:9" ht="15">
      <c r="A372" s="66" t="s">
        <v>2456</v>
      </c>
      <c r="B372" s="66" t="s">
        <v>2457</v>
      </c>
      <c r="C372" s="66" t="s">
        <v>120</v>
      </c>
      <c r="D372" s="66" t="s">
        <v>2614</v>
      </c>
      <c r="E372" s="67" t="s">
        <v>120</v>
      </c>
      <c r="F372" s="67" t="s">
        <v>2530</v>
      </c>
      <c r="G372" s="66" t="s">
        <v>2323</v>
      </c>
      <c r="I372"/>
    </row>
    <row r="373" spans="1:9" ht="15">
      <c r="A373" s="66" t="s">
        <v>2458</v>
      </c>
      <c r="B373" s="66" t="s">
        <v>2457</v>
      </c>
      <c r="C373" s="66" t="s">
        <v>2459</v>
      </c>
      <c r="D373" s="66" t="s">
        <v>2614</v>
      </c>
      <c r="E373" s="67" t="s">
        <v>120</v>
      </c>
      <c r="F373" s="67" t="s">
        <v>2530</v>
      </c>
      <c r="G373" s="66" t="s">
        <v>2323</v>
      </c>
      <c r="I373"/>
    </row>
    <row r="374" spans="1:9" ht="15">
      <c r="A374" s="66" t="s">
        <v>2460</v>
      </c>
      <c r="B374" s="66" t="s">
        <v>2457</v>
      </c>
      <c r="C374" s="66" t="s">
        <v>2461</v>
      </c>
      <c r="D374" s="66" t="s">
        <v>2614</v>
      </c>
      <c r="E374" s="67" t="s">
        <v>120</v>
      </c>
      <c r="F374" s="67" t="s">
        <v>2530</v>
      </c>
      <c r="G374" s="66" t="s">
        <v>2462</v>
      </c>
      <c r="I374"/>
    </row>
    <row r="375" spans="1:9" ht="15">
      <c r="A375" s="66" t="s">
        <v>2463</v>
      </c>
      <c r="B375" s="66" t="s">
        <v>2457</v>
      </c>
      <c r="C375" s="66" t="s">
        <v>120</v>
      </c>
      <c r="D375" s="66" t="s">
        <v>2614</v>
      </c>
      <c r="E375" s="67" t="s">
        <v>120</v>
      </c>
      <c r="F375" s="67" t="s">
        <v>2530</v>
      </c>
      <c r="G375" s="66" t="s">
        <v>2323</v>
      </c>
      <c r="I375"/>
    </row>
    <row r="376" spans="1:9" ht="17.25">
      <c r="A376" s="92" t="s">
        <v>2617</v>
      </c>
      <c r="B376" s="92"/>
      <c r="C376" s="92"/>
      <c r="D376" s="92"/>
      <c r="E376" s="93"/>
      <c r="F376" s="92"/>
      <c r="G376" s="92"/>
      <c r="I376"/>
    </row>
    <row r="377" spans="1:9" ht="15">
      <c r="A377" s="66" t="s">
        <v>2465</v>
      </c>
      <c r="B377" s="66" t="s">
        <v>2466</v>
      </c>
      <c r="C377" s="66" t="s">
        <v>2467</v>
      </c>
      <c r="D377" s="66" t="s">
        <v>2614</v>
      </c>
      <c r="E377" s="67" t="s">
        <v>120</v>
      </c>
      <c r="F377" s="67" t="s">
        <v>2530</v>
      </c>
      <c r="G377" s="66" t="s">
        <v>2323</v>
      </c>
      <c r="I377"/>
    </row>
    <row r="378" spans="1:9" ht="15">
      <c r="A378" s="66" t="s">
        <v>2468</v>
      </c>
      <c r="B378" s="66" t="s">
        <v>2390</v>
      </c>
      <c r="C378" s="66" t="s">
        <v>120</v>
      </c>
      <c r="D378" s="66" t="s">
        <v>2614</v>
      </c>
      <c r="E378" s="67" t="s">
        <v>120</v>
      </c>
      <c r="F378" s="67" t="s">
        <v>2530</v>
      </c>
      <c r="G378" s="66" t="s">
        <v>2323</v>
      </c>
      <c r="I378"/>
    </row>
    <row r="379" spans="1:9" ht="15">
      <c r="A379" s="66" t="s">
        <v>2469</v>
      </c>
      <c r="B379" s="66" t="s">
        <v>2466</v>
      </c>
      <c r="C379" s="66" t="s">
        <v>2470</v>
      </c>
      <c r="D379" s="66" t="s">
        <v>2614</v>
      </c>
      <c r="E379" s="67" t="s">
        <v>120</v>
      </c>
      <c r="F379" s="67" t="s">
        <v>2530</v>
      </c>
      <c r="G379" s="66" t="s">
        <v>2323</v>
      </c>
      <c r="I379"/>
    </row>
    <row r="380" spans="1:9" ht="15">
      <c r="A380" s="66" t="s">
        <v>2392</v>
      </c>
      <c r="B380" s="66" t="s">
        <v>2390</v>
      </c>
      <c r="C380" s="66" t="s">
        <v>2393</v>
      </c>
      <c r="D380" s="66" t="s">
        <v>2614</v>
      </c>
      <c r="E380" s="67" t="s">
        <v>120</v>
      </c>
      <c r="F380" s="67" t="s">
        <v>2530</v>
      </c>
      <c r="G380" s="66" t="s">
        <v>2394</v>
      </c>
      <c r="I380"/>
    </row>
    <row r="381" spans="1:9" ht="15">
      <c r="A381" s="66" t="s">
        <v>2471</v>
      </c>
      <c r="B381" s="66" t="s">
        <v>2472</v>
      </c>
      <c r="C381" s="66" t="s">
        <v>120</v>
      </c>
      <c r="D381" s="66" t="s">
        <v>2614</v>
      </c>
      <c r="E381" s="67" t="s">
        <v>120</v>
      </c>
      <c r="F381" s="67" t="s">
        <v>2530</v>
      </c>
      <c r="G381" s="66" t="s">
        <v>2473</v>
      </c>
      <c r="I381"/>
    </row>
    <row r="382" spans="1:9" ht="15">
      <c r="A382" s="66" t="s">
        <v>2474</v>
      </c>
      <c r="B382" s="66" t="s">
        <v>2472</v>
      </c>
      <c r="C382" s="66" t="s">
        <v>120</v>
      </c>
      <c r="D382" s="66" t="s">
        <v>2614</v>
      </c>
      <c r="E382" s="67" t="s">
        <v>120</v>
      </c>
      <c r="F382" s="67" t="s">
        <v>2530</v>
      </c>
      <c r="G382" s="66" t="s">
        <v>2323</v>
      </c>
      <c r="I382"/>
    </row>
    <row r="383" spans="1:9" ht="17.25">
      <c r="A383" s="92" t="s">
        <v>2618</v>
      </c>
      <c r="B383" s="92"/>
      <c r="C383" s="92"/>
      <c r="D383" s="92"/>
      <c r="E383" s="93"/>
      <c r="F383" s="92"/>
      <c r="G383" s="92"/>
      <c r="I383"/>
    </row>
    <row r="384" spans="1:9" ht="15">
      <c r="A384" s="66" t="s">
        <v>2476</v>
      </c>
      <c r="B384" s="66" t="s">
        <v>2477</v>
      </c>
      <c r="C384" s="66" t="s">
        <v>120</v>
      </c>
      <c r="D384" s="66" t="s">
        <v>2614</v>
      </c>
      <c r="E384" s="67" t="s">
        <v>120</v>
      </c>
      <c r="F384" s="67" t="s">
        <v>2530</v>
      </c>
      <c r="G384" s="66" t="s">
        <v>2478</v>
      </c>
      <c r="I384"/>
    </row>
    <row r="385" spans="1:9" ht="15">
      <c r="A385" s="65" t="s">
        <v>2333</v>
      </c>
      <c r="B385" s="65" t="s">
        <v>2334</v>
      </c>
      <c r="C385" s="65" t="s">
        <v>2335</v>
      </c>
      <c r="D385" s="65" t="s">
        <v>2614</v>
      </c>
      <c r="E385" s="91" t="s">
        <v>2451</v>
      </c>
      <c r="F385" s="65" t="s">
        <v>2229</v>
      </c>
      <c r="G385" s="65" t="s">
        <v>2323</v>
      </c>
      <c r="I385"/>
    </row>
    <row r="386" spans="1:9" ht="15">
      <c r="A386" s="65" t="s">
        <v>2336</v>
      </c>
      <c r="B386" s="65" t="s">
        <v>2334</v>
      </c>
      <c r="C386" s="65" t="s">
        <v>2329</v>
      </c>
      <c r="D386" s="65" t="s">
        <v>2614</v>
      </c>
      <c r="E386" s="91" t="s">
        <v>2451</v>
      </c>
      <c r="F386" s="65" t="s">
        <v>2229</v>
      </c>
      <c r="G386" s="65" t="s">
        <v>2323</v>
      </c>
      <c r="I386"/>
    </row>
    <row r="387" spans="1:9" ht="15">
      <c r="A387" s="65" t="s">
        <v>2337</v>
      </c>
      <c r="B387" s="65" t="s">
        <v>2334</v>
      </c>
      <c r="C387" s="65" t="s">
        <v>2329</v>
      </c>
      <c r="D387" s="65" t="s">
        <v>2614</v>
      </c>
      <c r="E387" s="91" t="s">
        <v>2451</v>
      </c>
      <c r="F387" s="65" t="s">
        <v>2229</v>
      </c>
      <c r="G387" s="65" t="s">
        <v>2323</v>
      </c>
      <c r="I387"/>
    </row>
    <row r="388" spans="1:9" ht="15">
      <c r="A388" s="65" t="s">
        <v>2338</v>
      </c>
      <c r="B388" s="65" t="s">
        <v>2339</v>
      </c>
      <c r="C388" s="65" t="s">
        <v>2329</v>
      </c>
      <c r="D388" s="65" t="s">
        <v>2614</v>
      </c>
      <c r="E388" s="91" t="s">
        <v>2451</v>
      </c>
      <c r="F388" s="65" t="s">
        <v>2229</v>
      </c>
      <c r="G388" s="65" t="s">
        <v>2323</v>
      </c>
      <c r="I388"/>
    </row>
    <row r="389" spans="1:9" ht="15">
      <c r="A389" s="65" t="s">
        <v>2340</v>
      </c>
      <c r="B389" s="65"/>
      <c r="C389" s="65" t="s">
        <v>2329</v>
      </c>
      <c r="D389" s="65" t="s">
        <v>2614</v>
      </c>
      <c r="E389" s="91" t="s">
        <v>2451</v>
      </c>
      <c r="F389" s="65" t="s">
        <v>2229</v>
      </c>
      <c r="G389" s="65" t="s">
        <v>2323</v>
      </c>
      <c r="I389"/>
    </row>
    <row r="390" spans="1:9" ht="15">
      <c r="A390" s="65" t="s">
        <v>2341</v>
      </c>
      <c r="B390" s="65"/>
      <c r="C390" s="65" t="s">
        <v>2329</v>
      </c>
      <c r="D390" s="65" t="s">
        <v>2614</v>
      </c>
      <c r="E390" s="91" t="s">
        <v>2451</v>
      </c>
      <c r="F390" s="65" t="s">
        <v>2229</v>
      </c>
      <c r="G390" s="65" t="s">
        <v>2323</v>
      </c>
      <c r="I390"/>
    </row>
    <row r="391" spans="1:9" ht="15">
      <c r="A391" s="65" t="s">
        <v>2342</v>
      </c>
      <c r="B391" s="65"/>
      <c r="C391" s="65" t="s">
        <v>2329</v>
      </c>
      <c r="D391" s="65" t="s">
        <v>2614</v>
      </c>
      <c r="E391" s="91" t="s">
        <v>2451</v>
      </c>
      <c r="F391" s="65" t="s">
        <v>2229</v>
      </c>
      <c r="G391" s="65" t="s">
        <v>2323</v>
      </c>
      <c r="I391"/>
    </row>
    <row r="392" spans="1:9" ht="17.25">
      <c r="A392" s="92" t="s">
        <v>2619</v>
      </c>
      <c r="B392" s="92"/>
      <c r="C392" s="92"/>
      <c r="D392" s="92"/>
      <c r="E392" s="93"/>
      <c r="F392" s="92"/>
      <c r="G392" s="92"/>
      <c r="I392"/>
    </row>
    <row r="393" spans="1:9" ht="15">
      <c r="A393" s="66" t="s">
        <v>2480</v>
      </c>
      <c r="B393" s="66" t="s">
        <v>2481</v>
      </c>
      <c r="C393" s="66" t="s">
        <v>120</v>
      </c>
      <c r="D393" s="66" t="s">
        <v>2614</v>
      </c>
      <c r="E393" s="67" t="s">
        <v>120</v>
      </c>
      <c r="F393" s="67" t="s">
        <v>2530</v>
      </c>
      <c r="G393" s="66" t="s">
        <v>2323</v>
      </c>
      <c r="I393"/>
    </row>
    <row r="394" spans="1:9" ht="15">
      <c r="A394" s="66" t="s">
        <v>2482</v>
      </c>
      <c r="B394" s="66" t="s">
        <v>2483</v>
      </c>
      <c r="C394" s="66" t="s">
        <v>120</v>
      </c>
      <c r="D394" s="66" t="s">
        <v>2614</v>
      </c>
      <c r="E394" s="67" t="s">
        <v>120</v>
      </c>
      <c r="F394" s="67" t="s">
        <v>2530</v>
      </c>
      <c r="G394" s="66" t="s">
        <v>2323</v>
      </c>
      <c r="I394"/>
    </row>
    <row r="395" spans="1:9" ht="15">
      <c r="A395" s="66" t="s">
        <v>2484</v>
      </c>
      <c r="B395" s="66" t="s">
        <v>2483</v>
      </c>
      <c r="C395" s="66" t="s">
        <v>2485</v>
      </c>
      <c r="D395" s="66" t="s">
        <v>2614</v>
      </c>
      <c r="E395" s="67" t="s">
        <v>120</v>
      </c>
      <c r="F395" s="67" t="s">
        <v>2530</v>
      </c>
      <c r="G395" s="66" t="s">
        <v>2486</v>
      </c>
      <c r="I395"/>
    </row>
    <row r="396" spans="1:9" ht="15">
      <c r="A396" s="66" t="s">
        <v>2487</v>
      </c>
      <c r="B396" s="66" t="s">
        <v>2488</v>
      </c>
      <c r="C396" s="66" t="s">
        <v>120</v>
      </c>
      <c r="D396" s="66" t="s">
        <v>2614</v>
      </c>
      <c r="E396" s="67" t="s">
        <v>120</v>
      </c>
      <c r="F396" s="67" t="s">
        <v>2530</v>
      </c>
      <c r="G396" s="66" t="s">
        <v>2323</v>
      </c>
      <c r="I396"/>
    </row>
    <row r="397" spans="1:9" ht="15">
      <c r="A397" s="66" t="s">
        <v>2344</v>
      </c>
      <c r="B397" s="66"/>
      <c r="C397" s="66" t="s">
        <v>2345</v>
      </c>
      <c r="D397" s="66" t="s">
        <v>2614</v>
      </c>
      <c r="E397" s="67" t="s">
        <v>120</v>
      </c>
      <c r="F397" s="67" t="s">
        <v>2530</v>
      </c>
      <c r="G397" s="66" t="s">
        <v>2323</v>
      </c>
      <c r="I397"/>
    </row>
    <row r="398" spans="1:9" ht="15">
      <c r="A398" s="65" t="s">
        <v>2347</v>
      </c>
      <c r="B398" s="65"/>
      <c r="C398" s="65" t="s">
        <v>2329</v>
      </c>
      <c r="D398" s="65" t="s">
        <v>2614</v>
      </c>
      <c r="E398" s="91" t="s">
        <v>2451</v>
      </c>
      <c r="F398" s="65" t="s">
        <v>2229</v>
      </c>
      <c r="G398" s="65" t="s">
        <v>2323</v>
      </c>
      <c r="I398"/>
    </row>
    <row r="399" spans="1:9" ht="15">
      <c r="A399" s="65" t="s">
        <v>2348</v>
      </c>
      <c r="B399" s="65"/>
      <c r="C399" s="65" t="s">
        <v>2329</v>
      </c>
      <c r="D399" s="65" t="s">
        <v>2614</v>
      </c>
      <c r="E399" s="91" t="s">
        <v>2451</v>
      </c>
      <c r="F399" s="65" t="s">
        <v>2229</v>
      </c>
      <c r="G399" s="65" t="s">
        <v>2323</v>
      </c>
      <c r="I399"/>
    </row>
    <row r="400" spans="1:9" ht="15">
      <c r="A400" s="66" t="s">
        <v>2489</v>
      </c>
      <c r="B400" s="66" t="s">
        <v>2483</v>
      </c>
      <c r="C400" s="66" t="s">
        <v>2490</v>
      </c>
      <c r="D400" s="66" t="s">
        <v>2614</v>
      </c>
      <c r="E400" s="67" t="s">
        <v>2490</v>
      </c>
      <c r="F400" s="67" t="s">
        <v>2530</v>
      </c>
      <c r="G400" s="66" t="s">
        <v>2323</v>
      </c>
      <c r="I400"/>
    </row>
    <row r="401" spans="1:9" ht="15">
      <c r="A401" s="66" t="s">
        <v>2491</v>
      </c>
      <c r="B401" s="66" t="s">
        <v>2488</v>
      </c>
      <c r="C401" s="66" t="s">
        <v>120</v>
      </c>
      <c r="D401" s="66" t="s">
        <v>2614</v>
      </c>
      <c r="E401" s="67" t="s">
        <v>120</v>
      </c>
      <c r="F401" s="67" t="s">
        <v>2530</v>
      </c>
      <c r="G401" s="66" t="s">
        <v>2323</v>
      </c>
      <c r="I401"/>
    </row>
    <row r="402" spans="1:9" ht="17.25">
      <c r="A402" s="92" t="s">
        <v>2620</v>
      </c>
      <c r="B402" s="92"/>
      <c r="C402" s="92"/>
      <c r="D402" s="92"/>
      <c r="E402" s="93"/>
      <c r="F402" s="92"/>
      <c r="G402" s="92"/>
      <c r="I402"/>
    </row>
    <row r="403" spans="1:9" ht="15">
      <c r="A403" s="66" t="s">
        <v>2493</v>
      </c>
      <c r="B403" s="66"/>
      <c r="C403" s="66" t="s">
        <v>2490</v>
      </c>
      <c r="D403" s="66" t="s">
        <v>2614</v>
      </c>
      <c r="E403" s="67" t="s">
        <v>2490</v>
      </c>
      <c r="F403" s="67" t="s">
        <v>2530</v>
      </c>
      <c r="G403" s="66" t="s">
        <v>2323</v>
      </c>
      <c r="I403"/>
    </row>
    <row r="404" spans="1:9" ht="15">
      <c r="A404" s="66" t="s">
        <v>2494</v>
      </c>
      <c r="B404" s="66"/>
      <c r="C404" s="66" t="s">
        <v>2490</v>
      </c>
      <c r="D404" s="66" t="s">
        <v>2614</v>
      </c>
      <c r="E404" s="67" t="s">
        <v>2490</v>
      </c>
      <c r="F404" s="67" t="s">
        <v>2530</v>
      </c>
      <c r="G404" s="66" t="s">
        <v>2323</v>
      </c>
      <c r="I404"/>
    </row>
    <row r="405" spans="1:9" ht="15">
      <c r="A405" s="66" t="s">
        <v>2400</v>
      </c>
      <c r="B405" s="66"/>
      <c r="C405" s="66" t="s">
        <v>2401</v>
      </c>
      <c r="D405" s="66" t="s">
        <v>2614</v>
      </c>
      <c r="E405" s="67" t="s">
        <v>2490</v>
      </c>
      <c r="F405" s="67" t="s">
        <v>2530</v>
      </c>
      <c r="G405" s="66" t="s">
        <v>2323</v>
      </c>
      <c r="I405"/>
    </row>
    <row r="406" spans="1:9" ht="15">
      <c r="A406" s="66" t="s">
        <v>2495</v>
      </c>
      <c r="B406" s="66" t="s">
        <v>2483</v>
      </c>
      <c r="C406" s="66" t="s">
        <v>120</v>
      </c>
      <c r="D406" s="66" t="s">
        <v>2614</v>
      </c>
      <c r="E406" s="67" t="s">
        <v>120</v>
      </c>
      <c r="F406" s="67" t="s">
        <v>2530</v>
      </c>
      <c r="G406" s="66" t="s">
        <v>2323</v>
      </c>
      <c r="I406"/>
    </row>
    <row r="407" spans="1:9" ht="15">
      <c r="A407" s="66" t="s">
        <v>2496</v>
      </c>
      <c r="B407" s="66" t="s">
        <v>2483</v>
      </c>
      <c r="C407" s="66" t="s">
        <v>120</v>
      </c>
      <c r="D407" s="66" t="s">
        <v>2614</v>
      </c>
      <c r="E407" s="67" t="s">
        <v>120</v>
      </c>
      <c r="F407" s="67" t="s">
        <v>2530</v>
      </c>
      <c r="G407" s="66" t="s">
        <v>2323</v>
      </c>
      <c r="I407"/>
    </row>
    <row r="408" spans="1:9" ht="15">
      <c r="A408" s="66" t="s">
        <v>2497</v>
      </c>
      <c r="B408" s="66" t="s">
        <v>2339</v>
      </c>
      <c r="C408" s="66" t="s">
        <v>120</v>
      </c>
      <c r="D408" s="66" t="s">
        <v>2614</v>
      </c>
      <c r="E408" s="67" t="s">
        <v>120</v>
      </c>
      <c r="F408" s="67" t="s">
        <v>2530</v>
      </c>
      <c r="G408" s="66" t="s">
        <v>2323</v>
      </c>
      <c r="I408"/>
    </row>
    <row r="409" spans="1:9" ht="15">
      <c r="A409" s="66" t="s">
        <v>2498</v>
      </c>
      <c r="B409" s="66" t="s">
        <v>2499</v>
      </c>
      <c r="C409" s="66" t="s">
        <v>2490</v>
      </c>
      <c r="D409" s="66" t="s">
        <v>2614</v>
      </c>
      <c r="E409" s="67" t="s">
        <v>2490</v>
      </c>
      <c r="F409" s="67" t="s">
        <v>2530</v>
      </c>
      <c r="G409" s="66" t="s">
        <v>2323</v>
      </c>
      <c r="I409"/>
    </row>
    <row r="410" spans="1:9" ht="15">
      <c r="A410" s="66" t="s">
        <v>2500</v>
      </c>
      <c r="B410" s="66" t="s">
        <v>2499</v>
      </c>
      <c r="C410" s="66" t="s">
        <v>2490</v>
      </c>
      <c r="D410" s="66" t="s">
        <v>2614</v>
      </c>
      <c r="E410" s="67" t="s">
        <v>2490</v>
      </c>
      <c r="F410" s="67" t="s">
        <v>2530</v>
      </c>
      <c r="G410" s="66" t="s">
        <v>2323</v>
      </c>
      <c r="I410"/>
    </row>
    <row r="411" spans="1:9" ht="15">
      <c r="A411" s="65" t="s">
        <v>2350</v>
      </c>
      <c r="B411" s="65"/>
      <c r="C411" s="65" t="s">
        <v>2329</v>
      </c>
      <c r="D411" s="65" t="s">
        <v>2614</v>
      </c>
      <c r="E411" s="91" t="s">
        <v>2451</v>
      </c>
      <c r="F411" s="65" t="s">
        <v>2229</v>
      </c>
      <c r="G411" s="65" t="s">
        <v>2323</v>
      </c>
      <c r="I411"/>
    </row>
    <row r="412" spans="1:9" ht="15">
      <c r="A412" s="66" t="s">
        <v>2501</v>
      </c>
      <c r="B412" s="66" t="s">
        <v>2499</v>
      </c>
      <c r="C412" s="66" t="s">
        <v>120</v>
      </c>
      <c r="D412" s="66" t="s">
        <v>2614</v>
      </c>
      <c r="E412" s="67" t="s">
        <v>120</v>
      </c>
      <c r="F412" s="67" t="s">
        <v>2530</v>
      </c>
      <c r="G412" s="66" t="s">
        <v>2502</v>
      </c>
      <c r="I412"/>
    </row>
    <row r="413" spans="1:9" ht="17.25">
      <c r="A413" s="92" t="s">
        <v>2621</v>
      </c>
      <c r="B413" s="92"/>
      <c r="C413" s="92"/>
      <c r="D413" s="92"/>
      <c r="E413" s="93"/>
      <c r="F413" s="92"/>
      <c r="G413" s="92"/>
      <c r="I413"/>
    </row>
    <row r="414" spans="1:9" ht="15">
      <c r="A414" s="66" t="s">
        <v>2504</v>
      </c>
      <c r="B414" s="66" t="s">
        <v>2505</v>
      </c>
      <c r="C414" s="66" t="s">
        <v>120</v>
      </c>
      <c r="D414" s="66" t="s">
        <v>2614</v>
      </c>
      <c r="E414" s="67" t="s">
        <v>120</v>
      </c>
      <c r="F414" s="67" t="s">
        <v>2530</v>
      </c>
      <c r="G414" s="66" t="s">
        <v>2323</v>
      </c>
      <c r="I414"/>
    </row>
    <row r="415" spans="1:9" ht="15">
      <c r="A415" s="66" t="s">
        <v>2506</v>
      </c>
      <c r="B415" s="66" t="s">
        <v>2435</v>
      </c>
      <c r="C415" s="66" t="s">
        <v>120</v>
      </c>
      <c r="D415" s="66" t="s">
        <v>2614</v>
      </c>
      <c r="E415" s="67" t="s">
        <v>120</v>
      </c>
      <c r="F415" s="67" t="s">
        <v>2530</v>
      </c>
      <c r="G415" s="66" t="s">
        <v>2323</v>
      </c>
      <c r="I415"/>
    </row>
    <row r="416" spans="1:9" ht="15">
      <c r="A416" s="66" t="s">
        <v>2507</v>
      </c>
      <c r="B416" s="66" t="s">
        <v>2435</v>
      </c>
      <c r="C416" s="66" t="s">
        <v>120</v>
      </c>
      <c r="D416" s="66" t="s">
        <v>2614</v>
      </c>
      <c r="E416" s="67" t="s">
        <v>120</v>
      </c>
      <c r="F416" s="67" t="s">
        <v>2530</v>
      </c>
      <c r="G416" s="66" t="s">
        <v>2323</v>
      </c>
      <c r="I416"/>
    </row>
    <row r="417" spans="1:9" ht="17.25">
      <c r="A417" s="92" t="s">
        <v>2622</v>
      </c>
      <c r="B417" s="92"/>
      <c r="C417" s="92"/>
      <c r="D417" s="92"/>
      <c r="E417" s="93"/>
      <c r="F417" s="92"/>
      <c r="G417" s="92"/>
      <c r="I417"/>
    </row>
    <row r="418" spans="1:9" ht="15">
      <c r="A418" s="66" t="s">
        <v>2509</v>
      </c>
      <c r="B418" s="66" t="s">
        <v>2353</v>
      </c>
      <c r="C418" s="66" t="s">
        <v>2490</v>
      </c>
      <c r="D418" s="66" t="s">
        <v>2614</v>
      </c>
      <c r="E418" s="67" t="s">
        <v>2490</v>
      </c>
      <c r="F418" s="67" t="s">
        <v>2530</v>
      </c>
      <c r="G418" s="66" t="s">
        <v>2510</v>
      </c>
      <c r="I418"/>
    </row>
    <row r="419" spans="1:9" ht="15">
      <c r="A419" s="66" t="s">
        <v>2511</v>
      </c>
      <c r="B419" s="66" t="s">
        <v>2407</v>
      </c>
      <c r="C419" s="66" t="s">
        <v>120</v>
      </c>
      <c r="D419" s="66" t="s">
        <v>2614</v>
      </c>
      <c r="E419" s="67" t="s">
        <v>120</v>
      </c>
      <c r="F419" s="67" t="s">
        <v>2530</v>
      </c>
      <c r="G419" s="66" t="s">
        <v>2512</v>
      </c>
      <c r="I419"/>
    </row>
    <row r="420" spans="1:9" ht="15">
      <c r="A420" s="66" t="s">
        <v>2513</v>
      </c>
      <c r="B420" s="66" t="s">
        <v>2404</v>
      </c>
      <c r="C420" s="66" t="s">
        <v>120</v>
      </c>
      <c r="D420" s="66" t="s">
        <v>2614</v>
      </c>
      <c r="E420" s="67" t="s">
        <v>120</v>
      </c>
      <c r="F420" s="67" t="s">
        <v>2530</v>
      </c>
      <c r="G420" s="66" t="s">
        <v>2514</v>
      </c>
      <c r="I420"/>
    </row>
    <row r="421" spans="1:9" ht="15">
      <c r="A421" s="66" t="s">
        <v>2515</v>
      </c>
      <c r="B421" s="66" t="s">
        <v>2516</v>
      </c>
      <c r="C421" s="66" t="s">
        <v>120</v>
      </c>
      <c r="D421" s="66" t="s">
        <v>2614</v>
      </c>
      <c r="E421" s="67" t="s">
        <v>120</v>
      </c>
      <c r="F421" s="67" t="s">
        <v>2530</v>
      </c>
      <c r="G421" s="66" t="s">
        <v>2517</v>
      </c>
      <c r="I421"/>
    </row>
    <row r="422" spans="1:9" ht="15">
      <c r="A422" s="65" t="s">
        <v>2358</v>
      </c>
      <c r="B422" s="65"/>
      <c r="C422" s="65" t="s">
        <v>2329</v>
      </c>
      <c r="D422" s="65" t="s">
        <v>2614</v>
      </c>
      <c r="E422" s="91" t="s">
        <v>2451</v>
      </c>
      <c r="F422" s="65" t="s">
        <v>2229</v>
      </c>
      <c r="G422" s="65" t="s">
        <v>2323</v>
      </c>
      <c r="I422"/>
    </row>
    <row r="423" spans="1:9" ht="17.25">
      <c r="A423" s="92" t="s">
        <v>2623</v>
      </c>
      <c r="B423" s="92"/>
      <c r="C423" s="92"/>
      <c r="D423" s="92"/>
      <c r="E423" s="93"/>
      <c r="F423" s="92"/>
      <c r="G423" s="92"/>
      <c r="I423"/>
    </row>
    <row r="424" spans="1:9" ht="15">
      <c r="A424" s="66" t="s">
        <v>2519</v>
      </c>
      <c r="B424" s="66" t="s">
        <v>2407</v>
      </c>
      <c r="C424" s="66" t="s">
        <v>120</v>
      </c>
      <c r="D424" s="66" t="s">
        <v>2614</v>
      </c>
      <c r="E424" s="67" t="s">
        <v>120</v>
      </c>
      <c r="F424" s="67" t="s">
        <v>2530</v>
      </c>
      <c r="G424" s="66" t="s">
        <v>2520</v>
      </c>
      <c r="I424"/>
    </row>
    <row r="425" spans="1:9" ht="15">
      <c r="A425" s="66" t="s">
        <v>2521</v>
      </c>
      <c r="B425" s="66" t="s">
        <v>2407</v>
      </c>
      <c r="C425" s="66" t="s">
        <v>120</v>
      </c>
      <c r="D425" s="66" t="s">
        <v>2614</v>
      </c>
      <c r="E425" s="67" t="s">
        <v>120</v>
      </c>
      <c r="F425" s="67" t="s">
        <v>2530</v>
      </c>
      <c r="G425" s="66" t="s">
        <v>2323</v>
      </c>
      <c r="I425"/>
    </row>
    <row r="426" spans="1:9" ht="15">
      <c r="A426" s="66" t="s">
        <v>2522</v>
      </c>
      <c r="B426" s="66" t="s">
        <v>2523</v>
      </c>
      <c r="C426" s="66" t="s">
        <v>120</v>
      </c>
      <c r="D426" s="66" t="s">
        <v>2614</v>
      </c>
      <c r="E426" s="67" t="s">
        <v>120</v>
      </c>
      <c r="F426" s="67" t="s">
        <v>2530</v>
      </c>
      <c r="G426" s="66" t="s">
        <v>2524</v>
      </c>
      <c r="I426"/>
    </row>
    <row r="427" spans="1:9" ht="15">
      <c r="A427" s="66" t="s">
        <v>2525</v>
      </c>
      <c r="B427" s="66" t="s">
        <v>2412</v>
      </c>
      <c r="C427" s="66" t="s">
        <v>120</v>
      </c>
      <c r="D427" s="66" t="s">
        <v>2614</v>
      </c>
      <c r="E427" s="67" t="s">
        <v>120</v>
      </c>
      <c r="F427" s="67" t="s">
        <v>2530</v>
      </c>
      <c r="G427" s="66" t="s">
        <v>2520</v>
      </c>
      <c r="I427"/>
    </row>
    <row r="428" spans="1:9" ht="15">
      <c r="A428" s="66" t="s">
        <v>2526</v>
      </c>
      <c r="B428" s="66" t="s">
        <v>2412</v>
      </c>
      <c r="C428" s="66" t="s">
        <v>120</v>
      </c>
      <c r="D428" s="66" t="s">
        <v>2614</v>
      </c>
      <c r="E428" s="67" t="s">
        <v>120</v>
      </c>
      <c r="F428" s="67" t="s">
        <v>2530</v>
      </c>
      <c r="G428" s="66" t="s">
        <v>2527</v>
      </c>
      <c r="I428"/>
    </row>
    <row r="429" spans="1:9" ht="15">
      <c r="A429" s="66" t="s">
        <v>2528</v>
      </c>
      <c r="B429" s="66" t="s">
        <v>2529</v>
      </c>
      <c r="C429" s="66" t="s">
        <v>2490</v>
      </c>
      <c r="D429" s="66" t="s">
        <v>2614</v>
      </c>
      <c r="E429" s="67" t="s">
        <v>2490</v>
      </c>
      <c r="F429" s="67" t="s">
        <v>2530</v>
      </c>
      <c r="G429" s="66" t="s">
        <v>2323</v>
      </c>
      <c r="I429"/>
    </row>
    <row r="430" spans="1:9" ht="15">
      <c r="A430" s="66" t="s">
        <v>2413</v>
      </c>
      <c r="B430" s="66" t="s">
        <v>2407</v>
      </c>
      <c r="C430" s="66" t="s">
        <v>2414</v>
      </c>
      <c r="D430" s="66" t="s">
        <v>2614</v>
      </c>
      <c r="E430" s="67" t="s">
        <v>120</v>
      </c>
      <c r="F430" s="67" t="s">
        <v>2530</v>
      </c>
      <c r="G430" s="66" t="s">
        <v>2416</v>
      </c>
      <c r="I430"/>
    </row>
    <row r="431" spans="1:9" ht="15">
      <c r="A431" s="66" t="s">
        <v>2532</v>
      </c>
      <c r="B431" s="66" t="s">
        <v>2529</v>
      </c>
      <c r="C431" s="66" t="s">
        <v>2533</v>
      </c>
      <c r="D431" s="66" t="s">
        <v>2614</v>
      </c>
      <c r="E431" s="67" t="s">
        <v>120</v>
      </c>
      <c r="F431" s="67" t="s">
        <v>2530</v>
      </c>
      <c r="G431" s="66" t="s">
        <v>2323</v>
      </c>
      <c r="I431"/>
    </row>
    <row r="432" spans="1:9" ht="15">
      <c r="A432" s="66" t="s">
        <v>2534</v>
      </c>
      <c r="B432" s="66" t="s">
        <v>2363</v>
      </c>
      <c r="C432" s="66" t="s">
        <v>120</v>
      </c>
      <c r="D432" s="66" t="s">
        <v>2614</v>
      </c>
      <c r="E432" s="67" t="s">
        <v>120</v>
      </c>
      <c r="F432" s="67" t="s">
        <v>2530</v>
      </c>
      <c r="G432" s="66" t="s">
        <v>2535</v>
      </c>
      <c r="I432"/>
    </row>
    <row r="433" spans="1:9" ht="17.25">
      <c r="A433" s="92" t="s">
        <v>2624</v>
      </c>
      <c r="B433" s="92"/>
      <c r="C433" s="92"/>
      <c r="D433" s="92"/>
      <c r="E433" s="93"/>
      <c r="F433" s="92"/>
      <c r="G433" s="92"/>
      <c r="I433"/>
    </row>
    <row r="434" spans="1:9" ht="15">
      <c r="A434" s="66" t="s">
        <v>2537</v>
      </c>
      <c r="B434" s="66" t="s">
        <v>2538</v>
      </c>
      <c r="C434" s="66" t="s">
        <v>120</v>
      </c>
      <c r="D434" s="66" t="s">
        <v>2614</v>
      </c>
      <c r="E434" s="67" t="s">
        <v>120</v>
      </c>
      <c r="F434" s="67" t="s">
        <v>2530</v>
      </c>
      <c r="G434" s="66" t="s">
        <v>2323</v>
      </c>
      <c r="I434"/>
    </row>
    <row r="435" spans="1:9" ht="15">
      <c r="A435" s="66" t="s">
        <v>2539</v>
      </c>
      <c r="B435" s="66" t="s">
        <v>2538</v>
      </c>
      <c r="C435" s="66" t="s">
        <v>2490</v>
      </c>
      <c r="D435" s="66" t="s">
        <v>2614</v>
      </c>
      <c r="E435" s="67" t="s">
        <v>2490</v>
      </c>
      <c r="F435" s="67" t="s">
        <v>2530</v>
      </c>
      <c r="G435" s="66" t="s">
        <v>2540</v>
      </c>
      <c r="I435"/>
    </row>
    <row r="436" spans="1:9" ht="15">
      <c r="A436" s="66" t="s">
        <v>2541</v>
      </c>
      <c r="B436" s="66" t="s">
        <v>2542</v>
      </c>
      <c r="C436" s="66" t="s">
        <v>2543</v>
      </c>
      <c r="D436" s="66" t="s">
        <v>2614</v>
      </c>
      <c r="E436" s="67" t="s">
        <v>120</v>
      </c>
      <c r="F436" s="67" t="s">
        <v>2530</v>
      </c>
      <c r="G436" s="66" t="s">
        <v>2323</v>
      </c>
      <c r="I436"/>
    </row>
    <row r="437" spans="1:9" ht="15">
      <c r="A437" s="66" t="s">
        <v>2421</v>
      </c>
      <c r="B437" s="66" t="s">
        <v>2422</v>
      </c>
      <c r="C437" s="66" t="s">
        <v>2423</v>
      </c>
      <c r="D437" s="66" t="s">
        <v>2614</v>
      </c>
      <c r="E437" s="67" t="s">
        <v>120</v>
      </c>
      <c r="F437" s="67" t="s">
        <v>2530</v>
      </c>
      <c r="G437" s="66" t="s">
        <v>2425</v>
      </c>
      <c r="I437"/>
    </row>
    <row r="438" spans="1:9" ht="15">
      <c r="A438" s="66" t="s">
        <v>2545</v>
      </c>
      <c r="B438" s="66" t="s">
        <v>2422</v>
      </c>
      <c r="C438" s="66" t="s">
        <v>2461</v>
      </c>
      <c r="D438" s="66" t="s">
        <v>2614</v>
      </c>
      <c r="E438" s="67" t="s">
        <v>120</v>
      </c>
      <c r="F438" s="67" t="s">
        <v>2530</v>
      </c>
      <c r="G438" s="66" t="s">
        <v>2546</v>
      </c>
      <c r="I438"/>
    </row>
    <row r="439" spans="1:9" ht="15">
      <c r="A439" s="66" t="s">
        <v>2547</v>
      </c>
      <c r="B439" s="66" t="s">
        <v>2538</v>
      </c>
      <c r="C439" s="66" t="s">
        <v>2548</v>
      </c>
      <c r="D439" s="66" t="s">
        <v>2614</v>
      </c>
      <c r="E439" s="67" t="s">
        <v>120</v>
      </c>
      <c r="F439" s="67" t="s">
        <v>2530</v>
      </c>
      <c r="G439" s="66" t="s">
        <v>2323</v>
      </c>
      <c r="I439"/>
    </row>
    <row r="440" spans="1:9" ht="15">
      <c r="A440" s="66" t="s">
        <v>2549</v>
      </c>
      <c r="B440" s="66" t="s">
        <v>2538</v>
      </c>
      <c r="C440" s="66" t="s">
        <v>2550</v>
      </c>
      <c r="D440" s="66" t="s">
        <v>2614</v>
      </c>
      <c r="E440" s="67" t="s">
        <v>120</v>
      </c>
      <c r="F440" s="67" t="s">
        <v>2530</v>
      </c>
      <c r="G440" s="66" t="s">
        <v>2551</v>
      </c>
      <c r="I440"/>
    </row>
    <row r="441" spans="1:9" ht="15">
      <c r="A441" s="66" t="s">
        <v>2552</v>
      </c>
      <c r="B441" s="66" t="s">
        <v>2538</v>
      </c>
      <c r="C441" s="66" t="s">
        <v>2553</v>
      </c>
      <c r="D441" s="66" t="s">
        <v>2614</v>
      </c>
      <c r="E441" s="67" t="s">
        <v>120</v>
      </c>
      <c r="F441" s="67" t="s">
        <v>2530</v>
      </c>
      <c r="G441" s="66" t="s">
        <v>2323</v>
      </c>
      <c r="I441"/>
    </row>
    <row r="442" spans="1:9" ht="17.25">
      <c r="A442" s="92" t="s">
        <v>2625</v>
      </c>
      <c r="B442" s="92"/>
      <c r="C442" s="92"/>
      <c r="D442" s="92"/>
      <c r="E442" s="93"/>
      <c r="F442" s="92"/>
      <c r="G442" s="92"/>
      <c r="I442"/>
    </row>
    <row r="443" spans="1:9" ht="15">
      <c r="A443" s="66" t="s">
        <v>2427</v>
      </c>
      <c r="B443" s="66" t="s">
        <v>2370</v>
      </c>
      <c r="C443" s="66" t="s">
        <v>2428</v>
      </c>
      <c r="D443" s="66" t="s">
        <v>2614</v>
      </c>
      <c r="E443" s="67" t="s">
        <v>120</v>
      </c>
      <c r="F443" s="67" t="s">
        <v>2530</v>
      </c>
      <c r="G443" s="66" t="s">
        <v>2429</v>
      </c>
      <c r="I443"/>
    </row>
    <row r="444" spans="1:9" ht="15">
      <c r="A444" s="66" t="s">
        <v>2555</v>
      </c>
      <c r="B444" s="66" t="s">
        <v>2363</v>
      </c>
      <c r="C444" s="66" t="s">
        <v>2556</v>
      </c>
      <c r="D444" s="66" t="s">
        <v>2614</v>
      </c>
      <c r="E444" s="67" t="s">
        <v>120</v>
      </c>
      <c r="F444" s="67" t="s">
        <v>2530</v>
      </c>
      <c r="G444" s="66" t="s">
        <v>2557</v>
      </c>
      <c r="I444"/>
    </row>
    <row r="445" spans="1:9" ht="15">
      <c r="A445" s="66" t="s">
        <v>2558</v>
      </c>
      <c r="B445" s="66" t="s">
        <v>2559</v>
      </c>
      <c r="C445" s="66" t="s">
        <v>2560</v>
      </c>
      <c r="D445" s="66" t="s">
        <v>2614</v>
      </c>
      <c r="E445" s="67" t="s">
        <v>120</v>
      </c>
      <c r="F445" s="67" t="s">
        <v>2530</v>
      </c>
      <c r="G445" s="66" t="s">
        <v>2561</v>
      </c>
      <c r="I445"/>
    </row>
    <row r="446" spans="1:9" ht="15">
      <c r="A446" s="66" t="s">
        <v>2562</v>
      </c>
      <c r="B446" s="66" t="s">
        <v>2370</v>
      </c>
      <c r="C446" s="66" t="s">
        <v>120</v>
      </c>
      <c r="D446" s="66" t="s">
        <v>2614</v>
      </c>
      <c r="E446" s="67" t="s">
        <v>120</v>
      </c>
      <c r="F446" s="67" t="s">
        <v>2530</v>
      </c>
      <c r="G446" s="66" t="s">
        <v>2563</v>
      </c>
      <c r="I446"/>
    </row>
    <row r="447" spans="1:9" ht="15">
      <c r="A447" s="65" t="s">
        <v>2372</v>
      </c>
      <c r="B447" s="65"/>
      <c r="C447" s="65" t="s">
        <v>2329</v>
      </c>
      <c r="D447" s="65" t="s">
        <v>2614</v>
      </c>
      <c r="E447" s="91" t="s">
        <v>2451</v>
      </c>
      <c r="F447" s="65" t="s">
        <v>2229</v>
      </c>
      <c r="G447" s="65" t="s">
        <v>2323</v>
      </c>
      <c r="I447"/>
    </row>
    <row r="448" spans="1:9" ht="15">
      <c r="A448" s="66" t="s">
        <v>2564</v>
      </c>
      <c r="B448" s="66"/>
      <c r="C448" s="66" t="s">
        <v>120</v>
      </c>
      <c r="D448" s="66" t="s">
        <v>2614</v>
      </c>
      <c r="E448" s="67" t="s">
        <v>120</v>
      </c>
      <c r="F448" s="67" t="s">
        <v>2530</v>
      </c>
      <c r="G448" s="66" t="s">
        <v>2323</v>
      </c>
      <c r="I448"/>
    </row>
    <row r="449" spans="1:9" ht="15">
      <c r="A449" s="66" t="s">
        <v>2565</v>
      </c>
      <c r="B449" s="66" t="s">
        <v>2370</v>
      </c>
      <c r="C449" s="66" t="s">
        <v>2566</v>
      </c>
      <c r="D449" s="66" t="s">
        <v>2614</v>
      </c>
      <c r="E449" s="67" t="s">
        <v>2566</v>
      </c>
      <c r="F449" s="67" t="s">
        <v>2530</v>
      </c>
      <c r="G449" s="66" t="s">
        <v>2567</v>
      </c>
      <c r="I449"/>
    </row>
    <row r="450" spans="1:9" ht="17.25">
      <c r="A450" s="92" t="s">
        <v>2626</v>
      </c>
      <c r="B450" s="92"/>
      <c r="C450" s="92"/>
      <c r="D450" s="92"/>
      <c r="E450" s="93"/>
      <c r="F450" s="92"/>
      <c r="G450" s="92"/>
      <c r="I450"/>
    </row>
    <row r="451" spans="1:9" ht="15">
      <c r="A451" s="65" t="s">
        <v>2374</v>
      </c>
      <c r="B451" s="65"/>
      <c r="C451" s="65" t="s">
        <v>2329</v>
      </c>
      <c r="D451" s="65" t="s">
        <v>2614</v>
      </c>
      <c r="E451" s="91" t="s">
        <v>2451</v>
      </c>
      <c r="F451" s="65" t="s">
        <v>2229</v>
      </c>
      <c r="G451" s="65" t="s">
        <v>2375</v>
      </c>
      <c r="I451"/>
    </row>
    <row r="452" spans="1:9" ht="15">
      <c r="A452" s="66" t="s">
        <v>2569</v>
      </c>
      <c r="B452" s="66" t="s">
        <v>2570</v>
      </c>
      <c r="C452" s="66" t="s">
        <v>2571</v>
      </c>
      <c r="D452" s="66" t="s">
        <v>2614</v>
      </c>
      <c r="E452" s="67" t="s">
        <v>120</v>
      </c>
      <c r="F452" s="67" t="s">
        <v>2530</v>
      </c>
      <c r="G452" s="66" t="s">
        <v>2437</v>
      </c>
      <c r="I452"/>
    </row>
    <row r="453" spans="1:9" ht="15">
      <c r="A453" s="66" t="s">
        <v>2572</v>
      </c>
      <c r="B453" s="66" t="s">
        <v>2432</v>
      </c>
      <c r="C453" s="66" t="s">
        <v>120</v>
      </c>
      <c r="D453" s="66" t="s">
        <v>2614</v>
      </c>
      <c r="E453" s="67" t="s">
        <v>120</v>
      </c>
      <c r="F453" s="67" t="s">
        <v>2530</v>
      </c>
      <c r="G453" s="66" t="s">
        <v>2573</v>
      </c>
      <c r="I453"/>
    </row>
    <row r="454" spans="1:9" ht="15">
      <c r="A454" s="66" t="s">
        <v>2574</v>
      </c>
      <c r="B454" s="66" t="s">
        <v>2570</v>
      </c>
      <c r="C454" s="66" t="s">
        <v>120</v>
      </c>
      <c r="D454" s="66" t="s">
        <v>2614</v>
      </c>
      <c r="E454" s="67" t="s">
        <v>120</v>
      </c>
      <c r="F454" s="67" t="s">
        <v>2530</v>
      </c>
      <c r="G454" s="66" t="s">
        <v>2573</v>
      </c>
      <c r="I454"/>
    </row>
    <row r="455" spans="1:9" ht="15">
      <c r="A455" s="66" t="s">
        <v>2575</v>
      </c>
      <c r="B455" s="66" t="s">
        <v>2576</v>
      </c>
      <c r="C455" s="66" t="s">
        <v>2490</v>
      </c>
      <c r="D455" s="66" t="s">
        <v>2614</v>
      </c>
      <c r="E455" s="67" t="s">
        <v>2490</v>
      </c>
      <c r="F455" s="67" t="s">
        <v>2530</v>
      </c>
      <c r="G455" s="66" t="s">
        <v>2577</v>
      </c>
      <c r="I455"/>
    </row>
    <row r="456" spans="1:9" ht="15">
      <c r="A456" s="66" t="s">
        <v>2578</v>
      </c>
      <c r="B456" s="66" t="s">
        <v>2579</v>
      </c>
      <c r="C456" s="66" t="s">
        <v>2543</v>
      </c>
      <c r="D456" s="66" t="s">
        <v>2614</v>
      </c>
      <c r="E456" s="67" t="s">
        <v>120</v>
      </c>
      <c r="F456" s="67" t="s">
        <v>2530</v>
      </c>
      <c r="G456" s="66" t="s">
        <v>2580</v>
      </c>
      <c r="I456"/>
    </row>
    <row r="457" spans="1:9" ht="17.25">
      <c r="A457" s="92" t="s">
        <v>2627</v>
      </c>
      <c r="B457" s="92"/>
      <c r="C457" s="92"/>
      <c r="D457" s="92"/>
      <c r="E457" s="93"/>
      <c r="F457" s="92"/>
      <c r="G457" s="92"/>
      <c r="I457"/>
    </row>
    <row r="458" spans="1:9" ht="15">
      <c r="A458" s="65" t="s">
        <v>2315</v>
      </c>
      <c r="B458" s="65" t="s">
        <v>2316</v>
      </c>
      <c r="C458" s="65" t="s">
        <v>2317</v>
      </c>
      <c r="D458" s="65" t="s">
        <v>2628</v>
      </c>
      <c r="E458" s="91" t="s">
        <v>2319</v>
      </c>
      <c r="F458" s="65" t="s">
        <v>2240</v>
      </c>
      <c r="G458" s="65" t="s">
        <v>2320</v>
      </c>
      <c r="I458"/>
    </row>
    <row r="459" spans="1:9" ht="15">
      <c r="A459" s="66" t="s">
        <v>2377</v>
      </c>
      <c r="B459" s="66" t="s">
        <v>2378</v>
      </c>
      <c r="C459" s="66" t="s">
        <v>1622</v>
      </c>
      <c r="D459" s="66" t="s">
        <v>2628</v>
      </c>
      <c r="E459" s="67" t="s">
        <v>120</v>
      </c>
      <c r="F459" s="67" t="s">
        <v>2530</v>
      </c>
      <c r="G459" s="66" t="s">
        <v>2380</v>
      </c>
      <c r="I459"/>
    </row>
    <row r="460" spans="1:9" ht="15">
      <c r="A460" s="66" t="s">
        <v>2382</v>
      </c>
      <c r="B460" s="66"/>
      <c r="C460" s="66" t="s">
        <v>2383</v>
      </c>
      <c r="D460" s="66" t="s">
        <v>2628</v>
      </c>
      <c r="E460" s="67" t="s">
        <v>120</v>
      </c>
      <c r="F460" s="67" t="s">
        <v>2530</v>
      </c>
      <c r="G460" s="66" t="s">
        <v>2323</v>
      </c>
      <c r="I460"/>
    </row>
    <row r="461" spans="1:9" ht="15">
      <c r="A461" s="66" t="s">
        <v>2441</v>
      </c>
      <c r="B461" s="66" t="s">
        <v>2316</v>
      </c>
      <c r="C461" s="66" t="s">
        <v>120</v>
      </c>
      <c r="D461" s="66" t="s">
        <v>2628</v>
      </c>
      <c r="E461" s="67" t="s">
        <v>120</v>
      </c>
      <c r="F461" s="67" t="s">
        <v>2530</v>
      </c>
      <c r="G461" s="66" t="s">
        <v>2323</v>
      </c>
      <c r="I461"/>
    </row>
    <row r="462" spans="1:9" ht="15">
      <c r="A462" s="66" t="s">
        <v>2442</v>
      </c>
      <c r="B462" s="66" t="s">
        <v>2326</v>
      </c>
      <c r="C462" s="66" t="s">
        <v>120</v>
      </c>
      <c r="D462" s="66" t="s">
        <v>2628</v>
      </c>
      <c r="E462" s="67" t="s">
        <v>120</v>
      </c>
      <c r="F462" s="67" t="s">
        <v>2530</v>
      </c>
      <c r="G462" s="66" t="s">
        <v>2443</v>
      </c>
      <c r="I462"/>
    </row>
    <row r="463" spans="1:9" ht="15">
      <c r="A463" s="66" t="s">
        <v>2444</v>
      </c>
      <c r="B463" s="66"/>
      <c r="C463" s="66" t="s">
        <v>120</v>
      </c>
      <c r="D463" s="66" t="s">
        <v>2628</v>
      </c>
      <c r="E463" s="67" t="s">
        <v>120</v>
      </c>
      <c r="F463" s="67" t="s">
        <v>2530</v>
      </c>
      <c r="G463" s="66" t="s">
        <v>2323</v>
      </c>
      <c r="I463"/>
    </row>
    <row r="464" spans="1:9" ht="15">
      <c r="A464" s="65" t="s">
        <v>2321</v>
      </c>
      <c r="B464" s="65" t="s">
        <v>2322</v>
      </c>
      <c r="C464" s="65" t="s">
        <v>2317</v>
      </c>
      <c r="D464" s="65" t="s">
        <v>2628</v>
      </c>
      <c r="E464" s="91" t="s">
        <v>2319</v>
      </c>
      <c r="F464" s="65" t="s">
        <v>2240</v>
      </c>
      <c r="G464" s="65" t="s">
        <v>2323</v>
      </c>
      <c r="I464"/>
    </row>
    <row r="465" spans="1:9" ht="15">
      <c r="A465" s="65" t="s">
        <v>2324</v>
      </c>
      <c r="B465" s="65" t="s">
        <v>2322</v>
      </c>
      <c r="C465" s="65" t="s">
        <v>2317</v>
      </c>
      <c r="D465" s="65" t="s">
        <v>2628</v>
      </c>
      <c r="E465" s="91" t="s">
        <v>2319</v>
      </c>
      <c r="F465" s="65" t="s">
        <v>2240</v>
      </c>
      <c r="G465" s="65" t="s">
        <v>2323</v>
      </c>
      <c r="I465"/>
    </row>
    <row r="466" spans="1:9" ht="15">
      <c r="A466" s="65" t="s">
        <v>2325</v>
      </c>
      <c r="B466" s="65" t="s">
        <v>2326</v>
      </c>
      <c r="C466" s="65" t="s">
        <v>2317</v>
      </c>
      <c r="D466" s="65" t="s">
        <v>2628</v>
      </c>
      <c r="E466" s="91" t="s">
        <v>2319</v>
      </c>
      <c r="F466" s="65" t="s">
        <v>2240</v>
      </c>
      <c r="G466" s="65" t="s">
        <v>2323</v>
      </c>
      <c r="I466"/>
    </row>
    <row r="467" spans="1:9" ht="17.25">
      <c r="A467" s="92" t="s">
        <v>2629</v>
      </c>
      <c r="B467" s="92"/>
      <c r="C467" s="92"/>
      <c r="D467" s="92"/>
      <c r="E467" s="93"/>
      <c r="F467" s="92"/>
      <c r="G467" s="92"/>
      <c r="I467"/>
    </row>
    <row r="468" spans="1:9" ht="15">
      <c r="A468" s="66" t="s">
        <v>2446</v>
      </c>
      <c r="B468" s="66" t="s">
        <v>2334</v>
      </c>
      <c r="C468" s="66" t="s">
        <v>120</v>
      </c>
      <c r="D468" s="66" t="s">
        <v>2628</v>
      </c>
      <c r="E468" s="67" t="s">
        <v>120</v>
      </c>
      <c r="F468" s="67" t="s">
        <v>2530</v>
      </c>
      <c r="G468" s="66" t="s">
        <v>2323</v>
      </c>
      <c r="I468"/>
    </row>
    <row r="469" spans="1:9" ht="15">
      <c r="A469" s="66" t="s">
        <v>2447</v>
      </c>
      <c r="B469" s="66" t="s">
        <v>2448</v>
      </c>
      <c r="C469" s="66" t="s">
        <v>120</v>
      </c>
      <c r="D469" s="66" t="s">
        <v>2628</v>
      </c>
      <c r="E469" s="67" t="s">
        <v>120</v>
      </c>
      <c r="F469" s="67" t="s">
        <v>2530</v>
      </c>
      <c r="G469" s="66" t="s">
        <v>2449</v>
      </c>
      <c r="I469"/>
    </row>
    <row r="470" spans="1:9" ht="15">
      <c r="A470" s="66" t="s">
        <v>2450</v>
      </c>
      <c r="B470" s="66" t="s">
        <v>2448</v>
      </c>
      <c r="C470" s="66" t="s">
        <v>120</v>
      </c>
      <c r="D470" s="66" t="s">
        <v>2628</v>
      </c>
      <c r="E470" s="67" t="s">
        <v>120</v>
      </c>
      <c r="F470" s="67" t="s">
        <v>2530</v>
      </c>
      <c r="G470" s="66" t="s">
        <v>2323</v>
      </c>
      <c r="I470"/>
    </row>
    <row r="471" spans="1:9" ht="15">
      <c r="A471" s="65" t="s">
        <v>2328</v>
      </c>
      <c r="B471" s="65"/>
      <c r="C471" s="65" t="s">
        <v>2329</v>
      </c>
      <c r="D471" s="65" t="s">
        <v>2628</v>
      </c>
      <c r="E471" s="91" t="s">
        <v>2330</v>
      </c>
      <c r="F471" s="65" t="s">
        <v>2240</v>
      </c>
      <c r="G471" s="65" t="s">
        <v>2331</v>
      </c>
      <c r="I471"/>
    </row>
    <row r="472" spans="1:9" ht="15">
      <c r="A472" s="66" t="s">
        <v>2452</v>
      </c>
      <c r="B472" s="66" t="s">
        <v>2453</v>
      </c>
      <c r="C472" s="66" t="s">
        <v>120</v>
      </c>
      <c r="D472" s="66" t="s">
        <v>2628</v>
      </c>
      <c r="E472" s="67" t="s">
        <v>120</v>
      </c>
      <c r="F472" s="67" t="s">
        <v>2530</v>
      </c>
      <c r="G472" s="66" t="s">
        <v>2454</v>
      </c>
      <c r="I472"/>
    </row>
    <row r="473" spans="1:9" ht="17.25">
      <c r="A473" s="92" t="s">
        <v>2630</v>
      </c>
      <c r="B473" s="92"/>
      <c r="C473" s="92"/>
      <c r="D473" s="92"/>
      <c r="E473" s="93"/>
      <c r="F473" s="92"/>
      <c r="G473" s="92"/>
      <c r="I473"/>
    </row>
    <row r="474" spans="1:9" ht="15">
      <c r="A474" s="66" t="s">
        <v>2456</v>
      </c>
      <c r="B474" s="66" t="s">
        <v>2457</v>
      </c>
      <c r="C474" s="66" t="s">
        <v>120</v>
      </c>
      <c r="D474" s="66" t="s">
        <v>2628</v>
      </c>
      <c r="E474" s="67" t="s">
        <v>120</v>
      </c>
      <c r="F474" s="67" t="s">
        <v>2530</v>
      </c>
      <c r="G474" s="66" t="s">
        <v>2323</v>
      </c>
      <c r="I474"/>
    </row>
    <row r="475" spans="1:9" ht="15">
      <c r="A475" s="66" t="s">
        <v>2458</v>
      </c>
      <c r="B475" s="66" t="s">
        <v>2457</v>
      </c>
      <c r="C475" s="66" t="s">
        <v>2459</v>
      </c>
      <c r="D475" s="66" t="s">
        <v>2628</v>
      </c>
      <c r="E475" s="67" t="s">
        <v>120</v>
      </c>
      <c r="F475" s="67" t="s">
        <v>2530</v>
      </c>
      <c r="G475" s="66" t="s">
        <v>2323</v>
      </c>
      <c r="I475"/>
    </row>
    <row r="476" spans="1:9" ht="15">
      <c r="A476" s="66" t="s">
        <v>2460</v>
      </c>
      <c r="B476" s="66" t="s">
        <v>2457</v>
      </c>
      <c r="C476" s="66" t="s">
        <v>2461</v>
      </c>
      <c r="D476" s="66" t="s">
        <v>2628</v>
      </c>
      <c r="E476" s="67" t="s">
        <v>120</v>
      </c>
      <c r="F476" s="67" t="s">
        <v>2530</v>
      </c>
      <c r="G476" s="66" t="s">
        <v>2462</v>
      </c>
      <c r="I476"/>
    </row>
    <row r="477" spans="1:9" ht="15">
      <c r="A477" s="66" t="s">
        <v>2463</v>
      </c>
      <c r="B477" s="66" t="s">
        <v>2457</v>
      </c>
      <c r="C477" s="66" t="s">
        <v>120</v>
      </c>
      <c r="D477" s="66" t="s">
        <v>2628</v>
      </c>
      <c r="E477" s="67" t="s">
        <v>120</v>
      </c>
      <c r="F477" s="67" t="s">
        <v>2530</v>
      </c>
      <c r="G477" s="66" t="s">
        <v>2323</v>
      </c>
      <c r="I477"/>
    </row>
    <row r="478" spans="1:9" ht="17.25">
      <c r="A478" s="92" t="s">
        <v>2631</v>
      </c>
      <c r="B478" s="92"/>
      <c r="C478" s="92"/>
      <c r="D478" s="92"/>
      <c r="E478" s="93"/>
      <c r="F478" s="92"/>
      <c r="G478" s="92"/>
      <c r="I478"/>
    </row>
    <row r="479" spans="1:9" ht="15">
      <c r="A479" s="66" t="s">
        <v>2465</v>
      </c>
      <c r="B479" s="66" t="s">
        <v>2466</v>
      </c>
      <c r="C479" s="66" t="s">
        <v>2467</v>
      </c>
      <c r="D479" s="66" t="s">
        <v>2628</v>
      </c>
      <c r="E479" s="67" t="s">
        <v>120</v>
      </c>
      <c r="F479" s="67" t="s">
        <v>2530</v>
      </c>
      <c r="G479" s="66" t="s">
        <v>2323</v>
      </c>
      <c r="I479"/>
    </row>
    <row r="480" spans="1:9" ht="15">
      <c r="A480" s="66" t="s">
        <v>2468</v>
      </c>
      <c r="B480" s="66" t="s">
        <v>2390</v>
      </c>
      <c r="C480" s="66" t="s">
        <v>120</v>
      </c>
      <c r="D480" s="66" t="s">
        <v>2628</v>
      </c>
      <c r="E480" s="67" t="s">
        <v>120</v>
      </c>
      <c r="F480" s="67" t="s">
        <v>2530</v>
      </c>
      <c r="G480" s="66" t="s">
        <v>2323</v>
      </c>
      <c r="I480"/>
    </row>
    <row r="481" spans="1:9" ht="15">
      <c r="A481" s="66" t="s">
        <v>2469</v>
      </c>
      <c r="B481" s="66" t="s">
        <v>2466</v>
      </c>
      <c r="C481" s="66" t="s">
        <v>2470</v>
      </c>
      <c r="D481" s="66" t="s">
        <v>2628</v>
      </c>
      <c r="E481" s="67" t="s">
        <v>120</v>
      </c>
      <c r="F481" s="67" t="s">
        <v>2530</v>
      </c>
      <c r="G481" s="66" t="s">
        <v>2323</v>
      </c>
      <c r="I481"/>
    </row>
    <row r="482" spans="1:9" ht="15">
      <c r="A482" s="66" t="s">
        <v>2392</v>
      </c>
      <c r="B482" s="66" t="s">
        <v>2390</v>
      </c>
      <c r="C482" s="66" t="s">
        <v>2393</v>
      </c>
      <c r="D482" s="66" t="s">
        <v>2628</v>
      </c>
      <c r="E482" s="67" t="s">
        <v>120</v>
      </c>
      <c r="F482" s="67" t="s">
        <v>2530</v>
      </c>
      <c r="G482" s="66" t="s">
        <v>2394</v>
      </c>
      <c r="I482"/>
    </row>
    <row r="483" spans="1:9" ht="15">
      <c r="A483" s="66" t="s">
        <v>2471</v>
      </c>
      <c r="B483" s="66" t="s">
        <v>2472</v>
      </c>
      <c r="C483" s="66" t="s">
        <v>120</v>
      </c>
      <c r="D483" s="66" t="s">
        <v>2628</v>
      </c>
      <c r="E483" s="67" t="s">
        <v>120</v>
      </c>
      <c r="F483" s="67" t="s">
        <v>2530</v>
      </c>
      <c r="G483" s="66" t="s">
        <v>2473</v>
      </c>
      <c r="I483"/>
    </row>
    <row r="484" spans="1:9" ht="15">
      <c r="A484" s="66" t="s">
        <v>2474</v>
      </c>
      <c r="B484" s="66" t="s">
        <v>2472</v>
      </c>
      <c r="C484" s="66" t="s">
        <v>120</v>
      </c>
      <c r="D484" s="66" t="s">
        <v>2628</v>
      </c>
      <c r="E484" s="67" t="s">
        <v>120</v>
      </c>
      <c r="F484" s="67" t="s">
        <v>2530</v>
      </c>
      <c r="G484" s="66" t="s">
        <v>2323</v>
      </c>
      <c r="I484"/>
    </row>
    <row r="485" spans="1:9" ht="17.25">
      <c r="A485" s="92" t="s">
        <v>2632</v>
      </c>
      <c r="B485" s="92"/>
      <c r="C485" s="92"/>
      <c r="D485" s="92"/>
      <c r="E485" s="93"/>
      <c r="F485" s="92"/>
      <c r="G485" s="92"/>
      <c r="I485"/>
    </row>
    <row r="486" spans="1:9" ht="15">
      <c r="A486" s="66" t="s">
        <v>2476</v>
      </c>
      <c r="B486" s="66" t="s">
        <v>2477</v>
      </c>
      <c r="C486" s="66" t="s">
        <v>120</v>
      </c>
      <c r="D486" s="66" t="s">
        <v>2628</v>
      </c>
      <c r="E486" s="67" t="s">
        <v>120</v>
      </c>
      <c r="F486" s="67" t="s">
        <v>2530</v>
      </c>
      <c r="G486" s="66" t="s">
        <v>2478</v>
      </c>
      <c r="I486"/>
    </row>
    <row r="487" spans="1:9" ht="15">
      <c r="A487" s="65" t="s">
        <v>2333</v>
      </c>
      <c r="B487" s="65" t="s">
        <v>2334</v>
      </c>
      <c r="C487" s="65" t="s">
        <v>2335</v>
      </c>
      <c r="D487" s="65" t="s">
        <v>2628</v>
      </c>
      <c r="E487" s="91" t="s">
        <v>2330</v>
      </c>
      <c r="F487" s="65" t="s">
        <v>2240</v>
      </c>
      <c r="G487" s="65" t="s">
        <v>2323</v>
      </c>
      <c r="I487"/>
    </row>
    <row r="488" spans="1:9" ht="15">
      <c r="A488" s="65" t="s">
        <v>2336</v>
      </c>
      <c r="B488" s="65" t="s">
        <v>2334</v>
      </c>
      <c r="C488" s="65" t="s">
        <v>2329</v>
      </c>
      <c r="D488" s="65" t="s">
        <v>2628</v>
      </c>
      <c r="E488" s="91" t="s">
        <v>2330</v>
      </c>
      <c r="F488" s="65" t="s">
        <v>2240</v>
      </c>
      <c r="G488" s="65" t="s">
        <v>2323</v>
      </c>
      <c r="I488"/>
    </row>
    <row r="489" spans="1:9" ht="15">
      <c r="A489" s="65" t="s">
        <v>2337</v>
      </c>
      <c r="B489" s="65" t="s">
        <v>2334</v>
      </c>
      <c r="C489" s="65" t="s">
        <v>2329</v>
      </c>
      <c r="D489" s="65" t="s">
        <v>2628</v>
      </c>
      <c r="E489" s="91" t="s">
        <v>2330</v>
      </c>
      <c r="F489" s="65" t="s">
        <v>2240</v>
      </c>
      <c r="G489" s="65" t="s">
        <v>2323</v>
      </c>
      <c r="I489"/>
    </row>
    <row r="490" spans="1:9" ht="15">
      <c r="A490" s="65" t="s">
        <v>2338</v>
      </c>
      <c r="B490" s="65" t="s">
        <v>2339</v>
      </c>
      <c r="C490" s="65" t="s">
        <v>2329</v>
      </c>
      <c r="D490" s="65" t="s">
        <v>2628</v>
      </c>
      <c r="E490" s="91" t="s">
        <v>2330</v>
      </c>
      <c r="F490" s="65" t="s">
        <v>2240</v>
      </c>
      <c r="G490" s="65" t="s">
        <v>2323</v>
      </c>
      <c r="I490"/>
    </row>
    <row r="491" spans="1:9" ht="15">
      <c r="A491" s="65" t="s">
        <v>2340</v>
      </c>
      <c r="B491" s="65"/>
      <c r="C491" s="65" t="s">
        <v>2329</v>
      </c>
      <c r="D491" s="65" t="s">
        <v>2628</v>
      </c>
      <c r="E491" s="91" t="s">
        <v>2330</v>
      </c>
      <c r="F491" s="65" t="s">
        <v>2240</v>
      </c>
      <c r="G491" s="65" t="s">
        <v>2323</v>
      </c>
      <c r="I491"/>
    </row>
    <row r="492" spans="1:9" ht="15">
      <c r="A492" s="65" t="s">
        <v>2341</v>
      </c>
      <c r="B492" s="65"/>
      <c r="C492" s="65" t="s">
        <v>2329</v>
      </c>
      <c r="D492" s="65" t="s">
        <v>2628</v>
      </c>
      <c r="E492" s="91" t="s">
        <v>2330</v>
      </c>
      <c r="F492" s="65" t="s">
        <v>2240</v>
      </c>
      <c r="G492" s="65" t="s">
        <v>2323</v>
      </c>
      <c r="I492"/>
    </row>
    <row r="493" spans="1:9" ht="15">
      <c r="A493" s="65" t="s">
        <v>2342</v>
      </c>
      <c r="B493" s="65"/>
      <c r="C493" s="65" t="s">
        <v>2329</v>
      </c>
      <c r="D493" s="65" t="s">
        <v>2628</v>
      </c>
      <c r="E493" s="91" t="s">
        <v>2330</v>
      </c>
      <c r="F493" s="65" t="s">
        <v>2240</v>
      </c>
      <c r="G493" s="65" t="s">
        <v>2323</v>
      </c>
      <c r="I493"/>
    </row>
    <row r="494" spans="1:9" ht="17.25">
      <c r="A494" s="92" t="s">
        <v>2633</v>
      </c>
      <c r="B494" s="92"/>
      <c r="C494" s="92"/>
      <c r="D494" s="92"/>
      <c r="E494" s="93"/>
      <c r="F494" s="92"/>
      <c r="G494" s="92"/>
      <c r="I494"/>
    </row>
    <row r="495" spans="1:9" ht="15">
      <c r="A495" s="66" t="s">
        <v>2480</v>
      </c>
      <c r="B495" s="66" t="s">
        <v>2481</v>
      </c>
      <c r="C495" s="66" t="s">
        <v>120</v>
      </c>
      <c r="D495" s="66" t="s">
        <v>2628</v>
      </c>
      <c r="E495" s="67" t="s">
        <v>120</v>
      </c>
      <c r="F495" s="67" t="s">
        <v>2530</v>
      </c>
      <c r="G495" s="66" t="s">
        <v>2323</v>
      </c>
      <c r="I495"/>
    </row>
    <row r="496" spans="1:9" ht="15">
      <c r="A496" s="66" t="s">
        <v>2482</v>
      </c>
      <c r="B496" s="66" t="s">
        <v>2483</v>
      </c>
      <c r="C496" s="66" t="s">
        <v>120</v>
      </c>
      <c r="D496" s="66" t="s">
        <v>2628</v>
      </c>
      <c r="E496" s="67" t="s">
        <v>120</v>
      </c>
      <c r="F496" s="67" t="s">
        <v>2530</v>
      </c>
      <c r="G496" s="66" t="s">
        <v>2323</v>
      </c>
      <c r="I496"/>
    </row>
    <row r="497" spans="1:9" ht="15">
      <c r="A497" s="66" t="s">
        <v>2484</v>
      </c>
      <c r="B497" s="66" t="s">
        <v>2483</v>
      </c>
      <c r="C497" s="66" t="s">
        <v>2485</v>
      </c>
      <c r="D497" s="66" t="s">
        <v>2628</v>
      </c>
      <c r="E497" s="67" t="s">
        <v>120</v>
      </c>
      <c r="F497" s="67" t="s">
        <v>2530</v>
      </c>
      <c r="G497" s="66" t="s">
        <v>2486</v>
      </c>
      <c r="I497"/>
    </row>
    <row r="498" spans="1:9" ht="15">
      <c r="A498" s="66" t="s">
        <v>2487</v>
      </c>
      <c r="B498" s="66" t="s">
        <v>2488</v>
      </c>
      <c r="C498" s="66" t="s">
        <v>120</v>
      </c>
      <c r="D498" s="66" t="s">
        <v>2628</v>
      </c>
      <c r="E498" s="67" t="s">
        <v>120</v>
      </c>
      <c r="F498" s="67" t="s">
        <v>2530</v>
      </c>
      <c r="G498" s="66" t="s">
        <v>2323</v>
      </c>
      <c r="I498"/>
    </row>
    <row r="499" spans="1:9" ht="15">
      <c r="A499" s="66" t="s">
        <v>2344</v>
      </c>
      <c r="B499" s="66"/>
      <c r="C499" s="66" t="s">
        <v>2345</v>
      </c>
      <c r="D499" s="66" t="s">
        <v>2628</v>
      </c>
      <c r="E499" s="67" t="s">
        <v>120</v>
      </c>
      <c r="F499" s="67" t="s">
        <v>2530</v>
      </c>
      <c r="G499" s="66" t="s">
        <v>2323</v>
      </c>
      <c r="I499"/>
    </row>
    <row r="500" spans="1:9" ht="15">
      <c r="A500" s="66" t="s">
        <v>2634</v>
      </c>
      <c r="B500" s="66" t="s">
        <v>2481</v>
      </c>
      <c r="C500" s="66" t="s">
        <v>1111</v>
      </c>
      <c r="D500" s="66" t="s">
        <v>2628</v>
      </c>
      <c r="E500" s="67" t="s">
        <v>1111</v>
      </c>
      <c r="F500" s="67" t="s">
        <v>2530</v>
      </c>
      <c r="G500" s="66" t="s">
        <v>2323</v>
      </c>
      <c r="I500"/>
    </row>
    <row r="501" spans="1:9" ht="15">
      <c r="A501" s="65" t="s">
        <v>2347</v>
      </c>
      <c r="B501" s="65"/>
      <c r="C501" s="65" t="s">
        <v>2329</v>
      </c>
      <c r="D501" s="65" t="s">
        <v>2628</v>
      </c>
      <c r="E501" s="91" t="s">
        <v>2330</v>
      </c>
      <c r="F501" s="65" t="s">
        <v>2240</v>
      </c>
      <c r="G501" s="65" t="s">
        <v>2323</v>
      </c>
      <c r="I501"/>
    </row>
    <row r="502" spans="1:9" ht="15">
      <c r="A502" s="65" t="s">
        <v>2348</v>
      </c>
      <c r="B502" s="65"/>
      <c r="C502" s="65" t="s">
        <v>2329</v>
      </c>
      <c r="D502" s="65" t="s">
        <v>2628</v>
      </c>
      <c r="E502" s="91" t="s">
        <v>2330</v>
      </c>
      <c r="F502" s="65" t="s">
        <v>2240</v>
      </c>
      <c r="G502" s="65" t="s">
        <v>2323</v>
      </c>
      <c r="I502"/>
    </row>
    <row r="503" spans="1:9" ht="15">
      <c r="A503" s="66" t="s">
        <v>2489</v>
      </c>
      <c r="B503" s="66" t="s">
        <v>2483</v>
      </c>
      <c r="C503" s="66" t="s">
        <v>2490</v>
      </c>
      <c r="D503" s="66" t="s">
        <v>2628</v>
      </c>
      <c r="E503" s="67" t="s">
        <v>2490</v>
      </c>
      <c r="F503" s="67" t="s">
        <v>2530</v>
      </c>
      <c r="G503" s="66" t="s">
        <v>2323</v>
      </c>
      <c r="I503"/>
    </row>
    <row r="504" spans="1:9" ht="15">
      <c r="A504" s="66" t="s">
        <v>2491</v>
      </c>
      <c r="B504" s="66" t="s">
        <v>2488</v>
      </c>
      <c r="C504" s="66" t="s">
        <v>120</v>
      </c>
      <c r="D504" s="66" t="s">
        <v>2628</v>
      </c>
      <c r="E504" s="67" t="s">
        <v>120</v>
      </c>
      <c r="F504" s="67" t="s">
        <v>2530</v>
      </c>
      <c r="G504" s="66" t="s">
        <v>2323</v>
      </c>
      <c r="I504"/>
    </row>
    <row r="505" spans="1:9" ht="17.25">
      <c r="A505" s="92" t="s">
        <v>2635</v>
      </c>
      <c r="B505" s="92"/>
      <c r="C505" s="92"/>
      <c r="D505" s="92"/>
      <c r="E505" s="93"/>
      <c r="F505" s="92"/>
      <c r="G505" s="92"/>
      <c r="I505"/>
    </row>
    <row r="506" spans="1:9" ht="15">
      <c r="A506" s="66" t="s">
        <v>2493</v>
      </c>
      <c r="B506" s="66"/>
      <c r="C506" s="66" t="s">
        <v>2490</v>
      </c>
      <c r="D506" s="66" t="s">
        <v>2628</v>
      </c>
      <c r="E506" s="67" t="s">
        <v>2490</v>
      </c>
      <c r="F506" s="67" t="s">
        <v>2530</v>
      </c>
      <c r="G506" s="66" t="s">
        <v>2323</v>
      </c>
      <c r="I506"/>
    </row>
    <row r="507" spans="1:9" ht="15">
      <c r="A507" s="66" t="s">
        <v>2494</v>
      </c>
      <c r="B507" s="66"/>
      <c r="C507" s="66" t="s">
        <v>2490</v>
      </c>
      <c r="D507" s="66" t="s">
        <v>2628</v>
      </c>
      <c r="E507" s="67" t="s">
        <v>2490</v>
      </c>
      <c r="F507" s="67" t="s">
        <v>2530</v>
      </c>
      <c r="G507" s="66" t="s">
        <v>2323</v>
      </c>
      <c r="I507"/>
    </row>
    <row r="508" spans="1:9" ht="15">
      <c r="A508" s="66" t="s">
        <v>2400</v>
      </c>
      <c r="B508" s="66"/>
      <c r="C508" s="66" t="s">
        <v>2401</v>
      </c>
      <c r="D508" s="66" t="s">
        <v>2628</v>
      </c>
      <c r="E508" s="67" t="s">
        <v>2490</v>
      </c>
      <c r="F508" s="67" t="s">
        <v>2530</v>
      </c>
      <c r="G508" s="66" t="s">
        <v>2323</v>
      </c>
      <c r="I508"/>
    </row>
    <row r="509" spans="1:9" ht="15">
      <c r="A509" s="66" t="s">
        <v>2495</v>
      </c>
      <c r="B509" s="66" t="s">
        <v>2483</v>
      </c>
      <c r="C509" s="66" t="s">
        <v>120</v>
      </c>
      <c r="D509" s="66" t="s">
        <v>2628</v>
      </c>
      <c r="E509" s="67" t="s">
        <v>120</v>
      </c>
      <c r="F509" s="67" t="s">
        <v>2530</v>
      </c>
      <c r="G509" s="66" t="s">
        <v>2323</v>
      </c>
      <c r="I509"/>
    </row>
    <row r="510" spans="1:9" ht="15">
      <c r="A510" s="66" t="s">
        <v>2496</v>
      </c>
      <c r="B510" s="66" t="s">
        <v>2483</v>
      </c>
      <c r="C510" s="66" t="s">
        <v>120</v>
      </c>
      <c r="D510" s="66" t="s">
        <v>2628</v>
      </c>
      <c r="E510" s="67" t="s">
        <v>120</v>
      </c>
      <c r="F510" s="67" t="s">
        <v>2530</v>
      </c>
      <c r="G510" s="66" t="s">
        <v>2323</v>
      </c>
      <c r="I510"/>
    </row>
    <row r="511" spans="1:9" ht="15">
      <c r="A511" s="66" t="s">
        <v>2497</v>
      </c>
      <c r="B511" s="66" t="s">
        <v>2339</v>
      </c>
      <c r="C511" s="66" t="s">
        <v>120</v>
      </c>
      <c r="D511" s="66" t="s">
        <v>2628</v>
      </c>
      <c r="E511" s="67" t="s">
        <v>120</v>
      </c>
      <c r="F511" s="67" t="s">
        <v>2530</v>
      </c>
      <c r="G511" s="66" t="s">
        <v>2323</v>
      </c>
      <c r="I511"/>
    </row>
    <row r="512" spans="1:9" ht="15">
      <c r="A512" s="66" t="s">
        <v>2498</v>
      </c>
      <c r="B512" s="66" t="s">
        <v>2499</v>
      </c>
      <c r="C512" s="66" t="s">
        <v>2490</v>
      </c>
      <c r="D512" s="66" t="s">
        <v>2628</v>
      </c>
      <c r="E512" s="67" t="s">
        <v>2490</v>
      </c>
      <c r="F512" s="67" t="s">
        <v>2530</v>
      </c>
      <c r="G512" s="66" t="s">
        <v>2323</v>
      </c>
      <c r="I512"/>
    </row>
    <row r="513" spans="1:9" ht="15">
      <c r="A513" s="66" t="s">
        <v>2500</v>
      </c>
      <c r="B513" s="66" t="s">
        <v>2499</v>
      </c>
      <c r="C513" s="66" t="s">
        <v>2490</v>
      </c>
      <c r="D513" s="66" t="s">
        <v>2628</v>
      </c>
      <c r="E513" s="67" t="s">
        <v>2490</v>
      </c>
      <c r="F513" s="67" t="s">
        <v>2530</v>
      </c>
      <c r="G513" s="66" t="s">
        <v>2323</v>
      </c>
      <c r="I513"/>
    </row>
    <row r="514" spans="1:9" ht="15">
      <c r="A514" s="65" t="s">
        <v>2350</v>
      </c>
      <c r="B514" s="65"/>
      <c r="C514" s="65" t="s">
        <v>2329</v>
      </c>
      <c r="D514" s="65" t="s">
        <v>2628</v>
      </c>
      <c r="E514" s="91" t="s">
        <v>2330</v>
      </c>
      <c r="F514" s="65" t="s">
        <v>2240</v>
      </c>
      <c r="G514" s="65" t="s">
        <v>2323</v>
      </c>
      <c r="I514"/>
    </row>
    <row r="515" spans="1:9" ht="15">
      <c r="A515" s="66" t="s">
        <v>2501</v>
      </c>
      <c r="B515" s="66" t="s">
        <v>2499</v>
      </c>
      <c r="C515" s="66" t="s">
        <v>120</v>
      </c>
      <c r="D515" s="66" t="s">
        <v>2628</v>
      </c>
      <c r="E515" s="67" t="s">
        <v>120</v>
      </c>
      <c r="F515" s="67" t="s">
        <v>2530</v>
      </c>
      <c r="G515" s="66" t="s">
        <v>2502</v>
      </c>
      <c r="I515"/>
    </row>
    <row r="516" spans="1:9" ht="17.25">
      <c r="A516" s="92" t="s">
        <v>2636</v>
      </c>
      <c r="B516" s="92"/>
      <c r="C516" s="92"/>
      <c r="D516" s="92"/>
      <c r="E516" s="93"/>
      <c r="F516" s="92"/>
      <c r="G516" s="92"/>
      <c r="I516"/>
    </row>
    <row r="517" spans="1:9" ht="15">
      <c r="A517" s="66" t="s">
        <v>2504</v>
      </c>
      <c r="B517" s="66" t="s">
        <v>2505</v>
      </c>
      <c r="C517" s="66" t="s">
        <v>120</v>
      </c>
      <c r="D517" s="66" t="s">
        <v>2628</v>
      </c>
      <c r="E517" s="67" t="s">
        <v>120</v>
      </c>
      <c r="F517" s="67" t="s">
        <v>2530</v>
      </c>
      <c r="G517" s="66" t="s">
        <v>2323</v>
      </c>
      <c r="I517"/>
    </row>
    <row r="518" spans="1:9" ht="15">
      <c r="A518" s="66" t="s">
        <v>2506</v>
      </c>
      <c r="B518" s="66" t="s">
        <v>2435</v>
      </c>
      <c r="C518" s="66" t="s">
        <v>120</v>
      </c>
      <c r="D518" s="66" t="s">
        <v>2628</v>
      </c>
      <c r="E518" s="67" t="s">
        <v>120</v>
      </c>
      <c r="F518" s="67" t="s">
        <v>2530</v>
      </c>
      <c r="G518" s="66" t="s">
        <v>2323</v>
      </c>
      <c r="I518"/>
    </row>
    <row r="519" spans="1:9" ht="15">
      <c r="A519" s="66" t="s">
        <v>2507</v>
      </c>
      <c r="B519" s="66" t="s">
        <v>2435</v>
      </c>
      <c r="C519" s="66" t="s">
        <v>120</v>
      </c>
      <c r="D519" s="66" t="s">
        <v>2628</v>
      </c>
      <c r="E519" s="67" t="s">
        <v>120</v>
      </c>
      <c r="F519" s="67" t="s">
        <v>2530</v>
      </c>
      <c r="G519" s="66" t="s">
        <v>2323</v>
      </c>
      <c r="I519"/>
    </row>
    <row r="520" spans="1:9" ht="17.25">
      <c r="A520" s="92" t="s">
        <v>2637</v>
      </c>
      <c r="B520" s="92"/>
      <c r="C520" s="92"/>
      <c r="D520" s="92"/>
      <c r="E520" s="93"/>
      <c r="F520" s="92"/>
      <c r="G520" s="92"/>
      <c r="I520"/>
    </row>
    <row r="521" spans="1:9" ht="15">
      <c r="A521" s="65" t="s">
        <v>2352</v>
      </c>
      <c r="B521" s="65" t="s">
        <v>2353</v>
      </c>
      <c r="C521" s="65" t="s">
        <v>2317</v>
      </c>
      <c r="D521" s="65" t="s">
        <v>2628</v>
      </c>
      <c r="E521" s="91" t="s">
        <v>2319</v>
      </c>
      <c r="F521" s="65" t="s">
        <v>2240</v>
      </c>
      <c r="G521" s="65" t="s">
        <v>2354</v>
      </c>
      <c r="I521"/>
    </row>
    <row r="522" spans="1:9" ht="15">
      <c r="A522" s="65" t="s">
        <v>2355</v>
      </c>
      <c r="B522" s="65" t="s">
        <v>2356</v>
      </c>
      <c r="C522" s="65" t="s">
        <v>2317</v>
      </c>
      <c r="D522" s="65" t="s">
        <v>2628</v>
      </c>
      <c r="E522" s="91" t="s">
        <v>2319</v>
      </c>
      <c r="F522" s="65" t="s">
        <v>2240</v>
      </c>
      <c r="G522" s="65" t="s">
        <v>2357</v>
      </c>
      <c r="I522"/>
    </row>
    <row r="523" spans="1:9" ht="15">
      <c r="A523" s="66" t="s">
        <v>2509</v>
      </c>
      <c r="B523" s="66" t="s">
        <v>2353</v>
      </c>
      <c r="C523" s="66" t="s">
        <v>2490</v>
      </c>
      <c r="D523" s="66" t="s">
        <v>2628</v>
      </c>
      <c r="E523" s="67" t="s">
        <v>2490</v>
      </c>
      <c r="F523" s="67" t="s">
        <v>2530</v>
      </c>
      <c r="G523" s="66" t="s">
        <v>2510</v>
      </c>
      <c r="I523"/>
    </row>
    <row r="524" spans="1:9" ht="15">
      <c r="A524" s="66" t="s">
        <v>2511</v>
      </c>
      <c r="B524" s="66" t="s">
        <v>2407</v>
      </c>
      <c r="C524" s="66" t="s">
        <v>120</v>
      </c>
      <c r="D524" s="66" t="s">
        <v>2628</v>
      </c>
      <c r="E524" s="67" t="s">
        <v>120</v>
      </c>
      <c r="F524" s="67" t="s">
        <v>2530</v>
      </c>
      <c r="G524" s="66" t="s">
        <v>2512</v>
      </c>
      <c r="I524"/>
    </row>
    <row r="525" spans="1:9" ht="15">
      <c r="A525" s="66" t="s">
        <v>2513</v>
      </c>
      <c r="B525" s="66" t="s">
        <v>2404</v>
      </c>
      <c r="C525" s="66" t="s">
        <v>120</v>
      </c>
      <c r="D525" s="66" t="s">
        <v>2628</v>
      </c>
      <c r="E525" s="67" t="s">
        <v>120</v>
      </c>
      <c r="F525" s="67" t="s">
        <v>2530</v>
      </c>
      <c r="G525" s="66" t="s">
        <v>2514</v>
      </c>
      <c r="I525"/>
    </row>
    <row r="526" spans="1:9" ht="15">
      <c r="A526" s="66" t="s">
        <v>2515</v>
      </c>
      <c r="B526" s="66" t="s">
        <v>2516</v>
      </c>
      <c r="C526" s="66" t="s">
        <v>120</v>
      </c>
      <c r="D526" s="66" t="s">
        <v>2628</v>
      </c>
      <c r="E526" s="67" t="s">
        <v>120</v>
      </c>
      <c r="F526" s="67" t="s">
        <v>2530</v>
      </c>
      <c r="G526" s="66" t="s">
        <v>2517</v>
      </c>
      <c r="I526"/>
    </row>
    <row r="527" spans="1:9" ht="15">
      <c r="A527" s="65" t="s">
        <v>2358</v>
      </c>
      <c r="B527" s="65"/>
      <c r="C527" s="65" t="s">
        <v>2329</v>
      </c>
      <c r="D527" s="65" t="s">
        <v>2628</v>
      </c>
      <c r="E527" s="91" t="s">
        <v>2330</v>
      </c>
      <c r="F527" s="65" t="s">
        <v>2240</v>
      </c>
      <c r="G527" s="65" t="s">
        <v>2323</v>
      </c>
      <c r="I527"/>
    </row>
    <row r="528" spans="1:9" ht="17.25">
      <c r="A528" s="92" t="s">
        <v>2638</v>
      </c>
      <c r="B528" s="92"/>
      <c r="C528" s="92"/>
      <c r="D528" s="92"/>
      <c r="E528" s="93"/>
      <c r="F528" s="92"/>
      <c r="G528" s="92"/>
      <c r="I528"/>
    </row>
    <row r="529" spans="1:9" ht="15">
      <c r="A529" s="66" t="s">
        <v>2519</v>
      </c>
      <c r="B529" s="66" t="s">
        <v>2407</v>
      </c>
      <c r="C529" s="66" t="s">
        <v>120</v>
      </c>
      <c r="D529" s="66" t="s">
        <v>2628</v>
      </c>
      <c r="E529" s="67" t="s">
        <v>120</v>
      </c>
      <c r="F529" s="67" t="s">
        <v>2530</v>
      </c>
      <c r="G529" s="66" t="s">
        <v>2520</v>
      </c>
      <c r="I529"/>
    </row>
    <row r="530" spans="1:9" ht="15">
      <c r="A530" s="66" t="s">
        <v>2521</v>
      </c>
      <c r="B530" s="66" t="s">
        <v>2407</v>
      </c>
      <c r="C530" s="66" t="s">
        <v>120</v>
      </c>
      <c r="D530" s="66" t="s">
        <v>2628</v>
      </c>
      <c r="E530" s="67" t="s">
        <v>120</v>
      </c>
      <c r="F530" s="67" t="s">
        <v>2530</v>
      </c>
      <c r="G530" s="66" t="s">
        <v>2323</v>
      </c>
      <c r="I530"/>
    </row>
    <row r="531" spans="1:9" ht="15">
      <c r="A531" s="66" t="s">
        <v>2522</v>
      </c>
      <c r="B531" s="66" t="s">
        <v>2523</v>
      </c>
      <c r="C531" s="66" t="s">
        <v>120</v>
      </c>
      <c r="D531" s="66" t="s">
        <v>2628</v>
      </c>
      <c r="E531" s="67" t="s">
        <v>120</v>
      </c>
      <c r="F531" s="67" t="s">
        <v>2530</v>
      </c>
      <c r="G531" s="66" t="s">
        <v>2524</v>
      </c>
      <c r="I531"/>
    </row>
    <row r="532" spans="1:9" ht="15">
      <c r="A532" s="66" t="s">
        <v>2525</v>
      </c>
      <c r="B532" s="66" t="s">
        <v>2412</v>
      </c>
      <c r="C532" s="66" t="s">
        <v>120</v>
      </c>
      <c r="D532" s="66" t="s">
        <v>2628</v>
      </c>
      <c r="E532" s="67" t="s">
        <v>120</v>
      </c>
      <c r="F532" s="67" t="s">
        <v>2530</v>
      </c>
      <c r="G532" s="66" t="s">
        <v>2520</v>
      </c>
      <c r="I532"/>
    </row>
    <row r="533" spans="1:9" ht="15">
      <c r="A533" s="66" t="s">
        <v>2526</v>
      </c>
      <c r="B533" s="66" t="s">
        <v>2412</v>
      </c>
      <c r="C533" s="66" t="s">
        <v>120</v>
      </c>
      <c r="D533" s="66" t="s">
        <v>2628</v>
      </c>
      <c r="E533" s="67" t="s">
        <v>120</v>
      </c>
      <c r="F533" s="67" t="s">
        <v>2530</v>
      </c>
      <c r="G533" s="66" t="s">
        <v>2527</v>
      </c>
      <c r="I533"/>
    </row>
    <row r="534" spans="1:9" ht="15">
      <c r="A534" s="66" t="s">
        <v>2528</v>
      </c>
      <c r="B534" s="66" t="s">
        <v>2529</v>
      </c>
      <c r="C534" s="66" t="s">
        <v>2490</v>
      </c>
      <c r="D534" s="66" t="s">
        <v>2628</v>
      </c>
      <c r="E534" s="67" t="s">
        <v>2490</v>
      </c>
      <c r="F534" s="67" t="s">
        <v>2530</v>
      </c>
      <c r="G534" s="66" t="s">
        <v>2323</v>
      </c>
      <c r="I534"/>
    </row>
    <row r="535" spans="1:9" ht="15">
      <c r="A535" s="66" t="s">
        <v>2413</v>
      </c>
      <c r="B535" s="66" t="s">
        <v>2407</v>
      </c>
      <c r="C535" s="66" t="s">
        <v>2414</v>
      </c>
      <c r="D535" s="66" t="s">
        <v>2628</v>
      </c>
      <c r="E535" s="67" t="s">
        <v>2639</v>
      </c>
      <c r="F535" s="67" t="s">
        <v>2530</v>
      </c>
      <c r="G535" s="66" t="s">
        <v>2416</v>
      </c>
      <c r="I535"/>
    </row>
    <row r="536" spans="1:9" ht="15">
      <c r="A536" s="66" t="s">
        <v>2532</v>
      </c>
      <c r="B536" s="66" t="s">
        <v>2529</v>
      </c>
      <c r="C536" s="66" t="s">
        <v>2533</v>
      </c>
      <c r="D536" s="66" t="s">
        <v>2628</v>
      </c>
      <c r="E536" s="67" t="s">
        <v>120</v>
      </c>
      <c r="F536" s="67" t="s">
        <v>2530</v>
      </c>
      <c r="G536" s="66" t="s">
        <v>2323</v>
      </c>
      <c r="I536"/>
    </row>
    <row r="537" spans="1:9" ht="15">
      <c r="A537" s="65" t="s">
        <v>2360</v>
      </c>
      <c r="B537" s="65"/>
      <c r="C537" s="65" t="s">
        <v>2317</v>
      </c>
      <c r="D537" s="65" t="s">
        <v>2628</v>
      </c>
      <c r="E537" s="91" t="s">
        <v>2319</v>
      </c>
      <c r="F537" s="65" t="s">
        <v>2240</v>
      </c>
      <c r="G537" s="65" t="s">
        <v>2361</v>
      </c>
      <c r="I537"/>
    </row>
    <row r="538" spans="1:9" ht="15">
      <c r="A538" s="66" t="s">
        <v>2534</v>
      </c>
      <c r="B538" s="66" t="s">
        <v>2363</v>
      </c>
      <c r="C538" s="66" t="s">
        <v>120</v>
      </c>
      <c r="D538" s="66" t="s">
        <v>2628</v>
      </c>
      <c r="E538" s="67" t="s">
        <v>120</v>
      </c>
      <c r="F538" s="67" t="s">
        <v>2530</v>
      </c>
      <c r="G538" s="66" t="s">
        <v>2535</v>
      </c>
      <c r="I538"/>
    </row>
    <row r="539" spans="1:9" ht="15">
      <c r="A539" s="65" t="s">
        <v>2362</v>
      </c>
      <c r="B539" s="65" t="s">
        <v>2363</v>
      </c>
      <c r="C539" s="65" t="s">
        <v>2364</v>
      </c>
      <c r="D539" s="65" t="s">
        <v>2628</v>
      </c>
      <c r="E539" s="91" t="s">
        <v>2365</v>
      </c>
      <c r="F539" s="65" t="s">
        <v>2240</v>
      </c>
      <c r="G539" s="65" t="s">
        <v>2323</v>
      </c>
      <c r="I539"/>
    </row>
    <row r="540" spans="1:9" ht="17.25">
      <c r="A540" s="92" t="s">
        <v>2640</v>
      </c>
      <c r="B540" s="92"/>
      <c r="C540" s="92"/>
      <c r="D540" s="92"/>
      <c r="E540" s="93"/>
      <c r="F540" s="92"/>
      <c r="G540" s="92"/>
      <c r="I540"/>
    </row>
    <row r="541" spans="1:9" ht="15">
      <c r="A541" s="66" t="s">
        <v>2537</v>
      </c>
      <c r="B541" s="66" t="s">
        <v>2538</v>
      </c>
      <c r="C541" s="66" t="s">
        <v>120</v>
      </c>
      <c r="D541" s="66" t="s">
        <v>2628</v>
      </c>
      <c r="E541" s="67" t="s">
        <v>120</v>
      </c>
      <c r="F541" s="67" t="s">
        <v>2530</v>
      </c>
      <c r="G541" s="66" t="s">
        <v>2323</v>
      </c>
      <c r="I541"/>
    </row>
    <row r="542" spans="1:9" ht="15">
      <c r="A542" s="66" t="s">
        <v>2539</v>
      </c>
      <c r="B542" s="66" t="s">
        <v>2538</v>
      </c>
      <c r="C542" s="66" t="s">
        <v>2490</v>
      </c>
      <c r="D542" s="66" t="s">
        <v>2628</v>
      </c>
      <c r="E542" s="67" t="s">
        <v>2490</v>
      </c>
      <c r="F542" s="67" t="s">
        <v>2530</v>
      </c>
      <c r="G542" s="66" t="s">
        <v>2540</v>
      </c>
      <c r="I542"/>
    </row>
    <row r="543" spans="1:9" ht="15">
      <c r="A543" s="66" t="s">
        <v>2541</v>
      </c>
      <c r="B543" s="66" t="s">
        <v>2542</v>
      </c>
      <c r="C543" s="66" t="s">
        <v>2543</v>
      </c>
      <c r="D543" s="66" t="s">
        <v>2628</v>
      </c>
      <c r="E543" s="67" t="s">
        <v>120</v>
      </c>
      <c r="F543" s="67" t="s">
        <v>2530</v>
      </c>
      <c r="G543" s="66" t="s">
        <v>2323</v>
      </c>
      <c r="I543"/>
    </row>
    <row r="544" spans="1:9" ht="15">
      <c r="A544" s="66" t="s">
        <v>2421</v>
      </c>
      <c r="B544" s="66" t="s">
        <v>2422</v>
      </c>
      <c r="C544" s="66" t="s">
        <v>2423</v>
      </c>
      <c r="D544" s="66" t="s">
        <v>2628</v>
      </c>
      <c r="E544" s="67" t="s">
        <v>120</v>
      </c>
      <c r="F544" s="67" t="s">
        <v>2530</v>
      </c>
      <c r="G544" s="66" t="s">
        <v>2425</v>
      </c>
      <c r="I544"/>
    </row>
    <row r="545" spans="1:9" ht="15">
      <c r="A545" s="66" t="s">
        <v>2545</v>
      </c>
      <c r="B545" s="66" t="s">
        <v>2422</v>
      </c>
      <c r="C545" s="66" t="s">
        <v>2461</v>
      </c>
      <c r="D545" s="66" t="s">
        <v>2628</v>
      </c>
      <c r="E545" s="67" t="s">
        <v>120</v>
      </c>
      <c r="F545" s="67" t="s">
        <v>2530</v>
      </c>
      <c r="G545" s="66" t="s">
        <v>2546</v>
      </c>
      <c r="I545"/>
    </row>
    <row r="546" spans="1:9" ht="15">
      <c r="A546" s="66" t="s">
        <v>2547</v>
      </c>
      <c r="B546" s="66" t="s">
        <v>2538</v>
      </c>
      <c r="C546" s="66" t="s">
        <v>2548</v>
      </c>
      <c r="D546" s="66" t="s">
        <v>2628</v>
      </c>
      <c r="E546" s="67" t="s">
        <v>120</v>
      </c>
      <c r="F546" s="67" t="s">
        <v>2530</v>
      </c>
      <c r="G546" s="66" t="s">
        <v>2323</v>
      </c>
      <c r="I546"/>
    </row>
    <row r="547" spans="1:9" ht="15">
      <c r="A547" s="66" t="s">
        <v>2549</v>
      </c>
      <c r="B547" s="66" t="s">
        <v>2538</v>
      </c>
      <c r="C547" s="66" t="s">
        <v>2550</v>
      </c>
      <c r="D547" s="66" t="s">
        <v>2628</v>
      </c>
      <c r="E547" s="67" t="s">
        <v>120</v>
      </c>
      <c r="F547" s="67" t="s">
        <v>2530</v>
      </c>
      <c r="G547" s="66" t="s">
        <v>2551</v>
      </c>
      <c r="I547"/>
    </row>
    <row r="548" spans="1:9" ht="15">
      <c r="A548" s="66" t="s">
        <v>2552</v>
      </c>
      <c r="B548" s="66" t="s">
        <v>2538</v>
      </c>
      <c r="C548" s="66" t="s">
        <v>2553</v>
      </c>
      <c r="D548" s="66" t="s">
        <v>2628</v>
      </c>
      <c r="E548" s="67" t="s">
        <v>120</v>
      </c>
      <c r="F548" s="67" t="s">
        <v>2530</v>
      </c>
      <c r="G548" s="66" t="s">
        <v>2323</v>
      </c>
      <c r="I548"/>
    </row>
    <row r="549" spans="1:9" ht="17.25">
      <c r="A549" s="92" t="s">
        <v>2641</v>
      </c>
      <c r="B549" s="92"/>
      <c r="C549" s="92"/>
      <c r="D549" s="92"/>
      <c r="E549" s="93"/>
      <c r="F549" s="92"/>
      <c r="G549" s="92"/>
      <c r="I549"/>
    </row>
    <row r="550" spans="1:9" ht="15">
      <c r="A550" s="65" t="s">
        <v>2367</v>
      </c>
      <c r="B550" s="65"/>
      <c r="C550" s="65" t="s">
        <v>2317</v>
      </c>
      <c r="D550" s="65" t="s">
        <v>2628</v>
      </c>
      <c r="E550" s="91" t="s">
        <v>2319</v>
      </c>
      <c r="F550" s="65" t="s">
        <v>2240</v>
      </c>
      <c r="G550" s="65" t="s">
        <v>2368</v>
      </c>
      <c r="I550"/>
    </row>
    <row r="551" spans="1:9" ht="15">
      <c r="A551" s="66" t="s">
        <v>2427</v>
      </c>
      <c r="B551" s="66" t="s">
        <v>2370</v>
      </c>
      <c r="C551" s="66" t="s">
        <v>2428</v>
      </c>
      <c r="D551" s="66" t="s">
        <v>2628</v>
      </c>
      <c r="E551" s="67" t="s">
        <v>120</v>
      </c>
      <c r="F551" s="67" t="s">
        <v>2530</v>
      </c>
      <c r="G551" s="66" t="s">
        <v>2429</v>
      </c>
      <c r="I551"/>
    </row>
    <row r="552" spans="1:9" ht="15">
      <c r="A552" s="66" t="s">
        <v>2555</v>
      </c>
      <c r="B552" s="66" t="s">
        <v>2363</v>
      </c>
      <c r="C552" s="66" t="s">
        <v>2556</v>
      </c>
      <c r="D552" s="66" t="s">
        <v>2628</v>
      </c>
      <c r="E552" s="67" t="s">
        <v>120</v>
      </c>
      <c r="F552" s="67" t="s">
        <v>2530</v>
      </c>
      <c r="G552" s="66" t="s">
        <v>2557</v>
      </c>
      <c r="I552"/>
    </row>
    <row r="553" spans="1:9" ht="15">
      <c r="A553" s="66" t="s">
        <v>2558</v>
      </c>
      <c r="B553" s="66" t="s">
        <v>2559</v>
      </c>
      <c r="C553" s="66" t="s">
        <v>2560</v>
      </c>
      <c r="D553" s="66" t="s">
        <v>2628</v>
      </c>
      <c r="E553" s="67" t="s">
        <v>120</v>
      </c>
      <c r="F553" s="67" t="s">
        <v>2530</v>
      </c>
      <c r="G553" s="66" t="s">
        <v>2561</v>
      </c>
      <c r="I553"/>
    </row>
    <row r="554" spans="1:9" ht="15">
      <c r="A554" s="66" t="s">
        <v>2562</v>
      </c>
      <c r="B554" s="66" t="s">
        <v>2370</v>
      </c>
      <c r="C554" s="66" t="s">
        <v>120</v>
      </c>
      <c r="D554" s="66" t="s">
        <v>2628</v>
      </c>
      <c r="E554" s="67" t="s">
        <v>120</v>
      </c>
      <c r="F554" s="67" t="s">
        <v>2530</v>
      </c>
      <c r="G554" s="66" t="s">
        <v>2563</v>
      </c>
      <c r="I554"/>
    </row>
    <row r="555" spans="1:9" ht="15">
      <c r="A555" s="65" t="s">
        <v>2369</v>
      </c>
      <c r="B555" s="65" t="s">
        <v>2370</v>
      </c>
      <c r="C555" s="65" t="s">
        <v>2317</v>
      </c>
      <c r="D555" s="65" t="s">
        <v>2628</v>
      </c>
      <c r="E555" s="91" t="s">
        <v>2319</v>
      </c>
      <c r="F555" s="65" t="s">
        <v>2240</v>
      </c>
      <c r="G555" s="65" t="s">
        <v>2371</v>
      </c>
      <c r="I555"/>
    </row>
    <row r="556" spans="1:9" ht="15">
      <c r="A556" s="65" t="s">
        <v>2372</v>
      </c>
      <c r="B556" s="65"/>
      <c r="C556" s="65" t="s">
        <v>2329</v>
      </c>
      <c r="D556" s="65" t="s">
        <v>2628</v>
      </c>
      <c r="E556" s="91" t="s">
        <v>2330</v>
      </c>
      <c r="F556" s="65" t="s">
        <v>2240</v>
      </c>
      <c r="G556" s="65" t="s">
        <v>2323</v>
      </c>
      <c r="I556"/>
    </row>
    <row r="557" spans="1:9" ht="15">
      <c r="A557" s="66" t="s">
        <v>2564</v>
      </c>
      <c r="B557" s="66"/>
      <c r="C557" s="66" t="s">
        <v>120</v>
      </c>
      <c r="D557" s="66" t="s">
        <v>2628</v>
      </c>
      <c r="E557" s="67" t="s">
        <v>120</v>
      </c>
      <c r="F557" s="67" t="s">
        <v>2530</v>
      </c>
      <c r="G557" s="66" t="s">
        <v>2323</v>
      </c>
      <c r="I557"/>
    </row>
    <row r="558" spans="1:9" ht="15">
      <c r="A558" s="66" t="s">
        <v>2565</v>
      </c>
      <c r="B558" s="66" t="s">
        <v>2370</v>
      </c>
      <c r="C558" s="66" t="s">
        <v>2566</v>
      </c>
      <c r="D558" s="66" t="s">
        <v>2628</v>
      </c>
      <c r="E558" s="67" t="s">
        <v>2566</v>
      </c>
      <c r="F558" s="67" t="s">
        <v>2530</v>
      </c>
      <c r="G558" s="66" t="s">
        <v>2567</v>
      </c>
      <c r="I558"/>
    </row>
    <row r="559" spans="1:9" ht="17.25">
      <c r="A559" s="92" t="s">
        <v>2642</v>
      </c>
      <c r="B559" s="92"/>
      <c r="C559" s="92"/>
      <c r="D559" s="92"/>
      <c r="E559" s="93"/>
      <c r="F559" s="92"/>
      <c r="G559" s="92"/>
      <c r="I559"/>
    </row>
    <row r="560" spans="1:9" ht="15">
      <c r="A560" s="65" t="s">
        <v>2374</v>
      </c>
      <c r="B560" s="65"/>
      <c r="C560" s="65" t="s">
        <v>2329</v>
      </c>
      <c r="D560" s="65" t="s">
        <v>2628</v>
      </c>
      <c r="E560" s="91" t="s">
        <v>2330</v>
      </c>
      <c r="F560" s="65" t="s">
        <v>2240</v>
      </c>
      <c r="G560" s="65" t="s">
        <v>2375</v>
      </c>
      <c r="I560"/>
    </row>
    <row r="561" spans="1:9" ht="15">
      <c r="A561" s="66" t="s">
        <v>2569</v>
      </c>
      <c r="B561" s="66" t="s">
        <v>2570</v>
      </c>
      <c r="C561" s="66" t="s">
        <v>2571</v>
      </c>
      <c r="D561" s="66" t="s">
        <v>2628</v>
      </c>
      <c r="E561" s="67" t="s">
        <v>120</v>
      </c>
      <c r="F561" s="67" t="s">
        <v>2530</v>
      </c>
      <c r="G561" s="66" t="s">
        <v>2437</v>
      </c>
      <c r="I561"/>
    </row>
    <row r="562" spans="1:9" ht="15">
      <c r="A562" s="66" t="s">
        <v>2572</v>
      </c>
      <c r="B562" s="66" t="s">
        <v>2432</v>
      </c>
      <c r="C562" s="66" t="s">
        <v>120</v>
      </c>
      <c r="D562" s="66" t="s">
        <v>2628</v>
      </c>
      <c r="E562" s="67" t="s">
        <v>120</v>
      </c>
      <c r="F562" s="67" t="s">
        <v>2530</v>
      </c>
      <c r="G562" s="66" t="s">
        <v>2573</v>
      </c>
      <c r="I562"/>
    </row>
    <row r="563" spans="1:9" ht="15">
      <c r="A563" s="66" t="s">
        <v>2574</v>
      </c>
      <c r="B563" s="66" t="s">
        <v>2570</v>
      </c>
      <c r="C563" s="66" t="s">
        <v>120</v>
      </c>
      <c r="D563" s="66" t="s">
        <v>2628</v>
      </c>
      <c r="E563" s="67" t="s">
        <v>120</v>
      </c>
      <c r="F563" s="67" t="s">
        <v>2530</v>
      </c>
      <c r="G563" s="66" t="s">
        <v>2573</v>
      </c>
      <c r="I563"/>
    </row>
    <row r="564" spans="1:9" ht="15">
      <c r="A564" s="66" t="s">
        <v>2575</v>
      </c>
      <c r="B564" s="66" t="s">
        <v>2576</v>
      </c>
      <c r="C564" s="66" t="s">
        <v>2490</v>
      </c>
      <c r="D564" s="66" t="s">
        <v>2628</v>
      </c>
      <c r="E564" s="67" t="s">
        <v>2490</v>
      </c>
      <c r="F564" s="67" t="s">
        <v>2530</v>
      </c>
      <c r="G564" s="66" t="s">
        <v>2577</v>
      </c>
      <c r="I564"/>
    </row>
    <row r="565" spans="1:9" ht="15">
      <c r="A565" s="66" t="s">
        <v>2578</v>
      </c>
      <c r="B565" s="66" t="s">
        <v>2579</v>
      </c>
      <c r="C565" s="66" t="s">
        <v>2543</v>
      </c>
      <c r="D565" s="66" t="s">
        <v>2628</v>
      </c>
      <c r="E565" s="67" t="s">
        <v>120</v>
      </c>
      <c r="F565" s="67" t="s">
        <v>2530</v>
      </c>
      <c r="G565" s="66" t="s">
        <v>2580</v>
      </c>
      <c r="I565"/>
    </row>
    <row r="566" spans="1:9" ht="15">
      <c r="A566" s="66" t="s">
        <v>2434</v>
      </c>
      <c r="B566" s="66" t="s">
        <v>2435</v>
      </c>
      <c r="C566" s="66" t="s">
        <v>2436</v>
      </c>
      <c r="D566" s="66" t="s">
        <v>2628</v>
      </c>
      <c r="E566" s="67" t="s">
        <v>2436</v>
      </c>
      <c r="F566" s="67" t="s">
        <v>2530</v>
      </c>
      <c r="G566" s="66" t="s">
        <v>2437</v>
      </c>
      <c r="I566"/>
    </row>
    <row r="567" spans="1:9" ht="17.25">
      <c r="A567" s="92" t="s">
        <v>2643</v>
      </c>
      <c r="B567" s="92"/>
      <c r="C567" s="92"/>
      <c r="D567" s="92"/>
      <c r="E567" s="93"/>
      <c r="F567" s="92"/>
      <c r="G567" s="92"/>
      <c r="I567"/>
    </row>
    <row r="568" spans="1:9" ht="15">
      <c r="A568" s="66" t="s">
        <v>2377</v>
      </c>
      <c r="B568" s="66" t="s">
        <v>2378</v>
      </c>
      <c r="C568" s="66" t="s">
        <v>1622</v>
      </c>
      <c r="D568" s="66" t="s">
        <v>2644</v>
      </c>
      <c r="E568" s="67" t="s">
        <v>1622</v>
      </c>
      <c r="F568" s="67" t="s">
        <v>2530</v>
      </c>
      <c r="G568" s="66" t="s">
        <v>2380</v>
      </c>
      <c r="I568"/>
    </row>
    <row r="569" spans="1:9" ht="15">
      <c r="A569" s="66" t="s">
        <v>2381</v>
      </c>
      <c r="B569" s="66"/>
      <c r="C569" s="66" t="s">
        <v>1396</v>
      </c>
      <c r="D569" s="66" t="s">
        <v>2644</v>
      </c>
      <c r="E569" s="67" t="s">
        <v>1396</v>
      </c>
      <c r="F569" s="67" t="s">
        <v>2530</v>
      </c>
      <c r="G569" s="66" t="s">
        <v>2323</v>
      </c>
      <c r="I569"/>
    </row>
    <row r="570" spans="1:9" ht="15">
      <c r="A570" s="66" t="s">
        <v>2382</v>
      </c>
      <c r="B570" s="66"/>
      <c r="C570" s="66" t="s">
        <v>2383</v>
      </c>
      <c r="D570" s="66" t="s">
        <v>2644</v>
      </c>
      <c r="E570" s="67" t="s">
        <v>2645</v>
      </c>
      <c r="F570" s="67" t="s">
        <v>2530</v>
      </c>
      <c r="G570" s="66" t="s">
        <v>2323</v>
      </c>
      <c r="I570"/>
    </row>
    <row r="571" spans="1:9" ht="15">
      <c r="A571" s="66" t="s">
        <v>2441</v>
      </c>
      <c r="B571" s="66" t="s">
        <v>2316</v>
      </c>
      <c r="C571" s="66" t="s">
        <v>120</v>
      </c>
      <c r="D571" s="66" t="s">
        <v>2644</v>
      </c>
      <c r="E571" s="67" t="s">
        <v>120</v>
      </c>
      <c r="F571" s="67" t="s">
        <v>2530</v>
      </c>
      <c r="G571" s="66" t="s">
        <v>2323</v>
      </c>
      <c r="I571"/>
    </row>
    <row r="572" spans="1:9" ht="15">
      <c r="A572" s="66" t="s">
        <v>2442</v>
      </c>
      <c r="B572" s="66" t="s">
        <v>2326</v>
      </c>
      <c r="C572" s="66" t="s">
        <v>120</v>
      </c>
      <c r="D572" s="66" t="s">
        <v>2644</v>
      </c>
      <c r="E572" s="67" t="s">
        <v>120</v>
      </c>
      <c r="F572" s="67" t="s">
        <v>2530</v>
      </c>
      <c r="G572" s="66" t="s">
        <v>2443</v>
      </c>
      <c r="I572"/>
    </row>
    <row r="573" spans="1:9" ht="15">
      <c r="A573" s="66" t="s">
        <v>2444</v>
      </c>
      <c r="B573" s="66"/>
      <c r="C573" s="66" t="s">
        <v>120</v>
      </c>
      <c r="D573" s="66" t="s">
        <v>2644</v>
      </c>
      <c r="E573" s="67" t="s">
        <v>120</v>
      </c>
      <c r="F573" s="67" t="s">
        <v>2530</v>
      </c>
      <c r="G573" s="66" t="s">
        <v>2323</v>
      </c>
      <c r="I573"/>
    </row>
    <row r="574" spans="1:9" ht="17.25">
      <c r="A574" s="92" t="s">
        <v>2646</v>
      </c>
      <c r="B574" s="92"/>
      <c r="C574" s="92"/>
      <c r="D574" s="92"/>
      <c r="E574" s="93"/>
      <c r="F574" s="92"/>
      <c r="G574" s="92"/>
      <c r="I574"/>
    </row>
    <row r="575" spans="1:9" ht="15">
      <c r="A575" s="66" t="s">
        <v>2446</v>
      </c>
      <c r="B575" s="66" t="s">
        <v>2334</v>
      </c>
      <c r="C575" s="66" t="s">
        <v>120</v>
      </c>
      <c r="D575" s="66" t="s">
        <v>2644</v>
      </c>
      <c r="E575" s="67" t="s">
        <v>120</v>
      </c>
      <c r="F575" s="67" t="s">
        <v>2530</v>
      </c>
      <c r="G575" s="66" t="s">
        <v>2323</v>
      </c>
      <c r="I575"/>
    </row>
    <row r="576" spans="1:9" ht="15">
      <c r="A576" s="66" t="s">
        <v>2447</v>
      </c>
      <c r="B576" s="66" t="s">
        <v>2448</v>
      </c>
      <c r="C576" s="66" t="s">
        <v>120</v>
      </c>
      <c r="D576" s="66" t="s">
        <v>2644</v>
      </c>
      <c r="E576" s="67" t="s">
        <v>120</v>
      </c>
      <c r="F576" s="67" t="s">
        <v>2530</v>
      </c>
      <c r="G576" s="66" t="s">
        <v>2449</v>
      </c>
      <c r="I576"/>
    </row>
    <row r="577" spans="1:9" ht="15">
      <c r="A577" s="66" t="s">
        <v>2450</v>
      </c>
      <c r="B577" s="66" t="s">
        <v>2448</v>
      </c>
      <c r="C577" s="66" t="s">
        <v>120</v>
      </c>
      <c r="D577" s="66" t="s">
        <v>2644</v>
      </c>
      <c r="E577" s="67" t="s">
        <v>120</v>
      </c>
      <c r="F577" s="67" t="s">
        <v>2530</v>
      </c>
      <c r="G577" s="66" t="s">
        <v>2323</v>
      </c>
      <c r="I577"/>
    </row>
    <row r="578" spans="1:9" ht="15">
      <c r="A578" s="65" t="s">
        <v>2328</v>
      </c>
      <c r="B578" s="65"/>
      <c r="C578" s="65" t="s">
        <v>2329</v>
      </c>
      <c r="D578" s="65" t="s">
        <v>2644</v>
      </c>
      <c r="E578" s="91" t="s">
        <v>2647</v>
      </c>
      <c r="F578" s="65" t="s">
        <v>2249</v>
      </c>
      <c r="G578" s="65" t="s">
        <v>2331</v>
      </c>
      <c r="I578"/>
    </row>
    <row r="579" spans="1:9" ht="15">
      <c r="A579" s="66" t="s">
        <v>2452</v>
      </c>
      <c r="B579" s="66" t="s">
        <v>2453</v>
      </c>
      <c r="C579" s="66" t="s">
        <v>120</v>
      </c>
      <c r="D579" s="66" t="s">
        <v>2644</v>
      </c>
      <c r="E579" s="67" t="s">
        <v>120</v>
      </c>
      <c r="F579" s="67" t="s">
        <v>2530</v>
      </c>
      <c r="G579" s="66" t="s">
        <v>2454</v>
      </c>
      <c r="I579"/>
    </row>
    <row r="580" spans="1:9" ht="17.25">
      <c r="A580" s="92" t="s">
        <v>2648</v>
      </c>
      <c r="B580" s="92"/>
      <c r="C580" s="92"/>
      <c r="D580" s="92"/>
      <c r="E580" s="93"/>
      <c r="F580" s="92"/>
      <c r="G580" s="92"/>
      <c r="I580"/>
    </row>
    <row r="581" spans="1:9" ht="15">
      <c r="A581" s="66" t="s">
        <v>2456</v>
      </c>
      <c r="B581" s="66" t="s">
        <v>2457</v>
      </c>
      <c r="C581" s="66" t="s">
        <v>120</v>
      </c>
      <c r="D581" s="66" t="s">
        <v>2644</v>
      </c>
      <c r="E581" s="67" t="s">
        <v>120</v>
      </c>
      <c r="F581" s="67" t="s">
        <v>2530</v>
      </c>
      <c r="G581" s="66" t="s">
        <v>2323</v>
      </c>
      <c r="I581"/>
    </row>
    <row r="582" spans="1:9" ht="15">
      <c r="A582" s="66" t="s">
        <v>2458</v>
      </c>
      <c r="B582" s="66" t="s">
        <v>2457</v>
      </c>
      <c r="C582" s="66" t="s">
        <v>2459</v>
      </c>
      <c r="D582" s="66" t="s">
        <v>2644</v>
      </c>
      <c r="E582" s="67" t="s">
        <v>120</v>
      </c>
      <c r="F582" s="67" t="s">
        <v>2530</v>
      </c>
      <c r="G582" s="66" t="s">
        <v>2323</v>
      </c>
      <c r="I582"/>
    </row>
    <row r="583" spans="1:9" ht="15">
      <c r="A583" s="66" t="s">
        <v>2460</v>
      </c>
      <c r="B583" s="66" t="s">
        <v>2457</v>
      </c>
      <c r="C583" s="66" t="s">
        <v>2461</v>
      </c>
      <c r="D583" s="66" t="s">
        <v>2644</v>
      </c>
      <c r="E583" s="67" t="s">
        <v>120</v>
      </c>
      <c r="F583" s="67" t="s">
        <v>2530</v>
      </c>
      <c r="G583" s="66" t="s">
        <v>2462</v>
      </c>
      <c r="I583"/>
    </row>
    <row r="584" spans="1:9" ht="15">
      <c r="A584" s="66" t="s">
        <v>2463</v>
      </c>
      <c r="B584" s="66" t="s">
        <v>2457</v>
      </c>
      <c r="C584" s="66" t="s">
        <v>120</v>
      </c>
      <c r="D584" s="66" t="s">
        <v>2644</v>
      </c>
      <c r="E584" s="67" t="s">
        <v>120</v>
      </c>
      <c r="F584" s="67" t="s">
        <v>2530</v>
      </c>
      <c r="G584" s="66" t="s">
        <v>2323</v>
      </c>
      <c r="I584"/>
    </row>
    <row r="585" spans="1:9" ht="17.25">
      <c r="A585" s="92" t="s">
        <v>2649</v>
      </c>
      <c r="B585" s="92"/>
      <c r="C585" s="92"/>
      <c r="D585" s="92"/>
      <c r="E585" s="93"/>
      <c r="F585" s="92"/>
      <c r="G585" s="92"/>
      <c r="I585"/>
    </row>
    <row r="586" spans="1:9" ht="15">
      <c r="A586" s="66" t="s">
        <v>2465</v>
      </c>
      <c r="B586" s="66" t="s">
        <v>2466</v>
      </c>
      <c r="C586" s="66" t="s">
        <v>2467</v>
      </c>
      <c r="D586" s="66" t="s">
        <v>2644</v>
      </c>
      <c r="E586" s="67" t="s">
        <v>120</v>
      </c>
      <c r="F586" s="67" t="s">
        <v>2530</v>
      </c>
      <c r="G586" s="66" t="s">
        <v>2323</v>
      </c>
      <c r="I586"/>
    </row>
    <row r="587" spans="1:9" ht="15">
      <c r="A587" s="66" t="s">
        <v>2387</v>
      </c>
      <c r="B587" s="66"/>
      <c r="C587" s="66" t="s">
        <v>621</v>
      </c>
      <c r="D587" s="66" t="s">
        <v>2644</v>
      </c>
      <c r="E587" s="67" t="s">
        <v>621</v>
      </c>
      <c r="F587" s="67" t="s">
        <v>2530</v>
      </c>
      <c r="G587" s="66" t="s">
        <v>2388</v>
      </c>
      <c r="I587"/>
    </row>
    <row r="588" spans="1:9" ht="15">
      <c r="A588" s="66" t="s">
        <v>2389</v>
      </c>
      <c r="B588" s="66" t="s">
        <v>2390</v>
      </c>
      <c r="C588" s="66" t="s">
        <v>621</v>
      </c>
      <c r="D588" s="66" t="s">
        <v>2644</v>
      </c>
      <c r="E588" s="67" t="s">
        <v>621</v>
      </c>
      <c r="F588" s="67" t="s">
        <v>2530</v>
      </c>
      <c r="G588" s="66" t="s">
        <v>2391</v>
      </c>
      <c r="I588"/>
    </row>
    <row r="589" spans="1:9" ht="15">
      <c r="A589" s="66" t="s">
        <v>2468</v>
      </c>
      <c r="B589" s="66" t="s">
        <v>2390</v>
      </c>
      <c r="C589" s="66" t="s">
        <v>120</v>
      </c>
      <c r="D589" s="66" t="s">
        <v>2644</v>
      </c>
      <c r="E589" s="67" t="s">
        <v>120</v>
      </c>
      <c r="F589" s="67" t="s">
        <v>2530</v>
      </c>
      <c r="G589" s="66" t="s">
        <v>2323</v>
      </c>
      <c r="I589"/>
    </row>
    <row r="590" spans="1:9" ht="15">
      <c r="A590" s="66" t="s">
        <v>2469</v>
      </c>
      <c r="B590" s="66" t="s">
        <v>2466</v>
      </c>
      <c r="C590" s="66" t="s">
        <v>2470</v>
      </c>
      <c r="D590" s="66" t="s">
        <v>2644</v>
      </c>
      <c r="E590" s="67" t="s">
        <v>120</v>
      </c>
      <c r="F590" s="67" t="s">
        <v>2530</v>
      </c>
      <c r="G590" s="66" t="s">
        <v>2323</v>
      </c>
      <c r="I590"/>
    </row>
    <row r="591" spans="1:9" ht="15">
      <c r="A591" s="66" t="s">
        <v>2392</v>
      </c>
      <c r="B591" s="66" t="s">
        <v>2390</v>
      </c>
      <c r="C591" s="66" t="s">
        <v>2393</v>
      </c>
      <c r="D591" s="66" t="s">
        <v>2644</v>
      </c>
      <c r="E591" s="67" t="s">
        <v>1622</v>
      </c>
      <c r="F591" s="67" t="s">
        <v>2530</v>
      </c>
      <c r="G591" s="66" t="s">
        <v>2394</v>
      </c>
      <c r="I591"/>
    </row>
    <row r="592" spans="1:9" ht="15">
      <c r="A592" s="66" t="s">
        <v>2471</v>
      </c>
      <c r="B592" s="66" t="s">
        <v>2472</v>
      </c>
      <c r="C592" s="66" t="s">
        <v>120</v>
      </c>
      <c r="D592" s="66" t="s">
        <v>2644</v>
      </c>
      <c r="E592" s="67" t="s">
        <v>120</v>
      </c>
      <c r="F592" s="67" t="s">
        <v>2530</v>
      </c>
      <c r="G592" s="66" t="s">
        <v>2473</v>
      </c>
      <c r="I592"/>
    </row>
    <row r="593" spans="1:9" ht="15">
      <c r="A593" s="66" t="s">
        <v>2474</v>
      </c>
      <c r="B593" s="66" t="s">
        <v>2472</v>
      </c>
      <c r="C593" s="66" t="s">
        <v>120</v>
      </c>
      <c r="D593" s="66" t="s">
        <v>2644</v>
      </c>
      <c r="E593" s="67" t="s">
        <v>120</v>
      </c>
      <c r="F593" s="67" t="s">
        <v>2530</v>
      </c>
      <c r="G593" s="66" t="s">
        <v>2323</v>
      </c>
      <c r="I593"/>
    </row>
    <row r="594" spans="1:9" ht="17.25">
      <c r="A594" s="92" t="s">
        <v>2650</v>
      </c>
      <c r="B594" s="92"/>
      <c r="C594" s="92"/>
      <c r="D594" s="92"/>
      <c r="E594" s="93"/>
      <c r="F594" s="92"/>
      <c r="G594" s="92"/>
      <c r="I594"/>
    </row>
    <row r="595" spans="1:9" ht="15">
      <c r="A595" s="66" t="s">
        <v>2476</v>
      </c>
      <c r="B595" s="66" t="s">
        <v>2477</v>
      </c>
      <c r="C595" s="66" t="s">
        <v>120</v>
      </c>
      <c r="D595" s="66" t="s">
        <v>2644</v>
      </c>
      <c r="E595" s="67" t="s">
        <v>120</v>
      </c>
      <c r="F595" s="67" t="s">
        <v>2530</v>
      </c>
      <c r="G595" s="66" t="s">
        <v>2478</v>
      </c>
      <c r="I595"/>
    </row>
    <row r="596" spans="1:9" ht="15">
      <c r="A596" s="65" t="s">
        <v>2333</v>
      </c>
      <c r="B596" s="65" t="s">
        <v>2334</v>
      </c>
      <c r="C596" s="65" t="s">
        <v>2335</v>
      </c>
      <c r="D596" s="65" t="s">
        <v>2644</v>
      </c>
      <c r="E596" s="91" t="s">
        <v>2647</v>
      </c>
      <c r="F596" s="65" t="s">
        <v>2249</v>
      </c>
      <c r="G596" s="65" t="s">
        <v>2323</v>
      </c>
      <c r="I596"/>
    </row>
    <row r="597" spans="1:9" ht="15">
      <c r="A597" s="65" t="s">
        <v>2336</v>
      </c>
      <c r="B597" s="65" t="s">
        <v>2334</v>
      </c>
      <c r="C597" s="65" t="s">
        <v>2329</v>
      </c>
      <c r="D597" s="65" t="s">
        <v>2644</v>
      </c>
      <c r="E597" s="91" t="s">
        <v>2647</v>
      </c>
      <c r="F597" s="65" t="s">
        <v>2249</v>
      </c>
      <c r="G597" s="65" t="s">
        <v>2323</v>
      </c>
      <c r="I597"/>
    </row>
    <row r="598" spans="1:9" ht="15">
      <c r="A598" s="65" t="s">
        <v>2337</v>
      </c>
      <c r="B598" s="65" t="s">
        <v>2334</v>
      </c>
      <c r="C598" s="65" t="s">
        <v>2329</v>
      </c>
      <c r="D598" s="65" t="s">
        <v>2644</v>
      </c>
      <c r="E598" s="91" t="s">
        <v>2647</v>
      </c>
      <c r="F598" s="65" t="s">
        <v>2249</v>
      </c>
      <c r="G598" s="65" t="s">
        <v>2323</v>
      </c>
      <c r="I598"/>
    </row>
    <row r="599" spans="1:9" ht="15">
      <c r="A599" s="65" t="s">
        <v>2338</v>
      </c>
      <c r="B599" s="65" t="s">
        <v>2339</v>
      </c>
      <c r="C599" s="65" t="s">
        <v>2329</v>
      </c>
      <c r="D599" s="65" t="s">
        <v>2644</v>
      </c>
      <c r="E599" s="91" t="s">
        <v>2647</v>
      </c>
      <c r="F599" s="65" t="s">
        <v>2249</v>
      </c>
      <c r="G599" s="65" t="s">
        <v>2323</v>
      </c>
      <c r="I599"/>
    </row>
    <row r="600" spans="1:9" ht="15">
      <c r="A600" s="65" t="s">
        <v>2340</v>
      </c>
      <c r="B600" s="65"/>
      <c r="C600" s="65" t="s">
        <v>2329</v>
      </c>
      <c r="D600" s="65" t="s">
        <v>2644</v>
      </c>
      <c r="E600" s="91" t="s">
        <v>2647</v>
      </c>
      <c r="F600" s="65" t="s">
        <v>2249</v>
      </c>
      <c r="G600" s="65" t="s">
        <v>2323</v>
      </c>
      <c r="I600"/>
    </row>
    <row r="601" spans="1:9" ht="15">
      <c r="A601" s="65" t="s">
        <v>2341</v>
      </c>
      <c r="B601" s="65"/>
      <c r="C601" s="65" t="s">
        <v>2329</v>
      </c>
      <c r="D601" s="65" t="s">
        <v>2644</v>
      </c>
      <c r="E601" s="91" t="s">
        <v>2647</v>
      </c>
      <c r="F601" s="65" t="s">
        <v>2249</v>
      </c>
      <c r="G601" s="65" t="s">
        <v>2323</v>
      </c>
      <c r="I601"/>
    </row>
    <row r="602" spans="1:9" ht="15">
      <c r="A602" s="65" t="s">
        <v>2342</v>
      </c>
      <c r="B602" s="65"/>
      <c r="C602" s="65" t="s">
        <v>2329</v>
      </c>
      <c r="D602" s="65" t="s">
        <v>2644</v>
      </c>
      <c r="E602" s="91" t="s">
        <v>2647</v>
      </c>
      <c r="F602" s="65" t="s">
        <v>2249</v>
      </c>
      <c r="G602" s="65" t="s">
        <v>2323</v>
      </c>
      <c r="I602"/>
    </row>
    <row r="603" spans="1:9" ht="17.25">
      <c r="A603" s="92" t="s">
        <v>2651</v>
      </c>
      <c r="B603" s="92"/>
      <c r="C603" s="92"/>
      <c r="D603" s="92"/>
      <c r="E603" s="93"/>
      <c r="F603" s="92"/>
      <c r="G603" s="92"/>
      <c r="I603"/>
    </row>
    <row r="604" spans="1:9" ht="15">
      <c r="A604" s="66" t="s">
        <v>2480</v>
      </c>
      <c r="B604" s="66" t="s">
        <v>2481</v>
      </c>
      <c r="C604" s="66" t="s">
        <v>120</v>
      </c>
      <c r="D604" s="66" t="s">
        <v>2644</v>
      </c>
      <c r="E604" s="67" t="s">
        <v>120</v>
      </c>
      <c r="F604" s="67" t="s">
        <v>2530</v>
      </c>
      <c r="G604" s="66" t="s">
        <v>2323</v>
      </c>
      <c r="I604"/>
    </row>
    <row r="605" spans="1:9" ht="15">
      <c r="A605" s="66" t="s">
        <v>2482</v>
      </c>
      <c r="B605" s="66" t="s">
        <v>2483</v>
      </c>
      <c r="C605" s="66" t="s">
        <v>120</v>
      </c>
      <c r="D605" s="66" t="s">
        <v>2644</v>
      </c>
      <c r="E605" s="67" t="s">
        <v>120</v>
      </c>
      <c r="F605" s="67" t="s">
        <v>2530</v>
      </c>
      <c r="G605" s="66" t="s">
        <v>2323</v>
      </c>
      <c r="I605"/>
    </row>
    <row r="606" spans="1:9" ht="15">
      <c r="A606" s="66" t="s">
        <v>2484</v>
      </c>
      <c r="B606" s="66" t="s">
        <v>2483</v>
      </c>
      <c r="C606" s="66" t="s">
        <v>2485</v>
      </c>
      <c r="D606" s="66" t="s">
        <v>2644</v>
      </c>
      <c r="E606" s="67" t="s">
        <v>120</v>
      </c>
      <c r="F606" s="67" t="s">
        <v>2530</v>
      </c>
      <c r="G606" s="66" t="s">
        <v>2486</v>
      </c>
      <c r="I606"/>
    </row>
    <row r="607" spans="1:9" ht="15">
      <c r="A607" s="66" t="s">
        <v>2487</v>
      </c>
      <c r="B607" s="66" t="s">
        <v>2488</v>
      </c>
      <c r="C607" s="66" t="s">
        <v>120</v>
      </c>
      <c r="D607" s="66" t="s">
        <v>2644</v>
      </c>
      <c r="E607" s="67" t="s">
        <v>120</v>
      </c>
      <c r="F607" s="67" t="s">
        <v>2530</v>
      </c>
      <c r="G607" s="66" t="s">
        <v>2323</v>
      </c>
      <c r="I607"/>
    </row>
    <row r="608" spans="1:9" ht="15">
      <c r="A608" s="66" t="s">
        <v>2344</v>
      </c>
      <c r="B608" s="66"/>
      <c r="C608" s="66" t="s">
        <v>2345</v>
      </c>
      <c r="D608" s="66" t="s">
        <v>2644</v>
      </c>
      <c r="E608" s="67" t="s">
        <v>120</v>
      </c>
      <c r="F608" s="67" t="s">
        <v>2530</v>
      </c>
      <c r="G608" s="66" t="s">
        <v>2323</v>
      </c>
      <c r="I608"/>
    </row>
    <row r="609" spans="1:9" ht="15">
      <c r="A609" s="65" t="s">
        <v>2347</v>
      </c>
      <c r="B609" s="65"/>
      <c r="C609" s="65" t="s">
        <v>2329</v>
      </c>
      <c r="D609" s="65" t="s">
        <v>2644</v>
      </c>
      <c r="E609" s="91" t="s">
        <v>2647</v>
      </c>
      <c r="F609" s="65" t="s">
        <v>2249</v>
      </c>
      <c r="G609" s="65" t="s">
        <v>2323</v>
      </c>
      <c r="I609"/>
    </row>
    <row r="610" spans="1:9" ht="15">
      <c r="A610" s="65" t="s">
        <v>2348</v>
      </c>
      <c r="B610" s="65"/>
      <c r="C610" s="65" t="s">
        <v>2329</v>
      </c>
      <c r="D610" s="65" t="s">
        <v>2644</v>
      </c>
      <c r="E610" s="91" t="s">
        <v>2647</v>
      </c>
      <c r="F610" s="65" t="s">
        <v>2249</v>
      </c>
      <c r="G610" s="65" t="s">
        <v>2323</v>
      </c>
      <c r="I610"/>
    </row>
    <row r="611" spans="1:9" ht="15">
      <c r="A611" s="66" t="s">
        <v>2489</v>
      </c>
      <c r="B611" s="66" t="s">
        <v>2483</v>
      </c>
      <c r="C611" s="66" t="s">
        <v>2490</v>
      </c>
      <c r="D611" s="66" t="s">
        <v>2644</v>
      </c>
      <c r="E611" s="67" t="s">
        <v>2490</v>
      </c>
      <c r="F611" s="67" t="s">
        <v>2530</v>
      </c>
      <c r="G611" s="66" t="s">
        <v>2323</v>
      </c>
      <c r="I611"/>
    </row>
    <row r="612" spans="1:9" ht="15">
      <c r="A612" s="66" t="s">
        <v>2491</v>
      </c>
      <c r="B612" s="66" t="s">
        <v>2488</v>
      </c>
      <c r="C612" s="66" t="s">
        <v>120</v>
      </c>
      <c r="D612" s="66" t="s">
        <v>2644</v>
      </c>
      <c r="E612" s="67" t="s">
        <v>120</v>
      </c>
      <c r="F612" s="67" t="s">
        <v>2530</v>
      </c>
      <c r="G612" s="66" t="s">
        <v>2323</v>
      </c>
      <c r="I612"/>
    </row>
    <row r="613" spans="1:9" ht="15">
      <c r="A613" s="66" t="s">
        <v>2397</v>
      </c>
      <c r="B613" s="66"/>
      <c r="C613" s="66" t="s">
        <v>621</v>
      </c>
      <c r="D613" s="66" t="s">
        <v>2644</v>
      </c>
      <c r="E613" s="67" t="s">
        <v>621</v>
      </c>
      <c r="F613" s="67" t="s">
        <v>2530</v>
      </c>
      <c r="G613" s="66" t="s">
        <v>2398</v>
      </c>
      <c r="I613"/>
    </row>
    <row r="614" spans="1:9" ht="17.25">
      <c r="A614" s="92" t="s">
        <v>2652</v>
      </c>
      <c r="B614" s="92"/>
      <c r="C614" s="92"/>
      <c r="D614" s="92"/>
      <c r="E614" s="93"/>
      <c r="F614" s="92"/>
      <c r="G614" s="92"/>
      <c r="I614"/>
    </row>
    <row r="615" spans="1:9" ht="15">
      <c r="A615" s="66" t="s">
        <v>2493</v>
      </c>
      <c r="B615" s="66"/>
      <c r="C615" s="66" t="s">
        <v>2490</v>
      </c>
      <c r="D615" s="66" t="s">
        <v>2644</v>
      </c>
      <c r="E615" s="67" t="s">
        <v>2490</v>
      </c>
      <c r="F615" s="67" t="s">
        <v>2530</v>
      </c>
      <c r="G615" s="66" t="s">
        <v>2323</v>
      </c>
      <c r="I615"/>
    </row>
    <row r="616" spans="1:9" ht="15">
      <c r="A616" s="66" t="s">
        <v>2494</v>
      </c>
      <c r="B616" s="66"/>
      <c r="C616" s="66" t="s">
        <v>2490</v>
      </c>
      <c r="D616" s="66" t="s">
        <v>2644</v>
      </c>
      <c r="E616" s="67" t="s">
        <v>2490</v>
      </c>
      <c r="F616" s="67" t="s">
        <v>2530</v>
      </c>
      <c r="G616" s="66" t="s">
        <v>2323</v>
      </c>
      <c r="I616"/>
    </row>
    <row r="617" spans="1:9" ht="15">
      <c r="A617" s="66" t="s">
        <v>2400</v>
      </c>
      <c r="B617" s="66"/>
      <c r="C617" s="66" t="s">
        <v>2401</v>
      </c>
      <c r="D617" s="66" t="s">
        <v>2644</v>
      </c>
      <c r="E617" s="67" t="s">
        <v>2653</v>
      </c>
      <c r="F617" s="67" t="s">
        <v>2530</v>
      </c>
      <c r="G617" s="66" t="s">
        <v>2323</v>
      </c>
      <c r="I617"/>
    </row>
    <row r="618" spans="1:9" ht="15">
      <c r="A618" s="66" t="s">
        <v>2495</v>
      </c>
      <c r="B618" s="66" t="s">
        <v>2483</v>
      </c>
      <c r="C618" s="66" t="s">
        <v>120</v>
      </c>
      <c r="D618" s="66" t="s">
        <v>2644</v>
      </c>
      <c r="E618" s="67" t="s">
        <v>120</v>
      </c>
      <c r="F618" s="67" t="s">
        <v>2530</v>
      </c>
      <c r="G618" s="66" t="s">
        <v>2323</v>
      </c>
      <c r="I618"/>
    </row>
    <row r="619" spans="1:9" ht="15">
      <c r="A619" s="66" t="s">
        <v>2496</v>
      </c>
      <c r="B619" s="66" t="s">
        <v>2483</v>
      </c>
      <c r="C619" s="66" t="s">
        <v>120</v>
      </c>
      <c r="D619" s="66" t="s">
        <v>2644</v>
      </c>
      <c r="E619" s="67" t="s">
        <v>120</v>
      </c>
      <c r="F619" s="67" t="s">
        <v>2530</v>
      </c>
      <c r="G619" s="66" t="s">
        <v>2323</v>
      </c>
      <c r="I619"/>
    </row>
    <row r="620" spans="1:9" ht="15">
      <c r="A620" s="66" t="s">
        <v>2497</v>
      </c>
      <c r="B620" s="66" t="s">
        <v>2339</v>
      </c>
      <c r="C620" s="66" t="s">
        <v>120</v>
      </c>
      <c r="D620" s="66" t="s">
        <v>2644</v>
      </c>
      <c r="E620" s="67" t="s">
        <v>120</v>
      </c>
      <c r="F620" s="67" t="s">
        <v>2530</v>
      </c>
      <c r="G620" s="66" t="s">
        <v>2323</v>
      </c>
      <c r="I620"/>
    </row>
    <row r="621" spans="1:9" ht="15">
      <c r="A621" s="66" t="s">
        <v>2498</v>
      </c>
      <c r="B621" s="66" t="s">
        <v>2499</v>
      </c>
      <c r="C621" s="66" t="s">
        <v>2490</v>
      </c>
      <c r="D621" s="66" t="s">
        <v>2644</v>
      </c>
      <c r="E621" s="67" t="s">
        <v>2490</v>
      </c>
      <c r="F621" s="67" t="s">
        <v>2530</v>
      </c>
      <c r="G621" s="66" t="s">
        <v>2323</v>
      </c>
      <c r="I621"/>
    </row>
    <row r="622" spans="1:9" ht="15">
      <c r="A622" s="66" t="s">
        <v>2500</v>
      </c>
      <c r="B622" s="66" t="s">
        <v>2499</v>
      </c>
      <c r="C622" s="66" t="s">
        <v>2490</v>
      </c>
      <c r="D622" s="66" t="s">
        <v>2644</v>
      </c>
      <c r="E622" s="67" t="s">
        <v>2490</v>
      </c>
      <c r="F622" s="67" t="s">
        <v>2530</v>
      </c>
      <c r="G622" s="66" t="s">
        <v>2323</v>
      </c>
      <c r="I622"/>
    </row>
    <row r="623" spans="1:9" ht="15">
      <c r="A623" s="65" t="s">
        <v>2350</v>
      </c>
      <c r="B623" s="65"/>
      <c r="C623" s="65" t="s">
        <v>2329</v>
      </c>
      <c r="D623" s="65" t="s">
        <v>2644</v>
      </c>
      <c r="E623" s="91" t="s">
        <v>2647</v>
      </c>
      <c r="F623" s="65" t="s">
        <v>2249</v>
      </c>
      <c r="G623" s="65" t="s">
        <v>2323</v>
      </c>
      <c r="I623"/>
    </row>
    <row r="624" spans="1:9" ht="15">
      <c r="A624" s="66" t="s">
        <v>2501</v>
      </c>
      <c r="B624" s="66" t="s">
        <v>2499</v>
      </c>
      <c r="C624" s="66" t="s">
        <v>120</v>
      </c>
      <c r="D624" s="66" t="s">
        <v>2644</v>
      </c>
      <c r="E624" s="67" t="s">
        <v>120</v>
      </c>
      <c r="F624" s="67" t="s">
        <v>2530</v>
      </c>
      <c r="G624" s="66" t="s">
        <v>2502</v>
      </c>
      <c r="I624"/>
    </row>
    <row r="625" spans="1:9" ht="17.25">
      <c r="A625" s="92" t="s">
        <v>2654</v>
      </c>
      <c r="B625" s="92"/>
      <c r="C625" s="92"/>
      <c r="D625" s="92"/>
      <c r="E625" s="93"/>
      <c r="F625" s="92"/>
      <c r="G625" s="92"/>
      <c r="I625"/>
    </row>
    <row r="626" spans="1:9" ht="15">
      <c r="A626" s="66" t="s">
        <v>2504</v>
      </c>
      <c r="B626" s="66" t="s">
        <v>2505</v>
      </c>
      <c r="C626" s="66" t="s">
        <v>120</v>
      </c>
      <c r="D626" s="66" t="s">
        <v>2644</v>
      </c>
      <c r="E626" s="67" t="s">
        <v>120</v>
      </c>
      <c r="F626" s="67" t="s">
        <v>2530</v>
      </c>
      <c r="G626" s="66" t="s">
        <v>2323</v>
      </c>
      <c r="I626"/>
    </row>
    <row r="627" spans="1:9" ht="15">
      <c r="A627" s="66" t="s">
        <v>2506</v>
      </c>
      <c r="B627" s="66" t="s">
        <v>2435</v>
      </c>
      <c r="C627" s="66" t="s">
        <v>120</v>
      </c>
      <c r="D627" s="66" t="s">
        <v>2644</v>
      </c>
      <c r="E627" s="67" t="s">
        <v>120</v>
      </c>
      <c r="F627" s="67" t="s">
        <v>2530</v>
      </c>
      <c r="G627" s="66" t="s">
        <v>2323</v>
      </c>
      <c r="I627"/>
    </row>
    <row r="628" spans="1:9" ht="15">
      <c r="A628" s="66" t="s">
        <v>2507</v>
      </c>
      <c r="B628" s="66" t="s">
        <v>2435</v>
      </c>
      <c r="C628" s="66" t="s">
        <v>120</v>
      </c>
      <c r="D628" s="66" t="s">
        <v>2644</v>
      </c>
      <c r="E628" s="67" t="s">
        <v>120</v>
      </c>
      <c r="F628" s="67" t="s">
        <v>2530</v>
      </c>
      <c r="G628" s="66" t="s">
        <v>2323</v>
      </c>
      <c r="I628"/>
    </row>
    <row r="629" spans="1:9" ht="17.25">
      <c r="A629" s="92" t="s">
        <v>2655</v>
      </c>
      <c r="B629" s="92"/>
      <c r="C629" s="92"/>
      <c r="D629" s="92"/>
      <c r="E629" s="93"/>
      <c r="F629" s="92"/>
      <c r="G629" s="92"/>
      <c r="I629"/>
    </row>
    <row r="630" spans="1:9" ht="15">
      <c r="A630" s="66" t="s">
        <v>2403</v>
      </c>
      <c r="B630" s="66" t="s">
        <v>2404</v>
      </c>
      <c r="C630" s="66" t="s">
        <v>621</v>
      </c>
      <c r="D630" s="66" t="s">
        <v>2644</v>
      </c>
      <c r="E630" s="67" t="s">
        <v>621</v>
      </c>
      <c r="F630" s="67" t="s">
        <v>2530</v>
      </c>
      <c r="G630" s="66" t="s">
        <v>2405</v>
      </c>
      <c r="I630"/>
    </row>
    <row r="631" spans="1:9" ht="15">
      <c r="A631" s="66" t="s">
        <v>2406</v>
      </c>
      <c r="B631" s="66" t="s">
        <v>2407</v>
      </c>
      <c r="C631" s="66" t="s">
        <v>2408</v>
      </c>
      <c r="D631" s="66" t="s">
        <v>2644</v>
      </c>
      <c r="E631" s="67" t="s">
        <v>621</v>
      </c>
      <c r="F631" s="67" t="s">
        <v>2530</v>
      </c>
      <c r="G631" s="66" t="s">
        <v>2409</v>
      </c>
      <c r="I631"/>
    </row>
    <row r="632" spans="1:9" ht="15">
      <c r="A632" s="66" t="s">
        <v>2509</v>
      </c>
      <c r="B632" s="66" t="s">
        <v>2353</v>
      </c>
      <c r="C632" s="66" t="s">
        <v>2490</v>
      </c>
      <c r="D632" s="66" t="s">
        <v>2644</v>
      </c>
      <c r="E632" s="67" t="s">
        <v>2490</v>
      </c>
      <c r="F632" s="67" t="s">
        <v>2530</v>
      </c>
      <c r="G632" s="66" t="s">
        <v>2510</v>
      </c>
      <c r="I632"/>
    </row>
    <row r="633" spans="1:9" ht="15">
      <c r="A633" s="66" t="s">
        <v>2511</v>
      </c>
      <c r="B633" s="66" t="s">
        <v>2407</v>
      </c>
      <c r="C633" s="66" t="s">
        <v>120</v>
      </c>
      <c r="D633" s="66" t="s">
        <v>2644</v>
      </c>
      <c r="E633" s="67" t="s">
        <v>120</v>
      </c>
      <c r="F633" s="67" t="s">
        <v>2530</v>
      </c>
      <c r="G633" s="66" t="s">
        <v>2512</v>
      </c>
      <c r="I633"/>
    </row>
    <row r="634" spans="1:9" ht="15">
      <c r="A634" s="66" t="s">
        <v>2513</v>
      </c>
      <c r="B634" s="66" t="s">
        <v>2404</v>
      </c>
      <c r="C634" s="66" t="s">
        <v>120</v>
      </c>
      <c r="D634" s="66" t="s">
        <v>2644</v>
      </c>
      <c r="E634" s="67" t="s">
        <v>120</v>
      </c>
      <c r="F634" s="67" t="s">
        <v>2530</v>
      </c>
      <c r="G634" s="66" t="s">
        <v>2514</v>
      </c>
      <c r="I634"/>
    </row>
    <row r="635" spans="1:9" ht="15">
      <c r="A635" s="66" t="s">
        <v>2515</v>
      </c>
      <c r="B635" s="66" t="s">
        <v>2516</v>
      </c>
      <c r="C635" s="66" t="s">
        <v>120</v>
      </c>
      <c r="D635" s="66" t="s">
        <v>2644</v>
      </c>
      <c r="E635" s="67" t="s">
        <v>120</v>
      </c>
      <c r="F635" s="67" t="s">
        <v>2530</v>
      </c>
      <c r="G635" s="66" t="s">
        <v>2517</v>
      </c>
      <c r="I635"/>
    </row>
    <row r="636" spans="1:9" ht="15">
      <c r="A636" s="65" t="s">
        <v>2358</v>
      </c>
      <c r="B636" s="65"/>
      <c r="C636" s="65" t="s">
        <v>2329</v>
      </c>
      <c r="D636" s="65" t="s">
        <v>2644</v>
      </c>
      <c r="E636" s="91" t="s">
        <v>2647</v>
      </c>
      <c r="F636" s="65" t="s">
        <v>2249</v>
      </c>
      <c r="G636" s="65" t="s">
        <v>2323</v>
      </c>
      <c r="I636"/>
    </row>
    <row r="637" spans="1:9" ht="17.25">
      <c r="A637" s="92" t="s">
        <v>2656</v>
      </c>
      <c r="B637" s="92"/>
      <c r="C637" s="92"/>
      <c r="D637" s="92"/>
      <c r="E637" s="93"/>
      <c r="F637" s="92"/>
      <c r="G637" s="92"/>
      <c r="I637"/>
    </row>
    <row r="638" spans="1:9" ht="15">
      <c r="A638" s="66" t="s">
        <v>2411</v>
      </c>
      <c r="B638" s="66" t="s">
        <v>2412</v>
      </c>
      <c r="C638" s="66" t="s">
        <v>621</v>
      </c>
      <c r="D638" s="66" t="s">
        <v>2644</v>
      </c>
      <c r="E638" s="67" t="s">
        <v>621</v>
      </c>
      <c r="F638" s="67" t="s">
        <v>2530</v>
      </c>
      <c r="G638" s="66" t="s">
        <v>2323</v>
      </c>
      <c r="I638"/>
    </row>
    <row r="639" spans="1:9" ht="15">
      <c r="A639" s="66" t="s">
        <v>2519</v>
      </c>
      <c r="B639" s="66" t="s">
        <v>2407</v>
      </c>
      <c r="C639" s="66" t="s">
        <v>120</v>
      </c>
      <c r="D639" s="66" t="s">
        <v>2644</v>
      </c>
      <c r="E639" s="67" t="s">
        <v>120</v>
      </c>
      <c r="F639" s="67" t="s">
        <v>2530</v>
      </c>
      <c r="G639" s="66" t="s">
        <v>2520</v>
      </c>
      <c r="I639"/>
    </row>
    <row r="640" spans="1:9" ht="15">
      <c r="A640" s="66" t="s">
        <v>2521</v>
      </c>
      <c r="B640" s="66" t="s">
        <v>2407</v>
      </c>
      <c r="C640" s="66" t="s">
        <v>120</v>
      </c>
      <c r="D640" s="66" t="s">
        <v>2644</v>
      </c>
      <c r="E640" s="67" t="s">
        <v>120</v>
      </c>
      <c r="F640" s="67" t="s">
        <v>2530</v>
      </c>
      <c r="G640" s="66" t="s">
        <v>2323</v>
      </c>
      <c r="I640"/>
    </row>
    <row r="641" spans="1:9" ht="15">
      <c r="A641" s="66" t="s">
        <v>2522</v>
      </c>
      <c r="B641" s="66" t="s">
        <v>2523</v>
      </c>
      <c r="C641" s="66" t="s">
        <v>120</v>
      </c>
      <c r="D641" s="66" t="s">
        <v>2644</v>
      </c>
      <c r="E641" s="67" t="s">
        <v>120</v>
      </c>
      <c r="F641" s="67" t="s">
        <v>2530</v>
      </c>
      <c r="G641" s="66" t="s">
        <v>2524</v>
      </c>
      <c r="I641"/>
    </row>
    <row r="642" spans="1:9" ht="15">
      <c r="A642" s="66" t="s">
        <v>2525</v>
      </c>
      <c r="B642" s="66" t="s">
        <v>2412</v>
      </c>
      <c r="C642" s="66" t="s">
        <v>120</v>
      </c>
      <c r="D642" s="66" t="s">
        <v>2644</v>
      </c>
      <c r="E642" s="67" t="s">
        <v>120</v>
      </c>
      <c r="F642" s="67" t="s">
        <v>2530</v>
      </c>
      <c r="G642" s="66" t="s">
        <v>2520</v>
      </c>
      <c r="I642"/>
    </row>
    <row r="643" spans="1:9" ht="15">
      <c r="A643" s="66" t="s">
        <v>2526</v>
      </c>
      <c r="B643" s="66" t="s">
        <v>2412</v>
      </c>
      <c r="C643" s="66" t="s">
        <v>120</v>
      </c>
      <c r="D643" s="66" t="s">
        <v>2644</v>
      </c>
      <c r="E643" s="67" t="s">
        <v>120</v>
      </c>
      <c r="F643" s="67" t="s">
        <v>2530</v>
      </c>
      <c r="G643" s="66" t="s">
        <v>2527</v>
      </c>
      <c r="I643"/>
    </row>
    <row r="644" spans="1:9" ht="15">
      <c r="A644" s="66" t="s">
        <v>2528</v>
      </c>
      <c r="B644" s="66" t="s">
        <v>2529</v>
      </c>
      <c r="C644" s="66" t="s">
        <v>2490</v>
      </c>
      <c r="D644" s="66" t="s">
        <v>2644</v>
      </c>
      <c r="E644" s="67" t="s">
        <v>2490</v>
      </c>
      <c r="F644" s="67" t="s">
        <v>2530</v>
      </c>
      <c r="G644" s="66" t="s">
        <v>2323</v>
      </c>
      <c r="I644"/>
    </row>
    <row r="645" spans="1:9" ht="15">
      <c r="A645" s="66" t="s">
        <v>2413</v>
      </c>
      <c r="B645" s="66" t="s">
        <v>2407</v>
      </c>
      <c r="C645" s="66" t="s">
        <v>2414</v>
      </c>
      <c r="D645" s="66" t="s">
        <v>2644</v>
      </c>
      <c r="E645" s="67" t="s">
        <v>2657</v>
      </c>
      <c r="F645" s="67" t="s">
        <v>2530</v>
      </c>
      <c r="G645" s="66" t="s">
        <v>2416</v>
      </c>
      <c r="I645"/>
    </row>
    <row r="646" spans="1:9" ht="15">
      <c r="A646" s="66" t="s">
        <v>2532</v>
      </c>
      <c r="B646" s="66" t="s">
        <v>2529</v>
      </c>
      <c r="C646" s="66" t="s">
        <v>2533</v>
      </c>
      <c r="D646" s="66" t="s">
        <v>2644</v>
      </c>
      <c r="E646" s="67" t="s">
        <v>120</v>
      </c>
      <c r="F646" s="67" t="s">
        <v>2530</v>
      </c>
      <c r="G646" s="66" t="s">
        <v>2323</v>
      </c>
      <c r="I646"/>
    </row>
    <row r="647" spans="1:9" ht="15">
      <c r="A647" s="66" t="s">
        <v>2417</v>
      </c>
      <c r="B647" s="66"/>
      <c r="C647" s="66" t="s">
        <v>621</v>
      </c>
      <c r="D647" s="66" t="s">
        <v>2644</v>
      </c>
      <c r="E647" s="67" t="s">
        <v>621</v>
      </c>
      <c r="F647" s="67" t="s">
        <v>2530</v>
      </c>
      <c r="G647" s="66" t="s">
        <v>2361</v>
      </c>
      <c r="I647"/>
    </row>
    <row r="648" spans="1:9" ht="15">
      <c r="A648" s="66" t="s">
        <v>2534</v>
      </c>
      <c r="B648" s="66" t="s">
        <v>2363</v>
      </c>
      <c r="C648" s="66" t="s">
        <v>120</v>
      </c>
      <c r="D648" s="66" t="s">
        <v>2644</v>
      </c>
      <c r="E648" s="67" t="s">
        <v>120</v>
      </c>
      <c r="F648" s="67" t="s">
        <v>2530</v>
      </c>
      <c r="G648" s="66" t="s">
        <v>2535</v>
      </c>
      <c r="I648"/>
    </row>
    <row r="649" spans="1:9" ht="15">
      <c r="A649" s="65" t="s">
        <v>2362</v>
      </c>
      <c r="B649" s="65" t="s">
        <v>2363</v>
      </c>
      <c r="C649" s="65" t="s">
        <v>2364</v>
      </c>
      <c r="D649" s="65" t="s">
        <v>2644</v>
      </c>
      <c r="E649" s="91" t="s">
        <v>2418</v>
      </c>
      <c r="F649" s="65" t="s">
        <v>2249</v>
      </c>
      <c r="G649" s="65" t="s">
        <v>2323</v>
      </c>
      <c r="I649"/>
    </row>
    <row r="650" spans="1:9" ht="17.25">
      <c r="A650" s="92" t="s">
        <v>2658</v>
      </c>
      <c r="B650" s="92"/>
      <c r="C650" s="92"/>
      <c r="D650" s="92"/>
      <c r="E650" s="93"/>
      <c r="F650" s="92"/>
      <c r="G650" s="92"/>
      <c r="I650"/>
    </row>
    <row r="651" spans="1:9" ht="15">
      <c r="A651" s="66" t="s">
        <v>2420</v>
      </c>
      <c r="B651" s="66"/>
      <c r="C651" s="66" t="s">
        <v>621</v>
      </c>
      <c r="D651" s="66" t="s">
        <v>2644</v>
      </c>
      <c r="E651" s="67" t="s">
        <v>621</v>
      </c>
      <c r="F651" s="67" t="s">
        <v>2530</v>
      </c>
      <c r="G651" s="66" t="s">
        <v>2323</v>
      </c>
      <c r="I651"/>
    </row>
    <row r="652" spans="1:9" ht="15">
      <c r="A652" s="66" t="s">
        <v>2537</v>
      </c>
      <c r="B652" s="66" t="s">
        <v>2538</v>
      </c>
      <c r="C652" s="66" t="s">
        <v>120</v>
      </c>
      <c r="D652" s="66" t="s">
        <v>2644</v>
      </c>
      <c r="E652" s="67" t="s">
        <v>120</v>
      </c>
      <c r="F652" s="67" t="s">
        <v>2530</v>
      </c>
      <c r="G652" s="66" t="s">
        <v>2323</v>
      </c>
      <c r="I652"/>
    </row>
    <row r="653" spans="1:9" ht="15">
      <c r="A653" s="66" t="s">
        <v>2539</v>
      </c>
      <c r="B653" s="66" t="s">
        <v>2538</v>
      </c>
      <c r="C653" s="66" t="s">
        <v>2490</v>
      </c>
      <c r="D653" s="66" t="s">
        <v>2644</v>
      </c>
      <c r="E653" s="67" t="s">
        <v>2490</v>
      </c>
      <c r="F653" s="67" t="s">
        <v>2530</v>
      </c>
      <c r="G653" s="66" t="s">
        <v>2540</v>
      </c>
      <c r="I653"/>
    </row>
    <row r="654" spans="1:9" ht="15">
      <c r="A654" s="66" t="s">
        <v>2541</v>
      </c>
      <c r="B654" s="66" t="s">
        <v>2542</v>
      </c>
      <c r="C654" s="66" t="s">
        <v>2543</v>
      </c>
      <c r="D654" s="66" t="s">
        <v>2644</v>
      </c>
      <c r="E654" s="67" t="s">
        <v>120</v>
      </c>
      <c r="F654" s="67" t="s">
        <v>2530</v>
      </c>
      <c r="G654" s="66" t="s">
        <v>2323</v>
      </c>
      <c r="I654"/>
    </row>
    <row r="655" spans="1:9" ht="15">
      <c r="A655" s="66" t="s">
        <v>2421</v>
      </c>
      <c r="B655" s="66" t="s">
        <v>2422</v>
      </c>
      <c r="C655" s="66" t="s">
        <v>2423</v>
      </c>
      <c r="D655" s="66" t="s">
        <v>2644</v>
      </c>
      <c r="E655" s="67" t="s">
        <v>2659</v>
      </c>
      <c r="F655" s="67" t="s">
        <v>2530</v>
      </c>
      <c r="G655" s="66" t="s">
        <v>2425</v>
      </c>
      <c r="I655"/>
    </row>
    <row r="656" spans="1:9" ht="15">
      <c r="A656" s="66" t="s">
        <v>2545</v>
      </c>
      <c r="B656" s="66" t="s">
        <v>2422</v>
      </c>
      <c r="C656" s="66" t="s">
        <v>2461</v>
      </c>
      <c r="D656" s="66" t="s">
        <v>2644</v>
      </c>
      <c r="E656" s="67" t="s">
        <v>120</v>
      </c>
      <c r="F656" s="67" t="s">
        <v>2530</v>
      </c>
      <c r="G656" s="66" t="s">
        <v>2546</v>
      </c>
      <c r="I656"/>
    </row>
    <row r="657" spans="1:9" ht="15">
      <c r="A657" s="66" t="s">
        <v>2547</v>
      </c>
      <c r="B657" s="66" t="s">
        <v>2538</v>
      </c>
      <c r="C657" s="66" t="s">
        <v>2548</v>
      </c>
      <c r="D657" s="66" t="s">
        <v>2644</v>
      </c>
      <c r="E657" s="67" t="s">
        <v>120</v>
      </c>
      <c r="F657" s="67" t="s">
        <v>2530</v>
      </c>
      <c r="G657" s="66" t="s">
        <v>2323</v>
      </c>
      <c r="I657"/>
    </row>
    <row r="658" spans="1:9" ht="15">
      <c r="A658" s="66" t="s">
        <v>2549</v>
      </c>
      <c r="B658" s="66" t="s">
        <v>2538</v>
      </c>
      <c r="C658" s="66" t="s">
        <v>2550</v>
      </c>
      <c r="D658" s="66" t="s">
        <v>2644</v>
      </c>
      <c r="E658" s="67" t="s">
        <v>120</v>
      </c>
      <c r="F658" s="67" t="s">
        <v>2530</v>
      </c>
      <c r="G658" s="66" t="s">
        <v>2551</v>
      </c>
      <c r="I658"/>
    </row>
    <row r="659" spans="1:9" ht="15">
      <c r="A659" s="66" t="s">
        <v>2552</v>
      </c>
      <c r="B659" s="66" t="s">
        <v>2538</v>
      </c>
      <c r="C659" s="66" t="s">
        <v>2553</v>
      </c>
      <c r="D659" s="66" t="s">
        <v>2644</v>
      </c>
      <c r="E659" s="67" t="s">
        <v>120</v>
      </c>
      <c r="F659" s="67" t="s">
        <v>2530</v>
      </c>
      <c r="G659" s="66" t="s">
        <v>2323</v>
      </c>
      <c r="I659"/>
    </row>
    <row r="660" spans="1:9" ht="17.25">
      <c r="A660" s="92" t="s">
        <v>2660</v>
      </c>
      <c r="B660" s="92"/>
      <c r="C660" s="92"/>
      <c r="D660" s="92"/>
      <c r="E660" s="93"/>
      <c r="F660" s="92"/>
      <c r="G660" s="92"/>
      <c r="I660"/>
    </row>
    <row r="661" spans="1:9" ht="15">
      <c r="A661" s="66" t="s">
        <v>2427</v>
      </c>
      <c r="B661" s="66" t="s">
        <v>2370</v>
      </c>
      <c r="C661" s="66" t="s">
        <v>2428</v>
      </c>
      <c r="D661" s="66" t="s">
        <v>2644</v>
      </c>
      <c r="E661" s="67" t="s">
        <v>1622</v>
      </c>
      <c r="F661" s="67" t="s">
        <v>2530</v>
      </c>
      <c r="G661" s="66" t="s">
        <v>2429</v>
      </c>
      <c r="I661"/>
    </row>
    <row r="662" spans="1:9" ht="15">
      <c r="A662" s="66" t="s">
        <v>2555</v>
      </c>
      <c r="B662" s="66" t="s">
        <v>2363</v>
      </c>
      <c r="C662" s="66" t="s">
        <v>2556</v>
      </c>
      <c r="D662" s="66" t="s">
        <v>2644</v>
      </c>
      <c r="E662" s="67" t="s">
        <v>120</v>
      </c>
      <c r="F662" s="67" t="s">
        <v>2530</v>
      </c>
      <c r="G662" s="66" t="s">
        <v>2557</v>
      </c>
      <c r="I662"/>
    </row>
    <row r="663" spans="1:9" ht="15">
      <c r="A663" s="66" t="s">
        <v>2558</v>
      </c>
      <c r="B663" s="66" t="s">
        <v>2559</v>
      </c>
      <c r="C663" s="66" t="s">
        <v>2560</v>
      </c>
      <c r="D663" s="66" t="s">
        <v>2644</v>
      </c>
      <c r="E663" s="67" t="s">
        <v>120</v>
      </c>
      <c r="F663" s="67" t="s">
        <v>2530</v>
      </c>
      <c r="G663" s="66" t="s">
        <v>2561</v>
      </c>
      <c r="I663"/>
    </row>
    <row r="664" spans="1:9" ht="15">
      <c r="A664" s="66" t="s">
        <v>2562</v>
      </c>
      <c r="B664" s="66" t="s">
        <v>2370</v>
      </c>
      <c r="C664" s="66" t="s">
        <v>120</v>
      </c>
      <c r="D664" s="66" t="s">
        <v>2644</v>
      </c>
      <c r="E664" s="67" t="s">
        <v>120</v>
      </c>
      <c r="F664" s="67" t="s">
        <v>2530</v>
      </c>
      <c r="G664" s="66" t="s">
        <v>2563</v>
      </c>
      <c r="I664"/>
    </row>
    <row r="665" spans="1:9" ht="15">
      <c r="A665" s="65" t="s">
        <v>2372</v>
      </c>
      <c r="B665" s="65"/>
      <c r="C665" s="65" t="s">
        <v>2329</v>
      </c>
      <c r="D665" s="65" t="s">
        <v>2644</v>
      </c>
      <c r="E665" s="91" t="s">
        <v>2647</v>
      </c>
      <c r="F665" s="65" t="s">
        <v>2249</v>
      </c>
      <c r="G665" s="65" t="s">
        <v>2323</v>
      </c>
      <c r="I665"/>
    </row>
    <row r="666" spans="1:9" ht="15">
      <c r="A666" s="66" t="s">
        <v>2564</v>
      </c>
      <c r="B666" s="66"/>
      <c r="C666" s="66" t="s">
        <v>120</v>
      </c>
      <c r="D666" s="66" t="s">
        <v>2644</v>
      </c>
      <c r="E666" s="67" t="s">
        <v>120</v>
      </c>
      <c r="F666" s="67" t="s">
        <v>2530</v>
      </c>
      <c r="G666" s="66" t="s">
        <v>2323</v>
      </c>
      <c r="I666"/>
    </row>
    <row r="667" spans="1:9" ht="15">
      <c r="A667" s="66" t="s">
        <v>2565</v>
      </c>
      <c r="B667" s="66" t="s">
        <v>2370</v>
      </c>
      <c r="C667" s="66" t="s">
        <v>2566</v>
      </c>
      <c r="D667" s="66" t="s">
        <v>2644</v>
      </c>
      <c r="E667" s="67" t="s">
        <v>2566</v>
      </c>
      <c r="F667" s="67" t="s">
        <v>2530</v>
      </c>
      <c r="G667" s="66" t="s">
        <v>2567</v>
      </c>
      <c r="I667"/>
    </row>
    <row r="668" spans="1:9" ht="17.25">
      <c r="A668" s="92" t="s">
        <v>2661</v>
      </c>
      <c r="B668" s="92"/>
      <c r="C668" s="92"/>
      <c r="D668" s="92"/>
      <c r="E668" s="93"/>
      <c r="F668" s="92"/>
      <c r="G668" s="92"/>
      <c r="I668"/>
    </row>
    <row r="669" spans="1:9" ht="15">
      <c r="A669" s="65" t="s">
        <v>2374</v>
      </c>
      <c r="B669" s="65"/>
      <c r="C669" s="65" t="s">
        <v>2329</v>
      </c>
      <c r="D669" s="65" t="s">
        <v>2644</v>
      </c>
      <c r="E669" s="91" t="s">
        <v>2647</v>
      </c>
      <c r="F669" s="65" t="s">
        <v>2249</v>
      </c>
      <c r="G669" s="65" t="s">
        <v>2375</v>
      </c>
      <c r="I669"/>
    </row>
    <row r="670" spans="1:9" ht="15">
      <c r="A670" s="66" t="s">
        <v>2569</v>
      </c>
      <c r="B670" s="66" t="s">
        <v>2570</v>
      </c>
      <c r="C670" s="66" t="s">
        <v>2571</v>
      </c>
      <c r="D670" s="66" t="s">
        <v>2644</v>
      </c>
      <c r="E670" s="67" t="s">
        <v>120</v>
      </c>
      <c r="F670" s="67" t="s">
        <v>2530</v>
      </c>
      <c r="G670" s="66" t="s">
        <v>2437</v>
      </c>
      <c r="I670"/>
    </row>
    <row r="671" spans="1:9" ht="15">
      <c r="A671" s="66" t="s">
        <v>2431</v>
      </c>
      <c r="B671" s="66" t="s">
        <v>2432</v>
      </c>
      <c r="C671" s="66" t="s">
        <v>621</v>
      </c>
      <c r="D671" s="66" t="s">
        <v>2644</v>
      </c>
      <c r="E671" s="67" t="s">
        <v>621</v>
      </c>
      <c r="F671" s="67" t="s">
        <v>2530</v>
      </c>
      <c r="G671" s="66" t="s">
        <v>2433</v>
      </c>
      <c r="I671"/>
    </row>
    <row r="672" spans="1:9" ht="15">
      <c r="A672" s="66" t="s">
        <v>2572</v>
      </c>
      <c r="B672" s="66" t="s">
        <v>2432</v>
      </c>
      <c r="C672" s="66" t="s">
        <v>120</v>
      </c>
      <c r="D672" s="66" t="s">
        <v>2644</v>
      </c>
      <c r="E672" s="67" t="s">
        <v>120</v>
      </c>
      <c r="F672" s="67" t="s">
        <v>2530</v>
      </c>
      <c r="G672" s="66" t="s">
        <v>2573</v>
      </c>
      <c r="I672"/>
    </row>
    <row r="673" spans="1:9" ht="15">
      <c r="A673" s="66" t="s">
        <v>2574</v>
      </c>
      <c r="B673" s="66" t="s">
        <v>2570</v>
      </c>
      <c r="C673" s="66" t="s">
        <v>120</v>
      </c>
      <c r="D673" s="66" t="s">
        <v>2644</v>
      </c>
      <c r="E673" s="67" t="s">
        <v>120</v>
      </c>
      <c r="F673" s="67" t="s">
        <v>2530</v>
      </c>
      <c r="G673" s="66" t="s">
        <v>2573</v>
      </c>
      <c r="I673"/>
    </row>
    <row r="674" spans="1:9" ht="15">
      <c r="A674" s="66" t="s">
        <v>2575</v>
      </c>
      <c r="B674" s="66" t="s">
        <v>2576</v>
      </c>
      <c r="C674" s="66" t="s">
        <v>2490</v>
      </c>
      <c r="D674" s="66" t="s">
        <v>2644</v>
      </c>
      <c r="E674" s="67" t="s">
        <v>2490</v>
      </c>
      <c r="F674" s="67" t="s">
        <v>2530</v>
      </c>
      <c r="G674" s="66" t="s">
        <v>2577</v>
      </c>
      <c r="I674"/>
    </row>
    <row r="675" spans="1:9" ht="15">
      <c r="A675" s="66" t="s">
        <v>2578</v>
      </c>
      <c r="B675" s="66" t="s">
        <v>2579</v>
      </c>
      <c r="C675" s="66" t="s">
        <v>2543</v>
      </c>
      <c r="D675" s="66" t="s">
        <v>2644</v>
      </c>
      <c r="E675" s="67" t="s">
        <v>120</v>
      </c>
      <c r="F675" s="67" t="s">
        <v>2530</v>
      </c>
      <c r="G675" s="66" t="s">
        <v>2580</v>
      </c>
      <c r="I675"/>
    </row>
    <row r="676" spans="1:9" ht="15">
      <c r="A676" s="66" t="s">
        <v>2434</v>
      </c>
      <c r="B676" s="66" t="s">
        <v>2435</v>
      </c>
      <c r="C676" s="66" t="s">
        <v>2436</v>
      </c>
      <c r="D676" s="66" t="s">
        <v>2644</v>
      </c>
      <c r="E676" s="67" t="s">
        <v>2436</v>
      </c>
      <c r="F676" s="67" t="s">
        <v>2530</v>
      </c>
      <c r="G676" s="66" t="s">
        <v>2437</v>
      </c>
      <c r="I676"/>
    </row>
    <row r="677" spans="1:9" ht="17.25">
      <c r="A677" s="92" t="s">
        <v>2662</v>
      </c>
      <c r="B677" s="92"/>
      <c r="C677" s="92"/>
      <c r="D677" s="92"/>
      <c r="E677" s="93"/>
      <c r="F677" s="92"/>
      <c r="G677" s="92"/>
      <c r="I677"/>
    </row>
    <row r="678" spans="1:9" ht="15">
      <c r="A678" s="66" t="s">
        <v>2381</v>
      </c>
      <c r="B678" s="66"/>
      <c r="C678" s="66" t="s">
        <v>1396</v>
      </c>
      <c r="D678" s="66" t="s">
        <v>2663</v>
      </c>
      <c r="E678" s="67" t="s">
        <v>1396</v>
      </c>
      <c r="F678" s="67" t="s">
        <v>2530</v>
      </c>
      <c r="G678" s="66" t="s">
        <v>2323</v>
      </c>
      <c r="I678"/>
    </row>
    <row r="679" spans="1:9" ht="15">
      <c r="A679" s="66" t="s">
        <v>2382</v>
      </c>
      <c r="B679" s="66"/>
      <c r="C679" s="66" t="s">
        <v>2383</v>
      </c>
      <c r="D679" s="66" t="s">
        <v>2663</v>
      </c>
      <c r="E679" s="67" t="s">
        <v>1396</v>
      </c>
      <c r="F679" s="67" t="s">
        <v>2530</v>
      </c>
      <c r="G679" s="66" t="s">
        <v>2323</v>
      </c>
      <c r="I679"/>
    </row>
    <row r="680" spans="1:9" ht="17.25">
      <c r="A680" s="92" t="s">
        <v>2664</v>
      </c>
      <c r="B680" s="92"/>
      <c r="C680" s="92"/>
      <c r="D680" s="92"/>
      <c r="E680" s="93"/>
      <c r="F680" s="92"/>
      <c r="G680" s="92"/>
      <c r="I680"/>
    </row>
    <row r="681" spans="1:9" ht="15">
      <c r="A681" s="66" t="s">
        <v>2413</v>
      </c>
      <c r="B681" s="66" t="s">
        <v>2407</v>
      </c>
      <c r="C681" s="66" t="s">
        <v>2414</v>
      </c>
      <c r="D681" s="66" t="s">
        <v>2663</v>
      </c>
      <c r="E681" s="67" t="s">
        <v>2665</v>
      </c>
      <c r="F681" s="67" t="s">
        <v>2530</v>
      </c>
      <c r="G681" s="66" t="s">
        <v>2416</v>
      </c>
      <c r="I681"/>
    </row>
    <row r="682" spans="1:9" ht="17.25">
      <c r="A682" s="92" t="s">
        <v>2666</v>
      </c>
      <c r="B682" s="92"/>
      <c r="C682" s="92"/>
      <c r="D682" s="92"/>
      <c r="E682" s="93"/>
      <c r="F682" s="92"/>
      <c r="G682" s="92"/>
      <c r="I682"/>
    </row>
    <row r="683" spans="1:9" ht="15">
      <c r="A683" s="66" t="s">
        <v>2421</v>
      </c>
      <c r="B683" s="66" t="s">
        <v>2422</v>
      </c>
      <c r="C683" s="66" t="s">
        <v>2423</v>
      </c>
      <c r="D683" s="66" t="s">
        <v>2663</v>
      </c>
      <c r="E683" s="67" t="s">
        <v>2667</v>
      </c>
      <c r="F683" s="67" t="s">
        <v>2530</v>
      </c>
      <c r="G683" s="66" t="s">
        <v>2425</v>
      </c>
      <c r="I683"/>
    </row>
    <row r="684" spans="1:9" ht="17.25">
      <c r="A684" s="92" t="s">
        <v>2668</v>
      </c>
      <c r="B684" s="92"/>
      <c r="C684" s="92"/>
      <c r="D684" s="92"/>
      <c r="E684" s="93"/>
      <c r="F684" s="92"/>
      <c r="G684" s="92"/>
      <c r="I684"/>
    </row>
    <row r="685" spans="1:9" ht="15">
      <c r="A685" s="66" t="s">
        <v>2434</v>
      </c>
      <c r="B685" s="66" t="s">
        <v>2435</v>
      </c>
      <c r="C685" s="66" t="s">
        <v>2436</v>
      </c>
      <c r="D685" s="66" t="s">
        <v>2663</v>
      </c>
      <c r="E685" s="67" t="s">
        <v>2669</v>
      </c>
      <c r="F685" s="67" t="s">
        <v>2530</v>
      </c>
      <c r="G685" s="66" t="s">
        <v>2437</v>
      </c>
      <c r="I685"/>
    </row>
    <row r="686" spans="1:9" ht="17.25">
      <c r="A686" s="92" t="s">
        <v>2670</v>
      </c>
      <c r="B686" s="92"/>
      <c r="C686" s="92"/>
      <c r="D686" s="92"/>
      <c r="E686" s="93"/>
      <c r="F686" s="92"/>
      <c r="G686" s="92"/>
      <c r="I686"/>
    </row>
    <row r="687" spans="1:9" ht="15">
      <c r="A687" s="65" t="s">
        <v>2315</v>
      </c>
      <c r="B687" s="65" t="s">
        <v>2316</v>
      </c>
      <c r="C687" s="65" t="s">
        <v>2317</v>
      </c>
      <c r="D687" s="65" t="s">
        <v>2671</v>
      </c>
      <c r="E687" s="91" t="s">
        <v>2319</v>
      </c>
      <c r="F687" s="65" t="s">
        <v>2268</v>
      </c>
      <c r="G687" s="65" t="s">
        <v>2320</v>
      </c>
      <c r="I687"/>
    </row>
    <row r="688" spans="1:9" ht="15">
      <c r="A688" s="65" t="s">
        <v>2321</v>
      </c>
      <c r="B688" s="65" t="s">
        <v>2322</v>
      </c>
      <c r="C688" s="65" t="s">
        <v>2317</v>
      </c>
      <c r="D688" s="65" t="s">
        <v>2671</v>
      </c>
      <c r="E688" s="91" t="s">
        <v>2319</v>
      </c>
      <c r="F688" s="65" t="s">
        <v>2268</v>
      </c>
      <c r="G688" s="65" t="s">
        <v>2323</v>
      </c>
      <c r="I688"/>
    </row>
    <row r="689" spans="1:9" ht="15">
      <c r="A689" s="65" t="s">
        <v>2324</v>
      </c>
      <c r="B689" s="65" t="s">
        <v>2322</v>
      </c>
      <c r="C689" s="65" t="s">
        <v>2317</v>
      </c>
      <c r="D689" s="65" t="s">
        <v>2671</v>
      </c>
      <c r="E689" s="91" t="s">
        <v>2319</v>
      </c>
      <c r="F689" s="65" t="s">
        <v>2268</v>
      </c>
      <c r="G689" s="65" t="s">
        <v>2323</v>
      </c>
      <c r="I689"/>
    </row>
    <row r="690" spans="1:9" ht="15">
      <c r="A690" s="65" t="s">
        <v>2325</v>
      </c>
      <c r="B690" s="65" t="s">
        <v>2326</v>
      </c>
      <c r="C690" s="65" t="s">
        <v>2317</v>
      </c>
      <c r="D690" s="65" t="s">
        <v>2671</v>
      </c>
      <c r="E690" s="91" t="s">
        <v>2319</v>
      </c>
      <c r="F690" s="65" t="s">
        <v>2268</v>
      </c>
      <c r="G690" s="65" t="s">
        <v>2323</v>
      </c>
      <c r="I690"/>
    </row>
    <row r="691" spans="1:9" ht="17.25">
      <c r="A691" s="92" t="s">
        <v>2672</v>
      </c>
      <c r="B691" s="92"/>
      <c r="C691" s="92"/>
      <c r="D691" s="92"/>
      <c r="E691" s="93"/>
      <c r="F691" s="92"/>
      <c r="G691" s="92"/>
      <c r="I691"/>
    </row>
    <row r="692" spans="1:9" ht="15">
      <c r="A692" s="65" t="s">
        <v>2328</v>
      </c>
      <c r="B692" s="65"/>
      <c r="C692" s="65" t="s">
        <v>2329</v>
      </c>
      <c r="D692" s="65" t="s">
        <v>2671</v>
      </c>
      <c r="E692" s="91" t="s">
        <v>2330</v>
      </c>
      <c r="F692" s="65" t="s">
        <v>2268</v>
      </c>
      <c r="G692" s="65" t="s">
        <v>2331</v>
      </c>
      <c r="I692"/>
    </row>
    <row r="693" spans="1:9" ht="17.25">
      <c r="A693" s="92" t="s">
        <v>2673</v>
      </c>
      <c r="B693" s="92"/>
      <c r="C693" s="92"/>
      <c r="D693" s="92"/>
      <c r="E693" s="93"/>
      <c r="F693" s="92"/>
      <c r="G693" s="92"/>
      <c r="I693"/>
    </row>
    <row r="694" spans="1:9" ht="15">
      <c r="A694" s="65" t="s">
        <v>2333</v>
      </c>
      <c r="B694" s="65" t="s">
        <v>2334</v>
      </c>
      <c r="C694" s="65" t="s">
        <v>2335</v>
      </c>
      <c r="D694" s="65" t="s">
        <v>2671</v>
      </c>
      <c r="E694" s="91" t="s">
        <v>2330</v>
      </c>
      <c r="F694" s="65" t="s">
        <v>2268</v>
      </c>
      <c r="G694" s="65" t="s">
        <v>2323</v>
      </c>
      <c r="I694"/>
    </row>
    <row r="695" spans="1:9" ht="15">
      <c r="A695" s="65" t="s">
        <v>2336</v>
      </c>
      <c r="B695" s="65" t="s">
        <v>2334</v>
      </c>
      <c r="C695" s="65" t="s">
        <v>2329</v>
      </c>
      <c r="D695" s="65" t="s">
        <v>2671</v>
      </c>
      <c r="E695" s="91" t="s">
        <v>2330</v>
      </c>
      <c r="F695" s="65" t="s">
        <v>2268</v>
      </c>
      <c r="G695" s="65" t="s">
        <v>2323</v>
      </c>
      <c r="I695"/>
    </row>
    <row r="696" spans="1:9" ht="15">
      <c r="A696" s="65" t="s">
        <v>2337</v>
      </c>
      <c r="B696" s="65" t="s">
        <v>2334</v>
      </c>
      <c r="C696" s="65" t="s">
        <v>2329</v>
      </c>
      <c r="D696" s="65" t="s">
        <v>2671</v>
      </c>
      <c r="E696" s="91" t="s">
        <v>2330</v>
      </c>
      <c r="F696" s="65" t="s">
        <v>2268</v>
      </c>
      <c r="G696" s="65" t="s">
        <v>2323</v>
      </c>
      <c r="I696"/>
    </row>
    <row r="697" spans="1:9" ht="15">
      <c r="A697" s="65" t="s">
        <v>2338</v>
      </c>
      <c r="B697" s="65" t="s">
        <v>2339</v>
      </c>
      <c r="C697" s="65" t="s">
        <v>2329</v>
      </c>
      <c r="D697" s="65" t="s">
        <v>2671</v>
      </c>
      <c r="E697" s="91" t="s">
        <v>2330</v>
      </c>
      <c r="F697" s="65" t="s">
        <v>2268</v>
      </c>
      <c r="G697" s="65" t="s">
        <v>2323</v>
      </c>
      <c r="I697"/>
    </row>
    <row r="698" spans="1:9" ht="15">
      <c r="A698" s="65" t="s">
        <v>2340</v>
      </c>
      <c r="B698" s="65"/>
      <c r="C698" s="65" t="s">
        <v>2329</v>
      </c>
      <c r="D698" s="65" t="s">
        <v>2671</v>
      </c>
      <c r="E698" s="91" t="s">
        <v>2330</v>
      </c>
      <c r="F698" s="65" t="s">
        <v>2268</v>
      </c>
      <c r="G698" s="65" t="s">
        <v>2323</v>
      </c>
      <c r="I698"/>
    </row>
    <row r="699" spans="1:9" ht="15">
      <c r="A699" s="65" t="s">
        <v>2341</v>
      </c>
      <c r="B699" s="65"/>
      <c r="C699" s="65" t="s">
        <v>2329</v>
      </c>
      <c r="D699" s="65" t="s">
        <v>2671</v>
      </c>
      <c r="E699" s="91" t="s">
        <v>2330</v>
      </c>
      <c r="F699" s="65" t="s">
        <v>2268</v>
      </c>
      <c r="G699" s="65" t="s">
        <v>2323</v>
      </c>
      <c r="I699"/>
    </row>
    <row r="700" spans="1:9" ht="15">
      <c r="A700" s="65" t="s">
        <v>2342</v>
      </c>
      <c r="B700" s="65"/>
      <c r="C700" s="65" t="s">
        <v>2329</v>
      </c>
      <c r="D700" s="65" t="s">
        <v>2671</v>
      </c>
      <c r="E700" s="91" t="s">
        <v>2330</v>
      </c>
      <c r="F700" s="65" t="s">
        <v>2268</v>
      </c>
      <c r="G700" s="65" t="s">
        <v>2323</v>
      </c>
      <c r="I700"/>
    </row>
    <row r="701" spans="1:9" ht="17.25">
      <c r="A701" s="92" t="s">
        <v>2674</v>
      </c>
      <c r="B701" s="92"/>
      <c r="C701" s="92"/>
      <c r="D701" s="92"/>
      <c r="E701" s="93"/>
      <c r="F701" s="92"/>
      <c r="G701" s="92"/>
      <c r="I701"/>
    </row>
    <row r="702" spans="1:9" ht="15">
      <c r="A702" s="66" t="s">
        <v>2344</v>
      </c>
      <c r="B702" s="66"/>
      <c r="C702" s="66" t="s">
        <v>2345</v>
      </c>
      <c r="D702" s="66" t="s">
        <v>2671</v>
      </c>
      <c r="E702" s="67" t="s">
        <v>2346</v>
      </c>
      <c r="F702" s="67" t="s">
        <v>2530</v>
      </c>
      <c r="G702" s="66" t="s">
        <v>2323</v>
      </c>
      <c r="I702"/>
    </row>
    <row r="703" spans="1:9" ht="15">
      <c r="A703" s="65" t="s">
        <v>2347</v>
      </c>
      <c r="B703" s="65"/>
      <c r="C703" s="65" t="s">
        <v>2329</v>
      </c>
      <c r="D703" s="65" t="s">
        <v>2671</v>
      </c>
      <c r="E703" s="91" t="s">
        <v>2330</v>
      </c>
      <c r="F703" s="65" t="s">
        <v>2268</v>
      </c>
      <c r="G703" s="65" t="s">
        <v>2323</v>
      </c>
      <c r="I703"/>
    </row>
    <row r="704" spans="1:9" ht="15">
      <c r="A704" s="65" t="s">
        <v>2348</v>
      </c>
      <c r="B704" s="65"/>
      <c r="C704" s="65" t="s">
        <v>2329</v>
      </c>
      <c r="D704" s="65" t="s">
        <v>2671</v>
      </c>
      <c r="E704" s="91" t="s">
        <v>2330</v>
      </c>
      <c r="F704" s="65" t="s">
        <v>2268</v>
      </c>
      <c r="G704" s="65" t="s">
        <v>2323</v>
      </c>
      <c r="I704"/>
    </row>
    <row r="705" spans="1:9" ht="17.25">
      <c r="A705" s="92" t="s">
        <v>2675</v>
      </c>
      <c r="B705" s="92"/>
      <c r="C705" s="92"/>
      <c r="D705" s="92"/>
      <c r="E705" s="93"/>
      <c r="F705" s="92"/>
      <c r="G705" s="92"/>
      <c r="I705"/>
    </row>
    <row r="706" spans="1:9" ht="15">
      <c r="A706" s="65" t="s">
        <v>2350</v>
      </c>
      <c r="B706" s="65"/>
      <c r="C706" s="65" t="s">
        <v>2329</v>
      </c>
      <c r="D706" s="65" t="s">
        <v>2671</v>
      </c>
      <c r="E706" s="91" t="s">
        <v>2330</v>
      </c>
      <c r="F706" s="65" t="s">
        <v>2268</v>
      </c>
      <c r="G706" s="65" t="s">
        <v>2323</v>
      </c>
      <c r="I706"/>
    </row>
    <row r="707" spans="1:9" ht="17.25">
      <c r="A707" s="92" t="s">
        <v>2676</v>
      </c>
      <c r="B707" s="92"/>
      <c r="C707" s="92"/>
      <c r="D707" s="92"/>
      <c r="E707" s="93"/>
      <c r="F707" s="92"/>
      <c r="G707" s="92"/>
      <c r="I707"/>
    </row>
    <row r="708" spans="1:9" ht="15">
      <c r="A708" s="65" t="s">
        <v>2352</v>
      </c>
      <c r="B708" s="65" t="s">
        <v>2353</v>
      </c>
      <c r="C708" s="65" t="s">
        <v>2317</v>
      </c>
      <c r="D708" s="65" t="s">
        <v>2671</v>
      </c>
      <c r="E708" s="91" t="s">
        <v>2319</v>
      </c>
      <c r="F708" s="65" t="s">
        <v>2268</v>
      </c>
      <c r="G708" s="65" t="s">
        <v>2354</v>
      </c>
      <c r="I708"/>
    </row>
    <row r="709" spans="1:9" ht="15">
      <c r="A709" s="65" t="s">
        <v>2355</v>
      </c>
      <c r="B709" s="65" t="s">
        <v>2356</v>
      </c>
      <c r="C709" s="65" t="s">
        <v>2317</v>
      </c>
      <c r="D709" s="65" t="s">
        <v>2671</v>
      </c>
      <c r="E709" s="91" t="s">
        <v>2319</v>
      </c>
      <c r="F709" s="65" t="s">
        <v>2268</v>
      </c>
      <c r="G709" s="65" t="s">
        <v>2357</v>
      </c>
      <c r="I709"/>
    </row>
    <row r="710" spans="1:9" ht="15">
      <c r="A710" s="65" t="s">
        <v>2358</v>
      </c>
      <c r="B710" s="65"/>
      <c r="C710" s="65" t="s">
        <v>2329</v>
      </c>
      <c r="D710" s="65" t="s">
        <v>2671</v>
      </c>
      <c r="E710" s="91" t="s">
        <v>2330</v>
      </c>
      <c r="F710" s="65" t="s">
        <v>2268</v>
      </c>
      <c r="G710" s="65" t="s">
        <v>2323</v>
      </c>
      <c r="I710"/>
    </row>
    <row r="711" spans="1:9" ht="17.25">
      <c r="A711" s="92" t="s">
        <v>2677</v>
      </c>
      <c r="B711" s="92"/>
      <c r="C711" s="92"/>
      <c r="D711" s="92"/>
      <c r="E711" s="93"/>
      <c r="F711" s="92"/>
      <c r="G711" s="92"/>
      <c r="I711"/>
    </row>
    <row r="712" spans="1:9" ht="15">
      <c r="A712" s="65" t="s">
        <v>2360</v>
      </c>
      <c r="B712" s="65"/>
      <c r="C712" s="65" t="s">
        <v>2317</v>
      </c>
      <c r="D712" s="65" t="s">
        <v>2671</v>
      </c>
      <c r="E712" s="91" t="s">
        <v>2319</v>
      </c>
      <c r="F712" s="65" t="s">
        <v>2268</v>
      </c>
      <c r="G712" s="65" t="s">
        <v>2361</v>
      </c>
      <c r="I712"/>
    </row>
    <row r="713" spans="1:9" ht="15">
      <c r="A713" s="65" t="s">
        <v>2362</v>
      </c>
      <c r="B713" s="65" t="s">
        <v>2363</v>
      </c>
      <c r="C713" s="65" t="s">
        <v>2364</v>
      </c>
      <c r="D713" s="65" t="s">
        <v>2671</v>
      </c>
      <c r="E713" s="91" t="s">
        <v>2365</v>
      </c>
      <c r="F713" s="65" t="s">
        <v>2268</v>
      </c>
      <c r="G713" s="65" t="s">
        <v>2323</v>
      </c>
      <c r="I713"/>
    </row>
    <row r="714" spans="1:9" ht="17.25">
      <c r="A714" s="92" t="s">
        <v>2678</v>
      </c>
      <c r="B714" s="92"/>
      <c r="C714" s="92"/>
      <c r="D714" s="92"/>
      <c r="E714" s="93"/>
      <c r="F714" s="92"/>
      <c r="G714" s="92"/>
      <c r="I714"/>
    </row>
    <row r="715" spans="1:9" ht="15">
      <c r="A715" s="65" t="s">
        <v>2367</v>
      </c>
      <c r="B715" s="65"/>
      <c r="C715" s="65" t="s">
        <v>2317</v>
      </c>
      <c r="D715" s="65" t="s">
        <v>2671</v>
      </c>
      <c r="E715" s="91" t="s">
        <v>2319</v>
      </c>
      <c r="F715" s="65" t="s">
        <v>2268</v>
      </c>
      <c r="G715" s="65" t="s">
        <v>2368</v>
      </c>
      <c r="I715"/>
    </row>
    <row r="716" spans="1:9" ht="15">
      <c r="A716" s="65" t="s">
        <v>2369</v>
      </c>
      <c r="B716" s="65" t="s">
        <v>2370</v>
      </c>
      <c r="C716" s="65" t="s">
        <v>2317</v>
      </c>
      <c r="D716" s="65" t="s">
        <v>2671</v>
      </c>
      <c r="E716" s="91" t="s">
        <v>2319</v>
      </c>
      <c r="F716" s="65" t="s">
        <v>2268</v>
      </c>
      <c r="G716" s="65" t="s">
        <v>2371</v>
      </c>
      <c r="I716"/>
    </row>
    <row r="717" spans="1:9" ht="15">
      <c r="A717" s="65" t="s">
        <v>2372</v>
      </c>
      <c r="B717" s="65"/>
      <c r="C717" s="65" t="s">
        <v>2329</v>
      </c>
      <c r="D717" s="65" t="s">
        <v>2671</v>
      </c>
      <c r="E717" s="91" t="s">
        <v>2330</v>
      </c>
      <c r="F717" s="65" t="s">
        <v>2268</v>
      </c>
      <c r="G717" s="65" t="s">
        <v>2323</v>
      </c>
      <c r="I717"/>
    </row>
    <row r="718" spans="1:9" ht="17.25">
      <c r="A718" s="92" t="s">
        <v>2679</v>
      </c>
      <c r="B718" s="92"/>
      <c r="C718" s="92"/>
      <c r="D718" s="92"/>
      <c r="E718" s="93"/>
      <c r="F718" s="92"/>
      <c r="G718" s="92"/>
      <c r="I718"/>
    </row>
    <row r="719" spans="1:9" ht="15">
      <c r="A719" s="65" t="s">
        <v>2374</v>
      </c>
      <c r="B719" s="65"/>
      <c r="C719" s="65" t="s">
        <v>2329</v>
      </c>
      <c r="D719" s="65" t="s">
        <v>2671</v>
      </c>
      <c r="E719" s="91" t="s">
        <v>2330</v>
      </c>
      <c r="F719" s="65" t="s">
        <v>2268</v>
      </c>
      <c r="G719" s="65" t="s">
        <v>2375</v>
      </c>
      <c r="I719"/>
    </row>
    <row r="720" spans="1:9" ht="17.25">
      <c r="A720" s="92" t="s">
        <v>2680</v>
      </c>
      <c r="B720" s="92"/>
      <c r="C720" s="92"/>
      <c r="D720" s="92"/>
      <c r="E720" s="93"/>
      <c r="F720" s="92"/>
      <c r="G720" s="92"/>
      <c r="I720"/>
    </row>
    <row r="721" spans="1:9" ht="15">
      <c r="A721" s="66" t="s">
        <v>2377</v>
      </c>
      <c r="B721" s="66" t="s">
        <v>2378</v>
      </c>
      <c r="C721" s="66" t="s">
        <v>1622</v>
      </c>
      <c r="D721" s="66" t="s">
        <v>2681</v>
      </c>
      <c r="E721" s="67" t="s">
        <v>621</v>
      </c>
      <c r="F721" s="67" t="s">
        <v>2530</v>
      </c>
      <c r="G721" s="66" t="s">
        <v>2380</v>
      </c>
      <c r="I721"/>
    </row>
    <row r="722" spans="1:9" ht="17.25">
      <c r="A722" s="92" t="s">
        <v>2682</v>
      </c>
      <c r="B722" s="92"/>
      <c r="C722" s="92"/>
      <c r="D722" s="92"/>
      <c r="E722" s="93"/>
      <c r="F722" s="92"/>
      <c r="G722" s="92"/>
      <c r="I722"/>
    </row>
    <row r="723" spans="1:9" ht="15">
      <c r="A723" s="65" t="s">
        <v>2328</v>
      </c>
      <c r="B723" s="65"/>
      <c r="C723" s="65" t="s">
        <v>2329</v>
      </c>
      <c r="D723" s="65" t="s">
        <v>2681</v>
      </c>
      <c r="E723" s="91" t="s">
        <v>2385</v>
      </c>
      <c r="F723" s="65" t="s">
        <v>2278</v>
      </c>
      <c r="G723" s="65" t="s">
        <v>2331</v>
      </c>
      <c r="I723"/>
    </row>
    <row r="724" spans="1:9" ht="17.25">
      <c r="A724" s="92" t="s">
        <v>2683</v>
      </c>
      <c r="B724" s="92"/>
      <c r="C724" s="92"/>
      <c r="D724" s="92"/>
      <c r="E724" s="93"/>
      <c r="F724" s="92"/>
      <c r="G724" s="92"/>
      <c r="I724"/>
    </row>
    <row r="725" spans="1:9" ht="15">
      <c r="A725" s="66" t="s">
        <v>2387</v>
      </c>
      <c r="B725" s="66"/>
      <c r="C725" s="66" t="s">
        <v>621</v>
      </c>
      <c r="D725" s="66" t="s">
        <v>2681</v>
      </c>
      <c r="E725" s="67" t="s">
        <v>621</v>
      </c>
      <c r="F725" s="67" t="s">
        <v>2530</v>
      </c>
      <c r="G725" s="66" t="s">
        <v>2388</v>
      </c>
      <c r="I725"/>
    </row>
    <row r="726" spans="1:9" ht="15">
      <c r="A726" s="66" t="s">
        <v>2389</v>
      </c>
      <c r="B726" s="66" t="s">
        <v>2390</v>
      </c>
      <c r="C726" s="66" t="s">
        <v>621</v>
      </c>
      <c r="D726" s="66" t="s">
        <v>2681</v>
      </c>
      <c r="E726" s="67" t="s">
        <v>621</v>
      </c>
      <c r="F726" s="67" t="s">
        <v>2530</v>
      </c>
      <c r="G726" s="66" t="s">
        <v>2391</v>
      </c>
      <c r="I726"/>
    </row>
    <row r="727" spans="1:9" ht="15">
      <c r="A727" s="66" t="s">
        <v>2392</v>
      </c>
      <c r="B727" s="66" t="s">
        <v>2390</v>
      </c>
      <c r="C727" s="66" t="s">
        <v>2393</v>
      </c>
      <c r="D727" s="66" t="s">
        <v>2681</v>
      </c>
      <c r="E727" s="67" t="s">
        <v>621</v>
      </c>
      <c r="F727" s="67" t="s">
        <v>2530</v>
      </c>
      <c r="G727" s="66" t="s">
        <v>2394</v>
      </c>
      <c r="I727"/>
    </row>
    <row r="728" spans="1:9" ht="17.25">
      <c r="A728" s="92" t="s">
        <v>2684</v>
      </c>
      <c r="B728" s="92"/>
      <c r="C728" s="92"/>
      <c r="D728" s="92"/>
      <c r="E728" s="93"/>
      <c r="F728" s="92"/>
      <c r="G728" s="92"/>
      <c r="I728"/>
    </row>
    <row r="729" spans="1:9" ht="15">
      <c r="A729" s="65" t="s">
        <v>2333</v>
      </c>
      <c r="B729" s="65" t="s">
        <v>2334</v>
      </c>
      <c r="C729" s="65" t="s">
        <v>2335</v>
      </c>
      <c r="D729" s="65" t="s">
        <v>2681</v>
      </c>
      <c r="E729" s="91" t="s">
        <v>2385</v>
      </c>
      <c r="F729" s="65" t="s">
        <v>2278</v>
      </c>
      <c r="G729" s="65" t="s">
        <v>2323</v>
      </c>
      <c r="I729"/>
    </row>
    <row r="730" spans="1:9" ht="15">
      <c r="A730" s="65" t="s">
        <v>2336</v>
      </c>
      <c r="B730" s="65" t="s">
        <v>2334</v>
      </c>
      <c r="C730" s="65" t="s">
        <v>2329</v>
      </c>
      <c r="D730" s="65" t="s">
        <v>2681</v>
      </c>
      <c r="E730" s="91" t="s">
        <v>2385</v>
      </c>
      <c r="F730" s="65" t="s">
        <v>2278</v>
      </c>
      <c r="G730" s="65" t="s">
        <v>2323</v>
      </c>
      <c r="I730"/>
    </row>
    <row r="731" spans="1:9" ht="15">
      <c r="A731" s="65" t="s">
        <v>2337</v>
      </c>
      <c r="B731" s="65" t="s">
        <v>2334</v>
      </c>
      <c r="C731" s="65" t="s">
        <v>2329</v>
      </c>
      <c r="D731" s="65" t="s">
        <v>2681</v>
      </c>
      <c r="E731" s="91" t="s">
        <v>2385</v>
      </c>
      <c r="F731" s="65" t="s">
        <v>2278</v>
      </c>
      <c r="G731" s="65" t="s">
        <v>2323</v>
      </c>
      <c r="I731"/>
    </row>
    <row r="732" spans="1:9" ht="15">
      <c r="A732" s="65" t="s">
        <v>2338</v>
      </c>
      <c r="B732" s="65" t="s">
        <v>2339</v>
      </c>
      <c r="C732" s="65" t="s">
        <v>2329</v>
      </c>
      <c r="D732" s="65" t="s">
        <v>2681</v>
      </c>
      <c r="E732" s="91" t="s">
        <v>2385</v>
      </c>
      <c r="F732" s="65" t="s">
        <v>2278</v>
      </c>
      <c r="G732" s="65" t="s">
        <v>2323</v>
      </c>
      <c r="I732"/>
    </row>
    <row r="733" spans="1:9" ht="15">
      <c r="A733" s="65" t="s">
        <v>2340</v>
      </c>
      <c r="B733" s="65"/>
      <c r="C733" s="65" t="s">
        <v>2329</v>
      </c>
      <c r="D733" s="65" t="s">
        <v>2681</v>
      </c>
      <c r="E733" s="91" t="s">
        <v>2385</v>
      </c>
      <c r="F733" s="65" t="s">
        <v>2278</v>
      </c>
      <c r="G733" s="65" t="s">
        <v>2323</v>
      </c>
      <c r="I733"/>
    </row>
    <row r="734" spans="1:9" ht="15">
      <c r="A734" s="65" t="s">
        <v>2341</v>
      </c>
      <c r="B734" s="65"/>
      <c r="C734" s="65" t="s">
        <v>2329</v>
      </c>
      <c r="D734" s="65" t="s">
        <v>2681</v>
      </c>
      <c r="E734" s="91" t="s">
        <v>2385</v>
      </c>
      <c r="F734" s="65" t="s">
        <v>2278</v>
      </c>
      <c r="G734" s="65" t="s">
        <v>2323</v>
      </c>
      <c r="I734"/>
    </row>
    <row r="735" spans="1:9" ht="15">
      <c r="A735" s="65" t="s">
        <v>2342</v>
      </c>
      <c r="B735" s="65"/>
      <c r="C735" s="65" t="s">
        <v>2329</v>
      </c>
      <c r="D735" s="65" t="s">
        <v>2681</v>
      </c>
      <c r="E735" s="91" t="s">
        <v>2385</v>
      </c>
      <c r="F735" s="65" t="s">
        <v>2278</v>
      </c>
      <c r="G735" s="65" t="s">
        <v>2323</v>
      </c>
      <c r="I735"/>
    </row>
    <row r="736" spans="1:9" ht="17.25">
      <c r="A736" s="92" t="s">
        <v>2685</v>
      </c>
      <c r="B736" s="92"/>
      <c r="C736" s="92"/>
      <c r="D736" s="92"/>
      <c r="E736" s="93"/>
      <c r="F736" s="92"/>
      <c r="G736" s="92"/>
      <c r="I736"/>
    </row>
    <row r="737" spans="1:9" ht="15">
      <c r="A737" s="65" t="s">
        <v>2347</v>
      </c>
      <c r="B737" s="65"/>
      <c r="C737" s="65" t="s">
        <v>2329</v>
      </c>
      <c r="D737" s="65" t="s">
        <v>2681</v>
      </c>
      <c r="E737" s="91" t="s">
        <v>2385</v>
      </c>
      <c r="F737" s="65" t="s">
        <v>2278</v>
      </c>
      <c r="G737" s="65" t="s">
        <v>2323</v>
      </c>
      <c r="I737"/>
    </row>
    <row r="738" spans="1:9" ht="15">
      <c r="A738" s="65" t="s">
        <v>2348</v>
      </c>
      <c r="B738" s="65"/>
      <c r="C738" s="65" t="s">
        <v>2329</v>
      </c>
      <c r="D738" s="65" t="s">
        <v>2681</v>
      </c>
      <c r="E738" s="91" t="s">
        <v>2385</v>
      </c>
      <c r="F738" s="65" t="s">
        <v>2278</v>
      </c>
      <c r="G738" s="65" t="s">
        <v>2323</v>
      </c>
      <c r="I738"/>
    </row>
    <row r="739" spans="1:9" ht="15">
      <c r="A739" s="66" t="s">
        <v>2397</v>
      </c>
      <c r="B739" s="66"/>
      <c r="C739" s="66" t="s">
        <v>621</v>
      </c>
      <c r="D739" s="66" t="s">
        <v>2681</v>
      </c>
      <c r="E739" s="67" t="s">
        <v>621</v>
      </c>
      <c r="F739" s="67" t="s">
        <v>2530</v>
      </c>
      <c r="G739" s="66" t="s">
        <v>2398</v>
      </c>
      <c r="I739"/>
    </row>
    <row r="740" spans="1:9" ht="17.25">
      <c r="A740" s="92" t="s">
        <v>2686</v>
      </c>
      <c r="B740" s="92"/>
      <c r="C740" s="92"/>
      <c r="D740" s="92"/>
      <c r="E740" s="93"/>
      <c r="F740" s="92"/>
      <c r="G740" s="92"/>
      <c r="I740"/>
    </row>
    <row r="741" spans="1:9" ht="15">
      <c r="A741" s="66" t="s">
        <v>2400</v>
      </c>
      <c r="B741" s="66"/>
      <c r="C741" s="66" t="s">
        <v>2401</v>
      </c>
      <c r="D741" s="66" t="s">
        <v>2681</v>
      </c>
      <c r="E741" s="67" t="s">
        <v>621</v>
      </c>
      <c r="F741" s="67" t="s">
        <v>2530</v>
      </c>
      <c r="G741" s="66" t="s">
        <v>2323</v>
      </c>
      <c r="I741"/>
    </row>
    <row r="742" spans="1:9" ht="15">
      <c r="A742" s="65" t="s">
        <v>2350</v>
      </c>
      <c r="B742" s="65"/>
      <c r="C742" s="65" t="s">
        <v>2329</v>
      </c>
      <c r="D742" s="65" t="s">
        <v>2681</v>
      </c>
      <c r="E742" s="91" t="s">
        <v>2385</v>
      </c>
      <c r="F742" s="65" t="s">
        <v>2278</v>
      </c>
      <c r="G742" s="65" t="s">
        <v>2323</v>
      </c>
      <c r="I742"/>
    </row>
    <row r="743" spans="1:9" ht="17.25">
      <c r="A743" s="92" t="s">
        <v>2687</v>
      </c>
      <c r="B743" s="92"/>
      <c r="C743" s="92"/>
      <c r="D743" s="92"/>
      <c r="E743" s="93"/>
      <c r="F743" s="92"/>
      <c r="G743" s="92"/>
      <c r="I743"/>
    </row>
    <row r="744" spans="1:9" ht="15">
      <c r="A744" s="66" t="s">
        <v>2403</v>
      </c>
      <c r="B744" s="66" t="s">
        <v>2404</v>
      </c>
      <c r="C744" s="66" t="s">
        <v>621</v>
      </c>
      <c r="D744" s="66" t="s">
        <v>2681</v>
      </c>
      <c r="E744" s="67" t="s">
        <v>621</v>
      </c>
      <c r="F744" s="67" t="s">
        <v>2530</v>
      </c>
      <c r="G744" s="66" t="s">
        <v>2405</v>
      </c>
      <c r="I744"/>
    </row>
    <row r="745" spans="1:9" ht="15">
      <c r="A745" s="66" t="s">
        <v>2406</v>
      </c>
      <c r="B745" s="66" t="s">
        <v>2407</v>
      </c>
      <c r="C745" s="66" t="s">
        <v>2408</v>
      </c>
      <c r="D745" s="66" t="s">
        <v>2681</v>
      </c>
      <c r="E745" s="67" t="s">
        <v>621</v>
      </c>
      <c r="F745" s="67" t="s">
        <v>2530</v>
      </c>
      <c r="G745" s="66" t="s">
        <v>2409</v>
      </c>
      <c r="I745"/>
    </row>
    <row r="746" spans="1:9" ht="15">
      <c r="A746" s="65" t="s">
        <v>2358</v>
      </c>
      <c r="B746" s="65"/>
      <c r="C746" s="65" t="s">
        <v>2329</v>
      </c>
      <c r="D746" s="65" t="s">
        <v>2681</v>
      </c>
      <c r="E746" s="91" t="s">
        <v>2385</v>
      </c>
      <c r="F746" s="65" t="s">
        <v>2278</v>
      </c>
      <c r="G746" s="65" t="s">
        <v>2323</v>
      </c>
      <c r="I746"/>
    </row>
    <row r="747" spans="1:9" ht="17.25">
      <c r="A747" s="92" t="s">
        <v>2688</v>
      </c>
      <c r="B747" s="92"/>
      <c r="C747" s="92"/>
      <c r="D747" s="92"/>
      <c r="E747" s="93"/>
      <c r="F747" s="92"/>
      <c r="G747" s="92"/>
      <c r="I747"/>
    </row>
    <row r="748" spans="1:9" ht="15">
      <c r="A748" s="66" t="s">
        <v>2411</v>
      </c>
      <c r="B748" s="66" t="s">
        <v>2412</v>
      </c>
      <c r="C748" s="66" t="s">
        <v>621</v>
      </c>
      <c r="D748" s="66" t="s">
        <v>2681</v>
      </c>
      <c r="E748" s="67" t="s">
        <v>621</v>
      </c>
      <c r="F748" s="67" t="s">
        <v>2530</v>
      </c>
      <c r="G748" s="66" t="s">
        <v>2323</v>
      </c>
      <c r="I748"/>
    </row>
    <row r="749" spans="1:9" ht="15">
      <c r="A749" s="66" t="s">
        <v>2417</v>
      </c>
      <c r="B749" s="66"/>
      <c r="C749" s="66" t="s">
        <v>621</v>
      </c>
      <c r="D749" s="66" t="s">
        <v>2681</v>
      </c>
      <c r="E749" s="67" t="s">
        <v>621</v>
      </c>
      <c r="F749" s="67" t="s">
        <v>2530</v>
      </c>
      <c r="G749" s="66" t="s">
        <v>2361</v>
      </c>
      <c r="I749"/>
    </row>
    <row r="750" spans="1:9" ht="15">
      <c r="A750" s="65" t="s">
        <v>2362</v>
      </c>
      <c r="B750" s="65" t="s">
        <v>2363</v>
      </c>
      <c r="C750" s="65" t="s">
        <v>2364</v>
      </c>
      <c r="D750" s="65" t="s">
        <v>2681</v>
      </c>
      <c r="E750" s="91" t="s">
        <v>2418</v>
      </c>
      <c r="F750" s="65" t="s">
        <v>2278</v>
      </c>
      <c r="G750" s="65" t="s">
        <v>2323</v>
      </c>
      <c r="I750"/>
    </row>
    <row r="751" spans="1:9" ht="17.25">
      <c r="A751" s="92" t="s">
        <v>2689</v>
      </c>
      <c r="B751" s="92"/>
      <c r="C751" s="92"/>
      <c r="D751" s="92"/>
      <c r="E751" s="93"/>
      <c r="F751" s="92"/>
      <c r="G751" s="92"/>
      <c r="I751"/>
    </row>
    <row r="752" spans="1:9" ht="15">
      <c r="A752" s="66" t="s">
        <v>2420</v>
      </c>
      <c r="B752" s="66"/>
      <c r="C752" s="66" t="s">
        <v>621</v>
      </c>
      <c r="D752" s="66" t="s">
        <v>2681</v>
      </c>
      <c r="E752" s="67" t="s">
        <v>621</v>
      </c>
      <c r="F752" s="67" t="s">
        <v>2530</v>
      </c>
      <c r="G752" s="66" t="s">
        <v>2323</v>
      </c>
      <c r="I752"/>
    </row>
    <row r="753" spans="1:9" ht="17.25">
      <c r="A753" s="92" t="s">
        <v>2690</v>
      </c>
      <c r="B753" s="92"/>
      <c r="C753" s="92"/>
      <c r="D753" s="92"/>
      <c r="E753" s="93"/>
      <c r="F753" s="92"/>
      <c r="G753" s="92"/>
      <c r="I753"/>
    </row>
    <row r="754" spans="1:9" ht="15">
      <c r="A754" s="66" t="s">
        <v>2427</v>
      </c>
      <c r="B754" s="66" t="s">
        <v>2370</v>
      </c>
      <c r="C754" s="66" t="s">
        <v>2428</v>
      </c>
      <c r="D754" s="66" t="s">
        <v>2681</v>
      </c>
      <c r="E754" s="67" t="s">
        <v>621</v>
      </c>
      <c r="F754" s="67" t="s">
        <v>2530</v>
      </c>
      <c r="G754" s="66" t="s">
        <v>2429</v>
      </c>
      <c r="I754"/>
    </row>
    <row r="755" spans="1:9" ht="15">
      <c r="A755" s="65" t="s">
        <v>2372</v>
      </c>
      <c r="B755" s="65"/>
      <c r="C755" s="65" t="s">
        <v>2329</v>
      </c>
      <c r="D755" s="65" t="s">
        <v>2681</v>
      </c>
      <c r="E755" s="91" t="s">
        <v>2385</v>
      </c>
      <c r="F755" s="65" t="s">
        <v>2278</v>
      </c>
      <c r="G755" s="65" t="s">
        <v>2323</v>
      </c>
      <c r="I755"/>
    </row>
    <row r="756" spans="1:9" ht="17.25">
      <c r="A756" s="92" t="s">
        <v>2691</v>
      </c>
      <c r="B756" s="92"/>
      <c r="C756" s="92"/>
      <c r="D756" s="92"/>
      <c r="E756" s="93"/>
      <c r="F756" s="92"/>
      <c r="G756" s="92"/>
      <c r="I756"/>
    </row>
    <row r="757" spans="1:9" ht="15">
      <c r="A757" s="65" t="s">
        <v>2374</v>
      </c>
      <c r="B757" s="65"/>
      <c r="C757" s="65" t="s">
        <v>2329</v>
      </c>
      <c r="D757" s="65" t="s">
        <v>2681</v>
      </c>
      <c r="E757" s="91" t="s">
        <v>2385</v>
      </c>
      <c r="F757" s="65" t="s">
        <v>2278</v>
      </c>
      <c r="G757" s="65" t="s">
        <v>2375</v>
      </c>
      <c r="I757"/>
    </row>
    <row r="758" spans="1:9" ht="15">
      <c r="A758" s="66" t="s">
        <v>2431</v>
      </c>
      <c r="B758" s="66" t="s">
        <v>2432</v>
      </c>
      <c r="C758" s="66" t="s">
        <v>621</v>
      </c>
      <c r="D758" s="66" t="s">
        <v>2681</v>
      </c>
      <c r="E758" s="67" t="s">
        <v>621</v>
      </c>
      <c r="F758" s="67" t="s">
        <v>2530</v>
      </c>
      <c r="G758" s="66" t="s">
        <v>2433</v>
      </c>
      <c r="I758"/>
    </row>
    <row r="759" spans="1:9" ht="15">
      <c r="A759" s="66" t="s">
        <v>2434</v>
      </c>
      <c r="B759" s="66" t="s">
        <v>2435</v>
      </c>
      <c r="C759" s="66" t="s">
        <v>2436</v>
      </c>
      <c r="D759" s="66" t="s">
        <v>2681</v>
      </c>
      <c r="E759" s="67" t="s">
        <v>2692</v>
      </c>
      <c r="F759" s="67" t="s">
        <v>2530</v>
      </c>
      <c r="G759" s="66" t="s">
        <v>2437</v>
      </c>
      <c r="I759"/>
    </row>
    <row r="760" spans="1:9" ht="17.25">
      <c r="A760" s="92" t="s">
        <v>2693</v>
      </c>
      <c r="B760" s="92"/>
      <c r="C760" s="92"/>
      <c r="D760" s="92"/>
      <c r="E760" s="93"/>
      <c r="F760" s="92"/>
      <c r="G760" s="92"/>
      <c r="I760"/>
    </row>
    <row r="761" spans="1:9" ht="15">
      <c r="A761" s="65" t="s">
        <v>2315</v>
      </c>
      <c r="B761" s="65" t="s">
        <v>2316</v>
      </c>
      <c r="C761" s="65" t="s">
        <v>2317</v>
      </c>
      <c r="D761" s="65" t="s">
        <v>2694</v>
      </c>
      <c r="E761" s="91" t="s">
        <v>2319</v>
      </c>
      <c r="F761" s="65" t="s">
        <v>2284</v>
      </c>
      <c r="G761" s="65" t="s">
        <v>2320</v>
      </c>
      <c r="I761"/>
    </row>
    <row r="762" spans="1:9" ht="15">
      <c r="A762" s="66" t="s">
        <v>2377</v>
      </c>
      <c r="B762" s="66" t="s">
        <v>2378</v>
      </c>
      <c r="C762" s="66" t="s">
        <v>1622</v>
      </c>
      <c r="D762" s="66" t="s">
        <v>2694</v>
      </c>
      <c r="E762" s="67" t="s">
        <v>120</v>
      </c>
      <c r="F762" s="67" t="s">
        <v>2530</v>
      </c>
      <c r="G762" s="66" t="s">
        <v>2380</v>
      </c>
      <c r="I762"/>
    </row>
    <row r="763" spans="1:9" ht="15">
      <c r="A763" s="66" t="s">
        <v>2381</v>
      </c>
      <c r="B763" s="66"/>
      <c r="C763" s="66" t="s">
        <v>1396</v>
      </c>
      <c r="D763" s="66" t="s">
        <v>2694</v>
      </c>
      <c r="E763" s="67" t="s">
        <v>1396</v>
      </c>
      <c r="F763" s="67" t="s">
        <v>2530</v>
      </c>
      <c r="G763" s="66" t="s">
        <v>2323</v>
      </c>
      <c r="I763"/>
    </row>
    <row r="764" spans="1:9" ht="15">
      <c r="A764" s="66" t="s">
        <v>2382</v>
      </c>
      <c r="B764" s="66"/>
      <c r="C764" s="66" t="s">
        <v>2383</v>
      </c>
      <c r="D764" s="66" t="s">
        <v>2694</v>
      </c>
      <c r="E764" s="67" t="s">
        <v>2645</v>
      </c>
      <c r="F764" s="67" t="s">
        <v>2530</v>
      </c>
      <c r="G764" s="66" t="s">
        <v>2323</v>
      </c>
      <c r="I764"/>
    </row>
    <row r="765" spans="1:9" ht="15">
      <c r="A765" s="66" t="s">
        <v>2441</v>
      </c>
      <c r="B765" s="66" t="s">
        <v>2316</v>
      </c>
      <c r="C765" s="66" t="s">
        <v>120</v>
      </c>
      <c r="D765" s="66" t="s">
        <v>2694</v>
      </c>
      <c r="E765" s="67" t="s">
        <v>120</v>
      </c>
      <c r="F765" s="67" t="s">
        <v>2530</v>
      </c>
      <c r="G765" s="66" t="s">
        <v>2323</v>
      </c>
      <c r="I765"/>
    </row>
    <row r="766" spans="1:9" ht="15">
      <c r="A766" s="66" t="s">
        <v>2442</v>
      </c>
      <c r="B766" s="66" t="s">
        <v>2326</v>
      </c>
      <c r="C766" s="66" t="s">
        <v>120</v>
      </c>
      <c r="D766" s="66" t="s">
        <v>2694</v>
      </c>
      <c r="E766" s="67" t="s">
        <v>120</v>
      </c>
      <c r="F766" s="67" t="s">
        <v>2530</v>
      </c>
      <c r="G766" s="66" t="s">
        <v>2443</v>
      </c>
      <c r="I766"/>
    </row>
    <row r="767" spans="1:9" ht="15">
      <c r="A767" s="66" t="s">
        <v>2444</v>
      </c>
      <c r="B767" s="66"/>
      <c r="C767" s="66" t="s">
        <v>120</v>
      </c>
      <c r="D767" s="66" t="s">
        <v>2694</v>
      </c>
      <c r="E767" s="67" t="s">
        <v>120</v>
      </c>
      <c r="F767" s="67" t="s">
        <v>2530</v>
      </c>
      <c r="G767" s="66" t="s">
        <v>2323</v>
      </c>
      <c r="I767"/>
    </row>
    <row r="768" spans="1:9" ht="15">
      <c r="A768" s="65" t="s">
        <v>2321</v>
      </c>
      <c r="B768" s="65" t="s">
        <v>2322</v>
      </c>
      <c r="C768" s="65" t="s">
        <v>2317</v>
      </c>
      <c r="D768" s="65" t="s">
        <v>2694</v>
      </c>
      <c r="E768" s="91" t="s">
        <v>2319</v>
      </c>
      <c r="F768" s="65" t="s">
        <v>2284</v>
      </c>
      <c r="G768" s="65" t="s">
        <v>2323</v>
      </c>
      <c r="I768"/>
    </row>
    <row r="769" spans="1:9" ht="15">
      <c r="A769" s="65" t="s">
        <v>2324</v>
      </c>
      <c r="B769" s="65" t="s">
        <v>2322</v>
      </c>
      <c r="C769" s="65" t="s">
        <v>2317</v>
      </c>
      <c r="D769" s="65" t="s">
        <v>2694</v>
      </c>
      <c r="E769" s="91" t="s">
        <v>2319</v>
      </c>
      <c r="F769" s="65" t="s">
        <v>2284</v>
      </c>
      <c r="G769" s="65" t="s">
        <v>2323</v>
      </c>
      <c r="I769"/>
    </row>
    <row r="770" spans="1:9" ht="15">
      <c r="A770" s="65" t="s">
        <v>2325</v>
      </c>
      <c r="B770" s="65" t="s">
        <v>2326</v>
      </c>
      <c r="C770" s="65" t="s">
        <v>2317</v>
      </c>
      <c r="D770" s="65" t="s">
        <v>2694</v>
      </c>
      <c r="E770" s="91" t="s">
        <v>2319</v>
      </c>
      <c r="F770" s="65" t="s">
        <v>2284</v>
      </c>
      <c r="G770" s="65" t="s">
        <v>2323</v>
      </c>
      <c r="I770"/>
    </row>
    <row r="771" spans="1:9" ht="17.25">
      <c r="A771" s="92" t="s">
        <v>2695</v>
      </c>
      <c r="B771" s="92"/>
      <c r="C771" s="92"/>
      <c r="D771" s="92"/>
      <c r="E771" s="93"/>
      <c r="F771" s="92"/>
      <c r="G771" s="92"/>
      <c r="I771"/>
    </row>
    <row r="772" spans="1:9" ht="15">
      <c r="A772" s="66" t="s">
        <v>2446</v>
      </c>
      <c r="B772" s="66" t="s">
        <v>2334</v>
      </c>
      <c r="C772" s="66" t="s">
        <v>120</v>
      </c>
      <c r="D772" s="66" t="s">
        <v>2694</v>
      </c>
      <c r="E772" s="67" t="s">
        <v>120</v>
      </c>
      <c r="F772" s="67" t="s">
        <v>2530</v>
      </c>
      <c r="G772" s="66" t="s">
        <v>2323</v>
      </c>
      <c r="I772"/>
    </row>
    <row r="773" spans="1:9" ht="15">
      <c r="A773" s="66" t="s">
        <v>2447</v>
      </c>
      <c r="B773" s="66" t="s">
        <v>2448</v>
      </c>
      <c r="C773" s="66" t="s">
        <v>120</v>
      </c>
      <c r="D773" s="66" t="s">
        <v>2694</v>
      </c>
      <c r="E773" s="67" t="s">
        <v>120</v>
      </c>
      <c r="F773" s="67" t="s">
        <v>2530</v>
      </c>
      <c r="G773" s="66" t="s">
        <v>2449</v>
      </c>
      <c r="I773"/>
    </row>
    <row r="774" spans="1:9" ht="15">
      <c r="A774" s="66" t="s">
        <v>2450</v>
      </c>
      <c r="B774" s="66" t="s">
        <v>2448</v>
      </c>
      <c r="C774" s="66" t="s">
        <v>120</v>
      </c>
      <c r="D774" s="66" t="s">
        <v>2694</v>
      </c>
      <c r="E774" s="67" t="s">
        <v>120</v>
      </c>
      <c r="F774" s="67" t="s">
        <v>2530</v>
      </c>
      <c r="G774" s="66" t="s">
        <v>2323</v>
      </c>
      <c r="I774"/>
    </row>
    <row r="775" spans="1:9" ht="15">
      <c r="A775" s="65" t="s">
        <v>2328</v>
      </c>
      <c r="B775" s="65"/>
      <c r="C775" s="65" t="s">
        <v>2329</v>
      </c>
      <c r="D775" s="65" t="s">
        <v>2694</v>
      </c>
      <c r="E775" s="91" t="s">
        <v>2696</v>
      </c>
      <c r="F775" s="65" t="s">
        <v>2284</v>
      </c>
      <c r="G775" s="65" t="s">
        <v>2331</v>
      </c>
      <c r="I775"/>
    </row>
    <row r="776" spans="1:9" ht="15">
      <c r="A776" s="66" t="s">
        <v>2452</v>
      </c>
      <c r="B776" s="66" t="s">
        <v>2453</v>
      </c>
      <c r="C776" s="66" t="s">
        <v>120</v>
      </c>
      <c r="D776" s="66" t="s">
        <v>2694</v>
      </c>
      <c r="E776" s="67" t="s">
        <v>120</v>
      </c>
      <c r="F776" s="67" t="s">
        <v>2530</v>
      </c>
      <c r="G776" s="66" t="s">
        <v>2454</v>
      </c>
      <c r="I776"/>
    </row>
    <row r="777" spans="1:9" ht="17.25">
      <c r="A777" s="92" t="s">
        <v>2697</v>
      </c>
      <c r="B777" s="92"/>
      <c r="C777" s="92"/>
      <c r="D777" s="92"/>
      <c r="E777" s="93"/>
      <c r="F777" s="92"/>
      <c r="G777" s="92"/>
      <c r="I777"/>
    </row>
    <row r="778" spans="1:9" ht="15">
      <c r="A778" s="66" t="s">
        <v>2456</v>
      </c>
      <c r="B778" s="66" t="s">
        <v>2457</v>
      </c>
      <c r="C778" s="66" t="s">
        <v>120</v>
      </c>
      <c r="D778" s="66" t="s">
        <v>2694</v>
      </c>
      <c r="E778" s="67" t="s">
        <v>120</v>
      </c>
      <c r="F778" s="67" t="s">
        <v>2530</v>
      </c>
      <c r="G778" s="66" t="s">
        <v>2323</v>
      </c>
      <c r="I778"/>
    </row>
    <row r="779" spans="1:9" ht="15">
      <c r="A779" s="66" t="s">
        <v>2458</v>
      </c>
      <c r="B779" s="66" t="s">
        <v>2457</v>
      </c>
      <c r="C779" s="66" t="s">
        <v>2459</v>
      </c>
      <c r="D779" s="66" t="s">
        <v>2694</v>
      </c>
      <c r="E779" s="67" t="s">
        <v>2698</v>
      </c>
      <c r="F779" s="67" t="s">
        <v>2530</v>
      </c>
      <c r="G779" s="66" t="s">
        <v>2323</v>
      </c>
      <c r="I779"/>
    </row>
    <row r="780" spans="1:9" ht="15">
      <c r="A780" s="66" t="s">
        <v>2460</v>
      </c>
      <c r="B780" s="66" t="s">
        <v>2457</v>
      </c>
      <c r="C780" s="66" t="s">
        <v>2461</v>
      </c>
      <c r="D780" s="66" t="s">
        <v>2694</v>
      </c>
      <c r="E780" s="67" t="s">
        <v>120</v>
      </c>
      <c r="F780" s="67" t="s">
        <v>2530</v>
      </c>
      <c r="G780" s="66" t="s">
        <v>2462</v>
      </c>
      <c r="I780"/>
    </row>
    <row r="781" spans="1:9" ht="15">
      <c r="A781" s="66" t="s">
        <v>2463</v>
      </c>
      <c r="B781" s="66" t="s">
        <v>2457</v>
      </c>
      <c r="C781" s="66" t="s">
        <v>120</v>
      </c>
      <c r="D781" s="66" t="s">
        <v>2694</v>
      </c>
      <c r="E781" s="67" t="s">
        <v>120</v>
      </c>
      <c r="F781" s="67" t="s">
        <v>2530</v>
      </c>
      <c r="G781" s="66" t="s">
        <v>2323</v>
      </c>
      <c r="I781"/>
    </row>
    <row r="782" spans="1:9" ht="17.25">
      <c r="A782" s="92" t="s">
        <v>2699</v>
      </c>
      <c r="B782" s="92"/>
      <c r="C782" s="92"/>
      <c r="D782" s="92"/>
      <c r="E782" s="93"/>
      <c r="F782" s="92"/>
      <c r="G782" s="92"/>
      <c r="I782"/>
    </row>
    <row r="783" spans="1:9" ht="15">
      <c r="A783" s="66" t="s">
        <v>2465</v>
      </c>
      <c r="B783" s="66" t="s">
        <v>2466</v>
      </c>
      <c r="C783" s="66" t="s">
        <v>2467</v>
      </c>
      <c r="D783" s="66" t="s">
        <v>2694</v>
      </c>
      <c r="E783" s="67" t="s">
        <v>120</v>
      </c>
      <c r="F783" s="67" t="s">
        <v>2530</v>
      </c>
      <c r="G783" s="66" t="s">
        <v>2323</v>
      </c>
      <c r="I783"/>
    </row>
    <row r="784" spans="1:9" ht="15">
      <c r="A784" s="66" t="s">
        <v>2468</v>
      </c>
      <c r="B784" s="66" t="s">
        <v>2390</v>
      </c>
      <c r="C784" s="66" t="s">
        <v>120</v>
      </c>
      <c r="D784" s="66" t="s">
        <v>2694</v>
      </c>
      <c r="E784" s="67" t="s">
        <v>120</v>
      </c>
      <c r="F784" s="67" t="s">
        <v>2530</v>
      </c>
      <c r="G784" s="66" t="s">
        <v>2323</v>
      </c>
      <c r="I784"/>
    </row>
    <row r="785" spans="1:9" ht="15">
      <c r="A785" s="66" t="s">
        <v>2469</v>
      </c>
      <c r="B785" s="66" t="s">
        <v>2466</v>
      </c>
      <c r="C785" s="66" t="s">
        <v>2470</v>
      </c>
      <c r="D785" s="66" t="s">
        <v>2694</v>
      </c>
      <c r="E785" s="67" t="s">
        <v>120</v>
      </c>
      <c r="F785" s="67" t="s">
        <v>2530</v>
      </c>
      <c r="G785" s="66" t="s">
        <v>2323</v>
      </c>
      <c r="I785"/>
    </row>
    <row r="786" spans="1:9" ht="15">
      <c r="A786" s="66" t="s">
        <v>2392</v>
      </c>
      <c r="B786" s="66" t="s">
        <v>2390</v>
      </c>
      <c r="C786" s="66" t="s">
        <v>2393</v>
      </c>
      <c r="D786" s="66" t="s">
        <v>2694</v>
      </c>
      <c r="E786" s="67" t="s">
        <v>120</v>
      </c>
      <c r="F786" s="67" t="s">
        <v>2530</v>
      </c>
      <c r="G786" s="66" t="s">
        <v>2394</v>
      </c>
      <c r="I786"/>
    </row>
    <row r="787" spans="1:9" ht="15">
      <c r="A787" s="66" t="s">
        <v>2471</v>
      </c>
      <c r="B787" s="66" t="s">
        <v>2472</v>
      </c>
      <c r="C787" s="66" t="s">
        <v>120</v>
      </c>
      <c r="D787" s="66" t="s">
        <v>2694</v>
      </c>
      <c r="E787" s="67" t="s">
        <v>120</v>
      </c>
      <c r="F787" s="67" t="s">
        <v>2530</v>
      </c>
      <c r="G787" s="66" t="s">
        <v>2473</v>
      </c>
      <c r="I787"/>
    </row>
    <row r="788" spans="1:9" ht="15">
      <c r="A788" s="66" t="s">
        <v>2474</v>
      </c>
      <c r="B788" s="66" t="s">
        <v>2472</v>
      </c>
      <c r="C788" s="66" t="s">
        <v>120</v>
      </c>
      <c r="D788" s="66" t="s">
        <v>2694</v>
      </c>
      <c r="E788" s="67" t="s">
        <v>120</v>
      </c>
      <c r="F788" s="67" t="s">
        <v>2530</v>
      </c>
      <c r="G788" s="66" t="s">
        <v>2323</v>
      </c>
      <c r="I788"/>
    </row>
    <row r="789" spans="1:9" ht="17.25">
      <c r="A789" s="92" t="s">
        <v>2700</v>
      </c>
      <c r="B789" s="92"/>
      <c r="C789" s="92"/>
      <c r="D789" s="92"/>
      <c r="E789" s="93"/>
      <c r="F789" s="92"/>
      <c r="G789" s="92"/>
      <c r="I789"/>
    </row>
    <row r="790" spans="1:9" ht="15">
      <c r="A790" s="66" t="s">
        <v>2476</v>
      </c>
      <c r="B790" s="66" t="s">
        <v>2477</v>
      </c>
      <c r="C790" s="66" t="s">
        <v>120</v>
      </c>
      <c r="D790" s="66" t="s">
        <v>2694</v>
      </c>
      <c r="E790" s="67" t="s">
        <v>120</v>
      </c>
      <c r="F790" s="67" t="s">
        <v>2530</v>
      </c>
      <c r="G790" s="66" t="s">
        <v>2478</v>
      </c>
      <c r="I790"/>
    </row>
    <row r="791" spans="1:9" ht="15">
      <c r="A791" s="65" t="s">
        <v>2333</v>
      </c>
      <c r="B791" s="65" t="s">
        <v>2334</v>
      </c>
      <c r="C791" s="65" t="s">
        <v>2335</v>
      </c>
      <c r="D791" s="65" t="s">
        <v>2694</v>
      </c>
      <c r="E791" s="91" t="s">
        <v>2696</v>
      </c>
      <c r="F791" s="65" t="s">
        <v>2284</v>
      </c>
      <c r="G791" s="65" t="s">
        <v>2323</v>
      </c>
      <c r="I791"/>
    </row>
    <row r="792" spans="1:9" ht="15">
      <c r="A792" s="65" t="s">
        <v>2336</v>
      </c>
      <c r="B792" s="65" t="s">
        <v>2334</v>
      </c>
      <c r="C792" s="65" t="s">
        <v>2329</v>
      </c>
      <c r="D792" s="65" t="s">
        <v>2694</v>
      </c>
      <c r="E792" s="91" t="s">
        <v>2696</v>
      </c>
      <c r="F792" s="65" t="s">
        <v>2284</v>
      </c>
      <c r="G792" s="65" t="s">
        <v>2323</v>
      </c>
      <c r="I792"/>
    </row>
    <row r="793" spans="1:9" ht="15">
      <c r="A793" s="65" t="s">
        <v>2337</v>
      </c>
      <c r="B793" s="65" t="s">
        <v>2334</v>
      </c>
      <c r="C793" s="65" t="s">
        <v>2329</v>
      </c>
      <c r="D793" s="65" t="s">
        <v>2694</v>
      </c>
      <c r="E793" s="91" t="s">
        <v>2696</v>
      </c>
      <c r="F793" s="65" t="s">
        <v>2284</v>
      </c>
      <c r="G793" s="65" t="s">
        <v>2323</v>
      </c>
      <c r="I793"/>
    </row>
    <row r="794" spans="1:9" ht="15">
      <c r="A794" s="65" t="s">
        <v>2338</v>
      </c>
      <c r="B794" s="65" t="s">
        <v>2339</v>
      </c>
      <c r="C794" s="65" t="s">
        <v>2329</v>
      </c>
      <c r="D794" s="65" t="s">
        <v>2694</v>
      </c>
      <c r="E794" s="91" t="s">
        <v>2696</v>
      </c>
      <c r="F794" s="65" t="s">
        <v>2284</v>
      </c>
      <c r="G794" s="65" t="s">
        <v>2323</v>
      </c>
      <c r="I794"/>
    </row>
    <row r="795" spans="1:9" ht="15">
      <c r="A795" s="65" t="s">
        <v>2340</v>
      </c>
      <c r="B795" s="65"/>
      <c r="C795" s="65" t="s">
        <v>2329</v>
      </c>
      <c r="D795" s="65" t="s">
        <v>2694</v>
      </c>
      <c r="E795" s="91" t="s">
        <v>2696</v>
      </c>
      <c r="F795" s="65" t="s">
        <v>2284</v>
      </c>
      <c r="G795" s="65" t="s">
        <v>2323</v>
      </c>
      <c r="I795"/>
    </row>
    <row r="796" spans="1:9" ht="15">
      <c r="A796" s="65" t="s">
        <v>2341</v>
      </c>
      <c r="B796" s="65"/>
      <c r="C796" s="65" t="s">
        <v>2329</v>
      </c>
      <c r="D796" s="65" t="s">
        <v>2694</v>
      </c>
      <c r="E796" s="91" t="s">
        <v>2696</v>
      </c>
      <c r="F796" s="65" t="s">
        <v>2284</v>
      </c>
      <c r="G796" s="65" t="s">
        <v>2323</v>
      </c>
      <c r="I796"/>
    </row>
    <row r="797" spans="1:9" ht="15">
      <c r="A797" s="65" t="s">
        <v>2342</v>
      </c>
      <c r="B797" s="65"/>
      <c r="C797" s="65" t="s">
        <v>2329</v>
      </c>
      <c r="D797" s="65" t="s">
        <v>2694</v>
      </c>
      <c r="E797" s="91" t="s">
        <v>2696</v>
      </c>
      <c r="F797" s="65" t="s">
        <v>2284</v>
      </c>
      <c r="G797" s="65" t="s">
        <v>2323</v>
      </c>
      <c r="I797"/>
    </row>
    <row r="798" spans="1:9" ht="17.25">
      <c r="A798" s="92" t="s">
        <v>2701</v>
      </c>
      <c r="B798" s="92"/>
      <c r="C798" s="92"/>
      <c r="D798" s="92"/>
      <c r="E798" s="93"/>
      <c r="F798" s="92"/>
      <c r="G798" s="92"/>
      <c r="I798"/>
    </row>
    <row r="799" spans="1:9" ht="15">
      <c r="A799" s="66" t="s">
        <v>2480</v>
      </c>
      <c r="B799" s="66" t="s">
        <v>2481</v>
      </c>
      <c r="C799" s="66" t="s">
        <v>120</v>
      </c>
      <c r="D799" s="66" t="s">
        <v>2694</v>
      </c>
      <c r="E799" s="67" t="s">
        <v>120</v>
      </c>
      <c r="F799" s="67" t="s">
        <v>2530</v>
      </c>
      <c r="G799" s="66" t="s">
        <v>2323</v>
      </c>
      <c r="I799"/>
    </row>
    <row r="800" spans="1:9" ht="15">
      <c r="A800" s="66" t="s">
        <v>2482</v>
      </c>
      <c r="B800" s="66" t="s">
        <v>2483</v>
      </c>
      <c r="C800" s="66" t="s">
        <v>120</v>
      </c>
      <c r="D800" s="66" t="s">
        <v>2694</v>
      </c>
      <c r="E800" s="67" t="s">
        <v>120</v>
      </c>
      <c r="F800" s="67" t="s">
        <v>2530</v>
      </c>
      <c r="G800" s="66" t="s">
        <v>2323</v>
      </c>
      <c r="I800"/>
    </row>
    <row r="801" spans="1:9" ht="15">
      <c r="A801" s="66" t="s">
        <v>2484</v>
      </c>
      <c r="B801" s="66" t="s">
        <v>2483</v>
      </c>
      <c r="C801" s="66" t="s">
        <v>2485</v>
      </c>
      <c r="D801" s="66" t="s">
        <v>2694</v>
      </c>
      <c r="E801" s="67" t="s">
        <v>120</v>
      </c>
      <c r="F801" s="67" t="s">
        <v>2530</v>
      </c>
      <c r="G801" s="66" t="s">
        <v>2486</v>
      </c>
      <c r="I801"/>
    </row>
    <row r="802" spans="1:9" ht="15">
      <c r="A802" s="66" t="s">
        <v>2487</v>
      </c>
      <c r="B802" s="66" t="s">
        <v>2488</v>
      </c>
      <c r="C802" s="66" t="s">
        <v>120</v>
      </c>
      <c r="D802" s="66" t="s">
        <v>2694</v>
      </c>
      <c r="E802" s="67" t="s">
        <v>120</v>
      </c>
      <c r="F802" s="67" t="s">
        <v>2530</v>
      </c>
      <c r="G802" s="66" t="s">
        <v>2323</v>
      </c>
      <c r="I802"/>
    </row>
    <row r="803" spans="1:9" ht="15">
      <c r="A803" s="66" t="s">
        <v>2344</v>
      </c>
      <c r="B803" s="66"/>
      <c r="C803" s="66" t="s">
        <v>2345</v>
      </c>
      <c r="D803" s="66" t="s">
        <v>2694</v>
      </c>
      <c r="E803" s="67" t="s">
        <v>120</v>
      </c>
      <c r="F803" s="67" t="s">
        <v>2530</v>
      </c>
      <c r="G803" s="66" t="s">
        <v>2323</v>
      </c>
      <c r="I803"/>
    </row>
    <row r="804" spans="1:9" ht="15">
      <c r="A804" s="65" t="s">
        <v>2347</v>
      </c>
      <c r="B804" s="65"/>
      <c r="C804" s="65" t="s">
        <v>2329</v>
      </c>
      <c r="D804" s="65" t="s">
        <v>2694</v>
      </c>
      <c r="E804" s="91" t="s">
        <v>2696</v>
      </c>
      <c r="F804" s="65" t="s">
        <v>2284</v>
      </c>
      <c r="G804" s="65" t="s">
        <v>2323</v>
      </c>
      <c r="I804"/>
    </row>
    <row r="805" spans="1:9" ht="15">
      <c r="A805" s="65" t="s">
        <v>2348</v>
      </c>
      <c r="B805" s="65"/>
      <c r="C805" s="65" t="s">
        <v>2329</v>
      </c>
      <c r="D805" s="65" t="s">
        <v>2694</v>
      </c>
      <c r="E805" s="91" t="s">
        <v>2696</v>
      </c>
      <c r="F805" s="65" t="s">
        <v>2284</v>
      </c>
      <c r="G805" s="65" t="s">
        <v>2323</v>
      </c>
      <c r="I805"/>
    </row>
    <row r="806" spans="1:9" ht="15">
      <c r="A806" s="66" t="s">
        <v>2489</v>
      </c>
      <c r="B806" s="66" t="s">
        <v>2483</v>
      </c>
      <c r="C806" s="66" t="s">
        <v>2490</v>
      </c>
      <c r="D806" s="66" t="s">
        <v>2694</v>
      </c>
      <c r="E806" s="67" t="s">
        <v>2490</v>
      </c>
      <c r="F806" s="67" t="s">
        <v>2530</v>
      </c>
      <c r="G806" s="66" t="s">
        <v>2323</v>
      </c>
      <c r="I806"/>
    </row>
    <row r="807" spans="1:9" ht="15">
      <c r="A807" s="66" t="s">
        <v>2491</v>
      </c>
      <c r="B807" s="66" t="s">
        <v>2488</v>
      </c>
      <c r="C807" s="66" t="s">
        <v>120</v>
      </c>
      <c r="D807" s="66" t="s">
        <v>2694</v>
      </c>
      <c r="E807" s="67" t="s">
        <v>120</v>
      </c>
      <c r="F807" s="67" t="s">
        <v>2530</v>
      </c>
      <c r="G807" s="66" t="s">
        <v>2323</v>
      </c>
      <c r="I807"/>
    </row>
    <row r="808" spans="1:9" ht="17.25">
      <c r="A808" s="92" t="s">
        <v>2702</v>
      </c>
      <c r="B808" s="92"/>
      <c r="C808" s="92"/>
      <c r="D808" s="92"/>
      <c r="E808" s="93"/>
      <c r="F808" s="92"/>
      <c r="G808" s="92"/>
      <c r="I808"/>
    </row>
    <row r="809" spans="1:9" ht="15">
      <c r="A809" s="66" t="s">
        <v>2703</v>
      </c>
      <c r="B809" s="66" t="s">
        <v>2483</v>
      </c>
      <c r="C809" s="66" t="s">
        <v>2704</v>
      </c>
      <c r="D809" s="66" t="s">
        <v>2694</v>
      </c>
      <c r="E809" s="67" t="s">
        <v>804</v>
      </c>
      <c r="F809" s="67" t="s">
        <v>2530</v>
      </c>
      <c r="G809" s="66" t="s">
        <v>2323</v>
      </c>
      <c r="I809"/>
    </row>
    <row r="810" spans="1:9" ht="15">
      <c r="A810" s="66" t="s">
        <v>2705</v>
      </c>
      <c r="B810" s="66" t="s">
        <v>2339</v>
      </c>
      <c r="C810" s="66" t="s">
        <v>2704</v>
      </c>
      <c r="D810" s="66" t="s">
        <v>2694</v>
      </c>
      <c r="E810" s="67" t="s">
        <v>804</v>
      </c>
      <c r="F810" s="67" t="s">
        <v>2530</v>
      </c>
      <c r="G810" s="66" t="s">
        <v>2323</v>
      </c>
      <c r="I810"/>
    </row>
    <row r="811" spans="1:9" ht="15">
      <c r="A811" s="66" t="s">
        <v>2493</v>
      </c>
      <c r="B811" s="66"/>
      <c r="C811" s="66" t="s">
        <v>2490</v>
      </c>
      <c r="D811" s="66" t="s">
        <v>2694</v>
      </c>
      <c r="E811" s="67" t="s">
        <v>2490</v>
      </c>
      <c r="F811" s="67" t="s">
        <v>2530</v>
      </c>
      <c r="G811" s="66" t="s">
        <v>2323</v>
      </c>
      <c r="I811"/>
    </row>
    <row r="812" spans="1:9" ht="15">
      <c r="A812" s="66" t="s">
        <v>2494</v>
      </c>
      <c r="B812" s="66"/>
      <c r="C812" s="66" t="s">
        <v>2490</v>
      </c>
      <c r="D812" s="66" t="s">
        <v>2694</v>
      </c>
      <c r="E812" s="67" t="s">
        <v>2490</v>
      </c>
      <c r="F812" s="67" t="s">
        <v>2530</v>
      </c>
      <c r="G812" s="66" t="s">
        <v>2323</v>
      </c>
      <c r="I812"/>
    </row>
    <row r="813" spans="1:9" ht="15">
      <c r="A813" s="66" t="s">
        <v>2400</v>
      </c>
      <c r="B813" s="66"/>
      <c r="C813" s="66" t="s">
        <v>2401</v>
      </c>
      <c r="D813" s="66" t="s">
        <v>2694</v>
      </c>
      <c r="E813" s="67" t="s">
        <v>2490</v>
      </c>
      <c r="F813" s="67" t="s">
        <v>2530</v>
      </c>
      <c r="G813" s="66" t="s">
        <v>2323</v>
      </c>
      <c r="I813"/>
    </row>
    <row r="814" spans="1:9" ht="15">
      <c r="A814" s="66" t="s">
        <v>2495</v>
      </c>
      <c r="B814" s="66" t="s">
        <v>2483</v>
      </c>
      <c r="C814" s="66" t="s">
        <v>120</v>
      </c>
      <c r="D814" s="66" t="s">
        <v>2694</v>
      </c>
      <c r="E814" s="67" t="s">
        <v>120</v>
      </c>
      <c r="F814" s="67" t="s">
        <v>2530</v>
      </c>
      <c r="G814" s="66" t="s">
        <v>2323</v>
      </c>
      <c r="I814"/>
    </row>
    <row r="815" spans="1:9" ht="15">
      <c r="A815" s="66" t="s">
        <v>2496</v>
      </c>
      <c r="B815" s="66" t="s">
        <v>2483</v>
      </c>
      <c r="C815" s="66" t="s">
        <v>120</v>
      </c>
      <c r="D815" s="66" t="s">
        <v>2694</v>
      </c>
      <c r="E815" s="67" t="s">
        <v>120</v>
      </c>
      <c r="F815" s="67" t="s">
        <v>2530</v>
      </c>
      <c r="G815" s="66" t="s">
        <v>2323</v>
      </c>
      <c r="I815"/>
    </row>
    <row r="816" spans="1:9" ht="15">
      <c r="A816" s="66" t="s">
        <v>2497</v>
      </c>
      <c r="B816" s="66" t="s">
        <v>2339</v>
      </c>
      <c r="C816" s="66" t="s">
        <v>120</v>
      </c>
      <c r="D816" s="66" t="s">
        <v>2694</v>
      </c>
      <c r="E816" s="67" t="s">
        <v>120</v>
      </c>
      <c r="F816" s="67" t="s">
        <v>2530</v>
      </c>
      <c r="G816" s="66" t="s">
        <v>2323</v>
      </c>
      <c r="I816"/>
    </row>
    <row r="817" spans="1:9" ht="15">
      <c r="A817" s="66" t="s">
        <v>2498</v>
      </c>
      <c r="B817" s="66" t="s">
        <v>2499</v>
      </c>
      <c r="C817" s="66" t="s">
        <v>2490</v>
      </c>
      <c r="D817" s="66" t="s">
        <v>2694</v>
      </c>
      <c r="E817" s="67" t="s">
        <v>2490</v>
      </c>
      <c r="F817" s="67" t="s">
        <v>2530</v>
      </c>
      <c r="G817" s="66" t="s">
        <v>2323</v>
      </c>
      <c r="I817"/>
    </row>
    <row r="818" spans="1:9" ht="15">
      <c r="A818" s="66" t="s">
        <v>2500</v>
      </c>
      <c r="B818" s="66" t="s">
        <v>2499</v>
      </c>
      <c r="C818" s="66" t="s">
        <v>2490</v>
      </c>
      <c r="D818" s="66" t="s">
        <v>2694</v>
      </c>
      <c r="E818" s="67" t="s">
        <v>2490</v>
      </c>
      <c r="F818" s="67" t="s">
        <v>2530</v>
      </c>
      <c r="G818" s="66" t="s">
        <v>2323</v>
      </c>
      <c r="I818"/>
    </row>
    <row r="819" spans="1:9" ht="15">
      <c r="A819" s="65" t="s">
        <v>2350</v>
      </c>
      <c r="B819" s="65"/>
      <c r="C819" s="65" t="s">
        <v>2329</v>
      </c>
      <c r="D819" s="65" t="s">
        <v>2694</v>
      </c>
      <c r="E819" s="91" t="s">
        <v>2696</v>
      </c>
      <c r="F819" s="65" t="s">
        <v>2284</v>
      </c>
      <c r="G819" s="65" t="s">
        <v>2323</v>
      </c>
      <c r="I819"/>
    </row>
    <row r="820" spans="1:9" ht="15">
      <c r="A820" s="66" t="s">
        <v>2501</v>
      </c>
      <c r="B820" s="66" t="s">
        <v>2499</v>
      </c>
      <c r="C820" s="66" t="s">
        <v>120</v>
      </c>
      <c r="D820" s="66" t="s">
        <v>2694</v>
      </c>
      <c r="E820" s="67" t="s">
        <v>120</v>
      </c>
      <c r="F820" s="67" t="s">
        <v>2530</v>
      </c>
      <c r="G820" s="66" t="s">
        <v>2502</v>
      </c>
      <c r="I820"/>
    </row>
    <row r="821" spans="1:9" ht="17.25">
      <c r="A821" s="92" t="s">
        <v>2706</v>
      </c>
      <c r="B821" s="92"/>
      <c r="C821" s="92"/>
      <c r="D821" s="92"/>
      <c r="E821" s="93"/>
      <c r="F821" s="92"/>
      <c r="G821" s="92"/>
      <c r="I821"/>
    </row>
    <row r="822" spans="1:9" ht="15">
      <c r="A822" s="66" t="s">
        <v>2504</v>
      </c>
      <c r="B822" s="66" t="s">
        <v>2505</v>
      </c>
      <c r="C822" s="66" t="s">
        <v>120</v>
      </c>
      <c r="D822" s="66" t="s">
        <v>2694</v>
      </c>
      <c r="E822" s="67" t="s">
        <v>120</v>
      </c>
      <c r="F822" s="67" t="s">
        <v>2530</v>
      </c>
      <c r="G822" s="66" t="s">
        <v>2323</v>
      </c>
      <c r="I822"/>
    </row>
    <row r="823" spans="1:9" ht="15">
      <c r="A823" s="66" t="s">
        <v>2506</v>
      </c>
      <c r="B823" s="66" t="s">
        <v>2435</v>
      </c>
      <c r="C823" s="66" t="s">
        <v>120</v>
      </c>
      <c r="D823" s="66" t="s">
        <v>2694</v>
      </c>
      <c r="E823" s="67" t="s">
        <v>120</v>
      </c>
      <c r="F823" s="67" t="s">
        <v>2530</v>
      </c>
      <c r="G823" s="66" t="s">
        <v>2323</v>
      </c>
      <c r="I823"/>
    </row>
    <row r="824" spans="1:9" ht="15">
      <c r="A824" s="66" t="s">
        <v>2507</v>
      </c>
      <c r="B824" s="66" t="s">
        <v>2435</v>
      </c>
      <c r="C824" s="66" t="s">
        <v>120</v>
      </c>
      <c r="D824" s="66" t="s">
        <v>2694</v>
      </c>
      <c r="E824" s="67" t="s">
        <v>120</v>
      </c>
      <c r="F824" s="67" t="s">
        <v>2530</v>
      </c>
      <c r="G824" s="66" t="s">
        <v>2323</v>
      </c>
      <c r="I824"/>
    </row>
    <row r="825" spans="1:9" ht="17.25">
      <c r="A825" s="92" t="s">
        <v>2707</v>
      </c>
      <c r="B825" s="92"/>
      <c r="C825" s="92"/>
      <c r="D825" s="92"/>
      <c r="E825" s="93"/>
      <c r="F825" s="92"/>
      <c r="G825" s="92"/>
      <c r="I825"/>
    </row>
    <row r="826" spans="1:9" ht="15">
      <c r="A826" s="65" t="s">
        <v>2352</v>
      </c>
      <c r="B826" s="65" t="s">
        <v>2353</v>
      </c>
      <c r="C826" s="65" t="s">
        <v>2317</v>
      </c>
      <c r="D826" s="65" t="s">
        <v>2694</v>
      </c>
      <c r="E826" s="91" t="s">
        <v>2319</v>
      </c>
      <c r="F826" s="65" t="s">
        <v>2284</v>
      </c>
      <c r="G826" s="65" t="s">
        <v>2354</v>
      </c>
      <c r="I826"/>
    </row>
    <row r="827" spans="1:9" ht="15">
      <c r="A827" s="65" t="s">
        <v>2355</v>
      </c>
      <c r="B827" s="65" t="s">
        <v>2356</v>
      </c>
      <c r="C827" s="65" t="s">
        <v>2317</v>
      </c>
      <c r="D827" s="65" t="s">
        <v>2694</v>
      </c>
      <c r="E827" s="91" t="s">
        <v>2319</v>
      </c>
      <c r="F827" s="65" t="s">
        <v>2284</v>
      </c>
      <c r="G827" s="65" t="s">
        <v>2357</v>
      </c>
      <c r="I827"/>
    </row>
    <row r="828" spans="1:9" ht="15">
      <c r="A828" s="66" t="s">
        <v>2509</v>
      </c>
      <c r="B828" s="66" t="s">
        <v>2353</v>
      </c>
      <c r="C828" s="66" t="s">
        <v>2490</v>
      </c>
      <c r="D828" s="66" t="s">
        <v>2694</v>
      </c>
      <c r="E828" s="67" t="s">
        <v>2490</v>
      </c>
      <c r="F828" s="67" t="s">
        <v>2530</v>
      </c>
      <c r="G828" s="66" t="s">
        <v>2510</v>
      </c>
      <c r="I828"/>
    </row>
    <row r="829" spans="1:9" ht="15">
      <c r="A829" s="66" t="s">
        <v>2511</v>
      </c>
      <c r="B829" s="66" t="s">
        <v>2407</v>
      </c>
      <c r="C829" s="66" t="s">
        <v>120</v>
      </c>
      <c r="D829" s="66" t="s">
        <v>2694</v>
      </c>
      <c r="E829" s="67" t="s">
        <v>120</v>
      </c>
      <c r="F829" s="67" t="s">
        <v>2530</v>
      </c>
      <c r="G829" s="66" t="s">
        <v>2512</v>
      </c>
      <c r="I829"/>
    </row>
    <row r="830" spans="1:9" ht="15">
      <c r="A830" s="66" t="s">
        <v>2513</v>
      </c>
      <c r="B830" s="66" t="s">
        <v>2404</v>
      </c>
      <c r="C830" s="66" t="s">
        <v>120</v>
      </c>
      <c r="D830" s="66" t="s">
        <v>2694</v>
      </c>
      <c r="E830" s="67" t="s">
        <v>120</v>
      </c>
      <c r="F830" s="67" t="s">
        <v>2530</v>
      </c>
      <c r="G830" s="66" t="s">
        <v>2514</v>
      </c>
      <c r="I830"/>
    </row>
    <row r="831" spans="1:9" ht="15">
      <c r="A831" s="66" t="s">
        <v>2515</v>
      </c>
      <c r="B831" s="66" t="s">
        <v>2516</v>
      </c>
      <c r="C831" s="66" t="s">
        <v>120</v>
      </c>
      <c r="D831" s="66" t="s">
        <v>2694</v>
      </c>
      <c r="E831" s="67" t="s">
        <v>120</v>
      </c>
      <c r="F831" s="67" t="s">
        <v>2530</v>
      </c>
      <c r="G831" s="66" t="s">
        <v>2517</v>
      </c>
      <c r="I831"/>
    </row>
    <row r="832" spans="1:9" ht="15">
      <c r="A832" s="65" t="s">
        <v>2358</v>
      </c>
      <c r="B832" s="65"/>
      <c r="C832" s="65" t="s">
        <v>2329</v>
      </c>
      <c r="D832" s="65" t="s">
        <v>2694</v>
      </c>
      <c r="E832" s="91" t="s">
        <v>2696</v>
      </c>
      <c r="F832" s="65" t="s">
        <v>2284</v>
      </c>
      <c r="G832" s="65" t="s">
        <v>2323</v>
      </c>
      <c r="I832"/>
    </row>
    <row r="833" spans="1:9" ht="17.25">
      <c r="A833" s="92" t="s">
        <v>2708</v>
      </c>
      <c r="B833" s="92"/>
      <c r="C833" s="92"/>
      <c r="D833" s="92"/>
      <c r="E833" s="93"/>
      <c r="F833" s="92"/>
      <c r="G833" s="92"/>
      <c r="I833"/>
    </row>
    <row r="834" spans="1:9" ht="15">
      <c r="A834" s="66" t="s">
        <v>2519</v>
      </c>
      <c r="B834" s="66" t="s">
        <v>2407</v>
      </c>
      <c r="C834" s="66" t="s">
        <v>120</v>
      </c>
      <c r="D834" s="66" t="s">
        <v>2694</v>
      </c>
      <c r="E834" s="67" t="s">
        <v>120</v>
      </c>
      <c r="F834" s="67" t="s">
        <v>2530</v>
      </c>
      <c r="G834" s="66" t="s">
        <v>2520</v>
      </c>
      <c r="I834"/>
    </row>
    <row r="835" spans="1:9" ht="15">
      <c r="A835" s="66" t="s">
        <v>2521</v>
      </c>
      <c r="B835" s="66" t="s">
        <v>2407</v>
      </c>
      <c r="C835" s="66" t="s">
        <v>120</v>
      </c>
      <c r="D835" s="66" t="s">
        <v>2694</v>
      </c>
      <c r="E835" s="67" t="s">
        <v>120</v>
      </c>
      <c r="F835" s="67" t="s">
        <v>2530</v>
      </c>
      <c r="G835" s="66" t="s">
        <v>2323</v>
      </c>
      <c r="I835"/>
    </row>
    <row r="836" spans="1:9" ht="15">
      <c r="A836" s="66" t="s">
        <v>2522</v>
      </c>
      <c r="B836" s="66" t="s">
        <v>2523</v>
      </c>
      <c r="C836" s="66" t="s">
        <v>120</v>
      </c>
      <c r="D836" s="66" t="s">
        <v>2694</v>
      </c>
      <c r="E836" s="67" t="s">
        <v>120</v>
      </c>
      <c r="F836" s="67" t="s">
        <v>2530</v>
      </c>
      <c r="G836" s="66" t="s">
        <v>2524</v>
      </c>
      <c r="I836"/>
    </row>
    <row r="837" spans="1:9" ht="15">
      <c r="A837" s="66" t="s">
        <v>2525</v>
      </c>
      <c r="B837" s="66" t="s">
        <v>2412</v>
      </c>
      <c r="C837" s="66" t="s">
        <v>120</v>
      </c>
      <c r="D837" s="66" t="s">
        <v>2694</v>
      </c>
      <c r="E837" s="67" t="s">
        <v>120</v>
      </c>
      <c r="F837" s="67" t="s">
        <v>2530</v>
      </c>
      <c r="G837" s="66" t="s">
        <v>2520</v>
      </c>
      <c r="I837"/>
    </row>
    <row r="838" spans="1:9" ht="15">
      <c r="A838" s="66" t="s">
        <v>2526</v>
      </c>
      <c r="B838" s="66" t="s">
        <v>2412</v>
      </c>
      <c r="C838" s="66" t="s">
        <v>120</v>
      </c>
      <c r="D838" s="66" t="s">
        <v>2694</v>
      </c>
      <c r="E838" s="67" t="s">
        <v>120</v>
      </c>
      <c r="F838" s="67" t="s">
        <v>2530</v>
      </c>
      <c r="G838" s="66" t="s">
        <v>2527</v>
      </c>
      <c r="I838"/>
    </row>
    <row r="839" spans="1:9" ht="15">
      <c r="A839" s="66" t="s">
        <v>2528</v>
      </c>
      <c r="B839" s="66" t="s">
        <v>2529</v>
      </c>
      <c r="C839" s="66" t="s">
        <v>2490</v>
      </c>
      <c r="D839" s="66" t="s">
        <v>2694</v>
      </c>
      <c r="E839" s="67" t="s">
        <v>2490</v>
      </c>
      <c r="F839" s="67" t="s">
        <v>2530</v>
      </c>
      <c r="G839" s="66" t="s">
        <v>2323</v>
      </c>
      <c r="I839"/>
    </row>
    <row r="840" spans="1:9" ht="15">
      <c r="A840" s="66" t="s">
        <v>2413</v>
      </c>
      <c r="B840" s="66" t="s">
        <v>2407</v>
      </c>
      <c r="C840" s="66" t="s">
        <v>2414</v>
      </c>
      <c r="D840" s="66" t="s">
        <v>2694</v>
      </c>
      <c r="E840" s="67" t="s">
        <v>2709</v>
      </c>
      <c r="F840" s="67" t="s">
        <v>2530</v>
      </c>
      <c r="G840" s="66" t="s">
        <v>2416</v>
      </c>
      <c r="I840"/>
    </row>
    <row r="841" spans="1:9" ht="15">
      <c r="A841" s="66" t="s">
        <v>2532</v>
      </c>
      <c r="B841" s="66" t="s">
        <v>2529</v>
      </c>
      <c r="C841" s="66" t="s">
        <v>2533</v>
      </c>
      <c r="D841" s="66" t="s">
        <v>2694</v>
      </c>
      <c r="E841" s="67" t="s">
        <v>120</v>
      </c>
      <c r="F841" s="67" t="s">
        <v>2530</v>
      </c>
      <c r="G841" s="66" t="s">
        <v>2323</v>
      </c>
      <c r="I841"/>
    </row>
    <row r="842" spans="1:9" ht="15">
      <c r="A842" s="65" t="s">
        <v>2360</v>
      </c>
      <c r="B842" s="65"/>
      <c r="C842" s="65" t="s">
        <v>2317</v>
      </c>
      <c r="D842" s="65" t="s">
        <v>2694</v>
      </c>
      <c r="E842" s="91" t="s">
        <v>2319</v>
      </c>
      <c r="F842" s="65" t="s">
        <v>2284</v>
      </c>
      <c r="G842" s="65" t="s">
        <v>2361</v>
      </c>
      <c r="I842"/>
    </row>
    <row r="843" spans="1:9" ht="15">
      <c r="A843" s="66" t="s">
        <v>2534</v>
      </c>
      <c r="B843" s="66" t="s">
        <v>2363</v>
      </c>
      <c r="C843" s="66" t="s">
        <v>120</v>
      </c>
      <c r="D843" s="66" t="s">
        <v>2694</v>
      </c>
      <c r="E843" s="67" t="s">
        <v>120</v>
      </c>
      <c r="F843" s="67" t="s">
        <v>2530</v>
      </c>
      <c r="G843" s="66" t="s">
        <v>2535</v>
      </c>
      <c r="I843"/>
    </row>
    <row r="844" spans="1:9" ht="15">
      <c r="A844" s="65" t="s">
        <v>2362</v>
      </c>
      <c r="B844" s="65" t="s">
        <v>2363</v>
      </c>
      <c r="C844" s="65" t="s">
        <v>2364</v>
      </c>
      <c r="D844" s="65" t="s">
        <v>2694</v>
      </c>
      <c r="E844" s="91" t="s">
        <v>2365</v>
      </c>
      <c r="F844" s="65" t="s">
        <v>2284</v>
      </c>
      <c r="G844" s="65" t="s">
        <v>2323</v>
      </c>
      <c r="I844"/>
    </row>
    <row r="845" spans="1:9" ht="17.25">
      <c r="A845" s="92" t="s">
        <v>2710</v>
      </c>
      <c r="B845" s="92"/>
      <c r="C845" s="92"/>
      <c r="D845" s="92"/>
      <c r="E845" s="93"/>
      <c r="F845" s="92"/>
      <c r="G845" s="92"/>
      <c r="I845"/>
    </row>
    <row r="846" spans="1:9" ht="15">
      <c r="A846" s="66" t="s">
        <v>2537</v>
      </c>
      <c r="B846" s="66" t="s">
        <v>2538</v>
      </c>
      <c r="C846" s="66" t="s">
        <v>120</v>
      </c>
      <c r="D846" s="66" t="s">
        <v>2694</v>
      </c>
      <c r="E846" s="67" t="s">
        <v>120</v>
      </c>
      <c r="F846" s="67" t="s">
        <v>2530</v>
      </c>
      <c r="G846" s="66" t="s">
        <v>2323</v>
      </c>
      <c r="I846"/>
    </row>
    <row r="847" spans="1:9" ht="15">
      <c r="A847" s="66" t="s">
        <v>2539</v>
      </c>
      <c r="B847" s="66" t="s">
        <v>2538</v>
      </c>
      <c r="C847" s="66" t="s">
        <v>2490</v>
      </c>
      <c r="D847" s="66" t="s">
        <v>2694</v>
      </c>
      <c r="E847" s="67" t="s">
        <v>2490</v>
      </c>
      <c r="F847" s="67" t="s">
        <v>2530</v>
      </c>
      <c r="G847" s="66" t="s">
        <v>2540</v>
      </c>
      <c r="I847"/>
    </row>
    <row r="848" spans="1:9" ht="15">
      <c r="A848" s="66" t="s">
        <v>2541</v>
      </c>
      <c r="B848" s="66" t="s">
        <v>2542</v>
      </c>
      <c r="C848" s="66" t="s">
        <v>2543</v>
      </c>
      <c r="D848" s="66" t="s">
        <v>2694</v>
      </c>
      <c r="E848" s="67" t="s">
        <v>120</v>
      </c>
      <c r="F848" s="67" t="s">
        <v>2530</v>
      </c>
      <c r="G848" s="66" t="s">
        <v>2323</v>
      </c>
      <c r="I848"/>
    </row>
    <row r="849" spans="1:9" ht="15">
      <c r="A849" s="66" t="s">
        <v>2421</v>
      </c>
      <c r="B849" s="66" t="s">
        <v>2422</v>
      </c>
      <c r="C849" s="66" t="s">
        <v>2423</v>
      </c>
      <c r="D849" s="66" t="s">
        <v>2694</v>
      </c>
      <c r="E849" s="67" t="s">
        <v>2711</v>
      </c>
      <c r="F849" s="67" t="s">
        <v>2530</v>
      </c>
      <c r="G849" s="66" t="s">
        <v>2425</v>
      </c>
      <c r="I849"/>
    </row>
    <row r="850" spans="1:9" ht="15">
      <c r="A850" s="66" t="s">
        <v>2545</v>
      </c>
      <c r="B850" s="66" t="s">
        <v>2422</v>
      </c>
      <c r="C850" s="66" t="s">
        <v>2461</v>
      </c>
      <c r="D850" s="66" t="s">
        <v>2694</v>
      </c>
      <c r="E850" s="67" t="s">
        <v>120</v>
      </c>
      <c r="F850" s="67" t="s">
        <v>2530</v>
      </c>
      <c r="G850" s="66" t="s">
        <v>2546</v>
      </c>
      <c r="I850"/>
    </row>
    <row r="851" spans="1:9" ht="15">
      <c r="A851" s="66" t="s">
        <v>2547</v>
      </c>
      <c r="B851" s="66" t="s">
        <v>2538</v>
      </c>
      <c r="C851" s="66" t="s">
        <v>2548</v>
      </c>
      <c r="D851" s="66" t="s">
        <v>2694</v>
      </c>
      <c r="E851" s="67" t="s">
        <v>120</v>
      </c>
      <c r="F851" s="67" t="s">
        <v>2530</v>
      </c>
      <c r="G851" s="66" t="s">
        <v>2323</v>
      </c>
      <c r="I851"/>
    </row>
    <row r="852" spans="1:9" ht="15">
      <c r="A852" s="66" t="s">
        <v>2549</v>
      </c>
      <c r="B852" s="66" t="s">
        <v>2538</v>
      </c>
      <c r="C852" s="66" t="s">
        <v>2550</v>
      </c>
      <c r="D852" s="66" t="s">
        <v>2694</v>
      </c>
      <c r="E852" s="67" t="s">
        <v>120</v>
      </c>
      <c r="F852" s="67" t="s">
        <v>2530</v>
      </c>
      <c r="G852" s="66" t="s">
        <v>2551</v>
      </c>
      <c r="I852"/>
    </row>
    <row r="853" spans="1:9" ht="15">
      <c r="A853" s="66" t="s">
        <v>2552</v>
      </c>
      <c r="B853" s="66" t="s">
        <v>2538</v>
      </c>
      <c r="C853" s="66" t="s">
        <v>2553</v>
      </c>
      <c r="D853" s="66" t="s">
        <v>2694</v>
      </c>
      <c r="E853" s="67" t="s">
        <v>120</v>
      </c>
      <c r="F853" s="67" t="s">
        <v>2530</v>
      </c>
      <c r="G853" s="66" t="s">
        <v>2323</v>
      </c>
      <c r="I853"/>
    </row>
    <row r="854" spans="1:9" ht="17.25">
      <c r="A854" s="92" t="s">
        <v>2712</v>
      </c>
      <c r="B854" s="92"/>
      <c r="C854" s="92"/>
      <c r="D854" s="92"/>
      <c r="E854" s="93"/>
      <c r="F854" s="92"/>
      <c r="G854" s="92"/>
      <c r="I854"/>
    </row>
    <row r="855" spans="1:9" ht="15">
      <c r="A855" s="65" t="s">
        <v>2367</v>
      </c>
      <c r="B855" s="65"/>
      <c r="C855" s="65" t="s">
        <v>2317</v>
      </c>
      <c r="D855" s="65" t="s">
        <v>2694</v>
      </c>
      <c r="E855" s="91" t="s">
        <v>2319</v>
      </c>
      <c r="F855" s="65" t="s">
        <v>2284</v>
      </c>
      <c r="G855" s="65" t="s">
        <v>2368</v>
      </c>
      <c r="I855"/>
    </row>
    <row r="856" spans="1:9" ht="15">
      <c r="A856" s="66" t="s">
        <v>2427</v>
      </c>
      <c r="B856" s="66" t="s">
        <v>2370</v>
      </c>
      <c r="C856" s="66" t="s">
        <v>2428</v>
      </c>
      <c r="D856" s="66" t="s">
        <v>2694</v>
      </c>
      <c r="E856" s="67" t="s">
        <v>120</v>
      </c>
      <c r="F856" s="67" t="s">
        <v>2530</v>
      </c>
      <c r="G856" s="66" t="s">
        <v>2429</v>
      </c>
      <c r="I856"/>
    </row>
    <row r="857" spans="1:9" ht="15">
      <c r="A857" s="66" t="s">
        <v>2555</v>
      </c>
      <c r="B857" s="66" t="s">
        <v>2363</v>
      </c>
      <c r="C857" s="66" t="s">
        <v>2556</v>
      </c>
      <c r="D857" s="66" t="s">
        <v>2694</v>
      </c>
      <c r="E857" s="67" t="s">
        <v>120</v>
      </c>
      <c r="F857" s="67" t="s">
        <v>2530</v>
      </c>
      <c r="G857" s="66" t="s">
        <v>2557</v>
      </c>
      <c r="I857"/>
    </row>
    <row r="858" spans="1:9" ht="15">
      <c r="A858" s="66" t="s">
        <v>2558</v>
      </c>
      <c r="B858" s="66" t="s">
        <v>2559</v>
      </c>
      <c r="C858" s="66" t="s">
        <v>2560</v>
      </c>
      <c r="D858" s="66" t="s">
        <v>2694</v>
      </c>
      <c r="E858" s="67" t="s">
        <v>120</v>
      </c>
      <c r="F858" s="67" t="s">
        <v>2530</v>
      </c>
      <c r="G858" s="66" t="s">
        <v>2561</v>
      </c>
      <c r="I858"/>
    </row>
    <row r="859" spans="1:9" ht="15">
      <c r="A859" s="66" t="s">
        <v>2562</v>
      </c>
      <c r="B859" s="66" t="s">
        <v>2370</v>
      </c>
      <c r="C859" s="66" t="s">
        <v>120</v>
      </c>
      <c r="D859" s="66" t="s">
        <v>2694</v>
      </c>
      <c r="E859" s="67" t="s">
        <v>120</v>
      </c>
      <c r="F859" s="67" t="s">
        <v>2530</v>
      </c>
      <c r="G859" s="66" t="s">
        <v>2563</v>
      </c>
      <c r="I859"/>
    </row>
    <row r="860" spans="1:9" ht="15">
      <c r="A860" s="65" t="s">
        <v>2369</v>
      </c>
      <c r="B860" s="65" t="s">
        <v>2370</v>
      </c>
      <c r="C860" s="65" t="s">
        <v>2317</v>
      </c>
      <c r="D860" s="65" t="s">
        <v>2694</v>
      </c>
      <c r="E860" s="91" t="s">
        <v>2319</v>
      </c>
      <c r="F860" s="65" t="s">
        <v>2284</v>
      </c>
      <c r="G860" s="65" t="s">
        <v>2371</v>
      </c>
      <c r="I860"/>
    </row>
    <row r="861" spans="1:9" ht="15">
      <c r="A861" s="65" t="s">
        <v>2372</v>
      </c>
      <c r="B861" s="65"/>
      <c r="C861" s="65" t="s">
        <v>2329</v>
      </c>
      <c r="D861" s="65" t="s">
        <v>2694</v>
      </c>
      <c r="E861" s="91" t="s">
        <v>2696</v>
      </c>
      <c r="F861" s="65" t="s">
        <v>2284</v>
      </c>
      <c r="G861" s="65" t="s">
        <v>2323</v>
      </c>
      <c r="I861"/>
    </row>
    <row r="862" spans="1:9" ht="15">
      <c r="A862" s="66" t="s">
        <v>2564</v>
      </c>
      <c r="B862" s="66"/>
      <c r="C862" s="66" t="s">
        <v>120</v>
      </c>
      <c r="D862" s="66" t="s">
        <v>2694</v>
      </c>
      <c r="E862" s="67" t="s">
        <v>120</v>
      </c>
      <c r="F862" s="67" t="s">
        <v>2530</v>
      </c>
      <c r="G862" s="66" t="s">
        <v>2323</v>
      </c>
      <c r="I862"/>
    </row>
    <row r="863" spans="1:9" ht="15">
      <c r="A863" s="66" t="s">
        <v>2565</v>
      </c>
      <c r="B863" s="66" t="s">
        <v>2370</v>
      </c>
      <c r="C863" s="66" t="s">
        <v>2566</v>
      </c>
      <c r="D863" s="66" t="s">
        <v>2694</v>
      </c>
      <c r="E863" s="67" t="s">
        <v>2566</v>
      </c>
      <c r="F863" s="67" t="s">
        <v>2530</v>
      </c>
      <c r="G863" s="66" t="s">
        <v>2567</v>
      </c>
      <c r="I863"/>
    </row>
    <row r="864" spans="1:9" ht="17.25">
      <c r="A864" s="92" t="s">
        <v>2713</v>
      </c>
      <c r="B864" s="92"/>
      <c r="C864" s="92"/>
      <c r="D864" s="92"/>
      <c r="E864" s="93"/>
      <c r="F864" s="92"/>
      <c r="G864" s="92"/>
      <c r="I864"/>
    </row>
    <row r="865" spans="1:9" ht="15">
      <c r="A865" s="65" t="s">
        <v>2374</v>
      </c>
      <c r="B865" s="65"/>
      <c r="C865" s="65" t="s">
        <v>2329</v>
      </c>
      <c r="D865" s="65" t="s">
        <v>2694</v>
      </c>
      <c r="E865" s="91" t="s">
        <v>2696</v>
      </c>
      <c r="F865" s="65" t="s">
        <v>2284</v>
      </c>
      <c r="G865" s="65" t="s">
        <v>2375</v>
      </c>
      <c r="I865"/>
    </row>
    <row r="866" spans="1:9" ht="15">
      <c r="A866" s="66" t="s">
        <v>2569</v>
      </c>
      <c r="B866" s="66" t="s">
        <v>2570</v>
      </c>
      <c r="C866" s="66" t="s">
        <v>2571</v>
      </c>
      <c r="D866" s="66" t="s">
        <v>2694</v>
      </c>
      <c r="E866" s="67" t="s">
        <v>120</v>
      </c>
      <c r="F866" s="67" t="s">
        <v>2530</v>
      </c>
      <c r="G866" s="66" t="s">
        <v>2437</v>
      </c>
      <c r="I866"/>
    </row>
    <row r="867" spans="1:9" ht="15">
      <c r="A867" s="66" t="s">
        <v>2572</v>
      </c>
      <c r="B867" s="66" t="s">
        <v>2432</v>
      </c>
      <c r="C867" s="66" t="s">
        <v>120</v>
      </c>
      <c r="D867" s="66" t="s">
        <v>2694</v>
      </c>
      <c r="E867" s="67" t="s">
        <v>120</v>
      </c>
      <c r="F867" s="67" t="s">
        <v>2530</v>
      </c>
      <c r="G867" s="66" t="s">
        <v>2573</v>
      </c>
      <c r="I867"/>
    </row>
    <row r="868" spans="1:9" ht="15">
      <c r="A868" s="66" t="s">
        <v>2574</v>
      </c>
      <c r="B868" s="66" t="s">
        <v>2570</v>
      </c>
      <c r="C868" s="66" t="s">
        <v>120</v>
      </c>
      <c r="D868" s="66" t="s">
        <v>2694</v>
      </c>
      <c r="E868" s="67" t="s">
        <v>120</v>
      </c>
      <c r="F868" s="67" t="s">
        <v>2530</v>
      </c>
      <c r="G868" s="66" t="s">
        <v>2573</v>
      </c>
      <c r="I868"/>
    </row>
    <row r="869" spans="1:9" ht="15">
      <c r="A869" s="66" t="s">
        <v>2575</v>
      </c>
      <c r="B869" s="66" t="s">
        <v>2576</v>
      </c>
      <c r="C869" s="66" t="s">
        <v>2490</v>
      </c>
      <c r="D869" s="66" t="s">
        <v>2694</v>
      </c>
      <c r="E869" s="67" t="s">
        <v>2490</v>
      </c>
      <c r="F869" s="67" t="s">
        <v>2530</v>
      </c>
      <c r="G869" s="66" t="s">
        <v>2577</v>
      </c>
      <c r="I869"/>
    </row>
    <row r="870" spans="1:9" ht="15">
      <c r="A870" s="66" t="s">
        <v>2578</v>
      </c>
      <c r="B870" s="66" t="s">
        <v>2579</v>
      </c>
      <c r="C870" s="66" t="s">
        <v>2543</v>
      </c>
      <c r="D870" s="66" t="s">
        <v>2694</v>
      </c>
      <c r="E870" s="67" t="s">
        <v>120</v>
      </c>
      <c r="F870" s="67" t="s">
        <v>2530</v>
      </c>
      <c r="G870" s="66" t="s">
        <v>2580</v>
      </c>
      <c r="I870"/>
    </row>
    <row r="871" spans="1:9" ht="17.25">
      <c r="A871" s="92" t="s">
        <v>2714</v>
      </c>
      <c r="B871" s="92"/>
      <c r="C871" s="92"/>
      <c r="D871" s="92"/>
      <c r="E871" s="93"/>
      <c r="F871" s="92"/>
      <c r="G871" s="92"/>
      <c r="I871"/>
    </row>
    <row r="872" spans="1:9" ht="15">
      <c r="A872" s="66" t="s">
        <v>2377</v>
      </c>
      <c r="B872" s="66" t="s">
        <v>2378</v>
      </c>
      <c r="C872" s="66" t="s">
        <v>1622</v>
      </c>
      <c r="D872" s="66" t="s">
        <v>2715</v>
      </c>
      <c r="E872" s="67" t="s">
        <v>1622</v>
      </c>
      <c r="F872" s="67" t="s">
        <v>2530</v>
      </c>
      <c r="G872" s="66" t="s">
        <v>2380</v>
      </c>
      <c r="I872"/>
    </row>
    <row r="873" spans="1:9" ht="15">
      <c r="A873" s="66" t="s">
        <v>2381</v>
      </c>
      <c r="B873" s="66"/>
      <c r="C873" s="66" t="s">
        <v>1396</v>
      </c>
      <c r="D873" s="66" t="s">
        <v>2715</v>
      </c>
      <c r="E873" s="67" t="s">
        <v>1396</v>
      </c>
      <c r="F873" s="67" t="s">
        <v>2530</v>
      </c>
      <c r="G873" s="66" t="s">
        <v>2323</v>
      </c>
      <c r="I873"/>
    </row>
    <row r="874" spans="1:9" ht="15">
      <c r="A874" s="66" t="s">
        <v>2382</v>
      </c>
      <c r="B874" s="66"/>
      <c r="C874" s="66" t="s">
        <v>2383</v>
      </c>
      <c r="D874" s="66" t="s">
        <v>2715</v>
      </c>
      <c r="E874" s="67" t="s">
        <v>2645</v>
      </c>
      <c r="F874" s="67" t="s">
        <v>2530</v>
      </c>
      <c r="G874" s="66" t="s">
        <v>2323</v>
      </c>
      <c r="I874"/>
    </row>
    <row r="875" spans="1:9" ht="15">
      <c r="A875" s="66" t="s">
        <v>2441</v>
      </c>
      <c r="B875" s="66" t="s">
        <v>2316</v>
      </c>
      <c r="C875" s="66" t="s">
        <v>120</v>
      </c>
      <c r="D875" s="66" t="s">
        <v>2715</v>
      </c>
      <c r="E875" s="67" t="s">
        <v>120</v>
      </c>
      <c r="F875" s="67" t="s">
        <v>2530</v>
      </c>
      <c r="G875" s="66" t="s">
        <v>2323</v>
      </c>
      <c r="I875"/>
    </row>
    <row r="876" spans="1:9" ht="15">
      <c r="A876" s="66" t="s">
        <v>2442</v>
      </c>
      <c r="B876" s="66" t="s">
        <v>2326</v>
      </c>
      <c r="C876" s="66" t="s">
        <v>120</v>
      </c>
      <c r="D876" s="66" t="s">
        <v>2715</v>
      </c>
      <c r="E876" s="67" t="s">
        <v>120</v>
      </c>
      <c r="F876" s="67" t="s">
        <v>2530</v>
      </c>
      <c r="G876" s="66" t="s">
        <v>2443</v>
      </c>
      <c r="I876"/>
    </row>
    <row r="877" spans="1:9" ht="15">
      <c r="A877" s="66" t="s">
        <v>2444</v>
      </c>
      <c r="B877" s="66"/>
      <c r="C877" s="66" t="s">
        <v>120</v>
      </c>
      <c r="D877" s="66" t="s">
        <v>2715</v>
      </c>
      <c r="E877" s="67" t="s">
        <v>120</v>
      </c>
      <c r="F877" s="67" t="s">
        <v>2530</v>
      </c>
      <c r="G877" s="66" t="s">
        <v>2323</v>
      </c>
      <c r="I877"/>
    </row>
    <row r="878" spans="1:9" ht="17.25">
      <c r="A878" s="92" t="s">
        <v>2716</v>
      </c>
      <c r="B878" s="92"/>
      <c r="C878" s="92"/>
      <c r="D878" s="92"/>
      <c r="E878" s="93"/>
      <c r="F878" s="92"/>
      <c r="G878" s="92"/>
      <c r="I878"/>
    </row>
    <row r="879" spans="1:9" ht="15">
      <c r="A879" s="66" t="s">
        <v>2446</v>
      </c>
      <c r="B879" s="66" t="s">
        <v>2334</v>
      </c>
      <c r="C879" s="66" t="s">
        <v>120</v>
      </c>
      <c r="D879" s="66" t="s">
        <v>2715</v>
      </c>
      <c r="E879" s="67" t="s">
        <v>120</v>
      </c>
      <c r="F879" s="67" t="s">
        <v>2530</v>
      </c>
      <c r="G879" s="66" t="s">
        <v>2323</v>
      </c>
      <c r="I879"/>
    </row>
    <row r="880" spans="1:9" ht="15">
      <c r="A880" s="66" t="s">
        <v>2447</v>
      </c>
      <c r="B880" s="66" t="s">
        <v>2448</v>
      </c>
      <c r="C880" s="66" t="s">
        <v>120</v>
      </c>
      <c r="D880" s="66" t="s">
        <v>2715</v>
      </c>
      <c r="E880" s="67" t="s">
        <v>120</v>
      </c>
      <c r="F880" s="67" t="s">
        <v>2530</v>
      </c>
      <c r="G880" s="66" t="s">
        <v>2449</v>
      </c>
      <c r="I880"/>
    </row>
    <row r="881" spans="1:9" ht="15">
      <c r="A881" s="66" t="s">
        <v>2450</v>
      </c>
      <c r="B881" s="66" t="s">
        <v>2448</v>
      </c>
      <c r="C881" s="66" t="s">
        <v>120</v>
      </c>
      <c r="D881" s="66" t="s">
        <v>2715</v>
      </c>
      <c r="E881" s="67" t="s">
        <v>120</v>
      </c>
      <c r="F881" s="67" t="s">
        <v>2530</v>
      </c>
      <c r="G881" s="66" t="s">
        <v>2323</v>
      </c>
      <c r="I881"/>
    </row>
    <row r="882" spans="1:9" ht="15">
      <c r="A882" s="65" t="s">
        <v>2328</v>
      </c>
      <c r="B882" s="65"/>
      <c r="C882" s="65" t="s">
        <v>2329</v>
      </c>
      <c r="D882" s="65" t="s">
        <v>2715</v>
      </c>
      <c r="E882" s="91" t="s">
        <v>2647</v>
      </c>
      <c r="F882" s="65" t="s">
        <v>2292</v>
      </c>
      <c r="G882" s="65" t="s">
        <v>2331</v>
      </c>
      <c r="I882"/>
    </row>
    <row r="883" spans="1:9" ht="15">
      <c r="A883" s="66" t="s">
        <v>2452</v>
      </c>
      <c r="B883" s="66" t="s">
        <v>2453</v>
      </c>
      <c r="C883" s="66" t="s">
        <v>120</v>
      </c>
      <c r="D883" s="66" t="s">
        <v>2715</v>
      </c>
      <c r="E883" s="67" t="s">
        <v>120</v>
      </c>
      <c r="F883" s="67" t="s">
        <v>2530</v>
      </c>
      <c r="G883" s="66" t="s">
        <v>2454</v>
      </c>
      <c r="I883"/>
    </row>
    <row r="884" spans="1:9" ht="17.25">
      <c r="A884" s="92" t="s">
        <v>2717</v>
      </c>
      <c r="B884" s="92"/>
      <c r="C884" s="92"/>
      <c r="D884" s="92"/>
      <c r="E884" s="93"/>
      <c r="F884" s="92"/>
      <c r="G884" s="92"/>
      <c r="I884"/>
    </row>
    <row r="885" spans="1:9" ht="15">
      <c r="A885" s="66" t="s">
        <v>2456</v>
      </c>
      <c r="B885" s="66" t="s">
        <v>2457</v>
      </c>
      <c r="C885" s="66" t="s">
        <v>120</v>
      </c>
      <c r="D885" s="66" t="s">
        <v>2715</v>
      </c>
      <c r="E885" s="67" t="s">
        <v>120</v>
      </c>
      <c r="F885" s="67" t="s">
        <v>2530</v>
      </c>
      <c r="G885" s="66" t="s">
        <v>2323</v>
      </c>
      <c r="I885"/>
    </row>
    <row r="886" spans="1:9" ht="15">
      <c r="A886" s="66" t="s">
        <v>2458</v>
      </c>
      <c r="B886" s="66" t="s">
        <v>2457</v>
      </c>
      <c r="C886" s="66" t="s">
        <v>2459</v>
      </c>
      <c r="D886" s="66" t="s">
        <v>2715</v>
      </c>
      <c r="E886" s="67" t="s">
        <v>120</v>
      </c>
      <c r="F886" s="67" t="s">
        <v>2530</v>
      </c>
      <c r="G886" s="66" t="s">
        <v>2323</v>
      </c>
      <c r="I886"/>
    </row>
    <row r="887" spans="1:9" ht="15">
      <c r="A887" s="66" t="s">
        <v>2460</v>
      </c>
      <c r="B887" s="66" t="s">
        <v>2457</v>
      </c>
      <c r="C887" s="66" t="s">
        <v>2461</v>
      </c>
      <c r="D887" s="66" t="s">
        <v>2715</v>
      </c>
      <c r="E887" s="67" t="s">
        <v>120</v>
      </c>
      <c r="F887" s="67" t="s">
        <v>2530</v>
      </c>
      <c r="G887" s="66" t="s">
        <v>2462</v>
      </c>
      <c r="I887"/>
    </row>
    <row r="888" spans="1:9" ht="15">
      <c r="A888" s="66" t="s">
        <v>2463</v>
      </c>
      <c r="B888" s="66" t="s">
        <v>2457</v>
      </c>
      <c r="C888" s="66" t="s">
        <v>120</v>
      </c>
      <c r="D888" s="66" t="s">
        <v>2715</v>
      </c>
      <c r="E888" s="67" t="s">
        <v>120</v>
      </c>
      <c r="F888" s="67" t="s">
        <v>2530</v>
      </c>
      <c r="G888" s="66" t="s">
        <v>2323</v>
      </c>
      <c r="I888"/>
    </row>
    <row r="889" spans="1:9" ht="17.25">
      <c r="A889" s="92" t="s">
        <v>2718</v>
      </c>
      <c r="B889" s="92"/>
      <c r="C889" s="92"/>
      <c r="D889" s="92"/>
      <c r="E889" s="93"/>
      <c r="F889" s="92"/>
      <c r="G889" s="92"/>
      <c r="I889"/>
    </row>
    <row r="890" spans="1:9" ht="15">
      <c r="A890" s="66" t="s">
        <v>2465</v>
      </c>
      <c r="B890" s="66" t="s">
        <v>2466</v>
      </c>
      <c r="C890" s="66" t="s">
        <v>2467</v>
      </c>
      <c r="D890" s="66" t="s">
        <v>2715</v>
      </c>
      <c r="E890" s="67" t="s">
        <v>120</v>
      </c>
      <c r="F890" s="67" t="s">
        <v>2530</v>
      </c>
      <c r="G890" s="66" t="s">
        <v>2323</v>
      </c>
      <c r="I890"/>
    </row>
    <row r="891" spans="1:9" ht="15">
      <c r="A891" s="66" t="s">
        <v>2387</v>
      </c>
      <c r="B891" s="66"/>
      <c r="C891" s="66" t="s">
        <v>621</v>
      </c>
      <c r="D891" s="66" t="s">
        <v>2715</v>
      </c>
      <c r="E891" s="67" t="s">
        <v>621</v>
      </c>
      <c r="F891" s="67" t="s">
        <v>2530</v>
      </c>
      <c r="G891" s="66" t="s">
        <v>2388</v>
      </c>
      <c r="I891"/>
    </row>
    <row r="892" spans="1:9" ht="15">
      <c r="A892" s="66" t="s">
        <v>2389</v>
      </c>
      <c r="B892" s="66" t="s">
        <v>2390</v>
      </c>
      <c r="C892" s="66" t="s">
        <v>621</v>
      </c>
      <c r="D892" s="66" t="s">
        <v>2715</v>
      </c>
      <c r="E892" s="67" t="s">
        <v>621</v>
      </c>
      <c r="F892" s="67" t="s">
        <v>2530</v>
      </c>
      <c r="G892" s="66" t="s">
        <v>2391</v>
      </c>
      <c r="I892"/>
    </row>
    <row r="893" spans="1:9" ht="15">
      <c r="A893" s="66" t="s">
        <v>2468</v>
      </c>
      <c r="B893" s="66" t="s">
        <v>2390</v>
      </c>
      <c r="C893" s="66" t="s">
        <v>120</v>
      </c>
      <c r="D893" s="66" t="s">
        <v>2715</v>
      </c>
      <c r="E893" s="67" t="s">
        <v>120</v>
      </c>
      <c r="F893" s="67" t="s">
        <v>2530</v>
      </c>
      <c r="G893" s="66" t="s">
        <v>2323</v>
      </c>
      <c r="I893"/>
    </row>
    <row r="894" spans="1:9" ht="15">
      <c r="A894" s="66" t="s">
        <v>2469</v>
      </c>
      <c r="B894" s="66" t="s">
        <v>2466</v>
      </c>
      <c r="C894" s="66" t="s">
        <v>2470</v>
      </c>
      <c r="D894" s="66" t="s">
        <v>2715</v>
      </c>
      <c r="E894" s="67" t="s">
        <v>120</v>
      </c>
      <c r="F894" s="67" t="s">
        <v>2530</v>
      </c>
      <c r="G894" s="66" t="s">
        <v>2323</v>
      </c>
      <c r="I894"/>
    </row>
    <row r="895" spans="1:9" ht="15">
      <c r="A895" s="66" t="s">
        <v>2392</v>
      </c>
      <c r="B895" s="66" t="s">
        <v>2390</v>
      </c>
      <c r="C895" s="66" t="s">
        <v>2393</v>
      </c>
      <c r="D895" s="66" t="s">
        <v>2715</v>
      </c>
      <c r="E895" s="67" t="s">
        <v>2719</v>
      </c>
      <c r="F895" s="67" t="s">
        <v>2530</v>
      </c>
      <c r="G895" s="66" t="s">
        <v>2394</v>
      </c>
      <c r="I895"/>
    </row>
    <row r="896" spans="1:9" ht="15">
      <c r="A896" s="66" t="s">
        <v>2471</v>
      </c>
      <c r="B896" s="66" t="s">
        <v>2472</v>
      </c>
      <c r="C896" s="66" t="s">
        <v>120</v>
      </c>
      <c r="D896" s="66" t="s">
        <v>2715</v>
      </c>
      <c r="E896" s="67" t="s">
        <v>120</v>
      </c>
      <c r="F896" s="67" t="s">
        <v>2530</v>
      </c>
      <c r="G896" s="66" t="s">
        <v>2473</v>
      </c>
      <c r="I896"/>
    </row>
    <row r="897" spans="1:9" ht="15">
      <c r="A897" s="66" t="s">
        <v>2474</v>
      </c>
      <c r="B897" s="66" t="s">
        <v>2472</v>
      </c>
      <c r="C897" s="66" t="s">
        <v>120</v>
      </c>
      <c r="D897" s="66" t="s">
        <v>2715</v>
      </c>
      <c r="E897" s="67" t="s">
        <v>120</v>
      </c>
      <c r="F897" s="67" t="s">
        <v>2530</v>
      </c>
      <c r="G897" s="66" t="s">
        <v>2323</v>
      </c>
      <c r="I897"/>
    </row>
    <row r="898" spans="1:9" ht="17.25">
      <c r="A898" s="92" t="s">
        <v>2720</v>
      </c>
      <c r="B898" s="92"/>
      <c r="C898" s="92"/>
      <c r="D898" s="92"/>
      <c r="E898" s="93"/>
      <c r="F898" s="92"/>
      <c r="G898" s="92"/>
      <c r="I898"/>
    </row>
    <row r="899" spans="1:9" ht="15">
      <c r="A899" s="66" t="s">
        <v>2476</v>
      </c>
      <c r="B899" s="66" t="s">
        <v>2477</v>
      </c>
      <c r="C899" s="66" t="s">
        <v>120</v>
      </c>
      <c r="D899" s="66" t="s">
        <v>2715</v>
      </c>
      <c r="E899" s="67" t="s">
        <v>120</v>
      </c>
      <c r="F899" s="67" t="s">
        <v>2530</v>
      </c>
      <c r="G899" s="66" t="s">
        <v>2478</v>
      </c>
      <c r="I899"/>
    </row>
    <row r="900" spans="1:9" ht="15">
      <c r="A900" s="65" t="s">
        <v>2333</v>
      </c>
      <c r="B900" s="65" t="s">
        <v>2334</v>
      </c>
      <c r="C900" s="65" t="s">
        <v>2335</v>
      </c>
      <c r="D900" s="65" t="s">
        <v>2715</v>
      </c>
      <c r="E900" s="91" t="s">
        <v>2647</v>
      </c>
      <c r="F900" s="65" t="s">
        <v>2292</v>
      </c>
      <c r="G900" s="65" t="s">
        <v>2323</v>
      </c>
      <c r="I900"/>
    </row>
    <row r="901" spans="1:9" ht="15">
      <c r="A901" s="65" t="s">
        <v>2336</v>
      </c>
      <c r="B901" s="65" t="s">
        <v>2334</v>
      </c>
      <c r="C901" s="65" t="s">
        <v>2329</v>
      </c>
      <c r="D901" s="65" t="s">
        <v>2715</v>
      </c>
      <c r="E901" s="91" t="s">
        <v>2647</v>
      </c>
      <c r="F901" s="65" t="s">
        <v>2292</v>
      </c>
      <c r="G901" s="65" t="s">
        <v>2323</v>
      </c>
      <c r="I901"/>
    </row>
    <row r="902" spans="1:9" ht="15">
      <c r="A902" s="65" t="s">
        <v>2337</v>
      </c>
      <c r="B902" s="65" t="s">
        <v>2334</v>
      </c>
      <c r="C902" s="65" t="s">
        <v>2329</v>
      </c>
      <c r="D902" s="65" t="s">
        <v>2715</v>
      </c>
      <c r="E902" s="91" t="s">
        <v>2647</v>
      </c>
      <c r="F902" s="65" t="s">
        <v>2292</v>
      </c>
      <c r="G902" s="65" t="s">
        <v>2323</v>
      </c>
      <c r="I902"/>
    </row>
    <row r="903" spans="1:9" ht="15">
      <c r="A903" s="65" t="s">
        <v>2338</v>
      </c>
      <c r="B903" s="65" t="s">
        <v>2339</v>
      </c>
      <c r="C903" s="65" t="s">
        <v>2329</v>
      </c>
      <c r="D903" s="65" t="s">
        <v>2715</v>
      </c>
      <c r="E903" s="91" t="s">
        <v>2647</v>
      </c>
      <c r="F903" s="65" t="s">
        <v>2292</v>
      </c>
      <c r="G903" s="65" t="s">
        <v>2323</v>
      </c>
      <c r="I903"/>
    </row>
    <row r="904" spans="1:9" ht="15">
      <c r="A904" s="65" t="s">
        <v>2340</v>
      </c>
      <c r="B904" s="65"/>
      <c r="C904" s="65" t="s">
        <v>2329</v>
      </c>
      <c r="D904" s="65" t="s">
        <v>2715</v>
      </c>
      <c r="E904" s="91" t="s">
        <v>2647</v>
      </c>
      <c r="F904" s="65" t="s">
        <v>2292</v>
      </c>
      <c r="G904" s="65" t="s">
        <v>2323</v>
      </c>
      <c r="I904"/>
    </row>
    <row r="905" spans="1:9" ht="15">
      <c r="A905" s="65" t="s">
        <v>2341</v>
      </c>
      <c r="B905" s="65"/>
      <c r="C905" s="65" t="s">
        <v>2329</v>
      </c>
      <c r="D905" s="65" t="s">
        <v>2715</v>
      </c>
      <c r="E905" s="91" t="s">
        <v>2647</v>
      </c>
      <c r="F905" s="65" t="s">
        <v>2292</v>
      </c>
      <c r="G905" s="65" t="s">
        <v>2323</v>
      </c>
      <c r="I905"/>
    </row>
    <row r="906" spans="1:9" ht="15">
      <c r="A906" s="65" t="s">
        <v>2342</v>
      </c>
      <c r="B906" s="65"/>
      <c r="C906" s="65" t="s">
        <v>2329</v>
      </c>
      <c r="D906" s="65" t="s">
        <v>2715</v>
      </c>
      <c r="E906" s="91" t="s">
        <v>2647</v>
      </c>
      <c r="F906" s="65" t="s">
        <v>2292</v>
      </c>
      <c r="G906" s="65" t="s">
        <v>2323</v>
      </c>
      <c r="I906"/>
    </row>
    <row r="907" spans="1:9" ht="17.25">
      <c r="A907" s="92" t="s">
        <v>2721</v>
      </c>
      <c r="B907" s="92"/>
      <c r="C907" s="92"/>
      <c r="D907" s="92"/>
      <c r="E907" s="93"/>
      <c r="F907" s="92"/>
      <c r="G907" s="92"/>
      <c r="I907"/>
    </row>
    <row r="908" spans="1:9" ht="15">
      <c r="A908" s="66" t="s">
        <v>2480</v>
      </c>
      <c r="B908" s="66" t="s">
        <v>2481</v>
      </c>
      <c r="C908" s="66" t="s">
        <v>120</v>
      </c>
      <c r="D908" s="66" t="s">
        <v>2715</v>
      </c>
      <c r="E908" s="67" t="s">
        <v>120</v>
      </c>
      <c r="F908" s="67" t="s">
        <v>2530</v>
      </c>
      <c r="G908" s="66" t="s">
        <v>2323</v>
      </c>
      <c r="I908"/>
    </row>
    <row r="909" spans="1:9" ht="15">
      <c r="A909" s="66" t="s">
        <v>2482</v>
      </c>
      <c r="B909" s="66" t="s">
        <v>2483</v>
      </c>
      <c r="C909" s="66" t="s">
        <v>120</v>
      </c>
      <c r="D909" s="66" t="s">
        <v>2715</v>
      </c>
      <c r="E909" s="67" t="s">
        <v>120</v>
      </c>
      <c r="F909" s="67" t="s">
        <v>2530</v>
      </c>
      <c r="G909" s="66" t="s">
        <v>2323</v>
      </c>
      <c r="I909"/>
    </row>
    <row r="910" spans="1:9" ht="15">
      <c r="A910" s="66" t="s">
        <v>2484</v>
      </c>
      <c r="B910" s="66" t="s">
        <v>2483</v>
      </c>
      <c r="C910" s="66" t="s">
        <v>2485</v>
      </c>
      <c r="D910" s="66" t="s">
        <v>2715</v>
      </c>
      <c r="E910" s="67" t="s">
        <v>120</v>
      </c>
      <c r="F910" s="67" t="s">
        <v>2530</v>
      </c>
      <c r="G910" s="66" t="s">
        <v>2486</v>
      </c>
      <c r="I910"/>
    </row>
    <row r="911" spans="1:9" ht="15">
      <c r="A911" s="66" t="s">
        <v>2487</v>
      </c>
      <c r="B911" s="66" t="s">
        <v>2488</v>
      </c>
      <c r="C911" s="66" t="s">
        <v>120</v>
      </c>
      <c r="D911" s="66" t="s">
        <v>2715</v>
      </c>
      <c r="E911" s="67" t="s">
        <v>120</v>
      </c>
      <c r="F911" s="67" t="s">
        <v>2530</v>
      </c>
      <c r="G911" s="66" t="s">
        <v>2323</v>
      </c>
      <c r="I911"/>
    </row>
    <row r="912" spans="1:9" ht="15">
      <c r="A912" s="66" t="s">
        <v>2344</v>
      </c>
      <c r="B912" s="66"/>
      <c r="C912" s="66" t="s">
        <v>2345</v>
      </c>
      <c r="D912" s="66" t="s">
        <v>2715</v>
      </c>
      <c r="E912" s="67" t="s">
        <v>120</v>
      </c>
      <c r="F912" s="67" t="s">
        <v>2530</v>
      </c>
      <c r="G912" s="66" t="s">
        <v>2323</v>
      </c>
      <c r="I912"/>
    </row>
    <row r="913" spans="1:9" ht="15">
      <c r="A913" s="65" t="s">
        <v>2347</v>
      </c>
      <c r="B913" s="65"/>
      <c r="C913" s="65" t="s">
        <v>2329</v>
      </c>
      <c r="D913" s="65" t="s">
        <v>2715</v>
      </c>
      <c r="E913" s="91" t="s">
        <v>2647</v>
      </c>
      <c r="F913" s="65" t="s">
        <v>2292</v>
      </c>
      <c r="G913" s="65" t="s">
        <v>2323</v>
      </c>
      <c r="I913"/>
    </row>
    <row r="914" spans="1:9" ht="15">
      <c r="A914" s="65" t="s">
        <v>2348</v>
      </c>
      <c r="B914" s="65"/>
      <c r="C914" s="65" t="s">
        <v>2329</v>
      </c>
      <c r="D914" s="65" t="s">
        <v>2715</v>
      </c>
      <c r="E914" s="91" t="s">
        <v>2647</v>
      </c>
      <c r="F914" s="65" t="s">
        <v>2292</v>
      </c>
      <c r="G914" s="65" t="s">
        <v>2323</v>
      </c>
      <c r="I914"/>
    </row>
    <row r="915" spans="1:9" ht="15">
      <c r="A915" s="66" t="s">
        <v>2489</v>
      </c>
      <c r="B915" s="66" t="s">
        <v>2483</v>
      </c>
      <c r="C915" s="66" t="s">
        <v>2490</v>
      </c>
      <c r="D915" s="66" t="s">
        <v>2715</v>
      </c>
      <c r="E915" s="67" t="s">
        <v>2490</v>
      </c>
      <c r="F915" s="67" t="s">
        <v>2530</v>
      </c>
      <c r="G915" s="66" t="s">
        <v>2323</v>
      </c>
      <c r="I915"/>
    </row>
    <row r="916" spans="1:9" ht="15">
      <c r="A916" s="66" t="s">
        <v>2491</v>
      </c>
      <c r="B916" s="66" t="s">
        <v>2488</v>
      </c>
      <c r="C916" s="66" t="s">
        <v>120</v>
      </c>
      <c r="D916" s="66" t="s">
        <v>2715</v>
      </c>
      <c r="E916" s="67" t="s">
        <v>120</v>
      </c>
      <c r="F916" s="67" t="s">
        <v>2530</v>
      </c>
      <c r="G916" s="66" t="s">
        <v>2323</v>
      </c>
      <c r="I916"/>
    </row>
    <row r="917" spans="1:9" ht="15">
      <c r="A917" s="66" t="s">
        <v>2397</v>
      </c>
      <c r="B917" s="66"/>
      <c r="C917" s="66" t="s">
        <v>621</v>
      </c>
      <c r="D917" s="66" t="s">
        <v>2715</v>
      </c>
      <c r="E917" s="67" t="s">
        <v>621</v>
      </c>
      <c r="F917" s="67" t="s">
        <v>2530</v>
      </c>
      <c r="G917" s="66" t="s">
        <v>2398</v>
      </c>
      <c r="I917"/>
    </row>
    <row r="918" spans="1:9" ht="17.25">
      <c r="A918" s="92" t="s">
        <v>2722</v>
      </c>
      <c r="B918" s="92"/>
      <c r="C918" s="92"/>
      <c r="D918" s="92"/>
      <c r="E918" s="93"/>
      <c r="F918" s="92"/>
      <c r="G918" s="92"/>
      <c r="I918"/>
    </row>
    <row r="919" spans="1:9" ht="15">
      <c r="A919" s="66" t="s">
        <v>2493</v>
      </c>
      <c r="B919" s="66"/>
      <c r="C919" s="66" t="s">
        <v>2490</v>
      </c>
      <c r="D919" s="66" t="s">
        <v>2715</v>
      </c>
      <c r="E919" s="67" t="s">
        <v>2490</v>
      </c>
      <c r="F919" s="67" t="s">
        <v>2530</v>
      </c>
      <c r="G919" s="66" t="s">
        <v>2323</v>
      </c>
      <c r="I919"/>
    </row>
    <row r="920" spans="1:9" ht="15">
      <c r="A920" s="66" t="s">
        <v>2494</v>
      </c>
      <c r="B920" s="66"/>
      <c r="C920" s="66" t="s">
        <v>2490</v>
      </c>
      <c r="D920" s="66" t="s">
        <v>2715</v>
      </c>
      <c r="E920" s="67" t="s">
        <v>2490</v>
      </c>
      <c r="F920" s="67" t="s">
        <v>2530</v>
      </c>
      <c r="G920" s="66" t="s">
        <v>2323</v>
      </c>
      <c r="I920"/>
    </row>
    <row r="921" spans="1:9" ht="15">
      <c r="A921" s="66" t="s">
        <v>2400</v>
      </c>
      <c r="B921" s="66"/>
      <c r="C921" s="66" t="s">
        <v>2401</v>
      </c>
      <c r="D921" s="66" t="s">
        <v>2715</v>
      </c>
      <c r="E921" s="67" t="s">
        <v>2401</v>
      </c>
      <c r="F921" s="67" t="s">
        <v>2530</v>
      </c>
      <c r="G921" s="66" t="s">
        <v>2323</v>
      </c>
      <c r="I921"/>
    </row>
    <row r="922" spans="1:9" ht="15">
      <c r="A922" s="66" t="s">
        <v>2495</v>
      </c>
      <c r="B922" s="66" t="s">
        <v>2483</v>
      </c>
      <c r="C922" s="66" t="s">
        <v>120</v>
      </c>
      <c r="D922" s="66" t="s">
        <v>2715</v>
      </c>
      <c r="E922" s="67" t="s">
        <v>120</v>
      </c>
      <c r="F922" s="67" t="s">
        <v>2530</v>
      </c>
      <c r="G922" s="66" t="s">
        <v>2323</v>
      </c>
      <c r="I922"/>
    </row>
    <row r="923" spans="1:9" ht="15">
      <c r="A923" s="66" t="s">
        <v>2496</v>
      </c>
      <c r="B923" s="66" t="s">
        <v>2483</v>
      </c>
      <c r="C923" s="66" t="s">
        <v>120</v>
      </c>
      <c r="D923" s="66" t="s">
        <v>2715</v>
      </c>
      <c r="E923" s="67" t="s">
        <v>120</v>
      </c>
      <c r="F923" s="67" t="s">
        <v>2530</v>
      </c>
      <c r="G923" s="66" t="s">
        <v>2323</v>
      </c>
      <c r="I923"/>
    </row>
    <row r="924" spans="1:9" ht="15">
      <c r="A924" s="66" t="s">
        <v>2497</v>
      </c>
      <c r="B924" s="66" t="s">
        <v>2339</v>
      </c>
      <c r="C924" s="66" t="s">
        <v>120</v>
      </c>
      <c r="D924" s="66" t="s">
        <v>2715</v>
      </c>
      <c r="E924" s="67" t="s">
        <v>120</v>
      </c>
      <c r="F924" s="67" t="s">
        <v>2530</v>
      </c>
      <c r="G924" s="66" t="s">
        <v>2323</v>
      </c>
      <c r="I924"/>
    </row>
    <row r="925" spans="1:9" ht="15">
      <c r="A925" s="66" t="s">
        <v>2498</v>
      </c>
      <c r="B925" s="66" t="s">
        <v>2499</v>
      </c>
      <c r="C925" s="66" t="s">
        <v>2490</v>
      </c>
      <c r="D925" s="66" t="s">
        <v>2715</v>
      </c>
      <c r="E925" s="67" t="s">
        <v>2490</v>
      </c>
      <c r="F925" s="67" t="s">
        <v>2530</v>
      </c>
      <c r="G925" s="66" t="s">
        <v>2323</v>
      </c>
      <c r="I925"/>
    </row>
    <row r="926" spans="1:9" ht="15">
      <c r="A926" s="66" t="s">
        <v>2500</v>
      </c>
      <c r="B926" s="66" t="s">
        <v>2499</v>
      </c>
      <c r="C926" s="66" t="s">
        <v>2490</v>
      </c>
      <c r="D926" s="66" t="s">
        <v>2715</v>
      </c>
      <c r="E926" s="67" t="s">
        <v>2490</v>
      </c>
      <c r="F926" s="67" t="s">
        <v>2530</v>
      </c>
      <c r="G926" s="66" t="s">
        <v>2323</v>
      </c>
      <c r="I926"/>
    </row>
    <row r="927" spans="1:9" ht="15">
      <c r="A927" s="65" t="s">
        <v>2350</v>
      </c>
      <c r="B927" s="65"/>
      <c r="C927" s="65" t="s">
        <v>2329</v>
      </c>
      <c r="D927" s="65" t="s">
        <v>2715</v>
      </c>
      <c r="E927" s="91" t="s">
        <v>2647</v>
      </c>
      <c r="F927" s="65" t="s">
        <v>2292</v>
      </c>
      <c r="G927" s="65" t="s">
        <v>2323</v>
      </c>
      <c r="I927"/>
    </row>
    <row r="928" spans="1:9" ht="15">
      <c r="A928" s="66" t="s">
        <v>2501</v>
      </c>
      <c r="B928" s="66" t="s">
        <v>2499</v>
      </c>
      <c r="C928" s="66" t="s">
        <v>120</v>
      </c>
      <c r="D928" s="66" t="s">
        <v>2715</v>
      </c>
      <c r="E928" s="67" t="s">
        <v>120</v>
      </c>
      <c r="F928" s="67" t="s">
        <v>2530</v>
      </c>
      <c r="G928" s="66" t="s">
        <v>2502</v>
      </c>
      <c r="I928"/>
    </row>
    <row r="929" spans="1:9" ht="17.25">
      <c r="A929" s="92" t="s">
        <v>2723</v>
      </c>
      <c r="B929" s="92"/>
      <c r="C929" s="92"/>
      <c r="D929" s="92"/>
      <c r="E929" s="93"/>
      <c r="F929" s="92"/>
      <c r="G929" s="92"/>
      <c r="I929"/>
    </row>
    <row r="930" spans="1:9" ht="15">
      <c r="A930" s="66" t="s">
        <v>2504</v>
      </c>
      <c r="B930" s="66" t="s">
        <v>2505</v>
      </c>
      <c r="C930" s="66" t="s">
        <v>120</v>
      </c>
      <c r="D930" s="66" t="s">
        <v>2715</v>
      </c>
      <c r="E930" s="67" t="s">
        <v>120</v>
      </c>
      <c r="F930" s="67" t="s">
        <v>2530</v>
      </c>
      <c r="G930" s="66" t="s">
        <v>2323</v>
      </c>
      <c r="I930"/>
    </row>
    <row r="931" spans="1:9" ht="15">
      <c r="A931" s="66" t="s">
        <v>2506</v>
      </c>
      <c r="B931" s="66" t="s">
        <v>2435</v>
      </c>
      <c r="C931" s="66" t="s">
        <v>120</v>
      </c>
      <c r="D931" s="66" t="s">
        <v>2715</v>
      </c>
      <c r="E931" s="67" t="s">
        <v>120</v>
      </c>
      <c r="F931" s="67" t="s">
        <v>2530</v>
      </c>
      <c r="G931" s="66" t="s">
        <v>2323</v>
      </c>
      <c r="I931"/>
    </row>
    <row r="932" spans="1:9" ht="15">
      <c r="A932" s="66" t="s">
        <v>2507</v>
      </c>
      <c r="B932" s="66" t="s">
        <v>2435</v>
      </c>
      <c r="C932" s="66" t="s">
        <v>120</v>
      </c>
      <c r="D932" s="66" t="s">
        <v>2715</v>
      </c>
      <c r="E932" s="67" t="s">
        <v>120</v>
      </c>
      <c r="F932" s="67" t="s">
        <v>2530</v>
      </c>
      <c r="G932" s="66" t="s">
        <v>2323</v>
      </c>
      <c r="I932"/>
    </row>
    <row r="933" spans="1:9" ht="17.25">
      <c r="A933" s="92" t="s">
        <v>2724</v>
      </c>
      <c r="B933" s="92"/>
      <c r="C933" s="92"/>
      <c r="D933" s="92"/>
      <c r="E933" s="93"/>
      <c r="F933" s="92"/>
      <c r="G933" s="92"/>
      <c r="I933"/>
    </row>
    <row r="934" spans="1:9" ht="15">
      <c r="A934" s="66" t="s">
        <v>2403</v>
      </c>
      <c r="B934" s="66" t="s">
        <v>2404</v>
      </c>
      <c r="C934" s="66" t="s">
        <v>621</v>
      </c>
      <c r="D934" s="66" t="s">
        <v>2715</v>
      </c>
      <c r="E934" s="67" t="s">
        <v>621</v>
      </c>
      <c r="F934" s="67" t="s">
        <v>2530</v>
      </c>
      <c r="G934" s="66" t="s">
        <v>2405</v>
      </c>
      <c r="I934"/>
    </row>
    <row r="935" spans="1:9" ht="15">
      <c r="A935" s="66" t="s">
        <v>2406</v>
      </c>
      <c r="B935" s="66" t="s">
        <v>2407</v>
      </c>
      <c r="C935" s="66" t="s">
        <v>2408</v>
      </c>
      <c r="D935" s="66" t="s">
        <v>2715</v>
      </c>
      <c r="E935" s="67" t="s">
        <v>621</v>
      </c>
      <c r="F935" s="67" t="s">
        <v>2530</v>
      </c>
      <c r="G935" s="66" t="s">
        <v>2409</v>
      </c>
      <c r="I935"/>
    </row>
    <row r="936" spans="1:9" ht="15">
      <c r="A936" s="66" t="s">
        <v>2509</v>
      </c>
      <c r="B936" s="66" t="s">
        <v>2353</v>
      </c>
      <c r="C936" s="66" t="s">
        <v>2490</v>
      </c>
      <c r="D936" s="66" t="s">
        <v>2715</v>
      </c>
      <c r="E936" s="67" t="s">
        <v>2490</v>
      </c>
      <c r="F936" s="67" t="s">
        <v>2530</v>
      </c>
      <c r="G936" s="66" t="s">
        <v>2510</v>
      </c>
      <c r="I936"/>
    </row>
    <row r="937" spans="1:9" ht="15">
      <c r="A937" s="66" t="s">
        <v>2511</v>
      </c>
      <c r="B937" s="66" t="s">
        <v>2407</v>
      </c>
      <c r="C937" s="66" t="s">
        <v>120</v>
      </c>
      <c r="D937" s="66" t="s">
        <v>2715</v>
      </c>
      <c r="E937" s="67" t="s">
        <v>120</v>
      </c>
      <c r="F937" s="67" t="s">
        <v>2530</v>
      </c>
      <c r="G937" s="66" t="s">
        <v>2512</v>
      </c>
      <c r="I937"/>
    </row>
    <row r="938" spans="1:9" ht="15">
      <c r="A938" s="66" t="s">
        <v>2513</v>
      </c>
      <c r="B938" s="66" t="s">
        <v>2404</v>
      </c>
      <c r="C938" s="66" t="s">
        <v>120</v>
      </c>
      <c r="D938" s="66" t="s">
        <v>2715</v>
      </c>
      <c r="E938" s="67" t="s">
        <v>120</v>
      </c>
      <c r="F938" s="67" t="s">
        <v>2530</v>
      </c>
      <c r="G938" s="66" t="s">
        <v>2514</v>
      </c>
      <c r="I938"/>
    </row>
    <row r="939" spans="1:9" ht="15">
      <c r="A939" s="66" t="s">
        <v>2515</v>
      </c>
      <c r="B939" s="66" t="s">
        <v>2516</v>
      </c>
      <c r="C939" s="66" t="s">
        <v>120</v>
      </c>
      <c r="D939" s="66" t="s">
        <v>2715</v>
      </c>
      <c r="E939" s="67" t="s">
        <v>120</v>
      </c>
      <c r="F939" s="67" t="s">
        <v>2530</v>
      </c>
      <c r="G939" s="66" t="s">
        <v>2517</v>
      </c>
      <c r="I939"/>
    </row>
    <row r="940" spans="1:9" ht="15">
      <c r="A940" s="65" t="s">
        <v>2358</v>
      </c>
      <c r="B940" s="65"/>
      <c r="C940" s="65" t="s">
        <v>2329</v>
      </c>
      <c r="D940" s="65" t="s">
        <v>2715</v>
      </c>
      <c r="E940" s="91" t="s">
        <v>2647</v>
      </c>
      <c r="F940" s="65" t="s">
        <v>2292</v>
      </c>
      <c r="G940" s="65" t="s">
        <v>2323</v>
      </c>
      <c r="I940"/>
    </row>
    <row r="941" spans="1:9" ht="17.25">
      <c r="A941" s="92" t="s">
        <v>2725</v>
      </c>
      <c r="B941" s="92"/>
      <c r="C941" s="92"/>
      <c r="D941" s="92"/>
      <c r="E941" s="93"/>
      <c r="F941" s="92"/>
      <c r="G941" s="92"/>
      <c r="I941"/>
    </row>
    <row r="942" spans="1:9" ht="15">
      <c r="A942" s="66" t="s">
        <v>2411</v>
      </c>
      <c r="B942" s="66" t="s">
        <v>2412</v>
      </c>
      <c r="C942" s="66" t="s">
        <v>621</v>
      </c>
      <c r="D942" s="66" t="s">
        <v>2715</v>
      </c>
      <c r="E942" s="67" t="s">
        <v>621</v>
      </c>
      <c r="F942" s="67" t="s">
        <v>2530</v>
      </c>
      <c r="G942" s="66" t="s">
        <v>2323</v>
      </c>
      <c r="I942"/>
    </row>
    <row r="943" spans="1:9" ht="15">
      <c r="A943" s="66" t="s">
        <v>2519</v>
      </c>
      <c r="B943" s="66" t="s">
        <v>2407</v>
      </c>
      <c r="C943" s="66" t="s">
        <v>120</v>
      </c>
      <c r="D943" s="66" t="s">
        <v>2715</v>
      </c>
      <c r="E943" s="67" t="s">
        <v>120</v>
      </c>
      <c r="F943" s="67" t="s">
        <v>2530</v>
      </c>
      <c r="G943" s="66" t="s">
        <v>2520</v>
      </c>
      <c r="I943"/>
    </row>
    <row r="944" spans="1:9" ht="15">
      <c r="A944" s="66" t="s">
        <v>2521</v>
      </c>
      <c r="B944" s="66" t="s">
        <v>2407</v>
      </c>
      <c r="C944" s="66" t="s">
        <v>120</v>
      </c>
      <c r="D944" s="66" t="s">
        <v>2715</v>
      </c>
      <c r="E944" s="67" t="s">
        <v>120</v>
      </c>
      <c r="F944" s="67" t="s">
        <v>2530</v>
      </c>
      <c r="G944" s="66" t="s">
        <v>2323</v>
      </c>
      <c r="I944"/>
    </row>
    <row r="945" spans="1:9" ht="15">
      <c r="A945" s="66" t="s">
        <v>2522</v>
      </c>
      <c r="B945" s="66" t="s">
        <v>2523</v>
      </c>
      <c r="C945" s="66" t="s">
        <v>120</v>
      </c>
      <c r="D945" s="66" t="s">
        <v>2715</v>
      </c>
      <c r="E945" s="67" t="s">
        <v>120</v>
      </c>
      <c r="F945" s="67" t="s">
        <v>2530</v>
      </c>
      <c r="G945" s="66" t="s">
        <v>2524</v>
      </c>
      <c r="I945"/>
    </row>
    <row r="946" spans="1:9" ht="15">
      <c r="A946" s="66" t="s">
        <v>2525</v>
      </c>
      <c r="B946" s="66" t="s">
        <v>2412</v>
      </c>
      <c r="C946" s="66" t="s">
        <v>120</v>
      </c>
      <c r="D946" s="66" t="s">
        <v>2715</v>
      </c>
      <c r="E946" s="67" t="s">
        <v>120</v>
      </c>
      <c r="F946" s="67" t="s">
        <v>2530</v>
      </c>
      <c r="G946" s="66" t="s">
        <v>2520</v>
      </c>
      <c r="I946"/>
    </row>
    <row r="947" spans="1:9" ht="15">
      <c r="A947" s="66" t="s">
        <v>2526</v>
      </c>
      <c r="B947" s="66" t="s">
        <v>2412</v>
      </c>
      <c r="C947" s="66" t="s">
        <v>120</v>
      </c>
      <c r="D947" s="66" t="s">
        <v>2715</v>
      </c>
      <c r="E947" s="67" t="s">
        <v>120</v>
      </c>
      <c r="F947" s="67" t="s">
        <v>2530</v>
      </c>
      <c r="G947" s="66" t="s">
        <v>2527</v>
      </c>
      <c r="I947"/>
    </row>
    <row r="948" spans="1:9" ht="15">
      <c r="A948" s="66" t="s">
        <v>2528</v>
      </c>
      <c r="B948" s="66" t="s">
        <v>2529</v>
      </c>
      <c r="C948" s="66" t="s">
        <v>2490</v>
      </c>
      <c r="D948" s="66" t="s">
        <v>2715</v>
      </c>
      <c r="E948" s="67" t="s">
        <v>2490</v>
      </c>
      <c r="F948" s="67" t="s">
        <v>2530</v>
      </c>
      <c r="G948" s="66" t="s">
        <v>2323</v>
      </c>
      <c r="I948"/>
    </row>
    <row r="949" spans="1:9" ht="15">
      <c r="A949" s="66" t="s">
        <v>2413</v>
      </c>
      <c r="B949" s="66" t="s">
        <v>2407</v>
      </c>
      <c r="C949" s="66" t="s">
        <v>2414</v>
      </c>
      <c r="D949" s="66" t="s">
        <v>2715</v>
      </c>
      <c r="E949" s="67" t="s">
        <v>2657</v>
      </c>
      <c r="F949" s="67" t="s">
        <v>2530</v>
      </c>
      <c r="G949" s="66" t="s">
        <v>2416</v>
      </c>
      <c r="I949"/>
    </row>
    <row r="950" spans="1:9" ht="15">
      <c r="A950" s="66" t="s">
        <v>2532</v>
      </c>
      <c r="B950" s="66" t="s">
        <v>2529</v>
      </c>
      <c r="C950" s="66" t="s">
        <v>2533</v>
      </c>
      <c r="D950" s="66" t="s">
        <v>2715</v>
      </c>
      <c r="E950" s="67" t="s">
        <v>120</v>
      </c>
      <c r="F950" s="67" t="s">
        <v>2530</v>
      </c>
      <c r="G950" s="66" t="s">
        <v>2323</v>
      </c>
      <c r="I950"/>
    </row>
    <row r="951" spans="1:9" ht="15">
      <c r="A951" s="66" t="s">
        <v>2417</v>
      </c>
      <c r="B951" s="66"/>
      <c r="C951" s="66" t="s">
        <v>621</v>
      </c>
      <c r="D951" s="66" t="s">
        <v>2715</v>
      </c>
      <c r="E951" s="67" t="s">
        <v>621</v>
      </c>
      <c r="F951" s="67" t="s">
        <v>2530</v>
      </c>
      <c r="G951" s="66" t="s">
        <v>2361</v>
      </c>
      <c r="I951"/>
    </row>
    <row r="952" spans="1:9" ht="15">
      <c r="A952" s="66" t="s">
        <v>2534</v>
      </c>
      <c r="B952" s="66" t="s">
        <v>2363</v>
      </c>
      <c r="C952" s="66" t="s">
        <v>120</v>
      </c>
      <c r="D952" s="66" t="s">
        <v>2715</v>
      </c>
      <c r="E952" s="67" t="s">
        <v>120</v>
      </c>
      <c r="F952" s="67" t="s">
        <v>2530</v>
      </c>
      <c r="G952" s="66" t="s">
        <v>2535</v>
      </c>
      <c r="I952"/>
    </row>
    <row r="953" spans="1:9" ht="15">
      <c r="A953" s="65" t="s">
        <v>2362</v>
      </c>
      <c r="B953" s="65" t="s">
        <v>2363</v>
      </c>
      <c r="C953" s="65" t="s">
        <v>2364</v>
      </c>
      <c r="D953" s="65" t="s">
        <v>2715</v>
      </c>
      <c r="E953" s="91" t="s">
        <v>2418</v>
      </c>
      <c r="F953" s="65" t="s">
        <v>2292</v>
      </c>
      <c r="G953" s="65" t="s">
        <v>2323</v>
      </c>
      <c r="I953"/>
    </row>
    <row r="954" spans="1:9" ht="17.25">
      <c r="A954" s="92" t="s">
        <v>2726</v>
      </c>
      <c r="B954" s="92"/>
      <c r="C954" s="92"/>
      <c r="D954" s="92"/>
      <c r="E954" s="93"/>
      <c r="F954" s="92"/>
      <c r="G954" s="92"/>
      <c r="I954"/>
    </row>
    <row r="955" spans="1:9" ht="15">
      <c r="A955" s="66" t="s">
        <v>2420</v>
      </c>
      <c r="B955" s="66"/>
      <c r="C955" s="66" t="s">
        <v>621</v>
      </c>
      <c r="D955" s="66" t="s">
        <v>2715</v>
      </c>
      <c r="E955" s="67" t="s">
        <v>621</v>
      </c>
      <c r="F955" s="67" t="s">
        <v>2530</v>
      </c>
      <c r="G955" s="66" t="s">
        <v>2323</v>
      </c>
      <c r="I955"/>
    </row>
    <row r="956" spans="1:9" ht="15">
      <c r="A956" s="66" t="s">
        <v>2537</v>
      </c>
      <c r="B956" s="66" t="s">
        <v>2538</v>
      </c>
      <c r="C956" s="66" t="s">
        <v>120</v>
      </c>
      <c r="D956" s="66" t="s">
        <v>2715</v>
      </c>
      <c r="E956" s="67" t="s">
        <v>120</v>
      </c>
      <c r="F956" s="67" t="s">
        <v>2530</v>
      </c>
      <c r="G956" s="66" t="s">
        <v>2323</v>
      </c>
      <c r="I956"/>
    </row>
    <row r="957" spans="1:9" ht="15">
      <c r="A957" s="66" t="s">
        <v>2539</v>
      </c>
      <c r="B957" s="66" t="s">
        <v>2538</v>
      </c>
      <c r="C957" s="66" t="s">
        <v>2490</v>
      </c>
      <c r="D957" s="66" t="s">
        <v>2715</v>
      </c>
      <c r="E957" s="67" t="s">
        <v>2490</v>
      </c>
      <c r="F957" s="67" t="s">
        <v>2530</v>
      </c>
      <c r="G957" s="66" t="s">
        <v>2540</v>
      </c>
      <c r="I957"/>
    </row>
    <row r="958" spans="1:9" ht="15">
      <c r="A958" s="66" t="s">
        <v>2541</v>
      </c>
      <c r="B958" s="66" t="s">
        <v>2542</v>
      </c>
      <c r="C958" s="66" t="s">
        <v>2543</v>
      </c>
      <c r="D958" s="66" t="s">
        <v>2715</v>
      </c>
      <c r="E958" s="67" t="s">
        <v>120</v>
      </c>
      <c r="F958" s="67" t="s">
        <v>2530</v>
      </c>
      <c r="G958" s="66" t="s">
        <v>2323</v>
      </c>
      <c r="I958"/>
    </row>
    <row r="959" spans="1:9" ht="15">
      <c r="A959" s="66" t="s">
        <v>2421</v>
      </c>
      <c r="B959" s="66" t="s">
        <v>2422</v>
      </c>
      <c r="C959" s="66" t="s">
        <v>2423</v>
      </c>
      <c r="D959" s="66" t="s">
        <v>2715</v>
      </c>
      <c r="E959" s="67" t="s">
        <v>2659</v>
      </c>
      <c r="F959" s="67" t="s">
        <v>2530</v>
      </c>
      <c r="G959" s="66" t="s">
        <v>2425</v>
      </c>
      <c r="I959"/>
    </row>
    <row r="960" spans="1:9" ht="15">
      <c r="A960" s="66" t="s">
        <v>2545</v>
      </c>
      <c r="B960" s="66" t="s">
        <v>2422</v>
      </c>
      <c r="C960" s="66" t="s">
        <v>2461</v>
      </c>
      <c r="D960" s="66" t="s">
        <v>2715</v>
      </c>
      <c r="E960" s="67" t="s">
        <v>120</v>
      </c>
      <c r="F960" s="67" t="s">
        <v>2530</v>
      </c>
      <c r="G960" s="66" t="s">
        <v>2546</v>
      </c>
      <c r="I960"/>
    </row>
    <row r="961" spans="1:9" ht="15">
      <c r="A961" s="66" t="s">
        <v>2547</v>
      </c>
      <c r="B961" s="66" t="s">
        <v>2538</v>
      </c>
      <c r="C961" s="66" t="s">
        <v>2548</v>
      </c>
      <c r="D961" s="66" t="s">
        <v>2715</v>
      </c>
      <c r="E961" s="67" t="s">
        <v>120</v>
      </c>
      <c r="F961" s="67" t="s">
        <v>2530</v>
      </c>
      <c r="G961" s="66" t="s">
        <v>2323</v>
      </c>
      <c r="I961"/>
    </row>
    <row r="962" spans="1:9" ht="15">
      <c r="A962" s="66" t="s">
        <v>2549</v>
      </c>
      <c r="B962" s="66" t="s">
        <v>2538</v>
      </c>
      <c r="C962" s="66" t="s">
        <v>2550</v>
      </c>
      <c r="D962" s="66" t="s">
        <v>2715</v>
      </c>
      <c r="E962" s="67" t="s">
        <v>120</v>
      </c>
      <c r="F962" s="67" t="s">
        <v>2530</v>
      </c>
      <c r="G962" s="66" t="s">
        <v>2551</v>
      </c>
      <c r="I962"/>
    </row>
    <row r="963" spans="1:9" ht="15">
      <c r="A963" s="66" t="s">
        <v>2552</v>
      </c>
      <c r="B963" s="66" t="s">
        <v>2538</v>
      </c>
      <c r="C963" s="66" t="s">
        <v>2553</v>
      </c>
      <c r="D963" s="66" t="s">
        <v>2715</v>
      </c>
      <c r="E963" s="67" t="s">
        <v>120</v>
      </c>
      <c r="F963" s="67" t="s">
        <v>2530</v>
      </c>
      <c r="G963" s="66" t="s">
        <v>2323</v>
      </c>
      <c r="I963"/>
    </row>
    <row r="964" spans="1:9" ht="17.25">
      <c r="A964" s="92" t="s">
        <v>2727</v>
      </c>
      <c r="B964" s="92"/>
      <c r="C964" s="92"/>
      <c r="D964" s="92"/>
      <c r="E964" s="93"/>
      <c r="F964" s="92"/>
      <c r="G964" s="92"/>
      <c r="I964"/>
    </row>
    <row r="965" spans="1:9" ht="15">
      <c r="A965" s="66" t="s">
        <v>2427</v>
      </c>
      <c r="B965" s="66" t="s">
        <v>2370</v>
      </c>
      <c r="C965" s="66" t="s">
        <v>2428</v>
      </c>
      <c r="D965" s="66" t="s">
        <v>2715</v>
      </c>
      <c r="E965" s="67" t="s">
        <v>2719</v>
      </c>
      <c r="F965" s="67" t="s">
        <v>2530</v>
      </c>
      <c r="G965" s="66" t="s">
        <v>2429</v>
      </c>
      <c r="I965"/>
    </row>
    <row r="966" spans="1:9" ht="15">
      <c r="A966" s="66" t="s">
        <v>2555</v>
      </c>
      <c r="B966" s="66" t="s">
        <v>2363</v>
      </c>
      <c r="C966" s="66" t="s">
        <v>2556</v>
      </c>
      <c r="D966" s="66" t="s">
        <v>2715</v>
      </c>
      <c r="E966" s="67" t="s">
        <v>120</v>
      </c>
      <c r="F966" s="67" t="s">
        <v>2530</v>
      </c>
      <c r="G966" s="66" t="s">
        <v>2557</v>
      </c>
      <c r="I966"/>
    </row>
    <row r="967" spans="1:9" ht="15">
      <c r="A967" s="66" t="s">
        <v>2558</v>
      </c>
      <c r="B967" s="66" t="s">
        <v>2559</v>
      </c>
      <c r="C967" s="66" t="s">
        <v>2560</v>
      </c>
      <c r="D967" s="66" t="s">
        <v>2715</v>
      </c>
      <c r="E967" s="67" t="s">
        <v>120</v>
      </c>
      <c r="F967" s="67" t="s">
        <v>2530</v>
      </c>
      <c r="G967" s="66" t="s">
        <v>2561</v>
      </c>
      <c r="I967"/>
    </row>
    <row r="968" spans="1:9" ht="15">
      <c r="A968" s="66" t="s">
        <v>2562</v>
      </c>
      <c r="B968" s="66" t="s">
        <v>2370</v>
      </c>
      <c r="C968" s="66" t="s">
        <v>120</v>
      </c>
      <c r="D968" s="66" t="s">
        <v>2715</v>
      </c>
      <c r="E968" s="67" t="s">
        <v>120</v>
      </c>
      <c r="F968" s="67" t="s">
        <v>2530</v>
      </c>
      <c r="G968" s="66" t="s">
        <v>2563</v>
      </c>
      <c r="I968"/>
    </row>
    <row r="969" spans="1:9" ht="15">
      <c r="A969" s="65" t="s">
        <v>2372</v>
      </c>
      <c r="B969" s="65"/>
      <c r="C969" s="65" t="s">
        <v>2329</v>
      </c>
      <c r="D969" s="65" t="s">
        <v>2715</v>
      </c>
      <c r="E969" s="91" t="s">
        <v>2647</v>
      </c>
      <c r="F969" s="65" t="s">
        <v>2292</v>
      </c>
      <c r="G969" s="65" t="s">
        <v>2323</v>
      </c>
      <c r="I969"/>
    </row>
    <row r="970" spans="1:9" ht="15">
      <c r="A970" s="66" t="s">
        <v>2564</v>
      </c>
      <c r="B970" s="66"/>
      <c r="C970" s="66" t="s">
        <v>120</v>
      </c>
      <c r="D970" s="66" t="s">
        <v>2715</v>
      </c>
      <c r="E970" s="67" t="s">
        <v>120</v>
      </c>
      <c r="F970" s="67" t="s">
        <v>2530</v>
      </c>
      <c r="G970" s="66" t="s">
        <v>2323</v>
      </c>
      <c r="I970"/>
    </row>
    <row r="971" spans="1:9" ht="15">
      <c r="A971" s="66" t="s">
        <v>2565</v>
      </c>
      <c r="B971" s="66" t="s">
        <v>2370</v>
      </c>
      <c r="C971" s="66" t="s">
        <v>2566</v>
      </c>
      <c r="D971" s="66" t="s">
        <v>2715</v>
      </c>
      <c r="E971" s="67" t="s">
        <v>2566</v>
      </c>
      <c r="F971" s="67" t="s">
        <v>2530</v>
      </c>
      <c r="G971" s="66" t="s">
        <v>2567</v>
      </c>
      <c r="I971"/>
    </row>
    <row r="972" spans="1:9" ht="17.25">
      <c r="A972" s="92" t="s">
        <v>2728</v>
      </c>
      <c r="B972" s="92"/>
      <c r="C972" s="92"/>
      <c r="D972" s="92"/>
      <c r="E972" s="93"/>
      <c r="F972" s="92"/>
      <c r="G972" s="92"/>
      <c r="I972"/>
    </row>
    <row r="973" spans="1:9" ht="15">
      <c r="A973" s="65" t="s">
        <v>2374</v>
      </c>
      <c r="B973" s="65"/>
      <c r="C973" s="65" t="s">
        <v>2329</v>
      </c>
      <c r="D973" s="65" t="s">
        <v>2715</v>
      </c>
      <c r="E973" s="91" t="s">
        <v>2647</v>
      </c>
      <c r="F973" s="65" t="s">
        <v>2292</v>
      </c>
      <c r="G973" s="65" t="s">
        <v>2375</v>
      </c>
      <c r="I973"/>
    </row>
    <row r="974" spans="1:9" ht="15">
      <c r="A974" s="66" t="s">
        <v>2569</v>
      </c>
      <c r="B974" s="66" t="s">
        <v>2570</v>
      </c>
      <c r="C974" s="66" t="s">
        <v>2571</v>
      </c>
      <c r="D974" s="66" t="s">
        <v>2715</v>
      </c>
      <c r="E974" s="67" t="s">
        <v>120</v>
      </c>
      <c r="F974" s="67" t="s">
        <v>2530</v>
      </c>
      <c r="G974" s="66" t="s">
        <v>2437</v>
      </c>
      <c r="I974"/>
    </row>
    <row r="975" spans="1:9" ht="15">
      <c r="A975" s="66" t="s">
        <v>2431</v>
      </c>
      <c r="B975" s="66" t="s">
        <v>2432</v>
      </c>
      <c r="C975" s="66" t="s">
        <v>621</v>
      </c>
      <c r="D975" s="66" t="s">
        <v>2715</v>
      </c>
      <c r="E975" s="67" t="s">
        <v>621</v>
      </c>
      <c r="F975" s="67" t="s">
        <v>2530</v>
      </c>
      <c r="G975" s="66" t="s">
        <v>2433</v>
      </c>
      <c r="I975"/>
    </row>
    <row r="976" spans="1:9" ht="15">
      <c r="A976" s="66" t="s">
        <v>2572</v>
      </c>
      <c r="B976" s="66" t="s">
        <v>2432</v>
      </c>
      <c r="C976" s="66" t="s">
        <v>120</v>
      </c>
      <c r="D976" s="66" t="s">
        <v>2715</v>
      </c>
      <c r="E976" s="67" t="s">
        <v>120</v>
      </c>
      <c r="F976" s="67" t="s">
        <v>2530</v>
      </c>
      <c r="G976" s="66" t="s">
        <v>2573</v>
      </c>
      <c r="I976"/>
    </row>
    <row r="977" spans="1:9" ht="15">
      <c r="A977" s="66" t="s">
        <v>2574</v>
      </c>
      <c r="B977" s="66" t="s">
        <v>2570</v>
      </c>
      <c r="C977" s="66" t="s">
        <v>120</v>
      </c>
      <c r="D977" s="66" t="s">
        <v>2715</v>
      </c>
      <c r="E977" s="67" t="s">
        <v>120</v>
      </c>
      <c r="F977" s="67" t="s">
        <v>2530</v>
      </c>
      <c r="G977" s="66" t="s">
        <v>2573</v>
      </c>
      <c r="I977"/>
    </row>
    <row r="978" spans="1:9" ht="15">
      <c r="A978" s="66" t="s">
        <v>2575</v>
      </c>
      <c r="B978" s="66" t="s">
        <v>2576</v>
      </c>
      <c r="C978" s="66" t="s">
        <v>2490</v>
      </c>
      <c r="D978" s="66" t="s">
        <v>2715</v>
      </c>
      <c r="E978" s="67" t="s">
        <v>2490</v>
      </c>
      <c r="F978" s="67" t="s">
        <v>2530</v>
      </c>
      <c r="G978" s="66" t="s">
        <v>2577</v>
      </c>
      <c r="I978"/>
    </row>
    <row r="979" spans="1:9" ht="15">
      <c r="A979" s="66" t="s">
        <v>2578</v>
      </c>
      <c r="B979" s="66" t="s">
        <v>2579</v>
      </c>
      <c r="C979" s="66" t="s">
        <v>2543</v>
      </c>
      <c r="D979" s="66" t="s">
        <v>2715</v>
      </c>
      <c r="E979" s="67" t="s">
        <v>120</v>
      </c>
      <c r="F979" s="67" t="s">
        <v>2530</v>
      </c>
      <c r="G979" s="66" t="s">
        <v>2580</v>
      </c>
      <c r="I979"/>
    </row>
    <row r="980" spans="1:9" ht="15">
      <c r="A980" s="66" t="s">
        <v>2434</v>
      </c>
      <c r="B980" s="66" t="s">
        <v>2435</v>
      </c>
      <c r="C980" s="66" t="s">
        <v>2436</v>
      </c>
      <c r="D980" s="66" t="s">
        <v>2715</v>
      </c>
      <c r="E980" s="67" t="s">
        <v>2436</v>
      </c>
      <c r="F980" s="67" t="s">
        <v>2530</v>
      </c>
      <c r="G980" s="66" t="s">
        <v>2437</v>
      </c>
      <c r="I980"/>
    </row>
    <row r="981" spans="1:9" ht="17.25">
      <c r="A981" s="92" t="s">
        <v>2729</v>
      </c>
      <c r="B981" s="92"/>
      <c r="C981" s="92"/>
      <c r="D981" s="92"/>
      <c r="E981" s="93"/>
      <c r="F981" s="92"/>
      <c r="G981" s="92"/>
      <c r="I981"/>
    </row>
    <row r="982" spans="1:9" ht="15">
      <c r="A982" s="65" t="s">
        <v>2315</v>
      </c>
      <c r="B982" s="65" t="s">
        <v>2316</v>
      </c>
      <c r="C982" s="65" t="s">
        <v>2317</v>
      </c>
      <c r="D982" s="65" t="s">
        <v>2730</v>
      </c>
      <c r="E982" s="91" t="s">
        <v>2319</v>
      </c>
      <c r="F982" s="65" t="s">
        <v>2302</v>
      </c>
      <c r="G982" s="65" t="s">
        <v>2320</v>
      </c>
      <c r="I982"/>
    </row>
    <row r="983" spans="1:9" ht="15">
      <c r="A983" s="66" t="s">
        <v>2377</v>
      </c>
      <c r="B983" s="66" t="s">
        <v>2378</v>
      </c>
      <c r="C983" s="66" t="s">
        <v>1622</v>
      </c>
      <c r="D983" s="66" t="s">
        <v>2730</v>
      </c>
      <c r="E983" s="67" t="s">
        <v>120</v>
      </c>
      <c r="F983" s="67" t="s">
        <v>2530</v>
      </c>
      <c r="G983" s="66" t="s">
        <v>2380</v>
      </c>
      <c r="I983"/>
    </row>
    <row r="984" spans="1:9" ht="15">
      <c r="A984" s="66" t="s">
        <v>2381</v>
      </c>
      <c r="B984" s="66"/>
      <c r="C984" s="66" t="s">
        <v>1396</v>
      </c>
      <c r="D984" s="66" t="s">
        <v>2730</v>
      </c>
      <c r="E984" s="67" t="s">
        <v>1396</v>
      </c>
      <c r="F984" s="67" t="s">
        <v>2530</v>
      </c>
      <c r="G984" s="66" t="s">
        <v>2323</v>
      </c>
      <c r="I984"/>
    </row>
    <row r="985" spans="1:9" ht="15">
      <c r="A985" s="66" t="s">
        <v>2382</v>
      </c>
      <c r="B985" s="66"/>
      <c r="C985" s="66" t="s">
        <v>2383</v>
      </c>
      <c r="D985" s="66" t="s">
        <v>2730</v>
      </c>
      <c r="E985" s="67" t="s">
        <v>2645</v>
      </c>
      <c r="F985" s="67" t="s">
        <v>2530</v>
      </c>
      <c r="G985" s="66" t="s">
        <v>2323</v>
      </c>
      <c r="I985"/>
    </row>
    <row r="986" spans="1:9" ht="15">
      <c r="A986" s="66" t="s">
        <v>2441</v>
      </c>
      <c r="B986" s="66" t="s">
        <v>2316</v>
      </c>
      <c r="C986" s="66" t="s">
        <v>120</v>
      </c>
      <c r="D986" s="66" t="s">
        <v>2730</v>
      </c>
      <c r="E986" s="67" t="s">
        <v>120</v>
      </c>
      <c r="F986" s="67" t="s">
        <v>2530</v>
      </c>
      <c r="G986" s="66" t="s">
        <v>2323</v>
      </c>
      <c r="I986"/>
    </row>
    <row r="987" spans="1:9" ht="15">
      <c r="A987" s="66" t="s">
        <v>2442</v>
      </c>
      <c r="B987" s="66" t="s">
        <v>2326</v>
      </c>
      <c r="C987" s="66" t="s">
        <v>120</v>
      </c>
      <c r="D987" s="66" t="s">
        <v>2730</v>
      </c>
      <c r="E987" s="67" t="s">
        <v>120</v>
      </c>
      <c r="F987" s="67" t="s">
        <v>2530</v>
      </c>
      <c r="G987" s="66" t="s">
        <v>2443</v>
      </c>
      <c r="I987"/>
    </row>
    <row r="988" spans="1:9" ht="15">
      <c r="A988" s="66" t="s">
        <v>2444</v>
      </c>
      <c r="B988" s="66"/>
      <c r="C988" s="66" t="s">
        <v>120</v>
      </c>
      <c r="D988" s="66" t="s">
        <v>2730</v>
      </c>
      <c r="E988" s="67" t="s">
        <v>120</v>
      </c>
      <c r="F988" s="67" t="s">
        <v>2530</v>
      </c>
      <c r="G988" s="66" t="s">
        <v>2323</v>
      </c>
      <c r="I988"/>
    </row>
    <row r="989" spans="1:9" ht="15">
      <c r="A989" s="65" t="s">
        <v>2321</v>
      </c>
      <c r="B989" s="65" t="s">
        <v>2322</v>
      </c>
      <c r="C989" s="65" t="s">
        <v>2317</v>
      </c>
      <c r="D989" s="65" t="s">
        <v>2730</v>
      </c>
      <c r="E989" s="91" t="s">
        <v>2319</v>
      </c>
      <c r="F989" s="65" t="s">
        <v>2302</v>
      </c>
      <c r="G989" s="65" t="s">
        <v>2323</v>
      </c>
      <c r="I989"/>
    </row>
    <row r="990" spans="1:9" ht="15">
      <c r="A990" s="65" t="s">
        <v>2324</v>
      </c>
      <c r="B990" s="65" t="s">
        <v>2322</v>
      </c>
      <c r="C990" s="65" t="s">
        <v>2317</v>
      </c>
      <c r="D990" s="65" t="s">
        <v>2730</v>
      </c>
      <c r="E990" s="91" t="s">
        <v>2319</v>
      </c>
      <c r="F990" s="65" t="s">
        <v>2302</v>
      </c>
      <c r="G990" s="65" t="s">
        <v>2323</v>
      </c>
      <c r="I990"/>
    </row>
    <row r="991" spans="1:9" ht="15">
      <c r="A991" s="65" t="s">
        <v>2325</v>
      </c>
      <c r="B991" s="65" t="s">
        <v>2326</v>
      </c>
      <c r="C991" s="65" t="s">
        <v>2317</v>
      </c>
      <c r="D991" s="65" t="s">
        <v>2730</v>
      </c>
      <c r="E991" s="91" t="s">
        <v>2319</v>
      </c>
      <c r="F991" s="65" t="s">
        <v>2302</v>
      </c>
      <c r="G991" s="65" t="s">
        <v>2323</v>
      </c>
      <c r="I991"/>
    </row>
    <row r="992" spans="1:9" ht="17.25">
      <c r="A992" s="92" t="s">
        <v>2731</v>
      </c>
      <c r="B992" s="92"/>
      <c r="C992" s="92"/>
      <c r="D992" s="92"/>
      <c r="E992" s="93"/>
      <c r="F992" s="92"/>
      <c r="G992" s="92"/>
      <c r="I992"/>
    </row>
    <row r="993" spans="1:9" ht="15">
      <c r="A993" s="66" t="s">
        <v>2446</v>
      </c>
      <c r="B993" s="66" t="s">
        <v>2334</v>
      </c>
      <c r="C993" s="66" t="s">
        <v>120</v>
      </c>
      <c r="D993" s="66" t="s">
        <v>2730</v>
      </c>
      <c r="E993" s="67" t="s">
        <v>120</v>
      </c>
      <c r="F993" s="67" t="s">
        <v>2530</v>
      </c>
      <c r="G993" s="66" t="s">
        <v>2323</v>
      </c>
      <c r="I993"/>
    </row>
    <row r="994" spans="1:9" ht="15">
      <c r="A994" s="66" t="s">
        <v>2447</v>
      </c>
      <c r="B994" s="66" t="s">
        <v>2448</v>
      </c>
      <c r="C994" s="66" t="s">
        <v>120</v>
      </c>
      <c r="D994" s="66" t="s">
        <v>2730</v>
      </c>
      <c r="E994" s="67" t="s">
        <v>120</v>
      </c>
      <c r="F994" s="67" t="s">
        <v>2530</v>
      </c>
      <c r="G994" s="66" t="s">
        <v>2449</v>
      </c>
      <c r="I994"/>
    </row>
    <row r="995" spans="1:9" ht="15">
      <c r="A995" s="66" t="s">
        <v>2450</v>
      </c>
      <c r="B995" s="66" t="s">
        <v>2448</v>
      </c>
      <c r="C995" s="66" t="s">
        <v>120</v>
      </c>
      <c r="D995" s="66" t="s">
        <v>2730</v>
      </c>
      <c r="E995" s="67" t="s">
        <v>120</v>
      </c>
      <c r="F995" s="67" t="s">
        <v>2530</v>
      </c>
      <c r="G995" s="66" t="s">
        <v>2323</v>
      </c>
      <c r="I995"/>
    </row>
    <row r="996" spans="1:9" ht="15">
      <c r="A996" s="66" t="s">
        <v>2328</v>
      </c>
      <c r="B996" s="66"/>
      <c r="C996" s="66" t="s">
        <v>2329</v>
      </c>
      <c r="D996" s="66" t="s">
        <v>2730</v>
      </c>
      <c r="E996" s="67" t="s">
        <v>2732</v>
      </c>
      <c r="F996" s="67" t="s">
        <v>2530</v>
      </c>
      <c r="G996" s="66" t="s">
        <v>2331</v>
      </c>
      <c r="I996"/>
    </row>
    <row r="997" spans="1:9" ht="15">
      <c r="A997" s="66" t="s">
        <v>2452</v>
      </c>
      <c r="B997" s="66" t="s">
        <v>2453</v>
      </c>
      <c r="C997" s="66" t="s">
        <v>120</v>
      </c>
      <c r="D997" s="66" t="s">
        <v>2730</v>
      </c>
      <c r="E997" s="67" t="s">
        <v>120</v>
      </c>
      <c r="F997" s="67" t="s">
        <v>2530</v>
      </c>
      <c r="G997" s="66" t="s">
        <v>2454</v>
      </c>
      <c r="I997"/>
    </row>
    <row r="998" spans="1:9" ht="17.25">
      <c r="A998" s="92" t="s">
        <v>2733</v>
      </c>
      <c r="B998" s="92"/>
      <c r="C998" s="92"/>
      <c r="D998" s="92"/>
      <c r="E998" s="93"/>
      <c r="F998" s="92"/>
      <c r="G998" s="92"/>
      <c r="I998"/>
    </row>
    <row r="999" spans="1:9" ht="15">
      <c r="A999" s="66" t="s">
        <v>2456</v>
      </c>
      <c r="B999" s="66" t="s">
        <v>2457</v>
      </c>
      <c r="C999" s="66" t="s">
        <v>120</v>
      </c>
      <c r="D999" s="66" t="s">
        <v>2730</v>
      </c>
      <c r="E999" s="67" t="s">
        <v>120</v>
      </c>
      <c r="F999" s="67" t="s">
        <v>2530</v>
      </c>
      <c r="G999" s="66" t="s">
        <v>2323</v>
      </c>
      <c r="I999"/>
    </row>
    <row r="1000" spans="1:9" ht="15">
      <c r="A1000" s="66" t="s">
        <v>2458</v>
      </c>
      <c r="B1000" s="66" t="s">
        <v>2457</v>
      </c>
      <c r="C1000" s="66" t="s">
        <v>2459</v>
      </c>
      <c r="D1000" s="66" t="s">
        <v>2730</v>
      </c>
      <c r="E1000" s="67" t="s">
        <v>120</v>
      </c>
      <c r="F1000" s="67" t="s">
        <v>2530</v>
      </c>
      <c r="G1000" s="66" t="s">
        <v>2323</v>
      </c>
      <c r="I1000"/>
    </row>
    <row r="1001" spans="1:9" ht="15">
      <c r="A1001" s="66" t="s">
        <v>2460</v>
      </c>
      <c r="B1001" s="66" t="s">
        <v>2457</v>
      </c>
      <c r="C1001" s="66" t="s">
        <v>2461</v>
      </c>
      <c r="D1001" s="66" t="s">
        <v>2730</v>
      </c>
      <c r="E1001" s="67" t="s">
        <v>120</v>
      </c>
      <c r="F1001" s="67" t="s">
        <v>2530</v>
      </c>
      <c r="G1001" s="66" t="s">
        <v>2462</v>
      </c>
      <c r="I1001"/>
    </row>
    <row r="1002" spans="1:9" ht="15">
      <c r="A1002" s="66" t="s">
        <v>2463</v>
      </c>
      <c r="B1002" s="66" t="s">
        <v>2457</v>
      </c>
      <c r="C1002" s="66" t="s">
        <v>120</v>
      </c>
      <c r="D1002" s="66" t="s">
        <v>2730</v>
      </c>
      <c r="E1002" s="67" t="s">
        <v>120</v>
      </c>
      <c r="F1002" s="67" t="s">
        <v>2530</v>
      </c>
      <c r="G1002" s="66" t="s">
        <v>2323</v>
      </c>
      <c r="I1002"/>
    </row>
    <row r="1003" spans="1:9" ht="17.25">
      <c r="A1003" s="92" t="s">
        <v>2734</v>
      </c>
      <c r="B1003" s="92"/>
      <c r="C1003" s="92"/>
      <c r="D1003" s="92"/>
      <c r="E1003" s="93"/>
      <c r="F1003" s="92"/>
      <c r="G1003" s="92"/>
      <c r="I1003"/>
    </row>
    <row r="1004" spans="1:9" ht="15">
      <c r="A1004" s="66" t="s">
        <v>2465</v>
      </c>
      <c r="B1004" s="66" t="s">
        <v>2466</v>
      </c>
      <c r="C1004" s="66" t="s">
        <v>2467</v>
      </c>
      <c r="D1004" s="66" t="s">
        <v>2730</v>
      </c>
      <c r="E1004" s="67" t="s">
        <v>120</v>
      </c>
      <c r="F1004" s="67" t="s">
        <v>2530</v>
      </c>
      <c r="G1004" s="66" t="s">
        <v>2323</v>
      </c>
      <c r="I1004"/>
    </row>
    <row r="1005" spans="1:9" ht="15">
      <c r="A1005" s="66" t="s">
        <v>2468</v>
      </c>
      <c r="B1005" s="66" t="s">
        <v>2390</v>
      </c>
      <c r="C1005" s="66" t="s">
        <v>120</v>
      </c>
      <c r="D1005" s="66" t="s">
        <v>2730</v>
      </c>
      <c r="E1005" s="67" t="s">
        <v>120</v>
      </c>
      <c r="F1005" s="67" t="s">
        <v>2530</v>
      </c>
      <c r="G1005" s="66" t="s">
        <v>2323</v>
      </c>
      <c r="I1005"/>
    </row>
    <row r="1006" spans="1:9" ht="15">
      <c r="A1006" s="66" t="s">
        <v>2469</v>
      </c>
      <c r="B1006" s="66" t="s">
        <v>2466</v>
      </c>
      <c r="C1006" s="66" t="s">
        <v>2470</v>
      </c>
      <c r="D1006" s="66" t="s">
        <v>2730</v>
      </c>
      <c r="E1006" s="67" t="s">
        <v>120</v>
      </c>
      <c r="F1006" s="67" t="s">
        <v>2530</v>
      </c>
      <c r="G1006" s="66" t="s">
        <v>2323</v>
      </c>
      <c r="I1006"/>
    </row>
    <row r="1007" spans="1:9" ht="15">
      <c r="A1007" s="66" t="s">
        <v>2392</v>
      </c>
      <c r="B1007" s="66" t="s">
        <v>2390</v>
      </c>
      <c r="C1007" s="66" t="s">
        <v>2393</v>
      </c>
      <c r="D1007" s="66" t="s">
        <v>2730</v>
      </c>
      <c r="E1007" s="67" t="s">
        <v>120</v>
      </c>
      <c r="F1007" s="67" t="s">
        <v>2530</v>
      </c>
      <c r="G1007" s="66" t="s">
        <v>2394</v>
      </c>
      <c r="I1007"/>
    </row>
    <row r="1008" spans="1:9" ht="15">
      <c r="A1008" s="66" t="s">
        <v>2471</v>
      </c>
      <c r="B1008" s="66" t="s">
        <v>2472</v>
      </c>
      <c r="C1008" s="66" t="s">
        <v>120</v>
      </c>
      <c r="D1008" s="66" t="s">
        <v>2730</v>
      </c>
      <c r="E1008" s="67" t="s">
        <v>120</v>
      </c>
      <c r="F1008" s="67" t="s">
        <v>2530</v>
      </c>
      <c r="G1008" s="66" t="s">
        <v>2473</v>
      </c>
      <c r="I1008"/>
    </row>
    <row r="1009" spans="1:9" ht="15">
      <c r="A1009" s="66" t="s">
        <v>2474</v>
      </c>
      <c r="B1009" s="66" t="s">
        <v>2472</v>
      </c>
      <c r="C1009" s="66" t="s">
        <v>120</v>
      </c>
      <c r="D1009" s="66" t="s">
        <v>2730</v>
      </c>
      <c r="E1009" s="67" t="s">
        <v>120</v>
      </c>
      <c r="F1009" s="67" t="s">
        <v>2530</v>
      </c>
      <c r="G1009" s="66" t="s">
        <v>2323</v>
      </c>
      <c r="I1009"/>
    </row>
    <row r="1010" spans="1:9" ht="17.25">
      <c r="A1010" s="92" t="s">
        <v>2735</v>
      </c>
      <c r="B1010" s="92"/>
      <c r="C1010" s="92"/>
      <c r="D1010" s="92"/>
      <c r="E1010" s="93"/>
      <c r="F1010" s="92"/>
      <c r="G1010" s="92"/>
      <c r="I1010"/>
    </row>
    <row r="1011" spans="1:9" ht="15">
      <c r="A1011" s="66" t="s">
        <v>2476</v>
      </c>
      <c r="B1011" s="66" t="s">
        <v>2477</v>
      </c>
      <c r="C1011" s="66" t="s">
        <v>120</v>
      </c>
      <c r="D1011" s="66" t="s">
        <v>2730</v>
      </c>
      <c r="E1011" s="67" t="s">
        <v>120</v>
      </c>
      <c r="F1011" s="67" t="s">
        <v>2530</v>
      </c>
      <c r="G1011" s="66" t="s">
        <v>2478</v>
      </c>
      <c r="I1011"/>
    </row>
    <row r="1012" spans="1:9" ht="15">
      <c r="A1012" s="66" t="s">
        <v>2333</v>
      </c>
      <c r="B1012" s="66" t="s">
        <v>2334</v>
      </c>
      <c r="C1012" s="66" t="s">
        <v>2335</v>
      </c>
      <c r="D1012" s="66" t="s">
        <v>2730</v>
      </c>
      <c r="E1012" s="67" t="s">
        <v>2732</v>
      </c>
      <c r="F1012" s="67" t="s">
        <v>2530</v>
      </c>
      <c r="G1012" s="66" t="s">
        <v>2323</v>
      </c>
      <c r="I1012"/>
    </row>
    <row r="1013" spans="1:9" ht="15">
      <c r="A1013" s="66" t="s">
        <v>2336</v>
      </c>
      <c r="B1013" s="66" t="s">
        <v>2334</v>
      </c>
      <c r="C1013" s="66" t="s">
        <v>2329</v>
      </c>
      <c r="D1013" s="66" t="s">
        <v>2730</v>
      </c>
      <c r="E1013" s="67" t="s">
        <v>2732</v>
      </c>
      <c r="F1013" s="67" t="s">
        <v>2530</v>
      </c>
      <c r="G1013" s="66" t="s">
        <v>2323</v>
      </c>
      <c r="I1013"/>
    </row>
    <row r="1014" spans="1:9" ht="15">
      <c r="A1014" s="66" t="s">
        <v>2337</v>
      </c>
      <c r="B1014" s="66" t="s">
        <v>2334</v>
      </c>
      <c r="C1014" s="66" t="s">
        <v>2329</v>
      </c>
      <c r="D1014" s="66" t="s">
        <v>2730</v>
      </c>
      <c r="E1014" s="67" t="s">
        <v>2732</v>
      </c>
      <c r="F1014" s="67" t="s">
        <v>2530</v>
      </c>
      <c r="G1014" s="66" t="s">
        <v>2323</v>
      </c>
      <c r="I1014"/>
    </row>
    <row r="1015" spans="1:9" ht="15">
      <c r="A1015" s="66" t="s">
        <v>2338</v>
      </c>
      <c r="B1015" s="66" t="s">
        <v>2339</v>
      </c>
      <c r="C1015" s="66" t="s">
        <v>2329</v>
      </c>
      <c r="D1015" s="66" t="s">
        <v>2730</v>
      </c>
      <c r="E1015" s="67" t="s">
        <v>2732</v>
      </c>
      <c r="F1015" s="67" t="s">
        <v>2530</v>
      </c>
      <c r="G1015" s="66" t="s">
        <v>2323</v>
      </c>
      <c r="I1015"/>
    </row>
    <row r="1016" spans="1:9" ht="15">
      <c r="A1016" s="66" t="s">
        <v>2340</v>
      </c>
      <c r="B1016" s="66"/>
      <c r="C1016" s="66" t="s">
        <v>2329</v>
      </c>
      <c r="D1016" s="66" t="s">
        <v>2730</v>
      </c>
      <c r="E1016" s="67" t="s">
        <v>2732</v>
      </c>
      <c r="F1016" s="67" t="s">
        <v>2530</v>
      </c>
      <c r="G1016" s="66" t="s">
        <v>2323</v>
      </c>
      <c r="I1016"/>
    </row>
    <row r="1017" spans="1:9" ht="15">
      <c r="A1017" s="66" t="s">
        <v>2341</v>
      </c>
      <c r="B1017" s="66"/>
      <c r="C1017" s="66" t="s">
        <v>2329</v>
      </c>
      <c r="D1017" s="66" t="s">
        <v>2730</v>
      </c>
      <c r="E1017" s="67" t="s">
        <v>2732</v>
      </c>
      <c r="F1017" s="67" t="s">
        <v>2530</v>
      </c>
      <c r="G1017" s="66" t="s">
        <v>2323</v>
      </c>
      <c r="I1017"/>
    </row>
    <row r="1018" spans="1:9" ht="15">
      <c r="A1018" s="66" t="s">
        <v>2342</v>
      </c>
      <c r="B1018" s="66"/>
      <c r="C1018" s="66" t="s">
        <v>2329</v>
      </c>
      <c r="D1018" s="66" t="s">
        <v>2730</v>
      </c>
      <c r="E1018" s="67" t="s">
        <v>2732</v>
      </c>
      <c r="F1018" s="67" t="s">
        <v>2530</v>
      </c>
      <c r="G1018" s="66" t="s">
        <v>2323</v>
      </c>
      <c r="I1018"/>
    </row>
    <row r="1019" spans="1:9" ht="17.25">
      <c r="A1019" s="92" t="s">
        <v>2736</v>
      </c>
      <c r="B1019" s="92"/>
      <c r="C1019" s="92"/>
      <c r="D1019" s="92"/>
      <c r="E1019" s="93"/>
      <c r="F1019" s="92"/>
      <c r="G1019" s="92"/>
      <c r="I1019"/>
    </row>
    <row r="1020" spans="1:9" ht="15">
      <c r="A1020" s="66" t="s">
        <v>2480</v>
      </c>
      <c r="B1020" s="66" t="s">
        <v>2481</v>
      </c>
      <c r="C1020" s="66" t="s">
        <v>120</v>
      </c>
      <c r="D1020" s="66" t="s">
        <v>2730</v>
      </c>
      <c r="E1020" s="67" t="s">
        <v>120</v>
      </c>
      <c r="F1020" s="67" t="s">
        <v>2530</v>
      </c>
      <c r="G1020" s="66" t="s">
        <v>2323</v>
      </c>
      <c r="I1020"/>
    </row>
    <row r="1021" spans="1:9" ht="15">
      <c r="A1021" s="66" t="s">
        <v>2482</v>
      </c>
      <c r="B1021" s="66" t="s">
        <v>2483</v>
      </c>
      <c r="C1021" s="66" t="s">
        <v>120</v>
      </c>
      <c r="D1021" s="66" t="s">
        <v>2730</v>
      </c>
      <c r="E1021" s="67" t="s">
        <v>120</v>
      </c>
      <c r="F1021" s="67" t="s">
        <v>2530</v>
      </c>
      <c r="G1021" s="66" t="s">
        <v>2323</v>
      </c>
      <c r="I1021"/>
    </row>
    <row r="1022" spans="1:9" ht="15">
      <c r="A1022" s="66" t="s">
        <v>2484</v>
      </c>
      <c r="B1022" s="66" t="s">
        <v>2483</v>
      </c>
      <c r="C1022" s="66" t="s">
        <v>2485</v>
      </c>
      <c r="D1022" s="66" t="s">
        <v>2730</v>
      </c>
      <c r="E1022" s="67" t="s">
        <v>120</v>
      </c>
      <c r="F1022" s="67" t="s">
        <v>2530</v>
      </c>
      <c r="G1022" s="66" t="s">
        <v>2486</v>
      </c>
      <c r="I1022"/>
    </row>
    <row r="1023" spans="1:9" ht="15">
      <c r="A1023" s="66" t="s">
        <v>2487</v>
      </c>
      <c r="B1023" s="66" t="s">
        <v>2488</v>
      </c>
      <c r="C1023" s="66" t="s">
        <v>120</v>
      </c>
      <c r="D1023" s="66" t="s">
        <v>2730</v>
      </c>
      <c r="E1023" s="67" t="s">
        <v>120</v>
      </c>
      <c r="F1023" s="67" t="s">
        <v>2530</v>
      </c>
      <c r="G1023" s="66" t="s">
        <v>2323</v>
      </c>
      <c r="I1023"/>
    </row>
    <row r="1024" spans="1:9" ht="15">
      <c r="A1024" s="66" t="s">
        <v>2344</v>
      </c>
      <c r="B1024" s="66"/>
      <c r="C1024" s="66" t="s">
        <v>2345</v>
      </c>
      <c r="D1024" s="66" t="s">
        <v>2730</v>
      </c>
      <c r="E1024" s="67" t="s">
        <v>120</v>
      </c>
      <c r="F1024" s="67" t="s">
        <v>2530</v>
      </c>
      <c r="G1024" s="66" t="s">
        <v>2323</v>
      </c>
      <c r="I1024"/>
    </row>
    <row r="1025" spans="1:9" ht="15">
      <c r="A1025" s="66" t="s">
        <v>2347</v>
      </c>
      <c r="B1025" s="66"/>
      <c r="C1025" s="66" t="s">
        <v>2329</v>
      </c>
      <c r="D1025" s="66" t="s">
        <v>2730</v>
      </c>
      <c r="E1025" s="67" t="s">
        <v>2732</v>
      </c>
      <c r="F1025" s="67" t="s">
        <v>2530</v>
      </c>
      <c r="G1025" s="66" t="s">
        <v>2323</v>
      </c>
      <c r="I1025"/>
    </row>
    <row r="1026" spans="1:9" ht="15">
      <c r="A1026" s="66" t="s">
        <v>2348</v>
      </c>
      <c r="B1026" s="66"/>
      <c r="C1026" s="66" t="s">
        <v>2329</v>
      </c>
      <c r="D1026" s="66" t="s">
        <v>2730</v>
      </c>
      <c r="E1026" s="67" t="s">
        <v>2732</v>
      </c>
      <c r="F1026" s="67" t="s">
        <v>2530</v>
      </c>
      <c r="G1026" s="66" t="s">
        <v>2323</v>
      </c>
      <c r="I1026"/>
    </row>
    <row r="1027" spans="1:9" ht="15">
      <c r="A1027" s="66" t="s">
        <v>2489</v>
      </c>
      <c r="B1027" s="66" t="s">
        <v>2483</v>
      </c>
      <c r="C1027" s="66" t="s">
        <v>2490</v>
      </c>
      <c r="D1027" s="66" t="s">
        <v>2730</v>
      </c>
      <c r="E1027" s="67" t="s">
        <v>2490</v>
      </c>
      <c r="F1027" s="67" t="s">
        <v>2530</v>
      </c>
      <c r="G1027" s="66" t="s">
        <v>2323</v>
      </c>
      <c r="I1027"/>
    </row>
    <row r="1028" spans="1:9" ht="15">
      <c r="A1028" s="66" t="s">
        <v>2491</v>
      </c>
      <c r="B1028" s="66" t="s">
        <v>2488</v>
      </c>
      <c r="C1028" s="66" t="s">
        <v>120</v>
      </c>
      <c r="D1028" s="66" t="s">
        <v>2730</v>
      </c>
      <c r="E1028" s="67" t="s">
        <v>120</v>
      </c>
      <c r="F1028" s="67" t="s">
        <v>2530</v>
      </c>
      <c r="G1028" s="66" t="s">
        <v>2323</v>
      </c>
      <c r="I1028"/>
    </row>
    <row r="1029" spans="1:9" ht="17.25">
      <c r="A1029" s="92" t="s">
        <v>2737</v>
      </c>
      <c r="B1029" s="92"/>
      <c r="C1029" s="92"/>
      <c r="D1029" s="92"/>
      <c r="E1029" s="93"/>
      <c r="F1029" s="92"/>
      <c r="G1029" s="92"/>
      <c r="I1029"/>
    </row>
    <row r="1030" spans="1:9" ht="15">
      <c r="A1030" s="66" t="s">
        <v>2493</v>
      </c>
      <c r="B1030" s="66"/>
      <c r="C1030" s="66" t="s">
        <v>2490</v>
      </c>
      <c r="D1030" s="66" t="s">
        <v>2730</v>
      </c>
      <c r="E1030" s="67" t="s">
        <v>2490</v>
      </c>
      <c r="F1030" s="67" t="s">
        <v>2530</v>
      </c>
      <c r="G1030" s="66" t="s">
        <v>2323</v>
      </c>
      <c r="I1030"/>
    </row>
    <row r="1031" spans="1:9" ht="15">
      <c r="A1031" s="66" t="s">
        <v>2494</v>
      </c>
      <c r="B1031" s="66"/>
      <c r="C1031" s="66" t="s">
        <v>2490</v>
      </c>
      <c r="D1031" s="66" t="s">
        <v>2730</v>
      </c>
      <c r="E1031" s="67" t="s">
        <v>2490</v>
      </c>
      <c r="F1031" s="67" t="s">
        <v>2530</v>
      </c>
      <c r="G1031" s="66" t="s">
        <v>2323</v>
      </c>
      <c r="I1031"/>
    </row>
    <row r="1032" spans="1:9" ht="15">
      <c r="A1032" s="66" t="s">
        <v>2400</v>
      </c>
      <c r="B1032" s="66"/>
      <c r="C1032" s="66" t="s">
        <v>2401</v>
      </c>
      <c r="D1032" s="66" t="s">
        <v>2730</v>
      </c>
      <c r="E1032" s="67" t="s">
        <v>2490</v>
      </c>
      <c r="F1032" s="67" t="s">
        <v>2530</v>
      </c>
      <c r="G1032" s="66" t="s">
        <v>2323</v>
      </c>
      <c r="I1032"/>
    </row>
    <row r="1033" spans="1:9" ht="15">
      <c r="A1033" s="66" t="s">
        <v>2495</v>
      </c>
      <c r="B1033" s="66" t="s">
        <v>2483</v>
      </c>
      <c r="C1033" s="66" t="s">
        <v>120</v>
      </c>
      <c r="D1033" s="66" t="s">
        <v>2730</v>
      </c>
      <c r="E1033" s="67" t="s">
        <v>120</v>
      </c>
      <c r="F1033" s="67" t="s">
        <v>2530</v>
      </c>
      <c r="G1033" s="66" t="s">
        <v>2323</v>
      </c>
      <c r="I1033"/>
    </row>
    <row r="1034" spans="1:9" ht="15">
      <c r="A1034" s="66" t="s">
        <v>2496</v>
      </c>
      <c r="B1034" s="66" t="s">
        <v>2483</v>
      </c>
      <c r="C1034" s="66" t="s">
        <v>120</v>
      </c>
      <c r="D1034" s="66" t="s">
        <v>2730</v>
      </c>
      <c r="E1034" s="67" t="s">
        <v>120</v>
      </c>
      <c r="F1034" s="67" t="s">
        <v>2530</v>
      </c>
      <c r="G1034" s="66" t="s">
        <v>2323</v>
      </c>
      <c r="I1034"/>
    </row>
    <row r="1035" spans="1:9" ht="15">
      <c r="A1035" s="66" t="s">
        <v>2497</v>
      </c>
      <c r="B1035" s="66" t="s">
        <v>2339</v>
      </c>
      <c r="C1035" s="66" t="s">
        <v>120</v>
      </c>
      <c r="D1035" s="66" t="s">
        <v>2730</v>
      </c>
      <c r="E1035" s="67" t="s">
        <v>120</v>
      </c>
      <c r="F1035" s="67" t="s">
        <v>2530</v>
      </c>
      <c r="G1035" s="66" t="s">
        <v>2323</v>
      </c>
      <c r="I1035"/>
    </row>
    <row r="1036" spans="1:9" ht="15">
      <c r="A1036" s="66" t="s">
        <v>2498</v>
      </c>
      <c r="B1036" s="66" t="s">
        <v>2499</v>
      </c>
      <c r="C1036" s="66" t="s">
        <v>2490</v>
      </c>
      <c r="D1036" s="66" t="s">
        <v>2730</v>
      </c>
      <c r="E1036" s="67" t="s">
        <v>2490</v>
      </c>
      <c r="F1036" s="67" t="s">
        <v>2530</v>
      </c>
      <c r="G1036" s="66" t="s">
        <v>2323</v>
      </c>
      <c r="I1036"/>
    </row>
    <row r="1037" spans="1:9" ht="15">
      <c r="A1037" s="66" t="s">
        <v>2500</v>
      </c>
      <c r="B1037" s="66" t="s">
        <v>2499</v>
      </c>
      <c r="C1037" s="66" t="s">
        <v>2490</v>
      </c>
      <c r="D1037" s="66" t="s">
        <v>2730</v>
      </c>
      <c r="E1037" s="67" t="s">
        <v>2490</v>
      </c>
      <c r="F1037" s="67" t="s">
        <v>2530</v>
      </c>
      <c r="G1037" s="66" t="s">
        <v>2323</v>
      </c>
      <c r="I1037"/>
    </row>
    <row r="1038" spans="1:9" ht="15">
      <c r="A1038" s="66" t="s">
        <v>2350</v>
      </c>
      <c r="B1038" s="66"/>
      <c r="C1038" s="66" t="s">
        <v>2329</v>
      </c>
      <c r="D1038" s="66" t="s">
        <v>2730</v>
      </c>
      <c r="E1038" s="67" t="s">
        <v>2732</v>
      </c>
      <c r="F1038" s="67" t="s">
        <v>2530</v>
      </c>
      <c r="G1038" s="66" t="s">
        <v>2323</v>
      </c>
      <c r="I1038"/>
    </row>
    <row r="1039" spans="1:9" ht="15">
      <c r="A1039" s="66" t="s">
        <v>2501</v>
      </c>
      <c r="B1039" s="66" t="s">
        <v>2499</v>
      </c>
      <c r="C1039" s="66" t="s">
        <v>120</v>
      </c>
      <c r="D1039" s="66" t="s">
        <v>2730</v>
      </c>
      <c r="E1039" s="67" t="s">
        <v>120</v>
      </c>
      <c r="F1039" s="67" t="s">
        <v>2530</v>
      </c>
      <c r="G1039" s="66" t="s">
        <v>2502</v>
      </c>
      <c r="I1039"/>
    </row>
    <row r="1040" spans="1:9" ht="17.25">
      <c r="A1040" s="92" t="s">
        <v>2738</v>
      </c>
      <c r="B1040" s="92"/>
      <c r="C1040" s="92"/>
      <c r="D1040" s="92"/>
      <c r="E1040" s="93"/>
      <c r="F1040" s="92"/>
      <c r="G1040" s="92"/>
      <c r="I1040"/>
    </row>
    <row r="1041" spans="1:9" ht="15">
      <c r="A1041" s="66" t="s">
        <v>2504</v>
      </c>
      <c r="B1041" s="66" t="s">
        <v>2505</v>
      </c>
      <c r="C1041" s="66" t="s">
        <v>120</v>
      </c>
      <c r="D1041" s="66" t="s">
        <v>2730</v>
      </c>
      <c r="E1041" s="67" t="s">
        <v>120</v>
      </c>
      <c r="F1041" s="67" t="s">
        <v>2530</v>
      </c>
      <c r="G1041" s="66" t="s">
        <v>2323</v>
      </c>
      <c r="I1041"/>
    </row>
    <row r="1042" spans="1:9" ht="15">
      <c r="A1042" s="66" t="s">
        <v>2506</v>
      </c>
      <c r="B1042" s="66" t="s">
        <v>2435</v>
      </c>
      <c r="C1042" s="66" t="s">
        <v>120</v>
      </c>
      <c r="D1042" s="66" t="s">
        <v>2730</v>
      </c>
      <c r="E1042" s="67" t="s">
        <v>120</v>
      </c>
      <c r="F1042" s="67" t="s">
        <v>2530</v>
      </c>
      <c r="G1042" s="66" t="s">
        <v>2323</v>
      </c>
      <c r="I1042"/>
    </row>
    <row r="1043" spans="1:9" ht="15">
      <c r="A1043" s="66" t="s">
        <v>2507</v>
      </c>
      <c r="B1043" s="66" t="s">
        <v>2435</v>
      </c>
      <c r="C1043" s="66" t="s">
        <v>120</v>
      </c>
      <c r="D1043" s="66" t="s">
        <v>2730</v>
      </c>
      <c r="E1043" s="67" t="s">
        <v>120</v>
      </c>
      <c r="F1043" s="67" t="s">
        <v>2530</v>
      </c>
      <c r="G1043" s="66" t="s">
        <v>2323</v>
      </c>
      <c r="I1043"/>
    </row>
    <row r="1044" spans="1:9" ht="17.25">
      <c r="A1044" s="92" t="s">
        <v>2739</v>
      </c>
      <c r="B1044" s="92"/>
      <c r="C1044" s="92"/>
      <c r="D1044" s="92"/>
      <c r="E1044" s="93"/>
      <c r="F1044" s="92"/>
      <c r="G1044" s="92"/>
      <c r="I1044"/>
    </row>
    <row r="1045" spans="1:9" ht="15">
      <c r="A1045" s="65" t="s">
        <v>2352</v>
      </c>
      <c r="B1045" s="65" t="s">
        <v>2353</v>
      </c>
      <c r="C1045" s="65" t="s">
        <v>2317</v>
      </c>
      <c r="D1045" s="65" t="s">
        <v>2730</v>
      </c>
      <c r="E1045" s="91" t="s">
        <v>2319</v>
      </c>
      <c r="F1045" s="65" t="s">
        <v>2302</v>
      </c>
      <c r="G1045" s="65" t="s">
        <v>2354</v>
      </c>
      <c r="I1045"/>
    </row>
    <row r="1046" spans="1:9" ht="15">
      <c r="A1046" s="65" t="s">
        <v>2355</v>
      </c>
      <c r="B1046" s="65" t="s">
        <v>2356</v>
      </c>
      <c r="C1046" s="65" t="s">
        <v>2317</v>
      </c>
      <c r="D1046" s="65" t="s">
        <v>2730</v>
      </c>
      <c r="E1046" s="91" t="s">
        <v>2319</v>
      </c>
      <c r="F1046" s="65" t="s">
        <v>2302</v>
      </c>
      <c r="G1046" s="65" t="s">
        <v>2357</v>
      </c>
      <c r="I1046"/>
    </row>
    <row r="1047" spans="1:9" ht="15">
      <c r="A1047" s="66" t="s">
        <v>2509</v>
      </c>
      <c r="B1047" s="66" t="s">
        <v>2353</v>
      </c>
      <c r="C1047" s="66" t="s">
        <v>2490</v>
      </c>
      <c r="D1047" s="66" t="s">
        <v>2730</v>
      </c>
      <c r="E1047" s="67" t="s">
        <v>2490</v>
      </c>
      <c r="F1047" s="67" t="s">
        <v>2530</v>
      </c>
      <c r="G1047" s="66" t="s">
        <v>2510</v>
      </c>
      <c r="I1047"/>
    </row>
    <row r="1048" spans="1:9" ht="15">
      <c r="A1048" s="66" t="s">
        <v>2511</v>
      </c>
      <c r="B1048" s="66" t="s">
        <v>2407</v>
      </c>
      <c r="C1048" s="66" t="s">
        <v>120</v>
      </c>
      <c r="D1048" s="66" t="s">
        <v>2730</v>
      </c>
      <c r="E1048" s="67" t="s">
        <v>120</v>
      </c>
      <c r="F1048" s="67" t="s">
        <v>2530</v>
      </c>
      <c r="G1048" s="66" t="s">
        <v>2512</v>
      </c>
      <c r="I1048"/>
    </row>
    <row r="1049" spans="1:9" ht="15">
      <c r="A1049" s="66" t="s">
        <v>2513</v>
      </c>
      <c r="B1049" s="66" t="s">
        <v>2404</v>
      </c>
      <c r="C1049" s="66" t="s">
        <v>120</v>
      </c>
      <c r="D1049" s="66" t="s">
        <v>2730</v>
      </c>
      <c r="E1049" s="67" t="s">
        <v>120</v>
      </c>
      <c r="F1049" s="67" t="s">
        <v>2530</v>
      </c>
      <c r="G1049" s="66" t="s">
        <v>2514</v>
      </c>
      <c r="I1049"/>
    </row>
    <row r="1050" spans="1:9" ht="15">
      <c r="A1050" s="66" t="s">
        <v>2515</v>
      </c>
      <c r="B1050" s="66" t="s">
        <v>2516</v>
      </c>
      <c r="C1050" s="66" t="s">
        <v>120</v>
      </c>
      <c r="D1050" s="66" t="s">
        <v>2730</v>
      </c>
      <c r="E1050" s="67" t="s">
        <v>120</v>
      </c>
      <c r="F1050" s="67" t="s">
        <v>2530</v>
      </c>
      <c r="G1050" s="66" t="s">
        <v>2517</v>
      </c>
      <c r="I1050"/>
    </row>
    <row r="1051" spans="1:9" ht="15">
      <c r="A1051" s="66" t="s">
        <v>2358</v>
      </c>
      <c r="B1051" s="66"/>
      <c r="C1051" s="66" t="s">
        <v>2329</v>
      </c>
      <c r="D1051" s="66" t="s">
        <v>2730</v>
      </c>
      <c r="E1051" s="67" t="s">
        <v>2732</v>
      </c>
      <c r="F1051" s="67" t="s">
        <v>2530</v>
      </c>
      <c r="G1051" s="66" t="s">
        <v>2323</v>
      </c>
      <c r="I1051"/>
    </row>
    <row r="1052" spans="1:9" ht="17.25">
      <c r="A1052" s="92" t="s">
        <v>2740</v>
      </c>
      <c r="B1052" s="92"/>
      <c r="C1052" s="92"/>
      <c r="D1052" s="92"/>
      <c r="E1052" s="93"/>
      <c r="F1052" s="92"/>
      <c r="G1052" s="92"/>
      <c r="I1052"/>
    </row>
    <row r="1053" spans="1:9" ht="15">
      <c r="A1053" s="66" t="s">
        <v>2519</v>
      </c>
      <c r="B1053" s="66" t="s">
        <v>2407</v>
      </c>
      <c r="C1053" s="66" t="s">
        <v>120</v>
      </c>
      <c r="D1053" s="66" t="s">
        <v>2730</v>
      </c>
      <c r="E1053" s="67" t="s">
        <v>120</v>
      </c>
      <c r="F1053" s="67" t="s">
        <v>2530</v>
      </c>
      <c r="G1053" s="66" t="s">
        <v>2520</v>
      </c>
      <c r="I1053"/>
    </row>
    <row r="1054" spans="1:9" ht="15">
      <c r="A1054" s="66" t="s">
        <v>2521</v>
      </c>
      <c r="B1054" s="66" t="s">
        <v>2407</v>
      </c>
      <c r="C1054" s="66" t="s">
        <v>120</v>
      </c>
      <c r="D1054" s="66" t="s">
        <v>2730</v>
      </c>
      <c r="E1054" s="67" t="s">
        <v>120</v>
      </c>
      <c r="F1054" s="67" t="s">
        <v>2530</v>
      </c>
      <c r="G1054" s="66" t="s">
        <v>2323</v>
      </c>
      <c r="I1054"/>
    </row>
    <row r="1055" spans="1:9" ht="15">
      <c r="A1055" s="66" t="s">
        <v>2522</v>
      </c>
      <c r="B1055" s="66" t="s">
        <v>2523</v>
      </c>
      <c r="C1055" s="66" t="s">
        <v>120</v>
      </c>
      <c r="D1055" s="66" t="s">
        <v>2730</v>
      </c>
      <c r="E1055" s="67" t="s">
        <v>120</v>
      </c>
      <c r="F1055" s="67" t="s">
        <v>2530</v>
      </c>
      <c r="G1055" s="66" t="s">
        <v>2524</v>
      </c>
      <c r="I1055"/>
    </row>
    <row r="1056" spans="1:9" ht="15">
      <c r="A1056" s="66" t="s">
        <v>2525</v>
      </c>
      <c r="B1056" s="66" t="s">
        <v>2412</v>
      </c>
      <c r="C1056" s="66" t="s">
        <v>120</v>
      </c>
      <c r="D1056" s="66" t="s">
        <v>2730</v>
      </c>
      <c r="E1056" s="67" t="s">
        <v>120</v>
      </c>
      <c r="F1056" s="67" t="s">
        <v>2530</v>
      </c>
      <c r="G1056" s="66" t="s">
        <v>2520</v>
      </c>
      <c r="I1056"/>
    </row>
    <row r="1057" spans="1:9" ht="15">
      <c r="A1057" s="66" t="s">
        <v>2526</v>
      </c>
      <c r="B1057" s="66" t="s">
        <v>2412</v>
      </c>
      <c r="C1057" s="66" t="s">
        <v>120</v>
      </c>
      <c r="D1057" s="66" t="s">
        <v>2730</v>
      </c>
      <c r="E1057" s="67" t="s">
        <v>120</v>
      </c>
      <c r="F1057" s="67" t="s">
        <v>2530</v>
      </c>
      <c r="G1057" s="66" t="s">
        <v>2527</v>
      </c>
      <c r="I1057"/>
    </row>
    <row r="1058" spans="1:9" ht="15">
      <c r="A1058" s="66" t="s">
        <v>2528</v>
      </c>
      <c r="B1058" s="66" t="s">
        <v>2529</v>
      </c>
      <c r="C1058" s="66" t="s">
        <v>2490</v>
      </c>
      <c r="D1058" s="66" t="s">
        <v>2730</v>
      </c>
      <c r="E1058" s="67" t="s">
        <v>2490</v>
      </c>
      <c r="F1058" s="67" t="s">
        <v>2530</v>
      </c>
      <c r="G1058" s="66" t="s">
        <v>2323</v>
      </c>
      <c r="I1058"/>
    </row>
    <row r="1059" spans="1:9" ht="15">
      <c r="A1059" s="66" t="s">
        <v>2413</v>
      </c>
      <c r="B1059" s="66" t="s">
        <v>2407</v>
      </c>
      <c r="C1059" s="66" t="s">
        <v>2414</v>
      </c>
      <c r="D1059" s="66" t="s">
        <v>2730</v>
      </c>
      <c r="E1059" s="67" t="s">
        <v>2741</v>
      </c>
      <c r="F1059" s="67" t="s">
        <v>2530</v>
      </c>
      <c r="G1059" s="66" t="s">
        <v>2416</v>
      </c>
      <c r="I1059"/>
    </row>
    <row r="1060" spans="1:9" ht="15">
      <c r="A1060" s="66" t="s">
        <v>2532</v>
      </c>
      <c r="B1060" s="66" t="s">
        <v>2529</v>
      </c>
      <c r="C1060" s="66" t="s">
        <v>2533</v>
      </c>
      <c r="D1060" s="66" t="s">
        <v>2730</v>
      </c>
      <c r="E1060" s="67" t="s">
        <v>120</v>
      </c>
      <c r="F1060" s="67" t="s">
        <v>2530</v>
      </c>
      <c r="G1060" s="66" t="s">
        <v>2323</v>
      </c>
      <c r="I1060"/>
    </row>
    <row r="1061" spans="1:9" ht="15">
      <c r="A1061" s="65" t="s">
        <v>2360</v>
      </c>
      <c r="B1061" s="65"/>
      <c r="C1061" s="65" t="s">
        <v>2317</v>
      </c>
      <c r="D1061" s="65" t="s">
        <v>2730</v>
      </c>
      <c r="E1061" s="91" t="s">
        <v>2319</v>
      </c>
      <c r="F1061" s="65" t="s">
        <v>2302</v>
      </c>
      <c r="G1061" s="65" t="s">
        <v>2361</v>
      </c>
      <c r="I1061"/>
    </row>
    <row r="1062" spans="1:9" ht="15">
      <c r="A1062" s="66" t="s">
        <v>2534</v>
      </c>
      <c r="B1062" s="66" t="s">
        <v>2363</v>
      </c>
      <c r="C1062" s="66" t="s">
        <v>120</v>
      </c>
      <c r="D1062" s="66" t="s">
        <v>2730</v>
      </c>
      <c r="E1062" s="67" t="s">
        <v>120</v>
      </c>
      <c r="F1062" s="67" t="s">
        <v>2530</v>
      </c>
      <c r="G1062" s="66" t="s">
        <v>2535</v>
      </c>
      <c r="I1062"/>
    </row>
    <row r="1063" spans="1:9" ht="15">
      <c r="A1063" s="65" t="s">
        <v>2362</v>
      </c>
      <c r="B1063" s="65" t="s">
        <v>2363</v>
      </c>
      <c r="C1063" s="65" t="s">
        <v>2364</v>
      </c>
      <c r="D1063" s="65" t="s">
        <v>2730</v>
      </c>
      <c r="E1063" s="91" t="s">
        <v>2365</v>
      </c>
      <c r="F1063" s="65" t="s">
        <v>2302</v>
      </c>
      <c r="G1063" s="65" t="s">
        <v>2323</v>
      </c>
      <c r="I1063"/>
    </row>
    <row r="1064" spans="1:9" ht="17.25">
      <c r="A1064" s="92" t="s">
        <v>2742</v>
      </c>
      <c r="B1064" s="92"/>
      <c r="C1064" s="92"/>
      <c r="D1064" s="92"/>
      <c r="E1064" s="93"/>
      <c r="F1064" s="92"/>
      <c r="G1064" s="92"/>
      <c r="I1064"/>
    </row>
    <row r="1065" spans="1:9" ht="15">
      <c r="A1065" s="66" t="s">
        <v>2537</v>
      </c>
      <c r="B1065" s="66" t="s">
        <v>2538</v>
      </c>
      <c r="C1065" s="66" t="s">
        <v>120</v>
      </c>
      <c r="D1065" s="66" t="s">
        <v>2730</v>
      </c>
      <c r="E1065" s="67" t="s">
        <v>120</v>
      </c>
      <c r="F1065" s="67" t="s">
        <v>2530</v>
      </c>
      <c r="G1065" s="66" t="s">
        <v>2323</v>
      </c>
      <c r="I1065"/>
    </row>
    <row r="1066" spans="1:9" ht="15">
      <c r="A1066" s="66" t="s">
        <v>2539</v>
      </c>
      <c r="B1066" s="66" t="s">
        <v>2538</v>
      </c>
      <c r="C1066" s="66" t="s">
        <v>2490</v>
      </c>
      <c r="D1066" s="66" t="s">
        <v>2730</v>
      </c>
      <c r="E1066" s="67" t="s">
        <v>2490</v>
      </c>
      <c r="F1066" s="67" t="s">
        <v>2530</v>
      </c>
      <c r="G1066" s="66" t="s">
        <v>2540</v>
      </c>
      <c r="I1066"/>
    </row>
    <row r="1067" spans="1:9" ht="15">
      <c r="A1067" s="66" t="s">
        <v>2541</v>
      </c>
      <c r="B1067" s="66" t="s">
        <v>2542</v>
      </c>
      <c r="C1067" s="66" t="s">
        <v>2543</v>
      </c>
      <c r="D1067" s="66" t="s">
        <v>2730</v>
      </c>
      <c r="E1067" s="67" t="s">
        <v>120</v>
      </c>
      <c r="F1067" s="67" t="s">
        <v>2530</v>
      </c>
      <c r="G1067" s="66" t="s">
        <v>2323</v>
      </c>
      <c r="I1067"/>
    </row>
    <row r="1068" spans="1:9" ht="15">
      <c r="A1068" s="66" t="s">
        <v>2421</v>
      </c>
      <c r="B1068" s="66" t="s">
        <v>2422</v>
      </c>
      <c r="C1068" s="66" t="s">
        <v>2423</v>
      </c>
      <c r="D1068" s="66" t="s">
        <v>2730</v>
      </c>
      <c r="E1068" s="67" t="s">
        <v>2743</v>
      </c>
      <c r="F1068" s="67" t="s">
        <v>2530</v>
      </c>
      <c r="G1068" s="66" t="s">
        <v>2425</v>
      </c>
      <c r="I1068"/>
    </row>
    <row r="1069" spans="1:9" ht="15">
      <c r="A1069" s="66" t="s">
        <v>2545</v>
      </c>
      <c r="B1069" s="66" t="s">
        <v>2422</v>
      </c>
      <c r="C1069" s="66" t="s">
        <v>2461</v>
      </c>
      <c r="D1069" s="66" t="s">
        <v>2730</v>
      </c>
      <c r="E1069" s="67" t="s">
        <v>120</v>
      </c>
      <c r="F1069" s="67" t="s">
        <v>2530</v>
      </c>
      <c r="G1069" s="66" t="s">
        <v>2546</v>
      </c>
      <c r="I1069"/>
    </row>
    <row r="1070" spans="1:9" ht="15">
      <c r="A1070" s="66" t="s">
        <v>2547</v>
      </c>
      <c r="B1070" s="66" t="s">
        <v>2538</v>
      </c>
      <c r="C1070" s="66" t="s">
        <v>2548</v>
      </c>
      <c r="D1070" s="66" t="s">
        <v>2730</v>
      </c>
      <c r="E1070" s="67" t="s">
        <v>120</v>
      </c>
      <c r="F1070" s="67" t="s">
        <v>2530</v>
      </c>
      <c r="G1070" s="66" t="s">
        <v>2323</v>
      </c>
      <c r="I1070"/>
    </row>
    <row r="1071" spans="1:9" ht="15">
      <c r="A1071" s="66" t="s">
        <v>2549</v>
      </c>
      <c r="B1071" s="66" t="s">
        <v>2538</v>
      </c>
      <c r="C1071" s="66" t="s">
        <v>2550</v>
      </c>
      <c r="D1071" s="66" t="s">
        <v>2730</v>
      </c>
      <c r="E1071" s="67" t="s">
        <v>120</v>
      </c>
      <c r="F1071" s="67" t="s">
        <v>2530</v>
      </c>
      <c r="G1071" s="66" t="s">
        <v>2551</v>
      </c>
      <c r="I1071"/>
    </row>
    <row r="1072" spans="1:9" ht="15">
      <c r="A1072" s="66" t="s">
        <v>2552</v>
      </c>
      <c r="B1072" s="66" t="s">
        <v>2538</v>
      </c>
      <c r="C1072" s="66" t="s">
        <v>2553</v>
      </c>
      <c r="D1072" s="66" t="s">
        <v>2730</v>
      </c>
      <c r="E1072" s="67" t="s">
        <v>120</v>
      </c>
      <c r="F1072" s="67" t="s">
        <v>2530</v>
      </c>
      <c r="G1072" s="66" t="s">
        <v>2323</v>
      </c>
      <c r="I1072"/>
    </row>
    <row r="1073" spans="1:9" ht="17.25">
      <c r="A1073" s="92" t="s">
        <v>2744</v>
      </c>
      <c r="B1073" s="92"/>
      <c r="C1073" s="92"/>
      <c r="D1073" s="92"/>
      <c r="E1073" s="93"/>
      <c r="F1073" s="92"/>
      <c r="G1073" s="92"/>
      <c r="I1073"/>
    </row>
    <row r="1074" spans="1:9" ht="15">
      <c r="A1074" s="65" t="s">
        <v>2367</v>
      </c>
      <c r="B1074" s="65"/>
      <c r="C1074" s="65" t="s">
        <v>2317</v>
      </c>
      <c r="D1074" s="65" t="s">
        <v>2730</v>
      </c>
      <c r="E1074" s="91" t="s">
        <v>2319</v>
      </c>
      <c r="F1074" s="65" t="s">
        <v>2302</v>
      </c>
      <c r="G1074" s="65" t="s">
        <v>2368</v>
      </c>
      <c r="I1074"/>
    </row>
    <row r="1075" spans="1:9" ht="15">
      <c r="A1075" s="66" t="s">
        <v>2427</v>
      </c>
      <c r="B1075" s="66" t="s">
        <v>2370</v>
      </c>
      <c r="C1075" s="66" t="s">
        <v>2428</v>
      </c>
      <c r="D1075" s="66" t="s">
        <v>2730</v>
      </c>
      <c r="E1075" s="67" t="s">
        <v>120</v>
      </c>
      <c r="F1075" s="67" t="s">
        <v>2530</v>
      </c>
      <c r="G1075" s="66" t="s">
        <v>2429</v>
      </c>
      <c r="I1075"/>
    </row>
    <row r="1076" spans="1:9" ht="15">
      <c r="A1076" s="66" t="s">
        <v>2555</v>
      </c>
      <c r="B1076" s="66" t="s">
        <v>2363</v>
      </c>
      <c r="C1076" s="66" t="s">
        <v>2556</v>
      </c>
      <c r="D1076" s="66" t="s">
        <v>2730</v>
      </c>
      <c r="E1076" s="67" t="s">
        <v>120</v>
      </c>
      <c r="F1076" s="67" t="s">
        <v>2530</v>
      </c>
      <c r="G1076" s="66" t="s">
        <v>2557</v>
      </c>
      <c r="I1076"/>
    </row>
    <row r="1077" spans="1:9" ht="15">
      <c r="A1077" s="66" t="s">
        <v>2558</v>
      </c>
      <c r="B1077" s="66" t="s">
        <v>2559</v>
      </c>
      <c r="C1077" s="66" t="s">
        <v>2560</v>
      </c>
      <c r="D1077" s="66" t="s">
        <v>2730</v>
      </c>
      <c r="E1077" s="67" t="s">
        <v>120</v>
      </c>
      <c r="F1077" s="67" t="s">
        <v>2530</v>
      </c>
      <c r="G1077" s="66" t="s">
        <v>2561</v>
      </c>
      <c r="I1077"/>
    </row>
    <row r="1078" spans="1:9" ht="15">
      <c r="A1078" s="66" t="s">
        <v>2562</v>
      </c>
      <c r="B1078" s="66" t="s">
        <v>2370</v>
      </c>
      <c r="C1078" s="66" t="s">
        <v>120</v>
      </c>
      <c r="D1078" s="66" t="s">
        <v>2730</v>
      </c>
      <c r="E1078" s="67" t="s">
        <v>120</v>
      </c>
      <c r="F1078" s="67" t="s">
        <v>2530</v>
      </c>
      <c r="G1078" s="66" t="s">
        <v>2563</v>
      </c>
      <c r="I1078"/>
    </row>
    <row r="1079" spans="1:9" ht="15">
      <c r="A1079" s="65" t="s">
        <v>2369</v>
      </c>
      <c r="B1079" s="65" t="s">
        <v>2370</v>
      </c>
      <c r="C1079" s="65" t="s">
        <v>2317</v>
      </c>
      <c r="D1079" s="65" t="s">
        <v>2730</v>
      </c>
      <c r="E1079" s="91" t="s">
        <v>2319</v>
      </c>
      <c r="F1079" s="65" t="s">
        <v>2302</v>
      </c>
      <c r="G1079" s="65" t="s">
        <v>2371</v>
      </c>
      <c r="I1079"/>
    </row>
    <row r="1080" spans="1:9" ht="15">
      <c r="A1080" s="66" t="s">
        <v>2372</v>
      </c>
      <c r="B1080" s="66"/>
      <c r="C1080" s="66" t="s">
        <v>2329</v>
      </c>
      <c r="D1080" s="66" t="s">
        <v>2730</v>
      </c>
      <c r="E1080" s="67" t="s">
        <v>2732</v>
      </c>
      <c r="F1080" s="67" t="s">
        <v>2530</v>
      </c>
      <c r="G1080" s="66" t="s">
        <v>2323</v>
      </c>
      <c r="I1080"/>
    </row>
    <row r="1081" spans="1:9" ht="15">
      <c r="A1081" s="66" t="s">
        <v>2564</v>
      </c>
      <c r="B1081" s="66"/>
      <c r="C1081" s="66" t="s">
        <v>120</v>
      </c>
      <c r="D1081" s="66" t="s">
        <v>2730</v>
      </c>
      <c r="E1081" s="67" t="s">
        <v>120</v>
      </c>
      <c r="F1081" s="67" t="s">
        <v>2530</v>
      </c>
      <c r="G1081" s="66" t="s">
        <v>2323</v>
      </c>
      <c r="I1081"/>
    </row>
    <row r="1082" spans="1:9" ht="15">
      <c r="A1082" s="66" t="s">
        <v>2565</v>
      </c>
      <c r="B1082" s="66" t="s">
        <v>2370</v>
      </c>
      <c r="C1082" s="66" t="s">
        <v>2566</v>
      </c>
      <c r="D1082" s="66" t="s">
        <v>2730</v>
      </c>
      <c r="E1082" s="67" t="s">
        <v>2566</v>
      </c>
      <c r="F1082" s="67" t="s">
        <v>2530</v>
      </c>
      <c r="G1082" s="66" t="s">
        <v>2567</v>
      </c>
      <c r="I1082"/>
    </row>
    <row r="1083" spans="1:9" ht="17.25">
      <c r="A1083" s="92" t="s">
        <v>2745</v>
      </c>
      <c r="B1083" s="92"/>
      <c r="C1083" s="92"/>
      <c r="D1083" s="92"/>
      <c r="E1083" s="93"/>
      <c r="F1083" s="92"/>
      <c r="G1083" s="92"/>
      <c r="I1083"/>
    </row>
    <row r="1084" spans="1:9" ht="15">
      <c r="A1084" s="66" t="s">
        <v>2374</v>
      </c>
      <c r="B1084" s="66"/>
      <c r="C1084" s="66" t="s">
        <v>2329</v>
      </c>
      <c r="D1084" s="66" t="s">
        <v>2730</v>
      </c>
      <c r="E1084" s="67" t="s">
        <v>2732</v>
      </c>
      <c r="F1084" s="67" t="s">
        <v>2530</v>
      </c>
      <c r="G1084" s="66" t="s">
        <v>2375</v>
      </c>
      <c r="I1084"/>
    </row>
    <row r="1085" spans="1:9" ht="15">
      <c r="A1085" s="66" t="s">
        <v>2569</v>
      </c>
      <c r="B1085" s="66" t="s">
        <v>2570</v>
      </c>
      <c r="C1085" s="66" t="s">
        <v>2571</v>
      </c>
      <c r="D1085" s="66" t="s">
        <v>2730</v>
      </c>
      <c r="E1085" s="67" t="s">
        <v>120</v>
      </c>
      <c r="F1085" s="67" t="s">
        <v>2530</v>
      </c>
      <c r="G1085" s="66" t="s">
        <v>2437</v>
      </c>
      <c r="I1085"/>
    </row>
    <row r="1086" spans="1:9" ht="15">
      <c r="A1086" s="66" t="s">
        <v>2572</v>
      </c>
      <c r="B1086" s="66" t="s">
        <v>2432</v>
      </c>
      <c r="C1086" s="66" t="s">
        <v>120</v>
      </c>
      <c r="D1086" s="66" t="s">
        <v>2730</v>
      </c>
      <c r="E1086" s="67" t="s">
        <v>120</v>
      </c>
      <c r="F1086" s="67" t="s">
        <v>2530</v>
      </c>
      <c r="G1086" s="66" t="s">
        <v>2573</v>
      </c>
      <c r="I1086"/>
    </row>
    <row r="1087" spans="1:9" ht="15">
      <c r="A1087" s="66" t="s">
        <v>2574</v>
      </c>
      <c r="B1087" s="66" t="s">
        <v>2570</v>
      </c>
      <c r="C1087" s="66" t="s">
        <v>120</v>
      </c>
      <c r="D1087" s="66" t="s">
        <v>2730</v>
      </c>
      <c r="E1087" s="67" t="s">
        <v>120</v>
      </c>
      <c r="F1087" s="67" t="s">
        <v>2530</v>
      </c>
      <c r="G1087" s="66" t="s">
        <v>2573</v>
      </c>
      <c r="I1087"/>
    </row>
    <row r="1088" spans="1:9" ht="15">
      <c r="A1088" s="66" t="s">
        <v>2575</v>
      </c>
      <c r="B1088" s="66" t="s">
        <v>2576</v>
      </c>
      <c r="C1088" s="66" t="s">
        <v>2490</v>
      </c>
      <c r="D1088" s="66" t="s">
        <v>2730</v>
      </c>
      <c r="E1088" s="67" t="s">
        <v>2490</v>
      </c>
      <c r="F1088" s="67" t="s">
        <v>2530</v>
      </c>
      <c r="G1088" s="66" t="s">
        <v>2577</v>
      </c>
      <c r="I1088"/>
    </row>
    <row r="1089" spans="1:9" ht="15">
      <c r="A1089" s="66" t="s">
        <v>2578</v>
      </c>
      <c r="B1089" s="66" t="s">
        <v>2579</v>
      </c>
      <c r="C1089" s="66" t="s">
        <v>2543</v>
      </c>
      <c r="D1089" s="66" t="s">
        <v>2730</v>
      </c>
      <c r="E1089" s="67" t="s">
        <v>120</v>
      </c>
      <c r="F1089" s="67" t="s">
        <v>2530</v>
      </c>
      <c r="G1089" s="66" t="s">
        <v>2580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2306</v>
      </c>
      <c r="B1" s="209"/>
      <c r="C1" s="209"/>
      <c r="D1" s="209"/>
      <c r="E1" s="209"/>
      <c r="F1" s="209"/>
      <c r="G1" s="209"/>
      <c r="H1" s="209"/>
      <c r="I1" s="209"/>
    </row>
    <row r="2" spans="1:9" ht="47.25" customHeight="1">
      <c r="A2" s="208" t="s">
        <v>2307</v>
      </c>
      <c r="B2" s="208"/>
      <c r="C2" s="208"/>
      <c r="D2" s="208"/>
      <c r="E2" s="208"/>
      <c r="F2" s="208"/>
      <c r="G2" s="208"/>
      <c r="H2" s="208"/>
      <c r="I2" s="208"/>
    </row>
    <row r="3" spans="1:9" ht="15" customHeight="1">
      <c r="A3" s="71" t="s">
        <v>2308</v>
      </c>
      <c r="B3" s="68" t="s">
        <v>2309</v>
      </c>
      <c r="C3" s="68" t="s">
        <v>2310</v>
      </c>
      <c r="D3" s="68" t="s">
        <v>2311</v>
      </c>
      <c r="E3" s="68" t="s">
        <v>2312</v>
      </c>
      <c r="F3" s="68" t="s">
        <v>2313</v>
      </c>
      <c r="G3" s="68" t="s">
        <v>1519</v>
      </c>
      <c r="H3" s="68"/>
      <c r="I3" s="68"/>
    </row>
    <row r="4" spans="1:9" ht="15" customHeight="1">
      <c r="A4" s="92" t="s">
        <v>2314</v>
      </c>
      <c r="B4" s="92"/>
      <c r="C4" s="92"/>
      <c r="D4" s="92"/>
      <c r="E4" s="93"/>
      <c r="F4" s="92"/>
      <c r="G4" s="92"/>
    </row>
    <row r="5" spans="1:9" ht="15" customHeight="1">
      <c r="A5" s="66" t="s">
        <v>2377</v>
      </c>
      <c r="B5" s="66" t="s">
        <v>2378</v>
      </c>
      <c r="C5" s="66" t="s">
        <v>1622</v>
      </c>
      <c r="D5" s="66" t="s">
        <v>2746</v>
      </c>
      <c r="E5" s="67" t="s">
        <v>120</v>
      </c>
      <c r="F5" s="67" t="s">
        <v>2747</v>
      </c>
      <c r="G5" s="66" t="s">
        <v>2380</v>
      </c>
    </row>
    <row r="6" spans="1:9" ht="15" customHeight="1">
      <c r="A6" s="66" t="s">
        <v>2381</v>
      </c>
      <c r="B6" s="66"/>
      <c r="C6" s="66" t="s">
        <v>1396</v>
      </c>
      <c r="D6" s="66" t="s">
        <v>2746</v>
      </c>
      <c r="E6" s="67" t="s">
        <v>1396</v>
      </c>
      <c r="F6" s="67" t="s">
        <v>2747</v>
      </c>
      <c r="G6" s="66" t="s">
        <v>2323</v>
      </c>
    </row>
    <row r="7" spans="1:9" ht="15" customHeight="1">
      <c r="A7" s="66" t="s">
        <v>2382</v>
      </c>
      <c r="B7" s="66"/>
      <c r="C7" s="66" t="s">
        <v>2383</v>
      </c>
      <c r="D7" s="66" t="s">
        <v>2746</v>
      </c>
      <c r="E7" s="67" t="s">
        <v>2383</v>
      </c>
      <c r="F7" s="67" t="s">
        <v>2747</v>
      </c>
      <c r="G7" s="66" t="s">
        <v>2323</v>
      </c>
    </row>
    <row r="8" spans="1:9" ht="15" customHeight="1">
      <c r="A8" s="66" t="s">
        <v>2441</v>
      </c>
      <c r="B8" s="66" t="s">
        <v>2316</v>
      </c>
      <c r="C8" s="66" t="s">
        <v>120</v>
      </c>
      <c r="D8" s="66" t="s">
        <v>2746</v>
      </c>
      <c r="E8" s="67" t="s">
        <v>120</v>
      </c>
      <c r="F8" s="67" t="s">
        <v>2747</v>
      </c>
      <c r="G8" s="66" t="s">
        <v>2323</v>
      </c>
    </row>
    <row r="9" spans="1:9" ht="15" customHeight="1">
      <c r="A9" s="66" t="s">
        <v>2442</v>
      </c>
      <c r="B9" s="66" t="s">
        <v>2326</v>
      </c>
      <c r="C9" s="66" t="s">
        <v>120</v>
      </c>
      <c r="D9" s="66" t="s">
        <v>2746</v>
      </c>
      <c r="E9" s="67" t="s">
        <v>120</v>
      </c>
      <c r="F9" s="67" t="s">
        <v>2747</v>
      </c>
      <c r="G9" s="66" t="s">
        <v>2443</v>
      </c>
    </row>
    <row r="10" spans="1:9" ht="15" customHeight="1">
      <c r="A10" s="66" t="s">
        <v>2444</v>
      </c>
      <c r="B10" s="66"/>
      <c r="C10" s="66" t="s">
        <v>120</v>
      </c>
      <c r="D10" s="66" t="s">
        <v>2746</v>
      </c>
      <c r="E10" s="67" t="s">
        <v>120</v>
      </c>
      <c r="F10" s="67" t="s">
        <v>2747</v>
      </c>
      <c r="G10" s="66" t="s">
        <v>2323</v>
      </c>
    </row>
    <row r="11" spans="1:9" ht="15" customHeight="1">
      <c r="A11" s="92" t="s">
        <v>2327</v>
      </c>
      <c r="B11" s="92"/>
      <c r="C11" s="92"/>
      <c r="D11" s="92"/>
      <c r="E11" s="93"/>
      <c r="F11" s="92"/>
      <c r="G11" s="92"/>
    </row>
    <row r="12" spans="1:9" ht="15" customHeight="1">
      <c r="A12" s="66" t="s">
        <v>2446</v>
      </c>
      <c r="B12" s="66" t="s">
        <v>2334</v>
      </c>
      <c r="C12" s="66" t="s">
        <v>120</v>
      </c>
      <c r="D12" s="66" t="s">
        <v>2746</v>
      </c>
      <c r="E12" s="67" t="s">
        <v>120</v>
      </c>
      <c r="F12" s="67" t="s">
        <v>2747</v>
      </c>
      <c r="G12" s="66" t="s">
        <v>2323</v>
      </c>
    </row>
    <row r="13" spans="1:9" ht="15" customHeight="1">
      <c r="A13" s="66" t="s">
        <v>2447</v>
      </c>
      <c r="B13" s="66" t="s">
        <v>2448</v>
      </c>
      <c r="C13" s="66" t="s">
        <v>120</v>
      </c>
      <c r="D13" s="66" t="s">
        <v>2746</v>
      </c>
      <c r="E13" s="67" t="s">
        <v>120</v>
      </c>
      <c r="F13" s="67" t="s">
        <v>2747</v>
      </c>
      <c r="G13" s="66" t="s">
        <v>2449</v>
      </c>
    </row>
    <row r="14" spans="1:9" ht="15" customHeight="1">
      <c r="A14" s="66" t="s">
        <v>2450</v>
      </c>
      <c r="B14" s="66" t="s">
        <v>2448</v>
      </c>
      <c r="C14" s="66" t="s">
        <v>120</v>
      </c>
      <c r="D14" s="66" t="s">
        <v>2746</v>
      </c>
      <c r="E14" s="67" t="s">
        <v>120</v>
      </c>
      <c r="F14" s="67" t="s">
        <v>2747</v>
      </c>
      <c r="G14" s="66" t="s">
        <v>2323</v>
      </c>
    </row>
    <row r="15" spans="1:9" ht="15" customHeight="1">
      <c r="A15" s="66" t="s">
        <v>2328</v>
      </c>
      <c r="B15" s="66"/>
      <c r="C15" s="66" t="s">
        <v>2329</v>
      </c>
      <c r="D15" s="66" t="s">
        <v>2746</v>
      </c>
      <c r="E15" s="67" t="s">
        <v>2451</v>
      </c>
      <c r="F15" s="67" t="s">
        <v>2747</v>
      </c>
      <c r="G15" s="66" t="s">
        <v>2331</v>
      </c>
    </row>
    <row r="16" spans="1:9" ht="15" customHeight="1">
      <c r="A16" s="66" t="s">
        <v>2452</v>
      </c>
      <c r="B16" s="66" t="s">
        <v>2453</v>
      </c>
      <c r="C16" s="66" t="s">
        <v>120</v>
      </c>
      <c r="D16" s="66" t="s">
        <v>2746</v>
      </c>
      <c r="E16" s="67" t="s">
        <v>120</v>
      </c>
      <c r="F16" s="67" t="s">
        <v>2747</v>
      </c>
      <c r="G16" s="66" t="s">
        <v>2454</v>
      </c>
    </row>
    <row r="17" spans="1:7" ht="15" customHeight="1">
      <c r="A17" s="92" t="s">
        <v>2748</v>
      </c>
      <c r="B17" s="92"/>
      <c r="C17" s="92"/>
      <c r="D17" s="92"/>
      <c r="E17" s="93"/>
      <c r="F17" s="92"/>
      <c r="G17" s="92"/>
    </row>
    <row r="18" spans="1:7" ht="15" customHeight="1">
      <c r="A18" s="66" t="s">
        <v>2456</v>
      </c>
      <c r="B18" s="66" t="s">
        <v>2457</v>
      </c>
      <c r="C18" s="66" t="s">
        <v>120</v>
      </c>
      <c r="D18" s="66" t="s">
        <v>2746</v>
      </c>
      <c r="E18" s="67" t="s">
        <v>120</v>
      </c>
      <c r="F18" s="67" t="s">
        <v>2747</v>
      </c>
      <c r="G18" s="66" t="s">
        <v>2323</v>
      </c>
    </row>
    <row r="19" spans="1:7" ht="15" customHeight="1">
      <c r="A19" s="66" t="s">
        <v>2458</v>
      </c>
      <c r="B19" s="66" t="s">
        <v>2457</v>
      </c>
      <c r="C19" s="66" t="s">
        <v>2459</v>
      </c>
      <c r="D19" s="66" t="s">
        <v>2746</v>
      </c>
      <c r="E19" s="67" t="s">
        <v>120</v>
      </c>
      <c r="F19" s="67" t="s">
        <v>2747</v>
      </c>
      <c r="G19" s="66" t="s">
        <v>2323</v>
      </c>
    </row>
    <row r="20" spans="1:7" ht="15" customHeight="1">
      <c r="A20" s="66" t="s">
        <v>2460</v>
      </c>
      <c r="B20" s="66" t="s">
        <v>2457</v>
      </c>
      <c r="C20" s="66" t="s">
        <v>2461</v>
      </c>
      <c r="D20" s="66" t="s">
        <v>2746</v>
      </c>
      <c r="E20" s="67" t="s">
        <v>120</v>
      </c>
      <c r="F20" s="67" t="s">
        <v>2747</v>
      </c>
      <c r="G20" s="66" t="s">
        <v>2462</v>
      </c>
    </row>
    <row r="21" spans="1:7" ht="15" customHeight="1">
      <c r="A21" s="66" t="s">
        <v>2463</v>
      </c>
      <c r="B21" s="66" t="s">
        <v>2457</v>
      </c>
      <c r="C21" s="66" t="s">
        <v>120</v>
      </c>
      <c r="D21" s="66" t="s">
        <v>2746</v>
      </c>
      <c r="E21" s="67" t="s">
        <v>120</v>
      </c>
      <c r="F21" s="67" t="s">
        <v>2747</v>
      </c>
      <c r="G21" s="66" t="s">
        <v>2323</v>
      </c>
    </row>
    <row r="22" spans="1:7" ht="15" customHeight="1">
      <c r="A22" s="92" t="s">
        <v>2749</v>
      </c>
      <c r="B22" s="92"/>
      <c r="C22" s="92"/>
      <c r="D22" s="92"/>
      <c r="E22" s="93"/>
      <c r="F22" s="92"/>
      <c r="G22" s="92"/>
    </row>
    <row r="23" spans="1:7" ht="15" customHeight="1">
      <c r="A23" s="66" t="s">
        <v>2465</v>
      </c>
      <c r="B23" s="66" t="s">
        <v>2466</v>
      </c>
      <c r="C23" s="66" t="s">
        <v>2467</v>
      </c>
      <c r="D23" s="66" t="s">
        <v>2746</v>
      </c>
      <c r="E23" s="67" t="s">
        <v>120</v>
      </c>
      <c r="F23" s="67" t="s">
        <v>2747</v>
      </c>
      <c r="G23" s="66" t="s">
        <v>2323</v>
      </c>
    </row>
    <row r="24" spans="1:7" ht="15" customHeight="1">
      <c r="A24" s="66" t="s">
        <v>2468</v>
      </c>
      <c r="B24" s="66" t="s">
        <v>2390</v>
      </c>
      <c r="C24" s="66" t="s">
        <v>120</v>
      </c>
      <c r="D24" s="66" t="s">
        <v>2746</v>
      </c>
      <c r="E24" s="67" t="s">
        <v>120</v>
      </c>
      <c r="F24" s="67" t="s">
        <v>2747</v>
      </c>
      <c r="G24" s="66" t="s">
        <v>2323</v>
      </c>
    </row>
    <row r="25" spans="1:7" ht="15" customHeight="1">
      <c r="A25" s="66" t="s">
        <v>2469</v>
      </c>
      <c r="B25" s="66" t="s">
        <v>2466</v>
      </c>
      <c r="C25" s="66" t="s">
        <v>2470</v>
      </c>
      <c r="D25" s="66" t="s">
        <v>2746</v>
      </c>
      <c r="E25" s="67" t="s">
        <v>120</v>
      </c>
      <c r="F25" s="67" t="s">
        <v>2747</v>
      </c>
      <c r="G25" s="66" t="s">
        <v>2323</v>
      </c>
    </row>
    <row r="26" spans="1:7" ht="15" customHeight="1">
      <c r="A26" s="66" t="s">
        <v>2392</v>
      </c>
      <c r="B26" s="66" t="s">
        <v>2390</v>
      </c>
      <c r="C26" s="66" t="s">
        <v>2393</v>
      </c>
      <c r="D26" s="66" t="s">
        <v>2746</v>
      </c>
      <c r="E26" s="67" t="s">
        <v>120</v>
      </c>
      <c r="F26" s="67" t="s">
        <v>2747</v>
      </c>
      <c r="G26" s="66" t="s">
        <v>2394</v>
      </c>
    </row>
    <row r="27" spans="1:7" ht="15" customHeight="1">
      <c r="A27" s="66" t="s">
        <v>2471</v>
      </c>
      <c r="B27" s="66" t="s">
        <v>2472</v>
      </c>
      <c r="C27" s="66" t="s">
        <v>120</v>
      </c>
      <c r="D27" s="66" t="s">
        <v>2746</v>
      </c>
      <c r="E27" s="67" t="s">
        <v>120</v>
      </c>
      <c r="F27" s="67" t="s">
        <v>2747</v>
      </c>
      <c r="G27" s="66" t="s">
        <v>2473</v>
      </c>
    </row>
    <row r="28" spans="1:7" ht="15" customHeight="1">
      <c r="A28" s="66" t="s">
        <v>2474</v>
      </c>
      <c r="B28" s="66" t="s">
        <v>2472</v>
      </c>
      <c r="C28" s="66" t="s">
        <v>120</v>
      </c>
      <c r="D28" s="66" t="s">
        <v>2746</v>
      </c>
      <c r="E28" s="67" t="s">
        <v>120</v>
      </c>
      <c r="F28" s="67" t="s">
        <v>2747</v>
      </c>
      <c r="G28" s="66" t="s">
        <v>2323</v>
      </c>
    </row>
    <row r="29" spans="1:7" ht="15" customHeight="1">
      <c r="A29" s="92" t="s">
        <v>2332</v>
      </c>
      <c r="B29" s="92"/>
      <c r="C29" s="92"/>
      <c r="D29" s="92"/>
      <c r="E29" s="93"/>
      <c r="F29" s="92"/>
      <c r="G29" s="92"/>
    </row>
    <row r="30" spans="1:7" ht="15" customHeight="1">
      <c r="A30" s="66" t="s">
        <v>2476</v>
      </c>
      <c r="B30" s="66" t="s">
        <v>2477</v>
      </c>
      <c r="C30" s="66" t="s">
        <v>120</v>
      </c>
      <c r="D30" s="66" t="s">
        <v>2746</v>
      </c>
      <c r="E30" s="67" t="s">
        <v>120</v>
      </c>
      <c r="F30" s="67" t="s">
        <v>2747</v>
      </c>
      <c r="G30" s="66" t="s">
        <v>2478</v>
      </c>
    </row>
    <row r="31" spans="1:7" ht="15" customHeight="1">
      <c r="A31" s="66" t="s">
        <v>2333</v>
      </c>
      <c r="B31" s="66" t="s">
        <v>2334</v>
      </c>
      <c r="C31" s="66" t="s">
        <v>2335</v>
      </c>
      <c r="D31" s="66" t="s">
        <v>2746</v>
      </c>
      <c r="E31" s="67" t="s">
        <v>2451</v>
      </c>
      <c r="F31" s="67" t="s">
        <v>2747</v>
      </c>
      <c r="G31" s="66" t="s">
        <v>2323</v>
      </c>
    </row>
    <row r="32" spans="1:7" ht="15" customHeight="1">
      <c r="A32" s="66" t="s">
        <v>2336</v>
      </c>
      <c r="B32" s="66" t="s">
        <v>2334</v>
      </c>
      <c r="C32" s="66" t="s">
        <v>2329</v>
      </c>
      <c r="D32" s="66" t="s">
        <v>2746</v>
      </c>
      <c r="E32" s="67" t="s">
        <v>2451</v>
      </c>
      <c r="F32" s="67" t="s">
        <v>2747</v>
      </c>
      <c r="G32" s="66" t="s">
        <v>2323</v>
      </c>
    </row>
    <row r="33" spans="1:7" ht="15" customHeight="1">
      <c r="A33" s="66" t="s">
        <v>2337</v>
      </c>
      <c r="B33" s="66" t="s">
        <v>2334</v>
      </c>
      <c r="C33" s="66" t="s">
        <v>2329</v>
      </c>
      <c r="D33" s="66" t="s">
        <v>2746</v>
      </c>
      <c r="E33" s="67" t="s">
        <v>2451</v>
      </c>
      <c r="F33" s="67" t="s">
        <v>2747</v>
      </c>
      <c r="G33" s="66" t="s">
        <v>2323</v>
      </c>
    </row>
    <row r="34" spans="1:7" ht="15" customHeight="1">
      <c r="A34" s="66" t="s">
        <v>2338</v>
      </c>
      <c r="B34" s="66" t="s">
        <v>2339</v>
      </c>
      <c r="C34" s="66" t="s">
        <v>2329</v>
      </c>
      <c r="D34" s="66" t="s">
        <v>2746</v>
      </c>
      <c r="E34" s="67" t="s">
        <v>2451</v>
      </c>
      <c r="F34" s="67" t="s">
        <v>2747</v>
      </c>
      <c r="G34" s="66" t="s">
        <v>2323</v>
      </c>
    </row>
    <row r="35" spans="1:7" ht="15" customHeight="1">
      <c r="A35" s="66" t="s">
        <v>2340</v>
      </c>
      <c r="B35" s="66"/>
      <c r="C35" s="66" t="s">
        <v>2329</v>
      </c>
      <c r="D35" s="66" t="s">
        <v>2746</v>
      </c>
      <c r="E35" s="67" t="s">
        <v>2451</v>
      </c>
      <c r="F35" s="67" t="s">
        <v>2747</v>
      </c>
      <c r="G35" s="66" t="s">
        <v>2323</v>
      </c>
    </row>
    <row r="36" spans="1:7" ht="15" customHeight="1">
      <c r="A36" s="66" t="s">
        <v>2341</v>
      </c>
      <c r="B36" s="66"/>
      <c r="C36" s="66" t="s">
        <v>2329</v>
      </c>
      <c r="D36" s="66" t="s">
        <v>2746</v>
      </c>
      <c r="E36" s="67" t="s">
        <v>2451</v>
      </c>
      <c r="F36" s="67" t="s">
        <v>2747</v>
      </c>
      <c r="G36" s="66" t="s">
        <v>2323</v>
      </c>
    </row>
    <row r="37" spans="1:7" ht="15" customHeight="1">
      <c r="A37" s="66" t="s">
        <v>2342</v>
      </c>
      <c r="B37" s="66"/>
      <c r="C37" s="66" t="s">
        <v>2329</v>
      </c>
      <c r="D37" s="66" t="s">
        <v>2746</v>
      </c>
      <c r="E37" s="67" t="s">
        <v>2451</v>
      </c>
      <c r="F37" s="67" t="s">
        <v>2747</v>
      </c>
      <c r="G37" s="66" t="s">
        <v>2323</v>
      </c>
    </row>
    <row r="38" spans="1:7" ht="15" customHeight="1">
      <c r="A38" s="92" t="s">
        <v>2343</v>
      </c>
      <c r="B38" s="92"/>
      <c r="C38" s="92"/>
      <c r="D38" s="92"/>
      <c r="E38" s="93"/>
      <c r="F38" s="92"/>
      <c r="G38" s="92"/>
    </row>
    <row r="39" spans="1:7" ht="15" customHeight="1">
      <c r="A39" s="66" t="s">
        <v>2480</v>
      </c>
      <c r="B39" s="66" t="s">
        <v>2481</v>
      </c>
      <c r="C39" s="66" t="s">
        <v>120</v>
      </c>
      <c r="D39" s="66" t="s">
        <v>2746</v>
      </c>
      <c r="E39" s="67" t="s">
        <v>120</v>
      </c>
      <c r="F39" s="67" t="s">
        <v>2747</v>
      </c>
      <c r="G39" s="66" t="s">
        <v>2323</v>
      </c>
    </row>
    <row r="40" spans="1:7" ht="15" customHeight="1">
      <c r="A40" s="66" t="s">
        <v>2482</v>
      </c>
      <c r="B40" s="66" t="s">
        <v>2483</v>
      </c>
      <c r="C40" s="66" t="s">
        <v>120</v>
      </c>
      <c r="D40" s="66" t="s">
        <v>2746</v>
      </c>
      <c r="E40" s="67" t="s">
        <v>120</v>
      </c>
      <c r="F40" s="67" t="s">
        <v>2747</v>
      </c>
      <c r="G40" s="66" t="s">
        <v>2323</v>
      </c>
    </row>
    <row r="41" spans="1:7" ht="15" customHeight="1">
      <c r="A41" s="66" t="s">
        <v>2484</v>
      </c>
      <c r="B41" s="66" t="s">
        <v>2483</v>
      </c>
      <c r="C41" s="66" t="s">
        <v>2485</v>
      </c>
      <c r="D41" s="66" t="s">
        <v>2746</v>
      </c>
      <c r="E41" s="67" t="s">
        <v>120</v>
      </c>
      <c r="F41" s="67" t="s">
        <v>2747</v>
      </c>
      <c r="G41" s="66" t="s">
        <v>2486</v>
      </c>
    </row>
    <row r="42" spans="1:7" ht="15" customHeight="1">
      <c r="A42" s="66" t="s">
        <v>2487</v>
      </c>
      <c r="B42" s="66" t="s">
        <v>2488</v>
      </c>
      <c r="C42" s="66" t="s">
        <v>120</v>
      </c>
      <c r="D42" s="66" t="s">
        <v>2746</v>
      </c>
      <c r="E42" s="67" t="s">
        <v>120</v>
      </c>
      <c r="F42" s="67" t="s">
        <v>2747</v>
      </c>
      <c r="G42" s="66" t="s">
        <v>2323</v>
      </c>
    </row>
    <row r="43" spans="1:7" ht="15" customHeight="1">
      <c r="A43" s="66" t="s">
        <v>2344</v>
      </c>
      <c r="B43" s="66"/>
      <c r="C43" s="66" t="s">
        <v>2345</v>
      </c>
      <c r="D43" s="66" t="s">
        <v>2746</v>
      </c>
      <c r="E43" s="67" t="s">
        <v>120</v>
      </c>
      <c r="F43" s="67" t="s">
        <v>2747</v>
      </c>
      <c r="G43" s="66" t="s">
        <v>2323</v>
      </c>
    </row>
    <row r="44" spans="1:7" ht="15" customHeight="1">
      <c r="A44" s="66" t="s">
        <v>2347</v>
      </c>
      <c r="B44" s="66"/>
      <c r="C44" s="66" t="s">
        <v>2329</v>
      </c>
      <c r="D44" s="66" t="s">
        <v>2746</v>
      </c>
      <c r="E44" s="67" t="s">
        <v>2451</v>
      </c>
      <c r="F44" s="67" t="s">
        <v>2747</v>
      </c>
      <c r="G44" s="66" t="s">
        <v>2323</v>
      </c>
    </row>
    <row r="45" spans="1:7" ht="15" customHeight="1">
      <c r="A45" s="66" t="s">
        <v>2348</v>
      </c>
      <c r="B45" s="66"/>
      <c r="C45" s="66" t="s">
        <v>2329</v>
      </c>
      <c r="D45" s="66" t="s">
        <v>2746</v>
      </c>
      <c r="E45" s="67" t="s">
        <v>2451</v>
      </c>
      <c r="F45" s="67" t="s">
        <v>2747</v>
      </c>
      <c r="G45" s="66" t="s">
        <v>2323</v>
      </c>
    </row>
    <row r="46" spans="1:7" ht="15" customHeight="1">
      <c r="A46" s="66" t="s">
        <v>2489</v>
      </c>
      <c r="B46" s="66" t="s">
        <v>2483</v>
      </c>
      <c r="C46" s="66" t="s">
        <v>2490</v>
      </c>
      <c r="D46" s="66" t="s">
        <v>2746</v>
      </c>
      <c r="E46" s="67" t="s">
        <v>2490</v>
      </c>
      <c r="F46" s="67" t="s">
        <v>2747</v>
      </c>
      <c r="G46" s="66" t="s">
        <v>2323</v>
      </c>
    </row>
    <row r="47" spans="1:7" ht="15" customHeight="1">
      <c r="A47" s="66" t="s">
        <v>2491</v>
      </c>
      <c r="B47" s="66" t="s">
        <v>2488</v>
      </c>
      <c r="C47" s="66" t="s">
        <v>120</v>
      </c>
      <c r="D47" s="66" t="s">
        <v>2746</v>
      </c>
      <c r="E47" s="67" t="s">
        <v>120</v>
      </c>
      <c r="F47" s="67" t="s">
        <v>2747</v>
      </c>
      <c r="G47" s="66" t="s">
        <v>2323</v>
      </c>
    </row>
    <row r="48" spans="1:7" ht="15" customHeight="1">
      <c r="A48" s="92" t="s">
        <v>2349</v>
      </c>
      <c r="B48" s="92"/>
      <c r="C48" s="92"/>
      <c r="D48" s="92"/>
      <c r="E48" s="93"/>
      <c r="F48" s="92"/>
      <c r="G48" s="92"/>
    </row>
    <row r="49" spans="1:7" ht="15" customHeight="1">
      <c r="A49" s="66" t="s">
        <v>2493</v>
      </c>
      <c r="B49" s="66"/>
      <c r="C49" s="66" t="s">
        <v>2490</v>
      </c>
      <c r="D49" s="66" t="s">
        <v>2746</v>
      </c>
      <c r="E49" s="67" t="s">
        <v>2490</v>
      </c>
      <c r="F49" s="67" t="s">
        <v>2747</v>
      </c>
      <c r="G49" s="66" t="s">
        <v>2323</v>
      </c>
    </row>
    <row r="50" spans="1:7" ht="15" customHeight="1">
      <c r="A50" s="66" t="s">
        <v>2494</v>
      </c>
      <c r="B50" s="66"/>
      <c r="C50" s="66" t="s">
        <v>2490</v>
      </c>
      <c r="D50" s="66" t="s">
        <v>2746</v>
      </c>
      <c r="E50" s="67" t="s">
        <v>2490</v>
      </c>
      <c r="F50" s="67" t="s">
        <v>2747</v>
      </c>
      <c r="G50" s="66" t="s">
        <v>2323</v>
      </c>
    </row>
    <row r="51" spans="1:7" ht="15" customHeight="1">
      <c r="A51" s="66" t="s">
        <v>2400</v>
      </c>
      <c r="B51" s="66"/>
      <c r="C51" s="66" t="s">
        <v>2401</v>
      </c>
      <c r="D51" s="66" t="s">
        <v>2746</v>
      </c>
      <c r="E51" s="67" t="s">
        <v>2490</v>
      </c>
      <c r="F51" s="67" t="s">
        <v>2747</v>
      </c>
      <c r="G51" s="66" t="s">
        <v>2323</v>
      </c>
    </row>
    <row r="52" spans="1:7" ht="15" customHeight="1">
      <c r="A52" s="66" t="s">
        <v>2495</v>
      </c>
      <c r="B52" s="66" t="s">
        <v>2483</v>
      </c>
      <c r="C52" s="66" t="s">
        <v>120</v>
      </c>
      <c r="D52" s="66" t="s">
        <v>2746</v>
      </c>
      <c r="E52" s="67" t="s">
        <v>120</v>
      </c>
      <c r="F52" s="67" t="s">
        <v>2747</v>
      </c>
      <c r="G52" s="66" t="s">
        <v>2323</v>
      </c>
    </row>
    <row r="53" spans="1:7" ht="15" customHeight="1">
      <c r="A53" s="66" t="s">
        <v>2496</v>
      </c>
      <c r="B53" s="66" t="s">
        <v>2483</v>
      </c>
      <c r="C53" s="66" t="s">
        <v>120</v>
      </c>
      <c r="D53" s="66" t="s">
        <v>2746</v>
      </c>
      <c r="E53" s="67" t="s">
        <v>120</v>
      </c>
      <c r="F53" s="67" t="s">
        <v>2747</v>
      </c>
      <c r="G53" s="66" t="s">
        <v>2323</v>
      </c>
    </row>
    <row r="54" spans="1:7" ht="15" customHeight="1">
      <c r="A54" s="66" t="s">
        <v>2497</v>
      </c>
      <c r="B54" s="66" t="s">
        <v>2339</v>
      </c>
      <c r="C54" s="66" t="s">
        <v>120</v>
      </c>
      <c r="D54" s="66" t="s">
        <v>2746</v>
      </c>
      <c r="E54" s="67" t="s">
        <v>120</v>
      </c>
      <c r="F54" s="67" t="s">
        <v>2747</v>
      </c>
      <c r="G54" s="66" t="s">
        <v>2323</v>
      </c>
    </row>
    <row r="55" spans="1:7" ht="15" customHeight="1">
      <c r="A55" s="66" t="s">
        <v>2498</v>
      </c>
      <c r="B55" s="66" t="s">
        <v>2499</v>
      </c>
      <c r="C55" s="66" t="s">
        <v>2490</v>
      </c>
      <c r="D55" s="66" t="s">
        <v>2746</v>
      </c>
      <c r="E55" s="67" t="s">
        <v>2490</v>
      </c>
      <c r="F55" s="67" t="s">
        <v>2747</v>
      </c>
      <c r="G55" s="66" t="s">
        <v>2323</v>
      </c>
    </row>
    <row r="56" spans="1:7" ht="15" customHeight="1">
      <c r="A56" s="66" t="s">
        <v>2500</v>
      </c>
      <c r="B56" s="66" t="s">
        <v>2499</v>
      </c>
      <c r="C56" s="66" t="s">
        <v>2490</v>
      </c>
      <c r="D56" s="66" t="s">
        <v>2746</v>
      </c>
      <c r="E56" s="67" t="s">
        <v>2490</v>
      </c>
      <c r="F56" s="67" t="s">
        <v>2747</v>
      </c>
      <c r="G56" s="66" t="s">
        <v>2323</v>
      </c>
    </row>
    <row r="57" spans="1:7" ht="15" customHeight="1">
      <c r="A57" s="66" t="s">
        <v>2350</v>
      </c>
      <c r="B57" s="66"/>
      <c r="C57" s="66" t="s">
        <v>2329</v>
      </c>
      <c r="D57" s="66" t="s">
        <v>2746</v>
      </c>
      <c r="E57" s="67" t="s">
        <v>2451</v>
      </c>
      <c r="F57" s="67" t="s">
        <v>2747</v>
      </c>
      <c r="G57" s="66" t="s">
        <v>2323</v>
      </c>
    </row>
    <row r="58" spans="1:7" ht="15" customHeight="1">
      <c r="A58" s="66" t="s">
        <v>2501</v>
      </c>
      <c r="B58" s="66" t="s">
        <v>2499</v>
      </c>
      <c r="C58" s="66" t="s">
        <v>120</v>
      </c>
      <c r="D58" s="66" t="s">
        <v>2746</v>
      </c>
      <c r="E58" s="67" t="s">
        <v>120</v>
      </c>
      <c r="F58" s="67" t="s">
        <v>2747</v>
      </c>
      <c r="G58" s="66" t="s">
        <v>2502</v>
      </c>
    </row>
    <row r="59" spans="1:7" ht="15" customHeight="1">
      <c r="A59" s="92" t="s">
        <v>2750</v>
      </c>
      <c r="B59" s="92"/>
      <c r="C59" s="92"/>
      <c r="D59" s="92"/>
      <c r="E59" s="93"/>
      <c r="F59" s="92"/>
      <c r="G59" s="92"/>
    </row>
    <row r="60" spans="1:7" ht="15" customHeight="1">
      <c r="A60" s="66" t="s">
        <v>2504</v>
      </c>
      <c r="B60" s="66" t="s">
        <v>2505</v>
      </c>
      <c r="C60" s="66" t="s">
        <v>120</v>
      </c>
      <c r="D60" s="66" t="s">
        <v>2746</v>
      </c>
      <c r="E60" s="67" t="s">
        <v>120</v>
      </c>
      <c r="F60" s="67" t="s">
        <v>2747</v>
      </c>
      <c r="G60" s="66" t="s">
        <v>2323</v>
      </c>
    </row>
    <row r="61" spans="1:7" ht="15" customHeight="1">
      <c r="A61" s="66" t="s">
        <v>2506</v>
      </c>
      <c r="B61" s="66" t="s">
        <v>2435</v>
      </c>
      <c r="C61" s="66" t="s">
        <v>120</v>
      </c>
      <c r="D61" s="66" t="s">
        <v>2746</v>
      </c>
      <c r="E61" s="67" t="s">
        <v>120</v>
      </c>
      <c r="F61" s="67" t="s">
        <v>2747</v>
      </c>
      <c r="G61" s="66" t="s">
        <v>2323</v>
      </c>
    </row>
    <row r="62" spans="1:7" ht="15" customHeight="1">
      <c r="A62" s="66" t="s">
        <v>2507</v>
      </c>
      <c r="B62" s="66" t="s">
        <v>2435</v>
      </c>
      <c r="C62" s="66" t="s">
        <v>120</v>
      </c>
      <c r="D62" s="66" t="s">
        <v>2746</v>
      </c>
      <c r="E62" s="67" t="s">
        <v>120</v>
      </c>
      <c r="F62" s="67" t="s">
        <v>2747</v>
      </c>
      <c r="G62" s="66" t="s">
        <v>2323</v>
      </c>
    </row>
    <row r="63" spans="1:7" ht="15" customHeight="1">
      <c r="A63" s="92" t="s">
        <v>2351</v>
      </c>
      <c r="B63" s="92"/>
      <c r="C63" s="92"/>
      <c r="D63" s="92"/>
      <c r="E63" s="93"/>
      <c r="F63" s="92"/>
      <c r="G63" s="92"/>
    </row>
    <row r="64" spans="1:7" ht="15" customHeight="1">
      <c r="A64" s="66" t="s">
        <v>2509</v>
      </c>
      <c r="B64" s="66" t="s">
        <v>2353</v>
      </c>
      <c r="C64" s="66" t="s">
        <v>2490</v>
      </c>
      <c r="D64" s="66" t="s">
        <v>2746</v>
      </c>
      <c r="E64" s="67" t="s">
        <v>2490</v>
      </c>
      <c r="F64" s="67" t="s">
        <v>2747</v>
      </c>
      <c r="G64" s="66" t="s">
        <v>2510</v>
      </c>
    </row>
    <row r="65" spans="1:7" ht="15" customHeight="1">
      <c r="A65" s="66" t="s">
        <v>2511</v>
      </c>
      <c r="B65" s="66" t="s">
        <v>2407</v>
      </c>
      <c r="C65" s="66" t="s">
        <v>120</v>
      </c>
      <c r="D65" s="66" t="s">
        <v>2746</v>
      </c>
      <c r="E65" s="67" t="s">
        <v>120</v>
      </c>
      <c r="F65" s="67" t="s">
        <v>2747</v>
      </c>
      <c r="G65" s="66" t="s">
        <v>2512</v>
      </c>
    </row>
    <row r="66" spans="1:7" ht="15" customHeight="1">
      <c r="A66" s="66" t="s">
        <v>2513</v>
      </c>
      <c r="B66" s="66" t="s">
        <v>2404</v>
      </c>
      <c r="C66" s="66" t="s">
        <v>120</v>
      </c>
      <c r="D66" s="66" t="s">
        <v>2746</v>
      </c>
      <c r="E66" s="67" t="s">
        <v>120</v>
      </c>
      <c r="F66" s="67" t="s">
        <v>2747</v>
      </c>
      <c r="G66" s="66" t="s">
        <v>2514</v>
      </c>
    </row>
    <row r="67" spans="1:7" ht="15" customHeight="1">
      <c r="A67" s="66" t="s">
        <v>2515</v>
      </c>
      <c r="B67" s="66" t="s">
        <v>2516</v>
      </c>
      <c r="C67" s="66" t="s">
        <v>120</v>
      </c>
      <c r="D67" s="66" t="s">
        <v>2746</v>
      </c>
      <c r="E67" s="67" t="s">
        <v>120</v>
      </c>
      <c r="F67" s="67" t="s">
        <v>2747</v>
      </c>
      <c r="G67" s="66" t="s">
        <v>2517</v>
      </c>
    </row>
    <row r="68" spans="1:7" ht="15" customHeight="1">
      <c r="A68" s="66" t="s">
        <v>2358</v>
      </c>
      <c r="B68" s="66"/>
      <c r="C68" s="66" t="s">
        <v>2329</v>
      </c>
      <c r="D68" s="66" t="s">
        <v>2746</v>
      </c>
      <c r="E68" s="67" t="s">
        <v>2451</v>
      </c>
      <c r="F68" s="67" t="s">
        <v>2747</v>
      </c>
      <c r="G68" s="66" t="s">
        <v>2323</v>
      </c>
    </row>
    <row r="69" spans="1:7" ht="15" customHeight="1">
      <c r="A69" s="92" t="s">
        <v>2359</v>
      </c>
      <c r="B69" s="92"/>
      <c r="C69" s="92"/>
      <c r="D69" s="92"/>
      <c r="E69" s="93"/>
      <c r="F69" s="92"/>
      <c r="G69" s="92"/>
    </row>
    <row r="70" spans="1:7" ht="15" customHeight="1">
      <c r="A70" s="66" t="s">
        <v>2519</v>
      </c>
      <c r="B70" s="66" t="s">
        <v>2407</v>
      </c>
      <c r="C70" s="66" t="s">
        <v>120</v>
      </c>
      <c r="D70" s="66" t="s">
        <v>2746</v>
      </c>
      <c r="E70" s="67" t="s">
        <v>120</v>
      </c>
      <c r="F70" s="67" t="s">
        <v>2747</v>
      </c>
      <c r="G70" s="66" t="s">
        <v>2520</v>
      </c>
    </row>
    <row r="71" spans="1:7" ht="15" customHeight="1">
      <c r="A71" s="66" t="s">
        <v>2521</v>
      </c>
      <c r="B71" s="66" t="s">
        <v>2407</v>
      </c>
      <c r="C71" s="66" t="s">
        <v>120</v>
      </c>
      <c r="D71" s="66" t="s">
        <v>2746</v>
      </c>
      <c r="E71" s="67" t="s">
        <v>120</v>
      </c>
      <c r="F71" s="67" t="s">
        <v>2747</v>
      </c>
      <c r="G71" s="66" t="s">
        <v>2323</v>
      </c>
    </row>
    <row r="72" spans="1:7" ht="15" customHeight="1">
      <c r="A72" s="66" t="s">
        <v>2522</v>
      </c>
      <c r="B72" s="66" t="s">
        <v>2523</v>
      </c>
      <c r="C72" s="66" t="s">
        <v>120</v>
      </c>
      <c r="D72" s="66" t="s">
        <v>2746</v>
      </c>
      <c r="E72" s="67" t="s">
        <v>120</v>
      </c>
      <c r="F72" s="67" t="s">
        <v>2747</v>
      </c>
      <c r="G72" s="66" t="s">
        <v>2524</v>
      </c>
    </row>
    <row r="73" spans="1:7" ht="15" customHeight="1">
      <c r="A73" s="66" t="s">
        <v>2525</v>
      </c>
      <c r="B73" s="66" t="s">
        <v>2412</v>
      </c>
      <c r="C73" s="66" t="s">
        <v>120</v>
      </c>
      <c r="D73" s="66" t="s">
        <v>2746</v>
      </c>
      <c r="E73" s="67" t="s">
        <v>120</v>
      </c>
      <c r="F73" s="67" t="s">
        <v>2747</v>
      </c>
      <c r="G73" s="66" t="s">
        <v>2520</v>
      </c>
    </row>
    <row r="74" spans="1:7" ht="15" customHeight="1">
      <c r="A74" s="66" t="s">
        <v>2526</v>
      </c>
      <c r="B74" s="66" t="s">
        <v>2412</v>
      </c>
      <c r="C74" s="66" t="s">
        <v>120</v>
      </c>
      <c r="D74" s="66" t="s">
        <v>2746</v>
      </c>
      <c r="E74" s="67" t="s">
        <v>120</v>
      </c>
      <c r="F74" s="67" t="s">
        <v>2747</v>
      </c>
      <c r="G74" s="66" t="s">
        <v>2527</v>
      </c>
    </row>
    <row r="75" spans="1:7" ht="15" customHeight="1">
      <c r="A75" s="66" t="s">
        <v>2528</v>
      </c>
      <c r="B75" s="66" t="s">
        <v>2529</v>
      </c>
      <c r="C75" s="66" t="s">
        <v>2490</v>
      </c>
      <c r="D75" s="66" t="s">
        <v>2746</v>
      </c>
      <c r="E75" s="67" t="s">
        <v>2490</v>
      </c>
      <c r="F75" s="67" t="s">
        <v>2747</v>
      </c>
      <c r="G75" s="66" t="s">
        <v>2323</v>
      </c>
    </row>
    <row r="76" spans="1:7" ht="15" customHeight="1">
      <c r="A76" s="66" t="s">
        <v>2413</v>
      </c>
      <c r="B76" s="66" t="s">
        <v>2407</v>
      </c>
      <c r="C76" s="66" t="s">
        <v>2414</v>
      </c>
      <c r="D76" s="66" t="s">
        <v>2746</v>
      </c>
      <c r="E76" s="67" t="s">
        <v>2751</v>
      </c>
      <c r="F76" s="67" t="s">
        <v>2747</v>
      </c>
      <c r="G76" s="66" t="s">
        <v>2416</v>
      </c>
    </row>
    <row r="77" spans="1:7" ht="15" customHeight="1">
      <c r="A77" s="66" t="s">
        <v>2532</v>
      </c>
      <c r="B77" s="66" t="s">
        <v>2529</v>
      </c>
      <c r="C77" s="66" t="s">
        <v>2533</v>
      </c>
      <c r="D77" s="66" t="s">
        <v>2746</v>
      </c>
      <c r="E77" s="67" t="s">
        <v>120</v>
      </c>
      <c r="F77" s="67" t="s">
        <v>2747</v>
      </c>
      <c r="G77" s="66" t="s">
        <v>2323</v>
      </c>
    </row>
    <row r="78" spans="1:7" ht="15" customHeight="1">
      <c r="A78" s="66" t="s">
        <v>2534</v>
      </c>
      <c r="B78" s="66" t="s">
        <v>2363</v>
      </c>
      <c r="C78" s="66" t="s">
        <v>120</v>
      </c>
      <c r="D78" s="66" t="s">
        <v>2746</v>
      </c>
      <c r="E78" s="67" t="s">
        <v>120</v>
      </c>
      <c r="F78" s="67" t="s">
        <v>2747</v>
      </c>
      <c r="G78" s="66" t="s">
        <v>2535</v>
      </c>
    </row>
    <row r="79" spans="1:7" ht="15" customHeight="1">
      <c r="A79" s="92" t="s">
        <v>2752</v>
      </c>
      <c r="B79" s="92"/>
      <c r="C79" s="92"/>
      <c r="D79" s="92"/>
      <c r="E79" s="93"/>
      <c r="F79" s="92"/>
      <c r="G79" s="92"/>
    </row>
    <row r="80" spans="1:7" ht="15" customHeight="1">
      <c r="A80" s="66" t="s">
        <v>2537</v>
      </c>
      <c r="B80" s="66" t="s">
        <v>2538</v>
      </c>
      <c r="C80" s="66" t="s">
        <v>120</v>
      </c>
      <c r="D80" s="66" t="s">
        <v>2746</v>
      </c>
      <c r="E80" s="67" t="s">
        <v>120</v>
      </c>
      <c r="F80" s="67" t="s">
        <v>2747</v>
      </c>
      <c r="G80" s="66" t="s">
        <v>2323</v>
      </c>
    </row>
    <row r="81" spans="1:7" ht="15" customHeight="1">
      <c r="A81" s="66" t="s">
        <v>2539</v>
      </c>
      <c r="B81" s="66" t="s">
        <v>2538</v>
      </c>
      <c r="C81" s="66" t="s">
        <v>2490</v>
      </c>
      <c r="D81" s="66" t="s">
        <v>2746</v>
      </c>
      <c r="E81" s="67" t="s">
        <v>2490</v>
      </c>
      <c r="F81" s="67" t="s">
        <v>2747</v>
      </c>
      <c r="G81" s="66" t="s">
        <v>2540</v>
      </c>
    </row>
    <row r="82" spans="1:7" ht="15" customHeight="1">
      <c r="A82" s="66" t="s">
        <v>2541</v>
      </c>
      <c r="B82" s="66" t="s">
        <v>2542</v>
      </c>
      <c r="C82" s="66" t="s">
        <v>2543</v>
      </c>
      <c r="D82" s="66" t="s">
        <v>2746</v>
      </c>
      <c r="E82" s="67" t="s">
        <v>120</v>
      </c>
      <c r="F82" s="67" t="s">
        <v>2747</v>
      </c>
      <c r="G82" s="66" t="s">
        <v>2323</v>
      </c>
    </row>
    <row r="83" spans="1:7" ht="15" customHeight="1">
      <c r="A83" s="66" t="s">
        <v>2421</v>
      </c>
      <c r="B83" s="66" t="s">
        <v>2422</v>
      </c>
      <c r="C83" s="66" t="s">
        <v>2423</v>
      </c>
      <c r="D83" s="66" t="s">
        <v>2746</v>
      </c>
      <c r="E83" s="67" t="s">
        <v>2544</v>
      </c>
      <c r="F83" s="67" t="s">
        <v>2747</v>
      </c>
      <c r="G83" s="66" t="s">
        <v>2425</v>
      </c>
    </row>
    <row r="84" spans="1:7" ht="15" customHeight="1">
      <c r="A84" s="66" t="s">
        <v>2545</v>
      </c>
      <c r="B84" s="66" t="s">
        <v>2422</v>
      </c>
      <c r="C84" s="66" t="s">
        <v>2461</v>
      </c>
      <c r="D84" s="66" t="s">
        <v>2746</v>
      </c>
      <c r="E84" s="67" t="s">
        <v>120</v>
      </c>
      <c r="F84" s="67" t="s">
        <v>2747</v>
      </c>
      <c r="G84" s="66" t="s">
        <v>2546</v>
      </c>
    </row>
    <row r="85" spans="1:7" ht="15" customHeight="1">
      <c r="A85" s="66" t="s">
        <v>2547</v>
      </c>
      <c r="B85" s="66" t="s">
        <v>2538</v>
      </c>
      <c r="C85" s="66" t="s">
        <v>2548</v>
      </c>
      <c r="D85" s="66" t="s">
        <v>2746</v>
      </c>
      <c r="E85" s="67" t="s">
        <v>120</v>
      </c>
      <c r="F85" s="67" t="s">
        <v>2747</v>
      </c>
      <c r="G85" s="66" t="s">
        <v>2323</v>
      </c>
    </row>
    <row r="86" spans="1:7" ht="15" customHeight="1">
      <c r="A86" s="66" t="s">
        <v>2549</v>
      </c>
      <c r="B86" s="66" t="s">
        <v>2538</v>
      </c>
      <c r="C86" s="66" t="s">
        <v>2550</v>
      </c>
      <c r="D86" s="66" t="s">
        <v>2746</v>
      </c>
      <c r="E86" s="67" t="s">
        <v>120</v>
      </c>
      <c r="F86" s="67" t="s">
        <v>2747</v>
      </c>
      <c r="G86" s="66" t="s">
        <v>2551</v>
      </c>
    </row>
    <row r="87" spans="1:7" ht="15" customHeight="1">
      <c r="A87" s="66" t="s">
        <v>2552</v>
      </c>
      <c r="B87" s="66" t="s">
        <v>2538</v>
      </c>
      <c r="C87" s="66" t="s">
        <v>2553</v>
      </c>
      <c r="D87" s="66" t="s">
        <v>2746</v>
      </c>
      <c r="E87" s="67" t="s">
        <v>120</v>
      </c>
      <c r="F87" s="67" t="s">
        <v>2747</v>
      </c>
      <c r="G87" s="66" t="s">
        <v>2323</v>
      </c>
    </row>
    <row r="88" spans="1:7" ht="15" customHeight="1">
      <c r="A88" s="92" t="s">
        <v>2366</v>
      </c>
      <c r="B88" s="92"/>
      <c r="C88" s="92"/>
      <c r="D88" s="92"/>
      <c r="E88" s="93"/>
      <c r="F88" s="92"/>
      <c r="G88" s="92"/>
    </row>
    <row r="89" spans="1:7" ht="15" customHeight="1">
      <c r="A89" s="66" t="s">
        <v>2427</v>
      </c>
      <c r="B89" s="66" t="s">
        <v>2370</v>
      </c>
      <c r="C89" s="66" t="s">
        <v>2428</v>
      </c>
      <c r="D89" s="66" t="s">
        <v>2746</v>
      </c>
      <c r="E89" s="67" t="s">
        <v>120</v>
      </c>
      <c r="F89" s="67" t="s">
        <v>2747</v>
      </c>
      <c r="G89" s="66" t="s">
        <v>2429</v>
      </c>
    </row>
    <row r="90" spans="1:7" ht="15" customHeight="1">
      <c r="A90" s="66" t="s">
        <v>2555</v>
      </c>
      <c r="B90" s="66" t="s">
        <v>2363</v>
      </c>
      <c r="C90" s="66" t="s">
        <v>2556</v>
      </c>
      <c r="D90" s="66" t="s">
        <v>2746</v>
      </c>
      <c r="E90" s="67" t="s">
        <v>120</v>
      </c>
      <c r="F90" s="67" t="s">
        <v>2747</v>
      </c>
      <c r="G90" s="66" t="s">
        <v>2557</v>
      </c>
    </row>
    <row r="91" spans="1:7" ht="15" customHeight="1">
      <c r="A91" s="66" t="s">
        <v>2558</v>
      </c>
      <c r="B91" s="66" t="s">
        <v>2559</v>
      </c>
      <c r="C91" s="66" t="s">
        <v>2560</v>
      </c>
      <c r="D91" s="66" t="s">
        <v>2746</v>
      </c>
      <c r="E91" s="67" t="s">
        <v>120</v>
      </c>
      <c r="F91" s="67" t="s">
        <v>2747</v>
      </c>
      <c r="G91" s="66" t="s">
        <v>2561</v>
      </c>
    </row>
    <row r="92" spans="1:7" ht="15" customHeight="1">
      <c r="A92" s="66" t="s">
        <v>2562</v>
      </c>
      <c r="B92" s="66" t="s">
        <v>2370</v>
      </c>
      <c r="C92" s="66" t="s">
        <v>120</v>
      </c>
      <c r="D92" s="66" t="s">
        <v>2746</v>
      </c>
      <c r="E92" s="67" t="s">
        <v>120</v>
      </c>
      <c r="F92" s="67" t="s">
        <v>2747</v>
      </c>
      <c r="G92" s="66" t="s">
        <v>2563</v>
      </c>
    </row>
    <row r="93" spans="1:7" ht="15" customHeight="1">
      <c r="A93" s="66" t="s">
        <v>2372</v>
      </c>
      <c r="B93" s="66"/>
      <c r="C93" s="66" t="s">
        <v>2329</v>
      </c>
      <c r="D93" s="66" t="s">
        <v>2746</v>
      </c>
      <c r="E93" s="67" t="s">
        <v>2451</v>
      </c>
      <c r="F93" s="67" t="s">
        <v>2747</v>
      </c>
      <c r="G93" s="66" t="s">
        <v>2323</v>
      </c>
    </row>
    <row r="94" spans="1:7" ht="15" customHeight="1">
      <c r="A94" s="66" t="s">
        <v>2564</v>
      </c>
      <c r="B94" s="66"/>
      <c r="C94" s="66" t="s">
        <v>120</v>
      </c>
      <c r="D94" s="66" t="s">
        <v>2746</v>
      </c>
      <c r="E94" s="67" t="s">
        <v>120</v>
      </c>
      <c r="F94" s="67" t="s">
        <v>2747</v>
      </c>
      <c r="G94" s="66" t="s">
        <v>2323</v>
      </c>
    </row>
    <row r="95" spans="1:7" ht="15" customHeight="1">
      <c r="A95" s="66" t="s">
        <v>2565</v>
      </c>
      <c r="B95" s="66" t="s">
        <v>2370</v>
      </c>
      <c r="C95" s="66" t="s">
        <v>2566</v>
      </c>
      <c r="D95" s="66" t="s">
        <v>2746</v>
      </c>
      <c r="E95" s="67" t="s">
        <v>2566</v>
      </c>
      <c r="F95" s="67" t="s">
        <v>2747</v>
      </c>
      <c r="G95" s="66" t="s">
        <v>2567</v>
      </c>
    </row>
    <row r="96" spans="1:7" ht="15" customHeight="1">
      <c r="A96" s="92" t="s">
        <v>2373</v>
      </c>
      <c r="B96" s="92"/>
      <c r="C96" s="92"/>
      <c r="D96" s="92"/>
      <c r="E96" s="93"/>
      <c r="F96" s="92"/>
      <c r="G96" s="92"/>
    </row>
    <row r="97" spans="1:7" ht="15" customHeight="1">
      <c r="A97" s="66" t="s">
        <v>2374</v>
      </c>
      <c r="B97" s="66"/>
      <c r="C97" s="66" t="s">
        <v>2329</v>
      </c>
      <c r="D97" s="66" t="s">
        <v>2746</v>
      </c>
      <c r="E97" s="67" t="s">
        <v>2451</v>
      </c>
      <c r="F97" s="67" t="s">
        <v>2747</v>
      </c>
      <c r="G97" s="66" t="s">
        <v>2375</v>
      </c>
    </row>
    <row r="98" spans="1:7" ht="15" customHeight="1">
      <c r="A98" s="66" t="s">
        <v>2569</v>
      </c>
      <c r="B98" s="66" t="s">
        <v>2570</v>
      </c>
      <c r="C98" s="66" t="s">
        <v>2571</v>
      </c>
      <c r="D98" s="66" t="s">
        <v>2746</v>
      </c>
      <c r="E98" s="67" t="s">
        <v>120</v>
      </c>
      <c r="F98" s="67" t="s">
        <v>2747</v>
      </c>
      <c r="G98" s="66" t="s">
        <v>2437</v>
      </c>
    </row>
    <row r="99" spans="1:7" ht="15" customHeight="1">
      <c r="A99" s="66" t="s">
        <v>2572</v>
      </c>
      <c r="B99" s="66" t="s">
        <v>2432</v>
      </c>
      <c r="C99" s="66" t="s">
        <v>120</v>
      </c>
      <c r="D99" s="66" t="s">
        <v>2746</v>
      </c>
      <c r="E99" s="67" t="s">
        <v>120</v>
      </c>
      <c r="F99" s="67" t="s">
        <v>2747</v>
      </c>
      <c r="G99" s="66" t="s">
        <v>2573</v>
      </c>
    </row>
    <row r="100" spans="1:7" ht="15" customHeight="1">
      <c r="A100" s="66" t="s">
        <v>2574</v>
      </c>
      <c r="B100" s="66" t="s">
        <v>2570</v>
      </c>
      <c r="C100" s="66" t="s">
        <v>120</v>
      </c>
      <c r="D100" s="66" t="s">
        <v>2746</v>
      </c>
      <c r="E100" s="67" t="s">
        <v>120</v>
      </c>
      <c r="F100" s="67" t="s">
        <v>2747</v>
      </c>
      <c r="G100" s="66" t="s">
        <v>2573</v>
      </c>
    </row>
    <row r="101" spans="1:7" ht="15" customHeight="1">
      <c r="A101" s="66" t="s">
        <v>2575</v>
      </c>
      <c r="B101" s="66" t="s">
        <v>2576</v>
      </c>
      <c r="C101" s="66" t="s">
        <v>2490</v>
      </c>
      <c r="D101" s="66" t="s">
        <v>2746</v>
      </c>
      <c r="E101" s="67" t="s">
        <v>2490</v>
      </c>
      <c r="F101" s="67" t="s">
        <v>2747</v>
      </c>
      <c r="G101" s="66" t="s">
        <v>2577</v>
      </c>
    </row>
    <row r="102" spans="1:7" ht="15" customHeight="1">
      <c r="A102" s="66" t="s">
        <v>2578</v>
      </c>
      <c r="B102" s="66" t="s">
        <v>2579</v>
      </c>
      <c r="C102" s="66" t="s">
        <v>2543</v>
      </c>
      <c r="D102" s="66" t="s">
        <v>2746</v>
      </c>
      <c r="E102" s="67" t="s">
        <v>120</v>
      </c>
      <c r="F102" s="67" t="s">
        <v>2747</v>
      </c>
      <c r="G102" s="66" t="s">
        <v>2580</v>
      </c>
    </row>
    <row r="103" spans="1:7" ht="15" customHeight="1">
      <c r="A103" s="92" t="s">
        <v>2376</v>
      </c>
      <c r="B103" s="92"/>
      <c r="C103" s="92"/>
      <c r="D103" s="92"/>
      <c r="E103" s="93"/>
      <c r="F103" s="92"/>
      <c r="G103" s="92"/>
    </row>
    <row r="104" spans="1:7" ht="15" customHeight="1">
      <c r="A104" s="66" t="s">
        <v>2315</v>
      </c>
      <c r="B104" s="66" t="s">
        <v>2316</v>
      </c>
      <c r="C104" s="66" t="s">
        <v>2317</v>
      </c>
      <c r="D104" s="66" t="s">
        <v>2753</v>
      </c>
      <c r="E104" s="67" t="s">
        <v>2319</v>
      </c>
      <c r="F104" s="67" t="s">
        <v>2747</v>
      </c>
      <c r="G104" s="66" t="s">
        <v>2320</v>
      </c>
    </row>
    <row r="105" spans="1:7" ht="15" customHeight="1">
      <c r="A105" s="66" t="s">
        <v>2381</v>
      </c>
      <c r="B105" s="66"/>
      <c r="C105" s="66" t="s">
        <v>1396</v>
      </c>
      <c r="D105" s="66" t="s">
        <v>2753</v>
      </c>
      <c r="E105" s="67" t="s">
        <v>1396</v>
      </c>
      <c r="F105" s="67" t="s">
        <v>2747</v>
      </c>
      <c r="G105" s="66" t="s">
        <v>2323</v>
      </c>
    </row>
    <row r="106" spans="1:7" ht="15" customHeight="1">
      <c r="A106" s="66" t="s">
        <v>2382</v>
      </c>
      <c r="B106" s="66"/>
      <c r="C106" s="66" t="s">
        <v>2383</v>
      </c>
      <c r="D106" s="66" t="s">
        <v>2753</v>
      </c>
      <c r="E106" s="67" t="s">
        <v>1396</v>
      </c>
      <c r="F106" s="67" t="s">
        <v>2747</v>
      </c>
      <c r="G106" s="66" t="s">
        <v>2323</v>
      </c>
    </row>
    <row r="107" spans="1:7" ht="15" customHeight="1">
      <c r="A107" s="66" t="s">
        <v>2321</v>
      </c>
      <c r="B107" s="66" t="s">
        <v>2322</v>
      </c>
      <c r="C107" s="66" t="s">
        <v>2317</v>
      </c>
      <c r="D107" s="66" t="s">
        <v>2753</v>
      </c>
      <c r="E107" s="67" t="s">
        <v>2319</v>
      </c>
      <c r="F107" s="67" t="s">
        <v>2747</v>
      </c>
      <c r="G107" s="66" t="s">
        <v>2323</v>
      </c>
    </row>
    <row r="108" spans="1:7" ht="15" customHeight="1">
      <c r="A108" s="66" t="s">
        <v>2324</v>
      </c>
      <c r="B108" s="66" t="s">
        <v>2322</v>
      </c>
      <c r="C108" s="66" t="s">
        <v>2317</v>
      </c>
      <c r="D108" s="66" t="s">
        <v>2753</v>
      </c>
      <c r="E108" s="67" t="s">
        <v>2319</v>
      </c>
      <c r="F108" s="67" t="s">
        <v>2747</v>
      </c>
      <c r="G108" s="66" t="s">
        <v>2323</v>
      </c>
    </row>
    <row r="109" spans="1:7" ht="15" customHeight="1">
      <c r="A109" s="66" t="s">
        <v>2325</v>
      </c>
      <c r="B109" s="66" t="s">
        <v>2326</v>
      </c>
      <c r="C109" s="66" t="s">
        <v>2317</v>
      </c>
      <c r="D109" s="66" t="s">
        <v>2753</v>
      </c>
      <c r="E109" s="67" t="s">
        <v>2319</v>
      </c>
      <c r="F109" s="67" t="s">
        <v>2747</v>
      </c>
      <c r="G109" s="66" t="s">
        <v>2323</v>
      </c>
    </row>
    <row r="110" spans="1:7" ht="15" customHeight="1">
      <c r="A110" s="92" t="s">
        <v>2384</v>
      </c>
      <c r="B110" s="92"/>
      <c r="C110" s="92"/>
      <c r="D110" s="92"/>
      <c r="E110" s="93"/>
      <c r="F110" s="92"/>
      <c r="G110" s="92"/>
    </row>
    <row r="111" spans="1:7" ht="15" customHeight="1">
      <c r="A111" s="66" t="s">
        <v>2328</v>
      </c>
      <c r="B111" s="66"/>
      <c r="C111" s="66" t="s">
        <v>2329</v>
      </c>
      <c r="D111" s="66" t="s">
        <v>2753</v>
      </c>
      <c r="E111" s="67" t="s">
        <v>2330</v>
      </c>
      <c r="F111" s="67" t="s">
        <v>2747</v>
      </c>
      <c r="G111" s="66" t="s">
        <v>2331</v>
      </c>
    </row>
    <row r="112" spans="1:7" ht="15" customHeight="1">
      <c r="A112" s="92" t="s">
        <v>2395</v>
      </c>
      <c r="B112" s="92"/>
      <c r="C112" s="92"/>
      <c r="D112" s="92"/>
      <c r="E112" s="93"/>
      <c r="F112" s="92"/>
      <c r="G112" s="92"/>
    </row>
    <row r="113" spans="1:7" ht="15" customHeight="1">
      <c r="A113" s="66" t="s">
        <v>2333</v>
      </c>
      <c r="B113" s="66" t="s">
        <v>2334</v>
      </c>
      <c r="C113" s="66" t="s">
        <v>2335</v>
      </c>
      <c r="D113" s="66" t="s">
        <v>2753</v>
      </c>
      <c r="E113" s="67" t="s">
        <v>2330</v>
      </c>
      <c r="F113" s="67" t="s">
        <v>2747</v>
      </c>
      <c r="G113" s="66" t="s">
        <v>2323</v>
      </c>
    </row>
    <row r="114" spans="1:7" ht="15" customHeight="1">
      <c r="A114" s="66" t="s">
        <v>2336</v>
      </c>
      <c r="B114" s="66" t="s">
        <v>2334</v>
      </c>
      <c r="C114" s="66" t="s">
        <v>2329</v>
      </c>
      <c r="D114" s="66" t="s">
        <v>2753</v>
      </c>
      <c r="E114" s="67" t="s">
        <v>2330</v>
      </c>
      <c r="F114" s="67" t="s">
        <v>2747</v>
      </c>
      <c r="G114" s="66" t="s">
        <v>2323</v>
      </c>
    </row>
    <row r="115" spans="1:7" ht="15" customHeight="1">
      <c r="A115" s="66" t="s">
        <v>2337</v>
      </c>
      <c r="B115" s="66" t="s">
        <v>2334</v>
      </c>
      <c r="C115" s="66" t="s">
        <v>2329</v>
      </c>
      <c r="D115" s="66" t="s">
        <v>2753</v>
      </c>
      <c r="E115" s="67" t="s">
        <v>2330</v>
      </c>
      <c r="F115" s="67" t="s">
        <v>2747</v>
      </c>
      <c r="G115" s="66" t="s">
        <v>2323</v>
      </c>
    </row>
    <row r="116" spans="1:7" ht="15" customHeight="1">
      <c r="A116" s="66" t="s">
        <v>2338</v>
      </c>
      <c r="B116" s="66" t="s">
        <v>2339</v>
      </c>
      <c r="C116" s="66" t="s">
        <v>2329</v>
      </c>
      <c r="D116" s="66" t="s">
        <v>2753</v>
      </c>
      <c r="E116" s="67" t="s">
        <v>2330</v>
      </c>
      <c r="F116" s="67" t="s">
        <v>2747</v>
      </c>
      <c r="G116" s="66" t="s">
        <v>2323</v>
      </c>
    </row>
    <row r="117" spans="1:7" ht="15" customHeight="1">
      <c r="A117" s="66" t="s">
        <v>2340</v>
      </c>
      <c r="B117" s="66"/>
      <c r="C117" s="66" t="s">
        <v>2329</v>
      </c>
      <c r="D117" s="66" t="s">
        <v>2753</v>
      </c>
      <c r="E117" s="67" t="s">
        <v>2330</v>
      </c>
      <c r="F117" s="67" t="s">
        <v>2747</v>
      </c>
      <c r="G117" s="66" t="s">
        <v>2323</v>
      </c>
    </row>
    <row r="118" spans="1:7" ht="15" customHeight="1">
      <c r="A118" s="66" t="s">
        <v>2341</v>
      </c>
      <c r="B118" s="66"/>
      <c r="C118" s="66" t="s">
        <v>2329</v>
      </c>
      <c r="D118" s="66" t="s">
        <v>2753</v>
      </c>
      <c r="E118" s="67" t="s">
        <v>2330</v>
      </c>
      <c r="F118" s="67" t="s">
        <v>2747</v>
      </c>
      <c r="G118" s="66" t="s">
        <v>2323</v>
      </c>
    </row>
    <row r="119" spans="1:7" ht="15" customHeight="1">
      <c r="A119" s="66" t="s">
        <v>2342</v>
      </c>
      <c r="B119" s="66"/>
      <c r="C119" s="66" t="s">
        <v>2329</v>
      </c>
      <c r="D119" s="66" t="s">
        <v>2753</v>
      </c>
      <c r="E119" s="67" t="s">
        <v>2330</v>
      </c>
      <c r="F119" s="67" t="s">
        <v>2747</v>
      </c>
      <c r="G119" s="66" t="s">
        <v>2323</v>
      </c>
    </row>
    <row r="120" spans="1:7" ht="15" customHeight="1">
      <c r="A120" s="92" t="s">
        <v>2396</v>
      </c>
      <c r="B120" s="92"/>
      <c r="C120" s="92"/>
      <c r="D120" s="92"/>
      <c r="E120" s="93"/>
      <c r="F120" s="92"/>
      <c r="G120" s="92"/>
    </row>
    <row r="121" spans="1:7" ht="15" customHeight="1">
      <c r="A121" s="66" t="s">
        <v>2347</v>
      </c>
      <c r="B121" s="66"/>
      <c r="C121" s="66" t="s">
        <v>2329</v>
      </c>
      <c r="D121" s="66" t="s">
        <v>2753</v>
      </c>
      <c r="E121" s="67" t="s">
        <v>2330</v>
      </c>
      <c r="F121" s="67" t="s">
        <v>2747</v>
      </c>
      <c r="G121" s="66" t="s">
        <v>2323</v>
      </c>
    </row>
    <row r="122" spans="1:7" ht="15" customHeight="1">
      <c r="A122" s="66" t="s">
        <v>2348</v>
      </c>
      <c r="B122" s="66"/>
      <c r="C122" s="66" t="s">
        <v>2329</v>
      </c>
      <c r="D122" s="66" t="s">
        <v>2753</v>
      </c>
      <c r="E122" s="67" t="s">
        <v>2330</v>
      </c>
      <c r="F122" s="67" t="s">
        <v>2747</v>
      </c>
      <c r="G122" s="66" t="s">
        <v>2323</v>
      </c>
    </row>
    <row r="123" spans="1:7" ht="15" customHeight="1">
      <c r="A123" s="92" t="s">
        <v>2399</v>
      </c>
      <c r="B123" s="92"/>
      <c r="C123" s="92"/>
      <c r="D123" s="92"/>
      <c r="E123" s="93"/>
      <c r="F123" s="92"/>
      <c r="G123" s="92"/>
    </row>
    <row r="124" spans="1:7" ht="15" customHeight="1">
      <c r="A124" s="66" t="s">
        <v>2350</v>
      </c>
      <c r="B124" s="66"/>
      <c r="C124" s="66" t="s">
        <v>2329</v>
      </c>
      <c r="D124" s="66" t="s">
        <v>2753</v>
      </c>
      <c r="E124" s="67" t="s">
        <v>2330</v>
      </c>
      <c r="F124" s="67" t="s">
        <v>2747</v>
      </c>
      <c r="G124" s="66" t="s">
        <v>2323</v>
      </c>
    </row>
    <row r="125" spans="1:7" ht="15" customHeight="1">
      <c r="A125" s="92" t="s">
        <v>2402</v>
      </c>
      <c r="B125" s="92"/>
      <c r="C125" s="92"/>
      <c r="D125" s="92"/>
      <c r="E125" s="93"/>
      <c r="F125" s="92"/>
      <c r="G125" s="92"/>
    </row>
    <row r="126" spans="1:7" ht="15" customHeight="1">
      <c r="A126" s="66" t="s">
        <v>2352</v>
      </c>
      <c r="B126" s="66" t="s">
        <v>2353</v>
      </c>
      <c r="C126" s="66" t="s">
        <v>2317</v>
      </c>
      <c r="D126" s="66" t="s">
        <v>2753</v>
      </c>
      <c r="E126" s="67" t="s">
        <v>2319</v>
      </c>
      <c r="F126" s="67" t="s">
        <v>2747</v>
      </c>
      <c r="G126" s="66" t="s">
        <v>2354</v>
      </c>
    </row>
    <row r="127" spans="1:7" ht="15" customHeight="1">
      <c r="A127" s="66" t="s">
        <v>2355</v>
      </c>
      <c r="B127" s="66" t="s">
        <v>2356</v>
      </c>
      <c r="C127" s="66" t="s">
        <v>2317</v>
      </c>
      <c r="D127" s="66" t="s">
        <v>2753</v>
      </c>
      <c r="E127" s="67" t="s">
        <v>2319</v>
      </c>
      <c r="F127" s="67" t="s">
        <v>2747</v>
      </c>
      <c r="G127" s="66" t="s">
        <v>2357</v>
      </c>
    </row>
    <row r="128" spans="1:7" ht="15" customHeight="1">
      <c r="A128" s="66" t="s">
        <v>2358</v>
      </c>
      <c r="B128" s="66"/>
      <c r="C128" s="66" t="s">
        <v>2329</v>
      </c>
      <c r="D128" s="66" t="s">
        <v>2753</v>
      </c>
      <c r="E128" s="67" t="s">
        <v>2330</v>
      </c>
      <c r="F128" s="67" t="s">
        <v>2747</v>
      </c>
      <c r="G128" s="66" t="s">
        <v>2323</v>
      </c>
    </row>
    <row r="129" spans="1:7" ht="15" customHeight="1">
      <c r="A129" s="92" t="s">
        <v>2410</v>
      </c>
      <c r="B129" s="92"/>
      <c r="C129" s="92"/>
      <c r="D129" s="92"/>
      <c r="E129" s="93"/>
      <c r="F129" s="92"/>
      <c r="G129" s="92"/>
    </row>
    <row r="130" spans="1:7" ht="15" customHeight="1">
      <c r="A130" s="66" t="s">
        <v>2413</v>
      </c>
      <c r="B130" s="66" t="s">
        <v>2407</v>
      </c>
      <c r="C130" s="66" t="s">
        <v>2414</v>
      </c>
      <c r="D130" s="66" t="s">
        <v>2753</v>
      </c>
      <c r="E130" s="67" t="s">
        <v>2754</v>
      </c>
      <c r="F130" s="67" t="s">
        <v>2747</v>
      </c>
      <c r="G130" s="66" t="s">
        <v>2416</v>
      </c>
    </row>
    <row r="131" spans="1:7" ht="15" customHeight="1">
      <c r="A131" s="66" t="s">
        <v>2360</v>
      </c>
      <c r="B131" s="66"/>
      <c r="C131" s="66" t="s">
        <v>2317</v>
      </c>
      <c r="D131" s="66" t="s">
        <v>2753</v>
      </c>
      <c r="E131" s="67" t="s">
        <v>2319</v>
      </c>
      <c r="F131" s="67" t="s">
        <v>2747</v>
      </c>
      <c r="G131" s="66" t="s">
        <v>2361</v>
      </c>
    </row>
    <row r="132" spans="1:7" ht="15" customHeight="1">
      <c r="A132" s="66" t="s">
        <v>2362</v>
      </c>
      <c r="B132" s="66" t="s">
        <v>2363</v>
      </c>
      <c r="C132" s="66" t="s">
        <v>2364</v>
      </c>
      <c r="D132" s="66" t="s">
        <v>2753</v>
      </c>
      <c r="E132" s="67" t="s">
        <v>2365</v>
      </c>
      <c r="F132" s="67" t="s">
        <v>2747</v>
      </c>
      <c r="G132" s="66" t="s">
        <v>2323</v>
      </c>
    </row>
    <row r="133" spans="1:7" ht="15" customHeight="1">
      <c r="A133" s="92" t="s">
        <v>2419</v>
      </c>
      <c r="B133" s="92"/>
      <c r="C133" s="92"/>
      <c r="D133" s="92"/>
      <c r="E133" s="93"/>
      <c r="F133" s="92"/>
      <c r="G133" s="92"/>
    </row>
    <row r="134" spans="1:7" ht="15" customHeight="1">
      <c r="A134" s="66" t="s">
        <v>2421</v>
      </c>
      <c r="B134" s="66" t="s">
        <v>2422</v>
      </c>
      <c r="C134" s="66" t="s">
        <v>2423</v>
      </c>
      <c r="D134" s="66" t="s">
        <v>2753</v>
      </c>
      <c r="E134" s="67" t="s">
        <v>2755</v>
      </c>
      <c r="F134" s="67" t="s">
        <v>2747</v>
      </c>
      <c r="G134" s="66" t="s">
        <v>2425</v>
      </c>
    </row>
    <row r="135" spans="1:7" ht="15" customHeight="1">
      <c r="A135" s="92" t="s">
        <v>2426</v>
      </c>
      <c r="B135" s="92"/>
      <c r="C135" s="92"/>
      <c r="D135" s="92"/>
      <c r="E135" s="93"/>
      <c r="F135" s="92"/>
      <c r="G135" s="92"/>
    </row>
    <row r="136" spans="1:7" ht="15" customHeight="1">
      <c r="A136" s="66" t="s">
        <v>2367</v>
      </c>
      <c r="B136" s="66"/>
      <c r="C136" s="66" t="s">
        <v>2317</v>
      </c>
      <c r="D136" s="66" t="s">
        <v>2753</v>
      </c>
      <c r="E136" s="67" t="s">
        <v>2319</v>
      </c>
      <c r="F136" s="67" t="s">
        <v>2747</v>
      </c>
      <c r="G136" s="66" t="s">
        <v>2368</v>
      </c>
    </row>
    <row r="137" spans="1:7" ht="15" customHeight="1">
      <c r="A137" s="66" t="s">
        <v>2369</v>
      </c>
      <c r="B137" s="66" t="s">
        <v>2370</v>
      </c>
      <c r="C137" s="66" t="s">
        <v>2317</v>
      </c>
      <c r="D137" s="66" t="s">
        <v>2753</v>
      </c>
      <c r="E137" s="67" t="s">
        <v>2319</v>
      </c>
      <c r="F137" s="67" t="s">
        <v>2747</v>
      </c>
      <c r="G137" s="66" t="s">
        <v>2371</v>
      </c>
    </row>
    <row r="138" spans="1:7" ht="15" customHeight="1">
      <c r="A138" s="66" t="s">
        <v>2372</v>
      </c>
      <c r="B138" s="66"/>
      <c r="C138" s="66" t="s">
        <v>2329</v>
      </c>
      <c r="D138" s="66" t="s">
        <v>2753</v>
      </c>
      <c r="E138" s="67" t="s">
        <v>2330</v>
      </c>
      <c r="F138" s="67" t="s">
        <v>2747</v>
      </c>
      <c r="G138" s="66" t="s">
        <v>2323</v>
      </c>
    </row>
    <row r="139" spans="1:7" ht="15" customHeight="1">
      <c r="A139" s="92" t="s">
        <v>2430</v>
      </c>
      <c r="B139" s="92"/>
      <c r="C139" s="92"/>
      <c r="D139" s="92"/>
      <c r="E139" s="93"/>
      <c r="F139" s="92"/>
      <c r="G139" s="92"/>
    </row>
    <row r="140" spans="1:7" ht="15" customHeight="1">
      <c r="A140" s="66" t="s">
        <v>2374</v>
      </c>
      <c r="B140" s="66"/>
      <c r="C140" s="66" t="s">
        <v>2329</v>
      </c>
      <c r="D140" s="66" t="s">
        <v>2753</v>
      </c>
      <c r="E140" s="67" t="s">
        <v>2330</v>
      </c>
      <c r="F140" s="67" t="s">
        <v>2747</v>
      </c>
      <c r="G140" s="66" t="s">
        <v>2375</v>
      </c>
    </row>
    <row r="141" spans="1:7" ht="15" customHeight="1">
      <c r="A141" s="92" t="s">
        <v>2438</v>
      </c>
      <c r="B141" s="92"/>
      <c r="C141" s="92"/>
      <c r="D141" s="92"/>
      <c r="E141" s="93"/>
      <c r="F141" s="92"/>
      <c r="G141" s="92"/>
    </row>
    <row r="142" spans="1:7" ht="15" customHeight="1">
      <c r="A142" s="65" t="s">
        <v>2381</v>
      </c>
      <c r="B142" s="65"/>
      <c r="C142" s="65" t="s">
        <v>1396</v>
      </c>
      <c r="D142" s="65" t="s">
        <v>2756</v>
      </c>
      <c r="E142" s="91" t="s">
        <v>1396</v>
      </c>
      <c r="F142" s="65" t="s">
        <v>2207</v>
      </c>
      <c r="G142" s="65" t="s">
        <v>2323</v>
      </c>
    </row>
    <row r="143" spans="1:7" ht="15" customHeight="1">
      <c r="A143" s="65" t="s">
        <v>2382</v>
      </c>
      <c r="B143" s="65"/>
      <c r="C143" s="65" t="s">
        <v>2383</v>
      </c>
      <c r="D143" s="65" t="s">
        <v>2756</v>
      </c>
      <c r="E143" s="91" t="s">
        <v>1396</v>
      </c>
      <c r="F143" s="65" t="s">
        <v>2207</v>
      </c>
      <c r="G143" s="65" t="s">
        <v>2323</v>
      </c>
    </row>
    <row r="144" spans="1:7" ht="15" customHeight="1">
      <c r="A144" s="92" t="s">
        <v>2518</v>
      </c>
      <c r="B144" s="92"/>
      <c r="C144" s="92"/>
      <c r="D144" s="92"/>
      <c r="E144" s="93"/>
      <c r="F144" s="92"/>
      <c r="G144" s="92"/>
    </row>
    <row r="145" spans="1:7" ht="15" customHeight="1">
      <c r="A145" s="65" t="s">
        <v>2413</v>
      </c>
      <c r="B145" s="65" t="s">
        <v>2407</v>
      </c>
      <c r="C145" s="65" t="s">
        <v>2414</v>
      </c>
      <c r="D145" s="65" t="s">
        <v>2756</v>
      </c>
      <c r="E145" s="91" t="s">
        <v>2757</v>
      </c>
      <c r="F145" s="65" t="s">
        <v>2207</v>
      </c>
      <c r="G145" s="65" t="s">
        <v>2416</v>
      </c>
    </row>
    <row r="146" spans="1:7" ht="15" customHeight="1">
      <c r="A146" s="92" t="s">
        <v>2536</v>
      </c>
      <c r="B146" s="92"/>
      <c r="C146" s="92"/>
      <c r="D146" s="92"/>
      <c r="E146" s="93"/>
      <c r="F146" s="92"/>
      <c r="G146" s="92"/>
    </row>
    <row r="147" spans="1:7" ht="15" customHeight="1">
      <c r="A147" s="65" t="s">
        <v>2421</v>
      </c>
      <c r="B147" s="65" t="s">
        <v>2422</v>
      </c>
      <c r="C147" s="65" t="s">
        <v>2423</v>
      </c>
      <c r="D147" s="65" t="s">
        <v>2756</v>
      </c>
      <c r="E147" s="91" t="s">
        <v>2755</v>
      </c>
      <c r="F147" s="65" t="s">
        <v>2207</v>
      </c>
      <c r="G147" s="65" t="s">
        <v>2425</v>
      </c>
    </row>
    <row r="148" spans="1:7" ht="15" customHeight="1">
      <c r="A148" s="92" t="s">
        <v>2581</v>
      </c>
      <c r="B148" s="92"/>
      <c r="C148" s="92"/>
      <c r="D148" s="92"/>
      <c r="E148" s="93"/>
      <c r="F148" s="92"/>
      <c r="G148" s="92"/>
    </row>
    <row r="149" spans="1:7" ht="15" customHeight="1">
      <c r="A149" s="66" t="s">
        <v>2315</v>
      </c>
      <c r="B149" s="66" t="s">
        <v>2316</v>
      </c>
      <c r="C149" s="66" t="s">
        <v>2317</v>
      </c>
      <c r="D149" s="66" t="s">
        <v>2758</v>
      </c>
      <c r="E149" s="67" t="s">
        <v>2319</v>
      </c>
      <c r="F149" s="67" t="s">
        <v>2747</v>
      </c>
      <c r="G149" s="66" t="s">
        <v>2320</v>
      </c>
    </row>
    <row r="150" spans="1:7" ht="15" customHeight="1">
      <c r="A150" s="66" t="s">
        <v>2381</v>
      </c>
      <c r="B150" s="66"/>
      <c r="C150" s="66" t="s">
        <v>1396</v>
      </c>
      <c r="D150" s="66" t="s">
        <v>2758</v>
      </c>
      <c r="E150" s="67" t="s">
        <v>1396</v>
      </c>
      <c r="F150" s="67" t="s">
        <v>2747</v>
      </c>
      <c r="G150" s="66" t="s">
        <v>2323</v>
      </c>
    </row>
    <row r="151" spans="1:7" ht="15" customHeight="1">
      <c r="A151" s="66" t="s">
        <v>2382</v>
      </c>
      <c r="B151" s="66"/>
      <c r="C151" s="66" t="s">
        <v>2383</v>
      </c>
      <c r="D151" s="66" t="s">
        <v>2758</v>
      </c>
      <c r="E151" s="67" t="s">
        <v>1396</v>
      </c>
      <c r="F151" s="67" t="s">
        <v>2747</v>
      </c>
      <c r="G151" s="66" t="s">
        <v>2323</v>
      </c>
    </row>
    <row r="152" spans="1:7" ht="15" customHeight="1">
      <c r="A152" s="66" t="s">
        <v>2321</v>
      </c>
      <c r="B152" s="66" t="s">
        <v>2322</v>
      </c>
      <c r="C152" s="66" t="s">
        <v>2317</v>
      </c>
      <c r="D152" s="66" t="s">
        <v>2758</v>
      </c>
      <c r="E152" s="67" t="s">
        <v>2319</v>
      </c>
      <c r="F152" s="67" t="s">
        <v>2747</v>
      </c>
      <c r="G152" s="66" t="s">
        <v>2323</v>
      </c>
    </row>
    <row r="153" spans="1:7" ht="15" customHeight="1">
      <c r="A153" s="66" t="s">
        <v>2324</v>
      </c>
      <c r="B153" s="66" t="s">
        <v>2322</v>
      </c>
      <c r="C153" s="66" t="s">
        <v>2317</v>
      </c>
      <c r="D153" s="66" t="s">
        <v>2758</v>
      </c>
      <c r="E153" s="67" t="s">
        <v>2319</v>
      </c>
      <c r="F153" s="67" t="s">
        <v>2747</v>
      </c>
      <c r="G153" s="66" t="s">
        <v>2323</v>
      </c>
    </row>
    <row r="154" spans="1:7" ht="15" customHeight="1">
      <c r="A154" s="66" t="s">
        <v>2325</v>
      </c>
      <c r="B154" s="66" t="s">
        <v>2326</v>
      </c>
      <c r="C154" s="66" t="s">
        <v>2317</v>
      </c>
      <c r="D154" s="66" t="s">
        <v>2758</v>
      </c>
      <c r="E154" s="67" t="s">
        <v>2319</v>
      </c>
      <c r="F154" s="67" t="s">
        <v>2747</v>
      </c>
      <c r="G154" s="66" t="s">
        <v>2323</v>
      </c>
    </row>
    <row r="155" spans="1:7" ht="15" customHeight="1">
      <c r="A155" s="92" t="s">
        <v>2583</v>
      </c>
      <c r="B155" s="92"/>
      <c r="C155" s="92"/>
      <c r="D155" s="92"/>
      <c r="E155" s="93"/>
      <c r="F155" s="92"/>
      <c r="G155" s="92"/>
    </row>
    <row r="156" spans="1:7" ht="15" customHeight="1">
      <c r="A156" s="66" t="s">
        <v>2328</v>
      </c>
      <c r="B156" s="66"/>
      <c r="C156" s="66" t="s">
        <v>2329</v>
      </c>
      <c r="D156" s="66" t="s">
        <v>2758</v>
      </c>
      <c r="E156" s="67" t="s">
        <v>2330</v>
      </c>
      <c r="F156" s="67" t="s">
        <v>2747</v>
      </c>
      <c r="G156" s="66" t="s">
        <v>2331</v>
      </c>
    </row>
    <row r="157" spans="1:7" ht="15" customHeight="1">
      <c r="A157" s="92" t="s">
        <v>2590</v>
      </c>
      <c r="B157" s="92"/>
      <c r="C157" s="92"/>
      <c r="D157" s="92"/>
      <c r="E157" s="93"/>
      <c r="F157" s="92"/>
      <c r="G157" s="92"/>
    </row>
    <row r="158" spans="1:7" ht="15" customHeight="1">
      <c r="A158" s="66" t="s">
        <v>2333</v>
      </c>
      <c r="B158" s="66" t="s">
        <v>2334</v>
      </c>
      <c r="C158" s="66" t="s">
        <v>2335</v>
      </c>
      <c r="D158" s="66" t="s">
        <v>2758</v>
      </c>
      <c r="E158" s="67" t="s">
        <v>2330</v>
      </c>
      <c r="F158" s="67" t="s">
        <v>2747</v>
      </c>
      <c r="G158" s="66" t="s">
        <v>2323</v>
      </c>
    </row>
    <row r="159" spans="1:7" ht="15" customHeight="1">
      <c r="A159" s="66" t="s">
        <v>2336</v>
      </c>
      <c r="B159" s="66" t="s">
        <v>2334</v>
      </c>
      <c r="C159" s="66" t="s">
        <v>2329</v>
      </c>
      <c r="D159" s="66" t="s">
        <v>2758</v>
      </c>
      <c r="E159" s="67" t="s">
        <v>2330</v>
      </c>
      <c r="F159" s="67" t="s">
        <v>2747</v>
      </c>
      <c r="G159" s="66" t="s">
        <v>2323</v>
      </c>
    </row>
    <row r="160" spans="1:7" ht="15" customHeight="1">
      <c r="A160" s="66" t="s">
        <v>2337</v>
      </c>
      <c r="B160" s="66" t="s">
        <v>2334</v>
      </c>
      <c r="C160" s="66" t="s">
        <v>2329</v>
      </c>
      <c r="D160" s="66" t="s">
        <v>2758</v>
      </c>
      <c r="E160" s="67" t="s">
        <v>2330</v>
      </c>
      <c r="F160" s="67" t="s">
        <v>2747</v>
      </c>
      <c r="G160" s="66" t="s">
        <v>2323</v>
      </c>
    </row>
    <row r="161" spans="1:7" ht="15" customHeight="1">
      <c r="A161" s="66" t="s">
        <v>2338</v>
      </c>
      <c r="B161" s="66" t="s">
        <v>2339</v>
      </c>
      <c r="C161" s="66" t="s">
        <v>2329</v>
      </c>
      <c r="D161" s="66" t="s">
        <v>2758</v>
      </c>
      <c r="E161" s="67" t="s">
        <v>2330</v>
      </c>
      <c r="F161" s="67" t="s">
        <v>2747</v>
      </c>
      <c r="G161" s="66" t="s">
        <v>2323</v>
      </c>
    </row>
    <row r="162" spans="1:7" ht="15" customHeight="1">
      <c r="A162" s="66" t="s">
        <v>2340</v>
      </c>
      <c r="B162" s="66"/>
      <c r="C162" s="66" t="s">
        <v>2329</v>
      </c>
      <c r="D162" s="66" t="s">
        <v>2758</v>
      </c>
      <c r="E162" s="67" t="s">
        <v>2330</v>
      </c>
      <c r="F162" s="67" t="s">
        <v>2747</v>
      </c>
      <c r="G162" s="66" t="s">
        <v>2323</v>
      </c>
    </row>
    <row r="163" spans="1:7" ht="15" customHeight="1">
      <c r="A163" s="66" t="s">
        <v>2341</v>
      </c>
      <c r="B163" s="66"/>
      <c r="C163" s="66" t="s">
        <v>2329</v>
      </c>
      <c r="D163" s="66" t="s">
        <v>2758</v>
      </c>
      <c r="E163" s="67" t="s">
        <v>2330</v>
      </c>
      <c r="F163" s="67" t="s">
        <v>2747</v>
      </c>
      <c r="G163" s="66" t="s">
        <v>2323</v>
      </c>
    </row>
    <row r="164" spans="1:7" ht="15" customHeight="1">
      <c r="A164" s="66" t="s">
        <v>2342</v>
      </c>
      <c r="B164" s="66"/>
      <c r="C164" s="66" t="s">
        <v>2329</v>
      </c>
      <c r="D164" s="66" t="s">
        <v>2758</v>
      </c>
      <c r="E164" s="67" t="s">
        <v>2330</v>
      </c>
      <c r="F164" s="67" t="s">
        <v>2747</v>
      </c>
      <c r="G164" s="66" t="s">
        <v>2323</v>
      </c>
    </row>
    <row r="165" spans="1:7" ht="15" customHeight="1">
      <c r="A165" s="92" t="s">
        <v>2591</v>
      </c>
      <c r="B165" s="92"/>
      <c r="C165" s="92"/>
      <c r="D165" s="92"/>
      <c r="E165" s="93"/>
      <c r="F165" s="92"/>
      <c r="G165" s="92"/>
    </row>
    <row r="166" spans="1:7" ht="15" customHeight="1">
      <c r="A166" s="66" t="s">
        <v>2347</v>
      </c>
      <c r="B166" s="66"/>
      <c r="C166" s="66" t="s">
        <v>2329</v>
      </c>
      <c r="D166" s="66" t="s">
        <v>2758</v>
      </c>
      <c r="E166" s="67" t="s">
        <v>2330</v>
      </c>
      <c r="F166" s="67" t="s">
        <v>2747</v>
      </c>
      <c r="G166" s="66" t="s">
        <v>2323</v>
      </c>
    </row>
    <row r="167" spans="1:7" ht="15" customHeight="1">
      <c r="A167" s="66" t="s">
        <v>2348</v>
      </c>
      <c r="B167" s="66"/>
      <c r="C167" s="66" t="s">
        <v>2329</v>
      </c>
      <c r="D167" s="66" t="s">
        <v>2758</v>
      </c>
      <c r="E167" s="67" t="s">
        <v>2330</v>
      </c>
      <c r="F167" s="67" t="s">
        <v>2747</v>
      </c>
      <c r="G167" s="66" t="s">
        <v>2323</v>
      </c>
    </row>
    <row r="168" spans="1:7" ht="15" customHeight="1">
      <c r="A168" s="92" t="s">
        <v>2592</v>
      </c>
      <c r="B168" s="92"/>
      <c r="C168" s="92"/>
      <c r="D168" s="92"/>
      <c r="E168" s="93"/>
      <c r="F168" s="92"/>
      <c r="G168" s="92"/>
    </row>
    <row r="169" spans="1:7" ht="15" customHeight="1">
      <c r="A169" s="66" t="s">
        <v>2350</v>
      </c>
      <c r="B169" s="66"/>
      <c r="C169" s="66" t="s">
        <v>2329</v>
      </c>
      <c r="D169" s="66" t="s">
        <v>2758</v>
      </c>
      <c r="E169" s="67" t="s">
        <v>2330</v>
      </c>
      <c r="F169" s="67" t="s">
        <v>2747</v>
      </c>
      <c r="G169" s="66" t="s">
        <v>2323</v>
      </c>
    </row>
    <row r="170" spans="1:7" ht="15" customHeight="1">
      <c r="A170" s="92" t="s">
        <v>2593</v>
      </c>
      <c r="B170" s="92"/>
      <c r="C170" s="92"/>
      <c r="D170" s="92"/>
      <c r="E170" s="93"/>
      <c r="F170" s="92"/>
      <c r="G170" s="92"/>
    </row>
    <row r="171" spans="1:7" ht="15" customHeight="1">
      <c r="A171" s="66" t="s">
        <v>2352</v>
      </c>
      <c r="B171" s="66" t="s">
        <v>2353</v>
      </c>
      <c r="C171" s="66" t="s">
        <v>2317</v>
      </c>
      <c r="D171" s="66" t="s">
        <v>2758</v>
      </c>
      <c r="E171" s="67" t="s">
        <v>2319</v>
      </c>
      <c r="F171" s="67" t="s">
        <v>2747</v>
      </c>
      <c r="G171" s="66" t="s">
        <v>2354</v>
      </c>
    </row>
    <row r="172" spans="1:7" ht="15" customHeight="1">
      <c r="A172" s="66" t="s">
        <v>2355</v>
      </c>
      <c r="B172" s="66" t="s">
        <v>2356</v>
      </c>
      <c r="C172" s="66" t="s">
        <v>2317</v>
      </c>
      <c r="D172" s="66" t="s">
        <v>2758</v>
      </c>
      <c r="E172" s="67" t="s">
        <v>2319</v>
      </c>
      <c r="F172" s="67" t="s">
        <v>2747</v>
      </c>
      <c r="G172" s="66" t="s">
        <v>2357</v>
      </c>
    </row>
    <row r="173" spans="1:7" ht="15" customHeight="1">
      <c r="A173" s="66" t="s">
        <v>2358</v>
      </c>
      <c r="B173" s="66"/>
      <c r="C173" s="66" t="s">
        <v>2329</v>
      </c>
      <c r="D173" s="66" t="s">
        <v>2758</v>
      </c>
      <c r="E173" s="67" t="s">
        <v>2330</v>
      </c>
      <c r="F173" s="67" t="s">
        <v>2747</v>
      </c>
      <c r="G173" s="66" t="s">
        <v>2323</v>
      </c>
    </row>
    <row r="174" spans="1:7" ht="15" customHeight="1">
      <c r="A174" s="92" t="s">
        <v>2594</v>
      </c>
      <c r="B174" s="92"/>
      <c r="C174" s="92"/>
      <c r="D174" s="92"/>
      <c r="E174" s="93"/>
      <c r="F174" s="92"/>
      <c r="G174" s="92"/>
    </row>
    <row r="175" spans="1:7" ht="15" customHeight="1">
      <c r="A175" s="66" t="s">
        <v>2413</v>
      </c>
      <c r="B175" s="66" t="s">
        <v>2407</v>
      </c>
      <c r="C175" s="66" t="s">
        <v>2414</v>
      </c>
      <c r="D175" s="66" t="s">
        <v>2758</v>
      </c>
      <c r="E175" s="67" t="s">
        <v>2415</v>
      </c>
      <c r="F175" s="67" t="s">
        <v>2747</v>
      </c>
      <c r="G175" s="66" t="s">
        <v>2416</v>
      </c>
    </row>
    <row r="176" spans="1:7" ht="15" customHeight="1">
      <c r="A176" s="66" t="s">
        <v>2360</v>
      </c>
      <c r="B176" s="66"/>
      <c r="C176" s="66" t="s">
        <v>2317</v>
      </c>
      <c r="D176" s="66" t="s">
        <v>2758</v>
      </c>
      <c r="E176" s="67" t="s">
        <v>2319</v>
      </c>
      <c r="F176" s="67" t="s">
        <v>2747</v>
      </c>
      <c r="G176" s="66" t="s">
        <v>2361</v>
      </c>
    </row>
    <row r="177" spans="1:7" ht="15" customHeight="1">
      <c r="A177" s="66" t="s">
        <v>2362</v>
      </c>
      <c r="B177" s="66" t="s">
        <v>2363</v>
      </c>
      <c r="C177" s="66" t="s">
        <v>2364</v>
      </c>
      <c r="D177" s="66" t="s">
        <v>2758</v>
      </c>
      <c r="E177" s="67" t="s">
        <v>2365</v>
      </c>
      <c r="F177" s="67" t="s">
        <v>2747</v>
      </c>
      <c r="G177" s="66" t="s">
        <v>2323</v>
      </c>
    </row>
    <row r="178" spans="1:7" ht="15" customHeight="1">
      <c r="A178" s="92" t="s">
        <v>2596</v>
      </c>
      <c r="B178" s="92"/>
      <c r="C178" s="92"/>
      <c r="D178" s="92"/>
      <c r="E178" s="93"/>
      <c r="F178" s="92"/>
      <c r="G178" s="92"/>
    </row>
    <row r="179" spans="1:7" ht="15" customHeight="1">
      <c r="A179" s="66" t="s">
        <v>2421</v>
      </c>
      <c r="B179" s="66" t="s">
        <v>2422</v>
      </c>
      <c r="C179" s="66" t="s">
        <v>2423</v>
      </c>
      <c r="D179" s="66" t="s">
        <v>2758</v>
      </c>
      <c r="E179" s="67" t="s">
        <v>2424</v>
      </c>
      <c r="F179" s="67" t="s">
        <v>2747</v>
      </c>
      <c r="G179" s="66" t="s">
        <v>2425</v>
      </c>
    </row>
    <row r="180" spans="1:7" ht="15" customHeight="1">
      <c r="A180" s="92" t="s">
        <v>2597</v>
      </c>
      <c r="B180" s="92"/>
      <c r="C180" s="92"/>
      <c r="D180" s="92"/>
      <c r="E180" s="93"/>
      <c r="F180" s="92"/>
      <c r="G180" s="92"/>
    </row>
    <row r="181" spans="1:7" ht="15" customHeight="1">
      <c r="A181" s="66" t="s">
        <v>2367</v>
      </c>
      <c r="B181" s="66"/>
      <c r="C181" s="66" t="s">
        <v>2317</v>
      </c>
      <c r="D181" s="66" t="s">
        <v>2758</v>
      </c>
      <c r="E181" s="67" t="s">
        <v>2319</v>
      </c>
      <c r="F181" s="67" t="s">
        <v>2747</v>
      </c>
      <c r="G181" s="66" t="s">
        <v>2368</v>
      </c>
    </row>
    <row r="182" spans="1:7" ht="15" customHeight="1">
      <c r="A182" s="66" t="s">
        <v>2369</v>
      </c>
      <c r="B182" s="66" t="s">
        <v>2370</v>
      </c>
      <c r="C182" s="66" t="s">
        <v>2317</v>
      </c>
      <c r="D182" s="66" t="s">
        <v>2758</v>
      </c>
      <c r="E182" s="67" t="s">
        <v>2319</v>
      </c>
      <c r="F182" s="67" t="s">
        <v>2747</v>
      </c>
      <c r="G182" s="66" t="s">
        <v>2371</v>
      </c>
    </row>
    <row r="183" spans="1:7" ht="15" customHeight="1">
      <c r="A183" s="66" t="s">
        <v>2372</v>
      </c>
      <c r="B183" s="66"/>
      <c r="C183" s="66" t="s">
        <v>2329</v>
      </c>
      <c r="D183" s="66" t="s">
        <v>2758</v>
      </c>
      <c r="E183" s="67" t="s">
        <v>2330</v>
      </c>
      <c r="F183" s="67" t="s">
        <v>2747</v>
      </c>
      <c r="G183" s="66" t="s">
        <v>2323</v>
      </c>
    </row>
    <row r="184" spans="1:7" ht="15" customHeight="1">
      <c r="A184" s="92" t="s">
        <v>2598</v>
      </c>
      <c r="B184" s="92"/>
      <c r="C184" s="92"/>
      <c r="D184" s="92"/>
      <c r="E184" s="93"/>
      <c r="F184" s="92"/>
      <c r="G184" s="92"/>
    </row>
    <row r="185" spans="1:7" ht="15" customHeight="1">
      <c r="A185" s="66" t="s">
        <v>2374</v>
      </c>
      <c r="B185" s="66"/>
      <c r="C185" s="66" t="s">
        <v>2329</v>
      </c>
      <c r="D185" s="66" t="s">
        <v>2758</v>
      </c>
      <c r="E185" s="67" t="s">
        <v>2330</v>
      </c>
      <c r="F185" s="67" t="s">
        <v>2747</v>
      </c>
      <c r="G185" s="66" t="s">
        <v>2375</v>
      </c>
    </row>
    <row r="186" spans="1:7" ht="15" customHeight="1">
      <c r="A186" s="92" t="s">
        <v>2600</v>
      </c>
      <c r="B186" s="92"/>
      <c r="C186" s="92"/>
      <c r="D186" s="92"/>
      <c r="E186" s="93"/>
      <c r="F186" s="92"/>
      <c r="G186" s="92"/>
    </row>
    <row r="187" spans="1:7" ht="15" customHeight="1">
      <c r="A187" s="66" t="s">
        <v>2315</v>
      </c>
      <c r="B187" s="66" t="s">
        <v>2316</v>
      </c>
      <c r="C187" s="66" t="s">
        <v>2317</v>
      </c>
      <c r="D187" s="66" t="s">
        <v>2758</v>
      </c>
      <c r="E187" s="67" t="s">
        <v>2319</v>
      </c>
      <c r="F187" s="67" t="s">
        <v>2747</v>
      </c>
      <c r="G187" s="66" t="s">
        <v>2320</v>
      </c>
    </row>
    <row r="188" spans="1:7" ht="15" customHeight="1">
      <c r="A188" s="66" t="s">
        <v>2381</v>
      </c>
      <c r="B188" s="66"/>
      <c r="C188" s="66" t="s">
        <v>1396</v>
      </c>
      <c r="D188" s="66" t="s">
        <v>2758</v>
      </c>
      <c r="E188" s="67" t="s">
        <v>1396</v>
      </c>
      <c r="F188" s="67" t="s">
        <v>2747</v>
      </c>
      <c r="G188" s="66" t="s">
        <v>2323</v>
      </c>
    </row>
    <row r="189" spans="1:7" ht="15" customHeight="1">
      <c r="A189" s="66" t="s">
        <v>2382</v>
      </c>
      <c r="B189" s="66"/>
      <c r="C189" s="66" t="s">
        <v>2383</v>
      </c>
      <c r="D189" s="66" t="s">
        <v>2758</v>
      </c>
      <c r="E189" s="67" t="s">
        <v>1396</v>
      </c>
      <c r="F189" s="67" t="s">
        <v>2747</v>
      </c>
      <c r="G189" s="66" t="s">
        <v>2323</v>
      </c>
    </row>
    <row r="190" spans="1:7" ht="15" customHeight="1">
      <c r="A190" s="66" t="s">
        <v>2321</v>
      </c>
      <c r="B190" s="66" t="s">
        <v>2322</v>
      </c>
      <c r="C190" s="66" t="s">
        <v>2317</v>
      </c>
      <c r="D190" s="66" t="s">
        <v>2758</v>
      </c>
      <c r="E190" s="67" t="s">
        <v>2319</v>
      </c>
      <c r="F190" s="67" t="s">
        <v>2747</v>
      </c>
      <c r="G190" s="66" t="s">
        <v>2323</v>
      </c>
    </row>
    <row r="191" spans="1:7" ht="15" customHeight="1">
      <c r="A191" s="66" t="s">
        <v>2324</v>
      </c>
      <c r="B191" s="66" t="s">
        <v>2322</v>
      </c>
      <c r="C191" s="66" t="s">
        <v>2317</v>
      </c>
      <c r="D191" s="66" t="s">
        <v>2758</v>
      </c>
      <c r="E191" s="67" t="s">
        <v>2319</v>
      </c>
      <c r="F191" s="67" t="s">
        <v>2747</v>
      </c>
      <c r="G191" s="66" t="s">
        <v>2323</v>
      </c>
    </row>
    <row r="192" spans="1:7" ht="15" customHeight="1">
      <c r="A192" s="66" t="s">
        <v>2325</v>
      </c>
      <c r="B192" s="66" t="s">
        <v>2326</v>
      </c>
      <c r="C192" s="66" t="s">
        <v>2317</v>
      </c>
      <c r="D192" s="66" t="s">
        <v>2758</v>
      </c>
      <c r="E192" s="67" t="s">
        <v>2319</v>
      </c>
      <c r="F192" s="67" t="s">
        <v>2747</v>
      </c>
      <c r="G192" s="66" t="s">
        <v>2323</v>
      </c>
    </row>
    <row r="193" spans="1:7" ht="15" customHeight="1">
      <c r="A193" s="92" t="s">
        <v>2602</v>
      </c>
      <c r="B193" s="92"/>
      <c r="C193" s="92"/>
      <c r="D193" s="92"/>
      <c r="E193" s="93"/>
      <c r="F193" s="92"/>
      <c r="G193" s="92"/>
    </row>
    <row r="194" spans="1:7" ht="15" customHeight="1">
      <c r="A194" s="66" t="s">
        <v>2328</v>
      </c>
      <c r="B194" s="66"/>
      <c r="C194" s="66" t="s">
        <v>2329</v>
      </c>
      <c r="D194" s="66" t="s">
        <v>2758</v>
      </c>
      <c r="E194" s="67" t="s">
        <v>2330</v>
      </c>
      <c r="F194" s="67" t="s">
        <v>2747</v>
      </c>
      <c r="G194" s="66" t="s">
        <v>2331</v>
      </c>
    </row>
    <row r="195" spans="1:7" ht="15" customHeight="1">
      <c r="A195" s="92" t="s">
        <v>2605</v>
      </c>
      <c r="B195" s="92"/>
      <c r="C195" s="92"/>
      <c r="D195" s="92"/>
      <c r="E195" s="93"/>
      <c r="F195" s="92"/>
      <c r="G195" s="92"/>
    </row>
    <row r="196" spans="1:7" ht="15" customHeight="1">
      <c r="A196" s="66" t="s">
        <v>2333</v>
      </c>
      <c r="B196" s="66" t="s">
        <v>2334</v>
      </c>
      <c r="C196" s="66" t="s">
        <v>2335</v>
      </c>
      <c r="D196" s="66" t="s">
        <v>2758</v>
      </c>
      <c r="E196" s="67" t="s">
        <v>2330</v>
      </c>
      <c r="F196" s="67" t="s">
        <v>2747</v>
      </c>
      <c r="G196" s="66" t="s">
        <v>2323</v>
      </c>
    </row>
    <row r="197" spans="1:7" ht="15" customHeight="1">
      <c r="A197" s="66" t="s">
        <v>2336</v>
      </c>
      <c r="B197" s="66" t="s">
        <v>2334</v>
      </c>
      <c r="C197" s="66" t="s">
        <v>2329</v>
      </c>
      <c r="D197" s="66" t="s">
        <v>2758</v>
      </c>
      <c r="E197" s="67" t="s">
        <v>2330</v>
      </c>
      <c r="F197" s="67" t="s">
        <v>2747</v>
      </c>
      <c r="G197" s="66" t="s">
        <v>2323</v>
      </c>
    </row>
    <row r="198" spans="1:7" ht="15" customHeight="1">
      <c r="A198" s="66" t="s">
        <v>2337</v>
      </c>
      <c r="B198" s="66" t="s">
        <v>2334</v>
      </c>
      <c r="C198" s="66" t="s">
        <v>2329</v>
      </c>
      <c r="D198" s="66" t="s">
        <v>2758</v>
      </c>
      <c r="E198" s="67" t="s">
        <v>2330</v>
      </c>
      <c r="F198" s="67" t="s">
        <v>2747</v>
      </c>
      <c r="G198" s="66" t="s">
        <v>2323</v>
      </c>
    </row>
    <row r="199" spans="1:7" ht="15" customHeight="1">
      <c r="A199" s="66" t="s">
        <v>2338</v>
      </c>
      <c r="B199" s="66" t="s">
        <v>2339</v>
      </c>
      <c r="C199" s="66" t="s">
        <v>2329</v>
      </c>
      <c r="D199" s="66" t="s">
        <v>2758</v>
      </c>
      <c r="E199" s="67" t="s">
        <v>2330</v>
      </c>
      <c r="F199" s="67" t="s">
        <v>2747</v>
      </c>
      <c r="G199" s="66" t="s">
        <v>2323</v>
      </c>
    </row>
    <row r="200" spans="1:7" ht="15" customHeight="1">
      <c r="A200" s="66" t="s">
        <v>2340</v>
      </c>
      <c r="B200" s="66"/>
      <c r="C200" s="66" t="s">
        <v>2329</v>
      </c>
      <c r="D200" s="66" t="s">
        <v>2758</v>
      </c>
      <c r="E200" s="67" t="s">
        <v>2330</v>
      </c>
      <c r="F200" s="67" t="s">
        <v>2747</v>
      </c>
      <c r="G200" s="66" t="s">
        <v>2323</v>
      </c>
    </row>
    <row r="201" spans="1:7" ht="15" customHeight="1">
      <c r="A201" s="66" t="s">
        <v>2341</v>
      </c>
      <c r="B201" s="66"/>
      <c r="C201" s="66" t="s">
        <v>2329</v>
      </c>
      <c r="D201" s="66" t="s">
        <v>2758</v>
      </c>
      <c r="E201" s="67" t="s">
        <v>2330</v>
      </c>
      <c r="F201" s="67" t="s">
        <v>2747</v>
      </c>
      <c r="G201" s="66" t="s">
        <v>2323</v>
      </c>
    </row>
    <row r="202" spans="1:7" ht="15" customHeight="1">
      <c r="A202" s="66" t="s">
        <v>2342</v>
      </c>
      <c r="B202" s="66"/>
      <c r="C202" s="66" t="s">
        <v>2329</v>
      </c>
      <c r="D202" s="66" t="s">
        <v>2758</v>
      </c>
      <c r="E202" s="67" t="s">
        <v>2330</v>
      </c>
      <c r="F202" s="67" t="s">
        <v>2747</v>
      </c>
      <c r="G202" s="66" t="s">
        <v>2323</v>
      </c>
    </row>
    <row r="203" spans="1:7" ht="15" customHeight="1">
      <c r="A203" s="92" t="s">
        <v>2606</v>
      </c>
      <c r="B203" s="92"/>
      <c r="C203" s="92"/>
      <c r="D203" s="92"/>
      <c r="E203" s="93"/>
      <c r="F203" s="92"/>
      <c r="G203" s="92"/>
    </row>
    <row r="204" spans="1:7" ht="15" customHeight="1">
      <c r="A204" s="66" t="s">
        <v>2347</v>
      </c>
      <c r="B204" s="66"/>
      <c r="C204" s="66" t="s">
        <v>2329</v>
      </c>
      <c r="D204" s="66" t="s">
        <v>2758</v>
      </c>
      <c r="E204" s="67" t="s">
        <v>2330</v>
      </c>
      <c r="F204" s="67" t="s">
        <v>2747</v>
      </c>
      <c r="G204" s="66" t="s">
        <v>2323</v>
      </c>
    </row>
    <row r="205" spans="1:7" ht="15" customHeight="1">
      <c r="A205" s="66" t="s">
        <v>2348</v>
      </c>
      <c r="B205" s="66"/>
      <c r="C205" s="66" t="s">
        <v>2329</v>
      </c>
      <c r="D205" s="66" t="s">
        <v>2758</v>
      </c>
      <c r="E205" s="67" t="s">
        <v>2330</v>
      </c>
      <c r="F205" s="67" t="s">
        <v>2747</v>
      </c>
      <c r="G205" s="66" t="s">
        <v>2323</v>
      </c>
    </row>
    <row r="206" spans="1:7" ht="15" customHeight="1">
      <c r="A206" s="92" t="s">
        <v>2607</v>
      </c>
      <c r="B206" s="92"/>
      <c r="C206" s="92"/>
      <c r="D206" s="92"/>
      <c r="E206" s="93"/>
      <c r="F206" s="92"/>
      <c r="G206" s="92"/>
    </row>
    <row r="207" spans="1:7" ht="15" customHeight="1">
      <c r="A207" s="66" t="s">
        <v>2350</v>
      </c>
      <c r="B207" s="66"/>
      <c r="C207" s="66" t="s">
        <v>2329</v>
      </c>
      <c r="D207" s="66" t="s">
        <v>2758</v>
      </c>
      <c r="E207" s="67" t="s">
        <v>2330</v>
      </c>
      <c r="F207" s="67" t="s">
        <v>2747</v>
      </c>
      <c r="G207" s="66" t="s">
        <v>2323</v>
      </c>
    </row>
    <row r="208" spans="1:7" ht="15" customHeight="1">
      <c r="A208" s="92" t="s">
        <v>2608</v>
      </c>
      <c r="B208" s="92"/>
      <c r="C208" s="92"/>
      <c r="D208" s="92"/>
      <c r="E208" s="93"/>
      <c r="F208" s="92"/>
      <c r="G208" s="92"/>
    </row>
    <row r="209" spans="1:7" ht="15" customHeight="1">
      <c r="A209" s="66" t="s">
        <v>2352</v>
      </c>
      <c r="B209" s="66" t="s">
        <v>2353</v>
      </c>
      <c r="C209" s="66" t="s">
        <v>2317</v>
      </c>
      <c r="D209" s="66" t="s">
        <v>2758</v>
      </c>
      <c r="E209" s="67" t="s">
        <v>2319</v>
      </c>
      <c r="F209" s="67" t="s">
        <v>2747</v>
      </c>
      <c r="G209" s="66" t="s">
        <v>2354</v>
      </c>
    </row>
    <row r="210" spans="1:7" ht="15" customHeight="1">
      <c r="A210" s="66" t="s">
        <v>2355</v>
      </c>
      <c r="B210" s="66" t="s">
        <v>2356</v>
      </c>
      <c r="C210" s="66" t="s">
        <v>2317</v>
      </c>
      <c r="D210" s="66" t="s">
        <v>2758</v>
      </c>
      <c r="E210" s="67" t="s">
        <v>2319</v>
      </c>
      <c r="F210" s="67" t="s">
        <v>2747</v>
      </c>
      <c r="G210" s="66" t="s">
        <v>2357</v>
      </c>
    </row>
    <row r="211" spans="1:7" ht="15" customHeight="1">
      <c r="A211" s="66" t="s">
        <v>2358</v>
      </c>
      <c r="B211" s="66"/>
      <c r="C211" s="66" t="s">
        <v>2329</v>
      </c>
      <c r="D211" s="66" t="s">
        <v>2758</v>
      </c>
      <c r="E211" s="67" t="s">
        <v>2330</v>
      </c>
      <c r="F211" s="67" t="s">
        <v>2747</v>
      </c>
      <c r="G211" s="66" t="s">
        <v>2323</v>
      </c>
    </row>
    <row r="212" spans="1:7" ht="15" customHeight="1">
      <c r="A212" s="92" t="s">
        <v>2609</v>
      </c>
      <c r="B212" s="92"/>
      <c r="C212" s="92"/>
      <c r="D212" s="92"/>
      <c r="E212" s="93"/>
      <c r="F212" s="92"/>
      <c r="G212" s="92"/>
    </row>
    <row r="213" spans="1:7" ht="15" customHeight="1">
      <c r="A213" s="66" t="s">
        <v>2413</v>
      </c>
      <c r="B213" s="66" t="s">
        <v>2407</v>
      </c>
      <c r="C213" s="66" t="s">
        <v>2414</v>
      </c>
      <c r="D213" s="66" t="s">
        <v>2758</v>
      </c>
      <c r="E213" s="67" t="s">
        <v>2415</v>
      </c>
      <c r="F213" s="67" t="s">
        <v>2747</v>
      </c>
      <c r="G213" s="66" t="s">
        <v>2416</v>
      </c>
    </row>
    <row r="214" spans="1:7" ht="15" customHeight="1">
      <c r="A214" s="66" t="s">
        <v>2360</v>
      </c>
      <c r="B214" s="66"/>
      <c r="C214" s="66" t="s">
        <v>2317</v>
      </c>
      <c r="D214" s="66" t="s">
        <v>2758</v>
      </c>
      <c r="E214" s="67" t="s">
        <v>2319</v>
      </c>
      <c r="F214" s="67" t="s">
        <v>2747</v>
      </c>
      <c r="G214" s="66" t="s">
        <v>2361</v>
      </c>
    </row>
    <row r="215" spans="1:7" ht="15" customHeight="1">
      <c r="A215" s="66" t="s">
        <v>2362</v>
      </c>
      <c r="B215" s="66" t="s">
        <v>2363</v>
      </c>
      <c r="C215" s="66" t="s">
        <v>2364</v>
      </c>
      <c r="D215" s="66" t="s">
        <v>2758</v>
      </c>
      <c r="E215" s="67" t="s">
        <v>2365</v>
      </c>
      <c r="F215" s="67" t="s">
        <v>2747</v>
      </c>
      <c r="G215" s="66" t="s">
        <v>2323</v>
      </c>
    </row>
    <row r="216" spans="1:7" ht="15" customHeight="1">
      <c r="A216" s="92" t="s">
        <v>2610</v>
      </c>
      <c r="B216" s="92"/>
      <c r="C216" s="92"/>
      <c r="D216" s="92"/>
      <c r="E216" s="93"/>
      <c r="F216" s="92"/>
      <c r="G216" s="92"/>
    </row>
    <row r="217" spans="1:7" ht="15" customHeight="1">
      <c r="A217" s="66" t="s">
        <v>2421</v>
      </c>
      <c r="B217" s="66" t="s">
        <v>2422</v>
      </c>
      <c r="C217" s="66" t="s">
        <v>2423</v>
      </c>
      <c r="D217" s="66" t="s">
        <v>2758</v>
      </c>
      <c r="E217" s="67" t="s">
        <v>2424</v>
      </c>
      <c r="F217" s="67" t="s">
        <v>2747</v>
      </c>
      <c r="G217" s="66" t="s">
        <v>2425</v>
      </c>
    </row>
    <row r="218" spans="1:7" ht="15" customHeight="1">
      <c r="A218" s="92" t="s">
        <v>2611</v>
      </c>
      <c r="B218" s="92"/>
      <c r="C218" s="92"/>
      <c r="D218" s="92"/>
      <c r="E218" s="93"/>
      <c r="F218" s="92"/>
      <c r="G218" s="92"/>
    </row>
    <row r="219" spans="1:7" ht="15" customHeight="1">
      <c r="A219" s="66" t="s">
        <v>2367</v>
      </c>
      <c r="B219" s="66"/>
      <c r="C219" s="66" t="s">
        <v>2317</v>
      </c>
      <c r="D219" s="66" t="s">
        <v>2758</v>
      </c>
      <c r="E219" s="67" t="s">
        <v>2319</v>
      </c>
      <c r="F219" s="67" t="s">
        <v>2747</v>
      </c>
      <c r="G219" s="66" t="s">
        <v>2368</v>
      </c>
    </row>
    <row r="220" spans="1:7" ht="15" customHeight="1">
      <c r="A220" s="66" t="s">
        <v>2369</v>
      </c>
      <c r="B220" s="66" t="s">
        <v>2370</v>
      </c>
      <c r="C220" s="66" t="s">
        <v>2317</v>
      </c>
      <c r="D220" s="66" t="s">
        <v>2758</v>
      </c>
      <c r="E220" s="67" t="s">
        <v>2319</v>
      </c>
      <c r="F220" s="67" t="s">
        <v>2747</v>
      </c>
      <c r="G220" s="66" t="s">
        <v>2371</v>
      </c>
    </row>
    <row r="221" spans="1:7" ht="15" customHeight="1">
      <c r="A221" s="66" t="s">
        <v>2372</v>
      </c>
      <c r="B221" s="66"/>
      <c r="C221" s="66" t="s">
        <v>2329</v>
      </c>
      <c r="D221" s="66" t="s">
        <v>2758</v>
      </c>
      <c r="E221" s="67" t="s">
        <v>2330</v>
      </c>
      <c r="F221" s="67" t="s">
        <v>2747</v>
      </c>
      <c r="G221" s="66" t="s">
        <v>2323</v>
      </c>
    </row>
    <row r="222" spans="1:7" ht="15" customHeight="1">
      <c r="A222" s="92" t="s">
        <v>2612</v>
      </c>
      <c r="B222" s="92"/>
      <c r="C222" s="92"/>
      <c r="D222" s="92"/>
      <c r="E222" s="93"/>
      <c r="F222" s="92"/>
      <c r="G222" s="92"/>
    </row>
    <row r="223" spans="1:7" ht="15" customHeight="1">
      <c r="A223" s="66" t="s">
        <v>2374</v>
      </c>
      <c r="B223" s="66"/>
      <c r="C223" s="66" t="s">
        <v>2329</v>
      </c>
      <c r="D223" s="66" t="s">
        <v>2758</v>
      </c>
      <c r="E223" s="67" t="s">
        <v>2330</v>
      </c>
      <c r="F223" s="67" t="s">
        <v>2747</v>
      </c>
      <c r="G223" s="66" t="s">
        <v>2375</v>
      </c>
    </row>
    <row r="224" spans="1:7" ht="15" customHeight="1">
      <c r="A224" s="92" t="s">
        <v>2613</v>
      </c>
      <c r="B224" s="92"/>
      <c r="C224" s="92"/>
      <c r="D224" s="92"/>
      <c r="E224" s="93"/>
      <c r="F224" s="92"/>
      <c r="G224" s="92"/>
    </row>
    <row r="225" spans="1:7" ht="15" customHeight="1">
      <c r="A225" s="66" t="s">
        <v>2381</v>
      </c>
      <c r="B225" s="66"/>
      <c r="C225" s="66" t="s">
        <v>1396</v>
      </c>
      <c r="D225" s="66" t="s">
        <v>2759</v>
      </c>
      <c r="E225" s="67" t="s">
        <v>1396</v>
      </c>
      <c r="F225" s="67" t="s">
        <v>2747</v>
      </c>
      <c r="G225" s="66" t="s">
        <v>2323</v>
      </c>
    </row>
    <row r="226" spans="1:7" ht="15" customHeight="1">
      <c r="A226" s="66" t="s">
        <v>2382</v>
      </c>
      <c r="B226" s="66"/>
      <c r="C226" s="66" t="s">
        <v>2383</v>
      </c>
      <c r="D226" s="66" t="s">
        <v>2759</v>
      </c>
      <c r="E226" s="67" t="s">
        <v>1396</v>
      </c>
      <c r="F226" s="67" t="s">
        <v>2747</v>
      </c>
      <c r="G226" s="66" t="s">
        <v>2323</v>
      </c>
    </row>
    <row r="227" spans="1:7" ht="15" customHeight="1">
      <c r="A227" s="92" t="s">
        <v>2616</v>
      </c>
      <c r="B227" s="92"/>
      <c r="C227" s="92"/>
      <c r="D227" s="92"/>
      <c r="E227" s="93"/>
      <c r="F227" s="92"/>
      <c r="G227" s="92"/>
    </row>
    <row r="228" spans="1:7" ht="15" customHeight="1">
      <c r="A228" s="66" t="s">
        <v>2458</v>
      </c>
      <c r="B228" s="66" t="s">
        <v>2457</v>
      </c>
      <c r="C228" s="66" t="s">
        <v>2459</v>
      </c>
      <c r="D228" s="66" t="s">
        <v>2759</v>
      </c>
      <c r="E228" s="67" t="s">
        <v>2585</v>
      </c>
      <c r="F228" s="67" t="s">
        <v>2747</v>
      </c>
      <c r="G228" s="66" t="s">
        <v>2323</v>
      </c>
    </row>
    <row r="229" spans="1:7" ht="15" customHeight="1">
      <c r="A229" s="92" t="s">
        <v>2617</v>
      </c>
      <c r="B229" s="92"/>
      <c r="C229" s="92"/>
      <c r="D229" s="92"/>
      <c r="E229" s="93"/>
      <c r="F229" s="92"/>
      <c r="G229" s="92"/>
    </row>
    <row r="230" spans="1:7" ht="15" customHeight="1">
      <c r="A230" s="66" t="s">
        <v>2587</v>
      </c>
      <c r="B230" s="66" t="s">
        <v>2363</v>
      </c>
      <c r="C230" s="66" t="s">
        <v>2588</v>
      </c>
      <c r="D230" s="66" t="s">
        <v>2759</v>
      </c>
      <c r="E230" s="67" t="s">
        <v>2585</v>
      </c>
      <c r="F230" s="67" t="s">
        <v>2747</v>
      </c>
      <c r="G230" s="66" t="s">
        <v>2323</v>
      </c>
    </row>
    <row r="231" spans="1:7" ht="15" customHeight="1">
      <c r="A231" s="66" t="s">
        <v>2392</v>
      </c>
      <c r="B231" s="66" t="s">
        <v>2390</v>
      </c>
      <c r="C231" s="66" t="s">
        <v>2393</v>
      </c>
      <c r="D231" s="66" t="s">
        <v>2759</v>
      </c>
      <c r="E231" s="67" t="s">
        <v>2585</v>
      </c>
      <c r="F231" s="67" t="s">
        <v>2747</v>
      </c>
      <c r="G231" s="66" t="s">
        <v>2394</v>
      </c>
    </row>
    <row r="232" spans="1:7" ht="15" customHeight="1">
      <c r="A232" s="92" t="s">
        <v>2623</v>
      </c>
      <c r="B232" s="92"/>
      <c r="C232" s="92"/>
      <c r="D232" s="92"/>
      <c r="E232" s="93"/>
      <c r="F232" s="92"/>
      <c r="G232" s="92"/>
    </row>
    <row r="233" spans="1:7" ht="15" customHeight="1">
      <c r="A233" s="66" t="s">
        <v>2413</v>
      </c>
      <c r="B233" s="66" t="s">
        <v>2407</v>
      </c>
      <c r="C233" s="66" t="s">
        <v>2414</v>
      </c>
      <c r="D233" s="66" t="s">
        <v>2759</v>
      </c>
      <c r="E233" s="67" t="s">
        <v>2760</v>
      </c>
      <c r="F233" s="67" t="s">
        <v>2747</v>
      </c>
      <c r="G233" s="66" t="s">
        <v>2416</v>
      </c>
    </row>
    <row r="234" spans="1:7" ht="15" customHeight="1">
      <c r="A234" s="92" t="s">
        <v>2624</v>
      </c>
      <c r="B234" s="92"/>
      <c r="C234" s="92"/>
      <c r="D234" s="92"/>
      <c r="E234" s="93"/>
      <c r="F234" s="92"/>
      <c r="G234" s="92"/>
    </row>
    <row r="235" spans="1:7" ht="15" customHeight="1">
      <c r="A235" s="66" t="s">
        <v>2541</v>
      </c>
      <c r="B235" s="66" t="s">
        <v>2542</v>
      </c>
      <c r="C235" s="66" t="s">
        <v>2543</v>
      </c>
      <c r="D235" s="66" t="s">
        <v>2759</v>
      </c>
      <c r="E235" s="67" t="s">
        <v>2585</v>
      </c>
      <c r="F235" s="67" t="s">
        <v>2747</v>
      </c>
      <c r="G235" s="66" t="s">
        <v>2323</v>
      </c>
    </row>
    <row r="236" spans="1:7" ht="15" customHeight="1">
      <c r="A236" s="66" t="s">
        <v>2421</v>
      </c>
      <c r="B236" s="66" t="s">
        <v>2422</v>
      </c>
      <c r="C236" s="66" t="s">
        <v>2423</v>
      </c>
      <c r="D236" s="66" t="s">
        <v>2759</v>
      </c>
      <c r="E236" s="67" t="s">
        <v>2424</v>
      </c>
      <c r="F236" s="67" t="s">
        <v>2747</v>
      </c>
      <c r="G236" s="66" t="s">
        <v>2425</v>
      </c>
    </row>
    <row r="237" spans="1:7" ht="15" customHeight="1">
      <c r="A237" s="92" t="s">
        <v>2626</v>
      </c>
      <c r="B237" s="92"/>
      <c r="C237" s="92"/>
      <c r="D237" s="92"/>
      <c r="E237" s="93"/>
      <c r="F237" s="92"/>
      <c r="G237" s="92"/>
    </row>
    <row r="238" spans="1:7" ht="15" customHeight="1">
      <c r="A238" s="66" t="s">
        <v>2578</v>
      </c>
      <c r="B238" s="66" t="s">
        <v>2579</v>
      </c>
      <c r="C238" s="66" t="s">
        <v>2543</v>
      </c>
      <c r="D238" s="66" t="s">
        <v>2759</v>
      </c>
      <c r="E238" s="67" t="s">
        <v>2585</v>
      </c>
      <c r="F238" s="67" t="s">
        <v>2747</v>
      </c>
      <c r="G238" s="66" t="s">
        <v>2580</v>
      </c>
    </row>
    <row r="239" spans="1:7" ht="15" customHeight="1">
      <c r="A239" s="66" t="s">
        <v>2599</v>
      </c>
      <c r="B239" s="66" t="s">
        <v>2435</v>
      </c>
      <c r="C239" s="66" t="s">
        <v>2585</v>
      </c>
      <c r="D239" s="66" t="s">
        <v>2759</v>
      </c>
      <c r="E239" s="67" t="s">
        <v>2585</v>
      </c>
      <c r="F239" s="67" t="s">
        <v>2747</v>
      </c>
      <c r="G239" s="66" t="s">
        <v>2375</v>
      </c>
    </row>
    <row r="240" spans="1:7" ht="15" customHeight="1">
      <c r="A240" s="92" t="s">
        <v>2627</v>
      </c>
      <c r="B240" s="92"/>
      <c r="C240" s="92"/>
      <c r="D240" s="92"/>
      <c r="E240" s="93"/>
      <c r="F240" s="92"/>
      <c r="G240" s="92"/>
    </row>
    <row r="241" spans="1:7" ht="15" customHeight="1">
      <c r="A241" s="66" t="s">
        <v>2377</v>
      </c>
      <c r="B241" s="66" t="s">
        <v>2378</v>
      </c>
      <c r="C241" s="66" t="s">
        <v>1622</v>
      </c>
      <c r="D241" s="66" t="s">
        <v>2761</v>
      </c>
      <c r="E241" s="67" t="s">
        <v>120</v>
      </c>
      <c r="F241" s="67" t="s">
        <v>2747</v>
      </c>
      <c r="G241" s="66" t="s">
        <v>2380</v>
      </c>
    </row>
    <row r="242" spans="1:7" ht="15" customHeight="1">
      <c r="A242" s="66" t="s">
        <v>2381</v>
      </c>
      <c r="B242" s="66"/>
      <c r="C242" s="66" t="s">
        <v>1396</v>
      </c>
      <c r="D242" s="66" t="s">
        <v>2761</v>
      </c>
      <c r="E242" s="67" t="s">
        <v>1396</v>
      </c>
      <c r="F242" s="67" t="s">
        <v>2747</v>
      </c>
      <c r="G242" s="66" t="s">
        <v>2323</v>
      </c>
    </row>
    <row r="243" spans="1:7" ht="15" customHeight="1">
      <c r="A243" s="66" t="s">
        <v>2382</v>
      </c>
      <c r="B243" s="66"/>
      <c r="C243" s="66" t="s">
        <v>2383</v>
      </c>
      <c r="D243" s="66" t="s">
        <v>2761</v>
      </c>
      <c r="E243" s="67" t="s">
        <v>2383</v>
      </c>
      <c r="F243" s="67" t="s">
        <v>2747</v>
      </c>
      <c r="G243" s="66" t="s">
        <v>2323</v>
      </c>
    </row>
    <row r="244" spans="1:7" ht="15" customHeight="1">
      <c r="A244" s="66" t="s">
        <v>2441</v>
      </c>
      <c r="B244" s="66" t="s">
        <v>2316</v>
      </c>
      <c r="C244" s="66" t="s">
        <v>120</v>
      </c>
      <c r="D244" s="66" t="s">
        <v>2761</v>
      </c>
      <c r="E244" s="67" t="s">
        <v>120</v>
      </c>
      <c r="F244" s="67" t="s">
        <v>2747</v>
      </c>
      <c r="G244" s="66" t="s">
        <v>2323</v>
      </c>
    </row>
    <row r="245" spans="1:7" ht="15" customHeight="1">
      <c r="A245" s="66" t="s">
        <v>2442</v>
      </c>
      <c r="B245" s="66" t="s">
        <v>2326</v>
      </c>
      <c r="C245" s="66" t="s">
        <v>120</v>
      </c>
      <c r="D245" s="66" t="s">
        <v>2761</v>
      </c>
      <c r="E245" s="67" t="s">
        <v>120</v>
      </c>
      <c r="F245" s="67" t="s">
        <v>2747</v>
      </c>
      <c r="G245" s="66" t="s">
        <v>2443</v>
      </c>
    </row>
    <row r="246" spans="1:7" ht="15" customHeight="1">
      <c r="A246" s="66" t="s">
        <v>2444</v>
      </c>
      <c r="B246" s="66"/>
      <c r="C246" s="66" t="s">
        <v>120</v>
      </c>
      <c r="D246" s="66" t="s">
        <v>2761</v>
      </c>
      <c r="E246" s="67" t="s">
        <v>120</v>
      </c>
      <c r="F246" s="67" t="s">
        <v>2747</v>
      </c>
      <c r="G246" s="66" t="s">
        <v>2323</v>
      </c>
    </row>
    <row r="247" spans="1:7" ht="15" customHeight="1">
      <c r="A247" s="92" t="s">
        <v>2629</v>
      </c>
      <c r="B247" s="92"/>
      <c r="C247" s="92"/>
      <c r="D247" s="92"/>
      <c r="E247" s="93"/>
      <c r="F247" s="92"/>
      <c r="G247" s="92"/>
    </row>
    <row r="248" spans="1:7" ht="15" customHeight="1">
      <c r="A248" s="66" t="s">
        <v>2446</v>
      </c>
      <c r="B248" s="66" t="s">
        <v>2334</v>
      </c>
      <c r="C248" s="66" t="s">
        <v>120</v>
      </c>
      <c r="D248" s="66" t="s">
        <v>2761</v>
      </c>
      <c r="E248" s="67" t="s">
        <v>120</v>
      </c>
      <c r="F248" s="67" t="s">
        <v>2747</v>
      </c>
      <c r="G248" s="66" t="s">
        <v>2323</v>
      </c>
    </row>
    <row r="249" spans="1:7" ht="15" customHeight="1">
      <c r="A249" s="66" t="s">
        <v>2447</v>
      </c>
      <c r="B249" s="66" t="s">
        <v>2448</v>
      </c>
      <c r="C249" s="66" t="s">
        <v>120</v>
      </c>
      <c r="D249" s="66" t="s">
        <v>2761</v>
      </c>
      <c r="E249" s="67" t="s">
        <v>120</v>
      </c>
      <c r="F249" s="67" t="s">
        <v>2747</v>
      </c>
      <c r="G249" s="66" t="s">
        <v>2449</v>
      </c>
    </row>
    <row r="250" spans="1:7" ht="15" customHeight="1">
      <c r="A250" s="66" t="s">
        <v>2450</v>
      </c>
      <c r="B250" s="66" t="s">
        <v>2448</v>
      </c>
      <c r="C250" s="66" t="s">
        <v>120</v>
      </c>
      <c r="D250" s="66" t="s">
        <v>2761</v>
      </c>
      <c r="E250" s="67" t="s">
        <v>120</v>
      </c>
      <c r="F250" s="67" t="s">
        <v>2747</v>
      </c>
      <c r="G250" s="66" t="s">
        <v>2323</v>
      </c>
    </row>
    <row r="251" spans="1:7" ht="15" customHeight="1">
      <c r="A251" s="66" t="s">
        <v>2328</v>
      </c>
      <c r="B251" s="66"/>
      <c r="C251" s="66" t="s">
        <v>2329</v>
      </c>
      <c r="D251" s="66" t="s">
        <v>2761</v>
      </c>
      <c r="E251" s="67" t="s">
        <v>2451</v>
      </c>
      <c r="F251" s="67" t="s">
        <v>2747</v>
      </c>
      <c r="G251" s="66" t="s">
        <v>2331</v>
      </c>
    </row>
    <row r="252" spans="1:7" ht="15" customHeight="1">
      <c r="A252" s="66" t="s">
        <v>2452</v>
      </c>
      <c r="B252" s="66" t="s">
        <v>2453</v>
      </c>
      <c r="C252" s="66" t="s">
        <v>120</v>
      </c>
      <c r="D252" s="66" t="s">
        <v>2761</v>
      </c>
      <c r="E252" s="67" t="s">
        <v>120</v>
      </c>
      <c r="F252" s="67" t="s">
        <v>2747</v>
      </c>
      <c r="G252" s="66" t="s">
        <v>2454</v>
      </c>
    </row>
    <row r="253" spans="1:7" ht="15" customHeight="1">
      <c r="A253" s="92" t="s">
        <v>2630</v>
      </c>
      <c r="B253" s="92"/>
      <c r="C253" s="92"/>
      <c r="D253" s="92"/>
      <c r="E253" s="93"/>
      <c r="F253" s="92"/>
      <c r="G253" s="92"/>
    </row>
    <row r="254" spans="1:7" ht="15" customHeight="1">
      <c r="A254" s="66" t="s">
        <v>2456</v>
      </c>
      <c r="B254" s="66" t="s">
        <v>2457</v>
      </c>
      <c r="C254" s="66" t="s">
        <v>120</v>
      </c>
      <c r="D254" s="66" t="s">
        <v>2761</v>
      </c>
      <c r="E254" s="67" t="s">
        <v>120</v>
      </c>
      <c r="F254" s="67" t="s">
        <v>2747</v>
      </c>
      <c r="G254" s="66" t="s">
        <v>2323</v>
      </c>
    </row>
    <row r="255" spans="1:7" ht="15" customHeight="1">
      <c r="A255" s="66" t="s">
        <v>2458</v>
      </c>
      <c r="B255" s="66" t="s">
        <v>2457</v>
      </c>
      <c r="C255" s="66" t="s">
        <v>2459</v>
      </c>
      <c r="D255" s="66" t="s">
        <v>2761</v>
      </c>
      <c r="E255" s="67" t="s">
        <v>120</v>
      </c>
      <c r="F255" s="67" t="s">
        <v>2747</v>
      </c>
      <c r="G255" s="66" t="s">
        <v>2323</v>
      </c>
    </row>
    <row r="256" spans="1:7" ht="15" customHeight="1">
      <c r="A256" s="66" t="s">
        <v>2460</v>
      </c>
      <c r="B256" s="66" t="s">
        <v>2457</v>
      </c>
      <c r="C256" s="66" t="s">
        <v>2461</v>
      </c>
      <c r="D256" s="66" t="s">
        <v>2761</v>
      </c>
      <c r="E256" s="67" t="s">
        <v>120</v>
      </c>
      <c r="F256" s="67" t="s">
        <v>2747</v>
      </c>
      <c r="G256" s="66" t="s">
        <v>2462</v>
      </c>
    </row>
    <row r="257" spans="1:7" ht="15" customHeight="1">
      <c r="A257" s="66" t="s">
        <v>2463</v>
      </c>
      <c r="B257" s="66" t="s">
        <v>2457</v>
      </c>
      <c r="C257" s="66" t="s">
        <v>120</v>
      </c>
      <c r="D257" s="66" t="s">
        <v>2761</v>
      </c>
      <c r="E257" s="67" t="s">
        <v>120</v>
      </c>
      <c r="F257" s="67" t="s">
        <v>2747</v>
      </c>
      <c r="G257" s="66" t="s">
        <v>2323</v>
      </c>
    </row>
    <row r="258" spans="1:7" ht="15" customHeight="1">
      <c r="A258" s="92" t="s">
        <v>2631</v>
      </c>
      <c r="B258" s="92"/>
      <c r="C258" s="92"/>
      <c r="D258" s="92"/>
      <c r="E258" s="93"/>
      <c r="F258" s="92"/>
      <c r="G258" s="92"/>
    </row>
    <row r="259" spans="1:7" ht="15" customHeight="1">
      <c r="A259" s="66" t="s">
        <v>2465</v>
      </c>
      <c r="B259" s="66" t="s">
        <v>2466</v>
      </c>
      <c r="C259" s="66" t="s">
        <v>2467</v>
      </c>
      <c r="D259" s="66" t="s">
        <v>2761</v>
      </c>
      <c r="E259" s="67" t="s">
        <v>120</v>
      </c>
      <c r="F259" s="67" t="s">
        <v>2747</v>
      </c>
      <c r="G259" s="66" t="s">
        <v>2323</v>
      </c>
    </row>
    <row r="260" spans="1:7" ht="15" customHeight="1">
      <c r="A260" s="66" t="s">
        <v>2468</v>
      </c>
      <c r="B260" s="66" t="s">
        <v>2390</v>
      </c>
      <c r="C260" s="66" t="s">
        <v>120</v>
      </c>
      <c r="D260" s="66" t="s">
        <v>2761</v>
      </c>
      <c r="E260" s="67" t="s">
        <v>120</v>
      </c>
      <c r="F260" s="67" t="s">
        <v>2747</v>
      </c>
      <c r="G260" s="66" t="s">
        <v>2323</v>
      </c>
    </row>
    <row r="261" spans="1:7" ht="15" customHeight="1">
      <c r="A261" s="66" t="s">
        <v>2469</v>
      </c>
      <c r="B261" s="66" t="s">
        <v>2466</v>
      </c>
      <c r="C261" s="66" t="s">
        <v>2470</v>
      </c>
      <c r="D261" s="66" t="s">
        <v>2761</v>
      </c>
      <c r="E261" s="67" t="s">
        <v>120</v>
      </c>
      <c r="F261" s="67" t="s">
        <v>2747</v>
      </c>
      <c r="G261" s="66" t="s">
        <v>2323</v>
      </c>
    </row>
    <row r="262" spans="1:7" ht="15" customHeight="1">
      <c r="A262" s="66" t="s">
        <v>2392</v>
      </c>
      <c r="B262" s="66" t="s">
        <v>2390</v>
      </c>
      <c r="C262" s="66" t="s">
        <v>2393</v>
      </c>
      <c r="D262" s="66" t="s">
        <v>2761</v>
      </c>
      <c r="E262" s="67" t="s">
        <v>120</v>
      </c>
      <c r="F262" s="67" t="s">
        <v>2747</v>
      </c>
      <c r="G262" s="66" t="s">
        <v>2394</v>
      </c>
    </row>
    <row r="263" spans="1:7" ht="15" customHeight="1">
      <c r="A263" s="66" t="s">
        <v>2471</v>
      </c>
      <c r="B263" s="66" t="s">
        <v>2472</v>
      </c>
      <c r="C263" s="66" t="s">
        <v>120</v>
      </c>
      <c r="D263" s="66" t="s">
        <v>2761</v>
      </c>
      <c r="E263" s="67" t="s">
        <v>120</v>
      </c>
      <c r="F263" s="67" t="s">
        <v>2747</v>
      </c>
      <c r="G263" s="66" t="s">
        <v>2473</v>
      </c>
    </row>
    <row r="264" spans="1:7" ht="15" customHeight="1">
      <c r="A264" s="66" t="s">
        <v>2474</v>
      </c>
      <c r="B264" s="66" t="s">
        <v>2472</v>
      </c>
      <c r="C264" s="66" t="s">
        <v>120</v>
      </c>
      <c r="D264" s="66" t="s">
        <v>2761</v>
      </c>
      <c r="E264" s="67" t="s">
        <v>120</v>
      </c>
      <c r="F264" s="67" t="s">
        <v>2747</v>
      </c>
      <c r="G264" s="66" t="s">
        <v>2323</v>
      </c>
    </row>
    <row r="265" spans="1:7" ht="15" customHeight="1">
      <c r="A265" s="92" t="s">
        <v>2632</v>
      </c>
      <c r="B265" s="92"/>
      <c r="C265" s="92"/>
      <c r="D265" s="92"/>
      <c r="E265" s="93"/>
      <c r="F265" s="92"/>
      <c r="G265" s="92"/>
    </row>
    <row r="266" spans="1:7" ht="15" customHeight="1">
      <c r="A266" s="66" t="s">
        <v>2476</v>
      </c>
      <c r="B266" s="66" t="s">
        <v>2477</v>
      </c>
      <c r="C266" s="66" t="s">
        <v>120</v>
      </c>
      <c r="D266" s="66" t="s">
        <v>2761</v>
      </c>
      <c r="E266" s="67" t="s">
        <v>120</v>
      </c>
      <c r="F266" s="67" t="s">
        <v>2747</v>
      </c>
      <c r="G266" s="66" t="s">
        <v>2478</v>
      </c>
    </row>
    <row r="267" spans="1:7" ht="15" customHeight="1">
      <c r="A267" s="66" t="s">
        <v>2333</v>
      </c>
      <c r="B267" s="66" t="s">
        <v>2334</v>
      </c>
      <c r="C267" s="66" t="s">
        <v>2335</v>
      </c>
      <c r="D267" s="66" t="s">
        <v>2761</v>
      </c>
      <c r="E267" s="67" t="s">
        <v>2451</v>
      </c>
      <c r="F267" s="67" t="s">
        <v>2747</v>
      </c>
      <c r="G267" s="66" t="s">
        <v>2323</v>
      </c>
    </row>
    <row r="268" spans="1:7" ht="15" customHeight="1">
      <c r="A268" s="66" t="s">
        <v>2336</v>
      </c>
      <c r="B268" s="66" t="s">
        <v>2334</v>
      </c>
      <c r="C268" s="66" t="s">
        <v>2329</v>
      </c>
      <c r="D268" s="66" t="s">
        <v>2761</v>
      </c>
      <c r="E268" s="67" t="s">
        <v>2451</v>
      </c>
      <c r="F268" s="67" t="s">
        <v>2747</v>
      </c>
      <c r="G268" s="66" t="s">
        <v>2323</v>
      </c>
    </row>
    <row r="269" spans="1:7" ht="15" customHeight="1">
      <c r="A269" s="66" t="s">
        <v>2337</v>
      </c>
      <c r="B269" s="66" t="s">
        <v>2334</v>
      </c>
      <c r="C269" s="66" t="s">
        <v>2329</v>
      </c>
      <c r="D269" s="66" t="s">
        <v>2761</v>
      </c>
      <c r="E269" s="67" t="s">
        <v>2451</v>
      </c>
      <c r="F269" s="67" t="s">
        <v>2747</v>
      </c>
      <c r="G269" s="66" t="s">
        <v>2323</v>
      </c>
    </row>
    <row r="270" spans="1:7" ht="15" customHeight="1">
      <c r="A270" s="66" t="s">
        <v>2338</v>
      </c>
      <c r="B270" s="66" t="s">
        <v>2339</v>
      </c>
      <c r="C270" s="66" t="s">
        <v>2329</v>
      </c>
      <c r="D270" s="66" t="s">
        <v>2761</v>
      </c>
      <c r="E270" s="67" t="s">
        <v>2451</v>
      </c>
      <c r="F270" s="67" t="s">
        <v>2747</v>
      </c>
      <c r="G270" s="66" t="s">
        <v>2323</v>
      </c>
    </row>
    <row r="271" spans="1:7" ht="15" customHeight="1">
      <c r="A271" s="66" t="s">
        <v>2340</v>
      </c>
      <c r="B271" s="66"/>
      <c r="C271" s="66" t="s">
        <v>2329</v>
      </c>
      <c r="D271" s="66" t="s">
        <v>2761</v>
      </c>
      <c r="E271" s="67" t="s">
        <v>2451</v>
      </c>
      <c r="F271" s="67" t="s">
        <v>2747</v>
      </c>
      <c r="G271" s="66" t="s">
        <v>2323</v>
      </c>
    </row>
    <row r="272" spans="1:7" ht="15" customHeight="1">
      <c r="A272" s="66" t="s">
        <v>2341</v>
      </c>
      <c r="B272" s="66"/>
      <c r="C272" s="66" t="s">
        <v>2329</v>
      </c>
      <c r="D272" s="66" t="s">
        <v>2761</v>
      </c>
      <c r="E272" s="67" t="s">
        <v>2451</v>
      </c>
      <c r="F272" s="67" t="s">
        <v>2747</v>
      </c>
      <c r="G272" s="66" t="s">
        <v>2323</v>
      </c>
    </row>
    <row r="273" spans="1:7" ht="15" customHeight="1">
      <c r="A273" s="66" t="s">
        <v>2342</v>
      </c>
      <c r="B273" s="66"/>
      <c r="C273" s="66" t="s">
        <v>2329</v>
      </c>
      <c r="D273" s="66" t="s">
        <v>2761</v>
      </c>
      <c r="E273" s="67" t="s">
        <v>2451</v>
      </c>
      <c r="F273" s="67" t="s">
        <v>2747</v>
      </c>
      <c r="G273" s="66" t="s">
        <v>2323</v>
      </c>
    </row>
    <row r="274" spans="1:7" ht="15" customHeight="1">
      <c r="A274" s="92" t="s">
        <v>2633</v>
      </c>
      <c r="B274" s="92"/>
      <c r="C274" s="92"/>
      <c r="D274" s="92"/>
      <c r="E274" s="93"/>
      <c r="F274" s="92"/>
      <c r="G274" s="92"/>
    </row>
    <row r="275" spans="1:7" ht="15" customHeight="1">
      <c r="A275" s="66" t="s">
        <v>2480</v>
      </c>
      <c r="B275" s="66" t="s">
        <v>2481</v>
      </c>
      <c r="C275" s="66" t="s">
        <v>120</v>
      </c>
      <c r="D275" s="66" t="s">
        <v>2761</v>
      </c>
      <c r="E275" s="67" t="s">
        <v>120</v>
      </c>
      <c r="F275" s="67" t="s">
        <v>2747</v>
      </c>
      <c r="G275" s="66" t="s">
        <v>2323</v>
      </c>
    </row>
    <row r="276" spans="1:7" ht="15" customHeight="1">
      <c r="A276" s="66" t="s">
        <v>2482</v>
      </c>
      <c r="B276" s="66" t="s">
        <v>2483</v>
      </c>
      <c r="C276" s="66" t="s">
        <v>120</v>
      </c>
      <c r="D276" s="66" t="s">
        <v>2761</v>
      </c>
      <c r="E276" s="67" t="s">
        <v>120</v>
      </c>
      <c r="F276" s="67" t="s">
        <v>2747</v>
      </c>
      <c r="G276" s="66" t="s">
        <v>2323</v>
      </c>
    </row>
    <row r="277" spans="1:7" ht="15" customHeight="1">
      <c r="A277" s="66" t="s">
        <v>2484</v>
      </c>
      <c r="B277" s="66" t="s">
        <v>2483</v>
      </c>
      <c r="C277" s="66" t="s">
        <v>2485</v>
      </c>
      <c r="D277" s="66" t="s">
        <v>2761</v>
      </c>
      <c r="E277" s="67" t="s">
        <v>120</v>
      </c>
      <c r="F277" s="67" t="s">
        <v>2747</v>
      </c>
      <c r="G277" s="66" t="s">
        <v>2486</v>
      </c>
    </row>
    <row r="278" spans="1:7" ht="15" customHeight="1">
      <c r="A278" s="66" t="s">
        <v>2487</v>
      </c>
      <c r="B278" s="66" t="s">
        <v>2488</v>
      </c>
      <c r="C278" s="66" t="s">
        <v>120</v>
      </c>
      <c r="D278" s="66" t="s">
        <v>2761</v>
      </c>
      <c r="E278" s="67" t="s">
        <v>120</v>
      </c>
      <c r="F278" s="67" t="s">
        <v>2747</v>
      </c>
      <c r="G278" s="66" t="s">
        <v>2323</v>
      </c>
    </row>
    <row r="279" spans="1:7" ht="15" customHeight="1">
      <c r="A279" s="66" t="s">
        <v>2344</v>
      </c>
      <c r="B279" s="66"/>
      <c r="C279" s="66" t="s">
        <v>2345</v>
      </c>
      <c r="D279" s="66" t="s">
        <v>2761</v>
      </c>
      <c r="E279" s="67" t="s">
        <v>120</v>
      </c>
      <c r="F279" s="67" t="s">
        <v>2747</v>
      </c>
      <c r="G279" s="66" t="s">
        <v>2323</v>
      </c>
    </row>
    <row r="280" spans="1:7" ht="15" customHeight="1">
      <c r="A280" s="66" t="s">
        <v>2347</v>
      </c>
      <c r="B280" s="66"/>
      <c r="C280" s="66" t="s">
        <v>2329</v>
      </c>
      <c r="D280" s="66" t="s">
        <v>2761</v>
      </c>
      <c r="E280" s="67" t="s">
        <v>2451</v>
      </c>
      <c r="F280" s="67" t="s">
        <v>2747</v>
      </c>
      <c r="G280" s="66" t="s">
        <v>2323</v>
      </c>
    </row>
    <row r="281" spans="1:7" ht="15" customHeight="1">
      <c r="A281" s="66" t="s">
        <v>2348</v>
      </c>
      <c r="B281" s="66"/>
      <c r="C281" s="66" t="s">
        <v>2329</v>
      </c>
      <c r="D281" s="66" t="s">
        <v>2761</v>
      </c>
      <c r="E281" s="67" t="s">
        <v>2451</v>
      </c>
      <c r="F281" s="67" t="s">
        <v>2747</v>
      </c>
      <c r="G281" s="66" t="s">
        <v>2323</v>
      </c>
    </row>
    <row r="282" spans="1:7" ht="15" customHeight="1">
      <c r="A282" s="66" t="s">
        <v>2489</v>
      </c>
      <c r="B282" s="66" t="s">
        <v>2483</v>
      </c>
      <c r="C282" s="66" t="s">
        <v>2490</v>
      </c>
      <c r="D282" s="66" t="s">
        <v>2761</v>
      </c>
      <c r="E282" s="67" t="s">
        <v>2490</v>
      </c>
      <c r="F282" s="67" t="s">
        <v>2747</v>
      </c>
      <c r="G282" s="66" t="s">
        <v>2323</v>
      </c>
    </row>
    <row r="283" spans="1:7" ht="15" customHeight="1">
      <c r="A283" s="66" t="s">
        <v>2491</v>
      </c>
      <c r="B283" s="66" t="s">
        <v>2488</v>
      </c>
      <c r="C283" s="66" t="s">
        <v>120</v>
      </c>
      <c r="D283" s="66" t="s">
        <v>2761</v>
      </c>
      <c r="E283" s="67" t="s">
        <v>120</v>
      </c>
      <c r="F283" s="67" t="s">
        <v>2747</v>
      </c>
      <c r="G283" s="66" t="s">
        <v>2323</v>
      </c>
    </row>
    <row r="284" spans="1:7" ht="15" customHeight="1">
      <c r="A284" s="92" t="s">
        <v>2635</v>
      </c>
      <c r="B284" s="92"/>
      <c r="C284" s="92"/>
      <c r="D284" s="92"/>
      <c r="E284" s="93"/>
      <c r="F284" s="92"/>
      <c r="G284" s="92"/>
    </row>
    <row r="285" spans="1:7" ht="15" customHeight="1">
      <c r="A285" s="66" t="s">
        <v>2493</v>
      </c>
      <c r="B285" s="66"/>
      <c r="C285" s="66" t="s">
        <v>2490</v>
      </c>
      <c r="D285" s="66" t="s">
        <v>2761</v>
      </c>
      <c r="E285" s="67" t="s">
        <v>2490</v>
      </c>
      <c r="F285" s="67" t="s">
        <v>2747</v>
      </c>
      <c r="G285" s="66" t="s">
        <v>2323</v>
      </c>
    </row>
    <row r="286" spans="1:7" ht="15" customHeight="1">
      <c r="A286" s="66" t="s">
        <v>2494</v>
      </c>
      <c r="B286" s="66"/>
      <c r="C286" s="66" t="s">
        <v>2490</v>
      </c>
      <c r="D286" s="66" t="s">
        <v>2761</v>
      </c>
      <c r="E286" s="67" t="s">
        <v>2490</v>
      </c>
      <c r="F286" s="67" t="s">
        <v>2747</v>
      </c>
      <c r="G286" s="66" t="s">
        <v>2323</v>
      </c>
    </row>
    <row r="287" spans="1:7" ht="15" customHeight="1">
      <c r="A287" s="66" t="s">
        <v>2400</v>
      </c>
      <c r="B287" s="66"/>
      <c r="C287" s="66" t="s">
        <v>2401</v>
      </c>
      <c r="D287" s="66" t="s">
        <v>2761</v>
      </c>
      <c r="E287" s="67" t="s">
        <v>2490</v>
      </c>
      <c r="F287" s="67" t="s">
        <v>2747</v>
      </c>
      <c r="G287" s="66" t="s">
        <v>2323</v>
      </c>
    </row>
    <row r="288" spans="1:7" ht="15" customHeight="1">
      <c r="A288" s="66" t="s">
        <v>2495</v>
      </c>
      <c r="B288" s="66" t="s">
        <v>2483</v>
      </c>
      <c r="C288" s="66" t="s">
        <v>120</v>
      </c>
      <c r="D288" s="66" t="s">
        <v>2761</v>
      </c>
      <c r="E288" s="67" t="s">
        <v>120</v>
      </c>
      <c r="F288" s="67" t="s">
        <v>2747</v>
      </c>
      <c r="G288" s="66" t="s">
        <v>2323</v>
      </c>
    </row>
    <row r="289" spans="1:7" ht="15" customHeight="1">
      <c r="A289" s="66" t="s">
        <v>2496</v>
      </c>
      <c r="B289" s="66" t="s">
        <v>2483</v>
      </c>
      <c r="C289" s="66" t="s">
        <v>120</v>
      </c>
      <c r="D289" s="66" t="s">
        <v>2761</v>
      </c>
      <c r="E289" s="67" t="s">
        <v>120</v>
      </c>
      <c r="F289" s="67" t="s">
        <v>2747</v>
      </c>
      <c r="G289" s="66" t="s">
        <v>2323</v>
      </c>
    </row>
    <row r="290" spans="1:7" ht="15" customHeight="1">
      <c r="A290" s="66" t="s">
        <v>2497</v>
      </c>
      <c r="B290" s="66" t="s">
        <v>2339</v>
      </c>
      <c r="C290" s="66" t="s">
        <v>120</v>
      </c>
      <c r="D290" s="66" t="s">
        <v>2761</v>
      </c>
      <c r="E290" s="67" t="s">
        <v>120</v>
      </c>
      <c r="F290" s="67" t="s">
        <v>2747</v>
      </c>
      <c r="G290" s="66" t="s">
        <v>2323</v>
      </c>
    </row>
    <row r="291" spans="1:7" ht="15" customHeight="1">
      <c r="A291" s="66" t="s">
        <v>2498</v>
      </c>
      <c r="B291" s="66" t="s">
        <v>2499</v>
      </c>
      <c r="C291" s="66" t="s">
        <v>2490</v>
      </c>
      <c r="D291" s="66" t="s">
        <v>2761</v>
      </c>
      <c r="E291" s="67" t="s">
        <v>2490</v>
      </c>
      <c r="F291" s="67" t="s">
        <v>2747</v>
      </c>
      <c r="G291" s="66" t="s">
        <v>2323</v>
      </c>
    </row>
    <row r="292" spans="1:7" ht="15" customHeight="1">
      <c r="A292" s="66" t="s">
        <v>2500</v>
      </c>
      <c r="B292" s="66" t="s">
        <v>2499</v>
      </c>
      <c r="C292" s="66" t="s">
        <v>2490</v>
      </c>
      <c r="D292" s="66" t="s">
        <v>2761</v>
      </c>
      <c r="E292" s="67" t="s">
        <v>2490</v>
      </c>
      <c r="F292" s="67" t="s">
        <v>2747</v>
      </c>
      <c r="G292" s="66" t="s">
        <v>2323</v>
      </c>
    </row>
    <row r="293" spans="1:7" ht="15" customHeight="1">
      <c r="A293" s="66" t="s">
        <v>2350</v>
      </c>
      <c r="B293" s="66"/>
      <c r="C293" s="66" t="s">
        <v>2329</v>
      </c>
      <c r="D293" s="66" t="s">
        <v>2761</v>
      </c>
      <c r="E293" s="67" t="s">
        <v>2451</v>
      </c>
      <c r="F293" s="67" t="s">
        <v>2747</v>
      </c>
      <c r="G293" s="66" t="s">
        <v>2323</v>
      </c>
    </row>
    <row r="294" spans="1:7" ht="15" customHeight="1">
      <c r="A294" s="66" t="s">
        <v>2501</v>
      </c>
      <c r="B294" s="66" t="s">
        <v>2499</v>
      </c>
      <c r="C294" s="66" t="s">
        <v>120</v>
      </c>
      <c r="D294" s="66" t="s">
        <v>2761</v>
      </c>
      <c r="E294" s="67" t="s">
        <v>120</v>
      </c>
      <c r="F294" s="67" t="s">
        <v>2747</v>
      </c>
      <c r="G294" s="66" t="s">
        <v>2502</v>
      </c>
    </row>
    <row r="295" spans="1:7" ht="15" customHeight="1">
      <c r="A295" s="92" t="s">
        <v>2636</v>
      </c>
      <c r="B295" s="92"/>
      <c r="C295" s="92"/>
      <c r="D295" s="92"/>
      <c r="E295" s="93"/>
      <c r="F295" s="92"/>
      <c r="G295" s="92"/>
    </row>
    <row r="296" spans="1:7" ht="15" customHeight="1">
      <c r="A296" s="66" t="s">
        <v>2504</v>
      </c>
      <c r="B296" s="66" t="s">
        <v>2505</v>
      </c>
      <c r="C296" s="66" t="s">
        <v>120</v>
      </c>
      <c r="D296" s="66" t="s">
        <v>2761</v>
      </c>
      <c r="E296" s="67" t="s">
        <v>120</v>
      </c>
      <c r="F296" s="67" t="s">
        <v>2747</v>
      </c>
      <c r="G296" s="66" t="s">
        <v>2323</v>
      </c>
    </row>
    <row r="297" spans="1:7" ht="15" customHeight="1">
      <c r="A297" s="66" t="s">
        <v>2506</v>
      </c>
      <c r="B297" s="66" t="s">
        <v>2435</v>
      </c>
      <c r="C297" s="66" t="s">
        <v>120</v>
      </c>
      <c r="D297" s="66" t="s">
        <v>2761</v>
      </c>
      <c r="E297" s="67" t="s">
        <v>120</v>
      </c>
      <c r="F297" s="67" t="s">
        <v>2747</v>
      </c>
      <c r="G297" s="66" t="s">
        <v>2323</v>
      </c>
    </row>
    <row r="298" spans="1:7" ht="15" customHeight="1">
      <c r="A298" s="66" t="s">
        <v>2507</v>
      </c>
      <c r="B298" s="66" t="s">
        <v>2435</v>
      </c>
      <c r="C298" s="66" t="s">
        <v>120</v>
      </c>
      <c r="D298" s="66" t="s">
        <v>2761</v>
      </c>
      <c r="E298" s="67" t="s">
        <v>120</v>
      </c>
      <c r="F298" s="67" t="s">
        <v>2747</v>
      </c>
      <c r="G298" s="66" t="s">
        <v>2323</v>
      </c>
    </row>
    <row r="299" spans="1:7" ht="15" customHeight="1">
      <c r="A299" s="92" t="s">
        <v>2637</v>
      </c>
      <c r="B299" s="92"/>
      <c r="C299" s="92"/>
      <c r="D299" s="92"/>
      <c r="E299" s="93"/>
      <c r="F299" s="92"/>
      <c r="G299" s="92"/>
    </row>
    <row r="300" spans="1:7" ht="15" customHeight="1">
      <c r="A300" s="66" t="s">
        <v>2509</v>
      </c>
      <c r="B300" s="66" t="s">
        <v>2353</v>
      </c>
      <c r="C300" s="66" t="s">
        <v>2490</v>
      </c>
      <c r="D300" s="66" t="s">
        <v>2761</v>
      </c>
      <c r="E300" s="67" t="s">
        <v>2490</v>
      </c>
      <c r="F300" s="67" t="s">
        <v>2747</v>
      </c>
      <c r="G300" s="66" t="s">
        <v>2510</v>
      </c>
    </row>
    <row r="301" spans="1:7" ht="15" customHeight="1">
      <c r="A301" s="66" t="s">
        <v>2511</v>
      </c>
      <c r="B301" s="66" t="s">
        <v>2407</v>
      </c>
      <c r="C301" s="66" t="s">
        <v>120</v>
      </c>
      <c r="D301" s="66" t="s">
        <v>2761</v>
      </c>
      <c r="E301" s="67" t="s">
        <v>120</v>
      </c>
      <c r="F301" s="67" t="s">
        <v>2747</v>
      </c>
      <c r="G301" s="66" t="s">
        <v>2512</v>
      </c>
    </row>
    <row r="302" spans="1:7" ht="15" customHeight="1">
      <c r="A302" s="66" t="s">
        <v>2513</v>
      </c>
      <c r="B302" s="66" t="s">
        <v>2404</v>
      </c>
      <c r="C302" s="66" t="s">
        <v>120</v>
      </c>
      <c r="D302" s="66" t="s">
        <v>2761</v>
      </c>
      <c r="E302" s="67" t="s">
        <v>120</v>
      </c>
      <c r="F302" s="67" t="s">
        <v>2747</v>
      </c>
      <c r="G302" s="66" t="s">
        <v>2514</v>
      </c>
    </row>
    <row r="303" spans="1:7" ht="15" customHeight="1">
      <c r="A303" s="66" t="s">
        <v>2515</v>
      </c>
      <c r="B303" s="66" t="s">
        <v>2516</v>
      </c>
      <c r="C303" s="66" t="s">
        <v>120</v>
      </c>
      <c r="D303" s="66" t="s">
        <v>2761</v>
      </c>
      <c r="E303" s="67" t="s">
        <v>120</v>
      </c>
      <c r="F303" s="67" t="s">
        <v>2747</v>
      </c>
      <c r="G303" s="66" t="s">
        <v>2517</v>
      </c>
    </row>
    <row r="304" spans="1:7" ht="15" customHeight="1">
      <c r="A304" s="66" t="s">
        <v>2358</v>
      </c>
      <c r="B304" s="66"/>
      <c r="C304" s="66" t="s">
        <v>2329</v>
      </c>
      <c r="D304" s="66" t="s">
        <v>2761</v>
      </c>
      <c r="E304" s="67" t="s">
        <v>2451</v>
      </c>
      <c r="F304" s="67" t="s">
        <v>2747</v>
      </c>
      <c r="G304" s="66" t="s">
        <v>2323</v>
      </c>
    </row>
    <row r="305" spans="1:7" ht="15" customHeight="1">
      <c r="A305" s="92" t="s">
        <v>2638</v>
      </c>
      <c r="B305" s="92"/>
      <c r="C305" s="92"/>
      <c r="D305" s="92"/>
      <c r="E305" s="93"/>
      <c r="F305" s="92"/>
      <c r="G305" s="92"/>
    </row>
    <row r="306" spans="1:7" ht="15" customHeight="1">
      <c r="A306" s="66" t="s">
        <v>2519</v>
      </c>
      <c r="B306" s="66" t="s">
        <v>2407</v>
      </c>
      <c r="C306" s="66" t="s">
        <v>120</v>
      </c>
      <c r="D306" s="66" t="s">
        <v>2761</v>
      </c>
      <c r="E306" s="67" t="s">
        <v>120</v>
      </c>
      <c r="F306" s="67" t="s">
        <v>2747</v>
      </c>
      <c r="G306" s="66" t="s">
        <v>2520</v>
      </c>
    </row>
    <row r="307" spans="1:7" ht="15" customHeight="1">
      <c r="A307" s="66" t="s">
        <v>2521</v>
      </c>
      <c r="B307" s="66" t="s">
        <v>2407</v>
      </c>
      <c r="C307" s="66" t="s">
        <v>120</v>
      </c>
      <c r="D307" s="66" t="s">
        <v>2761</v>
      </c>
      <c r="E307" s="67" t="s">
        <v>120</v>
      </c>
      <c r="F307" s="67" t="s">
        <v>2747</v>
      </c>
      <c r="G307" s="66" t="s">
        <v>2323</v>
      </c>
    </row>
    <row r="308" spans="1:7" ht="15" customHeight="1">
      <c r="A308" s="66" t="s">
        <v>2522</v>
      </c>
      <c r="B308" s="66" t="s">
        <v>2523</v>
      </c>
      <c r="C308" s="66" t="s">
        <v>120</v>
      </c>
      <c r="D308" s="66" t="s">
        <v>2761</v>
      </c>
      <c r="E308" s="67" t="s">
        <v>120</v>
      </c>
      <c r="F308" s="67" t="s">
        <v>2747</v>
      </c>
      <c r="G308" s="66" t="s">
        <v>2524</v>
      </c>
    </row>
    <row r="309" spans="1:7" ht="15" customHeight="1">
      <c r="A309" s="66" t="s">
        <v>2525</v>
      </c>
      <c r="B309" s="66" t="s">
        <v>2412</v>
      </c>
      <c r="C309" s="66" t="s">
        <v>120</v>
      </c>
      <c r="D309" s="66" t="s">
        <v>2761</v>
      </c>
      <c r="E309" s="67" t="s">
        <v>120</v>
      </c>
      <c r="F309" s="67" t="s">
        <v>2747</v>
      </c>
      <c r="G309" s="66" t="s">
        <v>2520</v>
      </c>
    </row>
    <row r="310" spans="1:7" ht="15" customHeight="1">
      <c r="A310" s="66" t="s">
        <v>2526</v>
      </c>
      <c r="B310" s="66" t="s">
        <v>2412</v>
      </c>
      <c r="C310" s="66" t="s">
        <v>120</v>
      </c>
      <c r="D310" s="66" t="s">
        <v>2761</v>
      </c>
      <c r="E310" s="67" t="s">
        <v>120</v>
      </c>
      <c r="F310" s="67" t="s">
        <v>2747</v>
      </c>
      <c r="G310" s="66" t="s">
        <v>2527</v>
      </c>
    </row>
    <row r="311" spans="1:7" ht="15" customHeight="1">
      <c r="A311" s="66" t="s">
        <v>2528</v>
      </c>
      <c r="B311" s="66" t="s">
        <v>2529</v>
      </c>
      <c r="C311" s="66" t="s">
        <v>2490</v>
      </c>
      <c r="D311" s="66" t="s">
        <v>2761</v>
      </c>
      <c r="E311" s="67" t="s">
        <v>2490</v>
      </c>
      <c r="F311" s="67" t="s">
        <v>2747</v>
      </c>
      <c r="G311" s="66" t="s">
        <v>2323</v>
      </c>
    </row>
    <row r="312" spans="1:7" ht="15" customHeight="1">
      <c r="A312" s="66" t="s">
        <v>2413</v>
      </c>
      <c r="B312" s="66" t="s">
        <v>2407</v>
      </c>
      <c r="C312" s="66" t="s">
        <v>2414</v>
      </c>
      <c r="D312" s="66" t="s">
        <v>2761</v>
      </c>
      <c r="E312" s="67" t="s">
        <v>2762</v>
      </c>
      <c r="F312" s="67" t="s">
        <v>2747</v>
      </c>
      <c r="G312" s="66" t="s">
        <v>2416</v>
      </c>
    </row>
    <row r="313" spans="1:7" ht="15" customHeight="1">
      <c r="A313" s="66" t="s">
        <v>2532</v>
      </c>
      <c r="B313" s="66" t="s">
        <v>2529</v>
      </c>
      <c r="C313" s="66" t="s">
        <v>2533</v>
      </c>
      <c r="D313" s="66" t="s">
        <v>2761</v>
      </c>
      <c r="E313" s="67" t="s">
        <v>120</v>
      </c>
      <c r="F313" s="67" t="s">
        <v>2747</v>
      </c>
      <c r="G313" s="66" t="s">
        <v>2323</v>
      </c>
    </row>
    <row r="314" spans="1:7" ht="15" customHeight="1">
      <c r="A314" s="66" t="s">
        <v>2534</v>
      </c>
      <c r="B314" s="66" t="s">
        <v>2363</v>
      </c>
      <c r="C314" s="66" t="s">
        <v>120</v>
      </c>
      <c r="D314" s="66" t="s">
        <v>2761</v>
      </c>
      <c r="E314" s="67" t="s">
        <v>120</v>
      </c>
      <c r="F314" s="67" t="s">
        <v>2747</v>
      </c>
      <c r="G314" s="66" t="s">
        <v>2535</v>
      </c>
    </row>
    <row r="315" spans="1:7" ht="15" customHeight="1">
      <c r="A315" s="92" t="s">
        <v>2640</v>
      </c>
      <c r="B315" s="92"/>
      <c r="C315" s="92"/>
      <c r="D315" s="92"/>
      <c r="E315" s="93"/>
      <c r="F315" s="92"/>
      <c r="G315" s="92"/>
    </row>
    <row r="316" spans="1:7" ht="15" customHeight="1">
      <c r="A316" s="66" t="s">
        <v>2537</v>
      </c>
      <c r="B316" s="66" t="s">
        <v>2538</v>
      </c>
      <c r="C316" s="66" t="s">
        <v>120</v>
      </c>
      <c r="D316" s="66" t="s">
        <v>2761</v>
      </c>
      <c r="E316" s="67" t="s">
        <v>120</v>
      </c>
      <c r="F316" s="67" t="s">
        <v>2747</v>
      </c>
      <c r="G316" s="66" t="s">
        <v>2323</v>
      </c>
    </row>
    <row r="317" spans="1:7" ht="15" customHeight="1">
      <c r="A317" s="66" t="s">
        <v>2539</v>
      </c>
      <c r="B317" s="66" t="s">
        <v>2538</v>
      </c>
      <c r="C317" s="66" t="s">
        <v>2490</v>
      </c>
      <c r="D317" s="66" t="s">
        <v>2761</v>
      </c>
      <c r="E317" s="67" t="s">
        <v>2490</v>
      </c>
      <c r="F317" s="67" t="s">
        <v>2747</v>
      </c>
      <c r="G317" s="66" t="s">
        <v>2540</v>
      </c>
    </row>
    <row r="318" spans="1:7" ht="15" customHeight="1">
      <c r="A318" s="66" t="s">
        <v>2541</v>
      </c>
      <c r="B318" s="66" t="s">
        <v>2542</v>
      </c>
      <c r="C318" s="66" t="s">
        <v>2543</v>
      </c>
      <c r="D318" s="66" t="s">
        <v>2761</v>
      </c>
      <c r="E318" s="67" t="s">
        <v>120</v>
      </c>
      <c r="F318" s="67" t="s">
        <v>2747</v>
      </c>
      <c r="G318" s="66" t="s">
        <v>2323</v>
      </c>
    </row>
    <row r="319" spans="1:7" ht="15" customHeight="1">
      <c r="A319" s="66" t="s">
        <v>2421</v>
      </c>
      <c r="B319" s="66" t="s">
        <v>2422</v>
      </c>
      <c r="C319" s="66" t="s">
        <v>2423</v>
      </c>
      <c r="D319" s="66" t="s">
        <v>2761</v>
      </c>
      <c r="E319" s="67" t="s">
        <v>2544</v>
      </c>
      <c r="F319" s="67" t="s">
        <v>2747</v>
      </c>
      <c r="G319" s="66" t="s">
        <v>2425</v>
      </c>
    </row>
    <row r="320" spans="1:7" ht="15" customHeight="1">
      <c r="A320" s="66" t="s">
        <v>2545</v>
      </c>
      <c r="B320" s="66" t="s">
        <v>2422</v>
      </c>
      <c r="C320" s="66" t="s">
        <v>2461</v>
      </c>
      <c r="D320" s="66" t="s">
        <v>2761</v>
      </c>
      <c r="E320" s="67" t="s">
        <v>120</v>
      </c>
      <c r="F320" s="67" t="s">
        <v>2747</v>
      </c>
      <c r="G320" s="66" t="s">
        <v>2546</v>
      </c>
    </row>
    <row r="321" spans="1:7" ht="15" customHeight="1">
      <c r="A321" s="66" t="s">
        <v>2547</v>
      </c>
      <c r="B321" s="66" t="s">
        <v>2538</v>
      </c>
      <c r="C321" s="66" t="s">
        <v>2548</v>
      </c>
      <c r="D321" s="66" t="s">
        <v>2761</v>
      </c>
      <c r="E321" s="67" t="s">
        <v>120</v>
      </c>
      <c r="F321" s="67" t="s">
        <v>2747</v>
      </c>
      <c r="G321" s="66" t="s">
        <v>2323</v>
      </c>
    </row>
    <row r="322" spans="1:7" ht="15" customHeight="1">
      <c r="A322" s="66" t="s">
        <v>2549</v>
      </c>
      <c r="B322" s="66" t="s">
        <v>2538</v>
      </c>
      <c r="C322" s="66" t="s">
        <v>2550</v>
      </c>
      <c r="D322" s="66" t="s">
        <v>2761</v>
      </c>
      <c r="E322" s="67" t="s">
        <v>120</v>
      </c>
      <c r="F322" s="67" t="s">
        <v>2747</v>
      </c>
      <c r="G322" s="66" t="s">
        <v>2551</v>
      </c>
    </row>
    <row r="323" spans="1:7" ht="15" customHeight="1">
      <c r="A323" s="66" t="s">
        <v>2552</v>
      </c>
      <c r="B323" s="66" t="s">
        <v>2538</v>
      </c>
      <c r="C323" s="66" t="s">
        <v>2553</v>
      </c>
      <c r="D323" s="66" t="s">
        <v>2761</v>
      </c>
      <c r="E323" s="67" t="s">
        <v>120</v>
      </c>
      <c r="F323" s="67" t="s">
        <v>2747</v>
      </c>
      <c r="G323" s="66" t="s">
        <v>2323</v>
      </c>
    </row>
    <row r="324" spans="1:7" ht="15" customHeight="1">
      <c r="A324" s="92" t="s">
        <v>2641</v>
      </c>
      <c r="B324" s="92"/>
      <c r="C324" s="92"/>
      <c r="D324" s="92"/>
      <c r="E324" s="93"/>
      <c r="F324" s="92"/>
      <c r="G324" s="92"/>
    </row>
    <row r="325" spans="1:7" ht="15" customHeight="1">
      <c r="A325" s="66" t="s">
        <v>2427</v>
      </c>
      <c r="B325" s="66" t="s">
        <v>2370</v>
      </c>
      <c r="C325" s="66" t="s">
        <v>2428</v>
      </c>
      <c r="D325" s="66" t="s">
        <v>2761</v>
      </c>
      <c r="E325" s="67" t="s">
        <v>120</v>
      </c>
      <c r="F325" s="67" t="s">
        <v>2747</v>
      </c>
      <c r="G325" s="66" t="s">
        <v>2429</v>
      </c>
    </row>
    <row r="326" spans="1:7" ht="15" customHeight="1">
      <c r="A326" s="66" t="s">
        <v>2555</v>
      </c>
      <c r="B326" s="66" t="s">
        <v>2363</v>
      </c>
      <c r="C326" s="66" t="s">
        <v>2556</v>
      </c>
      <c r="D326" s="66" t="s">
        <v>2761</v>
      </c>
      <c r="E326" s="67" t="s">
        <v>120</v>
      </c>
      <c r="F326" s="67" t="s">
        <v>2747</v>
      </c>
      <c r="G326" s="66" t="s">
        <v>2557</v>
      </c>
    </row>
    <row r="327" spans="1:7" ht="15" customHeight="1">
      <c r="A327" s="66" t="s">
        <v>2558</v>
      </c>
      <c r="B327" s="66" t="s">
        <v>2559</v>
      </c>
      <c r="C327" s="66" t="s">
        <v>2560</v>
      </c>
      <c r="D327" s="66" t="s">
        <v>2761</v>
      </c>
      <c r="E327" s="67" t="s">
        <v>120</v>
      </c>
      <c r="F327" s="67" t="s">
        <v>2747</v>
      </c>
      <c r="G327" s="66" t="s">
        <v>2561</v>
      </c>
    </row>
    <row r="328" spans="1:7" ht="15" customHeight="1">
      <c r="A328" s="66" t="s">
        <v>2562</v>
      </c>
      <c r="B328" s="66" t="s">
        <v>2370</v>
      </c>
      <c r="C328" s="66" t="s">
        <v>120</v>
      </c>
      <c r="D328" s="66" t="s">
        <v>2761</v>
      </c>
      <c r="E328" s="67" t="s">
        <v>120</v>
      </c>
      <c r="F328" s="67" t="s">
        <v>2747</v>
      </c>
      <c r="G328" s="66" t="s">
        <v>2563</v>
      </c>
    </row>
    <row r="329" spans="1:7" ht="15" customHeight="1">
      <c r="A329" s="66" t="s">
        <v>2372</v>
      </c>
      <c r="B329" s="66"/>
      <c r="C329" s="66" t="s">
        <v>2329</v>
      </c>
      <c r="D329" s="66" t="s">
        <v>2761</v>
      </c>
      <c r="E329" s="67" t="s">
        <v>2451</v>
      </c>
      <c r="F329" s="67" t="s">
        <v>2747</v>
      </c>
      <c r="G329" s="66" t="s">
        <v>2323</v>
      </c>
    </row>
    <row r="330" spans="1:7" ht="15" customHeight="1">
      <c r="A330" s="66" t="s">
        <v>2564</v>
      </c>
      <c r="B330" s="66"/>
      <c r="C330" s="66" t="s">
        <v>120</v>
      </c>
      <c r="D330" s="66" t="s">
        <v>2761</v>
      </c>
      <c r="E330" s="67" t="s">
        <v>120</v>
      </c>
      <c r="F330" s="67" t="s">
        <v>2747</v>
      </c>
      <c r="G330" s="66" t="s">
        <v>2323</v>
      </c>
    </row>
    <row r="331" spans="1:7" ht="15" customHeight="1">
      <c r="A331" s="66" t="s">
        <v>2565</v>
      </c>
      <c r="B331" s="66" t="s">
        <v>2370</v>
      </c>
      <c r="C331" s="66" t="s">
        <v>2566</v>
      </c>
      <c r="D331" s="66" t="s">
        <v>2761</v>
      </c>
      <c r="E331" s="67" t="s">
        <v>2566</v>
      </c>
      <c r="F331" s="67" t="s">
        <v>2747</v>
      </c>
      <c r="G331" s="66" t="s">
        <v>2567</v>
      </c>
    </row>
    <row r="332" spans="1:7" ht="15" customHeight="1">
      <c r="A332" s="92" t="s">
        <v>2642</v>
      </c>
      <c r="B332" s="92"/>
      <c r="C332" s="92"/>
      <c r="D332" s="92"/>
      <c r="E332" s="93"/>
      <c r="F332" s="92"/>
      <c r="G332" s="92"/>
    </row>
    <row r="333" spans="1:7" ht="15" customHeight="1">
      <c r="A333" s="66" t="s">
        <v>2374</v>
      </c>
      <c r="B333" s="66"/>
      <c r="C333" s="66" t="s">
        <v>2329</v>
      </c>
      <c r="D333" s="66" t="s">
        <v>2761</v>
      </c>
      <c r="E333" s="67" t="s">
        <v>2451</v>
      </c>
      <c r="F333" s="67" t="s">
        <v>2747</v>
      </c>
      <c r="G333" s="66" t="s">
        <v>2375</v>
      </c>
    </row>
    <row r="334" spans="1:7" ht="15" customHeight="1">
      <c r="A334" s="66" t="s">
        <v>2569</v>
      </c>
      <c r="B334" s="66" t="s">
        <v>2570</v>
      </c>
      <c r="C334" s="66" t="s">
        <v>2571</v>
      </c>
      <c r="D334" s="66" t="s">
        <v>2761</v>
      </c>
      <c r="E334" s="67" t="s">
        <v>120</v>
      </c>
      <c r="F334" s="67" t="s">
        <v>2747</v>
      </c>
      <c r="G334" s="66" t="s">
        <v>2437</v>
      </c>
    </row>
    <row r="335" spans="1:7" ht="15" customHeight="1">
      <c r="A335" s="66" t="s">
        <v>2572</v>
      </c>
      <c r="B335" s="66" t="s">
        <v>2432</v>
      </c>
      <c r="C335" s="66" t="s">
        <v>120</v>
      </c>
      <c r="D335" s="66" t="s">
        <v>2761</v>
      </c>
      <c r="E335" s="67" t="s">
        <v>120</v>
      </c>
      <c r="F335" s="67" t="s">
        <v>2747</v>
      </c>
      <c r="G335" s="66" t="s">
        <v>2573</v>
      </c>
    </row>
    <row r="336" spans="1:7" ht="15" customHeight="1">
      <c r="A336" s="66" t="s">
        <v>2574</v>
      </c>
      <c r="B336" s="66" t="s">
        <v>2570</v>
      </c>
      <c r="C336" s="66" t="s">
        <v>120</v>
      </c>
      <c r="D336" s="66" t="s">
        <v>2761</v>
      </c>
      <c r="E336" s="67" t="s">
        <v>120</v>
      </c>
      <c r="F336" s="67" t="s">
        <v>2747</v>
      </c>
      <c r="G336" s="66" t="s">
        <v>2573</v>
      </c>
    </row>
    <row r="337" spans="1:7" ht="15" customHeight="1">
      <c r="A337" s="66" t="s">
        <v>2575</v>
      </c>
      <c r="B337" s="66" t="s">
        <v>2576</v>
      </c>
      <c r="C337" s="66" t="s">
        <v>2490</v>
      </c>
      <c r="D337" s="66" t="s">
        <v>2761</v>
      </c>
      <c r="E337" s="67" t="s">
        <v>2490</v>
      </c>
      <c r="F337" s="67" t="s">
        <v>2747</v>
      </c>
      <c r="G337" s="66" t="s">
        <v>2577</v>
      </c>
    </row>
    <row r="338" spans="1:7" ht="15" customHeight="1">
      <c r="A338" s="66" t="s">
        <v>2578</v>
      </c>
      <c r="B338" s="66" t="s">
        <v>2579</v>
      </c>
      <c r="C338" s="66" t="s">
        <v>2543</v>
      </c>
      <c r="D338" s="66" t="s">
        <v>2761</v>
      </c>
      <c r="E338" s="67" t="s">
        <v>120</v>
      </c>
      <c r="F338" s="67" t="s">
        <v>2747</v>
      </c>
      <c r="G338" s="66" t="s">
        <v>2580</v>
      </c>
    </row>
    <row r="339" spans="1:7" ht="15" customHeight="1">
      <c r="A339" s="92" t="s">
        <v>2643</v>
      </c>
      <c r="B339" s="92"/>
      <c r="C339" s="92"/>
      <c r="D339" s="92"/>
      <c r="E339" s="93"/>
      <c r="F339" s="92"/>
      <c r="G339" s="92"/>
    </row>
    <row r="340" spans="1:7" ht="15" customHeight="1">
      <c r="A340" s="66" t="s">
        <v>2377</v>
      </c>
      <c r="B340" s="66" t="s">
        <v>2378</v>
      </c>
      <c r="C340" s="66" t="s">
        <v>1622</v>
      </c>
      <c r="D340" s="66" t="s">
        <v>2763</v>
      </c>
      <c r="E340" s="67" t="s">
        <v>120</v>
      </c>
      <c r="F340" s="67" t="s">
        <v>2747</v>
      </c>
      <c r="G340" s="66" t="s">
        <v>2380</v>
      </c>
    </row>
    <row r="341" spans="1:7" ht="15" customHeight="1">
      <c r="A341" s="66" t="s">
        <v>2381</v>
      </c>
      <c r="B341" s="66"/>
      <c r="C341" s="66" t="s">
        <v>1396</v>
      </c>
      <c r="D341" s="66" t="s">
        <v>2763</v>
      </c>
      <c r="E341" s="67" t="s">
        <v>1396</v>
      </c>
      <c r="F341" s="67" t="s">
        <v>2747</v>
      </c>
      <c r="G341" s="66" t="s">
        <v>2323</v>
      </c>
    </row>
    <row r="342" spans="1:7" ht="15" customHeight="1">
      <c r="A342" s="66" t="s">
        <v>2382</v>
      </c>
      <c r="B342" s="66"/>
      <c r="C342" s="66" t="s">
        <v>2383</v>
      </c>
      <c r="D342" s="66" t="s">
        <v>2763</v>
      </c>
      <c r="E342" s="67" t="s">
        <v>2383</v>
      </c>
      <c r="F342" s="67" t="s">
        <v>2747</v>
      </c>
      <c r="G342" s="66" t="s">
        <v>2323</v>
      </c>
    </row>
    <row r="343" spans="1:7" ht="15" customHeight="1">
      <c r="A343" s="66" t="s">
        <v>2441</v>
      </c>
      <c r="B343" s="66" t="s">
        <v>2316</v>
      </c>
      <c r="C343" s="66" t="s">
        <v>120</v>
      </c>
      <c r="D343" s="66" t="s">
        <v>2763</v>
      </c>
      <c r="E343" s="67" t="s">
        <v>120</v>
      </c>
      <c r="F343" s="67" t="s">
        <v>2747</v>
      </c>
      <c r="G343" s="66" t="s">
        <v>2323</v>
      </c>
    </row>
    <row r="344" spans="1:7" ht="15" customHeight="1">
      <c r="A344" s="66" t="s">
        <v>2442</v>
      </c>
      <c r="B344" s="66" t="s">
        <v>2326</v>
      </c>
      <c r="C344" s="66" t="s">
        <v>120</v>
      </c>
      <c r="D344" s="66" t="s">
        <v>2763</v>
      </c>
      <c r="E344" s="67" t="s">
        <v>120</v>
      </c>
      <c r="F344" s="67" t="s">
        <v>2747</v>
      </c>
      <c r="G344" s="66" t="s">
        <v>2443</v>
      </c>
    </row>
    <row r="345" spans="1:7" ht="15" customHeight="1">
      <c r="A345" s="66" t="s">
        <v>2444</v>
      </c>
      <c r="B345" s="66"/>
      <c r="C345" s="66" t="s">
        <v>120</v>
      </c>
      <c r="D345" s="66" t="s">
        <v>2763</v>
      </c>
      <c r="E345" s="67" t="s">
        <v>120</v>
      </c>
      <c r="F345" s="67" t="s">
        <v>2747</v>
      </c>
      <c r="G345" s="66" t="s">
        <v>2323</v>
      </c>
    </row>
    <row r="346" spans="1:7" ht="15" customHeight="1">
      <c r="A346" s="92" t="s">
        <v>2646</v>
      </c>
      <c r="B346" s="92"/>
      <c r="C346" s="92"/>
      <c r="D346" s="92"/>
      <c r="E346" s="93"/>
      <c r="F346" s="92"/>
      <c r="G346" s="92"/>
    </row>
    <row r="347" spans="1:7" ht="15" customHeight="1">
      <c r="A347" s="66" t="s">
        <v>2446</v>
      </c>
      <c r="B347" s="66" t="s">
        <v>2334</v>
      </c>
      <c r="C347" s="66" t="s">
        <v>120</v>
      </c>
      <c r="D347" s="66" t="s">
        <v>2763</v>
      </c>
      <c r="E347" s="67" t="s">
        <v>120</v>
      </c>
      <c r="F347" s="67" t="s">
        <v>2747</v>
      </c>
      <c r="G347" s="66" t="s">
        <v>2323</v>
      </c>
    </row>
    <row r="348" spans="1:7" ht="15" customHeight="1">
      <c r="A348" s="66" t="s">
        <v>2447</v>
      </c>
      <c r="B348" s="66" t="s">
        <v>2448</v>
      </c>
      <c r="C348" s="66" t="s">
        <v>120</v>
      </c>
      <c r="D348" s="66" t="s">
        <v>2763</v>
      </c>
      <c r="E348" s="67" t="s">
        <v>120</v>
      </c>
      <c r="F348" s="67" t="s">
        <v>2747</v>
      </c>
      <c r="G348" s="66" t="s">
        <v>2449</v>
      </c>
    </row>
    <row r="349" spans="1:7" ht="15" customHeight="1">
      <c r="A349" s="66" t="s">
        <v>2450</v>
      </c>
      <c r="B349" s="66" t="s">
        <v>2448</v>
      </c>
      <c r="C349" s="66" t="s">
        <v>120</v>
      </c>
      <c r="D349" s="66" t="s">
        <v>2763</v>
      </c>
      <c r="E349" s="67" t="s">
        <v>120</v>
      </c>
      <c r="F349" s="67" t="s">
        <v>2747</v>
      </c>
      <c r="G349" s="66" t="s">
        <v>2323</v>
      </c>
    </row>
    <row r="350" spans="1:7" ht="15" customHeight="1">
      <c r="A350" s="66" t="s">
        <v>2328</v>
      </c>
      <c r="B350" s="66"/>
      <c r="C350" s="66" t="s">
        <v>2329</v>
      </c>
      <c r="D350" s="66" t="s">
        <v>2763</v>
      </c>
      <c r="E350" s="67" t="s">
        <v>2451</v>
      </c>
      <c r="F350" s="67" t="s">
        <v>2747</v>
      </c>
      <c r="G350" s="66" t="s">
        <v>2331</v>
      </c>
    </row>
    <row r="351" spans="1:7" ht="15" customHeight="1">
      <c r="A351" s="66" t="s">
        <v>2452</v>
      </c>
      <c r="B351" s="66" t="s">
        <v>2453</v>
      </c>
      <c r="C351" s="66" t="s">
        <v>120</v>
      </c>
      <c r="D351" s="66" t="s">
        <v>2763</v>
      </c>
      <c r="E351" s="67" t="s">
        <v>120</v>
      </c>
      <c r="F351" s="67" t="s">
        <v>2747</v>
      </c>
      <c r="G351" s="66" t="s">
        <v>2454</v>
      </c>
    </row>
    <row r="352" spans="1:7" ht="15" customHeight="1">
      <c r="A352" s="92" t="s">
        <v>2648</v>
      </c>
      <c r="B352" s="92"/>
      <c r="C352" s="92"/>
      <c r="D352" s="92"/>
      <c r="E352" s="93"/>
      <c r="F352" s="92"/>
      <c r="G352" s="92"/>
    </row>
    <row r="353" spans="1:7" ht="15" customHeight="1">
      <c r="A353" s="66" t="s">
        <v>2456</v>
      </c>
      <c r="B353" s="66" t="s">
        <v>2457</v>
      </c>
      <c r="C353" s="66" t="s">
        <v>120</v>
      </c>
      <c r="D353" s="66" t="s">
        <v>2763</v>
      </c>
      <c r="E353" s="67" t="s">
        <v>120</v>
      </c>
      <c r="F353" s="67" t="s">
        <v>2747</v>
      </c>
      <c r="G353" s="66" t="s">
        <v>2323</v>
      </c>
    </row>
    <row r="354" spans="1:7" ht="15" customHeight="1">
      <c r="A354" s="66" t="s">
        <v>2458</v>
      </c>
      <c r="B354" s="66" t="s">
        <v>2457</v>
      </c>
      <c r="C354" s="66" t="s">
        <v>2459</v>
      </c>
      <c r="D354" s="66" t="s">
        <v>2763</v>
      </c>
      <c r="E354" s="67" t="s">
        <v>120</v>
      </c>
      <c r="F354" s="67" t="s">
        <v>2747</v>
      </c>
      <c r="G354" s="66" t="s">
        <v>2323</v>
      </c>
    </row>
    <row r="355" spans="1:7" ht="15" customHeight="1">
      <c r="A355" s="66" t="s">
        <v>2460</v>
      </c>
      <c r="B355" s="66" t="s">
        <v>2457</v>
      </c>
      <c r="C355" s="66" t="s">
        <v>2461</v>
      </c>
      <c r="D355" s="66" t="s">
        <v>2763</v>
      </c>
      <c r="E355" s="67" t="s">
        <v>120</v>
      </c>
      <c r="F355" s="67" t="s">
        <v>2747</v>
      </c>
      <c r="G355" s="66" t="s">
        <v>2462</v>
      </c>
    </row>
    <row r="356" spans="1:7" ht="15" customHeight="1">
      <c r="A356" s="66" t="s">
        <v>2463</v>
      </c>
      <c r="B356" s="66" t="s">
        <v>2457</v>
      </c>
      <c r="C356" s="66" t="s">
        <v>120</v>
      </c>
      <c r="D356" s="66" t="s">
        <v>2763</v>
      </c>
      <c r="E356" s="67" t="s">
        <v>120</v>
      </c>
      <c r="F356" s="67" t="s">
        <v>2747</v>
      </c>
      <c r="G356" s="66" t="s">
        <v>2323</v>
      </c>
    </row>
    <row r="357" spans="1:7" ht="15" customHeight="1">
      <c r="A357" s="92" t="s">
        <v>2649</v>
      </c>
      <c r="B357" s="92"/>
      <c r="C357" s="92"/>
      <c r="D357" s="92"/>
      <c r="E357" s="93"/>
      <c r="F357" s="92"/>
      <c r="G357" s="92"/>
    </row>
    <row r="358" spans="1:7" ht="15" customHeight="1">
      <c r="A358" s="66" t="s">
        <v>2465</v>
      </c>
      <c r="B358" s="66" t="s">
        <v>2466</v>
      </c>
      <c r="C358" s="66" t="s">
        <v>2467</v>
      </c>
      <c r="D358" s="66" t="s">
        <v>2763</v>
      </c>
      <c r="E358" s="67" t="s">
        <v>120</v>
      </c>
      <c r="F358" s="67" t="s">
        <v>2747</v>
      </c>
      <c r="G358" s="66" t="s">
        <v>2323</v>
      </c>
    </row>
    <row r="359" spans="1:7" ht="15" customHeight="1">
      <c r="A359" s="66" t="s">
        <v>2468</v>
      </c>
      <c r="B359" s="66" t="s">
        <v>2390</v>
      </c>
      <c r="C359" s="66" t="s">
        <v>120</v>
      </c>
      <c r="D359" s="66" t="s">
        <v>2763</v>
      </c>
      <c r="E359" s="67" t="s">
        <v>120</v>
      </c>
      <c r="F359" s="67" t="s">
        <v>2747</v>
      </c>
      <c r="G359" s="66" t="s">
        <v>2323</v>
      </c>
    </row>
    <row r="360" spans="1:7" ht="15" customHeight="1">
      <c r="A360" s="66" t="s">
        <v>2469</v>
      </c>
      <c r="B360" s="66" t="s">
        <v>2466</v>
      </c>
      <c r="C360" s="66" t="s">
        <v>2470</v>
      </c>
      <c r="D360" s="66" t="s">
        <v>2763</v>
      </c>
      <c r="E360" s="67" t="s">
        <v>120</v>
      </c>
      <c r="F360" s="67" t="s">
        <v>2747</v>
      </c>
      <c r="G360" s="66" t="s">
        <v>2323</v>
      </c>
    </row>
    <row r="361" spans="1:7" ht="15" customHeight="1">
      <c r="A361" s="66" t="s">
        <v>2392</v>
      </c>
      <c r="B361" s="66" t="s">
        <v>2390</v>
      </c>
      <c r="C361" s="66" t="s">
        <v>2393</v>
      </c>
      <c r="D361" s="66" t="s">
        <v>2763</v>
      </c>
      <c r="E361" s="67" t="s">
        <v>120</v>
      </c>
      <c r="F361" s="67" t="s">
        <v>2747</v>
      </c>
      <c r="G361" s="66" t="s">
        <v>2394</v>
      </c>
    </row>
    <row r="362" spans="1:7" ht="15" customHeight="1">
      <c r="A362" s="66" t="s">
        <v>2471</v>
      </c>
      <c r="B362" s="66" t="s">
        <v>2472</v>
      </c>
      <c r="C362" s="66" t="s">
        <v>120</v>
      </c>
      <c r="D362" s="66" t="s">
        <v>2763</v>
      </c>
      <c r="E362" s="67" t="s">
        <v>120</v>
      </c>
      <c r="F362" s="67" t="s">
        <v>2747</v>
      </c>
      <c r="G362" s="66" t="s">
        <v>2473</v>
      </c>
    </row>
    <row r="363" spans="1:7" ht="15" customHeight="1">
      <c r="A363" s="66" t="s">
        <v>2474</v>
      </c>
      <c r="B363" s="66" t="s">
        <v>2472</v>
      </c>
      <c r="C363" s="66" t="s">
        <v>120</v>
      </c>
      <c r="D363" s="66" t="s">
        <v>2763</v>
      </c>
      <c r="E363" s="67" t="s">
        <v>120</v>
      </c>
      <c r="F363" s="67" t="s">
        <v>2747</v>
      </c>
      <c r="G363" s="66" t="s">
        <v>2323</v>
      </c>
    </row>
    <row r="364" spans="1:7" ht="15" customHeight="1">
      <c r="A364" s="92" t="s">
        <v>2650</v>
      </c>
      <c r="B364" s="92"/>
      <c r="C364" s="92"/>
      <c r="D364" s="92"/>
      <c r="E364" s="93"/>
      <c r="F364" s="92"/>
      <c r="G364" s="92"/>
    </row>
    <row r="365" spans="1:7" ht="15" customHeight="1">
      <c r="A365" s="66" t="s">
        <v>2476</v>
      </c>
      <c r="B365" s="66" t="s">
        <v>2477</v>
      </c>
      <c r="C365" s="66" t="s">
        <v>120</v>
      </c>
      <c r="D365" s="66" t="s">
        <v>2763</v>
      </c>
      <c r="E365" s="67" t="s">
        <v>120</v>
      </c>
      <c r="F365" s="67" t="s">
        <v>2747</v>
      </c>
      <c r="G365" s="66" t="s">
        <v>2478</v>
      </c>
    </row>
    <row r="366" spans="1:7" ht="15" customHeight="1">
      <c r="A366" s="66" t="s">
        <v>2333</v>
      </c>
      <c r="B366" s="66" t="s">
        <v>2334</v>
      </c>
      <c r="C366" s="66" t="s">
        <v>2335</v>
      </c>
      <c r="D366" s="66" t="s">
        <v>2763</v>
      </c>
      <c r="E366" s="67" t="s">
        <v>2451</v>
      </c>
      <c r="F366" s="67" t="s">
        <v>2747</v>
      </c>
      <c r="G366" s="66" t="s">
        <v>2323</v>
      </c>
    </row>
    <row r="367" spans="1:7" ht="15" customHeight="1">
      <c r="A367" s="66" t="s">
        <v>2336</v>
      </c>
      <c r="B367" s="66" t="s">
        <v>2334</v>
      </c>
      <c r="C367" s="66" t="s">
        <v>2329</v>
      </c>
      <c r="D367" s="66" t="s">
        <v>2763</v>
      </c>
      <c r="E367" s="67" t="s">
        <v>2451</v>
      </c>
      <c r="F367" s="67" t="s">
        <v>2747</v>
      </c>
      <c r="G367" s="66" t="s">
        <v>2323</v>
      </c>
    </row>
    <row r="368" spans="1:7" ht="15" customHeight="1">
      <c r="A368" s="66" t="s">
        <v>2337</v>
      </c>
      <c r="B368" s="66" t="s">
        <v>2334</v>
      </c>
      <c r="C368" s="66" t="s">
        <v>2329</v>
      </c>
      <c r="D368" s="66" t="s">
        <v>2763</v>
      </c>
      <c r="E368" s="67" t="s">
        <v>2451</v>
      </c>
      <c r="F368" s="67" t="s">
        <v>2747</v>
      </c>
      <c r="G368" s="66" t="s">
        <v>2323</v>
      </c>
    </row>
    <row r="369" spans="1:7" ht="15" customHeight="1">
      <c r="A369" s="66" t="s">
        <v>2338</v>
      </c>
      <c r="B369" s="66" t="s">
        <v>2339</v>
      </c>
      <c r="C369" s="66" t="s">
        <v>2329</v>
      </c>
      <c r="D369" s="66" t="s">
        <v>2763</v>
      </c>
      <c r="E369" s="67" t="s">
        <v>2451</v>
      </c>
      <c r="F369" s="67" t="s">
        <v>2747</v>
      </c>
      <c r="G369" s="66" t="s">
        <v>2323</v>
      </c>
    </row>
    <row r="370" spans="1:7" ht="15" customHeight="1">
      <c r="A370" s="66" t="s">
        <v>2340</v>
      </c>
      <c r="B370" s="66"/>
      <c r="C370" s="66" t="s">
        <v>2329</v>
      </c>
      <c r="D370" s="66" t="s">
        <v>2763</v>
      </c>
      <c r="E370" s="67" t="s">
        <v>2451</v>
      </c>
      <c r="F370" s="67" t="s">
        <v>2747</v>
      </c>
      <c r="G370" s="66" t="s">
        <v>2323</v>
      </c>
    </row>
    <row r="371" spans="1:7" ht="15" customHeight="1">
      <c r="A371" s="66" t="s">
        <v>2341</v>
      </c>
      <c r="B371" s="66"/>
      <c r="C371" s="66" t="s">
        <v>2329</v>
      </c>
      <c r="D371" s="66" t="s">
        <v>2763</v>
      </c>
      <c r="E371" s="67" t="s">
        <v>2451</v>
      </c>
      <c r="F371" s="67" t="s">
        <v>2747</v>
      </c>
      <c r="G371" s="66" t="s">
        <v>2323</v>
      </c>
    </row>
    <row r="372" spans="1:7" ht="15" customHeight="1">
      <c r="A372" s="66" t="s">
        <v>2342</v>
      </c>
      <c r="B372" s="66"/>
      <c r="C372" s="66" t="s">
        <v>2329</v>
      </c>
      <c r="D372" s="66" t="s">
        <v>2763</v>
      </c>
      <c r="E372" s="67" t="s">
        <v>2451</v>
      </c>
      <c r="F372" s="67" t="s">
        <v>2747</v>
      </c>
      <c r="G372" s="66" t="s">
        <v>2323</v>
      </c>
    </row>
    <row r="373" spans="1:7" ht="15" customHeight="1">
      <c r="A373" s="92" t="s">
        <v>2651</v>
      </c>
      <c r="B373" s="92"/>
      <c r="C373" s="92"/>
      <c r="D373" s="92"/>
      <c r="E373" s="93"/>
      <c r="F373" s="92"/>
      <c r="G373" s="92"/>
    </row>
    <row r="374" spans="1:7" ht="15" customHeight="1">
      <c r="A374" s="66" t="s">
        <v>2480</v>
      </c>
      <c r="B374" s="66" t="s">
        <v>2481</v>
      </c>
      <c r="C374" s="66" t="s">
        <v>120</v>
      </c>
      <c r="D374" s="66" t="s">
        <v>2763</v>
      </c>
      <c r="E374" s="67" t="s">
        <v>120</v>
      </c>
      <c r="F374" s="67" t="s">
        <v>2747</v>
      </c>
      <c r="G374" s="66" t="s">
        <v>2323</v>
      </c>
    </row>
    <row r="375" spans="1:7" ht="15" customHeight="1">
      <c r="A375" s="66" t="s">
        <v>2482</v>
      </c>
      <c r="B375" s="66" t="s">
        <v>2483</v>
      </c>
      <c r="C375" s="66" t="s">
        <v>120</v>
      </c>
      <c r="D375" s="66" t="s">
        <v>2763</v>
      </c>
      <c r="E375" s="67" t="s">
        <v>120</v>
      </c>
      <c r="F375" s="67" t="s">
        <v>2747</v>
      </c>
      <c r="G375" s="66" t="s">
        <v>2323</v>
      </c>
    </row>
    <row r="376" spans="1:7" ht="15" customHeight="1">
      <c r="A376" s="66" t="s">
        <v>2484</v>
      </c>
      <c r="B376" s="66" t="s">
        <v>2483</v>
      </c>
      <c r="C376" s="66" t="s">
        <v>2485</v>
      </c>
      <c r="D376" s="66" t="s">
        <v>2763</v>
      </c>
      <c r="E376" s="67" t="s">
        <v>120</v>
      </c>
      <c r="F376" s="67" t="s">
        <v>2747</v>
      </c>
      <c r="G376" s="66" t="s">
        <v>2486</v>
      </c>
    </row>
    <row r="377" spans="1:7" ht="15" customHeight="1">
      <c r="A377" s="66" t="s">
        <v>2487</v>
      </c>
      <c r="B377" s="66" t="s">
        <v>2488</v>
      </c>
      <c r="C377" s="66" t="s">
        <v>120</v>
      </c>
      <c r="D377" s="66" t="s">
        <v>2763</v>
      </c>
      <c r="E377" s="67" t="s">
        <v>120</v>
      </c>
      <c r="F377" s="67" t="s">
        <v>2747</v>
      </c>
      <c r="G377" s="66" t="s">
        <v>2323</v>
      </c>
    </row>
    <row r="378" spans="1:7" ht="15" customHeight="1">
      <c r="A378" s="66" t="s">
        <v>2344</v>
      </c>
      <c r="B378" s="66"/>
      <c r="C378" s="66" t="s">
        <v>2345</v>
      </c>
      <c r="D378" s="66" t="s">
        <v>2763</v>
      </c>
      <c r="E378" s="67" t="s">
        <v>120</v>
      </c>
      <c r="F378" s="67" t="s">
        <v>2747</v>
      </c>
      <c r="G378" s="66" t="s">
        <v>2323</v>
      </c>
    </row>
    <row r="379" spans="1:7" ht="15" customHeight="1">
      <c r="A379" s="66" t="s">
        <v>2347</v>
      </c>
      <c r="B379" s="66"/>
      <c r="C379" s="66" t="s">
        <v>2329</v>
      </c>
      <c r="D379" s="66" t="s">
        <v>2763</v>
      </c>
      <c r="E379" s="67" t="s">
        <v>2451</v>
      </c>
      <c r="F379" s="67" t="s">
        <v>2747</v>
      </c>
      <c r="G379" s="66" t="s">
        <v>2323</v>
      </c>
    </row>
    <row r="380" spans="1:7" ht="15" customHeight="1">
      <c r="A380" s="66" t="s">
        <v>2348</v>
      </c>
      <c r="B380" s="66"/>
      <c r="C380" s="66" t="s">
        <v>2329</v>
      </c>
      <c r="D380" s="66" t="s">
        <v>2763</v>
      </c>
      <c r="E380" s="67" t="s">
        <v>2451</v>
      </c>
      <c r="F380" s="67" t="s">
        <v>2747</v>
      </c>
      <c r="G380" s="66" t="s">
        <v>2323</v>
      </c>
    </row>
    <row r="381" spans="1:7" ht="15" customHeight="1">
      <c r="A381" s="66" t="s">
        <v>2489</v>
      </c>
      <c r="B381" s="66" t="s">
        <v>2483</v>
      </c>
      <c r="C381" s="66" t="s">
        <v>2490</v>
      </c>
      <c r="D381" s="66" t="s">
        <v>2763</v>
      </c>
      <c r="E381" s="67" t="s">
        <v>2490</v>
      </c>
      <c r="F381" s="67" t="s">
        <v>2747</v>
      </c>
      <c r="G381" s="66" t="s">
        <v>2323</v>
      </c>
    </row>
    <row r="382" spans="1:7" ht="15" customHeight="1">
      <c r="A382" s="66" t="s">
        <v>2491</v>
      </c>
      <c r="B382" s="66" t="s">
        <v>2488</v>
      </c>
      <c r="C382" s="66" t="s">
        <v>120</v>
      </c>
      <c r="D382" s="66" t="s">
        <v>2763</v>
      </c>
      <c r="E382" s="67" t="s">
        <v>120</v>
      </c>
      <c r="F382" s="67" t="s">
        <v>2747</v>
      </c>
      <c r="G382" s="66" t="s">
        <v>2323</v>
      </c>
    </row>
    <row r="383" spans="1:7" ht="15" customHeight="1">
      <c r="A383" s="92" t="s">
        <v>2652</v>
      </c>
      <c r="B383" s="92"/>
      <c r="C383" s="92"/>
      <c r="D383" s="92"/>
      <c r="E383" s="93"/>
      <c r="F383" s="92"/>
      <c r="G383" s="92"/>
    </row>
    <row r="384" spans="1:7" ht="15" customHeight="1">
      <c r="A384" s="66" t="s">
        <v>2493</v>
      </c>
      <c r="B384" s="66"/>
      <c r="C384" s="66" t="s">
        <v>2490</v>
      </c>
      <c r="D384" s="66" t="s">
        <v>2763</v>
      </c>
      <c r="E384" s="67" t="s">
        <v>2490</v>
      </c>
      <c r="F384" s="67" t="s">
        <v>2747</v>
      </c>
      <c r="G384" s="66" t="s">
        <v>2323</v>
      </c>
    </row>
    <row r="385" spans="1:7" ht="15" customHeight="1">
      <c r="A385" s="66" t="s">
        <v>2494</v>
      </c>
      <c r="B385" s="66"/>
      <c r="C385" s="66" t="s">
        <v>2490</v>
      </c>
      <c r="D385" s="66" t="s">
        <v>2763</v>
      </c>
      <c r="E385" s="67" t="s">
        <v>2490</v>
      </c>
      <c r="F385" s="67" t="s">
        <v>2747</v>
      </c>
      <c r="G385" s="66" t="s">
        <v>2323</v>
      </c>
    </row>
    <row r="386" spans="1:7" ht="15" customHeight="1">
      <c r="A386" s="66" t="s">
        <v>2400</v>
      </c>
      <c r="B386" s="66"/>
      <c r="C386" s="66" t="s">
        <v>2401</v>
      </c>
      <c r="D386" s="66" t="s">
        <v>2763</v>
      </c>
      <c r="E386" s="67" t="s">
        <v>2490</v>
      </c>
      <c r="F386" s="67" t="s">
        <v>2747</v>
      </c>
      <c r="G386" s="66" t="s">
        <v>2323</v>
      </c>
    </row>
    <row r="387" spans="1:7" ht="15" customHeight="1">
      <c r="A387" s="66" t="s">
        <v>2495</v>
      </c>
      <c r="B387" s="66" t="s">
        <v>2483</v>
      </c>
      <c r="C387" s="66" t="s">
        <v>120</v>
      </c>
      <c r="D387" s="66" t="s">
        <v>2763</v>
      </c>
      <c r="E387" s="67" t="s">
        <v>120</v>
      </c>
      <c r="F387" s="67" t="s">
        <v>2747</v>
      </c>
      <c r="G387" s="66" t="s">
        <v>2323</v>
      </c>
    </row>
    <row r="388" spans="1:7" ht="15" customHeight="1">
      <c r="A388" s="66" t="s">
        <v>2496</v>
      </c>
      <c r="B388" s="66" t="s">
        <v>2483</v>
      </c>
      <c r="C388" s="66" t="s">
        <v>120</v>
      </c>
      <c r="D388" s="66" t="s">
        <v>2763</v>
      </c>
      <c r="E388" s="67" t="s">
        <v>120</v>
      </c>
      <c r="F388" s="67" t="s">
        <v>2747</v>
      </c>
      <c r="G388" s="66" t="s">
        <v>2323</v>
      </c>
    </row>
    <row r="389" spans="1:7" ht="15" customHeight="1">
      <c r="A389" s="66" t="s">
        <v>2497</v>
      </c>
      <c r="B389" s="66" t="s">
        <v>2339</v>
      </c>
      <c r="C389" s="66" t="s">
        <v>120</v>
      </c>
      <c r="D389" s="66" t="s">
        <v>2763</v>
      </c>
      <c r="E389" s="67" t="s">
        <v>120</v>
      </c>
      <c r="F389" s="67" t="s">
        <v>2747</v>
      </c>
      <c r="G389" s="66" t="s">
        <v>2323</v>
      </c>
    </row>
    <row r="390" spans="1:7" ht="15" customHeight="1">
      <c r="A390" s="66" t="s">
        <v>2498</v>
      </c>
      <c r="B390" s="66" t="s">
        <v>2499</v>
      </c>
      <c r="C390" s="66" t="s">
        <v>2490</v>
      </c>
      <c r="D390" s="66" t="s">
        <v>2763</v>
      </c>
      <c r="E390" s="67" t="s">
        <v>2490</v>
      </c>
      <c r="F390" s="67" t="s">
        <v>2747</v>
      </c>
      <c r="G390" s="66" t="s">
        <v>2323</v>
      </c>
    </row>
    <row r="391" spans="1:7" ht="15" customHeight="1">
      <c r="A391" s="66" t="s">
        <v>2500</v>
      </c>
      <c r="B391" s="66" t="s">
        <v>2499</v>
      </c>
      <c r="C391" s="66" t="s">
        <v>2490</v>
      </c>
      <c r="D391" s="66" t="s">
        <v>2763</v>
      </c>
      <c r="E391" s="67" t="s">
        <v>2490</v>
      </c>
      <c r="F391" s="67" t="s">
        <v>2747</v>
      </c>
      <c r="G391" s="66" t="s">
        <v>2323</v>
      </c>
    </row>
    <row r="392" spans="1:7" ht="15" customHeight="1">
      <c r="A392" s="66" t="s">
        <v>2350</v>
      </c>
      <c r="B392" s="66"/>
      <c r="C392" s="66" t="s">
        <v>2329</v>
      </c>
      <c r="D392" s="66" t="s">
        <v>2763</v>
      </c>
      <c r="E392" s="67" t="s">
        <v>2451</v>
      </c>
      <c r="F392" s="67" t="s">
        <v>2747</v>
      </c>
      <c r="G392" s="66" t="s">
        <v>2323</v>
      </c>
    </row>
    <row r="393" spans="1:7" ht="15" customHeight="1">
      <c r="A393" s="66" t="s">
        <v>2501</v>
      </c>
      <c r="B393" s="66" t="s">
        <v>2499</v>
      </c>
      <c r="C393" s="66" t="s">
        <v>120</v>
      </c>
      <c r="D393" s="66" t="s">
        <v>2763</v>
      </c>
      <c r="E393" s="67" t="s">
        <v>120</v>
      </c>
      <c r="F393" s="67" t="s">
        <v>2747</v>
      </c>
      <c r="G393" s="66" t="s">
        <v>2502</v>
      </c>
    </row>
    <row r="394" spans="1:7" ht="15" customHeight="1">
      <c r="A394" s="92" t="s">
        <v>2654</v>
      </c>
      <c r="B394" s="92"/>
      <c r="C394" s="92"/>
      <c r="D394" s="92"/>
      <c r="E394" s="93"/>
      <c r="F394" s="92"/>
      <c r="G394" s="92"/>
    </row>
    <row r="395" spans="1:7" ht="15" customHeight="1">
      <c r="A395" s="66" t="s">
        <v>2504</v>
      </c>
      <c r="B395" s="66" t="s">
        <v>2505</v>
      </c>
      <c r="C395" s="66" t="s">
        <v>120</v>
      </c>
      <c r="D395" s="66" t="s">
        <v>2763</v>
      </c>
      <c r="E395" s="67" t="s">
        <v>120</v>
      </c>
      <c r="F395" s="67" t="s">
        <v>2747</v>
      </c>
      <c r="G395" s="66" t="s">
        <v>2323</v>
      </c>
    </row>
    <row r="396" spans="1:7" ht="15" customHeight="1">
      <c r="A396" s="66" t="s">
        <v>2506</v>
      </c>
      <c r="B396" s="66" t="s">
        <v>2435</v>
      </c>
      <c r="C396" s="66" t="s">
        <v>120</v>
      </c>
      <c r="D396" s="66" t="s">
        <v>2763</v>
      </c>
      <c r="E396" s="67" t="s">
        <v>120</v>
      </c>
      <c r="F396" s="67" t="s">
        <v>2747</v>
      </c>
      <c r="G396" s="66" t="s">
        <v>2323</v>
      </c>
    </row>
    <row r="397" spans="1:7" ht="15" customHeight="1">
      <c r="A397" s="66" t="s">
        <v>2507</v>
      </c>
      <c r="B397" s="66" t="s">
        <v>2435</v>
      </c>
      <c r="C397" s="66" t="s">
        <v>120</v>
      </c>
      <c r="D397" s="66" t="s">
        <v>2763</v>
      </c>
      <c r="E397" s="67" t="s">
        <v>120</v>
      </c>
      <c r="F397" s="67" t="s">
        <v>2747</v>
      </c>
      <c r="G397" s="66" t="s">
        <v>2323</v>
      </c>
    </row>
    <row r="398" spans="1:7" ht="15" customHeight="1">
      <c r="A398" s="92" t="s">
        <v>2655</v>
      </c>
      <c r="B398" s="92"/>
      <c r="C398" s="92"/>
      <c r="D398" s="92"/>
      <c r="E398" s="93"/>
      <c r="F398" s="92"/>
      <c r="G398" s="92"/>
    </row>
    <row r="399" spans="1:7" ht="15" customHeight="1">
      <c r="A399" s="66" t="s">
        <v>2509</v>
      </c>
      <c r="B399" s="66" t="s">
        <v>2353</v>
      </c>
      <c r="C399" s="66" t="s">
        <v>2490</v>
      </c>
      <c r="D399" s="66" t="s">
        <v>2763</v>
      </c>
      <c r="E399" s="67" t="s">
        <v>2490</v>
      </c>
      <c r="F399" s="67" t="s">
        <v>2747</v>
      </c>
      <c r="G399" s="66" t="s">
        <v>2510</v>
      </c>
    </row>
    <row r="400" spans="1:7" ht="15" customHeight="1">
      <c r="A400" s="66" t="s">
        <v>2511</v>
      </c>
      <c r="B400" s="66" t="s">
        <v>2407</v>
      </c>
      <c r="C400" s="66" t="s">
        <v>120</v>
      </c>
      <c r="D400" s="66" t="s">
        <v>2763</v>
      </c>
      <c r="E400" s="67" t="s">
        <v>120</v>
      </c>
      <c r="F400" s="67" t="s">
        <v>2747</v>
      </c>
      <c r="G400" s="66" t="s">
        <v>2512</v>
      </c>
    </row>
    <row r="401" spans="1:7" ht="15" customHeight="1">
      <c r="A401" s="66" t="s">
        <v>2513</v>
      </c>
      <c r="B401" s="66" t="s">
        <v>2404</v>
      </c>
      <c r="C401" s="66" t="s">
        <v>120</v>
      </c>
      <c r="D401" s="66" t="s">
        <v>2763</v>
      </c>
      <c r="E401" s="67" t="s">
        <v>120</v>
      </c>
      <c r="F401" s="67" t="s">
        <v>2747</v>
      </c>
      <c r="G401" s="66" t="s">
        <v>2514</v>
      </c>
    </row>
    <row r="402" spans="1:7" ht="15" customHeight="1">
      <c r="A402" s="66" t="s">
        <v>2515</v>
      </c>
      <c r="B402" s="66" t="s">
        <v>2516</v>
      </c>
      <c r="C402" s="66" t="s">
        <v>120</v>
      </c>
      <c r="D402" s="66" t="s">
        <v>2763</v>
      </c>
      <c r="E402" s="67" t="s">
        <v>120</v>
      </c>
      <c r="F402" s="67" t="s">
        <v>2747</v>
      </c>
      <c r="G402" s="66" t="s">
        <v>2517</v>
      </c>
    </row>
    <row r="403" spans="1:7" ht="15" customHeight="1">
      <c r="A403" s="66" t="s">
        <v>2358</v>
      </c>
      <c r="B403" s="66"/>
      <c r="C403" s="66" t="s">
        <v>2329</v>
      </c>
      <c r="D403" s="66" t="s">
        <v>2763</v>
      </c>
      <c r="E403" s="67" t="s">
        <v>2451</v>
      </c>
      <c r="F403" s="67" t="s">
        <v>2747</v>
      </c>
      <c r="G403" s="66" t="s">
        <v>2323</v>
      </c>
    </row>
    <row r="404" spans="1:7" ht="15" customHeight="1">
      <c r="A404" s="92" t="s">
        <v>2656</v>
      </c>
      <c r="B404" s="92"/>
      <c r="C404" s="92"/>
      <c r="D404" s="92"/>
      <c r="E404" s="93"/>
      <c r="F404" s="92"/>
      <c r="G404" s="92"/>
    </row>
    <row r="405" spans="1:7" ht="15" customHeight="1">
      <c r="A405" s="66" t="s">
        <v>2519</v>
      </c>
      <c r="B405" s="66" t="s">
        <v>2407</v>
      </c>
      <c r="C405" s="66" t="s">
        <v>120</v>
      </c>
      <c r="D405" s="66" t="s">
        <v>2763</v>
      </c>
      <c r="E405" s="67" t="s">
        <v>120</v>
      </c>
      <c r="F405" s="67" t="s">
        <v>2747</v>
      </c>
      <c r="G405" s="66" t="s">
        <v>2520</v>
      </c>
    </row>
    <row r="406" spans="1:7" ht="15" customHeight="1">
      <c r="A406" s="66" t="s">
        <v>2521</v>
      </c>
      <c r="B406" s="66" t="s">
        <v>2407</v>
      </c>
      <c r="C406" s="66" t="s">
        <v>120</v>
      </c>
      <c r="D406" s="66" t="s">
        <v>2763</v>
      </c>
      <c r="E406" s="67" t="s">
        <v>120</v>
      </c>
      <c r="F406" s="67" t="s">
        <v>2747</v>
      </c>
      <c r="G406" s="66" t="s">
        <v>2323</v>
      </c>
    </row>
    <row r="407" spans="1:7" ht="15" customHeight="1">
      <c r="A407" s="66" t="s">
        <v>2522</v>
      </c>
      <c r="B407" s="66" t="s">
        <v>2523</v>
      </c>
      <c r="C407" s="66" t="s">
        <v>120</v>
      </c>
      <c r="D407" s="66" t="s">
        <v>2763</v>
      </c>
      <c r="E407" s="67" t="s">
        <v>120</v>
      </c>
      <c r="F407" s="67" t="s">
        <v>2747</v>
      </c>
      <c r="G407" s="66" t="s">
        <v>2524</v>
      </c>
    </row>
    <row r="408" spans="1:7" ht="15" customHeight="1">
      <c r="A408" s="66" t="s">
        <v>2525</v>
      </c>
      <c r="B408" s="66" t="s">
        <v>2412</v>
      </c>
      <c r="C408" s="66" t="s">
        <v>120</v>
      </c>
      <c r="D408" s="66" t="s">
        <v>2763</v>
      </c>
      <c r="E408" s="67" t="s">
        <v>120</v>
      </c>
      <c r="F408" s="67" t="s">
        <v>2747</v>
      </c>
      <c r="G408" s="66" t="s">
        <v>2520</v>
      </c>
    </row>
    <row r="409" spans="1:7" ht="15" customHeight="1">
      <c r="A409" s="66" t="s">
        <v>2526</v>
      </c>
      <c r="B409" s="66" t="s">
        <v>2412</v>
      </c>
      <c r="C409" s="66" t="s">
        <v>120</v>
      </c>
      <c r="D409" s="66" t="s">
        <v>2763</v>
      </c>
      <c r="E409" s="67" t="s">
        <v>120</v>
      </c>
      <c r="F409" s="67" t="s">
        <v>2747</v>
      </c>
      <c r="G409" s="66" t="s">
        <v>2527</v>
      </c>
    </row>
    <row r="410" spans="1:7" ht="15" customHeight="1">
      <c r="A410" s="66" t="s">
        <v>2528</v>
      </c>
      <c r="B410" s="66" t="s">
        <v>2529</v>
      </c>
      <c r="C410" s="66" t="s">
        <v>2490</v>
      </c>
      <c r="D410" s="66" t="s">
        <v>2763</v>
      </c>
      <c r="E410" s="67" t="s">
        <v>2490</v>
      </c>
      <c r="F410" s="67" t="s">
        <v>2747</v>
      </c>
      <c r="G410" s="66" t="s">
        <v>2323</v>
      </c>
    </row>
    <row r="411" spans="1:7" ht="15" customHeight="1">
      <c r="A411" s="66" t="s">
        <v>2413</v>
      </c>
      <c r="B411" s="66" t="s">
        <v>2407</v>
      </c>
      <c r="C411" s="66" t="s">
        <v>2414</v>
      </c>
      <c r="D411" s="66" t="s">
        <v>2763</v>
      </c>
      <c r="E411" s="67" t="s">
        <v>2764</v>
      </c>
      <c r="F411" s="67" t="s">
        <v>2747</v>
      </c>
      <c r="G411" s="66" t="s">
        <v>2416</v>
      </c>
    </row>
    <row r="412" spans="1:7" ht="15" customHeight="1">
      <c r="A412" s="66" t="s">
        <v>2532</v>
      </c>
      <c r="B412" s="66" t="s">
        <v>2529</v>
      </c>
      <c r="C412" s="66" t="s">
        <v>2533</v>
      </c>
      <c r="D412" s="66" t="s">
        <v>2763</v>
      </c>
      <c r="E412" s="67" t="s">
        <v>120</v>
      </c>
      <c r="F412" s="67" t="s">
        <v>2747</v>
      </c>
      <c r="G412" s="66" t="s">
        <v>2323</v>
      </c>
    </row>
    <row r="413" spans="1:7" ht="15" customHeight="1">
      <c r="A413" s="66" t="s">
        <v>2534</v>
      </c>
      <c r="B413" s="66" t="s">
        <v>2363</v>
      </c>
      <c r="C413" s="66" t="s">
        <v>120</v>
      </c>
      <c r="D413" s="66" t="s">
        <v>2763</v>
      </c>
      <c r="E413" s="67" t="s">
        <v>120</v>
      </c>
      <c r="F413" s="67" t="s">
        <v>2747</v>
      </c>
      <c r="G413" s="66" t="s">
        <v>2535</v>
      </c>
    </row>
    <row r="414" spans="1:7" ht="15" customHeight="1">
      <c r="A414" s="92" t="s">
        <v>2658</v>
      </c>
      <c r="B414" s="92"/>
      <c r="C414" s="92"/>
      <c r="D414" s="92"/>
      <c r="E414" s="93"/>
      <c r="F414" s="92"/>
      <c r="G414" s="92"/>
    </row>
    <row r="415" spans="1:7" ht="15" customHeight="1">
      <c r="A415" s="66" t="s">
        <v>2537</v>
      </c>
      <c r="B415" s="66" t="s">
        <v>2538</v>
      </c>
      <c r="C415" s="66" t="s">
        <v>120</v>
      </c>
      <c r="D415" s="66" t="s">
        <v>2763</v>
      </c>
      <c r="E415" s="67" t="s">
        <v>120</v>
      </c>
      <c r="F415" s="67" t="s">
        <v>2747</v>
      </c>
      <c r="G415" s="66" t="s">
        <v>2323</v>
      </c>
    </row>
    <row r="416" spans="1:7" ht="15" customHeight="1">
      <c r="A416" s="66" t="s">
        <v>2539</v>
      </c>
      <c r="B416" s="66" t="s">
        <v>2538</v>
      </c>
      <c r="C416" s="66" t="s">
        <v>2490</v>
      </c>
      <c r="D416" s="66" t="s">
        <v>2763</v>
      </c>
      <c r="E416" s="67" t="s">
        <v>2490</v>
      </c>
      <c r="F416" s="67" t="s">
        <v>2747</v>
      </c>
      <c r="G416" s="66" t="s">
        <v>2540</v>
      </c>
    </row>
    <row r="417" spans="1:7" ht="15" customHeight="1">
      <c r="A417" s="66" t="s">
        <v>2541</v>
      </c>
      <c r="B417" s="66" t="s">
        <v>2542</v>
      </c>
      <c r="C417" s="66" t="s">
        <v>2543</v>
      </c>
      <c r="D417" s="66" t="s">
        <v>2763</v>
      </c>
      <c r="E417" s="67" t="s">
        <v>120</v>
      </c>
      <c r="F417" s="67" t="s">
        <v>2747</v>
      </c>
      <c r="G417" s="66" t="s">
        <v>2323</v>
      </c>
    </row>
    <row r="418" spans="1:7" ht="15" customHeight="1">
      <c r="A418" s="66" t="s">
        <v>2421</v>
      </c>
      <c r="B418" s="66" t="s">
        <v>2422</v>
      </c>
      <c r="C418" s="66" t="s">
        <v>2423</v>
      </c>
      <c r="D418" s="66" t="s">
        <v>2763</v>
      </c>
      <c r="E418" s="67" t="s">
        <v>2544</v>
      </c>
      <c r="F418" s="67" t="s">
        <v>2747</v>
      </c>
      <c r="G418" s="66" t="s">
        <v>2425</v>
      </c>
    </row>
    <row r="419" spans="1:7" ht="15" customHeight="1">
      <c r="A419" s="66" t="s">
        <v>2545</v>
      </c>
      <c r="B419" s="66" t="s">
        <v>2422</v>
      </c>
      <c r="C419" s="66" t="s">
        <v>2461</v>
      </c>
      <c r="D419" s="66" t="s">
        <v>2763</v>
      </c>
      <c r="E419" s="67" t="s">
        <v>120</v>
      </c>
      <c r="F419" s="67" t="s">
        <v>2747</v>
      </c>
      <c r="G419" s="66" t="s">
        <v>2546</v>
      </c>
    </row>
    <row r="420" spans="1:7" ht="15" customHeight="1">
      <c r="A420" s="66" t="s">
        <v>2547</v>
      </c>
      <c r="B420" s="66" t="s">
        <v>2538</v>
      </c>
      <c r="C420" s="66" t="s">
        <v>2548</v>
      </c>
      <c r="D420" s="66" t="s">
        <v>2763</v>
      </c>
      <c r="E420" s="67" t="s">
        <v>120</v>
      </c>
      <c r="F420" s="67" t="s">
        <v>2747</v>
      </c>
      <c r="G420" s="66" t="s">
        <v>2323</v>
      </c>
    </row>
    <row r="421" spans="1:7" ht="15" customHeight="1">
      <c r="A421" s="66" t="s">
        <v>2549</v>
      </c>
      <c r="B421" s="66" t="s">
        <v>2538</v>
      </c>
      <c r="C421" s="66" t="s">
        <v>2550</v>
      </c>
      <c r="D421" s="66" t="s">
        <v>2763</v>
      </c>
      <c r="E421" s="67" t="s">
        <v>120</v>
      </c>
      <c r="F421" s="67" t="s">
        <v>2747</v>
      </c>
      <c r="G421" s="66" t="s">
        <v>2551</v>
      </c>
    </row>
    <row r="422" spans="1:7" ht="15" customHeight="1">
      <c r="A422" s="66" t="s">
        <v>2552</v>
      </c>
      <c r="B422" s="66" t="s">
        <v>2538</v>
      </c>
      <c r="C422" s="66" t="s">
        <v>2553</v>
      </c>
      <c r="D422" s="66" t="s">
        <v>2763</v>
      </c>
      <c r="E422" s="67" t="s">
        <v>120</v>
      </c>
      <c r="F422" s="67" t="s">
        <v>2747</v>
      </c>
      <c r="G422" s="66" t="s">
        <v>2323</v>
      </c>
    </row>
    <row r="423" spans="1:7" ht="15" customHeight="1">
      <c r="A423" s="92" t="s">
        <v>2660</v>
      </c>
      <c r="B423" s="92"/>
      <c r="C423" s="92"/>
      <c r="D423" s="92"/>
      <c r="E423" s="93"/>
      <c r="F423" s="92"/>
      <c r="G423" s="92"/>
    </row>
    <row r="424" spans="1:7" ht="15" customHeight="1">
      <c r="A424" s="66" t="s">
        <v>2427</v>
      </c>
      <c r="B424" s="66" t="s">
        <v>2370</v>
      </c>
      <c r="C424" s="66" t="s">
        <v>2428</v>
      </c>
      <c r="D424" s="66" t="s">
        <v>2763</v>
      </c>
      <c r="E424" s="67" t="s">
        <v>120</v>
      </c>
      <c r="F424" s="67" t="s">
        <v>2747</v>
      </c>
      <c r="G424" s="66" t="s">
        <v>2429</v>
      </c>
    </row>
    <row r="425" spans="1:7" ht="15" customHeight="1">
      <c r="A425" s="66" t="s">
        <v>2555</v>
      </c>
      <c r="B425" s="66" t="s">
        <v>2363</v>
      </c>
      <c r="C425" s="66" t="s">
        <v>2556</v>
      </c>
      <c r="D425" s="66" t="s">
        <v>2763</v>
      </c>
      <c r="E425" s="67" t="s">
        <v>120</v>
      </c>
      <c r="F425" s="67" t="s">
        <v>2747</v>
      </c>
      <c r="G425" s="66" t="s">
        <v>2557</v>
      </c>
    </row>
    <row r="426" spans="1:7" ht="15" customHeight="1">
      <c r="A426" s="66" t="s">
        <v>2558</v>
      </c>
      <c r="B426" s="66" t="s">
        <v>2559</v>
      </c>
      <c r="C426" s="66" t="s">
        <v>2560</v>
      </c>
      <c r="D426" s="66" t="s">
        <v>2763</v>
      </c>
      <c r="E426" s="67" t="s">
        <v>120</v>
      </c>
      <c r="F426" s="67" t="s">
        <v>2747</v>
      </c>
      <c r="G426" s="66" t="s">
        <v>2561</v>
      </c>
    </row>
    <row r="427" spans="1:7" ht="15" customHeight="1">
      <c r="A427" s="66" t="s">
        <v>2562</v>
      </c>
      <c r="B427" s="66" t="s">
        <v>2370</v>
      </c>
      <c r="C427" s="66" t="s">
        <v>120</v>
      </c>
      <c r="D427" s="66" t="s">
        <v>2763</v>
      </c>
      <c r="E427" s="67" t="s">
        <v>120</v>
      </c>
      <c r="F427" s="67" t="s">
        <v>2747</v>
      </c>
      <c r="G427" s="66" t="s">
        <v>2563</v>
      </c>
    </row>
    <row r="428" spans="1:7" ht="15" customHeight="1">
      <c r="A428" s="66" t="s">
        <v>2372</v>
      </c>
      <c r="B428" s="66"/>
      <c r="C428" s="66" t="s">
        <v>2329</v>
      </c>
      <c r="D428" s="66" t="s">
        <v>2763</v>
      </c>
      <c r="E428" s="67" t="s">
        <v>2451</v>
      </c>
      <c r="F428" s="67" t="s">
        <v>2747</v>
      </c>
      <c r="G428" s="66" t="s">
        <v>2323</v>
      </c>
    </row>
    <row r="429" spans="1:7" ht="15" customHeight="1">
      <c r="A429" s="66" t="s">
        <v>2564</v>
      </c>
      <c r="B429" s="66"/>
      <c r="C429" s="66" t="s">
        <v>120</v>
      </c>
      <c r="D429" s="66" t="s">
        <v>2763</v>
      </c>
      <c r="E429" s="67" t="s">
        <v>120</v>
      </c>
      <c r="F429" s="67" t="s">
        <v>2747</v>
      </c>
      <c r="G429" s="66" t="s">
        <v>2323</v>
      </c>
    </row>
    <row r="430" spans="1:7" ht="15" customHeight="1">
      <c r="A430" s="66" t="s">
        <v>2565</v>
      </c>
      <c r="B430" s="66" t="s">
        <v>2370</v>
      </c>
      <c r="C430" s="66" t="s">
        <v>2566</v>
      </c>
      <c r="D430" s="66" t="s">
        <v>2763</v>
      </c>
      <c r="E430" s="67" t="s">
        <v>2566</v>
      </c>
      <c r="F430" s="67" t="s">
        <v>2747</v>
      </c>
      <c r="G430" s="66" t="s">
        <v>2567</v>
      </c>
    </row>
    <row r="431" spans="1:7" ht="15" customHeight="1">
      <c r="A431" s="92" t="s">
        <v>2661</v>
      </c>
      <c r="B431" s="92"/>
      <c r="C431" s="92"/>
      <c r="D431" s="92"/>
      <c r="E431" s="93"/>
      <c r="F431" s="92"/>
      <c r="G431" s="92"/>
    </row>
    <row r="432" spans="1:7" ht="15" customHeight="1">
      <c r="A432" s="66" t="s">
        <v>2374</v>
      </c>
      <c r="B432" s="66"/>
      <c r="C432" s="66" t="s">
        <v>2329</v>
      </c>
      <c r="D432" s="66" t="s">
        <v>2763</v>
      </c>
      <c r="E432" s="67" t="s">
        <v>2451</v>
      </c>
      <c r="F432" s="67" t="s">
        <v>2747</v>
      </c>
      <c r="G432" s="66" t="s">
        <v>2375</v>
      </c>
    </row>
    <row r="433" spans="1:7" ht="15" customHeight="1">
      <c r="A433" s="66" t="s">
        <v>2569</v>
      </c>
      <c r="B433" s="66" t="s">
        <v>2570</v>
      </c>
      <c r="C433" s="66" t="s">
        <v>2571</v>
      </c>
      <c r="D433" s="66" t="s">
        <v>2763</v>
      </c>
      <c r="E433" s="67" t="s">
        <v>120</v>
      </c>
      <c r="F433" s="67" t="s">
        <v>2747</v>
      </c>
      <c r="G433" s="66" t="s">
        <v>2437</v>
      </c>
    </row>
    <row r="434" spans="1:7" ht="15" customHeight="1">
      <c r="A434" s="66" t="s">
        <v>2572</v>
      </c>
      <c r="B434" s="66" t="s">
        <v>2432</v>
      </c>
      <c r="C434" s="66" t="s">
        <v>120</v>
      </c>
      <c r="D434" s="66" t="s">
        <v>2763</v>
      </c>
      <c r="E434" s="67" t="s">
        <v>120</v>
      </c>
      <c r="F434" s="67" t="s">
        <v>2747</v>
      </c>
      <c r="G434" s="66" t="s">
        <v>2573</v>
      </c>
    </row>
    <row r="435" spans="1:7" ht="15" customHeight="1">
      <c r="A435" s="66" t="s">
        <v>2574</v>
      </c>
      <c r="B435" s="66" t="s">
        <v>2570</v>
      </c>
      <c r="C435" s="66" t="s">
        <v>120</v>
      </c>
      <c r="D435" s="66" t="s">
        <v>2763</v>
      </c>
      <c r="E435" s="67" t="s">
        <v>120</v>
      </c>
      <c r="F435" s="67" t="s">
        <v>2747</v>
      </c>
      <c r="G435" s="66" t="s">
        <v>2573</v>
      </c>
    </row>
    <row r="436" spans="1:7" ht="15" customHeight="1">
      <c r="A436" s="66" t="s">
        <v>2575</v>
      </c>
      <c r="B436" s="66" t="s">
        <v>2576</v>
      </c>
      <c r="C436" s="66" t="s">
        <v>2490</v>
      </c>
      <c r="D436" s="66" t="s">
        <v>2763</v>
      </c>
      <c r="E436" s="67" t="s">
        <v>2490</v>
      </c>
      <c r="F436" s="67" t="s">
        <v>2747</v>
      </c>
      <c r="G436" s="66" t="s">
        <v>2577</v>
      </c>
    </row>
    <row r="437" spans="1:7" ht="15" customHeight="1">
      <c r="A437" s="66" t="s">
        <v>2578</v>
      </c>
      <c r="B437" s="66" t="s">
        <v>2579</v>
      </c>
      <c r="C437" s="66" t="s">
        <v>2543</v>
      </c>
      <c r="D437" s="66" t="s">
        <v>2763</v>
      </c>
      <c r="E437" s="67" t="s">
        <v>120</v>
      </c>
      <c r="F437" s="67" t="s">
        <v>2747</v>
      </c>
      <c r="G437" s="66" t="s">
        <v>2580</v>
      </c>
    </row>
    <row r="438" spans="1:7" ht="15" customHeight="1">
      <c r="A438" s="92" t="s">
        <v>2662</v>
      </c>
      <c r="B438" s="92"/>
      <c r="C438" s="92"/>
      <c r="D438" s="92"/>
      <c r="E438" s="93"/>
      <c r="F438" s="92"/>
      <c r="G438" s="92"/>
    </row>
    <row r="439" spans="1:7" ht="15" customHeight="1">
      <c r="A439" s="66" t="s">
        <v>2381</v>
      </c>
      <c r="B439" s="66"/>
      <c r="C439" s="66" t="s">
        <v>1396</v>
      </c>
      <c r="D439" s="66" t="s">
        <v>2765</v>
      </c>
      <c r="E439" s="67" t="s">
        <v>1396</v>
      </c>
      <c r="F439" s="67" t="s">
        <v>2747</v>
      </c>
      <c r="G439" s="66" t="s">
        <v>2323</v>
      </c>
    </row>
    <row r="440" spans="1:7" ht="15" customHeight="1">
      <c r="A440" s="66" t="s">
        <v>2382</v>
      </c>
      <c r="B440" s="66"/>
      <c r="C440" s="66" t="s">
        <v>2383</v>
      </c>
      <c r="D440" s="66" t="s">
        <v>2765</v>
      </c>
      <c r="E440" s="67" t="s">
        <v>1396</v>
      </c>
      <c r="F440" s="67" t="s">
        <v>2747</v>
      </c>
      <c r="G440" s="66" t="s">
        <v>2323</v>
      </c>
    </row>
    <row r="441" spans="1:7" ht="15" customHeight="1">
      <c r="A441" s="92" t="s">
        <v>2664</v>
      </c>
      <c r="B441" s="92"/>
      <c r="C441" s="92"/>
      <c r="D441" s="92"/>
      <c r="E441" s="93"/>
      <c r="F441" s="92"/>
      <c r="G441" s="92"/>
    </row>
    <row r="442" spans="1:7" ht="15" customHeight="1">
      <c r="A442" s="66" t="s">
        <v>2413</v>
      </c>
      <c r="B442" s="66" t="s">
        <v>2407</v>
      </c>
      <c r="C442" s="66" t="s">
        <v>2414</v>
      </c>
      <c r="D442" s="66" t="s">
        <v>2765</v>
      </c>
      <c r="E442" s="67" t="s">
        <v>2415</v>
      </c>
      <c r="F442" s="67" t="s">
        <v>2747</v>
      </c>
      <c r="G442" s="66" t="s">
        <v>2416</v>
      </c>
    </row>
    <row r="443" spans="1:7" ht="15" customHeight="1">
      <c r="A443" s="92" t="s">
        <v>2666</v>
      </c>
      <c r="B443" s="92"/>
      <c r="C443" s="92"/>
      <c r="D443" s="92"/>
      <c r="E443" s="93"/>
      <c r="F443" s="92"/>
      <c r="G443" s="92"/>
    </row>
    <row r="444" spans="1:7" ht="15" customHeight="1">
      <c r="A444" s="66" t="s">
        <v>2421</v>
      </c>
      <c r="B444" s="66" t="s">
        <v>2422</v>
      </c>
      <c r="C444" s="66" t="s">
        <v>2423</v>
      </c>
      <c r="D444" s="66" t="s">
        <v>2765</v>
      </c>
      <c r="E444" s="67" t="s">
        <v>2424</v>
      </c>
      <c r="F444" s="67" t="s">
        <v>2747</v>
      </c>
      <c r="G444" s="66" t="s">
        <v>2425</v>
      </c>
    </row>
    <row r="445" spans="1:7" ht="15" customHeight="1">
      <c r="A445" s="92" t="s">
        <v>2670</v>
      </c>
      <c r="B445" s="92"/>
      <c r="C445" s="92"/>
      <c r="D445" s="92"/>
      <c r="E445" s="93"/>
      <c r="F445" s="92"/>
      <c r="G445" s="92"/>
    </row>
    <row r="446" spans="1:7" ht="15" customHeight="1">
      <c r="A446" s="66" t="s">
        <v>2377</v>
      </c>
      <c r="B446" s="66" t="s">
        <v>2378</v>
      </c>
      <c r="C446" s="66" t="s">
        <v>1622</v>
      </c>
      <c r="D446" s="66" t="s">
        <v>2766</v>
      </c>
      <c r="E446" s="67" t="s">
        <v>120</v>
      </c>
      <c r="F446" s="67" t="s">
        <v>2747</v>
      </c>
      <c r="G446" s="66" t="s">
        <v>2380</v>
      </c>
    </row>
    <row r="447" spans="1:7" ht="15" customHeight="1">
      <c r="A447" s="66" t="s">
        <v>2381</v>
      </c>
      <c r="B447" s="66"/>
      <c r="C447" s="66" t="s">
        <v>1396</v>
      </c>
      <c r="D447" s="66" t="s">
        <v>2766</v>
      </c>
      <c r="E447" s="67" t="s">
        <v>1396</v>
      </c>
      <c r="F447" s="67" t="s">
        <v>2747</v>
      </c>
      <c r="G447" s="66" t="s">
        <v>2323</v>
      </c>
    </row>
    <row r="448" spans="1:7" ht="15" customHeight="1">
      <c r="A448" s="66" t="s">
        <v>2382</v>
      </c>
      <c r="B448" s="66"/>
      <c r="C448" s="66" t="s">
        <v>2383</v>
      </c>
      <c r="D448" s="66" t="s">
        <v>2766</v>
      </c>
      <c r="E448" s="67" t="s">
        <v>2383</v>
      </c>
      <c r="F448" s="67" t="s">
        <v>2747</v>
      </c>
      <c r="G448" s="66" t="s">
        <v>2323</v>
      </c>
    </row>
    <row r="449" spans="1:7" ht="15" customHeight="1">
      <c r="A449" s="66" t="s">
        <v>2441</v>
      </c>
      <c r="B449" s="66" t="s">
        <v>2316</v>
      </c>
      <c r="C449" s="66" t="s">
        <v>120</v>
      </c>
      <c r="D449" s="66" t="s">
        <v>2766</v>
      </c>
      <c r="E449" s="67" t="s">
        <v>120</v>
      </c>
      <c r="F449" s="67" t="s">
        <v>2747</v>
      </c>
      <c r="G449" s="66" t="s">
        <v>2323</v>
      </c>
    </row>
    <row r="450" spans="1:7" ht="15" customHeight="1">
      <c r="A450" s="66" t="s">
        <v>2442</v>
      </c>
      <c r="B450" s="66" t="s">
        <v>2326</v>
      </c>
      <c r="C450" s="66" t="s">
        <v>120</v>
      </c>
      <c r="D450" s="66" t="s">
        <v>2766</v>
      </c>
      <c r="E450" s="67" t="s">
        <v>120</v>
      </c>
      <c r="F450" s="67" t="s">
        <v>2747</v>
      </c>
      <c r="G450" s="66" t="s">
        <v>2443</v>
      </c>
    </row>
    <row r="451" spans="1:7" ht="15" customHeight="1">
      <c r="A451" s="66" t="s">
        <v>2444</v>
      </c>
      <c r="B451" s="66"/>
      <c r="C451" s="66" t="s">
        <v>120</v>
      </c>
      <c r="D451" s="66" t="s">
        <v>2766</v>
      </c>
      <c r="E451" s="67" t="s">
        <v>120</v>
      </c>
      <c r="F451" s="67" t="s">
        <v>2747</v>
      </c>
      <c r="G451" s="66" t="s">
        <v>2323</v>
      </c>
    </row>
    <row r="452" spans="1:7" ht="15" customHeight="1">
      <c r="A452" s="92" t="s">
        <v>2672</v>
      </c>
      <c r="B452" s="92"/>
      <c r="C452" s="92"/>
      <c r="D452" s="92"/>
      <c r="E452" s="93"/>
      <c r="F452" s="92"/>
      <c r="G452" s="92"/>
    </row>
    <row r="453" spans="1:7" ht="15" customHeight="1">
      <c r="A453" s="66" t="s">
        <v>2446</v>
      </c>
      <c r="B453" s="66" t="s">
        <v>2334</v>
      </c>
      <c r="C453" s="66" t="s">
        <v>120</v>
      </c>
      <c r="D453" s="66" t="s">
        <v>2766</v>
      </c>
      <c r="E453" s="67" t="s">
        <v>120</v>
      </c>
      <c r="F453" s="67" t="s">
        <v>2747</v>
      </c>
      <c r="G453" s="66" t="s">
        <v>2323</v>
      </c>
    </row>
    <row r="454" spans="1:7" ht="15" customHeight="1">
      <c r="A454" s="66" t="s">
        <v>2447</v>
      </c>
      <c r="B454" s="66" t="s">
        <v>2448</v>
      </c>
      <c r="C454" s="66" t="s">
        <v>120</v>
      </c>
      <c r="D454" s="66" t="s">
        <v>2766</v>
      </c>
      <c r="E454" s="67" t="s">
        <v>120</v>
      </c>
      <c r="F454" s="67" t="s">
        <v>2747</v>
      </c>
      <c r="G454" s="66" t="s">
        <v>2449</v>
      </c>
    </row>
    <row r="455" spans="1:7" ht="15" customHeight="1">
      <c r="A455" s="66" t="s">
        <v>2450</v>
      </c>
      <c r="B455" s="66" t="s">
        <v>2448</v>
      </c>
      <c r="C455" s="66" t="s">
        <v>120</v>
      </c>
      <c r="D455" s="66" t="s">
        <v>2766</v>
      </c>
      <c r="E455" s="67" t="s">
        <v>120</v>
      </c>
      <c r="F455" s="67" t="s">
        <v>2747</v>
      </c>
      <c r="G455" s="66" t="s">
        <v>2323</v>
      </c>
    </row>
    <row r="456" spans="1:7" ht="15" customHeight="1">
      <c r="A456" s="66" t="s">
        <v>2328</v>
      </c>
      <c r="B456" s="66"/>
      <c r="C456" s="66" t="s">
        <v>2329</v>
      </c>
      <c r="D456" s="66" t="s">
        <v>2766</v>
      </c>
      <c r="E456" s="67" t="s">
        <v>2451</v>
      </c>
      <c r="F456" s="67" t="s">
        <v>2747</v>
      </c>
      <c r="G456" s="66" t="s">
        <v>2331</v>
      </c>
    </row>
    <row r="457" spans="1:7" ht="15" customHeight="1">
      <c r="A457" s="66" t="s">
        <v>2452</v>
      </c>
      <c r="B457" s="66" t="s">
        <v>2453</v>
      </c>
      <c r="C457" s="66" t="s">
        <v>120</v>
      </c>
      <c r="D457" s="66" t="s">
        <v>2766</v>
      </c>
      <c r="E457" s="67" t="s">
        <v>120</v>
      </c>
      <c r="F457" s="67" t="s">
        <v>2747</v>
      </c>
      <c r="G457" s="66" t="s">
        <v>2454</v>
      </c>
    </row>
    <row r="458" spans="1:7" ht="15" customHeight="1">
      <c r="A458" s="92" t="s">
        <v>2767</v>
      </c>
      <c r="B458" s="92"/>
      <c r="C458" s="92"/>
      <c r="D458" s="92"/>
      <c r="E458" s="93"/>
      <c r="F458" s="92"/>
      <c r="G458" s="92"/>
    </row>
    <row r="459" spans="1:7" ht="15" customHeight="1">
      <c r="A459" s="66" t="s">
        <v>2456</v>
      </c>
      <c r="B459" s="66" t="s">
        <v>2457</v>
      </c>
      <c r="C459" s="66" t="s">
        <v>120</v>
      </c>
      <c r="D459" s="66" t="s">
        <v>2766</v>
      </c>
      <c r="E459" s="67" t="s">
        <v>120</v>
      </c>
      <c r="F459" s="67" t="s">
        <v>2747</v>
      </c>
      <c r="G459" s="66" t="s">
        <v>2323</v>
      </c>
    </row>
    <row r="460" spans="1:7" ht="15" customHeight="1">
      <c r="A460" s="66" t="s">
        <v>2458</v>
      </c>
      <c r="B460" s="66" t="s">
        <v>2457</v>
      </c>
      <c r="C460" s="66" t="s">
        <v>2459</v>
      </c>
      <c r="D460" s="66" t="s">
        <v>2766</v>
      </c>
      <c r="E460" s="67" t="s">
        <v>2768</v>
      </c>
      <c r="F460" s="67" t="s">
        <v>2747</v>
      </c>
      <c r="G460" s="66" t="s">
        <v>2323</v>
      </c>
    </row>
    <row r="461" spans="1:7" ht="15" customHeight="1">
      <c r="A461" s="66" t="s">
        <v>2460</v>
      </c>
      <c r="B461" s="66" t="s">
        <v>2457</v>
      </c>
      <c r="C461" s="66" t="s">
        <v>2461</v>
      </c>
      <c r="D461" s="66" t="s">
        <v>2766</v>
      </c>
      <c r="E461" s="67" t="s">
        <v>120</v>
      </c>
      <c r="F461" s="67" t="s">
        <v>2747</v>
      </c>
      <c r="G461" s="66" t="s">
        <v>2462</v>
      </c>
    </row>
    <row r="462" spans="1:7" ht="15" customHeight="1">
      <c r="A462" s="66" t="s">
        <v>2463</v>
      </c>
      <c r="B462" s="66" t="s">
        <v>2457</v>
      </c>
      <c r="C462" s="66" t="s">
        <v>120</v>
      </c>
      <c r="D462" s="66" t="s">
        <v>2766</v>
      </c>
      <c r="E462" s="67" t="s">
        <v>120</v>
      </c>
      <c r="F462" s="67" t="s">
        <v>2747</v>
      </c>
      <c r="G462" s="66" t="s">
        <v>2323</v>
      </c>
    </row>
    <row r="463" spans="1:7" ht="15" customHeight="1">
      <c r="A463" s="92" t="s">
        <v>2769</v>
      </c>
      <c r="B463" s="92"/>
      <c r="C463" s="92"/>
      <c r="D463" s="92"/>
      <c r="E463" s="93"/>
      <c r="F463" s="92"/>
      <c r="G463" s="92"/>
    </row>
    <row r="464" spans="1:7" ht="15" customHeight="1">
      <c r="A464" s="66" t="s">
        <v>2465</v>
      </c>
      <c r="B464" s="66" t="s">
        <v>2466</v>
      </c>
      <c r="C464" s="66" t="s">
        <v>2467</v>
      </c>
      <c r="D464" s="66" t="s">
        <v>2766</v>
      </c>
      <c r="E464" s="67" t="s">
        <v>120</v>
      </c>
      <c r="F464" s="67" t="s">
        <v>2747</v>
      </c>
      <c r="G464" s="66" t="s">
        <v>2323</v>
      </c>
    </row>
    <row r="465" spans="1:7" ht="15" customHeight="1">
      <c r="A465" s="66" t="s">
        <v>2468</v>
      </c>
      <c r="B465" s="66" t="s">
        <v>2390</v>
      </c>
      <c r="C465" s="66" t="s">
        <v>120</v>
      </c>
      <c r="D465" s="66" t="s">
        <v>2766</v>
      </c>
      <c r="E465" s="67" t="s">
        <v>120</v>
      </c>
      <c r="F465" s="67" t="s">
        <v>2747</v>
      </c>
      <c r="G465" s="66" t="s">
        <v>2323</v>
      </c>
    </row>
    <row r="466" spans="1:7" ht="15" customHeight="1">
      <c r="A466" s="66" t="s">
        <v>2469</v>
      </c>
      <c r="B466" s="66" t="s">
        <v>2466</v>
      </c>
      <c r="C466" s="66" t="s">
        <v>2470</v>
      </c>
      <c r="D466" s="66" t="s">
        <v>2766</v>
      </c>
      <c r="E466" s="67" t="s">
        <v>120</v>
      </c>
      <c r="F466" s="67" t="s">
        <v>2747</v>
      </c>
      <c r="G466" s="66" t="s">
        <v>2323</v>
      </c>
    </row>
    <row r="467" spans="1:7" ht="15" customHeight="1">
      <c r="A467" s="66" t="s">
        <v>2392</v>
      </c>
      <c r="B467" s="66" t="s">
        <v>2390</v>
      </c>
      <c r="C467" s="66" t="s">
        <v>2393</v>
      </c>
      <c r="D467" s="66" t="s">
        <v>2766</v>
      </c>
      <c r="E467" s="67" t="s">
        <v>120</v>
      </c>
      <c r="F467" s="67" t="s">
        <v>2747</v>
      </c>
      <c r="G467" s="66" t="s">
        <v>2394</v>
      </c>
    </row>
    <row r="468" spans="1:7" ht="15" customHeight="1">
      <c r="A468" s="66" t="s">
        <v>2471</v>
      </c>
      <c r="B468" s="66" t="s">
        <v>2472</v>
      </c>
      <c r="C468" s="66" t="s">
        <v>120</v>
      </c>
      <c r="D468" s="66" t="s">
        <v>2766</v>
      </c>
      <c r="E468" s="67" t="s">
        <v>120</v>
      </c>
      <c r="F468" s="67" t="s">
        <v>2747</v>
      </c>
      <c r="G468" s="66" t="s">
        <v>2473</v>
      </c>
    </row>
    <row r="469" spans="1:7" ht="15" customHeight="1">
      <c r="A469" s="66" t="s">
        <v>2474</v>
      </c>
      <c r="B469" s="66" t="s">
        <v>2472</v>
      </c>
      <c r="C469" s="66" t="s">
        <v>120</v>
      </c>
      <c r="D469" s="66" t="s">
        <v>2766</v>
      </c>
      <c r="E469" s="67" t="s">
        <v>120</v>
      </c>
      <c r="F469" s="67" t="s">
        <v>2747</v>
      </c>
      <c r="G469" s="66" t="s">
        <v>2323</v>
      </c>
    </row>
    <row r="470" spans="1:7" ht="15" customHeight="1">
      <c r="A470" s="92" t="s">
        <v>2673</v>
      </c>
      <c r="B470" s="92"/>
      <c r="C470" s="92"/>
      <c r="D470" s="92"/>
      <c r="E470" s="93"/>
      <c r="F470" s="92"/>
      <c r="G470" s="92"/>
    </row>
    <row r="471" spans="1:7" ht="15" customHeight="1">
      <c r="A471" s="66" t="s">
        <v>2476</v>
      </c>
      <c r="B471" s="66" t="s">
        <v>2477</v>
      </c>
      <c r="C471" s="66" t="s">
        <v>120</v>
      </c>
      <c r="D471" s="66" t="s">
        <v>2766</v>
      </c>
      <c r="E471" s="67" t="s">
        <v>120</v>
      </c>
      <c r="F471" s="67" t="s">
        <v>2747</v>
      </c>
      <c r="G471" s="66" t="s">
        <v>2478</v>
      </c>
    </row>
    <row r="472" spans="1:7" ht="15" customHeight="1">
      <c r="A472" s="66" t="s">
        <v>2333</v>
      </c>
      <c r="B472" s="66" t="s">
        <v>2334</v>
      </c>
      <c r="C472" s="66" t="s">
        <v>2335</v>
      </c>
      <c r="D472" s="66" t="s">
        <v>2766</v>
      </c>
      <c r="E472" s="67" t="s">
        <v>2451</v>
      </c>
      <c r="F472" s="67" t="s">
        <v>2747</v>
      </c>
      <c r="G472" s="66" t="s">
        <v>2323</v>
      </c>
    </row>
    <row r="473" spans="1:7" ht="15" customHeight="1">
      <c r="A473" s="66" t="s">
        <v>2336</v>
      </c>
      <c r="B473" s="66" t="s">
        <v>2334</v>
      </c>
      <c r="C473" s="66" t="s">
        <v>2329</v>
      </c>
      <c r="D473" s="66" t="s">
        <v>2766</v>
      </c>
      <c r="E473" s="67" t="s">
        <v>2451</v>
      </c>
      <c r="F473" s="67" t="s">
        <v>2747</v>
      </c>
      <c r="G473" s="66" t="s">
        <v>2323</v>
      </c>
    </row>
    <row r="474" spans="1:7" ht="15" customHeight="1">
      <c r="A474" s="66" t="s">
        <v>2337</v>
      </c>
      <c r="B474" s="66" t="s">
        <v>2334</v>
      </c>
      <c r="C474" s="66" t="s">
        <v>2329</v>
      </c>
      <c r="D474" s="66" t="s">
        <v>2766</v>
      </c>
      <c r="E474" s="67" t="s">
        <v>2451</v>
      </c>
      <c r="F474" s="67" t="s">
        <v>2747</v>
      </c>
      <c r="G474" s="66" t="s">
        <v>2323</v>
      </c>
    </row>
    <row r="475" spans="1:7" ht="15" customHeight="1">
      <c r="A475" s="66" t="s">
        <v>2338</v>
      </c>
      <c r="B475" s="66" t="s">
        <v>2339</v>
      </c>
      <c r="C475" s="66" t="s">
        <v>2329</v>
      </c>
      <c r="D475" s="66" t="s">
        <v>2766</v>
      </c>
      <c r="E475" s="67" t="s">
        <v>2451</v>
      </c>
      <c r="F475" s="67" t="s">
        <v>2747</v>
      </c>
      <c r="G475" s="66" t="s">
        <v>2323</v>
      </c>
    </row>
    <row r="476" spans="1:7" ht="15" customHeight="1">
      <c r="A476" s="66" t="s">
        <v>2340</v>
      </c>
      <c r="B476" s="66"/>
      <c r="C476" s="66" t="s">
        <v>2329</v>
      </c>
      <c r="D476" s="66" t="s">
        <v>2766</v>
      </c>
      <c r="E476" s="67" t="s">
        <v>2451</v>
      </c>
      <c r="F476" s="67" t="s">
        <v>2747</v>
      </c>
      <c r="G476" s="66" t="s">
        <v>2323</v>
      </c>
    </row>
    <row r="477" spans="1:7" ht="15" customHeight="1">
      <c r="A477" s="66" t="s">
        <v>2341</v>
      </c>
      <c r="B477" s="66"/>
      <c r="C477" s="66" t="s">
        <v>2329</v>
      </c>
      <c r="D477" s="66" t="s">
        <v>2766</v>
      </c>
      <c r="E477" s="67" t="s">
        <v>2451</v>
      </c>
      <c r="F477" s="67" t="s">
        <v>2747</v>
      </c>
      <c r="G477" s="66" t="s">
        <v>2323</v>
      </c>
    </row>
    <row r="478" spans="1:7" ht="15" customHeight="1">
      <c r="A478" s="66" t="s">
        <v>2342</v>
      </c>
      <c r="B478" s="66"/>
      <c r="C478" s="66" t="s">
        <v>2329</v>
      </c>
      <c r="D478" s="66" t="s">
        <v>2766</v>
      </c>
      <c r="E478" s="67" t="s">
        <v>2451</v>
      </c>
      <c r="F478" s="67" t="s">
        <v>2747</v>
      </c>
      <c r="G478" s="66" t="s">
        <v>2323</v>
      </c>
    </row>
    <row r="479" spans="1:7" ht="15" customHeight="1">
      <c r="A479" s="92" t="s">
        <v>2674</v>
      </c>
      <c r="B479" s="92"/>
      <c r="C479" s="92"/>
      <c r="D479" s="92"/>
      <c r="E479" s="93"/>
      <c r="F479" s="92"/>
      <c r="G479" s="92"/>
    </row>
    <row r="480" spans="1:7" ht="15" customHeight="1">
      <c r="A480" s="66" t="s">
        <v>2480</v>
      </c>
      <c r="B480" s="66" t="s">
        <v>2481</v>
      </c>
      <c r="C480" s="66" t="s">
        <v>120</v>
      </c>
      <c r="D480" s="66" t="s">
        <v>2766</v>
      </c>
      <c r="E480" s="67" t="s">
        <v>120</v>
      </c>
      <c r="F480" s="67" t="s">
        <v>2747</v>
      </c>
      <c r="G480" s="66" t="s">
        <v>2323</v>
      </c>
    </row>
    <row r="481" spans="1:7" ht="15" customHeight="1">
      <c r="A481" s="66" t="s">
        <v>2482</v>
      </c>
      <c r="B481" s="66" t="s">
        <v>2483</v>
      </c>
      <c r="C481" s="66" t="s">
        <v>120</v>
      </c>
      <c r="D481" s="66" t="s">
        <v>2766</v>
      </c>
      <c r="E481" s="67" t="s">
        <v>120</v>
      </c>
      <c r="F481" s="67" t="s">
        <v>2747</v>
      </c>
      <c r="G481" s="66" t="s">
        <v>2323</v>
      </c>
    </row>
    <row r="482" spans="1:7" ht="15">
      <c r="A482" s="66" t="s">
        <v>2484</v>
      </c>
      <c r="B482" s="66" t="s">
        <v>2483</v>
      </c>
      <c r="C482" s="66" t="s">
        <v>2485</v>
      </c>
      <c r="D482" s="66" t="s">
        <v>2766</v>
      </c>
      <c r="E482" s="67" t="s">
        <v>120</v>
      </c>
      <c r="F482" s="67" t="s">
        <v>2747</v>
      </c>
      <c r="G482" s="66" t="s">
        <v>2486</v>
      </c>
    </row>
    <row r="483" spans="1:7" ht="15">
      <c r="A483" s="66" t="s">
        <v>2487</v>
      </c>
      <c r="B483" s="66" t="s">
        <v>2488</v>
      </c>
      <c r="C483" s="66" t="s">
        <v>120</v>
      </c>
      <c r="D483" s="66" t="s">
        <v>2766</v>
      </c>
      <c r="E483" s="67" t="s">
        <v>120</v>
      </c>
      <c r="F483" s="67" t="s">
        <v>2747</v>
      </c>
      <c r="G483" s="66" t="s">
        <v>2323</v>
      </c>
    </row>
    <row r="484" spans="1:7" ht="15">
      <c r="A484" s="66" t="s">
        <v>2344</v>
      </c>
      <c r="B484" s="66"/>
      <c r="C484" s="66" t="s">
        <v>2345</v>
      </c>
      <c r="D484" s="66" t="s">
        <v>2766</v>
      </c>
      <c r="E484" s="67" t="s">
        <v>120</v>
      </c>
      <c r="F484" s="67" t="s">
        <v>2747</v>
      </c>
      <c r="G484" s="66" t="s">
        <v>2323</v>
      </c>
    </row>
    <row r="485" spans="1:7" ht="15">
      <c r="A485" s="66" t="s">
        <v>2347</v>
      </c>
      <c r="B485" s="66"/>
      <c r="C485" s="66" t="s">
        <v>2329</v>
      </c>
      <c r="D485" s="66" t="s">
        <v>2766</v>
      </c>
      <c r="E485" s="67" t="s">
        <v>2451</v>
      </c>
      <c r="F485" s="67" t="s">
        <v>2747</v>
      </c>
      <c r="G485" s="66" t="s">
        <v>2323</v>
      </c>
    </row>
    <row r="486" spans="1:7" ht="15">
      <c r="A486" s="66" t="s">
        <v>2348</v>
      </c>
      <c r="B486" s="66"/>
      <c r="C486" s="66" t="s">
        <v>2329</v>
      </c>
      <c r="D486" s="66" t="s">
        <v>2766</v>
      </c>
      <c r="E486" s="67" t="s">
        <v>2451</v>
      </c>
      <c r="F486" s="67" t="s">
        <v>2747</v>
      </c>
      <c r="G486" s="66" t="s">
        <v>2323</v>
      </c>
    </row>
    <row r="487" spans="1:7" ht="15">
      <c r="A487" s="66" t="s">
        <v>2489</v>
      </c>
      <c r="B487" s="66" t="s">
        <v>2483</v>
      </c>
      <c r="C487" s="66" t="s">
        <v>2490</v>
      </c>
      <c r="D487" s="66" t="s">
        <v>2766</v>
      </c>
      <c r="E487" s="67" t="s">
        <v>2490</v>
      </c>
      <c r="F487" s="67" t="s">
        <v>2747</v>
      </c>
      <c r="G487" s="66" t="s">
        <v>2323</v>
      </c>
    </row>
    <row r="488" spans="1:7" ht="15">
      <c r="A488" s="66" t="s">
        <v>2491</v>
      </c>
      <c r="B488" s="66" t="s">
        <v>2488</v>
      </c>
      <c r="C488" s="66" t="s">
        <v>120</v>
      </c>
      <c r="D488" s="66" t="s">
        <v>2766</v>
      </c>
      <c r="E488" s="67" t="s">
        <v>120</v>
      </c>
      <c r="F488" s="67" t="s">
        <v>2747</v>
      </c>
      <c r="G488" s="66" t="s">
        <v>2323</v>
      </c>
    </row>
    <row r="489" spans="1:7" ht="17.25">
      <c r="A489" s="92" t="s">
        <v>2675</v>
      </c>
      <c r="B489" s="92"/>
      <c r="C489" s="92"/>
      <c r="D489" s="92"/>
      <c r="E489" s="93"/>
      <c r="F489" s="92"/>
      <c r="G489" s="92"/>
    </row>
    <row r="490" spans="1:7" ht="15">
      <c r="A490" s="66" t="s">
        <v>2493</v>
      </c>
      <c r="B490" s="66"/>
      <c r="C490" s="66" t="s">
        <v>2490</v>
      </c>
      <c r="D490" s="66" t="s">
        <v>2766</v>
      </c>
      <c r="E490" s="67" t="s">
        <v>2490</v>
      </c>
      <c r="F490" s="67" t="s">
        <v>2747</v>
      </c>
      <c r="G490" s="66" t="s">
        <v>2323</v>
      </c>
    </row>
    <row r="491" spans="1:7" ht="15">
      <c r="A491" s="66" t="s">
        <v>2494</v>
      </c>
      <c r="B491" s="66"/>
      <c r="C491" s="66" t="s">
        <v>2490</v>
      </c>
      <c r="D491" s="66" t="s">
        <v>2766</v>
      </c>
      <c r="E491" s="67" t="s">
        <v>2490</v>
      </c>
      <c r="F491" s="67" t="s">
        <v>2747</v>
      </c>
      <c r="G491" s="66" t="s">
        <v>2323</v>
      </c>
    </row>
    <row r="492" spans="1:7" ht="15">
      <c r="A492" s="66" t="s">
        <v>2400</v>
      </c>
      <c r="B492" s="66"/>
      <c r="C492" s="66" t="s">
        <v>2401</v>
      </c>
      <c r="D492" s="66" t="s">
        <v>2766</v>
      </c>
      <c r="E492" s="67" t="s">
        <v>2490</v>
      </c>
      <c r="F492" s="67" t="s">
        <v>2747</v>
      </c>
      <c r="G492" s="66" t="s">
        <v>2323</v>
      </c>
    </row>
    <row r="493" spans="1:7" ht="15">
      <c r="A493" s="66" t="s">
        <v>2495</v>
      </c>
      <c r="B493" s="66" t="s">
        <v>2483</v>
      </c>
      <c r="C493" s="66" t="s">
        <v>120</v>
      </c>
      <c r="D493" s="66" t="s">
        <v>2766</v>
      </c>
      <c r="E493" s="67" t="s">
        <v>120</v>
      </c>
      <c r="F493" s="67" t="s">
        <v>2747</v>
      </c>
      <c r="G493" s="66" t="s">
        <v>2323</v>
      </c>
    </row>
    <row r="494" spans="1:7" ht="15">
      <c r="A494" s="66" t="s">
        <v>2496</v>
      </c>
      <c r="B494" s="66" t="s">
        <v>2483</v>
      </c>
      <c r="C494" s="66" t="s">
        <v>120</v>
      </c>
      <c r="D494" s="66" t="s">
        <v>2766</v>
      </c>
      <c r="E494" s="67" t="s">
        <v>120</v>
      </c>
      <c r="F494" s="67" t="s">
        <v>2747</v>
      </c>
      <c r="G494" s="66" t="s">
        <v>2323</v>
      </c>
    </row>
    <row r="495" spans="1:7" ht="15">
      <c r="A495" s="66" t="s">
        <v>2497</v>
      </c>
      <c r="B495" s="66" t="s">
        <v>2339</v>
      </c>
      <c r="C495" s="66" t="s">
        <v>120</v>
      </c>
      <c r="D495" s="66" t="s">
        <v>2766</v>
      </c>
      <c r="E495" s="67" t="s">
        <v>120</v>
      </c>
      <c r="F495" s="67" t="s">
        <v>2747</v>
      </c>
      <c r="G495" s="66" t="s">
        <v>2323</v>
      </c>
    </row>
    <row r="496" spans="1:7" ht="15">
      <c r="A496" s="66" t="s">
        <v>2498</v>
      </c>
      <c r="B496" s="66" t="s">
        <v>2499</v>
      </c>
      <c r="C496" s="66" t="s">
        <v>2490</v>
      </c>
      <c r="D496" s="66" t="s">
        <v>2766</v>
      </c>
      <c r="E496" s="67" t="s">
        <v>2490</v>
      </c>
      <c r="F496" s="67" t="s">
        <v>2747</v>
      </c>
      <c r="G496" s="66" t="s">
        <v>2323</v>
      </c>
    </row>
    <row r="497" spans="1:7" ht="15">
      <c r="A497" s="66" t="s">
        <v>2500</v>
      </c>
      <c r="B497" s="66" t="s">
        <v>2499</v>
      </c>
      <c r="C497" s="66" t="s">
        <v>2490</v>
      </c>
      <c r="D497" s="66" t="s">
        <v>2766</v>
      </c>
      <c r="E497" s="67" t="s">
        <v>2490</v>
      </c>
      <c r="F497" s="67" t="s">
        <v>2747</v>
      </c>
      <c r="G497" s="66" t="s">
        <v>2323</v>
      </c>
    </row>
    <row r="498" spans="1:7" ht="15">
      <c r="A498" s="66" t="s">
        <v>2350</v>
      </c>
      <c r="B498" s="66"/>
      <c r="C498" s="66" t="s">
        <v>2329</v>
      </c>
      <c r="D498" s="66" t="s">
        <v>2766</v>
      </c>
      <c r="E498" s="67" t="s">
        <v>2451</v>
      </c>
      <c r="F498" s="67" t="s">
        <v>2747</v>
      </c>
      <c r="G498" s="66" t="s">
        <v>2323</v>
      </c>
    </row>
    <row r="499" spans="1:7" ht="15">
      <c r="A499" s="66" t="s">
        <v>2501</v>
      </c>
      <c r="B499" s="66" t="s">
        <v>2499</v>
      </c>
      <c r="C499" s="66" t="s">
        <v>120</v>
      </c>
      <c r="D499" s="66" t="s">
        <v>2766</v>
      </c>
      <c r="E499" s="67" t="s">
        <v>120</v>
      </c>
      <c r="F499" s="67" t="s">
        <v>2747</v>
      </c>
      <c r="G499" s="66" t="s">
        <v>2502</v>
      </c>
    </row>
    <row r="500" spans="1:7" ht="17.25">
      <c r="A500" s="92" t="s">
        <v>2770</v>
      </c>
      <c r="B500" s="92"/>
      <c r="C500" s="92"/>
      <c r="D500" s="92"/>
      <c r="E500" s="93"/>
      <c r="F500" s="92"/>
      <c r="G500" s="92"/>
    </row>
    <row r="501" spans="1:7" ht="15">
      <c r="A501" s="66" t="s">
        <v>2504</v>
      </c>
      <c r="B501" s="66" t="s">
        <v>2505</v>
      </c>
      <c r="C501" s="66" t="s">
        <v>120</v>
      </c>
      <c r="D501" s="66" t="s">
        <v>2766</v>
      </c>
      <c r="E501" s="67" t="s">
        <v>120</v>
      </c>
      <c r="F501" s="67" t="s">
        <v>2747</v>
      </c>
      <c r="G501" s="66" t="s">
        <v>2323</v>
      </c>
    </row>
    <row r="502" spans="1:7" ht="15">
      <c r="A502" s="66" t="s">
        <v>2506</v>
      </c>
      <c r="B502" s="66" t="s">
        <v>2435</v>
      </c>
      <c r="C502" s="66" t="s">
        <v>120</v>
      </c>
      <c r="D502" s="66" t="s">
        <v>2766</v>
      </c>
      <c r="E502" s="67" t="s">
        <v>120</v>
      </c>
      <c r="F502" s="67" t="s">
        <v>2747</v>
      </c>
      <c r="G502" s="66" t="s">
        <v>2323</v>
      </c>
    </row>
    <row r="503" spans="1:7" ht="15">
      <c r="A503" s="66" t="s">
        <v>2507</v>
      </c>
      <c r="B503" s="66" t="s">
        <v>2435</v>
      </c>
      <c r="C503" s="66" t="s">
        <v>120</v>
      </c>
      <c r="D503" s="66" t="s">
        <v>2766</v>
      </c>
      <c r="E503" s="67" t="s">
        <v>120</v>
      </c>
      <c r="F503" s="67" t="s">
        <v>2747</v>
      </c>
      <c r="G503" s="66" t="s">
        <v>2323</v>
      </c>
    </row>
    <row r="504" spans="1:7" ht="17.25">
      <c r="A504" s="92" t="s">
        <v>2676</v>
      </c>
      <c r="B504" s="92"/>
      <c r="C504" s="92"/>
      <c r="D504" s="92"/>
      <c r="E504" s="93"/>
      <c r="F504" s="92"/>
      <c r="G504" s="92"/>
    </row>
    <row r="505" spans="1:7" ht="15">
      <c r="A505" s="66" t="s">
        <v>2509</v>
      </c>
      <c r="B505" s="66" t="s">
        <v>2353</v>
      </c>
      <c r="C505" s="66" t="s">
        <v>2490</v>
      </c>
      <c r="D505" s="66" t="s">
        <v>2766</v>
      </c>
      <c r="E505" s="67" t="s">
        <v>2490</v>
      </c>
      <c r="F505" s="67" t="s">
        <v>2747</v>
      </c>
      <c r="G505" s="66" t="s">
        <v>2510</v>
      </c>
    </row>
    <row r="506" spans="1:7" ht="15">
      <c r="A506" s="66" t="s">
        <v>2511</v>
      </c>
      <c r="B506" s="66" t="s">
        <v>2407</v>
      </c>
      <c r="C506" s="66" t="s">
        <v>120</v>
      </c>
      <c r="D506" s="66" t="s">
        <v>2766</v>
      </c>
      <c r="E506" s="67" t="s">
        <v>120</v>
      </c>
      <c r="F506" s="67" t="s">
        <v>2747</v>
      </c>
      <c r="G506" s="66" t="s">
        <v>2512</v>
      </c>
    </row>
    <row r="507" spans="1:7" ht="15">
      <c r="A507" s="66" t="s">
        <v>2513</v>
      </c>
      <c r="B507" s="66" t="s">
        <v>2404</v>
      </c>
      <c r="C507" s="66" t="s">
        <v>120</v>
      </c>
      <c r="D507" s="66" t="s">
        <v>2766</v>
      </c>
      <c r="E507" s="67" t="s">
        <v>120</v>
      </c>
      <c r="F507" s="67" t="s">
        <v>2747</v>
      </c>
      <c r="G507" s="66" t="s">
        <v>2514</v>
      </c>
    </row>
    <row r="508" spans="1:7" ht="15">
      <c r="A508" s="66" t="s">
        <v>2515</v>
      </c>
      <c r="B508" s="66" t="s">
        <v>2516</v>
      </c>
      <c r="C508" s="66" t="s">
        <v>120</v>
      </c>
      <c r="D508" s="66" t="s">
        <v>2766</v>
      </c>
      <c r="E508" s="67" t="s">
        <v>120</v>
      </c>
      <c r="F508" s="67" t="s">
        <v>2747</v>
      </c>
      <c r="G508" s="66" t="s">
        <v>2517</v>
      </c>
    </row>
    <row r="509" spans="1:7" ht="15">
      <c r="A509" s="66" t="s">
        <v>2358</v>
      </c>
      <c r="B509" s="66"/>
      <c r="C509" s="66" t="s">
        <v>2329</v>
      </c>
      <c r="D509" s="66" t="s">
        <v>2766</v>
      </c>
      <c r="E509" s="67" t="s">
        <v>2451</v>
      </c>
      <c r="F509" s="67" t="s">
        <v>2747</v>
      </c>
      <c r="G509" s="66" t="s">
        <v>2323</v>
      </c>
    </row>
    <row r="510" spans="1:7" ht="17.25">
      <c r="A510" s="92" t="s">
        <v>2677</v>
      </c>
      <c r="B510" s="92"/>
      <c r="C510" s="92"/>
      <c r="D510" s="92"/>
      <c r="E510" s="93"/>
      <c r="F510" s="92"/>
      <c r="G510" s="92"/>
    </row>
    <row r="511" spans="1:7" ht="15">
      <c r="A511" s="66" t="s">
        <v>2519</v>
      </c>
      <c r="B511" s="66" t="s">
        <v>2407</v>
      </c>
      <c r="C511" s="66" t="s">
        <v>120</v>
      </c>
      <c r="D511" s="66" t="s">
        <v>2766</v>
      </c>
      <c r="E511" s="67" t="s">
        <v>120</v>
      </c>
      <c r="F511" s="67" t="s">
        <v>2747</v>
      </c>
      <c r="G511" s="66" t="s">
        <v>2520</v>
      </c>
    </row>
    <row r="512" spans="1:7" ht="15">
      <c r="A512" s="66" t="s">
        <v>2521</v>
      </c>
      <c r="B512" s="66" t="s">
        <v>2407</v>
      </c>
      <c r="C512" s="66" t="s">
        <v>120</v>
      </c>
      <c r="D512" s="66" t="s">
        <v>2766</v>
      </c>
      <c r="E512" s="67" t="s">
        <v>120</v>
      </c>
      <c r="F512" s="67" t="s">
        <v>2747</v>
      </c>
      <c r="G512" s="66" t="s">
        <v>2323</v>
      </c>
    </row>
    <row r="513" spans="1:7" ht="15">
      <c r="A513" s="66" t="s">
        <v>2522</v>
      </c>
      <c r="B513" s="66" t="s">
        <v>2523</v>
      </c>
      <c r="C513" s="66" t="s">
        <v>120</v>
      </c>
      <c r="D513" s="66" t="s">
        <v>2766</v>
      </c>
      <c r="E513" s="67" t="s">
        <v>120</v>
      </c>
      <c r="F513" s="67" t="s">
        <v>2747</v>
      </c>
      <c r="G513" s="66" t="s">
        <v>2524</v>
      </c>
    </row>
    <row r="514" spans="1:7" ht="15">
      <c r="A514" s="66" t="s">
        <v>2525</v>
      </c>
      <c r="B514" s="66" t="s">
        <v>2412</v>
      </c>
      <c r="C514" s="66" t="s">
        <v>120</v>
      </c>
      <c r="D514" s="66" t="s">
        <v>2766</v>
      </c>
      <c r="E514" s="67" t="s">
        <v>120</v>
      </c>
      <c r="F514" s="67" t="s">
        <v>2747</v>
      </c>
      <c r="G514" s="66" t="s">
        <v>2520</v>
      </c>
    </row>
    <row r="515" spans="1:7" ht="15">
      <c r="A515" s="66" t="s">
        <v>2526</v>
      </c>
      <c r="B515" s="66" t="s">
        <v>2412</v>
      </c>
      <c r="C515" s="66" t="s">
        <v>120</v>
      </c>
      <c r="D515" s="66" t="s">
        <v>2766</v>
      </c>
      <c r="E515" s="67" t="s">
        <v>120</v>
      </c>
      <c r="F515" s="67" t="s">
        <v>2747</v>
      </c>
      <c r="G515" s="66" t="s">
        <v>2527</v>
      </c>
    </row>
    <row r="516" spans="1:7" ht="15">
      <c r="A516" s="66" t="s">
        <v>2528</v>
      </c>
      <c r="B516" s="66" t="s">
        <v>2529</v>
      </c>
      <c r="C516" s="66" t="s">
        <v>2490</v>
      </c>
      <c r="D516" s="66" t="s">
        <v>2766</v>
      </c>
      <c r="E516" s="67" t="s">
        <v>2490</v>
      </c>
      <c r="F516" s="67" t="s">
        <v>2747</v>
      </c>
      <c r="G516" s="66" t="s">
        <v>2323</v>
      </c>
    </row>
    <row r="517" spans="1:7" ht="15">
      <c r="A517" s="66" t="s">
        <v>2413</v>
      </c>
      <c r="B517" s="66" t="s">
        <v>2407</v>
      </c>
      <c r="C517" s="66" t="s">
        <v>2414</v>
      </c>
      <c r="D517" s="66" t="s">
        <v>2766</v>
      </c>
      <c r="E517" s="67" t="s">
        <v>2771</v>
      </c>
      <c r="F517" s="67" t="s">
        <v>2747</v>
      </c>
      <c r="G517" s="66" t="s">
        <v>2416</v>
      </c>
    </row>
    <row r="518" spans="1:7" ht="15">
      <c r="A518" s="66" t="s">
        <v>2532</v>
      </c>
      <c r="B518" s="66" t="s">
        <v>2529</v>
      </c>
      <c r="C518" s="66" t="s">
        <v>2533</v>
      </c>
      <c r="D518" s="66" t="s">
        <v>2766</v>
      </c>
      <c r="E518" s="67" t="s">
        <v>120</v>
      </c>
      <c r="F518" s="67" t="s">
        <v>2747</v>
      </c>
      <c r="G518" s="66" t="s">
        <v>2323</v>
      </c>
    </row>
    <row r="519" spans="1:7" ht="15">
      <c r="A519" s="66" t="s">
        <v>2534</v>
      </c>
      <c r="B519" s="66" t="s">
        <v>2363</v>
      </c>
      <c r="C519" s="66" t="s">
        <v>120</v>
      </c>
      <c r="D519" s="66" t="s">
        <v>2766</v>
      </c>
      <c r="E519" s="67" t="s">
        <v>120</v>
      </c>
      <c r="F519" s="67" t="s">
        <v>2747</v>
      </c>
      <c r="G519" s="66" t="s">
        <v>2535</v>
      </c>
    </row>
    <row r="520" spans="1:7" ht="17.25">
      <c r="A520" s="92" t="s">
        <v>2772</v>
      </c>
      <c r="B520" s="92"/>
      <c r="C520" s="92"/>
      <c r="D520" s="92"/>
      <c r="E520" s="93"/>
      <c r="F520" s="92"/>
      <c r="G520" s="92"/>
    </row>
    <row r="521" spans="1:7" ht="15">
      <c r="A521" s="66" t="s">
        <v>2537</v>
      </c>
      <c r="B521" s="66" t="s">
        <v>2538</v>
      </c>
      <c r="C521" s="66" t="s">
        <v>120</v>
      </c>
      <c r="D521" s="66" t="s">
        <v>2766</v>
      </c>
      <c r="E521" s="67" t="s">
        <v>120</v>
      </c>
      <c r="F521" s="67" t="s">
        <v>2747</v>
      </c>
      <c r="G521" s="66" t="s">
        <v>2323</v>
      </c>
    </row>
    <row r="522" spans="1:7" ht="15">
      <c r="A522" s="66" t="s">
        <v>2539</v>
      </c>
      <c r="B522" s="66" t="s">
        <v>2538</v>
      </c>
      <c r="C522" s="66" t="s">
        <v>2490</v>
      </c>
      <c r="D522" s="66" t="s">
        <v>2766</v>
      </c>
      <c r="E522" s="67" t="s">
        <v>2490</v>
      </c>
      <c r="F522" s="67" t="s">
        <v>2747</v>
      </c>
      <c r="G522" s="66" t="s">
        <v>2540</v>
      </c>
    </row>
    <row r="523" spans="1:7" ht="15">
      <c r="A523" s="66" t="s">
        <v>2541</v>
      </c>
      <c r="B523" s="66" t="s">
        <v>2542</v>
      </c>
      <c r="C523" s="66" t="s">
        <v>2543</v>
      </c>
      <c r="D523" s="66" t="s">
        <v>2766</v>
      </c>
      <c r="E523" s="67" t="s">
        <v>120</v>
      </c>
      <c r="F523" s="67" t="s">
        <v>2747</v>
      </c>
      <c r="G523" s="66" t="s">
        <v>2323</v>
      </c>
    </row>
    <row r="524" spans="1:7" ht="15">
      <c r="A524" s="66" t="s">
        <v>2421</v>
      </c>
      <c r="B524" s="66" t="s">
        <v>2422</v>
      </c>
      <c r="C524" s="66" t="s">
        <v>2423</v>
      </c>
      <c r="D524" s="66" t="s">
        <v>2766</v>
      </c>
      <c r="E524" s="67" t="s">
        <v>2773</v>
      </c>
      <c r="F524" s="67" t="s">
        <v>2747</v>
      </c>
      <c r="G524" s="66" t="s">
        <v>2425</v>
      </c>
    </row>
    <row r="525" spans="1:7" ht="15">
      <c r="A525" s="66" t="s">
        <v>2545</v>
      </c>
      <c r="B525" s="66" t="s">
        <v>2422</v>
      </c>
      <c r="C525" s="66" t="s">
        <v>2461</v>
      </c>
      <c r="D525" s="66" t="s">
        <v>2766</v>
      </c>
      <c r="E525" s="67" t="s">
        <v>120</v>
      </c>
      <c r="F525" s="67" t="s">
        <v>2747</v>
      </c>
      <c r="G525" s="66" t="s">
        <v>2546</v>
      </c>
    </row>
    <row r="526" spans="1:7" ht="15">
      <c r="A526" s="66" t="s">
        <v>2547</v>
      </c>
      <c r="B526" s="66" t="s">
        <v>2538</v>
      </c>
      <c r="C526" s="66" t="s">
        <v>2548</v>
      </c>
      <c r="D526" s="66" t="s">
        <v>2766</v>
      </c>
      <c r="E526" s="67" t="s">
        <v>120</v>
      </c>
      <c r="F526" s="67" t="s">
        <v>2747</v>
      </c>
      <c r="G526" s="66" t="s">
        <v>2323</v>
      </c>
    </row>
    <row r="527" spans="1:7" ht="15">
      <c r="A527" s="66" t="s">
        <v>2549</v>
      </c>
      <c r="B527" s="66" t="s">
        <v>2538</v>
      </c>
      <c r="C527" s="66" t="s">
        <v>2550</v>
      </c>
      <c r="D527" s="66" t="s">
        <v>2766</v>
      </c>
      <c r="E527" s="67" t="s">
        <v>120</v>
      </c>
      <c r="F527" s="67" t="s">
        <v>2747</v>
      </c>
      <c r="G527" s="66" t="s">
        <v>2551</v>
      </c>
    </row>
    <row r="528" spans="1:7" ht="15">
      <c r="A528" s="66" t="s">
        <v>2552</v>
      </c>
      <c r="B528" s="66" t="s">
        <v>2538</v>
      </c>
      <c r="C528" s="66" t="s">
        <v>2553</v>
      </c>
      <c r="D528" s="66" t="s">
        <v>2766</v>
      </c>
      <c r="E528" s="67" t="s">
        <v>120</v>
      </c>
      <c r="F528" s="67" t="s">
        <v>2747</v>
      </c>
      <c r="G528" s="66" t="s">
        <v>2323</v>
      </c>
    </row>
    <row r="529" spans="1:7" ht="17.25">
      <c r="A529" s="92" t="s">
        <v>2678</v>
      </c>
      <c r="B529" s="92"/>
      <c r="C529" s="92"/>
      <c r="D529" s="92"/>
      <c r="E529" s="93"/>
      <c r="F529" s="92"/>
      <c r="G529" s="92"/>
    </row>
    <row r="530" spans="1:7" ht="15">
      <c r="A530" s="66" t="s">
        <v>2427</v>
      </c>
      <c r="B530" s="66" t="s">
        <v>2370</v>
      </c>
      <c r="C530" s="66" t="s">
        <v>2428</v>
      </c>
      <c r="D530" s="66" t="s">
        <v>2766</v>
      </c>
      <c r="E530" s="67" t="s">
        <v>120</v>
      </c>
      <c r="F530" s="67" t="s">
        <v>2747</v>
      </c>
      <c r="G530" s="66" t="s">
        <v>2429</v>
      </c>
    </row>
    <row r="531" spans="1:7" ht="15">
      <c r="A531" s="66" t="s">
        <v>2555</v>
      </c>
      <c r="B531" s="66" t="s">
        <v>2363</v>
      </c>
      <c r="C531" s="66" t="s">
        <v>2556</v>
      </c>
      <c r="D531" s="66" t="s">
        <v>2766</v>
      </c>
      <c r="E531" s="67" t="s">
        <v>120</v>
      </c>
      <c r="F531" s="67" t="s">
        <v>2747</v>
      </c>
      <c r="G531" s="66" t="s">
        <v>2557</v>
      </c>
    </row>
    <row r="532" spans="1:7" ht="15">
      <c r="A532" s="66" t="s">
        <v>2558</v>
      </c>
      <c r="B532" s="66" t="s">
        <v>2559</v>
      </c>
      <c r="C532" s="66" t="s">
        <v>2560</v>
      </c>
      <c r="D532" s="66" t="s">
        <v>2766</v>
      </c>
      <c r="E532" s="67" t="s">
        <v>120</v>
      </c>
      <c r="F532" s="67" t="s">
        <v>2747</v>
      </c>
      <c r="G532" s="66" t="s">
        <v>2561</v>
      </c>
    </row>
    <row r="533" spans="1:7" ht="15">
      <c r="A533" s="66" t="s">
        <v>2562</v>
      </c>
      <c r="B533" s="66" t="s">
        <v>2370</v>
      </c>
      <c r="C533" s="66" t="s">
        <v>120</v>
      </c>
      <c r="D533" s="66" t="s">
        <v>2766</v>
      </c>
      <c r="E533" s="67" t="s">
        <v>120</v>
      </c>
      <c r="F533" s="67" t="s">
        <v>2747</v>
      </c>
      <c r="G533" s="66" t="s">
        <v>2563</v>
      </c>
    </row>
    <row r="534" spans="1:7" ht="15">
      <c r="A534" s="66" t="s">
        <v>2372</v>
      </c>
      <c r="B534" s="66"/>
      <c r="C534" s="66" t="s">
        <v>2329</v>
      </c>
      <c r="D534" s="66" t="s">
        <v>2766</v>
      </c>
      <c r="E534" s="67" t="s">
        <v>2451</v>
      </c>
      <c r="F534" s="67" t="s">
        <v>2747</v>
      </c>
      <c r="G534" s="66" t="s">
        <v>2323</v>
      </c>
    </row>
    <row r="535" spans="1:7" ht="15">
      <c r="A535" s="66" t="s">
        <v>2564</v>
      </c>
      <c r="B535" s="66"/>
      <c r="C535" s="66" t="s">
        <v>120</v>
      </c>
      <c r="D535" s="66" t="s">
        <v>2766</v>
      </c>
      <c r="E535" s="67" t="s">
        <v>120</v>
      </c>
      <c r="F535" s="67" t="s">
        <v>2747</v>
      </c>
      <c r="G535" s="66" t="s">
        <v>2323</v>
      </c>
    </row>
    <row r="536" spans="1:7" ht="15">
      <c r="A536" s="66" t="s">
        <v>2565</v>
      </c>
      <c r="B536" s="66" t="s">
        <v>2370</v>
      </c>
      <c r="C536" s="66" t="s">
        <v>2566</v>
      </c>
      <c r="D536" s="66" t="s">
        <v>2766</v>
      </c>
      <c r="E536" s="67" t="s">
        <v>2566</v>
      </c>
      <c r="F536" s="67" t="s">
        <v>2747</v>
      </c>
      <c r="G536" s="66" t="s">
        <v>2567</v>
      </c>
    </row>
    <row r="537" spans="1:7" ht="17.25">
      <c r="A537" s="92" t="s">
        <v>2679</v>
      </c>
      <c r="B537" s="92"/>
      <c r="C537" s="92"/>
      <c r="D537" s="92"/>
      <c r="E537" s="93"/>
      <c r="F537" s="92"/>
      <c r="G537" s="92"/>
    </row>
    <row r="538" spans="1:7" ht="15">
      <c r="A538" s="66" t="s">
        <v>2374</v>
      </c>
      <c r="B538" s="66"/>
      <c r="C538" s="66" t="s">
        <v>2329</v>
      </c>
      <c r="D538" s="66" t="s">
        <v>2766</v>
      </c>
      <c r="E538" s="67" t="s">
        <v>2451</v>
      </c>
      <c r="F538" s="67" t="s">
        <v>2747</v>
      </c>
      <c r="G538" s="66" t="s">
        <v>2375</v>
      </c>
    </row>
    <row r="539" spans="1:7" ht="15">
      <c r="A539" s="66" t="s">
        <v>2569</v>
      </c>
      <c r="B539" s="66" t="s">
        <v>2570</v>
      </c>
      <c r="C539" s="66" t="s">
        <v>2571</v>
      </c>
      <c r="D539" s="66" t="s">
        <v>2766</v>
      </c>
      <c r="E539" s="67" t="s">
        <v>120</v>
      </c>
      <c r="F539" s="67" t="s">
        <v>2747</v>
      </c>
      <c r="G539" s="66" t="s">
        <v>2437</v>
      </c>
    </row>
    <row r="540" spans="1:7" ht="15">
      <c r="A540" s="66" t="s">
        <v>2572</v>
      </c>
      <c r="B540" s="66" t="s">
        <v>2432</v>
      </c>
      <c r="C540" s="66" t="s">
        <v>120</v>
      </c>
      <c r="D540" s="66" t="s">
        <v>2766</v>
      </c>
      <c r="E540" s="67" t="s">
        <v>120</v>
      </c>
      <c r="F540" s="67" t="s">
        <v>2747</v>
      </c>
      <c r="G540" s="66" t="s">
        <v>2573</v>
      </c>
    </row>
    <row r="541" spans="1:7" ht="15">
      <c r="A541" s="66" t="s">
        <v>2574</v>
      </c>
      <c r="B541" s="66" t="s">
        <v>2570</v>
      </c>
      <c r="C541" s="66" t="s">
        <v>120</v>
      </c>
      <c r="D541" s="66" t="s">
        <v>2766</v>
      </c>
      <c r="E541" s="67" t="s">
        <v>120</v>
      </c>
      <c r="F541" s="67" t="s">
        <v>2747</v>
      </c>
      <c r="G541" s="66" t="s">
        <v>2573</v>
      </c>
    </row>
    <row r="542" spans="1:7" ht="15">
      <c r="A542" s="66" t="s">
        <v>2575</v>
      </c>
      <c r="B542" s="66" t="s">
        <v>2576</v>
      </c>
      <c r="C542" s="66" t="s">
        <v>2490</v>
      </c>
      <c r="D542" s="66" t="s">
        <v>2766</v>
      </c>
      <c r="E542" s="67" t="s">
        <v>2490</v>
      </c>
      <c r="F542" s="67" t="s">
        <v>2747</v>
      </c>
      <c r="G542" s="66" t="s">
        <v>2577</v>
      </c>
    </row>
    <row r="543" spans="1:7" ht="15">
      <c r="A543" s="66" t="s">
        <v>2578</v>
      </c>
      <c r="B543" s="66" t="s">
        <v>2579</v>
      </c>
      <c r="C543" s="66" t="s">
        <v>2543</v>
      </c>
      <c r="D543" s="66" t="s">
        <v>2766</v>
      </c>
      <c r="E543" s="67" t="s">
        <v>120</v>
      </c>
      <c r="F543" s="67" t="s">
        <v>2747</v>
      </c>
      <c r="G543" s="66" t="s">
        <v>2580</v>
      </c>
    </row>
    <row r="544" spans="1:7" ht="17.25">
      <c r="A544" s="92" t="s">
        <v>2680</v>
      </c>
      <c r="B544" s="92"/>
      <c r="C544" s="92"/>
      <c r="D544" s="92"/>
      <c r="E544" s="93"/>
      <c r="F544" s="92"/>
      <c r="G544" s="92"/>
    </row>
    <row r="545" spans="1:7" ht="15">
      <c r="A545" s="66" t="s">
        <v>2315</v>
      </c>
      <c r="B545" s="66" t="s">
        <v>2316</v>
      </c>
      <c r="C545" s="66" t="s">
        <v>2317</v>
      </c>
      <c r="D545" s="66" t="s">
        <v>2774</v>
      </c>
      <c r="E545" s="67" t="s">
        <v>2319</v>
      </c>
      <c r="F545" s="67" t="s">
        <v>2747</v>
      </c>
      <c r="G545" s="66" t="s">
        <v>2320</v>
      </c>
    </row>
    <row r="546" spans="1:7" ht="15">
      <c r="A546" s="66" t="s">
        <v>2381</v>
      </c>
      <c r="B546" s="66"/>
      <c r="C546" s="66" t="s">
        <v>1396</v>
      </c>
      <c r="D546" s="66" t="s">
        <v>2774</v>
      </c>
      <c r="E546" s="67" t="s">
        <v>1396</v>
      </c>
      <c r="F546" s="67" t="s">
        <v>2747</v>
      </c>
      <c r="G546" s="66" t="s">
        <v>2323</v>
      </c>
    </row>
    <row r="547" spans="1:7" ht="15">
      <c r="A547" s="66" t="s">
        <v>2382</v>
      </c>
      <c r="B547" s="66"/>
      <c r="C547" s="66" t="s">
        <v>2383</v>
      </c>
      <c r="D547" s="66" t="s">
        <v>2774</v>
      </c>
      <c r="E547" s="67" t="s">
        <v>1396</v>
      </c>
      <c r="F547" s="67" t="s">
        <v>2747</v>
      </c>
      <c r="G547" s="66" t="s">
        <v>2323</v>
      </c>
    </row>
    <row r="548" spans="1:7" ht="15">
      <c r="A548" s="66" t="s">
        <v>2321</v>
      </c>
      <c r="B548" s="66" t="s">
        <v>2322</v>
      </c>
      <c r="C548" s="66" t="s">
        <v>2317</v>
      </c>
      <c r="D548" s="66" t="s">
        <v>2774</v>
      </c>
      <c r="E548" s="67" t="s">
        <v>2319</v>
      </c>
      <c r="F548" s="67" t="s">
        <v>2747</v>
      </c>
      <c r="G548" s="66" t="s">
        <v>2323</v>
      </c>
    </row>
    <row r="549" spans="1:7" ht="15">
      <c r="A549" s="66" t="s">
        <v>2324</v>
      </c>
      <c r="B549" s="66" t="s">
        <v>2322</v>
      </c>
      <c r="C549" s="66" t="s">
        <v>2317</v>
      </c>
      <c r="D549" s="66" t="s">
        <v>2774</v>
      </c>
      <c r="E549" s="67" t="s">
        <v>2319</v>
      </c>
      <c r="F549" s="67" t="s">
        <v>2747</v>
      </c>
      <c r="G549" s="66" t="s">
        <v>2323</v>
      </c>
    </row>
    <row r="550" spans="1:7" ht="15">
      <c r="A550" s="66" t="s">
        <v>2325</v>
      </c>
      <c r="B550" s="66" t="s">
        <v>2326</v>
      </c>
      <c r="C550" s="66" t="s">
        <v>2317</v>
      </c>
      <c r="D550" s="66" t="s">
        <v>2774</v>
      </c>
      <c r="E550" s="67" t="s">
        <v>2319</v>
      </c>
      <c r="F550" s="67" t="s">
        <v>2747</v>
      </c>
      <c r="G550" s="66" t="s">
        <v>2323</v>
      </c>
    </row>
    <row r="551" spans="1:7" ht="17.25">
      <c r="A551" s="92" t="s">
        <v>2682</v>
      </c>
      <c r="B551" s="92"/>
      <c r="C551" s="92"/>
      <c r="D551" s="92"/>
      <c r="E551" s="93"/>
      <c r="F551" s="92"/>
      <c r="G551" s="92"/>
    </row>
    <row r="552" spans="1:7" ht="15">
      <c r="A552" s="66" t="s">
        <v>2328</v>
      </c>
      <c r="B552" s="66"/>
      <c r="C552" s="66" t="s">
        <v>2329</v>
      </c>
      <c r="D552" s="66" t="s">
        <v>2774</v>
      </c>
      <c r="E552" s="67" t="s">
        <v>2330</v>
      </c>
      <c r="F552" s="67" t="s">
        <v>2747</v>
      </c>
      <c r="G552" s="66" t="s">
        <v>2331</v>
      </c>
    </row>
    <row r="553" spans="1:7" ht="17.25">
      <c r="A553" s="92" t="s">
        <v>2775</v>
      </c>
      <c r="B553" s="92"/>
      <c r="C553" s="92"/>
      <c r="D553" s="92"/>
      <c r="E553" s="93"/>
      <c r="F553" s="92"/>
      <c r="G553" s="92"/>
    </row>
    <row r="554" spans="1:7" ht="15">
      <c r="A554" s="66" t="s">
        <v>2458</v>
      </c>
      <c r="B554" s="66" t="s">
        <v>2457</v>
      </c>
      <c r="C554" s="66" t="s">
        <v>2459</v>
      </c>
      <c r="D554" s="66" t="s">
        <v>2774</v>
      </c>
      <c r="E554" s="67" t="s">
        <v>2776</v>
      </c>
      <c r="F554" s="67" t="s">
        <v>2747</v>
      </c>
      <c r="G554" s="66" t="s">
        <v>2323</v>
      </c>
    </row>
    <row r="555" spans="1:7" ht="17.25">
      <c r="A555" s="92" t="s">
        <v>2683</v>
      </c>
      <c r="B555" s="92"/>
      <c r="C555" s="92"/>
      <c r="D555" s="92"/>
      <c r="E555" s="93"/>
      <c r="F555" s="92"/>
      <c r="G555" s="92"/>
    </row>
    <row r="556" spans="1:7" ht="15">
      <c r="A556" s="66" t="s">
        <v>2587</v>
      </c>
      <c r="B556" s="66" t="s">
        <v>2363</v>
      </c>
      <c r="C556" s="66" t="s">
        <v>2588</v>
      </c>
      <c r="D556" s="66" t="s">
        <v>2774</v>
      </c>
      <c r="E556" s="67" t="s">
        <v>2585</v>
      </c>
      <c r="F556" s="67" t="s">
        <v>2747</v>
      </c>
      <c r="G556" s="66" t="s">
        <v>2323</v>
      </c>
    </row>
    <row r="557" spans="1:7" ht="15">
      <c r="A557" s="66" t="s">
        <v>2392</v>
      </c>
      <c r="B557" s="66" t="s">
        <v>2390</v>
      </c>
      <c r="C557" s="66" t="s">
        <v>2393</v>
      </c>
      <c r="D557" s="66" t="s">
        <v>2774</v>
      </c>
      <c r="E557" s="67" t="s">
        <v>2585</v>
      </c>
      <c r="F557" s="67" t="s">
        <v>2747</v>
      </c>
      <c r="G557" s="66" t="s">
        <v>2394</v>
      </c>
    </row>
    <row r="558" spans="1:7" ht="17.25">
      <c r="A558" s="92" t="s">
        <v>2684</v>
      </c>
      <c r="B558" s="92"/>
      <c r="C558" s="92"/>
      <c r="D558" s="92"/>
      <c r="E558" s="93"/>
      <c r="F558" s="92"/>
      <c r="G558" s="92"/>
    </row>
    <row r="559" spans="1:7" ht="15">
      <c r="A559" s="66" t="s">
        <v>2333</v>
      </c>
      <c r="B559" s="66" t="s">
        <v>2334</v>
      </c>
      <c r="C559" s="66" t="s">
        <v>2335</v>
      </c>
      <c r="D559" s="66" t="s">
        <v>2774</v>
      </c>
      <c r="E559" s="67" t="s">
        <v>2330</v>
      </c>
      <c r="F559" s="67" t="s">
        <v>2747</v>
      </c>
      <c r="G559" s="66" t="s">
        <v>2323</v>
      </c>
    </row>
    <row r="560" spans="1:7" ht="15">
      <c r="A560" s="66" t="s">
        <v>2336</v>
      </c>
      <c r="B560" s="66" t="s">
        <v>2334</v>
      </c>
      <c r="C560" s="66" t="s">
        <v>2329</v>
      </c>
      <c r="D560" s="66" t="s">
        <v>2774</v>
      </c>
      <c r="E560" s="67" t="s">
        <v>2330</v>
      </c>
      <c r="F560" s="67" t="s">
        <v>2747</v>
      </c>
      <c r="G560" s="66" t="s">
        <v>2323</v>
      </c>
    </row>
    <row r="561" spans="1:7" ht="15">
      <c r="A561" s="66" t="s">
        <v>2337</v>
      </c>
      <c r="B561" s="66" t="s">
        <v>2334</v>
      </c>
      <c r="C561" s="66" t="s">
        <v>2329</v>
      </c>
      <c r="D561" s="66" t="s">
        <v>2774</v>
      </c>
      <c r="E561" s="67" t="s">
        <v>2330</v>
      </c>
      <c r="F561" s="67" t="s">
        <v>2747</v>
      </c>
      <c r="G561" s="66" t="s">
        <v>2323</v>
      </c>
    </row>
    <row r="562" spans="1:7" ht="15">
      <c r="A562" s="66" t="s">
        <v>2338</v>
      </c>
      <c r="B562" s="66" t="s">
        <v>2339</v>
      </c>
      <c r="C562" s="66" t="s">
        <v>2329</v>
      </c>
      <c r="D562" s="66" t="s">
        <v>2774</v>
      </c>
      <c r="E562" s="67" t="s">
        <v>2330</v>
      </c>
      <c r="F562" s="67" t="s">
        <v>2747</v>
      </c>
      <c r="G562" s="66" t="s">
        <v>2323</v>
      </c>
    </row>
    <row r="563" spans="1:7" ht="15">
      <c r="A563" s="66" t="s">
        <v>2340</v>
      </c>
      <c r="B563" s="66"/>
      <c r="C563" s="66" t="s">
        <v>2329</v>
      </c>
      <c r="D563" s="66" t="s">
        <v>2774</v>
      </c>
      <c r="E563" s="67" t="s">
        <v>2330</v>
      </c>
      <c r="F563" s="67" t="s">
        <v>2747</v>
      </c>
      <c r="G563" s="66" t="s">
        <v>2323</v>
      </c>
    </row>
    <row r="564" spans="1:7" ht="15">
      <c r="A564" s="66" t="s">
        <v>2341</v>
      </c>
      <c r="B564" s="66"/>
      <c r="C564" s="66" t="s">
        <v>2329</v>
      </c>
      <c r="D564" s="66" t="s">
        <v>2774</v>
      </c>
      <c r="E564" s="67" t="s">
        <v>2330</v>
      </c>
      <c r="F564" s="67" t="s">
        <v>2747</v>
      </c>
      <c r="G564" s="66" t="s">
        <v>2323</v>
      </c>
    </row>
    <row r="565" spans="1:7" ht="15">
      <c r="A565" s="66" t="s">
        <v>2342</v>
      </c>
      <c r="B565" s="66"/>
      <c r="C565" s="66" t="s">
        <v>2329</v>
      </c>
      <c r="D565" s="66" t="s">
        <v>2774</v>
      </c>
      <c r="E565" s="67" t="s">
        <v>2330</v>
      </c>
      <c r="F565" s="67" t="s">
        <v>2747</v>
      </c>
      <c r="G565" s="66" t="s">
        <v>2323</v>
      </c>
    </row>
    <row r="566" spans="1:7" ht="17.25">
      <c r="A566" s="92" t="s">
        <v>2685</v>
      </c>
      <c r="B566" s="92"/>
      <c r="C566" s="92"/>
      <c r="D566" s="92"/>
      <c r="E566" s="93"/>
      <c r="F566" s="92"/>
      <c r="G566" s="92"/>
    </row>
    <row r="567" spans="1:7" ht="15">
      <c r="A567" s="66" t="s">
        <v>2347</v>
      </c>
      <c r="B567" s="66"/>
      <c r="C567" s="66" t="s">
        <v>2329</v>
      </c>
      <c r="D567" s="66" t="s">
        <v>2774</v>
      </c>
      <c r="E567" s="67" t="s">
        <v>2330</v>
      </c>
      <c r="F567" s="67" t="s">
        <v>2747</v>
      </c>
      <c r="G567" s="66" t="s">
        <v>2323</v>
      </c>
    </row>
    <row r="568" spans="1:7" ht="15">
      <c r="A568" s="66" t="s">
        <v>2348</v>
      </c>
      <c r="B568" s="66"/>
      <c r="C568" s="66" t="s">
        <v>2329</v>
      </c>
      <c r="D568" s="66" t="s">
        <v>2774</v>
      </c>
      <c r="E568" s="67" t="s">
        <v>2330</v>
      </c>
      <c r="F568" s="67" t="s">
        <v>2747</v>
      </c>
      <c r="G568" s="66" t="s">
        <v>2323</v>
      </c>
    </row>
    <row r="569" spans="1:7" ht="17.25">
      <c r="A569" s="92" t="s">
        <v>2686</v>
      </c>
      <c r="B569" s="92"/>
      <c r="C569" s="92"/>
      <c r="D569" s="92"/>
      <c r="E569" s="93"/>
      <c r="F569" s="92"/>
      <c r="G569" s="92"/>
    </row>
    <row r="570" spans="1:7" ht="15">
      <c r="A570" s="66" t="s">
        <v>2350</v>
      </c>
      <c r="B570" s="66"/>
      <c r="C570" s="66" t="s">
        <v>2329</v>
      </c>
      <c r="D570" s="66" t="s">
        <v>2774</v>
      </c>
      <c r="E570" s="67" t="s">
        <v>2330</v>
      </c>
      <c r="F570" s="67" t="s">
        <v>2747</v>
      </c>
      <c r="G570" s="66" t="s">
        <v>2323</v>
      </c>
    </row>
    <row r="571" spans="1:7" ht="17.25">
      <c r="A571" s="92" t="s">
        <v>2687</v>
      </c>
      <c r="B571" s="92"/>
      <c r="C571" s="92"/>
      <c r="D571" s="92"/>
      <c r="E571" s="93"/>
      <c r="F571" s="92"/>
      <c r="G571" s="92"/>
    </row>
    <row r="572" spans="1:7" ht="15">
      <c r="A572" s="66" t="s">
        <v>2352</v>
      </c>
      <c r="B572" s="66" t="s">
        <v>2353</v>
      </c>
      <c r="C572" s="66" t="s">
        <v>2317</v>
      </c>
      <c r="D572" s="66" t="s">
        <v>2774</v>
      </c>
      <c r="E572" s="67" t="s">
        <v>2319</v>
      </c>
      <c r="F572" s="67" t="s">
        <v>2747</v>
      </c>
      <c r="G572" s="66" t="s">
        <v>2354</v>
      </c>
    </row>
    <row r="573" spans="1:7" ht="15">
      <c r="A573" s="66" t="s">
        <v>2355</v>
      </c>
      <c r="B573" s="66" t="s">
        <v>2356</v>
      </c>
      <c r="C573" s="66" t="s">
        <v>2317</v>
      </c>
      <c r="D573" s="66" t="s">
        <v>2774</v>
      </c>
      <c r="E573" s="67" t="s">
        <v>2319</v>
      </c>
      <c r="F573" s="67" t="s">
        <v>2747</v>
      </c>
      <c r="G573" s="66" t="s">
        <v>2357</v>
      </c>
    </row>
    <row r="574" spans="1:7" ht="15">
      <c r="A574" s="66" t="s">
        <v>2358</v>
      </c>
      <c r="B574" s="66"/>
      <c r="C574" s="66" t="s">
        <v>2329</v>
      </c>
      <c r="D574" s="66" t="s">
        <v>2774</v>
      </c>
      <c r="E574" s="67" t="s">
        <v>2330</v>
      </c>
      <c r="F574" s="67" t="s">
        <v>2747</v>
      </c>
      <c r="G574" s="66" t="s">
        <v>2323</v>
      </c>
    </row>
    <row r="575" spans="1:7" ht="17.25">
      <c r="A575" s="92" t="s">
        <v>2688</v>
      </c>
      <c r="B575" s="92"/>
      <c r="C575" s="92"/>
      <c r="D575" s="92"/>
      <c r="E575" s="93"/>
      <c r="F575" s="92"/>
      <c r="G575" s="92"/>
    </row>
    <row r="576" spans="1:7" ht="15">
      <c r="A576" s="66" t="s">
        <v>2413</v>
      </c>
      <c r="B576" s="66" t="s">
        <v>2407</v>
      </c>
      <c r="C576" s="66" t="s">
        <v>2414</v>
      </c>
      <c r="D576" s="66" t="s">
        <v>2774</v>
      </c>
      <c r="E576" s="67" t="s">
        <v>2777</v>
      </c>
      <c r="F576" s="67" t="s">
        <v>2747</v>
      </c>
      <c r="G576" s="66" t="s">
        <v>2416</v>
      </c>
    </row>
    <row r="577" spans="1:7" ht="15">
      <c r="A577" s="66" t="s">
        <v>2360</v>
      </c>
      <c r="B577" s="66"/>
      <c r="C577" s="66" t="s">
        <v>2317</v>
      </c>
      <c r="D577" s="66" t="s">
        <v>2774</v>
      </c>
      <c r="E577" s="67" t="s">
        <v>2319</v>
      </c>
      <c r="F577" s="67" t="s">
        <v>2747</v>
      </c>
      <c r="G577" s="66" t="s">
        <v>2361</v>
      </c>
    </row>
    <row r="578" spans="1:7" ht="15">
      <c r="A578" s="66" t="s">
        <v>2362</v>
      </c>
      <c r="B578" s="66" t="s">
        <v>2363</v>
      </c>
      <c r="C578" s="66" t="s">
        <v>2364</v>
      </c>
      <c r="D578" s="66" t="s">
        <v>2774</v>
      </c>
      <c r="E578" s="67" t="s">
        <v>2365</v>
      </c>
      <c r="F578" s="67" t="s">
        <v>2747</v>
      </c>
      <c r="G578" s="66" t="s">
        <v>2323</v>
      </c>
    </row>
    <row r="579" spans="1:7" ht="17.25">
      <c r="A579" s="92" t="s">
        <v>2689</v>
      </c>
      <c r="B579" s="92"/>
      <c r="C579" s="92"/>
      <c r="D579" s="92"/>
      <c r="E579" s="93"/>
      <c r="F579" s="92"/>
      <c r="G579" s="92"/>
    </row>
    <row r="580" spans="1:7" ht="15">
      <c r="A580" s="66" t="s">
        <v>2541</v>
      </c>
      <c r="B580" s="66" t="s">
        <v>2542</v>
      </c>
      <c r="C580" s="66" t="s">
        <v>2543</v>
      </c>
      <c r="D580" s="66" t="s">
        <v>2774</v>
      </c>
      <c r="E580" s="67" t="s">
        <v>2585</v>
      </c>
      <c r="F580" s="67" t="s">
        <v>2747</v>
      </c>
      <c r="G580" s="66" t="s">
        <v>2323</v>
      </c>
    </row>
    <row r="581" spans="1:7" ht="15">
      <c r="A581" s="66" t="s">
        <v>2421</v>
      </c>
      <c r="B581" s="66" t="s">
        <v>2422</v>
      </c>
      <c r="C581" s="66" t="s">
        <v>2423</v>
      </c>
      <c r="D581" s="66" t="s">
        <v>2774</v>
      </c>
      <c r="E581" s="67" t="s">
        <v>2778</v>
      </c>
      <c r="F581" s="67" t="s">
        <v>2747</v>
      </c>
      <c r="G581" s="66" t="s">
        <v>2425</v>
      </c>
    </row>
    <row r="582" spans="1:7" ht="17.25">
      <c r="A582" s="92" t="s">
        <v>2690</v>
      </c>
      <c r="B582" s="92"/>
      <c r="C582" s="92"/>
      <c r="D582" s="92"/>
      <c r="E582" s="93"/>
      <c r="F582" s="92"/>
      <c r="G582" s="92"/>
    </row>
    <row r="583" spans="1:7" ht="15">
      <c r="A583" s="66" t="s">
        <v>2367</v>
      </c>
      <c r="B583" s="66"/>
      <c r="C583" s="66" t="s">
        <v>2317</v>
      </c>
      <c r="D583" s="66" t="s">
        <v>2774</v>
      </c>
      <c r="E583" s="67" t="s">
        <v>2319</v>
      </c>
      <c r="F583" s="67" t="s">
        <v>2747</v>
      </c>
      <c r="G583" s="66" t="s">
        <v>2368</v>
      </c>
    </row>
    <row r="584" spans="1:7" ht="15">
      <c r="A584" s="66" t="s">
        <v>2369</v>
      </c>
      <c r="B584" s="66" t="s">
        <v>2370</v>
      </c>
      <c r="C584" s="66" t="s">
        <v>2317</v>
      </c>
      <c r="D584" s="66" t="s">
        <v>2774</v>
      </c>
      <c r="E584" s="67" t="s">
        <v>2319</v>
      </c>
      <c r="F584" s="67" t="s">
        <v>2747</v>
      </c>
      <c r="G584" s="66" t="s">
        <v>2371</v>
      </c>
    </row>
    <row r="585" spans="1:7" ht="15">
      <c r="A585" s="66" t="s">
        <v>2372</v>
      </c>
      <c r="B585" s="66"/>
      <c r="C585" s="66" t="s">
        <v>2329</v>
      </c>
      <c r="D585" s="66" t="s">
        <v>2774</v>
      </c>
      <c r="E585" s="67" t="s">
        <v>2330</v>
      </c>
      <c r="F585" s="67" t="s">
        <v>2747</v>
      </c>
      <c r="G585" s="66" t="s">
        <v>2323</v>
      </c>
    </row>
    <row r="586" spans="1:7" ht="17.25">
      <c r="A586" s="92" t="s">
        <v>2691</v>
      </c>
      <c r="B586" s="92"/>
      <c r="C586" s="92"/>
      <c r="D586" s="92"/>
      <c r="E586" s="93"/>
      <c r="F586" s="92"/>
      <c r="G586" s="92"/>
    </row>
    <row r="587" spans="1:7" ht="15">
      <c r="A587" s="66" t="s">
        <v>2374</v>
      </c>
      <c r="B587" s="66"/>
      <c r="C587" s="66" t="s">
        <v>2329</v>
      </c>
      <c r="D587" s="66" t="s">
        <v>2774</v>
      </c>
      <c r="E587" s="67" t="s">
        <v>2330</v>
      </c>
      <c r="F587" s="67" t="s">
        <v>2747</v>
      </c>
      <c r="G587" s="66" t="s">
        <v>2375</v>
      </c>
    </row>
    <row r="588" spans="1:7" ht="15">
      <c r="A588" s="66" t="s">
        <v>2578</v>
      </c>
      <c r="B588" s="66" t="s">
        <v>2579</v>
      </c>
      <c r="C588" s="66" t="s">
        <v>2543</v>
      </c>
      <c r="D588" s="66" t="s">
        <v>2774</v>
      </c>
      <c r="E588" s="67" t="s">
        <v>2585</v>
      </c>
      <c r="F588" s="67" t="s">
        <v>2747</v>
      </c>
      <c r="G588" s="66" t="s">
        <v>2580</v>
      </c>
    </row>
    <row r="589" spans="1:7" ht="15">
      <c r="A589" s="66" t="s">
        <v>2599</v>
      </c>
      <c r="B589" s="66" t="s">
        <v>2435</v>
      </c>
      <c r="C589" s="66" t="s">
        <v>2585</v>
      </c>
      <c r="D589" s="66" t="s">
        <v>2774</v>
      </c>
      <c r="E589" s="67" t="s">
        <v>2585</v>
      </c>
      <c r="F589" s="67" t="s">
        <v>2747</v>
      </c>
      <c r="G589" s="66" t="s">
        <v>2375</v>
      </c>
    </row>
    <row r="590" spans="1:7" ht="17.25">
      <c r="A590" s="92" t="s">
        <v>2693</v>
      </c>
      <c r="B590" s="92"/>
      <c r="C590" s="92"/>
      <c r="D590" s="92"/>
      <c r="E590" s="93"/>
      <c r="F590" s="92"/>
      <c r="G590" s="92"/>
    </row>
    <row r="591" spans="1:7" ht="15">
      <c r="A591" s="66" t="s">
        <v>2315</v>
      </c>
      <c r="B591" s="66" t="s">
        <v>2316</v>
      </c>
      <c r="C591" s="66" t="s">
        <v>2317</v>
      </c>
      <c r="D591" s="66" t="s">
        <v>2779</v>
      </c>
      <c r="E591" s="67" t="s">
        <v>2319</v>
      </c>
      <c r="F591" s="67" t="s">
        <v>2747</v>
      </c>
      <c r="G591" s="66" t="s">
        <v>2320</v>
      </c>
    </row>
    <row r="592" spans="1:7" ht="15">
      <c r="A592" s="66" t="s">
        <v>2377</v>
      </c>
      <c r="B592" s="66" t="s">
        <v>2378</v>
      </c>
      <c r="C592" s="66" t="s">
        <v>1622</v>
      </c>
      <c r="D592" s="66" t="s">
        <v>2779</v>
      </c>
      <c r="E592" s="67" t="s">
        <v>120</v>
      </c>
      <c r="F592" s="67" t="s">
        <v>2747</v>
      </c>
      <c r="G592" s="66" t="s">
        <v>2380</v>
      </c>
    </row>
    <row r="593" spans="1:7" ht="15">
      <c r="A593" s="66" t="s">
        <v>2381</v>
      </c>
      <c r="B593" s="66"/>
      <c r="C593" s="66" t="s">
        <v>1396</v>
      </c>
      <c r="D593" s="66" t="s">
        <v>2779</v>
      </c>
      <c r="E593" s="67" t="s">
        <v>1396</v>
      </c>
      <c r="F593" s="67" t="s">
        <v>2747</v>
      </c>
      <c r="G593" s="66" t="s">
        <v>2323</v>
      </c>
    </row>
    <row r="594" spans="1:7" ht="15">
      <c r="A594" s="66" t="s">
        <v>2382</v>
      </c>
      <c r="B594" s="66"/>
      <c r="C594" s="66" t="s">
        <v>2383</v>
      </c>
      <c r="D594" s="66" t="s">
        <v>2779</v>
      </c>
      <c r="E594" s="67" t="s">
        <v>2645</v>
      </c>
      <c r="F594" s="67" t="s">
        <v>2747</v>
      </c>
      <c r="G594" s="66" t="s">
        <v>2323</v>
      </c>
    </row>
    <row r="595" spans="1:7" ht="15">
      <c r="A595" s="66" t="s">
        <v>2441</v>
      </c>
      <c r="B595" s="66" t="s">
        <v>2316</v>
      </c>
      <c r="C595" s="66" t="s">
        <v>120</v>
      </c>
      <c r="D595" s="66" t="s">
        <v>2779</v>
      </c>
      <c r="E595" s="67" t="s">
        <v>120</v>
      </c>
      <c r="F595" s="67" t="s">
        <v>2747</v>
      </c>
      <c r="G595" s="66" t="s">
        <v>2323</v>
      </c>
    </row>
    <row r="596" spans="1:7" ht="15">
      <c r="A596" s="66" t="s">
        <v>2442</v>
      </c>
      <c r="B596" s="66" t="s">
        <v>2326</v>
      </c>
      <c r="C596" s="66" t="s">
        <v>120</v>
      </c>
      <c r="D596" s="66" t="s">
        <v>2779</v>
      </c>
      <c r="E596" s="67" t="s">
        <v>120</v>
      </c>
      <c r="F596" s="67" t="s">
        <v>2747</v>
      </c>
      <c r="G596" s="66" t="s">
        <v>2443</v>
      </c>
    </row>
    <row r="597" spans="1:7" ht="15">
      <c r="A597" s="66" t="s">
        <v>2444</v>
      </c>
      <c r="B597" s="66"/>
      <c r="C597" s="66" t="s">
        <v>120</v>
      </c>
      <c r="D597" s="66" t="s">
        <v>2779</v>
      </c>
      <c r="E597" s="67" t="s">
        <v>120</v>
      </c>
      <c r="F597" s="67" t="s">
        <v>2747</v>
      </c>
      <c r="G597" s="66" t="s">
        <v>2323</v>
      </c>
    </row>
    <row r="598" spans="1:7" ht="15">
      <c r="A598" s="66" t="s">
        <v>2321</v>
      </c>
      <c r="B598" s="66" t="s">
        <v>2322</v>
      </c>
      <c r="C598" s="66" t="s">
        <v>2317</v>
      </c>
      <c r="D598" s="66" t="s">
        <v>2779</v>
      </c>
      <c r="E598" s="67" t="s">
        <v>2319</v>
      </c>
      <c r="F598" s="67" t="s">
        <v>2747</v>
      </c>
      <c r="G598" s="66" t="s">
        <v>2323</v>
      </c>
    </row>
    <row r="599" spans="1:7" ht="15">
      <c r="A599" s="66" t="s">
        <v>2324</v>
      </c>
      <c r="B599" s="66" t="s">
        <v>2322</v>
      </c>
      <c r="C599" s="66" t="s">
        <v>2317</v>
      </c>
      <c r="D599" s="66" t="s">
        <v>2779</v>
      </c>
      <c r="E599" s="67" t="s">
        <v>2319</v>
      </c>
      <c r="F599" s="67" t="s">
        <v>2747</v>
      </c>
      <c r="G599" s="66" t="s">
        <v>2323</v>
      </c>
    </row>
    <row r="600" spans="1:7" ht="15">
      <c r="A600" s="66" t="s">
        <v>2325</v>
      </c>
      <c r="B600" s="66" t="s">
        <v>2326</v>
      </c>
      <c r="C600" s="66" t="s">
        <v>2317</v>
      </c>
      <c r="D600" s="66" t="s">
        <v>2779</v>
      </c>
      <c r="E600" s="67" t="s">
        <v>2319</v>
      </c>
      <c r="F600" s="67" t="s">
        <v>2747</v>
      </c>
      <c r="G600" s="66" t="s">
        <v>2323</v>
      </c>
    </row>
    <row r="601" spans="1:7" ht="17.25">
      <c r="A601" s="92" t="s">
        <v>2695</v>
      </c>
      <c r="B601" s="92"/>
      <c r="C601" s="92"/>
      <c r="D601" s="92"/>
      <c r="E601" s="93"/>
      <c r="F601" s="92"/>
      <c r="G601" s="92"/>
    </row>
    <row r="602" spans="1:7" ht="15">
      <c r="A602" s="66" t="s">
        <v>2446</v>
      </c>
      <c r="B602" s="66" t="s">
        <v>2334</v>
      </c>
      <c r="C602" s="66" t="s">
        <v>120</v>
      </c>
      <c r="D602" s="66" t="s">
        <v>2779</v>
      </c>
      <c r="E602" s="67" t="s">
        <v>120</v>
      </c>
      <c r="F602" s="67" t="s">
        <v>2747</v>
      </c>
      <c r="G602" s="66" t="s">
        <v>2323</v>
      </c>
    </row>
    <row r="603" spans="1:7" ht="15">
      <c r="A603" s="66" t="s">
        <v>2447</v>
      </c>
      <c r="B603" s="66" t="s">
        <v>2448</v>
      </c>
      <c r="C603" s="66" t="s">
        <v>120</v>
      </c>
      <c r="D603" s="66" t="s">
        <v>2779</v>
      </c>
      <c r="E603" s="67" t="s">
        <v>120</v>
      </c>
      <c r="F603" s="67" t="s">
        <v>2747</v>
      </c>
      <c r="G603" s="66" t="s">
        <v>2449</v>
      </c>
    </row>
    <row r="604" spans="1:7" ht="15">
      <c r="A604" s="66" t="s">
        <v>2450</v>
      </c>
      <c r="B604" s="66" t="s">
        <v>2448</v>
      </c>
      <c r="C604" s="66" t="s">
        <v>120</v>
      </c>
      <c r="D604" s="66" t="s">
        <v>2779</v>
      </c>
      <c r="E604" s="67" t="s">
        <v>120</v>
      </c>
      <c r="F604" s="67" t="s">
        <v>2747</v>
      </c>
      <c r="G604" s="66" t="s">
        <v>2323</v>
      </c>
    </row>
    <row r="605" spans="1:7" ht="15">
      <c r="A605" s="66" t="s">
        <v>2328</v>
      </c>
      <c r="B605" s="66"/>
      <c r="C605" s="66" t="s">
        <v>2329</v>
      </c>
      <c r="D605" s="66" t="s">
        <v>2779</v>
      </c>
      <c r="E605" s="67" t="s">
        <v>2696</v>
      </c>
      <c r="F605" s="67" t="s">
        <v>2747</v>
      </c>
      <c r="G605" s="66" t="s">
        <v>2331</v>
      </c>
    </row>
    <row r="606" spans="1:7" ht="15">
      <c r="A606" s="66" t="s">
        <v>2452</v>
      </c>
      <c r="B606" s="66" t="s">
        <v>2453</v>
      </c>
      <c r="C606" s="66" t="s">
        <v>120</v>
      </c>
      <c r="D606" s="66" t="s">
        <v>2779</v>
      </c>
      <c r="E606" s="67" t="s">
        <v>120</v>
      </c>
      <c r="F606" s="67" t="s">
        <v>2747</v>
      </c>
      <c r="G606" s="66" t="s">
        <v>2454</v>
      </c>
    </row>
    <row r="607" spans="1:7" ht="17.25">
      <c r="A607" s="92" t="s">
        <v>2697</v>
      </c>
      <c r="B607" s="92"/>
      <c r="C607" s="92"/>
      <c r="D607" s="92"/>
      <c r="E607" s="93"/>
      <c r="F607" s="92"/>
      <c r="G607" s="92"/>
    </row>
    <row r="608" spans="1:7" ht="15">
      <c r="A608" s="66" t="s">
        <v>2456</v>
      </c>
      <c r="B608" s="66" t="s">
        <v>2457</v>
      </c>
      <c r="C608" s="66" t="s">
        <v>120</v>
      </c>
      <c r="D608" s="66" t="s">
        <v>2779</v>
      </c>
      <c r="E608" s="67" t="s">
        <v>120</v>
      </c>
      <c r="F608" s="67" t="s">
        <v>2747</v>
      </c>
      <c r="G608" s="66" t="s">
        <v>2323</v>
      </c>
    </row>
    <row r="609" spans="1:7" ht="15">
      <c r="A609" s="66" t="s">
        <v>2458</v>
      </c>
      <c r="B609" s="66" t="s">
        <v>2457</v>
      </c>
      <c r="C609" s="66" t="s">
        <v>2459</v>
      </c>
      <c r="D609" s="66" t="s">
        <v>2779</v>
      </c>
      <c r="E609" s="67" t="s">
        <v>2698</v>
      </c>
      <c r="F609" s="67" t="s">
        <v>2747</v>
      </c>
      <c r="G609" s="66" t="s">
        <v>2323</v>
      </c>
    </row>
    <row r="610" spans="1:7" ht="15">
      <c r="A610" s="66" t="s">
        <v>2460</v>
      </c>
      <c r="B610" s="66" t="s">
        <v>2457</v>
      </c>
      <c r="C610" s="66" t="s">
        <v>2461</v>
      </c>
      <c r="D610" s="66" t="s">
        <v>2779</v>
      </c>
      <c r="E610" s="67" t="s">
        <v>120</v>
      </c>
      <c r="F610" s="67" t="s">
        <v>2747</v>
      </c>
      <c r="G610" s="66" t="s">
        <v>2462</v>
      </c>
    </row>
    <row r="611" spans="1:7" ht="15">
      <c r="A611" s="66" t="s">
        <v>2463</v>
      </c>
      <c r="B611" s="66" t="s">
        <v>2457</v>
      </c>
      <c r="C611" s="66" t="s">
        <v>120</v>
      </c>
      <c r="D611" s="66" t="s">
        <v>2779</v>
      </c>
      <c r="E611" s="67" t="s">
        <v>120</v>
      </c>
      <c r="F611" s="67" t="s">
        <v>2747</v>
      </c>
      <c r="G611" s="66" t="s">
        <v>2323</v>
      </c>
    </row>
    <row r="612" spans="1:7" ht="17.25">
      <c r="A612" s="92" t="s">
        <v>2699</v>
      </c>
      <c r="B612" s="92"/>
      <c r="C612" s="92"/>
      <c r="D612" s="92"/>
      <c r="E612" s="93"/>
      <c r="F612" s="92"/>
      <c r="G612" s="92"/>
    </row>
    <row r="613" spans="1:7" ht="15">
      <c r="A613" s="66" t="s">
        <v>2465</v>
      </c>
      <c r="B613" s="66" t="s">
        <v>2466</v>
      </c>
      <c r="C613" s="66" t="s">
        <v>2467</v>
      </c>
      <c r="D613" s="66" t="s">
        <v>2779</v>
      </c>
      <c r="E613" s="67" t="s">
        <v>120</v>
      </c>
      <c r="F613" s="67" t="s">
        <v>2747</v>
      </c>
      <c r="G613" s="66" t="s">
        <v>2323</v>
      </c>
    </row>
    <row r="614" spans="1:7" ht="15">
      <c r="A614" s="66" t="s">
        <v>2468</v>
      </c>
      <c r="B614" s="66" t="s">
        <v>2390</v>
      </c>
      <c r="C614" s="66" t="s">
        <v>120</v>
      </c>
      <c r="D614" s="66" t="s">
        <v>2779</v>
      </c>
      <c r="E614" s="67" t="s">
        <v>120</v>
      </c>
      <c r="F614" s="67" t="s">
        <v>2747</v>
      </c>
      <c r="G614" s="66" t="s">
        <v>2323</v>
      </c>
    </row>
    <row r="615" spans="1:7" ht="15">
      <c r="A615" s="66" t="s">
        <v>2469</v>
      </c>
      <c r="B615" s="66" t="s">
        <v>2466</v>
      </c>
      <c r="C615" s="66" t="s">
        <v>2470</v>
      </c>
      <c r="D615" s="66" t="s">
        <v>2779</v>
      </c>
      <c r="E615" s="67" t="s">
        <v>120</v>
      </c>
      <c r="F615" s="67" t="s">
        <v>2747</v>
      </c>
      <c r="G615" s="66" t="s">
        <v>2323</v>
      </c>
    </row>
    <row r="616" spans="1:7" ht="15">
      <c r="A616" s="66" t="s">
        <v>2392</v>
      </c>
      <c r="B616" s="66" t="s">
        <v>2390</v>
      </c>
      <c r="C616" s="66" t="s">
        <v>2393</v>
      </c>
      <c r="D616" s="66" t="s">
        <v>2779</v>
      </c>
      <c r="E616" s="67" t="s">
        <v>120</v>
      </c>
      <c r="F616" s="67" t="s">
        <v>2747</v>
      </c>
      <c r="G616" s="66" t="s">
        <v>2394</v>
      </c>
    </row>
    <row r="617" spans="1:7" ht="15">
      <c r="A617" s="66" t="s">
        <v>2471</v>
      </c>
      <c r="B617" s="66" t="s">
        <v>2472</v>
      </c>
      <c r="C617" s="66" t="s">
        <v>120</v>
      </c>
      <c r="D617" s="66" t="s">
        <v>2779</v>
      </c>
      <c r="E617" s="67" t="s">
        <v>120</v>
      </c>
      <c r="F617" s="67" t="s">
        <v>2747</v>
      </c>
      <c r="G617" s="66" t="s">
        <v>2473</v>
      </c>
    </row>
    <row r="618" spans="1:7" ht="15">
      <c r="A618" s="66" t="s">
        <v>2474</v>
      </c>
      <c r="B618" s="66" t="s">
        <v>2472</v>
      </c>
      <c r="C618" s="66" t="s">
        <v>120</v>
      </c>
      <c r="D618" s="66" t="s">
        <v>2779</v>
      </c>
      <c r="E618" s="67" t="s">
        <v>120</v>
      </c>
      <c r="F618" s="67" t="s">
        <v>2747</v>
      </c>
      <c r="G618" s="66" t="s">
        <v>2323</v>
      </c>
    </row>
    <row r="619" spans="1:7" ht="17.25">
      <c r="A619" s="92" t="s">
        <v>2700</v>
      </c>
      <c r="B619" s="92"/>
      <c r="C619" s="92"/>
      <c r="D619" s="92"/>
      <c r="E619" s="93"/>
      <c r="F619" s="92"/>
      <c r="G619" s="92"/>
    </row>
    <row r="620" spans="1:7" ht="15">
      <c r="A620" s="66" t="s">
        <v>2476</v>
      </c>
      <c r="B620" s="66" t="s">
        <v>2477</v>
      </c>
      <c r="C620" s="66" t="s">
        <v>120</v>
      </c>
      <c r="D620" s="66" t="s">
        <v>2779</v>
      </c>
      <c r="E620" s="67" t="s">
        <v>120</v>
      </c>
      <c r="F620" s="67" t="s">
        <v>2747</v>
      </c>
      <c r="G620" s="66" t="s">
        <v>2478</v>
      </c>
    </row>
    <row r="621" spans="1:7" ht="15">
      <c r="A621" s="66" t="s">
        <v>2333</v>
      </c>
      <c r="B621" s="66" t="s">
        <v>2334</v>
      </c>
      <c r="C621" s="66" t="s">
        <v>2335</v>
      </c>
      <c r="D621" s="66" t="s">
        <v>2779</v>
      </c>
      <c r="E621" s="67" t="s">
        <v>2696</v>
      </c>
      <c r="F621" s="67" t="s">
        <v>2747</v>
      </c>
      <c r="G621" s="66" t="s">
        <v>2323</v>
      </c>
    </row>
    <row r="622" spans="1:7" ht="15">
      <c r="A622" s="66" t="s">
        <v>2336</v>
      </c>
      <c r="B622" s="66" t="s">
        <v>2334</v>
      </c>
      <c r="C622" s="66" t="s">
        <v>2329</v>
      </c>
      <c r="D622" s="66" t="s">
        <v>2779</v>
      </c>
      <c r="E622" s="67" t="s">
        <v>2696</v>
      </c>
      <c r="F622" s="67" t="s">
        <v>2747</v>
      </c>
      <c r="G622" s="66" t="s">
        <v>2323</v>
      </c>
    </row>
    <row r="623" spans="1:7" ht="15">
      <c r="A623" s="66" t="s">
        <v>2337</v>
      </c>
      <c r="B623" s="66" t="s">
        <v>2334</v>
      </c>
      <c r="C623" s="66" t="s">
        <v>2329</v>
      </c>
      <c r="D623" s="66" t="s">
        <v>2779</v>
      </c>
      <c r="E623" s="67" t="s">
        <v>2696</v>
      </c>
      <c r="F623" s="67" t="s">
        <v>2747</v>
      </c>
      <c r="G623" s="66" t="s">
        <v>2323</v>
      </c>
    </row>
    <row r="624" spans="1:7" ht="15">
      <c r="A624" s="66" t="s">
        <v>2338</v>
      </c>
      <c r="B624" s="66" t="s">
        <v>2339</v>
      </c>
      <c r="C624" s="66" t="s">
        <v>2329</v>
      </c>
      <c r="D624" s="66" t="s">
        <v>2779</v>
      </c>
      <c r="E624" s="67" t="s">
        <v>2696</v>
      </c>
      <c r="F624" s="67" t="s">
        <v>2747</v>
      </c>
      <c r="G624" s="66" t="s">
        <v>2323</v>
      </c>
    </row>
    <row r="625" spans="1:7" ht="15">
      <c r="A625" s="66" t="s">
        <v>2340</v>
      </c>
      <c r="B625" s="66"/>
      <c r="C625" s="66" t="s">
        <v>2329</v>
      </c>
      <c r="D625" s="66" t="s">
        <v>2779</v>
      </c>
      <c r="E625" s="67" t="s">
        <v>2696</v>
      </c>
      <c r="F625" s="67" t="s">
        <v>2747</v>
      </c>
      <c r="G625" s="66" t="s">
        <v>2323</v>
      </c>
    </row>
    <row r="626" spans="1:7" ht="15">
      <c r="A626" s="66" t="s">
        <v>2341</v>
      </c>
      <c r="B626" s="66"/>
      <c r="C626" s="66" t="s">
        <v>2329</v>
      </c>
      <c r="D626" s="66" t="s">
        <v>2779</v>
      </c>
      <c r="E626" s="67" t="s">
        <v>2696</v>
      </c>
      <c r="F626" s="67" t="s">
        <v>2747</v>
      </c>
      <c r="G626" s="66" t="s">
        <v>2323</v>
      </c>
    </row>
    <row r="627" spans="1:7" ht="15">
      <c r="A627" s="66" t="s">
        <v>2342</v>
      </c>
      <c r="B627" s="66"/>
      <c r="C627" s="66" t="s">
        <v>2329</v>
      </c>
      <c r="D627" s="66" t="s">
        <v>2779</v>
      </c>
      <c r="E627" s="67" t="s">
        <v>2696</v>
      </c>
      <c r="F627" s="67" t="s">
        <v>2747</v>
      </c>
      <c r="G627" s="66" t="s">
        <v>2323</v>
      </c>
    </row>
    <row r="628" spans="1:7" ht="17.25">
      <c r="A628" s="92" t="s">
        <v>2701</v>
      </c>
      <c r="B628" s="92"/>
      <c r="C628" s="92"/>
      <c r="D628" s="92"/>
      <c r="E628" s="93"/>
      <c r="F628" s="92"/>
      <c r="G628" s="92"/>
    </row>
    <row r="629" spans="1:7" ht="15">
      <c r="A629" s="66" t="s">
        <v>2480</v>
      </c>
      <c r="B629" s="66" t="s">
        <v>2481</v>
      </c>
      <c r="C629" s="66" t="s">
        <v>120</v>
      </c>
      <c r="D629" s="66" t="s">
        <v>2779</v>
      </c>
      <c r="E629" s="67" t="s">
        <v>120</v>
      </c>
      <c r="F629" s="67" t="s">
        <v>2747</v>
      </c>
      <c r="G629" s="66" t="s">
        <v>2323</v>
      </c>
    </row>
    <row r="630" spans="1:7" ht="15">
      <c r="A630" s="66" t="s">
        <v>2482</v>
      </c>
      <c r="B630" s="66" t="s">
        <v>2483</v>
      </c>
      <c r="C630" s="66" t="s">
        <v>120</v>
      </c>
      <c r="D630" s="66" t="s">
        <v>2779</v>
      </c>
      <c r="E630" s="67" t="s">
        <v>120</v>
      </c>
      <c r="F630" s="67" t="s">
        <v>2747</v>
      </c>
      <c r="G630" s="66" t="s">
        <v>2323</v>
      </c>
    </row>
    <row r="631" spans="1:7" ht="15">
      <c r="A631" s="66" t="s">
        <v>2484</v>
      </c>
      <c r="B631" s="66" t="s">
        <v>2483</v>
      </c>
      <c r="C631" s="66" t="s">
        <v>2485</v>
      </c>
      <c r="D631" s="66" t="s">
        <v>2779</v>
      </c>
      <c r="E631" s="67" t="s">
        <v>120</v>
      </c>
      <c r="F631" s="67" t="s">
        <v>2747</v>
      </c>
      <c r="G631" s="66" t="s">
        <v>2486</v>
      </c>
    </row>
    <row r="632" spans="1:7" ht="15">
      <c r="A632" s="66" t="s">
        <v>2487</v>
      </c>
      <c r="B632" s="66" t="s">
        <v>2488</v>
      </c>
      <c r="C632" s="66" t="s">
        <v>120</v>
      </c>
      <c r="D632" s="66" t="s">
        <v>2779</v>
      </c>
      <c r="E632" s="67" t="s">
        <v>120</v>
      </c>
      <c r="F632" s="67" t="s">
        <v>2747</v>
      </c>
      <c r="G632" s="66" t="s">
        <v>2323</v>
      </c>
    </row>
    <row r="633" spans="1:7" ht="15">
      <c r="A633" s="66" t="s">
        <v>2344</v>
      </c>
      <c r="B633" s="66"/>
      <c r="C633" s="66" t="s">
        <v>2345</v>
      </c>
      <c r="D633" s="66" t="s">
        <v>2779</v>
      </c>
      <c r="E633" s="67" t="s">
        <v>120</v>
      </c>
      <c r="F633" s="67" t="s">
        <v>2747</v>
      </c>
      <c r="G633" s="66" t="s">
        <v>2323</v>
      </c>
    </row>
    <row r="634" spans="1:7" ht="15">
      <c r="A634" s="66" t="s">
        <v>2347</v>
      </c>
      <c r="B634" s="66"/>
      <c r="C634" s="66" t="s">
        <v>2329</v>
      </c>
      <c r="D634" s="66" t="s">
        <v>2779</v>
      </c>
      <c r="E634" s="67" t="s">
        <v>2696</v>
      </c>
      <c r="F634" s="67" t="s">
        <v>2747</v>
      </c>
      <c r="G634" s="66" t="s">
        <v>2323</v>
      </c>
    </row>
    <row r="635" spans="1:7" ht="15">
      <c r="A635" s="66" t="s">
        <v>2348</v>
      </c>
      <c r="B635" s="66"/>
      <c r="C635" s="66" t="s">
        <v>2329</v>
      </c>
      <c r="D635" s="66" t="s">
        <v>2779</v>
      </c>
      <c r="E635" s="67" t="s">
        <v>2696</v>
      </c>
      <c r="F635" s="67" t="s">
        <v>2747</v>
      </c>
      <c r="G635" s="66" t="s">
        <v>2323</v>
      </c>
    </row>
    <row r="636" spans="1:7" ht="15">
      <c r="A636" s="66" t="s">
        <v>2489</v>
      </c>
      <c r="B636" s="66" t="s">
        <v>2483</v>
      </c>
      <c r="C636" s="66" t="s">
        <v>2490</v>
      </c>
      <c r="D636" s="66" t="s">
        <v>2779</v>
      </c>
      <c r="E636" s="67" t="s">
        <v>2490</v>
      </c>
      <c r="F636" s="67" t="s">
        <v>2747</v>
      </c>
      <c r="G636" s="66" t="s">
        <v>2323</v>
      </c>
    </row>
    <row r="637" spans="1:7" ht="15">
      <c r="A637" s="66" t="s">
        <v>2491</v>
      </c>
      <c r="B637" s="66" t="s">
        <v>2488</v>
      </c>
      <c r="C637" s="66" t="s">
        <v>120</v>
      </c>
      <c r="D637" s="66" t="s">
        <v>2779</v>
      </c>
      <c r="E637" s="67" t="s">
        <v>120</v>
      </c>
      <c r="F637" s="67" t="s">
        <v>2747</v>
      </c>
      <c r="G637" s="66" t="s">
        <v>2323</v>
      </c>
    </row>
    <row r="638" spans="1:7" ht="17.25">
      <c r="A638" s="92" t="s">
        <v>2702</v>
      </c>
      <c r="B638" s="92"/>
      <c r="C638" s="92"/>
      <c r="D638" s="92"/>
      <c r="E638" s="93"/>
      <c r="F638" s="92"/>
      <c r="G638" s="92"/>
    </row>
    <row r="639" spans="1:7" ht="15">
      <c r="A639" s="66" t="s">
        <v>2703</v>
      </c>
      <c r="B639" s="66" t="s">
        <v>2483</v>
      </c>
      <c r="C639" s="66" t="s">
        <v>2704</v>
      </c>
      <c r="D639" s="66" t="s">
        <v>2779</v>
      </c>
      <c r="E639" s="67" t="s">
        <v>804</v>
      </c>
      <c r="F639" s="67" t="s">
        <v>2747</v>
      </c>
      <c r="G639" s="66" t="s">
        <v>2323</v>
      </c>
    </row>
    <row r="640" spans="1:7" ht="15">
      <c r="A640" s="66" t="s">
        <v>2705</v>
      </c>
      <c r="B640" s="66" t="s">
        <v>2339</v>
      </c>
      <c r="C640" s="66" t="s">
        <v>2704</v>
      </c>
      <c r="D640" s="66" t="s">
        <v>2779</v>
      </c>
      <c r="E640" s="67" t="s">
        <v>804</v>
      </c>
      <c r="F640" s="67" t="s">
        <v>2747</v>
      </c>
      <c r="G640" s="66" t="s">
        <v>2323</v>
      </c>
    </row>
    <row r="641" spans="1:7" ht="15">
      <c r="A641" s="66" t="s">
        <v>2493</v>
      </c>
      <c r="B641" s="66"/>
      <c r="C641" s="66" t="s">
        <v>2490</v>
      </c>
      <c r="D641" s="66" t="s">
        <v>2779</v>
      </c>
      <c r="E641" s="67" t="s">
        <v>2490</v>
      </c>
      <c r="F641" s="67" t="s">
        <v>2747</v>
      </c>
      <c r="G641" s="66" t="s">
        <v>2323</v>
      </c>
    </row>
    <row r="642" spans="1:7" ht="15">
      <c r="A642" s="66" t="s">
        <v>2494</v>
      </c>
      <c r="B642" s="66"/>
      <c r="C642" s="66" t="s">
        <v>2490</v>
      </c>
      <c r="D642" s="66" t="s">
        <v>2779</v>
      </c>
      <c r="E642" s="67" t="s">
        <v>2490</v>
      </c>
      <c r="F642" s="67" t="s">
        <v>2747</v>
      </c>
      <c r="G642" s="66" t="s">
        <v>2323</v>
      </c>
    </row>
    <row r="643" spans="1:7" ht="15">
      <c r="A643" s="66" t="s">
        <v>2400</v>
      </c>
      <c r="B643" s="66"/>
      <c r="C643" s="66" t="s">
        <v>2401</v>
      </c>
      <c r="D643" s="66" t="s">
        <v>2779</v>
      </c>
      <c r="E643" s="67" t="s">
        <v>2490</v>
      </c>
      <c r="F643" s="67" t="s">
        <v>2747</v>
      </c>
      <c r="G643" s="66" t="s">
        <v>2323</v>
      </c>
    </row>
    <row r="644" spans="1:7" ht="15">
      <c r="A644" s="66" t="s">
        <v>2495</v>
      </c>
      <c r="B644" s="66" t="s">
        <v>2483</v>
      </c>
      <c r="C644" s="66" t="s">
        <v>120</v>
      </c>
      <c r="D644" s="66" t="s">
        <v>2779</v>
      </c>
      <c r="E644" s="67" t="s">
        <v>120</v>
      </c>
      <c r="F644" s="67" t="s">
        <v>2747</v>
      </c>
      <c r="G644" s="66" t="s">
        <v>2323</v>
      </c>
    </row>
    <row r="645" spans="1:7" ht="15">
      <c r="A645" s="66" t="s">
        <v>2496</v>
      </c>
      <c r="B645" s="66" t="s">
        <v>2483</v>
      </c>
      <c r="C645" s="66" t="s">
        <v>120</v>
      </c>
      <c r="D645" s="66" t="s">
        <v>2779</v>
      </c>
      <c r="E645" s="67" t="s">
        <v>120</v>
      </c>
      <c r="F645" s="67" t="s">
        <v>2747</v>
      </c>
      <c r="G645" s="66" t="s">
        <v>2323</v>
      </c>
    </row>
    <row r="646" spans="1:7" ht="15">
      <c r="A646" s="66" t="s">
        <v>2497</v>
      </c>
      <c r="B646" s="66" t="s">
        <v>2339</v>
      </c>
      <c r="C646" s="66" t="s">
        <v>120</v>
      </c>
      <c r="D646" s="66" t="s">
        <v>2779</v>
      </c>
      <c r="E646" s="67" t="s">
        <v>120</v>
      </c>
      <c r="F646" s="67" t="s">
        <v>2747</v>
      </c>
      <c r="G646" s="66" t="s">
        <v>2323</v>
      </c>
    </row>
    <row r="647" spans="1:7" ht="15">
      <c r="A647" s="66" t="s">
        <v>2498</v>
      </c>
      <c r="B647" s="66" t="s">
        <v>2499</v>
      </c>
      <c r="C647" s="66" t="s">
        <v>2490</v>
      </c>
      <c r="D647" s="66" t="s">
        <v>2779</v>
      </c>
      <c r="E647" s="67" t="s">
        <v>2490</v>
      </c>
      <c r="F647" s="67" t="s">
        <v>2747</v>
      </c>
      <c r="G647" s="66" t="s">
        <v>2323</v>
      </c>
    </row>
    <row r="648" spans="1:7" ht="15">
      <c r="A648" s="66" t="s">
        <v>2500</v>
      </c>
      <c r="B648" s="66" t="s">
        <v>2499</v>
      </c>
      <c r="C648" s="66" t="s">
        <v>2490</v>
      </c>
      <c r="D648" s="66" t="s">
        <v>2779</v>
      </c>
      <c r="E648" s="67" t="s">
        <v>2490</v>
      </c>
      <c r="F648" s="67" t="s">
        <v>2747</v>
      </c>
      <c r="G648" s="66" t="s">
        <v>2323</v>
      </c>
    </row>
    <row r="649" spans="1:7" ht="15">
      <c r="A649" s="66" t="s">
        <v>2350</v>
      </c>
      <c r="B649" s="66"/>
      <c r="C649" s="66" t="s">
        <v>2329</v>
      </c>
      <c r="D649" s="66" t="s">
        <v>2779</v>
      </c>
      <c r="E649" s="67" t="s">
        <v>2696</v>
      </c>
      <c r="F649" s="67" t="s">
        <v>2747</v>
      </c>
      <c r="G649" s="66" t="s">
        <v>2323</v>
      </c>
    </row>
    <row r="650" spans="1:7" ht="15">
      <c r="A650" s="66" t="s">
        <v>2501</v>
      </c>
      <c r="B650" s="66" t="s">
        <v>2499</v>
      </c>
      <c r="C650" s="66" t="s">
        <v>120</v>
      </c>
      <c r="D650" s="66" t="s">
        <v>2779</v>
      </c>
      <c r="E650" s="67" t="s">
        <v>120</v>
      </c>
      <c r="F650" s="67" t="s">
        <v>2747</v>
      </c>
      <c r="G650" s="66" t="s">
        <v>2502</v>
      </c>
    </row>
    <row r="651" spans="1:7" ht="17.25">
      <c r="A651" s="92" t="s">
        <v>2706</v>
      </c>
      <c r="B651" s="92"/>
      <c r="C651" s="92"/>
      <c r="D651" s="92"/>
      <c r="E651" s="93"/>
      <c r="F651" s="92"/>
      <c r="G651" s="92"/>
    </row>
    <row r="652" spans="1:7" ht="15">
      <c r="A652" s="66" t="s">
        <v>2504</v>
      </c>
      <c r="B652" s="66" t="s">
        <v>2505</v>
      </c>
      <c r="C652" s="66" t="s">
        <v>120</v>
      </c>
      <c r="D652" s="66" t="s">
        <v>2779</v>
      </c>
      <c r="E652" s="67" t="s">
        <v>120</v>
      </c>
      <c r="F652" s="67" t="s">
        <v>2747</v>
      </c>
      <c r="G652" s="66" t="s">
        <v>2323</v>
      </c>
    </row>
    <row r="653" spans="1:7" ht="15">
      <c r="A653" s="66" t="s">
        <v>2506</v>
      </c>
      <c r="B653" s="66" t="s">
        <v>2435</v>
      </c>
      <c r="C653" s="66" t="s">
        <v>120</v>
      </c>
      <c r="D653" s="66" t="s">
        <v>2779</v>
      </c>
      <c r="E653" s="67" t="s">
        <v>120</v>
      </c>
      <c r="F653" s="67" t="s">
        <v>2747</v>
      </c>
      <c r="G653" s="66" t="s">
        <v>2323</v>
      </c>
    </row>
    <row r="654" spans="1:7" ht="15">
      <c r="A654" s="66" t="s">
        <v>2507</v>
      </c>
      <c r="B654" s="66" t="s">
        <v>2435</v>
      </c>
      <c r="C654" s="66" t="s">
        <v>120</v>
      </c>
      <c r="D654" s="66" t="s">
        <v>2779</v>
      </c>
      <c r="E654" s="67" t="s">
        <v>120</v>
      </c>
      <c r="F654" s="67" t="s">
        <v>2747</v>
      </c>
      <c r="G654" s="66" t="s">
        <v>2323</v>
      </c>
    </row>
    <row r="655" spans="1:7" ht="17.25">
      <c r="A655" s="92" t="s">
        <v>2707</v>
      </c>
      <c r="B655" s="92"/>
      <c r="C655" s="92"/>
      <c r="D655" s="92"/>
      <c r="E655" s="93"/>
      <c r="F655" s="92"/>
      <c r="G655" s="92"/>
    </row>
    <row r="656" spans="1:7" ht="15">
      <c r="A656" s="66" t="s">
        <v>2352</v>
      </c>
      <c r="B656" s="66" t="s">
        <v>2353</v>
      </c>
      <c r="C656" s="66" t="s">
        <v>2317</v>
      </c>
      <c r="D656" s="66" t="s">
        <v>2779</v>
      </c>
      <c r="E656" s="67" t="s">
        <v>2319</v>
      </c>
      <c r="F656" s="67" t="s">
        <v>2747</v>
      </c>
      <c r="G656" s="66" t="s">
        <v>2354</v>
      </c>
    </row>
    <row r="657" spans="1:7" ht="15">
      <c r="A657" s="66" t="s">
        <v>2355</v>
      </c>
      <c r="B657" s="66" t="s">
        <v>2356</v>
      </c>
      <c r="C657" s="66" t="s">
        <v>2317</v>
      </c>
      <c r="D657" s="66" t="s">
        <v>2779</v>
      </c>
      <c r="E657" s="67" t="s">
        <v>2319</v>
      </c>
      <c r="F657" s="67" t="s">
        <v>2747</v>
      </c>
      <c r="G657" s="66" t="s">
        <v>2357</v>
      </c>
    </row>
    <row r="658" spans="1:7" ht="15">
      <c r="A658" s="66" t="s">
        <v>2509</v>
      </c>
      <c r="B658" s="66" t="s">
        <v>2353</v>
      </c>
      <c r="C658" s="66" t="s">
        <v>2490</v>
      </c>
      <c r="D658" s="66" t="s">
        <v>2779</v>
      </c>
      <c r="E658" s="67" t="s">
        <v>2490</v>
      </c>
      <c r="F658" s="67" t="s">
        <v>2747</v>
      </c>
      <c r="G658" s="66" t="s">
        <v>2510</v>
      </c>
    </row>
    <row r="659" spans="1:7" ht="15">
      <c r="A659" s="66" t="s">
        <v>2511</v>
      </c>
      <c r="B659" s="66" t="s">
        <v>2407</v>
      </c>
      <c r="C659" s="66" t="s">
        <v>120</v>
      </c>
      <c r="D659" s="66" t="s">
        <v>2779</v>
      </c>
      <c r="E659" s="67" t="s">
        <v>120</v>
      </c>
      <c r="F659" s="67" t="s">
        <v>2747</v>
      </c>
      <c r="G659" s="66" t="s">
        <v>2512</v>
      </c>
    </row>
    <row r="660" spans="1:7" ht="15">
      <c r="A660" s="66" t="s">
        <v>2513</v>
      </c>
      <c r="B660" s="66" t="s">
        <v>2404</v>
      </c>
      <c r="C660" s="66" t="s">
        <v>120</v>
      </c>
      <c r="D660" s="66" t="s">
        <v>2779</v>
      </c>
      <c r="E660" s="67" t="s">
        <v>120</v>
      </c>
      <c r="F660" s="67" t="s">
        <v>2747</v>
      </c>
      <c r="G660" s="66" t="s">
        <v>2514</v>
      </c>
    </row>
    <row r="661" spans="1:7" ht="15">
      <c r="A661" s="66" t="s">
        <v>2515</v>
      </c>
      <c r="B661" s="66" t="s">
        <v>2516</v>
      </c>
      <c r="C661" s="66" t="s">
        <v>120</v>
      </c>
      <c r="D661" s="66" t="s">
        <v>2779</v>
      </c>
      <c r="E661" s="67" t="s">
        <v>120</v>
      </c>
      <c r="F661" s="67" t="s">
        <v>2747</v>
      </c>
      <c r="G661" s="66" t="s">
        <v>2517</v>
      </c>
    </row>
    <row r="662" spans="1:7" ht="15">
      <c r="A662" s="66" t="s">
        <v>2358</v>
      </c>
      <c r="B662" s="66"/>
      <c r="C662" s="66" t="s">
        <v>2329</v>
      </c>
      <c r="D662" s="66" t="s">
        <v>2779</v>
      </c>
      <c r="E662" s="67" t="s">
        <v>2696</v>
      </c>
      <c r="F662" s="67" t="s">
        <v>2747</v>
      </c>
      <c r="G662" s="66" t="s">
        <v>2323</v>
      </c>
    </row>
    <row r="663" spans="1:7" ht="17.25">
      <c r="A663" s="92" t="s">
        <v>2708</v>
      </c>
      <c r="B663" s="92"/>
      <c r="C663" s="92"/>
      <c r="D663" s="92"/>
      <c r="E663" s="93"/>
      <c r="F663" s="92"/>
      <c r="G663" s="92"/>
    </row>
    <row r="664" spans="1:7" ht="15">
      <c r="A664" s="66" t="s">
        <v>2519</v>
      </c>
      <c r="B664" s="66" t="s">
        <v>2407</v>
      </c>
      <c r="C664" s="66" t="s">
        <v>120</v>
      </c>
      <c r="D664" s="66" t="s">
        <v>2779</v>
      </c>
      <c r="E664" s="67" t="s">
        <v>120</v>
      </c>
      <c r="F664" s="67" t="s">
        <v>2747</v>
      </c>
      <c r="G664" s="66" t="s">
        <v>2520</v>
      </c>
    </row>
    <row r="665" spans="1:7" ht="15">
      <c r="A665" s="66" t="s">
        <v>2521</v>
      </c>
      <c r="B665" s="66" t="s">
        <v>2407</v>
      </c>
      <c r="C665" s="66" t="s">
        <v>120</v>
      </c>
      <c r="D665" s="66" t="s">
        <v>2779</v>
      </c>
      <c r="E665" s="67" t="s">
        <v>120</v>
      </c>
      <c r="F665" s="67" t="s">
        <v>2747</v>
      </c>
      <c r="G665" s="66" t="s">
        <v>2323</v>
      </c>
    </row>
    <row r="666" spans="1:7" ht="15">
      <c r="A666" s="66" t="s">
        <v>2522</v>
      </c>
      <c r="B666" s="66" t="s">
        <v>2523</v>
      </c>
      <c r="C666" s="66" t="s">
        <v>120</v>
      </c>
      <c r="D666" s="66" t="s">
        <v>2779</v>
      </c>
      <c r="E666" s="67" t="s">
        <v>120</v>
      </c>
      <c r="F666" s="67" t="s">
        <v>2747</v>
      </c>
      <c r="G666" s="66" t="s">
        <v>2524</v>
      </c>
    </row>
    <row r="667" spans="1:7" ht="15">
      <c r="A667" s="66" t="s">
        <v>2525</v>
      </c>
      <c r="B667" s="66" t="s">
        <v>2412</v>
      </c>
      <c r="C667" s="66" t="s">
        <v>120</v>
      </c>
      <c r="D667" s="66" t="s">
        <v>2779</v>
      </c>
      <c r="E667" s="67" t="s">
        <v>120</v>
      </c>
      <c r="F667" s="67" t="s">
        <v>2747</v>
      </c>
      <c r="G667" s="66" t="s">
        <v>2520</v>
      </c>
    </row>
    <row r="668" spans="1:7" ht="15">
      <c r="A668" s="66" t="s">
        <v>2526</v>
      </c>
      <c r="B668" s="66" t="s">
        <v>2412</v>
      </c>
      <c r="C668" s="66" t="s">
        <v>120</v>
      </c>
      <c r="D668" s="66" t="s">
        <v>2779</v>
      </c>
      <c r="E668" s="67" t="s">
        <v>120</v>
      </c>
      <c r="F668" s="67" t="s">
        <v>2747</v>
      </c>
      <c r="G668" s="66" t="s">
        <v>2527</v>
      </c>
    </row>
    <row r="669" spans="1:7" ht="15">
      <c r="A669" s="66" t="s">
        <v>2528</v>
      </c>
      <c r="B669" s="66" t="s">
        <v>2529</v>
      </c>
      <c r="C669" s="66" t="s">
        <v>2490</v>
      </c>
      <c r="D669" s="66" t="s">
        <v>2779</v>
      </c>
      <c r="E669" s="67" t="s">
        <v>2490</v>
      </c>
      <c r="F669" s="67" t="s">
        <v>2747</v>
      </c>
      <c r="G669" s="66" t="s">
        <v>2323</v>
      </c>
    </row>
    <row r="670" spans="1:7" ht="15">
      <c r="A670" s="66" t="s">
        <v>2413</v>
      </c>
      <c r="B670" s="66" t="s">
        <v>2407</v>
      </c>
      <c r="C670" s="66" t="s">
        <v>2414</v>
      </c>
      <c r="D670" s="66" t="s">
        <v>2779</v>
      </c>
      <c r="E670" s="67" t="s">
        <v>2780</v>
      </c>
      <c r="F670" s="67" t="s">
        <v>2747</v>
      </c>
      <c r="G670" s="66" t="s">
        <v>2416</v>
      </c>
    </row>
    <row r="671" spans="1:7" ht="15">
      <c r="A671" s="66" t="s">
        <v>2532</v>
      </c>
      <c r="B671" s="66" t="s">
        <v>2529</v>
      </c>
      <c r="C671" s="66" t="s">
        <v>2533</v>
      </c>
      <c r="D671" s="66" t="s">
        <v>2779</v>
      </c>
      <c r="E671" s="67" t="s">
        <v>120</v>
      </c>
      <c r="F671" s="67" t="s">
        <v>2747</v>
      </c>
      <c r="G671" s="66" t="s">
        <v>2323</v>
      </c>
    </row>
    <row r="672" spans="1:7" ht="15">
      <c r="A672" s="66" t="s">
        <v>2360</v>
      </c>
      <c r="B672" s="66"/>
      <c r="C672" s="66" t="s">
        <v>2317</v>
      </c>
      <c r="D672" s="66" t="s">
        <v>2779</v>
      </c>
      <c r="E672" s="67" t="s">
        <v>2319</v>
      </c>
      <c r="F672" s="67" t="s">
        <v>2747</v>
      </c>
      <c r="G672" s="66" t="s">
        <v>2361</v>
      </c>
    </row>
    <row r="673" spans="1:7" ht="15">
      <c r="A673" s="66" t="s">
        <v>2534</v>
      </c>
      <c r="B673" s="66" t="s">
        <v>2363</v>
      </c>
      <c r="C673" s="66" t="s">
        <v>120</v>
      </c>
      <c r="D673" s="66" t="s">
        <v>2779</v>
      </c>
      <c r="E673" s="67" t="s">
        <v>120</v>
      </c>
      <c r="F673" s="67" t="s">
        <v>2747</v>
      </c>
      <c r="G673" s="66" t="s">
        <v>2535</v>
      </c>
    </row>
    <row r="674" spans="1:7" ht="15">
      <c r="A674" s="66" t="s">
        <v>2362</v>
      </c>
      <c r="B674" s="66" t="s">
        <v>2363</v>
      </c>
      <c r="C674" s="66" t="s">
        <v>2364</v>
      </c>
      <c r="D674" s="66" t="s">
        <v>2779</v>
      </c>
      <c r="E674" s="67" t="s">
        <v>2365</v>
      </c>
      <c r="F674" s="67" t="s">
        <v>2747</v>
      </c>
      <c r="G674" s="66" t="s">
        <v>2323</v>
      </c>
    </row>
    <row r="675" spans="1:7" ht="17.25">
      <c r="A675" s="92" t="s">
        <v>2710</v>
      </c>
      <c r="B675" s="92"/>
      <c r="C675" s="92"/>
      <c r="D675" s="92"/>
      <c r="E675" s="93"/>
      <c r="F675" s="92"/>
      <c r="G675" s="92"/>
    </row>
    <row r="676" spans="1:7" ht="15">
      <c r="A676" s="66" t="s">
        <v>2537</v>
      </c>
      <c r="B676" s="66" t="s">
        <v>2538</v>
      </c>
      <c r="C676" s="66" t="s">
        <v>120</v>
      </c>
      <c r="D676" s="66" t="s">
        <v>2779</v>
      </c>
      <c r="E676" s="67" t="s">
        <v>120</v>
      </c>
      <c r="F676" s="67" t="s">
        <v>2747</v>
      </c>
      <c r="G676" s="66" t="s">
        <v>2323</v>
      </c>
    </row>
    <row r="677" spans="1:7" ht="15">
      <c r="A677" s="66" t="s">
        <v>2539</v>
      </c>
      <c r="B677" s="66" t="s">
        <v>2538</v>
      </c>
      <c r="C677" s="66" t="s">
        <v>2490</v>
      </c>
      <c r="D677" s="66" t="s">
        <v>2779</v>
      </c>
      <c r="E677" s="67" t="s">
        <v>2490</v>
      </c>
      <c r="F677" s="67" t="s">
        <v>2747</v>
      </c>
      <c r="G677" s="66" t="s">
        <v>2540</v>
      </c>
    </row>
    <row r="678" spans="1:7" ht="15">
      <c r="A678" s="66" t="s">
        <v>2541</v>
      </c>
      <c r="B678" s="66" t="s">
        <v>2542</v>
      </c>
      <c r="C678" s="66" t="s">
        <v>2543</v>
      </c>
      <c r="D678" s="66" t="s">
        <v>2779</v>
      </c>
      <c r="E678" s="67" t="s">
        <v>120</v>
      </c>
      <c r="F678" s="67" t="s">
        <v>2747</v>
      </c>
      <c r="G678" s="66" t="s">
        <v>2323</v>
      </c>
    </row>
    <row r="679" spans="1:7" ht="15">
      <c r="A679" s="66" t="s">
        <v>2421</v>
      </c>
      <c r="B679" s="66" t="s">
        <v>2422</v>
      </c>
      <c r="C679" s="66" t="s">
        <v>2423</v>
      </c>
      <c r="D679" s="66" t="s">
        <v>2779</v>
      </c>
      <c r="E679" s="67" t="s">
        <v>2781</v>
      </c>
      <c r="F679" s="67" t="s">
        <v>2747</v>
      </c>
      <c r="G679" s="66" t="s">
        <v>2425</v>
      </c>
    </row>
    <row r="680" spans="1:7" ht="15">
      <c r="A680" s="66" t="s">
        <v>2545</v>
      </c>
      <c r="B680" s="66" t="s">
        <v>2422</v>
      </c>
      <c r="C680" s="66" t="s">
        <v>2461</v>
      </c>
      <c r="D680" s="66" t="s">
        <v>2779</v>
      </c>
      <c r="E680" s="67" t="s">
        <v>120</v>
      </c>
      <c r="F680" s="67" t="s">
        <v>2747</v>
      </c>
      <c r="G680" s="66" t="s">
        <v>2546</v>
      </c>
    </row>
    <row r="681" spans="1:7" ht="15">
      <c r="A681" s="66" t="s">
        <v>2547</v>
      </c>
      <c r="B681" s="66" t="s">
        <v>2538</v>
      </c>
      <c r="C681" s="66" t="s">
        <v>2548</v>
      </c>
      <c r="D681" s="66" t="s">
        <v>2779</v>
      </c>
      <c r="E681" s="67" t="s">
        <v>120</v>
      </c>
      <c r="F681" s="67" t="s">
        <v>2747</v>
      </c>
      <c r="G681" s="66" t="s">
        <v>2323</v>
      </c>
    </row>
    <row r="682" spans="1:7" ht="15">
      <c r="A682" s="66" t="s">
        <v>2549</v>
      </c>
      <c r="B682" s="66" t="s">
        <v>2538</v>
      </c>
      <c r="C682" s="66" t="s">
        <v>2550</v>
      </c>
      <c r="D682" s="66" t="s">
        <v>2779</v>
      </c>
      <c r="E682" s="67" t="s">
        <v>120</v>
      </c>
      <c r="F682" s="67" t="s">
        <v>2747</v>
      </c>
      <c r="G682" s="66" t="s">
        <v>2551</v>
      </c>
    </row>
    <row r="683" spans="1:7" ht="15">
      <c r="A683" s="66" t="s">
        <v>2552</v>
      </c>
      <c r="B683" s="66" t="s">
        <v>2538</v>
      </c>
      <c r="C683" s="66" t="s">
        <v>2553</v>
      </c>
      <c r="D683" s="66" t="s">
        <v>2779</v>
      </c>
      <c r="E683" s="67" t="s">
        <v>120</v>
      </c>
      <c r="F683" s="67" t="s">
        <v>2747</v>
      </c>
      <c r="G683" s="66" t="s">
        <v>2323</v>
      </c>
    </row>
    <row r="684" spans="1:7" ht="17.25">
      <c r="A684" s="92" t="s">
        <v>2712</v>
      </c>
      <c r="B684" s="92"/>
      <c r="C684" s="92"/>
      <c r="D684" s="92"/>
      <c r="E684" s="93"/>
      <c r="F684" s="92"/>
      <c r="G684" s="92"/>
    </row>
    <row r="685" spans="1:7" ht="15">
      <c r="A685" s="66" t="s">
        <v>2367</v>
      </c>
      <c r="B685" s="66"/>
      <c r="C685" s="66" t="s">
        <v>2317</v>
      </c>
      <c r="D685" s="66" t="s">
        <v>2779</v>
      </c>
      <c r="E685" s="67" t="s">
        <v>2319</v>
      </c>
      <c r="F685" s="67" t="s">
        <v>2747</v>
      </c>
      <c r="G685" s="66" t="s">
        <v>2368</v>
      </c>
    </row>
    <row r="686" spans="1:7" ht="15">
      <c r="A686" s="66" t="s">
        <v>2427</v>
      </c>
      <c r="B686" s="66" t="s">
        <v>2370</v>
      </c>
      <c r="C686" s="66" t="s">
        <v>2428</v>
      </c>
      <c r="D686" s="66" t="s">
        <v>2779</v>
      </c>
      <c r="E686" s="67" t="s">
        <v>120</v>
      </c>
      <c r="F686" s="67" t="s">
        <v>2747</v>
      </c>
      <c r="G686" s="66" t="s">
        <v>2429</v>
      </c>
    </row>
    <row r="687" spans="1:7" ht="15">
      <c r="A687" s="66" t="s">
        <v>2555</v>
      </c>
      <c r="B687" s="66" t="s">
        <v>2363</v>
      </c>
      <c r="C687" s="66" t="s">
        <v>2556</v>
      </c>
      <c r="D687" s="66" t="s">
        <v>2779</v>
      </c>
      <c r="E687" s="67" t="s">
        <v>120</v>
      </c>
      <c r="F687" s="67" t="s">
        <v>2747</v>
      </c>
      <c r="G687" s="66" t="s">
        <v>2557</v>
      </c>
    </row>
    <row r="688" spans="1:7" ht="15">
      <c r="A688" s="66" t="s">
        <v>2558</v>
      </c>
      <c r="B688" s="66" t="s">
        <v>2559</v>
      </c>
      <c r="C688" s="66" t="s">
        <v>2560</v>
      </c>
      <c r="D688" s="66" t="s">
        <v>2779</v>
      </c>
      <c r="E688" s="67" t="s">
        <v>120</v>
      </c>
      <c r="F688" s="67" t="s">
        <v>2747</v>
      </c>
      <c r="G688" s="66" t="s">
        <v>2561</v>
      </c>
    </row>
    <row r="689" spans="1:7" ht="15">
      <c r="A689" s="66" t="s">
        <v>2562</v>
      </c>
      <c r="B689" s="66" t="s">
        <v>2370</v>
      </c>
      <c r="C689" s="66" t="s">
        <v>120</v>
      </c>
      <c r="D689" s="66" t="s">
        <v>2779</v>
      </c>
      <c r="E689" s="67" t="s">
        <v>120</v>
      </c>
      <c r="F689" s="67" t="s">
        <v>2747</v>
      </c>
      <c r="G689" s="66" t="s">
        <v>2563</v>
      </c>
    </row>
    <row r="690" spans="1:7" ht="15">
      <c r="A690" s="66" t="s">
        <v>2369</v>
      </c>
      <c r="B690" s="66" t="s">
        <v>2370</v>
      </c>
      <c r="C690" s="66" t="s">
        <v>2317</v>
      </c>
      <c r="D690" s="66" t="s">
        <v>2779</v>
      </c>
      <c r="E690" s="67" t="s">
        <v>2319</v>
      </c>
      <c r="F690" s="67" t="s">
        <v>2747</v>
      </c>
      <c r="G690" s="66" t="s">
        <v>2371</v>
      </c>
    </row>
    <row r="691" spans="1:7" ht="15">
      <c r="A691" s="66" t="s">
        <v>2372</v>
      </c>
      <c r="B691" s="66"/>
      <c r="C691" s="66" t="s">
        <v>2329</v>
      </c>
      <c r="D691" s="66" t="s">
        <v>2779</v>
      </c>
      <c r="E691" s="67" t="s">
        <v>2696</v>
      </c>
      <c r="F691" s="67" t="s">
        <v>2747</v>
      </c>
      <c r="G691" s="66" t="s">
        <v>2323</v>
      </c>
    </row>
    <row r="692" spans="1:7" ht="15">
      <c r="A692" s="66" t="s">
        <v>2564</v>
      </c>
      <c r="B692" s="66"/>
      <c r="C692" s="66" t="s">
        <v>120</v>
      </c>
      <c r="D692" s="66" t="s">
        <v>2779</v>
      </c>
      <c r="E692" s="67" t="s">
        <v>120</v>
      </c>
      <c r="F692" s="67" t="s">
        <v>2747</v>
      </c>
      <c r="G692" s="66" t="s">
        <v>2323</v>
      </c>
    </row>
    <row r="693" spans="1:7" ht="15">
      <c r="A693" s="66" t="s">
        <v>2565</v>
      </c>
      <c r="B693" s="66" t="s">
        <v>2370</v>
      </c>
      <c r="C693" s="66" t="s">
        <v>2566</v>
      </c>
      <c r="D693" s="66" t="s">
        <v>2779</v>
      </c>
      <c r="E693" s="67" t="s">
        <v>2566</v>
      </c>
      <c r="F693" s="67" t="s">
        <v>2747</v>
      </c>
      <c r="G693" s="66" t="s">
        <v>2567</v>
      </c>
    </row>
    <row r="694" spans="1:7" ht="17.25">
      <c r="A694" s="92" t="s">
        <v>2713</v>
      </c>
      <c r="B694" s="92"/>
      <c r="C694" s="92"/>
      <c r="D694" s="92"/>
      <c r="E694" s="93"/>
      <c r="F694" s="92"/>
      <c r="G694" s="92"/>
    </row>
    <row r="695" spans="1:7" ht="15">
      <c r="A695" s="66" t="s">
        <v>2374</v>
      </c>
      <c r="B695" s="66"/>
      <c r="C695" s="66" t="s">
        <v>2329</v>
      </c>
      <c r="D695" s="66" t="s">
        <v>2779</v>
      </c>
      <c r="E695" s="67" t="s">
        <v>2696</v>
      </c>
      <c r="F695" s="67" t="s">
        <v>2747</v>
      </c>
      <c r="G695" s="66" t="s">
        <v>2375</v>
      </c>
    </row>
    <row r="696" spans="1:7" ht="15">
      <c r="A696" s="66" t="s">
        <v>2569</v>
      </c>
      <c r="B696" s="66" t="s">
        <v>2570</v>
      </c>
      <c r="C696" s="66" t="s">
        <v>2571</v>
      </c>
      <c r="D696" s="66" t="s">
        <v>2779</v>
      </c>
      <c r="E696" s="67" t="s">
        <v>120</v>
      </c>
      <c r="F696" s="67" t="s">
        <v>2747</v>
      </c>
      <c r="G696" s="66" t="s">
        <v>2437</v>
      </c>
    </row>
    <row r="697" spans="1:7" ht="15">
      <c r="A697" s="66" t="s">
        <v>2572</v>
      </c>
      <c r="B697" s="66" t="s">
        <v>2432</v>
      </c>
      <c r="C697" s="66" t="s">
        <v>120</v>
      </c>
      <c r="D697" s="66" t="s">
        <v>2779</v>
      </c>
      <c r="E697" s="67" t="s">
        <v>120</v>
      </c>
      <c r="F697" s="67" t="s">
        <v>2747</v>
      </c>
      <c r="G697" s="66" t="s">
        <v>2573</v>
      </c>
    </row>
    <row r="698" spans="1:7" ht="15">
      <c r="A698" s="66" t="s">
        <v>2574</v>
      </c>
      <c r="B698" s="66" t="s">
        <v>2570</v>
      </c>
      <c r="C698" s="66" t="s">
        <v>120</v>
      </c>
      <c r="D698" s="66" t="s">
        <v>2779</v>
      </c>
      <c r="E698" s="67" t="s">
        <v>120</v>
      </c>
      <c r="F698" s="67" t="s">
        <v>2747</v>
      </c>
      <c r="G698" s="66" t="s">
        <v>2573</v>
      </c>
    </row>
    <row r="699" spans="1:7" ht="15">
      <c r="A699" s="66" t="s">
        <v>2575</v>
      </c>
      <c r="B699" s="66" t="s">
        <v>2576</v>
      </c>
      <c r="C699" s="66" t="s">
        <v>2490</v>
      </c>
      <c r="D699" s="66" t="s">
        <v>2779</v>
      </c>
      <c r="E699" s="67" t="s">
        <v>2490</v>
      </c>
      <c r="F699" s="67" t="s">
        <v>2747</v>
      </c>
      <c r="G699" s="66" t="s">
        <v>2577</v>
      </c>
    </row>
    <row r="700" spans="1:7" ht="15">
      <c r="A700" s="66" t="s">
        <v>2578</v>
      </c>
      <c r="B700" s="66" t="s">
        <v>2579</v>
      </c>
      <c r="C700" s="66" t="s">
        <v>2543</v>
      </c>
      <c r="D700" s="66" t="s">
        <v>2779</v>
      </c>
      <c r="E700" s="67" t="s">
        <v>120</v>
      </c>
      <c r="F700" s="67" t="s">
        <v>2747</v>
      </c>
      <c r="G700" s="66" t="s">
        <v>2580</v>
      </c>
    </row>
    <row r="701" spans="1:7" ht="17.25">
      <c r="A701" s="92" t="s">
        <v>2714</v>
      </c>
      <c r="B701" s="92"/>
      <c r="C701" s="92"/>
      <c r="D701" s="92"/>
      <c r="E701" s="93"/>
      <c r="F701" s="92"/>
      <c r="G701" s="92"/>
    </row>
    <row r="702" spans="1:7" ht="15">
      <c r="A702" s="66" t="s">
        <v>2381</v>
      </c>
      <c r="B702" s="66"/>
      <c r="C702" s="66" t="s">
        <v>1396</v>
      </c>
      <c r="D702" s="66" t="s">
        <v>2782</v>
      </c>
      <c r="E702" s="67" t="s">
        <v>1396</v>
      </c>
      <c r="F702" s="67" t="s">
        <v>2747</v>
      </c>
      <c r="G702" s="66" t="s">
        <v>2323</v>
      </c>
    </row>
    <row r="703" spans="1:7" ht="15">
      <c r="A703" s="66" t="s">
        <v>2382</v>
      </c>
      <c r="B703" s="66"/>
      <c r="C703" s="66" t="s">
        <v>2383</v>
      </c>
      <c r="D703" s="66" t="s">
        <v>2782</v>
      </c>
      <c r="E703" s="67" t="s">
        <v>1396</v>
      </c>
      <c r="F703" s="67" t="s">
        <v>2747</v>
      </c>
      <c r="G703" s="66" t="s">
        <v>2323</v>
      </c>
    </row>
    <row r="704" spans="1:7" ht="17.25">
      <c r="A704" s="92" t="s">
        <v>2717</v>
      </c>
      <c r="B704" s="92"/>
      <c r="C704" s="92"/>
      <c r="D704" s="92"/>
      <c r="E704" s="93"/>
      <c r="F704" s="92"/>
      <c r="G704" s="92"/>
    </row>
    <row r="705" spans="1:7" ht="15">
      <c r="A705" s="66" t="s">
        <v>2458</v>
      </c>
      <c r="B705" s="66" t="s">
        <v>2457</v>
      </c>
      <c r="C705" s="66" t="s">
        <v>2459</v>
      </c>
      <c r="D705" s="66" t="s">
        <v>2782</v>
      </c>
      <c r="E705" s="67" t="s">
        <v>2776</v>
      </c>
      <c r="F705" s="67" t="s">
        <v>2747</v>
      </c>
      <c r="G705" s="66" t="s">
        <v>2323</v>
      </c>
    </row>
    <row r="706" spans="1:7" ht="17.25">
      <c r="A706" s="92" t="s">
        <v>2718</v>
      </c>
      <c r="B706" s="92"/>
      <c r="C706" s="92"/>
      <c r="D706" s="92"/>
      <c r="E706" s="93"/>
      <c r="F706" s="92"/>
      <c r="G706" s="92"/>
    </row>
    <row r="707" spans="1:7" ht="15">
      <c r="A707" s="66" t="s">
        <v>2587</v>
      </c>
      <c r="B707" s="66" t="s">
        <v>2363</v>
      </c>
      <c r="C707" s="66" t="s">
        <v>2588</v>
      </c>
      <c r="D707" s="66" t="s">
        <v>2782</v>
      </c>
      <c r="E707" s="67" t="s">
        <v>2585</v>
      </c>
      <c r="F707" s="67" t="s">
        <v>2747</v>
      </c>
      <c r="G707" s="66" t="s">
        <v>2323</v>
      </c>
    </row>
    <row r="708" spans="1:7" ht="15">
      <c r="A708" s="66" t="s">
        <v>2392</v>
      </c>
      <c r="B708" s="66" t="s">
        <v>2390</v>
      </c>
      <c r="C708" s="66" t="s">
        <v>2393</v>
      </c>
      <c r="D708" s="66" t="s">
        <v>2782</v>
      </c>
      <c r="E708" s="67" t="s">
        <v>2585</v>
      </c>
      <c r="F708" s="67" t="s">
        <v>2747</v>
      </c>
      <c r="G708" s="66" t="s">
        <v>2394</v>
      </c>
    </row>
    <row r="709" spans="1:7" ht="17.25">
      <c r="A709" s="92" t="s">
        <v>2725</v>
      </c>
      <c r="B709" s="92"/>
      <c r="C709" s="92"/>
      <c r="D709" s="92"/>
      <c r="E709" s="93"/>
      <c r="F709" s="92"/>
      <c r="G709" s="92"/>
    </row>
    <row r="710" spans="1:7" ht="15">
      <c r="A710" s="66" t="s">
        <v>2413</v>
      </c>
      <c r="B710" s="66" t="s">
        <v>2407</v>
      </c>
      <c r="C710" s="66" t="s">
        <v>2414</v>
      </c>
      <c r="D710" s="66" t="s">
        <v>2782</v>
      </c>
      <c r="E710" s="67" t="s">
        <v>2777</v>
      </c>
      <c r="F710" s="67" t="s">
        <v>2747</v>
      </c>
      <c r="G710" s="66" t="s">
        <v>2416</v>
      </c>
    </row>
    <row r="711" spans="1:7" ht="17.25">
      <c r="A711" s="92" t="s">
        <v>2726</v>
      </c>
      <c r="B711" s="92"/>
      <c r="C711" s="92"/>
      <c r="D711" s="92"/>
      <c r="E711" s="93"/>
      <c r="F711" s="92"/>
      <c r="G711" s="92"/>
    </row>
    <row r="712" spans="1:7" ht="15">
      <c r="A712" s="66" t="s">
        <v>2541</v>
      </c>
      <c r="B712" s="66" t="s">
        <v>2542</v>
      </c>
      <c r="C712" s="66" t="s">
        <v>2543</v>
      </c>
      <c r="D712" s="66" t="s">
        <v>2782</v>
      </c>
      <c r="E712" s="67" t="s">
        <v>2585</v>
      </c>
      <c r="F712" s="67" t="s">
        <v>2747</v>
      </c>
      <c r="G712" s="66" t="s">
        <v>2323</v>
      </c>
    </row>
    <row r="713" spans="1:7" ht="15">
      <c r="A713" s="66" t="s">
        <v>2421</v>
      </c>
      <c r="B713" s="66" t="s">
        <v>2422</v>
      </c>
      <c r="C713" s="66" t="s">
        <v>2423</v>
      </c>
      <c r="D713" s="66" t="s">
        <v>2782</v>
      </c>
      <c r="E713" s="67" t="s">
        <v>2778</v>
      </c>
      <c r="F713" s="67" t="s">
        <v>2747</v>
      </c>
      <c r="G713" s="66" t="s">
        <v>2425</v>
      </c>
    </row>
    <row r="714" spans="1:7" ht="17.25">
      <c r="A714" s="92" t="s">
        <v>2728</v>
      </c>
      <c r="B714" s="92"/>
      <c r="C714" s="92"/>
      <c r="D714" s="92"/>
      <c r="E714" s="93"/>
      <c r="F714" s="92"/>
      <c r="G714" s="92"/>
    </row>
    <row r="715" spans="1:7" ht="15">
      <c r="A715" s="66" t="s">
        <v>2578</v>
      </c>
      <c r="B715" s="66" t="s">
        <v>2579</v>
      </c>
      <c r="C715" s="66" t="s">
        <v>2543</v>
      </c>
      <c r="D715" s="66" t="s">
        <v>2782</v>
      </c>
      <c r="E715" s="67" t="s">
        <v>2585</v>
      </c>
      <c r="F715" s="67" t="s">
        <v>2747</v>
      </c>
      <c r="G715" s="66" t="s">
        <v>2580</v>
      </c>
    </row>
    <row r="716" spans="1:7" ht="15">
      <c r="A716" s="66" t="s">
        <v>2599</v>
      </c>
      <c r="B716" s="66" t="s">
        <v>2435</v>
      </c>
      <c r="C716" s="66" t="s">
        <v>2585</v>
      </c>
      <c r="D716" s="66" t="s">
        <v>2782</v>
      </c>
      <c r="E716" s="67" t="s">
        <v>2585</v>
      </c>
      <c r="F716" s="67" t="s">
        <v>2747</v>
      </c>
      <c r="G716" s="66" t="s">
        <v>2375</v>
      </c>
    </row>
    <row r="717" spans="1:7" ht="17.25">
      <c r="A717" s="92" t="s">
        <v>2729</v>
      </c>
      <c r="B717" s="92"/>
      <c r="C717" s="92"/>
      <c r="D717" s="92"/>
      <c r="E717" s="93"/>
      <c r="F717" s="92"/>
      <c r="G717" s="92"/>
    </row>
    <row r="718" spans="1:7" ht="15">
      <c r="A718" s="66" t="s">
        <v>2315</v>
      </c>
      <c r="B718" s="66" t="s">
        <v>2316</v>
      </c>
      <c r="C718" s="66" t="s">
        <v>2317</v>
      </c>
      <c r="D718" s="66" t="s">
        <v>2783</v>
      </c>
      <c r="E718" s="67" t="s">
        <v>2319</v>
      </c>
      <c r="F718" s="67" t="s">
        <v>2747</v>
      </c>
      <c r="G718" s="66" t="s">
        <v>2320</v>
      </c>
    </row>
    <row r="719" spans="1:7" ht="15">
      <c r="A719" s="66" t="s">
        <v>2381</v>
      </c>
      <c r="B719" s="66"/>
      <c r="C719" s="66" t="s">
        <v>1396</v>
      </c>
      <c r="D719" s="66" t="s">
        <v>2783</v>
      </c>
      <c r="E719" s="67" t="s">
        <v>1396</v>
      </c>
      <c r="F719" s="67" t="s">
        <v>2747</v>
      </c>
      <c r="G719" s="66" t="s">
        <v>2323</v>
      </c>
    </row>
    <row r="720" spans="1:7" ht="15">
      <c r="A720" s="66" t="s">
        <v>2382</v>
      </c>
      <c r="B720" s="66"/>
      <c r="C720" s="66" t="s">
        <v>2383</v>
      </c>
      <c r="D720" s="66" t="s">
        <v>2783</v>
      </c>
      <c r="E720" s="67" t="s">
        <v>1396</v>
      </c>
      <c r="F720" s="67" t="s">
        <v>2747</v>
      </c>
      <c r="G720" s="66" t="s">
        <v>2323</v>
      </c>
    </row>
    <row r="721" spans="1:7" ht="15">
      <c r="A721" s="66" t="s">
        <v>2321</v>
      </c>
      <c r="B721" s="66" t="s">
        <v>2322</v>
      </c>
      <c r="C721" s="66" t="s">
        <v>2317</v>
      </c>
      <c r="D721" s="66" t="s">
        <v>2783</v>
      </c>
      <c r="E721" s="67" t="s">
        <v>2319</v>
      </c>
      <c r="F721" s="67" t="s">
        <v>2747</v>
      </c>
      <c r="G721" s="66" t="s">
        <v>2323</v>
      </c>
    </row>
    <row r="722" spans="1:7" ht="15">
      <c r="A722" s="66" t="s">
        <v>2324</v>
      </c>
      <c r="B722" s="66" t="s">
        <v>2322</v>
      </c>
      <c r="C722" s="66" t="s">
        <v>2317</v>
      </c>
      <c r="D722" s="66" t="s">
        <v>2783</v>
      </c>
      <c r="E722" s="67" t="s">
        <v>2319</v>
      </c>
      <c r="F722" s="67" t="s">
        <v>2747</v>
      </c>
      <c r="G722" s="66" t="s">
        <v>2323</v>
      </c>
    </row>
    <row r="723" spans="1:7" ht="15">
      <c r="A723" s="66" t="s">
        <v>2325</v>
      </c>
      <c r="B723" s="66" t="s">
        <v>2326</v>
      </c>
      <c r="C723" s="66" t="s">
        <v>2317</v>
      </c>
      <c r="D723" s="66" t="s">
        <v>2783</v>
      </c>
      <c r="E723" s="67" t="s">
        <v>2319</v>
      </c>
      <c r="F723" s="67" t="s">
        <v>2747</v>
      </c>
      <c r="G723" s="66" t="s">
        <v>2323</v>
      </c>
    </row>
    <row r="724" spans="1:7" ht="17.25">
      <c r="A724" s="92" t="s">
        <v>2731</v>
      </c>
      <c r="B724" s="92"/>
      <c r="C724" s="92"/>
      <c r="D724" s="92"/>
      <c r="E724" s="93"/>
      <c r="F724" s="92"/>
      <c r="G724" s="92"/>
    </row>
    <row r="725" spans="1:7" ht="15">
      <c r="A725" s="66" t="s">
        <v>2328</v>
      </c>
      <c r="B725" s="66"/>
      <c r="C725" s="66" t="s">
        <v>2329</v>
      </c>
      <c r="D725" s="66" t="s">
        <v>2783</v>
      </c>
      <c r="E725" s="67" t="s">
        <v>2330</v>
      </c>
      <c r="F725" s="67" t="s">
        <v>2747</v>
      </c>
      <c r="G725" s="66" t="s">
        <v>2331</v>
      </c>
    </row>
    <row r="726" spans="1:7" ht="17.25">
      <c r="A726" s="92" t="s">
        <v>2735</v>
      </c>
      <c r="B726" s="92"/>
      <c r="C726" s="92"/>
      <c r="D726" s="92"/>
      <c r="E726" s="93"/>
      <c r="F726" s="92"/>
      <c r="G726" s="92"/>
    </row>
    <row r="727" spans="1:7" ht="15">
      <c r="A727" s="66" t="s">
        <v>2333</v>
      </c>
      <c r="B727" s="66" t="s">
        <v>2334</v>
      </c>
      <c r="C727" s="66" t="s">
        <v>2335</v>
      </c>
      <c r="D727" s="66" t="s">
        <v>2783</v>
      </c>
      <c r="E727" s="67" t="s">
        <v>2330</v>
      </c>
      <c r="F727" s="67" t="s">
        <v>2747</v>
      </c>
      <c r="G727" s="66" t="s">
        <v>2323</v>
      </c>
    </row>
    <row r="728" spans="1:7" ht="15">
      <c r="A728" s="66" t="s">
        <v>2336</v>
      </c>
      <c r="B728" s="66" t="s">
        <v>2334</v>
      </c>
      <c r="C728" s="66" t="s">
        <v>2329</v>
      </c>
      <c r="D728" s="66" t="s">
        <v>2783</v>
      </c>
      <c r="E728" s="67" t="s">
        <v>2330</v>
      </c>
      <c r="F728" s="67" t="s">
        <v>2747</v>
      </c>
      <c r="G728" s="66" t="s">
        <v>2323</v>
      </c>
    </row>
    <row r="729" spans="1:7" ht="15">
      <c r="A729" s="66" t="s">
        <v>2337</v>
      </c>
      <c r="B729" s="66" t="s">
        <v>2334</v>
      </c>
      <c r="C729" s="66" t="s">
        <v>2329</v>
      </c>
      <c r="D729" s="66" t="s">
        <v>2783</v>
      </c>
      <c r="E729" s="67" t="s">
        <v>2330</v>
      </c>
      <c r="F729" s="67" t="s">
        <v>2747</v>
      </c>
      <c r="G729" s="66" t="s">
        <v>2323</v>
      </c>
    </row>
    <row r="730" spans="1:7" ht="15">
      <c r="A730" s="66" t="s">
        <v>2338</v>
      </c>
      <c r="B730" s="66" t="s">
        <v>2339</v>
      </c>
      <c r="C730" s="66" t="s">
        <v>2329</v>
      </c>
      <c r="D730" s="66" t="s">
        <v>2783</v>
      </c>
      <c r="E730" s="67" t="s">
        <v>2330</v>
      </c>
      <c r="F730" s="67" t="s">
        <v>2747</v>
      </c>
      <c r="G730" s="66" t="s">
        <v>2323</v>
      </c>
    </row>
    <row r="731" spans="1:7" ht="15">
      <c r="A731" s="66" t="s">
        <v>2340</v>
      </c>
      <c r="B731" s="66"/>
      <c r="C731" s="66" t="s">
        <v>2329</v>
      </c>
      <c r="D731" s="66" t="s">
        <v>2783</v>
      </c>
      <c r="E731" s="67" t="s">
        <v>2330</v>
      </c>
      <c r="F731" s="67" t="s">
        <v>2747</v>
      </c>
      <c r="G731" s="66" t="s">
        <v>2323</v>
      </c>
    </row>
    <row r="732" spans="1:7" ht="15">
      <c r="A732" s="66" t="s">
        <v>2341</v>
      </c>
      <c r="B732" s="66"/>
      <c r="C732" s="66" t="s">
        <v>2329</v>
      </c>
      <c r="D732" s="66" t="s">
        <v>2783</v>
      </c>
      <c r="E732" s="67" t="s">
        <v>2330</v>
      </c>
      <c r="F732" s="67" t="s">
        <v>2747</v>
      </c>
      <c r="G732" s="66" t="s">
        <v>2323</v>
      </c>
    </row>
    <row r="733" spans="1:7" ht="15">
      <c r="A733" s="66" t="s">
        <v>2342</v>
      </c>
      <c r="B733" s="66"/>
      <c r="C733" s="66" t="s">
        <v>2329</v>
      </c>
      <c r="D733" s="66" t="s">
        <v>2783</v>
      </c>
      <c r="E733" s="67" t="s">
        <v>2330</v>
      </c>
      <c r="F733" s="67" t="s">
        <v>2747</v>
      </c>
      <c r="G733" s="66" t="s">
        <v>2323</v>
      </c>
    </row>
    <row r="734" spans="1:7" ht="17.25">
      <c r="A734" s="92" t="s">
        <v>2736</v>
      </c>
      <c r="B734" s="92"/>
      <c r="C734" s="92"/>
      <c r="D734" s="92"/>
      <c r="E734" s="93"/>
      <c r="F734" s="92"/>
      <c r="G734" s="92"/>
    </row>
    <row r="735" spans="1:7" ht="15">
      <c r="A735" s="66" t="s">
        <v>2347</v>
      </c>
      <c r="B735" s="66"/>
      <c r="C735" s="66" t="s">
        <v>2329</v>
      </c>
      <c r="D735" s="66" t="s">
        <v>2783</v>
      </c>
      <c r="E735" s="67" t="s">
        <v>2330</v>
      </c>
      <c r="F735" s="67" t="s">
        <v>2747</v>
      </c>
      <c r="G735" s="66" t="s">
        <v>2323</v>
      </c>
    </row>
    <row r="736" spans="1:7" ht="15">
      <c r="A736" s="66" t="s">
        <v>2348</v>
      </c>
      <c r="B736" s="66"/>
      <c r="C736" s="66" t="s">
        <v>2329</v>
      </c>
      <c r="D736" s="66" t="s">
        <v>2783</v>
      </c>
      <c r="E736" s="67" t="s">
        <v>2330</v>
      </c>
      <c r="F736" s="67" t="s">
        <v>2747</v>
      </c>
      <c r="G736" s="66" t="s">
        <v>2323</v>
      </c>
    </row>
    <row r="737" spans="1:7" ht="17.25">
      <c r="A737" s="92" t="s">
        <v>2737</v>
      </c>
      <c r="B737" s="92"/>
      <c r="C737" s="92"/>
      <c r="D737" s="92"/>
      <c r="E737" s="93"/>
      <c r="F737" s="92"/>
      <c r="G737" s="92"/>
    </row>
    <row r="738" spans="1:7" ht="15">
      <c r="A738" s="66" t="s">
        <v>2350</v>
      </c>
      <c r="B738" s="66"/>
      <c r="C738" s="66" t="s">
        <v>2329</v>
      </c>
      <c r="D738" s="66" t="s">
        <v>2783</v>
      </c>
      <c r="E738" s="67" t="s">
        <v>2330</v>
      </c>
      <c r="F738" s="67" t="s">
        <v>2747</v>
      </c>
      <c r="G738" s="66" t="s">
        <v>2323</v>
      </c>
    </row>
    <row r="739" spans="1:7" ht="17.25">
      <c r="A739" s="92" t="s">
        <v>2739</v>
      </c>
      <c r="B739" s="92"/>
      <c r="C739" s="92"/>
      <c r="D739" s="92"/>
      <c r="E739" s="93"/>
      <c r="F739" s="92"/>
      <c r="G739" s="92"/>
    </row>
    <row r="740" spans="1:7" ht="15">
      <c r="A740" s="66" t="s">
        <v>2352</v>
      </c>
      <c r="B740" s="66" t="s">
        <v>2353</v>
      </c>
      <c r="C740" s="66" t="s">
        <v>2317</v>
      </c>
      <c r="D740" s="66" t="s">
        <v>2783</v>
      </c>
      <c r="E740" s="67" t="s">
        <v>2319</v>
      </c>
      <c r="F740" s="67" t="s">
        <v>2747</v>
      </c>
      <c r="G740" s="66" t="s">
        <v>2354</v>
      </c>
    </row>
    <row r="741" spans="1:7" ht="15">
      <c r="A741" s="66" t="s">
        <v>2355</v>
      </c>
      <c r="B741" s="66" t="s">
        <v>2356</v>
      </c>
      <c r="C741" s="66" t="s">
        <v>2317</v>
      </c>
      <c r="D741" s="66" t="s">
        <v>2783</v>
      </c>
      <c r="E741" s="67" t="s">
        <v>2319</v>
      </c>
      <c r="F741" s="67" t="s">
        <v>2747</v>
      </c>
      <c r="G741" s="66" t="s">
        <v>2357</v>
      </c>
    </row>
    <row r="742" spans="1:7" ht="15">
      <c r="A742" s="66" t="s">
        <v>2358</v>
      </c>
      <c r="B742" s="66"/>
      <c r="C742" s="66" t="s">
        <v>2329</v>
      </c>
      <c r="D742" s="66" t="s">
        <v>2783</v>
      </c>
      <c r="E742" s="67" t="s">
        <v>2330</v>
      </c>
      <c r="F742" s="67" t="s">
        <v>2747</v>
      </c>
      <c r="G742" s="66" t="s">
        <v>2323</v>
      </c>
    </row>
    <row r="743" spans="1:7" ht="17.25">
      <c r="A743" s="92" t="s">
        <v>2740</v>
      </c>
      <c r="B743" s="92"/>
      <c r="C743" s="92"/>
      <c r="D743" s="92"/>
      <c r="E743" s="93"/>
      <c r="F743" s="92"/>
      <c r="G743" s="92"/>
    </row>
    <row r="744" spans="1:7" ht="15">
      <c r="A744" s="66" t="s">
        <v>2413</v>
      </c>
      <c r="B744" s="66" t="s">
        <v>2407</v>
      </c>
      <c r="C744" s="66" t="s">
        <v>2414</v>
      </c>
      <c r="D744" s="66" t="s">
        <v>2783</v>
      </c>
      <c r="E744" s="67" t="s">
        <v>2784</v>
      </c>
      <c r="F744" s="67" t="s">
        <v>2747</v>
      </c>
      <c r="G744" s="66" t="s">
        <v>2416</v>
      </c>
    </row>
    <row r="745" spans="1:7" ht="15">
      <c r="A745" s="66" t="s">
        <v>2360</v>
      </c>
      <c r="B745" s="66"/>
      <c r="C745" s="66" t="s">
        <v>2317</v>
      </c>
      <c r="D745" s="66" t="s">
        <v>2783</v>
      </c>
      <c r="E745" s="67" t="s">
        <v>2319</v>
      </c>
      <c r="F745" s="67" t="s">
        <v>2747</v>
      </c>
      <c r="G745" s="66" t="s">
        <v>2361</v>
      </c>
    </row>
    <row r="746" spans="1:7" ht="15">
      <c r="A746" s="66" t="s">
        <v>2362</v>
      </c>
      <c r="B746" s="66" t="s">
        <v>2363</v>
      </c>
      <c r="C746" s="66" t="s">
        <v>2364</v>
      </c>
      <c r="D746" s="66" t="s">
        <v>2783</v>
      </c>
      <c r="E746" s="67" t="s">
        <v>2365</v>
      </c>
      <c r="F746" s="67" t="s">
        <v>2747</v>
      </c>
      <c r="G746" s="66" t="s">
        <v>2323</v>
      </c>
    </row>
    <row r="747" spans="1:7" ht="17.25">
      <c r="A747" s="92" t="s">
        <v>2742</v>
      </c>
      <c r="B747" s="92"/>
      <c r="C747" s="92"/>
      <c r="D747" s="92"/>
      <c r="E747" s="93"/>
      <c r="F747" s="92"/>
      <c r="G747" s="92"/>
    </row>
    <row r="748" spans="1:7" ht="15">
      <c r="A748" s="66" t="s">
        <v>2421</v>
      </c>
      <c r="B748" s="66" t="s">
        <v>2422</v>
      </c>
      <c r="C748" s="66" t="s">
        <v>2423</v>
      </c>
      <c r="D748" s="66" t="s">
        <v>2783</v>
      </c>
      <c r="E748" s="67" t="s">
        <v>2755</v>
      </c>
      <c r="F748" s="67" t="s">
        <v>2747</v>
      </c>
      <c r="G748" s="66" t="s">
        <v>2425</v>
      </c>
    </row>
    <row r="749" spans="1:7" ht="15">
      <c r="A749" s="66" t="s">
        <v>2785</v>
      </c>
      <c r="B749" s="66"/>
      <c r="C749" s="66" t="s">
        <v>2786</v>
      </c>
      <c r="D749" s="66" t="s">
        <v>2783</v>
      </c>
      <c r="E749" s="67" t="s">
        <v>2787</v>
      </c>
      <c r="F749" s="67" t="s">
        <v>2747</v>
      </c>
      <c r="G749" s="66" t="s">
        <v>2323</v>
      </c>
    </row>
    <row r="750" spans="1:7" ht="17.25">
      <c r="A750" s="92" t="s">
        <v>2744</v>
      </c>
      <c r="B750" s="92"/>
      <c r="C750" s="92"/>
      <c r="D750" s="92"/>
      <c r="E750" s="93"/>
      <c r="F750" s="92"/>
      <c r="G750" s="92"/>
    </row>
    <row r="751" spans="1:7" ht="15">
      <c r="A751" s="66" t="s">
        <v>2367</v>
      </c>
      <c r="B751" s="66"/>
      <c r="C751" s="66" t="s">
        <v>2317</v>
      </c>
      <c r="D751" s="66" t="s">
        <v>2783</v>
      </c>
      <c r="E751" s="67" t="s">
        <v>2319</v>
      </c>
      <c r="F751" s="67" t="s">
        <v>2747</v>
      </c>
      <c r="G751" s="66" t="s">
        <v>2368</v>
      </c>
    </row>
    <row r="752" spans="1:7" ht="15">
      <c r="A752" s="66" t="s">
        <v>2369</v>
      </c>
      <c r="B752" s="66" t="s">
        <v>2370</v>
      </c>
      <c r="C752" s="66" t="s">
        <v>2317</v>
      </c>
      <c r="D752" s="66" t="s">
        <v>2783</v>
      </c>
      <c r="E752" s="67" t="s">
        <v>2319</v>
      </c>
      <c r="F752" s="67" t="s">
        <v>2747</v>
      </c>
      <c r="G752" s="66" t="s">
        <v>2371</v>
      </c>
    </row>
    <row r="753" spans="1:7" ht="15">
      <c r="A753" s="66" t="s">
        <v>2372</v>
      </c>
      <c r="B753" s="66"/>
      <c r="C753" s="66" t="s">
        <v>2329</v>
      </c>
      <c r="D753" s="66" t="s">
        <v>2783</v>
      </c>
      <c r="E753" s="67" t="s">
        <v>2330</v>
      </c>
      <c r="F753" s="67" t="s">
        <v>2747</v>
      </c>
      <c r="G753" s="66" t="s">
        <v>2323</v>
      </c>
    </row>
    <row r="754" spans="1:7" ht="17.25">
      <c r="A754" s="92" t="s">
        <v>2745</v>
      </c>
      <c r="B754" s="92"/>
      <c r="C754" s="92"/>
      <c r="D754" s="92"/>
      <c r="E754" s="93"/>
      <c r="F754" s="92"/>
      <c r="G754" s="92"/>
    </row>
    <row r="755" spans="1:7" ht="15">
      <c r="A755" s="66" t="s">
        <v>2374</v>
      </c>
      <c r="B755" s="66"/>
      <c r="C755" s="66" t="s">
        <v>2329</v>
      </c>
      <c r="D755" s="66" t="s">
        <v>2783</v>
      </c>
      <c r="E755" s="67" t="s">
        <v>2330</v>
      </c>
      <c r="F755" s="67" t="s">
        <v>2747</v>
      </c>
      <c r="G755" s="66" t="s">
        <v>2375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2129</v>
      </c>
      <c r="B2" s="89" t="s">
        <v>2857</v>
      </c>
      <c r="C2" s="89" t="s">
        <v>2858</v>
      </c>
      <c r="D2" s="89" t="s">
        <v>2859</v>
      </c>
      <c r="E2" s="89" t="s">
        <v>2859</v>
      </c>
      <c r="F2" s="89" t="s">
        <v>2859</v>
      </c>
      <c r="G2" s="89" t="s">
        <v>2860</v>
      </c>
      <c r="H2" s="89" t="s">
        <v>2859</v>
      </c>
      <c r="I2" s="89" t="s">
        <v>621</v>
      </c>
      <c r="J2" s="89" t="s">
        <v>2861</v>
      </c>
      <c r="K2" s="89" t="s">
        <v>2860</v>
      </c>
      <c r="L2" s="89" t="s">
        <v>120</v>
      </c>
      <c r="M2" s="89" t="s">
        <v>2861</v>
      </c>
      <c r="N2" s="89" t="s">
        <v>2860</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2862</v>
      </c>
      <c r="BR2" s="89" t="s">
        <v>2859</v>
      </c>
    </row>
    <row r="3" spans="1:70">
      <c r="A3" s="89" t="s">
        <v>2129</v>
      </c>
      <c r="B3" s="89" t="s">
        <v>2863</v>
      </c>
      <c r="C3" s="89" t="s">
        <v>2864</v>
      </c>
      <c r="D3" s="89" t="s">
        <v>2859</v>
      </c>
      <c r="E3" s="89" t="s">
        <v>2859</v>
      </c>
      <c r="F3" s="89" t="s">
        <v>2859</v>
      </c>
      <c r="G3" s="89" t="s">
        <v>2860</v>
      </c>
      <c r="H3" s="89" t="s">
        <v>2859</v>
      </c>
      <c r="I3" s="89" t="s">
        <v>2865</v>
      </c>
      <c r="J3" s="89" t="s">
        <v>2866</v>
      </c>
      <c r="K3" s="89" t="s">
        <v>2867</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2868</v>
      </c>
      <c r="BR3" s="89" t="s">
        <v>2869</v>
      </c>
    </row>
    <row r="4" spans="1:70">
      <c r="A4" s="89" t="s">
        <v>2129</v>
      </c>
      <c r="B4" s="89" t="s">
        <v>2870</v>
      </c>
      <c r="C4" s="89" t="s">
        <v>2871</v>
      </c>
      <c r="D4" s="89" t="s">
        <v>2859</v>
      </c>
      <c r="E4" s="89" t="s">
        <v>2859</v>
      </c>
      <c r="F4" s="89" t="s">
        <v>2859</v>
      </c>
      <c r="G4" s="89" t="s">
        <v>2860</v>
      </c>
      <c r="H4" s="89" t="s">
        <v>2859</v>
      </c>
      <c r="I4" s="89" t="s">
        <v>2872</v>
      </c>
      <c r="J4" s="89" t="s">
        <v>2873</v>
      </c>
      <c r="K4" s="89" t="s">
        <v>2860</v>
      </c>
      <c r="L4" s="89" t="s">
        <v>120</v>
      </c>
      <c r="M4" s="89" t="s">
        <v>2873</v>
      </c>
      <c r="N4" s="89" t="s">
        <v>2860</v>
      </c>
      <c r="O4" s="89" t="s">
        <v>621</v>
      </c>
      <c r="P4" s="89" t="s">
        <v>2873</v>
      </c>
      <c r="Q4" s="89" t="s">
        <v>2860</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2874</v>
      </c>
      <c r="BR4" s="89" t="s">
        <v>2859</v>
      </c>
    </row>
    <row r="5" spans="1:70">
      <c r="A5" s="89" t="s">
        <v>2129</v>
      </c>
      <c r="B5" s="89" t="s">
        <v>2875</v>
      </c>
      <c r="C5" s="89" t="s">
        <v>2858</v>
      </c>
      <c r="D5" s="89" t="s">
        <v>2859</v>
      </c>
      <c r="E5" s="89" t="s">
        <v>2859</v>
      </c>
      <c r="F5" s="89" t="s">
        <v>2859</v>
      </c>
      <c r="G5" s="89" t="s">
        <v>2860</v>
      </c>
      <c r="H5" s="89" t="s">
        <v>2859</v>
      </c>
      <c r="I5" s="89" t="s">
        <v>2585</v>
      </c>
      <c r="J5" s="89" t="s">
        <v>2876</v>
      </c>
      <c r="K5" s="89" t="s">
        <v>2860</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2877</v>
      </c>
      <c r="BR5" s="89" t="s">
        <v>2859</v>
      </c>
    </row>
    <row r="6" spans="1:70">
      <c r="A6" s="89" t="s">
        <v>2129</v>
      </c>
      <c r="B6" s="89" t="s">
        <v>2878</v>
      </c>
      <c r="C6" s="89" t="s">
        <v>2879</v>
      </c>
      <c r="D6" s="89" t="s">
        <v>2859</v>
      </c>
      <c r="E6" s="89" t="s">
        <v>2859</v>
      </c>
      <c r="F6" s="89" t="s">
        <v>2859</v>
      </c>
      <c r="G6" s="89" t="s">
        <v>2860</v>
      </c>
      <c r="H6" s="89" t="s">
        <v>2859</v>
      </c>
      <c r="I6" s="89" t="s">
        <v>2865</v>
      </c>
      <c r="J6" s="89" t="s">
        <v>2859</v>
      </c>
      <c r="K6" s="89" t="s">
        <v>2859</v>
      </c>
      <c r="L6" s="89" t="s">
        <v>2859</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2880</v>
      </c>
      <c r="BR6" s="89" t="s">
        <v>2859</v>
      </c>
    </row>
    <row r="7" spans="1:70">
      <c r="A7" s="89" t="s">
        <v>2129</v>
      </c>
      <c r="B7" s="89" t="s">
        <v>2881</v>
      </c>
      <c r="C7" s="89" t="s">
        <v>2858</v>
      </c>
      <c r="D7" s="89" t="s">
        <v>2859</v>
      </c>
      <c r="E7" s="89" t="s">
        <v>2859</v>
      </c>
      <c r="F7" s="89" t="s">
        <v>2859</v>
      </c>
      <c r="G7" s="89" t="s">
        <v>2860</v>
      </c>
      <c r="H7" s="89" t="s">
        <v>2859</v>
      </c>
      <c r="I7" s="89" t="s">
        <v>2865</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2882</v>
      </c>
      <c r="BR7" s="89" t="s">
        <v>2859</v>
      </c>
    </row>
    <row r="8" spans="1:70">
      <c r="A8" s="89" t="s">
        <v>2129</v>
      </c>
      <c r="B8" s="89" t="s">
        <v>2883</v>
      </c>
      <c r="C8" s="89" t="s">
        <v>2884</v>
      </c>
      <c r="D8" s="89" t="s">
        <v>2859</v>
      </c>
      <c r="E8" s="89" t="s">
        <v>2859</v>
      </c>
      <c r="F8" s="89" t="s">
        <v>2859</v>
      </c>
      <c r="G8" s="89" t="s">
        <v>2860</v>
      </c>
      <c r="H8" s="89" t="s">
        <v>2859</v>
      </c>
      <c r="I8" s="89" t="s">
        <v>2865</v>
      </c>
      <c r="J8" s="89" t="s">
        <v>2885</v>
      </c>
      <c r="K8" s="89" t="s">
        <v>2860</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2886</v>
      </c>
      <c r="BR8" s="89" t="s">
        <v>2859</v>
      </c>
    </row>
    <row r="9" spans="1:70">
      <c r="A9" s="89" t="s">
        <v>2129</v>
      </c>
      <c r="B9" s="89" t="s">
        <v>2887</v>
      </c>
      <c r="C9" s="89" t="s">
        <v>2871</v>
      </c>
      <c r="D9" s="89" t="s">
        <v>2859</v>
      </c>
      <c r="E9" s="89" t="s">
        <v>2859</v>
      </c>
      <c r="F9" s="89" t="s">
        <v>2859</v>
      </c>
      <c r="G9" s="89" t="s">
        <v>2860</v>
      </c>
      <c r="H9" s="89" t="s">
        <v>2859</v>
      </c>
      <c r="I9" s="89" t="s">
        <v>2490</v>
      </c>
      <c r="J9" s="89" t="s">
        <v>2888</v>
      </c>
      <c r="K9" s="89" t="s">
        <v>2860</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2889</v>
      </c>
      <c r="BR9" s="89" t="s">
        <v>2859</v>
      </c>
    </row>
    <row r="10" spans="1:70">
      <c r="A10" s="89" t="s">
        <v>2129</v>
      </c>
      <c r="B10" s="89" t="s">
        <v>2890</v>
      </c>
      <c r="C10" s="89" t="s">
        <v>2864</v>
      </c>
      <c r="D10" s="89" t="s">
        <v>2859</v>
      </c>
      <c r="E10" s="89" t="s">
        <v>2859</v>
      </c>
      <c r="F10" s="89" t="s">
        <v>2859</v>
      </c>
      <c r="G10" s="89" t="s">
        <v>2860</v>
      </c>
      <c r="H10" s="89" t="s">
        <v>2859</v>
      </c>
      <c r="I10" s="89" t="s">
        <v>2891</v>
      </c>
      <c r="J10" s="89" t="s">
        <v>2892</v>
      </c>
      <c r="K10" s="89" t="s">
        <v>2860</v>
      </c>
      <c r="L10" s="89" t="s">
        <v>2893</v>
      </c>
      <c r="M10" s="89" t="s">
        <v>2892</v>
      </c>
      <c r="N10" s="89" t="s">
        <v>2860</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2894</v>
      </c>
      <c r="BR10" s="89" t="s">
        <v>2859</v>
      </c>
    </row>
    <row r="11" spans="1:70">
      <c r="A11" s="89" t="s">
        <v>2129</v>
      </c>
      <c r="B11" s="89" t="s">
        <v>2895</v>
      </c>
      <c r="C11" s="89" t="s">
        <v>2858</v>
      </c>
      <c r="D11" s="89" t="s">
        <v>2859</v>
      </c>
      <c r="E11" s="89" t="s">
        <v>2859</v>
      </c>
      <c r="F11" s="89" t="s">
        <v>2859</v>
      </c>
      <c r="G11" s="89" t="s">
        <v>2860</v>
      </c>
      <c r="H11" s="89" t="s">
        <v>2859</v>
      </c>
      <c r="I11" s="89" t="s">
        <v>120</v>
      </c>
      <c r="J11" s="89" t="s">
        <v>2896</v>
      </c>
      <c r="K11" s="89" t="s">
        <v>2860</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2897</v>
      </c>
      <c r="BR11" s="89" t="s">
        <v>2859</v>
      </c>
    </row>
    <row r="12" spans="1:70">
      <c r="A12" s="89" t="s">
        <v>2129</v>
      </c>
      <c r="B12" s="89" t="s">
        <v>2898</v>
      </c>
      <c r="C12" s="89" t="s">
        <v>2858</v>
      </c>
      <c r="D12" s="89" t="s">
        <v>2859</v>
      </c>
      <c r="E12" s="89" t="s">
        <v>2859</v>
      </c>
      <c r="F12" s="89" t="s">
        <v>2859</v>
      </c>
      <c r="G12" s="89" t="s">
        <v>2860</v>
      </c>
      <c r="H12" s="89" t="s">
        <v>2859</v>
      </c>
      <c r="I12" s="89" t="s">
        <v>2891</v>
      </c>
      <c r="J12" s="89" t="s">
        <v>2899</v>
      </c>
      <c r="K12" s="89" t="s">
        <v>2860</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89" t="s">
        <v>2900</v>
      </c>
      <c r="BR12" s="89" t="s">
        <v>2859</v>
      </c>
    </row>
    <row r="13" spans="1:70">
      <c r="A13" s="89" t="s">
        <v>2129</v>
      </c>
      <c r="B13" s="89" t="s">
        <v>2901</v>
      </c>
      <c r="C13" s="89" t="s">
        <v>2884</v>
      </c>
      <c r="D13" s="89" t="s">
        <v>2859</v>
      </c>
      <c r="E13" s="89" t="s">
        <v>2859</v>
      </c>
      <c r="F13" s="89" t="s">
        <v>2859</v>
      </c>
      <c r="G13" s="89" t="s">
        <v>2860</v>
      </c>
      <c r="H13" s="89" t="s">
        <v>2859</v>
      </c>
      <c r="I13" s="89" t="s">
        <v>2490</v>
      </c>
      <c r="J13" s="89" t="s">
        <v>2888</v>
      </c>
      <c r="K13" s="89" t="s">
        <v>2860</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2902</v>
      </c>
      <c r="BR13" s="89" t="s">
        <v>2859</v>
      </c>
    </row>
    <row r="14" spans="1:70">
      <c r="A14" s="89" t="s">
        <v>2129</v>
      </c>
      <c r="B14" s="89" t="s">
        <v>2903</v>
      </c>
      <c r="C14" s="89" t="s">
        <v>2864</v>
      </c>
      <c r="D14" s="89" t="s">
        <v>2859</v>
      </c>
      <c r="E14" s="89" t="s">
        <v>2859</v>
      </c>
      <c r="F14" s="89" t="s">
        <v>2859</v>
      </c>
      <c r="G14" s="89" t="s">
        <v>2860</v>
      </c>
      <c r="H14" s="89" t="s">
        <v>2859</v>
      </c>
      <c r="I14" s="89" t="s">
        <v>1463</v>
      </c>
      <c r="J14" s="89" t="s">
        <v>2904</v>
      </c>
      <c r="K14" s="89" t="s">
        <v>2860</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2905</v>
      </c>
      <c r="BR14" s="89" t="s">
        <v>2859</v>
      </c>
    </row>
    <row r="15" spans="1:70">
      <c r="A15" s="89" t="s">
        <v>2129</v>
      </c>
      <c r="B15" s="89" t="s">
        <v>2906</v>
      </c>
      <c r="C15" s="89" t="s">
        <v>2871</v>
      </c>
      <c r="D15" s="89" t="s">
        <v>2859</v>
      </c>
      <c r="E15" s="89" t="s">
        <v>2859</v>
      </c>
      <c r="F15" s="89" t="s">
        <v>2859</v>
      </c>
      <c r="G15" s="89" t="s">
        <v>2860</v>
      </c>
      <c r="H15" s="89" t="s">
        <v>2859</v>
      </c>
      <c r="I15" s="89" t="s">
        <v>2865</v>
      </c>
      <c r="J15" s="89" t="s">
        <v>2907</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2908</v>
      </c>
      <c r="BR15" s="89" t="s">
        <v>2859</v>
      </c>
    </row>
    <row r="16" spans="1:70">
      <c r="A16" s="89" t="s">
        <v>2129</v>
      </c>
      <c r="B16" s="89" t="s">
        <v>2909</v>
      </c>
      <c r="C16" s="89" t="s">
        <v>2909</v>
      </c>
      <c r="D16" s="89" t="s">
        <v>2859</v>
      </c>
      <c r="E16" s="89" t="s">
        <v>2859</v>
      </c>
      <c r="F16" s="89" t="s">
        <v>2859</v>
      </c>
      <c r="G16" s="89" t="s">
        <v>2860</v>
      </c>
      <c r="H16" s="89" t="s">
        <v>2859</v>
      </c>
      <c r="I16" s="89" t="s">
        <v>2329</v>
      </c>
      <c r="J16" s="89" t="s">
        <v>2910</v>
      </c>
      <c r="K16" s="89" t="s">
        <v>2860</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2911</v>
      </c>
      <c r="BR16" s="89" t="s">
        <v>2869</v>
      </c>
    </row>
    <row r="17" spans="1:70">
      <c r="A17" s="89" t="s">
        <v>2129</v>
      </c>
      <c r="B17" s="89" t="s">
        <v>2912</v>
      </c>
      <c r="C17" s="89" t="s">
        <v>2879</v>
      </c>
      <c r="D17" s="89" t="s">
        <v>2859</v>
      </c>
      <c r="E17" s="89" t="s">
        <v>2859</v>
      </c>
      <c r="F17" s="89" t="s">
        <v>2859</v>
      </c>
      <c r="G17" s="89" t="s">
        <v>2860</v>
      </c>
      <c r="H17" s="89" t="s">
        <v>2913</v>
      </c>
      <c r="I17" s="89" t="s">
        <v>2859</v>
      </c>
      <c r="J17" s="89" t="s">
        <v>2859</v>
      </c>
      <c r="K17" s="89" t="s">
        <v>2859</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2914</v>
      </c>
      <c r="BR17" s="89" t="s">
        <v>2869</v>
      </c>
    </row>
    <row r="18" spans="1:70">
      <c r="A18" s="89" t="s">
        <v>2129</v>
      </c>
      <c r="B18" s="89" t="s">
        <v>2915</v>
      </c>
      <c r="C18" s="89" t="s">
        <v>2879</v>
      </c>
      <c r="D18" s="89" t="s">
        <v>2859</v>
      </c>
      <c r="E18" s="89" t="s">
        <v>2859</v>
      </c>
      <c r="F18" s="89" t="s">
        <v>2859</v>
      </c>
      <c r="G18" s="89" t="s">
        <v>2860</v>
      </c>
      <c r="H18" s="89" t="s">
        <v>2913</v>
      </c>
      <c r="I18" s="89" t="s">
        <v>2859</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2916</v>
      </c>
      <c r="BR18" s="89" t="s">
        <v>2869</v>
      </c>
    </row>
    <row r="19" spans="1:70">
      <c r="A19" s="89" t="s">
        <v>2129</v>
      </c>
      <c r="B19" s="89" t="s">
        <v>2917</v>
      </c>
      <c r="C19" s="89" t="s">
        <v>2864</v>
      </c>
      <c r="D19" s="89" t="s">
        <v>2859</v>
      </c>
      <c r="E19" s="89" t="s">
        <v>2859</v>
      </c>
      <c r="F19" s="89" t="s">
        <v>2859</v>
      </c>
      <c r="G19" s="89" t="s">
        <v>2860</v>
      </c>
      <c r="H19" s="89" t="s">
        <v>2859</v>
      </c>
      <c r="I19" s="89" t="s">
        <v>621</v>
      </c>
      <c r="J19" s="89" t="s">
        <v>2918</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2919</v>
      </c>
      <c r="BR19" s="89" t="s">
        <v>2869</v>
      </c>
    </row>
    <row r="20" spans="1:70">
      <c r="A20" s="89" t="s">
        <v>2129</v>
      </c>
      <c r="B20" s="89" t="s">
        <v>2920</v>
      </c>
      <c r="C20" s="89" t="s">
        <v>2884</v>
      </c>
      <c r="D20" s="89" t="s">
        <v>2859</v>
      </c>
      <c r="E20" s="89" t="s">
        <v>2859</v>
      </c>
      <c r="F20" s="89" t="s">
        <v>2859</v>
      </c>
      <c r="G20" s="89" t="s">
        <v>2860</v>
      </c>
      <c r="H20" s="89" t="s">
        <v>2859</v>
      </c>
      <c r="I20" s="89" t="s">
        <v>1463</v>
      </c>
      <c r="J20" s="89" t="s">
        <v>2921</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2922</v>
      </c>
      <c r="BR20" s="89" t="s">
        <v>2859</v>
      </c>
    </row>
    <row r="21" spans="1:70">
      <c r="A21" s="89" t="s">
        <v>2129</v>
      </c>
      <c r="B21" s="89" t="s">
        <v>2923</v>
      </c>
      <c r="C21" s="89" t="s">
        <v>2924</v>
      </c>
      <c r="D21" s="89" t="s">
        <v>2859</v>
      </c>
      <c r="E21" s="89" t="s">
        <v>2859</v>
      </c>
      <c r="F21" s="89" t="s">
        <v>2859</v>
      </c>
      <c r="G21" s="89" t="s">
        <v>2860</v>
      </c>
      <c r="H21" s="89" t="s">
        <v>2859</v>
      </c>
      <c r="I21" s="89" t="s">
        <v>621</v>
      </c>
      <c r="J21" s="89" t="s">
        <v>2925</v>
      </c>
      <c r="K21" s="89" t="s">
        <v>2860</v>
      </c>
      <c r="L21" s="89" t="s">
        <v>2859</v>
      </c>
      <c r="M21" s="89" t="s">
        <v>2859</v>
      </c>
      <c r="N21" s="89" t="s">
        <v>2859</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94" t="s">
        <v>2926</v>
      </c>
      <c r="BR21" s="89" t="s">
        <v>2859</v>
      </c>
    </row>
    <row r="22" spans="1:70">
      <c r="A22" s="89" t="s">
        <v>2129</v>
      </c>
      <c r="B22" s="89" t="s">
        <v>2927</v>
      </c>
      <c r="C22" s="89" t="s">
        <v>2884</v>
      </c>
      <c r="D22" s="89" t="s">
        <v>2859</v>
      </c>
      <c r="E22" s="89" t="s">
        <v>2859</v>
      </c>
      <c r="F22" s="89" t="s">
        <v>2859</v>
      </c>
      <c r="G22" s="89" t="s">
        <v>2860</v>
      </c>
      <c r="H22" s="89" t="s">
        <v>2859</v>
      </c>
      <c r="I22" s="89" t="s">
        <v>933</v>
      </c>
      <c r="J22" s="89" t="s">
        <v>2928</v>
      </c>
      <c r="K22" s="89" t="s">
        <v>2860</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2929</v>
      </c>
      <c r="BR22" s="89" t="s">
        <v>2859</v>
      </c>
    </row>
    <row r="23" spans="1:70">
      <c r="A23" s="89" t="s">
        <v>2133</v>
      </c>
      <c r="B23" s="89" t="s">
        <v>2930</v>
      </c>
      <c r="C23" s="89" t="s">
        <v>2871</v>
      </c>
      <c r="D23" s="89" t="s">
        <v>2859</v>
      </c>
      <c r="E23" s="89" t="s">
        <v>2859</v>
      </c>
      <c r="F23" s="89" t="s">
        <v>2859</v>
      </c>
      <c r="G23" s="89" t="s">
        <v>2860</v>
      </c>
      <c r="H23" s="89" t="s">
        <v>2859</v>
      </c>
      <c r="I23" s="89" t="s">
        <v>2865</v>
      </c>
      <c r="J23" s="89" t="s">
        <v>2931</v>
      </c>
      <c r="K23" s="89" t="s">
        <v>2860</v>
      </c>
      <c r="L23" s="89" t="s">
        <v>2859</v>
      </c>
      <c r="M23" s="89" t="s">
        <v>2859</v>
      </c>
      <c r="N23" s="89" t="s">
        <v>2859</v>
      </c>
      <c r="O23" s="89" t="s">
        <v>2859</v>
      </c>
      <c r="P23" s="89" t="s">
        <v>2859</v>
      </c>
      <c r="Q23" s="89" t="s">
        <v>2859</v>
      </c>
      <c r="R23" s="89" t="s">
        <v>2859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89" t="s">
        <v>2932</v>
      </c>
      <c r="BR23" s="89" t="s">
        <v>2859</v>
      </c>
    </row>
    <row r="24" spans="1:70">
      <c r="A24" s="89" t="s">
        <v>2133</v>
      </c>
      <c r="B24" s="89" t="s">
        <v>2933</v>
      </c>
      <c r="C24" s="89" t="s">
        <v>2871</v>
      </c>
      <c r="D24" s="89" t="s">
        <v>2859</v>
      </c>
      <c r="E24" s="89" t="s">
        <v>2859</v>
      </c>
      <c r="F24" s="89" t="s">
        <v>2859</v>
      </c>
      <c r="G24" s="89" t="s">
        <v>2860</v>
      </c>
      <c r="H24" s="89" t="s">
        <v>2859</v>
      </c>
      <c r="I24" s="89" t="s">
        <v>120</v>
      </c>
      <c r="J24" s="89" t="s">
        <v>2934</v>
      </c>
      <c r="K24" s="89" t="s">
        <v>2860</v>
      </c>
      <c r="L24" s="89" t="s">
        <v>2490</v>
      </c>
      <c r="M24" s="89" t="s">
        <v>2934</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2935</v>
      </c>
      <c r="BR24" s="89" t="s">
        <v>2859</v>
      </c>
    </row>
    <row r="25" spans="1:70">
      <c r="A25" s="89" t="s">
        <v>2133</v>
      </c>
      <c r="B25" s="89" t="s">
        <v>2936</v>
      </c>
      <c r="C25" s="89" t="s">
        <v>2884</v>
      </c>
      <c r="D25" s="89" t="s">
        <v>2859</v>
      </c>
      <c r="E25" s="89" t="s">
        <v>2859</v>
      </c>
      <c r="F25" s="89" t="s">
        <v>2859</v>
      </c>
      <c r="G25" s="89" t="s">
        <v>2860</v>
      </c>
      <c r="H25" s="89" t="s">
        <v>2859</v>
      </c>
      <c r="I25" s="89" t="s">
        <v>2865</v>
      </c>
      <c r="J25" s="89" t="s">
        <v>2937</v>
      </c>
      <c r="K25" s="89" t="s">
        <v>2860</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2938</v>
      </c>
      <c r="BR25" s="89" t="s">
        <v>2859</v>
      </c>
    </row>
    <row r="26" spans="1:70">
      <c r="A26" s="89" t="s">
        <v>2133</v>
      </c>
      <c r="B26" s="89" t="s">
        <v>2939</v>
      </c>
      <c r="C26" s="89" t="s">
        <v>2871</v>
      </c>
      <c r="D26" s="89" t="s">
        <v>2859</v>
      </c>
      <c r="E26" s="89" t="s">
        <v>2859</v>
      </c>
      <c r="F26" s="89" t="s">
        <v>2859</v>
      </c>
      <c r="G26" s="89" t="s">
        <v>2860</v>
      </c>
      <c r="H26" s="89" t="s">
        <v>2859</v>
      </c>
      <c r="I26" s="89" t="s">
        <v>2329</v>
      </c>
      <c r="J26" s="89" t="s">
        <v>2940</v>
      </c>
      <c r="K26" s="89" t="s">
        <v>2860</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2941</v>
      </c>
      <c r="BR26" s="89" t="s">
        <v>2859</v>
      </c>
    </row>
    <row r="27" spans="1:70">
      <c r="A27" s="89" t="s">
        <v>2133</v>
      </c>
      <c r="B27" s="89" t="s">
        <v>2942</v>
      </c>
      <c r="C27" s="89" t="s">
        <v>2879</v>
      </c>
      <c r="D27" s="89" t="s">
        <v>2859</v>
      </c>
      <c r="E27" s="89" t="s">
        <v>2859</v>
      </c>
      <c r="F27" s="89" t="s">
        <v>2859</v>
      </c>
      <c r="G27" s="89" t="s">
        <v>2860</v>
      </c>
      <c r="H27" s="89" t="s">
        <v>2943</v>
      </c>
      <c r="I27" s="89" t="s">
        <v>2859</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2944</v>
      </c>
      <c r="BR27" s="89" t="s">
        <v>2869</v>
      </c>
    </row>
    <row r="28" spans="1:70">
      <c r="A28" s="89" t="s">
        <v>2133</v>
      </c>
      <c r="B28" s="89" t="s">
        <v>2945</v>
      </c>
      <c r="C28" s="89" t="s">
        <v>2946</v>
      </c>
      <c r="D28" s="89" t="s">
        <v>2859</v>
      </c>
      <c r="E28" s="89" t="s">
        <v>2859</v>
      </c>
      <c r="F28" s="89" t="s">
        <v>2859</v>
      </c>
      <c r="G28" s="89" t="s">
        <v>2867</v>
      </c>
      <c r="H28" s="89" t="s">
        <v>2913</v>
      </c>
      <c r="I28" s="89" t="s">
        <v>2859</v>
      </c>
      <c r="J28" s="89" t="s">
        <v>2859</v>
      </c>
      <c r="K28" s="89" t="s">
        <v>2859</v>
      </c>
      <c r="L28" s="89" t="s">
        <v>2859</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2947</v>
      </c>
      <c r="BR28" s="89" t="s">
        <v>2869</v>
      </c>
    </row>
    <row r="29" spans="1:70">
      <c r="A29" s="89" t="s">
        <v>2133</v>
      </c>
      <c r="B29" s="89" t="s">
        <v>2948</v>
      </c>
      <c r="C29" s="89" t="s">
        <v>2946</v>
      </c>
      <c r="D29" s="89" t="s">
        <v>2859</v>
      </c>
      <c r="E29" s="89" t="s">
        <v>2859</v>
      </c>
      <c r="F29" s="89" t="s">
        <v>2859</v>
      </c>
      <c r="G29" s="89" t="s">
        <v>2867</v>
      </c>
      <c r="H29" s="89" t="s">
        <v>2913</v>
      </c>
      <c r="I29" s="89" t="s">
        <v>2859</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2949</v>
      </c>
      <c r="BR29" s="89" t="s">
        <v>2869</v>
      </c>
    </row>
    <row r="30" spans="1:70">
      <c r="A30" s="89" t="s">
        <v>2133</v>
      </c>
      <c r="B30" s="89" t="s">
        <v>2950</v>
      </c>
      <c r="C30" s="89" t="s">
        <v>2871</v>
      </c>
      <c r="D30" s="89" t="s">
        <v>2859</v>
      </c>
      <c r="E30" s="89" t="s">
        <v>2859</v>
      </c>
      <c r="F30" s="89" t="s">
        <v>2859</v>
      </c>
      <c r="G30" s="89" t="s">
        <v>2860</v>
      </c>
      <c r="H30" s="89" t="s">
        <v>2859</v>
      </c>
      <c r="I30" s="89" t="s">
        <v>2865</v>
      </c>
      <c r="J30" s="89" t="s">
        <v>2951</v>
      </c>
      <c r="K30" s="89" t="s">
        <v>2860</v>
      </c>
      <c r="L30" s="89" t="s">
        <v>2859</v>
      </c>
      <c r="M30" s="89" t="s">
        <v>2859</v>
      </c>
      <c r="N30" s="89" t="s">
        <v>2859</v>
      </c>
      <c r="O30" s="89" t="s">
        <v>2859</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2952</v>
      </c>
      <c r="BR30" s="89" t="s">
        <v>2859</v>
      </c>
    </row>
    <row r="31" spans="1:70">
      <c r="A31" s="89" t="s">
        <v>2133</v>
      </c>
      <c r="B31" s="89" t="s">
        <v>2953</v>
      </c>
      <c r="C31" s="89" t="s">
        <v>2924</v>
      </c>
      <c r="D31" s="89" t="s">
        <v>2859</v>
      </c>
      <c r="E31" s="89" t="s">
        <v>2859</v>
      </c>
      <c r="F31" s="89" t="s">
        <v>2859</v>
      </c>
      <c r="G31" s="89" t="s">
        <v>2860</v>
      </c>
      <c r="H31" s="89" t="s">
        <v>2859</v>
      </c>
      <c r="I31" s="89" t="s">
        <v>2329</v>
      </c>
      <c r="J31" s="89" t="s">
        <v>2954</v>
      </c>
      <c r="K31" s="89" t="s">
        <v>2867</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2955</v>
      </c>
      <c r="BR31" s="89" t="s">
        <v>2869</v>
      </c>
    </row>
    <row r="32" spans="1:70">
      <c r="A32" s="89" t="s">
        <v>2133</v>
      </c>
      <c r="B32" s="89" t="s">
        <v>2956</v>
      </c>
      <c r="C32" s="89" t="s">
        <v>2871</v>
      </c>
      <c r="D32" s="89" t="s">
        <v>2859</v>
      </c>
      <c r="E32" s="89" t="s">
        <v>2859</v>
      </c>
      <c r="F32" s="89" t="s">
        <v>2859</v>
      </c>
      <c r="G32" s="89" t="s">
        <v>2860</v>
      </c>
      <c r="H32" s="89" t="s">
        <v>2859</v>
      </c>
      <c r="I32" s="89" t="s">
        <v>2891</v>
      </c>
      <c r="J32" s="89" t="s">
        <v>2957</v>
      </c>
      <c r="K32" s="89" t="s">
        <v>2860</v>
      </c>
      <c r="L32" s="89" t="s">
        <v>621</v>
      </c>
      <c r="M32" s="89" t="s">
        <v>2958</v>
      </c>
      <c r="N32" s="89" t="s">
        <v>2860</v>
      </c>
      <c r="O32" s="89" t="s">
        <v>1463</v>
      </c>
      <c r="P32" s="89" t="s">
        <v>2958</v>
      </c>
      <c r="Q32" s="89" t="s">
        <v>2860</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2959</v>
      </c>
      <c r="BR32" s="89" t="s">
        <v>2859</v>
      </c>
    </row>
    <row r="33" spans="1:70">
      <c r="A33" s="89" t="s">
        <v>2133</v>
      </c>
      <c r="B33" s="89" t="s">
        <v>2960</v>
      </c>
      <c r="C33" s="89" t="s">
        <v>2884</v>
      </c>
      <c r="D33" s="89" t="s">
        <v>2859</v>
      </c>
      <c r="E33" s="89" t="s">
        <v>2859</v>
      </c>
      <c r="F33" s="89" t="s">
        <v>2859</v>
      </c>
      <c r="G33" s="89" t="s">
        <v>2860</v>
      </c>
      <c r="H33" s="89" t="s">
        <v>2859</v>
      </c>
      <c r="I33" s="89" t="s">
        <v>2865</v>
      </c>
      <c r="J33" s="89" t="s">
        <v>2937</v>
      </c>
      <c r="K33" s="89" t="s">
        <v>2860</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2961</v>
      </c>
      <c r="BR33" s="89" t="s">
        <v>2859</v>
      </c>
    </row>
    <row r="34" spans="1:70">
      <c r="A34" s="89" t="s">
        <v>2133</v>
      </c>
      <c r="B34" s="89" t="s">
        <v>2962</v>
      </c>
      <c r="C34" s="89" t="s">
        <v>2871</v>
      </c>
      <c r="D34" s="89" t="s">
        <v>2859</v>
      </c>
      <c r="E34" s="89" t="s">
        <v>2859</v>
      </c>
      <c r="F34" s="89" t="s">
        <v>2859</v>
      </c>
      <c r="G34" s="89" t="s">
        <v>2860</v>
      </c>
      <c r="H34" s="89" t="s">
        <v>2859</v>
      </c>
      <c r="I34" s="89" t="s">
        <v>2865</v>
      </c>
      <c r="J34" s="89" t="s">
        <v>2963</v>
      </c>
      <c r="K34" s="89" t="s">
        <v>2860</v>
      </c>
      <c r="L34" s="89" t="s">
        <v>2859</v>
      </c>
      <c r="M34" s="89" t="s">
        <v>2859</v>
      </c>
      <c r="N34" s="89" t="s">
        <v>2859</v>
      </c>
      <c r="O34" s="89" t="s">
        <v>2859</v>
      </c>
      <c r="P34" s="89" t="s">
        <v>2859</v>
      </c>
      <c r="Q34" s="89" t="s">
        <v>2859</v>
      </c>
      <c r="R34" s="89" t="s">
        <v>2859</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2964</v>
      </c>
      <c r="BR34" s="89" t="s">
        <v>2859</v>
      </c>
    </row>
    <row r="35" spans="1:70">
      <c r="A35" s="89" t="s">
        <v>2133</v>
      </c>
      <c r="B35" s="89" t="s">
        <v>2965</v>
      </c>
      <c r="C35" s="89" t="s">
        <v>2858</v>
      </c>
      <c r="D35" s="89" t="s">
        <v>2859</v>
      </c>
      <c r="E35" s="89" t="s">
        <v>2859</v>
      </c>
      <c r="F35" s="89" t="s">
        <v>2859</v>
      </c>
      <c r="G35" s="89" t="s">
        <v>2860</v>
      </c>
      <c r="H35" s="89" t="s">
        <v>2859</v>
      </c>
      <c r="I35" s="89" t="s">
        <v>120</v>
      </c>
      <c r="J35" s="89" t="s">
        <v>2966</v>
      </c>
      <c r="K35" s="89" t="s">
        <v>2860</v>
      </c>
      <c r="L35" s="89" t="s">
        <v>2490</v>
      </c>
      <c r="M35" s="89" t="s">
        <v>2966</v>
      </c>
      <c r="N35" s="89" t="s">
        <v>2860</v>
      </c>
      <c r="O35" s="89" t="s">
        <v>2859</v>
      </c>
      <c r="P35" s="89" t="s">
        <v>2859</v>
      </c>
      <c r="Q35" s="89" t="s">
        <v>2859</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2967</v>
      </c>
      <c r="BR35" s="89" t="s">
        <v>2859</v>
      </c>
    </row>
    <row r="36" spans="1:70">
      <c r="A36" s="89" t="s">
        <v>2133</v>
      </c>
      <c r="B36" s="89" t="s">
        <v>2968</v>
      </c>
      <c r="C36" s="89" t="s">
        <v>2879</v>
      </c>
      <c r="D36" s="89" t="s">
        <v>2859</v>
      </c>
      <c r="E36" s="89" t="s">
        <v>2859</v>
      </c>
      <c r="F36" s="89" t="s">
        <v>2859</v>
      </c>
      <c r="G36" s="89" t="s">
        <v>2860</v>
      </c>
      <c r="H36" s="89" t="s">
        <v>2943</v>
      </c>
      <c r="I36" s="89" t="s">
        <v>2859</v>
      </c>
      <c r="J36" s="89" t="s">
        <v>2859</v>
      </c>
      <c r="K36" s="89" t="s">
        <v>2859</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2969</v>
      </c>
      <c r="BR36" s="89" t="s">
        <v>2869</v>
      </c>
    </row>
    <row r="37" spans="1:70">
      <c r="A37" s="89" t="s">
        <v>2133</v>
      </c>
      <c r="B37" s="89" t="s">
        <v>2970</v>
      </c>
      <c r="C37" s="89" t="s">
        <v>2971</v>
      </c>
      <c r="D37" s="89" t="s">
        <v>2859</v>
      </c>
      <c r="E37" s="89" t="s">
        <v>2859</v>
      </c>
      <c r="F37" s="89" t="s">
        <v>2859</v>
      </c>
      <c r="G37" s="89" t="s">
        <v>2860</v>
      </c>
      <c r="H37" s="89" t="s">
        <v>2859</v>
      </c>
      <c r="I37" s="89" t="s">
        <v>621</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2972</v>
      </c>
      <c r="BR37" s="89" t="s">
        <v>2859</v>
      </c>
    </row>
    <row r="38" spans="1:70">
      <c r="A38" s="89" t="s">
        <v>2133</v>
      </c>
      <c r="B38" s="89" t="s">
        <v>2973</v>
      </c>
      <c r="C38" s="89" t="s">
        <v>2974</v>
      </c>
      <c r="D38" s="89" t="s">
        <v>2859</v>
      </c>
      <c r="E38" s="89" t="s">
        <v>2859</v>
      </c>
      <c r="F38" s="89" t="s">
        <v>2859</v>
      </c>
      <c r="G38" s="89" t="s">
        <v>2860</v>
      </c>
      <c r="H38" s="89" t="s">
        <v>2859</v>
      </c>
      <c r="I38" s="89" t="s">
        <v>2891</v>
      </c>
      <c r="J38" s="89" t="s">
        <v>2975</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2976</v>
      </c>
      <c r="BR38" s="89" t="s">
        <v>2859</v>
      </c>
    </row>
    <row r="39" spans="1:70">
      <c r="A39" s="89" t="s">
        <v>2133</v>
      </c>
      <c r="B39" s="89" t="s">
        <v>2977</v>
      </c>
      <c r="C39" s="89" t="s">
        <v>2974</v>
      </c>
      <c r="D39" s="89" t="s">
        <v>2859</v>
      </c>
      <c r="E39" s="89" t="s">
        <v>2859</v>
      </c>
      <c r="F39" s="89" t="s">
        <v>2859</v>
      </c>
      <c r="G39" s="89" t="s">
        <v>2860</v>
      </c>
      <c r="H39" s="89" t="s">
        <v>2859</v>
      </c>
      <c r="I39" s="89" t="s">
        <v>120</v>
      </c>
      <c r="J39" s="89" t="s">
        <v>2978</v>
      </c>
      <c r="K39" s="89" t="s">
        <v>2860</v>
      </c>
      <c r="L39" s="89" t="s">
        <v>2490</v>
      </c>
      <c r="M39" s="89" t="s">
        <v>2978</v>
      </c>
      <c r="N39" s="89" t="s">
        <v>2860</v>
      </c>
      <c r="O39" s="89" t="s">
        <v>2979</v>
      </c>
      <c r="P39" s="89" t="s">
        <v>2978</v>
      </c>
      <c r="Q39" s="89" t="s">
        <v>2860</v>
      </c>
      <c r="R39" s="89" t="s">
        <v>2891</v>
      </c>
      <c r="S39" s="89" t="s">
        <v>2978</v>
      </c>
      <c r="T39" s="89" t="s">
        <v>2860</v>
      </c>
      <c r="U39" s="89" t="s">
        <v>1463</v>
      </c>
      <c r="V39" s="89" t="s">
        <v>2978</v>
      </c>
      <c r="W39" s="89" t="s">
        <v>2860</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2980</v>
      </c>
      <c r="BR39" s="89" t="s">
        <v>2859</v>
      </c>
    </row>
    <row r="40" spans="1:70">
      <c r="A40" s="89" t="s">
        <v>2133</v>
      </c>
      <c r="B40" s="89" t="s">
        <v>2981</v>
      </c>
      <c r="C40" s="89" t="s">
        <v>2971</v>
      </c>
      <c r="D40" s="89" t="s">
        <v>2859</v>
      </c>
      <c r="E40" s="89" t="s">
        <v>2859</v>
      </c>
      <c r="F40" s="89" t="s">
        <v>2859</v>
      </c>
      <c r="G40" s="89" t="s">
        <v>2860</v>
      </c>
      <c r="H40" s="89" t="s">
        <v>2859</v>
      </c>
      <c r="I40" s="89" t="s">
        <v>2865</v>
      </c>
      <c r="J40" s="89" t="s">
        <v>2951</v>
      </c>
      <c r="K40" s="89" t="s">
        <v>2860</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2982</v>
      </c>
      <c r="BR40" s="89" t="s">
        <v>2859</v>
      </c>
    </row>
    <row r="41" spans="1:70">
      <c r="A41" s="89" t="s">
        <v>2133</v>
      </c>
      <c r="B41" s="89" t="s">
        <v>2983</v>
      </c>
      <c r="C41" s="89" t="s">
        <v>2974</v>
      </c>
      <c r="D41" s="89" t="s">
        <v>2859</v>
      </c>
      <c r="E41" s="89" t="s">
        <v>2859</v>
      </c>
      <c r="F41" s="89" t="s">
        <v>2859</v>
      </c>
      <c r="G41" s="89" t="s">
        <v>2860</v>
      </c>
      <c r="H41" s="89" t="s">
        <v>2859</v>
      </c>
      <c r="I41" s="89" t="s">
        <v>2865</v>
      </c>
      <c r="J41" s="89" t="s">
        <v>2984</v>
      </c>
      <c r="K41" s="89" t="s">
        <v>2860</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2985</v>
      </c>
      <c r="BR41" s="89" t="s">
        <v>2859</v>
      </c>
    </row>
    <row r="42" spans="1:70">
      <c r="A42" s="89" t="s">
        <v>2133</v>
      </c>
      <c r="B42" s="89" t="s">
        <v>2986</v>
      </c>
      <c r="C42" s="89" t="s">
        <v>2971</v>
      </c>
      <c r="D42" s="89" t="s">
        <v>2859</v>
      </c>
      <c r="E42" s="89" t="s">
        <v>2859</v>
      </c>
      <c r="F42" s="89" t="s">
        <v>2859</v>
      </c>
      <c r="G42" s="89" t="s">
        <v>2860</v>
      </c>
      <c r="H42" s="89" t="s">
        <v>2859</v>
      </c>
      <c r="I42" s="89" t="s">
        <v>2865</v>
      </c>
      <c r="J42" s="89" t="s">
        <v>2951</v>
      </c>
      <c r="K42" s="89" t="s">
        <v>2860</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2987</v>
      </c>
      <c r="BR42" s="89" t="s">
        <v>2859</v>
      </c>
    </row>
    <row r="43" spans="1:70">
      <c r="A43" s="89" t="s">
        <v>2133</v>
      </c>
      <c r="B43" s="89" t="s">
        <v>2988</v>
      </c>
      <c r="C43" s="89" t="s">
        <v>2989</v>
      </c>
      <c r="D43" s="89" t="s">
        <v>2859</v>
      </c>
      <c r="E43" s="89" t="s">
        <v>2859</v>
      </c>
      <c r="F43" s="89" t="s">
        <v>2859</v>
      </c>
      <c r="G43" s="89" t="s">
        <v>2860</v>
      </c>
      <c r="H43" s="89" t="s">
        <v>2859</v>
      </c>
      <c r="I43" s="89" t="s">
        <v>2891</v>
      </c>
      <c r="J43" s="89" t="s">
        <v>2990</v>
      </c>
      <c r="K43" s="89" t="s">
        <v>2860</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2991</v>
      </c>
      <c r="BR43" s="89" t="s">
        <v>2859</v>
      </c>
    </row>
    <row r="44" spans="1:70">
      <c r="A44" s="89" t="s">
        <v>2133</v>
      </c>
      <c r="B44" s="89" t="s">
        <v>2992</v>
      </c>
      <c r="C44" s="89" t="s">
        <v>2971</v>
      </c>
      <c r="D44" s="89" t="s">
        <v>2859</v>
      </c>
      <c r="E44" s="89" t="s">
        <v>2859</v>
      </c>
      <c r="F44" s="89" t="s">
        <v>2859</v>
      </c>
      <c r="G44" s="89" t="s">
        <v>2860</v>
      </c>
      <c r="H44" s="89" t="s">
        <v>2859</v>
      </c>
      <c r="I44" s="89" t="s">
        <v>2865</v>
      </c>
      <c r="J44" s="89" t="s">
        <v>2993</v>
      </c>
      <c r="K44" s="89" t="s">
        <v>2860</v>
      </c>
      <c r="L44" s="89" t="s">
        <v>1396</v>
      </c>
      <c r="M44" s="89" t="s">
        <v>2993</v>
      </c>
      <c r="N44" s="89" t="s">
        <v>2860</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2994</v>
      </c>
      <c r="BR44" s="89" t="s">
        <v>2859</v>
      </c>
    </row>
    <row r="45" spans="1:70">
      <c r="A45" s="89" t="s">
        <v>2133</v>
      </c>
      <c r="B45" s="89" t="s">
        <v>2995</v>
      </c>
      <c r="C45" s="89" t="s">
        <v>2924</v>
      </c>
      <c r="D45" s="89" t="s">
        <v>2859</v>
      </c>
      <c r="E45" s="89" t="s">
        <v>2859</v>
      </c>
      <c r="F45" s="89" t="s">
        <v>2859</v>
      </c>
      <c r="G45" s="89" t="s">
        <v>2860</v>
      </c>
      <c r="H45" s="89" t="s">
        <v>2859</v>
      </c>
      <c r="I45" s="89" t="s">
        <v>2865</v>
      </c>
      <c r="J45" s="89" t="s">
        <v>2951</v>
      </c>
      <c r="K45" s="89" t="s">
        <v>2860</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2996</v>
      </c>
      <c r="BR45" s="89" t="s">
        <v>2859</v>
      </c>
    </row>
    <row r="46" spans="1:70">
      <c r="A46" s="89" t="s">
        <v>2133</v>
      </c>
      <c r="B46" s="89" t="s">
        <v>2997</v>
      </c>
      <c r="C46" s="89" t="s">
        <v>2971</v>
      </c>
      <c r="D46" s="89" t="s">
        <v>2859</v>
      </c>
      <c r="E46" s="89" t="s">
        <v>2859</v>
      </c>
      <c r="F46" s="89" t="s">
        <v>2859</v>
      </c>
      <c r="G46" s="89" t="s">
        <v>2860</v>
      </c>
      <c r="H46" s="89" t="s">
        <v>2859</v>
      </c>
      <c r="I46" s="89" t="s">
        <v>2865</v>
      </c>
      <c r="J46" s="89" t="s">
        <v>2951</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2998</v>
      </c>
      <c r="BR46" s="89" t="s">
        <v>2859</v>
      </c>
    </row>
    <row r="47" spans="1:70">
      <c r="A47" s="89" t="s">
        <v>2133</v>
      </c>
      <c r="B47" s="89" t="s">
        <v>2999</v>
      </c>
      <c r="C47" s="89" t="s">
        <v>2884</v>
      </c>
      <c r="D47" s="89" t="s">
        <v>2859</v>
      </c>
      <c r="E47" s="89" t="s">
        <v>2859</v>
      </c>
      <c r="F47" s="89" t="s">
        <v>2859</v>
      </c>
      <c r="G47" s="89" t="s">
        <v>2860</v>
      </c>
      <c r="H47" s="89" t="s">
        <v>2859</v>
      </c>
      <c r="I47" s="89" t="s">
        <v>120</v>
      </c>
      <c r="J47" s="89" t="s">
        <v>3000</v>
      </c>
      <c r="K47" s="89" t="s">
        <v>2860</v>
      </c>
      <c r="L47" s="89" t="s">
        <v>2317</v>
      </c>
      <c r="M47" s="89" t="s">
        <v>3000</v>
      </c>
      <c r="N47" s="89" t="s">
        <v>2860</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3001</v>
      </c>
      <c r="BR47" s="89" t="s">
        <v>2859</v>
      </c>
    </row>
    <row r="48" spans="1:70">
      <c r="A48" s="89" t="s">
        <v>2133</v>
      </c>
      <c r="B48" s="89" t="s">
        <v>3002</v>
      </c>
      <c r="C48" s="89" t="s">
        <v>3003</v>
      </c>
      <c r="D48" s="89" t="s">
        <v>2859</v>
      </c>
      <c r="E48" s="89" t="s">
        <v>2859</v>
      </c>
      <c r="F48" s="89" t="s">
        <v>2859</v>
      </c>
      <c r="G48" s="89" t="s">
        <v>2860</v>
      </c>
      <c r="H48" s="89" t="s">
        <v>2859</v>
      </c>
      <c r="I48" s="89" t="s">
        <v>2329</v>
      </c>
      <c r="J48" s="89" t="s">
        <v>2859</v>
      </c>
      <c r="K48" s="89" t="s">
        <v>2859</v>
      </c>
      <c r="L48" s="89" t="s">
        <v>2859</v>
      </c>
      <c r="M48" s="89" t="s">
        <v>2859</v>
      </c>
      <c r="N48" s="89" t="s">
        <v>2859</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3004</v>
      </c>
      <c r="BR48" s="89" t="s">
        <v>2859</v>
      </c>
    </row>
    <row r="49" spans="1:70">
      <c r="A49" s="89" t="s">
        <v>2133</v>
      </c>
      <c r="B49" s="89" t="s">
        <v>3005</v>
      </c>
      <c r="C49" s="89" t="s">
        <v>2884</v>
      </c>
      <c r="D49" s="89" t="s">
        <v>2859</v>
      </c>
      <c r="E49" s="89" t="s">
        <v>2859</v>
      </c>
      <c r="F49" s="89" t="s">
        <v>2859</v>
      </c>
      <c r="G49" s="89" t="s">
        <v>2860</v>
      </c>
      <c r="H49" s="89" t="s">
        <v>2859</v>
      </c>
      <c r="I49" s="89" t="s">
        <v>2865</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3006</v>
      </c>
      <c r="BR49" s="89" t="s">
        <v>2859</v>
      </c>
    </row>
    <row r="50" spans="1:70">
      <c r="A50" s="89" t="s">
        <v>2133</v>
      </c>
      <c r="B50" s="89" t="s">
        <v>3007</v>
      </c>
      <c r="C50" s="89" t="s">
        <v>2946</v>
      </c>
      <c r="D50" s="89" t="s">
        <v>2859</v>
      </c>
      <c r="E50" s="89" t="s">
        <v>2859</v>
      </c>
      <c r="F50" s="89" t="s">
        <v>2859</v>
      </c>
      <c r="G50" s="89" t="s">
        <v>2867</v>
      </c>
      <c r="H50" s="89" t="s">
        <v>2913</v>
      </c>
      <c r="I50" s="89" t="s">
        <v>2859</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3008</v>
      </c>
      <c r="BR50" s="89" t="s">
        <v>2869</v>
      </c>
    </row>
    <row r="51" spans="1:70">
      <c r="A51" s="89" t="s">
        <v>2133</v>
      </c>
      <c r="B51" s="89" t="s">
        <v>3009</v>
      </c>
      <c r="C51" s="89" t="s">
        <v>2879</v>
      </c>
      <c r="D51" s="89" t="s">
        <v>2859</v>
      </c>
      <c r="E51" s="89" t="s">
        <v>2859</v>
      </c>
      <c r="F51" s="89" t="s">
        <v>2859</v>
      </c>
      <c r="G51" s="89" t="s">
        <v>2860</v>
      </c>
      <c r="H51" s="89" t="s">
        <v>2913</v>
      </c>
      <c r="I51" s="89" t="s">
        <v>2859</v>
      </c>
      <c r="J51" s="89" t="s">
        <v>2859</v>
      </c>
      <c r="K51" s="89" t="s">
        <v>2859</v>
      </c>
      <c r="L51" s="89" t="s">
        <v>2859</v>
      </c>
      <c r="M51" s="89" t="s">
        <v>2859</v>
      </c>
      <c r="N51" s="89" t="s">
        <v>2859</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3010</v>
      </c>
      <c r="BR51" s="89" t="s">
        <v>2869</v>
      </c>
    </row>
    <row r="52" spans="1:70">
      <c r="A52" s="89" t="s">
        <v>2133</v>
      </c>
      <c r="B52" s="89" t="s">
        <v>3011</v>
      </c>
      <c r="C52" s="89" t="s">
        <v>2879</v>
      </c>
      <c r="D52" s="89" t="s">
        <v>2859</v>
      </c>
      <c r="E52" s="89" t="s">
        <v>2859</v>
      </c>
      <c r="F52" s="89" t="s">
        <v>2859</v>
      </c>
      <c r="G52" s="89" t="s">
        <v>2860</v>
      </c>
      <c r="H52" s="89" t="s">
        <v>2943</v>
      </c>
      <c r="I52" s="89" t="s">
        <v>2859</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3012</v>
      </c>
      <c r="BR52" s="89" t="s">
        <v>2869</v>
      </c>
    </row>
    <row r="53" spans="1:70">
      <c r="A53" s="89" t="s">
        <v>2133</v>
      </c>
      <c r="B53" s="89" t="s">
        <v>3013</v>
      </c>
      <c r="C53" s="89" t="s">
        <v>3003</v>
      </c>
      <c r="D53" s="89" t="s">
        <v>2859</v>
      </c>
      <c r="E53" s="89" t="s">
        <v>2859</v>
      </c>
      <c r="F53" s="89" t="s">
        <v>2859</v>
      </c>
      <c r="G53" s="89" t="s">
        <v>2860</v>
      </c>
      <c r="H53" s="89" t="s">
        <v>2859</v>
      </c>
      <c r="I53" s="89" t="s">
        <v>2865</v>
      </c>
      <c r="J53" s="89" t="s">
        <v>2859</v>
      </c>
      <c r="K53" s="89" t="s">
        <v>2859</v>
      </c>
      <c r="L53" s="89" t="s">
        <v>2859</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3014</v>
      </c>
      <c r="BR53" s="89" t="s">
        <v>2859</v>
      </c>
    </row>
    <row r="54" spans="1:70">
      <c r="A54" s="89" t="s">
        <v>2133</v>
      </c>
      <c r="B54" s="89" t="s">
        <v>3015</v>
      </c>
      <c r="C54" s="89" t="s">
        <v>2971</v>
      </c>
      <c r="D54" s="89" t="s">
        <v>2859</v>
      </c>
      <c r="E54" s="89" t="s">
        <v>2859</v>
      </c>
      <c r="F54" s="89" t="s">
        <v>2859</v>
      </c>
      <c r="G54" s="89" t="s">
        <v>2860</v>
      </c>
      <c r="H54" s="89" t="s">
        <v>2859</v>
      </c>
      <c r="I54" s="89" t="s">
        <v>2865</v>
      </c>
      <c r="J54" s="89" t="s">
        <v>2951</v>
      </c>
      <c r="K54" s="89" t="s">
        <v>2860</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3016</v>
      </c>
      <c r="BR54" s="89" t="s">
        <v>2859</v>
      </c>
    </row>
    <row r="55" spans="1:70">
      <c r="A55" s="89" t="s">
        <v>2133</v>
      </c>
      <c r="B55" s="89" t="s">
        <v>3017</v>
      </c>
      <c r="C55" s="89" t="s">
        <v>3003</v>
      </c>
      <c r="D55" s="89" t="s">
        <v>2859</v>
      </c>
      <c r="E55" s="89" t="s">
        <v>2859</v>
      </c>
      <c r="F55" s="89" t="s">
        <v>2859</v>
      </c>
      <c r="G55" s="89" t="s">
        <v>2860</v>
      </c>
      <c r="H55" s="89" t="s">
        <v>2859</v>
      </c>
      <c r="I55" s="89" t="s">
        <v>2317</v>
      </c>
      <c r="J55" s="89" t="s">
        <v>3018</v>
      </c>
      <c r="K55" s="89" t="s">
        <v>2860</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3019</v>
      </c>
      <c r="BR55" s="89" t="s">
        <v>2859</v>
      </c>
    </row>
    <row r="56" spans="1:70">
      <c r="A56" s="89" t="s">
        <v>2133</v>
      </c>
      <c r="B56" s="89" t="s">
        <v>3020</v>
      </c>
      <c r="C56" s="89" t="s">
        <v>2971</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3021</v>
      </c>
      <c r="BR56" s="89" t="s">
        <v>2859</v>
      </c>
    </row>
    <row r="57" spans="1:70">
      <c r="A57" s="89" t="s">
        <v>2133</v>
      </c>
      <c r="B57" s="89" t="s">
        <v>3022</v>
      </c>
      <c r="C57" s="89" t="s">
        <v>2924</v>
      </c>
      <c r="D57" s="89" t="s">
        <v>2859</v>
      </c>
      <c r="E57" s="89" t="s">
        <v>2859</v>
      </c>
      <c r="F57" s="89" t="s">
        <v>2859</v>
      </c>
      <c r="G57" s="89" t="s">
        <v>2860</v>
      </c>
      <c r="H57" s="89" t="s">
        <v>2859</v>
      </c>
      <c r="I57" s="89" t="s">
        <v>2865</v>
      </c>
      <c r="J57" s="89" t="s">
        <v>2951</v>
      </c>
      <c r="K57" s="89" t="s">
        <v>2860</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3023</v>
      </c>
      <c r="BR57" s="89" t="s">
        <v>2859</v>
      </c>
    </row>
    <row r="58" spans="1:70">
      <c r="A58" s="89" t="s">
        <v>2133</v>
      </c>
      <c r="B58" s="89" t="s">
        <v>3024</v>
      </c>
      <c r="C58" s="89" t="s">
        <v>2864</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3025</v>
      </c>
      <c r="BR58" s="89" t="s">
        <v>2859</v>
      </c>
    </row>
    <row r="59" spans="1:70">
      <c r="A59" s="89" t="s">
        <v>2133</v>
      </c>
      <c r="B59" s="89" t="s">
        <v>3026</v>
      </c>
      <c r="C59" s="89" t="s">
        <v>2971</v>
      </c>
      <c r="D59" s="89" t="s">
        <v>2859</v>
      </c>
      <c r="E59" s="89" t="s">
        <v>2859</v>
      </c>
      <c r="F59" s="89" t="s">
        <v>2859</v>
      </c>
      <c r="G59" s="89" t="s">
        <v>2860</v>
      </c>
      <c r="H59" s="89" t="s">
        <v>2859</v>
      </c>
      <c r="I59" s="89" t="s">
        <v>2317</v>
      </c>
      <c r="J59" s="89" t="s">
        <v>3018</v>
      </c>
      <c r="K59" s="89" t="s">
        <v>2860</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3027</v>
      </c>
      <c r="BR59" s="89" t="s">
        <v>2859</v>
      </c>
    </row>
    <row r="60" spans="1:70">
      <c r="A60" s="89" t="s">
        <v>2133</v>
      </c>
      <c r="B60" s="89" t="s">
        <v>3028</v>
      </c>
      <c r="C60" s="89" t="s">
        <v>2879</v>
      </c>
      <c r="D60" s="89" t="s">
        <v>2859</v>
      </c>
      <c r="E60" s="89" t="s">
        <v>2859</v>
      </c>
      <c r="F60" s="89" t="s">
        <v>2859</v>
      </c>
      <c r="G60" s="89" t="s">
        <v>2860</v>
      </c>
      <c r="H60" s="89" t="s">
        <v>2943</v>
      </c>
      <c r="I60" s="89" t="s">
        <v>2859</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3029</v>
      </c>
      <c r="BR60" s="89" t="s">
        <v>2869</v>
      </c>
    </row>
    <row r="61" spans="1:70">
      <c r="A61" s="89" t="s">
        <v>2133</v>
      </c>
      <c r="B61" s="89" t="s">
        <v>3030</v>
      </c>
      <c r="C61" s="89" t="s">
        <v>2858</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3031</v>
      </c>
      <c r="BR61" s="89" t="s">
        <v>2859</v>
      </c>
    </row>
    <row r="62" spans="1:70">
      <c r="A62" s="89" t="s">
        <v>2133</v>
      </c>
      <c r="B62" s="89" t="s">
        <v>3032</v>
      </c>
      <c r="C62" s="89" t="s">
        <v>2884</v>
      </c>
      <c r="D62" s="89" t="s">
        <v>2859</v>
      </c>
      <c r="E62" s="89" t="s">
        <v>2859</v>
      </c>
      <c r="F62" s="89" t="s">
        <v>2859</v>
      </c>
      <c r="G62" s="89" t="s">
        <v>2860</v>
      </c>
      <c r="H62" s="89" t="s">
        <v>2859</v>
      </c>
      <c r="I62" s="89" t="s">
        <v>2865</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3033</v>
      </c>
      <c r="BR62" s="89" t="s">
        <v>2859</v>
      </c>
    </row>
    <row r="63" spans="1:70">
      <c r="A63" s="89" t="s">
        <v>2133</v>
      </c>
      <c r="B63" s="89" t="s">
        <v>3034</v>
      </c>
      <c r="C63" s="89" t="s">
        <v>3003</v>
      </c>
      <c r="D63" s="89" t="s">
        <v>2859</v>
      </c>
      <c r="E63" s="89" t="s">
        <v>2859</v>
      </c>
      <c r="F63" s="89" t="s">
        <v>2859</v>
      </c>
      <c r="G63" s="89" t="s">
        <v>2860</v>
      </c>
      <c r="H63" s="89" t="s">
        <v>2859</v>
      </c>
      <c r="I63" s="89" t="s">
        <v>120</v>
      </c>
      <c r="J63" s="89" t="s">
        <v>3035</v>
      </c>
      <c r="K63" s="89" t="s">
        <v>2867</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3036</v>
      </c>
      <c r="BR63" s="89" t="s">
        <v>2869</v>
      </c>
    </row>
    <row r="64" spans="1:70">
      <c r="A64" s="89" t="s">
        <v>2133</v>
      </c>
      <c r="B64" s="89" t="s">
        <v>3037</v>
      </c>
      <c r="C64" s="89" t="s">
        <v>2989</v>
      </c>
      <c r="D64" s="89" t="s">
        <v>2859</v>
      </c>
      <c r="E64" s="89" t="s">
        <v>2859</v>
      </c>
      <c r="F64" s="89" t="s">
        <v>2859</v>
      </c>
      <c r="G64" s="89" t="s">
        <v>2860</v>
      </c>
      <c r="H64" s="89" t="s">
        <v>2859</v>
      </c>
      <c r="I64" s="89" t="s">
        <v>2865</v>
      </c>
      <c r="J64" s="89" t="s">
        <v>2951</v>
      </c>
      <c r="K64" s="89" t="s">
        <v>2860</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3038</v>
      </c>
      <c r="BR64" s="89" t="s">
        <v>2859</v>
      </c>
    </row>
    <row r="65" spans="1:70">
      <c r="A65" s="89" t="s">
        <v>2133</v>
      </c>
      <c r="B65" s="89" t="s">
        <v>3039</v>
      </c>
      <c r="C65" s="89" t="s">
        <v>2989</v>
      </c>
      <c r="D65" s="89" t="s">
        <v>2859</v>
      </c>
      <c r="E65" s="89" t="s">
        <v>2859</v>
      </c>
      <c r="F65" s="89" t="s">
        <v>2859</v>
      </c>
      <c r="G65" s="89" t="s">
        <v>2860</v>
      </c>
      <c r="H65" s="89" t="s">
        <v>2859</v>
      </c>
      <c r="I65" s="89" t="s">
        <v>2865</v>
      </c>
      <c r="J65" s="89" t="s">
        <v>2993</v>
      </c>
      <c r="K65" s="89" t="s">
        <v>2860</v>
      </c>
      <c r="L65" s="89" t="s">
        <v>1396</v>
      </c>
      <c r="M65" s="89" t="s">
        <v>2993</v>
      </c>
      <c r="N65" s="89" t="s">
        <v>2860</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3040</v>
      </c>
      <c r="BR65" s="89" t="s">
        <v>2859</v>
      </c>
    </row>
    <row r="66" spans="1:70">
      <c r="A66" s="89" t="s">
        <v>2133</v>
      </c>
      <c r="B66" s="89" t="s">
        <v>3041</v>
      </c>
      <c r="C66" s="89" t="s">
        <v>2879</v>
      </c>
      <c r="D66" s="89" t="s">
        <v>2859</v>
      </c>
      <c r="E66" s="89" t="s">
        <v>2859</v>
      </c>
      <c r="F66" s="89" t="s">
        <v>2859</v>
      </c>
      <c r="G66" s="89" t="s">
        <v>2860</v>
      </c>
      <c r="H66" s="89" t="s">
        <v>2943</v>
      </c>
      <c r="I66" s="89" t="s">
        <v>2859</v>
      </c>
      <c r="J66" s="89" t="s">
        <v>2859</v>
      </c>
      <c r="K66" s="89" t="s">
        <v>2859</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3042</v>
      </c>
      <c r="BR66" s="89" t="s">
        <v>2869</v>
      </c>
    </row>
    <row r="67" spans="1:70">
      <c r="A67" s="89" t="s">
        <v>2133</v>
      </c>
      <c r="B67" s="89" t="s">
        <v>3043</v>
      </c>
      <c r="C67" s="89" t="s">
        <v>2946</v>
      </c>
      <c r="D67" s="89" t="s">
        <v>2859</v>
      </c>
      <c r="E67" s="89" t="s">
        <v>2859</v>
      </c>
      <c r="F67" s="89" t="s">
        <v>2859</v>
      </c>
      <c r="G67" s="89" t="s">
        <v>2867</v>
      </c>
      <c r="H67" s="89" t="s">
        <v>2943</v>
      </c>
      <c r="I67" s="89" t="s">
        <v>2859</v>
      </c>
      <c r="J67" s="89" t="s">
        <v>2859</v>
      </c>
      <c r="K67" s="89" t="s">
        <v>2859</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3044</v>
      </c>
      <c r="BR67" s="89" t="s">
        <v>2869</v>
      </c>
    </row>
    <row r="68" spans="1:70">
      <c r="A68" s="89" t="s">
        <v>2133</v>
      </c>
      <c r="B68" s="89" t="s">
        <v>3045</v>
      </c>
      <c r="C68" s="89" t="s">
        <v>2924</v>
      </c>
      <c r="D68" s="89" t="s">
        <v>2859</v>
      </c>
      <c r="E68" s="89" t="s">
        <v>2859</v>
      </c>
      <c r="F68" s="89" t="s">
        <v>2859</v>
      </c>
      <c r="G68" s="89" t="s">
        <v>2860</v>
      </c>
      <c r="H68" s="89" t="s">
        <v>2859</v>
      </c>
      <c r="I68" s="89" t="s">
        <v>2865</v>
      </c>
      <c r="J68" s="89" t="s">
        <v>2963</v>
      </c>
      <c r="K68" s="89" t="s">
        <v>2860</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3046</v>
      </c>
      <c r="BR68" s="89" t="s">
        <v>2859</v>
      </c>
    </row>
    <row r="69" spans="1:70">
      <c r="A69" s="89" t="s">
        <v>2133</v>
      </c>
      <c r="B69" s="89" t="s">
        <v>2909</v>
      </c>
      <c r="C69" s="89" t="s">
        <v>2909</v>
      </c>
      <c r="D69" s="89" t="s">
        <v>2859</v>
      </c>
      <c r="E69" s="89" t="s">
        <v>2859</v>
      </c>
      <c r="F69" s="89" t="s">
        <v>2859</v>
      </c>
      <c r="G69" s="89" t="s">
        <v>2860</v>
      </c>
      <c r="H69" s="89" t="s">
        <v>2859</v>
      </c>
      <c r="I69" s="89" t="s">
        <v>2329</v>
      </c>
      <c r="J69" s="89" t="s">
        <v>3047</v>
      </c>
      <c r="K69" s="89" t="s">
        <v>2860</v>
      </c>
      <c r="L69" s="89" t="s">
        <v>2859</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3048</v>
      </c>
      <c r="BR69" s="89" t="s">
        <v>2869</v>
      </c>
    </row>
    <row r="70" spans="1:70">
      <c r="A70" s="89" t="s">
        <v>2133</v>
      </c>
      <c r="B70" s="89" t="s">
        <v>3049</v>
      </c>
      <c r="C70" s="89" t="s">
        <v>2879</v>
      </c>
      <c r="D70" s="89" t="s">
        <v>2859</v>
      </c>
      <c r="E70" s="89" t="s">
        <v>2859</v>
      </c>
      <c r="F70" s="89" t="s">
        <v>2859</v>
      </c>
      <c r="G70" s="89" t="s">
        <v>2860</v>
      </c>
      <c r="H70" s="89" t="s">
        <v>2859</v>
      </c>
      <c r="I70" s="89" t="s">
        <v>2329</v>
      </c>
      <c r="J70" s="89" t="s">
        <v>3050</v>
      </c>
      <c r="K70" s="89" t="s">
        <v>2867</v>
      </c>
      <c r="L70" s="89" t="s">
        <v>2859</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3051</v>
      </c>
      <c r="BR70" s="89" t="s">
        <v>2869</v>
      </c>
    </row>
    <row r="71" spans="1:70">
      <c r="A71" s="89" t="s">
        <v>2133</v>
      </c>
      <c r="B71" s="89" t="s">
        <v>3052</v>
      </c>
      <c r="C71" s="89" t="s">
        <v>3003</v>
      </c>
      <c r="D71" s="89" t="s">
        <v>2859</v>
      </c>
      <c r="E71" s="89" t="s">
        <v>2859</v>
      </c>
      <c r="F71" s="89" t="s">
        <v>2859</v>
      </c>
      <c r="G71" s="89" t="s">
        <v>2860</v>
      </c>
      <c r="H71" s="89" t="s">
        <v>2859</v>
      </c>
      <c r="I71" s="89" t="s">
        <v>2865</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3053</v>
      </c>
      <c r="BR71" s="89" t="s">
        <v>2859</v>
      </c>
    </row>
    <row r="72" spans="1:70">
      <c r="A72" s="89" t="s">
        <v>2133</v>
      </c>
      <c r="B72" s="89" t="s">
        <v>3054</v>
      </c>
      <c r="C72" s="89" t="s">
        <v>2884</v>
      </c>
      <c r="D72" s="89" t="s">
        <v>2859</v>
      </c>
      <c r="E72" s="89" t="s">
        <v>2859</v>
      </c>
      <c r="F72" s="89" t="s">
        <v>2859</v>
      </c>
      <c r="G72" s="89" t="s">
        <v>2860</v>
      </c>
      <c r="H72" s="89" t="s">
        <v>2859</v>
      </c>
      <c r="I72" s="89" t="s">
        <v>3055</v>
      </c>
      <c r="J72" s="89" t="s">
        <v>3056</v>
      </c>
      <c r="K72" s="89" t="s">
        <v>2867</v>
      </c>
      <c r="L72" s="89" t="s">
        <v>3057</v>
      </c>
      <c r="M72" s="89" t="s">
        <v>3056</v>
      </c>
      <c r="N72" s="89" t="s">
        <v>2867</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3058</v>
      </c>
      <c r="BR72" s="89" t="s">
        <v>2869</v>
      </c>
    </row>
    <row r="73" spans="1:70">
      <c r="A73" s="89" t="s">
        <v>2133</v>
      </c>
      <c r="B73" s="89" t="s">
        <v>3059</v>
      </c>
      <c r="C73" s="89" t="s">
        <v>2971</v>
      </c>
      <c r="D73" s="89" t="s">
        <v>2859</v>
      </c>
      <c r="E73" s="89" t="s">
        <v>2859</v>
      </c>
      <c r="F73" s="89" t="s">
        <v>2859</v>
      </c>
      <c r="G73" s="89" t="s">
        <v>2860</v>
      </c>
      <c r="H73" s="89" t="s">
        <v>2859</v>
      </c>
      <c r="I73" s="89" t="s">
        <v>1463</v>
      </c>
      <c r="J73" s="89" t="s">
        <v>3060</v>
      </c>
      <c r="K73" s="89" t="s">
        <v>2860</v>
      </c>
      <c r="L73" s="89" t="s">
        <v>2891</v>
      </c>
      <c r="M73" s="89" t="s">
        <v>3060</v>
      </c>
      <c r="N73" s="89" t="s">
        <v>2860</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3061</v>
      </c>
      <c r="BR73" s="89" t="s">
        <v>2859</v>
      </c>
    </row>
    <row r="74" spans="1:70">
      <c r="A74" s="89" t="s">
        <v>2133</v>
      </c>
      <c r="B74" s="89" t="s">
        <v>3062</v>
      </c>
      <c r="C74" s="89" t="s">
        <v>2924</v>
      </c>
      <c r="D74" s="89" t="s">
        <v>2859</v>
      </c>
      <c r="E74" s="89" t="s">
        <v>2859</v>
      </c>
      <c r="F74" s="89" t="s">
        <v>2859</v>
      </c>
      <c r="G74" s="89" t="s">
        <v>2860</v>
      </c>
      <c r="H74" s="89" t="s">
        <v>2859</v>
      </c>
      <c r="I74" s="89" t="s">
        <v>621</v>
      </c>
      <c r="J74" s="89" t="s">
        <v>3063</v>
      </c>
      <c r="K74" s="89" t="s">
        <v>2860</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3064</v>
      </c>
      <c r="BR74" s="89" t="s">
        <v>2859</v>
      </c>
    </row>
    <row r="75" spans="1:70">
      <c r="A75" s="89" t="s">
        <v>2133</v>
      </c>
      <c r="B75" s="89" t="s">
        <v>3065</v>
      </c>
      <c r="C75" s="89" t="s">
        <v>2884</v>
      </c>
      <c r="D75" s="89" t="s">
        <v>2859</v>
      </c>
      <c r="E75" s="89" t="s">
        <v>2859</v>
      </c>
      <c r="F75" s="89" t="s">
        <v>2859</v>
      </c>
      <c r="G75" s="89" t="s">
        <v>2860</v>
      </c>
      <c r="H75" s="89" t="s">
        <v>2859</v>
      </c>
      <c r="I75" s="89" t="s">
        <v>120</v>
      </c>
      <c r="J75" s="89" t="s">
        <v>3066</v>
      </c>
      <c r="K75" s="89" t="s">
        <v>2860</v>
      </c>
      <c r="L75" s="89" t="s">
        <v>1463</v>
      </c>
      <c r="M75" s="89" t="s">
        <v>3066</v>
      </c>
      <c r="N75" s="89" t="s">
        <v>2860</v>
      </c>
      <c r="O75" s="89" t="s">
        <v>1396</v>
      </c>
      <c r="P75" s="89" t="s">
        <v>3066</v>
      </c>
      <c r="Q75" s="89" t="s">
        <v>2860</v>
      </c>
      <c r="R75" s="89" t="s">
        <v>621</v>
      </c>
      <c r="S75" s="89" t="s">
        <v>3066</v>
      </c>
      <c r="T75" s="89" t="s">
        <v>2860</v>
      </c>
      <c r="U75" s="89" t="s">
        <v>2891</v>
      </c>
      <c r="V75" s="89" t="s">
        <v>3066</v>
      </c>
      <c r="W75" s="89" t="s">
        <v>2860</v>
      </c>
      <c r="X75" s="89" t="s">
        <v>935</v>
      </c>
      <c r="Y75" s="89" t="s">
        <v>3066</v>
      </c>
      <c r="Z75" s="89" t="s">
        <v>2860</v>
      </c>
      <c r="AA75" s="89" t="s">
        <v>256</v>
      </c>
      <c r="AB75" s="89" t="s">
        <v>3066</v>
      </c>
      <c r="AC75" s="89" t="s">
        <v>2860</v>
      </c>
      <c r="AD75" s="89" t="s">
        <v>2787</v>
      </c>
      <c r="AE75" s="89" t="s">
        <v>3066</v>
      </c>
      <c r="AF75" s="89" t="s">
        <v>2860</v>
      </c>
      <c r="AG75" s="89" t="s">
        <v>2585</v>
      </c>
      <c r="AH75" s="89" t="s">
        <v>3066</v>
      </c>
      <c r="AI75" s="89" t="s">
        <v>2860</v>
      </c>
      <c r="AJ75" s="89" t="s">
        <v>2893</v>
      </c>
      <c r="AK75" s="89" t="s">
        <v>3066</v>
      </c>
      <c r="AL75" s="89" t="s">
        <v>2860</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3067</v>
      </c>
      <c r="BR75" s="89" t="s">
        <v>2859</v>
      </c>
    </row>
    <row r="76" spans="1:70">
      <c r="A76" s="89" t="s">
        <v>2133</v>
      </c>
      <c r="B76" s="89" t="s">
        <v>3068</v>
      </c>
      <c r="C76" s="89" t="s">
        <v>2924</v>
      </c>
      <c r="D76" s="89" t="s">
        <v>2859</v>
      </c>
      <c r="E76" s="89" t="s">
        <v>2859</v>
      </c>
      <c r="F76" s="89" t="s">
        <v>2859</v>
      </c>
      <c r="G76" s="89" t="s">
        <v>2860</v>
      </c>
      <c r="H76" s="89" t="s">
        <v>2859</v>
      </c>
      <c r="I76" s="89" t="s">
        <v>120</v>
      </c>
      <c r="J76" s="89" t="s">
        <v>3069</v>
      </c>
      <c r="K76" s="89" t="s">
        <v>2867</v>
      </c>
      <c r="L76" s="89" t="s">
        <v>2490</v>
      </c>
      <c r="M76" s="89" t="s">
        <v>3069</v>
      </c>
      <c r="N76" s="89" t="s">
        <v>2867</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3070</v>
      </c>
      <c r="BR76" s="89" t="s">
        <v>2869</v>
      </c>
    </row>
    <row r="77" spans="1:70">
      <c r="A77" s="89" t="s">
        <v>2133</v>
      </c>
      <c r="B77" s="89" t="s">
        <v>3071</v>
      </c>
      <c r="C77" s="89" t="s">
        <v>2971</v>
      </c>
      <c r="D77" s="89" t="s">
        <v>2859</v>
      </c>
      <c r="E77" s="89" t="s">
        <v>2859</v>
      </c>
      <c r="F77" s="89" t="s">
        <v>2859</v>
      </c>
      <c r="G77" s="89" t="s">
        <v>2860</v>
      </c>
      <c r="H77" s="89" t="s">
        <v>2859</v>
      </c>
      <c r="I77" s="89" t="s">
        <v>1463</v>
      </c>
      <c r="J77" s="89" t="s">
        <v>3072</v>
      </c>
      <c r="K77" s="89" t="s">
        <v>2860</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3073</v>
      </c>
      <c r="BR77" s="89" t="s">
        <v>2859</v>
      </c>
    </row>
    <row r="78" spans="1:70">
      <c r="A78" s="89" t="s">
        <v>2133</v>
      </c>
      <c r="B78" s="89" t="s">
        <v>3074</v>
      </c>
      <c r="C78" s="89" t="s">
        <v>2884</v>
      </c>
      <c r="D78" s="89" t="s">
        <v>2859</v>
      </c>
      <c r="E78" s="89" t="s">
        <v>2859</v>
      </c>
      <c r="F78" s="89" t="s">
        <v>2859</v>
      </c>
      <c r="G78" s="89" t="s">
        <v>2860</v>
      </c>
      <c r="H78" s="89" t="s">
        <v>2859</v>
      </c>
      <c r="I78" s="89" t="s">
        <v>2891</v>
      </c>
      <c r="J78" s="89" t="s">
        <v>3075</v>
      </c>
      <c r="K78" s="89" t="s">
        <v>2860</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3076</v>
      </c>
      <c r="BR78" s="89" t="s">
        <v>2859</v>
      </c>
    </row>
    <row r="79" spans="1:70">
      <c r="A79" s="89" t="s">
        <v>2133</v>
      </c>
      <c r="B79" s="89" t="s">
        <v>3077</v>
      </c>
      <c r="C79" s="89" t="s">
        <v>2924</v>
      </c>
      <c r="D79" s="89" t="s">
        <v>2859</v>
      </c>
      <c r="E79" s="89" t="s">
        <v>2859</v>
      </c>
      <c r="F79" s="89" t="s">
        <v>2859</v>
      </c>
      <c r="G79" s="89" t="s">
        <v>2860</v>
      </c>
      <c r="H79" s="89" t="s">
        <v>2859</v>
      </c>
      <c r="I79" s="89" t="s">
        <v>621</v>
      </c>
      <c r="J79" s="89" t="s">
        <v>3078</v>
      </c>
      <c r="K79" s="89" t="s">
        <v>2860</v>
      </c>
      <c r="L79" s="89" t="s">
        <v>2891</v>
      </c>
      <c r="M79" s="89" t="s">
        <v>3079</v>
      </c>
      <c r="N79" s="89" t="s">
        <v>2860</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3080</v>
      </c>
      <c r="BR79" s="89" t="s">
        <v>2859</v>
      </c>
    </row>
    <row r="80" spans="1:70">
      <c r="A80" s="89" t="s">
        <v>2136</v>
      </c>
      <c r="B80" s="89" t="s">
        <v>2909</v>
      </c>
      <c r="C80" s="89" t="s">
        <v>2909</v>
      </c>
      <c r="D80" s="89" t="s">
        <v>2859</v>
      </c>
      <c r="E80" s="89" t="s">
        <v>2859</v>
      </c>
      <c r="F80" s="89" t="s">
        <v>2859</v>
      </c>
      <c r="G80" s="89" t="s">
        <v>2860</v>
      </c>
      <c r="H80" s="89" t="s">
        <v>2859</v>
      </c>
      <c r="I80" s="89" t="s">
        <v>2329</v>
      </c>
      <c r="J80" s="89" t="s">
        <v>2910</v>
      </c>
      <c r="K80" s="89" t="s">
        <v>2860</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3081</v>
      </c>
      <c r="BR80" s="89" t="s">
        <v>2869</v>
      </c>
    </row>
    <row r="81" spans="1:70">
      <c r="A81" s="89" t="s">
        <v>2136</v>
      </c>
      <c r="B81" s="89" t="s">
        <v>3082</v>
      </c>
      <c r="C81" s="89" t="s">
        <v>2864</v>
      </c>
      <c r="D81" s="89" t="s">
        <v>2859</v>
      </c>
      <c r="E81" s="89" t="s">
        <v>2859</v>
      </c>
      <c r="F81" s="89" t="s">
        <v>2859</v>
      </c>
      <c r="G81" s="89" t="s">
        <v>2860</v>
      </c>
      <c r="H81" s="89" t="s">
        <v>2859</v>
      </c>
      <c r="I81" s="89" t="s">
        <v>120</v>
      </c>
      <c r="J81" s="89" t="s">
        <v>3083</v>
      </c>
      <c r="K81" s="89" t="s">
        <v>2860</v>
      </c>
      <c r="L81" s="89" t="s">
        <v>2490</v>
      </c>
      <c r="M81" s="89" t="s">
        <v>3083</v>
      </c>
      <c r="N81" s="89" t="s">
        <v>2860</v>
      </c>
      <c r="O81" s="89" t="s">
        <v>2585</v>
      </c>
      <c r="P81" s="89" t="s">
        <v>3083</v>
      </c>
      <c r="Q81" s="89" t="s">
        <v>2860</v>
      </c>
      <c r="R81" s="89" t="s">
        <v>2891</v>
      </c>
      <c r="S81" s="89" t="s">
        <v>3084</v>
      </c>
      <c r="T81" s="89" t="s">
        <v>2860</v>
      </c>
      <c r="U81" s="89" t="s">
        <v>2872</v>
      </c>
      <c r="V81" s="89" t="s">
        <v>3083</v>
      </c>
      <c r="W81" s="89" t="s">
        <v>2860</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3085</v>
      </c>
      <c r="BR81" s="89" t="s">
        <v>2859</v>
      </c>
    </row>
    <row r="82" spans="1:70">
      <c r="A82" s="89" t="s">
        <v>2136</v>
      </c>
      <c r="B82" s="89" t="s">
        <v>3086</v>
      </c>
      <c r="C82" s="89" t="s">
        <v>2884</v>
      </c>
      <c r="D82" s="89" t="s">
        <v>2859</v>
      </c>
      <c r="E82" s="89" t="s">
        <v>2859</v>
      </c>
      <c r="F82" s="89" t="s">
        <v>2859</v>
      </c>
      <c r="G82" s="89" t="s">
        <v>2860</v>
      </c>
      <c r="H82" s="89" t="s">
        <v>2859</v>
      </c>
      <c r="I82" s="89" t="s">
        <v>621</v>
      </c>
      <c r="J82" s="89" t="s">
        <v>3087</v>
      </c>
      <c r="K82" s="89" t="s">
        <v>2860</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3088</v>
      </c>
      <c r="BR82" s="89" t="s">
        <v>2859</v>
      </c>
    </row>
    <row r="83" spans="1:70">
      <c r="A83" s="89" t="s">
        <v>2136</v>
      </c>
      <c r="B83" s="89" t="s">
        <v>3089</v>
      </c>
      <c r="C83" s="89" t="s">
        <v>2884</v>
      </c>
      <c r="D83" s="89" t="s">
        <v>2859</v>
      </c>
      <c r="E83" s="89" t="s">
        <v>2859</v>
      </c>
      <c r="F83" s="89" t="s">
        <v>2859</v>
      </c>
      <c r="G83" s="89" t="s">
        <v>2860</v>
      </c>
      <c r="H83" s="89" t="s">
        <v>2859</v>
      </c>
      <c r="I83" s="89" t="s">
        <v>2891</v>
      </c>
      <c r="J83" s="89" t="s">
        <v>3090</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3091</v>
      </c>
      <c r="BR83" s="89" t="s">
        <v>2859</v>
      </c>
    </row>
    <row r="84" spans="1:70">
      <c r="A84" s="89" t="s">
        <v>2136</v>
      </c>
      <c r="B84" s="89" t="s">
        <v>3092</v>
      </c>
      <c r="C84" s="89" t="s">
        <v>2858</v>
      </c>
      <c r="D84" s="89" t="s">
        <v>2859</v>
      </c>
      <c r="E84" s="89" t="s">
        <v>2859</v>
      </c>
      <c r="F84" s="89" t="s">
        <v>2859</v>
      </c>
      <c r="G84" s="89" t="s">
        <v>2860</v>
      </c>
      <c r="H84" s="89" t="s">
        <v>2859</v>
      </c>
      <c r="I84" s="89" t="s">
        <v>120</v>
      </c>
      <c r="J84" s="89" t="s">
        <v>3093</v>
      </c>
      <c r="K84" s="89" t="s">
        <v>2860</v>
      </c>
      <c r="L84" s="89" t="s">
        <v>2490</v>
      </c>
      <c r="M84" s="89" t="s">
        <v>3093</v>
      </c>
      <c r="N84" s="89" t="s">
        <v>2860</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3094</v>
      </c>
      <c r="BR84" s="89" t="s">
        <v>2859</v>
      </c>
    </row>
    <row r="85" spans="1:70">
      <c r="A85" s="89" t="s">
        <v>2136</v>
      </c>
      <c r="B85" s="89" t="s">
        <v>3095</v>
      </c>
      <c r="C85" s="89" t="s">
        <v>2989</v>
      </c>
      <c r="D85" s="89" t="s">
        <v>2859</v>
      </c>
      <c r="E85" s="89" t="s">
        <v>2859</v>
      </c>
      <c r="F85" s="89" t="s">
        <v>2859</v>
      </c>
      <c r="G85" s="89" t="s">
        <v>2860</v>
      </c>
      <c r="H85" s="89" t="s">
        <v>2859</v>
      </c>
      <c r="I85" s="89" t="s">
        <v>2865</v>
      </c>
      <c r="J85" s="89" t="s">
        <v>3096</v>
      </c>
      <c r="K85" s="89" t="s">
        <v>2860</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3097</v>
      </c>
      <c r="BR85" s="89" t="s">
        <v>2859</v>
      </c>
    </row>
    <row r="86" spans="1:70">
      <c r="A86" s="89" t="s">
        <v>2136</v>
      </c>
      <c r="B86" s="89" t="s">
        <v>3098</v>
      </c>
      <c r="C86" s="89" t="s">
        <v>3003</v>
      </c>
      <c r="D86" s="89" t="s">
        <v>2859</v>
      </c>
      <c r="E86" s="89" t="s">
        <v>2859</v>
      </c>
      <c r="F86" s="89" t="s">
        <v>2859</v>
      </c>
      <c r="G86" s="89" t="s">
        <v>2860</v>
      </c>
      <c r="H86" s="89" t="s">
        <v>2859</v>
      </c>
      <c r="I86" s="89" t="s">
        <v>2891</v>
      </c>
      <c r="J86" s="89" t="s">
        <v>3099</v>
      </c>
      <c r="K86" s="89" t="s">
        <v>2860</v>
      </c>
      <c r="L86" s="89" t="s">
        <v>2979</v>
      </c>
      <c r="M86" s="89" t="s">
        <v>3100</v>
      </c>
      <c r="N86" s="89" t="s">
        <v>2860</v>
      </c>
      <c r="O86" s="89" t="s">
        <v>3101</v>
      </c>
      <c r="P86" s="89" t="s">
        <v>3100</v>
      </c>
      <c r="Q86" s="89" t="s">
        <v>2860</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3102</v>
      </c>
      <c r="BR86" s="89" t="s">
        <v>2859</v>
      </c>
    </row>
    <row r="87" spans="1:70">
      <c r="A87" s="89" t="s">
        <v>2136</v>
      </c>
      <c r="B87" s="89" t="s">
        <v>3103</v>
      </c>
      <c r="C87" s="89" t="s">
        <v>2884</v>
      </c>
      <c r="D87" s="89" t="s">
        <v>2859</v>
      </c>
      <c r="E87" s="89" t="s">
        <v>2859</v>
      </c>
      <c r="F87" s="89" t="s">
        <v>2859</v>
      </c>
      <c r="G87" s="89" t="s">
        <v>2860</v>
      </c>
      <c r="H87" s="89" t="s">
        <v>2859</v>
      </c>
      <c r="I87" s="89" t="s">
        <v>2865</v>
      </c>
      <c r="J87" s="89" t="s">
        <v>2931</v>
      </c>
      <c r="K87" s="89" t="s">
        <v>2860</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3104</v>
      </c>
      <c r="BR87" s="89" t="s">
        <v>2859</v>
      </c>
    </row>
    <row r="88" spans="1:70">
      <c r="A88" s="89" t="s">
        <v>2136</v>
      </c>
      <c r="B88" s="89" t="s">
        <v>3105</v>
      </c>
      <c r="C88" s="89" t="s">
        <v>2879</v>
      </c>
      <c r="D88" s="89" t="s">
        <v>2859</v>
      </c>
      <c r="E88" s="89" t="s">
        <v>2859</v>
      </c>
      <c r="F88" s="89" t="s">
        <v>2859</v>
      </c>
      <c r="G88" s="89" t="s">
        <v>2860</v>
      </c>
      <c r="H88" s="89" t="s">
        <v>2859</v>
      </c>
      <c r="I88" s="89" t="s">
        <v>120</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3106</v>
      </c>
      <c r="BR88" s="89" t="s">
        <v>2859</v>
      </c>
    </row>
    <row r="89" spans="1:70">
      <c r="A89" s="89" t="s">
        <v>2136</v>
      </c>
      <c r="B89" s="89" t="s">
        <v>3107</v>
      </c>
      <c r="C89" s="89" t="s">
        <v>2871</v>
      </c>
      <c r="D89" s="89" t="s">
        <v>2859</v>
      </c>
      <c r="E89" s="89" t="s">
        <v>2859</v>
      </c>
      <c r="F89" s="89" t="s">
        <v>2859</v>
      </c>
      <c r="G89" s="89" t="s">
        <v>2860</v>
      </c>
      <c r="H89" s="89" t="s">
        <v>2859</v>
      </c>
      <c r="I89" s="89" t="s">
        <v>120</v>
      </c>
      <c r="J89" s="89" t="s">
        <v>3108</v>
      </c>
      <c r="K89" s="89" t="s">
        <v>2860</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3109</v>
      </c>
      <c r="BR89" s="89" t="s">
        <v>2859</v>
      </c>
    </row>
    <row r="90" spans="1:70">
      <c r="A90" s="89" t="s">
        <v>2136</v>
      </c>
      <c r="B90" s="89" t="s">
        <v>3110</v>
      </c>
      <c r="C90" s="89" t="s">
        <v>2884</v>
      </c>
      <c r="D90" s="89" t="s">
        <v>2859</v>
      </c>
      <c r="E90" s="89" t="s">
        <v>2859</v>
      </c>
      <c r="F90" s="89" t="s">
        <v>2859</v>
      </c>
      <c r="G90" s="89" t="s">
        <v>2860</v>
      </c>
      <c r="H90" s="89" t="s">
        <v>2859</v>
      </c>
      <c r="I90" s="89" t="s">
        <v>2865</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3111</v>
      </c>
      <c r="BR90" s="89" t="s">
        <v>2859</v>
      </c>
    </row>
    <row r="91" spans="1:70">
      <c r="A91" s="89" t="s">
        <v>2136</v>
      </c>
      <c r="B91" s="89" t="s">
        <v>3112</v>
      </c>
      <c r="C91" s="89" t="s">
        <v>2974</v>
      </c>
      <c r="D91" s="89" t="s">
        <v>2859</v>
      </c>
      <c r="E91" s="89" t="s">
        <v>2859</v>
      </c>
      <c r="F91" s="89" t="s">
        <v>2859</v>
      </c>
      <c r="G91" s="89" t="s">
        <v>2860</v>
      </c>
      <c r="H91" s="89" t="s">
        <v>2859</v>
      </c>
      <c r="I91" s="89" t="s">
        <v>120</v>
      </c>
      <c r="J91" s="89" t="s">
        <v>3113</v>
      </c>
      <c r="K91" s="89" t="s">
        <v>2860</v>
      </c>
      <c r="L91" s="89" t="s">
        <v>2490</v>
      </c>
      <c r="M91" s="89" t="s">
        <v>3113</v>
      </c>
      <c r="N91" s="89" t="s">
        <v>2860</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3114</v>
      </c>
      <c r="BR91" s="89" t="s">
        <v>2859</v>
      </c>
    </row>
    <row r="92" spans="1:70">
      <c r="A92" s="89" t="s">
        <v>2136</v>
      </c>
      <c r="B92" s="89" t="s">
        <v>3115</v>
      </c>
      <c r="C92" s="89" t="s">
        <v>2989</v>
      </c>
      <c r="D92" s="89" t="s">
        <v>2859</v>
      </c>
      <c r="E92" s="89" t="s">
        <v>2859</v>
      </c>
      <c r="F92" s="89" t="s">
        <v>2859</v>
      </c>
      <c r="G92" s="89" t="s">
        <v>2860</v>
      </c>
      <c r="H92" s="89" t="s">
        <v>2859</v>
      </c>
      <c r="I92" s="89" t="s">
        <v>1463</v>
      </c>
      <c r="J92" s="89" t="s">
        <v>3116</v>
      </c>
      <c r="K92" s="89" t="s">
        <v>2867</v>
      </c>
      <c r="L92" s="89" t="s">
        <v>2979</v>
      </c>
      <c r="M92" s="89" t="s">
        <v>3117</v>
      </c>
      <c r="N92" s="89" t="s">
        <v>2867</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3118</v>
      </c>
      <c r="BR92" s="89" t="s">
        <v>2869</v>
      </c>
    </row>
    <row r="93" spans="1:70">
      <c r="A93" s="89" t="s">
        <v>2136</v>
      </c>
      <c r="B93" s="89" t="s">
        <v>3119</v>
      </c>
      <c r="C93" s="89" t="s">
        <v>2989</v>
      </c>
      <c r="D93" s="89" t="s">
        <v>2859</v>
      </c>
      <c r="E93" s="89" t="s">
        <v>2859</v>
      </c>
      <c r="F93" s="89" t="s">
        <v>2859</v>
      </c>
      <c r="G93" s="89" t="s">
        <v>2860</v>
      </c>
      <c r="H93" s="89" t="s">
        <v>2859</v>
      </c>
      <c r="I93" s="89" t="s">
        <v>2891</v>
      </c>
      <c r="J93" s="89" t="s">
        <v>3120</v>
      </c>
      <c r="K93" s="89" t="s">
        <v>2860</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3121</v>
      </c>
      <c r="BR93" s="89" t="s">
        <v>2859</v>
      </c>
    </row>
    <row r="94" spans="1:70">
      <c r="A94" s="89" t="s">
        <v>2136</v>
      </c>
      <c r="B94" s="89" t="s">
        <v>3122</v>
      </c>
      <c r="C94" s="89" t="s">
        <v>2924</v>
      </c>
      <c r="D94" s="89" t="s">
        <v>2859</v>
      </c>
      <c r="E94" s="89" t="s">
        <v>2859</v>
      </c>
      <c r="F94" s="89" t="s">
        <v>2859</v>
      </c>
      <c r="G94" s="89" t="s">
        <v>2860</v>
      </c>
      <c r="H94" s="89" t="s">
        <v>2859</v>
      </c>
      <c r="I94" s="89" t="s">
        <v>2585</v>
      </c>
      <c r="J94" s="89" t="s">
        <v>2859</v>
      </c>
      <c r="K94" s="89" t="s">
        <v>2859</v>
      </c>
      <c r="L94" s="89" t="s">
        <v>2859</v>
      </c>
      <c r="M94" s="89" t="s">
        <v>2859</v>
      </c>
      <c r="N94" s="89" t="s">
        <v>2859</v>
      </c>
      <c r="O94" s="89" t="s">
        <v>2859</v>
      </c>
      <c r="P94" s="89" t="s">
        <v>2859</v>
      </c>
      <c r="Q94" s="89" t="s">
        <v>2859</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3123</v>
      </c>
      <c r="BR94" s="89" t="s">
        <v>2859</v>
      </c>
    </row>
    <row r="95" spans="1:70">
      <c r="A95" s="89" t="s">
        <v>2136</v>
      </c>
      <c r="B95" s="89" t="s">
        <v>3124</v>
      </c>
      <c r="C95" s="89" t="s">
        <v>2864</v>
      </c>
      <c r="D95" s="89" t="s">
        <v>2859</v>
      </c>
      <c r="E95" s="89" t="s">
        <v>2859</v>
      </c>
      <c r="F95" s="89" t="s">
        <v>2859</v>
      </c>
      <c r="G95" s="89" t="s">
        <v>2860</v>
      </c>
      <c r="H95" s="89" t="s">
        <v>2859</v>
      </c>
      <c r="I95" s="89" t="s">
        <v>2865</v>
      </c>
      <c r="J95" s="89" t="s">
        <v>3125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3126</v>
      </c>
      <c r="BR95" s="89" t="s">
        <v>2859</v>
      </c>
    </row>
    <row r="96" spans="1:70">
      <c r="A96" s="89" t="s">
        <v>2136</v>
      </c>
      <c r="B96" s="89" t="s">
        <v>3127</v>
      </c>
      <c r="C96" s="89" t="s">
        <v>2858</v>
      </c>
      <c r="D96" s="89" t="s">
        <v>2859</v>
      </c>
      <c r="E96" s="89" t="s">
        <v>2859</v>
      </c>
      <c r="F96" s="89" t="s">
        <v>2859</v>
      </c>
      <c r="G96" s="89" t="s">
        <v>2860</v>
      </c>
      <c r="H96" s="89" t="s">
        <v>2859</v>
      </c>
      <c r="I96" s="89" t="s">
        <v>120</v>
      </c>
      <c r="J96" s="89" t="s">
        <v>3128</v>
      </c>
      <c r="K96" s="89" t="s">
        <v>2860</v>
      </c>
      <c r="L96" s="89" t="s">
        <v>2490</v>
      </c>
      <c r="M96" s="89" t="s">
        <v>3128</v>
      </c>
      <c r="N96" s="89" t="s">
        <v>2860</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3129</v>
      </c>
      <c r="BR96" s="89" t="s">
        <v>2859</v>
      </c>
    </row>
    <row r="97" spans="1:70">
      <c r="A97" s="89" t="s">
        <v>2136</v>
      </c>
      <c r="B97" s="89" t="s">
        <v>3130</v>
      </c>
      <c r="C97" s="89" t="s">
        <v>2858</v>
      </c>
      <c r="D97" s="89" t="s">
        <v>2859</v>
      </c>
      <c r="E97" s="89" t="s">
        <v>2859</v>
      </c>
      <c r="F97" s="89" t="s">
        <v>2859</v>
      </c>
      <c r="G97" s="89" t="s">
        <v>2860</v>
      </c>
      <c r="H97" s="89" t="s">
        <v>2859</v>
      </c>
      <c r="I97" s="89" t="s">
        <v>2865</v>
      </c>
      <c r="J97" s="89" t="s">
        <v>3125</v>
      </c>
      <c r="K97" s="89" t="s">
        <v>2860</v>
      </c>
      <c r="L97" s="89" t="s">
        <v>2859</v>
      </c>
      <c r="M97" s="89" t="s">
        <v>2859</v>
      </c>
      <c r="N97" s="89" t="s">
        <v>2859</v>
      </c>
      <c r="O97" s="89" t="s">
        <v>2859</v>
      </c>
      <c r="P97" s="89" t="s">
        <v>2859</v>
      </c>
      <c r="Q97" s="89" t="s">
        <v>2859</v>
      </c>
      <c r="R97" s="89" t="s">
        <v>2859</v>
      </c>
      <c r="S97" s="89" t="s">
        <v>2859</v>
      </c>
      <c r="T97" s="89" t="s">
        <v>2859</v>
      </c>
      <c r="U97" s="89" t="s">
        <v>2859</v>
      </c>
      <c r="V97" s="89" t="s">
        <v>2859</v>
      </c>
      <c r="W97" s="89" t="s">
        <v>2859</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3131</v>
      </c>
      <c r="BR97" s="89" t="s">
        <v>2859</v>
      </c>
    </row>
    <row r="98" spans="1:70">
      <c r="A98" s="89" t="s">
        <v>2136</v>
      </c>
      <c r="B98" s="89" t="s">
        <v>3132</v>
      </c>
      <c r="C98" s="89" t="s">
        <v>2974</v>
      </c>
      <c r="D98" s="89" t="s">
        <v>2859</v>
      </c>
      <c r="E98" s="89" t="s">
        <v>2859</v>
      </c>
      <c r="F98" s="89" t="s">
        <v>2859</v>
      </c>
      <c r="G98" s="89" t="s">
        <v>2860</v>
      </c>
      <c r="H98" s="89" t="s">
        <v>2859</v>
      </c>
      <c r="I98" s="89" t="s">
        <v>2891</v>
      </c>
      <c r="J98" s="89" t="s">
        <v>3133</v>
      </c>
      <c r="K98" s="89" t="s">
        <v>2867</v>
      </c>
      <c r="L98" s="89" t="s">
        <v>2893</v>
      </c>
      <c r="M98" s="89" t="s">
        <v>3133</v>
      </c>
      <c r="N98" s="89" t="s">
        <v>2867</v>
      </c>
      <c r="O98" s="89" t="s">
        <v>2346</v>
      </c>
      <c r="P98" s="89" t="s">
        <v>3133</v>
      </c>
      <c r="Q98" s="89" t="s">
        <v>2867</v>
      </c>
      <c r="R98" s="89" t="s">
        <v>3134</v>
      </c>
      <c r="S98" s="89" t="s">
        <v>3133</v>
      </c>
      <c r="T98" s="89" t="s">
        <v>2867</v>
      </c>
      <c r="U98" s="89" t="s">
        <v>3135</v>
      </c>
      <c r="V98" s="89" t="s">
        <v>3133</v>
      </c>
      <c r="W98" s="89" t="s">
        <v>2867</v>
      </c>
      <c r="X98" s="89" t="s">
        <v>2490</v>
      </c>
      <c r="Y98" s="89" t="s">
        <v>3133</v>
      </c>
      <c r="Z98" s="89" t="s">
        <v>2867</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3136</v>
      </c>
      <c r="BR98" s="89" t="s">
        <v>2869</v>
      </c>
    </row>
    <row r="99" spans="1:70">
      <c r="A99" s="89" t="s">
        <v>2136</v>
      </c>
      <c r="B99" s="89" t="s">
        <v>3137</v>
      </c>
      <c r="C99" s="89" t="s">
        <v>2864</v>
      </c>
      <c r="D99" s="89" t="s">
        <v>2859</v>
      </c>
      <c r="E99" s="89" t="s">
        <v>2859</v>
      </c>
      <c r="F99" s="89" t="s">
        <v>2859</v>
      </c>
      <c r="G99" s="89" t="s">
        <v>2860</v>
      </c>
      <c r="H99" s="89" t="s">
        <v>2859</v>
      </c>
      <c r="I99" s="89" t="s">
        <v>3138</v>
      </c>
      <c r="J99" s="89" t="s">
        <v>3139</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3140</v>
      </c>
      <c r="BR99" s="89" t="s">
        <v>2859</v>
      </c>
    </row>
    <row r="100" spans="1:70">
      <c r="A100" s="89" t="s">
        <v>2136</v>
      </c>
      <c r="B100" s="89" t="s">
        <v>3141</v>
      </c>
      <c r="C100" s="89" t="s">
        <v>2924</v>
      </c>
      <c r="D100" s="89" t="s">
        <v>2859</v>
      </c>
      <c r="E100" s="89" t="s">
        <v>2859</v>
      </c>
      <c r="F100" s="89" t="s">
        <v>2859</v>
      </c>
      <c r="G100" s="89" t="s">
        <v>2860</v>
      </c>
      <c r="H100" s="89" t="s">
        <v>2859</v>
      </c>
      <c r="I100" s="89" t="s">
        <v>1463</v>
      </c>
      <c r="J100" s="89" t="s">
        <v>2859</v>
      </c>
      <c r="K100" s="89" t="s">
        <v>2859</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3142</v>
      </c>
      <c r="BR100" s="89" t="s">
        <v>2859</v>
      </c>
    </row>
    <row r="101" spans="1:70">
      <c r="A101" s="89" t="s">
        <v>2136</v>
      </c>
      <c r="B101" s="89" t="s">
        <v>3143</v>
      </c>
      <c r="C101" s="89" t="s">
        <v>2971</v>
      </c>
      <c r="D101" s="89" t="s">
        <v>2859</v>
      </c>
      <c r="E101" s="89" t="s">
        <v>2859</v>
      </c>
      <c r="F101" s="89" t="s">
        <v>2859</v>
      </c>
      <c r="G101" s="89" t="s">
        <v>2860</v>
      </c>
      <c r="H101" s="89" t="s">
        <v>2859</v>
      </c>
      <c r="I101" s="89" t="s">
        <v>120</v>
      </c>
      <c r="J101" s="89" t="s">
        <v>3144</v>
      </c>
      <c r="K101" s="89" t="s">
        <v>2860</v>
      </c>
      <c r="L101" s="89" t="s">
        <v>2490</v>
      </c>
      <c r="M101" s="89" t="s">
        <v>3144</v>
      </c>
      <c r="N101" s="89" t="s">
        <v>2860</v>
      </c>
      <c r="O101" s="89" t="s">
        <v>3145</v>
      </c>
      <c r="P101" s="89" t="s">
        <v>3144</v>
      </c>
      <c r="Q101" s="89" t="s">
        <v>2860</v>
      </c>
      <c r="R101" s="89" t="s">
        <v>3146</v>
      </c>
      <c r="S101" s="89" t="s">
        <v>3144</v>
      </c>
      <c r="T101" s="89" t="s">
        <v>2860</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3147</v>
      </c>
      <c r="BR101" s="89" t="s">
        <v>2859</v>
      </c>
    </row>
    <row r="102" spans="1:70">
      <c r="A102" s="89" t="s">
        <v>2136</v>
      </c>
      <c r="B102" s="89" t="s">
        <v>3148</v>
      </c>
      <c r="C102" s="89" t="s">
        <v>2884</v>
      </c>
      <c r="D102" s="89" t="s">
        <v>2859</v>
      </c>
      <c r="E102" s="89" t="s">
        <v>2859</v>
      </c>
      <c r="F102" s="89" t="s">
        <v>2859</v>
      </c>
      <c r="G102" s="89" t="s">
        <v>2860</v>
      </c>
      <c r="H102" s="89" t="s">
        <v>2859</v>
      </c>
      <c r="I102" s="89" t="s">
        <v>120</v>
      </c>
      <c r="J102" s="89" t="s">
        <v>2859</v>
      </c>
      <c r="K102" s="89" t="s">
        <v>2859</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3149</v>
      </c>
      <c r="BR102" s="89" t="s">
        <v>2859</v>
      </c>
    </row>
    <row r="103" spans="1:70">
      <c r="A103" s="89" t="s">
        <v>2136</v>
      </c>
      <c r="B103" s="89" t="s">
        <v>3150</v>
      </c>
      <c r="C103" s="89" t="s">
        <v>2884</v>
      </c>
      <c r="D103" s="89" t="s">
        <v>2859</v>
      </c>
      <c r="E103" s="89" t="s">
        <v>2859</v>
      </c>
      <c r="F103" s="89" t="s">
        <v>2859</v>
      </c>
      <c r="G103" s="89" t="s">
        <v>2860</v>
      </c>
      <c r="H103" s="89" t="s">
        <v>2859</v>
      </c>
      <c r="I103" s="89" t="s">
        <v>621</v>
      </c>
      <c r="J103" s="89" t="s">
        <v>3151</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3152</v>
      </c>
      <c r="BR103" s="89" t="s">
        <v>2859</v>
      </c>
    </row>
    <row r="104" spans="1:70">
      <c r="A104" s="89" t="s">
        <v>2136</v>
      </c>
      <c r="B104" s="89" t="s">
        <v>3153</v>
      </c>
      <c r="C104" s="89" t="s">
        <v>2884</v>
      </c>
      <c r="D104" s="89" t="s">
        <v>2859</v>
      </c>
      <c r="E104" s="89" t="s">
        <v>2859</v>
      </c>
      <c r="F104" s="89" t="s">
        <v>2859</v>
      </c>
      <c r="G104" s="89" t="s">
        <v>2860</v>
      </c>
      <c r="H104" s="89" t="s">
        <v>2859</v>
      </c>
      <c r="I104" s="89" t="s">
        <v>120</v>
      </c>
      <c r="J104" s="89" t="s">
        <v>3154</v>
      </c>
      <c r="K104" s="89" t="s">
        <v>2860</v>
      </c>
      <c r="L104" s="89" t="s">
        <v>2490</v>
      </c>
      <c r="M104" s="89" t="s">
        <v>3154</v>
      </c>
      <c r="N104" s="89" t="s">
        <v>2860</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3155</v>
      </c>
      <c r="BR104" s="89" t="s">
        <v>2859</v>
      </c>
    </row>
    <row r="105" spans="1:70">
      <c r="A105" s="89" t="s">
        <v>2139</v>
      </c>
      <c r="B105" s="89" t="s">
        <v>2909</v>
      </c>
      <c r="C105" s="89" t="s">
        <v>2909</v>
      </c>
      <c r="D105" s="89" t="s">
        <v>2859</v>
      </c>
      <c r="E105" s="89" t="s">
        <v>2859</v>
      </c>
      <c r="F105" s="89" t="s">
        <v>2859</v>
      </c>
      <c r="G105" s="89" t="s">
        <v>2860</v>
      </c>
      <c r="H105" s="89" t="s">
        <v>2859</v>
      </c>
      <c r="I105" s="89" t="s">
        <v>2329</v>
      </c>
      <c r="J105" s="89" t="s">
        <v>3156</v>
      </c>
      <c r="K105" s="89" t="s">
        <v>2860</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3157</v>
      </c>
      <c r="BR105" s="89" t="s">
        <v>2869</v>
      </c>
    </row>
    <row r="106" spans="1:70">
      <c r="A106" s="89" t="s">
        <v>2139</v>
      </c>
      <c r="B106" s="89" t="s">
        <v>3158</v>
      </c>
      <c r="C106" s="89" t="s">
        <v>2871</v>
      </c>
      <c r="D106" s="89" t="s">
        <v>2859</v>
      </c>
      <c r="E106" s="89" t="s">
        <v>2859</v>
      </c>
      <c r="F106" s="89" t="s">
        <v>2859</v>
      </c>
      <c r="G106" s="89" t="s">
        <v>2860</v>
      </c>
      <c r="H106" s="89" t="s">
        <v>2859</v>
      </c>
      <c r="I106" s="89" t="s">
        <v>2891</v>
      </c>
      <c r="J106" s="89" t="s">
        <v>3159</v>
      </c>
      <c r="K106" s="89" t="s">
        <v>2860</v>
      </c>
      <c r="L106" s="89" t="s">
        <v>120</v>
      </c>
      <c r="M106" s="89" t="s">
        <v>3159</v>
      </c>
      <c r="N106" s="89" t="s">
        <v>2860</v>
      </c>
      <c r="O106" s="89" t="s">
        <v>2490</v>
      </c>
      <c r="P106" s="89" t="s">
        <v>3159</v>
      </c>
      <c r="Q106" s="89" t="s">
        <v>2860</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3160</v>
      </c>
      <c r="BR106" s="89" t="s">
        <v>2859</v>
      </c>
    </row>
    <row r="107" spans="1:70">
      <c r="A107" s="89" t="s">
        <v>2139</v>
      </c>
      <c r="B107" s="89" t="s">
        <v>3161</v>
      </c>
      <c r="C107" s="89" t="s">
        <v>2858</v>
      </c>
      <c r="D107" s="89" t="s">
        <v>2859</v>
      </c>
      <c r="E107" s="89" t="s">
        <v>2859</v>
      </c>
      <c r="F107" s="89" t="s">
        <v>2859</v>
      </c>
      <c r="G107" s="89" t="s">
        <v>2860</v>
      </c>
      <c r="H107" s="89" t="s">
        <v>2859</v>
      </c>
      <c r="I107" s="89" t="s">
        <v>2865</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3162</v>
      </c>
      <c r="BR107" s="89" t="s">
        <v>2859</v>
      </c>
    </row>
    <row r="108" spans="1:70">
      <c r="A108" s="89" t="s">
        <v>2139</v>
      </c>
      <c r="B108" s="89" t="s">
        <v>3163</v>
      </c>
      <c r="C108" s="89" t="s">
        <v>2864</v>
      </c>
      <c r="D108" s="89" t="s">
        <v>2859</v>
      </c>
      <c r="E108" s="89" t="s">
        <v>2859</v>
      </c>
      <c r="F108" s="89" t="s">
        <v>2859</v>
      </c>
      <c r="G108" s="89" t="s">
        <v>2860</v>
      </c>
      <c r="H108" s="89" t="s">
        <v>2859</v>
      </c>
      <c r="I108" s="89" t="s">
        <v>2865</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3164</v>
      </c>
      <c r="BR108" s="89" t="s">
        <v>2859</v>
      </c>
    </row>
    <row r="109" spans="1:70">
      <c r="A109" s="89" t="s">
        <v>2139</v>
      </c>
      <c r="B109" s="89" t="s">
        <v>3165</v>
      </c>
      <c r="C109" s="89" t="s">
        <v>2864</v>
      </c>
      <c r="D109" s="89" t="s">
        <v>2859</v>
      </c>
      <c r="E109" s="89" t="s">
        <v>2859</v>
      </c>
      <c r="F109" s="89" t="s">
        <v>2859</v>
      </c>
      <c r="G109" s="89" t="s">
        <v>2860</v>
      </c>
      <c r="H109" s="89" t="s">
        <v>2859</v>
      </c>
      <c r="I109" s="89" t="s">
        <v>2865</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3166</v>
      </c>
      <c r="BR109" s="89" t="s">
        <v>2859</v>
      </c>
    </row>
    <row r="110" spans="1:70">
      <c r="A110" s="89" t="s">
        <v>2139</v>
      </c>
      <c r="B110" s="89" t="s">
        <v>3167</v>
      </c>
      <c r="C110" s="89" t="s">
        <v>3003</v>
      </c>
      <c r="D110" s="89" t="s">
        <v>2859</v>
      </c>
      <c r="E110" s="89" t="s">
        <v>2859</v>
      </c>
      <c r="F110" s="89" t="s">
        <v>2859</v>
      </c>
      <c r="G110" s="89" t="s">
        <v>2860</v>
      </c>
      <c r="H110" s="89" t="s">
        <v>2859</v>
      </c>
      <c r="I110" s="89" t="s">
        <v>2865</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3168</v>
      </c>
      <c r="BR110" s="89" t="s">
        <v>2859</v>
      </c>
    </row>
    <row r="111" spans="1:70">
      <c r="A111" s="89" t="s">
        <v>2139</v>
      </c>
      <c r="B111" s="89" t="s">
        <v>3169</v>
      </c>
      <c r="C111" s="89" t="s">
        <v>3170</v>
      </c>
      <c r="D111" s="89" t="s">
        <v>2859</v>
      </c>
      <c r="E111" s="89" t="s">
        <v>2859</v>
      </c>
      <c r="F111" s="89" t="s">
        <v>2859</v>
      </c>
      <c r="G111" s="89" t="s">
        <v>2860</v>
      </c>
      <c r="H111" s="89" t="s">
        <v>2859</v>
      </c>
      <c r="I111" s="89" t="s">
        <v>2329</v>
      </c>
      <c r="J111" s="89" t="s">
        <v>2859</v>
      </c>
      <c r="K111" s="89" t="s">
        <v>2859</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3171</v>
      </c>
      <c r="BR111" s="89" t="s">
        <v>2859</v>
      </c>
    </row>
    <row r="112" spans="1:70">
      <c r="A112" s="89" t="s">
        <v>2139</v>
      </c>
      <c r="B112" s="89" t="s">
        <v>3172</v>
      </c>
      <c r="C112" s="89" t="s">
        <v>2974</v>
      </c>
      <c r="D112" s="89" t="s">
        <v>2859</v>
      </c>
      <c r="E112" s="89" t="s">
        <v>2859</v>
      </c>
      <c r="F112" s="89" t="s">
        <v>2859</v>
      </c>
      <c r="G112" s="89" t="s">
        <v>2860</v>
      </c>
      <c r="H112" s="89" t="s">
        <v>2859</v>
      </c>
      <c r="I112" s="89" t="s">
        <v>2865</v>
      </c>
      <c r="J112" s="89" t="s">
        <v>2859</v>
      </c>
      <c r="K112" s="89" t="s">
        <v>2859</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3173</v>
      </c>
      <c r="BR112" s="89" t="s">
        <v>2859</v>
      </c>
    </row>
    <row r="113" spans="1:70">
      <c r="A113" s="89" t="s">
        <v>2139</v>
      </c>
      <c r="B113" s="89" t="s">
        <v>3174</v>
      </c>
      <c r="C113" s="89" t="s">
        <v>2924</v>
      </c>
      <c r="D113" s="89" t="s">
        <v>2859</v>
      </c>
      <c r="E113" s="89" t="s">
        <v>2859</v>
      </c>
      <c r="F113" s="89" t="s">
        <v>2859</v>
      </c>
      <c r="G113" s="89" t="s">
        <v>2860</v>
      </c>
      <c r="H113" s="89" t="s">
        <v>2859</v>
      </c>
      <c r="I113" s="89" t="s">
        <v>120</v>
      </c>
      <c r="J113" s="89" t="s">
        <v>3175</v>
      </c>
      <c r="K113" s="89" t="s">
        <v>2860</v>
      </c>
      <c r="L113" s="89" t="s">
        <v>2490</v>
      </c>
      <c r="M113" s="89" t="s">
        <v>3175</v>
      </c>
      <c r="N113" s="89" t="s">
        <v>2860</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3176</v>
      </c>
      <c r="BR113" s="89" t="s">
        <v>2859</v>
      </c>
    </row>
    <row r="114" spans="1:70">
      <c r="A114" s="89" t="s">
        <v>2139</v>
      </c>
      <c r="B114" s="89" t="s">
        <v>3177</v>
      </c>
      <c r="C114" s="89" t="s">
        <v>2879</v>
      </c>
      <c r="D114" s="89" t="s">
        <v>2859</v>
      </c>
      <c r="E114" s="89" t="s">
        <v>2859</v>
      </c>
      <c r="F114" s="89" t="s">
        <v>2859</v>
      </c>
      <c r="G114" s="89" t="s">
        <v>2860</v>
      </c>
      <c r="H114" s="89" t="s">
        <v>2859</v>
      </c>
      <c r="I114" s="89" t="s">
        <v>2329</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3178</v>
      </c>
      <c r="BR114" s="89" t="s">
        <v>2859</v>
      </c>
    </row>
    <row r="115" spans="1:70">
      <c r="A115" s="89" t="s">
        <v>2139</v>
      </c>
      <c r="B115" s="89" t="s">
        <v>3179</v>
      </c>
      <c r="C115" s="89" t="s">
        <v>2989</v>
      </c>
      <c r="D115" s="89" t="s">
        <v>2859</v>
      </c>
      <c r="E115" s="89" t="s">
        <v>2859</v>
      </c>
      <c r="F115" s="89" t="s">
        <v>2859</v>
      </c>
      <c r="G115" s="89" t="s">
        <v>2860</v>
      </c>
      <c r="H115" s="89" t="s">
        <v>2859</v>
      </c>
      <c r="I115" s="89" t="s">
        <v>2865</v>
      </c>
      <c r="J115" s="89" t="s">
        <v>3180</v>
      </c>
      <c r="K115" s="89" t="s">
        <v>2860</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3181</v>
      </c>
      <c r="BR115" s="89" t="s">
        <v>2859</v>
      </c>
    </row>
    <row r="116" spans="1:70">
      <c r="A116" s="89" t="s">
        <v>2139</v>
      </c>
      <c r="B116" s="89" t="s">
        <v>3182</v>
      </c>
      <c r="C116" s="89" t="s">
        <v>2871</v>
      </c>
      <c r="D116" s="89" t="s">
        <v>2859</v>
      </c>
      <c r="E116" s="89" t="s">
        <v>2859</v>
      </c>
      <c r="F116" s="89" t="s">
        <v>2859</v>
      </c>
      <c r="G116" s="89" t="s">
        <v>2860</v>
      </c>
      <c r="H116" s="89" t="s">
        <v>2859</v>
      </c>
      <c r="I116" s="89" t="s">
        <v>2865</v>
      </c>
      <c r="J116" s="89" t="s">
        <v>3183</v>
      </c>
      <c r="K116" s="89" t="s">
        <v>2860</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3184</v>
      </c>
      <c r="BR116" s="89" t="s">
        <v>2859</v>
      </c>
    </row>
    <row r="117" spans="1:70">
      <c r="A117" s="89" t="s">
        <v>2139</v>
      </c>
      <c r="B117" s="89" t="s">
        <v>3185</v>
      </c>
      <c r="C117" s="89" t="s">
        <v>3003</v>
      </c>
      <c r="D117" s="89" t="s">
        <v>2859</v>
      </c>
      <c r="E117" s="89" t="s">
        <v>2859</v>
      </c>
      <c r="F117" s="89" t="s">
        <v>2859</v>
      </c>
      <c r="G117" s="89" t="s">
        <v>2860</v>
      </c>
      <c r="H117" s="89" t="s">
        <v>2859</v>
      </c>
      <c r="I117" s="89" t="s">
        <v>621</v>
      </c>
      <c r="J117" s="89" t="s">
        <v>3186</v>
      </c>
      <c r="K117" s="89" t="s">
        <v>2860</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3187</v>
      </c>
      <c r="BR117" s="89" t="s">
        <v>2859</v>
      </c>
    </row>
    <row r="118" spans="1:70">
      <c r="A118" s="89" t="s">
        <v>2139</v>
      </c>
      <c r="B118" s="89" t="s">
        <v>3188</v>
      </c>
      <c r="C118" s="89" t="s">
        <v>2858</v>
      </c>
      <c r="D118" s="89" t="s">
        <v>2859</v>
      </c>
      <c r="E118" s="89" t="s">
        <v>2859</v>
      </c>
      <c r="F118" s="89" t="s">
        <v>2859</v>
      </c>
      <c r="G118" s="89" t="s">
        <v>2860</v>
      </c>
      <c r="H118" s="89" t="s">
        <v>2859</v>
      </c>
      <c r="I118" s="89" t="s">
        <v>120</v>
      </c>
      <c r="J118" s="89" t="s">
        <v>3189</v>
      </c>
      <c r="K118" s="89" t="s">
        <v>2867</v>
      </c>
      <c r="L118" s="89" t="s">
        <v>2490</v>
      </c>
      <c r="M118" s="89" t="s">
        <v>3189</v>
      </c>
      <c r="N118" s="89" t="s">
        <v>2867</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3190</v>
      </c>
      <c r="BR118" s="89" t="s">
        <v>2869</v>
      </c>
    </row>
    <row r="119" spans="1:70">
      <c r="A119" s="89" t="s">
        <v>2139</v>
      </c>
      <c r="B119" s="89" t="s">
        <v>3191</v>
      </c>
      <c r="C119" s="89" t="s">
        <v>2879</v>
      </c>
      <c r="D119" s="89" t="s">
        <v>2859</v>
      </c>
      <c r="E119" s="89" t="s">
        <v>2859</v>
      </c>
      <c r="F119" s="89" t="s">
        <v>2859</v>
      </c>
      <c r="G119" s="89" t="s">
        <v>2860</v>
      </c>
      <c r="H119" s="89" t="s">
        <v>2859</v>
      </c>
      <c r="I119" s="89" t="s">
        <v>621</v>
      </c>
      <c r="J119" s="89" t="s">
        <v>3192</v>
      </c>
      <c r="K119" s="89" t="s">
        <v>2860</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3193</v>
      </c>
      <c r="BR119" s="89" t="s">
        <v>2859</v>
      </c>
    </row>
    <row r="120" spans="1:70">
      <c r="A120" s="89" t="s">
        <v>2139</v>
      </c>
      <c r="B120" s="89" t="s">
        <v>3194</v>
      </c>
      <c r="C120" s="89" t="s">
        <v>2971</v>
      </c>
      <c r="D120" s="89" t="s">
        <v>2859</v>
      </c>
      <c r="E120" s="89" t="s">
        <v>2859</v>
      </c>
      <c r="F120" s="89" t="s">
        <v>2859</v>
      </c>
      <c r="G120" s="89" t="s">
        <v>2860</v>
      </c>
      <c r="H120" s="89" t="s">
        <v>2859</v>
      </c>
      <c r="I120" s="89" t="s">
        <v>2979</v>
      </c>
      <c r="J120" s="89" t="s">
        <v>3195</v>
      </c>
      <c r="K120" s="89" t="s">
        <v>2860</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3196</v>
      </c>
      <c r="BR120" s="89" t="s">
        <v>2859</v>
      </c>
    </row>
    <row r="121" spans="1:70">
      <c r="A121" s="89" t="s">
        <v>2139</v>
      </c>
      <c r="B121" s="89" t="s">
        <v>3197</v>
      </c>
      <c r="C121" s="89" t="s">
        <v>2858</v>
      </c>
      <c r="D121" s="89" t="s">
        <v>2859</v>
      </c>
      <c r="E121" s="89" t="s">
        <v>2859</v>
      </c>
      <c r="F121" s="89" t="s">
        <v>2859</v>
      </c>
      <c r="G121" s="89" t="s">
        <v>2860</v>
      </c>
      <c r="H121" s="89" t="s">
        <v>2859</v>
      </c>
      <c r="I121" s="89" t="s">
        <v>120</v>
      </c>
      <c r="J121" s="89" t="s">
        <v>2859</v>
      </c>
      <c r="K121" s="89" t="s">
        <v>2859</v>
      </c>
      <c r="L121" s="89" t="s">
        <v>2490</v>
      </c>
      <c r="M121" s="89" t="s">
        <v>2859</v>
      </c>
      <c r="N121" s="89" t="s">
        <v>2859</v>
      </c>
      <c r="O121" s="89" t="s">
        <v>2859</v>
      </c>
      <c r="P121" s="89" t="s">
        <v>2859</v>
      </c>
      <c r="Q121" s="89" t="s">
        <v>2859</v>
      </c>
      <c r="R121" s="89" t="s">
        <v>2859</v>
      </c>
      <c r="S121" s="89" t="s">
        <v>2859</v>
      </c>
      <c r="T121" s="89" t="s">
        <v>2859</v>
      </c>
      <c r="U121" s="89" t="s">
        <v>2859</v>
      </c>
      <c r="V121" s="89" t="s">
        <v>2859</v>
      </c>
      <c r="W121" s="89" t="s">
        <v>2859</v>
      </c>
      <c r="X121" s="89" t="s">
        <v>2859</v>
      </c>
      <c r="Y121" s="89" t="s">
        <v>2859</v>
      </c>
      <c r="Z121" s="89" t="s">
        <v>2859</v>
      </c>
      <c r="AA121" s="89" t="s">
        <v>2859</v>
      </c>
      <c r="AB121" s="89" t="s">
        <v>2859</v>
      </c>
      <c r="AC121" s="89" t="s">
        <v>2859</v>
      </c>
      <c r="AD121" s="89" t="s">
        <v>2859</v>
      </c>
      <c r="AE121" s="89" t="s">
        <v>2859</v>
      </c>
      <c r="AF121" s="89" t="s">
        <v>2859</v>
      </c>
      <c r="AG121" s="89" t="s">
        <v>2859</v>
      </c>
      <c r="AH121" s="89" t="s">
        <v>2859</v>
      </c>
      <c r="AI121" s="89" t="s">
        <v>2859</v>
      </c>
      <c r="AJ121" s="89" t="s">
        <v>2859</v>
      </c>
      <c r="AK121" s="89" t="s">
        <v>2859</v>
      </c>
      <c r="AL121" s="89" t="s">
        <v>2859</v>
      </c>
      <c r="AM121" s="89" t="s">
        <v>2859</v>
      </c>
      <c r="AN121" s="89" t="s">
        <v>2859</v>
      </c>
      <c r="AO121" s="89" t="s">
        <v>2859</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3198</v>
      </c>
      <c r="BR121" s="89" t="s">
        <v>2859</v>
      </c>
    </row>
    <row r="122" spans="1:70">
      <c r="A122" s="89" t="s">
        <v>2139</v>
      </c>
      <c r="B122" s="89" t="s">
        <v>3199</v>
      </c>
      <c r="C122" s="89" t="s">
        <v>2989</v>
      </c>
      <c r="D122" s="89" t="s">
        <v>2859</v>
      </c>
      <c r="E122" s="89" t="s">
        <v>2859</v>
      </c>
      <c r="F122" s="89" t="s">
        <v>2859</v>
      </c>
      <c r="G122" s="89" t="s">
        <v>2860</v>
      </c>
      <c r="H122" s="89" t="s">
        <v>2859</v>
      </c>
      <c r="I122" s="89" t="s">
        <v>1396</v>
      </c>
      <c r="J122" s="89" t="s">
        <v>3200</v>
      </c>
      <c r="K122" s="89" t="s">
        <v>2860</v>
      </c>
      <c r="L122" s="89" t="s">
        <v>2859</v>
      </c>
      <c r="M122" s="89" t="s">
        <v>2859</v>
      </c>
      <c r="N122" s="89" t="s">
        <v>2859</v>
      </c>
      <c r="O122" s="89" t="s">
        <v>2859</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3201</v>
      </c>
      <c r="BR122" s="89" t="s">
        <v>2859</v>
      </c>
    </row>
    <row r="123" spans="1:70">
      <c r="A123" s="89" t="s">
        <v>2139</v>
      </c>
      <c r="B123" s="89" t="s">
        <v>3202</v>
      </c>
      <c r="C123" s="89" t="s">
        <v>2858</v>
      </c>
      <c r="D123" s="89" t="s">
        <v>2859</v>
      </c>
      <c r="E123" s="89" t="s">
        <v>2859</v>
      </c>
      <c r="F123" s="89" t="s">
        <v>2859</v>
      </c>
      <c r="G123" s="89" t="s">
        <v>2860</v>
      </c>
      <c r="H123" s="89" t="s">
        <v>2859</v>
      </c>
      <c r="I123" s="89" t="s">
        <v>120</v>
      </c>
      <c r="J123" s="89" t="s">
        <v>3203</v>
      </c>
      <c r="K123" s="89" t="s">
        <v>2860</v>
      </c>
      <c r="L123" s="89" t="s">
        <v>2490</v>
      </c>
      <c r="M123" s="89" t="s">
        <v>3203</v>
      </c>
      <c r="N123" s="89" t="s">
        <v>2860</v>
      </c>
      <c r="O123" s="89" t="s">
        <v>1396</v>
      </c>
      <c r="P123" s="89" t="s">
        <v>3203</v>
      </c>
      <c r="Q123" s="89" t="s">
        <v>2860</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3204</v>
      </c>
      <c r="BR123" s="89" t="s">
        <v>2859</v>
      </c>
    </row>
    <row r="124" spans="1:70">
      <c r="A124" s="89" t="s">
        <v>2139</v>
      </c>
      <c r="B124" s="89" t="s">
        <v>3205</v>
      </c>
      <c r="C124" s="89" t="s">
        <v>2871</v>
      </c>
      <c r="D124" s="89" t="s">
        <v>2859</v>
      </c>
      <c r="E124" s="89" t="s">
        <v>2859</v>
      </c>
      <c r="F124" s="89" t="s">
        <v>2859</v>
      </c>
      <c r="G124" s="89" t="s">
        <v>2860</v>
      </c>
      <c r="H124" s="89" t="s">
        <v>2859</v>
      </c>
      <c r="I124" s="89" t="s">
        <v>2329</v>
      </c>
      <c r="J124" s="89" t="s">
        <v>3206</v>
      </c>
      <c r="K124" s="89" t="s">
        <v>2860</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3207</v>
      </c>
      <c r="BR124" s="89" t="s">
        <v>2859</v>
      </c>
    </row>
    <row r="125" spans="1:70">
      <c r="A125" s="89" t="s">
        <v>2139</v>
      </c>
      <c r="B125" s="89" t="s">
        <v>3208</v>
      </c>
      <c r="C125" s="89" t="s">
        <v>3003</v>
      </c>
      <c r="D125" s="89" t="s">
        <v>2859</v>
      </c>
      <c r="E125" s="89" t="s">
        <v>2859</v>
      </c>
      <c r="F125" s="89" t="s">
        <v>2859</v>
      </c>
      <c r="G125" s="89" t="s">
        <v>2860</v>
      </c>
      <c r="H125" s="89" t="s">
        <v>2859</v>
      </c>
      <c r="I125" s="89" t="s">
        <v>2329</v>
      </c>
      <c r="J125" s="89" t="s">
        <v>3206</v>
      </c>
      <c r="K125" s="89" t="s">
        <v>2860</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3209</v>
      </c>
      <c r="BR125" s="89" t="s">
        <v>2859</v>
      </c>
    </row>
    <row r="126" spans="1:70">
      <c r="A126" s="89" t="s">
        <v>2139</v>
      </c>
      <c r="B126" s="89" t="s">
        <v>3210</v>
      </c>
      <c r="C126" s="89" t="s">
        <v>2971</v>
      </c>
      <c r="D126" s="89" t="s">
        <v>2859</v>
      </c>
      <c r="E126" s="89" t="s">
        <v>2859</v>
      </c>
      <c r="F126" s="89" t="s">
        <v>2859</v>
      </c>
      <c r="G126" s="89" t="s">
        <v>2860</v>
      </c>
      <c r="H126" s="89" t="s">
        <v>2859</v>
      </c>
      <c r="I126" s="89" t="s">
        <v>120</v>
      </c>
      <c r="J126" s="89" t="s">
        <v>3211</v>
      </c>
      <c r="K126" s="89" t="s">
        <v>2860</v>
      </c>
      <c r="L126" s="89" t="s">
        <v>2490</v>
      </c>
      <c r="M126" s="89" t="s">
        <v>3211</v>
      </c>
      <c r="N126" s="89" t="s">
        <v>2860</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3212</v>
      </c>
      <c r="BR126" s="89" t="s">
        <v>2859</v>
      </c>
    </row>
    <row r="127" spans="1:70">
      <c r="A127" s="89" t="s">
        <v>2139</v>
      </c>
      <c r="B127" s="89" t="s">
        <v>3213</v>
      </c>
      <c r="C127" s="89" t="s">
        <v>2858</v>
      </c>
      <c r="D127" s="89" t="s">
        <v>2859</v>
      </c>
      <c r="E127" s="89" t="s">
        <v>2859</v>
      </c>
      <c r="F127" s="89" t="s">
        <v>2859</v>
      </c>
      <c r="G127" s="89" t="s">
        <v>2860</v>
      </c>
      <c r="H127" s="89" t="s">
        <v>2859</v>
      </c>
      <c r="I127" s="89" t="s">
        <v>621</v>
      </c>
      <c r="J127" s="89" t="s">
        <v>3214</v>
      </c>
      <c r="K127" s="89" t="s">
        <v>2860</v>
      </c>
      <c r="L127" s="89" t="s">
        <v>3055</v>
      </c>
      <c r="M127" s="89" t="s">
        <v>3215</v>
      </c>
      <c r="N127" s="89" t="s">
        <v>2867</v>
      </c>
      <c r="O127" s="89" t="s">
        <v>3057</v>
      </c>
      <c r="P127" s="89" t="s">
        <v>3215</v>
      </c>
      <c r="Q127" s="89" t="s">
        <v>2867</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3216</v>
      </c>
      <c r="BR127" s="89" t="s">
        <v>2869</v>
      </c>
    </row>
    <row r="128" spans="1:70">
      <c r="A128" s="89" t="s">
        <v>2139</v>
      </c>
      <c r="B128" s="89" t="s">
        <v>3217</v>
      </c>
      <c r="C128" s="89" t="s">
        <v>2879</v>
      </c>
      <c r="D128" s="89" t="s">
        <v>2859</v>
      </c>
      <c r="E128" s="89" t="s">
        <v>2859</v>
      </c>
      <c r="F128" s="89" t="s">
        <v>2859</v>
      </c>
      <c r="G128" s="89" t="s">
        <v>2860</v>
      </c>
      <c r="H128" s="89" t="s">
        <v>2913</v>
      </c>
      <c r="I128" s="89" t="s">
        <v>2859</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3218</v>
      </c>
      <c r="BR128" s="89" t="s">
        <v>2869</v>
      </c>
    </row>
    <row r="129" spans="1:70">
      <c r="A129" s="89" t="s">
        <v>2139</v>
      </c>
      <c r="B129" s="89" t="s">
        <v>3219</v>
      </c>
      <c r="C129" s="89" t="s">
        <v>2864</v>
      </c>
      <c r="D129" s="89" t="s">
        <v>2859</v>
      </c>
      <c r="E129" s="89" t="s">
        <v>2859</v>
      </c>
      <c r="F129" s="89" t="s">
        <v>2859</v>
      </c>
      <c r="G129" s="89" t="s">
        <v>2860</v>
      </c>
      <c r="H129" s="89" t="s">
        <v>2859</v>
      </c>
      <c r="I129" s="89" t="s">
        <v>621</v>
      </c>
      <c r="J129" s="89" t="s">
        <v>3220</v>
      </c>
      <c r="K129" s="89" t="s">
        <v>2860</v>
      </c>
      <c r="L129" s="89" t="s">
        <v>2891</v>
      </c>
      <c r="M129" s="89" t="s">
        <v>3221</v>
      </c>
      <c r="N129" s="89" t="s">
        <v>2860</v>
      </c>
      <c r="O129" s="89" t="s">
        <v>2893</v>
      </c>
      <c r="P129" s="89" t="s">
        <v>3221</v>
      </c>
      <c r="Q129" s="89" t="s">
        <v>2860</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3222</v>
      </c>
      <c r="BR129" s="89" t="s">
        <v>2859</v>
      </c>
    </row>
    <row r="130" spans="1:70">
      <c r="A130" s="89" t="s">
        <v>2139</v>
      </c>
      <c r="B130" s="89" t="s">
        <v>3223</v>
      </c>
      <c r="C130" s="89" t="s">
        <v>2858</v>
      </c>
      <c r="D130" s="89" t="s">
        <v>2859</v>
      </c>
      <c r="E130" s="89" t="s">
        <v>2859</v>
      </c>
      <c r="F130" s="89" t="s">
        <v>2859</v>
      </c>
      <c r="G130" s="89" t="s">
        <v>2860</v>
      </c>
      <c r="H130" s="89" t="s">
        <v>2859</v>
      </c>
      <c r="I130" s="89" t="s">
        <v>621</v>
      </c>
      <c r="J130" s="89" t="s">
        <v>3224</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3225</v>
      </c>
      <c r="BR130" s="89" t="s">
        <v>2859</v>
      </c>
    </row>
    <row r="131" spans="1:70">
      <c r="A131" s="89" t="s">
        <v>2139</v>
      </c>
      <c r="B131" s="89" t="s">
        <v>3226</v>
      </c>
      <c r="C131" s="89" t="s">
        <v>2879</v>
      </c>
      <c r="D131" s="89" t="s">
        <v>2859</v>
      </c>
      <c r="E131" s="89" t="s">
        <v>2859</v>
      </c>
      <c r="F131" s="89" t="s">
        <v>2859</v>
      </c>
      <c r="G131" s="89" t="s">
        <v>2860</v>
      </c>
      <c r="H131" s="89" t="s">
        <v>2859</v>
      </c>
      <c r="I131" s="89" t="s">
        <v>2329</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3227</v>
      </c>
      <c r="BR131" s="89" t="s">
        <v>2859</v>
      </c>
    </row>
    <row r="132" spans="1:70">
      <c r="A132" s="89" t="s">
        <v>2139</v>
      </c>
      <c r="B132" s="89" t="s">
        <v>3228</v>
      </c>
      <c r="C132" s="89" t="s">
        <v>3170</v>
      </c>
      <c r="D132" s="89" t="s">
        <v>2859</v>
      </c>
      <c r="E132" s="89" t="s">
        <v>2859</v>
      </c>
      <c r="F132" s="89" t="s">
        <v>2859</v>
      </c>
      <c r="G132" s="89" t="s">
        <v>2860</v>
      </c>
      <c r="H132" s="89" t="s">
        <v>2859</v>
      </c>
      <c r="I132" s="89" t="s">
        <v>2364</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3229</v>
      </c>
      <c r="BR132" s="89" t="s">
        <v>2859</v>
      </c>
    </row>
    <row r="133" spans="1:70">
      <c r="A133" s="89" t="s">
        <v>2139</v>
      </c>
      <c r="B133" s="89" t="s">
        <v>3230</v>
      </c>
      <c r="C133" s="89" t="s">
        <v>2871</v>
      </c>
      <c r="D133" s="89" t="s">
        <v>2859</v>
      </c>
      <c r="E133" s="89" t="s">
        <v>2859</v>
      </c>
      <c r="F133" s="89" t="s">
        <v>2859</v>
      </c>
      <c r="G133" s="89" t="s">
        <v>2860</v>
      </c>
      <c r="H133" s="89" t="s">
        <v>2859</v>
      </c>
      <c r="I133" s="89" t="s">
        <v>2364</v>
      </c>
      <c r="J133" s="89" t="s">
        <v>3231</v>
      </c>
      <c r="K133" s="89" t="s">
        <v>2860</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89" t="s">
        <v>3232</v>
      </c>
      <c r="BR133" s="89" t="s">
        <v>2859</v>
      </c>
    </row>
    <row r="134" spans="1:70">
      <c r="A134" s="89" t="s">
        <v>2139</v>
      </c>
      <c r="B134" s="89" t="s">
        <v>3233</v>
      </c>
      <c r="C134" s="89" t="s">
        <v>3170</v>
      </c>
      <c r="D134" s="89" t="s">
        <v>2859</v>
      </c>
      <c r="E134" s="89" t="s">
        <v>2859</v>
      </c>
      <c r="F134" s="89" t="s">
        <v>2859</v>
      </c>
      <c r="G134" s="89" t="s">
        <v>2860</v>
      </c>
      <c r="H134" s="89" t="s">
        <v>2859</v>
      </c>
      <c r="I134" s="89" t="s">
        <v>2317</v>
      </c>
      <c r="J134" s="89" t="s">
        <v>3234</v>
      </c>
      <c r="K134" s="89" t="s">
        <v>2860</v>
      </c>
      <c r="L134" s="89" t="s">
        <v>2859</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3235</v>
      </c>
      <c r="BR134" s="89" t="s">
        <v>2859</v>
      </c>
    </row>
    <row r="135" spans="1:70">
      <c r="A135" s="89" t="s">
        <v>2143</v>
      </c>
      <c r="B135" s="89" t="s">
        <v>2909</v>
      </c>
      <c r="C135" s="89" t="s">
        <v>2909</v>
      </c>
      <c r="D135" s="89" t="s">
        <v>2859</v>
      </c>
      <c r="E135" s="89" t="s">
        <v>2859</v>
      </c>
      <c r="F135" s="89" t="s">
        <v>2859</v>
      </c>
      <c r="G135" s="89" t="s">
        <v>2860</v>
      </c>
      <c r="H135" s="89" t="s">
        <v>2859</v>
      </c>
      <c r="I135" s="89" t="s">
        <v>2329</v>
      </c>
      <c r="J135" s="89" t="s">
        <v>3047</v>
      </c>
      <c r="K135" s="89" t="s">
        <v>2860</v>
      </c>
      <c r="L135" s="89" t="s">
        <v>2859</v>
      </c>
      <c r="M135" s="89" t="s">
        <v>2859</v>
      </c>
      <c r="N135" s="89" t="s">
        <v>2859</v>
      </c>
      <c r="O135" s="89" t="s">
        <v>2859</v>
      </c>
      <c r="P135" s="89" t="s">
        <v>2859</v>
      </c>
      <c r="Q135" s="89" t="s">
        <v>2859</v>
      </c>
      <c r="R135" s="89" t="s">
        <v>2859</v>
      </c>
      <c r="S135" s="89" t="s">
        <v>2859</v>
      </c>
      <c r="T135" s="89" t="s">
        <v>2859</v>
      </c>
      <c r="U135" s="89" t="s">
        <v>2859</v>
      </c>
      <c r="V135" s="89" t="s">
        <v>2859</v>
      </c>
      <c r="W135" s="89" t="s">
        <v>2859</v>
      </c>
      <c r="X135" s="89" t="s">
        <v>2859</v>
      </c>
      <c r="Y135" s="89" t="s">
        <v>2859</v>
      </c>
      <c r="Z135" s="89" t="s">
        <v>2859</v>
      </c>
      <c r="AA135" s="89" t="s">
        <v>2859</v>
      </c>
      <c r="AB135" s="89" t="s">
        <v>2859</v>
      </c>
      <c r="AC135" s="89" t="s">
        <v>2859</v>
      </c>
      <c r="AD135" s="89" t="s">
        <v>2859</v>
      </c>
      <c r="AE135" s="89" t="s">
        <v>2859</v>
      </c>
      <c r="AF135" s="89" t="s">
        <v>2859</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89" t="s">
        <v>3236</v>
      </c>
      <c r="BR135" s="89" t="s">
        <v>2869</v>
      </c>
    </row>
    <row r="136" spans="1:70">
      <c r="A136" s="89" t="s">
        <v>2143</v>
      </c>
      <c r="B136" s="89" t="s">
        <v>3237</v>
      </c>
      <c r="C136" s="89" t="s">
        <v>3170</v>
      </c>
      <c r="D136" s="89" t="s">
        <v>2859</v>
      </c>
      <c r="E136" s="89" t="s">
        <v>2859</v>
      </c>
      <c r="F136" s="89" t="s">
        <v>2859</v>
      </c>
      <c r="G136" s="89" t="s">
        <v>2860</v>
      </c>
      <c r="H136" s="89" t="s">
        <v>2859</v>
      </c>
      <c r="I136" s="89" t="s">
        <v>3055</v>
      </c>
      <c r="J136" s="89" t="s">
        <v>3238</v>
      </c>
      <c r="K136" s="89" t="s">
        <v>2860</v>
      </c>
      <c r="L136" s="89" t="s">
        <v>2859</v>
      </c>
      <c r="M136" s="89" t="s">
        <v>2859</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3239</v>
      </c>
      <c r="BR136" s="89" t="s">
        <v>2859</v>
      </c>
    </row>
    <row r="137" spans="1:70">
      <c r="A137" s="89" t="s">
        <v>2143</v>
      </c>
      <c r="B137" s="89" t="s">
        <v>3240</v>
      </c>
      <c r="C137" s="89" t="s">
        <v>2989</v>
      </c>
      <c r="D137" s="89" t="s">
        <v>2859</v>
      </c>
      <c r="E137" s="89" t="s">
        <v>2859</v>
      </c>
      <c r="F137" s="89" t="s">
        <v>2859</v>
      </c>
      <c r="G137" s="89" t="s">
        <v>2860</v>
      </c>
      <c r="H137" s="89" t="s">
        <v>2859</v>
      </c>
      <c r="I137" s="89" t="s">
        <v>120</v>
      </c>
      <c r="J137" s="89" t="s">
        <v>3241</v>
      </c>
      <c r="K137" s="89" t="s">
        <v>2860</v>
      </c>
      <c r="L137" s="89" t="s">
        <v>2490</v>
      </c>
      <c r="M137" s="89" t="s">
        <v>3241</v>
      </c>
      <c r="N137" s="89" t="s">
        <v>2860</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3242</v>
      </c>
      <c r="BR137" s="89" t="s">
        <v>2859</v>
      </c>
    </row>
    <row r="138" spans="1:70">
      <c r="A138" s="89" t="s">
        <v>2143</v>
      </c>
      <c r="B138" s="89" t="s">
        <v>3243</v>
      </c>
      <c r="C138" s="89" t="s">
        <v>2871</v>
      </c>
      <c r="D138" s="89" t="s">
        <v>2859</v>
      </c>
      <c r="E138" s="89" t="s">
        <v>2859</v>
      </c>
      <c r="F138" s="89" t="s">
        <v>2859</v>
      </c>
      <c r="G138" s="89" t="s">
        <v>2860</v>
      </c>
      <c r="H138" s="89" t="s">
        <v>2859</v>
      </c>
      <c r="I138" s="89" t="s">
        <v>120</v>
      </c>
      <c r="J138" s="89" t="s">
        <v>3244</v>
      </c>
      <c r="K138" s="89" t="s">
        <v>2860</v>
      </c>
      <c r="L138" s="89" t="s">
        <v>2490</v>
      </c>
      <c r="M138" s="89" t="s">
        <v>3244</v>
      </c>
      <c r="N138" s="89" t="s">
        <v>2860</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3245</v>
      </c>
      <c r="BR138" s="89" t="s">
        <v>2859</v>
      </c>
    </row>
    <row r="139" spans="1:70">
      <c r="A139" s="89" t="s">
        <v>2143</v>
      </c>
      <c r="B139" s="89" t="s">
        <v>3246</v>
      </c>
      <c r="C139" s="89" t="s">
        <v>2864</v>
      </c>
      <c r="D139" s="89" t="s">
        <v>2859</v>
      </c>
      <c r="E139" s="89" t="s">
        <v>2859</v>
      </c>
      <c r="F139" s="89" t="s">
        <v>2859</v>
      </c>
      <c r="G139" s="89" t="s">
        <v>2860</v>
      </c>
      <c r="H139" s="89" t="s">
        <v>2859</v>
      </c>
      <c r="I139" s="89" t="s">
        <v>2329</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3247</v>
      </c>
      <c r="BR139" s="89" t="s">
        <v>2859</v>
      </c>
    </row>
    <row r="140" spans="1:70">
      <c r="A140" s="89" t="s">
        <v>2143</v>
      </c>
      <c r="B140" s="89" t="s">
        <v>3248</v>
      </c>
      <c r="C140" s="89" t="s">
        <v>2864</v>
      </c>
      <c r="D140" s="89" t="s">
        <v>2859</v>
      </c>
      <c r="E140" s="89" t="s">
        <v>2859</v>
      </c>
      <c r="F140" s="89" t="s">
        <v>2859</v>
      </c>
      <c r="G140" s="89" t="s">
        <v>2860</v>
      </c>
      <c r="H140" s="89" t="s">
        <v>2859</v>
      </c>
      <c r="I140" s="89" t="s">
        <v>120</v>
      </c>
      <c r="J140" s="89" t="s">
        <v>3249</v>
      </c>
      <c r="K140" s="89" t="s">
        <v>2860</v>
      </c>
      <c r="L140" s="89" t="s">
        <v>2490</v>
      </c>
      <c r="M140" s="89" t="s">
        <v>3249</v>
      </c>
      <c r="N140" s="89" t="s">
        <v>2860</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3250</v>
      </c>
      <c r="BR140" s="89" t="s">
        <v>2859</v>
      </c>
    </row>
    <row r="141" spans="1:70">
      <c r="A141" s="89" t="s">
        <v>2143</v>
      </c>
      <c r="B141" s="89" t="s">
        <v>3251</v>
      </c>
      <c r="C141" s="89" t="s">
        <v>3003</v>
      </c>
      <c r="D141" s="89" t="s">
        <v>2859</v>
      </c>
      <c r="E141" s="89" t="s">
        <v>2859</v>
      </c>
      <c r="F141" s="89" t="s">
        <v>2859</v>
      </c>
      <c r="G141" s="89" t="s">
        <v>2860</v>
      </c>
      <c r="H141" s="89" t="s">
        <v>2859</v>
      </c>
      <c r="I141" s="89" t="s">
        <v>2979</v>
      </c>
      <c r="J141" s="89" t="s">
        <v>3252</v>
      </c>
      <c r="K141" s="89" t="s">
        <v>2860</v>
      </c>
      <c r="L141" s="89" t="s">
        <v>2859</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3253</v>
      </c>
      <c r="BR141" s="89" t="s">
        <v>2859</v>
      </c>
    </row>
    <row r="142" spans="1:70">
      <c r="A142" s="89" t="s">
        <v>2143</v>
      </c>
      <c r="B142" s="89" t="s">
        <v>3254</v>
      </c>
      <c r="C142" s="89" t="s">
        <v>2924</v>
      </c>
      <c r="D142" s="89" t="s">
        <v>2859</v>
      </c>
      <c r="E142" s="89" t="s">
        <v>2859</v>
      </c>
      <c r="F142" s="89" t="s">
        <v>2859</v>
      </c>
      <c r="G142" s="89" t="s">
        <v>2860</v>
      </c>
      <c r="H142" s="89" t="s">
        <v>2859</v>
      </c>
      <c r="I142" s="89" t="s">
        <v>2891</v>
      </c>
      <c r="J142" s="89" t="s">
        <v>3255</v>
      </c>
      <c r="K142" s="89" t="s">
        <v>2860</v>
      </c>
      <c r="L142" s="89" t="s">
        <v>2859</v>
      </c>
      <c r="M142" s="89" t="s">
        <v>2859</v>
      </c>
      <c r="N142" s="89" t="s">
        <v>2859</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3256</v>
      </c>
      <c r="BR142" s="89" t="s">
        <v>2859</v>
      </c>
    </row>
    <row r="143" spans="1:70">
      <c r="A143" s="89" t="s">
        <v>2143</v>
      </c>
      <c r="B143" s="89" t="s">
        <v>3257</v>
      </c>
      <c r="C143" s="89" t="s">
        <v>3003</v>
      </c>
      <c r="D143" s="89" t="s">
        <v>2859</v>
      </c>
      <c r="E143" s="89" t="s">
        <v>2859</v>
      </c>
      <c r="F143" s="89" t="s">
        <v>2859</v>
      </c>
      <c r="G143" s="89" t="s">
        <v>2860</v>
      </c>
      <c r="H143" s="89" t="s">
        <v>2859</v>
      </c>
      <c r="I143" s="89" t="s">
        <v>120</v>
      </c>
      <c r="J143" s="89" t="s">
        <v>3258</v>
      </c>
      <c r="K143" s="89" t="s">
        <v>2860</v>
      </c>
      <c r="L143" s="89" t="s">
        <v>2490</v>
      </c>
      <c r="M143" s="89" t="s">
        <v>3258</v>
      </c>
      <c r="N143" s="89" t="s">
        <v>2860</v>
      </c>
      <c r="O143" s="89" t="s">
        <v>3055</v>
      </c>
      <c r="P143" s="89" t="s">
        <v>3259</v>
      </c>
      <c r="Q143" s="89" t="s">
        <v>2867</v>
      </c>
      <c r="R143" s="89" t="s">
        <v>3057</v>
      </c>
      <c r="S143" s="89" t="s">
        <v>3260</v>
      </c>
      <c r="T143" s="89" t="s">
        <v>2867</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3261</v>
      </c>
      <c r="BR143" s="89" t="s">
        <v>2869</v>
      </c>
    </row>
    <row r="144" spans="1:70">
      <c r="A144" s="89" t="s">
        <v>2143</v>
      </c>
      <c r="B144" s="89" t="s">
        <v>3262</v>
      </c>
      <c r="C144" s="89" t="s">
        <v>2864</v>
      </c>
      <c r="D144" s="89" t="s">
        <v>2859</v>
      </c>
      <c r="E144" s="89" t="s">
        <v>2859</v>
      </c>
      <c r="F144" s="89" t="s">
        <v>2859</v>
      </c>
      <c r="G144" s="89" t="s">
        <v>2860</v>
      </c>
      <c r="H144" s="89" t="s">
        <v>2859</v>
      </c>
      <c r="I144" s="89" t="s">
        <v>621</v>
      </c>
      <c r="J144" s="89" t="s">
        <v>3263</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3264</v>
      </c>
      <c r="BR144" s="89" t="s">
        <v>2859</v>
      </c>
    </row>
    <row r="145" spans="1:70">
      <c r="A145" s="89" t="s">
        <v>2143</v>
      </c>
      <c r="B145" s="89" t="s">
        <v>3265</v>
      </c>
      <c r="C145" s="89" t="s">
        <v>2858</v>
      </c>
      <c r="D145" s="89" t="s">
        <v>2859</v>
      </c>
      <c r="E145" s="89" t="s">
        <v>2859</v>
      </c>
      <c r="F145" s="89" t="s">
        <v>2859</v>
      </c>
      <c r="G145" s="89" t="s">
        <v>2860</v>
      </c>
      <c r="H145" s="89" t="s">
        <v>2859</v>
      </c>
      <c r="I145" s="89" t="s">
        <v>120</v>
      </c>
      <c r="J145" s="89" t="s">
        <v>3266</v>
      </c>
      <c r="K145" s="89" t="s">
        <v>2867</v>
      </c>
      <c r="L145" s="89" t="s">
        <v>2490</v>
      </c>
      <c r="M145" s="89" t="s">
        <v>3266</v>
      </c>
      <c r="N145" s="89" t="s">
        <v>2867</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3267</v>
      </c>
      <c r="BR145" s="89" t="s">
        <v>2869</v>
      </c>
    </row>
    <row r="146" spans="1:70">
      <c r="A146" s="89" t="s">
        <v>2143</v>
      </c>
      <c r="B146" s="89" t="s">
        <v>3268</v>
      </c>
      <c r="C146" s="89" t="s">
        <v>2858</v>
      </c>
      <c r="D146" s="89" t="s">
        <v>2859</v>
      </c>
      <c r="E146" s="89" t="s">
        <v>2859</v>
      </c>
      <c r="F146" s="89" t="s">
        <v>2859</v>
      </c>
      <c r="G146" s="89" t="s">
        <v>2860</v>
      </c>
      <c r="H146" s="89" t="s">
        <v>2859</v>
      </c>
      <c r="I146" s="89" t="s">
        <v>1463</v>
      </c>
      <c r="J146" s="89" t="s">
        <v>3269</v>
      </c>
      <c r="K146" s="89" t="s">
        <v>2860</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3270</v>
      </c>
      <c r="BR146" s="89" t="s">
        <v>2859</v>
      </c>
    </row>
    <row r="147" spans="1:70">
      <c r="A147" s="89" t="s">
        <v>2143</v>
      </c>
      <c r="B147" s="89" t="s">
        <v>3271</v>
      </c>
      <c r="C147" s="89" t="s">
        <v>2884</v>
      </c>
      <c r="D147" s="89" t="s">
        <v>2859</v>
      </c>
      <c r="E147" s="89" t="s">
        <v>2859</v>
      </c>
      <c r="F147" s="89" t="s">
        <v>2859</v>
      </c>
      <c r="G147" s="89" t="s">
        <v>2860</v>
      </c>
      <c r="H147" s="89" t="s">
        <v>2859</v>
      </c>
      <c r="I147" s="89" t="s">
        <v>2979</v>
      </c>
      <c r="J147" s="89" t="s">
        <v>3272</v>
      </c>
      <c r="K147" s="89" t="s">
        <v>2860</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3273</v>
      </c>
      <c r="BR147" s="89" t="s">
        <v>2859</v>
      </c>
    </row>
    <row r="148" spans="1:70">
      <c r="A148" s="89" t="s">
        <v>2143</v>
      </c>
      <c r="B148" s="89" t="s">
        <v>3274</v>
      </c>
      <c r="C148" s="89" t="s">
        <v>3003</v>
      </c>
      <c r="D148" s="89" t="s">
        <v>2859</v>
      </c>
      <c r="E148" s="89" t="s">
        <v>2859</v>
      </c>
      <c r="F148" s="89" t="s">
        <v>2859</v>
      </c>
      <c r="G148" s="89" t="s">
        <v>2860</v>
      </c>
      <c r="H148" s="89" t="s">
        <v>2859</v>
      </c>
      <c r="I148" s="89" t="s">
        <v>120</v>
      </c>
      <c r="J148" s="89" t="s">
        <v>3275</v>
      </c>
      <c r="K148" s="89" t="s">
        <v>2867</v>
      </c>
      <c r="L148" s="89" t="s">
        <v>2490</v>
      </c>
      <c r="M148" s="89" t="s">
        <v>3275</v>
      </c>
      <c r="N148" s="89" t="s">
        <v>2867</v>
      </c>
      <c r="O148" s="89" t="s">
        <v>2859</v>
      </c>
      <c r="P148" s="89" t="s">
        <v>2859</v>
      </c>
      <c r="Q148" s="89" t="s">
        <v>2859</v>
      </c>
      <c r="R148" s="89" t="s">
        <v>2859</v>
      </c>
      <c r="S148" s="89" t="s">
        <v>2859</v>
      </c>
      <c r="T148" s="89" t="s">
        <v>2859</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3276</v>
      </c>
      <c r="BR148" s="89" t="s">
        <v>2869</v>
      </c>
    </row>
    <row r="149" spans="1:70">
      <c r="A149" s="89" t="s">
        <v>2143</v>
      </c>
      <c r="B149" s="89" t="s">
        <v>3277</v>
      </c>
      <c r="C149" s="89" t="s">
        <v>2884</v>
      </c>
      <c r="D149" s="89" t="s">
        <v>2859</v>
      </c>
      <c r="E149" s="89" t="s">
        <v>2859</v>
      </c>
      <c r="F149" s="89" t="s">
        <v>2859</v>
      </c>
      <c r="G149" s="89" t="s">
        <v>2860</v>
      </c>
      <c r="H149" s="89" t="s">
        <v>2859</v>
      </c>
      <c r="I149" s="89" t="s">
        <v>2979</v>
      </c>
      <c r="J149" s="89" t="s">
        <v>3120</v>
      </c>
      <c r="K149" s="89" t="s">
        <v>2860</v>
      </c>
      <c r="L149" s="89" t="s">
        <v>2859</v>
      </c>
      <c r="M149" s="89" t="s">
        <v>2859</v>
      </c>
      <c r="N149" s="89" t="s">
        <v>2859</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3278</v>
      </c>
      <c r="BR149" s="89" t="s">
        <v>2859</v>
      </c>
    </row>
    <row r="150" spans="1:70">
      <c r="A150" s="89" t="s">
        <v>2143</v>
      </c>
      <c r="B150" s="89" t="s">
        <v>3279</v>
      </c>
      <c r="C150" s="89" t="s">
        <v>2858</v>
      </c>
      <c r="D150" s="89" t="s">
        <v>2859</v>
      </c>
      <c r="E150" s="89" t="s">
        <v>2859</v>
      </c>
      <c r="F150" s="89" t="s">
        <v>2859</v>
      </c>
      <c r="G150" s="89" t="s">
        <v>2860</v>
      </c>
      <c r="H150" s="89" t="s">
        <v>2859</v>
      </c>
      <c r="I150" s="89" t="s">
        <v>120</v>
      </c>
      <c r="J150" s="89" t="s">
        <v>3280</v>
      </c>
      <c r="K150" s="89" t="s">
        <v>2860</v>
      </c>
      <c r="L150" s="89" t="s">
        <v>2490</v>
      </c>
      <c r="M150" s="89" t="s">
        <v>3280</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3281</v>
      </c>
      <c r="BR150" s="89" t="s">
        <v>2859</v>
      </c>
    </row>
    <row r="151" spans="1:70">
      <c r="A151" s="89" t="s">
        <v>2143</v>
      </c>
      <c r="B151" s="89" t="s">
        <v>3282</v>
      </c>
      <c r="C151" s="89" t="s">
        <v>2974</v>
      </c>
      <c r="D151" s="89" t="s">
        <v>2859</v>
      </c>
      <c r="E151" s="89" t="s">
        <v>2859</v>
      </c>
      <c r="F151" s="89" t="s">
        <v>2859</v>
      </c>
      <c r="G151" s="89" t="s">
        <v>2860</v>
      </c>
      <c r="H151" s="89" t="s">
        <v>2859</v>
      </c>
      <c r="I151" s="89" t="s">
        <v>120</v>
      </c>
      <c r="J151" s="89" t="s">
        <v>3283</v>
      </c>
      <c r="K151" s="89" t="s">
        <v>2860</v>
      </c>
      <c r="L151" s="89" t="s">
        <v>2490</v>
      </c>
      <c r="M151" s="89" t="s">
        <v>3283</v>
      </c>
      <c r="N151" s="89" t="s">
        <v>2860</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3284</v>
      </c>
      <c r="BR151" s="89" t="s">
        <v>2859</v>
      </c>
    </row>
    <row r="152" spans="1:70">
      <c r="A152" s="89" t="s">
        <v>2143</v>
      </c>
      <c r="B152" s="89" t="s">
        <v>3285</v>
      </c>
      <c r="C152" s="89" t="s">
        <v>2974</v>
      </c>
      <c r="D152" s="89" t="s">
        <v>2859</v>
      </c>
      <c r="E152" s="89" t="s">
        <v>2859</v>
      </c>
      <c r="F152" s="89" t="s">
        <v>2859</v>
      </c>
      <c r="G152" s="89" t="s">
        <v>2860</v>
      </c>
      <c r="H152" s="89" t="s">
        <v>2859</v>
      </c>
      <c r="I152" s="89" t="s">
        <v>2329</v>
      </c>
      <c r="J152" s="89" t="s">
        <v>3286</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3287</v>
      </c>
      <c r="BR152" s="89" t="s">
        <v>2859</v>
      </c>
    </row>
    <row r="153" spans="1:70">
      <c r="A153" s="89" t="s">
        <v>2143</v>
      </c>
      <c r="B153" s="89" t="s">
        <v>3288</v>
      </c>
      <c r="C153" s="89" t="s">
        <v>2974</v>
      </c>
      <c r="D153" s="89" t="s">
        <v>2859</v>
      </c>
      <c r="E153" s="89" t="s">
        <v>2859</v>
      </c>
      <c r="F153" s="89" t="s">
        <v>2859</v>
      </c>
      <c r="G153" s="89" t="s">
        <v>2860</v>
      </c>
      <c r="H153" s="89" t="s">
        <v>2859</v>
      </c>
      <c r="I153" s="89" t="s">
        <v>120</v>
      </c>
      <c r="J153" s="89" t="s">
        <v>3289</v>
      </c>
      <c r="K153" s="89" t="s">
        <v>2860</v>
      </c>
      <c r="L153" s="89" t="s">
        <v>2490</v>
      </c>
      <c r="M153" s="89" t="s">
        <v>3289</v>
      </c>
      <c r="N153" s="89" t="s">
        <v>2860</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3290</v>
      </c>
      <c r="BR153" s="89" t="s">
        <v>2859</v>
      </c>
    </row>
    <row r="154" spans="1:70">
      <c r="A154" s="89" t="s">
        <v>2143</v>
      </c>
      <c r="B154" s="89" t="s">
        <v>3291</v>
      </c>
      <c r="C154" s="89" t="s">
        <v>2971</v>
      </c>
      <c r="D154" s="89" t="s">
        <v>2859</v>
      </c>
      <c r="E154" s="89" t="s">
        <v>2859</v>
      </c>
      <c r="F154" s="89" t="s">
        <v>2859</v>
      </c>
      <c r="G154" s="89" t="s">
        <v>2860</v>
      </c>
      <c r="H154" s="89" t="s">
        <v>2859</v>
      </c>
      <c r="I154" s="89" t="s">
        <v>120</v>
      </c>
      <c r="J154" s="89" t="s">
        <v>3292</v>
      </c>
      <c r="K154" s="89" t="s">
        <v>2860</v>
      </c>
      <c r="L154" s="89" t="s">
        <v>2490</v>
      </c>
      <c r="M154" s="89" t="s">
        <v>3292</v>
      </c>
      <c r="N154" s="89" t="s">
        <v>2860</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3293</v>
      </c>
      <c r="BR154" s="89" t="s">
        <v>2859</v>
      </c>
    </row>
    <row r="155" spans="1:70">
      <c r="A155" s="89" t="s">
        <v>2143</v>
      </c>
      <c r="B155" s="89" t="s">
        <v>3294</v>
      </c>
      <c r="C155" s="89" t="s">
        <v>3003</v>
      </c>
      <c r="D155" s="89" t="s">
        <v>2859</v>
      </c>
      <c r="E155" s="89" t="s">
        <v>2859</v>
      </c>
      <c r="F155" s="89" t="s">
        <v>2859</v>
      </c>
      <c r="G155" s="89" t="s">
        <v>2860</v>
      </c>
      <c r="H155" s="89" t="s">
        <v>2859</v>
      </c>
      <c r="I155" s="89" t="s">
        <v>2891</v>
      </c>
      <c r="J155" s="89" t="s">
        <v>3295</v>
      </c>
      <c r="K155" s="89" t="s">
        <v>2867</v>
      </c>
      <c r="L155" s="89" t="s">
        <v>2490</v>
      </c>
      <c r="M155" s="89" t="s">
        <v>3296</v>
      </c>
      <c r="N155" s="89" t="s">
        <v>2867</v>
      </c>
      <c r="O155" s="89" t="s">
        <v>120</v>
      </c>
      <c r="P155" s="89" t="s">
        <v>3296</v>
      </c>
      <c r="Q155" s="89" t="s">
        <v>2867</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3297</v>
      </c>
      <c r="BR155" s="89" t="s">
        <v>2869</v>
      </c>
    </row>
    <row r="156" spans="1:70">
      <c r="A156" s="89" t="s">
        <v>2143</v>
      </c>
      <c r="B156" s="89" t="s">
        <v>3298</v>
      </c>
      <c r="C156" s="89" t="s">
        <v>2864</v>
      </c>
      <c r="D156" s="89" t="s">
        <v>2859</v>
      </c>
      <c r="E156" s="89" t="s">
        <v>2859</v>
      </c>
      <c r="F156" s="89" t="s">
        <v>2859</v>
      </c>
      <c r="G156" s="89" t="s">
        <v>2860</v>
      </c>
      <c r="H156" s="89" t="s">
        <v>2859</v>
      </c>
      <c r="I156" s="89" t="s">
        <v>120</v>
      </c>
      <c r="J156" s="89" t="s">
        <v>3299</v>
      </c>
      <c r="K156" s="89" t="s">
        <v>2860</v>
      </c>
      <c r="L156" s="89" t="s">
        <v>2490</v>
      </c>
      <c r="M156" s="89" t="s">
        <v>3299</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3300</v>
      </c>
      <c r="BR156" s="89" t="s">
        <v>2859</v>
      </c>
    </row>
    <row r="157" spans="1:70">
      <c r="A157" s="89" t="s">
        <v>2143</v>
      </c>
      <c r="B157" s="89" t="s">
        <v>3301</v>
      </c>
      <c r="C157" s="89" t="s">
        <v>2971</v>
      </c>
      <c r="D157" s="89" t="s">
        <v>2859</v>
      </c>
      <c r="E157" s="89" t="s">
        <v>2859</v>
      </c>
      <c r="F157" s="89" t="s">
        <v>2859</v>
      </c>
      <c r="G157" s="89" t="s">
        <v>2860</v>
      </c>
      <c r="H157" s="89" t="s">
        <v>2859</v>
      </c>
      <c r="I157" s="89" t="s">
        <v>621</v>
      </c>
      <c r="J157" s="89" t="s">
        <v>3302</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3303</v>
      </c>
      <c r="BR157" s="89" t="s">
        <v>2859</v>
      </c>
    </row>
    <row r="158" spans="1:70">
      <c r="A158" s="89" t="s">
        <v>2143</v>
      </c>
      <c r="B158" s="89" t="s">
        <v>3304</v>
      </c>
      <c r="C158" s="89" t="s">
        <v>2871</v>
      </c>
      <c r="D158" s="89" t="s">
        <v>2859</v>
      </c>
      <c r="E158" s="89" t="s">
        <v>2859</v>
      </c>
      <c r="F158" s="89" t="s">
        <v>2859</v>
      </c>
      <c r="G158" s="89" t="s">
        <v>2860</v>
      </c>
      <c r="H158" s="89" t="s">
        <v>2859</v>
      </c>
      <c r="I158" s="89" t="s">
        <v>2364</v>
      </c>
      <c r="J158" s="89" t="s">
        <v>2859</v>
      </c>
      <c r="K158" s="89" t="s">
        <v>2859</v>
      </c>
      <c r="L158" s="89" t="s">
        <v>2859</v>
      </c>
      <c r="M158" s="89" t="s">
        <v>2859</v>
      </c>
      <c r="N158" s="89" t="s">
        <v>2859</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3305</v>
      </c>
      <c r="BR158" s="89" t="s">
        <v>2859</v>
      </c>
    </row>
    <row r="159" spans="1:70">
      <c r="A159" s="89" t="s">
        <v>2143</v>
      </c>
      <c r="B159" s="89" t="s">
        <v>3306</v>
      </c>
      <c r="C159" s="89" t="s">
        <v>2858</v>
      </c>
      <c r="D159" s="89" t="s">
        <v>2859</v>
      </c>
      <c r="E159" s="89" t="s">
        <v>2859</v>
      </c>
      <c r="F159" s="89" t="s">
        <v>2859</v>
      </c>
      <c r="G159" s="89" t="s">
        <v>2860</v>
      </c>
      <c r="H159" s="89" t="s">
        <v>2859</v>
      </c>
      <c r="I159" s="89" t="s">
        <v>1396</v>
      </c>
      <c r="J159" s="89" t="s">
        <v>3307</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3308</v>
      </c>
      <c r="BR159" s="89" t="s">
        <v>2859</v>
      </c>
    </row>
    <row r="160" spans="1:70">
      <c r="A160" s="89" t="s">
        <v>2144</v>
      </c>
      <c r="B160" s="89" t="s">
        <v>2909</v>
      </c>
      <c r="C160" s="89" t="s">
        <v>2909</v>
      </c>
      <c r="D160" s="89" t="s">
        <v>2859</v>
      </c>
      <c r="E160" s="89" t="s">
        <v>2859</v>
      </c>
      <c r="F160" s="89" t="s">
        <v>2859</v>
      </c>
      <c r="G160" s="89" t="s">
        <v>2860</v>
      </c>
      <c r="H160" s="89" t="s">
        <v>2859</v>
      </c>
      <c r="I160" s="89" t="s">
        <v>2329</v>
      </c>
      <c r="J160" s="89" t="s">
        <v>3047</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3309</v>
      </c>
      <c r="BR160" s="89" t="s">
        <v>2869</v>
      </c>
    </row>
    <row r="161" spans="1:70">
      <c r="A161" s="89" t="s">
        <v>2144</v>
      </c>
      <c r="B161" s="89" t="s">
        <v>3310</v>
      </c>
      <c r="C161" s="89" t="s">
        <v>3170</v>
      </c>
      <c r="D161" s="89" t="s">
        <v>2859</v>
      </c>
      <c r="E161" s="89" t="s">
        <v>2859</v>
      </c>
      <c r="F161" s="89" t="s">
        <v>2859</v>
      </c>
      <c r="G161" s="89" t="s">
        <v>2860</v>
      </c>
      <c r="H161" s="89" t="s">
        <v>2859</v>
      </c>
      <c r="I161" s="89" t="s">
        <v>2585</v>
      </c>
      <c r="J161" s="89" t="s">
        <v>3311</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3312</v>
      </c>
      <c r="BR161" s="89" t="s">
        <v>2859</v>
      </c>
    </row>
    <row r="162" spans="1:70">
      <c r="A162" s="89" t="s">
        <v>2144</v>
      </c>
      <c r="B162" s="89" t="s">
        <v>3313</v>
      </c>
      <c r="C162" s="89" t="s">
        <v>2858</v>
      </c>
      <c r="D162" s="89" t="s">
        <v>2859</v>
      </c>
      <c r="E162" s="89" t="s">
        <v>2859</v>
      </c>
      <c r="F162" s="89" t="s">
        <v>2859</v>
      </c>
      <c r="G162" s="89" t="s">
        <v>2860</v>
      </c>
      <c r="H162" s="89" t="s">
        <v>2859</v>
      </c>
      <c r="I162" s="89" t="s">
        <v>120</v>
      </c>
      <c r="J162" s="89" t="s">
        <v>3314</v>
      </c>
      <c r="K162" s="89" t="s">
        <v>2860</v>
      </c>
      <c r="L162" s="89" t="s">
        <v>2490</v>
      </c>
      <c r="M162" s="89" t="s">
        <v>3314</v>
      </c>
      <c r="N162" s="89" t="s">
        <v>2860</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3315</v>
      </c>
      <c r="BR162" s="89" t="s">
        <v>2859</v>
      </c>
    </row>
    <row r="163" spans="1:70">
      <c r="A163" s="89" t="s">
        <v>2144</v>
      </c>
      <c r="B163" s="89" t="s">
        <v>3316</v>
      </c>
      <c r="C163" s="89" t="s">
        <v>2871</v>
      </c>
      <c r="D163" s="89" t="s">
        <v>2859</v>
      </c>
      <c r="E163" s="89" t="s">
        <v>2859</v>
      </c>
      <c r="F163" s="89" t="s">
        <v>2859</v>
      </c>
      <c r="G163" s="89" t="s">
        <v>2860</v>
      </c>
      <c r="H163" s="89" t="s">
        <v>2859</v>
      </c>
      <c r="I163" s="89" t="s">
        <v>621</v>
      </c>
      <c r="J163" s="89" t="s">
        <v>3317</v>
      </c>
      <c r="K163" s="89" t="s">
        <v>2860</v>
      </c>
      <c r="L163" s="89" t="s">
        <v>2865</v>
      </c>
      <c r="M163" s="89" t="s">
        <v>3317</v>
      </c>
      <c r="N163" s="89" t="s">
        <v>2860</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3318</v>
      </c>
      <c r="BR163" s="89" t="s">
        <v>2859</v>
      </c>
    </row>
    <row r="164" spans="1:70">
      <c r="A164" s="89" t="s">
        <v>2144</v>
      </c>
      <c r="B164" s="89" t="s">
        <v>3319</v>
      </c>
      <c r="C164" s="89" t="s">
        <v>2924</v>
      </c>
      <c r="D164" s="89" t="s">
        <v>2859</v>
      </c>
      <c r="E164" s="89" t="s">
        <v>2859</v>
      </c>
      <c r="F164" s="89" t="s">
        <v>2859</v>
      </c>
      <c r="G164" s="89" t="s">
        <v>2860</v>
      </c>
      <c r="H164" s="89" t="s">
        <v>2859</v>
      </c>
      <c r="I164" s="89" t="s">
        <v>621</v>
      </c>
      <c r="J164" s="89" t="s">
        <v>2859</v>
      </c>
      <c r="K164" s="89" t="s">
        <v>2859</v>
      </c>
      <c r="L164" s="89" t="s">
        <v>2859</v>
      </c>
      <c r="M164" s="89" t="s">
        <v>2859</v>
      </c>
      <c r="N164" s="89" t="s">
        <v>2859</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3320</v>
      </c>
      <c r="BR164" s="89" t="s">
        <v>2859</v>
      </c>
    </row>
    <row r="165" spans="1:70">
      <c r="A165" s="89" t="s">
        <v>2144</v>
      </c>
      <c r="B165" s="89" t="s">
        <v>3321</v>
      </c>
      <c r="C165" s="89" t="s">
        <v>2871</v>
      </c>
      <c r="D165" s="89" t="s">
        <v>2859</v>
      </c>
      <c r="E165" s="89" t="s">
        <v>2859</v>
      </c>
      <c r="F165" s="89" t="s">
        <v>2859</v>
      </c>
      <c r="G165" s="89" t="s">
        <v>2860</v>
      </c>
      <c r="H165" s="89" t="s">
        <v>2859</v>
      </c>
      <c r="I165" s="89" t="s">
        <v>120</v>
      </c>
      <c r="J165" s="89" t="s">
        <v>3322</v>
      </c>
      <c r="K165" s="89" t="s">
        <v>2860</v>
      </c>
      <c r="L165" s="89" t="s">
        <v>2490</v>
      </c>
      <c r="M165" s="89" t="s">
        <v>3322</v>
      </c>
      <c r="N165" s="89" t="s">
        <v>2860</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3323</v>
      </c>
      <c r="BR165" s="89" t="s">
        <v>2859</v>
      </c>
    </row>
    <row r="166" spans="1:70">
      <c r="A166" s="89" t="s">
        <v>2144</v>
      </c>
      <c r="B166" s="89" t="s">
        <v>3324</v>
      </c>
      <c r="C166" s="89" t="s">
        <v>2971</v>
      </c>
      <c r="D166" s="89" t="s">
        <v>2859</v>
      </c>
      <c r="E166" s="89" t="s">
        <v>2859</v>
      </c>
      <c r="F166" s="89" t="s">
        <v>2859</v>
      </c>
      <c r="G166" s="89" t="s">
        <v>2860</v>
      </c>
      <c r="H166" s="89" t="s">
        <v>2859</v>
      </c>
      <c r="I166" s="89" t="s">
        <v>120</v>
      </c>
      <c r="J166" s="89" t="s">
        <v>3325</v>
      </c>
      <c r="K166" s="89" t="s">
        <v>2860</v>
      </c>
      <c r="L166" s="89" t="s">
        <v>2859</v>
      </c>
      <c r="M166" s="89" t="s">
        <v>2859</v>
      </c>
      <c r="N166" s="89" t="s">
        <v>2859</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3326</v>
      </c>
      <c r="BR166" s="89" t="s">
        <v>2859</v>
      </c>
    </row>
    <row r="167" spans="1:70">
      <c r="A167" s="89" t="s">
        <v>2144</v>
      </c>
      <c r="B167" s="89" t="s">
        <v>3327</v>
      </c>
      <c r="C167" s="89" t="s">
        <v>2971</v>
      </c>
      <c r="D167" s="89" t="s">
        <v>2859</v>
      </c>
      <c r="E167" s="89" t="s">
        <v>2859</v>
      </c>
      <c r="F167" s="89" t="s">
        <v>2859</v>
      </c>
      <c r="G167" s="89" t="s">
        <v>2860</v>
      </c>
      <c r="H167" s="89" t="s">
        <v>2859</v>
      </c>
      <c r="I167" s="89" t="s">
        <v>2891</v>
      </c>
      <c r="J167" s="89" t="s">
        <v>3328</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3329</v>
      </c>
      <c r="BR167" s="89" t="s">
        <v>2859</v>
      </c>
    </row>
    <row r="168" spans="1:70">
      <c r="A168" s="89" t="s">
        <v>2144</v>
      </c>
      <c r="B168" s="89" t="s">
        <v>3330</v>
      </c>
      <c r="C168" s="89" t="s">
        <v>2924</v>
      </c>
      <c r="D168" s="89" t="s">
        <v>2859</v>
      </c>
      <c r="E168" s="89" t="s">
        <v>2859</v>
      </c>
      <c r="F168" s="89" t="s">
        <v>2859</v>
      </c>
      <c r="G168" s="89" t="s">
        <v>2860</v>
      </c>
      <c r="H168" s="89" t="s">
        <v>2859</v>
      </c>
      <c r="I168" s="89" t="s">
        <v>3331</v>
      </c>
      <c r="J168" s="89" t="s">
        <v>3332</v>
      </c>
      <c r="K168" s="89" t="s">
        <v>2867</v>
      </c>
      <c r="L168" s="89" t="s">
        <v>2859</v>
      </c>
      <c r="M168" s="89" t="s">
        <v>2859</v>
      </c>
      <c r="N168" s="89" t="s">
        <v>2859</v>
      </c>
      <c r="O168" s="89" t="s">
        <v>2859</v>
      </c>
      <c r="P168" s="89" t="s">
        <v>2859</v>
      </c>
      <c r="Q168" s="89" t="s">
        <v>2859</v>
      </c>
      <c r="R168" s="89" t="s">
        <v>2859</v>
      </c>
      <c r="S168" s="89" t="s">
        <v>2859</v>
      </c>
      <c r="T168" s="89" t="s">
        <v>2859</v>
      </c>
      <c r="U168" s="89" t="s">
        <v>2859</v>
      </c>
      <c r="V168" s="89" t="s">
        <v>2859</v>
      </c>
      <c r="W168" s="89" t="s">
        <v>2859</v>
      </c>
      <c r="X168" s="89" t="s">
        <v>2859</v>
      </c>
      <c r="Y168" s="89" t="s">
        <v>2859</v>
      </c>
      <c r="Z168" s="89" t="s">
        <v>2859</v>
      </c>
      <c r="AA168" s="89" t="s">
        <v>2859</v>
      </c>
      <c r="AB168" s="89" t="s">
        <v>2859</v>
      </c>
      <c r="AC168" s="89" t="s">
        <v>2859</v>
      </c>
      <c r="AD168" s="89" t="s">
        <v>2859</v>
      </c>
      <c r="AE168" s="89" t="s">
        <v>2859</v>
      </c>
      <c r="AF168" s="89" t="s">
        <v>2859</v>
      </c>
      <c r="AG168" s="89" t="s">
        <v>2859</v>
      </c>
      <c r="AH168" s="89" t="s">
        <v>2859</v>
      </c>
      <c r="AI168" s="89" t="s">
        <v>2859</v>
      </c>
      <c r="AJ168" s="89" t="s">
        <v>2859</v>
      </c>
      <c r="AK168" s="89" t="s">
        <v>2859</v>
      </c>
      <c r="AL168" s="89" t="s">
        <v>2859</v>
      </c>
      <c r="AM168" s="89" t="s">
        <v>2859</v>
      </c>
      <c r="AN168" s="89" t="s">
        <v>2859</v>
      </c>
      <c r="AO168" s="89" t="s">
        <v>2859</v>
      </c>
      <c r="AP168" s="89" t="s">
        <v>2859</v>
      </c>
      <c r="AQ168" s="89" t="s">
        <v>2859</v>
      </c>
      <c r="AR168" s="89" t="s">
        <v>2859</v>
      </c>
      <c r="AS168" s="89" t="s">
        <v>2859</v>
      </c>
      <c r="AT168" s="89" t="s">
        <v>2859</v>
      </c>
      <c r="AU168" s="89" t="s">
        <v>2859</v>
      </c>
      <c r="AV168" s="89" t="s">
        <v>2859</v>
      </c>
      <c r="AW168" s="89" t="s">
        <v>2859</v>
      </c>
      <c r="AX168" s="89" t="s">
        <v>2859</v>
      </c>
      <c r="AY168" s="89" t="s">
        <v>2859</v>
      </c>
      <c r="AZ168" s="89" t="s">
        <v>2859</v>
      </c>
      <c r="BA168" s="89" t="s">
        <v>2859</v>
      </c>
      <c r="BB168" s="89" t="s">
        <v>2859</v>
      </c>
      <c r="BC168" s="89" t="s">
        <v>2859</v>
      </c>
      <c r="BD168" s="89" t="s">
        <v>2859</v>
      </c>
      <c r="BE168" s="89" t="s">
        <v>2859</v>
      </c>
      <c r="BF168" s="89" t="s">
        <v>2859</v>
      </c>
      <c r="BG168" s="89" t="s">
        <v>2859</v>
      </c>
      <c r="BH168" s="89" t="s">
        <v>2859</v>
      </c>
      <c r="BI168" s="89" t="s">
        <v>2859</v>
      </c>
      <c r="BJ168" s="89" t="s">
        <v>2859</v>
      </c>
      <c r="BK168" s="89" t="s">
        <v>2859</v>
      </c>
      <c r="BL168" s="89" t="s">
        <v>2859</v>
      </c>
      <c r="BM168" s="89" t="s">
        <v>2859</v>
      </c>
      <c r="BN168" s="89" t="s">
        <v>2859</v>
      </c>
      <c r="BO168" s="89" t="s">
        <v>2859</v>
      </c>
      <c r="BP168" s="89" t="s">
        <v>2859</v>
      </c>
      <c r="BQ168" s="89" t="s">
        <v>3333</v>
      </c>
      <c r="BR168" s="89" t="s">
        <v>2869</v>
      </c>
    </row>
    <row r="169" spans="1:70">
      <c r="A169" s="89" t="s">
        <v>2144</v>
      </c>
      <c r="B169" s="89" t="s">
        <v>3334</v>
      </c>
      <c r="C169" s="89" t="s">
        <v>2871</v>
      </c>
      <c r="D169" s="89" t="s">
        <v>2859</v>
      </c>
      <c r="E169" s="89" t="s">
        <v>2859</v>
      </c>
      <c r="F169" s="89" t="s">
        <v>2859</v>
      </c>
      <c r="G169" s="89" t="s">
        <v>2860</v>
      </c>
      <c r="H169" s="89" t="s">
        <v>2859</v>
      </c>
      <c r="I169" s="89" t="s">
        <v>2329</v>
      </c>
      <c r="J169" s="89" t="s">
        <v>3335</v>
      </c>
      <c r="K169" s="89" t="s">
        <v>2867</v>
      </c>
      <c r="L169" s="89" t="s">
        <v>120</v>
      </c>
      <c r="M169" s="89" t="s">
        <v>3335</v>
      </c>
      <c r="N169" s="89" t="s">
        <v>2867</v>
      </c>
      <c r="O169" s="89" t="s">
        <v>2859</v>
      </c>
      <c r="P169" s="89" t="s">
        <v>2859</v>
      </c>
      <c r="Q169" s="89" t="s">
        <v>2859</v>
      </c>
      <c r="R169" s="89" t="s">
        <v>2859</v>
      </c>
      <c r="S169" s="89" t="s">
        <v>2859</v>
      </c>
      <c r="T169" s="89" t="s">
        <v>2859</v>
      </c>
      <c r="U169" s="89" t="s">
        <v>2859</v>
      </c>
      <c r="V169" s="89" t="s">
        <v>2859</v>
      </c>
      <c r="W169" s="89" t="s">
        <v>2859</v>
      </c>
      <c r="X169" s="89" t="s">
        <v>2859</v>
      </c>
      <c r="Y169" s="89" t="s">
        <v>2859</v>
      </c>
      <c r="Z169" s="89" t="s">
        <v>2859</v>
      </c>
      <c r="AA169" s="89" t="s">
        <v>2859</v>
      </c>
      <c r="AB169" s="89" t="s">
        <v>2859</v>
      </c>
      <c r="AC169" s="89" t="s">
        <v>2859</v>
      </c>
      <c r="AD169" s="89" t="s">
        <v>2859</v>
      </c>
      <c r="AE169" s="89" t="s">
        <v>2859</v>
      </c>
      <c r="AF169" s="89" t="s">
        <v>2859</v>
      </c>
      <c r="AG169" s="89" t="s">
        <v>2859</v>
      </c>
      <c r="AH169" s="89" t="s">
        <v>2859</v>
      </c>
      <c r="AI169" s="89" t="s">
        <v>2859</v>
      </c>
      <c r="AJ169" s="89" t="s">
        <v>2859</v>
      </c>
      <c r="AK169" s="89" t="s">
        <v>2859</v>
      </c>
      <c r="AL169" s="89" t="s">
        <v>2859</v>
      </c>
      <c r="AM169" s="89" t="s">
        <v>2859</v>
      </c>
      <c r="AN169" s="89" t="s">
        <v>2859</v>
      </c>
      <c r="AO169" s="89" t="s">
        <v>2859</v>
      </c>
      <c r="AP169" s="89" t="s">
        <v>2859</v>
      </c>
      <c r="AQ169" s="89" t="s">
        <v>2859</v>
      </c>
      <c r="AR169" s="89" t="s">
        <v>2859</v>
      </c>
      <c r="AS169" s="89" t="s">
        <v>2859</v>
      </c>
      <c r="AT169" s="89" t="s">
        <v>2859</v>
      </c>
      <c r="AU169" s="89" t="s">
        <v>2859</v>
      </c>
      <c r="AV169" s="89" t="s">
        <v>2859</v>
      </c>
      <c r="AW169" s="89" t="s">
        <v>2859</v>
      </c>
      <c r="AX169" s="89" t="s">
        <v>2859</v>
      </c>
      <c r="AY169" s="89" t="s">
        <v>2859</v>
      </c>
      <c r="AZ169" s="89" t="s">
        <v>2859</v>
      </c>
      <c r="BA169" s="89" t="s">
        <v>2859</v>
      </c>
      <c r="BB169" s="89" t="s">
        <v>2859</v>
      </c>
      <c r="BC169" s="89" t="s">
        <v>2859</v>
      </c>
      <c r="BD169" s="89" t="s">
        <v>2859</v>
      </c>
      <c r="BE169" s="89" t="s">
        <v>2859</v>
      </c>
      <c r="BF169" s="89" t="s">
        <v>2859</v>
      </c>
      <c r="BG169" s="89" t="s">
        <v>2859</v>
      </c>
      <c r="BH169" s="89" t="s">
        <v>2859</v>
      </c>
      <c r="BI169" s="89" t="s">
        <v>2859</v>
      </c>
      <c r="BJ169" s="89" t="s">
        <v>2859</v>
      </c>
      <c r="BK169" s="89" t="s">
        <v>2859</v>
      </c>
      <c r="BL169" s="89" t="s">
        <v>2859</v>
      </c>
      <c r="BM169" s="89" t="s">
        <v>2859</v>
      </c>
      <c r="BN169" s="89" t="s">
        <v>2859</v>
      </c>
      <c r="BO169" s="89" t="s">
        <v>2859</v>
      </c>
      <c r="BP169" s="89" t="s">
        <v>2859</v>
      </c>
      <c r="BQ169" s="89" t="s">
        <v>3336</v>
      </c>
      <c r="BR169" s="89" t="s">
        <v>2869</v>
      </c>
    </row>
    <row r="170" spans="1:70">
      <c r="A170" s="89" t="s">
        <v>2144</v>
      </c>
      <c r="B170" s="89" t="s">
        <v>3337</v>
      </c>
      <c r="C170" s="89" t="s">
        <v>2924</v>
      </c>
      <c r="D170" s="89" t="s">
        <v>2859</v>
      </c>
      <c r="E170" s="89" t="s">
        <v>2859</v>
      </c>
      <c r="F170" s="89" t="s">
        <v>2859</v>
      </c>
      <c r="G170" s="89" t="s">
        <v>2860</v>
      </c>
      <c r="H170" s="89" t="s">
        <v>2859</v>
      </c>
      <c r="I170" s="89" t="s">
        <v>120</v>
      </c>
      <c r="J170" s="89" t="s">
        <v>3338</v>
      </c>
      <c r="K170" s="89" t="s">
        <v>2860</v>
      </c>
      <c r="L170" s="89" t="s">
        <v>2490</v>
      </c>
      <c r="M170" s="89" t="s">
        <v>3338</v>
      </c>
      <c r="N170" s="89" t="s">
        <v>2860</v>
      </c>
      <c r="O170" s="89" t="s">
        <v>2859</v>
      </c>
      <c r="P170" s="89" t="s">
        <v>2859</v>
      </c>
      <c r="Q170" s="89" t="s">
        <v>2859</v>
      </c>
      <c r="R170" s="89" t="s">
        <v>2859</v>
      </c>
      <c r="S170" s="89" t="s">
        <v>2859</v>
      </c>
      <c r="T170" s="89" t="s">
        <v>2859</v>
      </c>
      <c r="U170" s="89" t="s">
        <v>2859</v>
      </c>
      <c r="V170" s="89" t="s">
        <v>2859</v>
      </c>
      <c r="W170" s="89" t="s">
        <v>2859</v>
      </c>
      <c r="X170" s="89" t="s">
        <v>2859</v>
      </c>
      <c r="Y170" s="89" t="s">
        <v>2859</v>
      </c>
      <c r="Z170" s="89" t="s">
        <v>2859</v>
      </c>
      <c r="AA170" s="89" t="s">
        <v>2859</v>
      </c>
      <c r="AB170" s="89" t="s">
        <v>2859</v>
      </c>
      <c r="AC170" s="89" t="s">
        <v>2859</v>
      </c>
      <c r="AD170" s="89" t="s">
        <v>2859</v>
      </c>
      <c r="AE170" s="89" t="s">
        <v>2859</v>
      </c>
      <c r="AF170" s="89" t="s">
        <v>2859</v>
      </c>
      <c r="AG170" s="89" t="s">
        <v>2859</v>
      </c>
      <c r="AH170" s="89" t="s">
        <v>2859</v>
      </c>
      <c r="AI170" s="89" t="s">
        <v>2859</v>
      </c>
      <c r="AJ170" s="89" t="s">
        <v>2859</v>
      </c>
      <c r="AK170" s="89" t="s">
        <v>2859</v>
      </c>
      <c r="AL170" s="89" t="s">
        <v>2859</v>
      </c>
      <c r="AM170" s="89" t="s">
        <v>2859</v>
      </c>
      <c r="AN170" s="89" t="s">
        <v>2859</v>
      </c>
      <c r="AO170" s="89" t="s">
        <v>2859</v>
      </c>
      <c r="AP170" s="89" t="s">
        <v>2859</v>
      </c>
      <c r="AQ170" s="89" t="s">
        <v>2859</v>
      </c>
      <c r="AR170" s="89" t="s">
        <v>2859</v>
      </c>
      <c r="AS170" s="89" t="s">
        <v>2859</v>
      </c>
      <c r="AT170" s="89" t="s">
        <v>2859</v>
      </c>
      <c r="AU170" s="89" t="s">
        <v>2859</v>
      </c>
      <c r="AV170" s="89" t="s">
        <v>2859</v>
      </c>
      <c r="AW170" s="89" t="s">
        <v>2859</v>
      </c>
      <c r="AX170" s="89" t="s">
        <v>2859</v>
      </c>
      <c r="AY170" s="89" t="s">
        <v>2859</v>
      </c>
      <c r="AZ170" s="89" t="s">
        <v>2859</v>
      </c>
      <c r="BA170" s="89" t="s">
        <v>2859</v>
      </c>
      <c r="BB170" s="89" t="s">
        <v>2859</v>
      </c>
      <c r="BC170" s="89" t="s">
        <v>2859</v>
      </c>
      <c r="BD170" s="89" t="s">
        <v>2859</v>
      </c>
      <c r="BE170" s="89" t="s">
        <v>2859</v>
      </c>
      <c r="BF170" s="89" t="s">
        <v>2859</v>
      </c>
      <c r="BG170" s="89" t="s">
        <v>2859</v>
      </c>
      <c r="BH170" s="89" t="s">
        <v>2859</v>
      </c>
      <c r="BI170" s="89" t="s">
        <v>2859</v>
      </c>
      <c r="BJ170" s="89" t="s">
        <v>2859</v>
      </c>
      <c r="BK170" s="89" t="s">
        <v>2859</v>
      </c>
      <c r="BL170" s="89" t="s">
        <v>2859</v>
      </c>
      <c r="BM170" s="89" t="s">
        <v>2859</v>
      </c>
      <c r="BN170" s="89" t="s">
        <v>2859</v>
      </c>
      <c r="BO170" s="89" t="s">
        <v>2859</v>
      </c>
      <c r="BP170" s="89" t="s">
        <v>2859</v>
      </c>
      <c r="BQ170" s="89" t="s">
        <v>3339</v>
      </c>
      <c r="BR170" s="89" t="s">
        <v>2859</v>
      </c>
    </row>
    <row r="171" spans="1:70">
      <c r="A171" s="89" t="s">
        <v>2144</v>
      </c>
      <c r="B171" s="89" t="s">
        <v>3340</v>
      </c>
      <c r="C171" s="89" t="s">
        <v>2924</v>
      </c>
      <c r="D171" s="89" t="s">
        <v>2859</v>
      </c>
      <c r="E171" s="89" t="s">
        <v>2859</v>
      </c>
      <c r="F171" s="89" t="s">
        <v>2859</v>
      </c>
      <c r="G171" s="89" t="s">
        <v>2860</v>
      </c>
      <c r="H171" s="89" t="s">
        <v>2859</v>
      </c>
      <c r="I171" s="89" t="s">
        <v>621</v>
      </c>
      <c r="J171" s="89" t="s">
        <v>3341</v>
      </c>
      <c r="K171" s="89" t="s">
        <v>2860</v>
      </c>
      <c r="L171" s="89" t="s">
        <v>3055</v>
      </c>
      <c r="M171" s="89" t="s">
        <v>3341</v>
      </c>
      <c r="N171" s="89" t="s">
        <v>2860</v>
      </c>
      <c r="O171" s="89" t="s">
        <v>2859</v>
      </c>
      <c r="P171" s="89" t="s">
        <v>2859</v>
      </c>
      <c r="Q171" s="89" t="s">
        <v>2859</v>
      </c>
      <c r="R171" s="89" t="s">
        <v>2859</v>
      </c>
      <c r="S171" s="89" t="s">
        <v>2859</v>
      </c>
      <c r="T171" s="89" t="s">
        <v>2859</v>
      </c>
      <c r="U171" s="89" t="s">
        <v>2859</v>
      </c>
      <c r="V171" s="89" t="s">
        <v>2859</v>
      </c>
      <c r="W171" s="89" t="s">
        <v>2859</v>
      </c>
      <c r="X171" s="89" t="s">
        <v>2859</v>
      </c>
      <c r="Y171" s="89" t="s">
        <v>2859</v>
      </c>
      <c r="Z171" s="89" t="s">
        <v>2859</v>
      </c>
      <c r="AA171" s="89" t="s">
        <v>2859</v>
      </c>
      <c r="AB171" s="89" t="s">
        <v>2859</v>
      </c>
      <c r="AC171" s="89" t="s">
        <v>2859</v>
      </c>
      <c r="AD171" s="89" t="s">
        <v>2859</v>
      </c>
      <c r="AE171" s="89" t="s">
        <v>2859</v>
      </c>
      <c r="AF171" s="89" t="s">
        <v>2859</v>
      </c>
      <c r="AG171" s="89" t="s">
        <v>2859</v>
      </c>
      <c r="AH171" s="89" t="s">
        <v>2859</v>
      </c>
      <c r="AI171" s="89" t="s">
        <v>2859</v>
      </c>
      <c r="AJ171" s="89" t="s">
        <v>2859</v>
      </c>
      <c r="AK171" s="89" t="s">
        <v>2859</v>
      </c>
      <c r="AL171" s="89" t="s">
        <v>2859</v>
      </c>
      <c r="AM171" s="89" t="s">
        <v>2859</v>
      </c>
      <c r="AN171" s="89" t="s">
        <v>2859</v>
      </c>
      <c r="AO171" s="89" t="s">
        <v>2859</v>
      </c>
      <c r="AP171" s="89" t="s">
        <v>2859</v>
      </c>
      <c r="AQ171" s="89" t="s">
        <v>2859</v>
      </c>
      <c r="AR171" s="89" t="s">
        <v>2859</v>
      </c>
      <c r="AS171" s="89" t="s">
        <v>2859</v>
      </c>
      <c r="AT171" s="89" t="s">
        <v>2859</v>
      </c>
      <c r="AU171" s="89" t="s">
        <v>2859</v>
      </c>
      <c r="AV171" s="89" t="s">
        <v>2859</v>
      </c>
      <c r="AW171" s="89" t="s">
        <v>2859</v>
      </c>
      <c r="AX171" s="89" t="s">
        <v>2859</v>
      </c>
      <c r="AY171" s="89" t="s">
        <v>2859</v>
      </c>
      <c r="AZ171" s="89" t="s">
        <v>2859</v>
      </c>
      <c r="BA171" s="89" t="s">
        <v>2859</v>
      </c>
      <c r="BB171" s="89" t="s">
        <v>2859</v>
      </c>
      <c r="BC171" s="89" t="s">
        <v>2859</v>
      </c>
      <c r="BD171" s="89" t="s">
        <v>2859</v>
      </c>
      <c r="BE171" s="89" t="s">
        <v>2859</v>
      </c>
      <c r="BF171" s="89" t="s">
        <v>2859</v>
      </c>
      <c r="BG171" s="89" t="s">
        <v>2859</v>
      </c>
      <c r="BH171" s="89" t="s">
        <v>2859</v>
      </c>
      <c r="BI171" s="89" t="s">
        <v>2859</v>
      </c>
      <c r="BJ171" s="89" t="s">
        <v>2859</v>
      </c>
      <c r="BK171" s="89" t="s">
        <v>2859</v>
      </c>
      <c r="BL171" s="89" t="s">
        <v>2859</v>
      </c>
      <c r="BM171" s="89" t="s">
        <v>2859</v>
      </c>
      <c r="BN171" s="89" t="s">
        <v>2859</v>
      </c>
      <c r="BO171" s="89" t="s">
        <v>2859</v>
      </c>
      <c r="BP171" s="89" t="s">
        <v>2859</v>
      </c>
      <c r="BQ171" s="89" t="s">
        <v>3342</v>
      </c>
      <c r="BR171" s="89" t="s">
        <v>2859</v>
      </c>
    </row>
    <row r="172" spans="1:70">
      <c r="A172" s="89" t="s">
        <v>2144</v>
      </c>
      <c r="B172" s="89" t="s">
        <v>3343</v>
      </c>
      <c r="C172" s="89" t="s">
        <v>2924</v>
      </c>
      <c r="D172" s="89" t="s">
        <v>2859</v>
      </c>
      <c r="E172" s="89" t="s">
        <v>2859</v>
      </c>
      <c r="F172" s="89" t="s">
        <v>2859</v>
      </c>
      <c r="G172" s="89" t="s">
        <v>2860</v>
      </c>
      <c r="H172" s="89" t="s">
        <v>2859</v>
      </c>
      <c r="I172" s="89" t="s">
        <v>120</v>
      </c>
      <c r="J172" s="89" t="s">
        <v>3344</v>
      </c>
      <c r="K172" s="89" t="s">
        <v>2867</v>
      </c>
      <c r="L172" s="89" t="s">
        <v>2490</v>
      </c>
      <c r="M172" s="89" t="s">
        <v>3344</v>
      </c>
      <c r="N172" s="89" t="s">
        <v>2867</v>
      </c>
      <c r="O172" s="89" t="s">
        <v>2859</v>
      </c>
      <c r="P172" s="89" t="s">
        <v>2859</v>
      </c>
      <c r="Q172" s="89" t="s">
        <v>2859</v>
      </c>
      <c r="R172" s="89" t="s">
        <v>2859</v>
      </c>
      <c r="S172" s="89" t="s">
        <v>2859</v>
      </c>
      <c r="T172" s="89" t="s">
        <v>2859</v>
      </c>
      <c r="U172" s="89" t="s">
        <v>2859</v>
      </c>
      <c r="V172" s="89" t="s">
        <v>2859</v>
      </c>
      <c r="W172" s="89" t="s">
        <v>2859</v>
      </c>
      <c r="X172" s="89" t="s">
        <v>2859</v>
      </c>
      <c r="Y172" s="89" t="s">
        <v>2859</v>
      </c>
      <c r="Z172" s="89" t="s">
        <v>2859</v>
      </c>
      <c r="AA172" s="89" t="s">
        <v>2859</v>
      </c>
      <c r="AB172" s="89" t="s">
        <v>2859</v>
      </c>
      <c r="AC172" s="89" t="s">
        <v>2859</v>
      </c>
      <c r="AD172" s="89" t="s">
        <v>2859</v>
      </c>
      <c r="AE172" s="89" t="s">
        <v>2859</v>
      </c>
      <c r="AF172" s="89" t="s">
        <v>2859</v>
      </c>
      <c r="AG172" s="89" t="s">
        <v>2859</v>
      </c>
      <c r="AH172" s="89" t="s">
        <v>2859</v>
      </c>
      <c r="AI172" s="89" t="s">
        <v>2859</v>
      </c>
      <c r="AJ172" s="89" t="s">
        <v>2859</v>
      </c>
      <c r="AK172" s="89" t="s">
        <v>2859</v>
      </c>
      <c r="AL172" s="89" t="s">
        <v>2859</v>
      </c>
      <c r="AM172" s="89" t="s">
        <v>2859</v>
      </c>
      <c r="AN172" s="89" t="s">
        <v>2859</v>
      </c>
      <c r="AO172" s="89" t="s">
        <v>2859</v>
      </c>
      <c r="AP172" s="89" t="s">
        <v>2859</v>
      </c>
      <c r="AQ172" s="89" t="s">
        <v>2859</v>
      </c>
      <c r="AR172" s="89" t="s">
        <v>2859</v>
      </c>
      <c r="AS172" s="89" t="s">
        <v>2859</v>
      </c>
      <c r="AT172" s="89" t="s">
        <v>2859</v>
      </c>
      <c r="AU172" s="89" t="s">
        <v>2859</v>
      </c>
      <c r="AV172" s="89" t="s">
        <v>2859</v>
      </c>
      <c r="AW172" s="89" t="s">
        <v>2859</v>
      </c>
      <c r="AX172" s="89" t="s">
        <v>2859</v>
      </c>
      <c r="AY172" s="89" t="s">
        <v>2859</v>
      </c>
      <c r="AZ172" s="89" t="s">
        <v>2859</v>
      </c>
      <c r="BA172" s="89" t="s">
        <v>2859</v>
      </c>
      <c r="BB172" s="89" t="s">
        <v>2859</v>
      </c>
      <c r="BC172" s="89" t="s">
        <v>2859</v>
      </c>
      <c r="BD172" s="89" t="s">
        <v>2859</v>
      </c>
      <c r="BE172" s="89" t="s">
        <v>2859</v>
      </c>
      <c r="BF172" s="89" t="s">
        <v>2859</v>
      </c>
      <c r="BG172" s="89" t="s">
        <v>2859</v>
      </c>
      <c r="BH172" s="89" t="s">
        <v>2859</v>
      </c>
      <c r="BI172" s="89" t="s">
        <v>2859</v>
      </c>
      <c r="BJ172" s="89" t="s">
        <v>2859</v>
      </c>
      <c r="BK172" s="89" t="s">
        <v>2859</v>
      </c>
      <c r="BL172" s="89" t="s">
        <v>2859</v>
      </c>
      <c r="BM172" s="89" t="s">
        <v>2859</v>
      </c>
      <c r="BN172" s="89" t="s">
        <v>2859</v>
      </c>
      <c r="BO172" s="89" t="s">
        <v>2859</v>
      </c>
      <c r="BP172" s="89" t="s">
        <v>2859</v>
      </c>
      <c r="BQ172" s="89" t="s">
        <v>3345</v>
      </c>
      <c r="BR172" s="89" t="s">
        <v>2869</v>
      </c>
    </row>
    <row r="173" spans="1:70">
      <c r="A173" s="89" t="s">
        <v>2144</v>
      </c>
      <c r="B173" s="89" t="s">
        <v>3346</v>
      </c>
      <c r="C173" s="89" t="s">
        <v>2871</v>
      </c>
      <c r="D173" s="89" t="s">
        <v>2859</v>
      </c>
      <c r="E173" s="89" t="s">
        <v>2859</v>
      </c>
      <c r="F173" s="89" t="s">
        <v>2859</v>
      </c>
      <c r="G173" s="89" t="s">
        <v>2860</v>
      </c>
      <c r="H173" s="89" t="s">
        <v>2859</v>
      </c>
      <c r="I173" s="89" t="s">
        <v>621</v>
      </c>
      <c r="J173" s="89" t="s">
        <v>3347</v>
      </c>
      <c r="K173" s="89" t="s">
        <v>2860</v>
      </c>
      <c r="L173" s="89" t="s">
        <v>2859</v>
      </c>
      <c r="M173" s="89" t="s">
        <v>2859</v>
      </c>
      <c r="N173" s="89" t="s">
        <v>2859</v>
      </c>
      <c r="O173" s="89" t="s">
        <v>2859</v>
      </c>
      <c r="P173" s="89" t="s">
        <v>2859</v>
      </c>
      <c r="Q173" s="89" t="s">
        <v>2859</v>
      </c>
      <c r="R173" s="89" t="s">
        <v>2859</v>
      </c>
      <c r="S173" s="89" t="s">
        <v>2859</v>
      </c>
      <c r="T173" s="89" t="s">
        <v>2859</v>
      </c>
      <c r="U173" s="89" t="s">
        <v>2859</v>
      </c>
      <c r="V173" s="89" t="s">
        <v>2859</v>
      </c>
      <c r="W173" s="89" t="s">
        <v>2859</v>
      </c>
      <c r="X173" s="89" t="s">
        <v>2859</v>
      </c>
      <c r="Y173" s="89" t="s">
        <v>2859</v>
      </c>
      <c r="Z173" s="89" t="s">
        <v>2859</v>
      </c>
      <c r="AA173" s="89" t="s">
        <v>2859</v>
      </c>
      <c r="AB173" s="89" t="s">
        <v>2859</v>
      </c>
      <c r="AC173" s="89" t="s">
        <v>2859</v>
      </c>
      <c r="AD173" s="89" t="s">
        <v>2859</v>
      </c>
      <c r="AE173" s="89" t="s">
        <v>2859</v>
      </c>
      <c r="AF173" s="89" t="s">
        <v>2859</v>
      </c>
      <c r="AG173" s="89" t="s">
        <v>2859</v>
      </c>
      <c r="AH173" s="89" t="s">
        <v>2859</v>
      </c>
      <c r="AI173" s="89" t="s">
        <v>2859</v>
      </c>
      <c r="AJ173" s="89" t="s">
        <v>2859</v>
      </c>
      <c r="AK173" s="89" t="s">
        <v>2859</v>
      </c>
      <c r="AL173" s="89" t="s">
        <v>2859</v>
      </c>
      <c r="AM173" s="89" t="s">
        <v>2859</v>
      </c>
      <c r="AN173" s="89" t="s">
        <v>2859</v>
      </c>
      <c r="AO173" s="89" t="s">
        <v>2859</v>
      </c>
      <c r="AP173" s="89" t="s">
        <v>2859</v>
      </c>
      <c r="AQ173" s="89" t="s">
        <v>2859</v>
      </c>
      <c r="AR173" s="89" t="s">
        <v>2859</v>
      </c>
      <c r="AS173" s="89" t="s">
        <v>2859</v>
      </c>
      <c r="AT173" s="89" t="s">
        <v>2859</v>
      </c>
      <c r="AU173" s="89" t="s">
        <v>2859</v>
      </c>
      <c r="AV173" s="89" t="s">
        <v>2859</v>
      </c>
      <c r="AW173" s="89" t="s">
        <v>2859</v>
      </c>
      <c r="AX173" s="89" t="s">
        <v>2859</v>
      </c>
      <c r="AY173" s="89" t="s">
        <v>2859</v>
      </c>
      <c r="AZ173" s="89" t="s">
        <v>2859</v>
      </c>
      <c r="BA173" s="89" t="s">
        <v>2859</v>
      </c>
      <c r="BB173" s="89" t="s">
        <v>2859</v>
      </c>
      <c r="BC173" s="89" t="s">
        <v>2859</v>
      </c>
      <c r="BD173" s="89" t="s">
        <v>2859</v>
      </c>
      <c r="BE173" s="89" t="s">
        <v>2859</v>
      </c>
      <c r="BF173" s="89" t="s">
        <v>2859</v>
      </c>
      <c r="BG173" s="89" t="s">
        <v>2859</v>
      </c>
      <c r="BH173" s="89" t="s">
        <v>2859</v>
      </c>
      <c r="BI173" s="89" t="s">
        <v>2859</v>
      </c>
      <c r="BJ173" s="89" t="s">
        <v>2859</v>
      </c>
      <c r="BK173" s="89" t="s">
        <v>2859</v>
      </c>
      <c r="BL173" s="89" t="s">
        <v>2859</v>
      </c>
      <c r="BM173" s="89" t="s">
        <v>2859</v>
      </c>
      <c r="BN173" s="89" t="s">
        <v>2859</v>
      </c>
      <c r="BO173" s="89" t="s">
        <v>2859</v>
      </c>
      <c r="BP173" s="89" t="s">
        <v>2859</v>
      </c>
      <c r="BQ173" s="89" t="s">
        <v>3348</v>
      </c>
      <c r="BR173" s="89" t="s">
        <v>2859</v>
      </c>
    </row>
    <row r="174" spans="1:70">
      <c r="A174" s="89" t="s">
        <v>2144</v>
      </c>
      <c r="B174" s="89" t="s">
        <v>3349</v>
      </c>
      <c r="C174" s="89" t="s">
        <v>2858</v>
      </c>
      <c r="D174" s="89" t="s">
        <v>2859</v>
      </c>
      <c r="E174" s="89" t="s">
        <v>2859</v>
      </c>
      <c r="F174" s="89" t="s">
        <v>2859</v>
      </c>
      <c r="G174" s="89" t="s">
        <v>2860</v>
      </c>
      <c r="H174" s="89" t="s">
        <v>2859</v>
      </c>
      <c r="I174" s="89" t="s">
        <v>2329</v>
      </c>
      <c r="J174" s="89" t="s">
        <v>3350</v>
      </c>
      <c r="K174" s="89" t="s">
        <v>2860</v>
      </c>
      <c r="L174" s="89" t="s">
        <v>2859</v>
      </c>
      <c r="M174" s="89" t="s">
        <v>2859</v>
      </c>
      <c r="N174" s="89" t="s">
        <v>2859</v>
      </c>
      <c r="O174" s="89" t="s">
        <v>2859</v>
      </c>
      <c r="P174" s="89" t="s">
        <v>2859</v>
      </c>
      <c r="Q174" s="89" t="s">
        <v>2859</v>
      </c>
      <c r="R174" s="89" t="s">
        <v>2859</v>
      </c>
      <c r="S174" s="89" t="s">
        <v>2859</v>
      </c>
      <c r="T174" s="89" t="s">
        <v>2859</v>
      </c>
      <c r="U174" s="89" t="s">
        <v>2859</v>
      </c>
      <c r="V174" s="89" t="s">
        <v>2859</v>
      </c>
      <c r="W174" s="89" t="s">
        <v>2859</v>
      </c>
      <c r="X174" s="89" t="s">
        <v>2859</v>
      </c>
      <c r="Y174" s="89" t="s">
        <v>2859</v>
      </c>
      <c r="Z174" s="89" t="s">
        <v>2859</v>
      </c>
      <c r="AA174" s="89" t="s">
        <v>2859</v>
      </c>
      <c r="AB174" s="89" t="s">
        <v>2859</v>
      </c>
      <c r="AC174" s="89" t="s">
        <v>2859</v>
      </c>
      <c r="AD174" s="89" t="s">
        <v>2859</v>
      </c>
      <c r="AE174" s="89" t="s">
        <v>2859</v>
      </c>
      <c r="AF174" s="89" t="s">
        <v>2859</v>
      </c>
      <c r="AG174" s="89" t="s">
        <v>2859</v>
      </c>
      <c r="AH174" s="89" t="s">
        <v>2859</v>
      </c>
      <c r="AI174" s="89" t="s">
        <v>2859</v>
      </c>
      <c r="AJ174" s="89" t="s">
        <v>2859</v>
      </c>
      <c r="AK174" s="89" t="s">
        <v>2859</v>
      </c>
      <c r="AL174" s="89" t="s">
        <v>2859</v>
      </c>
      <c r="AM174" s="89" t="s">
        <v>2859</v>
      </c>
      <c r="AN174" s="89" t="s">
        <v>2859</v>
      </c>
      <c r="AO174" s="89" t="s">
        <v>2859</v>
      </c>
      <c r="AP174" s="89" t="s">
        <v>2859</v>
      </c>
      <c r="AQ174" s="89" t="s">
        <v>2859</v>
      </c>
      <c r="AR174" s="89" t="s">
        <v>2859</v>
      </c>
      <c r="AS174" s="89" t="s">
        <v>2859</v>
      </c>
      <c r="AT174" s="89" t="s">
        <v>2859</v>
      </c>
      <c r="AU174" s="89" t="s">
        <v>2859</v>
      </c>
      <c r="AV174" s="89" t="s">
        <v>2859</v>
      </c>
      <c r="AW174" s="89" t="s">
        <v>2859</v>
      </c>
      <c r="AX174" s="89" t="s">
        <v>2859</v>
      </c>
      <c r="AY174" s="89" t="s">
        <v>2859</v>
      </c>
      <c r="AZ174" s="89" t="s">
        <v>2859</v>
      </c>
      <c r="BA174" s="89" t="s">
        <v>2859</v>
      </c>
      <c r="BB174" s="89" t="s">
        <v>2859</v>
      </c>
      <c r="BC174" s="89" t="s">
        <v>2859</v>
      </c>
      <c r="BD174" s="89" t="s">
        <v>2859</v>
      </c>
      <c r="BE174" s="89" t="s">
        <v>2859</v>
      </c>
      <c r="BF174" s="89" t="s">
        <v>2859</v>
      </c>
      <c r="BG174" s="89" t="s">
        <v>2859</v>
      </c>
      <c r="BH174" s="89" t="s">
        <v>2859</v>
      </c>
      <c r="BI174" s="89" t="s">
        <v>2859</v>
      </c>
      <c r="BJ174" s="89" t="s">
        <v>2859</v>
      </c>
      <c r="BK174" s="89" t="s">
        <v>2859</v>
      </c>
      <c r="BL174" s="89" t="s">
        <v>2859</v>
      </c>
      <c r="BM174" s="89" t="s">
        <v>2859</v>
      </c>
      <c r="BN174" s="89" t="s">
        <v>2859</v>
      </c>
      <c r="BO174" s="89" t="s">
        <v>2859</v>
      </c>
      <c r="BP174" s="89" t="s">
        <v>2859</v>
      </c>
      <c r="BQ174" s="89" t="s">
        <v>3351</v>
      </c>
      <c r="BR174" s="89" t="s">
        <v>2859</v>
      </c>
    </row>
    <row r="175" spans="1:70">
      <c r="A175" s="89" t="s">
        <v>2144</v>
      </c>
      <c r="B175" s="89" t="s">
        <v>3352</v>
      </c>
      <c r="C175" s="89" t="s">
        <v>2864</v>
      </c>
      <c r="D175" s="89" t="s">
        <v>2859</v>
      </c>
      <c r="E175" s="89" t="s">
        <v>2859</v>
      </c>
      <c r="F175" s="89" t="s">
        <v>2859</v>
      </c>
      <c r="G175" s="89" t="s">
        <v>2860</v>
      </c>
      <c r="H175" s="89" t="s">
        <v>2859</v>
      </c>
      <c r="I175" s="89" t="s">
        <v>2865</v>
      </c>
      <c r="J175" s="89" t="s">
        <v>3353</v>
      </c>
      <c r="K175" s="89" t="s">
        <v>2860</v>
      </c>
      <c r="L175" s="89" t="s">
        <v>621</v>
      </c>
      <c r="M175" s="89" t="s">
        <v>3353</v>
      </c>
      <c r="N175" s="89" t="s">
        <v>2860</v>
      </c>
      <c r="O175" s="89" t="s">
        <v>2859</v>
      </c>
      <c r="P175" s="89" t="s">
        <v>2859</v>
      </c>
      <c r="Q175" s="89" t="s">
        <v>2859</v>
      </c>
      <c r="R175" s="89" t="s">
        <v>2859</v>
      </c>
      <c r="S175" s="89" t="s">
        <v>2859</v>
      </c>
      <c r="T175" s="89" t="s">
        <v>2859</v>
      </c>
      <c r="U175" s="89" t="s">
        <v>2859</v>
      </c>
      <c r="V175" s="89" t="s">
        <v>2859</v>
      </c>
      <c r="W175" s="89" t="s">
        <v>2859</v>
      </c>
      <c r="X175" s="89" t="s">
        <v>2859</v>
      </c>
      <c r="Y175" s="89" t="s">
        <v>2859</v>
      </c>
      <c r="Z175" s="89" t="s">
        <v>2859</v>
      </c>
      <c r="AA175" s="89" t="s">
        <v>2859</v>
      </c>
      <c r="AB175" s="89" t="s">
        <v>2859</v>
      </c>
      <c r="AC175" s="89" t="s">
        <v>2859</v>
      </c>
      <c r="AD175" s="89" t="s">
        <v>2859</v>
      </c>
      <c r="AE175" s="89" t="s">
        <v>2859</v>
      </c>
      <c r="AF175" s="89" t="s">
        <v>2859</v>
      </c>
      <c r="AG175" s="89" t="s">
        <v>2859</v>
      </c>
      <c r="AH175" s="89" t="s">
        <v>2859</v>
      </c>
      <c r="AI175" s="89" t="s">
        <v>2859</v>
      </c>
      <c r="AJ175" s="89" t="s">
        <v>2859</v>
      </c>
      <c r="AK175" s="89" t="s">
        <v>2859</v>
      </c>
      <c r="AL175" s="89" t="s">
        <v>2859</v>
      </c>
      <c r="AM175" s="89" t="s">
        <v>2859</v>
      </c>
      <c r="AN175" s="89" t="s">
        <v>2859</v>
      </c>
      <c r="AO175" s="89" t="s">
        <v>2859</v>
      </c>
      <c r="AP175" s="89" t="s">
        <v>2859</v>
      </c>
      <c r="AQ175" s="89" t="s">
        <v>2859</v>
      </c>
      <c r="AR175" s="89" t="s">
        <v>2859</v>
      </c>
      <c r="AS175" s="89" t="s">
        <v>2859</v>
      </c>
      <c r="AT175" s="89" t="s">
        <v>2859</v>
      </c>
      <c r="AU175" s="89" t="s">
        <v>2859</v>
      </c>
      <c r="AV175" s="89" t="s">
        <v>2859</v>
      </c>
      <c r="AW175" s="89" t="s">
        <v>2859</v>
      </c>
      <c r="AX175" s="89" t="s">
        <v>2859</v>
      </c>
      <c r="AY175" s="89" t="s">
        <v>2859</v>
      </c>
      <c r="AZ175" s="89" t="s">
        <v>2859</v>
      </c>
      <c r="BA175" s="89" t="s">
        <v>2859</v>
      </c>
      <c r="BB175" s="89" t="s">
        <v>2859</v>
      </c>
      <c r="BC175" s="89" t="s">
        <v>2859</v>
      </c>
      <c r="BD175" s="89" t="s">
        <v>2859</v>
      </c>
      <c r="BE175" s="89" t="s">
        <v>2859</v>
      </c>
      <c r="BF175" s="89" t="s">
        <v>2859</v>
      </c>
      <c r="BG175" s="89" t="s">
        <v>2859</v>
      </c>
      <c r="BH175" s="89" t="s">
        <v>2859</v>
      </c>
      <c r="BI175" s="89" t="s">
        <v>2859</v>
      </c>
      <c r="BJ175" s="89" t="s">
        <v>2859</v>
      </c>
      <c r="BK175" s="89" t="s">
        <v>2859</v>
      </c>
      <c r="BL175" s="89" t="s">
        <v>2859</v>
      </c>
      <c r="BM175" s="89" t="s">
        <v>2859</v>
      </c>
      <c r="BN175" s="89" t="s">
        <v>2859</v>
      </c>
      <c r="BO175" s="89" t="s">
        <v>2859</v>
      </c>
      <c r="BP175" s="89" t="s">
        <v>2859</v>
      </c>
      <c r="BQ175" s="89" t="s">
        <v>3354</v>
      </c>
      <c r="BR175" s="89" t="s">
        <v>2859</v>
      </c>
    </row>
    <row r="176" spans="1:70">
      <c r="A176" s="89" t="s">
        <v>2144</v>
      </c>
      <c r="B176" s="89" t="s">
        <v>3355</v>
      </c>
      <c r="C176" s="89" t="s">
        <v>2879</v>
      </c>
      <c r="D176" s="89" t="s">
        <v>2859</v>
      </c>
      <c r="E176" s="89" t="s">
        <v>2859</v>
      </c>
      <c r="F176" s="89" t="s">
        <v>2859</v>
      </c>
      <c r="G176" s="89" t="s">
        <v>2860</v>
      </c>
      <c r="H176" s="89" t="s">
        <v>2859</v>
      </c>
      <c r="I176" s="89" t="s">
        <v>1463</v>
      </c>
      <c r="J176" s="89" t="s">
        <v>2859</v>
      </c>
      <c r="K176" s="89" t="s">
        <v>2859</v>
      </c>
      <c r="L176" s="89" t="s">
        <v>2859</v>
      </c>
      <c r="M176" s="89" t="s">
        <v>2859</v>
      </c>
      <c r="N176" s="89" t="s">
        <v>2859</v>
      </c>
      <c r="O176" s="89" t="s">
        <v>2859</v>
      </c>
      <c r="P176" s="89" t="s">
        <v>2859</v>
      </c>
      <c r="Q176" s="89" t="s">
        <v>2859</v>
      </c>
      <c r="R176" s="89" t="s">
        <v>2859</v>
      </c>
      <c r="S176" s="89" t="s">
        <v>2859</v>
      </c>
      <c r="T176" s="89" t="s">
        <v>2859</v>
      </c>
      <c r="U176" s="89" t="s">
        <v>2859</v>
      </c>
      <c r="V176" s="89" t="s">
        <v>2859</v>
      </c>
      <c r="W176" s="89" t="s">
        <v>2859</v>
      </c>
      <c r="X176" s="89" t="s">
        <v>2859</v>
      </c>
      <c r="Y176" s="89" t="s">
        <v>2859</v>
      </c>
      <c r="Z176" s="89" t="s">
        <v>2859</v>
      </c>
      <c r="AA176" s="89" t="s">
        <v>2859</v>
      </c>
      <c r="AB176" s="89" t="s">
        <v>2859</v>
      </c>
      <c r="AC176" s="89" t="s">
        <v>2859</v>
      </c>
      <c r="AD176" s="89" t="s">
        <v>2859</v>
      </c>
      <c r="AE176" s="89" t="s">
        <v>2859</v>
      </c>
      <c r="AF176" s="89" t="s">
        <v>2859</v>
      </c>
      <c r="AG176" s="89" t="s">
        <v>2859</v>
      </c>
      <c r="AH176" s="89" t="s">
        <v>2859</v>
      </c>
      <c r="AI176" s="89" t="s">
        <v>2859</v>
      </c>
      <c r="AJ176" s="89" t="s">
        <v>2859</v>
      </c>
      <c r="AK176" s="89" t="s">
        <v>2859</v>
      </c>
      <c r="AL176" s="89" t="s">
        <v>2859</v>
      </c>
      <c r="AM176" s="89" t="s">
        <v>2859</v>
      </c>
      <c r="AN176" s="89" t="s">
        <v>2859</v>
      </c>
      <c r="AO176" s="89" t="s">
        <v>2859</v>
      </c>
      <c r="AP176" s="89" t="s">
        <v>2859</v>
      </c>
      <c r="AQ176" s="89" t="s">
        <v>2859</v>
      </c>
      <c r="AR176" s="89" t="s">
        <v>2859</v>
      </c>
      <c r="AS176" s="89" t="s">
        <v>2859</v>
      </c>
      <c r="AT176" s="89" t="s">
        <v>2859</v>
      </c>
      <c r="AU176" s="89" t="s">
        <v>2859</v>
      </c>
      <c r="AV176" s="89" t="s">
        <v>2859</v>
      </c>
      <c r="AW176" s="89" t="s">
        <v>2859</v>
      </c>
      <c r="AX176" s="89" t="s">
        <v>2859</v>
      </c>
      <c r="AY176" s="89" t="s">
        <v>2859</v>
      </c>
      <c r="AZ176" s="89" t="s">
        <v>2859</v>
      </c>
      <c r="BA176" s="89" t="s">
        <v>2859</v>
      </c>
      <c r="BB176" s="89" t="s">
        <v>2859</v>
      </c>
      <c r="BC176" s="89" t="s">
        <v>2859</v>
      </c>
      <c r="BD176" s="89" t="s">
        <v>2859</v>
      </c>
      <c r="BE176" s="89" t="s">
        <v>2859</v>
      </c>
      <c r="BF176" s="89" t="s">
        <v>2859</v>
      </c>
      <c r="BG176" s="89" t="s">
        <v>2859</v>
      </c>
      <c r="BH176" s="89" t="s">
        <v>2859</v>
      </c>
      <c r="BI176" s="89" t="s">
        <v>2859</v>
      </c>
      <c r="BJ176" s="89" t="s">
        <v>2859</v>
      </c>
      <c r="BK176" s="89" t="s">
        <v>2859</v>
      </c>
      <c r="BL176" s="89" t="s">
        <v>2859</v>
      </c>
      <c r="BM176" s="89" t="s">
        <v>2859</v>
      </c>
      <c r="BN176" s="89" t="s">
        <v>2859</v>
      </c>
      <c r="BO176" s="89" t="s">
        <v>2859</v>
      </c>
      <c r="BP176" s="89" t="s">
        <v>2859</v>
      </c>
      <c r="BQ176" s="89" t="s">
        <v>3356</v>
      </c>
      <c r="BR176" s="89" t="s">
        <v>2859</v>
      </c>
    </row>
    <row r="177" spans="1:70">
      <c r="A177" s="89" t="s">
        <v>2144</v>
      </c>
      <c r="B177" s="89" t="s">
        <v>3357</v>
      </c>
      <c r="C177" s="89" t="s">
        <v>2858</v>
      </c>
      <c r="D177" s="89" t="s">
        <v>2859</v>
      </c>
      <c r="E177" s="89" t="s">
        <v>2859</v>
      </c>
      <c r="F177" s="89" t="s">
        <v>2859</v>
      </c>
      <c r="G177" s="89" t="s">
        <v>2860</v>
      </c>
      <c r="H177" s="89" t="s">
        <v>2859</v>
      </c>
      <c r="I177" s="89" t="s">
        <v>120</v>
      </c>
      <c r="J177" s="89" t="s">
        <v>3358</v>
      </c>
      <c r="K177" s="89" t="s">
        <v>2867</v>
      </c>
      <c r="L177" s="89" t="s">
        <v>2490</v>
      </c>
      <c r="M177" s="89" t="s">
        <v>3358</v>
      </c>
      <c r="N177" s="89" t="s">
        <v>2867</v>
      </c>
      <c r="O177" s="89" t="s">
        <v>2859</v>
      </c>
      <c r="P177" s="89" t="s">
        <v>2859</v>
      </c>
      <c r="Q177" s="89" t="s">
        <v>2859</v>
      </c>
      <c r="R177" s="89" t="s">
        <v>2859</v>
      </c>
      <c r="S177" s="89" t="s">
        <v>2859</v>
      </c>
      <c r="T177" s="89" t="s">
        <v>2859</v>
      </c>
      <c r="U177" s="89" t="s">
        <v>2859</v>
      </c>
      <c r="V177" s="89" t="s">
        <v>2859</v>
      </c>
      <c r="W177" s="89" t="s">
        <v>2859</v>
      </c>
      <c r="X177" s="89" t="s">
        <v>2859</v>
      </c>
      <c r="Y177" s="89" t="s">
        <v>2859</v>
      </c>
      <c r="Z177" s="89" t="s">
        <v>2859</v>
      </c>
      <c r="AA177" s="89" t="s">
        <v>2859</v>
      </c>
      <c r="AB177" s="89" t="s">
        <v>2859</v>
      </c>
      <c r="AC177" s="89" t="s">
        <v>2859</v>
      </c>
      <c r="AD177" s="89" t="s">
        <v>2859</v>
      </c>
      <c r="AE177" s="89" t="s">
        <v>2859</v>
      </c>
      <c r="AF177" s="89" t="s">
        <v>2859</v>
      </c>
      <c r="AG177" s="89" t="s">
        <v>2859</v>
      </c>
      <c r="AH177" s="89" t="s">
        <v>2859</v>
      </c>
      <c r="AI177" s="89" t="s">
        <v>2859</v>
      </c>
      <c r="AJ177" s="89" t="s">
        <v>2859</v>
      </c>
      <c r="AK177" s="89" t="s">
        <v>2859</v>
      </c>
      <c r="AL177" s="89" t="s">
        <v>2859</v>
      </c>
      <c r="AM177" s="89" t="s">
        <v>2859</v>
      </c>
      <c r="AN177" s="89" t="s">
        <v>2859</v>
      </c>
      <c r="AO177" s="89" t="s">
        <v>2859</v>
      </c>
      <c r="AP177" s="89" t="s">
        <v>2859</v>
      </c>
      <c r="AQ177" s="89" t="s">
        <v>2859</v>
      </c>
      <c r="AR177" s="89" t="s">
        <v>2859</v>
      </c>
      <c r="AS177" s="89" t="s">
        <v>2859</v>
      </c>
      <c r="AT177" s="89" t="s">
        <v>2859</v>
      </c>
      <c r="AU177" s="89" t="s">
        <v>2859</v>
      </c>
      <c r="AV177" s="89" t="s">
        <v>2859</v>
      </c>
      <c r="AW177" s="89" t="s">
        <v>2859</v>
      </c>
      <c r="AX177" s="89" t="s">
        <v>2859</v>
      </c>
      <c r="AY177" s="89" t="s">
        <v>2859</v>
      </c>
      <c r="AZ177" s="89" t="s">
        <v>2859</v>
      </c>
      <c r="BA177" s="89" t="s">
        <v>2859</v>
      </c>
      <c r="BB177" s="89" t="s">
        <v>2859</v>
      </c>
      <c r="BC177" s="89" t="s">
        <v>2859</v>
      </c>
      <c r="BD177" s="89" t="s">
        <v>2859</v>
      </c>
      <c r="BE177" s="89" t="s">
        <v>2859</v>
      </c>
      <c r="BF177" s="89" t="s">
        <v>2859</v>
      </c>
      <c r="BG177" s="89" t="s">
        <v>2859</v>
      </c>
      <c r="BH177" s="89" t="s">
        <v>2859</v>
      </c>
      <c r="BI177" s="89" t="s">
        <v>2859</v>
      </c>
      <c r="BJ177" s="89" t="s">
        <v>2859</v>
      </c>
      <c r="BK177" s="89" t="s">
        <v>2859</v>
      </c>
      <c r="BL177" s="89" t="s">
        <v>2859</v>
      </c>
      <c r="BM177" s="89" t="s">
        <v>2859</v>
      </c>
      <c r="BN177" s="89" t="s">
        <v>2859</v>
      </c>
      <c r="BO177" s="89" t="s">
        <v>2859</v>
      </c>
      <c r="BP177" s="89" t="s">
        <v>2859</v>
      </c>
      <c r="BQ177" s="89" t="s">
        <v>3359</v>
      </c>
      <c r="BR177" s="89" t="s">
        <v>2869</v>
      </c>
    </row>
    <row r="178" spans="1:70">
      <c r="A178" s="89" t="s">
        <v>2144</v>
      </c>
      <c r="B178" s="89" t="s">
        <v>3360</v>
      </c>
      <c r="C178" s="89" t="s">
        <v>2858</v>
      </c>
      <c r="D178" s="89" t="s">
        <v>2859</v>
      </c>
      <c r="E178" s="89" t="s">
        <v>2859</v>
      </c>
      <c r="F178" s="89" t="s">
        <v>2859</v>
      </c>
      <c r="G178" s="89" t="s">
        <v>2860</v>
      </c>
      <c r="H178" s="89" t="s">
        <v>2859</v>
      </c>
      <c r="I178" s="89" t="s">
        <v>2979</v>
      </c>
      <c r="J178" s="89" t="s">
        <v>3361</v>
      </c>
      <c r="K178" s="89" t="s">
        <v>2860</v>
      </c>
      <c r="L178" s="89" t="s">
        <v>2891</v>
      </c>
      <c r="M178" s="89" t="s">
        <v>3362</v>
      </c>
      <c r="N178" s="89" t="s">
        <v>2860</v>
      </c>
      <c r="O178" s="89" t="s">
        <v>2859</v>
      </c>
      <c r="P178" s="89" t="s">
        <v>2859</v>
      </c>
      <c r="Q178" s="89" t="s">
        <v>2859</v>
      </c>
      <c r="R178" s="89" t="s">
        <v>2859</v>
      </c>
      <c r="S178" s="89" t="s">
        <v>2859</v>
      </c>
      <c r="T178" s="89" t="s">
        <v>2859</v>
      </c>
      <c r="U178" s="89" t="s">
        <v>2859</v>
      </c>
      <c r="V178" s="89" t="s">
        <v>2859</v>
      </c>
      <c r="W178" s="89" t="s">
        <v>2859</v>
      </c>
      <c r="X178" s="89" t="s">
        <v>2859</v>
      </c>
      <c r="Y178" s="89" t="s">
        <v>2859</v>
      </c>
      <c r="Z178" s="89" t="s">
        <v>2859</v>
      </c>
      <c r="AA178" s="89" t="s">
        <v>2859</v>
      </c>
      <c r="AB178" s="89" t="s">
        <v>2859</v>
      </c>
      <c r="AC178" s="89" t="s">
        <v>2859</v>
      </c>
      <c r="AD178" s="89" t="s">
        <v>2859</v>
      </c>
      <c r="AE178" s="89" t="s">
        <v>2859</v>
      </c>
      <c r="AF178" s="89" t="s">
        <v>2859</v>
      </c>
      <c r="AG178" s="89" t="s">
        <v>2859</v>
      </c>
      <c r="AH178" s="89" t="s">
        <v>2859</v>
      </c>
      <c r="AI178" s="89" t="s">
        <v>2859</v>
      </c>
      <c r="AJ178" s="89" t="s">
        <v>2859</v>
      </c>
      <c r="AK178" s="89" t="s">
        <v>2859</v>
      </c>
      <c r="AL178" s="89" t="s">
        <v>2859</v>
      </c>
      <c r="AM178" s="89" t="s">
        <v>2859</v>
      </c>
      <c r="AN178" s="89" t="s">
        <v>2859</v>
      </c>
      <c r="AO178" s="89" t="s">
        <v>2859</v>
      </c>
      <c r="AP178" s="89" t="s">
        <v>2859</v>
      </c>
      <c r="AQ178" s="89" t="s">
        <v>2859</v>
      </c>
      <c r="AR178" s="89" t="s">
        <v>2859</v>
      </c>
      <c r="AS178" s="89" t="s">
        <v>2859</v>
      </c>
      <c r="AT178" s="89" t="s">
        <v>2859</v>
      </c>
      <c r="AU178" s="89" t="s">
        <v>2859</v>
      </c>
      <c r="AV178" s="89" t="s">
        <v>2859</v>
      </c>
      <c r="AW178" s="89" t="s">
        <v>2859</v>
      </c>
      <c r="AX178" s="89" t="s">
        <v>2859</v>
      </c>
      <c r="AY178" s="89" t="s">
        <v>2859</v>
      </c>
      <c r="AZ178" s="89" t="s">
        <v>2859</v>
      </c>
      <c r="BA178" s="89" t="s">
        <v>2859</v>
      </c>
      <c r="BB178" s="89" t="s">
        <v>2859</v>
      </c>
      <c r="BC178" s="89" t="s">
        <v>2859</v>
      </c>
      <c r="BD178" s="89" t="s">
        <v>2859</v>
      </c>
      <c r="BE178" s="89" t="s">
        <v>2859</v>
      </c>
      <c r="BF178" s="89" t="s">
        <v>2859</v>
      </c>
      <c r="BG178" s="89" t="s">
        <v>2859</v>
      </c>
      <c r="BH178" s="89" t="s">
        <v>2859</v>
      </c>
      <c r="BI178" s="89" t="s">
        <v>2859</v>
      </c>
      <c r="BJ178" s="89" t="s">
        <v>2859</v>
      </c>
      <c r="BK178" s="89" t="s">
        <v>2859</v>
      </c>
      <c r="BL178" s="89" t="s">
        <v>2859</v>
      </c>
      <c r="BM178" s="89" t="s">
        <v>2859</v>
      </c>
      <c r="BN178" s="89" t="s">
        <v>2859</v>
      </c>
      <c r="BO178" s="89" t="s">
        <v>2859</v>
      </c>
      <c r="BP178" s="89" t="s">
        <v>2859</v>
      </c>
      <c r="BQ178" s="89" t="s">
        <v>3363</v>
      </c>
      <c r="BR178" s="89" t="s">
        <v>2859</v>
      </c>
    </row>
    <row r="179" spans="1:70">
      <c r="A179" s="89" t="s">
        <v>2144</v>
      </c>
      <c r="B179" s="89" t="s">
        <v>3364</v>
      </c>
      <c r="C179" s="89" t="s">
        <v>2864</v>
      </c>
      <c r="D179" s="89" t="s">
        <v>2859</v>
      </c>
      <c r="E179" s="89" t="s">
        <v>2859</v>
      </c>
      <c r="F179" s="89" t="s">
        <v>2859</v>
      </c>
      <c r="G179" s="89" t="s">
        <v>2860</v>
      </c>
      <c r="H179" s="89" t="s">
        <v>2859</v>
      </c>
      <c r="I179" s="89" t="s">
        <v>120</v>
      </c>
      <c r="J179" s="89" t="s">
        <v>3365</v>
      </c>
      <c r="K179" s="89" t="s">
        <v>2867</v>
      </c>
      <c r="L179" s="89" t="s">
        <v>2490</v>
      </c>
      <c r="M179" s="89" t="s">
        <v>3365</v>
      </c>
      <c r="N179" s="89" t="s">
        <v>2867</v>
      </c>
      <c r="O179" s="89" t="s">
        <v>2859</v>
      </c>
      <c r="P179" s="89" t="s">
        <v>2859</v>
      </c>
      <c r="Q179" s="89" t="s">
        <v>2859</v>
      </c>
      <c r="R179" s="89" t="s">
        <v>2859</v>
      </c>
      <c r="S179" s="89" t="s">
        <v>2859</v>
      </c>
      <c r="T179" s="89" t="s">
        <v>2859</v>
      </c>
      <c r="U179" s="89" t="s">
        <v>2859</v>
      </c>
      <c r="V179" s="89" t="s">
        <v>2859</v>
      </c>
      <c r="W179" s="89" t="s">
        <v>2859</v>
      </c>
      <c r="X179" s="89" t="s">
        <v>2859</v>
      </c>
      <c r="Y179" s="89" t="s">
        <v>2859</v>
      </c>
      <c r="Z179" s="89" t="s">
        <v>2859</v>
      </c>
      <c r="AA179" s="89" t="s">
        <v>2859</v>
      </c>
      <c r="AB179" s="89" t="s">
        <v>2859</v>
      </c>
      <c r="AC179" s="89" t="s">
        <v>2859</v>
      </c>
      <c r="AD179" s="89" t="s">
        <v>2859</v>
      </c>
      <c r="AE179" s="89" t="s">
        <v>2859</v>
      </c>
      <c r="AF179" s="89" t="s">
        <v>2859</v>
      </c>
      <c r="AG179" s="89" t="s">
        <v>2859</v>
      </c>
      <c r="AH179" s="89" t="s">
        <v>2859</v>
      </c>
      <c r="AI179" s="89" t="s">
        <v>2859</v>
      </c>
      <c r="AJ179" s="89" t="s">
        <v>2859</v>
      </c>
      <c r="AK179" s="89" t="s">
        <v>2859</v>
      </c>
      <c r="AL179" s="89" t="s">
        <v>2859</v>
      </c>
      <c r="AM179" s="89" t="s">
        <v>2859</v>
      </c>
      <c r="AN179" s="89" t="s">
        <v>2859</v>
      </c>
      <c r="AO179" s="89" t="s">
        <v>2859</v>
      </c>
      <c r="AP179" s="89" t="s">
        <v>2859</v>
      </c>
      <c r="AQ179" s="89" t="s">
        <v>2859</v>
      </c>
      <c r="AR179" s="89" t="s">
        <v>2859</v>
      </c>
      <c r="AS179" s="89" t="s">
        <v>2859</v>
      </c>
      <c r="AT179" s="89" t="s">
        <v>2859</v>
      </c>
      <c r="AU179" s="89" t="s">
        <v>2859</v>
      </c>
      <c r="AV179" s="89" t="s">
        <v>2859</v>
      </c>
      <c r="AW179" s="89" t="s">
        <v>2859</v>
      </c>
      <c r="AX179" s="89" t="s">
        <v>2859</v>
      </c>
      <c r="AY179" s="89" t="s">
        <v>2859</v>
      </c>
      <c r="AZ179" s="89" t="s">
        <v>2859</v>
      </c>
      <c r="BA179" s="89" t="s">
        <v>2859</v>
      </c>
      <c r="BB179" s="89" t="s">
        <v>2859</v>
      </c>
      <c r="BC179" s="89" t="s">
        <v>2859</v>
      </c>
      <c r="BD179" s="89" t="s">
        <v>2859</v>
      </c>
      <c r="BE179" s="89" t="s">
        <v>2859</v>
      </c>
      <c r="BF179" s="89" t="s">
        <v>2859</v>
      </c>
      <c r="BG179" s="89" t="s">
        <v>2859</v>
      </c>
      <c r="BH179" s="89" t="s">
        <v>2859</v>
      </c>
      <c r="BI179" s="89" t="s">
        <v>2859</v>
      </c>
      <c r="BJ179" s="89" t="s">
        <v>2859</v>
      </c>
      <c r="BK179" s="89" t="s">
        <v>2859</v>
      </c>
      <c r="BL179" s="89" t="s">
        <v>2859</v>
      </c>
      <c r="BM179" s="89" t="s">
        <v>2859</v>
      </c>
      <c r="BN179" s="89" t="s">
        <v>2859</v>
      </c>
      <c r="BO179" s="89" t="s">
        <v>2859</v>
      </c>
      <c r="BP179" s="89" t="s">
        <v>2859</v>
      </c>
      <c r="BQ179" s="89" t="s">
        <v>3366</v>
      </c>
      <c r="BR179" s="89" t="s">
        <v>2869</v>
      </c>
    </row>
    <row r="180" spans="1:70">
      <c r="A180" s="89" t="s">
        <v>2144</v>
      </c>
      <c r="B180" s="89" t="s">
        <v>3367</v>
      </c>
      <c r="C180" s="89" t="s">
        <v>2879</v>
      </c>
      <c r="D180" s="89" t="s">
        <v>2859</v>
      </c>
      <c r="E180" s="89" t="s">
        <v>2859</v>
      </c>
      <c r="F180" s="89" t="s">
        <v>2859</v>
      </c>
      <c r="G180" s="89" t="s">
        <v>2860</v>
      </c>
      <c r="H180" s="89" t="s">
        <v>2859</v>
      </c>
      <c r="I180" s="89" t="s">
        <v>621</v>
      </c>
      <c r="J180" s="89" t="s">
        <v>3368</v>
      </c>
      <c r="K180" s="89" t="s">
        <v>2860</v>
      </c>
      <c r="L180" s="89" t="s">
        <v>2490</v>
      </c>
      <c r="M180" s="89" t="s">
        <v>3368</v>
      </c>
      <c r="N180" s="89" t="s">
        <v>2860</v>
      </c>
      <c r="O180" s="89" t="s">
        <v>2859</v>
      </c>
      <c r="P180" s="89" t="s">
        <v>2859</v>
      </c>
      <c r="Q180" s="89" t="s">
        <v>2859</v>
      </c>
      <c r="R180" s="89" t="s">
        <v>2859</v>
      </c>
      <c r="S180" s="89" t="s">
        <v>2859</v>
      </c>
      <c r="T180" s="89" t="s">
        <v>2859</v>
      </c>
      <c r="U180" s="89" t="s">
        <v>2859</v>
      </c>
      <c r="V180" s="89" t="s">
        <v>2859</v>
      </c>
      <c r="W180" s="89" t="s">
        <v>2859</v>
      </c>
      <c r="X180" s="89" t="s">
        <v>2859</v>
      </c>
      <c r="Y180" s="89" t="s">
        <v>2859</v>
      </c>
      <c r="Z180" s="89" t="s">
        <v>2859</v>
      </c>
      <c r="AA180" s="89" t="s">
        <v>2859</v>
      </c>
      <c r="AB180" s="89" t="s">
        <v>2859</v>
      </c>
      <c r="AC180" s="89" t="s">
        <v>2859</v>
      </c>
      <c r="AD180" s="89" t="s">
        <v>2859</v>
      </c>
      <c r="AE180" s="89" t="s">
        <v>2859</v>
      </c>
      <c r="AF180" s="89" t="s">
        <v>2859</v>
      </c>
      <c r="AG180" s="89" t="s">
        <v>2859</v>
      </c>
      <c r="AH180" s="89" t="s">
        <v>2859</v>
      </c>
      <c r="AI180" s="89" t="s">
        <v>2859</v>
      </c>
      <c r="AJ180" s="89" t="s">
        <v>2859</v>
      </c>
      <c r="AK180" s="89" t="s">
        <v>2859</v>
      </c>
      <c r="AL180" s="89" t="s">
        <v>2859</v>
      </c>
      <c r="AM180" s="89" t="s">
        <v>2859</v>
      </c>
      <c r="AN180" s="89" t="s">
        <v>2859</v>
      </c>
      <c r="AO180" s="89" t="s">
        <v>2859</v>
      </c>
      <c r="AP180" s="89" t="s">
        <v>2859</v>
      </c>
      <c r="AQ180" s="89" t="s">
        <v>2859</v>
      </c>
      <c r="AR180" s="89" t="s">
        <v>2859</v>
      </c>
      <c r="AS180" s="89" t="s">
        <v>2859</v>
      </c>
      <c r="AT180" s="89" t="s">
        <v>2859</v>
      </c>
      <c r="AU180" s="89" t="s">
        <v>2859</v>
      </c>
      <c r="AV180" s="89" t="s">
        <v>2859</v>
      </c>
      <c r="AW180" s="89" t="s">
        <v>2859</v>
      </c>
      <c r="AX180" s="89" t="s">
        <v>2859</v>
      </c>
      <c r="AY180" s="89" t="s">
        <v>2859</v>
      </c>
      <c r="AZ180" s="89" t="s">
        <v>2859</v>
      </c>
      <c r="BA180" s="89" t="s">
        <v>2859</v>
      </c>
      <c r="BB180" s="89" t="s">
        <v>2859</v>
      </c>
      <c r="BC180" s="89" t="s">
        <v>2859</v>
      </c>
      <c r="BD180" s="89" t="s">
        <v>2859</v>
      </c>
      <c r="BE180" s="89" t="s">
        <v>2859</v>
      </c>
      <c r="BF180" s="89" t="s">
        <v>2859</v>
      </c>
      <c r="BG180" s="89" t="s">
        <v>2859</v>
      </c>
      <c r="BH180" s="89" t="s">
        <v>2859</v>
      </c>
      <c r="BI180" s="89" t="s">
        <v>2859</v>
      </c>
      <c r="BJ180" s="89" t="s">
        <v>2859</v>
      </c>
      <c r="BK180" s="89" t="s">
        <v>2859</v>
      </c>
      <c r="BL180" s="89" t="s">
        <v>2859</v>
      </c>
      <c r="BM180" s="89" t="s">
        <v>2859</v>
      </c>
      <c r="BN180" s="89" t="s">
        <v>2859</v>
      </c>
      <c r="BO180" s="89" t="s">
        <v>2859</v>
      </c>
      <c r="BP180" s="89" t="s">
        <v>2859</v>
      </c>
      <c r="BQ180" s="89" t="s">
        <v>3369</v>
      </c>
      <c r="BR180" s="89" t="s">
        <v>2859</v>
      </c>
    </row>
    <row r="181" spans="1:70">
      <c r="A181" s="89" t="s">
        <v>2144</v>
      </c>
      <c r="B181" s="89" t="s">
        <v>3370</v>
      </c>
      <c r="C181" s="89" t="s">
        <v>3170</v>
      </c>
      <c r="D181" s="89" t="s">
        <v>2859</v>
      </c>
      <c r="E181" s="89" t="s">
        <v>2859</v>
      </c>
      <c r="F181" s="89" t="s">
        <v>2859</v>
      </c>
      <c r="G181" s="89" t="s">
        <v>2860</v>
      </c>
      <c r="H181" s="89" t="s">
        <v>2859</v>
      </c>
      <c r="I181" s="89" t="s">
        <v>1463</v>
      </c>
      <c r="J181" s="89" t="s">
        <v>3371</v>
      </c>
      <c r="K181" s="89" t="s">
        <v>2860</v>
      </c>
      <c r="L181" s="89" t="s">
        <v>2891</v>
      </c>
      <c r="M181" s="89" t="s">
        <v>3371</v>
      </c>
      <c r="N181" s="89" t="s">
        <v>2860</v>
      </c>
      <c r="O181" s="89" t="s">
        <v>2859</v>
      </c>
      <c r="P181" s="89" t="s">
        <v>2859</v>
      </c>
      <c r="Q181" s="89" t="s">
        <v>2859</v>
      </c>
      <c r="R181" s="89" t="s">
        <v>2859</v>
      </c>
      <c r="S181" s="89" t="s">
        <v>2859</v>
      </c>
      <c r="T181" s="89" t="s">
        <v>2859</v>
      </c>
      <c r="U181" s="89" t="s">
        <v>2859</v>
      </c>
      <c r="V181" s="89" t="s">
        <v>2859</v>
      </c>
      <c r="W181" s="89" t="s">
        <v>2859</v>
      </c>
      <c r="X181" s="89" t="s">
        <v>2859</v>
      </c>
      <c r="Y181" s="89" t="s">
        <v>2859</v>
      </c>
      <c r="Z181" s="89" t="s">
        <v>2859</v>
      </c>
      <c r="AA181" s="89" t="s">
        <v>2859</v>
      </c>
      <c r="AB181" s="89" t="s">
        <v>2859</v>
      </c>
      <c r="AC181" s="89" t="s">
        <v>2859</v>
      </c>
      <c r="AD181" s="89" t="s">
        <v>2859</v>
      </c>
      <c r="AE181" s="89" t="s">
        <v>2859</v>
      </c>
      <c r="AF181" s="89" t="s">
        <v>2859</v>
      </c>
      <c r="AG181" s="89" t="s">
        <v>2859</v>
      </c>
      <c r="AH181" s="89" t="s">
        <v>2859</v>
      </c>
      <c r="AI181" s="89" t="s">
        <v>2859</v>
      </c>
      <c r="AJ181" s="89" t="s">
        <v>2859</v>
      </c>
      <c r="AK181" s="89" t="s">
        <v>2859</v>
      </c>
      <c r="AL181" s="89" t="s">
        <v>2859</v>
      </c>
      <c r="AM181" s="89" t="s">
        <v>2859</v>
      </c>
      <c r="AN181" s="89" t="s">
        <v>2859</v>
      </c>
      <c r="AO181" s="89" t="s">
        <v>2859</v>
      </c>
      <c r="AP181" s="89" t="s">
        <v>2859</v>
      </c>
      <c r="AQ181" s="89" t="s">
        <v>2859</v>
      </c>
      <c r="AR181" s="89" t="s">
        <v>2859</v>
      </c>
      <c r="AS181" s="89" t="s">
        <v>2859</v>
      </c>
      <c r="AT181" s="89" t="s">
        <v>2859</v>
      </c>
      <c r="AU181" s="89" t="s">
        <v>2859</v>
      </c>
      <c r="AV181" s="89" t="s">
        <v>2859</v>
      </c>
      <c r="AW181" s="89" t="s">
        <v>2859</v>
      </c>
      <c r="AX181" s="89" t="s">
        <v>2859</v>
      </c>
      <c r="AY181" s="89" t="s">
        <v>2859</v>
      </c>
      <c r="AZ181" s="89" t="s">
        <v>2859</v>
      </c>
      <c r="BA181" s="89" t="s">
        <v>2859</v>
      </c>
      <c r="BB181" s="89" t="s">
        <v>2859</v>
      </c>
      <c r="BC181" s="89" t="s">
        <v>2859</v>
      </c>
      <c r="BD181" s="89" t="s">
        <v>2859</v>
      </c>
      <c r="BE181" s="89" t="s">
        <v>2859</v>
      </c>
      <c r="BF181" s="89" t="s">
        <v>2859</v>
      </c>
      <c r="BG181" s="89" t="s">
        <v>2859</v>
      </c>
      <c r="BH181" s="89" t="s">
        <v>2859</v>
      </c>
      <c r="BI181" s="89" t="s">
        <v>2859</v>
      </c>
      <c r="BJ181" s="89" t="s">
        <v>2859</v>
      </c>
      <c r="BK181" s="89" t="s">
        <v>2859</v>
      </c>
      <c r="BL181" s="89" t="s">
        <v>2859</v>
      </c>
      <c r="BM181" s="89" t="s">
        <v>2859</v>
      </c>
      <c r="BN181" s="89" t="s">
        <v>2859</v>
      </c>
      <c r="BO181" s="89" t="s">
        <v>2859</v>
      </c>
      <c r="BP181" s="89" t="s">
        <v>2859</v>
      </c>
      <c r="BQ181" s="89" t="s">
        <v>3372</v>
      </c>
      <c r="BR181" s="89" t="s">
        <v>2859</v>
      </c>
    </row>
    <row r="182" spans="1:70">
      <c r="A182" s="89" t="s">
        <v>2144</v>
      </c>
      <c r="B182" s="89" t="s">
        <v>3373</v>
      </c>
      <c r="C182" s="89" t="s">
        <v>3003</v>
      </c>
      <c r="D182" s="89" t="s">
        <v>2859</v>
      </c>
      <c r="E182" s="89" t="s">
        <v>2859</v>
      </c>
      <c r="F182" s="89" t="s">
        <v>2859</v>
      </c>
      <c r="G182" s="89" t="s">
        <v>2860</v>
      </c>
      <c r="H182" s="89" t="s">
        <v>2859</v>
      </c>
      <c r="I182" s="89" t="s">
        <v>120</v>
      </c>
      <c r="J182" s="89" t="s">
        <v>3374</v>
      </c>
      <c r="K182" s="89" t="s">
        <v>2860</v>
      </c>
      <c r="L182" s="89" t="s">
        <v>2490</v>
      </c>
      <c r="M182" s="89" t="s">
        <v>3374</v>
      </c>
      <c r="N182" s="89" t="s">
        <v>2860</v>
      </c>
      <c r="O182" s="89" t="s">
        <v>2859</v>
      </c>
      <c r="P182" s="89" t="s">
        <v>2859</v>
      </c>
      <c r="Q182" s="89" t="s">
        <v>2859</v>
      </c>
      <c r="R182" s="89" t="s">
        <v>2859</v>
      </c>
      <c r="S182" s="89" t="s">
        <v>2859</v>
      </c>
      <c r="T182" s="89" t="s">
        <v>2859</v>
      </c>
      <c r="U182" s="89" t="s">
        <v>2859</v>
      </c>
      <c r="V182" s="89" t="s">
        <v>2859</v>
      </c>
      <c r="W182" s="89" t="s">
        <v>2859</v>
      </c>
      <c r="X182" s="89" t="s">
        <v>2859</v>
      </c>
      <c r="Y182" s="89" t="s">
        <v>2859</v>
      </c>
      <c r="Z182" s="89" t="s">
        <v>2859</v>
      </c>
      <c r="AA182" s="89" t="s">
        <v>2859</v>
      </c>
      <c r="AB182" s="89" t="s">
        <v>2859</v>
      </c>
      <c r="AC182" s="89" t="s">
        <v>2859</v>
      </c>
      <c r="AD182" s="89" t="s">
        <v>2859</v>
      </c>
      <c r="AE182" s="89" t="s">
        <v>2859</v>
      </c>
      <c r="AF182" s="89" t="s">
        <v>2859</v>
      </c>
      <c r="AG182" s="89" t="s">
        <v>2859</v>
      </c>
      <c r="AH182" s="89" t="s">
        <v>2859</v>
      </c>
      <c r="AI182" s="89" t="s">
        <v>2859</v>
      </c>
      <c r="AJ182" s="89" t="s">
        <v>2859</v>
      </c>
      <c r="AK182" s="89" t="s">
        <v>2859</v>
      </c>
      <c r="AL182" s="89" t="s">
        <v>2859</v>
      </c>
      <c r="AM182" s="89" t="s">
        <v>2859</v>
      </c>
      <c r="AN182" s="89" t="s">
        <v>2859</v>
      </c>
      <c r="AO182" s="89" t="s">
        <v>2859</v>
      </c>
      <c r="AP182" s="89" t="s">
        <v>2859</v>
      </c>
      <c r="AQ182" s="89" t="s">
        <v>2859</v>
      </c>
      <c r="AR182" s="89" t="s">
        <v>2859</v>
      </c>
      <c r="AS182" s="89" t="s">
        <v>2859</v>
      </c>
      <c r="AT182" s="89" t="s">
        <v>2859</v>
      </c>
      <c r="AU182" s="89" t="s">
        <v>2859</v>
      </c>
      <c r="AV182" s="89" t="s">
        <v>2859</v>
      </c>
      <c r="AW182" s="89" t="s">
        <v>2859</v>
      </c>
      <c r="AX182" s="89" t="s">
        <v>2859</v>
      </c>
      <c r="AY182" s="89" t="s">
        <v>2859</v>
      </c>
      <c r="AZ182" s="89" t="s">
        <v>2859</v>
      </c>
      <c r="BA182" s="89" t="s">
        <v>2859</v>
      </c>
      <c r="BB182" s="89" t="s">
        <v>2859</v>
      </c>
      <c r="BC182" s="89" t="s">
        <v>2859</v>
      </c>
      <c r="BD182" s="89" t="s">
        <v>2859</v>
      </c>
      <c r="BE182" s="89" t="s">
        <v>2859</v>
      </c>
      <c r="BF182" s="89" t="s">
        <v>2859</v>
      </c>
      <c r="BG182" s="89" t="s">
        <v>2859</v>
      </c>
      <c r="BH182" s="89" t="s">
        <v>2859</v>
      </c>
      <c r="BI182" s="89" t="s">
        <v>2859</v>
      </c>
      <c r="BJ182" s="89" t="s">
        <v>2859</v>
      </c>
      <c r="BK182" s="89" t="s">
        <v>2859</v>
      </c>
      <c r="BL182" s="89" t="s">
        <v>2859</v>
      </c>
      <c r="BM182" s="89" t="s">
        <v>2859</v>
      </c>
      <c r="BN182" s="89" t="s">
        <v>2859</v>
      </c>
      <c r="BO182" s="89" t="s">
        <v>2859</v>
      </c>
      <c r="BP182" s="89" t="s">
        <v>2859</v>
      </c>
      <c r="BQ182" s="89" t="s">
        <v>3375</v>
      </c>
      <c r="BR182" s="89" t="s">
        <v>2859</v>
      </c>
    </row>
    <row r="183" spans="1:70">
      <c r="A183" s="89" t="s">
        <v>2144</v>
      </c>
      <c r="B183" s="89" t="s">
        <v>3376</v>
      </c>
      <c r="C183" s="89" t="s">
        <v>2864</v>
      </c>
      <c r="D183" s="89" t="s">
        <v>2859</v>
      </c>
      <c r="E183" s="89" t="s">
        <v>2859</v>
      </c>
      <c r="F183" s="89" t="s">
        <v>2859</v>
      </c>
      <c r="G183" s="89" t="s">
        <v>2860</v>
      </c>
      <c r="H183" s="89" t="s">
        <v>2859</v>
      </c>
      <c r="I183" s="89" t="s">
        <v>2865</v>
      </c>
      <c r="J183" s="89" t="s">
        <v>2859</v>
      </c>
      <c r="K183" s="89" t="s">
        <v>2859</v>
      </c>
      <c r="L183" s="89" t="s">
        <v>2859</v>
      </c>
      <c r="M183" s="89" t="s">
        <v>2859</v>
      </c>
      <c r="N183" s="89" t="s">
        <v>2859</v>
      </c>
      <c r="O183" s="89" t="s">
        <v>2859</v>
      </c>
      <c r="P183" s="89" t="s">
        <v>2859</v>
      </c>
      <c r="Q183" s="89" t="s">
        <v>2859</v>
      </c>
      <c r="R183" s="89" t="s">
        <v>2859</v>
      </c>
      <c r="S183" s="89" t="s">
        <v>2859</v>
      </c>
      <c r="T183" s="89" t="s">
        <v>2859</v>
      </c>
      <c r="U183" s="89" t="s">
        <v>2859</v>
      </c>
      <c r="V183" s="89" t="s">
        <v>2859</v>
      </c>
      <c r="W183" s="89" t="s">
        <v>2859</v>
      </c>
      <c r="X183" s="89" t="s">
        <v>2859</v>
      </c>
      <c r="Y183" s="89" t="s">
        <v>2859</v>
      </c>
      <c r="Z183" s="89" t="s">
        <v>2859</v>
      </c>
      <c r="AA183" s="89" t="s">
        <v>2859</v>
      </c>
      <c r="AB183" s="89" t="s">
        <v>2859</v>
      </c>
      <c r="AC183" s="89" t="s">
        <v>2859</v>
      </c>
      <c r="AD183" s="89" t="s">
        <v>2859</v>
      </c>
      <c r="AE183" s="89" t="s">
        <v>2859</v>
      </c>
      <c r="AF183" s="89" t="s">
        <v>2859</v>
      </c>
      <c r="AG183" s="89" t="s">
        <v>2859</v>
      </c>
      <c r="AH183" s="89" t="s">
        <v>2859</v>
      </c>
      <c r="AI183" s="89" t="s">
        <v>2859</v>
      </c>
      <c r="AJ183" s="89" t="s">
        <v>2859</v>
      </c>
      <c r="AK183" s="89" t="s">
        <v>2859</v>
      </c>
      <c r="AL183" s="89" t="s">
        <v>2859</v>
      </c>
      <c r="AM183" s="89" t="s">
        <v>2859</v>
      </c>
      <c r="AN183" s="89" t="s">
        <v>2859</v>
      </c>
      <c r="AO183" s="89" t="s">
        <v>2859</v>
      </c>
      <c r="AP183" s="89" t="s">
        <v>2859</v>
      </c>
      <c r="AQ183" s="89" t="s">
        <v>2859</v>
      </c>
      <c r="AR183" s="89" t="s">
        <v>2859</v>
      </c>
      <c r="AS183" s="89" t="s">
        <v>2859</v>
      </c>
      <c r="AT183" s="89" t="s">
        <v>2859</v>
      </c>
      <c r="AU183" s="89" t="s">
        <v>2859</v>
      </c>
      <c r="AV183" s="89" t="s">
        <v>2859</v>
      </c>
      <c r="AW183" s="89" t="s">
        <v>2859</v>
      </c>
      <c r="AX183" s="89" t="s">
        <v>2859</v>
      </c>
      <c r="AY183" s="89" t="s">
        <v>2859</v>
      </c>
      <c r="AZ183" s="89" t="s">
        <v>2859</v>
      </c>
      <c r="BA183" s="89" t="s">
        <v>2859</v>
      </c>
      <c r="BB183" s="89" t="s">
        <v>2859</v>
      </c>
      <c r="BC183" s="89" t="s">
        <v>2859</v>
      </c>
      <c r="BD183" s="89" t="s">
        <v>2859</v>
      </c>
      <c r="BE183" s="89" t="s">
        <v>2859</v>
      </c>
      <c r="BF183" s="89" t="s">
        <v>2859</v>
      </c>
      <c r="BG183" s="89" t="s">
        <v>2859</v>
      </c>
      <c r="BH183" s="89" t="s">
        <v>2859</v>
      </c>
      <c r="BI183" s="89" t="s">
        <v>2859</v>
      </c>
      <c r="BJ183" s="89" t="s">
        <v>2859</v>
      </c>
      <c r="BK183" s="89" t="s">
        <v>2859</v>
      </c>
      <c r="BL183" s="89" t="s">
        <v>2859</v>
      </c>
      <c r="BM183" s="89" t="s">
        <v>2859</v>
      </c>
      <c r="BN183" s="89" t="s">
        <v>2859</v>
      </c>
      <c r="BO183" s="89" t="s">
        <v>2859</v>
      </c>
      <c r="BP183" s="89" t="s">
        <v>2859</v>
      </c>
      <c r="BQ183" s="89" t="s">
        <v>3377</v>
      </c>
      <c r="BR183" s="89" t="s">
        <v>2859</v>
      </c>
    </row>
    <row r="184" spans="1:70">
      <c r="A184" s="89" t="s">
        <v>2144</v>
      </c>
      <c r="B184" s="89" t="s">
        <v>3378</v>
      </c>
      <c r="C184" s="89" t="s">
        <v>2974</v>
      </c>
      <c r="D184" s="89" t="s">
        <v>2859</v>
      </c>
      <c r="E184" s="89" t="s">
        <v>2859</v>
      </c>
      <c r="F184" s="89" t="s">
        <v>2859</v>
      </c>
      <c r="G184" s="89" t="s">
        <v>2860</v>
      </c>
      <c r="H184" s="89" t="s">
        <v>2859</v>
      </c>
      <c r="I184" s="89" t="s">
        <v>2865</v>
      </c>
      <c r="J184" s="89" t="s">
        <v>2859</v>
      </c>
      <c r="K184" s="89" t="s">
        <v>2859</v>
      </c>
      <c r="L184" s="89" t="s">
        <v>2859</v>
      </c>
      <c r="M184" s="89" t="s">
        <v>2859</v>
      </c>
      <c r="N184" s="89" t="s">
        <v>2859</v>
      </c>
      <c r="O184" s="89" t="s">
        <v>2859</v>
      </c>
      <c r="P184" s="89" t="s">
        <v>2859</v>
      </c>
      <c r="Q184" s="89" t="s">
        <v>2859</v>
      </c>
      <c r="R184" s="89" t="s">
        <v>2859</v>
      </c>
      <c r="S184" s="89" t="s">
        <v>2859</v>
      </c>
      <c r="T184" s="89" t="s">
        <v>2859</v>
      </c>
      <c r="U184" s="89" t="s">
        <v>2859</v>
      </c>
      <c r="V184" s="89" t="s">
        <v>2859</v>
      </c>
      <c r="W184" s="89" t="s">
        <v>2859</v>
      </c>
      <c r="X184" s="89" t="s">
        <v>2859</v>
      </c>
      <c r="Y184" s="89" t="s">
        <v>2859</v>
      </c>
      <c r="Z184" s="89" t="s">
        <v>2859</v>
      </c>
      <c r="AA184" s="89" t="s">
        <v>2859</v>
      </c>
      <c r="AB184" s="89" t="s">
        <v>2859</v>
      </c>
      <c r="AC184" s="89" t="s">
        <v>2859</v>
      </c>
      <c r="AD184" s="89" t="s">
        <v>2859</v>
      </c>
      <c r="AE184" s="89" t="s">
        <v>2859</v>
      </c>
      <c r="AF184" s="89" t="s">
        <v>2859</v>
      </c>
      <c r="AG184" s="89" t="s">
        <v>2859</v>
      </c>
      <c r="AH184" s="89" t="s">
        <v>2859</v>
      </c>
      <c r="AI184" s="89" t="s">
        <v>2859</v>
      </c>
      <c r="AJ184" s="89" t="s">
        <v>2859</v>
      </c>
      <c r="AK184" s="89" t="s">
        <v>2859</v>
      </c>
      <c r="AL184" s="89" t="s">
        <v>2859</v>
      </c>
      <c r="AM184" s="89" t="s">
        <v>2859</v>
      </c>
      <c r="AN184" s="89" t="s">
        <v>2859</v>
      </c>
      <c r="AO184" s="89" t="s">
        <v>2859</v>
      </c>
      <c r="AP184" s="89" t="s">
        <v>2859</v>
      </c>
      <c r="AQ184" s="89" t="s">
        <v>2859</v>
      </c>
      <c r="AR184" s="89" t="s">
        <v>2859</v>
      </c>
      <c r="AS184" s="89" t="s">
        <v>2859</v>
      </c>
      <c r="AT184" s="89" t="s">
        <v>2859</v>
      </c>
      <c r="AU184" s="89" t="s">
        <v>2859</v>
      </c>
      <c r="AV184" s="89" t="s">
        <v>2859</v>
      </c>
      <c r="AW184" s="89" t="s">
        <v>2859</v>
      </c>
      <c r="AX184" s="89" t="s">
        <v>2859</v>
      </c>
      <c r="AY184" s="89" t="s">
        <v>2859</v>
      </c>
      <c r="AZ184" s="89" t="s">
        <v>2859</v>
      </c>
      <c r="BA184" s="89" t="s">
        <v>2859</v>
      </c>
      <c r="BB184" s="89" t="s">
        <v>2859</v>
      </c>
      <c r="BC184" s="89" t="s">
        <v>2859</v>
      </c>
      <c r="BD184" s="89" t="s">
        <v>2859</v>
      </c>
      <c r="BE184" s="89" t="s">
        <v>2859</v>
      </c>
      <c r="BF184" s="89" t="s">
        <v>2859</v>
      </c>
      <c r="BG184" s="89" t="s">
        <v>2859</v>
      </c>
      <c r="BH184" s="89" t="s">
        <v>2859</v>
      </c>
      <c r="BI184" s="89" t="s">
        <v>2859</v>
      </c>
      <c r="BJ184" s="89" t="s">
        <v>2859</v>
      </c>
      <c r="BK184" s="89" t="s">
        <v>2859</v>
      </c>
      <c r="BL184" s="89" t="s">
        <v>2859</v>
      </c>
      <c r="BM184" s="89" t="s">
        <v>2859</v>
      </c>
      <c r="BN184" s="89" t="s">
        <v>2859</v>
      </c>
      <c r="BO184" s="89" t="s">
        <v>2859</v>
      </c>
      <c r="BP184" s="89" t="s">
        <v>2859</v>
      </c>
      <c r="BQ184" s="89" t="s">
        <v>3379</v>
      </c>
      <c r="BR184" s="89" t="s">
        <v>2859</v>
      </c>
    </row>
    <row r="185" spans="1:70">
      <c r="A185" s="89" t="s">
        <v>2144</v>
      </c>
      <c r="B185" s="89" t="s">
        <v>3380</v>
      </c>
      <c r="C185" s="89" t="s">
        <v>3003</v>
      </c>
      <c r="D185" s="89" t="s">
        <v>2859</v>
      </c>
      <c r="E185" s="89" t="s">
        <v>2859</v>
      </c>
      <c r="F185" s="89" t="s">
        <v>2859</v>
      </c>
      <c r="G185" s="89" t="s">
        <v>2860</v>
      </c>
      <c r="H185" s="89" t="s">
        <v>2859</v>
      </c>
      <c r="I185" s="89" t="s">
        <v>2865</v>
      </c>
      <c r="J185" s="89" t="s">
        <v>2859</v>
      </c>
      <c r="K185" s="89" t="s">
        <v>2859</v>
      </c>
      <c r="L185" s="89" t="s">
        <v>2859</v>
      </c>
      <c r="M185" s="89" t="s">
        <v>2859</v>
      </c>
      <c r="N185" s="89" t="s">
        <v>2859</v>
      </c>
      <c r="O185" s="89" t="s">
        <v>2859</v>
      </c>
      <c r="P185" s="89" t="s">
        <v>2859</v>
      </c>
      <c r="Q185" s="89" t="s">
        <v>2859</v>
      </c>
      <c r="R185" s="89" t="s">
        <v>2859</v>
      </c>
      <c r="S185" s="89" t="s">
        <v>2859</v>
      </c>
      <c r="T185" s="89" t="s">
        <v>2859</v>
      </c>
      <c r="U185" s="89" t="s">
        <v>2859</v>
      </c>
      <c r="V185" s="89" t="s">
        <v>2859</v>
      </c>
      <c r="W185" s="89" t="s">
        <v>2859</v>
      </c>
      <c r="X185" s="89" t="s">
        <v>2859</v>
      </c>
      <c r="Y185" s="89" t="s">
        <v>2859</v>
      </c>
      <c r="Z185" s="89" t="s">
        <v>2859</v>
      </c>
      <c r="AA185" s="89" t="s">
        <v>2859</v>
      </c>
      <c r="AB185" s="89" t="s">
        <v>2859</v>
      </c>
      <c r="AC185" s="89" t="s">
        <v>2859</v>
      </c>
      <c r="AD185" s="89" t="s">
        <v>2859</v>
      </c>
      <c r="AE185" s="89" t="s">
        <v>2859</v>
      </c>
      <c r="AF185" s="89" t="s">
        <v>2859</v>
      </c>
      <c r="AG185" s="89" t="s">
        <v>2859</v>
      </c>
      <c r="AH185" s="89" t="s">
        <v>2859</v>
      </c>
      <c r="AI185" s="89" t="s">
        <v>2859</v>
      </c>
      <c r="AJ185" s="89" t="s">
        <v>2859</v>
      </c>
      <c r="AK185" s="89" t="s">
        <v>2859</v>
      </c>
      <c r="AL185" s="89" t="s">
        <v>2859</v>
      </c>
      <c r="AM185" s="89" t="s">
        <v>2859</v>
      </c>
      <c r="AN185" s="89" t="s">
        <v>2859</v>
      </c>
      <c r="AO185" s="89" t="s">
        <v>2859</v>
      </c>
      <c r="AP185" s="89" t="s">
        <v>2859</v>
      </c>
      <c r="AQ185" s="89" t="s">
        <v>2859</v>
      </c>
      <c r="AR185" s="89" t="s">
        <v>2859</v>
      </c>
      <c r="AS185" s="89" t="s">
        <v>2859</v>
      </c>
      <c r="AT185" s="89" t="s">
        <v>2859</v>
      </c>
      <c r="AU185" s="89" t="s">
        <v>2859</v>
      </c>
      <c r="AV185" s="89" t="s">
        <v>2859</v>
      </c>
      <c r="AW185" s="89" t="s">
        <v>2859</v>
      </c>
      <c r="AX185" s="89" t="s">
        <v>2859</v>
      </c>
      <c r="AY185" s="89" t="s">
        <v>2859</v>
      </c>
      <c r="AZ185" s="89" t="s">
        <v>2859</v>
      </c>
      <c r="BA185" s="89" t="s">
        <v>2859</v>
      </c>
      <c r="BB185" s="89" t="s">
        <v>2859</v>
      </c>
      <c r="BC185" s="89" t="s">
        <v>2859</v>
      </c>
      <c r="BD185" s="89" t="s">
        <v>2859</v>
      </c>
      <c r="BE185" s="89" t="s">
        <v>2859</v>
      </c>
      <c r="BF185" s="89" t="s">
        <v>2859</v>
      </c>
      <c r="BG185" s="89" t="s">
        <v>2859</v>
      </c>
      <c r="BH185" s="89" t="s">
        <v>2859</v>
      </c>
      <c r="BI185" s="89" t="s">
        <v>2859</v>
      </c>
      <c r="BJ185" s="89" t="s">
        <v>2859</v>
      </c>
      <c r="BK185" s="89" t="s">
        <v>2859</v>
      </c>
      <c r="BL185" s="89" t="s">
        <v>2859</v>
      </c>
      <c r="BM185" s="89" t="s">
        <v>2859</v>
      </c>
      <c r="BN185" s="89" t="s">
        <v>2859</v>
      </c>
      <c r="BO185" s="89" t="s">
        <v>2859</v>
      </c>
      <c r="BP185" s="89" t="s">
        <v>2859</v>
      </c>
      <c r="BQ185" s="89" t="s">
        <v>3381</v>
      </c>
      <c r="BR185" s="89" t="s">
        <v>2859</v>
      </c>
    </row>
    <row r="186" spans="1:70">
      <c r="A186" s="89" t="s">
        <v>2144</v>
      </c>
      <c r="B186" s="89" t="s">
        <v>3382</v>
      </c>
      <c r="C186" s="89" t="s">
        <v>2971</v>
      </c>
      <c r="D186" s="89" t="s">
        <v>2859</v>
      </c>
      <c r="E186" s="89" t="s">
        <v>2859</v>
      </c>
      <c r="F186" s="89" t="s">
        <v>2859</v>
      </c>
      <c r="G186" s="89" t="s">
        <v>2860</v>
      </c>
      <c r="H186" s="89" t="s">
        <v>2859</v>
      </c>
      <c r="I186" s="89" t="s">
        <v>2865</v>
      </c>
      <c r="J186" s="89" t="s">
        <v>2859</v>
      </c>
      <c r="K186" s="89" t="s">
        <v>2859</v>
      </c>
      <c r="L186" s="89" t="s">
        <v>2859</v>
      </c>
      <c r="M186" s="89" t="s">
        <v>2859</v>
      </c>
      <c r="N186" s="89" t="s">
        <v>2859</v>
      </c>
      <c r="O186" s="89" t="s">
        <v>2859</v>
      </c>
      <c r="P186" s="89" t="s">
        <v>2859</v>
      </c>
      <c r="Q186" s="89" t="s">
        <v>2859</v>
      </c>
      <c r="R186" s="89" t="s">
        <v>2859</v>
      </c>
      <c r="S186" s="89" t="s">
        <v>2859</v>
      </c>
      <c r="T186" s="89" t="s">
        <v>2859</v>
      </c>
      <c r="U186" s="89" t="s">
        <v>2859</v>
      </c>
      <c r="V186" s="89" t="s">
        <v>2859</v>
      </c>
      <c r="W186" s="89" t="s">
        <v>2859</v>
      </c>
      <c r="X186" s="89" t="s">
        <v>2859</v>
      </c>
      <c r="Y186" s="89" t="s">
        <v>2859</v>
      </c>
      <c r="Z186" s="89" t="s">
        <v>2859</v>
      </c>
      <c r="AA186" s="89" t="s">
        <v>2859</v>
      </c>
      <c r="AB186" s="89" t="s">
        <v>2859</v>
      </c>
      <c r="AC186" s="89" t="s">
        <v>2859</v>
      </c>
      <c r="AD186" s="89" t="s">
        <v>2859</v>
      </c>
      <c r="AE186" s="89" t="s">
        <v>2859</v>
      </c>
      <c r="AF186" s="89" t="s">
        <v>2859</v>
      </c>
      <c r="AG186" s="89" t="s">
        <v>2859</v>
      </c>
      <c r="AH186" s="89" t="s">
        <v>2859</v>
      </c>
      <c r="AI186" s="89" t="s">
        <v>2859</v>
      </c>
      <c r="AJ186" s="89" t="s">
        <v>2859</v>
      </c>
      <c r="AK186" s="89" t="s">
        <v>2859</v>
      </c>
      <c r="AL186" s="89" t="s">
        <v>2859</v>
      </c>
      <c r="AM186" s="89" t="s">
        <v>2859</v>
      </c>
      <c r="AN186" s="89" t="s">
        <v>2859</v>
      </c>
      <c r="AO186" s="89" t="s">
        <v>2859</v>
      </c>
      <c r="AP186" s="89" t="s">
        <v>2859</v>
      </c>
      <c r="AQ186" s="89" t="s">
        <v>2859</v>
      </c>
      <c r="AR186" s="89" t="s">
        <v>2859</v>
      </c>
      <c r="AS186" s="89" t="s">
        <v>2859</v>
      </c>
      <c r="AT186" s="89" t="s">
        <v>2859</v>
      </c>
      <c r="AU186" s="89" t="s">
        <v>2859</v>
      </c>
      <c r="AV186" s="89" t="s">
        <v>2859</v>
      </c>
      <c r="AW186" s="89" t="s">
        <v>2859</v>
      </c>
      <c r="AX186" s="89" t="s">
        <v>2859</v>
      </c>
      <c r="AY186" s="89" t="s">
        <v>2859</v>
      </c>
      <c r="AZ186" s="89" t="s">
        <v>2859</v>
      </c>
      <c r="BA186" s="89" t="s">
        <v>2859</v>
      </c>
      <c r="BB186" s="89" t="s">
        <v>2859</v>
      </c>
      <c r="BC186" s="89" t="s">
        <v>2859</v>
      </c>
      <c r="BD186" s="89" t="s">
        <v>2859</v>
      </c>
      <c r="BE186" s="89" t="s">
        <v>2859</v>
      </c>
      <c r="BF186" s="89" t="s">
        <v>2859</v>
      </c>
      <c r="BG186" s="89" t="s">
        <v>2859</v>
      </c>
      <c r="BH186" s="89" t="s">
        <v>2859</v>
      </c>
      <c r="BI186" s="89" t="s">
        <v>2859</v>
      </c>
      <c r="BJ186" s="89" t="s">
        <v>2859</v>
      </c>
      <c r="BK186" s="89" t="s">
        <v>2859</v>
      </c>
      <c r="BL186" s="89" t="s">
        <v>2859</v>
      </c>
      <c r="BM186" s="89" t="s">
        <v>2859</v>
      </c>
      <c r="BN186" s="89" t="s">
        <v>2859</v>
      </c>
      <c r="BO186" s="89" t="s">
        <v>2859</v>
      </c>
      <c r="BP186" s="89" t="s">
        <v>2859</v>
      </c>
      <c r="BQ186" s="89" t="s">
        <v>3383</v>
      </c>
      <c r="BR186" s="89" t="s">
        <v>2859</v>
      </c>
    </row>
    <row r="187" spans="1:70">
      <c r="A187" s="89" t="s">
        <v>2144</v>
      </c>
      <c r="B187" s="89" t="s">
        <v>3384</v>
      </c>
      <c r="C187" s="89" t="s">
        <v>3170</v>
      </c>
      <c r="D187" s="89" t="s">
        <v>2859</v>
      </c>
      <c r="E187" s="89" t="s">
        <v>2859</v>
      </c>
      <c r="F187" s="89" t="s">
        <v>2859</v>
      </c>
      <c r="G187" s="89" t="s">
        <v>2860</v>
      </c>
      <c r="H187" s="89" t="s">
        <v>2859</v>
      </c>
      <c r="I187" s="89" t="s">
        <v>2865</v>
      </c>
      <c r="J187" s="89" t="s">
        <v>2859</v>
      </c>
      <c r="K187" s="89" t="s">
        <v>2859</v>
      </c>
      <c r="L187" s="89" t="s">
        <v>2859</v>
      </c>
      <c r="M187" s="89" t="s">
        <v>2859</v>
      </c>
      <c r="N187" s="89" t="s">
        <v>2859</v>
      </c>
      <c r="O187" s="89" t="s">
        <v>2859</v>
      </c>
      <c r="P187" s="89" t="s">
        <v>2859</v>
      </c>
      <c r="Q187" s="89" t="s">
        <v>2859</v>
      </c>
      <c r="R187" s="89" t="s">
        <v>2859</v>
      </c>
      <c r="S187" s="89" t="s">
        <v>2859</v>
      </c>
      <c r="T187" s="89" t="s">
        <v>2859</v>
      </c>
      <c r="U187" s="89" t="s">
        <v>2859</v>
      </c>
      <c r="V187" s="89" t="s">
        <v>2859</v>
      </c>
      <c r="W187" s="89" t="s">
        <v>2859</v>
      </c>
      <c r="X187" s="89" t="s">
        <v>2859</v>
      </c>
      <c r="Y187" s="89" t="s">
        <v>2859</v>
      </c>
      <c r="Z187" s="89" t="s">
        <v>2859</v>
      </c>
      <c r="AA187" s="89" t="s">
        <v>2859</v>
      </c>
      <c r="AB187" s="89" t="s">
        <v>2859</v>
      </c>
      <c r="AC187" s="89" t="s">
        <v>2859</v>
      </c>
      <c r="AD187" s="89" t="s">
        <v>2859</v>
      </c>
      <c r="AE187" s="89" t="s">
        <v>2859</v>
      </c>
      <c r="AF187" s="89" t="s">
        <v>2859</v>
      </c>
      <c r="AG187" s="89" t="s">
        <v>2859</v>
      </c>
      <c r="AH187" s="89" t="s">
        <v>2859</v>
      </c>
      <c r="AI187" s="89" t="s">
        <v>2859</v>
      </c>
      <c r="AJ187" s="89" t="s">
        <v>2859</v>
      </c>
      <c r="AK187" s="89" t="s">
        <v>2859</v>
      </c>
      <c r="AL187" s="89" t="s">
        <v>2859</v>
      </c>
      <c r="AM187" s="89" t="s">
        <v>2859</v>
      </c>
      <c r="AN187" s="89" t="s">
        <v>2859</v>
      </c>
      <c r="AO187" s="89" t="s">
        <v>2859</v>
      </c>
      <c r="AP187" s="89" t="s">
        <v>2859</v>
      </c>
      <c r="AQ187" s="89" t="s">
        <v>2859</v>
      </c>
      <c r="AR187" s="89" t="s">
        <v>2859</v>
      </c>
      <c r="AS187" s="89" t="s">
        <v>2859</v>
      </c>
      <c r="AT187" s="89" t="s">
        <v>2859</v>
      </c>
      <c r="AU187" s="89" t="s">
        <v>2859</v>
      </c>
      <c r="AV187" s="89" t="s">
        <v>2859</v>
      </c>
      <c r="AW187" s="89" t="s">
        <v>2859</v>
      </c>
      <c r="AX187" s="89" t="s">
        <v>2859</v>
      </c>
      <c r="AY187" s="89" t="s">
        <v>2859</v>
      </c>
      <c r="AZ187" s="89" t="s">
        <v>2859</v>
      </c>
      <c r="BA187" s="89" t="s">
        <v>2859</v>
      </c>
      <c r="BB187" s="89" t="s">
        <v>2859</v>
      </c>
      <c r="BC187" s="89" t="s">
        <v>2859</v>
      </c>
      <c r="BD187" s="89" t="s">
        <v>2859</v>
      </c>
      <c r="BE187" s="89" t="s">
        <v>2859</v>
      </c>
      <c r="BF187" s="89" t="s">
        <v>2859</v>
      </c>
      <c r="BG187" s="89" t="s">
        <v>2859</v>
      </c>
      <c r="BH187" s="89" t="s">
        <v>2859</v>
      </c>
      <c r="BI187" s="89" t="s">
        <v>2859</v>
      </c>
      <c r="BJ187" s="89" t="s">
        <v>2859</v>
      </c>
      <c r="BK187" s="89" t="s">
        <v>2859</v>
      </c>
      <c r="BL187" s="89" t="s">
        <v>2859</v>
      </c>
      <c r="BM187" s="89" t="s">
        <v>2859</v>
      </c>
      <c r="BN187" s="89" t="s">
        <v>2859</v>
      </c>
      <c r="BO187" s="89" t="s">
        <v>2859</v>
      </c>
      <c r="BP187" s="89" t="s">
        <v>2859</v>
      </c>
      <c r="BQ187" s="89" t="s">
        <v>3385</v>
      </c>
      <c r="BR187" s="89" t="s">
        <v>2859</v>
      </c>
    </row>
    <row r="188" spans="1:70">
      <c r="A188" s="89" t="s">
        <v>2144</v>
      </c>
      <c r="B188" s="89" t="s">
        <v>3386</v>
      </c>
      <c r="C188" s="89" t="s">
        <v>2871</v>
      </c>
      <c r="D188" s="89" t="s">
        <v>2859</v>
      </c>
      <c r="E188" s="89" t="s">
        <v>2859</v>
      </c>
      <c r="F188" s="89" t="s">
        <v>2859</v>
      </c>
      <c r="G188" s="89" t="s">
        <v>2860</v>
      </c>
      <c r="H188" s="89" t="s">
        <v>2859</v>
      </c>
      <c r="I188" s="89" t="s">
        <v>2865</v>
      </c>
      <c r="J188" s="89" t="s">
        <v>2859</v>
      </c>
      <c r="K188" s="89" t="s">
        <v>2859</v>
      </c>
      <c r="L188" s="89" t="s">
        <v>2859</v>
      </c>
      <c r="M188" s="89" t="s">
        <v>2859</v>
      </c>
      <c r="N188" s="89" t="s">
        <v>2859</v>
      </c>
      <c r="O188" s="89" t="s">
        <v>2859</v>
      </c>
      <c r="P188" s="89" t="s">
        <v>2859</v>
      </c>
      <c r="Q188" s="89" t="s">
        <v>2859</v>
      </c>
      <c r="R188" s="89" t="s">
        <v>2859</v>
      </c>
      <c r="S188" s="89" t="s">
        <v>2859</v>
      </c>
      <c r="T188" s="89" t="s">
        <v>2859</v>
      </c>
      <c r="U188" s="89" t="s">
        <v>2859</v>
      </c>
      <c r="V188" s="89" t="s">
        <v>2859</v>
      </c>
      <c r="W188" s="89" t="s">
        <v>2859</v>
      </c>
      <c r="X188" s="89" t="s">
        <v>2859</v>
      </c>
      <c r="Y188" s="89" t="s">
        <v>2859</v>
      </c>
      <c r="Z188" s="89" t="s">
        <v>2859</v>
      </c>
      <c r="AA188" s="89" t="s">
        <v>2859</v>
      </c>
      <c r="AB188" s="89" t="s">
        <v>2859</v>
      </c>
      <c r="AC188" s="89" t="s">
        <v>2859</v>
      </c>
      <c r="AD188" s="89" t="s">
        <v>2859</v>
      </c>
      <c r="AE188" s="89" t="s">
        <v>2859</v>
      </c>
      <c r="AF188" s="89" t="s">
        <v>2859</v>
      </c>
      <c r="AG188" s="89" t="s">
        <v>2859</v>
      </c>
      <c r="AH188" s="89" t="s">
        <v>2859</v>
      </c>
      <c r="AI188" s="89" t="s">
        <v>2859</v>
      </c>
      <c r="AJ188" s="89" t="s">
        <v>2859</v>
      </c>
      <c r="AK188" s="89" t="s">
        <v>2859</v>
      </c>
      <c r="AL188" s="89" t="s">
        <v>2859</v>
      </c>
      <c r="AM188" s="89" t="s">
        <v>2859</v>
      </c>
      <c r="AN188" s="89" t="s">
        <v>2859</v>
      </c>
      <c r="AO188" s="89" t="s">
        <v>2859</v>
      </c>
      <c r="AP188" s="89" t="s">
        <v>2859</v>
      </c>
      <c r="AQ188" s="89" t="s">
        <v>2859</v>
      </c>
      <c r="AR188" s="89" t="s">
        <v>2859</v>
      </c>
      <c r="AS188" s="89" t="s">
        <v>2859</v>
      </c>
      <c r="AT188" s="89" t="s">
        <v>2859</v>
      </c>
      <c r="AU188" s="89" t="s">
        <v>2859</v>
      </c>
      <c r="AV188" s="89" t="s">
        <v>2859</v>
      </c>
      <c r="AW188" s="89" t="s">
        <v>2859</v>
      </c>
      <c r="AX188" s="89" t="s">
        <v>2859</v>
      </c>
      <c r="AY188" s="89" t="s">
        <v>2859</v>
      </c>
      <c r="AZ188" s="89" t="s">
        <v>2859</v>
      </c>
      <c r="BA188" s="89" t="s">
        <v>2859</v>
      </c>
      <c r="BB188" s="89" t="s">
        <v>2859</v>
      </c>
      <c r="BC188" s="89" t="s">
        <v>2859</v>
      </c>
      <c r="BD188" s="89" t="s">
        <v>2859</v>
      </c>
      <c r="BE188" s="89" t="s">
        <v>2859</v>
      </c>
      <c r="BF188" s="89" t="s">
        <v>2859</v>
      </c>
      <c r="BG188" s="89" t="s">
        <v>2859</v>
      </c>
      <c r="BH188" s="89" t="s">
        <v>2859</v>
      </c>
      <c r="BI188" s="89" t="s">
        <v>2859</v>
      </c>
      <c r="BJ188" s="89" t="s">
        <v>2859</v>
      </c>
      <c r="BK188" s="89" t="s">
        <v>2859</v>
      </c>
      <c r="BL188" s="89" t="s">
        <v>2859</v>
      </c>
      <c r="BM188" s="89" t="s">
        <v>2859</v>
      </c>
      <c r="BN188" s="89" t="s">
        <v>2859</v>
      </c>
      <c r="BO188" s="89" t="s">
        <v>2859</v>
      </c>
      <c r="BP188" s="89" t="s">
        <v>2859</v>
      </c>
      <c r="BQ188" s="89" t="s">
        <v>3387</v>
      </c>
      <c r="BR188" s="89" t="s">
        <v>2859</v>
      </c>
    </row>
    <row r="189" spans="1:70">
      <c r="A189" s="89" t="s">
        <v>2144</v>
      </c>
      <c r="B189" s="89" t="s">
        <v>3388</v>
      </c>
      <c r="C189" s="89" t="s">
        <v>2879</v>
      </c>
      <c r="D189" s="89" t="s">
        <v>2859</v>
      </c>
      <c r="E189" s="89" t="s">
        <v>2859</v>
      </c>
      <c r="F189" s="89" t="s">
        <v>2859</v>
      </c>
      <c r="G189" s="89" t="s">
        <v>2860</v>
      </c>
      <c r="H189" s="89" t="s">
        <v>2913</v>
      </c>
      <c r="I189" s="89" t="s">
        <v>2859</v>
      </c>
      <c r="J189" s="89" t="s">
        <v>2859</v>
      </c>
      <c r="K189" s="89" t="s">
        <v>2859</v>
      </c>
      <c r="L189" s="89" t="s">
        <v>2859</v>
      </c>
      <c r="M189" s="89" t="s">
        <v>2859</v>
      </c>
      <c r="N189" s="89" t="s">
        <v>2859</v>
      </c>
      <c r="O189" s="89" t="s">
        <v>2859</v>
      </c>
      <c r="P189" s="89" t="s">
        <v>2859</v>
      </c>
      <c r="Q189" s="89" t="s">
        <v>2859</v>
      </c>
      <c r="R189" s="89" t="s">
        <v>2859</v>
      </c>
      <c r="S189" s="89" t="s">
        <v>2859</v>
      </c>
      <c r="T189" s="89" t="s">
        <v>2859</v>
      </c>
      <c r="U189" s="89" t="s">
        <v>2859</v>
      </c>
      <c r="V189" s="89" t="s">
        <v>2859</v>
      </c>
      <c r="W189" s="89" t="s">
        <v>2859</v>
      </c>
      <c r="X189" s="89" t="s">
        <v>2859</v>
      </c>
      <c r="Y189" s="89" t="s">
        <v>2859</v>
      </c>
      <c r="Z189" s="89" t="s">
        <v>2859</v>
      </c>
      <c r="AA189" s="89" t="s">
        <v>2859</v>
      </c>
      <c r="AB189" s="89" t="s">
        <v>2859</v>
      </c>
      <c r="AC189" s="89" t="s">
        <v>2859</v>
      </c>
      <c r="AD189" s="89" t="s">
        <v>2859</v>
      </c>
      <c r="AE189" s="89" t="s">
        <v>2859</v>
      </c>
      <c r="AF189" s="89" t="s">
        <v>2859</v>
      </c>
      <c r="AG189" s="89" t="s">
        <v>2859</v>
      </c>
      <c r="AH189" s="89" t="s">
        <v>2859</v>
      </c>
      <c r="AI189" s="89" t="s">
        <v>2859</v>
      </c>
      <c r="AJ189" s="89" t="s">
        <v>2859</v>
      </c>
      <c r="AK189" s="89" t="s">
        <v>2859</v>
      </c>
      <c r="AL189" s="89" t="s">
        <v>2859</v>
      </c>
      <c r="AM189" s="89" t="s">
        <v>2859</v>
      </c>
      <c r="AN189" s="89" t="s">
        <v>2859</v>
      </c>
      <c r="AO189" s="89" t="s">
        <v>2859</v>
      </c>
      <c r="AP189" s="89" t="s">
        <v>2859</v>
      </c>
      <c r="AQ189" s="89" t="s">
        <v>2859</v>
      </c>
      <c r="AR189" s="89" t="s">
        <v>2859</v>
      </c>
      <c r="AS189" s="89" t="s">
        <v>2859</v>
      </c>
      <c r="AT189" s="89" t="s">
        <v>2859</v>
      </c>
      <c r="AU189" s="89" t="s">
        <v>2859</v>
      </c>
      <c r="AV189" s="89" t="s">
        <v>2859</v>
      </c>
      <c r="AW189" s="89" t="s">
        <v>2859</v>
      </c>
      <c r="AX189" s="89" t="s">
        <v>2859</v>
      </c>
      <c r="AY189" s="89" t="s">
        <v>2859</v>
      </c>
      <c r="AZ189" s="89" t="s">
        <v>2859</v>
      </c>
      <c r="BA189" s="89" t="s">
        <v>2859</v>
      </c>
      <c r="BB189" s="89" t="s">
        <v>2859</v>
      </c>
      <c r="BC189" s="89" t="s">
        <v>2859</v>
      </c>
      <c r="BD189" s="89" t="s">
        <v>2859</v>
      </c>
      <c r="BE189" s="89" t="s">
        <v>2859</v>
      </c>
      <c r="BF189" s="89" t="s">
        <v>2859</v>
      </c>
      <c r="BG189" s="89" t="s">
        <v>2859</v>
      </c>
      <c r="BH189" s="89" t="s">
        <v>2859</v>
      </c>
      <c r="BI189" s="89" t="s">
        <v>2859</v>
      </c>
      <c r="BJ189" s="89" t="s">
        <v>2859</v>
      </c>
      <c r="BK189" s="89" t="s">
        <v>2859</v>
      </c>
      <c r="BL189" s="89" t="s">
        <v>2859</v>
      </c>
      <c r="BM189" s="89" t="s">
        <v>2859</v>
      </c>
      <c r="BN189" s="89" t="s">
        <v>2859</v>
      </c>
      <c r="BO189" s="89" t="s">
        <v>2859</v>
      </c>
      <c r="BP189" s="89" t="s">
        <v>2859</v>
      </c>
      <c r="BQ189" s="89" t="s">
        <v>3389</v>
      </c>
      <c r="BR189" s="89" t="s">
        <v>2869</v>
      </c>
    </row>
    <row r="190" spans="1:70">
      <c r="A190" s="89" t="s">
        <v>2144</v>
      </c>
      <c r="B190" s="89" t="s">
        <v>3390</v>
      </c>
      <c r="C190" s="89" t="s">
        <v>2879</v>
      </c>
      <c r="D190" s="89" t="s">
        <v>2859</v>
      </c>
      <c r="E190" s="89" t="s">
        <v>2859</v>
      </c>
      <c r="F190" s="89" t="s">
        <v>2859</v>
      </c>
      <c r="G190" s="89" t="s">
        <v>2860</v>
      </c>
      <c r="H190" s="89" t="s">
        <v>2913</v>
      </c>
      <c r="I190" s="89" t="s">
        <v>2859</v>
      </c>
      <c r="J190" s="89" t="s">
        <v>2859</v>
      </c>
      <c r="K190" s="89" t="s">
        <v>2859</v>
      </c>
      <c r="L190" s="89" t="s">
        <v>2859</v>
      </c>
      <c r="M190" s="89" t="s">
        <v>2859</v>
      </c>
      <c r="N190" s="89" t="s">
        <v>2859</v>
      </c>
      <c r="O190" s="89" t="s">
        <v>2859</v>
      </c>
      <c r="P190" s="89" t="s">
        <v>2859</v>
      </c>
      <c r="Q190" s="89" t="s">
        <v>2859</v>
      </c>
      <c r="R190" s="89" t="s">
        <v>2859</v>
      </c>
      <c r="S190" s="89" t="s">
        <v>2859</v>
      </c>
      <c r="T190" s="89" t="s">
        <v>2859</v>
      </c>
      <c r="U190" s="89" t="s">
        <v>2859</v>
      </c>
      <c r="V190" s="89" t="s">
        <v>2859</v>
      </c>
      <c r="W190" s="89" t="s">
        <v>2859</v>
      </c>
      <c r="X190" s="89" t="s">
        <v>2859</v>
      </c>
      <c r="Y190" s="89" t="s">
        <v>2859</v>
      </c>
      <c r="Z190" s="89" t="s">
        <v>2859</v>
      </c>
      <c r="AA190" s="89" t="s">
        <v>2859</v>
      </c>
      <c r="AB190" s="89" t="s">
        <v>2859</v>
      </c>
      <c r="AC190" s="89" t="s">
        <v>2859</v>
      </c>
      <c r="AD190" s="89" t="s">
        <v>2859</v>
      </c>
      <c r="AE190" s="89" t="s">
        <v>2859</v>
      </c>
      <c r="AF190" s="89" t="s">
        <v>2859</v>
      </c>
      <c r="AG190" s="89" t="s">
        <v>2859</v>
      </c>
      <c r="AH190" s="89" t="s">
        <v>2859</v>
      </c>
      <c r="AI190" s="89" t="s">
        <v>2859</v>
      </c>
      <c r="AJ190" s="89" t="s">
        <v>2859</v>
      </c>
      <c r="AK190" s="89" t="s">
        <v>2859</v>
      </c>
      <c r="AL190" s="89" t="s">
        <v>2859</v>
      </c>
      <c r="AM190" s="89" t="s">
        <v>2859</v>
      </c>
      <c r="AN190" s="89" t="s">
        <v>2859</v>
      </c>
      <c r="AO190" s="89" t="s">
        <v>2859</v>
      </c>
      <c r="AP190" s="89" t="s">
        <v>2859</v>
      </c>
      <c r="AQ190" s="89" t="s">
        <v>2859</v>
      </c>
      <c r="AR190" s="89" t="s">
        <v>2859</v>
      </c>
      <c r="AS190" s="89" t="s">
        <v>2859</v>
      </c>
      <c r="AT190" s="89" t="s">
        <v>2859</v>
      </c>
      <c r="AU190" s="89" t="s">
        <v>2859</v>
      </c>
      <c r="AV190" s="89" t="s">
        <v>2859</v>
      </c>
      <c r="AW190" s="89" t="s">
        <v>2859</v>
      </c>
      <c r="AX190" s="89" t="s">
        <v>2859</v>
      </c>
      <c r="AY190" s="89" t="s">
        <v>2859</v>
      </c>
      <c r="AZ190" s="89" t="s">
        <v>2859</v>
      </c>
      <c r="BA190" s="89" t="s">
        <v>2859</v>
      </c>
      <c r="BB190" s="89" t="s">
        <v>2859</v>
      </c>
      <c r="BC190" s="89" t="s">
        <v>2859</v>
      </c>
      <c r="BD190" s="89" t="s">
        <v>2859</v>
      </c>
      <c r="BE190" s="89" t="s">
        <v>2859</v>
      </c>
      <c r="BF190" s="89" t="s">
        <v>2859</v>
      </c>
      <c r="BG190" s="89" t="s">
        <v>2859</v>
      </c>
      <c r="BH190" s="89" t="s">
        <v>2859</v>
      </c>
      <c r="BI190" s="89" t="s">
        <v>2859</v>
      </c>
      <c r="BJ190" s="89" t="s">
        <v>2859</v>
      </c>
      <c r="BK190" s="89" t="s">
        <v>2859</v>
      </c>
      <c r="BL190" s="89" t="s">
        <v>2859</v>
      </c>
      <c r="BM190" s="89" t="s">
        <v>2859</v>
      </c>
      <c r="BN190" s="89" t="s">
        <v>2859</v>
      </c>
      <c r="BO190" s="89" t="s">
        <v>2859</v>
      </c>
      <c r="BP190" s="89" t="s">
        <v>2859</v>
      </c>
      <c r="BQ190" s="89" t="s">
        <v>3391</v>
      </c>
      <c r="BR190" s="89" t="s">
        <v>2869</v>
      </c>
    </row>
    <row r="191" spans="1:70">
      <c r="A191" s="89" t="s">
        <v>2144</v>
      </c>
      <c r="B191" s="89" t="s">
        <v>3392</v>
      </c>
      <c r="C191" s="89" t="s">
        <v>2879</v>
      </c>
      <c r="D191" s="89" t="s">
        <v>2859</v>
      </c>
      <c r="E191" s="89" t="s">
        <v>2859</v>
      </c>
      <c r="F191" s="89" t="s">
        <v>2859</v>
      </c>
      <c r="G191" s="89" t="s">
        <v>2860</v>
      </c>
      <c r="H191" s="89" t="s">
        <v>2913</v>
      </c>
      <c r="I191" s="89" t="s">
        <v>2859</v>
      </c>
      <c r="J191" s="89" t="s">
        <v>2859</v>
      </c>
      <c r="K191" s="89" t="s">
        <v>2859</v>
      </c>
      <c r="L191" s="89" t="s">
        <v>2859</v>
      </c>
      <c r="M191" s="89" t="s">
        <v>2859</v>
      </c>
      <c r="N191" s="89" t="s">
        <v>2859</v>
      </c>
      <c r="O191" s="89" t="s">
        <v>2859</v>
      </c>
      <c r="P191" s="89" t="s">
        <v>2859</v>
      </c>
      <c r="Q191" s="89" t="s">
        <v>2859</v>
      </c>
      <c r="R191" s="89" t="s">
        <v>2859</v>
      </c>
      <c r="S191" s="89" t="s">
        <v>2859</v>
      </c>
      <c r="T191" s="89" t="s">
        <v>2859</v>
      </c>
      <c r="U191" s="89" t="s">
        <v>2859</v>
      </c>
      <c r="V191" s="89" t="s">
        <v>2859</v>
      </c>
      <c r="W191" s="89" t="s">
        <v>2859</v>
      </c>
      <c r="X191" s="89" t="s">
        <v>2859</v>
      </c>
      <c r="Y191" s="89" t="s">
        <v>2859</v>
      </c>
      <c r="Z191" s="89" t="s">
        <v>2859</v>
      </c>
      <c r="AA191" s="89" t="s">
        <v>2859</v>
      </c>
      <c r="AB191" s="89" t="s">
        <v>2859</v>
      </c>
      <c r="AC191" s="89" t="s">
        <v>2859</v>
      </c>
      <c r="AD191" s="89" t="s">
        <v>2859</v>
      </c>
      <c r="AE191" s="89" t="s">
        <v>2859</v>
      </c>
      <c r="AF191" s="89" t="s">
        <v>2859</v>
      </c>
      <c r="AG191" s="89" t="s">
        <v>2859</v>
      </c>
      <c r="AH191" s="89" t="s">
        <v>2859</v>
      </c>
      <c r="AI191" s="89" t="s">
        <v>2859</v>
      </c>
      <c r="AJ191" s="89" t="s">
        <v>2859</v>
      </c>
      <c r="AK191" s="89" t="s">
        <v>2859</v>
      </c>
      <c r="AL191" s="89" t="s">
        <v>2859</v>
      </c>
      <c r="AM191" s="89" t="s">
        <v>2859</v>
      </c>
      <c r="AN191" s="89" t="s">
        <v>2859</v>
      </c>
      <c r="AO191" s="89" t="s">
        <v>2859</v>
      </c>
      <c r="AP191" s="89" t="s">
        <v>2859</v>
      </c>
      <c r="AQ191" s="89" t="s">
        <v>2859</v>
      </c>
      <c r="AR191" s="89" t="s">
        <v>2859</v>
      </c>
      <c r="AS191" s="89" t="s">
        <v>2859</v>
      </c>
      <c r="AT191" s="89" t="s">
        <v>2859</v>
      </c>
      <c r="AU191" s="89" t="s">
        <v>2859</v>
      </c>
      <c r="AV191" s="89" t="s">
        <v>2859</v>
      </c>
      <c r="AW191" s="89" t="s">
        <v>2859</v>
      </c>
      <c r="AX191" s="89" t="s">
        <v>2859</v>
      </c>
      <c r="AY191" s="89" t="s">
        <v>2859</v>
      </c>
      <c r="AZ191" s="89" t="s">
        <v>2859</v>
      </c>
      <c r="BA191" s="89" t="s">
        <v>2859</v>
      </c>
      <c r="BB191" s="89" t="s">
        <v>2859</v>
      </c>
      <c r="BC191" s="89" t="s">
        <v>2859</v>
      </c>
      <c r="BD191" s="89" t="s">
        <v>2859</v>
      </c>
      <c r="BE191" s="89" t="s">
        <v>2859</v>
      </c>
      <c r="BF191" s="89" t="s">
        <v>2859</v>
      </c>
      <c r="BG191" s="89" t="s">
        <v>2859</v>
      </c>
      <c r="BH191" s="89" t="s">
        <v>2859</v>
      </c>
      <c r="BI191" s="89" t="s">
        <v>2859</v>
      </c>
      <c r="BJ191" s="89" t="s">
        <v>2859</v>
      </c>
      <c r="BK191" s="89" t="s">
        <v>2859</v>
      </c>
      <c r="BL191" s="89" t="s">
        <v>2859</v>
      </c>
      <c r="BM191" s="89" t="s">
        <v>2859</v>
      </c>
      <c r="BN191" s="89" t="s">
        <v>2859</v>
      </c>
      <c r="BO191" s="89" t="s">
        <v>2859</v>
      </c>
      <c r="BP191" s="89" t="s">
        <v>2859</v>
      </c>
      <c r="BQ191" s="89" t="s">
        <v>3393</v>
      </c>
      <c r="BR191" s="89" t="s">
        <v>2869</v>
      </c>
    </row>
    <row r="192" spans="1:70">
      <c r="A192" s="89" t="s">
        <v>2144</v>
      </c>
      <c r="B192" s="89" t="s">
        <v>3394</v>
      </c>
      <c r="C192" s="89" t="s">
        <v>2879</v>
      </c>
      <c r="D192" s="89" t="s">
        <v>2859</v>
      </c>
      <c r="E192" s="89" t="s">
        <v>2859</v>
      </c>
      <c r="F192" s="89" t="s">
        <v>2859</v>
      </c>
      <c r="G192" s="89" t="s">
        <v>2860</v>
      </c>
      <c r="H192" s="89" t="s">
        <v>2913</v>
      </c>
      <c r="I192" s="89" t="s">
        <v>2859</v>
      </c>
      <c r="J192" s="89" t="s">
        <v>2859</v>
      </c>
      <c r="K192" s="89" t="s">
        <v>2859</v>
      </c>
      <c r="L192" s="89" t="s">
        <v>2859</v>
      </c>
      <c r="M192" s="89" t="s">
        <v>2859</v>
      </c>
      <c r="N192" s="89" t="s">
        <v>2859</v>
      </c>
      <c r="O192" s="89" t="s">
        <v>2859</v>
      </c>
      <c r="P192" s="89" t="s">
        <v>2859</v>
      </c>
      <c r="Q192" s="89" t="s">
        <v>2859</v>
      </c>
      <c r="R192" s="89" t="s">
        <v>2859</v>
      </c>
      <c r="S192" s="89" t="s">
        <v>2859</v>
      </c>
      <c r="T192" s="89" t="s">
        <v>2859</v>
      </c>
      <c r="U192" s="89" t="s">
        <v>2859</v>
      </c>
      <c r="V192" s="89" t="s">
        <v>2859</v>
      </c>
      <c r="W192" s="89" t="s">
        <v>2859</v>
      </c>
      <c r="X192" s="89" t="s">
        <v>2859</v>
      </c>
      <c r="Y192" s="89" t="s">
        <v>2859</v>
      </c>
      <c r="Z192" s="89" t="s">
        <v>2859</v>
      </c>
      <c r="AA192" s="89" t="s">
        <v>2859</v>
      </c>
      <c r="AB192" s="89" t="s">
        <v>2859</v>
      </c>
      <c r="AC192" s="89" t="s">
        <v>2859</v>
      </c>
      <c r="AD192" s="89" t="s">
        <v>2859</v>
      </c>
      <c r="AE192" s="89" t="s">
        <v>2859</v>
      </c>
      <c r="AF192" s="89" t="s">
        <v>2859</v>
      </c>
      <c r="AG192" s="89" t="s">
        <v>2859</v>
      </c>
      <c r="AH192" s="89" t="s">
        <v>2859</v>
      </c>
      <c r="AI192" s="89" t="s">
        <v>2859</v>
      </c>
      <c r="AJ192" s="89" t="s">
        <v>2859</v>
      </c>
      <c r="AK192" s="89" t="s">
        <v>2859</v>
      </c>
      <c r="AL192" s="89" t="s">
        <v>2859</v>
      </c>
      <c r="AM192" s="89" t="s">
        <v>2859</v>
      </c>
      <c r="AN192" s="89" t="s">
        <v>2859</v>
      </c>
      <c r="AO192" s="89" t="s">
        <v>2859</v>
      </c>
      <c r="AP192" s="89" t="s">
        <v>2859</v>
      </c>
      <c r="AQ192" s="89" t="s">
        <v>2859</v>
      </c>
      <c r="AR192" s="89" t="s">
        <v>2859</v>
      </c>
      <c r="AS192" s="89" t="s">
        <v>2859</v>
      </c>
      <c r="AT192" s="89" t="s">
        <v>2859</v>
      </c>
      <c r="AU192" s="89" t="s">
        <v>2859</v>
      </c>
      <c r="AV192" s="89" t="s">
        <v>2859</v>
      </c>
      <c r="AW192" s="89" t="s">
        <v>2859</v>
      </c>
      <c r="AX192" s="89" t="s">
        <v>2859</v>
      </c>
      <c r="AY192" s="89" t="s">
        <v>2859</v>
      </c>
      <c r="AZ192" s="89" t="s">
        <v>2859</v>
      </c>
      <c r="BA192" s="89" t="s">
        <v>2859</v>
      </c>
      <c r="BB192" s="89" t="s">
        <v>2859</v>
      </c>
      <c r="BC192" s="89" t="s">
        <v>2859</v>
      </c>
      <c r="BD192" s="89" t="s">
        <v>2859</v>
      </c>
      <c r="BE192" s="89" t="s">
        <v>2859</v>
      </c>
      <c r="BF192" s="89" t="s">
        <v>2859</v>
      </c>
      <c r="BG192" s="89" t="s">
        <v>2859</v>
      </c>
      <c r="BH192" s="89" t="s">
        <v>2859</v>
      </c>
      <c r="BI192" s="89" t="s">
        <v>2859</v>
      </c>
      <c r="BJ192" s="89" t="s">
        <v>2859</v>
      </c>
      <c r="BK192" s="89" t="s">
        <v>2859</v>
      </c>
      <c r="BL192" s="89" t="s">
        <v>2859</v>
      </c>
      <c r="BM192" s="89" t="s">
        <v>2859</v>
      </c>
      <c r="BN192" s="89" t="s">
        <v>2859</v>
      </c>
      <c r="BO192" s="89" t="s">
        <v>2859</v>
      </c>
      <c r="BP192" s="89" t="s">
        <v>2859</v>
      </c>
      <c r="BQ192" s="89" t="s">
        <v>3395</v>
      </c>
      <c r="BR192" s="89" t="s">
        <v>2869</v>
      </c>
    </row>
    <row r="193" spans="1:70">
      <c r="A193" s="89" t="s">
        <v>2144</v>
      </c>
      <c r="B193" s="89" t="s">
        <v>3396</v>
      </c>
      <c r="C193" s="89" t="s">
        <v>2879</v>
      </c>
      <c r="D193" s="89" t="s">
        <v>2859</v>
      </c>
      <c r="E193" s="89" t="s">
        <v>2859</v>
      </c>
      <c r="F193" s="89" t="s">
        <v>2859</v>
      </c>
      <c r="G193" s="89" t="s">
        <v>2860</v>
      </c>
      <c r="H193" s="89" t="s">
        <v>2913</v>
      </c>
      <c r="I193" s="89" t="s">
        <v>2859</v>
      </c>
      <c r="J193" s="89" t="s">
        <v>2859</v>
      </c>
      <c r="K193" s="89" t="s">
        <v>2859</v>
      </c>
      <c r="L193" s="89" t="s">
        <v>2859</v>
      </c>
      <c r="M193" s="89" t="s">
        <v>2859</v>
      </c>
      <c r="N193" s="89" t="s">
        <v>2859</v>
      </c>
      <c r="O193" s="89" t="s">
        <v>2859</v>
      </c>
      <c r="P193" s="89" t="s">
        <v>2859</v>
      </c>
      <c r="Q193" s="89" t="s">
        <v>2859</v>
      </c>
      <c r="R193" s="89" t="s">
        <v>2859</v>
      </c>
      <c r="S193" s="89" t="s">
        <v>2859</v>
      </c>
      <c r="T193" s="89" t="s">
        <v>2859</v>
      </c>
      <c r="U193" s="89" t="s">
        <v>2859</v>
      </c>
      <c r="V193" s="89" t="s">
        <v>2859</v>
      </c>
      <c r="W193" s="89" t="s">
        <v>2859</v>
      </c>
      <c r="X193" s="89" t="s">
        <v>2859</v>
      </c>
      <c r="Y193" s="89" t="s">
        <v>2859</v>
      </c>
      <c r="Z193" s="89" t="s">
        <v>2859</v>
      </c>
      <c r="AA193" s="89" t="s">
        <v>2859</v>
      </c>
      <c r="AB193" s="89" t="s">
        <v>2859</v>
      </c>
      <c r="AC193" s="89" t="s">
        <v>2859</v>
      </c>
      <c r="AD193" s="89" t="s">
        <v>2859</v>
      </c>
      <c r="AE193" s="89" t="s">
        <v>2859</v>
      </c>
      <c r="AF193" s="89" t="s">
        <v>2859</v>
      </c>
      <c r="AG193" s="89" t="s">
        <v>2859</v>
      </c>
      <c r="AH193" s="89" t="s">
        <v>2859</v>
      </c>
      <c r="AI193" s="89" t="s">
        <v>2859</v>
      </c>
      <c r="AJ193" s="89" t="s">
        <v>2859</v>
      </c>
      <c r="AK193" s="89" t="s">
        <v>2859</v>
      </c>
      <c r="AL193" s="89" t="s">
        <v>2859</v>
      </c>
      <c r="AM193" s="89" t="s">
        <v>2859</v>
      </c>
      <c r="AN193" s="89" t="s">
        <v>2859</v>
      </c>
      <c r="AO193" s="89" t="s">
        <v>2859</v>
      </c>
      <c r="AP193" s="89" t="s">
        <v>2859</v>
      </c>
      <c r="AQ193" s="89" t="s">
        <v>2859</v>
      </c>
      <c r="AR193" s="89" t="s">
        <v>2859</v>
      </c>
      <c r="AS193" s="89" t="s">
        <v>2859</v>
      </c>
      <c r="AT193" s="89" t="s">
        <v>2859</v>
      </c>
      <c r="AU193" s="89" t="s">
        <v>2859</v>
      </c>
      <c r="AV193" s="89" t="s">
        <v>2859</v>
      </c>
      <c r="AW193" s="89" t="s">
        <v>2859</v>
      </c>
      <c r="AX193" s="89" t="s">
        <v>2859</v>
      </c>
      <c r="AY193" s="89" t="s">
        <v>2859</v>
      </c>
      <c r="AZ193" s="89" t="s">
        <v>2859</v>
      </c>
      <c r="BA193" s="89" t="s">
        <v>2859</v>
      </c>
      <c r="BB193" s="89" t="s">
        <v>2859</v>
      </c>
      <c r="BC193" s="89" t="s">
        <v>2859</v>
      </c>
      <c r="BD193" s="89" t="s">
        <v>2859</v>
      </c>
      <c r="BE193" s="89" t="s">
        <v>2859</v>
      </c>
      <c r="BF193" s="89" t="s">
        <v>2859</v>
      </c>
      <c r="BG193" s="89" t="s">
        <v>2859</v>
      </c>
      <c r="BH193" s="89" t="s">
        <v>2859</v>
      </c>
      <c r="BI193" s="89" t="s">
        <v>2859</v>
      </c>
      <c r="BJ193" s="89" t="s">
        <v>2859</v>
      </c>
      <c r="BK193" s="89" t="s">
        <v>2859</v>
      </c>
      <c r="BL193" s="89" t="s">
        <v>2859</v>
      </c>
      <c r="BM193" s="89" t="s">
        <v>2859</v>
      </c>
      <c r="BN193" s="89" t="s">
        <v>2859</v>
      </c>
      <c r="BO193" s="89" t="s">
        <v>2859</v>
      </c>
      <c r="BP193" s="89" t="s">
        <v>2859</v>
      </c>
      <c r="BQ193" s="89" t="s">
        <v>3397</v>
      </c>
      <c r="BR193" s="89" t="s">
        <v>2869</v>
      </c>
    </row>
    <row r="194" spans="1:70">
      <c r="A194" s="89" t="s">
        <v>2144</v>
      </c>
      <c r="B194" s="89" t="s">
        <v>3398</v>
      </c>
      <c r="C194" s="89" t="s">
        <v>2879</v>
      </c>
      <c r="D194" s="89" t="s">
        <v>2859</v>
      </c>
      <c r="E194" s="89" t="s">
        <v>2859</v>
      </c>
      <c r="F194" s="89" t="s">
        <v>2859</v>
      </c>
      <c r="G194" s="89" t="s">
        <v>2860</v>
      </c>
      <c r="H194" s="89" t="s">
        <v>2913</v>
      </c>
      <c r="I194" s="89" t="s">
        <v>2859</v>
      </c>
      <c r="J194" s="89" t="s">
        <v>2859</v>
      </c>
      <c r="K194" s="89" t="s">
        <v>2859</v>
      </c>
      <c r="L194" s="89" t="s">
        <v>2859</v>
      </c>
      <c r="M194" s="89" t="s">
        <v>2859</v>
      </c>
      <c r="N194" s="89" t="s">
        <v>2859</v>
      </c>
      <c r="O194" s="89" t="s">
        <v>2859</v>
      </c>
      <c r="P194" s="89" t="s">
        <v>2859</v>
      </c>
      <c r="Q194" s="89" t="s">
        <v>2859</v>
      </c>
      <c r="R194" s="89" t="s">
        <v>2859</v>
      </c>
      <c r="S194" s="89" t="s">
        <v>2859</v>
      </c>
      <c r="T194" s="89" t="s">
        <v>2859</v>
      </c>
      <c r="U194" s="89" t="s">
        <v>2859</v>
      </c>
      <c r="V194" s="89" t="s">
        <v>2859</v>
      </c>
      <c r="W194" s="89" t="s">
        <v>2859</v>
      </c>
      <c r="X194" s="89" t="s">
        <v>2859</v>
      </c>
      <c r="Y194" s="89" t="s">
        <v>2859</v>
      </c>
      <c r="Z194" s="89" t="s">
        <v>2859</v>
      </c>
      <c r="AA194" s="89" t="s">
        <v>2859</v>
      </c>
      <c r="AB194" s="89" t="s">
        <v>2859</v>
      </c>
      <c r="AC194" s="89" t="s">
        <v>2859</v>
      </c>
      <c r="AD194" s="89" t="s">
        <v>2859</v>
      </c>
      <c r="AE194" s="89" t="s">
        <v>2859</v>
      </c>
      <c r="AF194" s="89" t="s">
        <v>2859</v>
      </c>
      <c r="AG194" s="89" t="s">
        <v>2859</v>
      </c>
      <c r="AH194" s="89" t="s">
        <v>2859</v>
      </c>
      <c r="AI194" s="89" t="s">
        <v>2859</v>
      </c>
      <c r="AJ194" s="89" t="s">
        <v>2859</v>
      </c>
      <c r="AK194" s="89" t="s">
        <v>2859</v>
      </c>
      <c r="AL194" s="89" t="s">
        <v>2859</v>
      </c>
      <c r="AM194" s="89" t="s">
        <v>2859</v>
      </c>
      <c r="AN194" s="89" t="s">
        <v>2859</v>
      </c>
      <c r="AO194" s="89" t="s">
        <v>2859</v>
      </c>
      <c r="AP194" s="89" t="s">
        <v>2859</v>
      </c>
      <c r="AQ194" s="89" t="s">
        <v>2859</v>
      </c>
      <c r="AR194" s="89" t="s">
        <v>2859</v>
      </c>
      <c r="AS194" s="89" t="s">
        <v>2859</v>
      </c>
      <c r="AT194" s="89" t="s">
        <v>2859</v>
      </c>
      <c r="AU194" s="89" t="s">
        <v>2859</v>
      </c>
      <c r="AV194" s="89" t="s">
        <v>2859</v>
      </c>
      <c r="AW194" s="89" t="s">
        <v>2859</v>
      </c>
      <c r="AX194" s="89" t="s">
        <v>2859</v>
      </c>
      <c r="AY194" s="89" t="s">
        <v>2859</v>
      </c>
      <c r="AZ194" s="89" t="s">
        <v>2859</v>
      </c>
      <c r="BA194" s="89" t="s">
        <v>2859</v>
      </c>
      <c r="BB194" s="89" t="s">
        <v>2859</v>
      </c>
      <c r="BC194" s="89" t="s">
        <v>2859</v>
      </c>
      <c r="BD194" s="89" t="s">
        <v>2859</v>
      </c>
      <c r="BE194" s="89" t="s">
        <v>2859</v>
      </c>
      <c r="BF194" s="89" t="s">
        <v>2859</v>
      </c>
      <c r="BG194" s="89" t="s">
        <v>2859</v>
      </c>
      <c r="BH194" s="89" t="s">
        <v>2859</v>
      </c>
      <c r="BI194" s="89" t="s">
        <v>2859</v>
      </c>
      <c r="BJ194" s="89" t="s">
        <v>2859</v>
      </c>
      <c r="BK194" s="89" t="s">
        <v>2859</v>
      </c>
      <c r="BL194" s="89" t="s">
        <v>2859</v>
      </c>
      <c r="BM194" s="89" t="s">
        <v>2859</v>
      </c>
      <c r="BN194" s="89" t="s">
        <v>2859</v>
      </c>
      <c r="BO194" s="89" t="s">
        <v>2859</v>
      </c>
      <c r="BP194" s="89" t="s">
        <v>2859</v>
      </c>
      <c r="BQ194" s="89" t="s">
        <v>3399</v>
      </c>
      <c r="BR194" s="89" t="s">
        <v>2869</v>
      </c>
    </row>
    <row r="195" spans="1:70">
      <c r="A195" s="89" t="s">
        <v>2144</v>
      </c>
      <c r="B195" s="89" t="s">
        <v>3400</v>
      </c>
      <c r="C195" s="89" t="s">
        <v>2879</v>
      </c>
      <c r="D195" s="89" t="s">
        <v>2859</v>
      </c>
      <c r="E195" s="89" t="s">
        <v>2859</v>
      </c>
      <c r="F195" s="89" t="s">
        <v>2859</v>
      </c>
      <c r="G195" s="89" t="s">
        <v>2860</v>
      </c>
      <c r="H195" s="89" t="s">
        <v>2913</v>
      </c>
      <c r="I195" s="89" t="s">
        <v>2859</v>
      </c>
      <c r="J195" s="89" t="s">
        <v>2859</v>
      </c>
      <c r="K195" s="89" t="s">
        <v>2859</v>
      </c>
      <c r="L195" s="89" t="s">
        <v>2859</v>
      </c>
      <c r="M195" s="89" t="s">
        <v>2859</v>
      </c>
      <c r="N195" s="89" t="s">
        <v>2859</v>
      </c>
      <c r="O195" s="89" t="s">
        <v>2859</v>
      </c>
      <c r="P195" s="89" t="s">
        <v>2859</v>
      </c>
      <c r="Q195" s="89" t="s">
        <v>2859</v>
      </c>
      <c r="R195" s="89" t="s">
        <v>2859</v>
      </c>
      <c r="S195" s="89" t="s">
        <v>2859</v>
      </c>
      <c r="T195" s="89" t="s">
        <v>2859</v>
      </c>
      <c r="U195" s="89" t="s">
        <v>2859</v>
      </c>
      <c r="V195" s="89" t="s">
        <v>2859</v>
      </c>
      <c r="W195" s="89" t="s">
        <v>2859</v>
      </c>
      <c r="X195" s="89" t="s">
        <v>2859</v>
      </c>
      <c r="Y195" s="89" t="s">
        <v>2859</v>
      </c>
      <c r="Z195" s="89" t="s">
        <v>2859</v>
      </c>
      <c r="AA195" s="89" t="s">
        <v>2859</v>
      </c>
      <c r="AB195" s="89" t="s">
        <v>2859</v>
      </c>
      <c r="AC195" s="89" t="s">
        <v>2859</v>
      </c>
      <c r="AD195" s="89" t="s">
        <v>2859</v>
      </c>
      <c r="AE195" s="89" t="s">
        <v>2859</v>
      </c>
      <c r="AF195" s="89" t="s">
        <v>2859</v>
      </c>
      <c r="AG195" s="89" t="s">
        <v>2859</v>
      </c>
      <c r="AH195" s="89" t="s">
        <v>2859</v>
      </c>
      <c r="AI195" s="89" t="s">
        <v>2859</v>
      </c>
      <c r="AJ195" s="89" t="s">
        <v>2859</v>
      </c>
      <c r="AK195" s="89" t="s">
        <v>2859</v>
      </c>
      <c r="AL195" s="89" t="s">
        <v>2859</v>
      </c>
      <c r="AM195" s="89" t="s">
        <v>2859</v>
      </c>
      <c r="AN195" s="89" t="s">
        <v>2859</v>
      </c>
      <c r="AO195" s="89" t="s">
        <v>2859</v>
      </c>
      <c r="AP195" s="89" t="s">
        <v>2859</v>
      </c>
      <c r="AQ195" s="89" t="s">
        <v>2859</v>
      </c>
      <c r="AR195" s="89" t="s">
        <v>2859</v>
      </c>
      <c r="AS195" s="89" t="s">
        <v>2859</v>
      </c>
      <c r="AT195" s="89" t="s">
        <v>2859</v>
      </c>
      <c r="AU195" s="89" t="s">
        <v>2859</v>
      </c>
      <c r="AV195" s="89" t="s">
        <v>2859</v>
      </c>
      <c r="AW195" s="89" t="s">
        <v>2859</v>
      </c>
      <c r="AX195" s="89" t="s">
        <v>2859</v>
      </c>
      <c r="AY195" s="89" t="s">
        <v>2859</v>
      </c>
      <c r="AZ195" s="89" t="s">
        <v>2859</v>
      </c>
      <c r="BA195" s="89" t="s">
        <v>2859</v>
      </c>
      <c r="BB195" s="89" t="s">
        <v>2859</v>
      </c>
      <c r="BC195" s="89" t="s">
        <v>2859</v>
      </c>
      <c r="BD195" s="89" t="s">
        <v>2859</v>
      </c>
      <c r="BE195" s="89" t="s">
        <v>2859</v>
      </c>
      <c r="BF195" s="89" t="s">
        <v>2859</v>
      </c>
      <c r="BG195" s="89" t="s">
        <v>2859</v>
      </c>
      <c r="BH195" s="89" t="s">
        <v>2859</v>
      </c>
      <c r="BI195" s="89" t="s">
        <v>2859</v>
      </c>
      <c r="BJ195" s="89" t="s">
        <v>2859</v>
      </c>
      <c r="BK195" s="89" t="s">
        <v>2859</v>
      </c>
      <c r="BL195" s="89" t="s">
        <v>2859</v>
      </c>
      <c r="BM195" s="89" t="s">
        <v>2859</v>
      </c>
      <c r="BN195" s="89" t="s">
        <v>2859</v>
      </c>
      <c r="BO195" s="89" t="s">
        <v>2859</v>
      </c>
      <c r="BP195" s="89" t="s">
        <v>2859</v>
      </c>
      <c r="BQ195" s="89" t="s">
        <v>3401</v>
      </c>
      <c r="BR195" s="89" t="s">
        <v>2869</v>
      </c>
    </row>
    <row r="196" spans="1:70">
      <c r="A196" s="89" t="s">
        <v>2144</v>
      </c>
      <c r="B196" s="89" t="s">
        <v>3402</v>
      </c>
      <c r="C196" s="89" t="s">
        <v>2879</v>
      </c>
      <c r="D196" s="89" t="s">
        <v>2859</v>
      </c>
      <c r="E196" s="89" t="s">
        <v>2859</v>
      </c>
      <c r="F196" s="89" t="s">
        <v>2859</v>
      </c>
      <c r="G196" s="89" t="s">
        <v>2860</v>
      </c>
      <c r="H196" s="89" t="s">
        <v>2913</v>
      </c>
      <c r="I196" s="89" t="s">
        <v>2859</v>
      </c>
      <c r="J196" s="89" t="s">
        <v>2859</v>
      </c>
      <c r="K196" s="89" t="s">
        <v>2859</v>
      </c>
      <c r="L196" s="89" t="s">
        <v>2859</v>
      </c>
      <c r="M196" s="89" t="s">
        <v>2859</v>
      </c>
      <c r="N196" s="89" t="s">
        <v>2859</v>
      </c>
      <c r="O196" s="89" t="s">
        <v>2859</v>
      </c>
      <c r="P196" s="89" t="s">
        <v>2859</v>
      </c>
      <c r="Q196" s="89" t="s">
        <v>2859</v>
      </c>
      <c r="R196" s="89" t="s">
        <v>2859</v>
      </c>
      <c r="S196" s="89" t="s">
        <v>2859</v>
      </c>
      <c r="T196" s="89" t="s">
        <v>2859</v>
      </c>
      <c r="U196" s="89" t="s">
        <v>2859</v>
      </c>
      <c r="V196" s="89" t="s">
        <v>2859</v>
      </c>
      <c r="W196" s="89" t="s">
        <v>2859</v>
      </c>
      <c r="X196" s="89" t="s">
        <v>2859</v>
      </c>
      <c r="Y196" s="89" t="s">
        <v>2859</v>
      </c>
      <c r="Z196" s="89" t="s">
        <v>2859</v>
      </c>
      <c r="AA196" s="89" t="s">
        <v>2859</v>
      </c>
      <c r="AB196" s="89" t="s">
        <v>2859</v>
      </c>
      <c r="AC196" s="89" t="s">
        <v>2859</v>
      </c>
      <c r="AD196" s="89" t="s">
        <v>2859</v>
      </c>
      <c r="AE196" s="89" t="s">
        <v>2859</v>
      </c>
      <c r="AF196" s="89" t="s">
        <v>2859</v>
      </c>
      <c r="AG196" s="89" t="s">
        <v>2859</v>
      </c>
      <c r="AH196" s="89" t="s">
        <v>2859</v>
      </c>
      <c r="AI196" s="89" t="s">
        <v>2859</v>
      </c>
      <c r="AJ196" s="89" t="s">
        <v>2859</v>
      </c>
      <c r="AK196" s="89" t="s">
        <v>2859</v>
      </c>
      <c r="AL196" s="89" t="s">
        <v>2859</v>
      </c>
      <c r="AM196" s="89" t="s">
        <v>2859</v>
      </c>
      <c r="AN196" s="89" t="s">
        <v>2859</v>
      </c>
      <c r="AO196" s="89" t="s">
        <v>2859</v>
      </c>
      <c r="AP196" s="89" t="s">
        <v>2859</v>
      </c>
      <c r="AQ196" s="89" t="s">
        <v>2859</v>
      </c>
      <c r="AR196" s="89" t="s">
        <v>2859</v>
      </c>
      <c r="AS196" s="89" t="s">
        <v>2859</v>
      </c>
      <c r="AT196" s="89" t="s">
        <v>2859</v>
      </c>
      <c r="AU196" s="89" t="s">
        <v>2859</v>
      </c>
      <c r="AV196" s="89" t="s">
        <v>2859</v>
      </c>
      <c r="AW196" s="89" t="s">
        <v>2859</v>
      </c>
      <c r="AX196" s="89" t="s">
        <v>2859</v>
      </c>
      <c r="AY196" s="89" t="s">
        <v>2859</v>
      </c>
      <c r="AZ196" s="89" t="s">
        <v>2859</v>
      </c>
      <c r="BA196" s="89" t="s">
        <v>2859</v>
      </c>
      <c r="BB196" s="89" t="s">
        <v>2859</v>
      </c>
      <c r="BC196" s="89" t="s">
        <v>2859</v>
      </c>
      <c r="BD196" s="89" t="s">
        <v>2859</v>
      </c>
      <c r="BE196" s="89" t="s">
        <v>2859</v>
      </c>
      <c r="BF196" s="89" t="s">
        <v>2859</v>
      </c>
      <c r="BG196" s="89" t="s">
        <v>2859</v>
      </c>
      <c r="BH196" s="89" t="s">
        <v>2859</v>
      </c>
      <c r="BI196" s="89" t="s">
        <v>2859</v>
      </c>
      <c r="BJ196" s="89" t="s">
        <v>2859</v>
      </c>
      <c r="BK196" s="89" t="s">
        <v>2859</v>
      </c>
      <c r="BL196" s="89" t="s">
        <v>2859</v>
      </c>
      <c r="BM196" s="89" t="s">
        <v>2859</v>
      </c>
      <c r="BN196" s="89" t="s">
        <v>2859</v>
      </c>
      <c r="BO196" s="89" t="s">
        <v>2859</v>
      </c>
      <c r="BP196" s="89" t="s">
        <v>2859</v>
      </c>
      <c r="BQ196" s="89" t="s">
        <v>3403</v>
      </c>
      <c r="BR196" s="89" t="s">
        <v>2869</v>
      </c>
    </row>
    <row r="197" spans="1:70">
      <c r="A197" s="89" t="s">
        <v>2144</v>
      </c>
      <c r="B197" s="89" t="s">
        <v>3404</v>
      </c>
      <c r="C197" s="89" t="s">
        <v>2974</v>
      </c>
      <c r="D197" s="89" t="s">
        <v>2859</v>
      </c>
      <c r="E197" s="89" t="s">
        <v>2859</v>
      </c>
      <c r="F197" s="89" t="s">
        <v>2859</v>
      </c>
      <c r="G197" s="89" t="s">
        <v>2860</v>
      </c>
      <c r="H197" s="89" t="s">
        <v>2859</v>
      </c>
      <c r="I197" s="89" t="s">
        <v>2490</v>
      </c>
      <c r="J197" s="89" t="s">
        <v>3405</v>
      </c>
      <c r="K197" s="89" t="s">
        <v>2867</v>
      </c>
      <c r="L197" s="89" t="s">
        <v>2859</v>
      </c>
      <c r="M197" s="89" t="s">
        <v>2859</v>
      </c>
      <c r="N197" s="89" t="s">
        <v>2859</v>
      </c>
      <c r="O197" s="89" t="s">
        <v>2859</v>
      </c>
      <c r="P197" s="89" t="s">
        <v>2859</v>
      </c>
      <c r="Q197" s="89" t="s">
        <v>2859</v>
      </c>
      <c r="R197" s="89" t="s">
        <v>2859</v>
      </c>
      <c r="S197" s="89" t="s">
        <v>2859</v>
      </c>
      <c r="T197" s="89" t="s">
        <v>2859</v>
      </c>
      <c r="U197" s="89" t="s">
        <v>2859</v>
      </c>
      <c r="V197" s="89" t="s">
        <v>2859</v>
      </c>
      <c r="W197" s="89" t="s">
        <v>2859</v>
      </c>
      <c r="X197" s="89" t="s">
        <v>2859</v>
      </c>
      <c r="Y197" s="89" t="s">
        <v>2859</v>
      </c>
      <c r="Z197" s="89" t="s">
        <v>2859</v>
      </c>
      <c r="AA197" s="89" t="s">
        <v>2859</v>
      </c>
      <c r="AB197" s="89" t="s">
        <v>2859</v>
      </c>
      <c r="AC197" s="89" t="s">
        <v>2859</v>
      </c>
      <c r="AD197" s="89" t="s">
        <v>2859</v>
      </c>
      <c r="AE197" s="89" t="s">
        <v>2859</v>
      </c>
      <c r="AF197" s="89" t="s">
        <v>2859</v>
      </c>
      <c r="AG197" s="89" t="s">
        <v>2859</v>
      </c>
      <c r="AH197" s="89" t="s">
        <v>2859</v>
      </c>
      <c r="AI197" s="89" t="s">
        <v>2859</v>
      </c>
      <c r="AJ197" s="89" t="s">
        <v>2859</v>
      </c>
      <c r="AK197" s="89" t="s">
        <v>2859</v>
      </c>
      <c r="AL197" s="89" t="s">
        <v>2859</v>
      </c>
      <c r="AM197" s="89" t="s">
        <v>2859</v>
      </c>
      <c r="AN197" s="89" t="s">
        <v>2859</v>
      </c>
      <c r="AO197" s="89" t="s">
        <v>2859</v>
      </c>
      <c r="AP197" s="89" t="s">
        <v>2859</v>
      </c>
      <c r="AQ197" s="89" t="s">
        <v>2859</v>
      </c>
      <c r="AR197" s="89" t="s">
        <v>2859</v>
      </c>
      <c r="AS197" s="89" t="s">
        <v>2859</v>
      </c>
      <c r="AT197" s="89" t="s">
        <v>2859</v>
      </c>
      <c r="AU197" s="89" t="s">
        <v>2859</v>
      </c>
      <c r="AV197" s="89" t="s">
        <v>2859</v>
      </c>
      <c r="AW197" s="89" t="s">
        <v>2859</v>
      </c>
      <c r="AX197" s="89" t="s">
        <v>2859</v>
      </c>
      <c r="AY197" s="89" t="s">
        <v>2859</v>
      </c>
      <c r="AZ197" s="89" t="s">
        <v>2859</v>
      </c>
      <c r="BA197" s="89" t="s">
        <v>2859</v>
      </c>
      <c r="BB197" s="89" t="s">
        <v>2859</v>
      </c>
      <c r="BC197" s="89" t="s">
        <v>2859</v>
      </c>
      <c r="BD197" s="89" t="s">
        <v>2859</v>
      </c>
      <c r="BE197" s="89" t="s">
        <v>2859</v>
      </c>
      <c r="BF197" s="89" t="s">
        <v>2859</v>
      </c>
      <c r="BG197" s="89" t="s">
        <v>2859</v>
      </c>
      <c r="BH197" s="89" t="s">
        <v>2859</v>
      </c>
      <c r="BI197" s="89" t="s">
        <v>2859</v>
      </c>
      <c r="BJ197" s="89" t="s">
        <v>2859</v>
      </c>
      <c r="BK197" s="89" t="s">
        <v>2859</v>
      </c>
      <c r="BL197" s="89" t="s">
        <v>2859</v>
      </c>
      <c r="BM197" s="89" t="s">
        <v>2859</v>
      </c>
      <c r="BN197" s="89" t="s">
        <v>2859</v>
      </c>
      <c r="BO197" s="89" t="s">
        <v>2859</v>
      </c>
      <c r="BP197" s="89" t="s">
        <v>2859</v>
      </c>
      <c r="BQ197" s="89" t="s">
        <v>3406</v>
      </c>
      <c r="BR197" s="89" t="s">
        <v>2869</v>
      </c>
    </row>
    <row r="198" spans="1:70">
      <c r="A198" s="89" t="s">
        <v>2144</v>
      </c>
      <c r="B198" s="89" t="s">
        <v>3407</v>
      </c>
      <c r="C198" s="89" t="s">
        <v>2924</v>
      </c>
      <c r="D198" s="89" t="s">
        <v>2859</v>
      </c>
      <c r="E198" s="89" t="s">
        <v>2859</v>
      </c>
      <c r="F198" s="89" t="s">
        <v>2859</v>
      </c>
      <c r="G198" s="89" t="s">
        <v>2860</v>
      </c>
      <c r="H198" s="89" t="s">
        <v>2859</v>
      </c>
      <c r="I198" s="89" t="s">
        <v>2490</v>
      </c>
      <c r="J198" s="89" t="s">
        <v>3408</v>
      </c>
      <c r="K198" s="89" t="s">
        <v>2860</v>
      </c>
      <c r="L198" s="89" t="s">
        <v>2859</v>
      </c>
      <c r="M198" s="89" t="s">
        <v>2859</v>
      </c>
      <c r="N198" s="89" t="s">
        <v>2859</v>
      </c>
      <c r="O198" s="89" t="s">
        <v>2859</v>
      </c>
      <c r="P198" s="89" t="s">
        <v>2859</v>
      </c>
      <c r="Q198" s="89" t="s">
        <v>2859</v>
      </c>
      <c r="R198" s="89" t="s">
        <v>2859</v>
      </c>
      <c r="S198" s="89" t="s">
        <v>2859</v>
      </c>
      <c r="T198" s="89" t="s">
        <v>2859</v>
      </c>
      <c r="U198" s="89" t="s">
        <v>2859</v>
      </c>
      <c r="V198" s="89" t="s">
        <v>2859</v>
      </c>
      <c r="W198" s="89" t="s">
        <v>2859</v>
      </c>
      <c r="X198" s="89" t="s">
        <v>2859</v>
      </c>
      <c r="Y198" s="89" t="s">
        <v>2859</v>
      </c>
      <c r="Z198" s="89" t="s">
        <v>2859</v>
      </c>
      <c r="AA198" s="89" t="s">
        <v>2859</v>
      </c>
      <c r="AB198" s="89" t="s">
        <v>2859</v>
      </c>
      <c r="AC198" s="89" t="s">
        <v>2859</v>
      </c>
      <c r="AD198" s="89" t="s">
        <v>2859</v>
      </c>
      <c r="AE198" s="89" t="s">
        <v>2859</v>
      </c>
      <c r="AF198" s="89" t="s">
        <v>2859</v>
      </c>
      <c r="AG198" s="89" t="s">
        <v>2859</v>
      </c>
      <c r="AH198" s="89" t="s">
        <v>2859</v>
      </c>
      <c r="AI198" s="89" t="s">
        <v>2859</v>
      </c>
      <c r="AJ198" s="89" t="s">
        <v>2859</v>
      </c>
      <c r="AK198" s="89" t="s">
        <v>2859</v>
      </c>
      <c r="AL198" s="89" t="s">
        <v>2859</v>
      </c>
      <c r="AM198" s="89" t="s">
        <v>2859</v>
      </c>
      <c r="AN198" s="89" t="s">
        <v>2859</v>
      </c>
      <c r="AO198" s="89" t="s">
        <v>2859</v>
      </c>
      <c r="AP198" s="89" t="s">
        <v>2859</v>
      </c>
      <c r="AQ198" s="89" t="s">
        <v>2859</v>
      </c>
      <c r="AR198" s="89" t="s">
        <v>2859</v>
      </c>
      <c r="AS198" s="89" t="s">
        <v>2859</v>
      </c>
      <c r="AT198" s="89" t="s">
        <v>2859</v>
      </c>
      <c r="AU198" s="89" t="s">
        <v>2859</v>
      </c>
      <c r="AV198" s="89" t="s">
        <v>2859</v>
      </c>
      <c r="AW198" s="89" t="s">
        <v>2859</v>
      </c>
      <c r="AX198" s="89" t="s">
        <v>2859</v>
      </c>
      <c r="AY198" s="89" t="s">
        <v>2859</v>
      </c>
      <c r="AZ198" s="89" t="s">
        <v>2859</v>
      </c>
      <c r="BA198" s="89" t="s">
        <v>2859</v>
      </c>
      <c r="BB198" s="89" t="s">
        <v>2859</v>
      </c>
      <c r="BC198" s="89" t="s">
        <v>2859</v>
      </c>
      <c r="BD198" s="89" t="s">
        <v>2859</v>
      </c>
      <c r="BE198" s="89" t="s">
        <v>2859</v>
      </c>
      <c r="BF198" s="89" t="s">
        <v>2859</v>
      </c>
      <c r="BG198" s="89" t="s">
        <v>2859</v>
      </c>
      <c r="BH198" s="89" t="s">
        <v>2859</v>
      </c>
      <c r="BI198" s="89" t="s">
        <v>2859</v>
      </c>
      <c r="BJ198" s="89" t="s">
        <v>2859</v>
      </c>
      <c r="BK198" s="89" t="s">
        <v>2859</v>
      </c>
      <c r="BL198" s="89" t="s">
        <v>2859</v>
      </c>
      <c r="BM198" s="89" t="s">
        <v>2859</v>
      </c>
      <c r="BN198" s="89" t="s">
        <v>2859</v>
      </c>
      <c r="BO198" s="89" t="s">
        <v>2859</v>
      </c>
      <c r="BP198" s="89" t="s">
        <v>2859</v>
      </c>
      <c r="BQ198" s="89" t="s">
        <v>3409</v>
      </c>
      <c r="BR198" s="89" t="s">
        <v>2859</v>
      </c>
    </row>
    <row r="199" spans="1:70">
      <c r="A199" s="89" t="s">
        <v>2144</v>
      </c>
      <c r="B199" s="89" t="s">
        <v>3410</v>
      </c>
      <c r="C199" s="89" t="s">
        <v>2864</v>
      </c>
      <c r="D199" s="89" t="s">
        <v>2859</v>
      </c>
      <c r="E199" s="89" t="s">
        <v>2859</v>
      </c>
      <c r="F199" s="89" t="s">
        <v>2859</v>
      </c>
      <c r="G199" s="89" t="s">
        <v>2860</v>
      </c>
      <c r="H199" s="89" t="s">
        <v>2859</v>
      </c>
      <c r="I199" s="89" t="s">
        <v>621</v>
      </c>
      <c r="J199" s="89" t="s">
        <v>3411</v>
      </c>
      <c r="K199" s="89" t="s">
        <v>2860</v>
      </c>
      <c r="L199" s="89" t="s">
        <v>2859</v>
      </c>
      <c r="M199" s="89" t="s">
        <v>2859</v>
      </c>
      <c r="N199" s="89" t="s">
        <v>2859</v>
      </c>
      <c r="O199" s="89" t="s">
        <v>2859</v>
      </c>
      <c r="P199" s="89" t="s">
        <v>2859</v>
      </c>
      <c r="Q199" s="89" t="s">
        <v>2859</v>
      </c>
      <c r="R199" s="89" t="s">
        <v>2859</v>
      </c>
      <c r="S199" s="89" t="s">
        <v>2859</v>
      </c>
      <c r="T199" s="89" t="s">
        <v>2859</v>
      </c>
      <c r="U199" s="89" t="s">
        <v>2859</v>
      </c>
      <c r="V199" s="89" t="s">
        <v>2859</v>
      </c>
      <c r="W199" s="89" t="s">
        <v>2859</v>
      </c>
      <c r="X199" s="89" t="s">
        <v>2859</v>
      </c>
      <c r="Y199" s="89" t="s">
        <v>2859</v>
      </c>
      <c r="Z199" s="89" t="s">
        <v>2859</v>
      </c>
      <c r="AA199" s="89" t="s">
        <v>2859</v>
      </c>
      <c r="AB199" s="89" t="s">
        <v>2859</v>
      </c>
      <c r="AC199" s="89" t="s">
        <v>2859</v>
      </c>
      <c r="AD199" s="89" t="s">
        <v>2859</v>
      </c>
      <c r="AE199" s="89" t="s">
        <v>2859</v>
      </c>
      <c r="AF199" s="89" t="s">
        <v>2859</v>
      </c>
      <c r="AG199" s="89" t="s">
        <v>2859</v>
      </c>
      <c r="AH199" s="89" t="s">
        <v>2859</v>
      </c>
      <c r="AI199" s="89" t="s">
        <v>2859</v>
      </c>
      <c r="AJ199" s="89" t="s">
        <v>2859</v>
      </c>
      <c r="AK199" s="89" t="s">
        <v>2859</v>
      </c>
      <c r="AL199" s="89" t="s">
        <v>2859</v>
      </c>
      <c r="AM199" s="89" t="s">
        <v>2859</v>
      </c>
      <c r="AN199" s="89" t="s">
        <v>2859</v>
      </c>
      <c r="AO199" s="89" t="s">
        <v>2859</v>
      </c>
      <c r="AP199" s="89" t="s">
        <v>2859</v>
      </c>
      <c r="AQ199" s="89" t="s">
        <v>2859</v>
      </c>
      <c r="AR199" s="89" t="s">
        <v>2859</v>
      </c>
      <c r="AS199" s="89" t="s">
        <v>2859</v>
      </c>
      <c r="AT199" s="89" t="s">
        <v>2859</v>
      </c>
      <c r="AU199" s="89" t="s">
        <v>2859</v>
      </c>
      <c r="AV199" s="89" t="s">
        <v>2859</v>
      </c>
      <c r="AW199" s="89" t="s">
        <v>2859</v>
      </c>
      <c r="AX199" s="89" t="s">
        <v>2859</v>
      </c>
      <c r="AY199" s="89" t="s">
        <v>2859</v>
      </c>
      <c r="AZ199" s="89" t="s">
        <v>2859</v>
      </c>
      <c r="BA199" s="89" t="s">
        <v>2859</v>
      </c>
      <c r="BB199" s="89" t="s">
        <v>2859</v>
      </c>
      <c r="BC199" s="89" t="s">
        <v>2859</v>
      </c>
      <c r="BD199" s="89" t="s">
        <v>2859</v>
      </c>
      <c r="BE199" s="89" t="s">
        <v>2859</v>
      </c>
      <c r="BF199" s="89" t="s">
        <v>2859</v>
      </c>
      <c r="BG199" s="89" t="s">
        <v>2859</v>
      </c>
      <c r="BH199" s="89" t="s">
        <v>2859</v>
      </c>
      <c r="BI199" s="89" t="s">
        <v>2859</v>
      </c>
      <c r="BJ199" s="89" t="s">
        <v>2859</v>
      </c>
      <c r="BK199" s="89" t="s">
        <v>2859</v>
      </c>
      <c r="BL199" s="89" t="s">
        <v>2859</v>
      </c>
      <c r="BM199" s="89" t="s">
        <v>2859</v>
      </c>
      <c r="BN199" s="89" t="s">
        <v>2859</v>
      </c>
      <c r="BO199" s="89" t="s">
        <v>2859</v>
      </c>
      <c r="BP199" s="89" t="s">
        <v>2859</v>
      </c>
      <c r="BQ199" s="89" t="s">
        <v>3412</v>
      </c>
      <c r="BR199" s="89" t="s">
        <v>2859</v>
      </c>
    </row>
    <row r="200" spans="1:70">
      <c r="A200" s="89" t="s">
        <v>2144</v>
      </c>
      <c r="B200" s="89" t="s">
        <v>3413</v>
      </c>
      <c r="C200" s="89" t="s">
        <v>2924</v>
      </c>
      <c r="D200" s="89" t="s">
        <v>2859</v>
      </c>
      <c r="E200" s="89" t="s">
        <v>2859</v>
      </c>
      <c r="F200" s="89" t="s">
        <v>2859</v>
      </c>
      <c r="G200" s="89" t="s">
        <v>2860</v>
      </c>
      <c r="H200" s="89" t="s">
        <v>2859</v>
      </c>
      <c r="I200" s="89" t="s">
        <v>2364</v>
      </c>
      <c r="J200" s="89" t="s">
        <v>2859</v>
      </c>
      <c r="K200" s="89" t="s">
        <v>2859</v>
      </c>
      <c r="L200" s="89" t="s">
        <v>2859</v>
      </c>
      <c r="M200" s="89" t="s">
        <v>2859</v>
      </c>
      <c r="N200" s="89" t="s">
        <v>2859</v>
      </c>
      <c r="O200" s="89" t="s">
        <v>2859</v>
      </c>
      <c r="P200" s="89" t="s">
        <v>2859</v>
      </c>
      <c r="Q200" s="89" t="s">
        <v>2859</v>
      </c>
      <c r="R200" s="89" t="s">
        <v>2859</v>
      </c>
      <c r="S200" s="89" t="s">
        <v>2859</v>
      </c>
      <c r="T200" s="89" t="s">
        <v>2859</v>
      </c>
      <c r="U200" s="89" t="s">
        <v>2859</v>
      </c>
      <c r="V200" s="89" t="s">
        <v>2859</v>
      </c>
      <c r="W200" s="89" t="s">
        <v>2859</v>
      </c>
      <c r="X200" s="89" t="s">
        <v>2859</v>
      </c>
      <c r="Y200" s="89" t="s">
        <v>2859</v>
      </c>
      <c r="Z200" s="89" t="s">
        <v>2859</v>
      </c>
      <c r="AA200" s="89" t="s">
        <v>2859</v>
      </c>
      <c r="AB200" s="89" t="s">
        <v>2859</v>
      </c>
      <c r="AC200" s="89" t="s">
        <v>2859</v>
      </c>
      <c r="AD200" s="89" t="s">
        <v>2859</v>
      </c>
      <c r="AE200" s="89" t="s">
        <v>2859</v>
      </c>
      <c r="AF200" s="89" t="s">
        <v>2859</v>
      </c>
      <c r="AG200" s="89" t="s">
        <v>2859</v>
      </c>
      <c r="AH200" s="89" t="s">
        <v>2859</v>
      </c>
      <c r="AI200" s="89" t="s">
        <v>2859</v>
      </c>
      <c r="AJ200" s="89" t="s">
        <v>2859</v>
      </c>
      <c r="AK200" s="89" t="s">
        <v>2859</v>
      </c>
      <c r="AL200" s="89" t="s">
        <v>2859</v>
      </c>
      <c r="AM200" s="89" t="s">
        <v>2859</v>
      </c>
      <c r="AN200" s="89" t="s">
        <v>2859</v>
      </c>
      <c r="AO200" s="89" t="s">
        <v>2859</v>
      </c>
      <c r="AP200" s="89" t="s">
        <v>2859</v>
      </c>
      <c r="AQ200" s="89" t="s">
        <v>2859</v>
      </c>
      <c r="AR200" s="89" t="s">
        <v>2859</v>
      </c>
      <c r="AS200" s="89" t="s">
        <v>2859</v>
      </c>
      <c r="AT200" s="89" t="s">
        <v>2859</v>
      </c>
      <c r="AU200" s="89" t="s">
        <v>2859</v>
      </c>
      <c r="AV200" s="89" t="s">
        <v>2859</v>
      </c>
      <c r="AW200" s="89" t="s">
        <v>2859</v>
      </c>
      <c r="AX200" s="89" t="s">
        <v>2859</v>
      </c>
      <c r="AY200" s="89" t="s">
        <v>2859</v>
      </c>
      <c r="AZ200" s="89" t="s">
        <v>2859</v>
      </c>
      <c r="BA200" s="89" t="s">
        <v>2859</v>
      </c>
      <c r="BB200" s="89" t="s">
        <v>2859</v>
      </c>
      <c r="BC200" s="89" t="s">
        <v>2859</v>
      </c>
      <c r="BD200" s="89" t="s">
        <v>2859</v>
      </c>
      <c r="BE200" s="89" t="s">
        <v>2859</v>
      </c>
      <c r="BF200" s="89" t="s">
        <v>2859</v>
      </c>
      <c r="BG200" s="89" t="s">
        <v>2859</v>
      </c>
      <c r="BH200" s="89" t="s">
        <v>2859</v>
      </c>
      <c r="BI200" s="89" t="s">
        <v>2859</v>
      </c>
      <c r="BJ200" s="89" t="s">
        <v>2859</v>
      </c>
      <c r="BK200" s="89" t="s">
        <v>2859</v>
      </c>
      <c r="BL200" s="89" t="s">
        <v>2859</v>
      </c>
      <c r="BM200" s="89" t="s">
        <v>2859</v>
      </c>
      <c r="BN200" s="89" t="s">
        <v>2859</v>
      </c>
      <c r="BO200" s="89" t="s">
        <v>2859</v>
      </c>
      <c r="BP200" s="89" t="s">
        <v>2859</v>
      </c>
      <c r="BQ200" s="89" t="s">
        <v>3414</v>
      </c>
      <c r="BR200" s="89" t="s">
        <v>2859</v>
      </c>
    </row>
    <row r="201" spans="1:70">
      <c r="A201" s="89" t="s">
        <v>2144</v>
      </c>
      <c r="B201" s="89" t="s">
        <v>3415</v>
      </c>
      <c r="C201" s="89" t="s">
        <v>2864</v>
      </c>
      <c r="D201" s="89" t="s">
        <v>2859</v>
      </c>
      <c r="E201" s="89" t="s">
        <v>2859</v>
      </c>
      <c r="F201" s="89" t="s">
        <v>2859</v>
      </c>
      <c r="G201" s="89" t="s">
        <v>2860</v>
      </c>
      <c r="H201" s="89" t="s">
        <v>2859</v>
      </c>
      <c r="I201" s="89" t="s">
        <v>120</v>
      </c>
      <c r="J201" s="89" t="s">
        <v>3416</v>
      </c>
      <c r="K201" s="89" t="s">
        <v>2860</v>
      </c>
      <c r="L201" s="89" t="s">
        <v>2859</v>
      </c>
      <c r="M201" s="89" t="s">
        <v>2859</v>
      </c>
      <c r="N201" s="89" t="s">
        <v>2859</v>
      </c>
      <c r="O201" s="89" t="s">
        <v>2859</v>
      </c>
      <c r="P201" s="89" t="s">
        <v>2859</v>
      </c>
      <c r="Q201" s="89" t="s">
        <v>2859</v>
      </c>
      <c r="R201" s="89" t="s">
        <v>2859</v>
      </c>
      <c r="S201" s="89" t="s">
        <v>2859</v>
      </c>
      <c r="T201" s="89" t="s">
        <v>2859</v>
      </c>
      <c r="U201" s="89" t="s">
        <v>2859</v>
      </c>
      <c r="V201" s="89" t="s">
        <v>2859</v>
      </c>
      <c r="W201" s="89" t="s">
        <v>2859</v>
      </c>
      <c r="X201" s="89" t="s">
        <v>2859</v>
      </c>
      <c r="Y201" s="89" t="s">
        <v>2859</v>
      </c>
      <c r="Z201" s="89" t="s">
        <v>2859</v>
      </c>
      <c r="AA201" s="89" t="s">
        <v>2859</v>
      </c>
      <c r="AB201" s="89" t="s">
        <v>2859</v>
      </c>
      <c r="AC201" s="89" t="s">
        <v>2859</v>
      </c>
      <c r="AD201" s="89" t="s">
        <v>2859</v>
      </c>
      <c r="AE201" s="89" t="s">
        <v>2859</v>
      </c>
      <c r="AF201" s="89" t="s">
        <v>2859</v>
      </c>
      <c r="AG201" s="89" t="s">
        <v>2859</v>
      </c>
      <c r="AH201" s="89" t="s">
        <v>2859</v>
      </c>
      <c r="AI201" s="89" t="s">
        <v>2859</v>
      </c>
      <c r="AJ201" s="89" t="s">
        <v>2859</v>
      </c>
      <c r="AK201" s="89" t="s">
        <v>2859</v>
      </c>
      <c r="AL201" s="89" t="s">
        <v>2859</v>
      </c>
      <c r="AM201" s="89" t="s">
        <v>2859</v>
      </c>
      <c r="AN201" s="89" t="s">
        <v>2859</v>
      </c>
      <c r="AO201" s="89" t="s">
        <v>2859</v>
      </c>
      <c r="AP201" s="89" t="s">
        <v>2859</v>
      </c>
      <c r="AQ201" s="89" t="s">
        <v>2859</v>
      </c>
      <c r="AR201" s="89" t="s">
        <v>2859</v>
      </c>
      <c r="AS201" s="89" t="s">
        <v>2859</v>
      </c>
      <c r="AT201" s="89" t="s">
        <v>2859</v>
      </c>
      <c r="AU201" s="89" t="s">
        <v>2859</v>
      </c>
      <c r="AV201" s="89" t="s">
        <v>2859</v>
      </c>
      <c r="AW201" s="89" t="s">
        <v>2859</v>
      </c>
      <c r="AX201" s="89" t="s">
        <v>2859</v>
      </c>
      <c r="AY201" s="89" t="s">
        <v>2859</v>
      </c>
      <c r="AZ201" s="89" t="s">
        <v>2859</v>
      </c>
      <c r="BA201" s="89" t="s">
        <v>2859</v>
      </c>
      <c r="BB201" s="89" t="s">
        <v>2859</v>
      </c>
      <c r="BC201" s="89" t="s">
        <v>2859</v>
      </c>
      <c r="BD201" s="89" t="s">
        <v>2859</v>
      </c>
      <c r="BE201" s="89" t="s">
        <v>2859</v>
      </c>
      <c r="BF201" s="89" t="s">
        <v>2859</v>
      </c>
      <c r="BG201" s="89" t="s">
        <v>2859</v>
      </c>
      <c r="BH201" s="89" t="s">
        <v>2859</v>
      </c>
      <c r="BI201" s="89" t="s">
        <v>2859</v>
      </c>
      <c r="BJ201" s="89" t="s">
        <v>2859</v>
      </c>
      <c r="BK201" s="89" t="s">
        <v>2859</v>
      </c>
      <c r="BL201" s="89" t="s">
        <v>2859</v>
      </c>
      <c r="BM201" s="89" t="s">
        <v>2859</v>
      </c>
      <c r="BN201" s="89" t="s">
        <v>2859</v>
      </c>
      <c r="BO201" s="89" t="s">
        <v>2859</v>
      </c>
      <c r="BP201" s="89" t="s">
        <v>2859</v>
      </c>
      <c r="BQ201" s="89" t="s">
        <v>3417</v>
      </c>
      <c r="BR201" s="89" t="s">
        <v>2859</v>
      </c>
    </row>
    <row r="202" spans="1:70">
      <c r="A202" s="89" t="s">
        <v>2146</v>
      </c>
      <c r="B202" s="89" t="s">
        <v>2909</v>
      </c>
      <c r="C202" s="89" t="s">
        <v>2909</v>
      </c>
      <c r="D202" s="89" t="s">
        <v>2859</v>
      </c>
      <c r="E202" s="89" t="s">
        <v>2859</v>
      </c>
      <c r="F202" s="89" t="s">
        <v>2859</v>
      </c>
      <c r="G202" s="89" t="s">
        <v>2860</v>
      </c>
      <c r="H202" s="89" t="s">
        <v>2859</v>
      </c>
      <c r="I202" s="89" t="s">
        <v>2329</v>
      </c>
      <c r="J202" s="89" t="s">
        <v>3047</v>
      </c>
      <c r="K202" s="89" t="s">
        <v>2860</v>
      </c>
      <c r="L202" s="89" t="s">
        <v>2859</v>
      </c>
      <c r="M202" s="89" t="s">
        <v>2859</v>
      </c>
      <c r="N202" s="89" t="s">
        <v>2859</v>
      </c>
      <c r="O202" s="89" t="s">
        <v>2859</v>
      </c>
      <c r="P202" s="89" t="s">
        <v>2859</v>
      </c>
      <c r="Q202" s="89" t="s">
        <v>2859</v>
      </c>
      <c r="R202" s="89" t="s">
        <v>2859</v>
      </c>
      <c r="S202" s="89" t="s">
        <v>2859</v>
      </c>
      <c r="T202" s="89" t="s">
        <v>2859</v>
      </c>
      <c r="U202" s="89" t="s">
        <v>2859</v>
      </c>
      <c r="V202" s="89" t="s">
        <v>2859</v>
      </c>
      <c r="W202" s="89" t="s">
        <v>2859</v>
      </c>
      <c r="X202" s="89" t="s">
        <v>2859</v>
      </c>
      <c r="Y202" s="89" t="s">
        <v>2859</v>
      </c>
      <c r="Z202" s="89" t="s">
        <v>2859</v>
      </c>
      <c r="AA202" s="89" t="s">
        <v>2859</v>
      </c>
      <c r="AB202" s="89" t="s">
        <v>2859</v>
      </c>
      <c r="AC202" s="89" t="s">
        <v>2859</v>
      </c>
      <c r="AD202" s="89" t="s">
        <v>2859</v>
      </c>
      <c r="AE202" s="89" t="s">
        <v>2859</v>
      </c>
      <c r="AF202" s="89" t="s">
        <v>2859</v>
      </c>
      <c r="AG202" s="89" t="s">
        <v>2859</v>
      </c>
      <c r="AH202" s="89" t="s">
        <v>2859</v>
      </c>
      <c r="AI202" s="89" t="s">
        <v>2859</v>
      </c>
      <c r="AJ202" s="89" t="s">
        <v>2859</v>
      </c>
      <c r="AK202" s="89" t="s">
        <v>2859</v>
      </c>
      <c r="AL202" s="89" t="s">
        <v>2859</v>
      </c>
      <c r="AM202" s="89" t="s">
        <v>2859</v>
      </c>
      <c r="AN202" s="89" t="s">
        <v>2859</v>
      </c>
      <c r="AO202" s="89" t="s">
        <v>2859</v>
      </c>
      <c r="AP202" s="89" t="s">
        <v>2859</v>
      </c>
      <c r="AQ202" s="89" t="s">
        <v>2859</v>
      </c>
      <c r="AR202" s="89" t="s">
        <v>2859</v>
      </c>
      <c r="AS202" s="89" t="s">
        <v>2859</v>
      </c>
      <c r="AT202" s="89" t="s">
        <v>2859</v>
      </c>
      <c r="AU202" s="89" t="s">
        <v>2859</v>
      </c>
      <c r="AV202" s="89" t="s">
        <v>2859</v>
      </c>
      <c r="AW202" s="89" t="s">
        <v>2859</v>
      </c>
      <c r="AX202" s="89" t="s">
        <v>2859</v>
      </c>
      <c r="AY202" s="89" t="s">
        <v>2859</v>
      </c>
      <c r="AZ202" s="89" t="s">
        <v>2859</v>
      </c>
      <c r="BA202" s="89" t="s">
        <v>2859</v>
      </c>
      <c r="BB202" s="89" t="s">
        <v>2859</v>
      </c>
      <c r="BC202" s="89" t="s">
        <v>2859</v>
      </c>
      <c r="BD202" s="89" t="s">
        <v>2859</v>
      </c>
      <c r="BE202" s="89" t="s">
        <v>2859</v>
      </c>
      <c r="BF202" s="89" t="s">
        <v>2859</v>
      </c>
      <c r="BG202" s="89" t="s">
        <v>2859</v>
      </c>
      <c r="BH202" s="89" t="s">
        <v>2859</v>
      </c>
      <c r="BI202" s="89" t="s">
        <v>2859</v>
      </c>
      <c r="BJ202" s="89" t="s">
        <v>2859</v>
      </c>
      <c r="BK202" s="89" t="s">
        <v>2859</v>
      </c>
      <c r="BL202" s="89" t="s">
        <v>2859</v>
      </c>
      <c r="BM202" s="89" t="s">
        <v>2859</v>
      </c>
      <c r="BN202" s="89" t="s">
        <v>2859</v>
      </c>
      <c r="BO202" s="89" t="s">
        <v>2859</v>
      </c>
      <c r="BP202" s="89" t="s">
        <v>2859</v>
      </c>
      <c r="BQ202" s="89" t="s">
        <v>3418</v>
      </c>
      <c r="BR202" s="89" t="s">
        <v>2869</v>
      </c>
    </row>
    <row r="203" spans="1:70">
      <c r="A203" s="89" t="s">
        <v>2146</v>
      </c>
      <c r="B203" s="89" t="s">
        <v>3419</v>
      </c>
      <c r="C203" s="89" t="s">
        <v>2884</v>
      </c>
      <c r="D203" s="89" t="s">
        <v>2859</v>
      </c>
      <c r="E203" s="89" t="s">
        <v>2859</v>
      </c>
      <c r="F203" s="89" t="s">
        <v>2859</v>
      </c>
      <c r="G203" s="89" t="s">
        <v>2860</v>
      </c>
      <c r="H203" s="89" t="s">
        <v>2859</v>
      </c>
      <c r="I203" s="89" t="s">
        <v>3055</v>
      </c>
      <c r="J203" s="89" t="s">
        <v>3420</v>
      </c>
      <c r="K203" s="89" t="s">
        <v>2860</v>
      </c>
      <c r="L203" s="89" t="s">
        <v>2859</v>
      </c>
      <c r="M203" s="89" t="s">
        <v>2859</v>
      </c>
      <c r="N203" s="89" t="s">
        <v>2859</v>
      </c>
      <c r="O203" s="89" t="s">
        <v>2859</v>
      </c>
      <c r="P203" s="89" t="s">
        <v>2859</v>
      </c>
      <c r="Q203" s="89" t="s">
        <v>2859</v>
      </c>
      <c r="R203" s="89" t="s">
        <v>2859</v>
      </c>
      <c r="S203" s="89" t="s">
        <v>2859</v>
      </c>
      <c r="T203" s="89" t="s">
        <v>2859</v>
      </c>
      <c r="U203" s="89" t="s">
        <v>2859</v>
      </c>
      <c r="V203" s="89" t="s">
        <v>2859</v>
      </c>
      <c r="W203" s="89" t="s">
        <v>2859</v>
      </c>
      <c r="X203" s="89" t="s">
        <v>2859</v>
      </c>
      <c r="Y203" s="89" t="s">
        <v>2859</v>
      </c>
      <c r="Z203" s="89" t="s">
        <v>2859</v>
      </c>
      <c r="AA203" s="89" t="s">
        <v>2859</v>
      </c>
      <c r="AB203" s="89" t="s">
        <v>2859</v>
      </c>
      <c r="AC203" s="89" t="s">
        <v>2859</v>
      </c>
      <c r="AD203" s="89" t="s">
        <v>2859</v>
      </c>
      <c r="AE203" s="89" t="s">
        <v>2859</v>
      </c>
      <c r="AF203" s="89" t="s">
        <v>2859</v>
      </c>
      <c r="AG203" s="89" t="s">
        <v>2859</v>
      </c>
      <c r="AH203" s="89" t="s">
        <v>2859</v>
      </c>
      <c r="AI203" s="89" t="s">
        <v>2859</v>
      </c>
      <c r="AJ203" s="89" t="s">
        <v>2859</v>
      </c>
      <c r="AK203" s="89" t="s">
        <v>2859</v>
      </c>
      <c r="AL203" s="89" t="s">
        <v>2859</v>
      </c>
      <c r="AM203" s="89" t="s">
        <v>2859</v>
      </c>
      <c r="AN203" s="89" t="s">
        <v>2859</v>
      </c>
      <c r="AO203" s="89" t="s">
        <v>2859</v>
      </c>
      <c r="AP203" s="89" t="s">
        <v>2859</v>
      </c>
      <c r="AQ203" s="89" t="s">
        <v>2859</v>
      </c>
      <c r="AR203" s="89" t="s">
        <v>2859</v>
      </c>
      <c r="AS203" s="89" t="s">
        <v>2859</v>
      </c>
      <c r="AT203" s="89" t="s">
        <v>2859</v>
      </c>
      <c r="AU203" s="89" t="s">
        <v>2859</v>
      </c>
      <c r="AV203" s="89" t="s">
        <v>2859</v>
      </c>
      <c r="AW203" s="89" t="s">
        <v>2859</v>
      </c>
      <c r="AX203" s="89" t="s">
        <v>2859</v>
      </c>
      <c r="AY203" s="89" t="s">
        <v>2859</v>
      </c>
      <c r="AZ203" s="89" t="s">
        <v>2859</v>
      </c>
      <c r="BA203" s="89" t="s">
        <v>2859</v>
      </c>
      <c r="BB203" s="89" t="s">
        <v>2859</v>
      </c>
      <c r="BC203" s="89" t="s">
        <v>2859</v>
      </c>
      <c r="BD203" s="89" t="s">
        <v>2859</v>
      </c>
      <c r="BE203" s="89" t="s">
        <v>2859</v>
      </c>
      <c r="BF203" s="89" t="s">
        <v>2859</v>
      </c>
      <c r="BG203" s="89" t="s">
        <v>2859</v>
      </c>
      <c r="BH203" s="89" t="s">
        <v>2859</v>
      </c>
      <c r="BI203" s="89" t="s">
        <v>2859</v>
      </c>
      <c r="BJ203" s="89" t="s">
        <v>2859</v>
      </c>
      <c r="BK203" s="89" t="s">
        <v>2859</v>
      </c>
      <c r="BL203" s="89" t="s">
        <v>2859</v>
      </c>
      <c r="BM203" s="89" t="s">
        <v>2859</v>
      </c>
      <c r="BN203" s="89" t="s">
        <v>2859</v>
      </c>
      <c r="BO203" s="89" t="s">
        <v>2859</v>
      </c>
      <c r="BP203" s="89" t="s">
        <v>2859</v>
      </c>
      <c r="BQ203" s="89" t="s">
        <v>3421</v>
      </c>
      <c r="BR203" s="89" t="s">
        <v>2859</v>
      </c>
    </row>
    <row r="204" spans="1:70">
      <c r="A204" s="89" t="s">
        <v>2146</v>
      </c>
      <c r="B204" s="89" t="s">
        <v>3422</v>
      </c>
      <c r="C204" s="89" t="s">
        <v>2879</v>
      </c>
      <c r="D204" s="89" t="s">
        <v>2859</v>
      </c>
      <c r="E204" s="89" t="s">
        <v>2859</v>
      </c>
      <c r="F204" s="89" t="s">
        <v>2859</v>
      </c>
      <c r="G204" s="89" t="s">
        <v>2860</v>
      </c>
      <c r="H204" s="89" t="s">
        <v>2859</v>
      </c>
      <c r="I204" s="89" t="s">
        <v>2490</v>
      </c>
      <c r="J204" s="89" t="s">
        <v>2859</v>
      </c>
      <c r="K204" s="89" t="s">
        <v>2859</v>
      </c>
      <c r="L204" s="89" t="s">
        <v>120</v>
      </c>
      <c r="M204" s="89" t="s">
        <v>2859</v>
      </c>
      <c r="N204" s="89" t="s">
        <v>2859</v>
      </c>
      <c r="O204" s="89" t="s">
        <v>2891</v>
      </c>
      <c r="P204" s="89" t="s">
        <v>2859</v>
      </c>
      <c r="Q204" s="89" t="s">
        <v>2859</v>
      </c>
      <c r="R204" s="89" t="s">
        <v>2859</v>
      </c>
      <c r="S204" s="89" t="s">
        <v>2859</v>
      </c>
      <c r="T204" s="89" t="s">
        <v>2859</v>
      </c>
      <c r="U204" s="89" t="s">
        <v>2859</v>
      </c>
      <c r="V204" s="89" t="s">
        <v>2859</v>
      </c>
      <c r="W204" s="89" t="s">
        <v>2859</v>
      </c>
      <c r="X204" s="89" t="s">
        <v>2859</v>
      </c>
      <c r="Y204" s="89" t="s">
        <v>2859</v>
      </c>
      <c r="Z204" s="89" t="s">
        <v>2859</v>
      </c>
      <c r="AA204" s="89" t="s">
        <v>2859</v>
      </c>
      <c r="AB204" s="89" t="s">
        <v>2859</v>
      </c>
      <c r="AC204" s="89" t="s">
        <v>2859</v>
      </c>
      <c r="AD204" s="89" t="s">
        <v>2859</v>
      </c>
      <c r="AE204" s="89" t="s">
        <v>2859</v>
      </c>
      <c r="AF204" s="89" t="s">
        <v>2859</v>
      </c>
      <c r="AG204" s="89" t="s">
        <v>2859</v>
      </c>
      <c r="AH204" s="89" t="s">
        <v>2859</v>
      </c>
      <c r="AI204" s="89" t="s">
        <v>2859</v>
      </c>
      <c r="AJ204" s="89" t="s">
        <v>2859</v>
      </c>
      <c r="AK204" s="89" t="s">
        <v>2859</v>
      </c>
      <c r="AL204" s="89" t="s">
        <v>2859</v>
      </c>
      <c r="AM204" s="89" t="s">
        <v>2859</v>
      </c>
      <c r="AN204" s="89" t="s">
        <v>2859</v>
      </c>
      <c r="AO204" s="89" t="s">
        <v>2859</v>
      </c>
      <c r="AP204" s="89" t="s">
        <v>2859</v>
      </c>
      <c r="AQ204" s="89" t="s">
        <v>2859</v>
      </c>
      <c r="AR204" s="89" t="s">
        <v>2859</v>
      </c>
      <c r="AS204" s="89" t="s">
        <v>2859</v>
      </c>
      <c r="AT204" s="89" t="s">
        <v>2859</v>
      </c>
      <c r="AU204" s="89" t="s">
        <v>2859</v>
      </c>
      <c r="AV204" s="89" t="s">
        <v>2859</v>
      </c>
      <c r="AW204" s="89" t="s">
        <v>2859</v>
      </c>
      <c r="AX204" s="89" t="s">
        <v>2859</v>
      </c>
      <c r="AY204" s="89" t="s">
        <v>2859</v>
      </c>
      <c r="AZ204" s="89" t="s">
        <v>2859</v>
      </c>
      <c r="BA204" s="89" t="s">
        <v>2859</v>
      </c>
      <c r="BB204" s="89" t="s">
        <v>2859</v>
      </c>
      <c r="BC204" s="89" t="s">
        <v>2859</v>
      </c>
      <c r="BD204" s="89" t="s">
        <v>2859</v>
      </c>
      <c r="BE204" s="89" t="s">
        <v>2859</v>
      </c>
      <c r="BF204" s="89" t="s">
        <v>2859</v>
      </c>
      <c r="BG204" s="89" t="s">
        <v>2859</v>
      </c>
      <c r="BH204" s="89" t="s">
        <v>2859</v>
      </c>
      <c r="BI204" s="89" t="s">
        <v>2859</v>
      </c>
      <c r="BJ204" s="89" t="s">
        <v>2859</v>
      </c>
      <c r="BK204" s="89" t="s">
        <v>2859</v>
      </c>
      <c r="BL204" s="89" t="s">
        <v>2859</v>
      </c>
      <c r="BM204" s="89" t="s">
        <v>2859</v>
      </c>
      <c r="BN204" s="89" t="s">
        <v>2859</v>
      </c>
      <c r="BO204" s="89" t="s">
        <v>2859</v>
      </c>
      <c r="BP204" s="89" t="s">
        <v>2859</v>
      </c>
      <c r="BQ204" s="89" t="s">
        <v>3423</v>
      </c>
      <c r="BR204" s="89" t="s">
        <v>2859</v>
      </c>
    </row>
    <row r="205" spans="1:70">
      <c r="A205" s="89" t="s">
        <v>2146</v>
      </c>
      <c r="B205" s="89" t="s">
        <v>3424</v>
      </c>
      <c r="C205" s="89" t="s">
        <v>2989</v>
      </c>
      <c r="D205" s="89" t="s">
        <v>2859</v>
      </c>
      <c r="E205" s="89" t="s">
        <v>2859</v>
      </c>
      <c r="F205" s="89" t="s">
        <v>2859</v>
      </c>
      <c r="G205" s="89" t="s">
        <v>2860</v>
      </c>
      <c r="H205" s="89" t="s">
        <v>2859</v>
      </c>
      <c r="I205" s="89" t="s">
        <v>120</v>
      </c>
      <c r="J205" s="89" t="s">
        <v>3425</v>
      </c>
      <c r="K205" s="89" t="s">
        <v>2860</v>
      </c>
      <c r="L205" s="89" t="s">
        <v>2490</v>
      </c>
      <c r="M205" s="89" t="s">
        <v>3425</v>
      </c>
      <c r="N205" s="89" t="s">
        <v>2860</v>
      </c>
      <c r="O205" s="89" t="s">
        <v>2859</v>
      </c>
      <c r="P205" s="89" t="s">
        <v>2859</v>
      </c>
      <c r="Q205" s="89" t="s">
        <v>2859</v>
      </c>
      <c r="R205" s="89" t="s">
        <v>2859</v>
      </c>
      <c r="S205" s="89" t="s">
        <v>2859</v>
      </c>
      <c r="T205" s="89" t="s">
        <v>2859</v>
      </c>
      <c r="U205" s="89" t="s">
        <v>2859</v>
      </c>
      <c r="V205" s="89" t="s">
        <v>2859</v>
      </c>
      <c r="W205" s="89" t="s">
        <v>2859</v>
      </c>
      <c r="X205" s="89" t="s">
        <v>2859</v>
      </c>
      <c r="Y205" s="89" t="s">
        <v>2859</v>
      </c>
      <c r="Z205" s="89" t="s">
        <v>2859</v>
      </c>
      <c r="AA205" s="89" t="s">
        <v>2859</v>
      </c>
      <c r="AB205" s="89" t="s">
        <v>2859</v>
      </c>
      <c r="AC205" s="89" t="s">
        <v>2859</v>
      </c>
      <c r="AD205" s="89" t="s">
        <v>2859</v>
      </c>
      <c r="AE205" s="89" t="s">
        <v>2859</v>
      </c>
      <c r="AF205" s="89" t="s">
        <v>2859</v>
      </c>
      <c r="AG205" s="89" t="s">
        <v>2859</v>
      </c>
      <c r="AH205" s="89" t="s">
        <v>2859</v>
      </c>
      <c r="AI205" s="89" t="s">
        <v>2859</v>
      </c>
      <c r="AJ205" s="89" t="s">
        <v>2859</v>
      </c>
      <c r="AK205" s="89" t="s">
        <v>2859</v>
      </c>
      <c r="AL205" s="89" t="s">
        <v>2859</v>
      </c>
      <c r="AM205" s="89" t="s">
        <v>2859</v>
      </c>
      <c r="AN205" s="89" t="s">
        <v>2859</v>
      </c>
      <c r="AO205" s="89" t="s">
        <v>2859</v>
      </c>
      <c r="AP205" s="89" t="s">
        <v>2859</v>
      </c>
      <c r="AQ205" s="89" t="s">
        <v>2859</v>
      </c>
      <c r="AR205" s="89" t="s">
        <v>2859</v>
      </c>
      <c r="AS205" s="89" t="s">
        <v>2859</v>
      </c>
      <c r="AT205" s="89" t="s">
        <v>2859</v>
      </c>
      <c r="AU205" s="89" t="s">
        <v>2859</v>
      </c>
      <c r="AV205" s="89" t="s">
        <v>2859</v>
      </c>
      <c r="AW205" s="89" t="s">
        <v>2859</v>
      </c>
      <c r="AX205" s="89" t="s">
        <v>2859</v>
      </c>
      <c r="AY205" s="89" t="s">
        <v>2859</v>
      </c>
      <c r="AZ205" s="89" t="s">
        <v>2859</v>
      </c>
      <c r="BA205" s="89" t="s">
        <v>2859</v>
      </c>
      <c r="BB205" s="89" t="s">
        <v>2859</v>
      </c>
      <c r="BC205" s="89" t="s">
        <v>2859</v>
      </c>
      <c r="BD205" s="89" t="s">
        <v>2859</v>
      </c>
      <c r="BE205" s="89" t="s">
        <v>2859</v>
      </c>
      <c r="BF205" s="89" t="s">
        <v>2859</v>
      </c>
      <c r="BG205" s="89" t="s">
        <v>2859</v>
      </c>
      <c r="BH205" s="89" t="s">
        <v>2859</v>
      </c>
      <c r="BI205" s="89" t="s">
        <v>2859</v>
      </c>
      <c r="BJ205" s="89" t="s">
        <v>2859</v>
      </c>
      <c r="BK205" s="89" t="s">
        <v>2859</v>
      </c>
      <c r="BL205" s="89" t="s">
        <v>2859</v>
      </c>
      <c r="BM205" s="89" t="s">
        <v>2859</v>
      </c>
      <c r="BN205" s="89" t="s">
        <v>2859</v>
      </c>
      <c r="BO205" s="89" t="s">
        <v>2859</v>
      </c>
      <c r="BP205" s="89" t="s">
        <v>2859</v>
      </c>
      <c r="BQ205" s="89" t="s">
        <v>3426</v>
      </c>
      <c r="BR205" s="89" t="s">
        <v>2859</v>
      </c>
    </row>
    <row r="206" spans="1:70">
      <c r="A206" s="89" t="s">
        <v>2146</v>
      </c>
      <c r="B206" s="89" t="s">
        <v>3427</v>
      </c>
      <c r="C206" s="89" t="s">
        <v>2858</v>
      </c>
      <c r="D206" s="89" t="s">
        <v>2859</v>
      </c>
      <c r="E206" s="89" t="s">
        <v>2859</v>
      </c>
      <c r="F206" s="89" t="s">
        <v>2859</v>
      </c>
      <c r="G206" s="89" t="s">
        <v>2860</v>
      </c>
      <c r="H206" s="89" t="s">
        <v>2859</v>
      </c>
      <c r="I206" s="89" t="s">
        <v>2872</v>
      </c>
      <c r="J206" s="89" t="s">
        <v>3428</v>
      </c>
      <c r="K206" s="89" t="s">
        <v>2860</v>
      </c>
      <c r="L206" s="89" t="s">
        <v>3429</v>
      </c>
      <c r="M206" s="89" t="s">
        <v>3428</v>
      </c>
      <c r="N206" s="89" t="s">
        <v>2860</v>
      </c>
      <c r="O206" s="89" t="s">
        <v>2859</v>
      </c>
      <c r="P206" s="89" t="s">
        <v>2859</v>
      </c>
      <c r="Q206" s="89" t="s">
        <v>2859</v>
      </c>
      <c r="R206" s="89" t="s">
        <v>2859</v>
      </c>
      <c r="S206" s="89" t="s">
        <v>2859</v>
      </c>
      <c r="T206" s="89" t="s">
        <v>2859</v>
      </c>
      <c r="U206" s="89" t="s">
        <v>2859</v>
      </c>
      <c r="V206" s="89" t="s">
        <v>2859</v>
      </c>
      <c r="W206" s="89" t="s">
        <v>2859</v>
      </c>
      <c r="X206" s="89" t="s">
        <v>2859</v>
      </c>
      <c r="Y206" s="89" t="s">
        <v>2859</v>
      </c>
      <c r="Z206" s="89" t="s">
        <v>2859</v>
      </c>
      <c r="AA206" s="89" t="s">
        <v>2859</v>
      </c>
      <c r="AB206" s="89" t="s">
        <v>2859</v>
      </c>
      <c r="AC206" s="89" t="s">
        <v>2859</v>
      </c>
      <c r="AD206" s="89" t="s">
        <v>2859</v>
      </c>
      <c r="AE206" s="89" t="s">
        <v>2859</v>
      </c>
      <c r="AF206" s="89" t="s">
        <v>2859</v>
      </c>
      <c r="AG206" s="89" t="s">
        <v>2859</v>
      </c>
      <c r="AH206" s="89" t="s">
        <v>2859</v>
      </c>
      <c r="AI206" s="89" t="s">
        <v>2859</v>
      </c>
      <c r="AJ206" s="89" t="s">
        <v>2859</v>
      </c>
      <c r="AK206" s="89" t="s">
        <v>2859</v>
      </c>
      <c r="AL206" s="89" t="s">
        <v>2859</v>
      </c>
      <c r="AM206" s="89" t="s">
        <v>2859</v>
      </c>
      <c r="AN206" s="89" t="s">
        <v>2859</v>
      </c>
      <c r="AO206" s="89" t="s">
        <v>2859</v>
      </c>
      <c r="AP206" s="89" t="s">
        <v>2859</v>
      </c>
      <c r="AQ206" s="89" t="s">
        <v>2859</v>
      </c>
      <c r="AR206" s="89" t="s">
        <v>2859</v>
      </c>
      <c r="AS206" s="89" t="s">
        <v>2859</v>
      </c>
      <c r="AT206" s="89" t="s">
        <v>2859</v>
      </c>
      <c r="AU206" s="89" t="s">
        <v>2859</v>
      </c>
      <c r="AV206" s="89" t="s">
        <v>2859</v>
      </c>
      <c r="AW206" s="89" t="s">
        <v>2859</v>
      </c>
      <c r="AX206" s="89" t="s">
        <v>2859</v>
      </c>
      <c r="AY206" s="89" t="s">
        <v>2859</v>
      </c>
      <c r="AZ206" s="89" t="s">
        <v>2859</v>
      </c>
      <c r="BA206" s="89" t="s">
        <v>2859</v>
      </c>
      <c r="BB206" s="89" t="s">
        <v>2859</v>
      </c>
      <c r="BC206" s="89" t="s">
        <v>2859</v>
      </c>
      <c r="BD206" s="89" t="s">
        <v>2859</v>
      </c>
      <c r="BE206" s="89" t="s">
        <v>2859</v>
      </c>
      <c r="BF206" s="89" t="s">
        <v>2859</v>
      </c>
      <c r="BG206" s="89" t="s">
        <v>2859</v>
      </c>
      <c r="BH206" s="89" t="s">
        <v>2859</v>
      </c>
      <c r="BI206" s="89" t="s">
        <v>2859</v>
      </c>
      <c r="BJ206" s="89" t="s">
        <v>2859</v>
      </c>
      <c r="BK206" s="89" t="s">
        <v>2859</v>
      </c>
      <c r="BL206" s="89" t="s">
        <v>2859</v>
      </c>
      <c r="BM206" s="89" t="s">
        <v>2859</v>
      </c>
      <c r="BN206" s="89" t="s">
        <v>2859</v>
      </c>
      <c r="BO206" s="89" t="s">
        <v>2859</v>
      </c>
      <c r="BP206" s="89" t="s">
        <v>2859</v>
      </c>
      <c r="BQ206" s="89" t="s">
        <v>3430</v>
      </c>
      <c r="BR206" s="89" t="s">
        <v>2859</v>
      </c>
    </row>
    <row r="207" spans="1:70">
      <c r="A207" s="89" t="s">
        <v>2146</v>
      </c>
      <c r="B207" s="89" t="s">
        <v>3431</v>
      </c>
      <c r="C207" s="89" t="s">
        <v>2864</v>
      </c>
      <c r="D207" s="89" t="s">
        <v>2859</v>
      </c>
      <c r="E207" s="89" t="s">
        <v>2859</v>
      </c>
      <c r="F207" s="89" t="s">
        <v>2859</v>
      </c>
      <c r="G207" s="89" t="s">
        <v>2860</v>
      </c>
      <c r="H207" s="89" t="s">
        <v>2859</v>
      </c>
      <c r="I207" s="89" t="s">
        <v>120</v>
      </c>
      <c r="J207" s="89" t="s">
        <v>3432</v>
      </c>
      <c r="K207" s="89" t="s">
        <v>2860</v>
      </c>
      <c r="L207" s="89" t="s">
        <v>2490</v>
      </c>
      <c r="M207" s="89" t="s">
        <v>3432</v>
      </c>
      <c r="N207" s="89" t="s">
        <v>2860</v>
      </c>
      <c r="O207" s="89" t="s">
        <v>2859</v>
      </c>
      <c r="P207" s="89" t="s">
        <v>2859</v>
      </c>
      <c r="Q207" s="89" t="s">
        <v>2859</v>
      </c>
      <c r="R207" s="89" t="s">
        <v>2859</v>
      </c>
      <c r="S207" s="89" t="s">
        <v>2859</v>
      </c>
      <c r="T207" s="89" t="s">
        <v>2859</v>
      </c>
      <c r="U207" s="89" t="s">
        <v>2859</v>
      </c>
      <c r="V207" s="89" t="s">
        <v>2859</v>
      </c>
      <c r="W207" s="89" t="s">
        <v>2859</v>
      </c>
      <c r="X207" s="89" t="s">
        <v>2859</v>
      </c>
      <c r="Y207" s="89" t="s">
        <v>2859</v>
      </c>
      <c r="Z207" s="89" t="s">
        <v>2859</v>
      </c>
      <c r="AA207" s="89" t="s">
        <v>2859</v>
      </c>
      <c r="AB207" s="89" t="s">
        <v>2859</v>
      </c>
      <c r="AC207" s="89" t="s">
        <v>2859</v>
      </c>
      <c r="AD207" s="89" t="s">
        <v>2859</v>
      </c>
      <c r="AE207" s="89" t="s">
        <v>2859</v>
      </c>
      <c r="AF207" s="89" t="s">
        <v>2859</v>
      </c>
      <c r="AG207" s="89" t="s">
        <v>2859</v>
      </c>
      <c r="AH207" s="89" t="s">
        <v>2859</v>
      </c>
      <c r="AI207" s="89" t="s">
        <v>2859</v>
      </c>
      <c r="AJ207" s="89" t="s">
        <v>2859</v>
      </c>
      <c r="AK207" s="89" t="s">
        <v>2859</v>
      </c>
      <c r="AL207" s="89" t="s">
        <v>2859</v>
      </c>
      <c r="AM207" s="89" t="s">
        <v>2859</v>
      </c>
      <c r="AN207" s="89" t="s">
        <v>2859</v>
      </c>
      <c r="AO207" s="89" t="s">
        <v>2859</v>
      </c>
      <c r="AP207" s="89" t="s">
        <v>2859</v>
      </c>
      <c r="AQ207" s="89" t="s">
        <v>2859</v>
      </c>
      <c r="AR207" s="89" t="s">
        <v>2859</v>
      </c>
      <c r="AS207" s="89" t="s">
        <v>2859</v>
      </c>
      <c r="AT207" s="89" t="s">
        <v>2859</v>
      </c>
      <c r="AU207" s="89" t="s">
        <v>2859</v>
      </c>
      <c r="AV207" s="89" t="s">
        <v>2859</v>
      </c>
      <c r="AW207" s="89" t="s">
        <v>2859</v>
      </c>
      <c r="AX207" s="89" t="s">
        <v>2859</v>
      </c>
      <c r="AY207" s="89" t="s">
        <v>2859</v>
      </c>
      <c r="AZ207" s="89" t="s">
        <v>2859</v>
      </c>
      <c r="BA207" s="89" t="s">
        <v>2859</v>
      </c>
      <c r="BB207" s="89" t="s">
        <v>2859</v>
      </c>
      <c r="BC207" s="89" t="s">
        <v>2859</v>
      </c>
      <c r="BD207" s="89" t="s">
        <v>2859</v>
      </c>
      <c r="BE207" s="89" t="s">
        <v>2859</v>
      </c>
      <c r="BF207" s="89" t="s">
        <v>2859</v>
      </c>
      <c r="BG207" s="89" t="s">
        <v>2859</v>
      </c>
      <c r="BH207" s="89" t="s">
        <v>2859</v>
      </c>
      <c r="BI207" s="89" t="s">
        <v>2859</v>
      </c>
      <c r="BJ207" s="89" t="s">
        <v>2859</v>
      </c>
      <c r="BK207" s="89" t="s">
        <v>2859</v>
      </c>
      <c r="BL207" s="89" t="s">
        <v>2859</v>
      </c>
      <c r="BM207" s="89" t="s">
        <v>2859</v>
      </c>
      <c r="BN207" s="89" t="s">
        <v>2859</v>
      </c>
      <c r="BO207" s="89" t="s">
        <v>2859</v>
      </c>
      <c r="BP207" s="89" t="s">
        <v>2859</v>
      </c>
      <c r="BQ207" s="89" t="s">
        <v>3433</v>
      </c>
      <c r="BR207" s="89" t="s">
        <v>2859</v>
      </c>
    </row>
    <row r="208" spans="1:70">
      <c r="A208" s="89" t="s">
        <v>2146</v>
      </c>
      <c r="B208" s="89" t="s">
        <v>3434</v>
      </c>
      <c r="C208" s="89" t="s">
        <v>3003</v>
      </c>
      <c r="D208" s="89" t="s">
        <v>2859</v>
      </c>
      <c r="E208" s="89" t="s">
        <v>2859</v>
      </c>
      <c r="F208" s="89" t="s">
        <v>2859</v>
      </c>
      <c r="G208" s="89" t="s">
        <v>2860</v>
      </c>
      <c r="H208" s="89" t="s">
        <v>2859</v>
      </c>
      <c r="I208" s="89" t="s">
        <v>120</v>
      </c>
      <c r="J208" s="89" t="s">
        <v>3435</v>
      </c>
      <c r="K208" s="89" t="s">
        <v>2860</v>
      </c>
      <c r="L208" s="89" t="s">
        <v>2490</v>
      </c>
      <c r="M208" s="89" t="s">
        <v>3435</v>
      </c>
      <c r="N208" s="89" t="s">
        <v>2860</v>
      </c>
      <c r="O208" s="89" t="s">
        <v>2859</v>
      </c>
      <c r="P208" s="89" t="s">
        <v>2859</v>
      </c>
      <c r="Q208" s="89" t="s">
        <v>2859</v>
      </c>
      <c r="R208" s="89" t="s">
        <v>2859</v>
      </c>
      <c r="S208" s="89" t="s">
        <v>2859</v>
      </c>
      <c r="T208" s="89" t="s">
        <v>2859</v>
      </c>
      <c r="U208" s="89" t="s">
        <v>2859</v>
      </c>
      <c r="V208" s="89" t="s">
        <v>2859</v>
      </c>
      <c r="W208" s="89" t="s">
        <v>2859</v>
      </c>
      <c r="X208" s="89" t="s">
        <v>2859</v>
      </c>
      <c r="Y208" s="89" t="s">
        <v>2859</v>
      </c>
      <c r="Z208" s="89" t="s">
        <v>2859</v>
      </c>
      <c r="AA208" s="89" t="s">
        <v>2859</v>
      </c>
      <c r="AB208" s="89" t="s">
        <v>2859</v>
      </c>
      <c r="AC208" s="89" t="s">
        <v>2859</v>
      </c>
      <c r="AD208" s="89" t="s">
        <v>2859</v>
      </c>
      <c r="AE208" s="89" t="s">
        <v>2859</v>
      </c>
      <c r="AF208" s="89" t="s">
        <v>2859</v>
      </c>
      <c r="AG208" s="89" t="s">
        <v>2859</v>
      </c>
      <c r="AH208" s="89" t="s">
        <v>2859</v>
      </c>
      <c r="AI208" s="89" t="s">
        <v>2859</v>
      </c>
      <c r="AJ208" s="89" t="s">
        <v>2859</v>
      </c>
      <c r="AK208" s="89" t="s">
        <v>2859</v>
      </c>
      <c r="AL208" s="89" t="s">
        <v>2859</v>
      </c>
      <c r="AM208" s="89" t="s">
        <v>2859</v>
      </c>
      <c r="AN208" s="89" t="s">
        <v>2859</v>
      </c>
      <c r="AO208" s="89" t="s">
        <v>2859</v>
      </c>
      <c r="AP208" s="89" t="s">
        <v>2859</v>
      </c>
      <c r="AQ208" s="89" t="s">
        <v>2859</v>
      </c>
      <c r="AR208" s="89" t="s">
        <v>2859</v>
      </c>
      <c r="AS208" s="89" t="s">
        <v>2859</v>
      </c>
      <c r="AT208" s="89" t="s">
        <v>2859</v>
      </c>
      <c r="AU208" s="89" t="s">
        <v>2859</v>
      </c>
      <c r="AV208" s="89" t="s">
        <v>2859</v>
      </c>
      <c r="AW208" s="89" t="s">
        <v>2859</v>
      </c>
      <c r="AX208" s="89" t="s">
        <v>2859</v>
      </c>
      <c r="AY208" s="89" t="s">
        <v>2859</v>
      </c>
      <c r="AZ208" s="89" t="s">
        <v>2859</v>
      </c>
      <c r="BA208" s="89" t="s">
        <v>2859</v>
      </c>
      <c r="BB208" s="89" t="s">
        <v>2859</v>
      </c>
      <c r="BC208" s="89" t="s">
        <v>2859</v>
      </c>
      <c r="BD208" s="89" t="s">
        <v>2859</v>
      </c>
      <c r="BE208" s="89" t="s">
        <v>2859</v>
      </c>
      <c r="BF208" s="89" t="s">
        <v>2859</v>
      </c>
      <c r="BG208" s="89" t="s">
        <v>2859</v>
      </c>
      <c r="BH208" s="89" t="s">
        <v>2859</v>
      </c>
      <c r="BI208" s="89" t="s">
        <v>2859</v>
      </c>
      <c r="BJ208" s="89" t="s">
        <v>2859</v>
      </c>
      <c r="BK208" s="89" t="s">
        <v>2859</v>
      </c>
      <c r="BL208" s="89" t="s">
        <v>2859</v>
      </c>
      <c r="BM208" s="89" t="s">
        <v>2859</v>
      </c>
      <c r="BN208" s="89" t="s">
        <v>2859</v>
      </c>
      <c r="BO208" s="89" t="s">
        <v>2859</v>
      </c>
      <c r="BP208" s="89" t="s">
        <v>2859</v>
      </c>
      <c r="BQ208" s="89" t="s">
        <v>3436</v>
      </c>
      <c r="BR208" s="89" t="s">
        <v>2859</v>
      </c>
    </row>
    <row r="209" spans="1:70">
      <c r="A209" s="89" t="s">
        <v>2146</v>
      </c>
      <c r="B209" s="89" t="s">
        <v>3437</v>
      </c>
      <c r="C209" s="89" t="s">
        <v>2974</v>
      </c>
      <c r="D209" s="89" t="s">
        <v>2859</v>
      </c>
      <c r="E209" s="89" t="s">
        <v>2859</v>
      </c>
      <c r="F209" s="89" t="s">
        <v>2859</v>
      </c>
      <c r="G209" s="89" t="s">
        <v>2860</v>
      </c>
      <c r="H209" s="89" t="s">
        <v>2859</v>
      </c>
      <c r="I209" s="89" t="s">
        <v>1463</v>
      </c>
      <c r="J209" s="89" t="s">
        <v>3438</v>
      </c>
      <c r="K209" s="89" t="s">
        <v>2860</v>
      </c>
      <c r="L209" s="89" t="s">
        <v>2979</v>
      </c>
      <c r="M209" s="89" t="s">
        <v>3439</v>
      </c>
      <c r="N209" s="89" t="s">
        <v>2860</v>
      </c>
      <c r="O209" s="89" t="s">
        <v>2859</v>
      </c>
      <c r="P209" s="89" t="s">
        <v>2859</v>
      </c>
      <c r="Q209" s="89" t="s">
        <v>2859</v>
      </c>
      <c r="R209" s="89" t="s">
        <v>2859</v>
      </c>
      <c r="S209" s="89" t="s">
        <v>2859</v>
      </c>
      <c r="T209" s="89" t="s">
        <v>2859</v>
      </c>
      <c r="U209" s="89" t="s">
        <v>2859</v>
      </c>
      <c r="V209" s="89" t="s">
        <v>2859</v>
      </c>
      <c r="W209" s="89" t="s">
        <v>2859</v>
      </c>
      <c r="X209" s="89" t="s">
        <v>2859</v>
      </c>
      <c r="Y209" s="89" t="s">
        <v>2859</v>
      </c>
      <c r="Z209" s="89" t="s">
        <v>2859</v>
      </c>
      <c r="AA209" s="89" t="s">
        <v>2859</v>
      </c>
      <c r="AB209" s="89" t="s">
        <v>2859</v>
      </c>
      <c r="AC209" s="89" t="s">
        <v>2859</v>
      </c>
      <c r="AD209" s="89" t="s">
        <v>2859</v>
      </c>
      <c r="AE209" s="89" t="s">
        <v>2859</v>
      </c>
      <c r="AF209" s="89" t="s">
        <v>2859</v>
      </c>
      <c r="AG209" s="89" t="s">
        <v>2859</v>
      </c>
      <c r="AH209" s="89" t="s">
        <v>2859</v>
      </c>
      <c r="AI209" s="89" t="s">
        <v>2859</v>
      </c>
      <c r="AJ209" s="89" t="s">
        <v>2859</v>
      </c>
      <c r="AK209" s="89" t="s">
        <v>2859</v>
      </c>
      <c r="AL209" s="89" t="s">
        <v>2859</v>
      </c>
      <c r="AM209" s="89" t="s">
        <v>2859</v>
      </c>
      <c r="AN209" s="89" t="s">
        <v>2859</v>
      </c>
      <c r="AO209" s="89" t="s">
        <v>2859</v>
      </c>
      <c r="AP209" s="89" t="s">
        <v>2859</v>
      </c>
      <c r="AQ209" s="89" t="s">
        <v>2859</v>
      </c>
      <c r="AR209" s="89" t="s">
        <v>2859</v>
      </c>
      <c r="AS209" s="89" t="s">
        <v>2859</v>
      </c>
      <c r="AT209" s="89" t="s">
        <v>2859</v>
      </c>
      <c r="AU209" s="89" t="s">
        <v>2859</v>
      </c>
      <c r="AV209" s="89" t="s">
        <v>2859</v>
      </c>
      <c r="AW209" s="89" t="s">
        <v>2859</v>
      </c>
      <c r="AX209" s="89" t="s">
        <v>2859</v>
      </c>
      <c r="AY209" s="89" t="s">
        <v>2859</v>
      </c>
      <c r="AZ209" s="89" t="s">
        <v>2859</v>
      </c>
      <c r="BA209" s="89" t="s">
        <v>2859</v>
      </c>
      <c r="BB209" s="89" t="s">
        <v>2859</v>
      </c>
      <c r="BC209" s="89" t="s">
        <v>2859</v>
      </c>
      <c r="BD209" s="89" t="s">
        <v>2859</v>
      </c>
      <c r="BE209" s="89" t="s">
        <v>2859</v>
      </c>
      <c r="BF209" s="89" t="s">
        <v>2859</v>
      </c>
      <c r="BG209" s="89" t="s">
        <v>2859</v>
      </c>
      <c r="BH209" s="89" t="s">
        <v>2859</v>
      </c>
      <c r="BI209" s="89" t="s">
        <v>2859</v>
      </c>
      <c r="BJ209" s="89" t="s">
        <v>2859</v>
      </c>
      <c r="BK209" s="89" t="s">
        <v>2859</v>
      </c>
      <c r="BL209" s="89" t="s">
        <v>2859</v>
      </c>
      <c r="BM209" s="89" t="s">
        <v>2859</v>
      </c>
      <c r="BN209" s="89" t="s">
        <v>2859</v>
      </c>
      <c r="BO209" s="89" t="s">
        <v>2859</v>
      </c>
      <c r="BP209" s="89" t="s">
        <v>2859</v>
      </c>
      <c r="BQ209" s="89" t="s">
        <v>3440</v>
      </c>
      <c r="BR209" s="89" t="s">
        <v>2859</v>
      </c>
    </row>
    <row r="210" spans="1:70">
      <c r="A210" s="89" t="s">
        <v>2146</v>
      </c>
      <c r="B210" s="89" t="s">
        <v>3441</v>
      </c>
      <c r="C210" s="89" t="s">
        <v>2971</v>
      </c>
      <c r="D210" s="89" t="s">
        <v>2859</v>
      </c>
      <c r="E210" s="89" t="s">
        <v>2859</v>
      </c>
      <c r="F210" s="89" t="s">
        <v>2859</v>
      </c>
      <c r="G210" s="89" t="s">
        <v>2860</v>
      </c>
      <c r="H210" s="89" t="s">
        <v>2859</v>
      </c>
      <c r="I210" s="89" t="s">
        <v>2891</v>
      </c>
      <c r="J210" s="89" t="s">
        <v>3442</v>
      </c>
      <c r="K210" s="89" t="s">
        <v>2860</v>
      </c>
      <c r="L210" s="89" t="s">
        <v>2859</v>
      </c>
      <c r="M210" s="89" t="s">
        <v>2859</v>
      </c>
      <c r="N210" s="89" t="s">
        <v>2859</v>
      </c>
      <c r="O210" s="89" t="s">
        <v>2859</v>
      </c>
      <c r="P210" s="89" t="s">
        <v>2859</v>
      </c>
      <c r="Q210" s="89" t="s">
        <v>2859</v>
      </c>
      <c r="R210" s="89" t="s">
        <v>2859</v>
      </c>
      <c r="S210" s="89" t="s">
        <v>2859</v>
      </c>
      <c r="T210" s="89" t="s">
        <v>2859</v>
      </c>
      <c r="U210" s="89" t="s">
        <v>2859</v>
      </c>
      <c r="V210" s="89" t="s">
        <v>2859</v>
      </c>
      <c r="W210" s="89" t="s">
        <v>2859</v>
      </c>
      <c r="X210" s="89" t="s">
        <v>2859</v>
      </c>
      <c r="Y210" s="89" t="s">
        <v>2859</v>
      </c>
      <c r="Z210" s="89" t="s">
        <v>2859</v>
      </c>
      <c r="AA210" s="89" t="s">
        <v>2859</v>
      </c>
      <c r="AB210" s="89" t="s">
        <v>2859</v>
      </c>
      <c r="AC210" s="89" t="s">
        <v>2859</v>
      </c>
      <c r="AD210" s="89" t="s">
        <v>2859</v>
      </c>
      <c r="AE210" s="89" t="s">
        <v>2859</v>
      </c>
      <c r="AF210" s="89" t="s">
        <v>2859</v>
      </c>
      <c r="AG210" s="89" t="s">
        <v>2859</v>
      </c>
      <c r="AH210" s="89" t="s">
        <v>2859</v>
      </c>
      <c r="AI210" s="89" t="s">
        <v>2859</v>
      </c>
      <c r="AJ210" s="89" t="s">
        <v>2859</v>
      </c>
      <c r="AK210" s="89" t="s">
        <v>2859</v>
      </c>
      <c r="AL210" s="89" t="s">
        <v>2859</v>
      </c>
      <c r="AM210" s="89" t="s">
        <v>2859</v>
      </c>
      <c r="AN210" s="89" t="s">
        <v>2859</v>
      </c>
      <c r="AO210" s="89" t="s">
        <v>2859</v>
      </c>
      <c r="AP210" s="89" t="s">
        <v>2859</v>
      </c>
      <c r="AQ210" s="89" t="s">
        <v>2859</v>
      </c>
      <c r="AR210" s="89" t="s">
        <v>2859</v>
      </c>
      <c r="AS210" s="89" t="s">
        <v>2859</v>
      </c>
      <c r="AT210" s="89" t="s">
        <v>2859</v>
      </c>
      <c r="AU210" s="89" t="s">
        <v>2859</v>
      </c>
      <c r="AV210" s="89" t="s">
        <v>2859</v>
      </c>
      <c r="AW210" s="89" t="s">
        <v>2859</v>
      </c>
      <c r="AX210" s="89" t="s">
        <v>2859</v>
      </c>
      <c r="AY210" s="89" t="s">
        <v>2859</v>
      </c>
      <c r="AZ210" s="89" t="s">
        <v>2859</v>
      </c>
      <c r="BA210" s="89" t="s">
        <v>2859</v>
      </c>
      <c r="BB210" s="89" t="s">
        <v>2859</v>
      </c>
      <c r="BC210" s="89" t="s">
        <v>2859</v>
      </c>
      <c r="BD210" s="89" t="s">
        <v>2859</v>
      </c>
      <c r="BE210" s="89" t="s">
        <v>2859</v>
      </c>
      <c r="BF210" s="89" t="s">
        <v>2859</v>
      </c>
      <c r="BG210" s="89" t="s">
        <v>2859</v>
      </c>
      <c r="BH210" s="89" t="s">
        <v>2859</v>
      </c>
      <c r="BI210" s="89" t="s">
        <v>2859</v>
      </c>
      <c r="BJ210" s="89" t="s">
        <v>2859</v>
      </c>
      <c r="BK210" s="89" t="s">
        <v>2859</v>
      </c>
      <c r="BL210" s="89" t="s">
        <v>2859</v>
      </c>
      <c r="BM210" s="89" t="s">
        <v>2859</v>
      </c>
      <c r="BN210" s="89" t="s">
        <v>2859</v>
      </c>
      <c r="BO210" s="89" t="s">
        <v>2859</v>
      </c>
      <c r="BP210" s="89" t="s">
        <v>2859</v>
      </c>
      <c r="BQ210" s="89" t="s">
        <v>3443</v>
      </c>
      <c r="BR210" s="89" t="s">
        <v>2859</v>
      </c>
    </row>
    <row r="211" spans="1:70">
      <c r="A211" s="89" t="s">
        <v>2146</v>
      </c>
      <c r="B211" s="89" t="s">
        <v>3444</v>
      </c>
      <c r="C211" s="89" t="s">
        <v>2879</v>
      </c>
      <c r="D211" s="89" t="s">
        <v>2859</v>
      </c>
      <c r="E211" s="89" t="s">
        <v>2859</v>
      </c>
      <c r="F211" s="89" t="s">
        <v>2859</v>
      </c>
      <c r="G211" s="89" t="s">
        <v>2860</v>
      </c>
      <c r="H211" s="89" t="s">
        <v>2859</v>
      </c>
      <c r="I211" s="89" t="s">
        <v>252</v>
      </c>
      <c r="J211" s="89" t="s">
        <v>2859</v>
      </c>
      <c r="K211" s="89" t="s">
        <v>2859</v>
      </c>
      <c r="L211" s="89" t="s">
        <v>2891</v>
      </c>
      <c r="M211" s="89" t="s">
        <v>2859</v>
      </c>
      <c r="N211" s="89" t="s">
        <v>2859</v>
      </c>
      <c r="O211" s="89" t="s">
        <v>2859</v>
      </c>
      <c r="P211" s="89" t="s">
        <v>2859</v>
      </c>
      <c r="Q211" s="89" t="s">
        <v>2859</v>
      </c>
      <c r="R211" s="89" t="s">
        <v>2859</v>
      </c>
      <c r="S211" s="89" t="s">
        <v>2859</v>
      </c>
      <c r="T211" s="89" t="s">
        <v>2859</v>
      </c>
      <c r="U211" s="89" t="s">
        <v>2859</v>
      </c>
      <c r="V211" s="89" t="s">
        <v>2859</v>
      </c>
      <c r="W211" s="89" t="s">
        <v>2859</v>
      </c>
      <c r="X211" s="89" t="s">
        <v>2859</v>
      </c>
      <c r="Y211" s="89" t="s">
        <v>2859</v>
      </c>
      <c r="Z211" s="89" t="s">
        <v>2859</v>
      </c>
      <c r="AA211" s="89" t="s">
        <v>2859</v>
      </c>
      <c r="AB211" s="89" t="s">
        <v>2859</v>
      </c>
      <c r="AC211" s="89" t="s">
        <v>2859</v>
      </c>
      <c r="AD211" s="89" t="s">
        <v>2859</v>
      </c>
      <c r="AE211" s="89" t="s">
        <v>2859</v>
      </c>
      <c r="AF211" s="89" t="s">
        <v>2859</v>
      </c>
      <c r="AG211" s="89" t="s">
        <v>2859</v>
      </c>
      <c r="AH211" s="89" t="s">
        <v>2859</v>
      </c>
      <c r="AI211" s="89" t="s">
        <v>2859</v>
      </c>
      <c r="AJ211" s="89" t="s">
        <v>2859</v>
      </c>
      <c r="AK211" s="89" t="s">
        <v>2859</v>
      </c>
      <c r="AL211" s="89" t="s">
        <v>2859</v>
      </c>
      <c r="AM211" s="89" t="s">
        <v>2859</v>
      </c>
      <c r="AN211" s="89" t="s">
        <v>2859</v>
      </c>
      <c r="AO211" s="89" t="s">
        <v>2859</v>
      </c>
      <c r="AP211" s="89" t="s">
        <v>2859</v>
      </c>
      <c r="AQ211" s="89" t="s">
        <v>2859</v>
      </c>
      <c r="AR211" s="89" t="s">
        <v>2859</v>
      </c>
      <c r="AS211" s="89" t="s">
        <v>2859</v>
      </c>
      <c r="AT211" s="89" t="s">
        <v>2859</v>
      </c>
      <c r="AU211" s="89" t="s">
        <v>2859</v>
      </c>
      <c r="AV211" s="89" t="s">
        <v>2859</v>
      </c>
      <c r="AW211" s="89" t="s">
        <v>2859</v>
      </c>
      <c r="AX211" s="89" t="s">
        <v>2859</v>
      </c>
      <c r="AY211" s="89" t="s">
        <v>2859</v>
      </c>
      <c r="AZ211" s="89" t="s">
        <v>2859</v>
      </c>
      <c r="BA211" s="89" t="s">
        <v>2859</v>
      </c>
      <c r="BB211" s="89" t="s">
        <v>2859</v>
      </c>
      <c r="BC211" s="89" t="s">
        <v>2859</v>
      </c>
      <c r="BD211" s="89" t="s">
        <v>2859</v>
      </c>
      <c r="BE211" s="89" t="s">
        <v>2859</v>
      </c>
      <c r="BF211" s="89" t="s">
        <v>2859</v>
      </c>
      <c r="BG211" s="89" t="s">
        <v>2859</v>
      </c>
      <c r="BH211" s="89" t="s">
        <v>2859</v>
      </c>
      <c r="BI211" s="89" t="s">
        <v>2859</v>
      </c>
      <c r="BJ211" s="89" t="s">
        <v>2859</v>
      </c>
      <c r="BK211" s="89" t="s">
        <v>2859</v>
      </c>
      <c r="BL211" s="89" t="s">
        <v>2859</v>
      </c>
      <c r="BM211" s="89" t="s">
        <v>2859</v>
      </c>
      <c r="BN211" s="89" t="s">
        <v>2859</v>
      </c>
      <c r="BO211" s="89" t="s">
        <v>2859</v>
      </c>
      <c r="BP211" s="89" t="s">
        <v>2859</v>
      </c>
      <c r="BQ211" s="89" t="s">
        <v>3445</v>
      </c>
      <c r="BR211" s="89" t="s">
        <v>2859</v>
      </c>
    </row>
    <row r="212" spans="1:70">
      <c r="A212" s="89" t="s">
        <v>2146</v>
      </c>
      <c r="B212" s="89" t="s">
        <v>3446</v>
      </c>
      <c r="C212" s="89" t="s">
        <v>2974</v>
      </c>
      <c r="D212" s="89" t="s">
        <v>2859</v>
      </c>
      <c r="E212" s="89" t="s">
        <v>2859</v>
      </c>
      <c r="F212" s="89" t="s">
        <v>2859</v>
      </c>
      <c r="G212" s="89" t="s">
        <v>2860</v>
      </c>
      <c r="H212" s="89" t="s">
        <v>2859</v>
      </c>
      <c r="I212" s="89" t="s">
        <v>120</v>
      </c>
      <c r="J212" s="89" t="s">
        <v>3447</v>
      </c>
      <c r="K212" s="89" t="s">
        <v>2860</v>
      </c>
      <c r="L212" s="89" t="s">
        <v>2490</v>
      </c>
      <c r="M212" s="89" t="s">
        <v>3447</v>
      </c>
      <c r="N212" s="89" t="s">
        <v>2860</v>
      </c>
      <c r="O212" s="89" t="s">
        <v>2859</v>
      </c>
      <c r="P212" s="89" t="s">
        <v>2859</v>
      </c>
      <c r="Q212" s="89" t="s">
        <v>2859</v>
      </c>
      <c r="R212" s="89" t="s">
        <v>2859</v>
      </c>
      <c r="S212" s="89" t="s">
        <v>2859</v>
      </c>
      <c r="T212" s="89" t="s">
        <v>2859</v>
      </c>
      <c r="U212" s="89" t="s">
        <v>2859</v>
      </c>
      <c r="V212" s="89" t="s">
        <v>2859</v>
      </c>
      <c r="W212" s="89" t="s">
        <v>2859</v>
      </c>
      <c r="X212" s="89" t="s">
        <v>2859</v>
      </c>
      <c r="Y212" s="89" t="s">
        <v>2859</v>
      </c>
      <c r="Z212" s="89" t="s">
        <v>2859</v>
      </c>
      <c r="AA212" s="89" t="s">
        <v>2859</v>
      </c>
      <c r="AB212" s="89" t="s">
        <v>2859</v>
      </c>
      <c r="AC212" s="89" t="s">
        <v>2859</v>
      </c>
      <c r="AD212" s="89" t="s">
        <v>2859</v>
      </c>
      <c r="AE212" s="89" t="s">
        <v>2859</v>
      </c>
      <c r="AF212" s="89" t="s">
        <v>2859</v>
      </c>
      <c r="AG212" s="89" t="s">
        <v>2859</v>
      </c>
      <c r="AH212" s="89" t="s">
        <v>2859</v>
      </c>
      <c r="AI212" s="89" t="s">
        <v>2859</v>
      </c>
      <c r="AJ212" s="89" t="s">
        <v>2859</v>
      </c>
      <c r="AK212" s="89" t="s">
        <v>2859</v>
      </c>
      <c r="AL212" s="89" t="s">
        <v>2859</v>
      </c>
      <c r="AM212" s="89" t="s">
        <v>2859</v>
      </c>
      <c r="AN212" s="89" t="s">
        <v>2859</v>
      </c>
      <c r="AO212" s="89" t="s">
        <v>2859</v>
      </c>
      <c r="AP212" s="89" t="s">
        <v>2859</v>
      </c>
      <c r="AQ212" s="89" t="s">
        <v>2859</v>
      </c>
      <c r="AR212" s="89" t="s">
        <v>2859</v>
      </c>
      <c r="AS212" s="89" t="s">
        <v>2859</v>
      </c>
      <c r="AT212" s="89" t="s">
        <v>2859</v>
      </c>
      <c r="AU212" s="89" t="s">
        <v>2859</v>
      </c>
      <c r="AV212" s="89" t="s">
        <v>2859</v>
      </c>
      <c r="AW212" s="89" t="s">
        <v>2859</v>
      </c>
      <c r="AX212" s="89" t="s">
        <v>2859</v>
      </c>
      <c r="AY212" s="89" t="s">
        <v>2859</v>
      </c>
      <c r="AZ212" s="89" t="s">
        <v>2859</v>
      </c>
      <c r="BA212" s="89" t="s">
        <v>2859</v>
      </c>
      <c r="BB212" s="89" t="s">
        <v>2859</v>
      </c>
      <c r="BC212" s="89" t="s">
        <v>2859</v>
      </c>
      <c r="BD212" s="89" t="s">
        <v>2859</v>
      </c>
      <c r="BE212" s="89" t="s">
        <v>2859</v>
      </c>
      <c r="BF212" s="89" t="s">
        <v>2859</v>
      </c>
      <c r="BG212" s="89" t="s">
        <v>2859</v>
      </c>
      <c r="BH212" s="89" t="s">
        <v>2859</v>
      </c>
      <c r="BI212" s="89" t="s">
        <v>2859</v>
      </c>
      <c r="BJ212" s="89" t="s">
        <v>2859</v>
      </c>
      <c r="BK212" s="89" t="s">
        <v>2859</v>
      </c>
      <c r="BL212" s="89" t="s">
        <v>2859</v>
      </c>
      <c r="BM212" s="89" t="s">
        <v>2859</v>
      </c>
      <c r="BN212" s="89" t="s">
        <v>2859</v>
      </c>
      <c r="BO212" s="89" t="s">
        <v>2859</v>
      </c>
      <c r="BP212" s="89" t="s">
        <v>2859</v>
      </c>
      <c r="BQ212" s="89" t="s">
        <v>3448</v>
      </c>
      <c r="BR212" s="89" t="s">
        <v>2859</v>
      </c>
    </row>
    <row r="213" spans="1:70">
      <c r="A213" s="89" t="s">
        <v>2146</v>
      </c>
      <c r="B213" s="89" t="s">
        <v>3449</v>
      </c>
      <c r="C213" s="89" t="s">
        <v>2974</v>
      </c>
      <c r="D213" s="89" t="s">
        <v>2859</v>
      </c>
      <c r="E213" s="89" t="s">
        <v>2859</v>
      </c>
      <c r="F213" s="89" t="s">
        <v>2859</v>
      </c>
      <c r="G213" s="89" t="s">
        <v>2860</v>
      </c>
      <c r="H213" s="89" t="s">
        <v>2859</v>
      </c>
      <c r="I213" s="89" t="s">
        <v>120</v>
      </c>
      <c r="J213" s="89" t="s">
        <v>3450</v>
      </c>
      <c r="K213" s="89" t="s">
        <v>2860</v>
      </c>
      <c r="L213" s="89" t="s">
        <v>2859</v>
      </c>
      <c r="M213" s="89" t="s">
        <v>2859</v>
      </c>
      <c r="N213" s="89" t="s">
        <v>2859</v>
      </c>
      <c r="O213" s="89" t="s">
        <v>2859</v>
      </c>
      <c r="P213" s="89" t="s">
        <v>2859</v>
      </c>
      <c r="Q213" s="89" t="s">
        <v>2859</v>
      </c>
      <c r="R213" s="89" t="s">
        <v>2859</v>
      </c>
      <c r="S213" s="89" t="s">
        <v>2859</v>
      </c>
      <c r="T213" s="89" t="s">
        <v>2859</v>
      </c>
      <c r="U213" s="89" t="s">
        <v>2859</v>
      </c>
      <c r="V213" s="89" t="s">
        <v>2859</v>
      </c>
      <c r="W213" s="89" t="s">
        <v>2859</v>
      </c>
      <c r="X213" s="89" t="s">
        <v>2859</v>
      </c>
      <c r="Y213" s="89" t="s">
        <v>2859</v>
      </c>
      <c r="Z213" s="89" t="s">
        <v>2859</v>
      </c>
      <c r="AA213" s="89" t="s">
        <v>2859</v>
      </c>
      <c r="AB213" s="89" t="s">
        <v>2859</v>
      </c>
      <c r="AC213" s="89" t="s">
        <v>2859</v>
      </c>
      <c r="AD213" s="89" t="s">
        <v>2859</v>
      </c>
      <c r="AE213" s="89" t="s">
        <v>2859</v>
      </c>
      <c r="AF213" s="89" t="s">
        <v>2859</v>
      </c>
      <c r="AG213" s="89" t="s">
        <v>2859</v>
      </c>
      <c r="AH213" s="89" t="s">
        <v>2859</v>
      </c>
      <c r="AI213" s="89" t="s">
        <v>2859</v>
      </c>
      <c r="AJ213" s="89" t="s">
        <v>2859</v>
      </c>
      <c r="AK213" s="89" t="s">
        <v>2859</v>
      </c>
      <c r="AL213" s="89" t="s">
        <v>2859</v>
      </c>
      <c r="AM213" s="89" t="s">
        <v>2859</v>
      </c>
      <c r="AN213" s="89" t="s">
        <v>2859</v>
      </c>
      <c r="AO213" s="89" t="s">
        <v>2859</v>
      </c>
      <c r="AP213" s="89" t="s">
        <v>2859</v>
      </c>
      <c r="AQ213" s="89" t="s">
        <v>2859</v>
      </c>
      <c r="AR213" s="89" t="s">
        <v>2859</v>
      </c>
      <c r="AS213" s="89" t="s">
        <v>2859</v>
      </c>
      <c r="AT213" s="89" t="s">
        <v>2859</v>
      </c>
      <c r="AU213" s="89" t="s">
        <v>2859</v>
      </c>
      <c r="AV213" s="89" t="s">
        <v>2859</v>
      </c>
      <c r="AW213" s="89" t="s">
        <v>2859</v>
      </c>
      <c r="AX213" s="89" t="s">
        <v>2859</v>
      </c>
      <c r="AY213" s="89" t="s">
        <v>2859</v>
      </c>
      <c r="AZ213" s="89" t="s">
        <v>2859</v>
      </c>
      <c r="BA213" s="89" t="s">
        <v>2859</v>
      </c>
      <c r="BB213" s="89" t="s">
        <v>2859</v>
      </c>
      <c r="BC213" s="89" t="s">
        <v>2859</v>
      </c>
      <c r="BD213" s="89" t="s">
        <v>2859</v>
      </c>
      <c r="BE213" s="89" t="s">
        <v>2859</v>
      </c>
      <c r="BF213" s="89" t="s">
        <v>2859</v>
      </c>
      <c r="BG213" s="89" t="s">
        <v>2859</v>
      </c>
      <c r="BH213" s="89" t="s">
        <v>2859</v>
      </c>
      <c r="BI213" s="89" t="s">
        <v>2859</v>
      </c>
      <c r="BJ213" s="89" t="s">
        <v>2859</v>
      </c>
      <c r="BK213" s="89" t="s">
        <v>2859</v>
      </c>
      <c r="BL213" s="89" t="s">
        <v>2859</v>
      </c>
      <c r="BM213" s="89" t="s">
        <v>2859</v>
      </c>
      <c r="BN213" s="89" t="s">
        <v>2859</v>
      </c>
      <c r="BO213" s="89" t="s">
        <v>2859</v>
      </c>
      <c r="BP213" s="89" t="s">
        <v>2859</v>
      </c>
      <c r="BQ213" s="89" t="s">
        <v>3451</v>
      </c>
      <c r="BR213" s="89" t="s">
        <v>2859</v>
      </c>
    </row>
    <row r="214" spans="1:70">
      <c r="A214" s="89" t="s">
        <v>2146</v>
      </c>
      <c r="B214" s="89" t="s">
        <v>3452</v>
      </c>
      <c r="C214" s="89" t="s">
        <v>3170</v>
      </c>
      <c r="D214" s="89" t="s">
        <v>2859</v>
      </c>
      <c r="E214" s="89" t="s">
        <v>2859</v>
      </c>
      <c r="F214" s="89" t="s">
        <v>2859</v>
      </c>
      <c r="G214" s="89" t="s">
        <v>2860</v>
      </c>
      <c r="H214" s="89" t="s">
        <v>2859</v>
      </c>
      <c r="I214" s="89" t="s">
        <v>2865</v>
      </c>
      <c r="J214" s="89" t="s">
        <v>3453</v>
      </c>
      <c r="K214" s="89" t="s">
        <v>2860</v>
      </c>
      <c r="L214" s="89" t="s">
        <v>2859</v>
      </c>
      <c r="M214" s="89" t="s">
        <v>2859</v>
      </c>
      <c r="N214" s="89" t="s">
        <v>2859</v>
      </c>
      <c r="O214" s="89" t="s">
        <v>2859</v>
      </c>
      <c r="P214" s="89" t="s">
        <v>2859</v>
      </c>
      <c r="Q214" s="89" t="s">
        <v>2859</v>
      </c>
      <c r="R214" s="89" t="s">
        <v>2859</v>
      </c>
      <c r="S214" s="89" t="s">
        <v>2859</v>
      </c>
      <c r="T214" s="89" t="s">
        <v>2859</v>
      </c>
      <c r="U214" s="89" t="s">
        <v>2859</v>
      </c>
      <c r="V214" s="89" t="s">
        <v>2859</v>
      </c>
      <c r="W214" s="89" t="s">
        <v>2859</v>
      </c>
      <c r="X214" s="89" t="s">
        <v>2859</v>
      </c>
      <c r="Y214" s="89" t="s">
        <v>2859</v>
      </c>
      <c r="Z214" s="89" t="s">
        <v>2859</v>
      </c>
      <c r="AA214" s="89" t="s">
        <v>2859</v>
      </c>
      <c r="AB214" s="89" t="s">
        <v>2859</v>
      </c>
      <c r="AC214" s="89" t="s">
        <v>2859</v>
      </c>
      <c r="AD214" s="89" t="s">
        <v>2859</v>
      </c>
      <c r="AE214" s="89" t="s">
        <v>2859</v>
      </c>
      <c r="AF214" s="89" t="s">
        <v>2859</v>
      </c>
      <c r="AG214" s="89" t="s">
        <v>2859</v>
      </c>
      <c r="AH214" s="89" t="s">
        <v>2859</v>
      </c>
      <c r="AI214" s="89" t="s">
        <v>2859</v>
      </c>
      <c r="AJ214" s="89" t="s">
        <v>2859</v>
      </c>
      <c r="AK214" s="89" t="s">
        <v>2859</v>
      </c>
      <c r="AL214" s="89" t="s">
        <v>2859</v>
      </c>
      <c r="AM214" s="89" t="s">
        <v>2859</v>
      </c>
      <c r="AN214" s="89" t="s">
        <v>2859</v>
      </c>
      <c r="AO214" s="89" t="s">
        <v>2859</v>
      </c>
      <c r="AP214" s="89" t="s">
        <v>2859</v>
      </c>
      <c r="AQ214" s="89" t="s">
        <v>2859</v>
      </c>
      <c r="AR214" s="89" t="s">
        <v>2859</v>
      </c>
      <c r="AS214" s="89" t="s">
        <v>2859</v>
      </c>
      <c r="AT214" s="89" t="s">
        <v>2859</v>
      </c>
      <c r="AU214" s="89" t="s">
        <v>2859</v>
      </c>
      <c r="AV214" s="89" t="s">
        <v>2859</v>
      </c>
      <c r="AW214" s="89" t="s">
        <v>2859</v>
      </c>
      <c r="AX214" s="89" t="s">
        <v>2859</v>
      </c>
      <c r="AY214" s="89" t="s">
        <v>2859</v>
      </c>
      <c r="AZ214" s="89" t="s">
        <v>2859</v>
      </c>
      <c r="BA214" s="89" t="s">
        <v>2859</v>
      </c>
      <c r="BB214" s="89" t="s">
        <v>2859</v>
      </c>
      <c r="BC214" s="89" t="s">
        <v>2859</v>
      </c>
      <c r="BD214" s="89" t="s">
        <v>2859</v>
      </c>
      <c r="BE214" s="89" t="s">
        <v>2859</v>
      </c>
      <c r="BF214" s="89" t="s">
        <v>2859</v>
      </c>
      <c r="BG214" s="89" t="s">
        <v>2859</v>
      </c>
      <c r="BH214" s="89" t="s">
        <v>2859</v>
      </c>
      <c r="BI214" s="89" t="s">
        <v>2859</v>
      </c>
      <c r="BJ214" s="89" t="s">
        <v>2859</v>
      </c>
      <c r="BK214" s="89" t="s">
        <v>2859</v>
      </c>
      <c r="BL214" s="89" t="s">
        <v>2859</v>
      </c>
      <c r="BM214" s="89" t="s">
        <v>2859</v>
      </c>
      <c r="BN214" s="89" t="s">
        <v>2859</v>
      </c>
      <c r="BO214" s="89" t="s">
        <v>2859</v>
      </c>
      <c r="BP214" s="89" t="s">
        <v>2859</v>
      </c>
      <c r="BQ214" s="89" t="s">
        <v>3454</v>
      </c>
      <c r="BR214" s="89" t="s">
        <v>2859</v>
      </c>
    </row>
    <row r="215" spans="1:70">
      <c r="A215" s="89" t="s">
        <v>2146</v>
      </c>
      <c r="B215" s="89" t="s">
        <v>3455</v>
      </c>
      <c r="C215" s="89" t="s">
        <v>2924</v>
      </c>
      <c r="D215" s="89" t="s">
        <v>2859</v>
      </c>
      <c r="E215" s="89" t="s">
        <v>2859</v>
      </c>
      <c r="F215" s="89" t="s">
        <v>2859</v>
      </c>
      <c r="G215" s="89" t="s">
        <v>2860</v>
      </c>
      <c r="H215" s="89" t="s">
        <v>2859</v>
      </c>
      <c r="I215" s="89" t="s">
        <v>2865</v>
      </c>
      <c r="J215" s="89" t="s">
        <v>3453</v>
      </c>
      <c r="K215" s="89" t="s">
        <v>2860</v>
      </c>
      <c r="L215" s="89" t="s">
        <v>2859</v>
      </c>
      <c r="M215" s="89" t="s">
        <v>2859</v>
      </c>
      <c r="N215" s="89" t="s">
        <v>2859</v>
      </c>
      <c r="O215" s="89" t="s">
        <v>2859</v>
      </c>
      <c r="P215" s="89" t="s">
        <v>2859</v>
      </c>
      <c r="Q215" s="89" t="s">
        <v>2859</v>
      </c>
      <c r="R215" s="89" t="s">
        <v>2859</v>
      </c>
      <c r="S215" s="89" t="s">
        <v>2859</v>
      </c>
      <c r="T215" s="89" t="s">
        <v>2859</v>
      </c>
      <c r="U215" s="89" t="s">
        <v>2859</v>
      </c>
      <c r="V215" s="89" t="s">
        <v>2859</v>
      </c>
      <c r="W215" s="89" t="s">
        <v>2859</v>
      </c>
      <c r="X215" s="89" t="s">
        <v>2859</v>
      </c>
      <c r="Y215" s="89" t="s">
        <v>2859</v>
      </c>
      <c r="Z215" s="89" t="s">
        <v>2859</v>
      </c>
      <c r="AA215" s="89" t="s">
        <v>2859</v>
      </c>
      <c r="AB215" s="89" t="s">
        <v>2859</v>
      </c>
      <c r="AC215" s="89" t="s">
        <v>2859</v>
      </c>
      <c r="AD215" s="89" t="s">
        <v>2859</v>
      </c>
      <c r="AE215" s="89" t="s">
        <v>2859</v>
      </c>
      <c r="AF215" s="89" t="s">
        <v>2859</v>
      </c>
      <c r="AG215" s="89" t="s">
        <v>2859</v>
      </c>
      <c r="AH215" s="89" t="s">
        <v>2859</v>
      </c>
      <c r="AI215" s="89" t="s">
        <v>2859</v>
      </c>
      <c r="AJ215" s="89" t="s">
        <v>2859</v>
      </c>
      <c r="AK215" s="89" t="s">
        <v>2859</v>
      </c>
      <c r="AL215" s="89" t="s">
        <v>2859</v>
      </c>
      <c r="AM215" s="89" t="s">
        <v>2859</v>
      </c>
      <c r="AN215" s="89" t="s">
        <v>2859</v>
      </c>
      <c r="AO215" s="89" t="s">
        <v>2859</v>
      </c>
      <c r="AP215" s="89" t="s">
        <v>2859</v>
      </c>
      <c r="AQ215" s="89" t="s">
        <v>2859</v>
      </c>
      <c r="AR215" s="89" t="s">
        <v>2859</v>
      </c>
      <c r="AS215" s="89" t="s">
        <v>2859</v>
      </c>
      <c r="AT215" s="89" t="s">
        <v>2859</v>
      </c>
      <c r="AU215" s="89" t="s">
        <v>2859</v>
      </c>
      <c r="AV215" s="89" t="s">
        <v>2859</v>
      </c>
      <c r="AW215" s="89" t="s">
        <v>2859</v>
      </c>
      <c r="AX215" s="89" t="s">
        <v>2859</v>
      </c>
      <c r="AY215" s="89" t="s">
        <v>2859</v>
      </c>
      <c r="AZ215" s="89" t="s">
        <v>2859</v>
      </c>
      <c r="BA215" s="89" t="s">
        <v>2859</v>
      </c>
      <c r="BB215" s="89" t="s">
        <v>2859</v>
      </c>
      <c r="BC215" s="89" t="s">
        <v>2859</v>
      </c>
      <c r="BD215" s="89" t="s">
        <v>2859</v>
      </c>
      <c r="BE215" s="89" t="s">
        <v>2859</v>
      </c>
      <c r="BF215" s="89" t="s">
        <v>2859</v>
      </c>
      <c r="BG215" s="89" t="s">
        <v>2859</v>
      </c>
      <c r="BH215" s="89" t="s">
        <v>2859</v>
      </c>
      <c r="BI215" s="89" t="s">
        <v>2859</v>
      </c>
      <c r="BJ215" s="89" t="s">
        <v>2859</v>
      </c>
      <c r="BK215" s="89" t="s">
        <v>2859</v>
      </c>
      <c r="BL215" s="89" t="s">
        <v>2859</v>
      </c>
      <c r="BM215" s="89" t="s">
        <v>2859</v>
      </c>
      <c r="BN215" s="89" t="s">
        <v>2859</v>
      </c>
      <c r="BO215" s="89" t="s">
        <v>2859</v>
      </c>
      <c r="BP215" s="89" t="s">
        <v>2859</v>
      </c>
      <c r="BQ215" s="89" t="s">
        <v>3456</v>
      </c>
      <c r="BR215" s="89" t="s">
        <v>2859</v>
      </c>
    </row>
    <row r="216" spans="1:70">
      <c r="A216" s="89" t="s">
        <v>2146</v>
      </c>
      <c r="B216" s="89" t="s">
        <v>3457</v>
      </c>
      <c r="C216" s="89" t="s">
        <v>2864</v>
      </c>
      <c r="D216" s="89" t="s">
        <v>2859</v>
      </c>
      <c r="E216" s="89" t="s">
        <v>2859</v>
      </c>
      <c r="F216" s="89" t="s">
        <v>2859</v>
      </c>
      <c r="G216" s="89" t="s">
        <v>2860</v>
      </c>
      <c r="H216" s="89" t="s">
        <v>2859</v>
      </c>
      <c r="I216" s="89" t="s">
        <v>120</v>
      </c>
      <c r="J216" s="89" t="s">
        <v>3435</v>
      </c>
      <c r="K216" s="89" t="s">
        <v>2860</v>
      </c>
      <c r="L216" s="89" t="s">
        <v>2490</v>
      </c>
      <c r="M216" s="89" t="s">
        <v>3435</v>
      </c>
      <c r="N216" s="89" t="s">
        <v>2860</v>
      </c>
      <c r="O216" s="89" t="s">
        <v>2859</v>
      </c>
      <c r="P216" s="89" t="s">
        <v>2859</v>
      </c>
      <c r="Q216" s="89" t="s">
        <v>2859</v>
      </c>
      <c r="R216" s="89" t="s">
        <v>2859</v>
      </c>
      <c r="S216" s="89" t="s">
        <v>2859</v>
      </c>
      <c r="T216" s="89" t="s">
        <v>2859</v>
      </c>
      <c r="U216" s="89" t="s">
        <v>2859</v>
      </c>
      <c r="V216" s="89" t="s">
        <v>2859</v>
      </c>
      <c r="W216" s="89" t="s">
        <v>2859</v>
      </c>
      <c r="X216" s="89" t="s">
        <v>2859</v>
      </c>
      <c r="Y216" s="89" t="s">
        <v>2859</v>
      </c>
      <c r="Z216" s="89" t="s">
        <v>2859</v>
      </c>
      <c r="AA216" s="89" t="s">
        <v>2859</v>
      </c>
      <c r="AB216" s="89" t="s">
        <v>2859</v>
      </c>
      <c r="AC216" s="89" t="s">
        <v>2859</v>
      </c>
      <c r="AD216" s="89" t="s">
        <v>2859</v>
      </c>
      <c r="AE216" s="89" t="s">
        <v>2859</v>
      </c>
      <c r="AF216" s="89" t="s">
        <v>2859</v>
      </c>
      <c r="AG216" s="89" t="s">
        <v>2859</v>
      </c>
      <c r="AH216" s="89" t="s">
        <v>2859</v>
      </c>
      <c r="AI216" s="89" t="s">
        <v>2859</v>
      </c>
      <c r="AJ216" s="89" t="s">
        <v>2859</v>
      </c>
      <c r="AK216" s="89" t="s">
        <v>2859</v>
      </c>
      <c r="AL216" s="89" t="s">
        <v>2859</v>
      </c>
      <c r="AM216" s="89" t="s">
        <v>2859</v>
      </c>
      <c r="AN216" s="89" t="s">
        <v>2859</v>
      </c>
      <c r="AO216" s="89" t="s">
        <v>2859</v>
      </c>
      <c r="AP216" s="89" t="s">
        <v>2859</v>
      </c>
      <c r="AQ216" s="89" t="s">
        <v>2859</v>
      </c>
      <c r="AR216" s="89" t="s">
        <v>2859</v>
      </c>
      <c r="AS216" s="89" t="s">
        <v>2859</v>
      </c>
      <c r="AT216" s="89" t="s">
        <v>2859</v>
      </c>
      <c r="AU216" s="89" t="s">
        <v>2859</v>
      </c>
      <c r="AV216" s="89" t="s">
        <v>2859</v>
      </c>
      <c r="AW216" s="89" t="s">
        <v>2859</v>
      </c>
      <c r="AX216" s="89" t="s">
        <v>2859</v>
      </c>
      <c r="AY216" s="89" t="s">
        <v>2859</v>
      </c>
      <c r="AZ216" s="89" t="s">
        <v>2859</v>
      </c>
      <c r="BA216" s="89" t="s">
        <v>2859</v>
      </c>
      <c r="BB216" s="89" t="s">
        <v>2859</v>
      </c>
      <c r="BC216" s="89" t="s">
        <v>2859</v>
      </c>
      <c r="BD216" s="89" t="s">
        <v>2859</v>
      </c>
      <c r="BE216" s="89" t="s">
        <v>2859</v>
      </c>
      <c r="BF216" s="89" t="s">
        <v>2859</v>
      </c>
      <c r="BG216" s="89" t="s">
        <v>2859</v>
      </c>
      <c r="BH216" s="89" t="s">
        <v>2859</v>
      </c>
      <c r="BI216" s="89" t="s">
        <v>2859</v>
      </c>
      <c r="BJ216" s="89" t="s">
        <v>2859</v>
      </c>
      <c r="BK216" s="89" t="s">
        <v>2859</v>
      </c>
      <c r="BL216" s="89" t="s">
        <v>2859</v>
      </c>
      <c r="BM216" s="89" t="s">
        <v>2859</v>
      </c>
      <c r="BN216" s="89" t="s">
        <v>2859</v>
      </c>
      <c r="BO216" s="89" t="s">
        <v>2859</v>
      </c>
      <c r="BP216" s="89" t="s">
        <v>2859</v>
      </c>
      <c r="BQ216" s="89" t="s">
        <v>3458</v>
      </c>
      <c r="BR216" s="89" t="s">
        <v>2859</v>
      </c>
    </row>
    <row r="217" spans="1:70">
      <c r="A217" s="89" t="s">
        <v>2146</v>
      </c>
      <c r="B217" s="89" t="s">
        <v>3459</v>
      </c>
      <c r="C217" s="89" t="s">
        <v>2879</v>
      </c>
      <c r="D217" s="89" t="s">
        <v>2859</v>
      </c>
      <c r="E217" s="89" t="s">
        <v>2859</v>
      </c>
      <c r="F217" s="89" t="s">
        <v>2859</v>
      </c>
      <c r="G217" s="89" t="s">
        <v>2860</v>
      </c>
      <c r="H217" s="89" t="s">
        <v>2859</v>
      </c>
      <c r="I217" s="89" t="s">
        <v>2865</v>
      </c>
      <c r="J217" s="89" t="s">
        <v>2859</v>
      </c>
      <c r="K217" s="89" t="s">
        <v>2859</v>
      </c>
      <c r="L217" s="89" t="s">
        <v>2859</v>
      </c>
      <c r="M217" s="89" t="s">
        <v>2859</v>
      </c>
      <c r="N217" s="89" t="s">
        <v>2859</v>
      </c>
      <c r="O217" s="89" t="s">
        <v>2859</v>
      </c>
      <c r="P217" s="89" t="s">
        <v>2859</v>
      </c>
      <c r="Q217" s="89" t="s">
        <v>2859</v>
      </c>
      <c r="R217" s="89" t="s">
        <v>2859</v>
      </c>
      <c r="S217" s="89" t="s">
        <v>2859</v>
      </c>
      <c r="T217" s="89" t="s">
        <v>2859</v>
      </c>
      <c r="U217" s="89" t="s">
        <v>2859</v>
      </c>
      <c r="V217" s="89" t="s">
        <v>2859</v>
      </c>
      <c r="W217" s="89" t="s">
        <v>2859</v>
      </c>
      <c r="X217" s="89" t="s">
        <v>2859</v>
      </c>
      <c r="Y217" s="89" t="s">
        <v>2859</v>
      </c>
      <c r="Z217" s="89" t="s">
        <v>2859</v>
      </c>
      <c r="AA217" s="89" t="s">
        <v>2859</v>
      </c>
      <c r="AB217" s="89" t="s">
        <v>2859</v>
      </c>
      <c r="AC217" s="89" t="s">
        <v>2859</v>
      </c>
      <c r="AD217" s="89" t="s">
        <v>2859</v>
      </c>
      <c r="AE217" s="89" t="s">
        <v>2859</v>
      </c>
      <c r="AF217" s="89" t="s">
        <v>2859</v>
      </c>
      <c r="AG217" s="89" t="s">
        <v>2859</v>
      </c>
      <c r="AH217" s="89" t="s">
        <v>2859</v>
      </c>
      <c r="AI217" s="89" t="s">
        <v>2859</v>
      </c>
      <c r="AJ217" s="89" t="s">
        <v>2859</v>
      </c>
      <c r="AK217" s="89" t="s">
        <v>2859</v>
      </c>
      <c r="AL217" s="89" t="s">
        <v>2859</v>
      </c>
      <c r="AM217" s="89" t="s">
        <v>2859</v>
      </c>
      <c r="AN217" s="89" t="s">
        <v>2859</v>
      </c>
      <c r="AO217" s="89" t="s">
        <v>2859</v>
      </c>
      <c r="AP217" s="89" t="s">
        <v>2859</v>
      </c>
      <c r="AQ217" s="89" t="s">
        <v>2859</v>
      </c>
      <c r="AR217" s="89" t="s">
        <v>2859</v>
      </c>
      <c r="AS217" s="89" t="s">
        <v>2859</v>
      </c>
      <c r="AT217" s="89" t="s">
        <v>2859</v>
      </c>
      <c r="AU217" s="89" t="s">
        <v>2859</v>
      </c>
      <c r="AV217" s="89" t="s">
        <v>2859</v>
      </c>
      <c r="AW217" s="89" t="s">
        <v>2859</v>
      </c>
      <c r="AX217" s="89" t="s">
        <v>2859</v>
      </c>
      <c r="AY217" s="89" t="s">
        <v>2859</v>
      </c>
      <c r="AZ217" s="89" t="s">
        <v>2859</v>
      </c>
      <c r="BA217" s="89" t="s">
        <v>2859</v>
      </c>
      <c r="BB217" s="89" t="s">
        <v>2859</v>
      </c>
      <c r="BC217" s="89" t="s">
        <v>2859</v>
      </c>
      <c r="BD217" s="89" t="s">
        <v>2859</v>
      </c>
      <c r="BE217" s="89" t="s">
        <v>2859</v>
      </c>
      <c r="BF217" s="89" t="s">
        <v>2859</v>
      </c>
      <c r="BG217" s="89" t="s">
        <v>2859</v>
      </c>
      <c r="BH217" s="89" t="s">
        <v>2859</v>
      </c>
      <c r="BI217" s="89" t="s">
        <v>2859</v>
      </c>
      <c r="BJ217" s="89" t="s">
        <v>2859</v>
      </c>
      <c r="BK217" s="89" t="s">
        <v>2859</v>
      </c>
      <c r="BL217" s="89" t="s">
        <v>2859</v>
      </c>
      <c r="BM217" s="89" t="s">
        <v>2859</v>
      </c>
      <c r="BN217" s="89" t="s">
        <v>2859</v>
      </c>
      <c r="BO217" s="89" t="s">
        <v>2859</v>
      </c>
      <c r="BP217" s="89" t="s">
        <v>2859</v>
      </c>
      <c r="BQ217" s="89" t="s">
        <v>3460</v>
      </c>
      <c r="BR217" s="89" t="s">
        <v>2859</v>
      </c>
    </row>
    <row r="218" spans="1:70">
      <c r="A218" s="89" t="s">
        <v>2146</v>
      </c>
      <c r="B218" s="89" t="s">
        <v>3461</v>
      </c>
      <c r="C218" s="89" t="s">
        <v>2858</v>
      </c>
      <c r="D218" s="89" t="s">
        <v>2859</v>
      </c>
      <c r="E218" s="89" t="s">
        <v>2859</v>
      </c>
      <c r="F218" s="89" t="s">
        <v>2859</v>
      </c>
      <c r="G218" s="89" t="s">
        <v>2860</v>
      </c>
      <c r="H218" s="89" t="s">
        <v>3462</v>
      </c>
      <c r="I218" s="89" t="s">
        <v>2859</v>
      </c>
      <c r="J218" s="89" t="s">
        <v>2859</v>
      </c>
      <c r="K218" s="89" t="s">
        <v>2859</v>
      </c>
      <c r="L218" s="89" t="s">
        <v>2859</v>
      </c>
      <c r="M218" s="89" t="s">
        <v>2859</v>
      </c>
      <c r="N218" s="89" t="s">
        <v>2859</v>
      </c>
      <c r="O218" s="89" t="s">
        <v>2859</v>
      </c>
      <c r="P218" s="89" t="s">
        <v>2859</v>
      </c>
      <c r="Q218" s="89" t="s">
        <v>2859</v>
      </c>
      <c r="R218" s="89" t="s">
        <v>2859</v>
      </c>
      <c r="S218" s="89" t="s">
        <v>2859</v>
      </c>
      <c r="T218" s="89" t="s">
        <v>2859</v>
      </c>
      <c r="U218" s="89" t="s">
        <v>2859</v>
      </c>
      <c r="V218" s="89" t="s">
        <v>2859</v>
      </c>
      <c r="W218" s="89" t="s">
        <v>2859</v>
      </c>
      <c r="X218" s="89" t="s">
        <v>2859</v>
      </c>
      <c r="Y218" s="89" t="s">
        <v>2859</v>
      </c>
      <c r="Z218" s="89" t="s">
        <v>2859</v>
      </c>
      <c r="AA218" s="89" t="s">
        <v>2859</v>
      </c>
      <c r="AB218" s="89" t="s">
        <v>2859</v>
      </c>
      <c r="AC218" s="89" t="s">
        <v>2859</v>
      </c>
      <c r="AD218" s="89" t="s">
        <v>2859</v>
      </c>
      <c r="AE218" s="89" t="s">
        <v>2859</v>
      </c>
      <c r="AF218" s="89" t="s">
        <v>2859</v>
      </c>
      <c r="AG218" s="89" t="s">
        <v>2859</v>
      </c>
      <c r="AH218" s="89" t="s">
        <v>2859</v>
      </c>
      <c r="AI218" s="89" t="s">
        <v>2859</v>
      </c>
      <c r="AJ218" s="89" t="s">
        <v>2859</v>
      </c>
      <c r="AK218" s="89" t="s">
        <v>2859</v>
      </c>
      <c r="AL218" s="89" t="s">
        <v>2859</v>
      </c>
      <c r="AM218" s="89" t="s">
        <v>2859</v>
      </c>
      <c r="AN218" s="89" t="s">
        <v>2859</v>
      </c>
      <c r="AO218" s="89" t="s">
        <v>2859</v>
      </c>
      <c r="AP218" s="89" t="s">
        <v>2859</v>
      </c>
      <c r="AQ218" s="89" t="s">
        <v>2859</v>
      </c>
      <c r="AR218" s="89" t="s">
        <v>2859</v>
      </c>
      <c r="AS218" s="89" t="s">
        <v>2859</v>
      </c>
      <c r="AT218" s="89" t="s">
        <v>2859</v>
      </c>
      <c r="AU218" s="89" t="s">
        <v>2859</v>
      </c>
      <c r="AV218" s="89" t="s">
        <v>2859</v>
      </c>
      <c r="AW218" s="89" t="s">
        <v>2859</v>
      </c>
      <c r="AX218" s="89" t="s">
        <v>2859</v>
      </c>
      <c r="AY218" s="89" t="s">
        <v>2859</v>
      </c>
      <c r="AZ218" s="89" t="s">
        <v>2859</v>
      </c>
      <c r="BA218" s="89" t="s">
        <v>2859</v>
      </c>
      <c r="BB218" s="89" t="s">
        <v>2859</v>
      </c>
      <c r="BC218" s="89" t="s">
        <v>2859</v>
      </c>
      <c r="BD218" s="89" t="s">
        <v>2859</v>
      </c>
      <c r="BE218" s="89" t="s">
        <v>2859</v>
      </c>
      <c r="BF218" s="89" t="s">
        <v>2859</v>
      </c>
      <c r="BG218" s="89" t="s">
        <v>2859</v>
      </c>
      <c r="BH218" s="89" t="s">
        <v>2859</v>
      </c>
      <c r="BI218" s="89" t="s">
        <v>2859</v>
      </c>
      <c r="BJ218" s="89" t="s">
        <v>2859</v>
      </c>
      <c r="BK218" s="89" t="s">
        <v>2859</v>
      </c>
      <c r="BL218" s="89" t="s">
        <v>2859</v>
      </c>
      <c r="BM218" s="89" t="s">
        <v>2859</v>
      </c>
      <c r="BN218" s="89" t="s">
        <v>2859</v>
      </c>
      <c r="BO218" s="89" t="s">
        <v>2859</v>
      </c>
      <c r="BP218" s="89" t="s">
        <v>2859</v>
      </c>
      <c r="BQ218" s="89" t="s">
        <v>3463</v>
      </c>
      <c r="BR218" s="89" t="s">
        <v>2869</v>
      </c>
    </row>
    <row r="219" spans="1:70">
      <c r="A219" s="89" t="s">
        <v>2146</v>
      </c>
      <c r="B219" s="89" t="s">
        <v>3464</v>
      </c>
      <c r="C219" s="89" t="s">
        <v>2971</v>
      </c>
      <c r="D219" s="89" t="s">
        <v>2859</v>
      </c>
      <c r="E219" s="89" t="s">
        <v>2859</v>
      </c>
      <c r="F219" s="89" t="s">
        <v>2859</v>
      </c>
      <c r="G219" s="89" t="s">
        <v>2860</v>
      </c>
      <c r="H219" s="89" t="s">
        <v>2859</v>
      </c>
      <c r="I219" s="89" t="s">
        <v>2865</v>
      </c>
      <c r="J219" s="89" t="s">
        <v>2859</v>
      </c>
      <c r="K219" s="89" t="s">
        <v>2859</v>
      </c>
      <c r="L219" s="89" t="s">
        <v>2859</v>
      </c>
      <c r="M219" s="89" t="s">
        <v>2859</v>
      </c>
      <c r="N219" s="89" t="s">
        <v>2859</v>
      </c>
      <c r="O219" s="89" t="s">
        <v>2859</v>
      </c>
      <c r="P219" s="89" t="s">
        <v>2859</v>
      </c>
      <c r="Q219" s="89" t="s">
        <v>2859</v>
      </c>
      <c r="R219" s="89" t="s">
        <v>2859</v>
      </c>
      <c r="S219" s="89" t="s">
        <v>2859</v>
      </c>
      <c r="T219" s="89" t="s">
        <v>2859</v>
      </c>
      <c r="U219" s="89" t="s">
        <v>2859</v>
      </c>
      <c r="V219" s="89" t="s">
        <v>2859</v>
      </c>
      <c r="W219" s="89" t="s">
        <v>2859</v>
      </c>
      <c r="X219" s="89" t="s">
        <v>2859</v>
      </c>
      <c r="Y219" s="89" t="s">
        <v>2859</v>
      </c>
      <c r="Z219" s="89" t="s">
        <v>2859</v>
      </c>
      <c r="AA219" s="89" t="s">
        <v>2859</v>
      </c>
      <c r="AB219" s="89" t="s">
        <v>2859</v>
      </c>
      <c r="AC219" s="89" t="s">
        <v>2859</v>
      </c>
      <c r="AD219" s="89" t="s">
        <v>2859</v>
      </c>
      <c r="AE219" s="89" t="s">
        <v>2859</v>
      </c>
      <c r="AF219" s="89" t="s">
        <v>2859</v>
      </c>
      <c r="AG219" s="89" t="s">
        <v>2859</v>
      </c>
      <c r="AH219" s="89" t="s">
        <v>2859</v>
      </c>
      <c r="AI219" s="89" t="s">
        <v>2859</v>
      </c>
      <c r="AJ219" s="89" t="s">
        <v>2859</v>
      </c>
      <c r="AK219" s="89" t="s">
        <v>2859</v>
      </c>
      <c r="AL219" s="89" t="s">
        <v>2859</v>
      </c>
      <c r="AM219" s="89" t="s">
        <v>2859</v>
      </c>
      <c r="AN219" s="89" t="s">
        <v>2859</v>
      </c>
      <c r="AO219" s="89" t="s">
        <v>2859</v>
      </c>
      <c r="AP219" s="89" t="s">
        <v>2859</v>
      </c>
      <c r="AQ219" s="89" t="s">
        <v>2859</v>
      </c>
      <c r="AR219" s="89" t="s">
        <v>2859</v>
      </c>
      <c r="AS219" s="89" t="s">
        <v>2859</v>
      </c>
      <c r="AT219" s="89" t="s">
        <v>2859</v>
      </c>
      <c r="AU219" s="89" t="s">
        <v>2859</v>
      </c>
      <c r="AV219" s="89" t="s">
        <v>2859</v>
      </c>
      <c r="AW219" s="89" t="s">
        <v>2859</v>
      </c>
      <c r="AX219" s="89" t="s">
        <v>2859</v>
      </c>
      <c r="AY219" s="89" t="s">
        <v>2859</v>
      </c>
      <c r="AZ219" s="89" t="s">
        <v>2859</v>
      </c>
      <c r="BA219" s="89" t="s">
        <v>2859</v>
      </c>
      <c r="BB219" s="89" t="s">
        <v>2859</v>
      </c>
      <c r="BC219" s="89" t="s">
        <v>2859</v>
      </c>
      <c r="BD219" s="89" t="s">
        <v>2859</v>
      </c>
      <c r="BE219" s="89" t="s">
        <v>2859</v>
      </c>
      <c r="BF219" s="89" t="s">
        <v>2859</v>
      </c>
      <c r="BG219" s="89" t="s">
        <v>2859</v>
      </c>
      <c r="BH219" s="89" t="s">
        <v>2859</v>
      </c>
      <c r="BI219" s="89" t="s">
        <v>2859</v>
      </c>
      <c r="BJ219" s="89" t="s">
        <v>2859</v>
      </c>
      <c r="BK219" s="89" t="s">
        <v>2859</v>
      </c>
      <c r="BL219" s="89" t="s">
        <v>2859</v>
      </c>
      <c r="BM219" s="89" t="s">
        <v>2859</v>
      </c>
      <c r="BN219" s="89" t="s">
        <v>2859</v>
      </c>
      <c r="BO219" s="89" t="s">
        <v>2859</v>
      </c>
      <c r="BP219" s="89" t="s">
        <v>2859</v>
      </c>
      <c r="BQ219" s="89" t="s">
        <v>3465</v>
      </c>
      <c r="BR219" s="89" t="s">
        <v>2859</v>
      </c>
    </row>
    <row r="220" spans="1:70">
      <c r="A220" s="89" t="s">
        <v>2146</v>
      </c>
      <c r="B220" s="89" t="s">
        <v>3466</v>
      </c>
      <c r="C220" s="89" t="s">
        <v>2858</v>
      </c>
      <c r="D220" s="89" t="s">
        <v>2859</v>
      </c>
      <c r="E220" s="89" t="s">
        <v>2859</v>
      </c>
      <c r="F220" s="89" t="s">
        <v>2859</v>
      </c>
      <c r="G220" s="89" t="s">
        <v>2860</v>
      </c>
      <c r="H220" s="89" t="s">
        <v>2859</v>
      </c>
      <c r="I220" s="89" t="s">
        <v>2865</v>
      </c>
      <c r="J220" s="89" t="s">
        <v>2859</v>
      </c>
      <c r="K220" s="89" t="s">
        <v>2859</v>
      </c>
      <c r="L220" s="89" t="s">
        <v>2859</v>
      </c>
      <c r="M220" s="89" t="s">
        <v>2859</v>
      </c>
      <c r="N220" s="89" t="s">
        <v>2859</v>
      </c>
      <c r="O220" s="89" t="s">
        <v>2859</v>
      </c>
      <c r="P220" s="89" t="s">
        <v>2859</v>
      </c>
      <c r="Q220" s="89" t="s">
        <v>2859</v>
      </c>
      <c r="R220" s="89" t="s">
        <v>2859</v>
      </c>
      <c r="S220" s="89" t="s">
        <v>2859</v>
      </c>
      <c r="T220" s="89" t="s">
        <v>2859</v>
      </c>
      <c r="U220" s="89" t="s">
        <v>2859</v>
      </c>
      <c r="V220" s="89" t="s">
        <v>2859</v>
      </c>
      <c r="W220" s="89" t="s">
        <v>2859</v>
      </c>
      <c r="X220" s="89" t="s">
        <v>2859</v>
      </c>
      <c r="Y220" s="89" t="s">
        <v>2859</v>
      </c>
      <c r="Z220" s="89" t="s">
        <v>2859</v>
      </c>
      <c r="AA220" s="89" t="s">
        <v>2859</v>
      </c>
      <c r="AB220" s="89" t="s">
        <v>2859</v>
      </c>
      <c r="AC220" s="89" t="s">
        <v>2859</v>
      </c>
      <c r="AD220" s="89" t="s">
        <v>2859</v>
      </c>
      <c r="AE220" s="89" t="s">
        <v>2859</v>
      </c>
      <c r="AF220" s="89" t="s">
        <v>2859</v>
      </c>
      <c r="AG220" s="89" t="s">
        <v>2859</v>
      </c>
      <c r="AH220" s="89" t="s">
        <v>2859</v>
      </c>
      <c r="AI220" s="89" t="s">
        <v>2859</v>
      </c>
      <c r="AJ220" s="89" t="s">
        <v>2859</v>
      </c>
      <c r="AK220" s="89" t="s">
        <v>2859</v>
      </c>
      <c r="AL220" s="89" t="s">
        <v>2859</v>
      </c>
      <c r="AM220" s="89" t="s">
        <v>2859</v>
      </c>
      <c r="AN220" s="89" t="s">
        <v>2859</v>
      </c>
      <c r="AO220" s="89" t="s">
        <v>2859</v>
      </c>
      <c r="AP220" s="89" t="s">
        <v>2859</v>
      </c>
      <c r="AQ220" s="89" t="s">
        <v>2859</v>
      </c>
      <c r="AR220" s="89" t="s">
        <v>2859</v>
      </c>
      <c r="AS220" s="89" t="s">
        <v>2859</v>
      </c>
      <c r="AT220" s="89" t="s">
        <v>2859</v>
      </c>
      <c r="AU220" s="89" t="s">
        <v>2859</v>
      </c>
      <c r="AV220" s="89" t="s">
        <v>2859</v>
      </c>
      <c r="AW220" s="89" t="s">
        <v>2859</v>
      </c>
      <c r="AX220" s="89" t="s">
        <v>2859</v>
      </c>
      <c r="AY220" s="89" t="s">
        <v>2859</v>
      </c>
      <c r="AZ220" s="89" t="s">
        <v>2859</v>
      </c>
      <c r="BA220" s="89" t="s">
        <v>2859</v>
      </c>
      <c r="BB220" s="89" t="s">
        <v>2859</v>
      </c>
      <c r="BC220" s="89" t="s">
        <v>2859</v>
      </c>
      <c r="BD220" s="89" t="s">
        <v>2859</v>
      </c>
      <c r="BE220" s="89" t="s">
        <v>2859</v>
      </c>
      <c r="BF220" s="89" t="s">
        <v>2859</v>
      </c>
      <c r="BG220" s="89" t="s">
        <v>2859</v>
      </c>
      <c r="BH220" s="89" t="s">
        <v>2859</v>
      </c>
      <c r="BI220" s="89" t="s">
        <v>2859</v>
      </c>
      <c r="BJ220" s="89" t="s">
        <v>2859</v>
      </c>
      <c r="BK220" s="89" t="s">
        <v>2859</v>
      </c>
      <c r="BL220" s="89" t="s">
        <v>2859</v>
      </c>
      <c r="BM220" s="89" t="s">
        <v>2859</v>
      </c>
      <c r="BN220" s="89" t="s">
        <v>2859</v>
      </c>
      <c r="BO220" s="89" t="s">
        <v>2859</v>
      </c>
      <c r="BP220" s="89" t="s">
        <v>2859</v>
      </c>
      <c r="BQ220" s="89" t="s">
        <v>3467</v>
      </c>
      <c r="BR220" s="89" t="s">
        <v>2859</v>
      </c>
    </row>
    <row r="221" spans="1:70">
      <c r="A221" s="89" t="s">
        <v>2146</v>
      </c>
      <c r="B221" s="89" t="s">
        <v>3468</v>
      </c>
      <c r="C221" s="89" t="s">
        <v>2879</v>
      </c>
      <c r="D221" s="89" t="s">
        <v>2859</v>
      </c>
      <c r="E221" s="89" t="s">
        <v>2859</v>
      </c>
      <c r="F221" s="89" t="s">
        <v>2859</v>
      </c>
      <c r="G221" s="89" t="s">
        <v>2860</v>
      </c>
      <c r="H221" s="89" t="s">
        <v>2859</v>
      </c>
      <c r="I221" s="89" t="s">
        <v>2865</v>
      </c>
      <c r="J221" s="89" t="s">
        <v>2859</v>
      </c>
      <c r="K221" s="89" t="s">
        <v>2859</v>
      </c>
      <c r="L221" s="89" t="s">
        <v>2859</v>
      </c>
      <c r="M221" s="89" t="s">
        <v>2859</v>
      </c>
      <c r="N221" s="89" t="s">
        <v>2859</v>
      </c>
      <c r="O221" s="89" t="s">
        <v>2859</v>
      </c>
      <c r="P221" s="89" t="s">
        <v>2859</v>
      </c>
      <c r="Q221" s="89" t="s">
        <v>2859</v>
      </c>
      <c r="R221" s="89" t="s">
        <v>2859</v>
      </c>
      <c r="S221" s="89" t="s">
        <v>2859</v>
      </c>
      <c r="T221" s="89" t="s">
        <v>2859</v>
      </c>
      <c r="U221" s="89" t="s">
        <v>2859</v>
      </c>
      <c r="V221" s="89" t="s">
        <v>2859</v>
      </c>
      <c r="W221" s="89" t="s">
        <v>2859</v>
      </c>
      <c r="X221" s="89" t="s">
        <v>2859</v>
      </c>
      <c r="Y221" s="89" t="s">
        <v>2859</v>
      </c>
      <c r="Z221" s="89" t="s">
        <v>2859</v>
      </c>
      <c r="AA221" s="89" t="s">
        <v>2859</v>
      </c>
      <c r="AB221" s="89" t="s">
        <v>2859</v>
      </c>
      <c r="AC221" s="89" t="s">
        <v>2859</v>
      </c>
      <c r="AD221" s="89" t="s">
        <v>2859</v>
      </c>
      <c r="AE221" s="89" t="s">
        <v>2859</v>
      </c>
      <c r="AF221" s="89" t="s">
        <v>2859</v>
      </c>
      <c r="AG221" s="89" t="s">
        <v>2859</v>
      </c>
      <c r="AH221" s="89" t="s">
        <v>2859</v>
      </c>
      <c r="AI221" s="89" t="s">
        <v>2859</v>
      </c>
      <c r="AJ221" s="89" t="s">
        <v>2859</v>
      </c>
      <c r="AK221" s="89" t="s">
        <v>2859</v>
      </c>
      <c r="AL221" s="89" t="s">
        <v>2859</v>
      </c>
      <c r="AM221" s="89" t="s">
        <v>2859</v>
      </c>
      <c r="AN221" s="89" t="s">
        <v>2859</v>
      </c>
      <c r="AO221" s="89" t="s">
        <v>2859</v>
      </c>
      <c r="AP221" s="89" t="s">
        <v>2859</v>
      </c>
      <c r="AQ221" s="89" t="s">
        <v>2859</v>
      </c>
      <c r="AR221" s="89" t="s">
        <v>2859</v>
      </c>
      <c r="AS221" s="89" t="s">
        <v>2859</v>
      </c>
      <c r="AT221" s="89" t="s">
        <v>2859</v>
      </c>
      <c r="AU221" s="89" t="s">
        <v>2859</v>
      </c>
      <c r="AV221" s="89" t="s">
        <v>2859</v>
      </c>
      <c r="AW221" s="89" t="s">
        <v>2859</v>
      </c>
      <c r="AX221" s="89" t="s">
        <v>2859</v>
      </c>
      <c r="AY221" s="89" t="s">
        <v>2859</v>
      </c>
      <c r="AZ221" s="89" t="s">
        <v>2859</v>
      </c>
      <c r="BA221" s="89" t="s">
        <v>2859</v>
      </c>
      <c r="BB221" s="89" t="s">
        <v>2859</v>
      </c>
      <c r="BC221" s="89" t="s">
        <v>2859</v>
      </c>
      <c r="BD221" s="89" t="s">
        <v>2859</v>
      </c>
      <c r="BE221" s="89" t="s">
        <v>2859</v>
      </c>
      <c r="BF221" s="89" t="s">
        <v>2859</v>
      </c>
      <c r="BG221" s="89" t="s">
        <v>2859</v>
      </c>
      <c r="BH221" s="89" t="s">
        <v>2859</v>
      </c>
      <c r="BI221" s="89" t="s">
        <v>2859</v>
      </c>
      <c r="BJ221" s="89" t="s">
        <v>2859</v>
      </c>
      <c r="BK221" s="89" t="s">
        <v>2859</v>
      </c>
      <c r="BL221" s="89" t="s">
        <v>2859</v>
      </c>
      <c r="BM221" s="89" t="s">
        <v>2859</v>
      </c>
      <c r="BN221" s="89" t="s">
        <v>2859</v>
      </c>
      <c r="BO221" s="89" t="s">
        <v>2859</v>
      </c>
      <c r="BP221" s="89" t="s">
        <v>2859</v>
      </c>
      <c r="BQ221" s="89" t="s">
        <v>3469</v>
      </c>
      <c r="BR221" s="89" t="s">
        <v>2859</v>
      </c>
    </row>
    <row r="222" spans="1:70">
      <c r="A222" s="89" t="s">
        <v>2146</v>
      </c>
      <c r="B222" s="89" t="s">
        <v>3470</v>
      </c>
      <c r="C222" s="89" t="s">
        <v>2879</v>
      </c>
      <c r="D222" s="89" t="s">
        <v>2859</v>
      </c>
      <c r="E222" s="89" t="s">
        <v>2859</v>
      </c>
      <c r="F222" s="89" t="s">
        <v>2859</v>
      </c>
      <c r="G222" s="89" t="s">
        <v>2860</v>
      </c>
      <c r="H222" s="89" t="s">
        <v>2859</v>
      </c>
      <c r="I222" s="89" t="s">
        <v>2865</v>
      </c>
      <c r="J222" s="89" t="s">
        <v>2859</v>
      </c>
      <c r="K222" s="89" t="s">
        <v>2859</v>
      </c>
      <c r="L222" s="89" t="s">
        <v>2859</v>
      </c>
      <c r="M222" s="89" t="s">
        <v>2859</v>
      </c>
      <c r="N222" s="89" t="s">
        <v>2859</v>
      </c>
      <c r="O222" s="89" t="s">
        <v>2859</v>
      </c>
      <c r="P222" s="89" t="s">
        <v>2859</v>
      </c>
      <c r="Q222" s="89" t="s">
        <v>2859</v>
      </c>
      <c r="R222" s="89" t="s">
        <v>2859</v>
      </c>
      <c r="S222" s="89" t="s">
        <v>2859</v>
      </c>
      <c r="T222" s="89" t="s">
        <v>2859</v>
      </c>
      <c r="U222" s="89" t="s">
        <v>2859</v>
      </c>
      <c r="V222" s="89" t="s">
        <v>2859</v>
      </c>
      <c r="W222" s="89" t="s">
        <v>2859</v>
      </c>
      <c r="X222" s="89" t="s">
        <v>2859</v>
      </c>
      <c r="Y222" s="89" t="s">
        <v>2859</v>
      </c>
      <c r="Z222" s="89" t="s">
        <v>2859</v>
      </c>
      <c r="AA222" s="89" t="s">
        <v>2859</v>
      </c>
      <c r="AB222" s="89" t="s">
        <v>2859</v>
      </c>
      <c r="AC222" s="89" t="s">
        <v>2859</v>
      </c>
      <c r="AD222" s="89" t="s">
        <v>2859</v>
      </c>
      <c r="AE222" s="89" t="s">
        <v>2859</v>
      </c>
      <c r="AF222" s="89" t="s">
        <v>2859</v>
      </c>
      <c r="AG222" s="89" t="s">
        <v>2859</v>
      </c>
      <c r="AH222" s="89" t="s">
        <v>2859</v>
      </c>
      <c r="AI222" s="89" t="s">
        <v>2859</v>
      </c>
      <c r="AJ222" s="89" t="s">
        <v>2859</v>
      </c>
      <c r="AK222" s="89" t="s">
        <v>2859</v>
      </c>
      <c r="AL222" s="89" t="s">
        <v>2859</v>
      </c>
      <c r="AM222" s="89" t="s">
        <v>2859</v>
      </c>
      <c r="AN222" s="89" t="s">
        <v>2859</v>
      </c>
      <c r="AO222" s="89" t="s">
        <v>2859</v>
      </c>
      <c r="AP222" s="89" t="s">
        <v>2859</v>
      </c>
      <c r="AQ222" s="89" t="s">
        <v>2859</v>
      </c>
      <c r="AR222" s="89" t="s">
        <v>2859</v>
      </c>
      <c r="AS222" s="89" t="s">
        <v>2859</v>
      </c>
      <c r="AT222" s="89" t="s">
        <v>2859</v>
      </c>
      <c r="AU222" s="89" t="s">
        <v>2859</v>
      </c>
      <c r="AV222" s="89" t="s">
        <v>2859</v>
      </c>
      <c r="AW222" s="89" t="s">
        <v>2859</v>
      </c>
      <c r="AX222" s="89" t="s">
        <v>2859</v>
      </c>
      <c r="AY222" s="89" t="s">
        <v>2859</v>
      </c>
      <c r="AZ222" s="89" t="s">
        <v>2859</v>
      </c>
      <c r="BA222" s="89" t="s">
        <v>2859</v>
      </c>
      <c r="BB222" s="89" t="s">
        <v>2859</v>
      </c>
      <c r="BC222" s="89" t="s">
        <v>2859</v>
      </c>
      <c r="BD222" s="89" t="s">
        <v>2859</v>
      </c>
      <c r="BE222" s="89" t="s">
        <v>2859</v>
      </c>
      <c r="BF222" s="89" t="s">
        <v>2859</v>
      </c>
      <c r="BG222" s="89" t="s">
        <v>2859</v>
      </c>
      <c r="BH222" s="89" t="s">
        <v>2859</v>
      </c>
      <c r="BI222" s="89" t="s">
        <v>2859</v>
      </c>
      <c r="BJ222" s="89" t="s">
        <v>2859</v>
      </c>
      <c r="BK222" s="89" t="s">
        <v>2859</v>
      </c>
      <c r="BL222" s="89" t="s">
        <v>2859</v>
      </c>
      <c r="BM222" s="89" t="s">
        <v>2859</v>
      </c>
      <c r="BN222" s="89" t="s">
        <v>2859</v>
      </c>
      <c r="BO222" s="89" t="s">
        <v>2859</v>
      </c>
      <c r="BP222" s="89" t="s">
        <v>2859</v>
      </c>
      <c r="BQ222" s="89" t="s">
        <v>3471</v>
      </c>
      <c r="BR222" s="89" t="s">
        <v>2859</v>
      </c>
    </row>
    <row r="223" spans="1:70">
      <c r="A223" s="89" t="s">
        <v>2146</v>
      </c>
      <c r="B223" s="89" t="s">
        <v>3472</v>
      </c>
      <c r="C223" s="89" t="s">
        <v>2974</v>
      </c>
      <c r="D223" s="89" t="s">
        <v>2859</v>
      </c>
      <c r="E223" s="89" t="s">
        <v>2859</v>
      </c>
      <c r="F223" s="89" t="s">
        <v>2859</v>
      </c>
      <c r="G223" s="89" t="s">
        <v>2860</v>
      </c>
      <c r="H223" s="89" t="s">
        <v>2859</v>
      </c>
      <c r="I223" s="89" t="s">
        <v>2865</v>
      </c>
      <c r="J223" s="89" t="s">
        <v>2859</v>
      </c>
      <c r="K223" s="89" t="s">
        <v>2859</v>
      </c>
      <c r="L223" s="89" t="s">
        <v>2859</v>
      </c>
      <c r="M223" s="89" t="s">
        <v>2859</v>
      </c>
      <c r="N223" s="89" t="s">
        <v>2859</v>
      </c>
      <c r="O223" s="89" t="s">
        <v>2859</v>
      </c>
      <c r="P223" s="89" t="s">
        <v>2859</v>
      </c>
      <c r="Q223" s="89" t="s">
        <v>2859</v>
      </c>
      <c r="R223" s="89" t="s">
        <v>2859</v>
      </c>
      <c r="S223" s="89" t="s">
        <v>2859</v>
      </c>
      <c r="T223" s="89" t="s">
        <v>2859</v>
      </c>
      <c r="U223" s="89" t="s">
        <v>2859</v>
      </c>
      <c r="V223" s="89" t="s">
        <v>2859</v>
      </c>
      <c r="W223" s="89" t="s">
        <v>2859</v>
      </c>
      <c r="X223" s="89" t="s">
        <v>2859</v>
      </c>
      <c r="Y223" s="89" t="s">
        <v>2859</v>
      </c>
      <c r="Z223" s="89" t="s">
        <v>2859</v>
      </c>
      <c r="AA223" s="89" t="s">
        <v>2859</v>
      </c>
      <c r="AB223" s="89" t="s">
        <v>2859</v>
      </c>
      <c r="AC223" s="89" t="s">
        <v>2859</v>
      </c>
      <c r="AD223" s="89" t="s">
        <v>2859</v>
      </c>
      <c r="AE223" s="89" t="s">
        <v>2859</v>
      </c>
      <c r="AF223" s="89" t="s">
        <v>2859</v>
      </c>
      <c r="AG223" s="89" t="s">
        <v>2859</v>
      </c>
      <c r="AH223" s="89" t="s">
        <v>2859</v>
      </c>
      <c r="AI223" s="89" t="s">
        <v>2859</v>
      </c>
      <c r="AJ223" s="89" t="s">
        <v>2859</v>
      </c>
      <c r="AK223" s="89" t="s">
        <v>2859</v>
      </c>
      <c r="AL223" s="89" t="s">
        <v>2859</v>
      </c>
      <c r="AM223" s="89" t="s">
        <v>2859</v>
      </c>
      <c r="AN223" s="89" t="s">
        <v>2859</v>
      </c>
      <c r="AO223" s="89" t="s">
        <v>2859</v>
      </c>
      <c r="AP223" s="89" t="s">
        <v>2859</v>
      </c>
      <c r="AQ223" s="89" t="s">
        <v>2859</v>
      </c>
      <c r="AR223" s="89" t="s">
        <v>2859</v>
      </c>
      <c r="AS223" s="89" t="s">
        <v>2859</v>
      </c>
      <c r="AT223" s="89" t="s">
        <v>2859</v>
      </c>
      <c r="AU223" s="89" t="s">
        <v>2859</v>
      </c>
      <c r="AV223" s="89" t="s">
        <v>2859</v>
      </c>
      <c r="AW223" s="89" t="s">
        <v>2859</v>
      </c>
      <c r="AX223" s="89" t="s">
        <v>2859</v>
      </c>
      <c r="AY223" s="89" t="s">
        <v>2859</v>
      </c>
      <c r="AZ223" s="89" t="s">
        <v>2859</v>
      </c>
      <c r="BA223" s="89" t="s">
        <v>2859</v>
      </c>
      <c r="BB223" s="89" t="s">
        <v>2859</v>
      </c>
      <c r="BC223" s="89" t="s">
        <v>2859</v>
      </c>
      <c r="BD223" s="89" t="s">
        <v>2859</v>
      </c>
      <c r="BE223" s="89" t="s">
        <v>2859</v>
      </c>
      <c r="BF223" s="89" t="s">
        <v>2859</v>
      </c>
      <c r="BG223" s="89" t="s">
        <v>2859</v>
      </c>
      <c r="BH223" s="89" t="s">
        <v>2859</v>
      </c>
      <c r="BI223" s="89" t="s">
        <v>2859</v>
      </c>
      <c r="BJ223" s="89" t="s">
        <v>2859</v>
      </c>
      <c r="BK223" s="89" t="s">
        <v>2859</v>
      </c>
      <c r="BL223" s="89" t="s">
        <v>2859</v>
      </c>
      <c r="BM223" s="89" t="s">
        <v>2859</v>
      </c>
      <c r="BN223" s="89" t="s">
        <v>2859</v>
      </c>
      <c r="BO223" s="89" t="s">
        <v>2859</v>
      </c>
      <c r="BP223" s="89" t="s">
        <v>2859</v>
      </c>
      <c r="BQ223" s="89" t="s">
        <v>3473</v>
      </c>
      <c r="BR223" s="89" t="s">
        <v>2859</v>
      </c>
    </row>
    <row r="224" spans="1:70">
      <c r="A224" s="89" t="s">
        <v>2146</v>
      </c>
      <c r="B224" s="89" t="s">
        <v>3474</v>
      </c>
      <c r="C224" s="89" t="s">
        <v>2879</v>
      </c>
      <c r="D224" s="89" t="s">
        <v>2859</v>
      </c>
      <c r="E224" s="89" t="s">
        <v>2859</v>
      </c>
      <c r="F224" s="89" t="s">
        <v>2859</v>
      </c>
      <c r="G224" s="89" t="s">
        <v>2860</v>
      </c>
      <c r="H224" s="89" t="s">
        <v>2859</v>
      </c>
      <c r="I224" s="89" t="s">
        <v>2865</v>
      </c>
      <c r="J224" s="89" t="s">
        <v>2859</v>
      </c>
      <c r="K224" s="89" t="s">
        <v>2859</v>
      </c>
      <c r="L224" s="89" t="s">
        <v>2859</v>
      </c>
      <c r="M224" s="89" t="s">
        <v>2859</v>
      </c>
      <c r="N224" s="89" t="s">
        <v>2859</v>
      </c>
      <c r="O224" s="89" t="s">
        <v>2859</v>
      </c>
      <c r="P224" s="89" t="s">
        <v>2859</v>
      </c>
      <c r="Q224" s="89" t="s">
        <v>2859</v>
      </c>
      <c r="R224" s="89" t="s">
        <v>2859</v>
      </c>
      <c r="S224" s="89" t="s">
        <v>2859</v>
      </c>
      <c r="T224" s="89" t="s">
        <v>2859</v>
      </c>
      <c r="U224" s="89" t="s">
        <v>2859</v>
      </c>
      <c r="V224" s="89" t="s">
        <v>2859</v>
      </c>
      <c r="W224" s="89" t="s">
        <v>2859</v>
      </c>
      <c r="X224" s="89" t="s">
        <v>2859</v>
      </c>
      <c r="Y224" s="89" t="s">
        <v>2859</v>
      </c>
      <c r="Z224" s="89" t="s">
        <v>2859</v>
      </c>
      <c r="AA224" s="89" t="s">
        <v>2859</v>
      </c>
      <c r="AB224" s="89" t="s">
        <v>2859</v>
      </c>
      <c r="AC224" s="89" t="s">
        <v>2859</v>
      </c>
      <c r="AD224" s="89" t="s">
        <v>2859</v>
      </c>
      <c r="AE224" s="89" t="s">
        <v>2859</v>
      </c>
      <c r="AF224" s="89" t="s">
        <v>2859</v>
      </c>
      <c r="AG224" s="89" t="s">
        <v>2859</v>
      </c>
      <c r="AH224" s="89" t="s">
        <v>2859</v>
      </c>
      <c r="AI224" s="89" t="s">
        <v>2859</v>
      </c>
      <c r="AJ224" s="89" t="s">
        <v>2859</v>
      </c>
      <c r="AK224" s="89" t="s">
        <v>2859</v>
      </c>
      <c r="AL224" s="89" t="s">
        <v>2859</v>
      </c>
      <c r="AM224" s="89" t="s">
        <v>2859</v>
      </c>
      <c r="AN224" s="89" t="s">
        <v>2859</v>
      </c>
      <c r="AO224" s="89" t="s">
        <v>2859</v>
      </c>
      <c r="AP224" s="89" t="s">
        <v>2859</v>
      </c>
      <c r="AQ224" s="89" t="s">
        <v>2859</v>
      </c>
      <c r="AR224" s="89" t="s">
        <v>2859</v>
      </c>
      <c r="AS224" s="89" t="s">
        <v>2859</v>
      </c>
      <c r="AT224" s="89" t="s">
        <v>2859</v>
      </c>
      <c r="AU224" s="89" t="s">
        <v>2859</v>
      </c>
      <c r="AV224" s="89" t="s">
        <v>2859</v>
      </c>
      <c r="AW224" s="89" t="s">
        <v>2859</v>
      </c>
      <c r="AX224" s="89" t="s">
        <v>2859</v>
      </c>
      <c r="AY224" s="89" t="s">
        <v>2859</v>
      </c>
      <c r="AZ224" s="89" t="s">
        <v>2859</v>
      </c>
      <c r="BA224" s="89" t="s">
        <v>2859</v>
      </c>
      <c r="BB224" s="89" t="s">
        <v>2859</v>
      </c>
      <c r="BC224" s="89" t="s">
        <v>2859</v>
      </c>
      <c r="BD224" s="89" t="s">
        <v>2859</v>
      </c>
      <c r="BE224" s="89" t="s">
        <v>2859</v>
      </c>
      <c r="BF224" s="89" t="s">
        <v>2859</v>
      </c>
      <c r="BG224" s="89" t="s">
        <v>2859</v>
      </c>
      <c r="BH224" s="89" t="s">
        <v>2859</v>
      </c>
      <c r="BI224" s="89" t="s">
        <v>2859</v>
      </c>
      <c r="BJ224" s="89" t="s">
        <v>2859</v>
      </c>
      <c r="BK224" s="89" t="s">
        <v>2859</v>
      </c>
      <c r="BL224" s="89" t="s">
        <v>2859</v>
      </c>
      <c r="BM224" s="89" t="s">
        <v>2859</v>
      </c>
      <c r="BN224" s="89" t="s">
        <v>2859</v>
      </c>
      <c r="BO224" s="89" t="s">
        <v>2859</v>
      </c>
      <c r="BP224" s="89" t="s">
        <v>2859</v>
      </c>
      <c r="BQ224" s="89" t="s">
        <v>3475</v>
      </c>
      <c r="BR224" s="89" t="s">
        <v>2859</v>
      </c>
    </row>
    <row r="225" spans="1:70">
      <c r="A225" s="89" t="s">
        <v>2146</v>
      </c>
      <c r="B225" s="89" t="s">
        <v>3476</v>
      </c>
      <c r="C225" s="89" t="s">
        <v>2879</v>
      </c>
      <c r="D225" s="89" t="s">
        <v>2859</v>
      </c>
      <c r="E225" s="89" t="s">
        <v>2859</v>
      </c>
      <c r="F225" s="89" t="s">
        <v>2859</v>
      </c>
      <c r="G225" s="89" t="s">
        <v>2860</v>
      </c>
      <c r="H225" s="89" t="s">
        <v>2859</v>
      </c>
      <c r="I225" s="89" t="s">
        <v>2865</v>
      </c>
      <c r="J225" s="89" t="s">
        <v>2859</v>
      </c>
      <c r="K225" s="89" t="s">
        <v>2859</v>
      </c>
      <c r="L225" s="89" t="s">
        <v>2859</v>
      </c>
      <c r="M225" s="89" t="s">
        <v>2859</v>
      </c>
      <c r="N225" s="89" t="s">
        <v>2859</v>
      </c>
      <c r="O225" s="89" t="s">
        <v>2859</v>
      </c>
      <c r="P225" s="89" t="s">
        <v>2859</v>
      </c>
      <c r="Q225" s="89" t="s">
        <v>2859</v>
      </c>
      <c r="R225" s="89" t="s">
        <v>2859</v>
      </c>
      <c r="S225" s="89" t="s">
        <v>2859</v>
      </c>
      <c r="T225" s="89" t="s">
        <v>2859</v>
      </c>
      <c r="U225" s="89" t="s">
        <v>2859</v>
      </c>
      <c r="V225" s="89" t="s">
        <v>2859</v>
      </c>
      <c r="W225" s="89" t="s">
        <v>2859</v>
      </c>
      <c r="X225" s="89" t="s">
        <v>2859</v>
      </c>
      <c r="Y225" s="89" t="s">
        <v>2859</v>
      </c>
      <c r="Z225" s="89" t="s">
        <v>2859</v>
      </c>
      <c r="AA225" s="89" t="s">
        <v>2859</v>
      </c>
      <c r="AB225" s="89" t="s">
        <v>2859</v>
      </c>
      <c r="AC225" s="89" t="s">
        <v>2859</v>
      </c>
      <c r="AD225" s="89" t="s">
        <v>2859</v>
      </c>
      <c r="AE225" s="89" t="s">
        <v>2859</v>
      </c>
      <c r="AF225" s="89" t="s">
        <v>2859</v>
      </c>
      <c r="AG225" s="89" t="s">
        <v>2859</v>
      </c>
      <c r="AH225" s="89" t="s">
        <v>2859</v>
      </c>
      <c r="AI225" s="89" t="s">
        <v>2859</v>
      </c>
      <c r="AJ225" s="89" t="s">
        <v>2859</v>
      </c>
      <c r="AK225" s="89" t="s">
        <v>2859</v>
      </c>
      <c r="AL225" s="89" t="s">
        <v>2859</v>
      </c>
      <c r="AM225" s="89" t="s">
        <v>2859</v>
      </c>
      <c r="AN225" s="89" t="s">
        <v>2859</v>
      </c>
      <c r="AO225" s="89" t="s">
        <v>2859</v>
      </c>
      <c r="AP225" s="89" t="s">
        <v>2859</v>
      </c>
      <c r="AQ225" s="89" t="s">
        <v>2859</v>
      </c>
      <c r="AR225" s="89" t="s">
        <v>2859</v>
      </c>
      <c r="AS225" s="89" t="s">
        <v>2859</v>
      </c>
      <c r="AT225" s="89" t="s">
        <v>2859</v>
      </c>
      <c r="AU225" s="89" t="s">
        <v>2859</v>
      </c>
      <c r="AV225" s="89" t="s">
        <v>2859</v>
      </c>
      <c r="AW225" s="89" t="s">
        <v>2859</v>
      </c>
      <c r="AX225" s="89" t="s">
        <v>2859</v>
      </c>
      <c r="AY225" s="89" t="s">
        <v>2859</v>
      </c>
      <c r="AZ225" s="89" t="s">
        <v>2859</v>
      </c>
      <c r="BA225" s="89" t="s">
        <v>2859</v>
      </c>
      <c r="BB225" s="89" t="s">
        <v>2859</v>
      </c>
      <c r="BC225" s="89" t="s">
        <v>2859</v>
      </c>
      <c r="BD225" s="89" t="s">
        <v>2859</v>
      </c>
      <c r="BE225" s="89" t="s">
        <v>2859</v>
      </c>
      <c r="BF225" s="89" t="s">
        <v>2859</v>
      </c>
      <c r="BG225" s="89" t="s">
        <v>2859</v>
      </c>
      <c r="BH225" s="89" t="s">
        <v>2859</v>
      </c>
      <c r="BI225" s="89" t="s">
        <v>2859</v>
      </c>
      <c r="BJ225" s="89" t="s">
        <v>2859</v>
      </c>
      <c r="BK225" s="89" t="s">
        <v>2859</v>
      </c>
      <c r="BL225" s="89" t="s">
        <v>2859</v>
      </c>
      <c r="BM225" s="89" t="s">
        <v>2859</v>
      </c>
      <c r="BN225" s="89" t="s">
        <v>2859</v>
      </c>
      <c r="BO225" s="89" t="s">
        <v>2859</v>
      </c>
      <c r="BP225" s="89" t="s">
        <v>2859</v>
      </c>
      <c r="BQ225" s="89" t="s">
        <v>3477</v>
      </c>
      <c r="BR225" s="89" t="s">
        <v>2859</v>
      </c>
    </row>
    <row r="226" spans="1:70">
      <c r="A226" s="89" t="s">
        <v>2146</v>
      </c>
      <c r="B226" s="89" t="s">
        <v>3478</v>
      </c>
      <c r="C226" s="89" t="s">
        <v>2879</v>
      </c>
      <c r="D226" s="89" t="s">
        <v>2859</v>
      </c>
      <c r="E226" s="89" t="s">
        <v>2859</v>
      </c>
      <c r="F226" s="89" t="s">
        <v>2859</v>
      </c>
      <c r="G226" s="89" t="s">
        <v>2860</v>
      </c>
      <c r="H226" s="89" t="s">
        <v>2859</v>
      </c>
      <c r="I226" s="89" t="s">
        <v>2865</v>
      </c>
      <c r="J226" s="89" t="s">
        <v>2859</v>
      </c>
      <c r="K226" s="89" t="s">
        <v>2859</v>
      </c>
      <c r="L226" s="89" t="s">
        <v>2859</v>
      </c>
      <c r="M226" s="89" t="s">
        <v>2859</v>
      </c>
      <c r="N226" s="89" t="s">
        <v>2859</v>
      </c>
      <c r="O226" s="89" t="s">
        <v>2859</v>
      </c>
      <c r="P226" s="89" t="s">
        <v>2859</v>
      </c>
      <c r="Q226" s="89" t="s">
        <v>2859</v>
      </c>
      <c r="R226" s="89" t="s">
        <v>2859</v>
      </c>
      <c r="S226" s="89" t="s">
        <v>2859</v>
      </c>
      <c r="T226" s="89" t="s">
        <v>2859</v>
      </c>
      <c r="U226" s="89" t="s">
        <v>2859</v>
      </c>
      <c r="V226" s="89" t="s">
        <v>2859</v>
      </c>
      <c r="W226" s="89" t="s">
        <v>2859</v>
      </c>
      <c r="X226" s="89" t="s">
        <v>2859</v>
      </c>
      <c r="Y226" s="89" t="s">
        <v>2859</v>
      </c>
      <c r="Z226" s="89" t="s">
        <v>2859</v>
      </c>
      <c r="AA226" s="89" t="s">
        <v>2859</v>
      </c>
      <c r="AB226" s="89" t="s">
        <v>2859</v>
      </c>
      <c r="AC226" s="89" t="s">
        <v>2859</v>
      </c>
      <c r="AD226" s="89" t="s">
        <v>2859</v>
      </c>
      <c r="AE226" s="89" t="s">
        <v>2859</v>
      </c>
      <c r="AF226" s="89" t="s">
        <v>2859</v>
      </c>
      <c r="AG226" s="89" t="s">
        <v>2859</v>
      </c>
      <c r="AH226" s="89" t="s">
        <v>2859</v>
      </c>
      <c r="AI226" s="89" t="s">
        <v>2859</v>
      </c>
      <c r="AJ226" s="89" t="s">
        <v>2859</v>
      </c>
      <c r="AK226" s="89" t="s">
        <v>2859</v>
      </c>
      <c r="AL226" s="89" t="s">
        <v>2859</v>
      </c>
      <c r="AM226" s="89" t="s">
        <v>2859</v>
      </c>
      <c r="AN226" s="89" t="s">
        <v>2859</v>
      </c>
      <c r="AO226" s="89" t="s">
        <v>2859</v>
      </c>
      <c r="AP226" s="89" t="s">
        <v>2859</v>
      </c>
      <c r="AQ226" s="89" t="s">
        <v>2859</v>
      </c>
      <c r="AR226" s="89" t="s">
        <v>2859</v>
      </c>
      <c r="AS226" s="89" t="s">
        <v>2859</v>
      </c>
      <c r="AT226" s="89" t="s">
        <v>2859</v>
      </c>
      <c r="AU226" s="89" t="s">
        <v>2859</v>
      </c>
      <c r="AV226" s="89" t="s">
        <v>2859</v>
      </c>
      <c r="AW226" s="89" t="s">
        <v>2859</v>
      </c>
      <c r="AX226" s="89" t="s">
        <v>2859</v>
      </c>
      <c r="AY226" s="89" t="s">
        <v>2859</v>
      </c>
      <c r="AZ226" s="89" t="s">
        <v>2859</v>
      </c>
      <c r="BA226" s="89" t="s">
        <v>2859</v>
      </c>
      <c r="BB226" s="89" t="s">
        <v>2859</v>
      </c>
      <c r="BC226" s="89" t="s">
        <v>2859</v>
      </c>
      <c r="BD226" s="89" t="s">
        <v>2859</v>
      </c>
      <c r="BE226" s="89" t="s">
        <v>2859</v>
      </c>
      <c r="BF226" s="89" t="s">
        <v>2859</v>
      </c>
      <c r="BG226" s="89" t="s">
        <v>2859</v>
      </c>
      <c r="BH226" s="89" t="s">
        <v>2859</v>
      </c>
      <c r="BI226" s="89" t="s">
        <v>2859</v>
      </c>
      <c r="BJ226" s="89" t="s">
        <v>2859</v>
      </c>
      <c r="BK226" s="89" t="s">
        <v>2859</v>
      </c>
      <c r="BL226" s="89" t="s">
        <v>2859</v>
      </c>
      <c r="BM226" s="89" t="s">
        <v>2859</v>
      </c>
      <c r="BN226" s="89" t="s">
        <v>2859</v>
      </c>
      <c r="BO226" s="89" t="s">
        <v>2859</v>
      </c>
      <c r="BP226" s="89" t="s">
        <v>2859</v>
      </c>
      <c r="BQ226" s="89" t="s">
        <v>3479</v>
      </c>
      <c r="BR226" s="89" t="s">
        <v>2859</v>
      </c>
    </row>
    <row r="227" spans="1:70">
      <c r="A227" s="89" t="s">
        <v>2146</v>
      </c>
      <c r="B227" s="89" t="s">
        <v>3480</v>
      </c>
      <c r="C227" s="89" t="s">
        <v>2879</v>
      </c>
      <c r="D227" s="89" t="s">
        <v>2859</v>
      </c>
      <c r="E227" s="89" t="s">
        <v>2859</v>
      </c>
      <c r="F227" s="89" t="s">
        <v>2859</v>
      </c>
      <c r="G227" s="89" t="s">
        <v>2860</v>
      </c>
      <c r="H227" s="89" t="s">
        <v>2859</v>
      </c>
      <c r="I227" s="89" t="s">
        <v>2865</v>
      </c>
      <c r="J227" s="89" t="s">
        <v>2859</v>
      </c>
      <c r="K227" s="89" t="s">
        <v>2859</v>
      </c>
      <c r="L227" s="89" t="s">
        <v>2859</v>
      </c>
      <c r="M227" s="89" t="s">
        <v>2859</v>
      </c>
      <c r="N227" s="89" t="s">
        <v>2859</v>
      </c>
      <c r="O227" s="89" t="s">
        <v>2859</v>
      </c>
      <c r="P227" s="89" t="s">
        <v>2859</v>
      </c>
      <c r="Q227" s="89" t="s">
        <v>2859</v>
      </c>
      <c r="R227" s="89" t="s">
        <v>2859</v>
      </c>
      <c r="S227" s="89" t="s">
        <v>2859</v>
      </c>
      <c r="T227" s="89" t="s">
        <v>2859</v>
      </c>
      <c r="U227" s="89" t="s">
        <v>2859</v>
      </c>
      <c r="V227" s="89" t="s">
        <v>2859</v>
      </c>
      <c r="W227" s="89" t="s">
        <v>2859</v>
      </c>
      <c r="X227" s="89" t="s">
        <v>2859</v>
      </c>
      <c r="Y227" s="89" t="s">
        <v>2859</v>
      </c>
      <c r="Z227" s="89" t="s">
        <v>2859</v>
      </c>
      <c r="AA227" s="89" t="s">
        <v>2859</v>
      </c>
      <c r="AB227" s="89" t="s">
        <v>2859</v>
      </c>
      <c r="AC227" s="89" t="s">
        <v>2859</v>
      </c>
      <c r="AD227" s="89" t="s">
        <v>2859</v>
      </c>
      <c r="AE227" s="89" t="s">
        <v>2859</v>
      </c>
      <c r="AF227" s="89" t="s">
        <v>2859</v>
      </c>
      <c r="AG227" s="89" t="s">
        <v>2859</v>
      </c>
      <c r="AH227" s="89" t="s">
        <v>2859</v>
      </c>
      <c r="AI227" s="89" t="s">
        <v>2859</v>
      </c>
      <c r="AJ227" s="89" t="s">
        <v>2859</v>
      </c>
      <c r="AK227" s="89" t="s">
        <v>2859</v>
      </c>
      <c r="AL227" s="89" t="s">
        <v>2859</v>
      </c>
      <c r="AM227" s="89" t="s">
        <v>2859</v>
      </c>
      <c r="AN227" s="89" t="s">
        <v>2859</v>
      </c>
      <c r="AO227" s="89" t="s">
        <v>2859</v>
      </c>
      <c r="AP227" s="89" t="s">
        <v>2859</v>
      </c>
      <c r="AQ227" s="89" t="s">
        <v>2859</v>
      </c>
      <c r="AR227" s="89" t="s">
        <v>2859</v>
      </c>
      <c r="AS227" s="89" t="s">
        <v>2859</v>
      </c>
      <c r="AT227" s="89" t="s">
        <v>2859</v>
      </c>
      <c r="AU227" s="89" t="s">
        <v>2859</v>
      </c>
      <c r="AV227" s="89" t="s">
        <v>2859</v>
      </c>
      <c r="AW227" s="89" t="s">
        <v>2859</v>
      </c>
      <c r="AX227" s="89" t="s">
        <v>2859</v>
      </c>
      <c r="AY227" s="89" t="s">
        <v>2859</v>
      </c>
      <c r="AZ227" s="89" t="s">
        <v>2859</v>
      </c>
      <c r="BA227" s="89" t="s">
        <v>2859</v>
      </c>
      <c r="BB227" s="89" t="s">
        <v>2859</v>
      </c>
      <c r="BC227" s="89" t="s">
        <v>2859</v>
      </c>
      <c r="BD227" s="89" t="s">
        <v>2859</v>
      </c>
      <c r="BE227" s="89" t="s">
        <v>2859</v>
      </c>
      <c r="BF227" s="89" t="s">
        <v>2859</v>
      </c>
      <c r="BG227" s="89" t="s">
        <v>2859</v>
      </c>
      <c r="BH227" s="89" t="s">
        <v>2859</v>
      </c>
      <c r="BI227" s="89" t="s">
        <v>2859</v>
      </c>
      <c r="BJ227" s="89" t="s">
        <v>2859</v>
      </c>
      <c r="BK227" s="89" t="s">
        <v>2859</v>
      </c>
      <c r="BL227" s="89" t="s">
        <v>2859</v>
      </c>
      <c r="BM227" s="89" t="s">
        <v>2859</v>
      </c>
      <c r="BN227" s="89" t="s">
        <v>2859</v>
      </c>
      <c r="BO227" s="89" t="s">
        <v>2859</v>
      </c>
      <c r="BP227" s="89" t="s">
        <v>2859</v>
      </c>
      <c r="BQ227" s="89" t="s">
        <v>3481</v>
      </c>
      <c r="BR227" s="89" t="s">
        <v>2859</v>
      </c>
    </row>
    <row r="228" spans="1:70">
      <c r="A228" s="89" t="s">
        <v>2146</v>
      </c>
      <c r="B228" s="89" t="s">
        <v>3482</v>
      </c>
      <c r="C228" s="89" t="s">
        <v>2879</v>
      </c>
      <c r="D228" s="89" t="s">
        <v>2859</v>
      </c>
      <c r="E228" s="89" t="s">
        <v>2859</v>
      </c>
      <c r="F228" s="89" t="s">
        <v>2859</v>
      </c>
      <c r="G228" s="89" t="s">
        <v>2860</v>
      </c>
      <c r="H228" s="89" t="s">
        <v>2859</v>
      </c>
      <c r="I228" s="89" t="s">
        <v>2865</v>
      </c>
      <c r="J228" s="89" t="s">
        <v>2859</v>
      </c>
      <c r="K228" s="89" t="s">
        <v>2859</v>
      </c>
      <c r="L228" s="89" t="s">
        <v>2859</v>
      </c>
      <c r="M228" s="89" t="s">
        <v>2859</v>
      </c>
      <c r="N228" s="89" t="s">
        <v>2859</v>
      </c>
      <c r="O228" s="89" t="s">
        <v>2859</v>
      </c>
      <c r="P228" s="89" t="s">
        <v>2859</v>
      </c>
      <c r="Q228" s="89" t="s">
        <v>2859</v>
      </c>
      <c r="R228" s="89" t="s">
        <v>2859</v>
      </c>
      <c r="S228" s="89" t="s">
        <v>2859</v>
      </c>
      <c r="T228" s="89" t="s">
        <v>2859</v>
      </c>
      <c r="U228" s="89" t="s">
        <v>2859</v>
      </c>
      <c r="V228" s="89" t="s">
        <v>2859</v>
      </c>
      <c r="W228" s="89" t="s">
        <v>2859</v>
      </c>
      <c r="X228" s="89" t="s">
        <v>2859</v>
      </c>
      <c r="Y228" s="89" t="s">
        <v>2859</v>
      </c>
      <c r="Z228" s="89" t="s">
        <v>2859</v>
      </c>
      <c r="AA228" s="89" t="s">
        <v>2859</v>
      </c>
      <c r="AB228" s="89" t="s">
        <v>2859</v>
      </c>
      <c r="AC228" s="89" t="s">
        <v>2859</v>
      </c>
      <c r="AD228" s="89" t="s">
        <v>2859</v>
      </c>
      <c r="AE228" s="89" t="s">
        <v>2859</v>
      </c>
      <c r="AF228" s="89" t="s">
        <v>2859</v>
      </c>
      <c r="AG228" s="89" t="s">
        <v>2859</v>
      </c>
      <c r="AH228" s="89" t="s">
        <v>2859</v>
      </c>
      <c r="AI228" s="89" t="s">
        <v>2859</v>
      </c>
      <c r="AJ228" s="89" t="s">
        <v>2859</v>
      </c>
      <c r="AK228" s="89" t="s">
        <v>2859</v>
      </c>
      <c r="AL228" s="89" t="s">
        <v>2859</v>
      </c>
      <c r="AM228" s="89" t="s">
        <v>2859</v>
      </c>
      <c r="AN228" s="89" t="s">
        <v>2859</v>
      </c>
      <c r="AO228" s="89" t="s">
        <v>2859</v>
      </c>
      <c r="AP228" s="89" t="s">
        <v>2859</v>
      </c>
      <c r="AQ228" s="89" t="s">
        <v>2859</v>
      </c>
      <c r="AR228" s="89" t="s">
        <v>2859</v>
      </c>
      <c r="AS228" s="89" t="s">
        <v>2859</v>
      </c>
      <c r="AT228" s="89" t="s">
        <v>2859</v>
      </c>
      <c r="AU228" s="89" t="s">
        <v>2859</v>
      </c>
      <c r="AV228" s="89" t="s">
        <v>2859</v>
      </c>
      <c r="AW228" s="89" t="s">
        <v>2859</v>
      </c>
      <c r="AX228" s="89" t="s">
        <v>2859</v>
      </c>
      <c r="AY228" s="89" t="s">
        <v>2859</v>
      </c>
      <c r="AZ228" s="89" t="s">
        <v>2859</v>
      </c>
      <c r="BA228" s="89" t="s">
        <v>2859</v>
      </c>
      <c r="BB228" s="89" t="s">
        <v>2859</v>
      </c>
      <c r="BC228" s="89" t="s">
        <v>2859</v>
      </c>
      <c r="BD228" s="89" t="s">
        <v>2859</v>
      </c>
      <c r="BE228" s="89" t="s">
        <v>2859</v>
      </c>
      <c r="BF228" s="89" t="s">
        <v>2859</v>
      </c>
      <c r="BG228" s="89" t="s">
        <v>2859</v>
      </c>
      <c r="BH228" s="89" t="s">
        <v>2859</v>
      </c>
      <c r="BI228" s="89" t="s">
        <v>2859</v>
      </c>
      <c r="BJ228" s="89" t="s">
        <v>2859</v>
      </c>
      <c r="BK228" s="89" t="s">
        <v>2859</v>
      </c>
      <c r="BL228" s="89" t="s">
        <v>2859</v>
      </c>
      <c r="BM228" s="89" t="s">
        <v>2859</v>
      </c>
      <c r="BN228" s="89" t="s">
        <v>2859</v>
      </c>
      <c r="BO228" s="89" t="s">
        <v>2859</v>
      </c>
      <c r="BP228" s="89" t="s">
        <v>2859</v>
      </c>
      <c r="BQ228" s="89" t="s">
        <v>3483</v>
      </c>
      <c r="BR228" s="89" t="s">
        <v>2859</v>
      </c>
    </row>
    <row r="229" spans="1:70">
      <c r="A229" s="89" t="s">
        <v>2146</v>
      </c>
      <c r="B229" s="89" t="s">
        <v>3484</v>
      </c>
      <c r="C229" s="89" t="s">
        <v>2879</v>
      </c>
      <c r="D229" s="89" t="s">
        <v>2859</v>
      </c>
      <c r="E229" s="89" t="s">
        <v>2859</v>
      </c>
      <c r="F229" s="89" t="s">
        <v>2859</v>
      </c>
      <c r="G229" s="89" t="s">
        <v>2860</v>
      </c>
      <c r="H229" s="89" t="s">
        <v>2859</v>
      </c>
      <c r="I229" s="89" t="s">
        <v>2865</v>
      </c>
      <c r="J229" s="89" t="s">
        <v>2859</v>
      </c>
      <c r="K229" s="89" t="s">
        <v>2859</v>
      </c>
      <c r="L229" s="89" t="s">
        <v>2859</v>
      </c>
      <c r="M229" s="89" t="s">
        <v>2859</v>
      </c>
      <c r="N229" s="89" t="s">
        <v>2859</v>
      </c>
      <c r="O229" s="89" t="s">
        <v>2859</v>
      </c>
      <c r="P229" s="89" t="s">
        <v>2859</v>
      </c>
      <c r="Q229" s="89" t="s">
        <v>2859</v>
      </c>
      <c r="R229" s="89" t="s">
        <v>2859</v>
      </c>
      <c r="S229" s="89" t="s">
        <v>2859</v>
      </c>
      <c r="T229" s="89" t="s">
        <v>2859</v>
      </c>
      <c r="U229" s="89" t="s">
        <v>2859</v>
      </c>
      <c r="V229" s="89" t="s">
        <v>2859</v>
      </c>
      <c r="W229" s="89" t="s">
        <v>2859</v>
      </c>
      <c r="X229" s="89" t="s">
        <v>2859</v>
      </c>
      <c r="Y229" s="89" t="s">
        <v>2859</v>
      </c>
      <c r="Z229" s="89" t="s">
        <v>2859</v>
      </c>
      <c r="AA229" s="89" t="s">
        <v>2859</v>
      </c>
      <c r="AB229" s="89" t="s">
        <v>2859</v>
      </c>
      <c r="AC229" s="89" t="s">
        <v>2859</v>
      </c>
      <c r="AD229" s="89" t="s">
        <v>2859</v>
      </c>
      <c r="AE229" s="89" t="s">
        <v>2859</v>
      </c>
      <c r="AF229" s="89" t="s">
        <v>2859</v>
      </c>
      <c r="AG229" s="89" t="s">
        <v>2859</v>
      </c>
      <c r="AH229" s="89" t="s">
        <v>2859</v>
      </c>
      <c r="AI229" s="89" t="s">
        <v>2859</v>
      </c>
      <c r="AJ229" s="89" t="s">
        <v>2859</v>
      </c>
      <c r="AK229" s="89" t="s">
        <v>2859</v>
      </c>
      <c r="AL229" s="89" t="s">
        <v>2859</v>
      </c>
      <c r="AM229" s="89" t="s">
        <v>2859</v>
      </c>
      <c r="AN229" s="89" t="s">
        <v>2859</v>
      </c>
      <c r="AO229" s="89" t="s">
        <v>2859</v>
      </c>
      <c r="AP229" s="89" t="s">
        <v>2859</v>
      </c>
      <c r="AQ229" s="89" t="s">
        <v>2859</v>
      </c>
      <c r="AR229" s="89" t="s">
        <v>2859</v>
      </c>
      <c r="AS229" s="89" t="s">
        <v>2859</v>
      </c>
      <c r="AT229" s="89" t="s">
        <v>2859</v>
      </c>
      <c r="AU229" s="89" t="s">
        <v>2859</v>
      </c>
      <c r="AV229" s="89" t="s">
        <v>2859</v>
      </c>
      <c r="AW229" s="89" t="s">
        <v>2859</v>
      </c>
      <c r="AX229" s="89" t="s">
        <v>2859</v>
      </c>
      <c r="AY229" s="89" t="s">
        <v>2859</v>
      </c>
      <c r="AZ229" s="89" t="s">
        <v>2859</v>
      </c>
      <c r="BA229" s="89" t="s">
        <v>2859</v>
      </c>
      <c r="BB229" s="89" t="s">
        <v>2859</v>
      </c>
      <c r="BC229" s="89" t="s">
        <v>2859</v>
      </c>
      <c r="BD229" s="89" t="s">
        <v>2859</v>
      </c>
      <c r="BE229" s="89" t="s">
        <v>2859</v>
      </c>
      <c r="BF229" s="89" t="s">
        <v>2859</v>
      </c>
      <c r="BG229" s="89" t="s">
        <v>2859</v>
      </c>
      <c r="BH229" s="89" t="s">
        <v>2859</v>
      </c>
      <c r="BI229" s="89" t="s">
        <v>2859</v>
      </c>
      <c r="BJ229" s="89" t="s">
        <v>2859</v>
      </c>
      <c r="BK229" s="89" t="s">
        <v>2859</v>
      </c>
      <c r="BL229" s="89" t="s">
        <v>2859</v>
      </c>
      <c r="BM229" s="89" t="s">
        <v>2859</v>
      </c>
      <c r="BN229" s="89" t="s">
        <v>2859</v>
      </c>
      <c r="BO229" s="89" t="s">
        <v>2859</v>
      </c>
      <c r="BP229" s="89" t="s">
        <v>2859</v>
      </c>
      <c r="BQ229" s="89" t="s">
        <v>3485</v>
      </c>
      <c r="BR229" s="89" t="s">
        <v>2859</v>
      </c>
    </row>
    <row r="230" spans="1:70">
      <c r="A230" s="89" t="s">
        <v>2146</v>
      </c>
      <c r="B230" s="89" t="s">
        <v>3486</v>
      </c>
      <c r="C230" s="89" t="s">
        <v>2879</v>
      </c>
      <c r="D230" s="89" t="s">
        <v>2859</v>
      </c>
      <c r="E230" s="89" t="s">
        <v>2859</v>
      </c>
      <c r="F230" s="89" t="s">
        <v>2859</v>
      </c>
      <c r="G230" s="89" t="s">
        <v>2860</v>
      </c>
      <c r="H230" s="89" t="s">
        <v>2859</v>
      </c>
      <c r="I230" s="89" t="s">
        <v>2865</v>
      </c>
      <c r="J230" s="89" t="s">
        <v>2859</v>
      </c>
      <c r="K230" s="89" t="s">
        <v>2859</v>
      </c>
      <c r="L230" s="89" t="s">
        <v>2859</v>
      </c>
      <c r="M230" s="89" t="s">
        <v>2859</v>
      </c>
      <c r="N230" s="89" t="s">
        <v>2859</v>
      </c>
      <c r="O230" s="89" t="s">
        <v>2859</v>
      </c>
      <c r="P230" s="89" t="s">
        <v>2859</v>
      </c>
      <c r="Q230" s="89" t="s">
        <v>2859</v>
      </c>
      <c r="R230" s="89" t="s">
        <v>2859</v>
      </c>
      <c r="S230" s="89" t="s">
        <v>2859</v>
      </c>
      <c r="T230" s="89" t="s">
        <v>2859</v>
      </c>
      <c r="U230" s="89" t="s">
        <v>2859</v>
      </c>
      <c r="V230" s="89" t="s">
        <v>2859</v>
      </c>
      <c r="W230" s="89" t="s">
        <v>2859</v>
      </c>
      <c r="X230" s="89" t="s">
        <v>2859</v>
      </c>
      <c r="Y230" s="89" t="s">
        <v>2859</v>
      </c>
      <c r="Z230" s="89" t="s">
        <v>2859</v>
      </c>
      <c r="AA230" s="89" t="s">
        <v>2859</v>
      </c>
      <c r="AB230" s="89" t="s">
        <v>2859</v>
      </c>
      <c r="AC230" s="89" t="s">
        <v>2859</v>
      </c>
      <c r="AD230" s="89" t="s">
        <v>2859</v>
      </c>
      <c r="AE230" s="89" t="s">
        <v>2859</v>
      </c>
      <c r="AF230" s="89" t="s">
        <v>2859</v>
      </c>
      <c r="AG230" s="89" t="s">
        <v>2859</v>
      </c>
      <c r="AH230" s="89" t="s">
        <v>2859</v>
      </c>
      <c r="AI230" s="89" t="s">
        <v>2859</v>
      </c>
      <c r="AJ230" s="89" t="s">
        <v>2859</v>
      </c>
      <c r="AK230" s="89" t="s">
        <v>2859</v>
      </c>
      <c r="AL230" s="89" t="s">
        <v>2859</v>
      </c>
      <c r="AM230" s="89" t="s">
        <v>2859</v>
      </c>
      <c r="AN230" s="89" t="s">
        <v>2859</v>
      </c>
      <c r="AO230" s="89" t="s">
        <v>2859</v>
      </c>
      <c r="AP230" s="89" t="s">
        <v>2859</v>
      </c>
      <c r="AQ230" s="89" t="s">
        <v>2859</v>
      </c>
      <c r="AR230" s="89" t="s">
        <v>2859</v>
      </c>
      <c r="AS230" s="89" t="s">
        <v>2859</v>
      </c>
      <c r="AT230" s="89" t="s">
        <v>2859</v>
      </c>
      <c r="AU230" s="89" t="s">
        <v>2859</v>
      </c>
      <c r="AV230" s="89" t="s">
        <v>2859</v>
      </c>
      <c r="AW230" s="89" t="s">
        <v>2859</v>
      </c>
      <c r="AX230" s="89" t="s">
        <v>2859</v>
      </c>
      <c r="AY230" s="89" t="s">
        <v>2859</v>
      </c>
      <c r="AZ230" s="89" t="s">
        <v>2859</v>
      </c>
      <c r="BA230" s="89" t="s">
        <v>2859</v>
      </c>
      <c r="BB230" s="89" t="s">
        <v>2859</v>
      </c>
      <c r="BC230" s="89" t="s">
        <v>2859</v>
      </c>
      <c r="BD230" s="89" t="s">
        <v>2859</v>
      </c>
      <c r="BE230" s="89" t="s">
        <v>2859</v>
      </c>
      <c r="BF230" s="89" t="s">
        <v>2859</v>
      </c>
      <c r="BG230" s="89" t="s">
        <v>2859</v>
      </c>
      <c r="BH230" s="89" t="s">
        <v>2859</v>
      </c>
      <c r="BI230" s="89" t="s">
        <v>2859</v>
      </c>
      <c r="BJ230" s="89" t="s">
        <v>2859</v>
      </c>
      <c r="BK230" s="89" t="s">
        <v>2859</v>
      </c>
      <c r="BL230" s="89" t="s">
        <v>2859</v>
      </c>
      <c r="BM230" s="89" t="s">
        <v>2859</v>
      </c>
      <c r="BN230" s="89" t="s">
        <v>2859</v>
      </c>
      <c r="BO230" s="89" t="s">
        <v>2859</v>
      </c>
      <c r="BP230" s="89" t="s">
        <v>2859</v>
      </c>
      <c r="BQ230" s="89" t="s">
        <v>3487</v>
      </c>
      <c r="BR230" s="89" t="s">
        <v>2859</v>
      </c>
    </row>
    <row r="231" spans="1:70">
      <c r="A231" s="89" t="s">
        <v>2146</v>
      </c>
      <c r="B231" s="89" t="s">
        <v>3488</v>
      </c>
      <c r="C231" s="89" t="s">
        <v>2879</v>
      </c>
      <c r="D231" s="89" t="s">
        <v>2859</v>
      </c>
      <c r="E231" s="89" t="s">
        <v>2859</v>
      </c>
      <c r="F231" s="89" t="s">
        <v>2859</v>
      </c>
      <c r="G231" s="89" t="s">
        <v>2860</v>
      </c>
      <c r="H231" s="89" t="s">
        <v>2859</v>
      </c>
      <c r="I231" s="89" t="s">
        <v>2865</v>
      </c>
      <c r="J231" s="89" t="s">
        <v>2859</v>
      </c>
      <c r="K231" s="89" t="s">
        <v>2859</v>
      </c>
      <c r="L231" s="89" t="s">
        <v>2859</v>
      </c>
      <c r="M231" s="89" t="s">
        <v>2859</v>
      </c>
      <c r="N231" s="89" t="s">
        <v>2859</v>
      </c>
      <c r="O231" s="89" t="s">
        <v>2859</v>
      </c>
      <c r="P231" s="89" t="s">
        <v>2859</v>
      </c>
      <c r="Q231" s="89" t="s">
        <v>2859</v>
      </c>
      <c r="R231" s="89" t="s">
        <v>2859</v>
      </c>
      <c r="S231" s="89" t="s">
        <v>2859</v>
      </c>
      <c r="T231" s="89" t="s">
        <v>2859</v>
      </c>
      <c r="U231" s="89" t="s">
        <v>2859</v>
      </c>
      <c r="V231" s="89" t="s">
        <v>2859</v>
      </c>
      <c r="W231" s="89" t="s">
        <v>2859</v>
      </c>
      <c r="X231" s="89" t="s">
        <v>2859</v>
      </c>
      <c r="Y231" s="89" t="s">
        <v>2859</v>
      </c>
      <c r="Z231" s="89" t="s">
        <v>2859</v>
      </c>
      <c r="AA231" s="89" t="s">
        <v>2859</v>
      </c>
      <c r="AB231" s="89" t="s">
        <v>2859</v>
      </c>
      <c r="AC231" s="89" t="s">
        <v>2859</v>
      </c>
      <c r="AD231" s="89" t="s">
        <v>2859</v>
      </c>
      <c r="AE231" s="89" t="s">
        <v>2859</v>
      </c>
      <c r="AF231" s="89" t="s">
        <v>2859</v>
      </c>
      <c r="AG231" s="89" t="s">
        <v>2859</v>
      </c>
      <c r="AH231" s="89" t="s">
        <v>2859</v>
      </c>
      <c r="AI231" s="89" t="s">
        <v>2859</v>
      </c>
      <c r="AJ231" s="89" t="s">
        <v>2859</v>
      </c>
      <c r="AK231" s="89" t="s">
        <v>2859</v>
      </c>
      <c r="AL231" s="89" t="s">
        <v>2859</v>
      </c>
      <c r="AM231" s="89" t="s">
        <v>2859</v>
      </c>
      <c r="AN231" s="89" t="s">
        <v>2859</v>
      </c>
      <c r="AO231" s="89" t="s">
        <v>2859</v>
      </c>
      <c r="AP231" s="89" t="s">
        <v>2859</v>
      </c>
      <c r="AQ231" s="89" t="s">
        <v>2859</v>
      </c>
      <c r="AR231" s="89" t="s">
        <v>2859</v>
      </c>
      <c r="AS231" s="89" t="s">
        <v>2859</v>
      </c>
      <c r="AT231" s="89" t="s">
        <v>2859</v>
      </c>
      <c r="AU231" s="89" t="s">
        <v>2859</v>
      </c>
      <c r="AV231" s="89" t="s">
        <v>2859</v>
      </c>
      <c r="AW231" s="89" t="s">
        <v>2859</v>
      </c>
      <c r="AX231" s="89" t="s">
        <v>2859</v>
      </c>
      <c r="AY231" s="89" t="s">
        <v>2859</v>
      </c>
      <c r="AZ231" s="89" t="s">
        <v>2859</v>
      </c>
      <c r="BA231" s="89" t="s">
        <v>2859</v>
      </c>
      <c r="BB231" s="89" t="s">
        <v>2859</v>
      </c>
      <c r="BC231" s="89" t="s">
        <v>2859</v>
      </c>
      <c r="BD231" s="89" t="s">
        <v>2859</v>
      </c>
      <c r="BE231" s="89" t="s">
        <v>2859</v>
      </c>
      <c r="BF231" s="89" t="s">
        <v>2859</v>
      </c>
      <c r="BG231" s="89" t="s">
        <v>2859</v>
      </c>
      <c r="BH231" s="89" t="s">
        <v>2859</v>
      </c>
      <c r="BI231" s="89" t="s">
        <v>2859</v>
      </c>
      <c r="BJ231" s="89" t="s">
        <v>2859</v>
      </c>
      <c r="BK231" s="89" t="s">
        <v>2859</v>
      </c>
      <c r="BL231" s="89" t="s">
        <v>2859</v>
      </c>
      <c r="BM231" s="89" t="s">
        <v>2859</v>
      </c>
      <c r="BN231" s="89" t="s">
        <v>2859</v>
      </c>
      <c r="BO231" s="89" t="s">
        <v>2859</v>
      </c>
      <c r="BP231" s="89" t="s">
        <v>2859</v>
      </c>
      <c r="BQ231" s="89" t="s">
        <v>3489</v>
      </c>
      <c r="BR231" s="89" t="s">
        <v>2859</v>
      </c>
    </row>
    <row r="232" spans="1:70">
      <c r="A232" s="89" t="s">
        <v>2146</v>
      </c>
      <c r="B232" s="89" t="s">
        <v>3490</v>
      </c>
      <c r="C232" s="89" t="s">
        <v>2879</v>
      </c>
      <c r="D232" s="89" t="s">
        <v>2859</v>
      </c>
      <c r="E232" s="89" t="s">
        <v>2859</v>
      </c>
      <c r="F232" s="89" t="s">
        <v>2859</v>
      </c>
      <c r="G232" s="89" t="s">
        <v>2860</v>
      </c>
      <c r="H232" s="89" t="s">
        <v>2859</v>
      </c>
      <c r="I232" s="89" t="s">
        <v>2865</v>
      </c>
      <c r="J232" s="89" t="s">
        <v>2859</v>
      </c>
      <c r="K232" s="89" t="s">
        <v>2859</v>
      </c>
      <c r="L232" s="89" t="s">
        <v>2859</v>
      </c>
      <c r="M232" s="89" t="s">
        <v>2859</v>
      </c>
      <c r="N232" s="89" t="s">
        <v>2859</v>
      </c>
      <c r="O232" s="89" t="s">
        <v>2859</v>
      </c>
      <c r="P232" s="89" t="s">
        <v>2859</v>
      </c>
      <c r="Q232" s="89" t="s">
        <v>2859</v>
      </c>
      <c r="R232" s="89" t="s">
        <v>2859</v>
      </c>
      <c r="S232" s="89" t="s">
        <v>2859</v>
      </c>
      <c r="T232" s="89" t="s">
        <v>2859</v>
      </c>
      <c r="U232" s="89" t="s">
        <v>2859</v>
      </c>
      <c r="V232" s="89" t="s">
        <v>2859</v>
      </c>
      <c r="W232" s="89" t="s">
        <v>2859</v>
      </c>
      <c r="X232" s="89" t="s">
        <v>2859</v>
      </c>
      <c r="Y232" s="89" t="s">
        <v>2859</v>
      </c>
      <c r="Z232" s="89" t="s">
        <v>2859</v>
      </c>
      <c r="AA232" s="89" t="s">
        <v>2859</v>
      </c>
      <c r="AB232" s="89" t="s">
        <v>2859</v>
      </c>
      <c r="AC232" s="89" t="s">
        <v>2859</v>
      </c>
      <c r="AD232" s="89" t="s">
        <v>2859</v>
      </c>
      <c r="AE232" s="89" t="s">
        <v>2859</v>
      </c>
      <c r="AF232" s="89" t="s">
        <v>2859</v>
      </c>
      <c r="AG232" s="89" t="s">
        <v>2859</v>
      </c>
      <c r="AH232" s="89" t="s">
        <v>2859</v>
      </c>
      <c r="AI232" s="89" t="s">
        <v>2859</v>
      </c>
      <c r="AJ232" s="89" t="s">
        <v>2859</v>
      </c>
      <c r="AK232" s="89" t="s">
        <v>2859</v>
      </c>
      <c r="AL232" s="89" t="s">
        <v>2859</v>
      </c>
      <c r="AM232" s="89" t="s">
        <v>2859</v>
      </c>
      <c r="AN232" s="89" t="s">
        <v>2859</v>
      </c>
      <c r="AO232" s="89" t="s">
        <v>2859</v>
      </c>
      <c r="AP232" s="89" t="s">
        <v>2859</v>
      </c>
      <c r="AQ232" s="89" t="s">
        <v>2859</v>
      </c>
      <c r="AR232" s="89" t="s">
        <v>2859</v>
      </c>
      <c r="AS232" s="89" t="s">
        <v>2859</v>
      </c>
      <c r="AT232" s="89" t="s">
        <v>2859</v>
      </c>
      <c r="AU232" s="89" t="s">
        <v>2859</v>
      </c>
      <c r="AV232" s="89" t="s">
        <v>2859</v>
      </c>
      <c r="AW232" s="89" t="s">
        <v>2859</v>
      </c>
      <c r="AX232" s="89" t="s">
        <v>2859</v>
      </c>
      <c r="AY232" s="89" t="s">
        <v>2859</v>
      </c>
      <c r="AZ232" s="89" t="s">
        <v>2859</v>
      </c>
      <c r="BA232" s="89" t="s">
        <v>2859</v>
      </c>
      <c r="BB232" s="89" t="s">
        <v>2859</v>
      </c>
      <c r="BC232" s="89" t="s">
        <v>2859</v>
      </c>
      <c r="BD232" s="89" t="s">
        <v>2859</v>
      </c>
      <c r="BE232" s="89" t="s">
        <v>2859</v>
      </c>
      <c r="BF232" s="89" t="s">
        <v>2859</v>
      </c>
      <c r="BG232" s="89" t="s">
        <v>2859</v>
      </c>
      <c r="BH232" s="89" t="s">
        <v>2859</v>
      </c>
      <c r="BI232" s="89" t="s">
        <v>2859</v>
      </c>
      <c r="BJ232" s="89" t="s">
        <v>2859</v>
      </c>
      <c r="BK232" s="89" t="s">
        <v>2859</v>
      </c>
      <c r="BL232" s="89" t="s">
        <v>2859</v>
      </c>
      <c r="BM232" s="89" t="s">
        <v>2859</v>
      </c>
      <c r="BN232" s="89" t="s">
        <v>2859</v>
      </c>
      <c r="BO232" s="89" t="s">
        <v>2859</v>
      </c>
      <c r="BP232" s="89" t="s">
        <v>2859</v>
      </c>
      <c r="BQ232" s="89" t="s">
        <v>3491</v>
      </c>
      <c r="BR232" s="89" t="s">
        <v>2859</v>
      </c>
    </row>
    <row r="233" spans="1:70">
      <c r="A233" s="89" t="s">
        <v>2146</v>
      </c>
      <c r="B233" s="89" t="s">
        <v>3492</v>
      </c>
      <c r="C233" s="89" t="s">
        <v>2879</v>
      </c>
      <c r="D233" s="89" t="s">
        <v>2859</v>
      </c>
      <c r="E233" s="89" t="s">
        <v>2859</v>
      </c>
      <c r="F233" s="89" t="s">
        <v>2859</v>
      </c>
      <c r="G233" s="89" t="s">
        <v>2860</v>
      </c>
      <c r="H233" s="89" t="s">
        <v>2859</v>
      </c>
      <c r="I233" s="89" t="s">
        <v>2865</v>
      </c>
      <c r="J233" s="89" t="s">
        <v>2859</v>
      </c>
      <c r="K233" s="89" t="s">
        <v>2859</v>
      </c>
      <c r="L233" s="89" t="s">
        <v>2859</v>
      </c>
      <c r="M233" s="89" t="s">
        <v>2859</v>
      </c>
      <c r="N233" s="89" t="s">
        <v>2859</v>
      </c>
      <c r="O233" s="89" t="s">
        <v>2859</v>
      </c>
      <c r="P233" s="89" t="s">
        <v>2859</v>
      </c>
      <c r="Q233" s="89" t="s">
        <v>2859</v>
      </c>
      <c r="R233" s="89" t="s">
        <v>2859</v>
      </c>
      <c r="S233" s="89" t="s">
        <v>2859</v>
      </c>
      <c r="T233" s="89" t="s">
        <v>2859</v>
      </c>
      <c r="U233" s="89" t="s">
        <v>2859</v>
      </c>
      <c r="V233" s="89" t="s">
        <v>2859</v>
      </c>
      <c r="W233" s="89" t="s">
        <v>2859</v>
      </c>
      <c r="X233" s="89" t="s">
        <v>2859</v>
      </c>
      <c r="Y233" s="89" t="s">
        <v>2859</v>
      </c>
      <c r="Z233" s="89" t="s">
        <v>2859</v>
      </c>
      <c r="AA233" s="89" t="s">
        <v>2859</v>
      </c>
      <c r="AB233" s="89" t="s">
        <v>2859</v>
      </c>
      <c r="AC233" s="89" t="s">
        <v>2859</v>
      </c>
      <c r="AD233" s="89" t="s">
        <v>2859</v>
      </c>
      <c r="AE233" s="89" t="s">
        <v>2859</v>
      </c>
      <c r="AF233" s="89" t="s">
        <v>2859</v>
      </c>
      <c r="AG233" s="89" t="s">
        <v>2859</v>
      </c>
      <c r="AH233" s="89" t="s">
        <v>2859</v>
      </c>
      <c r="AI233" s="89" t="s">
        <v>2859</v>
      </c>
      <c r="AJ233" s="89" t="s">
        <v>2859</v>
      </c>
      <c r="AK233" s="89" t="s">
        <v>2859</v>
      </c>
      <c r="AL233" s="89" t="s">
        <v>2859</v>
      </c>
      <c r="AM233" s="89" t="s">
        <v>2859</v>
      </c>
      <c r="AN233" s="89" t="s">
        <v>2859</v>
      </c>
      <c r="AO233" s="89" t="s">
        <v>2859</v>
      </c>
      <c r="AP233" s="89" t="s">
        <v>2859</v>
      </c>
      <c r="AQ233" s="89" t="s">
        <v>2859</v>
      </c>
      <c r="AR233" s="89" t="s">
        <v>2859</v>
      </c>
      <c r="AS233" s="89" t="s">
        <v>2859</v>
      </c>
      <c r="AT233" s="89" t="s">
        <v>2859</v>
      </c>
      <c r="AU233" s="89" t="s">
        <v>2859</v>
      </c>
      <c r="AV233" s="89" t="s">
        <v>2859</v>
      </c>
      <c r="AW233" s="89" t="s">
        <v>2859</v>
      </c>
      <c r="AX233" s="89" t="s">
        <v>2859</v>
      </c>
      <c r="AY233" s="89" t="s">
        <v>2859</v>
      </c>
      <c r="AZ233" s="89" t="s">
        <v>2859</v>
      </c>
      <c r="BA233" s="89" t="s">
        <v>2859</v>
      </c>
      <c r="BB233" s="89" t="s">
        <v>2859</v>
      </c>
      <c r="BC233" s="89" t="s">
        <v>2859</v>
      </c>
      <c r="BD233" s="89" t="s">
        <v>2859</v>
      </c>
      <c r="BE233" s="89" t="s">
        <v>2859</v>
      </c>
      <c r="BF233" s="89" t="s">
        <v>2859</v>
      </c>
      <c r="BG233" s="89" t="s">
        <v>2859</v>
      </c>
      <c r="BH233" s="89" t="s">
        <v>2859</v>
      </c>
      <c r="BI233" s="89" t="s">
        <v>2859</v>
      </c>
      <c r="BJ233" s="89" t="s">
        <v>2859</v>
      </c>
      <c r="BK233" s="89" t="s">
        <v>2859</v>
      </c>
      <c r="BL233" s="89" t="s">
        <v>2859</v>
      </c>
      <c r="BM233" s="89" t="s">
        <v>2859</v>
      </c>
      <c r="BN233" s="89" t="s">
        <v>2859</v>
      </c>
      <c r="BO233" s="89" t="s">
        <v>2859</v>
      </c>
      <c r="BP233" s="89" t="s">
        <v>2859</v>
      </c>
      <c r="BQ233" s="89" t="s">
        <v>3493</v>
      </c>
      <c r="BR233" s="89" t="s">
        <v>2859</v>
      </c>
    </row>
    <row r="234" spans="1:70">
      <c r="A234" s="89" t="s">
        <v>2146</v>
      </c>
      <c r="B234" s="89" t="s">
        <v>3494</v>
      </c>
      <c r="C234" s="89" t="s">
        <v>2971</v>
      </c>
      <c r="D234" s="89" t="s">
        <v>2859</v>
      </c>
      <c r="E234" s="89" t="s">
        <v>2859</v>
      </c>
      <c r="F234" s="89" t="s">
        <v>2859</v>
      </c>
      <c r="G234" s="89" t="s">
        <v>2860</v>
      </c>
      <c r="H234" s="89" t="s">
        <v>2859</v>
      </c>
      <c r="I234" s="89" t="s">
        <v>2865</v>
      </c>
      <c r="J234" s="89" t="s">
        <v>2859</v>
      </c>
      <c r="K234" s="89" t="s">
        <v>2859</v>
      </c>
      <c r="L234" s="89" t="s">
        <v>2859</v>
      </c>
      <c r="M234" s="89" t="s">
        <v>2859</v>
      </c>
      <c r="N234" s="89" t="s">
        <v>2859</v>
      </c>
      <c r="O234" s="89" t="s">
        <v>2859</v>
      </c>
      <c r="P234" s="89" t="s">
        <v>2859</v>
      </c>
      <c r="Q234" s="89" t="s">
        <v>2859</v>
      </c>
      <c r="R234" s="89" t="s">
        <v>2859</v>
      </c>
      <c r="S234" s="89" t="s">
        <v>2859</v>
      </c>
      <c r="T234" s="89" t="s">
        <v>2859</v>
      </c>
      <c r="U234" s="89" t="s">
        <v>2859</v>
      </c>
      <c r="V234" s="89" t="s">
        <v>2859</v>
      </c>
      <c r="W234" s="89" t="s">
        <v>2859</v>
      </c>
      <c r="X234" s="89" t="s">
        <v>2859</v>
      </c>
      <c r="Y234" s="89" t="s">
        <v>2859</v>
      </c>
      <c r="Z234" s="89" t="s">
        <v>2859</v>
      </c>
      <c r="AA234" s="89" t="s">
        <v>2859</v>
      </c>
      <c r="AB234" s="89" t="s">
        <v>2859</v>
      </c>
      <c r="AC234" s="89" t="s">
        <v>2859</v>
      </c>
      <c r="AD234" s="89" t="s">
        <v>2859</v>
      </c>
      <c r="AE234" s="89" t="s">
        <v>2859</v>
      </c>
      <c r="AF234" s="89" t="s">
        <v>2859</v>
      </c>
      <c r="AG234" s="89" t="s">
        <v>2859</v>
      </c>
      <c r="AH234" s="89" t="s">
        <v>2859</v>
      </c>
      <c r="AI234" s="89" t="s">
        <v>2859</v>
      </c>
      <c r="AJ234" s="89" t="s">
        <v>2859</v>
      </c>
      <c r="AK234" s="89" t="s">
        <v>2859</v>
      </c>
      <c r="AL234" s="89" t="s">
        <v>2859</v>
      </c>
      <c r="AM234" s="89" t="s">
        <v>2859</v>
      </c>
      <c r="AN234" s="89" t="s">
        <v>2859</v>
      </c>
      <c r="AO234" s="89" t="s">
        <v>2859</v>
      </c>
      <c r="AP234" s="89" t="s">
        <v>2859</v>
      </c>
      <c r="AQ234" s="89" t="s">
        <v>2859</v>
      </c>
      <c r="AR234" s="89" t="s">
        <v>2859</v>
      </c>
      <c r="AS234" s="89" t="s">
        <v>2859</v>
      </c>
      <c r="AT234" s="89" t="s">
        <v>2859</v>
      </c>
      <c r="AU234" s="89" t="s">
        <v>2859</v>
      </c>
      <c r="AV234" s="89" t="s">
        <v>2859</v>
      </c>
      <c r="AW234" s="89" t="s">
        <v>2859</v>
      </c>
      <c r="AX234" s="89" t="s">
        <v>2859</v>
      </c>
      <c r="AY234" s="89" t="s">
        <v>2859</v>
      </c>
      <c r="AZ234" s="89" t="s">
        <v>2859</v>
      </c>
      <c r="BA234" s="89" t="s">
        <v>2859</v>
      </c>
      <c r="BB234" s="89" t="s">
        <v>2859</v>
      </c>
      <c r="BC234" s="89" t="s">
        <v>2859</v>
      </c>
      <c r="BD234" s="89" t="s">
        <v>2859</v>
      </c>
      <c r="BE234" s="89" t="s">
        <v>2859</v>
      </c>
      <c r="BF234" s="89" t="s">
        <v>2859</v>
      </c>
      <c r="BG234" s="89" t="s">
        <v>2859</v>
      </c>
      <c r="BH234" s="89" t="s">
        <v>2859</v>
      </c>
      <c r="BI234" s="89" t="s">
        <v>2859</v>
      </c>
      <c r="BJ234" s="89" t="s">
        <v>2859</v>
      </c>
      <c r="BK234" s="89" t="s">
        <v>2859</v>
      </c>
      <c r="BL234" s="89" t="s">
        <v>2859</v>
      </c>
      <c r="BM234" s="89" t="s">
        <v>2859</v>
      </c>
      <c r="BN234" s="89" t="s">
        <v>2859</v>
      </c>
      <c r="BO234" s="89" t="s">
        <v>2859</v>
      </c>
      <c r="BP234" s="89" t="s">
        <v>2859</v>
      </c>
      <c r="BQ234" s="89" t="s">
        <v>3495</v>
      </c>
      <c r="BR234" s="89" t="s">
        <v>2859</v>
      </c>
    </row>
    <row r="235" spans="1:70">
      <c r="A235" s="89" t="s">
        <v>2146</v>
      </c>
      <c r="B235" s="89" t="s">
        <v>3496</v>
      </c>
      <c r="C235" s="89" t="s">
        <v>2864</v>
      </c>
      <c r="D235" s="89" t="s">
        <v>2859</v>
      </c>
      <c r="E235" s="89" t="s">
        <v>2859</v>
      </c>
      <c r="F235" s="89" t="s">
        <v>2859</v>
      </c>
      <c r="G235" s="89" t="s">
        <v>2860</v>
      </c>
      <c r="H235" s="89" t="s">
        <v>2859</v>
      </c>
      <c r="I235" s="89" t="s">
        <v>2865</v>
      </c>
      <c r="J235" s="89" t="s">
        <v>2859</v>
      </c>
      <c r="K235" s="89" t="s">
        <v>2859</v>
      </c>
      <c r="L235" s="89" t="s">
        <v>2859</v>
      </c>
      <c r="M235" s="89" t="s">
        <v>2859</v>
      </c>
      <c r="N235" s="89" t="s">
        <v>2859</v>
      </c>
      <c r="O235" s="89" t="s">
        <v>2859</v>
      </c>
      <c r="P235" s="89" t="s">
        <v>2859</v>
      </c>
      <c r="Q235" s="89" t="s">
        <v>2859</v>
      </c>
      <c r="R235" s="89" t="s">
        <v>2859</v>
      </c>
      <c r="S235" s="89" t="s">
        <v>2859</v>
      </c>
      <c r="T235" s="89" t="s">
        <v>2859</v>
      </c>
      <c r="U235" s="89" t="s">
        <v>2859</v>
      </c>
      <c r="V235" s="89" t="s">
        <v>2859</v>
      </c>
      <c r="W235" s="89" t="s">
        <v>2859</v>
      </c>
      <c r="X235" s="89" t="s">
        <v>2859</v>
      </c>
      <c r="Y235" s="89" t="s">
        <v>2859</v>
      </c>
      <c r="Z235" s="89" t="s">
        <v>2859</v>
      </c>
      <c r="AA235" s="89" t="s">
        <v>2859</v>
      </c>
      <c r="AB235" s="89" t="s">
        <v>2859</v>
      </c>
      <c r="AC235" s="89" t="s">
        <v>2859</v>
      </c>
      <c r="AD235" s="89" t="s">
        <v>2859</v>
      </c>
      <c r="AE235" s="89" t="s">
        <v>2859</v>
      </c>
      <c r="AF235" s="89" t="s">
        <v>2859</v>
      </c>
      <c r="AG235" s="89" t="s">
        <v>2859</v>
      </c>
      <c r="AH235" s="89" t="s">
        <v>2859</v>
      </c>
      <c r="AI235" s="89" t="s">
        <v>2859</v>
      </c>
      <c r="AJ235" s="89" t="s">
        <v>2859</v>
      </c>
      <c r="AK235" s="89" t="s">
        <v>2859</v>
      </c>
      <c r="AL235" s="89" t="s">
        <v>2859</v>
      </c>
      <c r="AM235" s="89" t="s">
        <v>2859</v>
      </c>
      <c r="AN235" s="89" t="s">
        <v>2859</v>
      </c>
      <c r="AO235" s="89" t="s">
        <v>2859</v>
      </c>
      <c r="AP235" s="89" t="s">
        <v>2859</v>
      </c>
      <c r="AQ235" s="89" t="s">
        <v>2859</v>
      </c>
      <c r="AR235" s="89" t="s">
        <v>2859</v>
      </c>
      <c r="AS235" s="89" t="s">
        <v>2859</v>
      </c>
      <c r="AT235" s="89" t="s">
        <v>2859</v>
      </c>
      <c r="AU235" s="89" t="s">
        <v>2859</v>
      </c>
      <c r="AV235" s="89" t="s">
        <v>2859</v>
      </c>
      <c r="AW235" s="89" t="s">
        <v>2859</v>
      </c>
      <c r="AX235" s="89" t="s">
        <v>2859</v>
      </c>
      <c r="AY235" s="89" t="s">
        <v>2859</v>
      </c>
      <c r="AZ235" s="89" t="s">
        <v>2859</v>
      </c>
      <c r="BA235" s="89" t="s">
        <v>2859</v>
      </c>
      <c r="BB235" s="89" t="s">
        <v>2859</v>
      </c>
      <c r="BC235" s="89" t="s">
        <v>2859</v>
      </c>
      <c r="BD235" s="89" t="s">
        <v>2859</v>
      </c>
      <c r="BE235" s="89" t="s">
        <v>2859</v>
      </c>
      <c r="BF235" s="89" t="s">
        <v>2859</v>
      </c>
      <c r="BG235" s="89" t="s">
        <v>2859</v>
      </c>
      <c r="BH235" s="89" t="s">
        <v>2859</v>
      </c>
      <c r="BI235" s="89" t="s">
        <v>2859</v>
      </c>
      <c r="BJ235" s="89" t="s">
        <v>2859</v>
      </c>
      <c r="BK235" s="89" t="s">
        <v>2859</v>
      </c>
      <c r="BL235" s="89" t="s">
        <v>2859</v>
      </c>
      <c r="BM235" s="89" t="s">
        <v>2859</v>
      </c>
      <c r="BN235" s="89" t="s">
        <v>2859</v>
      </c>
      <c r="BO235" s="89" t="s">
        <v>2859</v>
      </c>
      <c r="BP235" s="89" t="s">
        <v>2859</v>
      </c>
      <c r="BQ235" s="89" t="s">
        <v>3497</v>
      </c>
      <c r="BR235" s="89" t="s">
        <v>2859</v>
      </c>
    </row>
    <row r="236" spans="1:70">
      <c r="A236" s="89" t="s">
        <v>2146</v>
      </c>
      <c r="B236" s="89" t="s">
        <v>3498</v>
      </c>
      <c r="C236" s="89" t="s">
        <v>2864</v>
      </c>
      <c r="D236" s="89" t="s">
        <v>2859</v>
      </c>
      <c r="E236" s="89" t="s">
        <v>2859</v>
      </c>
      <c r="F236" s="89" t="s">
        <v>2859</v>
      </c>
      <c r="G236" s="89" t="s">
        <v>2860</v>
      </c>
      <c r="H236" s="89" t="s">
        <v>2859</v>
      </c>
      <c r="I236" s="89" t="s">
        <v>2865</v>
      </c>
      <c r="J236" s="89" t="s">
        <v>2859</v>
      </c>
      <c r="K236" s="89" t="s">
        <v>2859</v>
      </c>
      <c r="L236" s="89" t="s">
        <v>2859</v>
      </c>
      <c r="M236" s="89" t="s">
        <v>2859</v>
      </c>
      <c r="N236" s="89" t="s">
        <v>2859</v>
      </c>
      <c r="O236" s="89" t="s">
        <v>2859</v>
      </c>
      <c r="P236" s="89" t="s">
        <v>2859</v>
      </c>
      <c r="Q236" s="89" t="s">
        <v>2859</v>
      </c>
      <c r="R236" s="89" t="s">
        <v>2859</v>
      </c>
      <c r="S236" s="89" t="s">
        <v>2859</v>
      </c>
      <c r="T236" s="89" t="s">
        <v>2859</v>
      </c>
      <c r="U236" s="89" t="s">
        <v>2859</v>
      </c>
      <c r="V236" s="89" t="s">
        <v>2859</v>
      </c>
      <c r="W236" s="89" t="s">
        <v>2859</v>
      </c>
      <c r="X236" s="89" t="s">
        <v>2859</v>
      </c>
      <c r="Y236" s="89" t="s">
        <v>2859</v>
      </c>
      <c r="Z236" s="89" t="s">
        <v>2859</v>
      </c>
      <c r="AA236" s="89" t="s">
        <v>2859</v>
      </c>
      <c r="AB236" s="89" t="s">
        <v>2859</v>
      </c>
      <c r="AC236" s="89" t="s">
        <v>2859</v>
      </c>
      <c r="AD236" s="89" t="s">
        <v>2859</v>
      </c>
      <c r="AE236" s="89" t="s">
        <v>2859</v>
      </c>
      <c r="AF236" s="89" t="s">
        <v>2859</v>
      </c>
      <c r="AG236" s="89" t="s">
        <v>2859</v>
      </c>
      <c r="AH236" s="89" t="s">
        <v>2859</v>
      </c>
      <c r="AI236" s="89" t="s">
        <v>2859</v>
      </c>
      <c r="AJ236" s="89" t="s">
        <v>2859</v>
      </c>
      <c r="AK236" s="89" t="s">
        <v>2859</v>
      </c>
      <c r="AL236" s="89" t="s">
        <v>2859</v>
      </c>
      <c r="AM236" s="89" t="s">
        <v>2859</v>
      </c>
      <c r="AN236" s="89" t="s">
        <v>2859</v>
      </c>
      <c r="AO236" s="89" t="s">
        <v>2859</v>
      </c>
      <c r="AP236" s="89" t="s">
        <v>2859</v>
      </c>
      <c r="AQ236" s="89" t="s">
        <v>2859</v>
      </c>
      <c r="AR236" s="89" t="s">
        <v>2859</v>
      </c>
      <c r="AS236" s="89" t="s">
        <v>2859</v>
      </c>
      <c r="AT236" s="89" t="s">
        <v>2859</v>
      </c>
      <c r="AU236" s="89" t="s">
        <v>2859</v>
      </c>
      <c r="AV236" s="89" t="s">
        <v>2859</v>
      </c>
      <c r="AW236" s="89" t="s">
        <v>2859</v>
      </c>
      <c r="AX236" s="89" t="s">
        <v>2859</v>
      </c>
      <c r="AY236" s="89" t="s">
        <v>2859</v>
      </c>
      <c r="AZ236" s="89" t="s">
        <v>2859</v>
      </c>
      <c r="BA236" s="89" t="s">
        <v>2859</v>
      </c>
      <c r="BB236" s="89" t="s">
        <v>2859</v>
      </c>
      <c r="BC236" s="89" t="s">
        <v>2859</v>
      </c>
      <c r="BD236" s="89" t="s">
        <v>2859</v>
      </c>
      <c r="BE236" s="89" t="s">
        <v>2859</v>
      </c>
      <c r="BF236" s="89" t="s">
        <v>2859</v>
      </c>
      <c r="BG236" s="89" t="s">
        <v>2859</v>
      </c>
      <c r="BH236" s="89" t="s">
        <v>2859</v>
      </c>
      <c r="BI236" s="89" t="s">
        <v>2859</v>
      </c>
      <c r="BJ236" s="89" t="s">
        <v>2859</v>
      </c>
      <c r="BK236" s="89" t="s">
        <v>2859</v>
      </c>
      <c r="BL236" s="89" t="s">
        <v>2859</v>
      </c>
      <c r="BM236" s="89" t="s">
        <v>2859</v>
      </c>
      <c r="BN236" s="89" t="s">
        <v>2859</v>
      </c>
      <c r="BO236" s="89" t="s">
        <v>2859</v>
      </c>
      <c r="BP236" s="89" t="s">
        <v>2859</v>
      </c>
      <c r="BQ236" s="89" t="s">
        <v>3499</v>
      </c>
      <c r="BR236" s="89" t="s">
        <v>2859</v>
      </c>
    </row>
    <row r="237" spans="1:70">
      <c r="A237" s="89" t="s">
        <v>2146</v>
      </c>
      <c r="B237" s="89" t="s">
        <v>3500</v>
      </c>
      <c r="C237" s="89" t="s">
        <v>2971</v>
      </c>
      <c r="D237" s="89" t="s">
        <v>2859</v>
      </c>
      <c r="E237" s="89" t="s">
        <v>2859</v>
      </c>
      <c r="F237" s="89" t="s">
        <v>2859</v>
      </c>
      <c r="G237" s="89" t="s">
        <v>2860</v>
      </c>
      <c r="H237" s="89" t="s">
        <v>2859</v>
      </c>
      <c r="I237" s="89" t="s">
        <v>2865</v>
      </c>
      <c r="J237" s="89" t="s">
        <v>2859</v>
      </c>
      <c r="K237" s="89" t="s">
        <v>2859</v>
      </c>
      <c r="L237" s="89" t="s">
        <v>2859</v>
      </c>
      <c r="M237" s="89" t="s">
        <v>2859</v>
      </c>
      <c r="N237" s="89" t="s">
        <v>2859</v>
      </c>
      <c r="O237" s="89" t="s">
        <v>2859</v>
      </c>
      <c r="P237" s="89" t="s">
        <v>2859</v>
      </c>
      <c r="Q237" s="89" t="s">
        <v>2859</v>
      </c>
      <c r="R237" s="89" t="s">
        <v>2859</v>
      </c>
      <c r="S237" s="89" t="s">
        <v>2859</v>
      </c>
      <c r="T237" s="89" t="s">
        <v>2859</v>
      </c>
      <c r="U237" s="89" t="s">
        <v>2859</v>
      </c>
      <c r="V237" s="89" t="s">
        <v>2859</v>
      </c>
      <c r="W237" s="89" t="s">
        <v>2859</v>
      </c>
      <c r="X237" s="89" t="s">
        <v>2859</v>
      </c>
      <c r="Y237" s="89" t="s">
        <v>2859</v>
      </c>
      <c r="Z237" s="89" t="s">
        <v>2859</v>
      </c>
      <c r="AA237" s="89" t="s">
        <v>2859</v>
      </c>
      <c r="AB237" s="89" t="s">
        <v>2859</v>
      </c>
      <c r="AC237" s="89" t="s">
        <v>2859</v>
      </c>
      <c r="AD237" s="89" t="s">
        <v>2859</v>
      </c>
      <c r="AE237" s="89" t="s">
        <v>2859</v>
      </c>
      <c r="AF237" s="89" t="s">
        <v>2859</v>
      </c>
      <c r="AG237" s="89" t="s">
        <v>2859</v>
      </c>
      <c r="AH237" s="89" t="s">
        <v>2859</v>
      </c>
      <c r="AI237" s="89" t="s">
        <v>2859</v>
      </c>
      <c r="AJ237" s="89" t="s">
        <v>2859</v>
      </c>
      <c r="AK237" s="89" t="s">
        <v>2859</v>
      </c>
      <c r="AL237" s="89" t="s">
        <v>2859</v>
      </c>
      <c r="AM237" s="89" t="s">
        <v>2859</v>
      </c>
      <c r="AN237" s="89" t="s">
        <v>2859</v>
      </c>
      <c r="AO237" s="89" t="s">
        <v>2859</v>
      </c>
      <c r="AP237" s="89" t="s">
        <v>2859</v>
      </c>
      <c r="AQ237" s="89" t="s">
        <v>2859</v>
      </c>
      <c r="AR237" s="89" t="s">
        <v>2859</v>
      </c>
      <c r="AS237" s="89" t="s">
        <v>2859</v>
      </c>
      <c r="AT237" s="89" t="s">
        <v>2859</v>
      </c>
      <c r="AU237" s="89" t="s">
        <v>2859</v>
      </c>
      <c r="AV237" s="89" t="s">
        <v>2859</v>
      </c>
      <c r="AW237" s="89" t="s">
        <v>2859</v>
      </c>
      <c r="AX237" s="89" t="s">
        <v>2859</v>
      </c>
      <c r="AY237" s="89" t="s">
        <v>2859</v>
      </c>
      <c r="AZ237" s="89" t="s">
        <v>2859</v>
      </c>
      <c r="BA237" s="89" t="s">
        <v>2859</v>
      </c>
      <c r="BB237" s="89" t="s">
        <v>2859</v>
      </c>
      <c r="BC237" s="89" t="s">
        <v>2859</v>
      </c>
      <c r="BD237" s="89" t="s">
        <v>2859</v>
      </c>
      <c r="BE237" s="89" t="s">
        <v>2859</v>
      </c>
      <c r="BF237" s="89" t="s">
        <v>2859</v>
      </c>
      <c r="BG237" s="89" t="s">
        <v>2859</v>
      </c>
      <c r="BH237" s="89" t="s">
        <v>2859</v>
      </c>
      <c r="BI237" s="89" t="s">
        <v>2859</v>
      </c>
      <c r="BJ237" s="89" t="s">
        <v>2859</v>
      </c>
      <c r="BK237" s="89" t="s">
        <v>2859</v>
      </c>
      <c r="BL237" s="89" t="s">
        <v>2859</v>
      </c>
      <c r="BM237" s="89" t="s">
        <v>2859</v>
      </c>
      <c r="BN237" s="89" t="s">
        <v>2859</v>
      </c>
      <c r="BO237" s="89" t="s">
        <v>2859</v>
      </c>
      <c r="BP237" s="89" t="s">
        <v>2859</v>
      </c>
      <c r="BQ237" s="89" t="s">
        <v>3501</v>
      </c>
      <c r="BR237" s="89" t="s">
        <v>2859</v>
      </c>
    </row>
    <row r="238" spans="1:70">
      <c r="A238" s="89" t="s">
        <v>2146</v>
      </c>
      <c r="B238" s="89" t="s">
        <v>3502</v>
      </c>
      <c r="C238" s="89" t="s">
        <v>2884</v>
      </c>
      <c r="D238" s="89" t="s">
        <v>2859</v>
      </c>
      <c r="E238" s="89" t="s">
        <v>2859</v>
      </c>
      <c r="F238" s="89" t="s">
        <v>2859</v>
      </c>
      <c r="G238" s="89" t="s">
        <v>2860</v>
      </c>
      <c r="H238" s="89" t="s">
        <v>2859</v>
      </c>
      <c r="I238" s="89" t="s">
        <v>2865</v>
      </c>
      <c r="J238" s="89" t="s">
        <v>2859</v>
      </c>
      <c r="K238" s="89" t="s">
        <v>2859</v>
      </c>
      <c r="L238" s="89" t="s">
        <v>2859</v>
      </c>
      <c r="M238" s="89" t="s">
        <v>2859</v>
      </c>
      <c r="N238" s="89" t="s">
        <v>2859</v>
      </c>
      <c r="O238" s="89" t="s">
        <v>2859</v>
      </c>
      <c r="P238" s="89" t="s">
        <v>2859</v>
      </c>
      <c r="Q238" s="89" t="s">
        <v>2859</v>
      </c>
      <c r="R238" s="89" t="s">
        <v>2859</v>
      </c>
      <c r="S238" s="89" t="s">
        <v>2859</v>
      </c>
      <c r="T238" s="89" t="s">
        <v>2859</v>
      </c>
      <c r="U238" s="89" t="s">
        <v>2859</v>
      </c>
      <c r="V238" s="89" t="s">
        <v>2859</v>
      </c>
      <c r="W238" s="89" t="s">
        <v>2859</v>
      </c>
      <c r="X238" s="89" t="s">
        <v>2859</v>
      </c>
      <c r="Y238" s="89" t="s">
        <v>2859</v>
      </c>
      <c r="Z238" s="89" t="s">
        <v>2859</v>
      </c>
      <c r="AA238" s="89" t="s">
        <v>2859</v>
      </c>
      <c r="AB238" s="89" t="s">
        <v>2859</v>
      </c>
      <c r="AC238" s="89" t="s">
        <v>2859</v>
      </c>
      <c r="AD238" s="89" t="s">
        <v>2859</v>
      </c>
      <c r="AE238" s="89" t="s">
        <v>2859</v>
      </c>
      <c r="AF238" s="89" t="s">
        <v>2859</v>
      </c>
      <c r="AG238" s="89" t="s">
        <v>2859</v>
      </c>
      <c r="AH238" s="89" t="s">
        <v>2859</v>
      </c>
      <c r="AI238" s="89" t="s">
        <v>2859</v>
      </c>
      <c r="AJ238" s="89" t="s">
        <v>2859</v>
      </c>
      <c r="AK238" s="89" t="s">
        <v>2859</v>
      </c>
      <c r="AL238" s="89" t="s">
        <v>2859</v>
      </c>
      <c r="AM238" s="89" t="s">
        <v>2859</v>
      </c>
      <c r="AN238" s="89" t="s">
        <v>2859</v>
      </c>
      <c r="AO238" s="89" t="s">
        <v>2859</v>
      </c>
      <c r="AP238" s="89" t="s">
        <v>2859</v>
      </c>
      <c r="AQ238" s="89" t="s">
        <v>2859</v>
      </c>
      <c r="AR238" s="89" t="s">
        <v>2859</v>
      </c>
      <c r="AS238" s="89" t="s">
        <v>2859</v>
      </c>
      <c r="AT238" s="89" t="s">
        <v>2859</v>
      </c>
      <c r="AU238" s="89" t="s">
        <v>2859</v>
      </c>
      <c r="AV238" s="89" t="s">
        <v>2859</v>
      </c>
      <c r="AW238" s="89" t="s">
        <v>2859</v>
      </c>
      <c r="AX238" s="89" t="s">
        <v>2859</v>
      </c>
      <c r="AY238" s="89" t="s">
        <v>2859</v>
      </c>
      <c r="AZ238" s="89" t="s">
        <v>2859</v>
      </c>
      <c r="BA238" s="89" t="s">
        <v>2859</v>
      </c>
      <c r="BB238" s="89" t="s">
        <v>2859</v>
      </c>
      <c r="BC238" s="89" t="s">
        <v>2859</v>
      </c>
      <c r="BD238" s="89" t="s">
        <v>2859</v>
      </c>
      <c r="BE238" s="89" t="s">
        <v>2859</v>
      </c>
      <c r="BF238" s="89" t="s">
        <v>2859</v>
      </c>
      <c r="BG238" s="89" t="s">
        <v>2859</v>
      </c>
      <c r="BH238" s="89" t="s">
        <v>2859</v>
      </c>
      <c r="BI238" s="89" t="s">
        <v>2859</v>
      </c>
      <c r="BJ238" s="89" t="s">
        <v>2859</v>
      </c>
      <c r="BK238" s="89" t="s">
        <v>2859</v>
      </c>
      <c r="BL238" s="89" t="s">
        <v>2859</v>
      </c>
      <c r="BM238" s="89" t="s">
        <v>2859</v>
      </c>
      <c r="BN238" s="89" t="s">
        <v>2859</v>
      </c>
      <c r="BO238" s="89" t="s">
        <v>2859</v>
      </c>
      <c r="BP238" s="89" t="s">
        <v>2859</v>
      </c>
      <c r="BQ238" s="89" t="s">
        <v>3503</v>
      </c>
      <c r="BR238" s="89" t="s">
        <v>2859</v>
      </c>
    </row>
    <row r="239" spans="1:70">
      <c r="A239" s="89" t="s">
        <v>2146</v>
      </c>
      <c r="B239" s="89" t="s">
        <v>3504</v>
      </c>
      <c r="C239" s="89" t="s">
        <v>2924</v>
      </c>
      <c r="D239" s="89" t="s">
        <v>2859</v>
      </c>
      <c r="E239" s="89" t="s">
        <v>2859</v>
      </c>
      <c r="F239" s="89" t="s">
        <v>2859</v>
      </c>
      <c r="G239" s="89" t="s">
        <v>2860</v>
      </c>
      <c r="H239" s="89" t="s">
        <v>2859</v>
      </c>
      <c r="I239" s="89" t="s">
        <v>2865</v>
      </c>
      <c r="J239" s="89" t="s">
        <v>2859</v>
      </c>
      <c r="K239" s="89" t="s">
        <v>2859</v>
      </c>
      <c r="L239" s="89" t="s">
        <v>2859</v>
      </c>
      <c r="M239" s="89" t="s">
        <v>2859</v>
      </c>
      <c r="N239" s="89" t="s">
        <v>2859</v>
      </c>
      <c r="O239" s="89" t="s">
        <v>2859</v>
      </c>
      <c r="P239" s="89" t="s">
        <v>2859</v>
      </c>
      <c r="Q239" s="89" t="s">
        <v>2859</v>
      </c>
      <c r="R239" s="89" t="s">
        <v>2859</v>
      </c>
      <c r="S239" s="89" t="s">
        <v>2859</v>
      </c>
      <c r="T239" s="89" t="s">
        <v>2859</v>
      </c>
      <c r="U239" s="89" t="s">
        <v>2859</v>
      </c>
      <c r="V239" s="89" t="s">
        <v>2859</v>
      </c>
      <c r="W239" s="89" t="s">
        <v>2859</v>
      </c>
      <c r="X239" s="89" t="s">
        <v>2859</v>
      </c>
      <c r="Y239" s="89" t="s">
        <v>2859</v>
      </c>
      <c r="Z239" s="89" t="s">
        <v>2859</v>
      </c>
      <c r="AA239" s="89" t="s">
        <v>2859</v>
      </c>
      <c r="AB239" s="89" t="s">
        <v>2859</v>
      </c>
      <c r="AC239" s="89" t="s">
        <v>2859</v>
      </c>
      <c r="AD239" s="89" t="s">
        <v>2859</v>
      </c>
      <c r="AE239" s="89" t="s">
        <v>2859</v>
      </c>
      <c r="AF239" s="89" t="s">
        <v>2859</v>
      </c>
      <c r="AG239" s="89" t="s">
        <v>2859</v>
      </c>
      <c r="AH239" s="89" t="s">
        <v>2859</v>
      </c>
      <c r="AI239" s="89" t="s">
        <v>2859</v>
      </c>
      <c r="AJ239" s="89" t="s">
        <v>2859</v>
      </c>
      <c r="AK239" s="89" t="s">
        <v>2859</v>
      </c>
      <c r="AL239" s="89" t="s">
        <v>2859</v>
      </c>
      <c r="AM239" s="89" t="s">
        <v>2859</v>
      </c>
      <c r="AN239" s="89" t="s">
        <v>2859</v>
      </c>
      <c r="AO239" s="89" t="s">
        <v>2859</v>
      </c>
      <c r="AP239" s="89" t="s">
        <v>2859</v>
      </c>
      <c r="AQ239" s="89" t="s">
        <v>2859</v>
      </c>
      <c r="AR239" s="89" t="s">
        <v>2859</v>
      </c>
      <c r="AS239" s="89" t="s">
        <v>2859</v>
      </c>
      <c r="AT239" s="89" t="s">
        <v>2859</v>
      </c>
      <c r="AU239" s="89" t="s">
        <v>2859</v>
      </c>
      <c r="AV239" s="89" t="s">
        <v>2859</v>
      </c>
      <c r="AW239" s="89" t="s">
        <v>2859</v>
      </c>
      <c r="AX239" s="89" t="s">
        <v>2859</v>
      </c>
      <c r="AY239" s="89" t="s">
        <v>2859</v>
      </c>
      <c r="AZ239" s="89" t="s">
        <v>2859</v>
      </c>
      <c r="BA239" s="89" t="s">
        <v>2859</v>
      </c>
      <c r="BB239" s="89" t="s">
        <v>2859</v>
      </c>
      <c r="BC239" s="89" t="s">
        <v>2859</v>
      </c>
      <c r="BD239" s="89" t="s">
        <v>2859</v>
      </c>
      <c r="BE239" s="89" t="s">
        <v>2859</v>
      </c>
      <c r="BF239" s="89" t="s">
        <v>2859</v>
      </c>
      <c r="BG239" s="89" t="s">
        <v>2859</v>
      </c>
      <c r="BH239" s="89" t="s">
        <v>2859</v>
      </c>
      <c r="BI239" s="89" t="s">
        <v>2859</v>
      </c>
      <c r="BJ239" s="89" t="s">
        <v>2859</v>
      </c>
      <c r="BK239" s="89" t="s">
        <v>2859</v>
      </c>
      <c r="BL239" s="89" t="s">
        <v>2859</v>
      </c>
      <c r="BM239" s="89" t="s">
        <v>2859</v>
      </c>
      <c r="BN239" s="89" t="s">
        <v>2859</v>
      </c>
      <c r="BO239" s="89" t="s">
        <v>2859</v>
      </c>
      <c r="BP239" s="89" t="s">
        <v>2859</v>
      </c>
      <c r="BQ239" s="89" t="s">
        <v>3505</v>
      </c>
      <c r="BR239" s="89" t="s">
        <v>2859</v>
      </c>
    </row>
    <row r="240" spans="1:70">
      <c r="A240" s="89" t="s">
        <v>2146</v>
      </c>
      <c r="B240" s="89" t="s">
        <v>3506</v>
      </c>
      <c r="C240" s="89" t="s">
        <v>2858</v>
      </c>
      <c r="D240" s="89" t="s">
        <v>2859</v>
      </c>
      <c r="E240" s="89" t="s">
        <v>2859</v>
      </c>
      <c r="F240" s="89" t="s">
        <v>2859</v>
      </c>
      <c r="G240" s="89" t="s">
        <v>2860</v>
      </c>
      <c r="H240" s="89" t="s">
        <v>2859</v>
      </c>
      <c r="I240" s="89" t="s">
        <v>148</v>
      </c>
      <c r="J240" s="89" t="s">
        <v>3507</v>
      </c>
      <c r="K240" s="89" t="s">
        <v>2867</v>
      </c>
      <c r="L240" s="89" t="s">
        <v>3331</v>
      </c>
      <c r="M240" s="89" t="s">
        <v>3507</v>
      </c>
      <c r="N240" s="89" t="s">
        <v>2867</v>
      </c>
      <c r="O240" s="89" t="s">
        <v>2859</v>
      </c>
      <c r="P240" s="89" t="s">
        <v>2859</v>
      </c>
      <c r="Q240" s="89" t="s">
        <v>2859</v>
      </c>
      <c r="R240" s="89" t="s">
        <v>2859</v>
      </c>
      <c r="S240" s="89" t="s">
        <v>2859</v>
      </c>
      <c r="T240" s="89" t="s">
        <v>2859</v>
      </c>
      <c r="U240" s="89" t="s">
        <v>2859</v>
      </c>
      <c r="V240" s="89" t="s">
        <v>2859</v>
      </c>
      <c r="W240" s="89" t="s">
        <v>2859</v>
      </c>
      <c r="X240" s="89" t="s">
        <v>2859</v>
      </c>
      <c r="Y240" s="89" t="s">
        <v>2859</v>
      </c>
      <c r="Z240" s="89" t="s">
        <v>2859</v>
      </c>
      <c r="AA240" s="89" t="s">
        <v>2859</v>
      </c>
      <c r="AB240" s="89" t="s">
        <v>2859</v>
      </c>
      <c r="AC240" s="89" t="s">
        <v>2859</v>
      </c>
      <c r="AD240" s="89" t="s">
        <v>2859</v>
      </c>
      <c r="AE240" s="89" t="s">
        <v>2859</v>
      </c>
      <c r="AF240" s="89" t="s">
        <v>2859</v>
      </c>
      <c r="AG240" s="89" t="s">
        <v>2859</v>
      </c>
      <c r="AH240" s="89" t="s">
        <v>2859</v>
      </c>
      <c r="AI240" s="89" t="s">
        <v>2859</v>
      </c>
      <c r="AJ240" s="89" t="s">
        <v>2859</v>
      </c>
      <c r="AK240" s="89" t="s">
        <v>2859</v>
      </c>
      <c r="AL240" s="89" t="s">
        <v>2859</v>
      </c>
      <c r="AM240" s="89" t="s">
        <v>2859</v>
      </c>
      <c r="AN240" s="89" t="s">
        <v>2859</v>
      </c>
      <c r="AO240" s="89" t="s">
        <v>2859</v>
      </c>
      <c r="AP240" s="89" t="s">
        <v>2859</v>
      </c>
      <c r="AQ240" s="89" t="s">
        <v>2859</v>
      </c>
      <c r="AR240" s="89" t="s">
        <v>2859</v>
      </c>
      <c r="AS240" s="89" t="s">
        <v>2859</v>
      </c>
      <c r="AT240" s="89" t="s">
        <v>2859</v>
      </c>
      <c r="AU240" s="89" t="s">
        <v>2859</v>
      </c>
      <c r="AV240" s="89" t="s">
        <v>2859</v>
      </c>
      <c r="AW240" s="89" t="s">
        <v>2859</v>
      </c>
      <c r="AX240" s="89" t="s">
        <v>2859</v>
      </c>
      <c r="AY240" s="89" t="s">
        <v>2859</v>
      </c>
      <c r="AZ240" s="89" t="s">
        <v>2859</v>
      </c>
      <c r="BA240" s="89" t="s">
        <v>2859</v>
      </c>
      <c r="BB240" s="89" t="s">
        <v>2859</v>
      </c>
      <c r="BC240" s="89" t="s">
        <v>2859</v>
      </c>
      <c r="BD240" s="89" t="s">
        <v>2859</v>
      </c>
      <c r="BE240" s="89" t="s">
        <v>2859</v>
      </c>
      <c r="BF240" s="89" t="s">
        <v>2859</v>
      </c>
      <c r="BG240" s="89" t="s">
        <v>2859</v>
      </c>
      <c r="BH240" s="89" t="s">
        <v>2859</v>
      </c>
      <c r="BI240" s="89" t="s">
        <v>2859</v>
      </c>
      <c r="BJ240" s="89" t="s">
        <v>2859</v>
      </c>
      <c r="BK240" s="89" t="s">
        <v>2859</v>
      </c>
      <c r="BL240" s="89" t="s">
        <v>2859</v>
      </c>
      <c r="BM240" s="89" t="s">
        <v>2859</v>
      </c>
      <c r="BN240" s="89" t="s">
        <v>2859</v>
      </c>
      <c r="BO240" s="89" t="s">
        <v>2859</v>
      </c>
      <c r="BP240" s="89" t="s">
        <v>2859</v>
      </c>
      <c r="BQ240" s="89" t="s">
        <v>3508</v>
      </c>
      <c r="BR240" s="89" t="s">
        <v>2869</v>
      </c>
    </row>
    <row r="241" spans="1:70">
      <c r="A241" s="89" t="s">
        <v>2146</v>
      </c>
      <c r="B241" s="89" t="s">
        <v>3509</v>
      </c>
      <c r="C241" s="89" t="s">
        <v>2879</v>
      </c>
      <c r="D241" s="89" t="s">
        <v>2859</v>
      </c>
      <c r="E241" s="89" t="s">
        <v>2859</v>
      </c>
      <c r="F241" s="89" t="s">
        <v>2859</v>
      </c>
      <c r="G241" s="89" t="s">
        <v>2860</v>
      </c>
      <c r="H241" s="89" t="s">
        <v>2913</v>
      </c>
      <c r="I241" s="89" t="s">
        <v>2859</v>
      </c>
      <c r="J241" s="89" t="s">
        <v>2859</v>
      </c>
      <c r="K241" s="89" t="s">
        <v>2859</v>
      </c>
      <c r="L241" s="89" t="s">
        <v>2859</v>
      </c>
      <c r="M241" s="89" t="s">
        <v>2859</v>
      </c>
      <c r="N241" s="89" t="s">
        <v>2859</v>
      </c>
      <c r="O241" s="89" t="s">
        <v>2859</v>
      </c>
      <c r="P241" s="89" t="s">
        <v>2859</v>
      </c>
      <c r="Q241" s="89" t="s">
        <v>2859</v>
      </c>
      <c r="R241" s="89" t="s">
        <v>2859</v>
      </c>
      <c r="S241" s="89" t="s">
        <v>2859</v>
      </c>
      <c r="T241" s="89" t="s">
        <v>2859</v>
      </c>
      <c r="U241" s="89" t="s">
        <v>2859</v>
      </c>
      <c r="V241" s="89" t="s">
        <v>2859</v>
      </c>
      <c r="W241" s="89" t="s">
        <v>2859</v>
      </c>
      <c r="X241" s="89" t="s">
        <v>2859</v>
      </c>
      <c r="Y241" s="89" t="s">
        <v>2859</v>
      </c>
      <c r="Z241" s="89" t="s">
        <v>2859</v>
      </c>
      <c r="AA241" s="89" t="s">
        <v>2859</v>
      </c>
      <c r="AB241" s="89" t="s">
        <v>2859</v>
      </c>
      <c r="AC241" s="89" t="s">
        <v>2859</v>
      </c>
      <c r="AD241" s="89" t="s">
        <v>2859</v>
      </c>
      <c r="AE241" s="89" t="s">
        <v>2859</v>
      </c>
      <c r="AF241" s="89" t="s">
        <v>2859</v>
      </c>
      <c r="AG241" s="89" t="s">
        <v>2859</v>
      </c>
      <c r="AH241" s="89" t="s">
        <v>2859</v>
      </c>
      <c r="AI241" s="89" t="s">
        <v>2859</v>
      </c>
      <c r="AJ241" s="89" t="s">
        <v>2859</v>
      </c>
      <c r="AK241" s="89" t="s">
        <v>2859</v>
      </c>
      <c r="AL241" s="89" t="s">
        <v>2859</v>
      </c>
      <c r="AM241" s="89" t="s">
        <v>2859</v>
      </c>
      <c r="AN241" s="89" t="s">
        <v>2859</v>
      </c>
      <c r="AO241" s="89" t="s">
        <v>2859</v>
      </c>
      <c r="AP241" s="89" t="s">
        <v>2859</v>
      </c>
      <c r="AQ241" s="89" t="s">
        <v>2859</v>
      </c>
      <c r="AR241" s="89" t="s">
        <v>2859</v>
      </c>
      <c r="AS241" s="89" t="s">
        <v>2859</v>
      </c>
      <c r="AT241" s="89" t="s">
        <v>2859</v>
      </c>
      <c r="AU241" s="89" t="s">
        <v>2859</v>
      </c>
      <c r="AV241" s="89" t="s">
        <v>2859</v>
      </c>
      <c r="AW241" s="89" t="s">
        <v>2859</v>
      </c>
      <c r="AX241" s="89" t="s">
        <v>2859</v>
      </c>
      <c r="AY241" s="89" t="s">
        <v>2859</v>
      </c>
      <c r="AZ241" s="89" t="s">
        <v>2859</v>
      </c>
      <c r="BA241" s="89" t="s">
        <v>2859</v>
      </c>
      <c r="BB241" s="89" t="s">
        <v>2859</v>
      </c>
      <c r="BC241" s="89" t="s">
        <v>2859</v>
      </c>
      <c r="BD241" s="89" t="s">
        <v>2859</v>
      </c>
      <c r="BE241" s="89" t="s">
        <v>2859</v>
      </c>
      <c r="BF241" s="89" t="s">
        <v>2859</v>
      </c>
      <c r="BG241" s="89" t="s">
        <v>2859</v>
      </c>
      <c r="BH241" s="89" t="s">
        <v>2859</v>
      </c>
      <c r="BI241" s="89" t="s">
        <v>2859</v>
      </c>
      <c r="BJ241" s="89" t="s">
        <v>2859</v>
      </c>
      <c r="BK241" s="89" t="s">
        <v>2859</v>
      </c>
      <c r="BL241" s="89" t="s">
        <v>2859</v>
      </c>
      <c r="BM241" s="89" t="s">
        <v>2859</v>
      </c>
      <c r="BN241" s="89" t="s">
        <v>2859</v>
      </c>
      <c r="BO241" s="89" t="s">
        <v>2859</v>
      </c>
      <c r="BP241" s="89" t="s">
        <v>2859</v>
      </c>
      <c r="BQ241" s="89" t="s">
        <v>3510</v>
      </c>
      <c r="BR241" s="89" t="s">
        <v>2869</v>
      </c>
    </row>
    <row r="242" spans="1:70">
      <c r="A242" s="89" t="s">
        <v>2146</v>
      </c>
      <c r="B242" s="89" t="s">
        <v>3511</v>
      </c>
      <c r="C242" s="89" t="s">
        <v>2879</v>
      </c>
      <c r="D242" s="89" t="s">
        <v>2859</v>
      </c>
      <c r="E242" s="89" t="s">
        <v>2859</v>
      </c>
      <c r="F242" s="89" t="s">
        <v>2859</v>
      </c>
      <c r="G242" s="89" t="s">
        <v>2860</v>
      </c>
      <c r="H242" s="89" t="s">
        <v>2859</v>
      </c>
      <c r="I242" s="89" t="s">
        <v>2490</v>
      </c>
      <c r="J242" s="89" t="s">
        <v>2859</v>
      </c>
      <c r="K242" s="89" t="s">
        <v>2859</v>
      </c>
      <c r="L242" s="89" t="s">
        <v>2859</v>
      </c>
      <c r="M242" s="89" t="s">
        <v>2859</v>
      </c>
      <c r="N242" s="89" t="s">
        <v>2859</v>
      </c>
      <c r="O242" s="89" t="s">
        <v>2859</v>
      </c>
      <c r="P242" s="89" t="s">
        <v>2859</v>
      </c>
      <c r="Q242" s="89" t="s">
        <v>2859</v>
      </c>
      <c r="R242" s="89" t="s">
        <v>2859</v>
      </c>
      <c r="S242" s="89" t="s">
        <v>2859</v>
      </c>
      <c r="T242" s="89" t="s">
        <v>2859</v>
      </c>
      <c r="U242" s="89" t="s">
        <v>2859</v>
      </c>
      <c r="V242" s="89" t="s">
        <v>2859</v>
      </c>
      <c r="W242" s="89" t="s">
        <v>2859</v>
      </c>
      <c r="X242" s="89" t="s">
        <v>2859</v>
      </c>
      <c r="Y242" s="89" t="s">
        <v>2859</v>
      </c>
      <c r="Z242" s="89" t="s">
        <v>2859</v>
      </c>
      <c r="AA242" s="89" t="s">
        <v>2859</v>
      </c>
      <c r="AB242" s="89" t="s">
        <v>2859</v>
      </c>
      <c r="AC242" s="89" t="s">
        <v>2859</v>
      </c>
      <c r="AD242" s="89" t="s">
        <v>2859</v>
      </c>
      <c r="AE242" s="89" t="s">
        <v>2859</v>
      </c>
      <c r="AF242" s="89" t="s">
        <v>2859</v>
      </c>
      <c r="AG242" s="89" t="s">
        <v>2859</v>
      </c>
      <c r="AH242" s="89" t="s">
        <v>2859</v>
      </c>
      <c r="AI242" s="89" t="s">
        <v>2859</v>
      </c>
      <c r="AJ242" s="89" t="s">
        <v>2859</v>
      </c>
      <c r="AK242" s="89" t="s">
        <v>2859</v>
      </c>
      <c r="AL242" s="89" t="s">
        <v>2859</v>
      </c>
      <c r="AM242" s="89" t="s">
        <v>2859</v>
      </c>
      <c r="AN242" s="89" t="s">
        <v>2859</v>
      </c>
      <c r="AO242" s="89" t="s">
        <v>2859</v>
      </c>
      <c r="AP242" s="89" t="s">
        <v>2859</v>
      </c>
      <c r="AQ242" s="89" t="s">
        <v>2859</v>
      </c>
      <c r="AR242" s="89" t="s">
        <v>2859</v>
      </c>
      <c r="AS242" s="89" t="s">
        <v>2859</v>
      </c>
      <c r="AT242" s="89" t="s">
        <v>2859</v>
      </c>
      <c r="AU242" s="89" t="s">
        <v>2859</v>
      </c>
      <c r="AV242" s="89" t="s">
        <v>2859</v>
      </c>
      <c r="AW242" s="89" t="s">
        <v>2859</v>
      </c>
      <c r="AX242" s="89" t="s">
        <v>2859</v>
      </c>
      <c r="AY242" s="89" t="s">
        <v>2859</v>
      </c>
      <c r="AZ242" s="89" t="s">
        <v>2859</v>
      </c>
      <c r="BA242" s="89" t="s">
        <v>2859</v>
      </c>
      <c r="BB242" s="89" t="s">
        <v>2859</v>
      </c>
      <c r="BC242" s="89" t="s">
        <v>2859</v>
      </c>
      <c r="BD242" s="89" t="s">
        <v>2859</v>
      </c>
      <c r="BE242" s="89" t="s">
        <v>2859</v>
      </c>
      <c r="BF242" s="89" t="s">
        <v>2859</v>
      </c>
      <c r="BG242" s="89" t="s">
        <v>2859</v>
      </c>
      <c r="BH242" s="89" t="s">
        <v>2859</v>
      </c>
      <c r="BI242" s="89" t="s">
        <v>2859</v>
      </c>
      <c r="BJ242" s="89" t="s">
        <v>2859</v>
      </c>
      <c r="BK242" s="89" t="s">
        <v>2859</v>
      </c>
      <c r="BL242" s="89" t="s">
        <v>2859</v>
      </c>
      <c r="BM242" s="89" t="s">
        <v>2859</v>
      </c>
      <c r="BN242" s="89" t="s">
        <v>2859</v>
      </c>
      <c r="BO242" s="89" t="s">
        <v>2859</v>
      </c>
      <c r="BP242" s="89" t="s">
        <v>2859</v>
      </c>
      <c r="BQ242" s="89" t="s">
        <v>3512</v>
      </c>
      <c r="BR242" s="89" t="s">
        <v>2859</v>
      </c>
    </row>
    <row r="243" spans="1:70">
      <c r="A243" s="89" t="s">
        <v>2146</v>
      </c>
      <c r="B243" s="89" t="s">
        <v>3513</v>
      </c>
      <c r="C243" s="89" t="s">
        <v>2884</v>
      </c>
      <c r="D243" s="89" t="s">
        <v>2859</v>
      </c>
      <c r="E243" s="89" t="s">
        <v>2859</v>
      </c>
      <c r="F243" s="89" t="s">
        <v>2859</v>
      </c>
      <c r="G243" s="89" t="s">
        <v>2860</v>
      </c>
      <c r="H243" s="89" t="s">
        <v>2859</v>
      </c>
      <c r="I243" s="89" t="s">
        <v>2865</v>
      </c>
      <c r="J243" s="89" t="s">
        <v>2859</v>
      </c>
      <c r="K243" s="89" t="s">
        <v>2859</v>
      </c>
      <c r="L243" s="89" t="s">
        <v>2859</v>
      </c>
      <c r="M243" s="89" t="s">
        <v>2859</v>
      </c>
      <c r="N243" s="89" t="s">
        <v>2859</v>
      </c>
      <c r="O243" s="89" t="s">
        <v>2859</v>
      </c>
      <c r="P243" s="89" t="s">
        <v>2859</v>
      </c>
      <c r="Q243" s="89" t="s">
        <v>2859</v>
      </c>
      <c r="R243" s="89" t="s">
        <v>2859</v>
      </c>
      <c r="S243" s="89" t="s">
        <v>2859</v>
      </c>
      <c r="T243" s="89" t="s">
        <v>2859</v>
      </c>
      <c r="U243" s="89" t="s">
        <v>2859</v>
      </c>
      <c r="V243" s="89" t="s">
        <v>2859</v>
      </c>
      <c r="W243" s="89" t="s">
        <v>2859</v>
      </c>
      <c r="X243" s="89" t="s">
        <v>2859</v>
      </c>
      <c r="Y243" s="89" t="s">
        <v>2859</v>
      </c>
      <c r="Z243" s="89" t="s">
        <v>2859</v>
      </c>
      <c r="AA243" s="89" t="s">
        <v>2859</v>
      </c>
      <c r="AB243" s="89" t="s">
        <v>2859</v>
      </c>
      <c r="AC243" s="89" t="s">
        <v>2859</v>
      </c>
      <c r="AD243" s="89" t="s">
        <v>2859</v>
      </c>
      <c r="AE243" s="89" t="s">
        <v>2859</v>
      </c>
      <c r="AF243" s="89" t="s">
        <v>2859</v>
      </c>
      <c r="AG243" s="89" t="s">
        <v>2859</v>
      </c>
      <c r="AH243" s="89" t="s">
        <v>2859</v>
      </c>
      <c r="AI243" s="89" t="s">
        <v>2859</v>
      </c>
      <c r="AJ243" s="89" t="s">
        <v>2859</v>
      </c>
      <c r="AK243" s="89" t="s">
        <v>2859</v>
      </c>
      <c r="AL243" s="89" t="s">
        <v>2859</v>
      </c>
      <c r="AM243" s="89" t="s">
        <v>2859</v>
      </c>
      <c r="AN243" s="89" t="s">
        <v>2859</v>
      </c>
      <c r="AO243" s="89" t="s">
        <v>2859</v>
      </c>
      <c r="AP243" s="89" t="s">
        <v>2859</v>
      </c>
      <c r="AQ243" s="89" t="s">
        <v>2859</v>
      </c>
      <c r="AR243" s="89" t="s">
        <v>2859</v>
      </c>
      <c r="AS243" s="89" t="s">
        <v>2859</v>
      </c>
      <c r="AT243" s="89" t="s">
        <v>2859</v>
      </c>
      <c r="AU243" s="89" t="s">
        <v>2859</v>
      </c>
      <c r="AV243" s="89" t="s">
        <v>2859</v>
      </c>
      <c r="AW243" s="89" t="s">
        <v>2859</v>
      </c>
      <c r="AX243" s="89" t="s">
        <v>2859</v>
      </c>
      <c r="AY243" s="89" t="s">
        <v>2859</v>
      </c>
      <c r="AZ243" s="89" t="s">
        <v>2859</v>
      </c>
      <c r="BA243" s="89" t="s">
        <v>2859</v>
      </c>
      <c r="BB243" s="89" t="s">
        <v>2859</v>
      </c>
      <c r="BC243" s="89" t="s">
        <v>2859</v>
      </c>
      <c r="BD243" s="89" t="s">
        <v>2859</v>
      </c>
      <c r="BE243" s="89" t="s">
        <v>2859</v>
      </c>
      <c r="BF243" s="89" t="s">
        <v>2859</v>
      </c>
      <c r="BG243" s="89" t="s">
        <v>2859</v>
      </c>
      <c r="BH243" s="89" t="s">
        <v>2859</v>
      </c>
      <c r="BI243" s="89" t="s">
        <v>2859</v>
      </c>
      <c r="BJ243" s="89" t="s">
        <v>2859</v>
      </c>
      <c r="BK243" s="89" t="s">
        <v>2859</v>
      </c>
      <c r="BL243" s="89" t="s">
        <v>2859</v>
      </c>
      <c r="BM243" s="89" t="s">
        <v>2859</v>
      </c>
      <c r="BN243" s="89" t="s">
        <v>2859</v>
      </c>
      <c r="BO243" s="89" t="s">
        <v>2859</v>
      </c>
      <c r="BP243" s="89" t="s">
        <v>2859</v>
      </c>
      <c r="BQ243" s="89" t="s">
        <v>3514</v>
      </c>
      <c r="BR243" s="89" t="s">
        <v>2859</v>
      </c>
    </row>
    <row r="244" spans="1:70">
      <c r="A244" s="89" t="s">
        <v>2146</v>
      </c>
      <c r="B244" s="89" t="s">
        <v>3515</v>
      </c>
      <c r="C244" s="89" t="s">
        <v>2864</v>
      </c>
      <c r="D244" s="89" t="s">
        <v>2859</v>
      </c>
      <c r="E244" s="89" t="s">
        <v>2859</v>
      </c>
      <c r="F244" s="89" t="s">
        <v>2859</v>
      </c>
      <c r="G244" s="89" t="s">
        <v>2860</v>
      </c>
      <c r="H244" s="89" t="s">
        <v>2859</v>
      </c>
      <c r="I244" s="89" t="s">
        <v>120</v>
      </c>
      <c r="J244" s="89" t="s">
        <v>3516</v>
      </c>
      <c r="K244" s="89" t="s">
        <v>2867</v>
      </c>
      <c r="L244" s="89" t="s">
        <v>2859</v>
      </c>
      <c r="M244" s="89" t="s">
        <v>2859</v>
      </c>
      <c r="N244" s="89" t="s">
        <v>2859</v>
      </c>
      <c r="O244" s="89" t="s">
        <v>2859</v>
      </c>
      <c r="P244" s="89" t="s">
        <v>2859</v>
      </c>
      <c r="Q244" s="89" t="s">
        <v>2859</v>
      </c>
      <c r="R244" s="89" t="s">
        <v>2859</v>
      </c>
      <c r="S244" s="89" t="s">
        <v>2859</v>
      </c>
      <c r="T244" s="89" t="s">
        <v>2859</v>
      </c>
      <c r="U244" s="89" t="s">
        <v>2859</v>
      </c>
      <c r="V244" s="89" t="s">
        <v>2859</v>
      </c>
      <c r="W244" s="89" t="s">
        <v>2859</v>
      </c>
      <c r="X244" s="89" t="s">
        <v>2859</v>
      </c>
      <c r="Y244" s="89" t="s">
        <v>2859</v>
      </c>
      <c r="Z244" s="89" t="s">
        <v>2859</v>
      </c>
      <c r="AA244" s="89" t="s">
        <v>2859</v>
      </c>
      <c r="AB244" s="89" t="s">
        <v>2859</v>
      </c>
      <c r="AC244" s="89" t="s">
        <v>2859</v>
      </c>
      <c r="AD244" s="89" t="s">
        <v>2859</v>
      </c>
      <c r="AE244" s="89" t="s">
        <v>2859</v>
      </c>
      <c r="AF244" s="89" t="s">
        <v>2859</v>
      </c>
      <c r="AG244" s="89" t="s">
        <v>2859</v>
      </c>
      <c r="AH244" s="89" t="s">
        <v>2859</v>
      </c>
      <c r="AI244" s="89" t="s">
        <v>2859</v>
      </c>
      <c r="AJ244" s="89" t="s">
        <v>2859</v>
      </c>
      <c r="AK244" s="89" t="s">
        <v>2859</v>
      </c>
      <c r="AL244" s="89" t="s">
        <v>2859</v>
      </c>
      <c r="AM244" s="89" t="s">
        <v>2859</v>
      </c>
      <c r="AN244" s="89" t="s">
        <v>2859</v>
      </c>
      <c r="AO244" s="89" t="s">
        <v>2859</v>
      </c>
      <c r="AP244" s="89" t="s">
        <v>2859</v>
      </c>
      <c r="AQ244" s="89" t="s">
        <v>2859</v>
      </c>
      <c r="AR244" s="89" t="s">
        <v>2859</v>
      </c>
      <c r="AS244" s="89" t="s">
        <v>2859</v>
      </c>
      <c r="AT244" s="89" t="s">
        <v>2859</v>
      </c>
      <c r="AU244" s="89" t="s">
        <v>2859</v>
      </c>
      <c r="AV244" s="89" t="s">
        <v>2859</v>
      </c>
      <c r="AW244" s="89" t="s">
        <v>2859</v>
      </c>
      <c r="AX244" s="89" t="s">
        <v>2859</v>
      </c>
      <c r="AY244" s="89" t="s">
        <v>2859</v>
      </c>
      <c r="AZ244" s="89" t="s">
        <v>2859</v>
      </c>
      <c r="BA244" s="89" t="s">
        <v>2859</v>
      </c>
      <c r="BB244" s="89" t="s">
        <v>2859</v>
      </c>
      <c r="BC244" s="89" t="s">
        <v>2859</v>
      </c>
      <c r="BD244" s="89" t="s">
        <v>2859</v>
      </c>
      <c r="BE244" s="89" t="s">
        <v>2859</v>
      </c>
      <c r="BF244" s="89" t="s">
        <v>2859</v>
      </c>
      <c r="BG244" s="89" t="s">
        <v>2859</v>
      </c>
      <c r="BH244" s="89" t="s">
        <v>2859</v>
      </c>
      <c r="BI244" s="89" t="s">
        <v>2859</v>
      </c>
      <c r="BJ244" s="89" t="s">
        <v>2859</v>
      </c>
      <c r="BK244" s="89" t="s">
        <v>2859</v>
      </c>
      <c r="BL244" s="89" t="s">
        <v>2859</v>
      </c>
      <c r="BM244" s="89" t="s">
        <v>2859</v>
      </c>
      <c r="BN244" s="89" t="s">
        <v>2859</v>
      </c>
      <c r="BO244" s="89" t="s">
        <v>2859</v>
      </c>
      <c r="BP244" s="89" t="s">
        <v>2859</v>
      </c>
      <c r="BQ244" s="89" t="s">
        <v>3517</v>
      </c>
      <c r="BR244" s="89" t="s">
        <v>2869</v>
      </c>
    </row>
    <row r="245" spans="1:70">
      <c r="A245" s="89" t="s">
        <v>2146</v>
      </c>
      <c r="B245" s="89" t="s">
        <v>3518</v>
      </c>
      <c r="C245" s="89" t="s">
        <v>2884</v>
      </c>
      <c r="D245" s="89" t="s">
        <v>2859</v>
      </c>
      <c r="E245" s="89" t="s">
        <v>2859</v>
      </c>
      <c r="F245" s="89" t="s">
        <v>2859</v>
      </c>
      <c r="G245" s="89" t="s">
        <v>2860</v>
      </c>
      <c r="H245" s="89" t="s">
        <v>2859</v>
      </c>
      <c r="I245" s="89" t="s">
        <v>120</v>
      </c>
      <c r="J245" s="89" t="s">
        <v>3519</v>
      </c>
      <c r="K245" s="89" t="s">
        <v>2867</v>
      </c>
      <c r="L245" s="89" t="s">
        <v>2490</v>
      </c>
      <c r="M245" s="89" t="s">
        <v>3519</v>
      </c>
      <c r="N245" s="89" t="s">
        <v>2867</v>
      </c>
      <c r="O245" s="89" t="s">
        <v>2859</v>
      </c>
      <c r="P245" s="89" t="s">
        <v>2859</v>
      </c>
      <c r="Q245" s="89" t="s">
        <v>2859</v>
      </c>
      <c r="R245" s="89" t="s">
        <v>2859</v>
      </c>
      <c r="S245" s="89" t="s">
        <v>2859</v>
      </c>
      <c r="T245" s="89" t="s">
        <v>2859</v>
      </c>
      <c r="U245" s="89" t="s">
        <v>2859</v>
      </c>
      <c r="V245" s="89" t="s">
        <v>2859</v>
      </c>
      <c r="W245" s="89" t="s">
        <v>2859</v>
      </c>
      <c r="X245" s="89" t="s">
        <v>2859</v>
      </c>
      <c r="Y245" s="89" t="s">
        <v>2859</v>
      </c>
      <c r="Z245" s="89" t="s">
        <v>2859</v>
      </c>
      <c r="AA245" s="89" t="s">
        <v>2859</v>
      </c>
      <c r="AB245" s="89" t="s">
        <v>2859</v>
      </c>
      <c r="AC245" s="89" t="s">
        <v>2859</v>
      </c>
      <c r="AD245" s="89" t="s">
        <v>2859</v>
      </c>
      <c r="AE245" s="89" t="s">
        <v>2859</v>
      </c>
      <c r="AF245" s="89" t="s">
        <v>2859</v>
      </c>
      <c r="AG245" s="89" t="s">
        <v>2859</v>
      </c>
      <c r="AH245" s="89" t="s">
        <v>2859</v>
      </c>
      <c r="AI245" s="89" t="s">
        <v>2859</v>
      </c>
      <c r="AJ245" s="89" t="s">
        <v>2859</v>
      </c>
      <c r="AK245" s="89" t="s">
        <v>2859</v>
      </c>
      <c r="AL245" s="89" t="s">
        <v>2859</v>
      </c>
      <c r="AM245" s="89" t="s">
        <v>2859</v>
      </c>
      <c r="AN245" s="89" t="s">
        <v>2859</v>
      </c>
      <c r="AO245" s="89" t="s">
        <v>2859</v>
      </c>
      <c r="AP245" s="89" t="s">
        <v>2859</v>
      </c>
      <c r="AQ245" s="89" t="s">
        <v>2859</v>
      </c>
      <c r="AR245" s="89" t="s">
        <v>2859</v>
      </c>
      <c r="AS245" s="89" t="s">
        <v>2859</v>
      </c>
      <c r="AT245" s="89" t="s">
        <v>2859</v>
      </c>
      <c r="AU245" s="89" t="s">
        <v>2859</v>
      </c>
      <c r="AV245" s="89" t="s">
        <v>2859</v>
      </c>
      <c r="AW245" s="89" t="s">
        <v>2859</v>
      </c>
      <c r="AX245" s="89" t="s">
        <v>2859</v>
      </c>
      <c r="AY245" s="89" t="s">
        <v>2859</v>
      </c>
      <c r="AZ245" s="89" t="s">
        <v>2859</v>
      </c>
      <c r="BA245" s="89" t="s">
        <v>2859</v>
      </c>
      <c r="BB245" s="89" t="s">
        <v>2859</v>
      </c>
      <c r="BC245" s="89" t="s">
        <v>2859</v>
      </c>
      <c r="BD245" s="89" t="s">
        <v>2859</v>
      </c>
      <c r="BE245" s="89" t="s">
        <v>2859</v>
      </c>
      <c r="BF245" s="89" t="s">
        <v>2859</v>
      </c>
      <c r="BG245" s="89" t="s">
        <v>2859</v>
      </c>
      <c r="BH245" s="89" t="s">
        <v>2859</v>
      </c>
      <c r="BI245" s="89" t="s">
        <v>2859</v>
      </c>
      <c r="BJ245" s="89" t="s">
        <v>2859</v>
      </c>
      <c r="BK245" s="89" t="s">
        <v>2859</v>
      </c>
      <c r="BL245" s="89" t="s">
        <v>2859</v>
      </c>
      <c r="BM245" s="89" t="s">
        <v>2859</v>
      </c>
      <c r="BN245" s="89" t="s">
        <v>2859</v>
      </c>
      <c r="BO245" s="89" t="s">
        <v>2859</v>
      </c>
      <c r="BP245" s="89" t="s">
        <v>2859</v>
      </c>
      <c r="BQ245" s="89" t="s">
        <v>3520</v>
      </c>
      <c r="BR245" s="89" t="s">
        <v>2869</v>
      </c>
    </row>
    <row r="246" spans="1:70">
      <c r="A246" s="89" t="s">
        <v>2146</v>
      </c>
      <c r="B246" s="89" t="s">
        <v>3521</v>
      </c>
      <c r="C246" s="89" t="s">
        <v>2971</v>
      </c>
      <c r="D246" s="89" t="s">
        <v>2859</v>
      </c>
      <c r="E246" s="89" t="s">
        <v>2859</v>
      </c>
      <c r="F246" s="89" t="s">
        <v>2859</v>
      </c>
      <c r="G246" s="89" t="s">
        <v>2860</v>
      </c>
      <c r="H246" s="89" t="s">
        <v>2859</v>
      </c>
      <c r="I246" s="89" t="s">
        <v>621</v>
      </c>
      <c r="J246" s="89" t="s">
        <v>3522</v>
      </c>
      <c r="K246" s="89" t="s">
        <v>2860</v>
      </c>
      <c r="L246" s="89" t="s">
        <v>2859</v>
      </c>
      <c r="M246" s="89" t="s">
        <v>2859</v>
      </c>
      <c r="N246" s="89" t="s">
        <v>2859</v>
      </c>
      <c r="O246" s="89" t="s">
        <v>2859</v>
      </c>
      <c r="P246" s="89" t="s">
        <v>2859</v>
      </c>
      <c r="Q246" s="89" t="s">
        <v>2859</v>
      </c>
      <c r="R246" s="89" t="s">
        <v>2859</v>
      </c>
      <c r="S246" s="89" t="s">
        <v>2859</v>
      </c>
      <c r="T246" s="89" t="s">
        <v>2859</v>
      </c>
      <c r="U246" s="89" t="s">
        <v>2859</v>
      </c>
      <c r="V246" s="89" t="s">
        <v>2859</v>
      </c>
      <c r="W246" s="89" t="s">
        <v>2859</v>
      </c>
      <c r="X246" s="89" t="s">
        <v>2859</v>
      </c>
      <c r="Y246" s="89" t="s">
        <v>2859</v>
      </c>
      <c r="Z246" s="89" t="s">
        <v>2859</v>
      </c>
      <c r="AA246" s="89" t="s">
        <v>2859</v>
      </c>
      <c r="AB246" s="89" t="s">
        <v>2859</v>
      </c>
      <c r="AC246" s="89" t="s">
        <v>2859</v>
      </c>
      <c r="AD246" s="89" t="s">
        <v>2859</v>
      </c>
      <c r="AE246" s="89" t="s">
        <v>2859</v>
      </c>
      <c r="AF246" s="89" t="s">
        <v>2859</v>
      </c>
      <c r="AG246" s="89" t="s">
        <v>2859</v>
      </c>
      <c r="AH246" s="89" t="s">
        <v>2859</v>
      </c>
      <c r="AI246" s="89" t="s">
        <v>2859</v>
      </c>
      <c r="AJ246" s="89" t="s">
        <v>2859</v>
      </c>
      <c r="AK246" s="89" t="s">
        <v>2859</v>
      </c>
      <c r="AL246" s="89" t="s">
        <v>2859</v>
      </c>
      <c r="AM246" s="89" t="s">
        <v>2859</v>
      </c>
      <c r="AN246" s="89" t="s">
        <v>2859</v>
      </c>
      <c r="AO246" s="89" t="s">
        <v>2859</v>
      </c>
      <c r="AP246" s="89" t="s">
        <v>2859</v>
      </c>
      <c r="AQ246" s="89" t="s">
        <v>2859</v>
      </c>
      <c r="AR246" s="89" t="s">
        <v>2859</v>
      </c>
      <c r="AS246" s="89" t="s">
        <v>2859</v>
      </c>
      <c r="AT246" s="89" t="s">
        <v>2859</v>
      </c>
      <c r="AU246" s="89" t="s">
        <v>2859</v>
      </c>
      <c r="AV246" s="89" t="s">
        <v>2859</v>
      </c>
      <c r="AW246" s="89" t="s">
        <v>2859</v>
      </c>
      <c r="AX246" s="89" t="s">
        <v>2859</v>
      </c>
      <c r="AY246" s="89" t="s">
        <v>2859</v>
      </c>
      <c r="AZ246" s="89" t="s">
        <v>2859</v>
      </c>
      <c r="BA246" s="89" t="s">
        <v>2859</v>
      </c>
      <c r="BB246" s="89" t="s">
        <v>2859</v>
      </c>
      <c r="BC246" s="89" t="s">
        <v>2859</v>
      </c>
      <c r="BD246" s="89" t="s">
        <v>2859</v>
      </c>
      <c r="BE246" s="89" t="s">
        <v>2859</v>
      </c>
      <c r="BF246" s="89" t="s">
        <v>2859</v>
      </c>
      <c r="BG246" s="89" t="s">
        <v>2859</v>
      </c>
      <c r="BH246" s="89" t="s">
        <v>2859</v>
      </c>
      <c r="BI246" s="89" t="s">
        <v>2859</v>
      </c>
      <c r="BJ246" s="89" t="s">
        <v>2859</v>
      </c>
      <c r="BK246" s="89" t="s">
        <v>2859</v>
      </c>
      <c r="BL246" s="89" t="s">
        <v>2859</v>
      </c>
      <c r="BM246" s="89" t="s">
        <v>2859</v>
      </c>
      <c r="BN246" s="89" t="s">
        <v>2859</v>
      </c>
      <c r="BO246" s="89" t="s">
        <v>2859</v>
      </c>
      <c r="BP246" s="89" t="s">
        <v>2859</v>
      </c>
      <c r="BQ246" s="89" t="s">
        <v>3523</v>
      </c>
      <c r="BR246" s="89" t="s">
        <v>2859</v>
      </c>
    </row>
    <row r="247" spans="1:70">
      <c r="A247" s="89" t="s">
        <v>2146</v>
      </c>
      <c r="B247" s="89" t="s">
        <v>3524</v>
      </c>
      <c r="C247" s="89" t="s">
        <v>2884</v>
      </c>
      <c r="D247" s="89" t="s">
        <v>2859</v>
      </c>
      <c r="E247" s="89" t="s">
        <v>2859</v>
      </c>
      <c r="F247" s="89" t="s">
        <v>2859</v>
      </c>
      <c r="G247" s="89" t="s">
        <v>2860</v>
      </c>
      <c r="H247" s="89" t="s">
        <v>2859</v>
      </c>
      <c r="I247" s="89" t="s">
        <v>2891</v>
      </c>
      <c r="J247" s="89" t="s">
        <v>3525</v>
      </c>
      <c r="K247" s="89" t="s">
        <v>2860</v>
      </c>
      <c r="L247" s="89" t="s">
        <v>120</v>
      </c>
      <c r="M247" s="89" t="s">
        <v>3526</v>
      </c>
      <c r="N247" s="89" t="s">
        <v>2860</v>
      </c>
      <c r="O247" s="89" t="s">
        <v>2859</v>
      </c>
      <c r="P247" s="89" t="s">
        <v>2859</v>
      </c>
      <c r="Q247" s="89" t="s">
        <v>2859</v>
      </c>
      <c r="R247" s="89" t="s">
        <v>2859</v>
      </c>
      <c r="S247" s="89" t="s">
        <v>2859</v>
      </c>
      <c r="T247" s="89" t="s">
        <v>2859</v>
      </c>
      <c r="U247" s="89" t="s">
        <v>2859</v>
      </c>
      <c r="V247" s="89" t="s">
        <v>2859</v>
      </c>
      <c r="W247" s="89" t="s">
        <v>2859</v>
      </c>
      <c r="X247" s="89" t="s">
        <v>2859</v>
      </c>
      <c r="Y247" s="89" t="s">
        <v>2859</v>
      </c>
      <c r="Z247" s="89" t="s">
        <v>2859</v>
      </c>
      <c r="AA247" s="89" t="s">
        <v>2859</v>
      </c>
      <c r="AB247" s="89" t="s">
        <v>2859</v>
      </c>
      <c r="AC247" s="89" t="s">
        <v>2859</v>
      </c>
      <c r="AD247" s="89" t="s">
        <v>2859</v>
      </c>
      <c r="AE247" s="89" t="s">
        <v>2859</v>
      </c>
      <c r="AF247" s="89" t="s">
        <v>2859</v>
      </c>
      <c r="AG247" s="89" t="s">
        <v>2859</v>
      </c>
      <c r="AH247" s="89" t="s">
        <v>2859</v>
      </c>
      <c r="AI247" s="89" t="s">
        <v>2859</v>
      </c>
      <c r="AJ247" s="89" t="s">
        <v>2859</v>
      </c>
      <c r="AK247" s="89" t="s">
        <v>2859</v>
      </c>
      <c r="AL247" s="89" t="s">
        <v>2859</v>
      </c>
      <c r="AM247" s="89" t="s">
        <v>2859</v>
      </c>
      <c r="AN247" s="89" t="s">
        <v>2859</v>
      </c>
      <c r="AO247" s="89" t="s">
        <v>2859</v>
      </c>
      <c r="AP247" s="89" t="s">
        <v>2859</v>
      </c>
      <c r="AQ247" s="89" t="s">
        <v>2859</v>
      </c>
      <c r="AR247" s="89" t="s">
        <v>2859</v>
      </c>
      <c r="AS247" s="89" t="s">
        <v>2859</v>
      </c>
      <c r="AT247" s="89" t="s">
        <v>2859</v>
      </c>
      <c r="AU247" s="89" t="s">
        <v>2859</v>
      </c>
      <c r="AV247" s="89" t="s">
        <v>2859</v>
      </c>
      <c r="AW247" s="89" t="s">
        <v>2859</v>
      </c>
      <c r="AX247" s="89" t="s">
        <v>2859</v>
      </c>
      <c r="AY247" s="89" t="s">
        <v>2859</v>
      </c>
      <c r="AZ247" s="89" t="s">
        <v>2859</v>
      </c>
      <c r="BA247" s="89" t="s">
        <v>2859</v>
      </c>
      <c r="BB247" s="89" t="s">
        <v>2859</v>
      </c>
      <c r="BC247" s="89" t="s">
        <v>2859</v>
      </c>
      <c r="BD247" s="89" t="s">
        <v>2859</v>
      </c>
      <c r="BE247" s="89" t="s">
        <v>2859</v>
      </c>
      <c r="BF247" s="89" t="s">
        <v>2859</v>
      </c>
      <c r="BG247" s="89" t="s">
        <v>2859</v>
      </c>
      <c r="BH247" s="89" t="s">
        <v>2859</v>
      </c>
      <c r="BI247" s="89" t="s">
        <v>2859</v>
      </c>
      <c r="BJ247" s="89" t="s">
        <v>2859</v>
      </c>
      <c r="BK247" s="89" t="s">
        <v>2859</v>
      </c>
      <c r="BL247" s="89" t="s">
        <v>2859</v>
      </c>
      <c r="BM247" s="89" t="s">
        <v>2859</v>
      </c>
      <c r="BN247" s="89" t="s">
        <v>2859</v>
      </c>
      <c r="BO247" s="89" t="s">
        <v>2859</v>
      </c>
      <c r="BP247" s="89" t="s">
        <v>2859</v>
      </c>
      <c r="BQ247" s="89" t="s">
        <v>3527</v>
      </c>
      <c r="BR247" s="89" t="s">
        <v>2859</v>
      </c>
    </row>
    <row r="248" spans="1:70">
      <c r="A248" s="89" t="s">
        <v>2146</v>
      </c>
      <c r="B248" s="89" t="s">
        <v>3528</v>
      </c>
      <c r="C248" s="89" t="s">
        <v>2864</v>
      </c>
      <c r="D248" s="89" t="s">
        <v>2859</v>
      </c>
      <c r="E248" s="89" t="s">
        <v>2859</v>
      </c>
      <c r="F248" s="89" t="s">
        <v>2859</v>
      </c>
      <c r="G248" s="89" t="s">
        <v>2860</v>
      </c>
      <c r="H248" s="89" t="s">
        <v>2859</v>
      </c>
      <c r="I248" s="89" t="s">
        <v>120</v>
      </c>
      <c r="J248" s="89" t="s">
        <v>3529</v>
      </c>
      <c r="K248" s="89" t="s">
        <v>2860</v>
      </c>
      <c r="L248" s="89" t="s">
        <v>2490</v>
      </c>
      <c r="M248" s="89" t="s">
        <v>3529</v>
      </c>
      <c r="N248" s="89" t="s">
        <v>2860</v>
      </c>
      <c r="O248" s="89" t="s">
        <v>2859</v>
      </c>
      <c r="P248" s="89" t="s">
        <v>2859</v>
      </c>
      <c r="Q248" s="89" t="s">
        <v>2859</v>
      </c>
      <c r="R248" s="89" t="s">
        <v>2859</v>
      </c>
      <c r="S248" s="89" t="s">
        <v>2859</v>
      </c>
      <c r="T248" s="89" t="s">
        <v>2859</v>
      </c>
      <c r="U248" s="89" t="s">
        <v>2859</v>
      </c>
      <c r="V248" s="89" t="s">
        <v>2859</v>
      </c>
      <c r="W248" s="89" t="s">
        <v>2859</v>
      </c>
      <c r="X248" s="89" t="s">
        <v>2859</v>
      </c>
      <c r="Y248" s="89" t="s">
        <v>2859</v>
      </c>
      <c r="Z248" s="89" t="s">
        <v>2859</v>
      </c>
      <c r="AA248" s="89" t="s">
        <v>2859</v>
      </c>
      <c r="AB248" s="89" t="s">
        <v>2859</v>
      </c>
      <c r="AC248" s="89" t="s">
        <v>2859</v>
      </c>
      <c r="AD248" s="89" t="s">
        <v>2859</v>
      </c>
      <c r="AE248" s="89" t="s">
        <v>2859</v>
      </c>
      <c r="AF248" s="89" t="s">
        <v>2859</v>
      </c>
      <c r="AG248" s="89" t="s">
        <v>2859</v>
      </c>
      <c r="AH248" s="89" t="s">
        <v>2859</v>
      </c>
      <c r="AI248" s="89" t="s">
        <v>2859</v>
      </c>
      <c r="AJ248" s="89" t="s">
        <v>2859</v>
      </c>
      <c r="AK248" s="89" t="s">
        <v>2859</v>
      </c>
      <c r="AL248" s="89" t="s">
        <v>2859</v>
      </c>
      <c r="AM248" s="89" t="s">
        <v>2859</v>
      </c>
      <c r="AN248" s="89" t="s">
        <v>2859</v>
      </c>
      <c r="AO248" s="89" t="s">
        <v>2859</v>
      </c>
      <c r="AP248" s="89" t="s">
        <v>2859</v>
      </c>
      <c r="AQ248" s="89" t="s">
        <v>2859</v>
      </c>
      <c r="AR248" s="89" t="s">
        <v>2859</v>
      </c>
      <c r="AS248" s="89" t="s">
        <v>2859</v>
      </c>
      <c r="AT248" s="89" t="s">
        <v>2859</v>
      </c>
      <c r="AU248" s="89" t="s">
        <v>2859</v>
      </c>
      <c r="AV248" s="89" t="s">
        <v>2859</v>
      </c>
      <c r="AW248" s="89" t="s">
        <v>2859</v>
      </c>
      <c r="AX248" s="89" t="s">
        <v>2859</v>
      </c>
      <c r="AY248" s="89" t="s">
        <v>2859</v>
      </c>
      <c r="AZ248" s="89" t="s">
        <v>2859</v>
      </c>
      <c r="BA248" s="89" t="s">
        <v>2859</v>
      </c>
      <c r="BB248" s="89" t="s">
        <v>2859</v>
      </c>
      <c r="BC248" s="89" t="s">
        <v>2859</v>
      </c>
      <c r="BD248" s="89" t="s">
        <v>2859</v>
      </c>
      <c r="BE248" s="89" t="s">
        <v>2859</v>
      </c>
      <c r="BF248" s="89" t="s">
        <v>2859</v>
      </c>
      <c r="BG248" s="89" t="s">
        <v>2859</v>
      </c>
      <c r="BH248" s="89" t="s">
        <v>2859</v>
      </c>
      <c r="BI248" s="89" t="s">
        <v>2859</v>
      </c>
      <c r="BJ248" s="89" t="s">
        <v>2859</v>
      </c>
      <c r="BK248" s="89" t="s">
        <v>2859</v>
      </c>
      <c r="BL248" s="89" t="s">
        <v>2859</v>
      </c>
      <c r="BM248" s="89" t="s">
        <v>2859</v>
      </c>
      <c r="BN248" s="89" t="s">
        <v>2859</v>
      </c>
      <c r="BO248" s="89" t="s">
        <v>2859</v>
      </c>
      <c r="BP248" s="89" t="s">
        <v>2859</v>
      </c>
      <c r="BQ248" s="89" t="s">
        <v>3530</v>
      </c>
      <c r="BR248" s="89" t="s">
        <v>2859</v>
      </c>
    </row>
    <row r="249" spans="1:70">
      <c r="A249" s="89" t="s">
        <v>2146</v>
      </c>
      <c r="B249" s="89" t="s">
        <v>3531</v>
      </c>
      <c r="C249" s="89" t="s">
        <v>2864</v>
      </c>
      <c r="D249" s="89" t="s">
        <v>2859</v>
      </c>
      <c r="E249" s="89" t="s">
        <v>2859</v>
      </c>
      <c r="F249" s="89" t="s">
        <v>2859</v>
      </c>
      <c r="G249" s="89" t="s">
        <v>2860</v>
      </c>
      <c r="H249" s="89" t="s">
        <v>2859</v>
      </c>
      <c r="I249" s="89" t="s">
        <v>3101</v>
      </c>
      <c r="J249" s="89" t="s">
        <v>2859</v>
      </c>
      <c r="K249" s="89" t="s">
        <v>2859</v>
      </c>
      <c r="L249" s="89" t="s">
        <v>2859</v>
      </c>
      <c r="M249" s="89" t="s">
        <v>2859</v>
      </c>
      <c r="N249" s="89" t="s">
        <v>2859</v>
      </c>
      <c r="O249" s="89" t="s">
        <v>2859</v>
      </c>
      <c r="P249" s="89" t="s">
        <v>2859</v>
      </c>
      <c r="Q249" s="89" t="s">
        <v>2859</v>
      </c>
      <c r="R249" s="89" t="s">
        <v>2859</v>
      </c>
      <c r="S249" s="89" t="s">
        <v>2859</v>
      </c>
      <c r="T249" s="89" t="s">
        <v>2859</v>
      </c>
      <c r="U249" s="89" t="s">
        <v>2859</v>
      </c>
      <c r="V249" s="89" t="s">
        <v>2859</v>
      </c>
      <c r="W249" s="89" t="s">
        <v>2859</v>
      </c>
      <c r="X249" s="89" t="s">
        <v>2859</v>
      </c>
      <c r="Y249" s="89" t="s">
        <v>2859</v>
      </c>
      <c r="Z249" s="89" t="s">
        <v>2859</v>
      </c>
      <c r="AA249" s="89" t="s">
        <v>2859</v>
      </c>
      <c r="AB249" s="89" t="s">
        <v>2859</v>
      </c>
      <c r="AC249" s="89" t="s">
        <v>2859</v>
      </c>
      <c r="AD249" s="89" t="s">
        <v>2859</v>
      </c>
      <c r="AE249" s="89" t="s">
        <v>2859</v>
      </c>
      <c r="AF249" s="89" t="s">
        <v>2859</v>
      </c>
      <c r="AG249" s="89" t="s">
        <v>2859</v>
      </c>
      <c r="AH249" s="89" t="s">
        <v>2859</v>
      </c>
      <c r="AI249" s="89" t="s">
        <v>2859</v>
      </c>
      <c r="AJ249" s="89" t="s">
        <v>2859</v>
      </c>
      <c r="AK249" s="89" t="s">
        <v>2859</v>
      </c>
      <c r="AL249" s="89" t="s">
        <v>2859</v>
      </c>
      <c r="AM249" s="89" t="s">
        <v>2859</v>
      </c>
      <c r="AN249" s="89" t="s">
        <v>2859</v>
      </c>
      <c r="AO249" s="89" t="s">
        <v>2859</v>
      </c>
      <c r="AP249" s="89" t="s">
        <v>2859</v>
      </c>
      <c r="AQ249" s="89" t="s">
        <v>2859</v>
      </c>
      <c r="AR249" s="89" t="s">
        <v>2859</v>
      </c>
      <c r="AS249" s="89" t="s">
        <v>2859</v>
      </c>
      <c r="AT249" s="89" t="s">
        <v>2859</v>
      </c>
      <c r="AU249" s="89" t="s">
        <v>2859</v>
      </c>
      <c r="AV249" s="89" t="s">
        <v>2859</v>
      </c>
      <c r="AW249" s="89" t="s">
        <v>2859</v>
      </c>
      <c r="AX249" s="89" t="s">
        <v>2859</v>
      </c>
      <c r="AY249" s="89" t="s">
        <v>2859</v>
      </c>
      <c r="AZ249" s="89" t="s">
        <v>2859</v>
      </c>
      <c r="BA249" s="89" t="s">
        <v>2859</v>
      </c>
      <c r="BB249" s="89" t="s">
        <v>2859</v>
      </c>
      <c r="BC249" s="89" t="s">
        <v>2859</v>
      </c>
      <c r="BD249" s="89" t="s">
        <v>2859</v>
      </c>
      <c r="BE249" s="89" t="s">
        <v>2859</v>
      </c>
      <c r="BF249" s="89" t="s">
        <v>2859</v>
      </c>
      <c r="BG249" s="89" t="s">
        <v>2859</v>
      </c>
      <c r="BH249" s="89" t="s">
        <v>2859</v>
      </c>
      <c r="BI249" s="89" t="s">
        <v>2859</v>
      </c>
      <c r="BJ249" s="89" t="s">
        <v>2859</v>
      </c>
      <c r="BK249" s="89" t="s">
        <v>2859</v>
      </c>
      <c r="BL249" s="89" t="s">
        <v>2859</v>
      </c>
      <c r="BM249" s="89" t="s">
        <v>2859</v>
      </c>
      <c r="BN249" s="89" t="s">
        <v>2859</v>
      </c>
      <c r="BO249" s="89" t="s">
        <v>2859</v>
      </c>
      <c r="BP249" s="89" t="s">
        <v>2859</v>
      </c>
      <c r="BQ249" s="89" t="s">
        <v>3532</v>
      </c>
      <c r="BR249" s="89" t="s">
        <v>2859</v>
      </c>
    </row>
    <row r="250" spans="1:70">
      <c r="A250" s="89" t="s">
        <v>2150</v>
      </c>
      <c r="B250" s="89" t="s">
        <v>2909</v>
      </c>
      <c r="C250" s="89" t="s">
        <v>2909</v>
      </c>
      <c r="D250" s="89" t="s">
        <v>2859</v>
      </c>
      <c r="E250" s="89" t="s">
        <v>2859</v>
      </c>
      <c r="F250" s="89" t="s">
        <v>2859</v>
      </c>
      <c r="G250" s="89" t="s">
        <v>2860</v>
      </c>
      <c r="H250" s="89" t="s">
        <v>2859</v>
      </c>
      <c r="I250" s="89" t="s">
        <v>2329</v>
      </c>
      <c r="J250" s="89" t="s">
        <v>3047</v>
      </c>
      <c r="K250" s="89" t="s">
        <v>2860</v>
      </c>
      <c r="L250" s="89" t="s">
        <v>2859</v>
      </c>
      <c r="M250" s="89" t="s">
        <v>2859</v>
      </c>
      <c r="N250" s="89" t="s">
        <v>2859</v>
      </c>
      <c r="O250" s="89" t="s">
        <v>2859</v>
      </c>
      <c r="P250" s="89" t="s">
        <v>2859</v>
      </c>
      <c r="Q250" s="89" t="s">
        <v>2859</v>
      </c>
      <c r="R250" s="89" t="s">
        <v>2859</v>
      </c>
      <c r="S250" s="89" t="s">
        <v>2859</v>
      </c>
      <c r="T250" s="89" t="s">
        <v>2859</v>
      </c>
      <c r="U250" s="89" t="s">
        <v>2859</v>
      </c>
      <c r="V250" s="89" t="s">
        <v>2859</v>
      </c>
      <c r="W250" s="89" t="s">
        <v>2859</v>
      </c>
      <c r="X250" s="89" t="s">
        <v>2859</v>
      </c>
      <c r="Y250" s="89" t="s">
        <v>2859</v>
      </c>
      <c r="Z250" s="89" t="s">
        <v>2859</v>
      </c>
      <c r="AA250" s="89" t="s">
        <v>2859</v>
      </c>
      <c r="AB250" s="89" t="s">
        <v>2859</v>
      </c>
      <c r="AC250" s="89" t="s">
        <v>2859</v>
      </c>
      <c r="AD250" s="89" t="s">
        <v>2859</v>
      </c>
      <c r="AE250" s="89" t="s">
        <v>2859</v>
      </c>
      <c r="AF250" s="89" t="s">
        <v>2859</v>
      </c>
      <c r="AG250" s="89" t="s">
        <v>2859</v>
      </c>
      <c r="AH250" s="89" t="s">
        <v>2859</v>
      </c>
      <c r="AI250" s="89" t="s">
        <v>2859</v>
      </c>
      <c r="AJ250" s="89" t="s">
        <v>2859</v>
      </c>
      <c r="AK250" s="89" t="s">
        <v>2859</v>
      </c>
      <c r="AL250" s="89" t="s">
        <v>2859</v>
      </c>
      <c r="AM250" s="89" t="s">
        <v>2859</v>
      </c>
      <c r="AN250" s="89" t="s">
        <v>2859</v>
      </c>
      <c r="AO250" s="89" t="s">
        <v>2859</v>
      </c>
      <c r="AP250" s="89" t="s">
        <v>2859</v>
      </c>
      <c r="AQ250" s="89" t="s">
        <v>2859</v>
      </c>
      <c r="AR250" s="89" t="s">
        <v>2859</v>
      </c>
      <c r="AS250" s="89" t="s">
        <v>2859</v>
      </c>
      <c r="AT250" s="89" t="s">
        <v>2859</v>
      </c>
      <c r="AU250" s="89" t="s">
        <v>2859</v>
      </c>
      <c r="AV250" s="89" t="s">
        <v>2859</v>
      </c>
      <c r="AW250" s="89" t="s">
        <v>2859</v>
      </c>
      <c r="AX250" s="89" t="s">
        <v>2859</v>
      </c>
      <c r="AY250" s="89" t="s">
        <v>2859</v>
      </c>
      <c r="AZ250" s="89" t="s">
        <v>2859</v>
      </c>
      <c r="BA250" s="89" t="s">
        <v>2859</v>
      </c>
      <c r="BB250" s="89" t="s">
        <v>2859</v>
      </c>
      <c r="BC250" s="89" t="s">
        <v>2859</v>
      </c>
      <c r="BD250" s="89" t="s">
        <v>2859</v>
      </c>
      <c r="BE250" s="89" t="s">
        <v>2859</v>
      </c>
      <c r="BF250" s="89" t="s">
        <v>2859</v>
      </c>
      <c r="BG250" s="89" t="s">
        <v>2859</v>
      </c>
      <c r="BH250" s="89" t="s">
        <v>2859</v>
      </c>
      <c r="BI250" s="89" t="s">
        <v>2859</v>
      </c>
      <c r="BJ250" s="89" t="s">
        <v>2859</v>
      </c>
      <c r="BK250" s="89" t="s">
        <v>2859</v>
      </c>
      <c r="BL250" s="89" t="s">
        <v>2859</v>
      </c>
      <c r="BM250" s="89" t="s">
        <v>2859</v>
      </c>
      <c r="BN250" s="89" t="s">
        <v>2859</v>
      </c>
      <c r="BO250" s="89" t="s">
        <v>2859</v>
      </c>
      <c r="BP250" s="89" t="s">
        <v>2859</v>
      </c>
      <c r="BQ250" s="89" t="s">
        <v>3533</v>
      </c>
      <c r="BR250" s="89" t="s">
        <v>2869</v>
      </c>
    </row>
    <row r="251" spans="1:70">
      <c r="A251" s="89" t="s">
        <v>2150</v>
      </c>
      <c r="B251" s="89" t="s">
        <v>3534</v>
      </c>
      <c r="C251" s="89" t="s">
        <v>2989</v>
      </c>
      <c r="D251" s="89" t="s">
        <v>2859</v>
      </c>
      <c r="E251" s="89" t="s">
        <v>2859</v>
      </c>
      <c r="F251" s="89" t="s">
        <v>2859</v>
      </c>
      <c r="G251" s="89" t="s">
        <v>2860</v>
      </c>
      <c r="H251" s="89" t="s">
        <v>2859</v>
      </c>
      <c r="I251" s="89" t="s">
        <v>120</v>
      </c>
      <c r="J251" s="89" t="s">
        <v>3535</v>
      </c>
      <c r="K251" s="89" t="s">
        <v>2860</v>
      </c>
      <c r="L251" s="89" t="s">
        <v>2490</v>
      </c>
      <c r="M251" s="89" t="s">
        <v>3535</v>
      </c>
      <c r="N251" s="89" t="s">
        <v>2860</v>
      </c>
      <c r="O251" s="89" t="s">
        <v>2317</v>
      </c>
      <c r="P251" s="89" t="s">
        <v>3535</v>
      </c>
      <c r="Q251" s="89" t="s">
        <v>2860</v>
      </c>
      <c r="R251" s="89" t="s">
        <v>2859</v>
      </c>
      <c r="S251" s="89" t="s">
        <v>2859</v>
      </c>
      <c r="T251" s="89" t="s">
        <v>2859</v>
      </c>
      <c r="U251" s="89" t="s">
        <v>2859</v>
      </c>
      <c r="V251" s="89" t="s">
        <v>2859</v>
      </c>
      <c r="W251" s="89" t="s">
        <v>2859</v>
      </c>
      <c r="X251" s="89" t="s">
        <v>2859</v>
      </c>
      <c r="Y251" s="89" t="s">
        <v>2859</v>
      </c>
      <c r="Z251" s="89" t="s">
        <v>2859</v>
      </c>
      <c r="AA251" s="89" t="s">
        <v>2859</v>
      </c>
      <c r="AB251" s="89" t="s">
        <v>2859</v>
      </c>
      <c r="AC251" s="89" t="s">
        <v>2859</v>
      </c>
      <c r="AD251" s="89" t="s">
        <v>2859</v>
      </c>
      <c r="AE251" s="89" t="s">
        <v>2859</v>
      </c>
      <c r="AF251" s="89" t="s">
        <v>2859</v>
      </c>
      <c r="AG251" s="89" t="s">
        <v>2859</v>
      </c>
      <c r="AH251" s="89" t="s">
        <v>2859</v>
      </c>
      <c r="AI251" s="89" t="s">
        <v>2859</v>
      </c>
      <c r="AJ251" s="89" t="s">
        <v>2859</v>
      </c>
      <c r="AK251" s="89" t="s">
        <v>2859</v>
      </c>
      <c r="AL251" s="89" t="s">
        <v>2859</v>
      </c>
      <c r="AM251" s="89" t="s">
        <v>2859</v>
      </c>
      <c r="AN251" s="89" t="s">
        <v>2859</v>
      </c>
      <c r="AO251" s="89" t="s">
        <v>2859</v>
      </c>
      <c r="AP251" s="89" t="s">
        <v>2859</v>
      </c>
      <c r="AQ251" s="89" t="s">
        <v>2859</v>
      </c>
      <c r="AR251" s="89" t="s">
        <v>2859</v>
      </c>
      <c r="AS251" s="89" t="s">
        <v>2859</v>
      </c>
      <c r="AT251" s="89" t="s">
        <v>2859</v>
      </c>
      <c r="AU251" s="89" t="s">
        <v>2859</v>
      </c>
      <c r="AV251" s="89" t="s">
        <v>2859</v>
      </c>
      <c r="AW251" s="89" t="s">
        <v>2859</v>
      </c>
      <c r="AX251" s="89" t="s">
        <v>2859</v>
      </c>
      <c r="AY251" s="89" t="s">
        <v>2859</v>
      </c>
      <c r="AZ251" s="89" t="s">
        <v>2859</v>
      </c>
      <c r="BA251" s="89" t="s">
        <v>2859</v>
      </c>
      <c r="BB251" s="89" t="s">
        <v>2859</v>
      </c>
      <c r="BC251" s="89" t="s">
        <v>2859</v>
      </c>
      <c r="BD251" s="89" t="s">
        <v>2859</v>
      </c>
      <c r="BE251" s="89" t="s">
        <v>2859</v>
      </c>
      <c r="BF251" s="89" t="s">
        <v>2859</v>
      </c>
      <c r="BG251" s="89" t="s">
        <v>2859</v>
      </c>
      <c r="BH251" s="89" t="s">
        <v>2859</v>
      </c>
      <c r="BI251" s="89" t="s">
        <v>2859</v>
      </c>
      <c r="BJ251" s="89" t="s">
        <v>2859</v>
      </c>
      <c r="BK251" s="89" t="s">
        <v>2859</v>
      </c>
      <c r="BL251" s="89" t="s">
        <v>2859</v>
      </c>
      <c r="BM251" s="89" t="s">
        <v>2859</v>
      </c>
      <c r="BN251" s="89" t="s">
        <v>2859</v>
      </c>
      <c r="BO251" s="89" t="s">
        <v>2859</v>
      </c>
      <c r="BP251" s="89" t="s">
        <v>2859</v>
      </c>
      <c r="BQ251" s="89" t="s">
        <v>3536</v>
      </c>
      <c r="BR251" s="89" t="s">
        <v>2859</v>
      </c>
    </row>
    <row r="252" spans="1:70">
      <c r="A252" s="89" t="s">
        <v>2150</v>
      </c>
      <c r="B252" s="89" t="s">
        <v>3537</v>
      </c>
      <c r="C252" s="89" t="s">
        <v>2974</v>
      </c>
      <c r="D252" s="89" t="s">
        <v>2859</v>
      </c>
      <c r="E252" s="89" t="s">
        <v>2859</v>
      </c>
      <c r="F252" s="89" t="s">
        <v>2859</v>
      </c>
      <c r="G252" s="89" t="s">
        <v>2860</v>
      </c>
      <c r="H252" s="89" t="s">
        <v>2859</v>
      </c>
      <c r="I252" s="89" t="s">
        <v>2979</v>
      </c>
      <c r="J252" s="89" t="s">
        <v>3538</v>
      </c>
      <c r="K252" s="89" t="s">
        <v>2867</v>
      </c>
      <c r="L252" s="89" t="s">
        <v>120</v>
      </c>
      <c r="M252" s="89" t="s">
        <v>3539</v>
      </c>
      <c r="N252" s="89" t="s">
        <v>2867</v>
      </c>
      <c r="O252" s="89" t="s">
        <v>1463</v>
      </c>
      <c r="P252" s="89" t="s">
        <v>3539</v>
      </c>
      <c r="Q252" s="89" t="s">
        <v>2867</v>
      </c>
      <c r="R252" s="89" t="s">
        <v>621</v>
      </c>
      <c r="S252" s="89" t="s">
        <v>3539</v>
      </c>
      <c r="T252" s="89" t="s">
        <v>2867</v>
      </c>
      <c r="U252" s="89" t="s">
        <v>3540</v>
      </c>
      <c r="V252" s="89" t="s">
        <v>3539</v>
      </c>
      <c r="W252" s="89" t="s">
        <v>2867</v>
      </c>
      <c r="X252" s="89" t="s">
        <v>3101</v>
      </c>
      <c r="Y252" s="89" t="s">
        <v>3539</v>
      </c>
      <c r="Z252" s="89" t="s">
        <v>2867</v>
      </c>
      <c r="AA252" s="89" t="s">
        <v>2859</v>
      </c>
      <c r="AB252" s="89" t="s">
        <v>2859</v>
      </c>
      <c r="AC252" s="89" t="s">
        <v>2859</v>
      </c>
      <c r="AD252" s="89" t="s">
        <v>2859</v>
      </c>
      <c r="AE252" s="89" t="s">
        <v>2859</v>
      </c>
      <c r="AF252" s="89" t="s">
        <v>2859</v>
      </c>
      <c r="AG252" s="89" t="s">
        <v>2859</v>
      </c>
      <c r="AH252" s="89" t="s">
        <v>2859</v>
      </c>
      <c r="AI252" s="89" t="s">
        <v>2859</v>
      </c>
      <c r="AJ252" s="89" t="s">
        <v>2859</v>
      </c>
      <c r="AK252" s="89" t="s">
        <v>2859</v>
      </c>
      <c r="AL252" s="89" t="s">
        <v>2859</v>
      </c>
      <c r="AM252" s="89" t="s">
        <v>2859</v>
      </c>
      <c r="AN252" s="89" t="s">
        <v>2859</v>
      </c>
      <c r="AO252" s="89" t="s">
        <v>2859</v>
      </c>
      <c r="AP252" s="89" t="s">
        <v>2859</v>
      </c>
      <c r="AQ252" s="89" t="s">
        <v>2859</v>
      </c>
      <c r="AR252" s="89" t="s">
        <v>2859</v>
      </c>
      <c r="AS252" s="89" t="s">
        <v>2859</v>
      </c>
      <c r="AT252" s="89" t="s">
        <v>2859</v>
      </c>
      <c r="AU252" s="89" t="s">
        <v>2859</v>
      </c>
      <c r="AV252" s="89" t="s">
        <v>2859</v>
      </c>
      <c r="AW252" s="89" t="s">
        <v>2859</v>
      </c>
      <c r="AX252" s="89" t="s">
        <v>2859</v>
      </c>
      <c r="AY252" s="89" t="s">
        <v>2859</v>
      </c>
      <c r="AZ252" s="89" t="s">
        <v>2859</v>
      </c>
      <c r="BA252" s="89" t="s">
        <v>2859</v>
      </c>
      <c r="BB252" s="89" t="s">
        <v>2859</v>
      </c>
      <c r="BC252" s="89" t="s">
        <v>2859</v>
      </c>
      <c r="BD252" s="89" t="s">
        <v>2859</v>
      </c>
      <c r="BE252" s="89" t="s">
        <v>2859</v>
      </c>
      <c r="BF252" s="89" t="s">
        <v>2859</v>
      </c>
      <c r="BG252" s="89" t="s">
        <v>2859</v>
      </c>
      <c r="BH252" s="89" t="s">
        <v>2859</v>
      </c>
      <c r="BI252" s="89" t="s">
        <v>2859</v>
      </c>
      <c r="BJ252" s="89" t="s">
        <v>2859</v>
      </c>
      <c r="BK252" s="89" t="s">
        <v>2859</v>
      </c>
      <c r="BL252" s="89" t="s">
        <v>2859</v>
      </c>
      <c r="BM252" s="89" t="s">
        <v>2859</v>
      </c>
      <c r="BN252" s="89" t="s">
        <v>2859</v>
      </c>
      <c r="BO252" s="89" t="s">
        <v>2859</v>
      </c>
      <c r="BP252" s="89" t="s">
        <v>2859</v>
      </c>
      <c r="BQ252" s="89" t="s">
        <v>3541</v>
      </c>
      <c r="BR252" s="89" t="s">
        <v>2869</v>
      </c>
    </row>
    <row r="253" spans="1:70">
      <c r="A253" s="89" t="s">
        <v>2150</v>
      </c>
      <c r="B253" s="89" t="s">
        <v>3542</v>
      </c>
      <c r="C253" s="89" t="s">
        <v>3003</v>
      </c>
      <c r="D253" s="89" t="s">
        <v>2859</v>
      </c>
      <c r="E253" s="89" t="s">
        <v>2859</v>
      </c>
      <c r="F253" s="89" t="s">
        <v>2859</v>
      </c>
      <c r="G253" s="89" t="s">
        <v>2860</v>
      </c>
      <c r="H253" s="89" t="s">
        <v>2859</v>
      </c>
      <c r="I253" s="89" t="s">
        <v>1463</v>
      </c>
      <c r="J253" s="89" t="s">
        <v>3543</v>
      </c>
      <c r="K253" s="89" t="s">
        <v>2860</v>
      </c>
      <c r="L253" s="89" t="s">
        <v>120</v>
      </c>
      <c r="M253" s="89" t="s">
        <v>3544</v>
      </c>
      <c r="N253" s="89" t="s">
        <v>2860</v>
      </c>
      <c r="O253" s="89" t="s">
        <v>2490</v>
      </c>
      <c r="P253" s="89" t="s">
        <v>3544</v>
      </c>
      <c r="Q253" s="89" t="s">
        <v>2860</v>
      </c>
      <c r="R253" s="89" t="s">
        <v>2891</v>
      </c>
      <c r="S253" s="89" t="s">
        <v>3544</v>
      </c>
      <c r="T253" s="89" t="s">
        <v>2860</v>
      </c>
      <c r="U253" s="89" t="s">
        <v>2979</v>
      </c>
      <c r="V253" s="89" t="s">
        <v>3544</v>
      </c>
      <c r="W253" s="89" t="s">
        <v>2860</v>
      </c>
      <c r="X253" s="89" t="s">
        <v>2859</v>
      </c>
      <c r="Y253" s="89" t="s">
        <v>2859</v>
      </c>
      <c r="Z253" s="89" t="s">
        <v>2859</v>
      </c>
      <c r="AA253" s="89" t="s">
        <v>2859</v>
      </c>
      <c r="AB253" s="89" t="s">
        <v>2859</v>
      </c>
      <c r="AC253" s="89" t="s">
        <v>2859</v>
      </c>
      <c r="AD253" s="89" t="s">
        <v>2859</v>
      </c>
      <c r="AE253" s="89" t="s">
        <v>2859</v>
      </c>
      <c r="AF253" s="89" t="s">
        <v>2859</v>
      </c>
      <c r="AG253" s="89" t="s">
        <v>2859</v>
      </c>
      <c r="AH253" s="89" t="s">
        <v>2859</v>
      </c>
      <c r="AI253" s="89" t="s">
        <v>2859</v>
      </c>
      <c r="AJ253" s="89" t="s">
        <v>2859</v>
      </c>
      <c r="AK253" s="89" t="s">
        <v>2859</v>
      </c>
      <c r="AL253" s="89" t="s">
        <v>2859</v>
      </c>
      <c r="AM253" s="89" t="s">
        <v>2859</v>
      </c>
      <c r="AN253" s="89" t="s">
        <v>2859</v>
      </c>
      <c r="AO253" s="89" t="s">
        <v>2859</v>
      </c>
      <c r="AP253" s="89" t="s">
        <v>2859</v>
      </c>
      <c r="AQ253" s="89" t="s">
        <v>2859</v>
      </c>
      <c r="AR253" s="89" t="s">
        <v>2859</v>
      </c>
      <c r="AS253" s="89" t="s">
        <v>2859</v>
      </c>
      <c r="AT253" s="89" t="s">
        <v>2859</v>
      </c>
      <c r="AU253" s="89" t="s">
        <v>2859</v>
      </c>
      <c r="AV253" s="89" t="s">
        <v>2859</v>
      </c>
      <c r="AW253" s="89" t="s">
        <v>2859</v>
      </c>
      <c r="AX253" s="89" t="s">
        <v>2859</v>
      </c>
      <c r="AY253" s="89" t="s">
        <v>2859</v>
      </c>
      <c r="AZ253" s="89" t="s">
        <v>2859</v>
      </c>
      <c r="BA253" s="89" t="s">
        <v>2859</v>
      </c>
      <c r="BB253" s="89" t="s">
        <v>2859</v>
      </c>
      <c r="BC253" s="89" t="s">
        <v>2859</v>
      </c>
      <c r="BD253" s="89" t="s">
        <v>2859</v>
      </c>
      <c r="BE253" s="89" t="s">
        <v>2859</v>
      </c>
      <c r="BF253" s="89" t="s">
        <v>2859</v>
      </c>
      <c r="BG253" s="89" t="s">
        <v>2859</v>
      </c>
      <c r="BH253" s="89" t="s">
        <v>2859</v>
      </c>
      <c r="BI253" s="89" t="s">
        <v>2859</v>
      </c>
      <c r="BJ253" s="89" t="s">
        <v>2859</v>
      </c>
      <c r="BK253" s="89" t="s">
        <v>2859</v>
      </c>
      <c r="BL253" s="89" t="s">
        <v>2859</v>
      </c>
      <c r="BM253" s="89" t="s">
        <v>2859</v>
      </c>
      <c r="BN253" s="89" t="s">
        <v>2859</v>
      </c>
      <c r="BO253" s="89" t="s">
        <v>2859</v>
      </c>
      <c r="BP253" s="89" t="s">
        <v>2859</v>
      </c>
      <c r="BQ253" s="89" t="s">
        <v>3545</v>
      </c>
      <c r="BR253" s="89" t="s">
        <v>2859</v>
      </c>
    </row>
    <row r="254" spans="1:70">
      <c r="A254" s="89" t="s">
        <v>2150</v>
      </c>
      <c r="B254" s="89" t="s">
        <v>3546</v>
      </c>
      <c r="C254" s="89" t="s">
        <v>3003</v>
      </c>
      <c r="D254" s="89" t="s">
        <v>2859</v>
      </c>
      <c r="E254" s="89" t="s">
        <v>2859</v>
      </c>
      <c r="F254" s="89" t="s">
        <v>2859</v>
      </c>
      <c r="G254" s="89" t="s">
        <v>2860</v>
      </c>
      <c r="H254" s="89" t="s">
        <v>2859</v>
      </c>
      <c r="I254" s="89" t="s">
        <v>1463</v>
      </c>
      <c r="J254" s="89" t="s">
        <v>3543</v>
      </c>
      <c r="K254" s="89" t="s">
        <v>2860</v>
      </c>
      <c r="L254" s="89" t="s">
        <v>120</v>
      </c>
      <c r="M254" s="89" t="s">
        <v>3544</v>
      </c>
      <c r="N254" s="89" t="s">
        <v>2860</v>
      </c>
      <c r="O254" s="89" t="s">
        <v>2490</v>
      </c>
      <c r="P254" s="89" t="s">
        <v>3544</v>
      </c>
      <c r="Q254" s="89" t="s">
        <v>2860</v>
      </c>
      <c r="R254" s="89" t="s">
        <v>2891</v>
      </c>
      <c r="S254" s="89" t="s">
        <v>3544</v>
      </c>
      <c r="T254" s="89" t="s">
        <v>2860</v>
      </c>
      <c r="U254" s="89" t="s">
        <v>2979</v>
      </c>
      <c r="V254" s="89" t="s">
        <v>3544</v>
      </c>
      <c r="W254" s="89" t="s">
        <v>2860</v>
      </c>
      <c r="X254" s="89" t="s">
        <v>2859</v>
      </c>
      <c r="Y254" s="89" t="s">
        <v>2859</v>
      </c>
      <c r="Z254" s="89" t="s">
        <v>2859</v>
      </c>
      <c r="AA254" s="89" t="s">
        <v>2859</v>
      </c>
      <c r="AB254" s="89" t="s">
        <v>2859</v>
      </c>
      <c r="AC254" s="89" t="s">
        <v>2859</v>
      </c>
      <c r="AD254" s="89" t="s">
        <v>2859</v>
      </c>
      <c r="AE254" s="89" t="s">
        <v>2859</v>
      </c>
      <c r="AF254" s="89" t="s">
        <v>2859</v>
      </c>
      <c r="AG254" s="89" t="s">
        <v>2859</v>
      </c>
      <c r="AH254" s="89" t="s">
        <v>2859</v>
      </c>
      <c r="AI254" s="89" t="s">
        <v>2859</v>
      </c>
      <c r="AJ254" s="89" t="s">
        <v>2859</v>
      </c>
      <c r="AK254" s="89" t="s">
        <v>2859</v>
      </c>
      <c r="AL254" s="89" t="s">
        <v>2859</v>
      </c>
      <c r="AM254" s="89" t="s">
        <v>2859</v>
      </c>
      <c r="AN254" s="89" t="s">
        <v>2859</v>
      </c>
      <c r="AO254" s="89" t="s">
        <v>2859</v>
      </c>
      <c r="AP254" s="89" t="s">
        <v>2859</v>
      </c>
      <c r="AQ254" s="89" t="s">
        <v>2859</v>
      </c>
      <c r="AR254" s="89" t="s">
        <v>2859</v>
      </c>
      <c r="AS254" s="89" t="s">
        <v>2859</v>
      </c>
      <c r="AT254" s="89" t="s">
        <v>2859</v>
      </c>
      <c r="AU254" s="89" t="s">
        <v>2859</v>
      </c>
      <c r="AV254" s="89" t="s">
        <v>2859</v>
      </c>
      <c r="AW254" s="89" t="s">
        <v>2859</v>
      </c>
      <c r="AX254" s="89" t="s">
        <v>2859</v>
      </c>
      <c r="AY254" s="89" t="s">
        <v>2859</v>
      </c>
      <c r="AZ254" s="89" t="s">
        <v>2859</v>
      </c>
      <c r="BA254" s="89" t="s">
        <v>2859</v>
      </c>
      <c r="BB254" s="89" t="s">
        <v>2859</v>
      </c>
      <c r="BC254" s="89" t="s">
        <v>2859</v>
      </c>
      <c r="BD254" s="89" t="s">
        <v>2859</v>
      </c>
      <c r="BE254" s="89" t="s">
        <v>2859</v>
      </c>
      <c r="BF254" s="89" t="s">
        <v>2859</v>
      </c>
      <c r="BG254" s="89" t="s">
        <v>2859</v>
      </c>
      <c r="BH254" s="89" t="s">
        <v>2859</v>
      </c>
      <c r="BI254" s="89" t="s">
        <v>2859</v>
      </c>
      <c r="BJ254" s="89" t="s">
        <v>2859</v>
      </c>
      <c r="BK254" s="89" t="s">
        <v>2859</v>
      </c>
      <c r="BL254" s="89" t="s">
        <v>2859</v>
      </c>
      <c r="BM254" s="89" t="s">
        <v>2859</v>
      </c>
      <c r="BN254" s="89" t="s">
        <v>2859</v>
      </c>
      <c r="BO254" s="89" t="s">
        <v>2859</v>
      </c>
      <c r="BP254" s="89" t="s">
        <v>2859</v>
      </c>
      <c r="BQ254" s="89" t="s">
        <v>3547</v>
      </c>
      <c r="BR254" s="89" t="s">
        <v>2859</v>
      </c>
    </row>
    <row r="255" spans="1:70">
      <c r="A255" s="89" t="s">
        <v>2150</v>
      </c>
      <c r="B255" s="89" t="s">
        <v>3548</v>
      </c>
      <c r="C255" s="89" t="s">
        <v>2858</v>
      </c>
      <c r="D255" s="89" t="s">
        <v>2859</v>
      </c>
      <c r="E255" s="89" t="s">
        <v>2859</v>
      </c>
      <c r="F255" s="89" t="s">
        <v>2859</v>
      </c>
      <c r="G255" s="89" t="s">
        <v>2860</v>
      </c>
      <c r="H255" s="89" t="s">
        <v>2859</v>
      </c>
      <c r="I255" s="89" t="s">
        <v>120</v>
      </c>
      <c r="J255" s="89" t="s">
        <v>3549</v>
      </c>
      <c r="K255" s="89" t="s">
        <v>2860</v>
      </c>
      <c r="L255" s="89" t="s">
        <v>2490</v>
      </c>
      <c r="M255" s="89" t="s">
        <v>3549</v>
      </c>
      <c r="N255" s="89" t="s">
        <v>2860</v>
      </c>
      <c r="O255" s="89" t="s">
        <v>2859</v>
      </c>
      <c r="P255" s="89" t="s">
        <v>2859</v>
      </c>
      <c r="Q255" s="89" t="s">
        <v>2859</v>
      </c>
      <c r="R255" s="89" t="s">
        <v>2859</v>
      </c>
      <c r="S255" s="89" t="s">
        <v>2859</v>
      </c>
      <c r="T255" s="89" t="s">
        <v>2859</v>
      </c>
      <c r="U255" s="89" t="s">
        <v>2859</v>
      </c>
      <c r="V255" s="89" t="s">
        <v>2859</v>
      </c>
      <c r="W255" s="89" t="s">
        <v>2859</v>
      </c>
      <c r="X255" s="89" t="s">
        <v>2859</v>
      </c>
      <c r="Y255" s="89" t="s">
        <v>2859</v>
      </c>
      <c r="Z255" s="89" t="s">
        <v>2859</v>
      </c>
      <c r="AA255" s="89" t="s">
        <v>2859</v>
      </c>
      <c r="AB255" s="89" t="s">
        <v>2859</v>
      </c>
      <c r="AC255" s="89" t="s">
        <v>2859</v>
      </c>
      <c r="AD255" s="89" t="s">
        <v>2859</v>
      </c>
      <c r="AE255" s="89" t="s">
        <v>2859</v>
      </c>
      <c r="AF255" s="89" t="s">
        <v>2859</v>
      </c>
      <c r="AG255" s="89" t="s">
        <v>2859</v>
      </c>
      <c r="AH255" s="89" t="s">
        <v>2859</v>
      </c>
      <c r="AI255" s="89" t="s">
        <v>2859</v>
      </c>
      <c r="AJ255" s="89" t="s">
        <v>2859</v>
      </c>
      <c r="AK255" s="89" t="s">
        <v>2859</v>
      </c>
      <c r="AL255" s="89" t="s">
        <v>2859</v>
      </c>
      <c r="AM255" s="89" t="s">
        <v>2859</v>
      </c>
      <c r="AN255" s="89" t="s">
        <v>2859</v>
      </c>
      <c r="AO255" s="89" t="s">
        <v>2859</v>
      </c>
      <c r="AP255" s="89" t="s">
        <v>2859</v>
      </c>
      <c r="AQ255" s="89" t="s">
        <v>2859</v>
      </c>
      <c r="AR255" s="89" t="s">
        <v>2859</v>
      </c>
      <c r="AS255" s="89" t="s">
        <v>2859</v>
      </c>
      <c r="AT255" s="89" t="s">
        <v>2859</v>
      </c>
      <c r="AU255" s="89" t="s">
        <v>2859</v>
      </c>
      <c r="AV255" s="89" t="s">
        <v>2859</v>
      </c>
      <c r="AW255" s="89" t="s">
        <v>2859</v>
      </c>
      <c r="AX255" s="89" t="s">
        <v>2859</v>
      </c>
      <c r="AY255" s="89" t="s">
        <v>2859</v>
      </c>
      <c r="AZ255" s="89" t="s">
        <v>2859</v>
      </c>
      <c r="BA255" s="89" t="s">
        <v>2859</v>
      </c>
      <c r="BB255" s="89" t="s">
        <v>2859</v>
      </c>
      <c r="BC255" s="89" t="s">
        <v>2859</v>
      </c>
      <c r="BD255" s="89" t="s">
        <v>2859</v>
      </c>
      <c r="BE255" s="89" t="s">
        <v>2859</v>
      </c>
      <c r="BF255" s="89" t="s">
        <v>2859</v>
      </c>
      <c r="BG255" s="89" t="s">
        <v>2859</v>
      </c>
      <c r="BH255" s="89" t="s">
        <v>2859</v>
      </c>
      <c r="BI255" s="89" t="s">
        <v>2859</v>
      </c>
      <c r="BJ255" s="89" t="s">
        <v>2859</v>
      </c>
      <c r="BK255" s="89" t="s">
        <v>2859</v>
      </c>
      <c r="BL255" s="89" t="s">
        <v>2859</v>
      </c>
      <c r="BM255" s="89" t="s">
        <v>2859</v>
      </c>
      <c r="BN255" s="89" t="s">
        <v>2859</v>
      </c>
      <c r="BO255" s="89" t="s">
        <v>2859</v>
      </c>
      <c r="BP255" s="89" t="s">
        <v>2859</v>
      </c>
      <c r="BQ255" s="89" t="s">
        <v>3550</v>
      </c>
      <c r="BR255" s="89" t="s">
        <v>2859</v>
      </c>
    </row>
    <row r="256" spans="1:70">
      <c r="A256" s="89" t="s">
        <v>2150</v>
      </c>
      <c r="B256" s="89" t="s">
        <v>3551</v>
      </c>
      <c r="C256" s="89" t="s">
        <v>2989</v>
      </c>
      <c r="D256" s="89" t="s">
        <v>2859</v>
      </c>
      <c r="E256" s="89" t="s">
        <v>2859</v>
      </c>
      <c r="F256" s="89" t="s">
        <v>2859</v>
      </c>
      <c r="G256" s="89" t="s">
        <v>2860</v>
      </c>
      <c r="H256" s="89" t="s">
        <v>2859</v>
      </c>
      <c r="I256" s="89" t="s">
        <v>120</v>
      </c>
      <c r="J256" s="89" t="s">
        <v>3552</v>
      </c>
      <c r="K256" s="89" t="s">
        <v>2860</v>
      </c>
      <c r="L256" s="89" t="s">
        <v>2490</v>
      </c>
      <c r="M256" s="89" t="s">
        <v>3552</v>
      </c>
      <c r="N256" s="89" t="s">
        <v>2860</v>
      </c>
      <c r="O256" s="89" t="s">
        <v>2859</v>
      </c>
      <c r="P256" s="89" t="s">
        <v>2859</v>
      </c>
      <c r="Q256" s="89" t="s">
        <v>2859</v>
      </c>
      <c r="R256" s="89" t="s">
        <v>2859</v>
      </c>
      <c r="S256" s="89" t="s">
        <v>2859</v>
      </c>
      <c r="T256" s="89" t="s">
        <v>2859</v>
      </c>
      <c r="U256" s="89" t="s">
        <v>2859</v>
      </c>
      <c r="V256" s="89" t="s">
        <v>2859</v>
      </c>
      <c r="W256" s="89" t="s">
        <v>2859</v>
      </c>
      <c r="X256" s="89" t="s">
        <v>2859</v>
      </c>
      <c r="Y256" s="89" t="s">
        <v>2859</v>
      </c>
      <c r="Z256" s="89" t="s">
        <v>2859</v>
      </c>
      <c r="AA256" s="89" t="s">
        <v>2859</v>
      </c>
      <c r="AB256" s="89" t="s">
        <v>2859</v>
      </c>
      <c r="AC256" s="89" t="s">
        <v>2859</v>
      </c>
      <c r="AD256" s="89" t="s">
        <v>2859</v>
      </c>
      <c r="AE256" s="89" t="s">
        <v>2859</v>
      </c>
      <c r="AF256" s="89" t="s">
        <v>2859</v>
      </c>
      <c r="AG256" s="89" t="s">
        <v>2859</v>
      </c>
      <c r="AH256" s="89" t="s">
        <v>2859</v>
      </c>
      <c r="AI256" s="89" t="s">
        <v>2859</v>
      </c>
      <c r="AJ256" s="89" t="s">
        <v>2859</v>
      </c>
      <c r="AK256" s="89" t="s">
        <v>2859</v>
      </c>
      <c r="AL256" s="89" t="s">
        <v>2859</v>
      </c>
      <c r="AM256" s="89" t="s">
        <v>2859</v>
      </c>
      <c r="AN256" s="89" t="s">
        <v>2859</v>
      </c>
      <c r="AO256" s="89" t="s">
        <v>2859</v>
      </c>
      <c r="AP256" s="89" t="s">
        <v>2859</v>
      </c>
      <c r="AQ256" s="89" t="s">
        <v>2859</v>
      </c>
      <c r="AR256" s="89" t="s">
        <v>2859</v>
      </c>
      <c r="AS256" s="89" t="s">
        <v>2859</v>
      </c>
      <c r="AT256" s="89" t="s">
        <v>2859</v>
      </c>
      <c r="AU256" s="89" t="s">
        <v>2859</v>
      </c>
      <c r="AV256" s="89" t="s">
        <v>2859</v>
      </c>
      <c r="AW256" s="89" t="s">
        <v>2859</v>
      </c>
      <c r="AX256" s="89" t="s">
        <v>2859</v>
      </c>
      <c r="AY256" s="89" t="s">
        <v>2859</v>
      </c>
      <c r="AZ256" s="89" t="s">
        <v>2859</v>
      </c>
      <c r="BA256" s="89" t="s">
        <v>2859</v>
      </c>
      <c r="BB256" s="89" t="s">
        <v>2859</v>
      </c>
      <c r="BC256" s="89" t="s">
        <v>2859</v>
      </c>
      <c r="BD256" s="89" t="s">
        <v>2859</v>
      </c>
      <c r="BE256" s="89" t="s">
        <v>2859</v>
      </c>
      <c r="BF256" s="89" t="s">
        <v>2859</v>
      </c>
      <c r="BG256" s="89" t="s">
        <v>2859</v>
      </c>
      <c r="BH256" s="89" t="s">
        <v>2859</v>
      </c>
      <c r="BI256" s="89" t="s">
        <v>2859</v>
      </c>
      <c r="BJ256" s="89" t="s">
        <v>2859</v>
      </c>
      <c r="BK256" s="89" t="s">
        <v>2859</v>
      </c>
      <c r="BL256" s="89" t="s">
        <v>2859</v>
      </c>
      <c r="BM256" s="89" t="s">
        <v>2859</v>
      </c>
      <c r="BN256" s="89" t="s">
        <v>2859</v>
      </c>
      <c r="BO256" s="89" t="s">
        <v>2859</v>
      </c>
      <c r="BP256" s="89" t="s">
        <v>2859</v>
      </c>
      <c r="BQ256" s="89" t="s">
        <v>3553</v>
      </c>
      <c r="BR256" s="89" t="s">
        <v>2859</v>
      </c>
    </row>
    <row r="257" spans="1:70">
      <c r="A257" s="89" t="s">
        <v>2150</v>
      </c>
      <c r="B257" s="89" t="s">
        <v>3554</v>
      </c>
      <c r="C257" s="89" t="s">
        <v>3003</v>
      </c>
      <c r="D257" s="89" t="s">
        <v>2859</v>
      </c>
      <c r="E257" s="89" t="s">
        <v>2859</v>
      </c>
      <c r="F257" s="89" t="s">
        <v>2859</v>
      </c>
      <c r="G257" s="89" t="s">
        <v>2860</v>
      </c>
      <c r="H257" s="89" t="s">
        <v>2859</v>
      </c>
      <c r="I257" s="89" t="s">
        <v>120</v>
      </c>
      <c r="J257" s="89" t="s">
        <v>3555</v>
      </c>
      <c r="K257" s="89" t="s">
        <v>2860</v>
      </c>
      <c r="L257" s="89" t="s">
        <v>2490</v>
      </c>
      <c r="M257" s="89" t="s">
        <v>3555</v>
      </c>
      <c r="N257" s="89" t="s">
        <v>2860</v>
      </c>
      <c r="O257" s="89" t="s">
        <v>2859</v>
      </c>
      <c r="P257" s="89" t="s">
        <v>2859</v>
      </c>
      <c r="Q257" s="89" t="s">
        <v>2859</v>
      </c>
      <c r="R257" s="89" t="s">
        <v>2859</v>
      </c>
      <c r="S257" s="89" t="s">
        <v>2859</v>
      </c>
      <c r="T257" s="89" t="s">
        <v>2859</v>
      </c>
      <c r="U257" s="89" t="s">
        <v>2859</v>
      </c>
      <c r="V257" s="89" t="s">
        <v>2859</v>
      </c>
      <c r="W257" s="89" t="s">
        <v>2859</v>
      </c>
      <c r="X257" s="89" t="s">
        <v>2859</v>
      </c>
      <c r="Y257" s="89" t="s">
        <v>2859</v>
      </c>
      <c r="Z257" s="89" t="s">
        <v>2859</v>
      </c>
      <c r="AA257" s="89" t="s">
        <v>2859</v>
      </c>
      <c r="AB257" s="89" t="s">
        <v>2859</v>
      </c>
      <c r="AC257" s="89" t="s">
        <v>2859</v>
      </c>
      <c r="AD257" s="89" t="s">
        <v>2859</v>
      </c>
      <c r="AE257" s="89" t="s">
        <v>2859</v>
      </c>
      <c r="AF257" s="89" t="s">
        <v>2859</v>
      </c>
      <c r="AG257" s="89" t="s">
        <v>2859</v>
      </c>
      <c r="AH257" s="89" t="s">
        <v>2859</v>
      </c>
      <c r="AI257" s="89" t="s">
        <v>2859</v>
      </c>
      <c r="AJ257" s="89" t="s">
        <v>2859</v>
      </c>
      <c r="AK257" s="89" t="s">
        <v>2859</v>
      </c>
      <c r="AL257" s="89" t="s">
        <v>2859</v>
      </c>
      <c r="AM257" s="89" t="s">
        <v>2859</v>
      </c>
      <c r="AN257" s="89" t="s">
        <v>2859</v>
      </c>
      <c r="AO257" s="89" t="s">
        <v>2859</v>
      </c>
      <c r="AP257" s="89" t="s">
        <v>2859</v>
      </c>
      <c r="AQ257" s="89" t="s">
        <v>2859</v>
      </c>
      <c r="AR257" s="89" t="s">
        <v>2859</v>
      </c>
      <c r="AS257" s="89" t="s">
        <v>2859</v>
      </c>
      <c r="AT257" s="89" t="s">
        <v>2859</v>
      </c>
      <c r="AU257" s="89" t="s">
        <v>2859</v>
      </c>
      <c r="AV257" s="89" t="s">
        <v>2859</v>
      </c>
      <c r="AW257" s="89" t="s">
        <v>2859</v>
      </c>
      <c r="AX257" s="89" t="s">
        <v>2859</v>
      </c>
      <c r="AY257" s="89" t="s">
        <v>2859</v>
      </c>
      <c r="AZ257" s="89" t="s">
        <v>2859</v>
      </c>
      <c r="BA257" s="89" t="s">
        <v>2859</v>
      </c>
      <c r="BB257" s="89" t="s">
        <v>2859</v>
      </c>
      <c r="BC257" s="89" t="s">
        <v>2859</v>
      </c>
      <c r="BD257" s="89" t="s">
        <v>2859</v>
      </c>
      <c r="BE257" s="89" t="s">
        <v>2859</v>
      </c>
      <c r="BF257" s="89" t="s">
        <v>2859</v>
      </c>
      <c r="BG257" s="89" t="s">
        <v>2859</v>
      </c>
      <c r="BH257" s="89" t="s">
        <v>2859</v>
      </c>
      <c r="BI257" s="89" t="s">
        <v>2859</v>
      </c>
      <c r="BJ257" s="89" t="s">
        <v>2859</v>
      </c>
      <c r="BK257" s="89" t="s">
        <v>2859</v>
      </c>
      <c r="BL257" s="89" t="s">
        <v>2859</v>
      </c>
      <c r="BM257" s="89" t="s">
        <v>2859</v>
      </c>
      <c r="BN257" s="89" t="s">
        <v>2859</v>
      </c>
      <c r="BO257" s="89" t="s">
        <v>2859</v>
      </c>
      <c r="BP257" s="89" t="s">
        <v>2859</v>
      </c>
      <c r="BQ257" s="89" t="s">
        <v>3556</v>
      </c>
      <c r="BR257" s="89" t="s">
        <v>2859</v>
      </c>
    </row>
    <row r="258" spans="1:70">
      <c r="A258" s="89" t="s">
        <v>2150</v>
      </c>
      <c r="B258" s="89" t="s">
        <v>3557</v>
      </c>
      <c r="C258" s="89" t="s">
        <v>2871</v>
      </c>
      <c r="D258" s="89" t="s">
        <v>2859</v>
      </c>
      <c r="E258" s="89" t="s">
        <v>2859</v>
      </c>
      <c r="F258" s="89" t="s">
        <v>2859</v>
      </c>
      <c r="G258" s="89" t="s">
        <v>2860</v>
      </c>
      <c r="H258" s="89" t="s">
        <v>2859</v>
      </c>
      <c r="I258" s="89" t="s">
        <v>120</v>
      </c>
      <c r="J258" s="89" t="s">
        <v>3558</v>
      </c>
      <c r="K258" s="89" t="s">
        <v>2867</v>
      </c>
      <c r="L258" s="89" t="s">
        <v>2490</v>
      </c>
      <c r="M258" s="89" t="s">
        <v>3558</v>
      </c>
      <c r="N258" s="89" t="s">
        <v>2867</v>
      </c>
      <c r="O258" s="89" t="s">
        <v>2859</v>
      </c>
      <c r="P258" s="89" t="s">
        <v>2859</v>
      </c>
      <c r="Q258" s="89" t="s">
        <v>2859</v>
      </c>
      <c r="R258" s="89" t="s">
        <v>2859</v>
      </c>
      <c r="S258" s="89" t="s">
        <v>2859</v>
      </c>
      <c r="T258" s="89" t="s">
        <v>2859</v>
      </c>
      <c r="U258" s="89" t="s">
        <v>2859</v>
      </c>
      <c r="V258" s="89" t="s">
        <v>2859</v>
      </c>
      <c r="W258" s="89" t="s">
        <v>2859</v>
      </c>
      <c r="X258" s="89" t="s">
        <v>2859</v>
      </c>
      <c r="Y258" s="89" t="s">
        <v>2859</v>
      </c>
      <c r="Z258" s="89" t="s">
        <v>2859</v>
      </c>
      <c r="AA258" s="89" t="s">
        <v>2859</v>
      </c>
      <c r="AB258" s="89" t="s">
        <v>2859</v>
      </c>
      <c r="AC258" s="89" t="s">
        <v>2859</v>
      </c>
      <c r="AD258" s="89" t="s">
        <v>2859</v>
      </c>
      <c r="AE258" s="89" t="s">
        <v>2859</v>
      </c>
      <c r="AF258" s="89" t="s">
        <v>2859</v>
      </c>
      <c r="AG258" s="89" t="s">
        <v>2859</v>
      </c>
      <c r="AH258" s="89" t="s">
        <v>2859</v>
      </c>
      <c r="AI258" s="89" t="s">
        <v>2859</v>
      </c>
      <c r="AJ258" s="89" t="s">
        <v>2859</v>
      </c>
      <c r="AK258" s="89" t="s">
        <v>2859</v>
      </c>
      <c r="AL258" s="89" t="s">
        <v>2859</v>
      </c>
      <c r="AM258" s="89" t="s">
        <v>2859</v>
      </c>
      <c r="AN258" s="89" t="s">
        <v>2859</v>
      </c>
      <c r="AO258" s="89" t="s">
        <v>2859</v>
      </c>
      <c r="AP258" s="89" t="s">
        <v>2859</v>
      </c>
      <c r="AQ258" s="89" t="s">
        <v>2859</v>
      </c>
      <c r="AR258" s="89" t="s">
        <v>2859</v>
      </c>
      <c r="AS258" s="89" t="s">
        <v>2859</v>
      </c>
      <c r="AT258" s="89" t="s">
        <v>2859</v>
      </c>
      <c r="AU258" s="89" t="s">
        <v>2859</v>
      </c>
      <c r="AV258" s="89" t="s">
        <v>2859</v>
      </c>
      <c r="AW258" s="89" t="s">
        <v>2859</v>
      </c>
      <c r="AX258" s="89" t="s">
        <v>2859</v>
      </c>
      <c r="AY258" s="89" t="s">
        <v>2859</v>
      </c>
      <c r="AZ258" s="89" t="s">
        <v>2859</v>
      </c>
      <c r="BA258" s="89" t="s">
        <v>2859</v>
      </c>
      <c r="BB258" s="89" t="s">
        <v>2859</v>
      </c>
      <c r="BC258" s="89" t="s">
        <v>2859</v>
      </c>
      <c r="BD258" s="89" t="s">
        <v>2859</v>
      </c>
      <c r="BE258" s="89" t="s">
        <v>2859</v>
      </c>
      <c r="BF258" s="89" t="s">
        <v>2859</v>
      </c>
      <c r="BG258" s="89" t="s">
        <v>2859</v>
      </c>
      <c r="BH258" s="89" t="s">
        <v>2859</v>
      </c>
      <c r="BI258" s="89" t="s">
        <v>2859</v>
      </c>
      <c r="BJ258" s="89" t="s">
        <v>2859</v>
      </c>
      <c r="BK258" s="89" t="s">
        <v>2859</v>
      </c>
      <c r="BL258" s="89" t="s">
        <v>2859</v>
      </c>
      <c r="BM258" s="89" t="s">
        <v>2859</v>
      </c>
      <c r="BN258" s="89" t="s">
        <v>2859</v>
      </c>
      <c r="BO258" s="89" t="s">
        <v>2859</v>
      </c>
      <c r="BP258" s="89" t="s">
        <v>2859</v>
      </c>
      <c r="BQ258" s="89" t="s">
        <v>3559</v>
      </c>
      <c r="BR258" s="89" t="s">
        <v>2869</v>
      </c>
    </row>
    <row r="259" spans="1:70">
      <c r="A259" s="89" t="s">
        <v>2150</v>
      </c>
      <c r="B259" s="89" t="s">
        <v>3560</v>
      </c>
      <c r="C259" s="89" t="s">
        <v>2989</v>
      </c>
      <c r="D259" s="89" t="s">
        <v>2859</v>
      </c>
      <c r="E259" s="89" t="s">
        <v>2859</v>
      </c>
      <c r="F259" s="89" t="s">
        <v>2859</v>
      </c>
      <c r="G259" s="89" t="s">
        <v>2860</v>
      </c>
      <c r="H259" s="89" t="s">
        <v>2859</v>
      </c>
      <c r="I259" s="89" t="s">
        <v>120</v>
      </c>
      <c r="J259" s="89" t="s">
        <v>3561</v>
      </c>
      <c r="K259" s="89" t="s">
        <v>2867</v>
      </c>
      <c r="L259" s="89" t="s">
        <v>2490</v>
      </c>
      <c r="M259" s="89" t="s">
        <v>3561</v>
      </c>
      <c r="N259" s="89" t="s">
        <v>2867</v>
      </c>
      <c r="O259" s="89" t="s">
        <v>2859</v>
      </c>
      <c r="P259" s="89" t="s">
        <v>2859</v>
      </c>
      <c r="Q259" s="89" t="s">
        <v>2859</v>
      </c>
      <c r="R259" s="89" t="s">
        <v>2859</v>
      </c>
      <c r="S259" s="89" t="s">
        <v>2859</v>
      </c>
      <c r="T259" s="89" t="s">
        <v>2859</v>
      </c>
      <c r="U259" s="89" t="s">
        <v>2859</v>
      </c>
      <c r="V259" s="89" t="s">
        <v>2859</v>
      </c>
      <c r="W259" s="89" t="s">
        <v>2859</v>
      </c>
      <c r="X259" s="89" t="s">
        <v>2859</v>
      </c>
      <c r="Y259" s="89" t="s">
        <v>2859</v>
      </c>
      <c r="Z259" s="89" t="s">
        <v>2859</v>
      </c>
      <c r="AA259" s="89" t="s">
        <v>2859</v>
      </c>
      <c r="AB259" s="89" t="s">
        <v>2859</v>
      </c>
      <c r="AC259" s="89" t="s">
        <v>2859</v>
      </c>
      <c r="AD259" s="89" t="s">
        <v>2859</v>
      </c>
      <c r="AE259" s="89" t="s">
        <v>2859</v>
      </c>
      <c r="AF259" s="89" t="s">
        <v>2859</v>
      </c>
      <c r="AG259" s="89" t="s">
        <v>2859</v>
      </c>
      <c r="AH259" s="89" t="s">
        <v>2859</v>
      </c>
      <c r="AI259" s="89" t="s">
        <v>2859</v>
      </c>
      <c r="AJ259" s="89" t="s">
        <v>2859</v>
      </c>
      <c r="AK259" s="89" t="s">
        <v>2859</v>
      </c>
      <c r="AL259" s="89" t="s">
        <v>2859</v>
      </c>
      <c r="AM259" s="89" t="s">
        <v>2859</v>
      </c>
      <c r="AN259" s="89" t="s">
        <v>2859</v>
      </c>
      <c r="AO259" s="89" t="s">
        <v>2859</v>
      </c>
      <c r="AP259" s="89" t="s">
        <v>2859</v>
      </c>
      <c r="AQ259" s="89" t="s">
        <v>2859</v>
      </c>
      <c r="AR259" s="89" t="s">
        <v>2859</v>
      </c>
      <c r="AS259" s="89" t="s">
        <v>2859</v>
      </c>
      <c r="AT259" s="89" t="s">
        <v>2859</v>
      </c>
      <c r="AU259" s="89" t="s">
        <v>2859</v>
      </c>
      <c r="AV259" s="89" t="s">
        <v>2859</v>
      </c>
      <c r="AW259" s="89" t="s">
        <v>2859</v>
      </c>
      <c r="AX259" s="89" t="s">
        <v>2859</v>
      </c>
      <c r="AY259" s="89" t="s">
        <v>2859</v>
      </c>
      <c r="AZ259" s="89" t="s">
        <v>2859</v>
      </c>
      <c r="BA259" s="89" t="s">
        <v>2859</v>
      </c>
      <c r="BB259" s="89" t="s">
        <v>2859</v>
      </c>
      <c r="BC259" s="89" t="s">
        <v>2859</v>
      </c>
      <c r="BD259" s="89" t="s">
        <v>2859</v>
      </c>
      <c r="BE259" s="89" t="s">
        <v>2859</v>
      </c>
      <c r="BF259" s="89" t="s">
        <v>2859</v>
      </c>
      <c r="BG259" s="89" t="s">
        <v>2859</v>
      </c>
      <c r="BH259" s="89" t="s">
        <v>2859</v>
      </c>
      <c r="BI259" s="89" t="s">
        <v>2859</v>
      </c>
      <c r="BJ259" s="89" t="s">
        <v>2859</v>
      </c>
      <c r="BK259" s="89" t="s">
        <v>2859</v>
      </c>
      <c r="BL259" s="89" t="s">
        <v>2859</v>
      </c>
      <c r="BM259" s="89" t="s">
        <v>2859</v>
      </c>
      <c r="BN259" s="89" t="s">
        <v>2859</v>
      </c>
      <c r="BO259" s="89" t="s">
        <v>2859</v>
      </c>
      <c r="BP259" s="89" t="s">
        <v>2859</v>
      </c>
      <c r="BQ259" s="89" t="s">
        <v>3562</v>
      </c>
      <c r="BR259" s="89" t="s">
        <v>2869</v>
      </c>
    </row>
    <row r="260" spans="1:70">
      <c r="A260" s="89" t="s">
        <v>2150</v>
      </c>
      <c r="B260" s="89" t="s">
        <v>3563</v>
      </c>
      <c r="C260" s="89" t="s">
        <v>3170</v>
      </c>
      <c r="D260" s="89" t="s">
        <v>2859</v>
      </c>
      <c r="E260" s="89" t="s">
        <v>2859</v>
      </c>
      <c r="F260" s="89" t="s">
        <v>2859</v>
      </c>
      <c r="G260" s="89" t="s">
        <v>2860</v>
      </c>
      <c r="H260" s="89" t="s">
        <v>2859</v>
      </c>
      <c r="I260" s="89" t="s">
        <v>120</v>
      </c>
      <c r="J260" s="89" t="s">
        <v>3564</v>
      </c>
      <c r="K260" s="89" t="s">
        <v>2867</v>
      </c>
      <c r="L260" s="89" t="s">
        <v>2490</v>
      </c>
      <c r="M260" s="89" t="s">
        <v>3564</v>
      </c>
      <c r="N260" s="89" t="s">
        <v>2867</v>
      </c>
      <c r="O260" s="89" t="s">
        <v>2859</v>
      </c>
      <c r="P260" s="89" t="s">
        <v>2859</v>
      </c>
      <c r="Q260" s="89" t="s">
        <v>2859</v>
      </c>
      <c r="R260" s="89" t="s">
        <v>2859</v>
      </c>
      <c r="S260" s="89" t="s">
        <v>2859</v>
      </c>
      <c r="T260" s="89" t="s">
        <v>2859</v>
      </c>
      <c r="U260" s="89" t="s">
        <v>2859</v>
      </c>
      <c r="V260" s="89" t="s">
        <v>2859</v>
      </c>
      <c r="W260" s="89" t="s">
        <v>2859</v>
      </c>
      <c r="X260" s="89" t="s">
        <v>2859</v>
      </c>
      <c r="Y260" s="89" t="s">
        <v>2859</v>
      </c>
      <c r="Z260" s="89" t="s">
        <v>2859</v>
      </c>
      <c r="AA260" s="89" t="s">
        <v>2859</v>
      </c>
      <c r="AB260" s="89" t="s">
        <v>2859</v>
      </c>
      <c r="AC260" s="89" t="s">
        <v>2859</v>
      </c>
      <c r="AD260" s="89" t="s">
        <v>2859</v>
      </c>
      <c r="AE260" s="89" t="s">
        <v>2859</v>
      </c>
      <c r="AF260" s="89" t="s">
        <v>2859</v>
      </c>
      <c r="AG260" s="89" t="s">
        <v>2859</v>
      </c>
      <c r="AH260" s="89" t="s">
        <v>2859</v>
      </c>
      <c r="AI260" s="89" t="s">
        <v>2859</v>
      </c>
      <c r="AJ260" s="89" t="s">
        <v>2859</v>
      </c>
      <c r="AK260" s="89" t="s">
        <v>2859</v>
      </c>
      <c r="AL260" s="89" t="s">
        <v>2859</v>
      </c>
      <c r="AM260" s="89" t="s">
        <v>2859</v>
      </c>
      <c r="AN260" s="89" t="s">
        <v>2859</v>
      </c>
      <c r="AO260" s="89" t="s">
        <v>2859</v>
      </c>
      <c r="AP260" s="89" t="s">
        <v>2859</v>
      </c>
      <c r="AQ260" s="89" t="s">
        <v>2859</v>
      </c>
      <c r="AR260" s="89" t="s">
        <v>2859</v>
      </c>
      <c r="AS260" s="89" t="s">
        <v>2859</v>
      </c>
      <c r="AT260" s="89" t="s">
        <v>2859</v>
      </c>
      <c r="AU260" s="89" t="s">
        <v>2859</v>
      </c>
      <c r="AV260" s="89" t="s">
        <v>2859</v>
      </c>
      <c r="AW260" s="89" t="s">
        <v>2859</v>
      </c>
      <c r="AX260" s="89" t="s">
        <v>2859</v>
      </c>
      <c r="AY260" s="89" t="s">
        <v>2859</v>
      </c>
      <c r="AZ260" s="89" t="s">
        <v>2859</v>
      </c>
      <c r="BA260" s="89" t="s">
        <v>2859</v>
      </c>
      <c r="BB260" s="89" t="s">
        <v>2859</v>
      </c>
      <c r="BC260" s="89" t="s">
        <v>2859</v>
      </c>
      <c r="BD260" s="89" t="s">
        <v>2859</v>
      </c>
      <c r="BE260" s="89" t="s">
        <v>2859</v>
      </c>
      <c r="BF260" s="89" t="s">
        <v>2859</v>
      </c>
      <c r="BG260" s="89" t="s">
        <v>2859</v>
      </c>
      <c r="BH260" s="89" t="s">
        <v>2859</v>
      </c>
      <c r="BI260" s="89" t="s">
        <v>2859</v>
      </c>
      <c r="BJ260" s="89" t="s">
        <v>2859</v>
      </c>
      <c r="BK260" s="89" t="s">
        <v>2859</v>
      </c>
      <c r="BL260" s="89" t="s">
        <v>2859</v>
      </c>
      <c r="BM260" s="89" t="s">
        <v>2859</v>
      </c>
      <c r="BN260" s="89" t="s">
        <v>2859</v>
      </c>
      <c r="BO260" s="89" t="s">
        <v>2859</v>
      </c>
      <c r="BP260" s="89" t="s">
        <v>2859</v>
      </c>
      <c r="BQ260" s="89" t="s">
        <v>3565</v>
      </c>
      <c r="BR260" s="89" t="s">
        <v>2869</v>
      </c>
    </row>
    <row r="261" spans="1:70">
      <c r="A261" s="89" t="s">
        <v>2150</v>
      </c>
      <c r="B261" s="89" t="s">
        <v>3566</v>
      </c>
      <c r="C261" s="89" t="s">
        <v>2871</v>
      </c>
      <c r="D261" s="89" t="s">
        <v>2859</v>
      </c>
      <c r="E261" s="89" t="s">
        <v>2859</v>
      </c>
      <c r="F261" s="89" t="s">
        <v>2859</v>
      </c>
      <c r="G261" s="89" t="s">
        <v>2860</v>
      </c>
      <c r="H261" s="89" t="s">
        <v>2859</v>
      </c>
      <c r="I261" s="89" t="s">
        <v>120</v>
      </c>
      <c r="J261" s="89" t="s">
        <v>3567</v>
      </c>
      <c r="K261" s="89" t="s">
        <v>2867</v>
      </c>
      <c r="L261" s="89" t="s">
        <v>2490</v>
      </c>
      <c r="M261" s="89" t="s">
        <v>3567</v>
      </c>
      <c r="N261" s="89" t="s">
        <v>2867</v>
      </c>
      <c r="O261" s="89" t="s">
        <v>2859</v>
      </c>
      <c r="P261" s="89" t="s">
        <v>2859</v>
      </c>
      <c r="Q261" s="89" t="s">
        <v>2859</v>
      </c>
      <c r="R261" s="89" t="s">
        <v>2859</v>
      </c>
      <c r="S261" s="89" t="s">
        <v>2859</v>
      </c>
      <c r="T261" s="89" t="s">
        <v>2859</v>
      </c>
      <c r="U261" s="89" t="s">
        <v>2859</v>
      </c>
      <c r="V261" s="89" t="s">
        <v>2859</v>
      </c>
      <c r="W261" s="89" t="s">
        <v>2859</v>
      </c>
      <c r="X261" s="89" t="s">
        <v>2859</v>
      </c>
      <c r="Y261" s="89" t="s">
        <v>2859</v>
      </c>
      <c r="Z261" s="89" t="s">
        <v>2859</v>
      </c>
      <c r="AA261" s="89" t="s">
        <v>2859</v>
      </c>
      <c r="AB261" s="89" t="s">
        <v>2859</v>
      </c>
      <c r="AC261" s="89" t="s">
        <v>2859</v>
      </c>
      <c r="AD261" s="89" t="s">
        <v>2859</v>
      </c>
      <c r="AE261" s="89" t="s">
        <v>2859</v>
      </c>
      <c r="AF261" s="89" t="s">
        <v>2859</v>
      </c>
      <c r="AG261" s="89" t="s">
        <v>2859</v>
      </c>
      <c r="AH261" s="89" t="s">
        <v>2859</v>
      </c>
      <c r="AI261" s="89" t="s">
        <v>2859</v>
      </c>
      <c r="AJ261" s="89" t="s">
        <v>2859</v>
      </c>
      <c r="AK261" s="89" t="s">
        <v>2859</v>
      </c>
      <c r="AL261" s="89" t="s">
        <v>2859</v>
      </c>
      <c r="AM261" s="89" t="s">
        <v>2859</v>
      </c>
      <c r="AN261" s="89" t="s">
        <v>2859</v>
      </c>
      <c r="AO261" s="89" t="s">
        <v>2859</v>
      </c>
      <c r="AP261" s="89" t="s">
        <v>2859</v>
      </c>
      <c r="AQ261" s="89" t="s">
        <v>2859</v>
      </c>
      <c r="AR261" s="89" t="s">
        <v>2859</v>
      </c>
      <c r="AS261" s="89" t="s">
        <v>2859</v>
      </c>
      <c r="AT261" s="89" t="s">
        <v>2859</v>
      </c>
      <c r="AU261" s="89" t="s">
        <v>2859</v>
      </c>
      <c r="AV261" s="89" t="s">
        <v>2859</v>
      </c>
      <c r="AW261" s="89" t="s">
        <v>2859</v>
      </c>
      <c r="AX261" s="89" t="s">
        <v>2859</v>
      </c>
      <c r="AY261" s="89" t="s">
        <v>2859</v>
      </c>
      <c r="AZ261" s="89" t="s">
        <v>2859</v>
      </c>
      <c r="BA261" s="89" t="s">
        <v>2859</v>
      </c>
      <c r="BB261" s="89" t="s">
        <v>2859</v>
      </c>
      <c r="BC261" s="89" t="s">
        <v>2859</v>
      </c>
      <c r="BD261" s="89" t="s">
        <v>2859</v>
      </c>
      <c r="BE261" s="89" t="s">
        <v>2859</v>
      </c>
      <c r="BF261" s="89" t="s">
        <v>2859</v>
      </c>
      <c r="BG261" s="89" t="s">
        <v>2859</v>
      </c>
      <c r="BH261" s="89" t="s">
        <v>2859</v>
      </c>
      <c r="BI261" s="89" t="s">
        <v>2859</v>
      </c>
      <c r="BJ261" s="89" t="s">
        <v>2859</v>
      </c>
      <c r="BK261" s="89" t="s">
        <v>2859</v>
      </c>
      <c r="BL261" s="89" t="s">
        <v>2859</v>
      </c>
      <c r="BM261" s="89" t="s">
        <v>2859</v>
      </c>
      <c r="BN261" s="89" t="s">
        <v>2859</v>
      </c>
      <c r="BO261" s="89" t="s">
        <v>2859</v>
      </c>
      <c r="BP261" s="89" t="s">
        <v>2859</v>
      </c>
      <c r="BQ261" s="89" t="s">
        <v>3568</v>
      </c>
      <c r="BR261" s="89" t="s">
        <v>2869</v>
      </c>
    </row>
    <row r="262" spans="1:70">
      <c r="A262" s="89" t="s">
        <v>2150</v>
      </c>
      <c r="B262" s="89" t="s">
        <v>3569</v>
      </c>
      <c r="C262" s="89" t="s">
        <v>2971</v>
      </c>
      <c r="D262" s="89" t="s">
        <v>2859</v>
      </c>
      <c r="E262" s="89" t="s">
        <v>2859</v>
      </c>
      <c r="F262" s="89" t="s">
        <v>2859</v>
      </c>
      <c r="G262" s="89" t="s">
        <v>2860</v>
      </c>
      <c r="H262" s="89" t="s">
        <v>2859</v>
      </c>
      <c r="I262" s="89" t="s">
        <v>3055</v>
      </c>
      <c r="J262" s="89" t="s">
        <v>3570</v>
      </c>
      <c r="K262" s="89" t="s">
        <v>2860</v>
      </c>
      <c r="L262" s="89" t="s">
        <v>2859</v>
      </c>
      <c r="M262" s="89" t="s">
        <v>2859</v>
      </c>
      <c r="N262" s="89" t="s">
        <v>2859</v>
      </c>
      <c r="O262" s="89" t="s">
        <v>2859</v>
      </c>
      <c r="P262" s="89" t="s">
        <v>2859</v>
      </c>
      <c r="Q262" s="89" t="s">
        <v>2859</v>
      </c>
      <c r="R262" s="89" t="s">
        <v>2859</v>
      </c>
      <c r="S262" s="89" t="s">
        <v>2859</v>
      </c>
      <c r="T262" s="89" t="s">
        <v>2859</v>
      </c>
      <c r="U262" s="89" t="s">
        <v>2859</v>
      </c>
      <c r="V262" s="89" t="s">
        <v>2859</v>
      </c>
      <c r="W262" s="89" t="s">
        <v>2859</v>
      </c>
      <c r="X262" s="89" t="s">
        <v>2859</v>
      </c>
      <c r="Y262" s="89" t="s">
        <v>2859</v>
      </c>
      <c r="Z262" s="89" t="s">
        <v>2859</v>
      </c>
      <c r="AA262" s="89" t="s">
        <v>2859</v>
      </c>
      <c r="AB262" s="89" t="s">
        <v>2859</v>
      </c>
      <c r="AC262" s="89" t="s">
        <v>2859</v>
      </c>
      <c r="AD262" s="89" t="s">
        <v>2859</v>
      </c>
      <c r="AE262" s="89" t="s">
        <v>2859</v>
      </c>
      <c r="AF262" s="89" t="s">
        <v>2859</v>
      </c>
      <c r="AG262" s="89" t="s">
        <v>2859</v>
      </c>
      <c r="AH262" s="89" t="s">
        <v>2859</v>
      </c>
      <c r="AI262" s="89" t="s">
        <v>2859</v>
      </c>
      <c r="AJ262" s="89" t="s">
        <v>2859</v>
      </c>
      <c r="AK262" s="89" t="s">
        <v>2859</v>
      </c>
      <c r="AL262" s="89" t="s">
        <v>2859</v>
      </c>
      <c r="AM262" s="89" t="s">
        <v>2859</v>
      </c>
      <c r="AN262" s="89" t="s">
        <v>2859</v>
      </c>
      <c r="AO262" s="89" t="s">
        <v>2859</v>
      </c>
      <c r="AP262" s="89" t="s">
        <v>2859</v>
      </c>
      <c r="AQ262" s="89" t="s">
        <v>2859</v>
      </c>
      <c r="AR262" s="89" t="s">
        <v>2859</v>
      </c>
      <c r="AS262" s="89" t="s">
        <v>2859</v>
      </c>
      <c r="AT262" s="89" t="s">
        <v>2859</v>
      </c>
      <c r="AU262" s="89" t="s">
        <v>2859</v>
      </c>
      <c r="AV262" s="89" t="s">
        <v>2859</v>
      </c>
      <c r="AW262" s="89" t="s">
        <v>2859</v>
      </c>
      <c r="AX262" s="89" t="s">
        <v>2859</v>
      </c>
      <c r="AY262" s="89" t="s">
        <v>2859</v>
      </c>
      <c r="AZ262" s="89" t="s">
        <v>2859</v>
      </c>
      <c r="BA262" s="89" t="s">
        <v>2859</v>
      </c>
      <c r="BB262" s="89" t="s">
        <v>2859</v>
      </c>
      <c r="BC262" s="89" t="s">
        <v>2859</v>
      </c>
      <c r="BD262" s="89" t="s">
        <v>2859</v>
      </c>
      <c r="BE262" s="89" t="s">
        <v>2859</v>
      </c>
      <c r="BF262" s="89" t="s">
        <v>2859</v>
      </c>
      <c r="BG262" s="89" t="s">
        <v>2859</v>
      </c>
      <c r="BH262" s="89" t="s">
        <v>2859</v>
      </c>
      <c r="BI262" s="89" t="s">
        <v>2859</v>
      </c>
      <c r="BJ262" s="89" t="s">
        <v>2859</v>
      </c>
      <c r="BK262" s="89" t="s">
        <v>2859</v>
      </c>
      <c r="BL262" s="89" t="s">
        <v>2859</v>
      </c>
      <c r="BM262" s="89" t="s">
        <v>2859</v>
      </c>
      <c r="BN262" s="89" t="s">
        <v>2859</v>
      </c>
      <c r="BO262" s="89" t="s">
        <v>2859</v>
      </c>
      <c r="BP262" s="89" t="s">
        <v>2859</v>
      </c>
      <c r="BQ262" s="89" t="s">
        <v>3571</v>
      </c>
      <c r="BR262" s="89" t="s">
        <v>2859</v>
      </c>
    </row>
    <row r="263" spans="1:70">
      <c r="A263" s="89" t="s">
        <v>2150</v>
      </c>
      <c r="B263" s="89" t="s">
        <v>3572</v>
      </c>
      <c r="C263" s="89" t="s">
        <v>2858</v>
      </c>
      <c r="D263" s="89" t="s">
        <v>2859</v>
      </c>
      <c r="E263" s="89" t="s">
        <v>2859</v>
      </c>
      <c r="F263" s="89" t="s">
        <v>2859</v>
      </c>
      <c r="G263" s="89" t="s">
        <v>2860</v>
      </c>
      <c r="H263" s="89" t="s">
        <v>2859</v>
      </c>
      <c r="I263" s="89" t="s">
        <v>2891</v>
      </c>
      <c r="J263" s="89" t="s">
        <v>3573</v>
      </c>
      <c r="K263" s="89" t="s">
        <v>2860</v>
      </c>
      <c r="L263" s="89" t="s">
        <v>2979</v>
      </c>
      <c r="M263" s="89" t="s">
        <v>3574</v>
      </c>
      <c r="N263" s="89" t="s">
        <v>2860</v>
      </c>
      <c r="O263" s="89" t="s">
        <v>2859</v>
      </c>
      <c r="P263" s="89" t="s">
        <v>2859</v>
      </c>
      <c r="Q263" s="89" t="s">
        <v>2859</v>
      </c>
      <c r="R263" s="89" t="s">
        <v>2859</v>
      </c>
      <c r="S263" s="89" t="s">
        <v>2859</v>
      </c>
      <c r="T263" s="89" t="s">
        <v>2859</v>
      </c>
      <c r="U263" s="89" t="s">
        <v>2859</v>
      </c>
      <c r="V263" s="89" t="s">
        <v>2859</v>
      </c>
      <c r="W263" s="89" t="s">
        <v>2859</v>
      </c>
      <c r="X263" s="89" t="s">
        <v>2859</v>
      </c>
      <c r="Y263" s="89" t="s">
        <v>2859</v>
      </c>
      <c r="Z263" s="89" t="s">
        <v>2859</v>
      </c>
      <c r="AA263" s="89" t="s">
        <v>2859</v>
      </c>
      <c r="AB263" s="89" t="s">
        <v>2859</v>
      </c>
      <c r="AC263" s="89" t="s">
        <v>2859</v>
      </c>
      <c r="AD263" s="89" t="s">
        <v>2859</v>
      </c>
      <c r="AE263" s="89" t="s">
        <v>2859</v>
      </c>
      <c r="AF263" s="89" t="s">
        <v>2859</v>
      </c>
      <c r="AG263" s="89" t="s">
        <v>2859</v>
      </c>
      <c r="AH263" s="89" t="s">
        <v>2859</v>
      </c>
      <c r="AI263" s="89" t="s">
        <v>2859</v>
      </c>
      <c r="AJ263" s="89" t="s">
        <v>2859</v>
      </c>
      <c r="AK263" s="89" t="s">
        <v>2859</v>
      </c>
      <c r="AL263" s="89" t="s">
        <v>2859</v>
      </c>
      <c r="AM263" s="89" t="s">
        <v>2859</v>
      </c>
      <c r="AN263" s="89" t="s">
        <v>2859</v>
      </c>
      <c r="AO263" s="89" t="s">
        <v>2859</v>
      </c>
      <c r="AP263" s="89" t="s">
        <v>2859</v>
      </c>
      <c r="AQ263" s="89" t="s">
        <v>2859</v>
      </c>
      <c r="AR263" s="89" t="s">
        <v>2859</v>
      </c>
      <c r="AS263" s="89" t="s">
        <v>2859</v>
      </c>
      <c r="AT263" s="89" t="s">
        <v>2859</v>
      </c>
      <c r="AU263" s="89" t="s">
        <v>2859</v>
      </c>
      <c r="AV263" s="89" t="s">
        <v>2859</v>
      </c>
      <c r="AW263" s="89" t="s">
        <v>2859</v>
      </c>
      <c r="AX263" s="89" t="s">
        <v>2859</v>
      </c>
      <c r="AY263" s="89" t="s">
        <v>2859</v>
      </c>
      <c r="AZ263" s="89" t="s">
        <v>2859</v>
      </c>
      <c r="BA263" s="89" t="s">
        <v>2859</v>
      </c>
      <c r="BB263" s="89" t="s">
        <v>2859</v>
      </c>
      <c r="BC263" s="89" t="s">
        <v>2859</v>
      </c>
      <c r="BD263" s="89" t="s">
        <v>2859</v>
      </c>
      <c r="BE263" s="89" t="s">
        <v>2859</v>
      </c>
      <c r="BF263" s="89" t="s">
        <v>2859</v>
      </c>
      <c r="BG263" s="89" t="s">
        <v>2859</v>
      </c>
      <c r="BH263" s="89" t="s">
        <v>2859</v>
      </c>
      <c r="BI263" s="89" t="s">
        <v>2859</v>
      </c>
      <c r="BJ263" s="89" t="s">
        <v>2859</v>
      </c>
      <c r="BK263" s="89" t="s">
        <v>2859</v>
      </c>
      <c r="BL263" s="89" t="s">
        <v>2859</v>
      </c>
      <c r="BM263" s="89" t="s">
        <v>2859</v>
      </c>
      <c r="BN263" s="89" t="s">
        <v>2859</v>
      </c>
      <c r="BO263" s="89" t="s">
        <v>2859</v>
      </c>
      <c r="BP263" s="89" t="s">
        <v>2859</v>
      </c>
      <c r="BQ263" s="89" t="s">
        <v>3575</v>
      </c>
      <c r="BR263" s="89" t="s">
        <v>2859</v>
      </c>
    </row>
    <row r="264" spans="1:70">
      <c r="A264" s="89" t="s">
        <v>2150</v>
      </c>
      <c r="B264" s="89" t="s">
        <v>3576</v>
      </c>
      <c r="C264" s="89" t="s">
        <v>2879</v>
      </c>
      <c r="D264" s="89" t="s">
        <v>2859</v>
      </c>
      <c r="E264" s="89" t="s">
        <v>2859</v>
      </c>
      <c r="F264" s="89" t="s">
        <v>2859</v>
      </c>
      <c r="G264" s="89" t="s">
        <v>2860</v>
      </c>
      <c r="H264" s="89" t="s">
        <v>2859</v>
      </c>
      <c r="I264" s="89" t="s">
        <v>120</v>
      </c>
      <c r="J264" s="89" t="s">
        <v>3577</v>
      </c>
      <c r="K264" s="89" t="s">
        <v>2860</v>
      </c>
      <c r="L264" s="89" t="s">
        <v>2979</v>
      </c>
      <c r="M264" s="89" t="s">
        <v>3577</v>
      </c>
      <c r="N264" s="89" t="s">
        <v>2860</v>
      </c>
      <c r="O264" s="89" t="s">
        <v>1463</v>
      </c>
      <c r="P264" s="89" t="s">
        <v>3577</v>
      </c>
      <c r="Q264" s="89" t="s">
        <v>2860</v>
      </c>
      <c r="R264" s="89" t="s">
        <v>621</v>
      </c>
      <c r="S264" s="89" t="s">
        <v>3577</v>
      </c>
      <c r="T264" s="89" t="s">
        <v>2860</v>
      </c>
      <c r="U264" s="89" t="s">
        <v>3540</v>
      </c>
      <c r="V264" s="89" t="s">
        <v>3577</v>
      </c>
      <c r="W264" s="89" t="s">
        <v>2860</v>
      </c>
      <c r="X264" s="89" t="s">
        <v>3101</v>
      </c>
      <c r="Y264" s="89" t="s">
        <v>3577</v>
      </c>
      <c r="Z264" s="89" t="s">
        <v>2860</v>
      </c>
      <c r="AA264" s="89" t="s">
        <v>2859</v>
      </c>
      <c r="AB264" s="89" t="s">
        <v>2859</v>
      </c>
      <c r="AC264" s="89" t="s">
        <v>2859</v>
      </c>
      <c r="AD264" s="89" t="s">
        <v>2859</v>
      </c>
      <c r="AE264" s="89" t="s">
        <v>2859</v>
      </c>
      <c r="AF264" s="89" t="s">
        <v>2859</v>
      </c>
      <c r="AG264" s="89" t="s">
        <v>2859</v>
      </c>
      <c r="AH264" s="89" t="s">
        <v>2859</v>
      </c>
      <c r="AI264" s="89" t="s">
        <v>2859</v>
      </c>
      <c r="AJ264" s="89" t="s">
        <v>2859</v>
      </c>
      <c r="AK264" s="89" t="s">
        <v>2859</v>
      </c>
      <c r="AL264" s="89" t="s">
        <v>2859</v>
      </c>
      <c r="AM264" s="89" t="s">
        <v>2859</v>
      </c>
      <c r="AN264" s="89" t="s">
        <v>2859</v>
      </c>
      <c r="AO264" s="89" t="s">
        <v>2859</v>
      </c>
      <c r="AP264" s="89" t="s">
        <v>2859</v>
      </c>
      <c r="AQ264" s="89" t="s">
        <v>2859</v>
      </c>
      <c r="AR264" s="89" t="s">
        <v>2859</v>
      </c>
      <c r="AS264" s="89" t="s">
        <v>2859</v>
      </c>
      <c r="AT264" s="89" t="s">
        <v>2859</v>
      </c>
      <c r="AU264" s="89" t="s">
        <v>2859</v>
      </c>
      <c r="AV264" s="89" t="s">
        <v>2859</v>
      </c>
      <c r="AW264" s="89" t="s">
        <v>2859</v>
      </c>
      <c r="AX264" s="89" t="s">
        <v>2859</v>
      </c>
      <c r="AY264" s="89" t="s">
        <v>2859</v>
      </c>
      <c r="AZ264" s="89" t="s">
        <v>2859</v>
      </c>
      <c r="BA264" s="89" t="s">
        <v>2859</v>
      </c>
      <c r="BB264" s="89" t="s">
        <v>2859</v>
      </c>
      <c r="BC264" s="89" t="s">
        <v>2859</v>
      </c>
      <c r="BD264" s="89" t="s">
        <v>2859</v>
      </c>
      <c r="BE264" s="89" t="s">
        <v>2859</v>
      </c>
      <c r="BF264" s="89" t="s">
        <v>2859</v>
      </c>
      <c r="BG264" s="89" t="s">
        <v>2859</v>
      </c>
      <c r="BH264" s="89" t="s">
        <v>2859</v>
      </c>
      <c r="BI264" s="89" t="s">
        <v>2859</v>
      </c>
      <c r="BJ264" s="89" t="s">
        <v>2859</v>
      </c>
      <c r="BK264" s="89" t="s">
        <v>2859</v>
      </c>
      <c r="BL264" s="89" t="s">
        <v>2859</v>
      </c>
      <c r="BM264" s="89" t="s">
        <v>2859</v>
      </c>
      <c r="BN264" s="89" t="s">
        <v>2859</v>
      </c>
      <c r="BO264" s="89" t="s">
        <v>2859</v>
      </c>
      <c r="BP264" s="89" t="s">
        <v>2859</v>
      </c>
      <c r="BQ264" s="89" t="s">
        <v>3578</v>
      </c>
      <c r="BR264" s="89" t="s">
        <v>2859</v>
      </c>
    </row>
    <row r="265" spans="1:70">
      <c r="A265" s="89" t="s">
        <v>2150</v>
      </c>
      <c r="B265" s="89" t="s">
        <v>3579</v>
      </c>
      <c r="C265" s="89" t="s">
        <v>2864</v>
      </c>
      <c r="D265" s="89" t="s">
        <v>2859</v>
      </c>
      <c r="E265" s="89" t="s">
        <v>2859</v>
      </c>
      <c r="F265" s="89" t="s">
        <v>2859</v>
      </c>
      <c r="G265" s="89" t="s">
        <v>2860</v>
      </c>
      <c r="H265" s="89" t="s">
        <v>2859</v>
      </c>
      <c r="I265" s="89" t="s">
        <v>2865</v>
      </c>
      <c r="J265" s="89" t="s">
        <v>3570</v>
      </c>
      <c r="K265" s="89" t="s">
        <v>2860</v>
      </c>
      <c r="L265" s="89" t="s">
        <v>2859</v>
      </c>
      <c r="M265" s="89" t="s">
        <v>2859</v>
      </c>
      <c r="N265" s="89" t="s">
        <v>2859</v>
      </c>
      <c r="O265" s="89" t="s">
        <v>2859</v>
      </c>
      <c r="P265" s="89" t="s">
        <v>2859</v>
      </c>
      <c r="Q265" s="89" t="s">
        <v>2859</v>
      </c>
      <c r="R265" s="89" t="s">
        <v>2859</v>
      </c>
      <c r="S265" s="89" t="s">
        <v>2859</v>
      </c>
      <c r="T265" s="89" t="s">
        <v>2859</v>
      </c>
      <c r="U265" s="89" t="s">
        <v>2859</v>
      </c>
      <c r="V265" s="89" t="s">
        <v>2859</v>
      </c>
      <c r="W265" s="89" t="s">
        <v>2859</v>
      </c>
      <c r="X265" s="89" t="s">
        <v>2859</v>
      </c>
      <c r="Y265" s="89" t="s">
        <v>2859</v>
      </c>
      <c r="Z265" s="89" t="s">
        <v>2859</v>
      </c>
      <c r="AA265" s="89" t="s">
        <v>2859</v>
      </c>
      <c r="AB265" s="89" t="s">
        <v>2859</v>
      </c>
      <c r="AC265" s="89" t="s">
        <v>2859</v>
      </c>
      <c r="AD265" s="89" t="s">
        <v>2859</v>
      </c>
      <c r="AE265" s="89" t="s">
        <v>2859</v>
      </c>
      <c r="AF265" s="89" t="s">
        <v>2859</v>
      </c>
      <c r="AG265" s="89" t="s">
        <v>2859</v>
      </c>
      <c r="AH265" s="89" t="s">
        <v>2859</v>
      </c>
      <c r="AI265" s="89" t="s">
        <v>2859</v>
      </c>
      <c r="AJ265" s="89" t="s">
        <v>2859</v>
      </c>
      <c r="AK265" s="89" t="s">
        <v>2859</v>
      </c>
      <c r="AL265" s="89" t="s">
        <v>2859</v>
      </c>
      <c r="AM265" s="89" t="s">
        <v>2859</v>
      </c>
      <c r="AN265" s="89" t="s">
        <v>2859</v>
      </c>
      <c r="AO265" s="89" t="s">
        <v>2859</v>
      </c>
      <c r="AP265" s="89" t="s">
        <v>2859</v>
      </c>
      <c r="AQ265" s="89" t="s">
        <v>2859</v>
      </c>
      <c r="AR265" s="89" t="s">
        <v>2859</v>
      </c>
      <c r="AS265" s="89" t="s">
        <v>2859</v>
      </c>
      <c r="AT265" s="89" t="s">
        <v>2859</v>
      </c>
      <c r="AU265" s="89" t="s">
        <v>2859</v>
      </c>
      <c r="AV265" s="89" t="s">
        <v>2859</v>
      </c>
      <c r="AW265" s="89" t="s">
        <v>2859</v>
      </c>
      <c r="AX265" s="89" t="s">
        <v>2859</v>
      </c>
      <c r="AY265" s="89" t="s">
        <v>2859</v>
      </c>
      <c r="AZ265" s="89" t="s">
        <v>2859</v>
      </c>
      <c r="BA265" s="89" t="s">
        <v>2859</v>
      </c>
      <c r="BB265" s="89" t="s">
        <v>2859</v>
      </c>
      <c r="BC265" s="89" t="s">
        <v>2859</v>
      </c>
      <c r="BD265" s="89" t="s">
        <v>2859</v>
      </c>
      <c r="BE265" s="89" t="s">
        <v>2859</v>
      </c>
      <c r="BF265" s="89" t="s">
        <v>2859</v>
      </c>
      <c r="BG265" s="89" t="s">
        <v>2859</v>
      </c>
      <c r="BH265" s="89" t="s">
        <v>2859</v>
      </c>
      <c r="BI265" s="89" t="s">
        <v>2859</v>
      </c>
      <c r="BJ265" s="89" t="s">
        <v>2859</v>
      </c>
      <c r="BK265" s="89" t="s">
        <v>2859</v>
      </c>
      <c r="BL265" s="89" t="s">
        <v>2859</v>
      </c>
      <c r="BM265" s="89" t="s">
        <v>2859</v>
      </c>
      <c r="BN265" s="89" t="s">
        <v>2859</v>
      </c>
      <c r="BO265" s="89" t="s">
        <v>2859</v>
      </c>
      <c r="BP265" s="89" t="s">
        <v>2859</v>
      </c>
      <c r="BQ265" s="89" t="s">
        <v>3580</v>
      </c>
      <c r="BR265" s="89" t="s">
        <v>2859</v>
      </c>
    </row>
    <row r="266" spans="1:70">
      <c r="A266" s="89" t="s">
        <v>2150</v>
      </c>
      <c r="B266" s="89" t="s">
        <v>3581</v>
      </c>
      <c r="C266" s="89" t="s">
        <v>3170</v>
      </c>
      <c r="D266" s="89" t="s">
        <v>2859</v>
      </c>
      <c r="E266" s="89" t="s">
        <v>2859</v>
      </c>
      <c r="F266" s="89" t="s">
        <v>2859</v>
      </c>
      <c r="G266" s="89" t="s">
        <v>2860</v>
      </c>
      <c r="H266" s="89" t="s">
        <v>2859</v>
      </c>
      <c r="I266" s="89" t="s">
        <v>2865</v>
      </c>
      <c r="J266" s="89" t="s">
        <v>3570</v>
      </c>
      <c r="K266" s="89" t="s">
        <v>2860</v>
      </c>
      <c r="L266" s="89" t="s">
        <v>2859</v>
      </c>
      <c r="M266" s="89" t="s">
        <v>2859</v>
      </c>
      <c r="N266" s="89" t="s">
        <v>2859</v>
      </c>
      <c r="O266" s="89" t="s">
        <v>2859</v>
      </c>
      <c r="P266" s="89" t="s">
        <v>2859</v>
      </c>
      <c r="Q266" s="89" t="s">
        <v>2859</v>
      </c>
      <c r="R266" s="89" t="s">
        <v>2859</v>
      </c>
      <c r="S266" s="89" t="s">
        <v>2859</v>
      </c>
      <c r="T266" s="89" t="s">
        <v>2859</v>
      </c>
      <c r="U266" s="89" t="s">
        <v>2859</v>
      </c>
      <c r="V266" s="89" t="s">
        <v>2859</v>
      </c>
      <c r="W266" s="89" t="s">
        <v>2859</v>
      </c>
      <c r="X266" s="89" t="s">
        <v>2859</v>
      </c>
      <c r="Y266" s="89" t="s">
        <v>2859</v>
      </c>
      <c r="Z266" s="89" t="s">
        <v>2859</v>
      </c>
      <c r="AA266" s="89" t="s">
        <v>2859</v>
      </c>
      <c r="AB266" s="89" t="s">
        <v>2859</v>
      </c>
      <c r="AC266" s="89" t="s">
        <v>2859</v>
      </c>
      <c r="AD266" s="89" t="s">
        <v>2859</v>
      </c>
      <c r="AE266" s="89" t="s">
        <v>2859</v>
      </c>
      <c r="AF266" s="89" t="s">
        <v>2859</v>
      </c>
      <c r="AG266" s="89" t="s">
        <v>2859</v>
      </c>
      <c r="AH266" s="89" t="s">
        <v>2859</v>
      </c>
      <c r="AI266" s="89" t="s">
        <v>2859</v>
      </c>
      <c r="AJ266" s="89" t="s">
        <v>2859</v>
      </c>
      <c r="AK266" s="89" t="s">
        <v>2859</v>
      </c>
      <c r="AL266" s="89" t="s">
        <v>2859</v>
      </c>
      <c r="AM266" s="89" t="s">
        <v>2859</v>
      </c>
      <c r="AN266" s="89" t="s">
        <v>2859</v>
      </c>
      <c r="AO266" s="89" t="s">
        <v>2859</v>
      </c>
      <c r="AP266" s="89" t="s">
        <v>2859</v>
      </c>
      <c r="AQ266" s="89" t="s">
        <v>2859</v>
      </c>
      <c r="AR266" s="89" t="s">
        <v>2859</v>
      </c>
      <c r="AS266" s="89" t="s">
        <v>2859</v>
      </c>
      <c r="AT266" s="89" t="s">
        <v>2859</v>
      </c>
      <c r="AU266" s="89" t="s">
        <v>2859</v>
      </c>
      <c r="AV266" s="89" t="s">
        <v>2859</v>
      </c>
      <c r="AW266" s="89" t="s">
        <v>2859</v>
      </c>
      <c r="AX266" s="89" t="s">
        <v>2859</v>
      </c>
      <c r="AY266" s="89" t="s">
        <v>2859</v>
      </c>
      <c r="AZ266" s="89" t="s">
        <v>2859</v>
      </c>
      <c r="BA266" s="89" t="s">
        <v>2859</v>
      </c>
      <c r="BB266" s="89" t="s">
        <v>2859</v>
      </c>
      <c r="BC266" s="89" t="s">
        <v>2859</v>
      </c>
      <c r="BD266" s="89" t="s">
        <v>2859</v>
      </c>
      <c r="BE266" s="89" t="s">
        <v>2859</v>
      </c>
      <c r="BF266" s="89" t="s">
        <v>2859</v>
      </c>
      <c r="BG266" s="89" t="s">
        <v>2859</v>
      </c>
      <c r="BH266" s="89" t="s">
        <v>2859</v>
      </c>
      <c r="BI266" s="89" t="s">
        <v>2859</v>
      </c>
      <c r="BJ266" s="89" t="s">
        <v>2859</v>
      </c>
      <c r="BK266" s="89" t="s">
        <v>2859</v>
      </c>
      <c r="BL266" s="89" t="s">
        <v>2859</v>
      </c>
      <c r="BM266" s="89" t="s">
        <v>2859</v>
      </c>
      <c r="BN266" s="89" t="s">
        <v>2859</v>
      </c>
      <c r="BO266" s="89" t="s">
        <v>2859</v>
      </c>
      <c r="BP266" s="89" t="s">
        <v>2859</v>
      </c>
      <c r="BQ266" s="89" t="s">
        <v>3582</v>
      </c>
      <c r="BR266" s="89" t="s">
        <v>2859</v>
      </c>
    </row>
    <row r="267" spans="1:70">
      <c r="A267" s="89" t="s">
        <v>2150</v>
      </c>
      <c r="B267" s="89" t="s">
        <v>3583</v>
      </c>
      <c r="C267" s="89" t="s">
        <v>2864</v>
      </c>
      <c r="D267" s="89" t="s">
        <v>2859</v>
      </c>
      <c r="E267" s="89" t="s">
        <v>2859</v>
      </c>
      <c r="F267" s="89" t="s">
        <v>2859</v>
      </c>
      <c r="G267" s="89" t="s">
        <v>2860</v>
      </c>
      <c r="H267" s="89" t="s">
        <v>2859</v>
      </c>
      <c r="I267" s="89" t="s">
        <v>3584</v>
      </c>
      <c r="J267" s="89" t="s">
        <v>3585</v>
      </c>
      <c r="K267" s="89" t="s">
        <v>2860</v>
      </c>
      <c r="L267" s="89" t="s">
        <v>2585</v>
      </c>
      <c r="M267" s="89" t="s">
        <v>3585</v>
      </c>
      <c r="N267" s="89" t="s">
        <v>2860</v>
      </c>
      <c r="O267" s="89" t="s">
        <v>2891</v>
      </c>
      <c r="P267" s="89" t="s">
        <v>3586</v>
      </c>
      <c r="Q267" s="89" t="s">
        <v>2860</v>
      </c>
      <c r="R267" s="89" t="s">
        <v>2859</v>
      </c>
      <c r="S267" s="89" t="s">
        <v>2859</v>
      </c>
      <c r="T267" s="89" t="s">
        <v>2859</v>
      </c>
      <c r="U267" s="89" t="s">
        <v>2859</v>
      </c>
      <c r="V267" s="89" t="s">
        <v>2859</v>
      </c>
      <c r="W267" s="89" t="s">
        <v>2859</v>
      </c>
      <c r="X267" s="89" t="s">
        <v>2859</v>
      </c>
      <c r="Y267" s="89" t="s">
        <v>2859</v>
      </c>
      <c r="Z267" s="89" t="s">
        <v>2859</v>
      </c>
      <c r="AA267" s="89" t="s">
        <v>2859</v>
      </c>
      <c r="AB267" s="89" t="s">
        <v>2859</v>
      </c>
      <c r="AC267" s="89" t="s">
        <v>2859</v>
      </c>
      <c r="AD267" s="89" t="s">
        <v>2859</v>
      </c>
      <c r="AE267" s="89" t="s">
        <v>2859</v>
      </c>
      <c r="AF267" s="89" t="s">
        <v>2859</v>
      </c>
      <c r="AG267" s="89" t="s">
        <v>2859</v>
      </c>
      <c r="AH267" s="89" t="s">
        <v>2859</v>
      </c>
      <c r="AI267" s="89" t="s">
        <v>2859</v>
      </c>
      <c r="AJ267" s="89" t="s">
        <v>2859</v>
      </c>
      <c r="AK267" s="89" t="s">
        <v>2859</v>
      </c>
      <c r="AL267" s="89" t="s">
        <v>2859</v>
      </c>
      <c r="AM267" s="89" t="s">
        <v>2859</v>
      </c>
      <c r="AN267" s="89" t="s">
        <v>2859</v>
      </c>
      <c r="AO267" s="89" t="s">
        <v>2859</v>
      </c>
      <c r="AP267" s="89" t="s">
        <v>2859</v>
      </c>
      <c r="AQ267" s="89" t="s">
        <v>2859</v>
      </c>
      <c r="AR267" s="89" t="s">
        <v>2859</v>
      </c>
      <c r="AS267" s="89" t="s">
        <v>2859</v>
      </c>
      <c r="AT267" s="89" t="s">
        <v>2859</v>
      </c>
      <c r="AU267" s="89" t="s">
        <v>2859</v>
      </c>
      <c r="AV267" s="89" t="s">
        <v>2859</v>
      </c>
      <c r="AW267" s="89" t="s">
        <v>2859</v>
      </c>
      <c r="AX267" s="89" t="s">
        <v>2859</v>
      </c>
      <c r="AY267" s="89" t="s">
        <v>2859</v>
      </c>
      <c r="AZ267" s="89" t="s">
        <v>2859</v>
      </c>
      <c r="BA267" s="89" t="s">
        <v>2859</v>
      </c>
      <c r="BB267" s="89" t="s">
        <v>2859</v>
      </c>
      <c r="BC267" s="89" t="s">
        <v>2859</v>
      </c>
      <c r="BD267" s="89" t="s">
        <v>2859</v>
      </c>
      <c r="BE267" s="89" t="s">
        <v>2859</v>
      </c>
      <c r="BF267" s="89" t="s">
        <v>2859</v>
      </c>
      <c r="BG267" s="89" t="s">
        <v>2859</v>
      </c>
      <c r="BH267" s="89" t="s">
        <v>2859</v>
      </c>
      <c r="BI267" s="89" t="s">
        <v>2859</v>
      </c>
      <c r="BJ267" s="89" t="s">
        <v>2859</v>
      </c>
      <c r="BK267" s="89" t="s">
        <v>2859</v>
      </c>
      <c r="BL267" s="89" t="s">
        <v>2859</v>
      </c>
      <c r="BM267" s="89" t="s">
        <v>2859</v>
      </c>
      <c r="BN267" s="89" t="s">
        <v>2859</v>
      </c>
      <c r="BO267" s="89" t="s">
        <v>2859</v>
      </c>
      <c r="BP267" s="89" t="s">
        <v>2859</v>
      </c>
      <c r="BQ267" s="89" t="s">
        <v>3587</v>
      </c>
      <c r="BR267" s="89" t="s">
        <v>2859</v>
      </c>
    </row>
    <row r="268" spans="1:70">
      <c r="A268" s="89" t="s">
        <v>2150</v>
      </c>
      <c r="B268" s="89" t="s">
        <v>3588</v>
      </c>
      <c r="C268" s="89" t="s">
        <v>2884</v>
      </c>
      <c r="D268" s="89" t="s">
        <v>2859</v>
      </c>
      <c r="E268" s="89" t="s">
        <v>2859</v>
      </c>
      <c r="F268" s="89" t="s">
        <v>2859</v>
      </c>
      <c r="G268" s="89" t="s">
        <v>2860</v>
      </c>
      <c r="H268" s="89" t="s">
        <v>2859</v>
      </c>
      <c r="I268" s="89" t="s">
        <v>2865</v>
      </c>
      <c r="J268" s="89" t="s">
        <v>3570</v>
      </c>
      <c r="K268" s="89" t="s">
        <v>2860</v>
      </c>
      <c r="L268" s="89" t="s">
        <v>2859</v>
      </c>
      <c r="M268" s="89" t="s">
        <v>2859</v>
      </c>
      <c r="N268" s="89" t="s">
        <v>2859</v>
      </c>
      <c r="O268" s="89" t="s">
        <v>2859</v>
      </c>
      <c r="P268" s="89" t="s">
        <v>2859</v>
      </c>
      <c r="Q268" s="89" t="s">
        <v>2859</v>
      </c>
      <c r="R268" s="89" t="s">
        <v>2859</v>
      </c>
      <c r="S268" s="89" t="s">
        <v>2859</v>
      </c>
      <c r="T268" s="89" t="s">
        <v>2859</v>
      </c>
      <c r="U268" s="89" t="s">
        <v>2859</v>
      </c>
      <c r="V268" s="89" t="s">
        <v>2859</v>
      </c>
      <c r="W268" s="89" t="s">
        <v>2859</v>
      </c>
      <c r="X268" s="89" t="s">
        <v>2859</v>
      </c>
      <c r="Y268" s="89" t="s">
        <v>2859</v>
      </c>
      <c r="Z268" s="89" t="s">
        <v>2859</v>
      </c>
      <c r="AA268" s="89" t="s">
        <v>2859</v>
      </c>
      <c r="AB268" s="89" t="s">
        <v>2859</v>
      </c>
      <c r="AC268" s="89" t="s">
        <v>2859</v>
      </c>
      <c r="AD268" s="89" t="s">
        <v>2859</v>
      </c>
      <c r="AE268" s="89" t="s">
        <v>2859</v>
      </c>
      <c r="AF268" s="89" t="s">
        <v>2859</v>
      </c>
      <c r="AG268" s="89" t="s">
        <v>2859</v>
      </c>
      <c r="AH268" s="89" t="s">
        <v>2859</v>
      </c>
      <c r="AI268" s="89" t="s">
        <v>2859</v>
      </c>
      <c r="AJ268" s="89" t="s">
        <v>2859</v>
      </c>
      <c r="AK268" s="89" t="s">
        <v>2859</v>
      </c>
      <c r="AL268" s="89" t="s">
        <v>2859</v>
      </c>
      <c r="AM268" s="89" t="s">
        <v>2859</v>
      </c>
      <c r="AN268" s="89" t="s">
        <v>2859</v>
      </c>
      <c r="AO268" s="89" t="s">
        <v>2859</v>
      </c>
      <c r="AP268" s="89" t="s">
        <v>2859</v>
      </c>
      <c r="AQ268" s="89" t="s">
        <v>2859</v>
      </c>
      <c r="AR268" s="89" t="s">
        <v>2859</v>
      </c>
      <c r="AS268" s="89" t="s">
        <v>2859</v>
      </c>
      <c r="AT268" s="89" t="s">
        <v>2859</v>
      </c>
      <c r="AU268" s="89" t="s">
        <v>2859</v>
      </c>
      <c r="AV268" s="89" t="s">
        <v>2859</v>
      </c>
      <c r="AW268" s="89" t="s">
        <v>2859</v>
      </c>
      <c r="AX268" s="89" t="s">
        <v>2859</v>
      </c>
      <c r="AY268" s="89" t="s">
        <v>2859</v>
      </c>
      <c r="AZ268" s="89" t="s">
        <v>2859</v>
      </c>
      <c r="BA268" s="89" t="s">
        <v>2859</v>
      </c>
      <c r="BB268" s="89" t="s">
        <v>2859</v>
      </c>
      <c r="BC268" s="89" t="s">
        <v>2859</v>
      </c>
      <c r="BD268" s="89" t="s">
        <v>2859</v>
      </c>
      <c r="BE268" s="89" t="s">
        <v>2859</v>
      </c>
      <c r="BF268" s="89" t="s">
        <v>2859</v>
      </c>
      <c r="BG268" s="89" t="s">
        <v>2859</v>
      </c>
      <c r="BH268" s="89" t="s">
        <v>2859</v>
      </c>
      <c r="BI268" s="89" t="s">
        <v>2859</v>
      </c>
      <c r="BJ268" s="89" t="s">
        <v>2859</v>
      </c>
      <c r="BK268" s="89" t="s">
        <v>2859</v>
      </c>
      <c r="BL268" s="89" t="s">
        <v>2859</v>
      </c>
      <c r="BM268" s="89" t="s">
        <v>2859</v>
      </c>
      <c r="BN268" s="89" t="s">
        <v>2859</v>
      </c>
      <c r="BO268" s="89" t="s">
        <v>2859</v>
      </c>
      <c r="BP268" s="89" t="s">
        <v>2859</v>
      </c>
      <c r="BQ268" s="89" t="s">
        <v>3589</v>
      </c>
      <c r="BR268" s="89" t="s">
        <v>2859</v>
      </c>
    </row>
    <row r="269" spans="1:70">
      <c r="A269" s="89" t="s">
        <v>2150</v>
      </c>
      <c r="B269" s="89" t="s">
        <v>3590</v>
      </c>
      <c r="C269" s="89" t="s">
        <v>2864</v>
      </c>
      <c r="D269" s="89" t="s">
        <v>2859</v>
      </c>
      <c r="E269" s="89" t="s">
        <v>2859</v>
      </c>
      <c r="F269" s="89" t="s">
        <v>2859</v>
      </c>
      <c r="G269" s="89" t="s">
        <v>2860</v>
      </c>
      <c r="H269" s="89" t="s">
        <v>2859</v>
      </c>
      <c r="I269" s="89" t="s">
        <v>2865</v>
      </c>
      <c r="J269" s="89" t="s">
        <v>3570</v>
      </c>
      <c r="K269" s="89" t="s">
        <v>2860</v>
      </c>
      <c r="L269" s="89" t="s">
        <v>2859</v>
      </c>
      <c r="M269" s="89" t="s">
        <v>2859</v>
      </c>
      <c r="N269" s="89" t="s">
        <v>2859</v>
      </c>
      <c r="O269" s="89" t="s">
        <v>2859</v>
      </c>
      <c r="P269" s="89" t="s">
        <v>2859</v>
      </c>
      <c r="Q269" s="89" t="s">
        <v>2859</v>
      </c>
      <c r="R269" s="89" t="s">
        <v>2859</v>
      </c>
      <c r="S269" s="89" t="s">
        <v>2859</v>
      </c>
      <c r="T269" s="89" t="s">
        <v>2859</v>
      </c>
      <c r="U269" s="89" t="s">
        <v>2859</v>
      </c>
      <c r="V269" s="89" t="s">
        <v>2859</v>
      </c>
      <c r="W269" s="89" t="s">
        <v>2859</v>
      </c>
      <c r="X269" s="89" t="s">
        <v>2859</v>
      </c>
      <c r="Y269" s="89" t="s">
        <v>2859</v>
      </c>
      <c r="Z269" s="89" t="s">
        <v>2859</v>
      </c>
      <c r="AA269" s="89" t="s">
        <v>2859</v>
      </c>
      <c r="AB269" s="89" t="s">
        <v>2859</v>
      </c>
      <c r="AC269" s="89" t="s">
        <v>2859</v>
      </c>
      <c r="AD269" s="89" t="s">
        <v>2859</v>
      </c>
      <c r="AE269" s="89" t="s">
        <v>2859</v>
      </c>
      <c r="AF269" s="89" t="s">
        <v>2859</v>
      </c>
      <c r="AG269" s="89" t="s">
        <v>2859</v>
      </c>
      <c r="AH269" s="89" t="s">
        <v>2859</v>
      </c>
      <c r="AI269" s="89" t="s">
        <v>2859</v>
      </c>
      <c r="AJ269" s="89" t="s">
        <v>2859</v>
      </c>
      <c r="AK269" s="89" t="s">
        <v>2859</v>
      </c>
      <c r="AL269" s="89" t="s">
        <v>2859</v>
      </c>
      <c r="AM269" s="89" t="s">
        <v>2859</v>
      </c>
      <c r="AN269" s="89" t="s">
        <v>2859</v>
      </c>
      <c r="AO269" s="89" t="s">
        <v>2859</v>
      </c>
      <c r="AP269" s="89" t="s">
        <v>2859</v>
      </c>
      <c r="AQ269" s="89" t="s">
        <v>2859</v>
      </c>
      <c r="AR269" s="89" t="s">
        <v>2859</v>
      </c>
      <c r="AS269" s="89" t="s">
        <v>2859</v>
      </c>
      <c r="AT269" s="89" t="s">
        <v>2859</v>
      </c>
      <c r="AU269" s="89" t="s">
        <v>2859</v>
      </c>
      <c r="AV269" s="89" t="s">
        <v>2859</v>
      </c>
      <c r="AW269" s="89" t="s">
        <v>2859</v>
      </c>
      <c r="AX269" s="89" t="s">
        <v>2859</v>
      </c>
      <c r="AY269" s="89" t="s">
        <v>2859</v>
      </c>
      <c r="AZ269" s="89" t="s">
        <v>2859</v>
      </c>
      <c r="BA269" s="89" t="s">
        <v>2859</v>
      </c>
      <c r="BB269" s="89" t="s">
        <v>2859</v>
      </c>
      <c r="BC269" s="89" t="s">
        <v>2859</v>
      </c>
      <c r="BD269" s="89" t="s">
        <v>2859</v>
      </c>
      <c r="BE269" s="89" t="s">
        <v>2859</v>
      </c>
      <c r="BF269" s="89" t="s">
        <v>2859</v>
      </c>
      <c r="BG269" s="89" t="s">
        <v>2859</v>
      </c>
      <c r="BH269" s="89" t="s">
        <v>2859</v>
      </c>
      <c r="BI269" s="89" t="s">
        <v>2859</v>
      </c>
      <c r="BJ269" s="89" t="s">
        <v>2859</v>
      </c>
      <c r="BK269" s="89" t="s">
        <v>2859</v>
      </c>
      <c r="BL269" s="89" t="s">
        <v>2859</v>
      </c>
      <c r="BM269" s="89" t="s">
        <v>2859</v>
      </c>
      <c r="BN269" s="89" t="s">
        <v>2859</v>
      </c>
      <c r="BO269" s="89" t="s">
        <v>2859</v>
      </c>
      <c r="BP269" s="89" t="s">
        <v>2859</v>
      </c>
      <c r="BQ269" s="89" t="s">
        <v>3591</v>
      </c>
      <c r="BR269" s="89" t="s">
        <v>2859</v>
      </c>
    </row>
    <row r="270" spans="1:70">
      <c r="A270" s="89" t="s">
        <v>2150</v>
      </c>
      <c r="B270" s="89" t="s">
        <v>3592</v>
      </c>
      <c r="C270" s="89" t="s">
        <v>2924</v>
      </c>
      <c r="D270" s="89" t="s">
        <v>2859</v>
      </c>
      <c r="E270" s="89" t="s">
        <v>2859</v>
      </c>
      <c r="F270" s="89" t="s">
        <v>2859</v>
      </c>
      <c r="G270" s="89" t="s">
        <v>2860</v>
      </c>
      <c r="H270" s="89" t="s">
        <v>2859</v>
      </c>
      <c r="I270" s="89" t="s">
        <v>2865</v>
      </c>
      <c r="J270" s="89" t="s">
        <v>3570</v>
      </c>
      <c r="K270" s="89" t="s">
        <v>2860</v>
      </c>
      <c r="L270" s="89" t="s">
        <v>2859</v>
      </c>
      <c r="M270" s="89" t="s">
        <v>2859</v>
      </c>
      <c r="N270" s="89" t="s">
        <v>2859</v>
      </c>
      <c r="O270" s="89" t="s">
        <v>2859</v>
      </c>
      <c r="P270" s="89" t="s">
        <v>2859</v>
      </c>
      <c r="Q270" s="89" t="s">
        <v>2859</v>
      </c>
      <c r="R270" s="89" t="s">
        <v>2859</v>
      </c>
      <c r="S270" s="89" t="s">
        <v>2859</v>
      </c>
      <c r="T270" s="89" t="s">
        <v>2859</v>
      </c>
      <c r="U270" s="89" t="s">
        <v>2859</v>
      </c>
      <c r="V270" s="89" t="s">
        <v>2859</v>
      </c>
      <c r="W270" s="89" t="s">
        <v>2859</v>
      </c>
      <c r="X270" s="89" t="s">
        <v>2859</v>
      </c>
      <c r="Y270" s="89" t="s">
        <v>2859</v>
      </c>
      <c r="Z270" s="89" t="s">
        <v>2859</v>
      </c>
      <c r="AA270" s="89" t="s">
        <v>2859</v>
      </c>
      <c r="AB270" s="89" t="s">
        <v>2859</v>
      </c>
      <c r="AC270" s="89" t="s">
        <v>2859</v>
      </c>
      <c r="AD270" s="89" t="s">
        <v>2859</v>
      </c>
      <c r="AE270" s="89" t="s">
        <v>2859</v>
      </c>
      <c r="AF270" s="89" t="s">
        <v>2859</v>
      </c>
      <c r="AG270" s="89" t="s">
        <v>2859</v>
      </c>
      <c r="AH270" s="89" t="s">
        <v>2859</v>
      </c>
      <c r="AI270" s="89" t="s">
        <v>2859</v>
      </c>
      <c r="AJ270" s="89" t="s">
        <v>2859</v>
      </c>
      <c r="AK270" s="89" t="s">
        <v>2859</v>
      </c>
      <c r="AL270" s="89" t="s">
        <v>2859</v>
      </c>
      <c r="AM270" s="89" t="s">
        <v>2859</v>
      </c>
      <c r="AN270" s="89" t="s">
        <v>2859</v>
      </c>
      <c r="AO270" s="89" t="s">
        <v>2859</v>
      </c>
      <c r="AP270" s="89" t="s">
        <v>2859</v>
      </c>
      <c r="AQ270" s="89" t="s">
        <v>2859</v>
      </c>
      <c r="AR270" s="89" t="s">
        <v>2859</v>
      </c>
      <c r="AS270" s="89" t="s">
        <v>2859</v>
      </c>
      <c r="AT270" s="89" t="s">
        <v>2859</v>
      </c>
      <c r="AU270" s="89" t="s">
        <v>2859</v>
      </c>
      <c r="AV270" s="89" t="s">
        <v>2859</v>
      </c>
      <c r="AW270" s="89" t="s">
        <v>2859</v>
      </c>
      <c r="AX270" s="89" t="s">
        <v>2859</v>
      </c>
      <c r="AY270" s="89" t="s">
        <v>2859</v>
      </c>
      <c r="AZ270" s="89" t="s">
        <v>2859</v>
      </c>
      <c r="BA270" s="89" t="s">
        <v>2859</v>
      </c>
      <c r="BB270" s="89" t="s">
        <v>2859</v>
      </c>
      <c r="BC270" s="89" t="s">
        <v>2859</v>
      </c>
      <c r="BD270" s="89" t="s">
        <v>2859</v>
      </c>
      <c r="BE270" s="89" t="s">
        <v>2859</v>
      </c>
      <c r="BF270" s="89" t="s">
        <v>2859</v>
      </c>
      <c r="BG270" s="89" t="s">
        <v>2859</v>
      </c>
      <c r="BH270" s="89" t="s">
        <v>2859</v>
      </c>
      <c r="BI270" s="89" t="s">
        <v>2859</v>
      </c>
      <c r="BJ270" s="89" t="s">
        <v>2859</v>
      </c>
      <c r="BK270" s="89" t="s">
        <v>2859</v>
      </c>
      <c r="BL270" s="89" t="s">
        <v>2859</v>
      </c>
      <c r="BM270" s="89" t="s">
        <v>2859</v>
      </c>
      <c r="BN270" s="89" t="s">
        <v>2859</v>
      </c>
      <c r="BO270" s="89" t="s">
        <v>2859</v>
      </c>
      <c r="BP270" s="89" t="s">
        <v>2859</v>
      </c>
      <c r="BQ270" s="89" t="s">
        <v>3593</v>
      </c>
      <c r="BR270" s="89" t="s">
        <v>2859</v>
      </c>
    </row>
    <row r="271" spans="1:70">
      <c r="A271" s="89" t="s">
        <v>2150</v>
      </c>
      <c r="B271" s="89" t="s">
        <v>3594</v>
      </c>
      <c r="C271" s="89" t="s">
        <v>2884</v>
      </c>
      <c r="D271" s="89" t="s">
        <v>2859</v>
      </c>
      <c r="E271" s="89" t="s">
        <v>2859</v>
      </c>
      <c r="F271" s="89" t="s">
        <v>2859</v>
      </c>
      <c r="G271" s="89" t="s">
        <v>2860</v>
      </c>
      <c r="H271" s="89" t="s">
        <v>2859</v>
      </c>
      <c r="I271" s="89" t="s">
        <v>2865</v>
      </c>
      <c r="J271" s="89" t="s">
        <v>3570</v>
      </c>
      <c r="K271" s="89" t="s">
        <v>2860</v>
      </c>
      <c r="L271" s="89" t="s">
        <v>2859</v>
      </c>
      <c r="M271" s="89" t="s">
        <v>2859</v>
      </c>
      <c r="N271" s="89" t="s">
        <v>2859</v>
      </c>
      <c r="O271" s="89" t="s">
        <v>2859</v>
      </c>
      <c r="P271" s="89" t="s">
        <v>2859</v>
      </c>
      <c r="Q271" s="89" t="s">
        <v>2859</v>
      </c>
      <c r="R271" s="89" t="s">
        <v>2859</v>
      </c>
      <c r="S271" s="89" t="s">
        <v>2859</v>
      </c>
      <c r="T271" s="89" t="s">
        <v>2859</v>
      </c>
      <c r="U271" s="89" t="s">
        <v>2859</v>
      </c>
      <c r="V271" s="89" t="s">
        <v>2859</v>
      </c>
      <c r="W271" s="89" t="s">
        <v>2859</v>
      </c>
      <c r="X271" s="89" t="s">
        <v>2859</v>
      </c>
      <c r="Y271" s="89" t="s">
        <v>2859</v>
      </c>
      <c r="Z271" s="89" t="s">
        <v>2859</v>
      </c>
      <c r="AA271" s="89" t="s">
        <v>2859</v>
      </c>
      <c r="AB271" s="89" t="s">
        <v>2859</v>
      </c>
      <c r="AC271" s="89" t="s">
        <v>2859</v>
      </c>
      <c r="AD271" s="89" t="s">
        <v>2859</v>
      </c>
      <c r="AE271" s="89" t="s">
        <v>2859</v>
      </c>
      <c r="AF271" s="89" t="s">
        <v>2859</v>
      </c>
      <c r="AG271" s="89" t="s">
        <v>2859</v>
      </c>
      <c r="AH271" s="89" t="s">
        <v>2859</v>
      </c>
      <c r="AI271" s="89" t="s">
        <v>2859</v>
      </c>
      <c r="AJ271" s="89" t="s">
        <v>2859</v>
      </c>
      <c r="AK271" s="89" t="s">
        <v>2859</v>
      </c>
      <c r="AL271" s="89" t="s">
        <v>2859</v>
      </c>
      <c r="AM271" s="89" t="s">
        <v>2859</v>
      </c>
      <c r="AN271" s="89" t="s">
        <v>2859</v>
      </c>
      <c r="AO271" s="89" t="s">
        <v>2859</v>
      </c>
      <c r="AP271" s="89" t="s">
        <v>2859</v>
      </c>
      <c r="AQ271" s="89" t="s">
        <v>2859</v>
      </c>
      <c r="AR271" s="89" t="s">
        <v>2859</v>
      </c>
      <c r="AS271" s="89" t="s">
        <v>2859</v>
      </c>
      <c r="AT271" s="89" t="s">
        <v>2859</v>
      </c>
      <c r="AU271" s="89" t="s">
        <v>2859</v>
      </c>
      <c r="AV271" s="89" t="s">
        <v>2859</v>
      </c>
      <c r="AW271" s="89" t="s">
        <v>2859</v>
      </c>
      <c r="AX271" s="89" t="s">
        <v>2859</v>
      </c>
      <c r="AY271" s="89" t="s">
        <v>2859</v>
      </c>
      <c r="AZ271" s="89" t="s">
        <v>2859</v>
      </c>
      <c r="BA271" s="89" t="s">
        <v>2859</v>
      </c>
      <c r="BB271" s="89" t="s">
        <v>2859</v>
      </c>
      <c r="BC271" s="89" t="s">
        <v>2859</v>
      </c>
      <c r="BD271" s="89" t="s">
        <v>2859</v>
      </c>
      <c r="BE271" s="89" t="s">
        <v>2859</v>
      </c>
      <c r="BF271" s="89" t="s">
        <v>2859</v>
      </c>
      <c r="BG271" s="89" t="s">
        <v>2859</v>
      </c>
      <c r="BH271" s="89" t="s">
        <v>2859</v>
      </c>
      <c r="BI271" s="89" t="s">
        <v>2859</v>
      </c>
      <c r="BJ271" s="89" t="s">
        <v>2859</v>
      </c>
      <c r="BK271" s="89" t="s">
        <v>2859</v>
      </c>
      <c r="BL271" s="89" t="s">
        <v>2859</v>
      </c>
      <c r="BM271" s="89" t="s">
        <v>2859</v>
      </c>
      <c r="BN271" s="89" t="s">
        <v>2859</v>
      </c>
      <c r="BO271" s="89" t="s">
        <v>2859</v>
      </c>
      <c r="BP271" s="89" t="s">
        <v>2859</v>
      </c>
      <c r="BQ271" s="89" t="s">
        <v>3595</v>
      </c>
      <c r="BR271" s="89" t="s">
        <v>2859</v>
      </c>
    </row>
    <row r="272" spans="1:70">
      <c r="A272" s="89" t="s">
        <v>2150</v>
      </c>
      <c r="B272" s="89" t="s">
        <v>3596</v>
      </c>
      <c r="C272" s="89" t="s">
        <v>2884</v>
      </c>
      <c r="D272" s="89" t="s">
        <v>2859</v>
      </c>
      <c r="E272" s="89" t="s">
        <v>2859</v>
      </c>
      <c r="F272" s="89" t="s">
        <v>2859</v>
      </c>
      <c r="G272" s="89" t="s">
        <v>2860</v>
      </c>
      <c r="H272" s="89" t="s">
        <v>2859</v>
      </c>
      <c r="I272" s="89" t="s">
        <v>2865</v>
      </c>
      <c r="J272" s="89" t="s">
        <v>3570</v>
      </c>
      <c r="K272" s="89" t="s">
        <v>2860</v>
      </c>
      <c r="L272" s="89" t="s">
        <v>2859</v>
      </c>
      <c r="M272" s="89" t="s">
        <v>2859</v>
      </c>
      <c r="N272" s="89" t="s">
        <v>2859</v>
      </c>
      <c r="O272" s="89" t="s">
        <v>2859</v>
      </c>
      <c r="P272" s="89" t="s">
        <v>2859</v>
      </c>
      <c r="Q272" s="89" t="s">
        <v>2859</v>
      </c>
      <c r="R272" s="89" t="s">
        <v>2859</v>
      </c>
      <c r="S272" s="89" t="s">
        <v>2859</v>
      </c>
      <c r="T272" s="89" t="s">
        <v>2859</v>
      </c>
      <c r="U272" s="89" t="s">
        <v>2859</v>
      </c>
      <c r="V272" s="89" t="s">
        <v>2859</v>
      </c>
      <c r="W272" s="89" t="s">
        <v>2859</v>
      </c>
      <c r="X272" s="89" t="s">
        <v>2859</v>
      </c>
      <c r="Y272" s="89" t="s">
        <v>2859</v>
      </c>
      <c r="Z272" s="89" t="s">
        <v>2859</v>
      </c>
      <c r="AA272" s="89" t="s">
        <v>2859</v>
      </c>
      <c r="AB272" s="89" t="s">
        <v>2859</v>
      </c>
      <c r="AC272" s="89" t="s">
        <v>2859</v>
      </c>
      <c r="AD272" s="89" t="s">
        <v>2859</v>
      </c>
      <c r="AE272" s="89" t="s">
        <v>2859</v>
      </c>
      <c r="AF272" s="89" t="s">
        <v>2859</v>
      </c>
      <c r="AG272" s="89" t="s">
        <v>2859</v>
      </c>
      <c r="AH272" s="89" t="s">
        <v>2859</v>
      </c>
      <c r="AI272" s="89" t="s">
        <v>2859</v>
      </c>
      <c r="AJ272" s="89" t="s">
        <v>2859</v>
      </c>
      <c r="AK272" s="89" t="s">
        <v>2859</v>
      </c>
      <c r="AL272" s="89" t="s">
        <v>2859</v>
      </c>
      <c r="AM272" s="89" t="s">
        <v>2859</v>
      </c>
      <c r="AN272" s="89" t="s">
        <v>2859</v>
      </c>
      <c r="AO272" s="89" t="s">
        <v>2859</v>
      </c>
      <c r="AP272" s="89" t="s">
        <v>2859</v>
      </c>
      <c r="AQ272" s="89" t="s">
        <v>2859</v>
      </c>
      <c r="AR272" s="89" t="s">
        <v>2859</v>
      </c>
      <c r="AS272" s="89" t="s">
        <v>2859</v>
      </c>
      <c r="AT272" s="89" t="s">
        <v>2859</v>
      </c>
      <c r="AU272" s="89" t="s">
        <v>2859</v>
      </c>
      <c r="AV272" s="89" t="s">
        <v>2859</v>
      </c>
      <c r="AW272" s="89" t="s">
        <v>2859</v>
      </c>
      <c r="AX272" s="89" t="s">
        <v>2859</v>
      </c>
      <c r="AY272" s="89" t="s">
        <v>2859</v>
      </c>
      <c r="AZ272" s="89" t="s">
        <v>2859</v>
      </c>
      <c r="BA272" s="89" t="s">
        <v>2859</v>
      </c>
      <c r="BB272" s="89" t="s">
        <v>2859</v>
      </c>
      <c r="BC272" s="89" t="s">
        <v>2859</v>
      </c>
      <c r="BD272" s="89" t="s">
        <v>2859</v>
      </c>
      <c r="BE272" s="89" t="s">
        <v>2859</v>
      </c>
      <c r="BF272" s="89" t="s">
        <v>2859</v>
      </c>
      <c r="BG272" s="89" t="s">
        <v>2859</v>
      </c>
      <c r="BH272" s="89" t="s">
        <v>2859</v>
      </c>
      <c r="BI272" s="89" t="s">
        <v>2859</v>
      </c>
      <c r="BJ272" s="89" t="s">
        <v>2859</v>
      </c>
      <c r="BK272" s="89" t="s">
        <v>2859</v>
      </c>
      <c r="BL272" s="89" t="s">
        <v>2859</v>
      </c>
      <c r="BM272" s="89" t="s">
        <v>2859</v>
      </c>
      <c r="BN272" s="89" t="s">
        <v>2859</v>
      </c>
      <c r="BO272" s="89" t="s">
        <v>2859</v>
      </c>
      <c r="BP272" s="89" t="s">
        <v>2859</v>
      </c>
      <c r="BQ272" s="89" t="s">
        <v>3597</v>
      </c>
      <c r="BR272" s="89" t="s">
        <v>2859</v>
      </c>
    </row>
    <row r="273" spans="1:70">
      <c r="A273" s="89" t="s">
        <v>2150</v>
      </c>
      <c r="B273" s="89" t="s">
        <v>3598</v>
      </c>
      <c r="C273" s="89" t="s">
        <v>2989</v>
      </c>
      <c r="D273" s="89" t="s">
        <v>2859</v>
      </c>
      <c r="E273" s="89" t="s">
        <v>2859</v>
      </c>
      <c r="F273" s="89" t="s">
        <v>2859</v>
      </c>
      <c r="G273" s="89" t="s">
        <v>2860</v>
      </c>
      <c r="H273" s="89" t="s">
        <v>2859</v>
      </c>
      <c r="I273" s="89" t="s">
        <v>2865</v>
      </c>
      <c r="J273" s="89" t="s">
        <v>3570</v>
      </c>
      <c r="K273" s="89" t="s">
        <v>2860</v>
      </c>
      <c r="L273" s="89" t="s">
        <v>2859</v>
      </c>
      <c r="M273" s="89" t="s">
        <v>2859</v>
      </c>
      <c r="N273" s="89" t="s">
        <v>2859</v>
      </c>
      <c r="O273" s="89" t="s">
        <v>2859</v>
      </c>
      <c r="P273" s="89" t="s">
        <v>2859</v>
      </c>
      <c r="Q273" s="89" t="s">
        <v>2859</v>
      </c>
      <c r="R273" s="89" t="s">
        <v>2859</v>
      </c>
      <c r="S273" s="89" t="s">
        <v>2859</v>
      </c>
      <c r="T273" s="89" t="s">
        <v>2859</v>
      </c>
      <c r="U273" s="89" t="s">
        <v>2859</v>
      </c>
      <c r="V273" s="89" t="s">
        <v>2859</v>
      </c>
      <c r="W273" s="89" t="s">
        <v>2859</v>
      </c>
      <c r="X273" s="89" t="s">
        <v>2859</v>
      </c>
      <c r="Y273" s="89" t="s">
        <v>2859</v>
      </c>
      <c r="Z273" s="89" t="s">
        <v>2859</v>
      </c>
      <c r="AA273" s="89" t="s">
        <v>2859</v>
      </c>
      <c r="AB273" s="89" t="s">
        <v>2859</v>
      </c>
      <c r="AC273" s="89" t="s">
        <v>2859</v>
      </c>
      <c r="AD273" s="89" t="s">
        <v>2859</v>
      </c>
      <c r="AE273" s="89" t="s">
        <v>2859</v>
      </c>
      <c r="AF273" s="89" t="s">
        <v>2859</v>
      </c>
      <c r="AG273" s="89" t="s">
        <v>2859</v>
      </c>
      <c r="AH273" s="89" t="s">
        <v>2859</v>
      </c>
      <c r="AI273" s="89" t="s">
        <v>2859</v>
      </c>
      <c r="AJ273" s="89" t="s">
        <v>2859</v>
      </c>
      <c r="AK273" s="89" t="s">
        <v>2859</v>
      </c>
      <c r="AL273" s="89" t="s">
        <v>2859</v>
      </c>
      <c r="AM273" s="89" t="s">
        <v>2859</v>
      </c>
      <c r="AN273" s="89" t="s">
        <v>2859</v>
      </c>
      <c r="AO273" s="89" t="s">
        <v>2859</v>
      </c>
      <c r="AP273" s="89" t="s">
        <v>2859</v>
      </c>
      <c r="AQ273" s="89" t="s">
        <v>2859</v>
      </c>
      <c r="AR273" s="89" t="s">
        <v>2859</v>
      </c>
      <c r="AS273" s="89" t="s">
        <v>2859</v>
      </c>
      <c r="AT273" s="89" t="s">
        <v>2859</v>
      </c>
      <c r="AU273" s="89" t="s">
        <v>2859</v>
      </c>
      <c r="AV273" s="89" t="s">
        <v>2859</v>
      </c>
      <c r="AW273" s="89" t="s">
        <v>2859</v>
      </c>
      <c r="AX273" s="89" t="s">
        <v>2859</v>
      </c>
      <c r="AY273" s="89" t="s">
        <v>2859</v>
      </c>
      <c r="AZ273" s="89" t="s">
        <v>2859</v>
      </c>
      <c r="BA273" s="89" t="s">
        <v>2859</v>
      </c>
      <c r="BB273" s="89" t="s">
        <v>2859</v>
      </c>
      <c r="BC273" s="89" t="s">
        <v>2859</v>
      </c>
      <c r="BD273" s="89" t="s">
        <v>2859</v>
      </c>
      <c r="BE273" s="89" t="s">
        <v>2859</v>
      </c>
      <c r="BF273" s="89" t="s">
        <v>2859</v>
      </c>
      <c r="BG273" s="89" t="s">
        <v>2859</v>
      </c>
      <c r="BH273" s="89" t="s">
        <v>2859</v>
      </c>
      <c r="BI273" s="89" t="s">
        <v>2859</v>
      </c>
      <c r="BJ273" s="89" t="s">
        <v>2859</v>
      </c>
      <c r="BK273" s="89" t="s">
        <v>2859</v>
      </c>
      <c r="BL273" s="89" t="s">
        <v>2859</v>
      </c>
      <c r="BM273" s="89" t="s">
        <v>2859</v>
      </c>
      <c r="BN273" s="89" t="s">
        <v>2859</v>
      </c>
      <c r="BO273" s="89" t="s">
        <v>2859</v>
      </c>
      <c r="BP273" s="89" t="s">
        <v>2859</v>
      </c>
      <c r="BQ273" s="89" t="s">
        <v>3599</v>
      </c>
      <c r="BR273" s="89" t="s">
        <v>2859</v>
      </c>
    </row>
    <row r="274" spans="1:70">
      <c r="A274" s="89" t="s">
        <v>2150</v>
      </c>
      <c r="B274" s="89" t="s">
        <v>3600</v>
      </c>
      <c r="C274" s="89" t="s">
        <v>2871</v>
      </c>
      <c r="D274" s="89" t="s">
        <v>2859</v>
      </c>
      <c r="E274" s="89" t="s">
        <v>2859</v>
      </c>
      <c r="F274" s="89" t="s">
        <v>2859</v>
      </c>
      <c r="G274" s="89" t="s">
        <v>2860</v>
      </c>
      <c r="H274" s="89" t="s">
        <v>2859</v>
      </c>
      <c r="I274" s="89" t="s">
        <v>2865</v>
      </c>
      <c r="J274" s="89" t="s">
        <v>3570</v>
      </c>
      <c r="K274" s="89" t="s">
        <v>2860</v>
      </c>
      <c r="L274" s="89" t="s">
        <v>2859</v>
      </c>
      <c r="M274" s="89" t="s">
        <v>2859</v>
      </c>
      <c r="N274" s="89" t="s">
        <v>2859</v>
      </c>
      <c r="O274" s="89" t="s">
        <v>2859</v>
      </c>
      <c r="P274" s="89" t="s">
        <v>2859</v>
      </c>
      <c r="Q274" s="89" t="s">
        <v>2859</v>
      </c>
      <c r="R274" s="89" t="s">
        <v>2859</v>
      </c>
      <c r="S274" s="89" t="s">
        <v>2859</v>
      </c>
      <c r="T274" s="89" t="s">
        <v>2859</v>
      </c>
      <c r="U274" s="89" t="s">
        <v>2859</v>
      </c>
      <c r="V274" s="89" t="s">
        <v>2859</v>
      </c>
      <c r="W274" s="89" t="s">
        <v>2859</v>
      </c>
      <c r="X274" s="89" t="s">
        <v>2859</v>
      </c>
      <c r="Y274" s="89" t="s">
        <v>2859</v>
      </c>
      <c r="Z274" s="89" t="s">
        <v>2859</v>
      </c>
      <c r="AA274" s="89" t="s">
        <v>2859</v>
      </c>
      <c r="AB274" s="89" t="s">
        <v>2859</v>
      </c>
      <c r="AC274" s="89" t="s">
        <v>2859</v>
      </c>
      <c r="AD274" s="89" t="s">
        <v>2859</v>
      </c>
      <c r="AE274" s="89" t="s">
        <v>2859</v>
      </c>
      <c r="AF274" s="89" t="s">
        <v>2859</v>
      </c>
      <c r="AG274" s="89" t="s">
        <v>2859</v>
      </c>
      <c r="AH274" s="89" t="s">
        <v>2859</v>
      </c>
      <c r="AI274" s="89" t="s">
        <v>2859</v>
      </c>
      <c r="AJ274" s="89" t="s">
        <v>2859</v>
      </c>
      <c r="AK274" s="89" t="s">
        <v>2859</v>
      </c>
      <c r="AL274" s="89" t="s">
        <v>2859</v>
      </c>
      <c r="AM274" s="89" t="s">
        <v>2859</v>
      </c>
      <c r="AN274" s="89" t="s">
        <v>2859</v>
      </c>
      <c r="AO274" s="89" t="s">
        <v>2859</v>
      </c>
      <c r="AP274" s="89" t="s">
        <v>2859</v>
      </c>
      <c r="AQ274" s="89" t="s">
        <v>2859</v>
      </c>
      <c r="AR274" s="89" t="s">
        <v>2859</v>
      </c>
      <c r="AS274" s="89" t="s">
        <v>2859</v>
      </c>
      <c r="AT274" s="89" t="s">
        <v>2859</v>
      </c>
      <c r="AU274" s="89" t="s">
        <v>2859</v>
      </c>
      <c r="AV274" s="89" t="s">
        <v>2859</v>
      </c>
      <c r="AW274" s="89" t="s">
        <v>2859</v>
      </c>
      <c r="AX274" s="89" t="s">
        <v>2859</v>
      </c>
      <c r="AY274" s="89" t="s">
        <v>2859</v>
      </c>
      <c r="AZ274" s="89" t="s">
        <v>2859</v>
      </c>
      <c r="BA274" s="89" t="s">
        <v>2859</v>
      </c>
      <c r="BB274" s="89" t="s">
        <v>2859</v>
      </c>
      <c r="BC274" s="89" t="s">
        <v>2859</v>
      </c>
      <c r="BD274" s="89" t="s">
        <v>2859</v>
      </c>
      <c r="BE274" s="89" t="s">
        <v>2859</v>
      </c>
      <c r="BF274" s="89" t="s">
        <v>2859</v>
      </c>
      <c r="BG274" s="89" t="s">
        <v>2859</v>
      </c>
      <c r="BH274" s="89" t="s">
        <v>2859</v>
      </c>
      <c r="BI274" s="89" t="s">
        <v>2859</v>
      </c>
      <c r="BJ274" s="89" t="s">
        <v>2859</v>
      </c>
      <c r="BK274" s="89" t="s">
        <v>2859</v>
      </c>
      <c r="BL274" s="89" t="s">
        <v>2859</v>
      </c>
      <c r="BM274" s="89" t="s">
        <v>2859</v>
      </c>
      <c r="BN274" s="89" t="s">
        <v>2859</v>
      </c>
      <c r="BO274" s="89" t="s">
        <v>2859</v>
      </c>
      <c r="BP274" s="89" t="s">
        <v>2859</v>
      </c>
      <c r="BQ274" s="89" t="s">
        <v>3601</v>
      </c>
      <c r="BR274" s="89" t="s">
        <v>2859</v>
      </c>
    </row>
    <row r="275" spans="1:70">
      <c r="A275" s="89" t="s">
        <v>2150</v>
      </c>
      <c r="B275" s="89" t="s">
        <v>3602</v>
      </c>
      <c r="C275" s="89" t="s">
        <v>3003</v>
      </c>
      <c r="D275" s="89" t="s">
        <v>2859</v>
      </c>
      <c r="E275" s="89" t="s">
        <v>2859</v>
      </c>
      <c r="F275" s="89" t="s">
        <v>2859</v>
      </c>
      <c r="G275" s="89" t="s">
        <v>2860</v>
      </c>
      <c r="H275" s="89" t="s">
        <v>2859</v>
      </c>
      <c r="I275" s="89" t="s">
        <v>2865</v>
      </c>
      <c r="J275" s="89" t="s">
        <v>3570</v>
      </c>
      <c r="K275" s="89" t="s">
        <v>2860</v>
      </c>
      <c r="L275" s="89" t="s">
        <v>2859</v>
      </c>
      <c r="M275" s="89" t="s">
        <v>2859</v>
      </c>
      <c r="N275" s="89" t="s">
        <v>2859</v>
      </c>
      <c r="O275" s="89" t="s">
        <v>2859</v>
      </c>
      <c r="P275" s="89" t="s">
        <v>2859</v>
      </c>
      <c r="Q275" s="89" t="s">
        <v>2859</v>
      </c>
      <c r="R275" s="89" t="s">
        <v>2859</v>
      </c>
      <c r="S275" s="89" t="s">
        <v>2859</v>
      </c>
      <c r="T275" s="89" t="s">
        <v>2859</v>
      </c>
      <c r="U275" s="89" t="s">
        <v>2859</v>
      </c>
      <c r="V275" s="89" t="s">
        <v>2859</v>
      </c>
      <c r="W275" s="89" t="s">
        <v>2859</v>
      </c>
      <c r="X275" s="89" t="s">
        <v>2859</v>
      </c>
      <c r="Y275" s="89" t="s">
        <v>2859</v>
      </c>
      <c r="Z275" s="89" t="s">
        <v>2859</v>
      </c>
      <c r="AA275" s="89" t="s">
        <v>2859</v>
      </c>
      <c r="AB275" s="89" t="s">
        <v>2859</v>
      </c>
      <c r="AC275" s="89" t="s">
        <v>2859</v>
      </c>
      <c r="AD275" s="89" t="s">
        <v>2859</v>
      </c>
      <c r="AE275" s="89" t="s">
        <v>2859</v>
      </c>
      <c r="AF275" s="89" t="s">
        <v>2859</v>
      </c>
      <c r="AG275" s="89" t="s">
        <v>2859</v>
      </c>
      <c r="AH275" s="89" t="s">
        <v>2859</v>
      </c>
      <c r="AI275" s="89" t="s">
        <v>2859</v>
      </c>
      <c r="AJ275" s="89" t="s">
        <v>2859</v>
      </c>
      <c r="AK275" s="89" t="s">
        <v>2859</v>
      </c>
      <c r="AL275" s="89" t="s">
        <v>2859</v>
      </c>
      <c r="AM275" s="89" t="s">
        <v>2859</v>
      </c>
      <c r="AN275" s="89" t="s">
        <v>2859</v>
      </c>
      <c r="AO275" s="89" t="s">
        <v>2859</v>
      </c>
      <c r="AP275" s="89" t="s">
        <v>2859</v>
      </c>
      <c r="AQ275" s="89" t="s">
        <v>2859</v>
      </c>
      <c r="AR275" s="89" t="s">
        <v>2859</v>
      </c>
      <c r="AS275" s="89" t="s">
        <v>2859</v>
      </c>
      <c r="AT275" s="89" t="s">
        <v>2859</v>
      </c>
      <c r="AU275" s="89" t="s">
        <v>2859</v>
      </c>
      <c r="AV275" s="89" t="s">
        <v>2859</v>
      </c>
      <c r="AW275" s="89" t="s">
        <v>2859</v>
      </c>
      <c r="AX275" s="89" t="s">
        <v>2859</v>
      </c>
      <c r="AY275" s="89" t="s">
        <v>2859</v>
      </c>
      <c r="AZ275" s="89" t="s">
        <v>2859</v>
      </c>
      <c r="BA275" s="89" t="s">
        <v>2859</v>
      </c>
      <c r="BB275" s="89" t="s">
        <v>2859</v>
      </c>
      <c r="BC275" s="89" t="s">
        <v>2859</v>
      </c>
      <c r="BD275" s="89" t="s">
        <v>2859</v>
      </c>
      <c r="BE275" s="89" t="s">
        <v>2859</v>
      </c>
      <c r="BF275" s="89" t="s">
        <v>2859</v>
      </c>
      <c r="BG275" s="89" t="s">
        <v>2859</v>
      </c>
      <c r="BH275" s="89" t="s">
        <v>2859</v>
      </c>
      <c r="BI275" s="89" t="s">
        <v>2859</v>
      </c>
      <c r="BJ275" s="89" t="s">
        <v>2859</v>
      </c>
      <c r="BK275" s="89" t="s">
        <v>2859</v>
      </c>
      <c r="BL275" s="89" t="s">
        <v>2859</v>
      </c>
      <c r="BM275" s="89" t="s">
        <v>2859</v>
      </c>
      <c r="BN275" s="89" t="s">
        <v>2859</v>
      </c>
      <c r="BO275" s="89" t="s">
        <v>2859</v>
      </c>
      <c r="BP275" s="89" t="s">
        <v>2859</v>
      </c>
      <c r="BQ275" s="89" t="s">
        <v>3603</v>
      </c>
      <c r="BR275" s="89" t="s">
        <v>2859</v>
      </c>
    </row>
    <row r="276" spans="1:70">
      <c r="A276" s="89" t="s">
        <v>2150</v>
      </c>
      <c r="B276" s="89" t="s">
        <v>3604</v>
      </c>
      <c r="C276" s="89" t="s">
        <v>2884</v>
      </c>
      <c r="D276" s="89" t="s">
        <v>2859</v>
      </c>
      <c r="E276" s="89" t="s">
        <v>2859</v>
      </c>
      <c r="F276" s="89" t="s">
        <v>2859</v>
      </c>
      <c r="G276" s="89" t="s">
        <v>2860</v>
      </c>
      <c r="H276" s="89" t="s">
        <v>2859</v>
      </c>
      <c r="I276" s="89" t="s">
        <v>2865</v>
      </c>
      <c r="J276" s="89" t="s">
        <v>2859</v>
      </c>
      <c r="K276" s="89" t="s">
        <v>2859</v>
      </c>
      <c r="L276" s="89" t="s">
        <v>2859</v>
      </c>
      <c r="M276" s="89" t="s">
        <v>2859</v>
      </c>
      <c r="N276" s="89" t="s">
        <v>2859</v>
      </c>
      <c r="O276" s="89" t="s">
        <v>2859</v>
      </c>
      <c r="P276" s="89" t="s">
        <v>2859</v>
      </c>
      <c r="Q276" s="89" t="s">
        <v>2859</v>
      </c>
      <c r="R276" s="89" t="s">
        <v>2859</v>
      </c>
      <c r="S276" s="89" t="s">
        <v>2859</v>
      </c>
      <c r="T276" s="89" t="s">
        <v>2859</v>
      </c>
      <c r="U276" s="89" t="s">
        <v>2859</v>
      </c>
      <c r="V276" s="89" t="s">
        <v>2859</v>
      </c>
      <c r="W276" s="89" t="s">
        <v>2859</v>
      </c>
      <c r="X276" s="89" t="s">
        <v>2859</v>
      </c>
      <c r="Y276" s="89" t="s">
        <v>2859</v>
      </c>
      <c r="Z276" s="89" t="s">
        <v>2859</v>
      </c>
      <c r="AA276" s="89" t="s">
        <v>2859</v>
      </c>
      <c r="AB276" s="89" t="s">
        <v>2859</v>
      </c>
      <c r="AC276" s="89" t="s">
        <v>2859</v>
      </c>
      <c r="AD276" s="89" t="s">
        <v>2859</v>
      </c>
      <c r="AE276" s="89" t="s">
        <v>2859</v>
      </c>
      <c r="AF276" s="89" t="s">
        <v>2859</v>
      </c>
      <c r="AG276" s="89" t="s">
        <v>2859</v>
      </c>
      <c r="AH276" s="89" t="s">
        <v>2859</v>
      </c>
      <c r="AI276" s="89" t="s">
        <v>2859</v>
      </c>
      <c r="AJ276" s="89" t="s">
        <v>2859</v>
      </c>
      <c r="AK276" s="89" t="s">
        <v>2859</v>
      </c>
      <c r="AL276" s="89" t="s">
        <v>2859</v>
      </c>
      <c r="AM276" s="89" t="s">
        <v>2859</v>
      </c>
      <c r="AN276" s="89" t="s">
        <v>2859</v>
      </c>
      <c r="AO276" s="89" t="s">
        <v>2859</v>
      </c>
      <c r="AP276" s="89" t="s">
        <v>2859</v>
      </c>
      <c r="AQ276" s="89" t="s">
        <v>2859</v>
      </c>
      <c r="AR276" s="89" t="s">
        <v>2859</v>
      </c>
      <c r="AS276" s="89" t="s">
        <v>2859</v>
      </c>
      <c r="AT276" s="89" t="s">
        <v>2859</v>
      </c>
      <c r="AU276" s="89" t="s">
        <v>2859</v>
      </c>
      <c r="AV276" s="89" t="s">
        <v>2859</v>
      </c>
      <c r="AW276" s="89" t="s">
        <v>2859</v>
      </c>
      <c r="AX276" s="89" t="s">
        <v>2859</v>
      </c>
      <c r="AY276" s="89" t="s">
        <v>2859</v>
      </c>
      <c r="AZ276" s="89" t="s">
        <v>2859</v>
      </c>
      <c r="BA276" s="89" t="s">
        <v>2859</v>
      </c>
      <c r="BB276" s="89" t="s">
        <v>2859</v>
      </c>
      <c r="BC276" s="89" t="s">
        <v>2859</v>
      </c>
      <c r="BD276" s="89" t="s">
        <v>2859</v>
      </c>
      <c r="BE276" s="89" t="s">
        <v>2859</v>
      </c>
      <c r="BF276" s="89" t="s">
        <v>2859</v>
      </c>
      <c r="BG276" s="89" t="s">
        <v>2859</v>
      </c>
      <c r="BH276" s="89" t="s">
        <v>2859</v>
      </c>
      <c r="BI276" s="89" t="s">
        <v>2859</v>
      </c>
      <c r="BJ276" s="89" t="s">
        <v>2859</v>
      </c>
      <c r="BK276" s="89" t="s">
        <v>2859</v>
      </c>
      <c r="BL276" s="89" t="s">
        <v>2859</v>
      </c>
      <c r="BM276" s="89" t="s">
        <v>2859</v>
      </c>
      <c r="BN276" s="89" t="s">
        <v>2859</v>
      </c>
      <c r="BO276" s="89" t="s">
        <v>2859</v>
      </c>
      <c r="BP276" s="89" t="s">
        <v>2859</v>
      </c>
      <c r="BQ276" s="89" t="s">
        <v>3605</v>
      </c>
      <c r="BR276" s="89" t="s">
        <v>2859</v>
      </c>
    </row>
    <row r="277" spans="1:70">
      <c r="A277" s="89" t="s">
        <v>2150</v>
      </c>
      <c r="B277" s="89" t="s">
        <v>3606</v>
      </c>
      <c r="C277" s="89" t="s">
        <v>2879</v>
      </c>
      <c r="D277" s="89" t="s">
        <v>2859</v>
      </c>
      <c r="E277" s="89" t="s">
        <v>2859</v>
      </c>
      <c r="F277" s="89" t="s">
        <v>2859</v>
      </c>
      <c r="G277" s="89" t="s">
        <v>2860</v>
      </c>
      <c r="H277" s="89" t="s">
        <v>2859</v>
      </c>
      <c r="I277" s="89" t="s">
        <v>1396</v>
      </c>
      <c r="J277" s="89" t="s">
        <v>2859</v>
      </c>
      <c r="K277" s="89" t="s">
        <v>2859</v>
      </c>
      <c r="L277" s="89" t="s">
        <v>2859</v>
      </c>
      <c r="M277" s="89" t="s">
        <v>2859</v>
      </c>
      <c r="N277" s="89" t="s">
        <v>2859</v>
      </c>
      <c r="O277" s="89" t="s">
        <v>2859</v>
      </c>
      <c r="P277" s="89" t="s">
        <v>2859</v>
      </c>
      <c r="Q277" s="89" t="s">
        <v>2859</v>
      </c>
      <c r="R277" s="89" t="s">
        <v>2859</v>
      </c>
      <c r="S277" s="89" t="s">
        <v>2859</v>
      </c>
      <c r="T277" s="89" t="s">
        <v>2859</v>
      </c>
      <c r="U277" s="89" t="s">
        <v>2859</v>
      </c>
      <c r="V277" s="89" t="s">
        <v>2859</v>
      </c>
      <c r="W277" s="89" t="s">
        <v>2859</v>
      </c>
      <c r="X277" s="89" t="s">
        <v>2859</v>
      </c>
      <c r="Y277" s="89" t="s">
        <v>2859</v>
      </c>
      <c r="Z277" s="89" t="s">
        <v>2859</v>
      </c>
      <c r="AA277" s="89" t="s">
        <v>2859</v>
      </c>
      <c r="AB277" s="89" t="s">
        <v>2859</v>
      </c>
      <c r="AC277" s="89" t="s">
        <v>2859</v>
      </c>
      <c r="AD277" s="89" t="s">
        <v>2859</v>
      </c>
      <c r="AE277" s="89" t="s">
        <v>2859</v>
      </c>
      <c r="AF277" s="89" t="s">
        <v>2859</v>
      </c>
      <c r="AG277" s="89" t="s">
        <v>2859</v>
      </c>
      <c r="AH277" s="89" t="s">
        <v>2859</v>
      </c>
      <c r="AI277" s="89" t="s">
        <v>2859</v>
      </c>
      <c r="AJ277" s="89" t="s">
        <v>2859</v>
      </c>
      <c r="AK277" s="89" t="s">
        <v>2859</v>
      </c>
      <c r="AL277" s="89" t="s">
        <v>2859</v>
      </c>
      <c r="AM277" s="89" t="s">
        <v>2859</v>
      </c>
      <c r="AN277" s="89" t="s">
        <v>2859</v>
      </c>
      <c r="AO277" s="89" t="s">
        <v>2859</v>
      </c>
      <c r="AP277" s="89" t="s">
        <v>2859</v>
      </c>
      <c r="AQ277" s="89" t="s">
        <v>2859</v>
      </c>
      <c r="AR277" s="89" t="s">
        <v>2859</v>
      </c>
      <c r="AS277" s="89" t="s">
        <v>2859</v>
      </c>
      <c r="AT277" s="89" t="s">
        <v>2859</v>
      </c>
      <c r="AU277" s="89" t="s">
        <v>2859</v>
      </c>
      <c r="AV277" s="89" t="s">
        <v>2859</v>
      </c>
      <c r="AW277" s="89" t="s">
        <v>2859</v>
      </c>
      <c r="AX277" s="89" t="s">
        <v>2859</v>
      </c>
      <c r="AY277" s="89" t="s">
        <v>2859</v>
      </c>
      <c r="AZ277" s="89" t="s">
        <v>2859</v>
      </c>
      <c r="BA277" s="89" t="s">
        <v>2859</v>
      </c>
      <c r="BB277" s="89" t="s">
        <v>2859</v>
      </c>
      <c r="BC277" s="89" t="s">
        <v>2859</v>
      </c>
      <c r="BD277" s="89" t="s">
        <v>2859</v>
      </c>
      <c r="BE277" s="89" t="s">
        <v>2859</v>
      </c>
      <c r="BF277" s="89" t="s">
        <v>2859</v>
      </c>
      <c r="BG277" s="89" t="s">
        <v>2859</v>
      </c>
      <c r="BH277" s="89" t="s">
        <v>2859</v>
      </c>
      <c r="BI277" s="89" t="s">
        <v>2859</v>
      </c>
      <c r="BJ277" s="89" t="s">
        <v>2859</v>
      </c>
      <c r="BK277" s="89" t="s">
        <v>2859</v>
      </c>
      <c r="BL277" s="89" t="s">
        <v>2859</v>
      </c>
      <c r="BM277" s="89" t="s">
        <v>2859</v>
      </c>
      <c r="BN277" s="89" t="s">
        <v>2859</v>
      </c>
      <c r="BO277" s="89" t="s">
        <v>2859</v>
      </c>
      <c r="BP277" s="89" t="s">
        <v>2859</v>
      </c>
      <c r="BQ277" s="89" t="s">
        <v>3607</v>
      </c>
      <c r="BR277" s="89" t="s">
        <v>2859</v>
      </c>
    </row>
    <row r="278" spans="1:70">
      <c r="A278" s="89" t="s">
        <v>2150</v>
      </c>
      <c r="B278" s="89" t="s">
        <v>3608</v>
      </c>
      <c r="C278" s="89" t="s">
        <v>2879</v>
      </c>
      <c r="D278" s="89" t="s">
        <v>2859</v>
      </c>
      <c r="E278" s="89" t="s">
        <v>2859</v>
      </c>
      <c r="F278" s="89" t="s">
        <v>2859</v>
      </c>
      <c r="G278" s="89" t="s">
        <v>2860</v>
      </c>
      <c r="H278" s="89" t="s">
        <v>2859</v>
      </c>
      <c r="I278" s="89" t="s">
        <v>2585</v>
      </c>
      <c r="J278" s="89" t="s">
        <v>3609</v>
      </c>
      <c r="K278" s="89" t="s">
        <v>2859</v>
      </c>
      <c r="L278" s="89" t="s">
        <v>2859</v>
      </c>
      <c r="M278" s="89" t="s">
        <v>2859</v>
      </c>
      <c r="N278" s="89" t="s">
        <v>2859</v>
      </c>
      <c r="O278" s="89" t="s">
        <v>2859</v>
      </c>
      <c r="P278" s="89" t="s">
        <v>2859</v>
      </c>
      <c r="Q278" s="89" t="s">
        <v>2859</v>
      </c>
      <c r="R278" s="89" t="s">
        <v>2859</v>
      </c>
      <c r="S278" s="89" t="s">
        <v>2859</v>
      </c>
      <c r="T278" s="89" t="s">
        <v>2859</v>
      </c>
      <c r="U278" s="89" t="s">
        <v>2859</v>
      </c>
      <c r="V278" s="89" t="s">
        <v>2859</v>
      </c>
      <c r="W278" s="89" t="s">
        <v>2859</v>
      </c>
      <c r="X278" s="89" t="s">
        <v>2859</v>
      </c>
      <c r="Y278" s="89" t="s">
        <v>2859</v>
      </c>
      <c r="Z278" s="89" t="s">
        <v>2859</v>
      </c>
      <c r="AA278" s="89" t="s">
        <v>2859</v>
      </c>
      <c r="AB278" s="89" t="s">
        <v>2859</v>
      </c>
      <c r="AC278" s="89" t="s">
        <v>2859</v>
      </c>
      <c r="AD278" s="89" t="s">
        <v>2859</v>
      </c>
      <c r="AE278" s="89" t="s">
        <v>2859</v>
      </c>
      <c r="AF278" s="89" t="s">
        <v>2859</v>
      </c>
      <c r="AG278" s="89" t="s">
        <v>2859</v>
      </c>
      <c r="AH278" s="89" t="s">
        <v>2859</v>
      </c>
      <c r="AI278" s="89" t="s">
        <v>2859</v>
      </c>
      <c r="AJ278" s="89" t="s">
        <v>2859</v>
      </c>
      <c r="AK278" s="89" t="s">
        <v>2859</v>
      </c>
      <c r="AL278" s="89" t="s">
        <v>2859</v>
      </c>
      <c r="AM278" s="89" t="s">
        <v>2859</v>
      </c>
      <c r="AN278" s="89" t="s">
        <v>2859</v>
      </c>
      <c r="AO278" s="89" t="s">
        <v>2859</v>
      </c>
      <c r="AP278" s="89" t="s">
        <v>2859</v>
      </c>
      <c r="AQ278" s="89" t="s">
        <v>2859</v>
      </c>
      <c r="AR278" s="89" t="s">
        <v>2859</v>
      </c>
      <c r="AS278" s="89" t="s">
        <v>2859</v>
      </c>
      <c r="AT278" s="89" t="s">
        <v>2859</v>
      </c>
      <c r="AU278" s="89" t="s">
        <v>2859</v>
      </c>
      <c r="AV278" s="89" t="s">
        <v>2859</v>
      </c>
      <c r="AW278" s="89" t="s">
        <v>2859</v>
      </c>
      <c r="AX278" s="89" t="s">
        <v>2859</v>
      </c>
      <c r="AY278" s="89" t="s">
        <v>2859</v>
      </c>
      <c r="AZ278" s="89" t="s">
        <v>2859</v>
      </c>
      <c r="BA278" s="89" t="s">
        <v>2859</v>
      </c>
      <c r="BB278" s="89" t="s">
        <v>2859</v>
      </c>
      <c r="BC278" s="89" t="s">
        <v>2859</v>
      </c>
      <c r="BD278" s="89" t="s">
        <v>2859</v>
      </c>
      <c r="BE278" s="89" t="s">
        <v>2859</v>
      </c>
      <c r="BF278" s="89" t="s">
        <v>2859</v>
      </c>
      <c r="BG278" s="89" t="s">
        <v>2859</v>
      </c>
      <c r="BH278" s="89" t="s">
        <v>2859</v>
      </c>
      <c r="BI278" s="89" t="s">
        <v>2859</v>
      </c>
      <c r="BJ278" s="89" t="s">
        <v>2859</v>
      </c>
      <c r="BK278" s="89" t="s">
        <v>2859</v>
      </c>
      <c r="BL278" s="89" t="s">
        <v>2859</v>
      </c>
      <c r="BM278" s="89" t="s">
        <v>2859</v>
      </c>
      <c r="BN278" s="89" t="s">
        <v>2859</v>
      </c>
      <c r="BO278" s="89" t="s">
        <v>2859</v>
      </c>
      <c r="BP278" s="89" t="s">
        <v>2859</v>
      </c>
      <c r="BQ278" s="89" t="s">
        <v>3610</v>
      </c>
      <c r="BR278" s="89" t="s">
        <v>2859</v>
      </c>
    </row>
    <row r="279" spans="1:70">
      <c r="A279" s="89" t="s">
        <v>2150</v>
      </c>
      <c r="B279" s="89" t="s">
        <v>3611</v>
      </c>
      <c r="C279" s="89" t="s">
        <v>2971</v>
      </c>
      <c r="D279" s="89" t="s">
        <v>2859</v>
      </c>
      <c r="E279" s="89" t="s">
        <v>2859</v>
      </c>
      <c r="F279" s="89" t="s">
        <v>2859</v>
      </c>
      <c r="G279" s="89" t="s">
        <v>2860</v>
      </c>
      <c r="H279" s="89" t="s">
        <v>2859</v>
      </c>
      <c r="I279" s="89" t="s">
        <v>120</v>
      </c>
      <c r="J279" s="89" t="s">
        <v>3425</v>
      </c>
      <c r="K279" s="89" t="s">
        <v>2860</v>
      </c>
      <c r="L279" s="89" t="s">
        <v>2490</v>
      </c>
      <c r="M279" s="89" t="s">
        <v>3425</v>
      </c>
      <c r="N279" s="89" t="s">
        <v>2860</v>
      </c>
      <c r="O279" s="89" t="s">
        <v>2859</v>
      </c>
      <c r="P279" s="89" t="s">
        <v>2859</v>
      </c>
      <c r="Q279" s="89" t="s">
        <v>2859</v>
      </c>
      <c r="R279" s="89" t="s">
        <v>2859</v>
      </c>
      <c r="S279" s="89" t="s">
        <v>2859</v>
      </c>
      <c r="T279" s="89" t="s">
        <v>2859</v>
      </c>
      <c r="U279" s="89" t="s">
        <v>2859</v>
      </c>
      <c r="V279" s="89" t="s">
        <v>2859</v>
      </c>
      <c r="W279" s="89" t="s">
        <v>2859</v>
      </c>
      <c r="X279" s="89" t="s">
        <v>2859</v>
      </c>
      <c r="Y279" s="89" t="s">
        <v>2859</v>
      </c>
      <c r="Z279" s="89" t="s">
        <v>2859</v>
      </c>
      <c r="AA279" s="89" t="s">
        <v>2859</v>
      </c>
      <c r="AB279" s="89" t="s">
        <v>2859</v>
      </c>
      <c r="AC279" s="89" t="s">
        <v>2859</v>
      </c>
      <c r="AD279" s="89" t="s">
        <v>2859</v>
      </c>
      <c r="AE279" s="89" t="s">
        <v>2859</v>
      </c>
      <c r="AF279" s="89" t="s">
        <v>2859</v>
      </c>
      <c r="AG279" s="89" t="s">
        <v>2859</v>
      </c>
      <c r="AH279" s="89" t="s">
        <v>2859</v>
      </c>
      <c r="AI279" s="89" t="s">
        <v>2859</v>
      </c>
      <c r="AJ279" s="89" t="s">
        <v>2859</v>
      </c>
      <c r="AK279" s="89" t="s">
        <v>2859</v>
      </c>
      <c r="AL279" s="89" t="s">
        <v>2859</v>
      </c>
      <c r="AM279" s="89" t="s">
        <v>2859</v>
      </c>
      <c r="AN279" s="89" t="s">
        <v>2859</v>
      </c>
      <c r="AO279" s="89" t="s">
        <v>2859</v>
      </c>
      <c r="AP279" s="89" t="s">
        <v>2859</v>
      </c>
      <c r="AQ279" s="89" t="s">
        <v>2859</v>
      </c>
      <c r="AR279" s="89" t="s">
        <v>2859</v>
      </c>
      <c r="AS279" s="89" t="s">
        <v>2859</v>
      </c>
      <c r="AT279" s="89" t="s">
        <v>2859</v>
      </c>
      <c r="AU279" s="89" t="s">
        <v>2859</v>
      </c>
      <c r="AV279" s="89" t="s">
        <v>2859</v>
      </c>
      <c r="AW279" s="89" t="s">
        <v>2859</v>
      </c>
      <c r="AX279" s="89" t="s">
        <v>2859</v>
      </c>
      <c r="AY279" s="89" t="s">
        <v>2859</v>
      </c>
      <c r="AZ279" s="89" t="s">
        <v>2859</v>
      </c>
      <c r="BA279" s="89" t="s">
        <v>2859</v>
      </c>
      <c r="BB279" s="89" t="s">
        <v>2859</v>
      </c>
      <c r="BC279" s="89" t="s">
        <v>2859</v>
      </c>
      <c r="BD279" s="89" t="s">
        <v>2859</v>
      </c>
      <c r="BE279" s="89" t="s">
        <v>2859</v>
      </c>
      <c r="BF279" s="89" t="s">
        <v>2859</v>
      </c>
      <c r="BG279" s="89" t="s">
        <v>2859</v>
      </c>
      <c r="BH279" s="89" t="s">
        <v>2859</v>
      </c>
      <c r="BI279" s="89" t="s">
        <v>2859</v>
      </c>
      <c r="BJ279" s="89" t="s">
        <v>2859</v>
      </c>
      <c r="BK279" s="89" t="s">
        <v>2859</v>
      </c>
      <c r="BL279" s="89" t="s">
        <v>2859</v>
      </c>
      <c r="BM279" s="89" t="s">
        <v>2859</v>
      </c>
      <c r="BN279" s="89" t="s">
        <v>2859</v>
      </c>
      <c r="BO279" s="89" t="s">
        <v>2859</v>
      </c>
      <c r="BP279" s="89" t="s">
        <v>2859</v>
      </c>
      <c r="BQ279" s="89" t="s">
        <v>3612</v>
      </c>
      <c r="BR279" s="89" t="s">
        <v>2859</v>
      </c>
    </row>
    <row r="280" spans="1:70">
      <c r="A280" s="89" t="s">
        <v>2150</v>
      </c>
      <c r="B280" s="89" t="s">
        <v>3613</v>
      </c>
      <c r="C280" s="89" t="s">
        <v>2884</v>
      </c>
      <c r="D280" s="89" t="s">
        <v>2859</v>
      </c>
      <c r="E280" s="89" t="s">
        <v>2859</v>
      </c>
      <c r="F280" s="89" t="s">
        <v>2859</v>
      </c>
      <c r="G280" s="89" t="s">
        <v>2860</v>
      </c>
      <c r="H280" s="89" t="s">
        <v>2859</v>
      </c>
      <c r="I280" s="89" t="s">
        <v>2865</v>
      </c>
      <c r="J280" s="89" t="s">
        <v>3570</v>
      </c>
      <c r="K280" s="89" t="s">
        <v>2860</v>
      </c>
      <c r="L280" s="89" t="s">
        <v>2859</v>
      </c>
      <c r="M280" s="89" t="s">
        <v>2859</v>
      </c>
      <c r="N280" s="89" t="s">
        <v>2859</v>
      </c>
      <c r="O280" s="89" t="s">
        <v>2859</v>
      </c>
      <c r="P280" s="89" t="s">
        <v>2859</v>
      </c>
      <c r="Q280" s="89" t="s">
        <v>2859</v>
      </c>
      <c r="R280" s="89" t="s">
        <v>2859</v>
      </c>
      <c r="S280" s="89" t="s">
        <v>2859</v>
      </c>
      <c r="T280" s="89" t="s">
        <v>2859</v>
      </c>
      <c r="U280" s="89" t="s">
        <v>2859</v>
      </c>
      <c r="V280" s="89" t="s">
        <v>2859</v>
      </c>
      <c r="W280" s="89" t="s">
        <v>2859</v>
      </c>
      <c r="X280" s="89" t="s">
        <v>2859</v>
      </c>
      <c r="Y280" s="89" t="s">
        <v>2859</v>
      </c>
      <c r="Z280" s="89" t="s">
        <v>2859</v>
      </c>
      <c r="AA280" s="89" t="s">
        <v>2859</v>
      </c>
      <c r="AB280" s="89" t="s">
        <v>2859</v>
      </c>
      <c r="AC280" s="89" t="s">
        <v>2859</v>
      </c>
      <c r="AD280" s="89" t="s">
        <v>2859</v>
      </c>
      <c r="AE280" s="89" t="s">
        <v>2859</v>
      </c>
      <c r="AF280" s="89" t="s">
        <v>2859</v>
      </c>
      <c r="AG280" s="89" t="s">
        <v>2859</v>
      </c>
      <c r="AH280" s="89" t="s">
        <v>2859</v>
      </c>
      <c r="AI280" s="89" t="s">
        <v>2859</v>
      </c>
      <c r="AJ280" s="89" t="s">
        <v>2859</v>
      </c>
      <c r="AK280" s="89" t="s">
        <v>2859</v>
      </c>
      <c r="AL280" s="89" t="s">
        <v>2859</v>
      </c>
      <c r="AM280" s="89" t="s">
        <v>2859</v>
      </c>
      <c r="AN280" s="89" t="s">
        <v>2859</v>
      </c>
      <c r="AO280" s="89" t="s">
        <v>2859</v>
      </c>
      <c r="AP280" s="89" t="s">
        <v>2859</v>
      </c>
      <c r="AQ280" s="89" t="s">
        <v>2859</v>
      </c>
      <c r="AR280" s="89" t="s">
        <v>2859</v>
      </c>
      <c r="AS280" s="89" t="s">
        <v>2859</v>
      </c>
      <c r="AT280" s="89" t="s">
        <v>2859</v>
      </c>
      <c r="AU280" s="89" t="s">
        <v>2859</v>
      </c>
      <c r="AV280" s="89" t="s">
        <v>2859</v>
      </c>
      <c r="AW280" s="89" t="s">
        <v>2859</v>
      </c>
      <c r="AX280" s="89" t="s">
        <v>2859</v>
      </c>
      <c r="AY280" s="89" t="s">
        <v>2859</v>
      </c>
      <c r="AZ280" s="89" t="s">
        <v>2859</v>
      </c>
      <c r="BA280" s="89" t="s">
        <v>2859</v>
      </c>
      <c r="BB280" s="89" t="s">
        <v>2859</v>
      </c>
      <c r="BC280" s="89" t="s">
        <v>2859</v>
      </c>
      <c r="BD280" s="89" t="s">
        <v>2859</v>
      </c>
      <c r="BE280" s="89" t="s">
        <v>2859</v>
      </c>
      <c r="BF280" s="89" t="s">
        <v>2859</v>
      </c>
      <c r="BG280" s="89" t="s">
        <v>2859</v>
      </c>
      <c r="BH280" s="89" t="s">
        <v>2859</v>
      </c>
      <c r="BI280" s="89" t="s">
        <v>2859</v>
      </c>
      <c r="BJ280" s="89" t="s">
        <v>2859</v>
      </c>
      <c r="BK280" s="89" t="s">
        <v>2859</v>
      </c>
      <c r="BL280" s="89" t="s">
        <v>2859</v>
      </c>
      <c r="BM280" s="89" t="s">
        <v>2859</v>
      </c>
      <c r="BN280" s="89" t="s">
        <v>2859</v>
      </c>
      <c r="BO280" s="89" t="s">
        <v>2859</v>
      </c>
      <c r="BP280" s="89" t="s">
        <v>2859</v>
      </c>
      <c r="BQ280" s="89" t="s">
        <v>3614</v>
      </c>
      <c r="BR280" s="89" t="s">
        <v>2859</v>
      </c>
    </row>
    <row r="281" spans="1:70">
      <c r="A281" s="89" t="s">
        <v>2150</v>
      </c>
      <c r="B281" s="89" t="s">
        <v>3615</v>
      </c>
      <c r="C281" s="89" t="s">
        <v>2884</v>
      </c>
      <c r="D281" s="89" t="s">
        <v>2859</v>
      </c>
      <c r="E281" s="89" t="s">
        <v>2859</v>
      </c>
      <c r="F281" s="89" t="s">
        <v>2859</v>
      </c>
      <c r="G281" s="89" t="s">
        <v>3616</v>
      </c>
      <c r="H281" s="89" t="s">
        <v>2859</v>
      </c>
      <c r="I281" s="89" t="s">
        <v>3617</v>
      </c>
      <c r="J281" s="89" t="s">
        <v>2859</v>
      </c>
      <c r="K281" s="89" t="s">
        <v>2859</v>
      </c>
      <c r="L281" s="89" t="s">
        <v>2859</v>
      </c>
      <c r="M281" s="89" t="s">
        <v>2859</v>
      </c>
      <c r="N281" s="89" t="s">
        <v>2859</v>
      </c>
      <c r="O281" s="89" t="s">
        <v>2859</v>
      </c>
      <c r="P281" s="89" t="s">
        <v>2859</v>
      </c>
      <c r="Q281" s="89" t="s">
        <v>2859</v>
      </c>
      <c r="R281" s="89" t="s">
        <v>2859</v>
      </c>
      <c r="S281" s="89" t="s">
        <v>2859</v>
      </c>
      <c r="T281" s="89" t="s">
        <v>2859</v>
      </c>
      <c r="U281" s="89" t="s">
        <v>2859</v>
      </c>
      <c r="V281" s="89" t="s">
        <v>2859</v>
      </c>
      <c r="W281" s="89" t="s">
        <v>2859</v>
      </c>
      <c r="X281" s="89" t="s">
        <v>2859</v>
      </c>
      <c r="Y281" s="89" t="s">
        <v>2859</v>
      </c>
      <c r="Z281" s="89" t="s">
        <v>2859</v>
      </c>
      <c r="AA281" s="89" t="s">
        <v>2859</v>
      </c>
      <c r="AB281" s="89" t="s">
        <v>2859</v>
      </c>
      <c r="AC281" s="89" t="s">
        <v>2859</v>
      </c>
      <c r="AD281" s="89" t="s">
        <v>2859</v>
      </c>
      <c r="AE281" s="89" t="s">
        <v>2859</v>
      </c>
      <c r="AF281" s="89" t="s">
        <v>2859</v>
      </c>
      <c r="AG281" s="89" t="s">
        <v>2859</v>
      </c>
      <c r="AH281" s="89" t="s">
        <v>2859</v>
      </c>
      <c r="AI281" s="89" t="s">
        <v>2859</v>
      </c>
      <c r="AJ281" s="89" t="s">
        <v>2859</v>
      </c>
      <c r="AK281" s="89" t="s">
        <v>2859</v>
      </c>
      <c r="AL281" s="89" t="s">
        <v>2859</v>
      </c>
      <c r="AM281" s="89" t="s">
        <v>2859</v>
      </c>
      <c r="AN281" s="89" t="s">
        <v>2859</v>
      </c>
      <c r="AO281" s="89" t="s">
        <v>2859</v>
      </c>
      <c r="AP281" s="89" t="s">
        <v>2859</v>
      </c>
      <c r="AQ281" s="89" t="s">
        <v>2859</v>
      </c>
      <c r="AR281" s="89" t="s">
        <v>2859</v>
      </c>
      <c r="AS281" s="89" t="s">
        <v>2859</v>
      </c>
      <c r="AT281" s="89" t="s">
        <v>2859</v>
      </c>
      <c r="AU281" s="89" t="s">
        <v>2859</v>
      </c>
      <c r="AV281" s="89" t="s">
        <v>2859</v>
      </c>
      <c r="AW281" s="89" t="s">
        <v>2859</v>
      </c>
      <c r="AX281" s="89" t="s">
        <v>2859</v>
      </c>
      <c r="AY281" s="89" t="s">
        <v>2859</v>
      </c>
      <c r="AZ281" s="89" t="s">
        <v>2859</v>
      </c>
      <c r="BA281" s="89" t="s">
        <v>2859</v>
      </c>
      <c r="BB281" s="89" t="s">
        <v>2859</v>
      </c>
      <c r="BC281" s="89" t="s">
        <v>2859</v>
      </c>
      <c r="BD281" s="89" t="s">
        <v>2859</v>
      </c>
      <c r="BE281" s="89" t="s">
        <v>2859</v>
      </c>
      <c r="BF281" s="89" t="s">
        <v>2859</v>
      </c>
      <c r="BG281" s="89" t="s">
        <v>2859</v>
      </c>
      <c r="BH281" s="89" t="s">
        <v>2859</v>
      </c>
      <c r="BI281" s="89" t="s">
        <v>2859</v>
      </c>
      <c r="BJ281" s="89" t="s">
        <v>2859</v>
      </c>
      <c r="BK281" s="89" t="s">
        <v>2859</v>
      </c>
      <c r="BL281" s="89" t="s">
        <v>2859</v>
      </c>
      <c r="BM281" s="89" t="s">
        <v>2859</v>
      </c>
      <c r="BN281" s="89" t="s">
        <v>2859</v>
      </c>
      <c r="BO281" s="89" t="s">
        <v>2859</v>
      </c>
      <c r="BP281" s="89" t="s">
        <v>2859</v>
      </c>
      <c r="BQ281" s="89" t="s">
        <v>2859</v>
      </c>
      <c r="BR281" s="89" t="s">
        <v>2869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2788</v>
      </c>
      <c r="B1" s="90" t="s">
        <v>2308</v>
      </c>
      <c r="C1" s="90" t="s">
        <v>2789</v>
      </c>
      <c r="D1" s="90" t="s">
        <v>2790</v>
      </c>
      <c r="E1" s="90" t="s">
        <v>2791</v>
      </c>
      <c r="F1" s="90" t="s">
        <v>2792</v>
      </c>
      <c r="G1" s="90" t="s">
        <v>2793</v>
      </c>
      <c r="H1" s="90" t="s">
        <v>2794</v>
      </c>
      <c r="I1" s="90" t="s">
        <v>2795</v>
      </c>
      <c r="J1" s="90" t="s">
        <v>2796</v>
      </c>
      <c r="K1" s="90" t="s">
        <v>2797</v>
      </c>
      <c r="L1" s="90" t="s">
        <v>2798</v>
      </c>
      <c r="M1" s="90" t="s">
        <v>2799</v>
      </c>
      <c r="N1" s="90" t="s">
        <v>2800</v>
      </c>
      <c r="O1" s="90" t="s">
        <v>2801</v>
      </c>
      <c r="P1" s="90" t="s">
        <v>2802</v>
      </c>
      <c r="Q1" s="90" t="s">
        <v>2803</v>
      </c>
      <c r="R1" s="90" t="s">
        <v>2804</v>
      </c>
      <c r="S1" s="90" t="s">
        <v>2805</v>
      </c>
      <c r="T1" s="90" t="s">
        <v>2806</v>
      </c>
      <c r="U1" s="90" t="s">
        <v>2807</v>
      </c>
      <c r="V1" s="90" t="s">
        <v>2808</v>
      </c>
      <c r="W1" s="90" t="s">
        <v>2809</v>
      </c>
      <c r="X1" s="90" t="s">
        <v>2810</v>
      </c>
      <c r="Y1" s="90" t="s">
        <v>2811</v>
      </c>
      <c r="Z1" s="90" t="s">
        <v>2812</v>
      </c>
      <c r="AA1" s="90" t="s">
        <v>2813</v>
      </c>
      <c r="AB1" s="90" t="s">
        <v>2814</v>
      </c>
      <c r="AC1" s="90" t="s">
        <v>2815</v>
      </c>
      <c r="AD1" s="90" t="s">
        <v>2816</v>
      </c>
      <c r="AE1" s="90" t="s">
        <v>2817</v>
      </c>
      <c r="AF1" s="90" t="s">
        <v>2818</v>
      </c>
      <c r="AG1" s="90" t="s">
        <v>2819</v>
      </c>
      <c r="AH1" s="90" t="s">
        <v>2820</v>
      </c>
      <c r="AI1" s="90" t="s">
        <v>2821</v>
      </c>
      <c r="AJ1" s="90" t="s">
        <v>2822</v>
      </c>
      <c r="AK1" s="90" t="s">
        <v>2823</v>
      </c>
      <c r="AL1" s="90" t="s">
        <v>2824</v>
      </c>
      <c r="AM1" s="90" t="s">
        <v>2825</v>
      </c>
      <c r="AN1" s="90" t="s">
        <v>2826</v>
      </c>
      <c r="AO1" s="90" t="s">
        <v>2827</v>
      </c>
      <c r="AP1" s="90" t="s">
        <v>2828</v>
      </c>
      <c r="AQ1" s="90" t="s">
        <v>2829</v>
      </c>
      <c r="AR1" s="90" t="s">
        <v>2830</v>
      </c>
      <c r="AS1" s="90" t="s">
        <v>2831</v>
      </c>
      <c r="AT1" s="90" t="s">
        <v>2832</v>
      </c>
      <c r="AU1" s="90" t="s">
        <v>2833</v>
      </c>
      <c r="AV1" s="90" t="s">
        <v>2834</v>
      </c>
      <c r="AW1" s="90" t="s">
        <v>2835</v>
      </c>
      <c r="AX1" s="90" t="s">
        <v>2836</v>
      </c>
      <c r="AY1" s="90" t="s">
        <v>2837</v>
      </c>
      <c r="AZ1" s="90" t="s">
        <v>2838</v>
      </c>
      <c r="BA1" s="90" t="s">
        <v>2839</v>
      </c>
      <c r="BB1" s="90" t="s">
        <v>2840</v>
      </c>
      <c r="BC1" s="90" t="s">
        <v>2841</v>
      </c>
      <c r="BD1" s="90" t="s">
        <v>2842</v>
      </c>
      <c r="BE1" s="90" t="s">
        <v>2843</v>
      </c>
      <c r="BF1" s="90" t="s">
        <v>2844</v>
      </c>
      <c r="BG1" s="90" t="s">
        <v>2845</v>
      </c>
      <c r="BH1" s="90" t="s">
        <v>2846</v>
      </c>
      <c r="BI1" s="90" t="s">
        <v>2847</v>
      </c>
      <c r="BJ1" s="90" t="s">
        <v>2848</v>
      </c>
      <c r="BK1" s="90" t="s">
        <v>2849</v>
      </c>
      <c r="BL1" s="90" t="s">
        <v>2850</v>
      </c>
      <c r="BM1" s="90" t="s">
        <v>2851</v>
      </c>
      <c r="BN1" s="90" t="s">
        <v>2852</v>
      </c>
      <c r="BO1" s="90" t="s">
        <v>2853</v>
      </c>
      <c r="BP1" s="90" t="s">
        <v>2854</v>
      </c>
      <c r="BQ1" s="90" t="s">
        <v>2855</v>
      </c>
      <c r="BR1" s="90" t="s">
        <v>2856</v>
      </c>
    </row>
    <row r="2" spans="1:70">
      <c r="A2" s="89" t="s">
        <v>2154</v>
      </c>
      <c r="B2" s="89" t="s">
        <v>2315</v>
      </c>
      <c r="C2" s="89" t="s">
        <v>2316</v>
      </c>
      <c r="D2" s="89" t="s">
        <v>2859</v>
      </c>
      <c r="E2" s="89" t="s">
        <v>2859</v>
      </c>
      <c r="F2" s="89" t="s">
        <v>2859</v>
      </c>
      <c r="G2" s="89" t="s">
        <v>2860</v>
      </c>
      <c r="H2" s="89" t="s">
        <v>2859</v>
      </c>
      <c r="I2" s="89" t="s">
        <v>2317</v>
      </c>
      <c r="J2" s="89" t="s">
        <v>2320</v>
      </c>
      <c r="K2" s="89" t="s">
        <v>2867</v>
      </c>
      <c r="L2" s="89" t="s">
        <v>2859</v>
      </c>
      <c r="M2" s="89" t="s">
        <v>2859</v>
      </c>
      <c r="N2" s="89" t="s">
        <v>2859</v>
      </c>
      <c r="O2" s="89" t="s">
        <v>2859</v>
      </c>
      <c r="P2" s="89" t="s">
        <v>2859</v>
      </c>
      <c r="Q2" s="89" t="s">
        <v>2859</v>
      </c>
      <c r="R2" s="89" t="s">
        <v>2859</v>
      </c>
      <c r="S2" s="89" t="s">
        <v>2859</v>
      </c>
      <c r="T2" s="89" t="s">
        <v>2859</v>
      </c>
      <c r="U2" s="89" t="s">
        <v>2859</v>
      </c>
      <c r="V2" s="89" t="s">
        <v>2859</v>
      </c>
      <c r="W2" s="89" t="s">
        <v>2859</v>
      </c>
      <c r="X2" s="89" t="s">
        <v>2859</v>
      </c>
      <c r="Y2" s="89" t="s">
        <v>2859</v>
      </c>
      <c r="Z2" s="89" t="s">
        <v>2859</v>
      </c>
      <c r="AA2" s="89" t="s">
        <v>2859</v>
      </c>
      <c r="AB2" s="89" t="s">
        <v>2859</v>
      </c>
      <c r="AC2" s="89" t="s">
        <v>2859</v>
      </c>
      <c r="AD2" s="89" t="s">
        <v>2859</v>
      </c>
      <c r="AE2" s="89" t="s">
        <v>2859</v>
      </c>
      <c r="AF2" s="89" t="s">
        <v>2859</v>
      </c>
      <c r="AG2" s="89" t="s">
        <v>2859</v>
      </c>
      <c r="AH2" s="89" t="s">
        <v>2859</v>
      </c>
      <c r="AI2" s="89" t="s">
        <v>2859</v>
      </c>
      <c r="AJ2" s="89" t="s">
        <v>2859</v>
      </c>
      <c r="AK2" s="89" t="s">
        <v>2859</v>
      </c>
      <c r="AL2" s="89" t="s">
        <v>2859</v>
      </c>
      <c r="AM2" s="89" t="s">
        <v>2859</v>
      </c>
      <c r="AN2" s="89" t="s">
        <v>2859</v>
      </c>
      <c r="AO2" s="89" t="s">
        <v>2859</v>
      </c>
      <c r="AP2" s="89" t="s">
        <v>2859</v>
      </c>
      <c r="AQ2" s="89" t="s">
        <v>2859</v>
      </c>
      <c r="AR2" s="89" t="s">
        <v>2859</v>
      </c>
      <c r="AS2" s="89" t="s">
        <v>2859</v>
      </c>
      <c r="AT2" s="89" t="s">
        <v>2859</v>
      </c>
      <c r="AU2" s="89" t="s">
        <v>2859</v>
      </c>
      <c r="AV2" s="89" t="s">
        <v>2859</v>
      </c>
      <c r="AW2" s="89" t="s">
        <v>2859</v>
      </c>
      <c r="AX2" s="89" t="s">
        <v>2859</v>
      </c>
      <c r="AY2" s="89" t="s">
        <v>2859</v>
      </c>
      <c r="AZ2" s="89" t="s">
        <v>2859</v>
      </c>
      <c r="BA2" s="89" t="s">
        <v>2859</v>
      </c>
      <c r="BB2" s="89" t="s">
        <v>2859</v>
      </c>
      <c r="BC2" s="89" t="s">
        <v>2859</v>
      </c>
      <c r="BD2" s="89" t="s">
        <v>2859</v>
      </c>
      <c r="BE2" s="89" t="s">
        <v>2859</v>
      </c>
      <c r="BF2" s="89" t="s">
        <v>2859</v>
      </c>
      <c r="BG2" s="89" t="s">
        <v>2859</v>
      </c>
      <c r="BH2" s="89" t="s">
        <v>2859</v>
      </c>
      <c r="BI2" s="89" t="s">
        <v>2859</v>
      </c>
      <c r="BJ2" s="89" t="s">
        <v>2859</v>
      </c>
      <c r="BK2" s="89" t="s">
        <v>2859</v>
      </c>
      <c r="BL2" s="89" t="s">
        <v>2859</v>
      </c>
      <c r="BM2" s="89" t="s">
        <v>2859</v>
      </c>
      <c r="BN2" s="89" t="s">
        <v>2859</v>
      </c>
      <c r="BO2" s="89" t="s">
        <v>2859</v>
      </c>
      <c r="BP2" s="89" t="s">
        <v>2859</v>
      </c>
      <c r="BQ2" s="89" t="s">
        <v>3618</v>
      </c>
      <c r="BR2" s="89" t="s">
        <v>2869</v>
      </c>
    </row>
    <row r="3" spans="1:70">
      <c r="A3" s="89" t="s">
        <v>2154</v>
      </c>
      <c r="B3" s="89" t="s">
        <v>3619</v>
      </c>
      <c r="C3" s="89" t="s">
        <v>2322</v>
      </c>
      <c r="D3" s="89" t="s">
        <v>2859</v>
      </c>
      <c r="E3" s="89" t="s">
        <v>2859</v>
      </c>
      <c r="F3" s="89" t="s">
        <v>2859</v>
      </c>
      <c r="G3" s="89" t="s">
        <v>2860</v>
      </c>
      <c r="H3" s="89" t="s">
        <v>2859</v>
      </c>
      <c r="I3" s="89" t="s">
        <v>1463</v>
      </c>
      <c r="J3" s="89" t="s">
        <v>2859</v>
      </c>
      <c r="K3" s="89" t="s">
        <v>2859</v>
      </c>
      <c r="L3" s="89" t="s">
        <v>2859</v>
      </c>
      <c r="M3" s="89" t="s">
        <v>2859</v>
      </c>
      <c r="N3" s="89" t="s">
        <v>2859</v>
      </c>
      <c r="O3" s="89" t="s">
        <v>2859</v>
      </c>
      <c r="P3" s="89" t="s">
        <v>2859</v>
      </c>
      <c r="Q3" s="89" t="s">
        <v>2859</v>
      </c>
      <c r="R3" s="89" t="s">
        <v>2859</v>
      </c>
      <c r="S3" s="89" t="s">
        <v>2859</v>
      </c>
      <c r="T3" s="89" t="s">
        <v>2859</v>
      </c>
      <c r="U3" s="89" t="s">
        <v>2859</v>
      </c>
      <c r="V3" s="89" t="s">
        <v>2859</v>
      </c>
      <c r="W3" s="89" t="s">
        <v>2859</v>
      </c>
      <c r="X3" s="89" t="s">
        <v>2859</v>
      </c>
      <c r="Y3" s="89" t="s">
        <v>2859</v>
      </c>
      <c r="Z3" s="89" t="s">
        <v>2859</v>
      </c>
      <c r="AA3" s="89" t="s">
        <v>2859</v>
      </c>
      <c r="AB3" s="89" t="s">
        <v>2859</v>
      </c>
      <c r="AC3" s="89" t="s">
        <v>2859</v>
      </c>
      <c r="AD3" s="89" t="s">
        <v>2859</v>
      </c>
      <c r="AE3" s="89" t="s">
        <v>2859</v>
      </c>
      <c r="AF3" s="89" t="s">
        <v>2859</v>
      </c>
      <c r="AG3" s="89" t="s">
        <v>2859</v>
      </c>
      <c r="AH3" s="89" t="s">
        <v>2859</v>
      </c>
      <c r="AI3" s="89" t="s">
        <v>2859</v>
      </c>
      <c r="AJ3" s="89" t="s">
        <v>2859</v>
      </c>
      <c r="AK3" s="89" t="s">
        <v>2859</v>
      </c>
      <c r="AL3" s="89" t="s">
        <v>2859</v>
      </c>
      <c r="AM3" s="89" t="s">
        <v>2859</v>
      </c>
      <c r="AN3" s="89" t="s">
        <v>2859</v>
      </c>
      <c r="AO3" s="89" t="s">
        <v>2859</v>
      </c>
      <c r="AP3" s="89" t="s">
        <v>2859</v>
      </c>
      <c r="AQ3" s="89" t="s">
        <v>2859</v>
      </c>
      <c r="AR3" s="89" t="s">
        <v>2859</v>
      </c>
      <c r="AS3" s="89" t="s">
        <v>2859</v>
      </c>
      <c r="AT3" s="89" t="s">
        <v>2859</v>
      </c>
      <c r="AU3" s="89" t="s">
        <v>2859</v>
      </c>
      <c r="AV3" s="89" t="s">
        <v>2859</v>
      </c>
      <c r="AW3" s="89" t="s">
        <v>2859</v>
      </c>
      <c r="AX3" s="89" t="s">
        <v>2859</v>
      </c>
      <c r="AY3" s="89" t="s">
        <v>2859</v>
      </c>
      <c r="AZ3" s="89" t="s">
        <v>2859</v>
      </c>
      <c r="BA3" s="89" t="s">
        <v>2859</v>
      </c>
      <c r="BB3" s="89" t="s">
        <v>2859</v>
      </c>
      <c r="BC3" s="89" t="s">
        <v>2859</v>
      </c>
      <c r="BD3" s="89" t="s">
        <v>2859</v>
      </c>
      <c r="BE3" s="89" t="s">
        <v>2859</v>
      </c>
      <c r="BF3" s="89" t="s">
        <v>2859</v>
      </c>
      <c r="BG3" s="89" t="s">
        <v>2859</v>
      </c>
      <c r="BH3" s="89" t="s">
        <v>2859</v>
      </c>
      <c r="BI3" s="89" t="s">
        <v>2859</v>
      </c>
      <c r="BJ3" s="89" t="s">
        <v>2859</v>
      </c>
      <c r="BK3" s="89" t="s">
        <v>2859</v>
      </c>
      <c r="BL3" s="89" t="s">
        <v>2859</v>
      </c>
      <c r="BM3" s="89" t="s">
        <v>2859</v>
      </c>
      <c r="BN3" s="89" t="s">
        <v>2859</v>
      </c>
      <c r="BO3" s="89" t="s">
        <v>2859</v>
      </c>
      <c r="BP3" s="89" t="s">
        <v>2859</v>
      </c>
      <c r="BQ3" s="89" t="s">
        <v>3620</v>
      </c>
      <c r="BR3" s="89" t="s">
        <v>2859</v>
      </c>
    </row>
    <row r="4" spans="1:70">
      <c r="A4" s="89" t="s">
        <v>2154</v>
      </c>
      <c r="B4" s="89" t="s">
        <v>2377</v>
      </c>
      <c r="C4" s="89" t="s">
        <v>2378</v>
      </c>
      <c r="D4" s="89" t="s">
        <v>2859</v>
      </c>
      <c r="E4" s="89" t="s">
        <v>2859</v>
      </c>
      <c r="F4" s="89" t="s">
        <v>2859</v>
      </c>
      <c r="G4" s="89" t="s">
        <v>2860</v>
      </c>
      <c r="H4" s="89" t="s">
        <v>2859</v>
      </c>
      <c r="I4" s="89" t="s">
        <v>621</v>
      </c>
      <c r="J4" s="89" t="s">
        <v>3621</v>
      </c>
      <c r="K4" s="89" t="s">
        <v>2860</v>
      </c>
      <c r="L4" s="89" t="s">
        <v>120</v>
      </c>
      <c r="M4" s="89" t="s">
        <v>3621</v>
      </c>
      <c r="N4" s="89" t="s">
        <v>2860</v>
      </c>
      <c r="O4" s="89" t="s">
        <v>2859</v>
      </c>
      <c r="P4" s="89" t="s">
        <v>2859</v>
      </c>
      <c r="Q4" s="89" t="s">
        <v>2859</v>
      </c>
      <c r="R4" s="89" t="s">
        <v>2859</v>
      </c>
      <c r="S4" s="89" t="s">
        <v>2859</v>
      </c>
      <c r="T4" s="89" t="s">
        <v>2859</v>
      </c>
      <c r="U4" s="89" t="s">
        <v>2859</v>
      </c>
      <c r="V4" s="89" t="s">
        <v>2859</v>
      </c>
      <c r="W4" s="89" t="s">
        <v>2859</v>
      </c>
      <c r="X4" s="89" t="s">
        <v>2859</v>
      </c>
      <c r="Y4" s="89" t="s">
        <v>2859</v>
      </c>
      <c r="Z4" s="89" t="s">
        <v>2859</v>
      </c>
      <c r="AA4" s="89" t="s">
        <v>2859</v>
      </c>
      <c r="AB4" s="89" t="s">
        <v>2859</v>
      </c>
      <c r="AC4" s="89" t="s">
        <v>2859</v>
      </c>
      <c r="AD4" s="89" t="s">
        <v>2859</v>
      </c>
      <c r="AE4" s="89" t="s">
        <v>2859</v>
      </c>
      <c r="AF4" s="89" t="s">
        <v>2859</v>
      </c>
      <c r="AG4" s="89" t="s">
        <v>2859</v>
      </c>
      <c r="AH4" s="89" t="s">
        <v>2859</v>
      </c>
      <c r="AI4" s="89" t="s">
        <v>2859</v>
      </c>
      <c r="AJ4" s="89" t="s">
        <v>2859</v>
      </c>
      <c r="AK4" s="89" t="s">
        <v>2859</v>
      </c>
      <c r="AL4" s="89" t="s">
        <v>2859</v>
      </c>
      <c r="AM4" s="89" t="s">
        <v>2859</v>
      </c>
      <c r="AN4" s="89" t="s">
        <v>2859</v>
      </c>
      <c r="AO4" s="89" t="s">
        <v>2859</v>
      </c>
      <c r="AP4" s="89" t="s">
        <v>2859</v>
      </c>
      <c r="AQ4" s="89" t="s">
        <v>2859</v>
      </c>
      <c r="AR4" s="89" t="s">
        <v>2859</v>
      </c>
      <c r="AS4" s="89" t="s">
        <v>2859</v>
      </c>
      <c r="AT4" s="89" t="s">
        <v>2859</v>
      </c>
      <c r="AU4" s="89" t="s">
        <v>2859</v>
      </c>
      <c r="AV4" s="89" t="s">
        <v>2859</v>
      </c>
      <c r="AW4" s="89" t="s">
        <v>2859</v>
      </c>
      <c r="AX4" s="89" t="s">
        <v>2859</v>
      </c>
      <c r="AY4" s="89" t="s">
        <v>2859</v>
      </c>
      <c r="AZ4" s="89" t="s">
        <v>2859</v>
      </c>
      <c r="BA4" s="89" t="s">
        <v>2859</v>
      </c>
      <c r="BB4" s="89" t="s">
        <v>2859</v>
      </c>
      <c r="BC4" s="89" t="s">
        <v>2859</v>
      </c>
      <c r="BD4" s="89" t="s">
        <v>2859</v>
      </c>
      <c r="BE4" s="89" t="s">
        <v>2859</v>
      </c>
      <c r="BF4" s="89" t="s">
        <v>2859</v>
      </c>
      <c r="BG4" s="89" t="s">
        <v>2859</v>
      </c>
      <c r="BH4" s="89" t="s">
        <v>2859</v>
      </c>
      <c r="BI4" s="89" t="s">
        <v>2859</v>
      </c>
      <c r="BJ4" s="89" t="s">
        <v>2859</v>
      </c>
      <c r="BK4" s="89" t="s">
        <v>2859</v>
      </c>
      <c r="BL4" s="89" t="s">
        <v>2859</v>
      </c>
      <c r="BM4" s="89" t="s">
        <v>2859</v>
      </c>
      <c r="BN4" s="89" t="s">
        <v>2859</v>
      </c>
      <c r="BO4" s="89" t="s">
        <v>2859</v>
      </c>
      <c r="BP4" s="89" t="s">
        <v>2859</v>
      </c>
      <c r="BQ4" s="89" t="s">
        <v>3622</v>
      </c>
      <c r="BR4" s="89" t="s">
        <v>2859</v>
      </c>
    </row>
    <row r="5" spans="1:70">
      <c r="A5" s="89" t="s">
        <v>2154</v>
      </c>
      <c r="B5" s="89" t="s">
        <v>2381</v>
      </c>
      <c r="C5" s="89" t="s">
        <v>2859</v>
      </c>
      <c r="D5" s="89" t="s">
        <v>2859</v>
      </c>
      <c r="E5" s="89" t="s">
        <v>2859</v>
      </c>
      <c r="F5" s="89" t="s">
        <v>2859</v>
      </c>
      <c r="G5" s="89" t="s">
        <v>2860</v>
      </c>
      <c r="H5" s="89" t="s">
        <v>2859</v>
      </c>
      <c r="I5" s="89" t="s">
        <v>1396</v>
      </c>
      <c r="J5" s="89" t="s">
        <v>2859</v>
      </c>
      <c r="K5" s="89" t="s">
        <v>2859</v>
      </c>
      <c r="L5" s="89" t="s">
        <v>2859</v>
      </c>
      <c r="M5" s="89" t="s">
        <v>2859</v>
      </c>
      <c r="N5" s="89" t="s">
        <v>2859</v>
      </c>
      <c r="O5" s="89" t="s">
        <v>2859</v>
      </c>
      <c r="P5" s="89" t="s">
        <v>2859</v>
      </c>
      <c r="Q5" s="89" t="s">
        <v>2859</v>
      </c>
      <c r="R5" s="89" t="s">
        <v>2859</v>
      </c>
      <c r="S5" s="89" t="s">
        <v>2859</v>
      </c>
      <c r="T5" s="89" t="s">
        <v>2859</v>
      </c>
      <c r="U5" s="89" t="s">
        <v>2859</v>
      </c>
      <c r="V5" s="89" t="s">
        <v>2859</v>
      </c>
      <c r="W5" s="89" t="s">
        <v>2859</v>
      </c>
      <c r="X5" s="89" t="s">
        <v>2859</v>
      </c>
      <c r="Y5" s="89" t="s">
        <v>2859</v>
      </c>
      <c r="Z5" s="89" t="s">
        <v>2859</v>
      </c>
      <c r="AA5" s="89" t="s">
        <v>2859</v>
      </c>
      <c r="AB5" s="89" t="s">
        <v>2859</v>
      </c>
      <c r="AC5" s="89" t="s">
        <v>2859</v>
      </c>
      <c r="AD5" s="89" t="s">
        <v>2859</v>
      </c>
      <c r="AE5" s="89" t="s">
        <v>2859</v>
      </c>
      <c r="AF5" s="89" t="s">
        <v>2859</v>
      </c>
      <c r="AG5" s="89" t="s">
        <v>2859</v>
      </c>
      <c r="AH5" s="89" t="s">
        <v>2859</v>
      </c>
      <c r="AI5" s="89" t="s">
        <v>2859</v>
      </c>
      <c r="AJ5" s="89" t="s">
        <v>2859</v>
      </c>
      <c r="AK5" s="89" t="s">
        <v>2859</v>
      </c>
      <c r="AL5" s="89" t="s">
        <v>2859</v>
      </c>
      <c r="AM5" s="89" t="s">
        <v>2859</v>
      </c>
      <c r="AN5" s="89" t="s">
        <v>2859</v>
      </c>
      <c r="AO5" s="89" t="s">
        <v>2859</v>
      </c>
      <c r="AP5" s="89" t="s">
        <v>2859</v>
      </c>
      <c r="AQ5" s="89" t="s">
        <v>2859</v>
      </c>
      <c r="AR5" s="89" t="s">
        <v>2859</v>
      </c>
      <c r="AS5" s="89" t="s">
        <v>2859</v>
      </c>
      <c r="AT5" s="89" t="s">
        <v>2859</v>
      </c>
      <c r="AU5" s="89" t="s">
        <v>2859</v>
      </c>
      <c r="AV5" s="89" t="s">
        <v>2859</v>
      </c>
      <c r="AW5" s="89" t="s">
        <v>2859</v>
      </c>
      <c r="AX5" s="89" t="s">
        <v>2859</v>
      </c>
      <c r="AY5" s="89" t="s">
        <v>2859</v>
      </c>
      <c r="AZ5" s="89" t="s">
        <v>2859</v>
      </c>
      <c r="BA5" s="89" t="s">
        <v>2859</v>
      </c>
      <c r="BB5" s="89" t="s">
        <v>2859</v>
      </c>
      <c r="BC5" s="89" t="s">
        <v>2859</v>
      </c>
      <c r="BD5" s="89" t="s">
        <v>2859</v>
      </c>
      <c r="BE5" s="89" t="s">
        <v>2859</v>
      </c>
      <c r="BF5" s="89" t="s">
        <v>2859</v>
      </c>
      <c r="BG5" s="89" t="s">
        <v>2859</v>
      </c>
      <c r="BH5" s="89" t="s">
        <v>2859</v>
      </c>
      <c r="BI5" s="89" t="s">
        <v>2859</v>
      </c>
      <c r="BJ5" s="89" t="s">
        <v>2859</v>
      </c>
      <c r="BK5" s="89" t="s">
        <v>2859</v>
      </c>
      <c r="BL5" s="89" t="s">
        <v>2859</v>
      </c>
      <c r="BM5" s="89" t="s">
        <v>2859</v>
      </c>
      <c r="BN5" s="89" t="s">
        <v>2859</v>
      </c>
      <c r="BO5" s="89" t="s">
        <v>2859</v>
      </c>
      <c r="BP5" s="89" t="s">
        <v>2859</v>
      </c>
      <c r="BQ5" s="89" t="s">
        <v>3623</v>
      </c>
      <c r="BR5" s="89" t="s">
        <v>2859</v>
      </c>
    </row>
    <row r="6" spans="1:70">
      <c r="A6" s="89" t="s">
        <v>2154</v>
      </c>
      <c r="B6" s="89" t="s">
        <v>2382</v>
      </c>
      <c r="C6" s="89" t="s">
        <v>2859</v>
      </c>
      <c r="D6" s="89" t="s">
        <v>2859</v>
      </c>
      <c r="E6" s="89" t="s">
        <v>2859</v>
      </c>
      <c r="F6" s="89" t="s">
        <v>2859</v>
      </c>
      <c r="G6" s="89" t="s">
        <v>2860</v>
      </c>
      <c r="H6" s="89" t="s">
        <v>2859</v>
      </c>
      <c r="I6" s="89" t="s">
        <v>1396</v>
      </c>
      <c r="J6" s="89" t="s">
        <v>2859</v>
      </c>
      <c r="K6" s="89" t="s">
        <v>2859</v>
      </c>
      <c r="L6" s="89" t="s">
        <v>120</v>
      </c>
      <c r="M6" s="89" t="s">
        <v>2859</v>
      </c>
      <c r="N6" s="89" t="s">
        <v>2859</v>
      </c>
      <c r="O6" s="89" t="s">
        <v>2859</v>
      </c>
      <c r="P6" s="89" t="s">
        <v>2859</v>
      </c>
      <c r="Q6" s="89" t="s">
        <v>2859</v>
      </c>
      <c r="R6" s="89" t="s">
        <v>2859</v>
      </c>
      <c r="S6" s="89" t="s">
        <v>2859</v>
      </c>
      <c r="T6" s="89" t="s">
        <v>2859</v>
      </c>
      <c r="U6" s="89" t="s">
        <v>2859</v>
      </c>
      <c r="V6" s="89" t="s">
        <v>2859</v>
      </c>
      <c r="W6" s="89" t="s">
        <v>2859</v>
      </c>
      <c r="X6" s="89" t="s">
        <v>2859</v>
      </c>
      <c r="Y6" s="89" t="s">
        <v>2859</v>
      </c>
      <c r="Z6" s="89" t="s">
        <v>2859</v>
      </c>
      <c r="AA6" s="89" t="s">
        <v>2859</v>
      </c>
      <c r="AB6" s="89" t="s">
        <v>2859</v>
      </c>
      <c r="AC6" s="89" t="s">
        <v>2859</v>
      </c>
      <c r="AD6" s="89" t="s">
        <v>2859</v>
      </c>
      <c r="AE6" s="89" t="s">
        <v>2859</v>
      </c>
      <c r="AF6" s="89" t="s">
        <v>2859</v>
      </c>
      <c r="AG6" s="89" t="s">
        <v>2859</v>
      </c>
      <c r="AH6" s="89" t="s">
        <v>2859</v>
      </c>
      <c r="AI6" s="89" t="s">
        <v>2859</v>
      </c>
      <c r="AJ6" s="89" t="s">
        <v>2859</v>
      </c>
      <c r="AK6" s="89" t="s">
        <v>2859</v>
      </c>
      <c r="AL6" s="89" t="s">
        <v>2859</v>
      </c>
      <c r="AM6" s="89" t="s">
        <v>2859</v>
      </c>
      <c r="AN6" s="89" t="s">
        <v>2859</v>
      </c>
      <c r="AO6" s="89" t="s">
        <v>2859</v>
      </c>
      <c r="AP6" s="89" t="s">
        <v>2859</v>
      </c>
      <c r="AQ6" s="89" t="s">
        <v>2859</v>
      </c>
      <c r="AR6" s="89" t="s">
        <v>2859</v>
      </c>
      <c r="AS6" s="89" t="s">
        <v>2859</v>
      </c>
      <c r="AT6" s="89" t="s">
        <v>2859</v>
      </c>
      <c r="AU6" s="89" t="s">
        <v>2859</v>
      </c>
      <c r="AV6" s="89" t="s">
        <v>2859</v>
      </c>
      <c r="AW6" s="89" t="s">
        <v>2859</v>
      </c>
      <c r="AX6" s="89" t="s">
        <v>2859</v>
      </c>
      <c r="AY6" s="89" t="s">
        <v>2859</v>
      </c>
      <c r="AZ6" s="89" t="s">
        <v>2859</v>
      </c>
      <c r="BA6" s="89" t="s">
        <v>2859</v>
      </c>
      <c r="BB6" s="89" t="s">
        <v>2859</v>
      </c>
      <c r="BC6" s="89" t="s">
        <v>2859</v>
      </c>
      <c r="BD6" s="89" t="s">
        <v>2859</v>
      </c>
      <c r="BE6" s="89" t="s">
        <v>2859</v>
      </c>
      <c r="BF6" s="89" t="s">
        <v>2859</v>
      </c>
      <c r="BG6" s="89" t="s">
        <v>2859</v>
      </c>
      <c r="BH6" s="89" t="s">
        <v>2859</v>
      </c>
      <c r="BI6" s="89" t="s">
        <v>2859</v>
      </c>
      <c r="BJ6" s="89" t="s">
        <v>2859</v>
      </c>
      <c r="BK6" s="89" t="s">
        <v>2859</v>
      </c>
      <c r="BL6" s="89" t="s">
        <v>2859</v>
      </c>
      <c r="BM6" s="89" t="s">
        <v>2859</v>
      </c>
      <c r="BN6" s="89" t="s">
        <v>2859</v>
      </c>
      <c r="BO6" s="89" t="s">
        <v>2859</v>
      </c>
      <c r="BP6" s="89" t="s">
        <v>2859</v>
      </c>
      <c r="BQ6" s="89" t="s">
        <v>3624</v>
      </c>
      <c r="BR6" s="89" t="s">
        <v>2859</v>
      </c>
    </row>
    <row r="7" spans="1:70">
      <c r="A7" s="89" t="s">
        <v>2154</v>
      </c>
      <c r="B7" s="89" t="s">
        <v>2441</v>
      </c>
      <c r="C7" s="89" t="s">
        <v>2316</v>
      </c>
      <c r="D7" s="89" t="s">
        <v>2859</v>
      </c>
      <c r="E7" s="89" t="s">
        <v>2859</v>
      </c>
      <c r="F7" s="89" t="s">
        <v>2859</v>
      </c>
      <c r="G7" s="89" t="s">
        <v>2860</v>
      </c>
      <c r="H7" s="89" t="s">
        <v>2859</v>
      </c>
      <c r="I7" s="89" t="s">
        <v>120</v>
      </c>
      <c r="J7" s="89" t="s">
        <v>2859</v>
      </c>
      <c r="K7" s="89" t="s">
        <v>2859</v>
      </c>
      <c r="L7" s="89" t="s">
        <v>2859</v>
      </c>
      <c r="M7" s="89" t="s">
        <v>2859</v>
      </c>
      <c r="N7" s="89" t="s">
        <v>2859</v>
      </c>
      <c r="O7" s="89" t="s">
        <v>2859</v>
      </c>
      <c r="P7" s="89" t="s">
        <v>2859</v>
      </c>
      <c r="Q7" s="89" t="s">
        <v>2859</v>
      </c>
      <c r="R7" s="89" t="s">
        <v>2859</v>
      </c>
      <c r="S7" s="89" t="s">
        <v>2859</v>
      </c>
      <c r="T7" s="89" t="s">
        <v>2859</v>
      </c>
      <c r="U7" s="89" t="s">
        <v>2859</v>
      </c>
      <c r="V7" s="89" t="s">
        <v>2859</v>
      </c>
      <c r="W7" s="89" t="s">
        <v>2859</v>
      </c>
      <c r="X7" s="89" t="s">
        <v>2859</v>
      </c>
      <c r="Y7" s="89" t="s">
        <v>2859</v>
      </c>
      <c r="Z7" s="89" t="s">
        <v>2859</v>
      </c>
      <c r="AA7" s="89" t="s">
        <v>2859</v>
      </c>
      <c r="AB7" s="89" t="s">
        <v>2859</v>
      </c>
      <c r="AC7" s="89" t="s">
        <v>2859</v>
      </c>
      <c r="AD7" s="89" t="s">
        <v>2859</v>
      </c>
      <c r="AE7" s="89" t="s">
        <v>2859</v>
      </c>
      <c r="AF7" s="89" t="s">
        <v>2859</v>
      </c>
      <c r="AG7" s="89" t="s">
        <v>2859</v>
      </c>
      <c r="AH7" s="89" t="s">
        <v>2859</v>
      </c>
      <c r="AI7" s="89" t="s">
        <v>2859</v>
      </c>
      <c r="AJ7" s="89" t="s">
        <v>2859</v>
      </c>
      <c r="AK7" s="89" t="s">
        <v>2859</v>
      </c>
      <c r="AL7" s="89" t="s">
        <v>2859</v>
      </c>
      <c r="AM7" s="89" t="s">
        <v>2859</v>
      </c>
      <c r="AN7" s="89" t="s">
        <v>2859</v>
      </c>
      <c r="AO7" s="89" t="s">
        <v>2859</v>
      </c>
      <c r="AP7" s="89" t="s">
        <v>2859</v>
      </c>
      <c r="AQ7" s="89" t="s">
        <v>2859</v>
      </c>
      <c r="AR7" s="89" t="s">
        <v>2859</v>
      </c>
      <c r="AS7" s="89" t="s">
        <v>2859</v>
      </c>
      <c r="AT7" s="89" t="s">
        <v>2859</v>
      </c>
      <c r="AU7" s="89" t="s">
        <v>2859</v>
      </c>
      <c r="AV7" s="89" t="s">
        <v>2859</v>
      </c>
      <c r="AW7" s="89" t="s">
        <v>2859</v>
      </c>
      <c r="AX7" s="89" t="s">
        <v>2859</v>
      </c>
      <c r="AY7" s="89" t="s">
        <v>2859</v>
      </c>
      <c r="AZ7" s="89" t="s">
        <v>2859</v>
      </c>
      <c r="BA7" s="89" t="s">
        <v>2859</v>
      </c>
      <c r="BB7" s="89" t="s">
        <v>2859</v>
      </c>
      <c r="BC7" s="89" t="s">
        <v>2859</v>
      </c>
      <c r="BD7" s="89" t="s">
        <v>2859</v>
      </c>
      <c r="BE7" s="89" t="s">
        <v>2859</v>
      </c>
      <c r="BF7" s="89" t="s">
        <v>2859</v>
      </c>
      <c r="BG7" s="89" t="s">
        <v>2859</v>
      </c>
      <c r="BH7" s="89" t="s">
        <v>2859</v>
      </c>
      <c r="BI7" s="89" t="s">
        <v>2859</v>
      </c>
      <c r="BJ7" s="89" t="s">
        <v>2859</v>
      </c>
      <c r="BK7" s="89" t="s">
        <v>2859</v>
      </c>
      <c r="BL7" s="89" t="s">
        <v>2859</v>
      </c>
      <c r="BM7" s="89" t="s">
        <v>2859</v>
      </c>
      <c r="BN7" s="89" t="s">
        <v>2859</v>
      </c>
      <c r="BO7" s="89" t="s">
        <v>2859</v>
      </c>
      <c r="BP7" s="89" t="s">
        <v>2859</v>
      </c>
      <c r="BQ7" s="89" t="s">
        <v>3625</v>
      </c>
      <c r="BR7" s="89" t="s">
        <v>2859</v>
      </c>
    </row>
    <row r="8" spans="1:70">
      <c r="A8" s="89" t="s">
        <v>2154</v>
      </c>
      <c r="B8" s="89" t="s">
        <v>2442</v>
      </c>
      <c r="C8" s="89" t="s">
        <v>2326</v>
      </c>
      <c r="D8" s="89" t="s">
        <v>2859</v>
      </c>
      <c r="E8" s="89" t="s">
        <v>2859</v>
      </c>
      <c r="F8" s="89" t="s">
        <v>2859</v>
      </c>
      <c r="G8" s="89" t="s">
        <v>2860</v>
      </c>
      <c r="H8" s="89" t="s">
        <v>2859</v>
      </c>
      <c r="I8" s="89" t="s">
        <v>120</v>
      </c>
      <c r="J8" s="89" t="s">
        <v>2443</v>
      </c>
      <c r="K8" s="89" t="s">
        <v>2867</v>
      </c>
      <c r="L8" s="89" t="s">
        <v>2859</v>
      </c>
      <c r="M8" s="89" t="s">
        <v>2859</v>
      </c>
      <c r="N8" s="89" t="s">
        <v>2859</v>
      </c>
      <c r="O8" s="89" t="s">
        <v>2859</v>
      </c>
      <c r="P8" s="89" t="s">
        <v>2859</v>
      </c>
      <c r="Q8" s="89" t="s">
        <v>2859</v>
      </c>
      <c r="R8" s="89" t="s">
        <v>2859</v>
      </c>
      <c r="S8" s="89" t="s">
        <v>2859</v>
      </c>
      <c r="T8" s="89" t="s">
        <v>2859</v>
      </c>
      <c r="U8" s="89" t="s">
        <v>2859</v>
      </c>
      <c r="V8" s="89" t="s">
        <v>2859</v>
      </c>
      <c r="W8" s="89" t="s">
        <v>2859</v>
      </c>
      <c r="X8" s="89" t="s">
        <v>2859</v>
      </c>
      <c r="Y8" s="89" t="s">
        <v>2859</v>
      </c>
      <c r="Z8" s="89" t="s">
        <v>2859</v>
      </c>
      <c r="AA8" s="89" t="s">
        <v>2859</v>
      </c>
      <c r="AB8" s="89" t="s">
        <v>2859</v>
      </c>
      <c r="AC8" s="89" t="s">
        <v>2859</v>
      </c>
      <c r="AD8" s="89" t="s">
        <v>2859</v>
      </c>
      <c r="AE8" s="89" t="s">
        <v>2859</v>
      </c>
      <c r="AF8" s="89" t="s">
        <v>2859</v>
      </c>
      <c r="AG8" s="89" t="s">
        <v>2859</v>
      </c>
      <c r="AH8" s="89" t="s">
        <v>2859</v>
      </c>
      <c r="AI8" s="89" t="s">
        <v>2859</v>
      </c>
      <c r="AJ8" s="89" t="s">
        <v>2859</v>
      </c>
      <c r="AK8" s="89" t="s">
        <v>2859</v>
      </c>
      <c r="AL8" s="89" t="s">
        <v>2859</v>
      </c>
      <c r="AM8" s="89" t="s">
        <v>2859</v>
      </c>
      <c r="AN8" s="89" t="s">
        <v>2859</v>
      </c>
      <c r="AO8" s="89" t="s">
        <v>2859</v>
      </c>
      <c r="AP8" s="89" t="s">
        <v>2859</v>
      </c>
      <c r="AQ8" s="89" t="s">
        <v>2859</v>
      </c>
      <c r="AR8" s="89" t="s">
        <v>2859</v>
      </c>
      <c r="AS8" s="89" t="s">
        <v>2859</v>
      </c>
      <c r="AT8" s="89" t="s">
        <v>2859</v>
      </c>
      <c r="AU8" s="89" t="s">
        <v>2859</v>
      </c>
      <c r="AV8" s="89" t="s">
        <v>2859</v>
      </c>
      <c r="AW8" s="89" t="s">
        <v>2859</v>
      </c>
      <c r="AX8" s="89" t="s">
        <v>2859</v>
      </c>
      <c r="AY8" s="89" t="s">
        <v>2859</v>
      </c>
      <c r="AZ8" s="89" t="s">
        <v>2859</v>
      </c>
      <c r="BA8" s="89" t="s">
        <v>2859</v>
      </c>
      <c r="BB8" s="89" t="s">
        <v>2859</v>
      </c>
      <c r="BC8" s="89" t="s">
        <v>2859</v>
      </c>
      <c r="BD8" s="89" t="s">
        <v>2859</v>
      </c>
      <c r="BE8" s="89" t="s">
        <v>2859</v>
      </c>
      <c r="BF8" s="89" t="s">
        <v>2859</v>
      </c>
      <c r="BG8" s="89" t="s">
        <v>2859</v>
      </c>
      <c r="BH8" s="89" t="s">
        <v>2859</v>
      </c>
      <c r="BI8" s="89" t="s">
        <v>2859</v>
      </c>
      <c r="BJ8" s="89" t="s">
        <v>2859</v>
      </c>
      <c r="BK8" s="89" t="s">
        <v>2859</v>
      </c>
      <c r="BL8" s="89" t="s">
        <v>2859</v>
      </c>
      <c r="BM8" s="89" t="s">
        <v>2859</v>
      </c>
      <c r="BN8" s="89" t="s">
        <v>2859</v>
      </c>
      <c r="BO8" s="89" t="s">
        <v>2859</v>
      </c>
      <c r="BP8" s="89" t="s">
        <v>2859</v>
      </c>
      <c r="BQ8" s="89" t="s">
        <v>3626</v>
      </c>
      <c r="BR8" s="89" t="s">
        <v>2869</v>
      </c>
    </row>
    <row r="9" spans="1:70">
      <c r="A9" s="89" t="s">
        <v>2154</v>
      </c>
      <c r="B9" s="89" t="s">
        <v>2444</v>
      </c>
      <c r="C9" s="89" t="s">
        <v>2859</v>
      </c>
      <c r="D9" s="89" t="s">
        <v>2859</v>
      </c>
      <c r="E9" s="89" t="s">
        <v>2859</v>
      </c>
      <c r="F9" s="89" t="s">
        <v>2859</v>
      </c>
      <c r="G9" s="89" t="s">
        <v>2860</v>
      </c>
      <c r="H9" s="89" t="s">
        <v>2859</v>
      </c>
      <c r="I9" s="89" t="s">
        <v>120</v>
      </c>
      <c r="J9" s="89" t="s">
        <v>2859</v>
      </c>
      <c r="K9" s="89" t="s">
        <v>2859</v>
      </c>
      <c r="L9" s="89" t="s">
        <v>2859</v>
      </c>
      <c r="M9" s="89" t="s">
        <v>2859</v>
      </c>
      <c r="N9" s="89" t="s">
        <v>2859</v>
      </c>
      <c r="O9" s="89" t="s">
        <v>2859</v>
      </c>
      <c r="P9" s="89" t="s">
        <v>2859</v>
      </c>
      <c r="Q9" s="89" t="s">
        <v>2859</v>
      </c>
      <c r="R9" s="89" t="s">
        <v>2859</v>
      </c>
      <c r="S9" s="89" t="s">
        <v>2859</v>
      </c>
      <c r="T9" s="89" t="s">
        <v>2859</v>
      </c>
      <c r="U9" s="89" t="s">
        <v>2859</v>
      </c>
      <c r="V9" s="89" t="s">
        <v>2859</v>
      </c>
      <c r="W9" s="89" t="s">
        <v>2859</v>
      </c>
      <c r="X9" s="89" t="s">
        <v>2859</v>
      </c>
      <c r="Y9" s="89" t="s">
        <v>2859</v>
      </c>
      <c r="Z9" s="89" t="s">
        <v>2859</v>
      </c>
      <c r="AA9" s="89" t="s">
        <v>2859</v>
      </c>
      <c r="AB9" s="89" t="s">
        <v>2859</v>
      </c>
      <c r="AC9" s="89" t="s">
        <v>2859</v>
      </c>
      <c r="AD9" s="89" t="s">
        <v>2859</v>
      </c>
      <c r="AE9" s="89" t="s">
        <v>2859</v>
      </c>
      <c r="AF9" s="89" t="s">
        <v>2859</v>
      </c>
      <c r="AG9" s="89" t="s">
        <v>2859</v>
      </c>
      <c r="AH9" s="89" t="s">
        <v>2859</v>
      </c>
      <c r="AI9" s="89" t="s">
        <v>2859</v>
      </c>
      <c r="AJ9" s="89" t="s">
        <v>2859</v>
      </c>
      <c r="AK9" s="89" t="s">
        <v>2859</v>
      </c>
      <c r="AL9" s="89" t="s">
        <v>2859</v>
      </c>
      <c r="AM9" s="89" t="s">
        <v>2859</v>
      </c>
      <c r="AN9" s="89" t="s">
        <v>2859</v>
      </c>
      <c r="AO9" s="89" t="s">
        <v>2859</v>
      </c>
      <c r="AP9" s="89" t="s">
        <v>2859</v>
      </c>
      <c r="AQ9" s="89" t="s">
        <v>2859</v>
      </c>
      <c r="AR9" s="89" t="s">
        <v>2859</v>
      </c>
      <c r="AS9" s="89" t="s">
        <v>2859</v>
      </c>
      <c r="AT9" s="89" t="s">
        <v>2859</v>
      </c>
      <c r="AU9" s="89" t="s">
        <v>2859</v>
      </c>
      <c r="AV9" s="89" t="s">
        <v>2859</v>
      </c>
      <c r="AW9" s="89" t="s">
        <v>2859</v>
      </c>
      <c r="AX9" s="89" t="s">
        <v>2859</v>
      </c>
      <c r="AY9" s="89" t="s">
        <v>2859</v>
      </c>
      <c r="AZ9" s="89" t="s">
        <v>2859</v>
      </c>
      <c r="BA9" s="89" t="s">
        <v>2859</v>
      </c>
      <c r="BB9" s="89" t="s">
        <v>2859</v>
      </c>
      <c r="BC9" s="89" t="s">
        <v>2859</v>
      </c>
      <c r="BD9" s="89" t="s">
        <v>2859</v>
      </c>
      <c r="BE9" s="89" t="s">
        <v>2859</v>
      </c>
      <c r="BF9" s="89" t="s">
        <v>2859</v>
      </c>
      <c r="BG9" s="89" t="s">
        <v>2859</v>
      </c>
      <c r="BH9" s="89" t="s">
        <v>2859</v>
      </c>
      <c r="BI9" s="89" t="s">
        <v>2859</v>
      </c>
      <c r="BJ9" s="89" t="s">
        <v>2859</v>
      </c>
      <c r="BK9" s="89" t="s">
        <v>2859</v>
      </c>
      <c r="BL9" s="89" t="s">
        <v>2859</v>
      </c>
      <c r="BM9" s="89" t="s">
        <v>2859</v>
      </c>
      <c r="BN9" s="89" t="s">
        <v>2859</v>
      </c>
      <c r="BO9" s="89" t="s">
        <v>2859</v>
      </c>
      <c r="BP9" s="89" t="s">
        <v>2859</v>
      </c>
      <c r="BQ9" s="89" t="s">
        <v>3627</v>
      </c>
      <c r="BR9" s="89" t="s">
        <v>2859</v>
      </c>
    </row>
    <row r="10" spans="1:70">
      <c r="A10" s="89" t="s">
        <v>2154</v>
      </c>
      <c r="B10" s="89" t="s">
        <v>3628</v>
      </c>
      <c r="C10" s="89" t="s">
        <v>2326</v>
      </c>
      <c r="D10" s="89" t="s">
        <v>2859</v>
      </c>
      <c r="E10" s="89" t="s">
        <v>2859</v>
      </c>
      <c r="F10" s="89" t="s">
        <v>2859</v>
      </c>
      <c r="G10" s="89" t="s">
        <v>2860</v>
      </c>
      <c r="H10" s="89" t="s">
        <v>2859</v>
      </c>
      <c r="I10" s="89" t="s">
        <v>2865</v>
      </c>
      <c r="J10" s="89" t="s">
        <v>2859</v>
      </c>
      <c r="K10" s="89" t="s">
        <v>2859</v>
      </c>
      <c r="L10" s="89" t="s">
        <v>2859</v>
      </c>
      <c r="M10" s="89" t="s">
        <v>2859</v>
      </c>
      <c r="N10" s="89" t="s">
        <v>2859</v>
      </c>
      <c r="O10" s="89" t="s">
        <v>2859</v>
      </c>
      <c r="P10" s="89" t="s">
        <v>2859</v>
      </c>
      <c r="Q10" s="89" t="s">
        <v>2859</v>
      </c>
      <c r="R10" s="89" t="s">
        <v>2859</v>
      </c>
      <c r="S10" s="89" t="s">
        <v>2859</v>
      </c>
      <c r="T10" s="89" t="s">
        <v>2859</v>
      </c>
      <c r="U10" s="89" t="s">
        <v>2859</v>
      </c>
      <c r="V10" s="89" t="s">
        <v>2859</v>
      </c>
      <c r="W10" s="89" t="s">
        <v>2859</v>
      </c>
      <c r="X10" s="89" t="s">
        <v>2859</v>
      </c>
      <c r="Y10" s="89" t="s">
        <v>2859</v>
      </c>
      <c r="Z10" s="89" t="s">
        <v>2859</v>
      </c>
      <c r="AA10" s="89" t="s">
        <v>2859</v>
      </c>
      <c r="AB10" s="89" t="s">
        <v>2859</v>
      </c>
      <c r="AC10" s="89" t="s">
        <v>2859</v>
      </c>
      <c r="AD10" s="89" t="s">
        <v>2859</v>
      </c>
      <c r="AE10" s="89" t="s">
        <v>2859</v>
      </c>
      <c r="AF10" s="89" t="s">
        <v>2859</v>
      </c>
      <c r="AG10" s="89" t="s">
        <v>2859</v>
      </c>
      <c r="AH10" s="89" t="s">
        <v>2859</v>
      </c>
      <c r="AI10" s="89" t="s">
        <v>2859</v>
      </c>
      <c r="AJ10" s="89" t="s">
        <v>2859</v>
      </c>
      <c r="AK10" s="89" t="s">
        <v>2859</v>
      </c>
      <c r="AL10" s="89" t="s">
        <v>2859</v>
      </c>
      <c r="AM10" s="89" t="s">
        <v>2859</v>
      </c>
      <c r="AN10" s="89" t="s">
        <v>2859</v>
      </c>
      <c r="AO10" s="89" t="s">
        <v>2859</v>
      </c>
      <c r="AP10" s="89" t="s">
        <v>2859</v>
      </c>
      <c r="AQ10" s="89" t="s">
        <v>2859</v>
      </c>
      <c r="AR10" s="89" t="s">
        <v>2859</v>
      </c>
      <c r="AS10" s="89" t="s">
        <v>2859</v>
      </c>
      <c r="AT10" s="89" t="s">
        <v>2859</v>
      </c>
      <c r="AU10" s="89" t="s">
        <v>2859</v>
      </c>
      <c r="AV10" s="89" t="s">
        <v>2859</v>
      </c>
      <c r="AW10" s="89" t="s">
        <v>2859</v>
      </c>
      <c r="AX10" s="89" t="s">
        <v>2859</v>
      </c>
      <c r="AY10" s="89" t="s">
        <v>2859</v>
      </c>
      <c r="AZ10" s="89" t="s">
        <v>2859</v>
      </c>
      <c r="BA10" s="89" t="s">
        <v>2859</v>
      </c>
      <c r="BB10" s="89" t="s">
        <v>2859</v>
      </c>
      <c r="BC10" s="89" t="s">
        <v>2859</v>
      </c>
      <c r="BD10" s="89" t="s">
        <v>2859</v>
      </c>
      <c r="BE10" s="89" t="s">
        <v>2859</v>
      </c>
      <c r="BF10" s="89" t="s">
        <v>2859</v>
      </c>
      <c r="BG10" s="89" t="s">
        <v>2859</v>
      </c>
      <c r="BH10" s="89" t="s">
        <v>2859</v>
      </c>
      <c r="BI10" s="89" t="s">
        <v>2859</v>
      </c>
      <c r="BJ10" s="89" t="s">
        <v>2859</v>
      </c>
      <c r="BK10" s="89" t="s">
        <v>2859</v>
      </c>
      <c r="BL10" s="89" t="s">
        <v>2859</v>
      </c>
      <c r="BM10" s="89" t="s">
        <v>2859</v>
      </c>
      <c r="BN10" s="89" t="s">
        <v>2859</v>
      </c>
      <c r="BO10" s="89" t="s">
        <v>2859</v>
      </c>
      <c r="BP10" s="89" t="s">
        <v>2859</v>
      </c>
      <c r="BQ10" s="89" t="s">
        <v>3629</v>
      </c>
      <c r="BR10" s="89" t="s">
        <v>2859</v>
      </c>
    </row>
    <row r="11" spans="1:70">
      <c r="A11" s="89" t="s">
        <v>2154</v>
      </c>
      <c r="B11" s="89" t="s">
        <v>3630</v>
      </c>
      <c r="C11" s="89" t="s">
        <v>3631</v>
      </c>
      <c r="D11" s="89" t="s">
        <v>2859</v>
      </c>
      <c r="E11" s="89" t="s">
        <v>2859</v>
      </c>
      <c r="F11" s="89" t="s">
        <v>2859</v>
      </c>
      <c r="G11" s="89" t="s">
        <v>2860</v>
      </c>
      <c r="H11" s="89" t="s">
        <v>2859</v>
      </c>
      <c r="I11" s="89" t="s">
        <v>2865</v>
      </c>
      <c r="J11" s="89" t="s">
        <v>2859</v>
      </c>
      <c r="K11" s="89" t="s">
        <v>2859</v>
      </c>
      <c r="L11" s="89" t="s">
        <v>2859</v>
      </c>
      <c r="M11" s="89" t="s">
        <v>2859</v>
      </c>
      <c r="N11" s="89" t="s">
        <v>2859</v>
      </c>
      <c r="O11" s="89" t="s">
        <v>2859</v>
      </c>
      <c r="P11" s="89" t="s">
        <v>2859</v>
      </c>
      <c r="Q11" s="89" t="s">
        <v>2859</v>
      </c>
      <c r="R11" s="89" t="s">
        <v>2859</v>
      </c>
      <c r="S11" s="89" t="s">
        <v>2859</v>
      </c>
      <c r="T11" s="89" t="s">
        <v>2859</v>
      </c>
      <c r="U11" s="89" t="s">
        <v>2859</v>
      </c>
      <c r="V11" s="89" t="s">
        <v>2859</v>
      </c>
      <c r="W11" s="89" t="s">
        <v>2859</v>
      </c>
      <c r="X11" s="89" t="s">
        <v>2859</v>
      </c>
      <c r="Y11" s="89" t="s">
        <v>2859</v>
      </c>
      <c r="Z11" s="89" t="s">
        <v>2859</v>
      </c>
      <c r="AA11" s="89" t="s">
        <v>2859</v>
      </c>
      <c r="AB11" s="89" t="s">
        <v>2859</v>
      </c>
      <c r="AC11" s="89" t="s">
        <v>2859</v>
      </c>
      <c r="AD11" s="89" t="s">
        <v>2859</v>
      </c>
      <c r="AE11" s="89" t="s">
        <v>2859</v>
      </c>
      <c r="AF11" s="89" t="s">
        <v>2859</v>
      </c>
      <c r="AG11" s="89" t="s">
        <v>2859</v>
      </c>
      <c r="AH11" s="89" t="s">
        <v>2859</v>
      </c>
      <c r="AI11" s="89" t="s">
        <v>2859</v>
      </c>
      <c r="AJ11" s="89" t="s">
        <v>2859</v>
      </c>
      <c r="AK11" s="89" t="s">
        <v>2859</v>
      </c>
      <c r="AL11" s="89" t="s">
        <v>2859</v>
      </c>
      <c r="AM11" s="89" t="s">
        <v>2859</v>
      </c>
      <c r="AN11" s="89" t="s">
        <v>2859</v>
      </c>
      <c r="AO11" s="89" t="s">
        <v>2859</v>
      </c>
      <c r="AP11" s="89" t="s">
        <v>2859</v>
      </c>
      <c r="AQ11" s="89" t="s">
        <v>2859</v>
      </c>
      <c r="AR11" s="89" t="s">
        <v>2859</v>
      </c>
      <c r="AS11" s="89" t="s">
        <v>2859</v>
      </c>
      <c r="AT11" s="89" t="s">
        <v>2859</v>
      </c>
      <c r="AU11" s="89" t="s">
        <v>2859</v>
      </c>
      <c r="AV11" s="89" t="s">
        <v>2859</v>
      </c>
      <c r="AW11" s="89" t="s">
        <v>2859</v>
      </c>
      <c r="AX11" s="89" t="s">
        <v>2859</v>
      </c>
      <c r="AY11" s="89" t="s">
        <v>2859</v>
      </c>
      <c r="AZ11" s="89" t="s">
        <v>2859</v>
      </c>
      <c r="BA11" s="89" t="s">
        <v>2859</v>
      </c>
      <c r="BB11" s="89" t="s">
        <v>2859</v>
      </c>
      <c r="BC11" s="89" t="s">
        <v>2859</v>
      </c>
      <c r="BD11" s="89" t="s">
        <v>2859</v>
      </c>
      <c r="BE11" s="89" t="s">
        <v>2859</v>
      </c>
      <c r="BF11" s="89" t="s">
        <v>2859</v>
      </c>
      <c r="BG11" s="89" t="s">
        <v>2859</v>
      </c>
      <c r="BH11" s="89" t="s">
        <v>2859</v>
      </c>
      <c r="BI11" s="89" t="s">
        <v>2859</v>
      </c>
      <c r="BJ11" s="89" t="s">
        <v>2859</v>
      </c>
      <c r="BK11" s="89" t="s">
        <v>2859</v>
      </c>
      <c r="BL11" s="89" t="s">
        <v>2859</v>
      </c>
      <c r="BM11" s="89" t="s">
        <v>2859</v>
      </c>
      <c r="BN11" s="89" t="s">
        <v>2859</v>
      </c>
      <c r="BO11" s="89" t="s">
        <v>2859</v>
      </c>
      <c r="BP11" s="89" t="s">
        <v>2859</v>
      </c>
      <c r="BQ11" s="89" t="s">
        <v>3632</v>
      </c>
      <c r="BR11" s="89" t="s">
        <v>2859</v>
      </c>
    </row>
    <row r="12" spans="1:70">
      <c r="A12" s="89" t="s">
        <v>2154</v>
      </c>
      <c r="B12" s="89" t="s">
        <v>2321</v>
      </c>
      <c r="C12" s="89" t="s">
        <v>2322</v>
      </c>
      <c r="D12" s="89" t="s">
        <v>2859</v>
      </c>
      <c r="E12" s="89" t="s">
        <v>2859</v>
      </c>
      <c r="F12" s="89" t="s">
        <v>2859</v>
      </c>
      <c r="G12" s="89" t="s">
        <v>2860</v>
      </c>
      <c r="H12" s="89" t="s">
        <v>2859</v>
      </c>
      <c r="I12" s="89" t="s">
        <v>2317</v>
      </c>
      <c r="J12" s="89" t="s">
        <v>2859</v>
      </c>
      <c r="K12" s="89" t="s">
        <v>2859</v>
      </c>
      <c r="L12" s="89" t="s">
        <v>2859</v>
      </c>
      <c r="M12" s="89" t="s">
        <v>2859</v>
      </c>
      <c r="N12" s="89" t="s">
        <v>2859</v>
      </c>
      <c r="O12" s="89" t="s">
        <v>2859</v>
      </c>
      <c r="P12" s="89" t="s">
        <v>2859</v>
      </c>
      <c r="Q12" s="89" t="s">
        <v>2859</v>
      </c>
      <c r="R12" s="89" t="s">
        <v>2859</v>
      </c>
      <c r="S12" s="89" t="s">
        <v>2859</v>
      </c>
      <c r="T12" s="89" t="s">
        <v>2859</v>
      </c>
      <c r="U12" s="89" t="s">
        <v>2859</v>
      </c>
      <c r="V12" s="89" t="s">
        <v>2859</v>
      </c>
      <c r="W12" s="89" t="s">
        <v>2859</v>
      </c>
      <c r="X12" s="89" t="s">
        <v>2859</v>
      </c>
      <c r="Y12" s="89" t="s">
        <v>2859</v>
      </c>
      <c r="Z12" s="89" t="s">
        <v>2859</v>
      </c>
      <c r="AA12" s="89" t="s">
        <v>2859</v>
      </c>
      <c r="AB12" s="89" t="s">
        <v>2859</v>
      </c>
      <c r="AC12" s="89" t="s">
        <v>2859</v>
      </c>
      <c r="AD12" s="89" t="s">
        <v>2859</v>
      </c>
      <c r="AE12" s="89" t="s">
        <v>2859</v>
      </c>
      <c r="AF12" s="89" t="s">
        <v>2859</v>
      </c>
      <c r="AG12" s="89" t="s">
        <v>2859</v>
      </c>
      <c r="AH12" s="89" t="s">
        <v>2859</v>
      </c>
      <c r="AI12" s="89" t="s">
        <v>2859</v>
      </c>
      <c r="AJ12" s="89" t="s">
        <v>2859</v>
      </c>
      <c r="AK12" s="89" t="s">
        <v>2859</v>
      </c>
      <c r="AL12" s="89" t="s">
        <v>2859</v>
      </c>
      <c r="AM12" s="89" t="s">
        <v>2859</v>
      </c>
      <c r="AN12" s="89" t="s">
        <v>2859</v>
      </c>
      <c r="AO12" s="89" t="s">
        <v>2859</v>
      </c>
      <c r="AP12" s="89" t="s">
        <v>2859</v>
      </c>
      <c r="AQ12" s="89" t="s">
        <v>2859</v>
      </c>
      <c r="AR12" s="89" t="s">
        <v>2859</v>
      </c>
      <c r="AS12" s="89" t="s">
        <v>2859</v>
      </c>
      <c r="AT12" s="89" t="s">
        <v>2859</v>
      </c>
      <c r="AU12" s="89" t="s">
        <v>2859</v>
      </c>
      <c r="AV12" s="89" t="s">
        <v>2859</v>
      </c>
      <c r="AW12" s="89" t="s">
        <v>2859</v>
      </c>
      <c r="AX12" s="89" t="s">
        <v>2859</v>
      </c>
      <c r="AY12" s="89" t="s">
        <v>2859</v>
      </c>
      <c r="AZ12" s="89" t="s">
        <v>2859</v>
      </c>
      <c r="BA12" s="89" t="s">
        <v>2859</v>
      </c>
      <c r="BB12" s="89" t="s">
        <v>2859</v>
      </c>
      <c r="BC12" s="89" t="s">
        <v>2859</v>
      </c>
      <c r="BD12" s="89" t="s">
        <v>2859</v>
      </c>
      <c r="BE12" s="89" t="s">
        <v>2859</v>
      </c>
      <c r="BF12" s="89" t="s">
        <v>2859</v>
      </c>
      <c r="BG12" s="89" t="s">
        <v>2859</v>
      </c>
      <c r="BH12" s="89" t="s">
        <v>2859</v>
      </c>
      <c r="BI12" s="89" t="s">
        <v>2859</v>
      </c>
      <c r="BJ12" s="89" t="s">
        <v>2859</v>
      </c>
      <c r="BK12" s="89" t="s">
        <v>2859</v>
      </c>
      <c r="BL12" s="89" t="s">
        <v>2859</v>
      </c>
      <c r="BM12" s="89" t="s">
        <v>2859</v>
      </c>
      <c r="BN12" s="89" t="s">
        <v>2859</v>
      </c>
      <c r="BO12" s="89" t="s">
        <v>2859</v>
      </c>
      <c r="BP12" s="89" t="s">
        <v>2859</v>
      </c>
      <c r="BQ12" s="94" t="s">
        <v>3633</v>
      </c>
      <c r="BR12" s="89" t="s">
        <v>2859</v>
      </c>
    </row>
    <row r="13" spans="1:70">
      <c r="A13" s="89" t="s">
        <v>2154</v>
      </c>
      <c r="B13" s="89" t="s">
        <v>2324</v>
      </c>
      <c r="C13" s="89" t="s">
        <v>2322</v>
      </c>
      <c r="D13" s="89" t="s">
        <v>2859</v>
      </c>
      <c r="E13" s="89" t="s">
        <v>2859</v>
      </c>
      <c r="F13" s="89" t="s">
        <v>2859</v>
      </c>
      <c r="G13" s="89" t="s">
        <v>2860</v>
      </c>
      <c r="H13" s="89" t="s">
        <v>2859</v>
      </c>
      <c r="I13" s="89" t="s">
        <v>2317</v>
      </c>
      <c r="J13" s="89" t="s">
        <v>2859</v>
      </c>
      <c r="K13" s="89" t="s">
        <v>2859</v>
      </c>
      <c r="L13" s="89" t="s">
        <v>2859</v>
      </c>
      <c r="M13" s="89" t="s">
        <v>2859</v>
      </c>
      <c r="N13" s="89" t="s">
        <v>2859</v>
      </c>
      <c r="O13" s="89" t="s">
        <v>2859</v>
      </c>
      <c r="P13" s="89" t="s">
        <v>2859</v>
      </c>
      <c r="Q13" s="89" t="s">
        <v>2859</v>
      </c>
      <c r="R13" s="89" t="s">
        <v>2859</v>
      </c>
      <c r="S13" s="89" t="s">
        <v>2859</v>
      </c>
      <c r="T13" s="89" t="s">
        <v>2859</v>
      </c>
      <c r="U13" s="89" t="s">
        <v>2859</v>
      </c>
      <c r="V13" s="89" t="s">
        <v>2859</v>
      </c>
      <c r="W13" s="89" t="s">
        <v>2859</v>
      </c>
      <c r="X13" s="89" t="s">
        <v>2859</v>
      </c>
      <c r="Y13" s="89" t="s">
        <v>2859</v>
      </c>
      <c r="Z13" s="89" t="s">
        <v>2859</v>
      </c>
      <c r="AA13" s="89" t="s">
        <v>2859</v>
      </c>
      <c r="AB13" s="89" t="s">
        <v>2859</v>
      </c>
      <c r="AC13" s="89" t="s">
        <v>2859</v>
      </c>
      <c r="AD13" s="89" t="s">
        <v>2859</v>
      </c>
      <c r="AE13" s="89" t="s">
        <v>2859</v>
      </c>
      <c r="AF13" s="89" t="s">
        <v>2859</v>
      </c>
      <c r="AG13" s="89" t="s">
        <v>2859</v>
      </c>
      <c r="AH13" s="89" t="s">
        <v>2859</v>
      </c>
      <c r="AI13" s="89" t="s">
        <v>2859</v>
      </c>
      <c r="AJ13" s="89" t="s">
        <v>2859</v>
      </c>
      <c r="AK13" s="89" t="s">
        <v>2859</v>
      </c>
      <c r="AL13" s="89" t="s">
        <v>2859</v>
      </c>
      <c r="AM13" s="89" t="s">
        <v>2859</v>
      </c>
      <c r="AN13" s="89" t="s">
        <v>2859</v>
      </c>
      <c r="AO13" s="89" t="s">
        <v>2859</v>
      </c>
      <c r="AP13" s="89" t="s">
        <v>2859</v>
      </c>
      <c r="AQ13" s="89" t="s">
        <v>2859</v>
      </c>
      <c r="AR13" s="89" t="s">
        <v>2859</v>
      </c>
      <c r="AS13" s="89" t="s">
        <v>2859</v>
      </c>
      <c r="AT13" s="89" t="s">
        <v>2859</v>
      </c>
      <c r="AU13" s="89" t="s">
        <v>2859</v>
      </c>
      <c r="AV13" s="89" t="s">
        <v>2859</v>
      </c>
      <c r="AW13" s="89" t="s">
        <v>2859</v>
      </c>
      <c r="AX13" s="89" t="s">
        <v>2859</v>
      </c>
      <c r="AY13" s="89" t="s">
        <v>2859</v>
      </c>
      <c r="AZ13" s="89" t="s">
        <v>2859</v>
      </c>
      <c r="BA13" s="89" t="s">
        <v>2859</v>
      </c>
      <c r="BB13" s="89" t="s">
        <v>2859</v>
      </c>
      <c r="BC13" s="89" t="s">
        <v>2859</v>
      </c>
      <c r="BD13" s="89" t="s">
        <v>2859</v>
      </c>
      <c r="BE13" s="89" t="s">
        <v>2859</v>
      </c>
      <c r="BF13" s="89" t="s">
        <v>2859</v>
      </c>
      <c r="BG13" s="89" t="s">
        <v>2859</v>
      </c>
      <c r="BH13" s="89" t="s">
        <v>2859</v>
      </c>
      <c r="BI13" s="89" t="s">
        <v>2859</v>
      </c>
      <c r="BJ13" s="89" t="s">
        <v>2859</v>
      </c>
      <c r="BK13" s="89" t="s">
        <v>2859</v>
      </c>
      <c r="BL13" s="89" t="s">
        <v>2859</v>
      </c>
      <c r="BM13" s="89" t="s">
        <v>2859</v>
      </c>
      <c r="BN13" s="89" t="s">
        <v>2859</v>
      </c>
      <c r="BO13" s="89" t="s">
        <v>2859</v>
      </c>
      <c r="BP13" s="89" t="s">
        <v>2859</v>
      </c>
      <c r="BQ13" s="89" t="s">
        <v>3634</v>
      </c>
      <c r="BR13" s="89" t="s">
        <v>2859</v>
      </c>
    </row>
    <row r="14" spans="1:70">
      <c r="A14" s="89" t="s">
        <v>2154</v>
      </c>
      <c r="B14" s="89" t="s">
        <v>2325</v>
      </c>
      <c r="C14" s="89" t="s">
        <v>2326</v>
      </c>
      <c r="D14" s="89" t="s">
        <v>2859</v>
      </c>
      <c r="E14" s="89" t="s">
        <v>2859</v>
      </c>
      <c r="F14" s="89" t="s">
        <v>2859</v>
      </c>
      <c r="G14" s="89" t="s">
        <v>2860</v>
      </c>
      <c r="H14" s="89" t="s">
        <v>2859</v>
      </c>
      <c r="I14" s="89" t="s">
        <v>2317</v>
      </c>
      <c r="J14" s="89" t="s">
        <v>2859</v>
      </c>
      <c r="K14" s="89" t="s">
        <v>2859</v>
      </c>
      <c r="L14" s="89" t="s">
        <v>2859</v>
      </c>
      <c r="M14" s="89" t="s">
        <v>2859</v>
      </c>
      <c r="N14" s="89" t="s">
        <v>2859</v>
      </c>
      <c r="O14" s="89" t="s">
        <v>2859</v>
      </c>
      <c r="P14" s="89" t="s">
        <v>2859</v>
      </c>
      <c r="Q14" s="89" t="s">
        <v>2859</v>
      </c>
      <c r="R14" s="89" t="s">
        <v>2859</v>
      </c>
      <c r="S14" s="89" t="s">
        <v>2859</v>
      </c>
      <c r="T14" s="89" t="s">
        <v>2859</v>
      </c>
      <c r="U14" s="89" t="s">
        <v>2859</v>
      </c>
      <c r="V14" s="89" t="s">
        <v>2859</v>
      </c>
      <c r="W14" s="89" t="s">
        <v>2859</v>
      </c>
      <c r="X14" s="89" t="s">
        <v>2859</v>
      </c>
      <c r="Y14" s="89" t="s">
        <v>2859</v>
      </c>
      <c r="Z14" s="89" t="s">
        <v>2859</v>
      </c>
      <c r="AA14" s="89" t="s">
        <v>2859</v>
      </c>
      <c r="AB14" s="89" t="s">
        <v>2859</v>
      </c>
      <c r="AC14" s="89" t="s">
        <v>2859</v>
      </c>
      <c r="AD14" s="89" t="s">
        <v>2859</v>
      </c>
      <c r="AE14" s="89" t="s">
        <v>2859</v>
      </c>
      <c r="AF14" s="89" t="s">
        <v>2859</v>
      </c>
      <c r="AG14" s="89" t="s">
        <v>2859</v>
      </c>
      <c r="AH14" s="89" t="s">
        <v>2859</v>
      </c>
      <c r="AI14" s="89" t="s">
        <v>2859</v>
      </c>
      <c r="AJ14" s="89" t="s">
        <v>2859</v>
      </c>
      <c r="AK14" s="89" t="s">
        <v>2859</v>
      </c>
      <c r="AL14" s="89" t="s">
        <v>2859</v>
      </c>
      <c r="AM14" s="89" t="s">
        <v>2859</v>
      </c>
      <c r="AN14" s="89" t="s">
        <v>2859</v>
      </c>
      <c r="AO14" s="89" t="s">
        <v>2859</v>
      </c>
      <c r="AP14" s="89" t="s">
        <v>2859</v>
      </c>
      <c r="AQ14" s="89" t="s">
        <v>2859</v>
      </c>
      <c r="AR14" s="89" t="s">
        <v>2859</v>
      </c>
      <c r="AS14" s="89" t="s">
        <v>2859</v>
      </c>
      <c r="AT14" s="89" t="s">
        <v>2859</v>
      </c>
      <c r="AU14" s="89" t="s">
        <v>2859</v>
      </c>
      <c r="AV14" s="89" t="s">
        <v>2859</v>
      </c>
      <c r="AW14" s="89" t="s">
        <v>2859</v>
      </c>
      <c r="AX14" s="89" t="s">
        <v>2859</v>
      </c>
      <c r="AY14" s="89" t="s">
        <v>2859</v>
      </c>
      <c r="AZ14" s="89" t="s">
        <v>2859</v>
      </c>
      <c r="BA14" s="89" t="s">
        <v>2859</v>
      </c>
      <c r="BB14" s="89" t="s">
        <v>2859</v>
      </c>
      <c r="BC14" s="89" t="s">
        <v>2859</v>
      </c>
      <c r="BD14" s="89" t="s">
        <v>2859</v>
      </c>
      <c r="BE14" s="89" t="s">
        <v>2859</v>
      </c>
      <c r="BF14" s="89" t="s">
        <v>2859</v>
      </c>
      <c r="BG14" s="89" t="s">
        <v>2859</v>
      </c>
      <c r="BH14" s="89" t="s">
        <v>2859</v>
      </c>
      <c r="BI14" s="89" t="s">
        <v>2859</v>
      </c>
      <c r="BJ14" s="89" t="s">
        <v>2859</v>
      </c>
      <c r="BK14" s="89" t="s">
        <v>2859</v>
      </c>
      <c r="BL14" s="89" t="s">
        <v>2859</v>
      </c>
      <c r="BM14" s="89" t="s">
        <v>2859</v>
      </c>
      <c r="BN14" s="89" t="s">
        <v>2859</v>
      </c>
      <c r="BO14" s="89" t="s">
        <v>2859</v>
      </c>
      <c r="BP14" s="89" t="s">
        <v>2859</v>
      </c>
      <c r="BQ14" s="89" t="s">
        <v>3635</v>
      </c>
      <c r="BR14" s="89" t="s">
        <v>2859</v>
      </c>
    </row>
    <row r="15" spans="1:70">
      <c r="A15" s="89" t="s">
        <v>2156</v>
      </c>
      <c r="B15" s="89" t="s">
        <v>3636</v>
      </c>
      <c r="C15" s="89" t="s">
        <v>3637</v>
      </c>
      <c r="D15" s="89" t="s">
        <v>2859</v>
      </c>
      <c r="E15" s="89" t="s">
        <v>2859</v>
      </c>
      <c r="F15" s="89" t="s">
        <v>2859</v>
      </c>
      <c r="G15" s="89" t="s">
        <v>2860</v>
      </c>
      <c r="H15" s="89" t="s">
        <v>2859</v>
      </c>
      <c r="I15" s="89" t="s">
        <v>2891</v>
      </c>
      <c r="J15" s="89" t="s">
        <v>2979</v>
      </c>
      <c r="K15" s="89" t="s">
        <v>2860</v>
      </c>
      <c r="L15" s="89" t="s">
        <v>2859</v>
      </c>
      <c r="M15" s="89" t="s">
        <v>2859</v>
      </c>
      <c r="N15" s="89" t="s">
        <v>2859</v>
      </c>
      <c r="O15" s="89" t="s">
        <v>2859</v>
      </c>
      <c r="P15" s="89" t="s">
        <v>2859</v>
      </c>
      <c r="Q15" s="89" t="s">
        <v>2859</v>
      </c>
      <c r="R15" s="89" t="s">
        <v>2859</v>
      </c>
      <c r="S15" s="89" t="s">
        <v>2859</v>
      </c>
      <c r="T15" s="89" t="s">
        <v>2859</v>
      </c>
      <c r="U15" s="89" t="s">
        <v>2859</v>
      </c>
      <c r="V15" s="89" t="s">
        <v>2859</v>
      </c>
      <c r="W15" s="89" t="s">
        <v>2859</v>
      </c>
      <c r="X15" s="89" t="s">
        <v>2859</v>
      </c>
      <c r="Y15" s="89" t="s">
        <v>2859</v>
      </c>
      <c r="Z15" s="89" t="s">
        <v>2859</v>
      </c>
      <c r="AA15" s="89" t="s">
        <v>2859</v>
      </c>
      <c r="AB15" s="89" t="s">
        <v>2859</v>
      </c>
      <c r="AC15" s="89" t="s">
        <v>2859</v>
      </c>
      <c r="AD15" s="89" t="s">
        <v>2859</v>
      </c>
      <c r="AE15" s="89" t="s">
        <v>2859</v>
      </c>
      <c r="AF15" s="89" t="s">
        <v>2859</v>
      </c>
      <c r="AG15" s="89" t="s">
        <v>2859</v>
      </c>
      <c r="AH15" s="89" t="s">
        <v>2859</v>
      </c>
      <c r="AI15" s="89" t="s">
        <v>2859</v>
      </c>
      <c r="AJ15" s="89" t="s">
        <v>2859</v>
      </c>
      <c r="AK15" s="89" t="s">
        <v>2859</v>
      </c>
      <c r="AL15" s="89" t="s">
        <v>2859</v>
      </c>
      <c r="AM15" s="89" t="s">
        <v>2859</v>
      </c>
      <c r="AN15" s="89" t="s">
        <v>2859</v>
      </c>
      <c r="AO15" s="89" t="s">
        <v>2859</v>
      </c>
      <c r="AP15" s="89" t="s">
        <v>2859</v>
      </c>
      <c r="AQ15" s="89" t="s">
        <v>2859</v>
      </c>
      <c r="AR15" s="89" t="s">
        <v>2859</v>
      </c>
      <c r="AS15" s="89" t="s">
        <v>2859</v>
      </c>
      <c r="AT15" s="89" t="s">
        <v>2859</v>
      </c>
      <c r="AU15" s="89" t="s">
        <v>2859</v>
      </c>
      <c r="AV15" s="89" t="s">
        <v>2859</v>
      </c>
      <c r="AW15" s="89" t="s">
        <v>2859</v>
      </c>
      <c r="AX15" s="89" t="s">
        <v>2859</v>
      </c>
      <c r="AY15" s="89" t="s">
        <v>2859</v>
      </c>
      <c r="AZ15" s="89" t="s">
        <v>2859</v>
      </c>
      <c r="BA15" s="89" t="s">
        <v>2859</v>
      </c>
      <c r="BB15" s="89" t="s">
        <v>2859</v>
      </c>
      <c r="BC15" s="89" t="s">
        <v>2859</v>
      </c>
      <c r="BD15" s="89" t="s">
        <v>2859</v>
      </c>
      <c r="BE15" s="89" t="s">
        <v>2859</v>
      </c>
      <c r="BF15" s="89" t="s">
        <v>2859</v>
      </c>
      <c r="BG15" s="89" t="s">
        <v>2859</v>
      </c>
      <c r="BH15" s="89" t="s">
        <v>2859</v>
      </c>
      <c r="BI15" s="89" t="s">
        <v>2859</v>
      </c>
      <c r="BJ15" s="89" t="s">
        <v>2859</v>
      </c>
      <c r="BK15" s="89" t="s">
        <v>2859</v>
      </c>
      <c r="BL15" s="89" t="s">
        <v>2859</v>
      </c>
      <c r="BM15" s="89" t="s">
        <v>2859</v>
      </c>
      <c r="BN15" s="89" t="s">
        <v>2859</v>
      </c>
      <c r="BO15" s="89" t="s">
        <v>2859</v>
      </c>
      <c r="BP15" s="89" t="s">
        <v>2859</v>
      </c>
      <c r="BQ15" s="89" t="s">
        <v>3638</v>
      </c>
      <c r="BR15" s="89" t="s">
        <v>2859</v>
      </c>
    </row>
    <row r="16" spans="1:70">
      <c r="A16" s="89" t="s">
        <v>2156</v>
      </c>
      <c r="B16" s="89" t="s">
        <v>2446</v>
      </c>
      <c r="C16" s="89" t="s">
        <v>2334</v>
      </c>
      <c r="D16" s="89" t="s">
        <v>2859</v>
      </c>
      <c r="E16" s="89" t="s">
        <v>2859</v>
      </c>
      <c r="F16" s="89" t="s">
        <v>2859</v>
      </c>
      <c r="G16" s="89" t="s">
        <v>2860</v>
      </c>
      <c r="H16" s="89" t="s">
        <v>2859</v>
      </c>
      <c r="I16" s="89" t="s">
        <v>120</v>
      </c>
      <c r="J16" s="89" t="s">
        <v>2859</v>
      </c>
      <c r="K16" s="89" t="s">
        <v>2859</v>
      </c>
      <c r="L16" s="89" t="s">
        <v>2859</v>
      </c>
      <c r="M16" s="89" t="s">
        <v>2859</v>
      </c>
      <c r="N16" s="89" t="s">
        <v>2859</v>
      </c>
      <c r="O16" s="89" t="s">
        <v>2859</v>
      </c>
      <c r="P16" s="89" t="s">
        <v>2859</v>
      </c>
      <c r="Q16" s="89" t="s">
        <v>2859</v>
      </c>
      <c r="R16" s="89" t="s">
        <v>2859</v>
      </c>
      <c r="S16" s="89" t="s">
        <v>2859</v>
      </c>
      <c r="T16" s="89" t="s">
        <v>2859</v>
      </c>
      <c r="U16" s="89" t="s">
        <v>2859</v>
      </c>
      <c r="V16" s="89" t="s">
        <v>2859</v>
      </c>
      <c r="W16" s="89" t="s">
        <v>2859</v>
      </c>
      <c r="X16" s="89" t="s">
        <v>2859</v>
      </c>
      <c r="Y16" s="89" t="s">
        <v>2859</v>
      </c>
      <c r="Z16" s="89" t="s">
        <v>2859</v>
      </c>
      <c r="AA16" s="89" t="s">
        <v>2859</v>
      </c>
      <c r="AB16" s="89" t="s">
        <v>2859</v>
      </c>
      <c r="AC16" s="89" t="s">
        <v>2859</v>
      </c>
      <c r="AD16" s="89" t="s">
        <v>2859</v>
      </c>
      <c r="AE16" s="89" t="s">
        <v>2859</v>
      </c>
      <c r="AF16" s="89" t="s">
        <v>2859</v>
      </c>
      <c r="AG16" s="89" t="s">
        <v>2859</v>
      </c>
      <c r="AH16" s="89" t="s">
        <v>2859</v>
      </c>
      <c r="AI16" s="89" t="s">
        <v>2859</v>
      </c>
      <c r="AJ16" s="89" t="s">
        <v>2859</v>
      </c>
      <c r="AK16" s="89" t="s">
        <v>2859</v>
      </c>
      <c r="AL16" s="89" t="s">
        <v>2859</v>
      </c>
      <c r="AM16" s="89" t="s">
        <v>2859</v>
      </c>
      <c r="AN16" s="89" t="s">
        <v>2859</v>
      </c>
      <c r="AO16" s="89" t="s">
        <v>2859</v>
      </c>
      <c r="AP16" s="89" t="s">
        <v>2859</v>
      </c>
      <c r="AQ16" s="89" t="s">
        <v>2859</v>
      </c>
      <c r="AR16" s="89" t="s">
        <v>2859</v>
      </c>
      <c r="AS16" s="89" t="s">
        <v>2859</v>
      </c>
      <c r="AT16" s="89" t="s">
        <v>2859</v>
      </c>
      <c r="AU16" s="89" t="s">
        <v>2859</v>
      </c>
      <c r="AV16" s="89" t="s">
        <v>2859</v>
      </c>
      <c r="AW16" s="89" t="s">
        <v>2859</v>
      </c>
      <c r="AX16" s="89" t="s">
        <v>2859</v>
      </c>
      <c r="AY16" s="89" t="s">
        <v>2859</v>
      </c>
      <c r="AZ16" s="89" t="s">
        <v>2859</v>
      </c>
      <c r="BA16" s="89" t="s">
        <v>2859</v>
      </c>
      <c r="BB16" s="89" t="s">
        <v>2859</v>
      </c>
      <c r="BC16" s="89" t="s">
        <v>2859</v>
      </c>
      <c r="BD16" s="89" t="s">
        <v>2859</v>
      </c>
      <c r="BE16" s="89" t="s">
        <v>2859</v>
      </c>
      <c r="BF16" s="89" t="s">
        <v>2859</v>
      </c>
      <c r="BG16" s="89" t="s">
        <v>2859</v>
      </c>
      <c r="BH16" s="89" t="s">
        <v>2859</v>
      </c>
      <c r="BI16" s="89" t="s">
        <v>2859</v>
      </c>
      <c r="BJ16" s="89" t="s">
        <v>2859</v>
      </c>
      <c r="BK16" s="89" t="s">
        <v>2859</v>
      </c>
      <c r="BL16" s="89" t="s">
        <v>2859</v>
      </c>
      <c r="BM16" s="89" t="s">
        <v>2859</v>
      </c>
      <c r="BN16" s="89" t="s">
        <v>2859</v>
      </c>
      <c r="BO16" s="89" t="s">
        <v>2859</v>
      </c>
      <c r="BP16" s="89" t="s">
        <v>2859</v>
      </c>
      <c r="BQ16" s="89" t="s">
        <v>3639</v>
      </c>
      <c r="BR16" s="89" t="s">
        <v>2859</v>
      </c>
    </row>
    <row r="17" spans="1:70">
      <c r="A17" s="89" t="s">
        <v>2156</v>
      </c>
      <c r="B17" s="89" t="s">
        <v>2447</v>
      </c>
      <c r="C17" s="89" t="s">
        <v>2448</v>
      </c>
      <c r="D17" s="89" t="s">
        <v>2859</v>
      </c>
      <c r="E17" s="89" t="s">
        <v>2859</v>
      </c>
      <c r="F17" s="89" t="s">
        <v>2859</v>
      </c>
      <c r="G17" s="89" t="s">
        <v>2860</v>
      </c>
      <c r="H17" s="89" t="s">
        <v>2859</v>
      </c>
      <c r="I17" s="89" t="s">
        <v>120</v>
      </c>
      <c r="J17" s="89" t="s">
        <v>2449</v>
      </c>
      <c r="K17" s="89" t="s">
        <v>2860</v>
      </c>
      <c r="L17" s="89" t="s">
        <v>2859</v>
      </c>
      <c r="M17" s="89" t="s">
        <v>2859</v>
      </c>
      <c r="N17" s="89" t="s">
        <v>2859</v>
      </c>
      <c r="O17" s="89" t="s">
        <v>2859</v>
      </c>
      <c r="P17" s="89" t="s">
        <v>2859</v>
      </c>
      <c r="Q17" s="89" t="s">
        <v>2859</v>
      </c>
      <c r="R17" s="89" t="s">
        <v>2859</v>
      </c>
      <c r="S17" s="89" t="s">
        <v>2859</v>
      </c>
      <c r="T17" s="89" t="s">
        <v>2859</v>
      </c>
      <c r="U17" s="89" t="s">
        <v>2859</v>
      </c>
      <c r="V17" s="89" t="s">
        <v>2859</v>
      </c>
      <c r="W17" s="89" t="s">
        <v>2859</v>
      </c>
      <c r="X17" s="89" t="s">
        <v>2859</v>
      </c>
      <c r="Y17" s="89" t="s">
        <v>2859</v>
      </c>
      <c r="Z17" s="89" t="s">
        <v>2859</v>
      </c>
      <c r="AA17" s="89" t="s">
        <v>2859</v>
      </c>
      <c r="AB17" s="89" t="s">
        <v>2859</v>
      </c>
      <c r="AC17" s="89" t="s">
        <v>2859</v>
      </c>
      <c r="AD17" s="89" t="s">
        <v>2859</v>
      </c>
      <c r="AE17" s="89" t="s">
        <v>2859</v>
      </c>
      <c r="AF17" s="89" t="s">
        <v>2859</v>
      </c>
      <c r="AG17" s="89" t="s">
        <v>2859</v>
      </c>
      <c r="AH17" s="89" t="s">
        <v>2859</v>
      </c>
      <c r="AI17" s="89" t="s">
        <v>2859</v>
      </c>
      <c r="AJ17" s="89" t="s">
        <v>2859</v>
      </c>
      <c r="AK17" s="89" t="s">
        <v>2859</v>
      </c>
      <c r="AL17" s="89" t="s">
        <v>2859</v>
      </c>
      <c r="AM17" s="89" t="s">
        <v>2859</v>
      </c>
      <c r="AN17" s="89" t="s">
        <v>2859</v>
      </c>
      <c r="AO17" s="89" t="s">
        <v>2859</v>
      </c>
      <c r="AP17" s="89" t="s">
        <v>2859</v>
      </c>
      <c r="AQ17" s="89" t="s">
        <v>2859</v>
      </c>
      <c r="AR17" s="89" t="s">
        <v>2859</v>
      </c>
      <c r="AS17" s="89" t="s">
        <v>2859</v>
      </c>
      <c r="AT17" s="89" t="s">
        <v>2859</v>
      </c>
      <c r="AU17" s="89" t="s">
        <v>2859</v>
      </c>
      <c r="AV17" s="89" t="s">
        <v>2859</v>
      </c>
      <c r="AW17" s="89" t="s">
        <v>2859</v>
      </c>
      <c r="AX17" s="89" t="s">
        <v>2859</v>
      </c>
      <c r="AY17" s="89" t="s">
        <v>2859</v>
      </c>
      <c r="AZ17" s="89" t="s">
        <v>2859</v>
      </c>
      <c r="BA17" s="89" t="s">
        <v>2859</v>
      </c>
      <c r="BB17" s="89" t="s">
        <v>2859</v>
      </c>
      <c r="BC17" s="89" t="s">
        <v>2859</v>
      </c>
      <c r="BD17" s="89" t="s">
        <v>2859</v>
      </c>
      <c r="BE17" s="89" t="s">
        <v>2859</v>
      </c>
      <c r="BF17" s="89" t="s">
        <v>2859</v>
      </c>
      <c r="BG17" s="89" t="s">
        <v>2859</v>
      </c>
      <c r="BH17" s="89" t="s">
        <v>2859</v>
      </c>
      <c r="BI17" s="89" t="s">
        <v>2859</v>
      </c>
      <c r="BJ17" s="89" t="s">
        <v>2859</v>
      </c>
      <c r="BK17" s="89" t="s">
        <v>2859</v>
      </c>
      <c r="BL17" s="89" t="s">
        <v>2859</v>
      </c>
      <c r="BM17" s="89" t="s">
        <v>2859</v>
      </c>
      <c r="BN17" s="89" t="s">
        <v>2859</v>
      </c>
      <c r="BO17" s="89" t="s">
        <v>2859</v>
      </c>
      <c r="BP17" s="89" t="s">
        <v>2859</v>
      </c>
      <c r="BQ17" s="89" t="s">
        <v>3640</v>
      </c>
      <c r="BR17" s="89" t="s">
        <v>2859</v>
      </c>
    </row>
    <row r="18" spans="1:70">
      <c r="A18" s="89" t="s">
        <v>2156</v>
      </c>
      <c r="B18" s="89" t="s">
        <v>2450</v>
      </c>
      <c r="C18" s="89" t="s">
        <v>2448</v>
      </c>
      <c r="D18" s="89" t="s">
        <v>2859</v>
      </c>
      <c r="E18" s="89" t="s">
        <v>2859</v>
      </c>
      <c r="F18" s="89" t="s">
        <v>2859</v>
      </c>
      <c r="G18" s="89" t="s">
        <v>2860</v>
      </c>
      <c r="H18" s="89" t="s">
        <v>2859</v>
      </c>
      <c r="I18" s="89" t="s">
        <v>120</v>
      </c>
      <c r="J18" s="89" t="s">
        <v>2859</v>
      </c>
      <c r="K18" s="89" t="s">
        <v>2859</v>
      </c>
      <c r="L18" s="89" t="s">
        <v>2859</v>
      </c>
      <c r="M18" s="89" t="s">
        <v>2859</v>
      </c>
      <c r="N18" s="89" t="s">
        <v>2859</v>
      </c>
      <c r="O18" s="89" t="s">
        <v>2859</v>
      </c>
      <c r="P18" s="89" t="s">
        <v>2859</v>
      </c>
      <c r="Q18" s="89" t="s">
        <v>2859</v>
      </c>
      <c r="R18" s="89" t="s">
        <v>2859</v>
      </c>
      <c r="S18" s="89" t="s">
        <v>2859</v>
      </c>
      <c r="T18" s="89" t="s">
        <v>2859</v>
      </c>
      <c r="U18" s="89" t="s">
        <v>2859</v>
      </c>
      <c r="V18" s="89" t="s">
        <v>2859</v>
      </c>
      <c r="W18" s="89" t="s">
        <v>2859</v>
      </c>
      <c r="X18" s="89" t="s">
        <v>2859</v>
      </c>
      <c r="Y18" s="89" t="s">
        <v>2859</v>
      </c>
      <c r="Z18" s="89" t="s">
        <v>2859</v>
      </c>
      <c r="AA18" s="89" t="s">
        <v>2859</v>
      </c>
      <c r="AB18" s="89" t="s">
        <v>2859</v>
      </c>
      <c r="AC18" s="89" t="s">
        <v>2859</v>
      </c>
      <c r="AD18" s="89" t="s">
        <v>2859</v>
      </c>
      <c r="AE18" s="89" t="s">
        <v>2859</v>
      </c>
      <c r="AF18" s="89" t="s">
        <v>2859</v>
      </c>
      <c r="AG18" s="89" t="s">
        <v>2859</v>
      </c>
      <c r="AH18" s="89" t="s">
        <v>2859</v>
      </c>
      <c r="AI18" s="89" t="s">
        <v>2859</v>
      </c>
      <c r="AJ18" s="89" t="s">
        <v>2859</v>
      </c>
      <c r="AK18" s="89" t="s">
        <v>2859</v>
      </c>
      <c r="AL18" s="89" t="s">
        <v>2859</v>
      </c>
      <c r="AM18" s="89" t="s">
        <v>2859</v>
      </c>
      <c r="AN18" s="89" t="s">
        <v>2859</v>
      </c>
      <c r="AO18" s="89" t="s">
        <v>2859</v>
      </c>
      <c r="AP18" s="89" t="s">
        <v>2859</v>
      </c>
      <c r="AQ18" s="89" t="s">
        <v>2859</v>
      </c>
      <c r="AR18" s="89" t="s">
        <v>2859</v>
      </c>
      <c r="AS18" s="89" t="s">
        <v>2859</v>
      </c>
      <c r="AT18" s="89" t="s">
        <v>2859</v>
      </c>
      <c r="AU18" s="89" t="s">
        <v>2859</v>
      </c>
      <c r="AV18" s="89" t="s">
        <v>2859</v>
      </c>
      <c r="AW18" s="89" t="s">
        <v>2859</v>
      </c>
      <c r="AX18" s="89" t="s">
        <v>2859</v>
      </c>
      <c r="AY18" s="89" t="s">
        <v>2859</v>
      </c>
      <c r="AZ18" s="89" t="s">
        <v>2859</v>
      </c>
      <c r="BA18" s="89" t="s">
        <v>2859</v>
      </c>
      <c r="BB18" s="89" t="s">
        <v>2859</v>
      </c>
      <c r="BC18" s="89" t="s">
        <v>2859</v>
      </c>
      <c r="BD18" s="89" t="s">
        <v>2859</v>
      </c>
      <c r="BE18" s="89" t="s">
        <v>2859</v>
      </c>
      <c r="BF18" s="89" t="s">
        <v>2859</v>
      </c>
      <c r="BG18" s="89" t="s">
        <v>2859</v>
      </c>
      <c r="BH18" s="89" t="s">
        <v>2859</v>
      </c>
      <c r="BI18" s="89" t="s">
        <v>2859</v>
      </c>
      <c r="BJ18" s="89" t="s">
        <v>2859</v>
      </c>
      <c r="BK18" s="89" t="s">
        <v>2859</v>
      </c>
      <c r="BL18" s="89" t="s">
        <v>2859</v>
      </c>
      <c r="BM18" s="89" t="s">
        <v>2859</v>
      </c>
      <c r="BN18" s="89" t="s">
        <v>2859</v>
      </c>
      <c r="BO18" s="89" t="s">
        <v>2859</v>
      </c>
      <c r="BP18" s="89" t="s">
        <v>2859</v>
      </c>
      <c r="BQ18" s="89" t="s">
        <v>3641</v>
      </c>
      <c r="BR18" s="89" t="s">
        <v>2859</v>
      </c>
    </row>
    <row r="19" spans="1:70">
      <c r="A19" s="89" t="s">
        <v>2156</v>
      </c>
      <c r="B19" s="89" t="s">
        <v>2328</v>
      </c>
      <c r="C19" s="89" t="s">
        <v>2859</v>
      </c>
      <c r="D19" s="89" t="s">
        <v>2859</v>
      </c>
      <c r="E19" s="89" t="s">
        <v>2859</v>
      </c>
      <c r="F19" s="89" t="s">
        <v>2859</v>
      </c>
      <c r="G19" s="89" t="s">
        <v>2860</v>
      </c>
      <c r="H19" s="89" t="s">
        <v>2859</v>
      </c>
      <c r="I19" s="89" t="s">
        <v>2329</v>
      </c>
      <c r="J19" s="89" t="s">
        <v>2331</v>
      </c>
      <c r="K19" s="89" t="s">
        <v>2867</v>
      </c>
      <c r="L19" s="89" t="s">
        <v>2859</v>
      </c>
      <c r="M19" s="89" t="s">
        <v>2859</v>
      </c>
      <c r="N19" s="89" t="s">
        <v>2859</v>
      </c>
      <c r="O19" s="89" t="s">
        <v>2859</v>
      </c>
      <c r="P19" s="89" t="s">
        <v>2859</v>
      </c>
      <c r="Q19" s="89" t="s">
        <v>2859</v>
      </c>
      <c r="R19" s="89" t="s">
        <v>2859</v>
      </c>
      <c r="S19" s="89" t="s">
        <v>2859</v>
      </c>
      <c r="T19" s="89" t="s">
        <v>2859</v>
      </c>
      <c r="U19" s="89" t="s">
        <v>2859</v>
      </c>
      <c r="V19" s="89" t="s">
        <v>2859</v>
      </c>
      <c r="W19" s="89" t="s">
        <v>2859</v>
      </c>
      <c r="X19" s="89" t="s">
        <v>2859</v>
      </c>
      <c r="Y19" s="89" t="s">
        <v>2859</v>
      </c>
      <c r="Z19" s="89" t="s">
        <v>2859</v>
      </c>
      <c r="AA19" s="89" t="s">
        <v>2859</v>
      </c>
      <c r="AB19" s="89" t="s">
        <v>2859</v>
      </c>
      <c r="AC19" s="89" t="s">
        <v>2859</v>
      </c>
      <c r="AD19" s="89" t="s">
        <v>2859</v>
      </c>
      <c r="AE19" s="89" t="s">
        <v>2859</v>
      </c>
      <c r="AF19" s="89" t="s">
        <v>2859</v>
      </c>
      <c r="AG19" s="89" t="s">
        <v>2859</v>
      </c>
      <c r="AH19" s="89" t="s">
        <v>2859</v>
      </c>
      <c r="AI19" s="89" t="s">
        <v>2859</v>
      </c>
      <c r="AJ19" s="89" t="s">
        <v>2859</v>
      </c>
      <c r="AK19" s="89" t="s">
        <v>2859</v>
      </c>
      <c r="AL19" s="89" t="s">
        <v>2859</v>
      </c>
      <c r="AM19" s="89" t="s">
        <v>2859</v>
      </c>
      <c r="AN19" s="89" t="s">
        <v>2859</v>
      </c>
      <c r="AO19" s="89" t="s">
        <v>2859</v>
      </c>
      <c r="AP19" s="89" t="s">
        <v>2859</v>
      </c>
      <c r="AQ19" s="89" t="s">
        <v>2859</v>
      </c>
      <c r="AR19" s="89" t="s">
        <v>2859</v>
      </c>
      <c r="AS19" s="89" t="s">
        <v>2859</v>
      </c>
      <c r="AT19" s="89" t="s">
        <v>2859</v>
      </c>
      <c r="AU19" s="89" t="s">
        <v>2859</v>
      </c>
      <c r="AV19" s="89" t="s">
        <v>2859</v>
      </c>
      <c r="AW19" s="89" t="s">
        <v>2859</v>
      </c>
      <c r="AX19" s="89" t="s">
        <v>2859</v>
      </c>
      <c r="AY19" s="89" t="s">
        <v>2859</v>
      </c>
      <c r="AZ19" s="89" t="s">
        <v>2859</v>
      </c>
      <c r="BA19" s="89" t="s">
        <v>2859</v>
      </c>
      <c r="BB19" s="89" t="s">
        <v>2859</v>
      </c>
      <c r="BC19" s="89" t="s">
        <v>2859</v>
      </c>
      <c r="BD19" s="89" t="s">
        <v>2859</v>
      </c>
      <c r="BE19" s="89" t="s">
        <v>2859</v>
      </c>
      <c r="BF19" s="89" t="s">
        <v>2859</v>
      </c>
      <c r="BG19" s="89" t="s">
        <v>2859</v>
      </c>
      <c r="BH19" s="89" t="s">
        <v>2859</v>
      </c>
      <c r="BI19" s="89" t="s">
        <v>2859</v>
      </c>
      <c r="BJ19" s="89" t="s">
        <v>2859</v>
      </c>
      <c r="BK19" s="89" t="s">
        <v>2859</v>
      </c>
      <c r="BL19" s="89" t="s">
        <v>2859</v>
      </c>
      <c r="BM19" s="89" t="s">
        <v>2859</v>
      </c>
      <c r="BN19" s="89" t="s">
        <v>2859</v>
      </c>
      <c r="BO19" s="89" t="s">
        <v>2859</v>
      </c>
      <c r="BP19" s="89" t="s">
        <v>2859</v>
      </c>
      <c r="BQ19" s="89" t="s">
        <v>3642</v>
      </c>
      <c r="BR19" s="89" t="s">
        <v>2869</v>
      </c>
    </row>
    <row r="20" spans="1:70">
      <c r="A20" s="89" t="s">
        <v>2156</v>
      </c>
      <c r="B20" s="89" t="s">
        <v>2452</v>
      </c>
      <c r="C20" s="89" t="s">
        <v>2453</v>
      </c>
      <c r="D20" s="89" t="s">
        <v>2859</v>
      </c>
      <c r="E20" s="89" t="s">
        <v>2859</v>
      </c>
      <c r="F20" s="89" t="s">
        <v>2859</v>
      </c>
      <c r="G20" s="89" t="s">
        <v>2860</v>
      </c>
      <c r="H20" s="89" t="s">
        <v>2859</v>
      </c>
      <c r="I20" s="89" t="s">
        <v>120</v>
      </c>
      <c r="J20" s="89" t="s">
        <v>2454</v>
      </c>
      <c r="K20" s="89" t="s">
        <v>2860</v>
      </c>
      <c r="L20" s="89" t="s">
        <v>2859</v>
      </c>
      <c r="M20" s="89" t="s">
        <v>2859</v>
      </c>
      <c r="N20" s="89" t="s">
        <v>2859</v>
      </c>
      <c r="O20" s="89" t="s">
        <v>2859</v>
      </c>
      <c r="P20" s="89" t="s">
        <v>2859</v>
      </c>
      <c r="Q20" s="89" t="s">
        <v>2859</v>
      </c>
      <c r="R20" s="89" t="s">
        <v>2859</v>
      </c>
      <c r="S20" s="89" t="s">
        <v>2859</v>
      </c>
      <c r="T20" s="89" t="s">
        <v>2859</v>
      </c>
      <c r="U20" s="89" t="s">
        <v>2859</v>
      </c>
      <c r="V20" s="89" t="s">
        <v>2859</v>
      </c>
      <c r="W20" s="89" t="s">
        <v>2859</v>
      </c>
      <c r="X20" s="89" t="s">
        <v>2859</v>
      </c>
      <c r="Y20" s="89" t="s">
        <v>2859</v>
      </c>
      <c r="Z20" s="89" t="s">
        <v>2859</v>
      </c>
      <c r="AA20" s="89" t="s">
        <v>2859</v>
      </c>
      <c r="AB20" s="89" t="s">
        <v>2859</v>
      </c>
      <c r="AC20" s="89" t="s">
        <v>2859</v>
      </c>
      <c r="AD20" s="89" t="s">
        <v>2859</v>
      </c>
      <c r="AE20" s="89" t="s">
        <v>2859</v>
      </c>
      <c r="AF20" s="89" t="s">
        <v>2859</v>
      </c>
      <c r="AG20" s="89" t="s">
        <v>2859</v>
      </c>
      <c r="AH20" s="89" t="s">
        <v>2859</v>
      </c>
      <c r="AI20" s="89" t="s">
        <v>2859</v>
      </c>
      <c r="AJ20" s="89" t="s">
        <v>2859</v>
      </c>
      <c r="AK20" s="89" t="s">
        <v>2859</v>
      </c>
      <c r="AL20" s="89" t="s">
        <v>2859</v>
      </c>
      <c r="AM20" s="89" t="s">
        <v>2859</v>
      </c>
      <c r="AN20" s="89" t="s">
        <v>2859</v>
      </c>
      <c r="AO20" s="89" t="s">
        <v>2859</v>
      </c>
      <c r="AP20" s="89" t="s">
        <v>2859</v>
      </c>
      <c r="AQ20" s="89" t="s">
        <v>2859</v>
      </c>
      <c r="AR20" s="89" t="s">
        <v>2859</v>
      </c>
      <c r="AS20" s="89" t="s">
        <v>2859</v>
      </c>
      <c r="AT20" s="89" t="s">
        <v>2859</v>
      </c>
      <c r="AU20" s="89" t="s">
        <v>2859</v>
      </c>
      <c r="AV20" s="89" t="s">
        <v>2859</v>
      </c>
      <c r="AW20" s="89" t="s">
        <v>2859</v>
      </c>
      <c r="AX20" s="89" t="s">
        <v>2859</v>
      </c>
      <c r="AY20" s="89" t="s">
        <v>2859</v>
      </c>
      <c r="AZ20" s="89" t="s">
        <v>2859</v>
      </c>
      <c r="BA20" s="89" t="s">
        <v>2859</v>
      </c>
      <c r="BB20" s="89" t="s">
        <v>2859</v>
      </c>
      <c r="BC20" s="89" t="s">
        <v>2859</v>
      </c>
      <c r="BD20" s="89" t="s">
        <v>2859</v>
      </c>
      <c r="BE20" s="89" t="s">
        <v>2859</v>
      </c>
      <c r="BF20" s="89" t="s">
        <v>2859</v>
      </c>
      <c r="BG20" s="89" t="s">
        <v>2859</v>
      </c>
      <c r="BH20" s="89" t="s">
        <v>2859</v>
      </c>
      <c r="BI20" s="89" t="s">
        <v>2859</v>
      </c>
      <c r="BJ20" s="89" t="s">
        <v>2859</v>
      </c>
      <c r="BK20" s="89" t="s">
        <v>2859</v>
      </c>
      <c r="BL20" s="89" t="s">
        <v>2859</v>
      </c>
      <c r="BM20" s="89" t="s">
        <v>2859</v>
      </c>
      <c r="BN20" s="89" t="s">
        <v>2859</v>
      </c>
      <c r="BO20" s="89" t="s">
        <v>2859</v>
      </c>
      <c r="BP20" s="89" t="s">
        <v>2859</v>
      </c>
      <c r="BQ20" s="89" t="s">
        <v>3643</v>
      </c>
      <c r="BR20" s="89" t="s">
        <v>2859</v>
      </c>
    </row>
    <row r="21" spans="1:70">
      <c r="A21" s="89" t="s">
        <v>3644</v>
      </c>
      <c r="B21" s="89" t="s">
        <v>3645</v>
      </c>
      <c r="C21" s="89" t="s">
        <v>2457</v>
      </c>
      <c r="D21" s="89" t="s">
        <v>2859</v>
      </c>
      <c r="E21" s="89" t="s">
        <v>2859</v>
      </c>
      <c r="F21" s="89" t="s">
        <v>2859</v>
      </c>
      <c r="G21" s="89" t="s">
        <v>2860</v>
      </c>
      <c r="H21" s="89" t="s">
        <v>2859</v>
      </c>
      <c r="I21" s="89" t="s">
        <v>1463</v>
      </c>
      <c r="J21" s="89" t="s">
        <v>3646</v>
      </c>
      <c r="K21" s="89" t="s">
        <v>2867</v>
      </c>
      <c r="L21" s="89" t="s">
        <v>2891</v>
      </c>
      <c r="M21" s="89" t="s">
        <v>3646</v>
      </c>
      <c r="N21" s="89" t="s">
        <v>2867</v>
      </c>
      <c r="O21" s="89" t="s">
        <v>2859</v>
      </c>
      <c r="P21" s="89" t="s">
        <v>2859</v>
      </c>
      <c r="Q21" s="89" t="s">
        <v>2859</v>
      </c>
      <c r="R21" s="89" t="s">
        <v>2859</v>
      </c>
      <c r="S21" s="89" t="s">
        <v>2859</v>
      </c>
      <c r="T21" s="89" t="s">
        <v>2859</v>
      </c>
      <c r="U21" s="89" t="s">
        <v>2859</v>
      </c>
      <c r="V21" s="89" t="s">
        <v>2859</v>
      </c>
      <c r="W21" s="89" t="s">
        <v>2859</v>
      </c>
      <c r="X21" s="89" t="s">
        <v>2859</v>
      </c>
      <c r="Y21" s="89" t="s">
        <v>2859</v>
      </c>
      <c r="Z21" s="89" t="s">
        <v>2859</v>
      </c>
      <c r="AA21" s="89" t="s">
        <v>2859</v>
      </c>
      <c r="AB21" s="89" t="s">
        <v>2859</v>
      </c>
      <c r="AC21" s="89" t="s">
        <v>2859</v>
      </c>
      <c r="AD21" s="89" t="s">
        <v>2859</v>
      </c>
      <c r="AE21" s="89" t="s">
        <v>2859</v>
      </c>
      <c r="AF21" s="89" t="s">
        <v>2859</v>
      </c>
      <c r="AG21" s="89" t="s">
        <v>2859</v>
      </c>
      <c r="AH21" s="89" t="s">
        <v>2859</v>
      </c>
      <c r="AI21" s="89" t="s">
        <v>2859</v>
      </c>
      <c r="AJ21" s="89" t="s">
        <v>2859</v>
      </c>
      <c r="AK21" s="89" t="s">
        <v>2859</v>
      </c>
      <c r="AL21" s="89" t="s">
        <v>2859</v>
      </c>
      <c r="AM21" s="89" t="s">
        <v>2859</v>
      </c>
      <c r="AN21" s="89" t="s">
        <v>2859</v>
      </c>
      <c r="AO21" s="89" t="s">
        <v>2859</v>
      </c>
      <c r="AP21" s="89" t="s">
        <v>2859</v>
      </c>
      <c r="AQ21" s="89" t="s">
        <v>2859</v>
      </c>
      <c r="AR21" s="89" t="s">
        <v>2859</v>
      </c>
      <c r="AS21" s="89" t="s">
        <v>2859</v>
      </c>
      <c r="AT21" s="89" t="s">
        <v>2859</v>
      </c>
      <c r="AU21" s="89" t="s">
        <v>2859</v>
      </c>
      <c r="AV21" s="89" t="s">
        <v>2859</v>
      </c>
      <c r="AW21" s="89" t="s">
        <v>2859</v>
      </c>
      <c r="AX21" s="89" t="s">
        <v>2859</v>
      </c>
      <c r="AY21" s="89" t="s">
        <v>2859</v>
      </c>
      <c r="AZ21" s="89" t="s">
        <v>2859</v>
      </c>
      <c r="BA21" s="89" t="s">
        <v>2859</v>
      </c>
      <c r="BB21" s="89" t="s">
        <v>2859</v>
      </c>
      <c r="BC21" s="89" t="s">
        <v>2859</v>
      </c>
      <c r="BD21" s="89" t="s">
        <v>2859</v>
      </c>
      <c r="BE21" s="89" t="s">
        <v>2859</v>
      </c>
      <c r="BF21" s="89" t="s">
        <v>2859</v>
      </c>
      <c r="BG21" s="89" t="s">
        <v>2859</v>
      </c>
      <c r="BH21" s="89" t="s">
        <v>2859</v>
      </c>
      <c r="BI21" s="89" t="s">
        <v>2859</v>
      </c>
      <c r="BJ21" s="89" t="s">
        <v>2859</v>
      </c>
      <c r="BK21" s="89" t="s">
        <v>2859</v>
      </c>
      <c r="BL21" s="89" t="s">
        <v>2859</v>
      </c>
      <c r="BM21" s="89" t="s">
        <v>2859</v>
      </c>
      <c r="BN21" s="89" t="s">
        <v>2859</v>
      </c>
      <c r="BO21" s="89" t="s">
        <v>2859</v>
      </c>
      <c r="BP21" s="89" t="s">
        <v>2859</v>
      </c>
      <c r="BQ21" s="89" t="s">
        <v>3647</v>
      </c>
      <c r="BR21" s="89" t="s">
        <v>2869</v>
      </c>
    </row>
    <row r="22" spans="1:70">
      <c r="A22" s="89" t="s">
        <v>3644</v>
      </c>
      <c r="B22" s="89" t="s">
        <v>2456</v>
      </c>
      <c r="C22" s="89" t="s">
        <v>2457</v>
      </c>
      <c r="D22" s="89" t="s">
        <v>2859</v>
      </c>
      <c r="E22" s="89" t="s">
        <v>2859</v>
      </c>
      <c r="F22" s="89" t="s">
        <v>2859</v>
      </c>
      <c r="G22" s="89" t="s">
        <v>2860</v>
      </c>
      <c r="H22" s="89" t="s">
        <v>2859</v>
      </c>
      <c r="I22" s="89" t="s">
        <v>120</v>
      </c>
      <c r="J22" s="89" t="s">
        <v>2859</v>
      </c>
      <c r="K22" s="89" t="s">
        <v>2859</v>
      </c>
      <c r="L22" s="89" t="s">
        <v>2859</v>
      </c>
      <c r="M22" s="89" t="s">
        <v>2859</v>
      </c>
      <c r="N22" s="89" t="s">
        <v>2859</v>
      </c>
      <c r="O22" s="89" t="s">
        <v>2859</v>
      </c>
      <c r="P22" s="89" t="s">
        <v>2859</v>
      </c>
      <c r="Q22" s="89" t="s">
        <v>2859</v>
      </c>
      <c r="R22" s="89" t="s">
        <v>2859</v>
      </c>
      <c r="S22" s="89" t="s">
        <v>2859</v>
      </c>
      <c r="T22" s="89" t="s">
        <v>2859</v>
      </c>
      <c r="U22" s="89" t="s">
        <v>2859</v>
      </c>
      <c r="V22" s="89" t="s">
        <v>2859</v>
      </c>
      <c r="W22" s="89" t="s">
        <v>2859</v>
      </c>
      <c r="X22" s="89" t="s">
        <v>2859</v>
      </c>
      <c r="Y22" s="89" t="s">
        <v>2859</v>
      </c>
      <c r="Z22" s="89" t="s">
        <v>2859</v>
      </c>
      <c r="AA22" s="89" t="s">
        <v>2859</v>
      </c>
      <c r="AB22" s="89" t="s">
        <v>2859</v>
      </c>
      <c r="AC22" s="89" t="s">
        <v>2859</v>
      </c>
      <c r="AD22" s="89" t="s">
        <v>2859</v>
      </c>
      <c r="AE22" s="89" t="s">
        <v>2859</v>
      </c>
      <c r="AF22" s="89" t="s">
        <v>2859</v>
      </c>
      <c r="AG22" s="89" t="s">
        <v>2859</v>
      </c>
      <c r="AH22" s="89" t="s">
        <v>2859</v>
      </c>
      <c r="AI22" s="89" t="s">
        <v>2859</v>
      </c>
      <c r="AJ22" s="89" t="s">
        <v>2859</v>
      </c>
      <c r="AK22" s="89" t="s">
        <v>2859</v>
      </c>
      <c r="AL22" s="89" t="s">
        <v>2859</v>
      </c>
      <c r="AM22" s="89" t="s">
        <v>2859</v>
      </c>
      <c r="AN22" s="89" t="s">
        <v>2859</v>
      </c>
      <c r="AO22" s="89" t="s">
        <v>2859</v>
      </c>
      <c r="AP22" s="89" t="s">
        <v>2859</v>
      </c>
      <c r="AQ22" s="89" t="s">
        <v>2859</v>
      </c>
      <c r="AR22" s="89" t="s">
        <v>2859</v>
      </c>
      <c r="AS22" s="89" t="s">
        <v>2859</v>
      </c>
      <c r="AT22" s="89" t="s">
        <v>2859</v>
      </c>
      <c r="AU22" s="89" t="s">
        <v>2859</v>
      </c>
      <c r="AV22" s="89" t="s">
        <v>2859</v>
      </c>
      <c r="AW22" s="89" t="s">
        <v>2859</v>
      </c>
      <c r="AX22" s="89" t="s">
        <v>2859</v>
      </c>
      <c r="AY22" s="89" t="s">
        <v>2859</v>
      </c>
      <c r="AZ22" s="89" t="s">
        <v>2859</v>
      </c>
      <c r="BA22" s="89" t="s">
        <v>2859</v>
      </c>
      <c r="BB22" s="89" t="s">
        <v>2859</v>
      </c>
      <c r="BC22" s="89" t="s">
        <v>2859</v>
      </c>
      <c r="BD22" s="89" t="s">
        <v>2859</v>
      </c>
      <c r="BE22" s="89" t="s">
        <v>2859</v>
      </c>
      <c r="BF22" s="89" t="s">
        <v>2859</v>
      </c>
      <c r="BG22" s="89" t="s">
        <v>2859</v>
      </c>
      <c r="BH22" s="89" t="s">
        <v>2859</v>
      </c>
      <c r="BI22" s="89" t="s">
        <v>2859</v>
      </c>
      <c r="BJ22" s="89" t="s">
        <v>2859</v>
      </c>
      <c r="BK22" s="89" t="s">
        <v>2859</v>
      </c>
      <c r="BL22" s="89" t="s">
        <v>2859</v>
      </c>
      <c r="BM22" s="89" t="s">
        <v>2859</v>
      </c>
      <c r="BN22" s="89" t="s">
        <v>2859</v>
      </c>
      <c r="BO22" s="89" t="s">
        <v>2859</v>
      </c>
      <c r="BP22" s="89" t="s">
        <v>2859</v>
      </c>
      <c r="BQ22" s="89" t="s">
        <v>3648</v>
      </c>
      <c r="BR22" s="89" t="s">
        <v>2859</v>
      </c>
    </row>
    <row r="23" spans="1:70">
      <c r="A23" s="89" t="s">
        <v>3644</v>
      </c>
      <c r="B23" s="89" t="s">
        <v>2458</v>
      </c>
      <c r="C23" s="89" t="s">
        <v>2457</v>
      </c>
      <c r="D23" s="89" t="s">
        <v>2859</v>
      </c>
      <c r="E23" s="89" t="s">
        <v>2859</v>
      </c>
      <c r="F23" s="89" t="s">
        <v>2859</v>
      </c>
      <c r="G23" s="89" t="s">
        <v>2860</v>
      </c>
      <c r="H23" s="89" t="s">
        <v>2859</v>
      </c>
      <c r="I23" s="89" t="s">
        <v>120</v>
      </c>
      <c r="J23" s="89" t="s">
        <v>2859</v>
      </c>
      <c r="K23" s="89" t="s">
        <v>2859</v>
      </c>
      <c r="L23" s="89" t="s">
        <v>2872</v>
      </c>
      <c r="M23" s="89" t="s">
        <v>2859</v>
      </c>
      <c r="N23" s="89" t="s">
        <v>2859</v>
      </c>
      <c r="O23" s="89" t="s">
        <v>2585</v>
      </c>
      <c r="P23" s="89" t="s">
        <v>2859</v>
      </c>
      <c r="Q23" s="89" t="s">
        <v>2859</v>
      </c>
      <c r="R23" s="89" t="s">
        <v>3649</v>
      </c>
      <c r="S23" s="89" t="s">
        <v>2859</v>
      </c>
      <c r="T23" s="89" t="s">
        <v>2859</v>
      </c>
      <c r="U23" s="89" t="s">
        <v>2859</v>
      </c>
      <c r="V23" s="89" t="s">
        <v>2859</v>
      </c>
      <c r="W23" s="89" t="s">
        <v>2859</v>
      </c>
      <c r="X23" s="89" t="s">
        <v>2859</v>
      </c>
      <c r="Y23" s="89" t="s">
        <v>2859</v>
      </c>
      <c r="Z23" s="89" t="s">
        <v>2859</v>
      </c>
      <c r="AA23" s="89" t="s">
        <v>2859</v>
      </c>
      <c r="AB23" s="89" t="s">
        <v>2859</v>
      </c>
      <c r="AC23" s="89" t="s">
        <v>2859</v>
      </c>
      <c r="AD23" s="89" t="s">
        <v>2859</v>
      </c>
      <c r="AE23" s="89" t="s">
        <v>2859</v>
      </c>
      <c r="AF23" s="89" t="s">
        <v>2859</v>
      </c>
      <c r="AG23" s="89" t="s">
        <v>2859</v>
      </c>
      <c r="AH23" s="89" t="s">
        <v>2859</v>
      </c>
      <c r="AI23" s="89" t="s">
        <v>2859</v>
      </c>
      <c r="AJ23" s="89" t="s">
        <v>2859</v>
      </c>
      <c r="AK23" s="89" t="s">
        <v>2859</v>
      </c>
      <c r="AL23" s="89" t="s">
        <v>2859</v>
      </c>
      <c r="AM23" s="89" t="s">
        <v>2859</v>
      </c>
      <c r="AN23" s="89" t="s">
        <v>2859</v>
      </c>
      <c r="AO23" s="89" t="s">
        <v>2859</v>
      </c>
      <c r="AP23" s="89" t="s">
        <v>2859</v>
      </c>
      <c r="AQ23" s="89" t="s">
        <v>2859</v>
      </c>
      <c r="AR23" s="89" t="s">
        <v>2859</v>
      </c>
      <c r="AS23" s="89" t="s">
        <v>2859</v>
      </c>
      <c r="AT23" s="89" t="s">
        <v>2859</v>
      </c>
      <c r="AU23" s="89" t="s">
        <v>2859</v>
      </c>
      <c r="AV23" s="89" t="s">
        <v>2859</v>
      </c>
      <c r="AW23" s="89" t="s">
        <v>2859</v>
      </c>
      <c r="AX23" s="89" t="s">
        <v>2859</v>
      </c>
      <c r="AY23" s="89" t="s">
        <v>2859</v>
      </c>
      <c r="AZ23" s="89" t="s">
        <v>2859</v>
      </c>
      <c r="BA23" s="89" t="s">
        <v>2859</v>
      </c>
      <c r="BB23" s="89" t="s">
        <v>2859</v>
      </c>
      <c r="BC23" s="89" t="s">
        <v>2859</v>
      </c>
      <c r="BD23" s="89" t="s">
        <v>2859</v>
      </c>
      <c r="BE23" s="89" t="s">
        <v>2859</v>
      </c>
      <c r="BF23" s="89" t="s">
        <v>2859</v>
      </c>
      <c r="BG23" s="89" t="s">
        <v>2859</v>
      </c>
      <c r="BH23" s="89" t="s">
        <v>2859</v>
      </c>
      <c r="BI23" s="89" t="s">
        <v>2859</v>
      </c>
      <c r="BJ23" s="89" t="s">
        <v>2859</v>
      </c>
      <c r="BK23" s="89" t="s">
        <v>2859</v>
      </c>
      <c r="BL23" s="89" t="s">
        <v>2859</v>
      </c>
      <c r="BM23" s="89" t="s">
        <v>2859</v>
      </c>
      <c r="BN23" s="89" t="s">
        <v>2859</v>
      </c>
      <c r="BO23" s="89" t="s">
        <v>2859</v>
      </c>
      <c r="BP23" s="89" t="s">
        <v>2859</v>
      </c>
      <c r="BQ23" s="94" t="s">
        <v>3650</v>
      </c>
      <c r="BR23" s="89" t="s">
        <v>2859</v>
      </c>
    </row>
    <row r="24" spans="1:70">
      <c r="A24" s="89" t="s">
        <v>3644</v>
      </c>
      <c r="B24" s="89" t="s">
        <v>2460</v>
      </c>
      <c r="C24" s="89" t="s">
        <v>2457</v>
      </c>
      <c r="D24" s="89" t="s">
        <v>2859</v>
      </c>
      <c r="E24" s="89" t="s">
        <v>2859</v>
      </c>
      <c r="F24" s="89" t="s">
        <v>2859</v>
      </c>
      <c r="G24" s="89" t="s">
        <v>2860</v>
      </c>
      <c r="H24" s="89" t="s">
        <v>2859</v>
      </c>
      <c r="I24" s="89" t="s">
        <v>120</v>
      </c>
      <c r="J24" s="89" t="s">
        <v>3651</v>
      </c>
      <c r="K24" s="89" t="s">
        <v>2860</v>
      </c>
      <c r="L24" s="89" t="s">
        <v>2891</v>
      </c>
      <c r="M24" s="89" t="s">
        <v>3651</v>
      </c>
      <c r="N24" s="89" t="s">
        <v>2860</v>
      </c>
      <c r="O24" s="89" t="s">
        <v>2859</v>
      </c>
      <c r="P24" s="89" t="s">
        <v>2859</v>
      </c>
      <c r="Q24" s="89" t="s">
        <v>2859</v>
      </c>
      <c r="R24" s="89" t="s">
        <v>2859</v>
      </c>
      <c r="S24" s="89" t="s">
        <v>2859</v>
      </c>
      <c r="T24" s="89" t="s">
        <v>2859</v>
      </c>
      <c r="U24" s="89" t="s">
        <v>2859</v>
      </c>
      <c r="V24" s="89" t="s">
        <v>2859</v>
      </c>
      <c r="W24" s="89" t="s">
        <v>2859</v>
      </c>
      <c r="X24" s="89" t="s">
        <v>2859</v>
      </c>
      <c r="Y24" s="89" t="s">
        <v>2859</v>
      </c>
      <c r="Z24" s="89" t="s">
        <v>2859</v>
      </c>
      <c r="AA24" s="89" t="s">
        <v>2859</v>
      </c>
      <c r="AB24" s="89" t="s">
        <v>2859</v>
      </c>
      <c r="AC24" s="89" t="s">
        <v>2859</v>
      </c>
      <c r="AD24" s="89" t="s">
        <v>2859</v>
      </c>
      <c r="AE24" s="89" t="s">
        <v>2859</v>
      </c>
      <c r="AF24" s="89" t="s">
        <v>2859</v>
      </c>
      <c r="AG24" s="89" t="s">
        <v>2859</v>
      </c>
      <c r="AH24" s="89" t="s">
        <v>2859</v>
      </c>
      <c r="AI24" s="89" t="s">
        <v>2859</v>
      </c>
      <c r="AJ24" s="89" t="s">
        <v>2859</v>
      </c>
      <c r="AK24" s="89" t="s">
        <v>2859</v>
      </c>
      <c r="AL24" s="89" t="s">
        <v>2859</v>
      </c>
      <c r="AM24" s="89" t="s">
        <v>2859</v>
      </c>
      <c r="AN24" s="89" t="s">
        <v>2859</v>
      </c>
      <c r="AO24" s="89" t="s">
        <v>2859</v>
      </c>
      <c r="AP24" s="89" t="s">
        <v>2859</v>
      </c>
      <c r="AQ24" s="89" t="s">
        <v>2859</v>
      </c>
      <c r="AR24" s="89" t="s">
        <v>2859</v>
      </c>
      <c r="AS24" s="89" t="s">
        <v>2859</v>
      </c>
      <c r="AT24" s="89" t="s">
        <v>2859</v>
      </c>
      <c r="AU24" s="89" t="s">
        <v>2859</v>
      </c>
      <c r="AV24" s="89" t="s">
        <v>2859</v>
      </c>
      <c r="AW24" s="89" t="s">
        <v>2859</v>
      </c>
      <c r="AX24" s="89" t="s">
        <v>2859</v>
      </c>
      <c r="AY24" s="89" t="s">
        <v>2859</v>
      </c>
      <c r="AZ24" s="89" t="s">
        <v>2859</v>
      </c>
      <c r="BA24" s="89" t="s">
        <v>2859</v>
      </c>
      <c r="BB24" s="89" t="s">
        <v>2859</v>
      </c>
      <c r="BC24" s="89" t="s">
        <v>2859</v>
      </c>
      <c r="BD24" s="89" t="s">
        <v>2859</v>
      </c>
      <c r="BE24" s="89" t="s">
        <v>2859</v>
      </c>
      <c r="BF24" s="89" t="s">
        <v>2859</v>
      </c>
      <c r="BG24" s="89" t="s">
        <v>2859</v>
      </c>
      <c r="BH24" s="89" t="s">
        <v>2859</v>
      </c>
      <c r="BI24" s="89" t="s">
        <v>2859</v>
      </c>
      <c r="BJ24" s="89" t="s">
        <v>2859</v>
      </c>
      <c r="BK24" s="89" t="s">
        <v>2859</v>
      </c>
      <c r="BL24" s="89" t="s">
        <v>2859</v>
      </c>
      <c r="BM24" s="89" t="s">
        <v>2859</v>
      </c>
      <c r="BN24" s="89" t="s">
        <v>2859</v>
      </c>
      <c r="BO24" s="89" t="s">
        <v>2859</v>
      </c>
      <c r="BP24" s="89" t="s">
        <v>2859</v>
      </c>
      <c r="BQ24" s="89" t="s">
        <v>3652</v>
      </c>
      <c r="BR24" s="89" t="s">
        <v>2859</v>
      </c>
    </row>
    <row r="25" spans="1:70">
      <c r="A25" s="89" t="s">
        <v>3644</v>
      </c>
      <c r="B25" s="89" t="s">
        <v>3653</v>
      </c>
      <c r="C25" s="89" t="s">
        <v>2457</v>
      </c>
      <c r="D25" s="89" t="s">
        <v>2859</v>
      </c>
      <c r="E25" s="89" t="s">
        <v>2859</v>
      </c>
      <c r="F25" s="89" t="s">
        <v>2859</v>
      </c>
      <c r="G25" s="89" t="s">
        <v>2860</v>
      </c>
      <c r="H25" s="89" t="s">
        <v>2859</v>
      </c>
      <c r="I25" s="89" t="s">
        <v>2865</v>
      </c>
      <c r="J25" s="89" t="s">
        <v>2859</v>
      </c>
      <c r="K25" s="89" t="s">
        <v>2859</v>
      </c>
      <c r="L25" s="89" t="s">
        <v>2859</v>
      </c>
      <c r="M25" s="89" t="s">
        <v>2859</v>
      </c>
      <c r="N25" s="89" t="s">
        <v>2859</v>
      </c>
      <c r="O25" s="89" t="s">
        <v>2859</v>
      </c>
      <c r="P25" s="89" t="s">
        <v>2859</v>
      </c>
      <c r="Q25" s="89" t="s">
        <v>2859</v>
      </c>
      <c r="R25" s="89" t="s">
        <v>2859</v>
      </c>
      <c r="S25" s="89" t="s">
        <v>2859</v>
      </c>
      <c r="T25" s="89" t="s">
        <v>2859</v>
      </c>
      <c r="U25" s="89" t="s">
        <v>2859</v>
      </c>
      <c r="V25" s="89" t="s">
        <v>2859</v>
      </c>
      <c r="W25" s="89" t="s">
        <v>2859</v>
      </c>
      <c r="X25" s="89" t="s">
        <v>2859</v>
      </c>
      <c r="Y25" s="89" t="s">
        <v>2859</v>
      </c>
      <c r="Z25" s="89" t="s">
        <v>2859</v>
      </c>
      <c r="AA25" s="89" t="s">
        <v>2859</v>
      </c>
      <c r="AB25" s="89" t="s">
        <v>2859</v>
      </c>
      <c r="AC25" s="89" t="s">
        <v>2859</v>
      </c>
      <c r="AD25" s="89" t="s">
        <v>2859</v>
      </c>
      <c r="AE25" s="89" t="s">
        <v>2859</v>
      </c>
      <c r="AF25" s="89" t="s">
        <v>2859</v>
      </c>
      <c r="AG25" s="89" t="s">
        <v>2859</v>
      </c>
      <c r="AH25" s="89" t="s">
        <v>2859</v>
      </c>
      <c r="AI25" s="89" t="s">
        <v>2859</v>
      </c>
      <c r="AJ25" s="89" t="s">
        <v>2859</v>
      </c>
      <c r="AK25" s="89" t="s">
        <v>2859</v>
      </c>
      <c r="AL25" s="89" t="s">
        <v>2859</v>
      </c>
      <c r="AM25" s="89" t="s">
        <v>2859</v>
      </c>
      <c r="AN25" s="89" t="s">
        <v>2859</v>
      </c>
      <c r="AO25" s="89" t="s">
        <v>2859</v>
      </c>
      <c r="AP25" s="89" t="s">
        <v>2859</v>
      </c>
      <c r="AQ25" s="89" t="s">
        <v>2859</v>
      </c>
      <c r="AR25" s="89" t="s">
        <v>2859</v>
      </c>
      <c r="AS25" s="89" t="s">
        <v>2859</v>
      </c>
      <c r="AT25" s="89" t="s">
        <v>2859</v>
      </c>
      <c r="AU25" s="89" t="s">
        <v>2859</v>
      </c>
      <c r="AV25" s="89" t="s">
        <v>2859</v>
      </c>
      <c r="AW25" s="89" t="s">
        <v>2859</v>
      </c>
      <c r="AX25" s="89" t="s">
        <v>2859</v>
      </c>
      <c r="AY25" s="89" t="s">
        <v>2859</v>
      </c>
      <c r="AZ25" s="89" t="s">
        <v>2859</v>
      </c>
      <c r="BA25" s="89" t="s">
        <v>2859</v>
      </c>
      <c r="BB25" s="89" t="s">
        <v>2859</v>
      </c>
      <c r="BC25" s="89" t="s">
        <v>2859</v>
      </c>
      <c r="BD25" s="89" t="s">
        <v>2859</v>
      </c>
      <c r="BE25" s="89" t="s">
        <v>2859</v>
      </c>
      <c r="BF25" s="89" t="s">
        <v>2859</v>
      </c>
      <c r="BG25" s="89" t="s">
        <v>2859</v>
      </c>
      <c r="BH25" s="89" t="s">
        <v>2859</v>
      </c>
      <c r="BI25" s="89" t="s">
        <v>2859</v>
      </c>
      <c r="BJ25" s="89" t="s">
        <v>2859</v>
      </c>
      <c r="BK25" s="89" t="s">
        <v>2859</v>
      </c>
      <c r="BL25" s="89" t="s">
        <v>2859</v>
      </c>
      <c r="BM25" s="89" t="s">
        <v>2859</v>
      </c>
      <c r="BN25" s="89" t="s">
        <v>2859</v>
      </c>
      <c r="BO25" s="89" t="s">
        <v>2859</v>
      </c>
      <c r="BP25" s="89" t="s">
        <v>2859</v>
      </c>
      <c r="BQ25" s="89" t="s">
        <v>3654</v>
      </c>
      <c r="BR25" s="89" t="s">
        <v>2859</v>
      </c>
    </row>
    <row r="26" spans="1:70">
      <c r="A26" s="89" t="s">
        <v>3644</v>
      </c>
      <c r="B26" s="89" t="s">
        <v>3655</v>
      </c>
      <c r="C26" s="89" t="s">
        <v>2457</v>
      </c>
      <c r="D26" s="89" t="s">
        <v>2859</v>
      </c>
      <c r="E26" s="89" t="s">
        <v>2859</v>
      </c>
      <c r="F26" s="89" t="s">
        <v>2859</v>
      </c>
      <c r="G26" s="89" t="s">
        <v>2860</v>
      </c>
      <c r="H26" s="89" t="s">
        <v>2859</v>
      </c>
      <c r="I26" s="89" t="s">
        <v>2865</v>
      </c>
      <c r="J26" s="89" t="s">
        <v>2859</v>
      </c>
      <c r="K26" s="89" t="s">
        <v>2859</v>
      </c>
      <c r="L26" s="89" t="s">
        <v>2859</v>
      </c>
      <c r="M26" s="89" t="s">
        <v>2859</v>
      </c>
      <c r="N26" s="89" t="s">
        <v>2859</v>
      </c>
      <c r="O26" s="89" t="s">
        <v>2859</v>
      </c>
      <c r="P26" s="89" t="s">
        <v>2859</v>
      </c>
      <c r="Q26" s="89" t="s">
        <v>2859</v>
      </c>
      <c r="R26" s="89" t="s">
        <v>2859</v>
      </c>
      <c r="S26" s="89" t="s">
        <v>2859</v>
      </c>
      <c r="T26" s="89" t="s">
        <v>2859</v>
      </c>
      <c r="U26" s="89" t="s">
        <v>2859</v>
      </c>
      <c r="V26" s="89" t="s">
        <v>2859</v>
      </c>
      <c r="W26" s="89" t="s">
        <v>2859</v>
      </c>
      <c r="X26" s="89" t="s">
        <v>2859</v>
      </c>
      <c r="Y26" s="89" t="s">
        <v>2859</v>
      </c>
      <c r="Z26" s="89" t="s">
        <v>2859</v>
      </c>
      <c r="AA26" s="89" t="s">
        <v>2859</v>
      </c>
      <c r="AB26" s="89" t="s">
        <v>2859</v>
      </c>
      <c r="AC26" s="89" t="s">
        <v>2859</v>
      </c>
      <c r="AD26" s="89" t="s">
        <v>2859</v>
      </c>
      <c r="AE26" s="89" t="s">
        <v>2859</v>
      </c>
      <c r="AF26" s="89" t="s">
        <v>2859</v>
      </c>
      <c r="AG26" s="89" t="s">
        <v>2859</v>
      </c>
      <c r="AH26" s="89" t="s">
        <v>2859</v>
      </c>
      <c r="AI26" s="89" t="s">
        <v>2859</v>
      </c>
      <c r="AJ26" s="89" t="s">
        <v>2859</v>
      </c>
      <c r="AK26" s="89" t="s">
        <v>2859</v>
      </c>
      <c r="AL26" s="89" t="s">
        <v>2859</v>
      </c>
      <c r="AM26" s="89" t="s">
        <v>2859</v>
      </c>
      <c r="AN26" s="89" t="s">
        <v>2859</v>
      </c>
      <c r="AO26" s="89" t="s">
        <v>2859</v>
      </c>
      <c r="AP26" s="89" t="s">
        <v>2859</v>
      </c>
      <c r="AQ26" s="89" t="s">
        <v>2859</v>
      </c>
      <c r="AR26" s="89" t="s">
        <v>2859</v>
      </c>
      <c r="AS26" s="89" t="s">
        <v>2859</v>
      </c>
      <c r="AT26" s="89" t="s">
        <v>2859</v>
      </c>
      <c r="AU26" s="89" t="s">
        <v>2859</v>
      </c>
      <c r="AV26" s="89" t="s">
        <v>2859</v>
      </c>
      <c r="AW26" s="89" t="s">
        <v>2859</v>
      </c>
      <c r="AX26" s="89" t="s">
        <v>2859</v>
      </c>
      <c r="AY26" s="89" t="s">
        <v>2859</v>
      </c>
      <c r="AZ26" s="89" t="s">
        <v>2859</v>
      </c>
      <c r="BA26" s="89" t="s">
        <v>2859</v>
      </c>
      <c r="BB26" s="89" t="s">
        <v>2859</v>
      </c>
      <c r="BC26" s="89" t="s">
        <v>2859</v>
      </c>
      <c r="BD26" s="89" t="s">
        <v>2859</v>
      </c>
      <c r="BE26" s="89" t="s">
        <v>2859</v>
      </c>
      <c r="BF26" s="89" t="s">
        <v>2859</v>
      </c>
      <c r="BG26" s="89" t="s">
        <v>2859</v>
      </c>
      <c r="BH26" s="89" t="s">
        <v>2859</v>
      </c>
      <c r="BI26" s="89" t="s">
        <v>2859</v>
      </c>
      <c r="BJ26" s="89" t="s">
        <v>2859</v>
      </c>
      <c r="BK26" s="89" t="s">
        <v>2859</v>
      </c>
      <c r="BL26" s="89" t="s">
        <v>2859</v>
      </c>
      <c r="BM26" s="89" t="s">
        <v>2859</v>
      </c>
      <c r="BN26" s="89" t="s">
        <v>2859</v>
      </c>
      <c r="BO26" s="89" t="s">
        <v>2859</v>
      </c>
      <c r="BP26" s="89" t="s">
        <v>2859</v>
      </c>
      <c r="BQ26" s="89" t="s">
        <v>3656</v>
      </c>
      <c r="BR26" s="89" t="s">
        <v>2859</v>
      </c>
    </row>
    <row r="27" spans="1:70">
      <c r="A27" s="89" t="s">
        <v>3644</v>
      </c>
      <c r="B27" s="89" t="s">
        <v>2463</v>
      </c>
      <c r="C27" s="89" t="s">
        <v>2457</v>
      </c>
      <c r="D27" s="89" t="s">
        <v>2859</v>
      </c>
      <c r="E27" s="89" t="s">
        <v>2859</v>
      </c>
      <c r="F27" s="89" t="s">
        <v>2859</v>
      </c>
      <c r="G27" s="89" t="s">
        <v>2860</v>
      </c>
      <c r="H27" s="89" t="s">
        <v>2859</v>
      </c>
      <c r="I27" s="89" t="s">
        <v>120</v>
      </c>
      <c r="J27" s="89" t="s">
        <v>2859</v>
      </c>
      <c r="K27" s="89" t="s">
        <v>2859</v>
      </c>
      <c r="L27" s="89" t="s">
        <v>2859</v>
      </c>
      <c r="M27" s="89" t="s">
        <v>2859</v>
      </c>
      <c r="N27" s="89" t="s">
        <v>2859</v>
      </c>
      <c r="O27" s="89" t="s">
        <v>2859</v>
      </c>
      <c r="P27" s="89" t="s">
        <v>2859</v>
      </c>
      <c r="Q27" s="89" t="s">
        <v>2859</v>
      </c>
      <c r="R27" s="89" t="s">
        <v>2859</v>
      </c>
      <c r="S27" s="89" t="s">
        <v>2859</v>
      </c>
      <c r="T27" s="89" t="s">
        <v>2859</v>
      </c>
      <c r="U27" s="89" t="s">
        <v>2859</v>
      </c>
      <c r="V27" s="89" t="s">
        <v>2859</v>
      </c>
      <c r="W27" s="89" t="s">
        <v>2859</v>
      </c>
      <c r="X27" s="89" t="s">
        <v>2859</v>
      </c>
      <c r="Y27" s="89" t="s">
        <v>2859</v>
      </c>
      <c r="Z27" s="89" t="s">
        <v>2859</v>
      </c>
      <c r="AA27" s="89" t="s">
        <v>2859</v>
      </c>
      <c r="AB27" s="89" t="s">
        <v>2859</v>
      </c>
      <c r="AC27" s="89" t="s">
        <v>2859</v>
      </c>
      <c r="AD27" s="89" t="s">
        <v>2859</v>
      </c>
      <c r="AE27" s="89" t="s">
        <v>2859</v>
      </c>
      <c r="AF27" s="89" t="s">
        <v>2859</v>
      </c>
      <c r="AG27" s="89" t="s">
        <v>2859</v>
      </c>
      <c r="AH27" s="89" t="s">
        <v>2859</v>
      </c>
      <c r="AI27" s="89" t="s">
        <v>2859</v>
      </c>
      <c r="AJ27" s="89" t="s">
        <v>2859</v>
      </c>
      <c r="AK27" s="89" t="s">
        <v>2859</v>
      </c>
      <c r="AL27" s="89" t="s">
        <v>2859</v>
      </c>
      <c r="AM27" s="89" t="s">
        <v>2859</v>
      </c>
      <c r="AN27" s="89" t="s">
        <v>2859</v>
      </c>
      <c r="AO27" s="89" t="s">
        <v>2859</v>
      </c>
      <c r="AP27" s="89" t="s">
        <v>2859</v>
      </c>
      <c r="AQ27" s="89" t="s">
        <v>2859</v>
      </c>
      <c r="AR27" s="89" t="s">
        <v>2859</v>
      </c>
      <c r="AS27" s="89" t="s">
        <v>2859</v>
      </c>
      <c r="AT27" s="89" t="s">
        <v>2859</v>
      </c>
      <c r="AU27" s="89" t="s">
        <v>2859</v>
      </c>
      <c r="AV27" s="89" t="s">
        <v>2859</v>
      </c>
      <c r="AW27" s="89" t="s">
        <v>2859</v>
      </c>
      <c r="AX27" s="89" t="s">
        <v>2859</v>
      </c>
      <c r="AY27" s="89" t="s">
        <v>2859</v>
      </c>
      <c r="AZ27" s="89" t="s">
        <v>2859</v>
      </c>
      <c r="BA27" s="89" t="s">
        <v>2859</v>
      </c>
      <c r="BB27" s="89" t="s">
        <v>2859</v>
      </c>
      <c r="BC27" s="89" t="s">
        <v>2859</v>
      </c>
      <c r="BD27" s="89" t="s">
        <v>2859</v>
      </c>
      <c r="BE27" s="89" t="s">
        <v>2859</v>
      </c>
      <c r="BF27" s="89" t="s">
        <v>2859</v>
      </c>
      <c r="BG27" s="89" t="s">
        <v>2859</v>
      </c>
      <c r="BH27" s="89" t="s">
        <v>2859</v>
      </c>
      <c r="BI27" s="89" t="s">
        <v>2859</v>
      </c>
      <c r="BJ27" s="89" t="s">
        <v>2859</v>
      </c>
      <c r="BK27" s="89" t="s">
        <v>2859</v>
      </c>
      <c r="BL27" s="89" t="s">
        <v>2859</v>
      </c>
      <c r="BM27" s="89" t="s">
        <v>2859</v>
      </c>
      <c r="BN27" s="89" t="s">
        <v>2859</v>
      </c>
      <c r="BO27" s="89" t="s">
        <v>2859</v>
      </c>
      <c r="BP27" s="89" t="s">
        <v>2859</v>
      </c>
      <c r="BQ27" s="89" t="s">
        <v>3657</v>
      </c>
      <c r="BR27" s="89" t="s">
        <v>2859</v>
      </c>
    </row>
    <row r="28" spans="1:70">
      <c r="A28" s="89" t="s">
        <v>2161</v>
      </c>
      <c r="B28" s="89" t="s">
        <v>2587</v>
      </c>
      <c r="C28" s="89" t="s">
        <v>2363</v>
      </c>
      <c r="D28" s="89" t="s">
        <v>2859</v>
      </c>
      <c r="E28" s="89" t="s">
        <v>2859</v>
      </c>
      <c r="F28" s="89" t="s">
        <v>2859</v>
      </c>
      <c r="G28" s="89" t="s">
        <v>2860</v>
      </c>
      <c r="H28" s="89" t="s">
        <v>2859</v>
      </c>
      <c r="I28" s="89" t="s">
        <v>1463</v>
      </c>
      <c r="J28" s="89" t="s">
        <v>2859</v>
      </c>
      <c r="K28" s="89" t="s">
        <v>2859</v>
      </c>
      <c r="L28" s="89" t="s">
        <v>2585</v>
      </c>
      <c r="M28" s="89" t="s">
        <v>2859</v>
      </c>
      <c r="N28" s="89" t="s">
        <v>2859</v>
      </c>
      <c r="O28" s="89" t="s">
        <v>2859</v>
      </c>
      <c r="P28" s="89" t="s">
        <v>2859</v>
      </c>
      <c r="Q28" s="89" t="s">
        <v>2859</v>
      </c>
      <c r="R28" s="89" t="s">
        <v>2859</v>
      </c>
      <c r="S28" s="89" t="s">
        <v>2859</v>
      </c>
      <c r="T28" s="89" t="s">
        <v>2859</v>
      </c>
      <c r="U28" s="89" t="s">
        <v>2859</v>
      </c>
      <c r="V28" s="89" t="s">
        <v>2859</v>
      </c>
      <c r="W28" s="89" t="s">
        <v>2859</v>
      </c>
      <c r="X28" s="89" t="s">
        <v>2859</v>
      </c>
      <c r="Y28" s="89" t="s">
        <v>2859</v>
      </c>
      <c r="Z28" s="89" t="s">
        <v>2859</v>
      </c>
      <c r="AA28" s="89" t="s">
        <v>2859</v>
      </c>
      <c r="AB28" s="89" t="s">
        <v>2859</v>
      </c>
      <c r="AC28" s="89" t="s">
        <v>2859</v>
      </c>
      <c r="AD28" s="89" t="s">
        <v>2859</v>
      </c>
      <c r="AE28" s="89" t="s">
        <v>2859</v>
      </c>
      <c r="AF28" s="89" t="s">
        <v>2859</v>
      </c>
      <c r="AG28" s="89" t="s">
        <v>2859</v>
      </c>
      <c r="AH28" s="89" t="s">
        <v>2859</v>
      </c>
      <c r="AI28" s="89" t="s">
        <v>2859</v>
      </c>
      <c r="AJ28" s="89" t="s">
        <v>2859</v>
      </c>
      <c r="AK28" s="89" t="s">
        <v>2859</v>
      </c>
      <c r="AL28" s="89" t="s">
        <v>2859</v>
      </c>
      <c r="AM28" s="89" t="s">
        <v>2859</v>
      </c>
      <c r="AN28" s="89" t="s">
        <v>2859</v>
      </c>
      <c r="AO28" s="89" t="s">
        <v>2859</v>
      </c>
      <c r="AP28" s="89" t="s">
        <v>2859</v>
      </c>
      <c r="AQ28" s="89" t="s">
        <v>2859</v>
      </c>
      <c r="AR28" s="89" t="s">
        <v>2859</v>
      </c>
      <c r="AS28" s="89" t="s">
        <v>2859</v>
      </c>
      <c r="AT28" s="89" t="s">
        <v>2859</v>
      </c>
      <c r="AU28" s="89" t="s">
        <v>2859</v>
      </c>
      <c r="AV28" s="89" t="s">
        <v>2859</v>
      </c>
      <c r="AW28" s="89" t="s">
        <v>2859</v>
      </c>
      <c r="AX28" s="89" t="s">
        <v>2859</v>
      </c>
      <c r="AY28" s="89" t="s">
        <v>2859</v>
      </c>
      <c r="AZ28" s="89" t="s">
        <v>2859</v>
      </c>
      <c r="BA28" s="89" t="s">
        <v>2859</v>
      </c>
      <c r="BB28" s="89" t="s">
        <v>2859</v>
      </c>
      <c r="BC28" s="89" t="s">
        <v>2859</v>
      </c>
      <c r="BD28" s="89" t="s">
        <v>2859</v>
      </c>
      <c r="BE28" s="89" t="s">
        <v>2859</v>
      </c>
      <c r="BF28" s="89" t="s">
        <v>2859</v>
      </c>
      <c r="BG28" s="89" t="s">
        <v>2859</v>
      </c>
      <c r="BH28" s="89" t="s">
        <v>2859</v>
      </c>
      <c r="BI28" s="89" t="s">
        <v>2859</v>
      </c>
      <c r="BJ28" s="89" t="s">
        <v>2859</v>
      </c>
      <c r="BK28" s="89" t="s">
        <v>2859</v>
      </c>
      <c r="BL28" s="89" t="s">
        <v>2859</v>
      </c>
      <c r="BM28" s="89" t="s">
        <v>2859</v>
      </c>
      <c r="BN28" s="89" t="s">
        <v>2859</v>
      </c>
      <c r="BO28" s="89" t="s">
        <v>2859</v>
      </c>
      <c r="BP28" s="89" t="s">
        <v>2859</v>
      </c>
      <c r="BQ28" s="89" t="s">
        <v>3658</v>
      </c>
      <c r="BR28" s="89" t="s">
        <v>2859</v>
      </c>
    </row>
    <row r="29" spans="1:70">
      <c r="A29" s="89" t="s">
        <v>2161</v>
      </c>
      <c r="B29" s="89" t="s">
        <v>3659</v>
      </c>
      <c r="C29" s="89" t="s">
        <v>2363</v>
      </c>
      <c r="D29" s="89" t="s">
        <v>2859</v>
      </c>
      <c r="E29" s="89" t="s">
        <v>2859</v>
      </c>
      <c r="F29" s="89" t="s">
        <v>2859</v>
      </c>
      <c r="G29" s="89" t="s">
        <v>2860</v>
      </c>
      <c r="H29" s="89" t="s">
        <v>2859</v>
      </c>
      <c r="I29" s="89" t="s">
        <v>1463</v>
      </c>
      <c r="J29" s="89" t="s">
        <v>2859</v>
      </c>
      <c r="K29" s="89" t="s">
        <v>2859</v>
      </c>
      <c r="L29" s="89" t="s">
        <v>2859</v>
      </c>
      <c r="M29" s="89" t="s">
        <v>2859</v>
      </c>
      <c r="N29" s="89" t="s">
        <v>2859</v>
      </c>
      <c r="O29" s="89" t="s">
        <v>2859</v>
      </c>
      <c r="P29" s="89" t="s">
        <v>2859</v>
      </c>
      <c r="Q29" s="89" t="s">
        <v>2859</v>
      </c>
      <c r="R29" s="89" t="s">
        <v>2859</v>
      </c>
      <c r="S29" s="89" t="s">
        <v>2859</v>
      </c>
      <c r="T29" s="89" t="s">
        <v>2859</v>
      </c>
      <c r="U29" s="89" t="s">
        <v>2859</v>
      </c>
      <c r="V29" s="89" t="s">
        <v>2859</v>
      </c>
      <c r="W29" s="89" t="s">
        <v>2859</v>
      </c>
      <c r="X29" s="89" t="s">
        <v>2859</v>
      </c>
      <c r="Y29" s="89" t="s">
        <v>2859</v>
      </c>
      <c r="Z29" s="89" t="s">
        <v>2859</v>
      </c>
      <c r="AA29" s="89" t="s">
        <v>2859</v>
      </c>
      <c r="AB29" s="89" t="s">
        <v>2859</v>
      </c>
      <c r="AC29" s="89" t="s">
        <v>2859</v>
      </c>
      <c r="AD29" s="89" t="s">
        <v>2859</v>
      </c>
      <c r="AE29" s="89" t="s">
        <v>2859</v>
      </c>
      <c r="AF29" s="89" t="s">
        <v>2859</v>
      </c>
      <c r="AG29" s="89" t="s">
        <v>2859</v>
      </c>
      <c r="AH29" s="89" t="s">
        <v>2859</v>
      </c>
      <c r="AI29" s="89" t="s">
        <v>2859</v>
      </c>
      <c r="AJ29" s="89" t="s">
        <v>2859</v>
      </c>
      <c r="AK29" s="89" t="s">
        <v>2859</v>
      </c>
      <c r="AL29" s="89" t="s">
        <v>2859</v>
      </c>
      <c r="AM29" s="89" t="s">
        <v>2859</v>
      </c>
      <c r="AN29" s="89" t="s">
        <v>2859</v>
      </c>
      <c r="AO29" s="89" t="s">
        <v>2859</v>
      </c>
      <c r="AP29" s="89" t="s">
        <v>2859</v>
      </c>
      <c r="AQ29" s="89" t="s">
        <v>2859</v>
      </c>
      <c r="AR29" s="89" t="s">
        <v>2859</v>
      </c>
      <c r="AS29" s="89" t="s">
        <v>2859</v>
      </c>
      <c r="AT29" s="89" t="s">
        <v>2859</v>
      </c>
      <c r="AU29" s="89" t="s">
        <v>2859</v>
      </c>
      <c r="AV29" s="89" t="s">
        <v>2859</v>
      </c>
      <c r="AW29" s="89" t="s">
        <v>2859</v>
      </c>
      <c r="AX29" s="89" t="s">
        <v>2859</v>
      </c>
      <c r="AY29" s="89" t="s">
        <v>2859</v>
      </c>
      <c r="AZ29" s="89" t="s">
        <v>2859</v>
      </c>
      <c r="BA29" s="89" t="s">
        <v>2859</v>
      </c>
      <c r="BB29" s="89" t="s">
        <v>2859</v>
      </c>
      <c r="BC29" s="89" t="s">
        <v>2859</v>
      </c>
      <c r="BD29" s="89" t="s">
        <v>2859</v>
      </c>
      <c r="BE29" s="89" t="s">
        <v>2859</v>
      </c>
      <c r="BF29" s="89" t="s">
        <v>2859</v>
      </c>
      <c r="BG29" s="89" t="s">
        <v>2859</v>
      </c>
      <c r="BH29" s="89" t="s">
        <v>2859</v>
      </c>
      <c r="BI29" s="89" t="s">
        <v>2859</v>
      </c>
      <c r="BJ29" s="89" t="s">
        <v>2859</v>
      </c>
      <c r="BK29" s="89" t="s">
        <v>2859</v>
      </c>
      <c r="BL29" s="89" t="s">
        <v>2859</v>
      </c>
      <c r="BM29" s="89" t="s">
        <v>2859</v>
      </c>
      <c r="BN29" s="89" t="s">
        <v>2859</v>
      </c>
      <c r="BO29" s="89" t="s">
        <v>2859</v>
      </c>
      <c r="BP29" s="89" t="s">
        <v>2859</v>
      </c>
      <c r="BQ29" s="89" t="s">
        <v>3660</v>
      </c>
      <c r="BR29" s="89" t="s">
        <v>2859</v>
      </c>
    </row>
    <row r="30" spans="1:70">
      <c r="A30" s="89" t="s">
        <v>2161</v>
      </c>
      <c r="B30" s="89" t="s">
        <v>2465</v>
      </c>
      <c r="C30" s="89" t="s">
        <v>2466</v>
      </c>
      <c r="D30" s="89" t="s">
        <v>2859</v>
      </c>
      <c r="E30" s="89" t="s">
        <v>2859</v>
      </c>
      <c r="F30" s="89" t="s">
        <v>2859</v>
      </c>
      <c r="G30" s="89" t="s">
        <v>2860</v>
      </c>
      <c r="H30" s="89" t="s">
        <v>2859</v>
      </c>
      <c r="I30" s="89" t="s">
        <v>1463</v>
      </c>
      <c r="J30" s="89" t="s">
        <v>2859</v>
      </c>
      <c r="K30" s="89" t="s">
        <v>2859</v>
      </c>
      <c r="L30" s="89" t="s">
        <v>120</v>
      </c>
      <c r="M30" s="89" t="s">
        <v>2859</v>
      </c>
      <c r="N30" s="89" t="s">
        <v>2859</v>
      </c>
      <c r="O30" s="89" t="s">
        <v>2891</v>
      </c>
      <c r="P30" s="89" t="s">
        <v>2859</v>
      </c>
      <c r="Q30" s="89" t="s">
        <v>2859</v>
      </c>
      <c r="R30" s="89" t="s">
        <v>2859</v>
      </c>
      <c r="S30" s="89" t="s">
        <v>2859</v>
      </c>
      <c r="T30" s="89" t="s">
        <v>2859</v>
      </c>
      <c r="U30" s="89" t="s">
        <v>2859</v>
      </c>
      <c r="V30" s="89" t="s">
        <v>2859</v>
      </c>
      <c r="W30" s="89" t="s">
        <v>2859</v>
      </c>
      <c r="X30" s="89" t="s">
        <v>2859</v>
      </c>
      <c r="Y30" s="89" t="s">
        <v>2859</v>
      </c>
      <c r="Z30" s="89" t="s">
        <v>2859</v>
      </c>
      <c r="AA30" s="89" t="s">
        <v>2859</v>
      </c>
      <c r="AB30" s="89" t="s">
        <v>2859</v>
      </c>
      <c r="AC30" s="89" t="s">
        <v>2859</v>
      </c>
      <c r="AD30" s="89" t="s">
        <v>2859</v>
      </c>
      <c r="AE30" s="89" t="s">
        <v>2859</v>
      </c>
      <c r="AF30" s="89" t="s">
        <v>2859</v>
      </c>
      <c r="AG30" s="89" t="s">
        <v>2859</v>
      </c>
      <c r="AH30" s="89" t="s">
        <v>2859</v>
      </c>
      <c r="AI30" s="89" t="s">
        <v>2859</v>
      </c>
      <c r="AJ30" s="89" t="s">
        <v>2859</v>
      </c>
      <c r="AK30" s="89" t="s">
        <v>2859</v>
      </c>
      <c r="AL30" s="89" t="s">
        <v>2859</v>
      </c>
      <c r="AM30" s="89" t="s">
        <v>2859</v>
      </c>
      <c r="AN30" s="89" t="s">
        <v>2859</v>
      </c>
      <c r="AO30" s="89" t="s">
        <v>2859</v>
      </c>
      <c r="AP30" s="89" t="s">
        <v>2859</v>
      </c>
      <c r="AQ30" s="89" t="s">
        <v>2859</v>
      </c>
      <c r="AR30" s="89" t="s">
        <v>2859</v>
      </c>
      <c r="AS30" s="89" t="s">
        <v>2859</v>
      </c>
      <c r="AT30" s="89" t="s">
        <v>2859</v>
      </c>
      <c r="AU30" s="89" t="s">
        <v>2859</v>
      </c>
      <c r="AV30" s="89" t="s">
        <v>2859</v>
      </c>
      <c r="AW30" s="89" t="s">
        <v>2859</v>
      </c>
      <c r="AX30" s="89" t="s">
        <v>2859</v>
      </c>
      <c r="AY30" s="89" t="s">
        <v>2859</v>
      </c>
      <c r="AZ30" s="89" t="s">
        <v>2859</v>
      </c>
      <c r="BA30" s="89" t="s">
        <v>2859</v>
      </c>
      <c r="BB30" s="89" t="s">
        <v>2859</v>
      </c>
      <c r="BC30" s="89" t="s">
        <v>2859</v>
      </c>
      <c r="BD30" s="89" t="s">
        <v>2859</v>
      </c>
      <c r="BE30" s="89" t="s">
        <v>2859</v>
      </c>
      <c r="BF30" s="89" t="s">
        <v>2859</v>
      </c>
      <c r="BG30" s="89" t="s">
        <v>2859</v>
      </c>
      <c r="BH30" s="89" t="s">
        <v>2859</v>
      </c>
      <c r="BI30" s="89" t="s">
        <v>2859</v>
      </c>
      <c r="BJ30" s="89" t="s">
        <v>2859</v>
      </c>
      <c r="BK30" s="89" t="s">
        <v>2859</v>
      </c>
      <c r="BL30" s="89" t="s">
        <v>2859</v>
      </c>
      <c r="BM30" s="89" t="s">
        <v>2859</v>
      </c>
      <c r="BN30" s="89" t="s">
        <v>2859</v>
      </c>
      <c r="BO30" s="89" t="s">
        <v>2859</v>
      </c>
      <c r="BP30" s="89" t="s">
        <v>2859</v>
      </c>
      <c r="BQ30" s="89" t="s">
        <v>3661</v>
      </c>
      <c r="BR30" s="89" t="s">
        <v>2859</v>
      </c>
    </row>
    <row r="31" spans="1:70">
      <c r="A31" s="89" t="s">
        <v>2161</v>
      </c>
      <c r="B31" s="89" t="s">
        <v>2387</v>
      </c>
      <c r="C31" s="89" t="s">
        <v>2859</v>
      </c>
      <c r="D31" s="89" t="s">
        <v>2859</v>
      </c>
      <c r="E31" s="89" t="s">
        <v>2859</v>
      </c>
      <c r="F31" s="89" t="s">
        <v>2859</v>
      </c>
      <c r="G31" s="89" t="s">
        <v>2860</v>
      </c>
      <c r="H31" s="89" t="s">
        <v>2859</v>
      </c>
      <c r="I31" s="89" t="s">
        <v>621</v>
      </c>
      <c r="J31" s="89" t="s">
        <v>2388</v>
      </c>
      <c r="K31" s="89" t="s">
        <v>2860</v>
      </c>
      <c r="L31" s="89" t="s">
        <v>2859</v>
      </c>
      <c r="M31" s="89" t="s">
        <v>2859</v>
      </c>
      <c r="N31" s="89" t="s">
        <v>2859</v>
      </c>
      <c r="O31" s="89" t="s">
        <v>2859</v>
      </c>
      <c r="P31" s="89" t="s">
        <v>2859</v>
      </c>
      <c r="Q31" s="89" t="s">
        <v>2859</v>
      </c>
      <c r="R31" s="89" t="s">
        <v>2859</v>
      </c>
      <c r="S31" s="89" t="s">
        <v>2859</v>
      </c>
      <c r="T31" s="89" t="s">
        <v>2859</v>
      </c>
      <c r="U31" s="89" t="s">
        <v>2859</v>
      </c>
      <c r="V31" s="89" t="s">
        <v>2859</v>
      </c>
      <c r="W31" s="89" t="s">
        <v>2859</v>
      </c>
      <c r="X31" s="89" t="s">
        <v>2859</v>
      </c>
      <c r="Y31" s="89" t="s">
        <v>2859</v>
      </c>
      <c r="Z31" s="89" t="s">
        <v>2859</v>
      </c>
      <c r="AA31" s="89" t="s">
        <v>2859</v>
      </c>
      <c r="AB31" s="89" t="s">
        <v>2859</v>
      </c>
      <c r="AC31" s="89" t="s">
        <v>2859</v>
      </c>
      <c r="AD31" s="89" t="s">
        <v>2859</v>
      </c>
      <c r="AE31" s="89" t="s">
        <v>2859</v>
      </c>
      <c r="AF31" s="89" t="s">
        <v>2859</v>
      </c>
      <c r="AG31" s="89" t="s">
        <v>2859</v>
      </c>
      <c r="AH31" s="89" t="s">
        <v>2859</v>
      </c>
      <c r="AI31" s="89" t="s">
        <v>2859</v>
      </c>
      <c r="AJ31" s="89" t="s">
        <v>2859</v>
      </c>
      <c r="AK31" s="89" t="s">
        <v>2859</v>
      </c>
      <c r="AL31" s="89" t="s">
        <v>2859</v>
      </c>
      <c r="AM31" s="89" t="s">
        <v>2859</v>
      </c>
      <c r="AN31" s="89" t="s">
        <v>2859</v>
      </c>
      <c r="AO31" s="89" t="s">
        <v>2859</v>
      </c>
      <c r="AP31" s="89" t="s">
        <v>2859</v>
      </c>
      <c r="AQ31" s="89" t="s">
        <v>2859</v>
      </c>
      <c r="AR31" s="89" t="s">
        <v>2859</v>
      </c>
      <c r="AS31" s="89" t="s">
        <v>2859</v>
      </c>
      <c r="AT31" s="89" t="s">
        <v>2859</v>
      </c>
      <c r="AU31" s="89" t="s">
        <v>2859</v>
      </c>
      <c r="AV31" s="89" t="s">
        <v>2859</v>
      </c>
      <c r="AW31" s="89" t="s">
        <v>2859</v>
      </c>
      <c r="AX31" s="89" t="s">
        <v>2859</v>
      </c>
      <c r="AY31" s="89" t="s">
        <v>2859</v>
      </c>
      <c r="AZ31" s="89" t="s">
        <v>2859</v>
      </c>
      <c r="BA31" s="89" t="s">
        <v>2859</v>
      </c>
      <c r="BB31" s="89" t="s">
        <v>2859</v>
      </c>
      <c r="BC31" s="89" t="s">
        <v>2859</v>
      </c>
      <c r="BD31" s="89" t="s">
        <v>2859</v>
      </c>
      <c r="BE31" s="89" t="s">
        <v>2859</v>
      </c>
      <c r="BF31" s="89" t="s">
        <v>2859</v>
      </c>
      <c r="BG31" s="89" t="s">
        <v>2859</v>
      </c>
      <c r="BH31" s="89" t="s">
        <v>2859</v>
      </c>
      <c r="BI31" s="89" t="s">
        <v>2859</v>
      </c>
      <c r="BJ31" s="89" t="s">
        <v>2859</v>
      </c>
      <c r="BK31" s="89" t="s">
        <v>2859</v>
      </c>
      <c r="BL31" s="89" t="s">
        <v>2859</v>
      </c>
      <c r="BM31" s="89" t="s">
        <v>2859</v>
      </c>
      <c r="BN31" s="89" t="s">
        <v>2859</v>
      </c>
      <c r="BO31" s="89" t="s">
        <v>2859</v>
      </c>
      <c r="BP31" s="89" t="s">
        <v>2859</v>
      </c>
      <c r="BQ31" s="89" t="s">
        <v>3662</v>
      </c>
      <c r="BR31" s="89" t="s">
        <v>2859</v>
      </c>
    </row>
    <row r="32" spans="1:70">
      <c r="A32" s="89" t="s">
        <v>2161</v>
      </c>
      <c r="B32" s="89" t="s">
        <v>2389</v>
      </c>
      <c r="C32" s="89" t="s">
        <v>2390</v>
      </c>
      <c r="D32" s="89" t="s">
        <v>2859</v>
      </c>
      <c r="E32" s="89" t="s">
        <v>2859</v>
      </c>
      <c r="F32" s="89" t="s">
        <v>2859</v>
      </c>
      <c r="G32" s="89" t="s">
        <v>2860</v>
      </c>
      <c r="H32" s="89" t="s">
        <v>2859</v>
      </c>
      <c r="I32" s="89" t="s">
        <v>621</v>
      </c>
      <c r="J32" s="89" t="s">
        <v>2391</v>
      </c>
      <c r="K32" s="89" t="s">
        <v>2860</v>
      </c>
      <c r="L32" s="89" t="s">
        <v>2859</v>
      </c>
      <c r="M32" s="89" t="s">
        <v>2859</v>
      </c>
      <c r="N32" s="89" t="s">
        <v>2859</v>
      </c>
      <c r="O32" s="89" t="s">
        <v>2859</v>
      </c>
      <c r="P32" s="89" t="s">
        <v>2859</v>
      </c>
      <c r="Q32" s="89" t="s">
        <v>2859</v>
      </c>
      <c r="R32" s="89" t="s">
        <v>2859</v>
      </c>
      <c r="S32" s="89" t="s">
        <v>2859</v>
      </c>
      <c r="T32" s="89" t="s">
        <v>2859</v>
      </c>
      <c r="U32" s="89" t="s">
        <v>2859</v>
      </c>
      <c r="V32" s="89" t="s">
        <v>2859</v>
      </c>
      <c r="W32" s="89" t="s">
        <v>2859</v>
      </c>
      <c r="X32" s="89" t="s">
        <v>2859</v>
      </c>
      <c r="Y32" s="89" t="s">
        <v>2859</v>
      </c>
      <c r="Z32" s="89" t="s">
        <v>2859</v>
      </c>
      <c r="AA32" s="89" t="s">
        <v>2859</v>
      </c>
      <c r="AB32" s="89" t="s">
        <v>2859</v>
      </c>
      <c r="AC32" s="89" t="s">
        <v>2859</v>
      </c>
      <c r="AD32" s="89" t="s">
        <v>2859</v>
      </c>
      <c r="AE32" s="89" t="s">
        <v>2859</v>
      </c>
      <c r="AF32" s="89" t="s">
        <v>2859</v>
      </c>
      <c r="AG32" s="89" t="s">
        <v>2859</v>
      </c>
      <c r="AH32" s="89" t="s">
        <v>2859</v>
      </c>
      <c r="AI32" s="89" t="s">
        <v>2859</v>
      </c>
      <c r="AJ32" s="89" t="s">
        <v>2859</v>
      </c>
      <c r="AK32" s="89" t="s">
        <v>2859</v>
      </c>
      <c r="AL32" s="89" t="s">
        <v>2859</v>
      </c>
      <c r="AM32" s="89" t="s">
        <v>2859</v>
      </c>
      <c r="AN32" s="89" t="s">
        <v>2859</v>
      </c>
      <c r="AO32" s="89" t="s">
        <v>2859</v>
      </c>
      <c r="AP32" s="89" t="s">
        <v>2859</v>
      </c>
      <c r="AQ32" s="89" t="s">
        <v>2859</v>
      </c>
      <c r="AR32" s="89" t="s">
        <v>2859</v>
      </c>
      <c r="AS32" s="89" t="s">
        <v>2859</v>
      </c>
      <c r="AT32" s="89" t="s">
        <v>2859</v>
      </c>
      <c r="AU32" s="89" t="s">
        <v>2859</v>
      </c>
      <c r="AV32" s="89" t="s">
        <v>2859</v>
      </c>
      <c r="AW32" s="89" t="s">
        <v>2859</v>
      </c>
      <c r="AX32" s="89" t="s">
        <v>2859</v>
      </c>
      <c r="AY32" s="89" t="s">
        <v>2859</v>
      </c>
      <c r="AZ32" s="89" t="s">
        <v>2859</v>
      </c>
      <c r="BA32" s="89" t="s">
        <v>2859</v>
      </c>
      <c r="BB32" s="89" t="s">
        <v>2859</v>
      </c>
      <c r="BC32" s="89" t="s">
        <v>2859</v>
      </c>
      <c r="BD32" s="89" t="s">
        <v>2859</v>
      </c>
      <c r="BE32" s="89" t="s">
        <v>2859</v>
      </c>
      <c r="BF32" s="89" t="s">
        <v>2859</v>
      </c>
      <c r="BG32" s="89" t="s">
        <v>2859</v>
      </c>
      <c r="BH32" s="89" t="s">
        <v>2859</v>
      </c>
      <c r="BI32" s="89" t="s">
        <v>2859</v>
      </c>
      <c r="BJ32" s="89" t="s">
        <v>2859</v>
      </c>
      <c r="BK32" s="89" t="s">
        <v>2859</v>
      </c>
      <c r="BL32" s="89" t="s">
        <v>2859</v>
      </c>
      <c r="BM32" s="89" t="s">
        <v>2859</v>
      </c>
      <c r="BN32" s="89" t="s">
        <v>2859</v>
      </c>
      <c r="BO32" s="89" t="s">
        <v>2859</v>
      </c>
      <c r="BP32" s="89" t="s">
        <v>2859</v>
      </c>
      <c r="BQ32" s="89" t="s">
        <v>3663</v>
      </c>
      <c r="BR32" s="89" t="s">
        <v>2859</v>
      </c>
    </row>
    <row r="33" spans="1:70">
      <c r="A33" s="89" t="s">
        <v>2161</v>
      </c>
      <c r="B33" s="89" t="s">
        <v>2468</v>
      </c>
      <c r="C33" s="89" t="s">
        <v>2390</v>
      </c>
      <c r="D33" s="89" t="s">
        <v>2859</v>
      </c>
      <c r="E33" s="89" t="s">
        <v>2859</v>
      </c>
      <c r="F33" s="89" t="s">
        <v>2859</v>
      </c>
      <c r="G33" s="89" t="s">
        <v>2860</v>
      </c>
      <c r="H33" s="89" t="s">
        <v>2859</v>
      </c>
      <c r="I33" s="89" t="s">
        <v>120</v>
      </c>
      <c r="J33" s="89" t="s">
        <v>2859</v>
      </c>
      <c r="K33" s="89" t="s">
        <v>2859</v>
      </c>
      <c r="L33" s="89" t="s">
        <v>2859</v>
      </c>
      <c r="M33" s="89" t="s">
        <v>2859</v>
      </c>
      <c r="N33" s="89" t="s">
        <v>2859</v>
      </c>
      <c r="O33" s="89" t="s">
        <v>2859</v>
      </c>
      <c r="P33" s="89" t="s">
        <v>2859</v>
      </c>
      <c r="Q33" s="89" t="s">
        <v>2859</v>
      </c>
      <c r="R33" s="89" t="s">
        <v>2859</v>
      </c>
      <c r="S33" s="89" t="s">
        <v>2859</v>
      </c>
      <c r="T33" s="89" t="s">
        <v>2859</v>
      </c>
      <c r="U33" s="89" t="s">
        <v>2859</v>
      </c>
      <c r="V33" s="89" t="s">
        <v>2859</v>
      </c>
      <c r="W33" s="89" t="s">
        <v>2859</v>
      </c>
      <c r="X33" s="89" t="s">
        <v>2859</v>
      </c>
      <c r="Y33" s="89" t="s">
        <v>2859</v>
      </c>
      <c r="Z33" s="89" t="s">
        <v>2859</v>
      </c>
      <c r="AA33" s="89" t="s">
        <v>2859</v>
      </c>
      <c r="AB33" s="89" t="s">
        <v>2859</v>
      </c>
      <c r="AC33" s="89" t="s">
        <v>2859</v>
      </c>
      <c r="AD33" s="89" t="s">
        <v>2859</v>
      </c>
      <c r="AE33" s="89" t="s">
        <v>2859</v>
      </c>
      <c r="AF33" s="89" t="s">
        <v>2859</v>
      </c>
      <c r="AG33" s="89" t="s">
        <v>2859</v>
      </c>
      <c r="AH33" s="89" t="s">
        <v>2859</v>
      </c>
      <c r="AI33" s="89" t="s">
        <v>2859</v>
      </c>
      <c r="AJ33" s="89" t="s">
        <v>2859</v>
      </c>
      <c r="AK33" s="89" t="s">
        <v>2859</v>
      </c>
      <c r="AL33" s="89" t="s">
        <v>2859</v>
      </c>
      <c r="AM33" s="89" t="s">
        <v>2859</v>
      </c>
      <c r="AN33" s="89" t="s">
        <v>2859</v>
      </c>
      <c r="AO33" s="89" t="s">
        <v>2859</v>
      </c>
      <c r="AP33" s="89" t="s">
        <v>2859</v>
      </c>
      <c r="AQ33" s="89" t="s">
        <v>2859</v>
      </c>
      <c r="AR33" s="89" t="s">
        <v>2859</v>
      </c>
      <c r="AS33" s="89" t="s">
        <v>2859</v>
      </c>
      <c r="AT33" s="89" t="s">
        <v>2859</v>
      </c>
      <c r="AU33" s="89" t="s">
        <v>2859</v>
      </c>
      <c r="AV33" s="89" t="s">
        <v>2859</v>
      </c>
      <c r="AW33" s="89" t="s">
        <v>2859</v>
      </c>
      <c r="AX33" s="89" t="s">
        <v>2859</v>
      </c>
      <c r="AY33" s="89" t="s">
        <v>2859</v>
      </c>
      <c r="AZ33" s="89" t="s">
        <v>2859</v>
      </c>
      <c r="BA33" s="89" t="s">
        <v>2859</v>
      </c>
      <c r="BB33" s="89" t="s">
        <v>2859</v>
      </c>
      <c r="BC33" s="89" t="s">
        <v>2859</v>
      </c>
      <c r="BD33" s="89" t="s">
        <v>2859</v>
      </c>
      <c r="BE33" s="89" t="s">
        <v>2859</v>
      </c>
      <c r="BF33" s="89" t="s">
        <v>2859</v>
      </c>
      <c r="BG33" s="89" t="s">
        <v>2859</v>
      </c>
      <c r="BH33" s="89" t="s">
        <v>2859</v>
      </c>
      <c r="BI33" s="89" t="s">
        <v>2859</v>
      </c>
      <c r="BJ33" s="89" t="s">
        <v>2859</v>
      </c>
      <c r="BK33" s="89" t="s">
        <v>2859</v>
      </c>
      <c r="BL33" s="89" t="s">
        <v>2859</v>
      </c>
      <c r="BM33" s="89" t="s">
        <v>2859</v>
      </c>
      <c r="BN33" s="89" t="s">
        <v>2859</v>
      </c>
      <c r="BO33" s="89" t="s">
        <v>2859</v>
      </c>
      <c r="BP33" s="89" t="s">
        <v>2859</v>
      </c>
      <c r="BQ33" s="89" t="s">
        <v>3664</v>
      </c>
      <c r="BR33" s="89" t="s">
        <v>2859</v>
      </c>
    </row>
    <row r="34" spans="1:70">
      <c r="A34" s="89" t="s">
        <v>2161</v>
      </c>
      <c r="B34" s="89" t="s">
        <v>2469</v>
      </c>
      <c r="C34" s="89" t="s">
        <v>2466</v>
      </c>
      <c r="D34" s="89" t="s">
        <v>2859</v>
      </c>
      <c r="E34" s="89" t="s">
        <v>2859</v>
      </c>
      <c r="F34" s="89" t="s">
        <v>2859</v>
      </c>
      <c r="G34" s="89" t="s">
        <v>2860</v>
      </c>
      <c r="H34" s="89" t="s">
        <v>2859</v>
      </c>
      <c r="I34" s="89" t="s">
        <v>120</v>
      </c>
      <c r="J34" s="89" t="s">
        <v>2859</v>
      </c>
      <c r="K34" s="89" t="s">
        <v>2859</v>
      </c>
      <c r="L34" s="89" t="s">
        <v>1463</v>
      </c>
      <c r="M34" s="89" t="s">
        <v>2859</v>
      </c>
      <c r="N34" s="89" t="s">
        <v>2859</v>
      </c>
      <c r="O34" s="89" t="s">
        <v>2891</v>
      </c>
      <c r="P34" s="89" t="s">
        <v>2859</v>
      </c>
      <c r="Q34" s="89" t="s">
        <v>2859</v>
      </c>
      <c r="R34" s="89" t="s">
        <v>2893</v>
      </c>
      <c r="S34" s="89" t="s">
        <v>2859</v>
      </c>
      <c r="T34" s="89" t="s">
        <v>2859</v>
      </c>
      <c r="U34" s="89" t="s">
        <v>2859</v>
      </c>
      <c r="V34" s="89" t="s">
        <v>2859</v>
      </c>
      <c r="W34" s="89" t="s">
        <v>2859</v>
      </c>
      <c r="X34" s="89" t="s">
        <v>2859</v>
      </c>
      <c r="Y34" s="89" t="s">
        <v>2859</v>
      </c>
      <c r="Z34" s="89" t="s">
        <v>2859</v>
      </c>
      <c r="AA34" s="89" t="s">
        <v>2859</v>
      </c>
      <c r="AB34" s="89" t="s">
        <v>2859</v>
      </c>
      <c r="AC34" s="89" t="s">
        <v>2859</v>
      </c>
      <c r="AD34" s="89" t="s">
        <v>2859</v>
      </c>
      <c r="AE34" s="89" t="s">
        <v>2859</v>
      </c>
      <c r="AF34" s="89" t="s">
        <v>2859</v>
      </c>
      <c r="AG34" s="89" t="s">
        <v>2859</v>
      </c>
      <c r="AH34" s="89" t="s">
        <v>2859</v>
      </c>
      <c r="AI34" s="89" t="s">
        <v>2859</v>
      </c>
      <c r="AJ34" s="89" t="s">
        <v>2859</v>
      </c>
      <c r="AK34" s="89" t="s">
        <v>2859</v>
      </c>
      <c r="AL34" s="89" t="s">
        <v>2859</v>
      </c>
      <c r="AM34" s="89" t="s">
        <v>2859</v>
      </c>
      <c r="AN34" s="89" t="s">
        <v>2859</v>
      </c>
      <c r="AO34" s="89" t="s">
        <v>2859</v>
      </c>
      <c r="AP34" s="89" t="s">
        <v>2859</v>
      </c>
      <c r="AQ34" s="89" t="s">
        <v>2859</v>
      </c>
      <c r="AR34" s="89" t="s">
        <v>2859</v>
      </c>
      <c r="AS34" s="89" t="s">
        <v>2859</v>
      </c>
      <c r="AT34" s="89" t="s">
        <v>2859</v>
      </c>
      <c r="AU34" s="89" t="s">
        <v>2859</v>
      </c>
      <c r="AV34" s="89" t="s">
        <v>2859</v>
      </c>
      <c r="AW34" s="89" t="s">
        <v>2859</v>
      </c>
      <c r="AX34" s="89" t="s">
        <v>2859</v>
      </c>
      <c r="AY34" s="89" t="s">
        <v>2859</v>
      </c>
      <c r="AZ34" s="89" t="s">
        <v>2859</v>
      </c>
      <c r="BA34" s="89" t="s">
        <v>2859</v>
      </c>
      <c r="BB34" s="89" t="s">
        <v>2859</v>
      </c>
      <c r="BC34" s="89" t="s">
        <v>2859</v>
      </c>
      <c r="BD34" s="89" t="s">
        <v>2859</v>
      </c>
      <c r="BE34" s="89" t="s">
        <v>2859</v>
      </c>
      <c r="BF34" s="89" t="s">
        <v>2859</v>
      </c>
      <c r="BG34" s="89" t="s">
        <v>2859</v>
      </c>
      <c r="BH34" s="89" t="s">
        <v>2859</v>
      </c>
      <c r="BI34" s="89" t="s">
        <v>2859</v>
      </c>
      <c r="BJ34" s="89" t="s">
        <v>2859</v>
      </c>
      <c r="BK34" s="89" t="s">
        <v>2859</v>
      </c>
      <c r="BL34" s="89" t="s">
        <v>2859</v>
      </c>
      <c r="BM34" s="89" t="s">
        <v>2859</v>
      </c>
      <c r="BN34" s="89" t="s">
        <v>2859</v>
      </c>
      <c r="BO34" s="89" t="s">
        <v>2859</v>
      </c>
      <c r="BP34" s="89" t="s">
        <v>2859</v>
      </c>
      <c r="BQ34" s="89" t="s">
        <v>3665</v>
      </c>
      <c r="BR34" s="89" t="s">
        <v>2859</v>
      </c>
    </row>
    <row r="35" spans="1:70">
      <c r="A35" s="89" t="s">
        <v>2161</v>
      </c>
      <c r="B35" s="89" t="s">
        <v>2392</v>
      </c>
      <c r="C35" s="89" t="s">
        <v>2390</v>
      </c>
      <c r="D35" s="89" t="s">
        <v>2859</v>
      </c>
      <c r="E35" s="89" t="s">
        <v>2859</v>
      </c>
      <c r="F35" s="89" t="s">
        <v>2859</v>
      </c>
      <c r="G35" s="89" t="s">
        <v>2860</v>
      </c>
      <c r="H35" s="89" t="s">
        <v>2859</v>
      </c>
      <c r="I35" s="89" t="s">
        <v>120</v>
      </c>
      <c r="J35" s="89" t="s">
        <v>3666</v>
      </c>
      <c r="K35" s="89" t="s">
        <v>2860</v>
      </c>
      <c r="L35" s="89" t="s">
        <v>2585</v>
      </c>
      <c r="M35" s="89" t="s">
        <v>3666</v>
      </c>
      <c r="N35" s="89" t="s">
        <v>2860</v>
      </c>
      <c r="O35" s="89" t="s">
        <v>621</v>
      </c>
      <c r="P35" s="89" t="s">
        <v>3666</v>
      </c>
      <c r="Q35" s="89" t="s">
        <v>2860</v>
      </c>
      <c r="R35" s="89" t="s">
        <v>2859</v>
      </c>
      <c r="S35" s="89" t="s">
        <v>2859</v>
      </c>
      <c r="T35" s="89" t="s">
        <v>2859</v>
      </c>
      <c r="U35" s="89" t="s">
        <v>2859</v>
      </c>
      <c r="V35" s="89" t="s">
        <v>2859</v>
      </c>
      <c r="W35" s="89" t="s">
        <v>2859</v>
      </c>
      <c r="X35" s="89" t="s">
        <v>2859</v>
      </c>
      <c r="Y35" s="89" t="s">
        <v>2859</v>
      </c>
      <c r="Z35" s="89" t="s">
        <v>2859</v>
      </c>
      <c r="AA35" s="89" t="s">
        <v>2859</v>
      </c>
      <c r="AB35" s="89" t="s">
        <v>2859</v>
      </c>
      <c r="AC35" s="89" t="s">
        <v>2859</v>
      </c>
      <c r="AD35" s="89" t="s">
        <v>2859</v>
      </c>
      <c r="AE35" s="89" t="s">
        <v>2859</v>
      </c>
      <c r="AF35" s="89" t="s">
        <v>2859</v>
      </c>
      <c r="AG35" s="89" t="s">
        <v>2859</v>
      </c>
      <c r="AH35" s="89" t="s">
        <v>2859</v>
      </c>
      <c r="AI35" s="89" t="s">
        <v>2859</v>
      </c>
      <c r="AJ35" s="89" t="s">
        <v>2859</v>
      </c>
      <c r="AK35" s="89" t="s">
        <v>2859</v>
      </c>
      <c r="AL35" s="89" t="s">
        <v>2859</v>
      </c>
      <c r="AM35" s="89" t="s">
        <v>2859</v>
      </c>
      <c r="AN35" s="89" t="s">
        <v>2859</v>
      </c>
      <c r="AO35" s="89" t="s">
        <v>2859</v>
      </c>
      <c r="AP35" s="89" t="s">
        <v>2859</v>
      </c>
      <c r="AQ35" s="89" t="s">
        <v>2859</v>
      </c>
      <c r="AR35" s="89" t="s">
        <v>2859</v>
      </c>
      <c r="AS35" s="89" t="s">
        <v>2859</v>
      </c>
      <c r="AT35" s="89" t="s">
        <v>2859</v>
      </c>
      <c r="AU35" s="89" t="s">
        <v>2859</v>
      </c>
      <c r="AV35" s="89" t="s">
        <v>2859</v>
      </c>
      <c r="AW35" s="89" t="s">
        <v>2859</v>
      </c>
      <c r="AX35" s="89" t="s">
        <v>2859</v>
      </c>
      <c r="AY35" s="89" t="s">
        <v>2859</v>
      </c>
      <c r="AZ35" s="89" t="s">
        <v>2859</v>
      </c>
      <c r="BA35" s="89" t="s">
        <v>2859</v>
      </c>
      <c r="BB35" s="89" t="s">
        <v>2859</v>
      </c>
      <c r="BC35" s="89" t="s">
        <v>2859</v>
      </c>
      <c r="BD35" s="89" t="s">
        <v>2859</v>
      </c>
      <c r="BE35" s="89" t="s">
        <v>2859</v>
      </c>
      <c r="BF35" s="89" t="s">
        <v>2859</v>
      </c>
      <c r="BG35" s="89" t="s">
        <v>2859</v>
      </c>
      <c r="BH35" s="89" t="s">
        <v>2859</v>
      </c>
      <c r="BI35" s="89" t="s">
        <v>2859</v>
      </c>
      <c r="BJ35" s="89" t="s">
        <v>2859</v>
      </c>
      <c r="BK35" s="89" t="s">
        <v>2859</v>
      </c>
      <c r="BL35" s="89" t="s">
        <v>2859</v>
      </c>
      <c r="BM35" s="89" t="s">
        <v>2859</v>
      </c>
      <c r="BN35" s="89" t="s">
        <v>2859</v>
      </c>
      <c r="BO35" s="89" t="s">
        <v>2859</v>
      </c>
      <c r="BP35" s="89" t="s">
        <v>2859</v>
      </c>
      <c r="BQ35" s="89" t="s">
        <v>3667</v>
      </c>
      <c r="BR35" s="89" t="s">
        <v>2859</v>
      </c>
    </row>
    <row r="36" spans="1:70">
      <c r="A36" s="89" t="s">
        <v>2161</v>
      </c>
      <c r="B36" s="89" t="s">
        <v>2471</v>
      </c>
      <c r="C36" s="89" t="s">
        <v>2472</v>
      </c>
      <c r="D36" s="89" t="s">
        <v>2859</v>
      </c>
      <c r="E36" s="89" t="s">
        <v>2859</v>
      </c>
      <c r="F36" s="89" t="s">
        <v>2859</v>
      </c>
      <c r="G36" s="89" t="s">
        <v>2860</v>
      </c>
      <c r="H36" s="89" t="s">
        <v>2859</v>
      </c>
      <c r="I36" s="89" t="s">
        <v>120</v>
      </c>
      <c r="J36" s="89" t="s">
        <v>2473</v>
      </c>
      <c r="K36" s="89" t="s">
        <v>2867</v>
      </c>
      <c r="L36" s="89" t="s">
        <v>2859</v>
      </c>
      <c r="M36" s="89" t="s">
        <v>2859</v>
      </c>
      <c r="N36" s="89" t="s">
        <v>2859</v>
      </c>
      <c r="O36" s="89" t="s">
        <v>2859</v>
      </c>
      <c r="P36" s="89" t="s">
        <v>2859</v>
      </c>
      <c r="Q36" s="89" t="s">
        <v>2859</v>
      </c>
      <c r="R36" s="89" t="s">
        <v>2859</v>
      </c>
      <c r="S36" s="89" t="s">
        <v>2859</v>
      </c>
      <c r="T36" s="89" t="s">
        <v>2859</v>
      </c>
      <c r="U36" s="89" t="s">
        <v>2859</v>
      </c>
      <c r="V36" s="89" t="s">
        <v>2859</v>
      </c>
      <c r="W36" s="89" t="s">
        <v>2859</v>
      </c>
      <c r="X36" s="89" t="s">
        <v>2859</v>
      </c>
      <c r="Y36" s="89" t="s">
        <v>2859</v>
      </c>
      <c r="Z36" s="89" t="s">
        <v>2859</v>
      </c>
      <c r="AA36" s="89" t="s">
        <v>2859</v>
      </c>
      <c r="AB36" s="89" t="s">
        <v>2859</v>
      </c>
      <c r="AC36" s="89" t="s">
        <v>2859</v>
      </c>
      <c r="AD36" s="89" t="s">
        <v>2859</v>
      </c>
      <c r="AE36" s="89" t="s">
        <v>2859</v>
      </c>
      <c r="AF36" s="89" t="s">
        <v>2859</v>
      </c>
      <c r="AG36" s="89" t="s">
        <v>2859</v>
      </c>
      <c r="AH36" s="89" t="s">
        <v>2859</v>
      </c>
      <c r="AI36" s="89" t="s">
        <v>2859</v>
      </c>
      <c r="AJ36" s="89" t="s">
        <v>2859</v>
      </c>
      <c r="AK36" s="89" t="s">
        <v>2859</v>
      </c>
      <c r="AL36" s="89" t="s">
        <v>2859</v>
      </c>
      <c r="AM36" s="89" t="s">
        <v>2859</v>
      </c>
      <c r="AN36" s="89" t="s">
        <v>2859</v>
      </c>
      <c r="AO36" s="89" t="s">
        <v>2859</v>
      </c>
      <c r="AP36" s="89" t="s">
        <v>2859</v>
      </c>
      <c r="AQ36" s="89" t="s">
        <v>2859</v>
      </c>
      <c r="AR36" s="89" t="s">
        <v>2859</v>
      </c>
      <c r="AS36" s="89" t="s">
        <v>2859</v>
      </c>
      <c r="AT36" s="89" t="s">
        <v>2859</v>
      </c>
      <c r="AU36" s="89" t="s">
        <v>2859</v>
      </c>
      <c r="AV36" s="89" t="s">
        <v>2859</v>
      </c>
      <c r="AW36" s="89" t="s">
        <v>2859</v>
      </c>
      <c r="AX36" s="89" t="s">
        <v>2859</v>
      </c>
      <c r="AY36" s="89" t="s">
        <v>2859</v>
      </c>
      <c r="AZ36" s="89" t="s">
        <v>2859</v>
      </c>
      <c r="BA36" s="89" t="s">
        <v>2859</v>
      </c>
      <c r="BB36" s="89" t="s">
        <v>2859</v>
      </c>
      <c r="BC36" s="89" t="s">
        <v>2859</v>
      </c>
      <c r="BD36" s="89" t="s">
        <v>2859</v>
      </c>
      <c r="BE36" s="89" t="s">
        <v>2859</v>
      </c>
      <c r="BF36" s="89" t="s">
        <v>2859</v>
      </c>
      <c r="BG36" s="89" t="s">
        <v>2859</v>
      </c>
      <c r="BH36" s="89" t="s">
        <v>2859</v>
      </c>
      <c r="BI36" s="89" t="s">
        <v>2859</v>
      </c>
      <c r="BJ36" s="89" t="s">
        <v>2859</v>
      </c>
      <c r="BK36" s="89" t="s">
        <v>2859</v>
      </c>
      <c r="BL36" s="89" t="s">
        <v>2859</v>
      </c>
      <c r="BM36" s="89" t="s">
        <v>2859</v>
      </c>
      <c r="BN36" s="89" t="s">
        <v>2859</v>
      </c>
      <c r="BO36" s="89" t="s">
        <v>2859</v>
      </c>
      <c r="BP36" s="89" t="s">
        <v>2859</v>
      </c>
      <c r="BQ36" s="89" t="s">
        <v>3668</v>
      </c>
      <c r="BR36" s="89" t="s">
        <v>2869</v>
      </c>
    </row>
    <row r="37" spans="1:70">
      <c r="A37" s="89" t="s">
        <v>2161</v>
      </c>
      <c r="B37" s="89" t="s">
        <v>2474</v>
      </c>
      <c r="C37" s="89" t="s">
        <v>2472</v>
      </c>
      <c r="D37" s="89" t="s">
        <v>2859</v>
      </c>
      <c r="E37" s="89" t="s">
        <v>2859</v>
      </c>
      <c r="F37" s="89" t="s">
        <v>2859</v>
      </c>
      <c r="G37" s="89" t="s">
        <v>2860</v>
      </c>
      <c r="H37" s="89" t="s">
        <v>2859</v>
      </c>
      <c r="I37" s="89" t="s">
        <v>120</v>
      </c>
      <c r="J37" s="89" t="s">
        <v>2859</v>
      </c>
      <c r="K37" s="89" t="s">
        <v>2859</v>
      </c>
      <c r="L37" s="89" t="s">
        <v>2859</v>
      </c>
      <c r="M37" s="89" t="s">
        <v>2859</v>
      </c>
      <c r="N37" s="89" t="s">
        <v>2859</v>
      </c>
      <c r="O37" s="89" t="s">
        <v>2859</v>
      </c>
      <c r="P37" s="89" t="s">
        <v>2859</v>
      </c>
      <c r="Q37" s="89" t="s">
        <v>2859</v>
      </c>
      <c r="R37" s="89" t="s">
        <v>2859</v>
      </c>
      <c r="S37" s="89" t="s">
        <v>2859</v>
      </c>
      <c r="T37" s="89" t="s">
        <v>2859</v>
      </c>
      <c r="U37" s="89" t="s">
        <v>2859</v>
      </c>
      <c r="V37" s="89" t="s">
        <v>2859</v>
      </c>
      <c r="W37" s="89" t="s">
        <v>2859</v>
      </c>
      <c r="X37" s="89" t="s">
        <v>2859</v>
      </c>
      <c r="Y37" s="89" t="s">
        <v>2859</v>
      </c>
      <c r="Z37" s="89" t="s">
        <v>2859</v>
      </c>
      <c r="AA37" s="89" t="s">
        <v>2859</v>
      </c>
      <c r="AB37" s="89" t="s">
        <v>2859</v>
      </c>
      <c r="AC37" s="89" t="s">
        <v>2859</v>
      </c>
      <c r="AD37" s="89" t="s">
        <v>2859</v>
      </c>
      <c r="AE37" s="89" t="s">
        <v>2859</v>
      </c>
      <c r="AF37" s="89" t="s">
        <v>2859</v>
      </c>
      <c r="AG37" s="89" t="s">
        <v>2859</v>
      </c>
      <c r="AH37" s="89" t="s">
        <v>2859</v>
      </c>
      <c r="AI37" s="89" t="s">
        <v>2859</v>
      </c>
      <c r="AJ37" s="89" t="s">
        <v>2859</v>
      </c>
      <c r="AK37" s="89" t="s">
        <v>2859</v>
      </c>
      <c r="AL37" s="89" t="s">
        <v>2859</v>
      </c>
      <c r="AM37" s="89" t="s">
        <v>2859</v>
      </c>
      <c r="AN37" s="89" t="s">
        <v>2859</v>
      </c>
      <c r="AO37" s="89" t="s">
        <v>2859</v>
      </c>
      <c r="AP37" s="89" t="s">
        <v>2859</v>
      </c>
      <c r="AQ37" s="89" t="s">
        <v>2859</v>
      </c>
      <c r="AR37" s="89" t="s">
        <v>2859</v>
      </c>
      <c r="AS37" s="89" t="s">
        <v>2859</v>
      </c>
      <c r="AT37" s="89" t="s">
        <v>2859</v>
      </c>
      <c r="AU37" s="89" t="s">
        <v>2859</v>
      </c>
      <c r="AV37" s="89" t="s">
        <v>2859</v>
      </c>
      <c r="AW37" s="89" t="s">
        <v>2859</v>
      </c>
      <c r="AX37" s="89" t="s">
        <v>2859</v>
      </c>
      <c r="AY37" s="89" t="s">
        <v>2859</v>
      </c>
      <c r="AZ37" s="89" t="s">
        <v>2859</v>
      </c>
      <c r="BA37" s="89" t="s">
        <v>2859</v>
      </c>
      <c r="BB37" s="89" t="s">
        <v>2859</v>
      </c>
      <c r="BC37" s="89" t="s">
        <v>2859</v>
      </c>
      <c r="BD37" s="89" t="s">
        <v>2859</v>
      </c>
      <c r="BE37" s="89" t="s">
        <v>2859</v>
      </c>
      <c r="BF37" s="89" t="s">
        <v>2859</v>
      </c>
      <c r="BG37" s="89" t="s">
        <v>2859</v>
      </c>
      <c r="BH37" s="89" t="s">
        <v>2859</v>
      </c>
      <c r="BI37" s="89" t="s">
        <v>2859</v>
      </c>
      <c r="BJ37" s="89" t="s">
        <v>2859</v>
      </c>
      <c r="BK37" s="89" t="s">
        <v>2859</v>
      </c>
      <c r="BL37" s="89" t="s">
        <v>2859</v>
      </c>
      <c r="BM37" s="89" t="s">
        <v>2859</v>
      </c>
      <c r="BN37" s="89" t="s">
        <v>2859</v>
      </c>
      <c r="BO37" s="89" t="s">
        <v>2859</v>
      </c>
      <c r="BP37" s="89" t="s">
        <v>2859</v>
      </c>
      <c r="BQ37" s="89" t="s">
        <v>3669</v>
      </c>
      <c r="BR37" s="89" t="s">
        <v>2859</v>
      </c>
    </row>
    <row r="38" spans="1:70">
      <c r="A38" s="89" t="s">
        <v>2163</v>
      </c>
      <c r="B38" s="89" t="s">
        <v>2476</v>
      </c>
      <c r="C38" s="89" t="s">
        <v>2477</v>
      </c>
      <c r="D38" s="89" t="s">
        <v>2859</v>
      </c>
      <c r="E38" s="89" t="s">
        <v>2859</v>
      </c>
      <c r="F38" s="89" t="s">
        <v>2859</v>
      </c>
      <c r="G38" s="89" t="s">
        <v>2860</v>
      </c>
      <c r="H38" s="89" t="s">
        <v>2859</v>
      </c>
      <c r="I38" s="89" t="s">
        <v>120</v>
      </c>
      <c r="J38" s="89" t="s">
        <v>2478</v>
      </c>
      <c r="K38" s="89" t="s">
        <v>2860</v>
      </c>
      <c r="L38" s="89" t="s">
        <v>2859</v>
      </c>
      <c r="M38" s="89" t="s">
        <v>2859</v>
      </c>
      <c r="N38" s="89" t="s">
        <v>2859</v>
      </c>
      <c r="O38" s="89" t="s">
        <v>2859</v>
      </c>
      <c r="P38" s="89" t="s">
        <v>2859</v>
      </c>
      <c r="Q38" s="89" t="s">
        <v>2859</v>
      </c>
      <c r="R38" s="89" t="s">
        <v>2859</v>
      </c>
      <c r="S38" s="89" t="s">
        <v>2859</v>
      </c>
      <c r="T38" s="89" t="s">
        <v>2859</v>
      </c>
      <c r="U38" s="89" t="s">
        <v>2859</v>
      </c>
      <c r="V38" s="89" t="s">
        <v>2859</v>
      </c>
      <c r="W38" s="89" t="s">
        <v>2859</v>
      </c>
      <c r="X38" s="89" t="s">
        <v>2859</v>
      </c>
      <c r="Y38" s="89" t="s">
        <v>2859</v>
      </c>
      <c r="Z38" s="89" t="s">
        <v>2859</v>
      </c>
      <c r="AA38" s="89" t="s">
        <v>2859</v>
      </c>
      <c r="AB38" s="89" t="s">
        <v>2859</v>
      </c>
      <c r="AC38" s="89" t="s">
        <v>2859</v>
      </c>
      <c r="AD38" s="89" t="s">
        <v>2859</v>
      </c>
      <c r="AE38" s="89" t="s">
        <v>2859</v>
      </c>
      <c r="AF38" s="89" t="s">
        <v>2859</v>
      </c>
      <c r="AG38" s="89" t="s">
        <v>2859</v>
      </c>
      <c r="AH38" s="89" t="s">
        <v>2859</v>
      </c>
      <c r="AI38" s="89" t="s">
        <v>2859</v>
      </c>
      <c r="AJ38" s="89" t="s">
        <v>2859</v>
      </c>
      <c r="AK38" s="89" t="s">
        <v>2859</v>
      </c>
      <c r="AL38" s="89" t="s">
        <v>2859</v>
      </c>
      <c r="AM38" s="89" t="s">
        <v>2859</v>
      </c>
      <c r="AN38" s="89" t="s">
        <v>2859</v>
      </c>
      <c r="AO38" s="89" t="s">
        <v>2859</v>
      </c>
      <c r="AP38" s="89" t="s">
        <v>2859</v>
      </c>
      <c r="AQ38" s="89" t="s">
        <v>2859</v>
      </c>
      <c r="AR38" s="89" t="s">
        <v>2859</v>
      </c>
      <c r="AS38" s="89" t="s">
        <v>2859</v>
      </c>
      <c r="AT38" s="89" t="s">
        <v>2859</v>
      </c>
      <c r="AU38" s="89" t="s">
        <v>2859</v>
      </c>
      <c r="AV38" s="89" t="s">
        <v>2859</v>
      </c>
      <c r="AW38" s="89" t="s">
        <v>2859</v>
      </c>
      <c r="AX38" s="89" t="s">
        <v>2859</v>
      </c>
      <c r="AY38" s="89" t="s">
        <v>2859</v>
      </c>
      <c r="AZ38" s="89" t="s">
        <v>2859</v>
      </c>
      <c r="BA38" s="89" t="s">
        <v>2859</v>
      </c>
      <c r="BB38" s="89" t="s">
        <v>2859</v>
      </c>
      <c r="BC38" s="89" t="s">
        <v>2859</v>
      </c>
      <c r="BD38" s="89" t="s">
        <v>2859</v>
      </c>
      <c r="BE38" s="89" t="s">
        <v>2859</v>
      </c>
      <c r="BF38" s="89" t="s">
        <v>2859</v>
      </c>
      <c r="BG38" s="89" t="s">
        <v>2859</v>
      </c>
      <c r="BH38" s="89" t="s">
        <v>2859</v>
      </c>
      <c r="BI38" s="89" t="s">
        <v>2859</v>
      </c>
      <c r="BJ38" s="89" t="s">
        <v>2859</v>
      </c>
      <c r="BK38" s="89" t="s">
        <v>2859</v>
      </c>
      <c r="BL38" s="89" t="s">
        <v>2859</v>
      </c>
      <c r="BM38" s="89" t="s">
        <v>2859</v>
      </c>
      <c r="BN38" s="89" t="s">
        <v>2859</v>
      </c>
      <c r="BO38" s="89" t="s">
        <v>2859</v>
      </c>
      <c r="BP38" s="89" t="s">
        <v>2859</v>
      </c>
      <c r="BQ38" s="89" t="s">
        <v>3670</v>
      </c>
      <c r="BR38" s="89" t="s">
        <v>2859</v>
      </c>
    </row>
    <row r="39" spans="1:70">
      <c r="A39" s="89" t="s">
        <v>2163</v>
      </c>
      <c r="B39" s="89" t="s">
        <v>2333</v>
      </c>
      <c r="C39" s="89" t="s">
        <v>2334</v>
      </c>
      <c r="D39" s="89" t="s">
        <v>2859</v>
      </c>
      <c r="E39" s="89" t="s">
        <v>2859</v>
      </c>
      <c r="F39" s="89" t="s">
        <v>2859</v>
      </c>
      <c r="G39" s="89" t="s">
        <v>2860</v>
      </c>
      <c r="H39" s="89" t="s">
        <v>2859</v>
      </c>
      <c r="I39" s="89" t="s">
        <v>2329</v>
      </c>
      <c r="J39" s="89" t="s">
        <v>2859</v>
      </c>
      <c r="K39" s="89" t="s">
        <v>2859</v>
      </c>
      <c r="L39" s="89" t="s">
        <v>2979</v>
      </c>
      <c r="M39" s="89" t="s">
        <v>2859</v>
      </c>
      <c r="N39" s="89" t="s">
        <v>2859</v>
      </c>
      <c r="O39" s="89" t="s">
        <v>2859</v>
      </c>
      <c r="P39" s="89" t="s">
        <v>2859</v>
      </c>
      <c r="Q39" s="89" t="s">
        <v>2859</v>
      </c>
      <c r="R39" s="89" t="s">
        <v>2859</v>
      </c>
      <c r="S39" s="89" t="s">
        <v>2859</v>
      </c>
      <c r="T39" s="89" t="s">
        <v>2859</v>
      </c>
      <c r="U39" s="89" t="s">
        <v>2859</v>
      </c>
      <c r="V39" s="89" t="s">
        <v>2859</v>
      </c>
      <c r="W39" s="89" t="s">
        <v>2859</v>
      </c>
      <c r="X39" s="89" t="s">
        <v>2859</v>
      </c>
      <c r="Y39" s="89" t="s">
        <v>2859</v>
      </c>
      <c r="Z39" s="89" t="s">
        <v>2859</v>
      </c>
      <c r="AA39" s="89" t="s">
        <v>2859</v>
      </c>
      <c r="AB39" s="89" t="s">
        <v>2859</v>
      </c>
      <c r="AC39" s="89" t="s">
        <v>2859</v>
      </c>
      <c r="AD39" s="89" t="s">
        <v>2859</v>
      </c>
      <c r="AE39" s="89" t="s">
        <v>2859</v>
      </c>
      <c r="AF39" s="89" t="s">
        <v>2859</v>
      </c>
      <c r="AG39" s="89" t="s">
        <v>2859</v>
      </c>
      <c r="AH39" s="89" t="s">
        <v>2859</v>
      </c>
      <c r="AI39" s="89" t="s">
        <v>2859</v>
      </c>
      <c r="AJ39" s="89" t="s">
        <v>2859</v>
      </c>
      <c r="AK39" s="89" t="s">
        <v>2859</v>
      </c>
      <c r="AL39" s="89" t="s">
        <v>2859</v>
      </c>
      <c r="AM39" s="89" t="s">
        <v>2859</v>
      </c>
      <c r="AN39" s="89" t="s">
        <v>2859</v>
      </c>
      <c r="AO39" s="89" t="s">
        <v>2859</v>
      </c>
      <c r="AP39" s="89" t="s">
        <v>2859</v>
      </c>
      <c r="AQ39" s="89" t="s">
        <v>2859</v>
      </c>
      <c r="AR39" s="89" t="s">
        <v>2859</v>
      </c>
      <c r="AS39" s="89" t="s">
        <v>2859</v>
      </c>
      <c r="AT39" s="89" t="s">
        <v>2859</v>
      </c>
      <c r="AU39" s="89" t="s">
        <v>2859</v>
      </c>
      <c r="AV39" s="89" t="s">
        <v>2859</v>
      </c>
      <c r="AW39" s="89" t="s">
        <v>2859</v>
      </c>
      <c r="AX39" s="89" t="s">
        <v>2859</v>
      </c>
      <c r="AY39" s="89" t="s">
        <v>2859</v>
      </c>
      <c r="AZ39" s="89" t="s">
        <v>2859</v>
      </c>
      <c r="BA39" s="89" t="s">
        <v>2859</v>
      </c>
      <c r="BB39" s="89" t="s">
        <v>2859</v>
      </c>
      <c r="BC39" s="89" t="s">
        <v>2859</v>
      </c>
      <c r="BD39" s="89" t="s">
        <v>2859</v>
      </c>
      <c r="BE39" s="89" t="s">
        <v>2859</v>
      </c>
      <c r="BF39" s="89" t="s">
        <v>2859</v>
      </c>
      <c r="BG39" s="89" t="s">
        <v>2859</v>
      </c>
      <c r="BH39" s="89" t="s">
        <v>2859</v>
      </c>
      <c r="BI39" s="89" t="s">
        <v>2859</v>
      </c>
      <c r="BJ39" s="89" t="s">
        <v>2859</v>
      </c>
      <c r="BK39" s="89" t="s">
        <v>2859</v>
      </c>
      <c r="BL39" s="89" t="s">
        <v>2859</v>
      </c>
      <c r="BM39" s="89" t="s">
        <v>2859</v>
      </c>
      <c r="BN39" s="89" t="s">
        <v>2859</v>
      </c>
      <c r="BO39" s="89" t="s">
        <v>2859</v>
      </c>
      <c r="BP39" s="89" t="s">
        <v>2859</v>
      </c>
      <c r="BQ39" s="89" t="s">
        <v>3671</v>
      </c>
      <c r="BR39" s="89" t="s">
        <v>2859</v>
      </c>
    </row>
    <row r="40" spans="1:70">
      <c r="A40" s="89" t="s">
        <v>2163</v>
      </c>
      <c r="B40" s="89" t="s">
        <v>2336</v>
      </c>
      <c r="C40" s="89" t="s">
        <v>2334</v>
      </c>
      <c r="D40" s="89" t="s">
        <v>2859</v>
      </c>
      <c r="E40" s="89" t="s">
        <v>2859</v>
      </c>
      <c r="F40" s="89" t="s">
        <v>2859</v>
      </c>
      <c r="G40" s="89" t="s">
        <v>2860</v>
      </c>
      <c r="H40" s="89" t="s">
        <v>2859</v>
      </c>
      <c r="I40" s="89" t="s">
        <v>2329</v>
      </c>
      <c r="J40" s="89" t="s">
        <v>2859</v>
      </c>
      <c r="K40" s="89" t="s">
        <v>2859</v>
      </c>
      <c r="L40" s="89" t="s">
        <v>2859</v>
      </c>
      <c r="M40" s="89" t="s">
        <v>2859</v>
      </c>
      <c r="N40" s="89" t="s">
        <v>2859</v>
      </c>
      <c r="O40" s="89" t="s">
        <v>2859</v>
      </c>
      <c r="P40" s="89" t="s">
        <v>2859</v>
      </c>
      <c r="Q40" s="89" t="s">
        <v>2859</v>
      </c>
      <c r="R40" s="89" t="s">
        <v>2859</v>
      </c>
      <c r="S40" s="89" t="s">
        <v>2859</v>
      </c>
      <c r="T40" s="89" t="s">
        <v>2859</v>
      </c>
      <c r="U40" s="89" t="s">
        <v>2859</v>
      </c>
      <c r="V40" s="89" t="s">
        <v>2859</v>
      </c>
      <c r="W40" s="89" t="s">
        <v>2859</v>
      </c>
      <c r="X40" s="89" t="s">
        <v>2859</v>
      </c>
      <c r="Y40" s="89" t="s">
        <v>2859</v>
      </c>
      <c r="Z40" s="89" t="s">
        <v>2859</v>
      </c>
      <c r="AA40" s="89" t="s">
        <v>2859</v>
      </c>
      <c r="AB40" s="89" t="s">
        <v>2859</v>
      </c>
      <c r="AC40" s="89" t="s">
        <v>2859</v>
      </c>
      <c r="AD40" s="89" t="s">
        <v>2859</v>
      </c>
      <c r="AE40" s="89" t="s">
        <v>2859</v>
      </c>
      <c r="AF40" s="89" t="s">
        <v>2859</v>
      </c>
      <c r="AG40" s="89" t="s">
        <v>2859</v>
      </c>
      <c r="AH40" s="89" t="s">
        <v>2859</v>
      </c>
      <c r="AI40" s="89" t="s">
        <v>2859</v>
      </c>
      <c r="AJ40" s="89" t="s">
        <v>2859</v>
      </c>
      <c r="AK40" s="89" t="s">
        <v>2859</v>
      </c>
      <c r="AL40" s="89" t="s">
        <v>2859</v>
      </c>
      <c r="AM40" s="89" t="s">
        <v>2859</v>
      </c>
      <c r="AN40" s="89" t="s">
        <v>2859</v>
      </c>
      <c r="AO40" s="89" t="s">
        <v>2859</v>
      </c>
      <c r="AP40" s="89" t="s">
        <v>2859</v>
      </c>
      <c r="AQ40" s="89" t="s">
        <v>2859</v>
      </c>
      <c r="AR40" s="89" t="s">
        <v>2859</v>
      </c>
      <c r="AS40" s="89" t="s">
        <v>2859</v>
      </c>
      <c r="AT40" s="89" t="s">
        <v>2859</v>
      </c>
      <c r="AU40" s="89" t="s">
        <v>2859</v>
      </c>
      <c r="AV40" s="89" t="s">
        <v>2859</v>
      </c>
      <c r="AW40" s="89" t="s">
        <v>2859</v>
      </c>
      <c r="AX40" s="89" t="s">
        <v>2859</v>
      </c>
      <c r="AY40" s="89" t="s">
        <v>2859</v>
      </c>
      <c r="AZ40" s="89" t="s">
        <v>2859</v>
      </c>
      <c r="BA40" s="89" t="s">
        <v>2859</v>
      </c>
      <c r="BB40" s="89" t="s">
        <v>2859</v>
      </c>
      <c r="BC40" s="89" t="s">
        <v>2859</v>
      </c>
      <c r="BD40" s="89" t="s">
        <v>2859</v>
      </c>
      <c r="BE40" s="89" t="s">
        <v>2859</v>
      </c>
      <c r="BF40" s="89" t="s">
        <v>2859</v>
      </c>
      <c r="BG40" s="89" t="s">
        <v>2859</v>
      </c>
      <c r="BH40" s="89" t="s">
        <v>2859</v>
      </c>
      <c r="BI40" s="89" t="s">
        <v>2859</v>
      </c>
      <c r="BJ40" s="89" t="s">
        <v>2859</v>
      </c>
      <c r="BK40" s="89" t="s">
        <v>2859</v>
      </c>
      <c r="BL40" s="89" t="s">
        <v>2859</v>
      </c>
      <c r="BM40" s="89" t="s">
        <v>2859</v>
      </c>
      <c r="BN40" s="89" t="s">
        <v>2859</v>
      </c>
      <c r="BO40" s="89" t="s">
        <v>2859</v>
      </c>
      <c r="BP40" s="89" t="s">
        <v>2859</v>
      </c>
      <c r="BQ40" s="89" t="s">
        <v>3672</v>
      </c>
      <c r="BR40" s="89" t="s">
        <v>2859</v>
      </c>
    </row>
    <row r="41" spans="1:70">
      <c r="A41" s="89" t="s">
        <v>2163</v>
      </c>
      <c r="B41" s="89" t="s">
        <v>2337</v>
      </c>
      <c r="C41" s="89" t="s">
        <v>2334</v>
      </c>
      <c r="D41" s="89" t="s">
        <v>2859</v>
      </c>
      <c r="E41" s="89" t="s">
        <v>2859</v>
      </c>
      <c r="F41" s="89" t="s">
        <v>2859</v>
      </c>
      <c r="G41" s="89" t="s">
        <v>2860</v>
      </c>
      <c r="H41" s="89" t="s">
        <v>2859</v>
      </c>
      <c r="I41" s="89" t="s">
        <v>2329</v>
      </c>
      <c r="J41" s="89" t="s">
        <v>2859</v>
      </c>
      <c r="K41" s="89" t="s">
        <v>2859</v>
      </c>
      <c r="L41" s="89" t="s">
        <v>2859</v>
      </c>
      <c r="M41" s="89" t="s">
        <v>2859</v>
      </c>
      <c r="N41" s="89" t="s">
        <v>2859</v>
      </c>
      <c r="O41" s="89" t="s">
        <v>2859</v>
      </c>
      <c r="P41" s="89" t="s">
        <v>2859</v>
      </c>
      <c r="Q41" s="89" t="s">
        <v>2859</v>
      </c>
      <c r="R41" s="89" t="s">
        <v>2859</v>
      </c>
      <c r="S41" s="89" t="s">
        <v>2859</v>
      </c>
      <c r="T41" s="89" t="s">
        <v>2859</v>
      </c>
      <c r="U41" s="89" t="s">
        <v>2859</v>
      </c>
      <c r="V41" s="89" t="s">
        <v>2859</v>
      </c>
      <c r="W41" s="89" t="s">
        <v>2859</v>
      </c>
      <c r="X41" s="89" t="s">
        <v>2859</v>
      </c>
      <c r="Y41" s="89" t="s">
        <v>2859</v>
      </c>
      <c r="Z41" s="89" t="s">
        <v>2859</v>
      </c>
      <c r="AA41" s="89" t="s">
        <v>2859</v>
      </c>
      <c r="AB41" s="89" t="s">
        <v>2859</v>
      </c>
      <c r="AC41" s="89" t="s">
        <v>2859</v>
      </c>
      <c r="AD41" s="89" t="s">
        <v>2859</v>
      </c>
      <c r="AE41" s="89" t="s">
        <v>2859</v>
      </c>
      <c r="AF41" s="89" t="s">
        <v>2859</v>
      </c>
      <c r="AG41" s="89" t="s">
        <v>2859</v>
      </c>
      <c r="AH41" s="89" t="s">
        <v>2859</v>
      </c>
      <c r="AI41" s="89" t="s">
        <v>2859</v>
      </c>
      <c r="AJ41" s="89" t="s">
        <v>2859</v>
      </c>
      <c r="AK41" s="89" t="s">
        <v>2859</v>
      </c>
      <c r="AL41" s="89" t="s">
        <v>2859</v>
      </c>
      <c r="AM41" s="89" t="s">
        <v>2859</v>
      </c>
      <c r="AN41" s="89" t="s">
        <v>2859</v>
      </c>
      <c r="AO41" s="89" t="s">
        <v>2859</v>
      </c>
      <c r="AP41" s="89" t="s">
        <v>2859</v>
      </c>
      <c r="AQ41" s="89" t="s">
        <v>2859</v>
      </c>
      <c r="AR41" s="89" t="s">
        <v>2859</v>
      </c>
      <c r="AS41" s="89" t="s">
        <v>2859</v>
      </c>
      <c r="AT41" s="89" t="s">
        <v>2859</v>
      </c>
      <c r="AU41" s="89" t="s">
        <v>2859</v>
      </c>
      <c r="AV41" s="89" t="s">
        <v>2859</v>
      </c>
      <c r="AW41" s="89" t="s">
        <v>2859</v>
      </c>
      <c r="AX41" s="89" t="s">
        <v>2859</v>
      </c>
      <c r="AY41" s="89" t="s">
        <v>2859</v>
      </c>
      <c r="AZ41" s="89" t="s">
        <v>2859</v>
      </c>
      <c r="BA41" s="89" t="s">
        <v>2859</v>
      </c>
      <c r="BB41" s="89" t="s">
        <v>2859</v>
      </c>
      <c r="BC41" s="89" t="s">
        <v>2859</v>
      </c>
      <c r="BD41" s="89" t="s">
        <v>2859</v>
      </c>
      <c r="BE41" s="89" t="s">
        <v>2859</v>
      </c>
      <c r="BF41" s="89" t="s">
        <v>2859</v>
      </c>
      <c r="BG41" s="89" t="s">
        <v>2859</v>
      </c>
      <c r="BH41" s="89" t="s">
        <v>2859</v>
      </c>
      <c r="BI41" s="89" t="s">
        <v>2859</v>
      </c>
      <c r="BJ41" s="89" t="s">
        <v>2859</v>
      </c>
      <c r="BK41" s="89" t="s">
        <v>2859</v>
      </c>
      <c r="BL41" s="89" t="s">
        <v>2859</v>
      </c>
      <c r="BM41" s="89" t="s">
        <v>2859</v>
      </c>
      <c r="BN41" s="89" t="s">
        <v>2859</v>
      </c>
      <c r="BO41" s="89" t="s">
        <v>2859</v>
      </c>
      <c r="BP41" s="89" t="s">
        <v>2859</v>
      </c>
      <c r="BQ41" s="89" t="s">
        <v>3673</v>
      </c>
      <c r="BR41" s="89" t="s">
        <v>2859</v>
      </c>
    </row>
    <row r="42" spans="1:70">
      <c r="A42" s="89" t="s">
        <v>2163</v>
      </c>
      <c r="B42" s="89" t="s">
        <v>2338</v>
      </c>
      <c r="C42" s="89" t="s">
        <v>2339</v>
      </c>
      <c r="D42" s="89" t="s">
        <v>2859</v>
      </c>
      <c r="E42" s="89" t="s">
        <v>2859</v>
      </c>
      <c r="F42" s="89" t="s">
        <v>2859</v>
      </c>
      <c r="G42" s="89" t="s">
        <v>2860</v>
      </c>
      <c r="H42" s="89" t="s">
        <v>2859</v>
      </c>
      <c r="I42" s="89" t="s">
        <v>2329</v>
      </c>
      <c r="J42" s="89" t="s">
        <v>2859</v>
      </c>
      <c r="K42" s="89" t="s">
        <v>2859</v>
      </c>
      <c r="L42" s="89" t="s">
        <v>2859</v>
      </c>
      <c r="M42" s="89" t="s">
        <v>2859</v>
      </c>
      <c r="N42" s="89" t="s">
        <v>2859</v>
      </c>
      <c r="O42" s="89" t="s">
        <v>2859</v>
      </c>
      <c r="P42" s="89" t="s">
        <v>2859</v>
      </c>
      <c r="Q42" s="89" t="s">
        <v>2859</v>
      </c>
      <c r="R42" s="89" t="s">
        <v>2859</v>
      </c>
      <c r="S42" s="89" t="s">
        <v>2859</v>
      </c>
      <c r="T42" s="89" t="s">
        <v>2859</v>
      </c>
      <c r="U42" s="89" t="s">
        <v>2859</v>
      </c>
      <c r="V42" s="89" t="s">
        <v>2859</v>
      </c>
      <c r="W42" s="89" t="s">
        <v>2859</v>
      </c>
      <c r="X42" s="89" t="s">
        <v>2859</v>
      </c>
      <c r="Y42" s="89" t="s">
        <v>2859</v>
      </c>
      <c r="Z42" s="89" t="s">
        <v>2859</v>
      </c>
      <c r="AA42" s="89" t="s">
        <v>2859</v>
      </c>
      <c r="AB42" s="89" t="s">
        <v>2859</v>
      </c>
      <c r="AC42" s="89" t="s">
        <v>2859</v>
      </c>
      <c r="AD42" s="89" t="s">
        <v>2859</v>
      </c>
      <c r="AE42" s="89" t="s">
        <v>2859</v>
      </c>
      <c r="AF42" s="89" t="s">
        <v>2859</v>
      </c>
      <c r="AG42" s="89" t="s">
        <v>2859</v>
      </c>
      <c r="AH42" s="89" t="s">
        <v>2859</v>
      </c>
      <c r="AI42" s="89" t="s">
        <v>2859</v>
      </c>
      <c r="AJ42" s="89" t="s">
        <v>2859</v>
      </c>
      <c r="AK42" s="89" t="s">
        <v>2859</v>
      </c>
      <c r="AL42" s="89" t="s">
        <v>2859</v>
      </c>
      <c r="AM42" s="89" t="s">
        <v>2859</v>
      </c>
      <c r="AN42" s="89" t="s">
        <v>2859</v>
      </c>
      <c r="AO42" s="89" t="s">
        <v>2859</v>
      </c>
      <c r="AP42" s="89" t="s">
        <v>2859</v>
      </c>
      <c r="AQ42" s="89" t="s">
        <v>2859</v>
      </c>
      <c r="AR42" s="89" t="s">
        <v>2859</v>
      </c>
      <c r="AS42" s="89" t="s">
        <v>2859</v>
      </c>
      <c r="AT42" s="89" t="s">
        <v>2859</v>
      </c>
      <c r="AU42" s="89" t="s">
        <v>2859</v>
      </c>
      <c r="AV42" s="89" t="s">
        <v>2859</v>
      </c>
      <c r="AW42" s="89" t="s">
        <v>2859</v>
      </c>
      <c r="AX42" s="89" t="s">
        <v>2859</v>
      </c>
      <c r="AY42" s="89" t="s">
        <v>2859</v>
      </c>
      <c r="AZ42" s="89" t="s">
        <v>2859</v>
      </c>
      <c r="BA42" s="89" t="s">
        <v>2859</v>
      </c>
      <c r="BB42" s="89" t="s">
        <v>2859</v>
      </c>
      <c r="BC42" s="89" t="s">
        <v>2859</v>
      </c>
      <c r="BD42" s="89" t="s">
        <v>2859</v>
      </c>
      <c r="BE42" s="89" t="s">
        <v>2859</v>
      </c>
      <c r="BF42" s="89" t="s">
        <v>2859</v>
      </c>
      <c r="BG42" s="89" t="s">
        <v>2859</v>
      </c>
      <c r="BH42" s="89" t="s">
        <v>2859</v>
      </c>
      <c r="BI42" s="89" t="s">
        <v>2859</v>
      </c>
      <c r="BJ42" s="89" t="s">
        <v>2859</v>
      </c>
      <c r="BK42" s="89" t="s">
        <v>2859</v>
      </c>
      <c r="BL42" s="89" t="s">
        <v>2859</v>
      </c>
      <c r="BM42" s="89" t="s">
        <v>2859</v>
      </c>
      <c r="BN42" s="89" t="s">
        <v>2859</v>
      </c>
      <c r="BO42" s="89" t="s">
        <v>2859</v>
      </c>
      <c r="BP42" s="89" t="s">
        <v>2859</v>
      </c>
      <c r="BQ42" s="89" t="s">
        <v>3674</v>
      </c>
      <c r="BR42" s="89" t="s">
        <v>2859</v>
      </c>
    </row>
    <row r="43" spans="1:70">
      <c r="A43" s="89" t="s">
        <v>2163</v>
      </c>
      <c r="B43" s="89" t="s">
        <v>2340</v>
      </c>
      <c r="C43" s="89" t="s">
        <v>2859</v>
      </c>
      <c r="D43" s="89" t="s">
        <v>2859</v>
      </c>
      <c r="E43" s="89" t="s">
        <v>2859</v>
      </c>
      <c r="F43" s="89" t="s">
        <v>2859</v>
      </c>
      <c r="G43" s="89" t="s">
        <v>2860</v>
      </c>
      <c r="H43" s="89" t="s">
        <v>2859</v>
      </c>
      <c r="I43" s="89" t="s">
        <v>2329</v>
      </c>
      <c r="J43" s="89" t="s">
        <v>2859</v>
      </c>
      <c r="K43" s="89" t="s">
        <v>2859</v>
      </c>
      <c r="L43" s="89" t="s">
        <v>2859</v>
      </c>
      <c r="M43" s="89" t="s">
        <v>2859</v>
      </c>
      <c r="N43" s="89" t="s">
        <v>2859</v>
      </c>
      <c r="O43" s="89" t="s">
        <v>2859</v>
      </c>
      <c r="P43" s="89" t="s">
        <v>2859</v>
      </c>
      <c r="Q43" s="89" t="s">
        <v>2859</v>
      </c>
      <c r="R43" s="89" t="s">
        <v>2859</v>
      </c>
      <c r="S43" s="89" t="s">
        <v>2859</v>
      </c>
      <c r="T43" s="89" t="s">
        <v>2859</v>
      </c>
      <c r="U43" s="89" t="s">
        <v>2859</v>
      </c>
      <c r="V43" s="89" t="s">
        <v>2859</v>
      </c>
      <c r="W43" s="89" t="s">
        <v>2859</v>
      </c>
      <c r="X43" s="89" t="s">
        <v>2859</v>
      </c>
      <c r="Y43" s="89" t="s">
        <v>2859</v>
      </c>
      <c r="Z43" s="89" t="s">
        <v>2859</v>
      </c>
      <c r="AA43" s="89" t="s">
        <v>2859</v>
      </c>
      <c r="AB43" s="89" t="s">
        <v>2859</v>
      </c>
      <c r="AC43" s="89" t="s">
        <v>2859</v>
      </c>
      <c r="AD43" s="89" t="s">
        <v>2859</v>
      </c>
      <c r="AE43" s="89" t="s">
        <v>2859</v>
      </c>
      <c r="AF43" s="89" t="s">
        <v>2859</v>
      </c>
      <c r="AG43" s="89" t="s">
        <v>2859</v>
      </c>
      <c r="AH43" s="89" t="s">
        <v>2859</v>
      </c>
      <c r="AI43" s="89" t="s">
        <v>2859</v>
      </c>
      <c r="AJ43" s="89" t="s">
        <v>2859</v>
      </c>
      <c r="AK43" s="89" t="s">
        <v>2859</v>
      </c>
      <c r="AL43" s="89" t="s">
        <v>2859</v>
      </c>
      <c r="AM43" s="89" t="s">
        <v>2859</v>
      </c>
      <c r="AN43" s="89" t="s">
        <v>2859</v>
      </c>
      <c r="AO43" s="89" t="s">
        <v>2859</v>
      </c>
      <c r="AP43" s="89" t="s">
        <v>2859</v>
      </c>
      <c r="AQ43" s="89" t="s">
        <v>2859</v>
      </c>
      <c r="AR43" s="89" t="s">
        <v>2859</v>
      </c>
      <c r="AS43" s="89" t="s">
        <v>2859</v>
      </c>
      <c r="AT43" s="89" t="s">
        <v>2859</v>
      </c>
      <c r="AU43" s="89" t="s">
        <v>2859</v>
      </c>
      <c r="AV43" s="89" t="s">
        <v>2859</v>
      </c>
      <c r="AW43" s="89" t="s">
        <v>2859</v>
      </c>
      <c r="AX43" s="89" t="s">
        <v>2859</v>
      </c>
      <c r="AY43" s="89" t="s">
        <v>2859</v>
      </c>
      <c r="AZ43" s="89" t="s">
        <v>2859</v>
      </c>
      <c r="BA43" s="89" t="s">
        <v>2859</v>
      </c>
      <c r="BB43" s="89" t="s">
        <v>2859</v>
      </c>
      <c r="BC43" s="89" t="s">
        <v>2859</v>
      </c>
      <c r="BD43" s="89" t="s">
        <v>2859</v>
      </c>
      <c r="BE43" s="89" t="s">
        <v>2859</v>
      </c>
      <c r="BF43" s="89" t="s">
        <v>2859</v>
      </c>
      <c r="BG43" s="89" t="s">
        <v>2859</v>
      </c>
      <c r="BH43" s="89" t="s">
        <v>2859</v>
      </c>
      <c r="BI43" s="89" t="s">
        <v>2859</v>
      </c>
      <c r="BJ43" s="89" t="s">
        <v>2859</v>
      </c>
      <c r="BK43" s="89" t="s">
        <v>2859</v>
      </c>
      <c r="BL43" s="89" t="s">
        <v>2859</v>
      </c>
      <c r="BM43" s="89" t="s">
        <v>2859</v>
      </c>
      <c r="BN43" s="89" t="s">
        <v>2859</v>
      </c>
      <c r="BO43" s="89" t="s">
        <v>2859</v>
      </c>
      <c r="BP43" s="89" t="s">
        <v>2859</v>
      </c>
      <c r="BQ43" s="89" t="s">
        <v>3675</v>
      </c>
      <c r="BR43" s="89" t="s">
        <v>2859</v>
      </c>
    </row>
    <row r="44" spans="1:70">
      <c r="A44" s="89" t="s">
        <v>2163</v>
      </c>
      <c r="B44" s="89" t="s">
        <v>2341</v>
      </c>
      <c r="C44" s="89" t="s">
        <v>2859</v>
      </c>
      <c r="D44" s="89" t="s">
        <v>2859</v>
      </c>
      <c r="E44" s="89" t="s">
        <v>2859</v>
      </c>
      <c r="F44" s="89" t="s">
        <v>2859</v>
      </c>
      <c r="G44" s="89" t="s">
        <v>2860</v>
      </c>
      <c r="H44" s="89" t="s">
        <v>2859</v>
      </c>
      <c r="I44" s="89" t="s">
        <v>2329</v>
      </c>
      <c r="J44" s="89" t="s">
        <v>2859</v>
      </c>
      <c r="K44" s="89" t="s">
        <v>2859</v>
      </c>
      <c r="L44" s="89" t="s">
        <v>2859</v>
      </c>
      <c r="M44" s="89" t="s">
        <v>2859</v>
      </c>
      <c r="N44" s="89" t="s">
        <v>2859</v>
      </c>
      <c r="O44" s="89" t="s">
        <v>2859</v>
      </c>
      <c r="P44" s="89" t="s">
        <v>2859</v>
      </c>
      <c r="Q44" s="89" t="s">
        <v>2859</v>
      </c>
      <c r="R44" s="89" t="s">
        <v>2859</v>
      </c>
      <c r="S44" s="89" t="s">
        <v>2859</v>
      </c>
      <c r="T44" s="89" t="s">
        <v>2859</v>
      </c>
      <c r="U44" s="89" t="s">
        <v>2859</v>
      </c>
      <c r="V44" s="89" t="s">
        <v>2859</v>
      </c>
      <c r="W44" s="89" t="s">
        <v>2859</v>
      </c>
      <c r="X44" s="89" t="s">
        <v>2859</v>
      </c>
      <c r="Y44" s="89" t="s">
        <v>2859</v>
      </c>
      <c r="Z44" s="89" t="s">
        <v>2859</v>
      </c>
      <c r="AA44" s="89" t="s">
        <v>2859</v>
      </c>
      <c r="AB44" s="89" t="s">
        <v>2859</v>
      </c>
      <c r="AC44" s="89" t="s">
        <v>2859</v>
      </c>
      <c r="AD44" s="89" t="s">
        <v>2859</v>
      </c>
      <c r="AE44" s="89" t="s">
        <v>2859</v>
      </c>
      <c r="AF44" s="89" t="s">
        <v>2859</v>
      </c>
      <c r="AG44" s="89" t="s">
        <v>2859</v>
      </c>
      <c r="AH44" s="89" t="s">
        <v>2859</v>
      </c>
      <c r="AI44" s="89" t="s">
        <v>2859</v>
      </c>
      <c r="AJ44" s="89" t="s">
        <v>2859</v>
      </c>
      <c r="AK44" s="89" t="s">
        <v>2859</v>
      </c>
      <c r="AL44" s="89" t="s">
        <v>2859</v>
      </c>
      <c r="AM44" s="89" t="s">
        <v>2859</v>
      </c>
      <c r="AN44" s="89" t="s">
        <v>2859</v>
      </c>
      <c r="AO44" s="89" t="s">
        <v>2859</v>
      </c>
      <c r="AP44" s="89" t="s">
        <v>2859</v>
      </c>
      <c r="AQ44" s="89" t="s">
        <v>2859</v>
      </c>
      <c r="AR44" s="89" t="s">
        <v>2859</v>
      </c>
      <c r="AS44" s="89" t="s">
        <v>2859</v>
      </c>
      <c r="AT44" s="89" t="s">
        <v>2859</v>
      </c>
      <c r="AU44" s="89" t="s">
        <v>2859</v>
      </c>
      <c r="AV44" s="89" t="s">
        <v>2859</v>
      </c>
      <c r="AW44" s="89" t="s">
        <v>2859</v>
      </c>
      <c r="AX44" s="89" t="s">
        <v>2859</v>
      </c>
      <c r="AY44" s="89" t="s">
        <v>2859</v>
      </c>
      <c r="AZ44" s="89" t="s">
        <v>2859</v>
      </c>
      <c r="BA44" s="89" t="s">
        <v>2859</v>
      </c>
      <c r="BB44" s="89" t="s">
        <v>2859</v>
      </c>
      <c r="BC44" s="89" t="s">
        <v>2859</v>
      </c>
      <c r="BD44" s="89" t="s">
        <v>2859</v>
      </c>
      <c r="BE44" s="89" t="s">
        <v>2859</v>
      </c>
      <c r="BF44" s="89" t="s">
        <v>2859</v>
      </c>
      <c r="BG44" s="89" t="s">
        <v>2859</v>
      </c>
      <c r="BH44" s="89" t="s">
        <v>2859</v>
      </c>
      <c r="BI44" s="89" t="s">
        <v>2859</v>
      </c>
      <c r="BJ44" s="89" t="s">
        <v>2859</v>
      </c>
      <c r="BK44" s="89" t="s">
        <v>2859</v>
      </c>
      <c r="BL44" s="89" t="s">
        <v>2859</v>
      </c>
      <c r="BM44" s="89" t="s">
        <v>2859</v>
      </c>
      <c r="BN44" s="89" t="s">
        <v>2859</v>
      </c>
      <c r="BO44" s="89" t="s">
        <v>2859</v>
      </c>
      <c r="BP44" s="89" t="s">
        <v>2859</v>
      </c>
      <c r="BQ44" s="89" t="s">
        <v>3676</v>
      </c>
      <c r="BR44" s="89" t="s">
        <v>2859</v>
      </c>
    </row>
    <row r="45" spans="1:70">
      <c r="A45" s="89" t="s">
        <v>2163</v>
      </c>
      <c r="B45" s="89" t="s">
        <v>2342</v>
      </c>
      <c r="C45" s="89" t="s">
        <v>2859</v>
      </c>
      <c r="D45" s="89" t="s">
        <v>2859</v>
      </c>
      <c r="E45" s="89" t="s">
        <v>2859</v>
      </c>
      <c r="F45" s="89" t="s">
        <v>2859</v>
      </c>
      <c r="G45" s="89" t="s">
        <v>2860</v>
      </c>
      <c r="H45" s="89" t="s">
        <v>2859</v>
      </c>
      <c r="I45" s="89" t="s">
        <v>2329</v>
      </c>
      <c r="J45" s="89" t="s">
        <v>2859</v>
      </c>
      <c r="K45" s="89" t="s">
        <v>2859</v>
      </c>
      <c r="L45" s="89" t="s">
        <v>2859</v>
      </c>
      <c r="M45" s="89" t="s">
        <v>2859</v>
      </c>
      <c r="N45" s="89" t="s">
        <v>2859</v>
      </c>
      <c r="O45" s="89" t="s">
        <v>2859</v>
      </c>
      <c r="P45" s="89" t="s">
        <v>2859</v>
      </c>
      <c r="Q45" s="89" t="s">
        <v>2859</v>
      </c>
      <c r="R45" s="89" t="s">
        <v>2859</v>
      </c>
      <c r="S45" s="89" t="s">
        <v>2859</v>
      </c>
      <c r="T45" s="89" t="s">
        <v>2859</v>
      </c>
      <c r="U45" s="89" t="s">
        <v>2859</v>
      </c>
      <c r="V45" s="89" t="s">
        <v>2859</v>
      </c>
      <c r="W45" s="89" t="s">
        <v>2859</v>
      </c>
      <c r="X45" s="89" t="s">
        <v>2859</v>
      </c>
      <c r="Y45" s="89" t="s">
        <v>2859</v>
      </c>
      <c r="Z45" s="89" t="s">
        <v>2859</v>
      </c>
      <c r="AA45" s="89" t="s">
        <v>2859</v>
      </c>
      <c r="AB45" s="89" t="s">
        <v>2859</v>
      </c>
      <c r="AC45" s="89" t="s">
        <v>2859</v>
      </c>
      <c r="AD45" s="89" t="s">
        <v>2859</v>
      </c>
      <c r="AE45" s="89" t="s">
        <v>2859</v>
      </c>
      <c r="AF45" s="89" t="s">
        <v>2859</v>
      </c>
      <c r="AG45" s="89" t="s">
        <v>2859</v>
      </c>
      <c r="AH45" s="89" t="s">
        <v>2859</v>
      </c>
      <c r="AI45" s="89" t="s">
        <v>2859</v>
      </c>
      <c r="AJ45" s="89" t="s">
        <v>2859</v>
      </c>
      <c r="AK45" s="89" t="s">
        <v>2859</v>
      </c>
      <c r="AL45" s="89" t="s">
        <v>2859</v>
      </c>
      <c r="AM45" s="89" t="s">
        <v>2859</v>
      </c>
      <c r="AN45" s="89" t="s">
        <v>2859</v>
      </c>
      <c r="AO45" s="89" t="s">
        <v>2859</v>
      </c>
      <c r="AP45" s="89" t="s">
        <v>2859</v>
      </c>
      <c r="AQ45" s="89" t="s">
        <v>2859</v>
      </c>
      <c r="AR45" s="89" t="s">
        <v>2859</v>
      </c>
      <c r="AS45" s="89" t="s">
        <v>2859</v>
      </c>
      <c r="AT45" s="89" t="s">
        <v>2859</v>
      </c>
      <c r="AU45" s="89" t="s">
        <v>2859</v>
      </c>
      <c r="AV45" s="89" t="s">
        <v>2859</v>
      </c>
      <c r="AW45" s="89" t="s">
        <v>2859</v>
      </c>
      <c r="AX45" s="89" t="s">
        <v>2859</v>
      </c>
      <c r="AY45" s="89" t="s">
        <v>2859</v>
      </c>
      <c r="AZ45" s="89" t="s">
        <v>2859</v>
      </c>
      <c r="BA45" s="89" t="s">
        <v>2859</v>
      </c>
      <c r="BB45" s="89" t="s">
        <v>2859</v>
      </c>
      <c r="BC45" s="89" t="s">
        <v>2859</v>
      </c>
      <c r="BD45" s="89" t="s">
        <v>2859</v>
      </c>
      <c r="BE45" s="89" t="s">
        <v>2859</v>
      </c>
      <c r="BF45" s="89" t="s">
        <v>2859</v>
      </c>
      <c r="BG45" s="89" t="s">
        <v>2859</v>
      </c>
      <c r="BH45" s="89" t="s">
        <v>2859</v>
      </c>
      <c r="BI45" s="89" t="s">
        <v>2859</v>
      </c>
      <c r="BJ45" s="89" t="s">
        <v>2859</v>
      </c>
      <c r="BK45" s="89" t="s">
        <v>2859</v>
      </c>
      <c r="BL45" s="89" t="s">
        <v>2859</v>
      </c>
      <c r="BM45" s="89" t="s">
        <v>2859</v>
      </c>
      <c r="BN45" s="89" t="s">
        <v>2859</v>
      </c>
      <c r="BO45" s="89" t="s">
        <v>2859</v>
      </c>
      <c r="BP45" s="89" t="s">
        <v>2859</v>
      </c>
      <c r="BQ45" s="89" t="s">
        <v>3677</v>
      </c>
      <c r="BR45" s="89" t="s">
        <v>2859</v>
      </c>
    </row>
    <row r="46" spans="1:70">
      <c r="A46" s="89" t="s">
        <v>2164</v>
      </c>
      <c r="B46" s="89" t="s">
        <v>3678</v>
      </c>
      <c r="C46" s="89" t="s">
        <v>2481</v>
      </c>
      <c r="D46" s="89" t="s">
        <v>2859</v>
      </c>
      <c r="E46" s="89" t="s">
        <v>2859</v>
      </c>
      <c r="F46" s="89" t="s">
        <v>2859</v>
      </c>
      <c r="G46" s="89" t="s">
        <v>2860</v>
      </c>
      <c r="H46" s="89" t="s">
        <v>2859</v>
      </c>
      <c r="I46" s="89" t="s">
        <v>2891</v>
      </c>
      <c r="J46" s="89" t="s">
        <v>2979</v>
      </c>
      <c r="K46" s="89" t="s">
        <v>2860</v>
      </c>
      <c r="L46" s="89" t="s">
        <v>2859</v>
      </c>
      <c r="M46" s="89" t="s">
        <v>2859</v>
      </c>
      <c r="N46" s="89" t="s">
        <v>2859</v>
      </c>
      <c r="O46" s="89" t="s">
        <v>2859</v>
      </c>
      <c r="P46" s="89" t="s">
        <v>2859</v>
      </c>
      <c r="Q46" s="89" t="s">
        <v>2859</v>
      </c>
      <c r="R46" s="89" t="s">
        <v>2859</v>
      </c>
      <c r="S46" s="89" t="s">
        <v>2859</v>
      </c>
      <c r="T46" s="89" t="s">
        <v>2859</v>
      </c>
      <c r="U46" s="89" t="s">
        <v>2859</v>
      </c>
      <c r="V46" s="89" t="s">
        <v>2859</v>
      </c>
      <c r="W46" s="89" t="s">
        <v>2859</v>
      </c>
      <c r="X46" s="89" t="s">
        <v>2859</v>
      </c>
      <c r="Y46" s="89" t="s">
        <v>2859</v>
      </c>
      <c r="Z46" s="89" t="s">
        <v>2859</v>
      </c>
      <c r="AA46" s="89" t="s">
        <v>2859</v>
      </c>
      <c r="AB46" s="89" t="s">
        <v>2859</v>
      </c>
      <c r="AC46" s="89" t="s">
        <v>2859</v>
      </c>
      <c r="AD46" s="89" t="s">
        <v>2859</v>
      </c>
      <c r="AE46" s="89" t="s">
        <v>2859</v>
      </c>
      <c r="AF46" s="89" t="s">
        <v>2859</v>
      </c>
      <c r="AG46" s="89" t="s">
        <v>2859</v>
      </c>
      <c r="AH46" s="89" t="s">
        <v>2859</v>
      </c>
      <c r="AI46" s="89" t="s">
        <v>2859</v>
      </c>
      <c r="AJ46" s="89" t="s">
        <v>2859</v>
      </c>
      <c r="AK46" s="89" t="s">
        <v>2859</v>
      </c>
      <c r="AL46" s="89" t="s">
        <v>2859</v>
      </c>
      <c r="AM46" s="89" t="s">
        <v>2859</v>
      </c>
      <c r="AN46" s="89" t="s">
        <v>2859</v>
      </c>
      <c r="AO46" s="89" t="s">
        <v>2859</v>
      </c>
      <c r="AP46" s="89" t="s">
        <v>2859</v>
      </c>
      <c r="AQ46" s="89" t="s">
        <v>2859</v>
      </c>
      <c r="AR46" s="89" t="s">
        <v>2859</v>
      </c>
      <c r="AS46" s="89" t="s">
        <v>2859</v>
      </c>
      <c r="AT46" s="89" t="s">
        <v>2859</v>
      </c>
      <c r="AU46" s="89" t="s">
        <v>2859</v>
      </c>
      <c r="AV46" s="89" t="s">
        <v>2859</v>
      </c>
      <c r="AW46" s="89" t="s">
        <v>2859</v>
      </c>
      <c r="AX46" s="89" t="s">
        <v>2859</v>
      </c>
      <c r="AY46" s="89" t="s">
        <v>2859</v>
      </c>
      <c r="AZ46" s="89" t="s">
        <v>2859</v>
      </c>
      <c r="BA46" s="89" t="s">
        <v>2859</v>
      </c>
      <c r="BB46" s="89" t="s">
        <v>2859</v>
      </c>
      <c r="BC46" s="89" t="s">
        <v>2859</v>
      </c>
      <c r="BD46" s="89" t="s">
        <v>2859</v>
      </c>
      <c r="BE46" s="89" t="s">
        <v>2859</v>
      </c>
      <c r="BF46" s="89" t="s">
        <v>2859</v>
      </c>
      <c r="BG46" s="89" t="s">
        <v>2859</v>
      </c>
      <c r="BH46" s="89" t="s">
        <v>2859</v>
      </c>
      <c r="BI46" s="89" t="s">
        <v>2859</v>
      </c>
      <c r="BJ46" s="89" t="s">
        <v>2859</v>
      </c>
      <c r="BK46" s="89" t="s">
        <v>2859</v>
      </c>
      <c r="BL46" s="89" t="s">
        <v>2859</v>
      </c>
      <c r="BM46" s="89" t="s">
        <v>2859</v>
      </c>
      <c r="BN46" s="89" t="s">
        <v>2859</v>
      </c>
      <c r="BO46" s="89" t="s">
        <v>2859</v>
      </c>
      <c r="BP46" s="89" t="s">
        <v>2859</v>
      </c>
      <c r="BQ46" s="89" t="s">
        <v>3679</v>
      </c>
      <c r="BR46" s="89" t="s">
        <v>2859</v>
      </c>
    </row>
    <row r="47" spans="1:70">
      <c r="A47" s="89" t="s">
        <v>2164</v>
      </c>
      <c r="B47" s="89" t="s">
        <v>3680</v>
      </c>
      <c r="C47" s="89" t="s">
        <v>2483</v>
      </c>
      <c r="D47" s="89" t="s">
        <v>2859</v>
      </c>
      <c r="E47" s="89" t="s">
        <v>2859</v>
      </c>
      <c r="F47" s="89" t="s">
        <v>2859</v>
      </c>
      <c r="G47" s="89" t="s">
        <v>2860</v>
      </c>
      <c r="H47" s="89" t="s">
        <v>2859</v>
      </c>
      <c r="I47" s="89" t="s">
        <v>2891</v>
      </c>
      <c r="J47" s="89" t="s">
        <v>2979</v>
      </c>
      <c r="K47" s="89" t="s">
        <v>2860</v>
      </c>
      <c r="L47" s="89" t="s">
        <v>2859</v>
      </c>
      <c r="M47" s="89" t="s">
        <v>2859</v>
      </c>
      <c r="N47" s="89" t="s">
        <v>2859</v>
      </c>
      <c r="O47" s="89" t="s">
        <v>2859</v>
      </c>
      <c r="P47" s="89" t="s">
        <v>2859</v>
      </c>
      <c r="Q47" s="89" t="s">
        <v>2859</v>
      </c>
      <c r="R47" s="89" t="s">
        <v>2859</v>
      </c>
      <c r="S47" s="89" t="s">
        <v>2859</v>
      </c>
      <c r="T47" s="89" t="s">
        <v>2859</v>
      </c>
      <c r="U47" s="89" t="s">
        <v>2859</v>
      </c>
      <c r="V47" s="89" t="s">
        <v>2859</v>
      </c>
      <c r="W47" s="89" t="s">
        <v>2859</v>
      </c>
      <c r="X47" s="89" t="s">
        <v>2859</v>
      </c>
      <c r="Y47" s="89" t="s">
        <v>2859</v>
      </c>
      <c r="Z47" s="89" t="s">
        <v>2859</v>
      </c>
      <c r="AA47" s="89" t="s">
        <v>2859</v>
      </c>
      <c r="AB47" s="89" t="s">
        <v>2859</v>
      </c>
      <c r="AC47" s="89" t="s">
        <v>2859</v>
      </c>
      <c r="AD47" s="89" t="s">
        <v>2859</v>
      </c>
      <c r="AE47" s="89" t="s">
        <v>2859</v>
      </c>
      <c r="AF47" s="89" t="s">
        <v>2859</v>
      </c>
      <c r="AG47" s="89" t="s">
        <v>2859</v>
      </c>
      <c r="AH47" s="89" t="s">
        <v>2859</v>
      </c>
      <c r="AI47" s="89" t="s">
        <v>2859</v>
      </c>
      <c r="AJ47" s="89" t="s">
        <v>2859</v>
      </c>
      <c r="AK47" s="89" t="s">
        <v>2859</v>
      </c>
      <c r="AL47" s="89" t="s">
        <v>2859</v>
      </c>
      <c r="AM47" s="89" t="s">
        <v>2859</v>
      </c>
      <c r="AN47" s="89" t="s">
        <v>2859</v>
      </c>
      <c r="AO47" s="89" t="s">
        <v>2859</v>
      </c>
      <c r="AP47" s="89" t="s">
        <v>2859</v>
      </c>
      <c r="AQ47" s="89" t="s">
        <v>2859</v>
      </c>
      <c r="AR47" s="89" t="s">
        <v>2859</v>
      </c>
      <c r="AS47" s="89" t="s">
        <v>2859</v>
      </c>
      <c r="AT47" s="89" t="s">
        <v>2859</v>
      </c>
      <c r="AU47" s="89" t="s">
        <v>2859</v>
      </c>
      <c r="AV47" s="89" t="s">
        <v>2859</v>
      </c>
      <c r="AW47" s="89" t="s">
        <v>2859</v>
      </c>
      <c r="AX47" s="89" t="s">
        <v>2859</v>
      </c>
      <c r="AY47" s="89" t="s">
        <v>2859</v>
      </c>
      <c r="AZ47" s="89" t="s">
        <v>2859</v>
      </c>
      <c r="BA47" s="89" t="s">
        <v>2859</v>
      </c>
      <c r="BB47" s="89" t="s">
        <v>2859</v>
      </c>
      <c r="BC47" s="89" t="s">
        <v>2859</v>
      </c>
      <c r="BD47" s="89" t="s">
        <v>2859</v>
      </c>
      <c r="BE47" s="89" t="s">
        <v>2859</v>
      </c>
      <c r="BF47" s="89" t="s">
        <v>2859</v>
      </c>
      <c r="BG47" s="89" t="s">
        <v>2859</v>
      </c>
      <c r="BH47" s="89" t="s">
        <v>2859</v>
      </c>
      <c r="BI47" s="89" t="s">
        <v>2859</v>
      </c>
      <c r="BJ47" s="89" t="s">
        <v>2859</v>
      </c>
      <c r="BK47" s="89" t="s">
        <v>2859</v>
      </c>
      <c r="BL47" s="89" t="s">
        <v>2859</v>
      </c>
      <c r="BM47" s="89" t="s">
        <v>2859</v>
      </c>
      <c r="BN47" s="89" t="s">
        <v>2859</v>
      </c>
      <c r="BO47" s="89" t="s">
        <v>2859</v>
      </c>
      <c r="BP47" s="89" t="s">
        <v>2859</v>
      </c>
      <c r="BQ47" s="89" t="s">
        <v>3681</v>
      </c>
      <c r="BR47" s="89" t="s">
        <v>2859</v>
      </c>
    </row>
    <row r="48" spans="1:70">
      <c r="A48" s="89" t="s">
        <v>2164</v>
      </c>
      <c r="B48" s="89" t="s">
        <v>3682</v>
      </c>
      <c r="C48" s="89" t="s">
        <v>2481</v>
      </c>
      <c r="D48" s="89" t="s">
        <v>2859</v>
      </c>
      <c r="E48" s="89" t="s">
        <v>2859</v>
      </c>
      <c r="F48" s="89" t="s">
        <v>2859</v>
      </c>
      <c r="G48" s="89" t="s">
        <v>2860</v>
      </c>
      <c r="H48" s="89" t="s">
        <v>2859</v>
      </c>
      <c r="I48" s="89" t="s">
        <v>1463</v>
      </c>
      <c r="J48" s="89" t="s">
        <v>2979</v>
      </c>
      <c r="K48" s="89" t="s">
        <v>2860</v>
      </c>
      <c r="L48" s="89" t="s">
        <v>2891</v>
      </c>
      <c r="M48" s="89" t="s">
        <v>2979</v>
      </c>
      <c r="N48" s="89" t="s">
        <v>2860</v>
      </c>
      <c r="O48" s="89" t="s">
        <v>2859</v>
      </c>
      <c r="P48" s="89" t="s">
        <v>2859</v>
      </c>
      <c r="Q48" s="89" t="s">
        <v>2859</v>
      </c>
      <c r="R48" s="89" t="s">
        <v>2859</v>
      </c>
      <c r="S48" s="89" t="s">
        <v>2859</v>
      </c>
      <c r="T48" s="89" t="s">
        <v>2859</v>
      </c>
      <c r="U48" s="89" t="s">
        <v>2859</v>
      </c>
      <c r="V48" s="89" t="s">
        <v>2859</v>
      </c>
      <c r="W48" s="89" t="s">
        <v>2859</v>
      </c>
      <c r="X48" s="89" t="s">
        <v>2859</v>
      </c>
      <c r="Y48" s="89" t="s">
        <v>2859</v>
      </c>
      <c r="Z48" s="89" t="s">
        <v>2859</v>
      </c>
      <c r="AA48" s="89" t="s">
        <v>2859</v>
      </c>
      <c r="AB48" s="89" t="s">
        <v>2859</v>
      </c>
      <c r="AC48" s="89" t="s">
        <v>2859</v>
      </c>
      <c r="AD48" s="89" t="s">
        <v>2859</v>
      </c>
      <c r="AE48" s="89" t="s">
        <v>2859</v>
      </c>
      <c r="AF48" s="89" t="s">
        <v>2859</v>
      </c>
      <c r="AG48" s="89" t="s">
        <v>2859</v>
      </c>
      <c r="AH48" s="89" t="s">
        <v>2859</v>
      </c>
      <c r="AI48" s="89" t="s">
        <v>2859</v>
      </c>
      <c r="AJ48" s="89" t="s">
        <v>2859</v>
      </c>
      <c r="AK48" s="89" t="s">
        <v>2859</v>
      </c>
      <c r="AL48" s="89" t="s">
        <v>2859</v>
      </c>
      <c r="AM48" s="89" t="s">
        <v>2859</v>
      </c>
      <c r="AN48" s="89" t="s">
        <v>2859</v>
      </c>
      <c r="AO48" s="89" t="s">
        <v>2859</v>
      </c>
      <c r="AP48" s="89" t="s">
        <v>2859</v>
      </c>
      <c r="AQ48" s="89" t="s">
        <v>2859</v>
      </c>
      <c r="AR48" s="89" t="s">
        <v>2859</v>
      </c>
      <c r="AS48" s="89" t="s">
        <v>2859</v>
      </c>
      <c r="AT48" s="89" t="s">
        <v>2859</v>
      </c>
      <c r="AU48" s="89" t="s">
        <v>2859</v>
      </c>
      <c r="AV48" s="89" t="s">
        <v>2859</v>
      </c>
      <c r="AW48" s="89" t="s">
        <v>2859</v>
      </c>
      <c r="AX48" s="89" t="s">
        <v>2859</v>
      </c>
      <c r="AY48" s="89" t="s">
        <v>2859</v>
      </c>
      <c r="AZ48" s="89" t="s">
        <v>2859</v>
      </c>
      <c r="BA48" s="89" t="s">
        <v>2859</v>
      </c>
      <c r="BB48" s="89" t="s">
        <v>2859</v>
      </c>
      <c r="BC48" s="89" t="s">
        <v>2859</v>
      </c>
      <c r="BD48" s="89" t="s">
        <v>2859</v>
      </c>
      <c r="BE48" s="89" t="s">
        <v>2859</v>
      </c>
      <c r="BF48" s="89" t="s">
        <v>2859</v>
      </c>
      <c r="BG48" s="89" t="s">
        <v>2859</v>
      </c>
      <c r="BH48" s="89" t="s">
        <v>2859</v>
      </c>
      <c r="BI48" s="89" t="s">
        <v>2859</v>
      </c>
      <c r="BJ48" s="89" t="s">
        <v>2859</v>
      </c>
      <c r="BK48" s="89" t="s">
        <v>2859</v>
      </c>
      <c r="BL48" s="89" t="s">
        <v>2859</v>
      </c>
      <c r="BM48" s="89" t="s">
        <v>2859</v>
      </c>
      <c r="BN48" s="89" t="s">
        <v>2859</v>
      </c>
      <c r="BO48" s="89" t="s">
        <v>2859</v>
      </c>
      <c r="BP48" s="89" t="s">
        <v>2859</v>
      </c>
      <c r="BQ48" s="89" t="s">
        <v>3683</v>
      </c>
      <c r="BR48" s="89" t="s">
        <v>2859</v>
      </c>
    </row>
    <row r="49" spans="1:70">
      <c r="A49" s="89" t="s">
        <v>2164</v>
      </c>
      <c r="B49" s="89" t="s">
        <v>2480</v>
      </c>
      <c r="C49" s="89" t="s">
        <v>2481</v>
      </c>
      <c r="D49" s="89" t="s">
        <v>2859</v>
      </c>
      <c r="E49" s="89" t="s">
        <v>2859</v>
      </c>
      <c r="F49" s="89" t="s">
        <v>2859</v>
      </c>
      <c r="G49" s="89" t="s">
        <v>2860</v>
      </c>
      <c r="H49" s="89" t="s">
        <v>2859</v>
      </c>
      <c r="I49" s="89" t="s">
        <v>120</v>
      </c>
      <c r="J49" s="89" t="s">
        <v>2859</v>
      </c>
      <c r="K49" s="89" t="s">
        <v>2859</v>
      </c>
      <c r="L49" s="89" t="s">
        <v>2859</v>
      </c>
      <c r="M49" s="89" t="s">
        <v>2859</v>
      </c>
      <c r="N49" s="89" t="s">
        <v>2859</v>
      </c>
      <c r="O49" s="89" t="s">
        <v>2859</v>
      </c>
      <c r="P49" s="89" t="s">
        <v>2859</v>
      </c>
      <c r="Q49" s="89" t="s">
        <v>2859</v>
      </c>
      <c r="R49" s="89" t="s">
        <v>2859</v>
      </c>
      <c r="S49" s="89" t="s">
        <v>2859</v>
      </c>
      <c r="T49" s="89" t="s">
        <v>2859</v>
      </c>
      <c r="U49" s="89" t="s">
        <v>2859</v>
      </c>
      <c r="V49" s="89" t="s">
        <v>2859</v>
      </c>
      <c r="W49" s="89" t="s">
        <v>2859</v>
      </c>
      <c r="X49" s="89" t="s">
        <v>2859</v>
      </c>
      <c r="Y49" s="89" t="s">
        <v>2859</v>
      </c>
      <c r="Z49" s="89" t="s">
        <v>2859</v>
      </c>
      <c r="AA49" s="89" t="s">
        <v>2859</v>
      </c>
      <c r="AB49" s="89" t="s">
        <v>2859</v>
      </c>
      <c r="AC49" s="89" t="s">
        <v>2859</v>
      </c>
      <c r="AD49" s="89" t="s">
        <v>2859</v>
      </c>
      <c r="AE49" s="89" t="s">
        <v>2859</v>
      </c>
      <c r="AF49" s="89" t="s">
        <v>2859</v>
      </c>
      <c r="AG49" s="89" t="s">
        <v>2859</v>
      </c>
      <c r="AH49" s="89" t="s">
        <v>2859</v>
      </c>
      <c r="AI49" s="89" t="s">
        <v>2859</v>
      </c>
      <c r="AJ49" s="89" t="s">
        <v>2859</v>
      </c>
      <c r="AK49" s="89" t="s">
        <v>2859</v>
      </c>
      <c r="AL49" s="89" t="s">
        <v>2859</v>
      </c>
      <c r="AM49" s="89" t="s">
        <v>2859</v>
      </c>
      <c r="AN49" s="89" t="s">
        <v>2859</v>
      </c>
      <c r="AO49" s="89" t="s">
        <v>2859</v>
      </c>
      <c r="AP49" s="89" t="s">
        <v>2859</v>
      </c>
      <c r="AQ49" s="89" t="s">
        <v>2859</v>
      </c>
      <c r="AR49" s="89" t="s">
        <v>2859</v>
      </c>
      <c r="AS49" s="89" t="s">
        <v>2859</v>
      </c>
      <c r="AT49" s="89" t="s">
        <v>2859</v>
      </c>
      <c r="AU49" s="89" t="s">
        <v>2859</v>
      </c>
      <c r="AV49" s="89" t="s">
        <v>2859</v>
      </c>
      <c r="AW49" s="89" t="s">
        <v>2859</v>
      </c>
      <c r="AX49" s="89" t="s">
        <v>2859</v>
      </c>
      <c r="AY49" s="89" t="s">
        <v>2859</v>
      </c>
      <c r="AZ49" s="89" t="s">
        <v>2859</v>
      </c>
      <c r="BA49" s="89" t="s">
        <v>2859</v>
      </c>
      <c r="BB49" s="89" t="s">
        <v>2859</v>
      </c>
      <c r="BC49" s="89" t="s">
        <v>2859</v>
      </c>
      <c r="BD49" s="89" t="s">
        <v>2859</v>
      </c>
      <c r="BE49" s="89" t="s">
        <v>2859</v>
      </c>
      <c r="BF49" s="89" t="s">
        <v>2859</v>
      </c>
      <c r="BG49" s="89" t="s">
        <v>2859</v>
      </c>
      <c r="BH49" s="89" t="s">
        <v>2859</v>
      </c>
      <c r="BI49" s="89" t="s">
        <v>2859</v>
      </c>
      <c r="BJ49" s="89" t="s">
        <v>2859</v>
      </c>
      <c r="BK49" s="89" t="s">
        <v>2859</v>
      </c>
      <c r="BL49" s="89" t="s">
        <v>2859</v>
      </c>
      <c r="BM49" s="89" t="s">
        <v>2859</v>
      </c>
      <c r="BN49" s="89" t="s">
        <v>2859</v>
      </c>
      <c r="BO49" s="89" t="s">
        <v>2859</v>
      </c>
      <c r="BP49" s="89" t="s">
        <v>2859</v>
      </c>
      <c r="BQ49" s="89" t="s">
        <v>3684</v>
      </c>
      <c r="BR49" s="89" t="s">
        <v>2859</v>
      </c>
    </row>
    <row r="50" spans="1:70">
      <c r="A50" s="89" t="s">
        <v>2164</v>
      </c>
      <c r="B50" s="89" t="s">
        <v>2482</v>
      </c>
      <c r="C50" s="89" t="s">
        <v>2483</v>
      </c>
      <c r="D50" s="89" t="s">
        <v>2859</v>
      </c>
      <c r="E50" s="89" t="s">
        <v>2859</v>
      </c>
      <c r="F50" s="89" t="s">
        <v>2859</v>
      </c>
      <c r="G50" s="89" t="s">
        <v>2860</v>
      </c>
      <c r="H50" s="89" t="s">
        <v>2859</v>
      </c>
      <c r="I50" s="89" t="s">
        <v>120</v>
      </c>
      <c r="J50" s="89" t="s">
        <v>2859</v>
      </c>
      <c r="K50" s="89" t="s">
        <v>2859</v>
      </c>
      <c r="L50" s="89" t="s">
        <v>2859</v>
      </c>
      <c r="M50" s="89" t="s">
        <v>2859</v>
      </c>
      <c r="N50" s="89" t="s">
        <v>2859</v>
      </c>
      <c r="O50" s="89" t="s">
        <v>2859</v>
      </c>
      <c r="P50" s="89" t="s">
        <v>2859</v>
      </c>
      <c r="Q50" s="89" t="s">
        <v>2859</v>
      </c>
      <c r="R50" s="89" t="s">
        <v>2859</v>
      </c>
      <c r="S50" s="89" t="s">
        <v>2859</v>
      </c>
      <c r="T50" s="89" t="s">
        <v>2859</v>
      </c>
      <c r="U50" s="89" t="s">
        <v>2859</v>
      </c>
      <c r="V50" s="89" t="s">
        <v>2859</v>
      </c>
      <c r="W50" s="89" t="s">
        <v>2859</v>
      </c>
      <c r="X50" s="89" t="s">
        <v>2859</v>
      </c>
      <c r="Y50" s="89" t="s">
        <v>2859</v>
      </c>
      <c r="Z50" s="89" t="s">
        <v>2859</v>
      </c>
      <c r="AA50" s="89" t="s">
        <v>2859</v>
      </c>
      <c r="AB50" s="89" t="s">
        <v>2859</v>
      </c>
      <c r="AC50" s="89" t="s">
        <v>2859</v>
      </c>
      <c r="AD50" s="89" t="s">
        <v>2859</v>
      </c>
      <c r="AE50" s="89" t="s">
        <v>2859</v>
      </c>
      <c r="AF50" s="89" t="s">
        <v>2859</v>
      </c>
      <c r="AG50" s="89" t="s">
        <v>2859</v>
      </c>
      <c r="AH50" s="89" t="s">
        <v>2859</v>
      </c>
      <c r="AI50" s="89" t="s">
        <v>2859</v>
      </c>
      <c r="AJ50" s="89" t="s">
        <v>2859</v>
      </c>
      <c r="AK50" s="89" t="s">
        <v>2859</v>
      </c>
      <c r="AL50" s="89" t="s">
        <v>2859</v>
      </c>
      <c r="AM50" s="89" t="s">
        <v>2859</v>
      </c>
      <c r="AN50" s="89" t="s">
        <v>2859</v>
      </c>
      <c r="AO50" s="89" t="s">
        <v>2859</v>
      </c>
      <c r="AP50" s="89" t="s">
        <v>2859</v>
      </c>
      <c r="AQ50" s="89" t="s">
        <v>2859</v>
      </c>
      <c r="AR50" s="89" t="s">
        <v>2859</v>
      </c>
      <c r="AS50" s="89" t="s">
        <v>2859</v>
      </c>
      <c r="AT50" s="89" t="s">
        <v>2859</v>
      </c>
      <c r="AU50" s="89" t="s">
        <v>2859</v>
      </c>
      <c r="AV50" s="89" t="s">
        <v>2859</v>
      </c>
      <c r="AW50" s="89" t="s">
        <v>2859</v>
      </c>
      <c r="AX50" s="89" t="s">
        <v>2859</v>
      </c>
      <c r="AY50" s="89" t="s">
        <v>2859</v>
      </c>
      <c r="AZ50" s="89" t="s">
        <v>2859</v>
      </c>
      <c r="BA50" s="89" t="s">
        <v>2859</v>
      </c>
      <c r="BB50" s="89" t="s">
        <v>2859</v>
      </c>
      <c r="BC50" s="89" t="s">
        <v>2859</v>
      </c>
      <c r="BD50" s="89" t="s">
        <v>2859</v>
      </c>
      <c r="BE50" s="89" t="s">
        <v>2859</v>
      </c>
      <c r="BF50" s="89" t="s">
        <v>2859</v>
      </c>
      <c r="BG50" s="89" t="s">
        <v>2859</v>
      </c>
      <c r="BH50" s="89" t="s">
        <v>2859</v>
      </c>
      <c r="BI50" s="89" t="s">
        <v>2859</v>
      </c>
      <c r="BJ50" s="89" t="s">
        <v>2859</v>
      </c>
      <c r="BK50" s="89" t="s">
        <v>2859</v>
      </c>
      <c r="BL50" s="89" t="s">
        <v>2859</v>
      </c>
      <c r="BM50" s="89" t="s">
        <v>2859</v>
      </c>
      <c r="BN50" s="89" t="s">
        <v>2859</v>
      </c>
      <c r="BO50" s="89" t="s">
        <v>2859</v>
      </c>
      <c r="BP50" s="89" t="s">
        <v>2859</v>
      </c>
      <c r="BQ50" s="89" t="s">
        <v>3685</v>
      </c>
      <c r="BR50" s="89" t="s">
        <v>2859</v>
      </c>
    </row>
    <row r="51" spans="1:70">
      <c r="A51" s="89" t="s">
        <v>2164</v>
      </c>
      <c r="B51" s="89" t="s">
        <v>2484</v>
      </c>
      <c r="C51" s="89" t="s">
        <v>2483</v>
      </c>
      <c r="D51" s="89" t="s">
        <v>2859</v>
      </c>
      <c r="E51" s="89" t="s">
        <v>2859</v>
      </c>
      <c r="F51" s="89" t="s">
        <v>2859</v>
      </c>
      <c r="G51" s="89" t="s">
        <v>2860</v>
      </c>
      <c r="H51" s="89" t="s">
        <v>2859</v>
      </c>
      <c r="I51" s="89" t="s">
        <v>120</v>
      </c>
      <c r="J51" s="89" t="s">
        <v>3686</v>
      </c>
      <c r="K51" s="89" t="s">
        <v>2867</v>
      </c>
      <c r="L51" s="89" t="s">
        <v>935</v>
      </c>
      <c r="M51" s="89" t="s">
        <v>3686</v>
      </c>
      <c r="N51" s="89" t="s">
        <v>2867</v>
      </c>
      <c r="O51" s="89" t="s">
        <v>2859</v>
      </c>
      <c r="P51" s="89" t="s">
        <v>2859</v>
      </c>
      <c r="Q51" s="89" t="s">
        <v>2859</v>
      </c>
      <c r="R51" s="89" t="s">
        <v>2859</v>
      </c>
      <c r="S51" s="89" t="s">
        <v>2859</v>
      </c>
      <c r="T51" s="89" t="s">
        <v>2859</v>
      </c>
      <c r="U51" s="89" t="s">
        <v>2859</v>
      </c>
      <c r="V51" s="89" t="s">
        <v>2859</v>
      </c>
      <c r="W51" s="89" t="s">
        <v>2859</v>
      </c>
      <c r="X51" s="89" t="s">
        <v>2859</v>
      </c>
      <c r="Y51" s="89" t="s">
        <v>2859</v>
      </c>
      <c r="Z51" s="89" t="s">
        <v>2859</v>
      </c>
      <c r="AA51" s="89" t="s">
        <v>2859</v>
      </c>
      <c r="AB51" s="89" t="s">
        <v>2859</v>
      </c>
      <c r="AC51" s="89" t="s">
        <v>2859</v>
      </c>
      <c r="AD51" s="89" t="s">
        <v>2859</v>
      </c>
      <c r="AE51" s="89" t="s">
        <v>2859</v>
      </c>
      <c r="AF51" s="89" t="s">
        <v>2859</v>
      </c>
      <c r="AG51" s="89" t="s">
        <v>2859</v>
      </c>
      <c r="AH51" s="89" t="s">
        <v>2859</v>
      </c>
      <c r="AI51" s="89" t="s">
        <v>2859</v>
      </c>
      <c r="AJ51" s="89" t="s">
        <v>2859</v>
      </c>
      <c r="AK51" s="89" t="s">
        <v>2859</v>
      </c>
      <c r="AL51" s="89" t="s">
        <v>2859</v>
      </c>
      <c r="AM51" s="89" t="s">
        <v>2859</v>
      </c>
      <c r="AN51" s="89" t="s">
        <v>2859</v>
      </c>
      <c r="AO51" s="89" t="s">
        <v>2859</v>
      </c>
      <c r="AP51" s="89" t="s">
        <v>2859</v>
      </c>
      <c r="AQ51" s="89" t="s">
        <v>2859</v>
      </c>
      <c r="AR51" s="89" t="s">
        <v>2859</v>
      </c>
      <c r="AS51" s="89" t="s">
        <v>2859</v>
      </c>
      <c r="AT51" s="89" t="s">
        <v>2859</v>
      </c>
      <c r="AU51" s="89" t="s">
        <v>2859</v>
      </c>
      <c r="AV51" s="89" t="s">
        <v>2859</v>
      </c>
      <c r="AW51" s="89" t="s">
        <v>2859</v>
      </c>
      <c r="AX51" s="89" t="s">
        <v>2859</v>
      </c>
      <c r="AY51" s="89" t="s">
        <v>2859</v>
      </c>
      <c r="AZ51" s="89" t="s">
        <v>2859</v>
      </c>
      <c r="BA51" s="89" t="s">
        <v>2859</v>
      </c>
      <c r="BB51" s="89" t="s">
        <v>2859</v>
      </c>
      <c r="BC51" s="89" t="s">
        <v>2859</v>
      </c>
      <c r="BD51" s="89" t="s">
        <v>2859</v>
      </c>
      <c r="BE51" s="89" t="s">
        <v>2859</v>
      </c>
      <c r="BF51" s="89" t="s">
        <v>2859</v>
      </c>
      <c r="BG51" s="89" t="s">
        <v>2859</v>
      </c>
      <c r="BH51" s="89" t="s">
        <v>2859</v>
      </c>
      <c r="BI51" s="89" t="s">
        <v>2859</v>
      </c>
      <c r="BJ51" s="89" t="s">
        <v>2859</v>
      </c>
      <c r="BK51" s="89" t="s">
        <v>2859</v>
      </c>
      <c r="BL51" s="89" t="s">
        <v>2859</v>
      </c>
      <c r="BM51" s="89" t="s">
        <v>2859</v>
      </c>
      <c r="BN51" s="89" t="s">
        <v>2859</v>
      </c>
      <c r="BO51" s="89" t="s">
        <v>2859</v>
      </c>
      <c r="BP51" s="89" t="s">
        <v>2859</v>
      </c>
      <c r="BQ51" s="89" t="s">
        <v>3687</v>
      </c>
      <c r="BR51" s="89" t="s">
        <v>2869</v>
      </c>
    </row>
    <row r="52" spans="1:70">
      <c r="A52" s="89" t="s">
        <v>2164</v>
      </c>
      <c r="B52" s="89" t="s">
        <v>2487</v>
      </c>
      <c r="C52" s="89" t="s">
        <v>2488</v>
      </c>
      <c r="D52" s="89" t="s">
        <v>2859</v>
      </c>
      <c r="E52" s="89" t="s">
        <v>2859</v>
      </c>
      <c r="F52" s="89" t="s">
        <v>2859</v>
      </c>
      <c r="G52" s="89" t="s">
        <v>2860</v>
      </c>
      <c r="H52" s="89" t="s">
        <v>2859</v>
      </c>
      <c r="I52" s="89" t="s">
        <v>120</v>
      </c>
      <c r="J52" s="89" t="s">
        <v>2859</v>
      </c>
      <c r="K52" s="89" t="s">
        <v>2859</v>
      </c>
      <c r="L52" s="89" t="s">
        <v>2859</v>
      </c>
      <c r="M52" s="89" t="s">
        <v>2859</v>
      </c>
      <c r="N52" s="89" t="s">
        <v>2859</v>
      </c>
      <c r="O52" s="89" t="s">
        <v>2859</v>
      </c>
      <c r="P52" s="89" t="s">
        <v>2859</v>
      </c>
      <c r="Q52" s="89" t="s">
        <v>2859</v>
      </c>
      <c r="R52" s="89" t="s">
        <v>2859</v>
      </c>
      <c r="S52" s="89" t="s">
        <v>2859</v>
      </c>
      <c r="T52" s="89" t="s">
        <v>2859</v>
      </c>
      <c r="U52" s="89" t="s">
        <v>2859</v>
      </c>
      <c r="V52" s="89" t="s">
        <v>2859</v>
      </c>
      <c r="W52" s="89" t="s">
        <v>2859</v>
      </c>
      <c r="X52" s="89" t="s">
        <v>2859</v>
      </c>
      <c r="Y52" s="89" t="s">
        <v>2859</v>
      </c>
      <c r="Z52" s="89" t="s">
        <v>2859</v>
      </c>
      <c r="AA52" s="89" t="s">
        <v>2859</v>
      </c>
      <c r="AB52" s="89" t="s">
        <v>2859</v>
      </c>
      <c r="AC52" s="89" t="s">
        <v>2859</v>
      </c>
      <c r="AD52" s="89" t="s">
        <v>2859</v>
      </c>
      <c r="AE52" s="89" t="s">
        <v>2859</v>
      </c>
      <c r="AF52" s="89" t="s">
        <v>2859</v>
      </c>
      <c r="AG52" s="89" t="s">
        <v>2859</v>
      </c>
      <c r="AH52" s="89" t="s">
        <v>2859</v>
      </c>
      <c r="AI52" s="89" t="s">
        <v>2859</v>
      </c>
      <c r="AJ52" s="89" t="s">
        <v>2859</v>
      </c>
      <c r="AK52" s="89" t="s">
        <v>2859</v>
      </c>
      <c r="AL52" s="89" t="s">
        <v>2859</v>
      </c>
      <c r="AM52" s="89" t="s">
        <v>2859</v>
      </c>
      <c r="AN52" s="89" t="s">
        <v>2859</v>
      </c>
      <c r="AO52" s="89" t="s">
        <v>2859</v>
      </c>
      <c r="AP52" s="89" t="s">
        <v>2859</v>
      </c>
      <c r="AQ52" s="89" t="s">
        <v>2859</v>
      </c>
      <c r="AR52" s="89" t="s">
        <v>2859</v>
      </c>
      <c r="AS52" s="89" t="s">
        <v>2859</v>
      </c>
      <c r="AT52" s="89" t="s">
        <v>2859</v>
      </c>
      <c r="AU52" s="89" t="s">
        <v>2859</v>
      </c>
      <c r="AV52" s="89" t="s">
        <v>2859</v>
      </c>
      <c r="AW52" s="89" t="s">
        <v>2859</v>
      </c>
      <c r="AX52" s="89" t="s">
        <v>2859</v>
      </c>
      <c r="AY52" s="89" t="s">
        <v>2859</v>
      </c>
      <c r="AZ52" s="89" t="s">
        <v>2859</v>
      </c>
      <c r="BA52" s="89" t="s">
        <v>2859</v>
      </c>
      <c r="BB52" s="89" t="s">
        <v>2859</v>
      </c>
      <c r="BC52" s="89" t="s">
        <v>2859</v>
      </c>
      <c r="BD52" s="89" t="s">
        <v>2859</v>
      </c>
      <c r="BE52" s="89" t="s">
        <v>2859</v>
      </c>
      <c r="BF52" s="89" t="s">
        <v>2859</v>
      </c>
      <c r="BG52" s="89" t="s">
        <v>2859</v>
      </c>
      <c r="BH52" s="89" t="s">
        <v>2859</v>
      </c>
      <c r="BI52" s="89" t="s">
        <v>2859</v>
      </c>
      <c r="BJ52" s="89" t="s">
        <v>2859</v>
      </c>
      <c r="BK52" s="89" t="s">
        <v>2859</v>
      </c>
      <c r="BL52" s="89" t="s">
        <v>2859</v>
      </c>
      <c r="BM52" s="89" t="s">
        <v>2859</v>
      </c>
      <c r="BN52" s="89" t="s">
        <v>2859</v>
      </c>
      <c r="BO52" s="89" t="s">
        <v>2859</v>
      </c>
      <c r="BP52" s="89" t="s">
        <v>2859</v>
      </c>
      <c r="BQ52" s="89" t="s">
        <v>3688</v>
      </c>
      <c r="BR52" s="89" t="s">
        <v>2859</v>
      </c>
    </row>
    <row r="53" spans="1:70">
      <c r="A53" s="89" t="s">
        <v>2164</v>
      </c>
      <c r="B53" s="89" t="s">
        <v>2344</v>
      </c>
      <c r="C53" s="89" t="s">
        <v>2859</v>
      </c>
      <c r="D53" s="89" t="s">
        <v>2859</v>
      </c>
      <c r="E53" s="89" t="s">
        <v>2859</v>
      </c>
      <c r="F53" s="89" t="s">
        <v>2859</v>
      </c>
      <c r="G53" s="89" t="s">
        <v>2860</v>
      </c>
      <c r="H53" s="89" t="s">
        <v>2859</v>
      </c>
      <c r="I53" s="89" t="s">
        <v>120</v>
      </c>
      <c r="J53" s="89" t="s">
        <v>2859</v>
      </c>
      <c r="K53" s="89" t="s">
        <v>2859</v>
      </c>
      <c r="L53" s="89" t="s">
        <v>2346</v>
      </c>
      <c r="M53" s="89" t="s">
        <v>2859</v>
      </c>
      <c r="N53" s="89" t="s">
        <v>2859</v>
      </c>
      <c r="O53" s="89" t="s">
        <v>2859</v>
      </c>
      <c r="P53" s="89" t="s">
        <v>2859</v>
      </c>
      <c r="Q53" s="89" t="s">
        <v>2859</v>
      </c>
      <c r="R53" s="89" t="s">
        <v>2859</v>
      </c>
      <c r="S53" s="89" t="s">
        <v>2859</v>
      </c>
      <c r="T53" s="89" t="s">
        <v>2859</v>
      </c>
      <c r="U53" s="89" t="s">
        <v>2859</v>
      </c>
      <c r="V53" s="89" t="s">
        <v>2859</v>
      </c>
      <c r="W53" s="89" t="s">
        <v>2859</v>
      </c>
      <c r="X53" s="89" t="s">
        <v>2859</v>
      </c>
      <c r="Y53" s="89" t="s">
        <v>2859</v>
      </c>
      <c r="Z53" s="89" t="s">
        <v>2859</v>
      </c>
      <c r="AA53" s="89" t="s">
        <v>2859</v>
      </c>
      <c r="AB53" s="89" t="s">
        <v>2859</v>
      </c>
      <c r="AC53" s="89" t="s">
        <v>2859</v>
      </c>
      <c r="AD53" s="89" t="s">
        <v>2859</v>
      </c>
      <c r="AE53" s="89" t="s">
        <v>2859</v>
      </c>
      <c r="AF53" s="89" t="s">
        <v>2859</v>
      </c>
      <c r="AG53" s="89" t="s">
        <v>2859</v>
      </c>
      <c r="AH53" s="89" t="s">
        <v>2859</v>
      </c>
      <c r="AI53" s="89" t="s">
        <v>2859</v>
      </c>
      <c r="AJ53" s="89" t="s">
        <v>2859</v>
      </c>
      <c r="AK53" s="89" t="s">
        <v>2859</v>
      </c>
      <c r="AL53" s="89" t="s">
        <v>2859</v>
      </c>
      <c r="AM53" s="89" t="s">
        <v>2859</v>
      </c>
      <c r="AN53" s="89" t="s">
        <v>2859</v>
      </c>
      <c r="AO53" s="89" t="s">
        <v>2859</v>
      </c>
      <c r="AP53" s="89" t="s">
        <v>2859</v>
      </c>
      <c r="AQ53" s="89" t="s">
        <v>2859</v>
      </c>
      <c r="AR53" s="89" t="s">
        <v>2859</v>
      </c>
      <c r="AS53" s="89" t="s">
        <v>2859</v>
      </c>
      <c r="AT53" s="89" t="s">
        <v>2859</v>
      </c>
      <c r="AU53" s="89" t="s">
        <v>2859</v>
      </c>
      <c r="AV53" s="89" t="s">
        <v>2859</v>
      </c>
      <c r="AW53" s="89" t="s">
        <v>2859</v>
      </c>
      <c r="AX53" s="89" t="s">
        <v>2859</v>
      </c>
      <c r="AY53" s="89" t="s">
        <v>2859</v>
      </c>
      <c r="AZ53" s="89" t="s">
        <v>2859</v>
      </c>
      <c r="BA53" s="89" t="s">
        <v>2859</v>
      </c>
      <c r="BB53" s="89" t="s">
        <v>2859</v>
      </c>
      <c r="BC53" s="89" t="s">
        <v>2859</v>
      </c>
      <c r="BD53" s="89" t="s">
        <v>2859</v>
      </c>
      <c r="BE53" s="89" t="s">
        <v>2859</v>
      </c>
      <c r="BF53" s="89" t="s">
        <v>2859</v>
      </c>
      <c r="BG53" s="89" t="s">
        <v>2859</v>
      </c>
      <c r="BH53" s="89" t="s">
        <v>2859</v>
      </c>
      <c r="BI53" s="89" t="s">
        <v>2859</v>
      </c>
      <c r="BJ53" s="89" t="s">
        <v>2859</v>
      </c>
      <c r="BK53" s="89" t="s">
        <v>2859</v>
      </c>
      <c r="BL53" s="89" t="s">
        <v>2859</v>
      </c>
      <c r="BM53" s="89" t="s">
        <v>2859</v>
      </c>
      <c r="BN53" s="89" t="s">
        <v>2859</v>
      </c>
      <c r="BO53" s="89" t="s">
        <v>2859</v>
      </c>
      <c r="BP53" s="89" t="s">
        <v>2859</v>
      </c>
      <c r="BQ53" s="89" t="s">
        <v>3689</v>
      </c>
      <c r="BR53" s="89" t="s">
        <v>2859</v>
      </c>
    </row>
    <row r="54" spans="1:70">
      <c r="A54" s="89" t="s">
        <v>2164</v>
      </c>
      <c r="B54" s="89" t="s">
        <v>2634</v>
      </c>
      <c r="C54" s="89" t="s">
        <v>2481</v>
      </c>
      <c r="D54" s="89" t="s">
        <v>2859</v>
      </c>
      <c r="E54" s="89" t="s">
        <v>2859</v>
      </c>
      <c r="F54" s="89" t="s">
        <v>2859</v>
      </c>
      <c r="G54" s="89" t="s">
        <v>2860</v>
      </c>
      <c r="H54" s="89" t="s">
        <v>2859</v>
      </c>
      <c r="I54" s="89" t="s">
        <v>1111</v>
      </c>
      <c r="J54" s="89" t="s">
        <v>2859</v>
      </c>
      <c r="K54" s="89" t="s">
        <v>2859</v>
      </c>
      <c r="L54" s="89" t="s">
        <v>2859</v>
      </c>
      <c r="M54" s="89" t="s">
        <v>2859</v>
      </c>
      <c r="N54" s="89" t="s">
        <v>2859</v>
      </c>
      <c r="O54" s="89" t="s">
        <v>2859</v>
      </c>
      <c r="P54" s="89" t="s">
        <v>2859</v>
      </c>
      <c r="Q54" s="89" t="s">
        <v>2859</v>
      </c>
      <c r="R54" s="89" t="s">
        <v>2859</v>
      </c>
      <c r="S54" s="89" t="s">
        <v>2859</v>
      </c>
      <c r="T54" s="89" t="s">
        <v>2859</v>
      </c>
      <c r="U54" s="89" t="s">
        <v>2859</v>
      </c>
      <c r="V54" s="89" t="s">
        <v>2859</v>
      </c>
      <c r="W54" s="89" t="s">
        <v>2859</v>
      </c>
      <c r="X54" s="89" t="s">
        <v>2859</v>
      </c>
      <c r="Y54" s="89" t="s">
        <v>2859</v>
      </c>
      <c r="Z54" s="89" t="s">
        <v>2859</v>
      </c>
      <c r="AA54" s="89" t="s">
        <v>2859</v>
      </c>
      <c r="AB54" s="89" t="s">
        <v>2859</v>
      </c>
      <c r="AC54" s="89" t="s">
        <v>2859</v>
      </c>
      <c r="AD54" s="89" t="s">
        <v>2859</v>
      </c>
      <c r="AE54" s="89" t="s">
        <v>2859</v>
      </c>
      <c r="AF54" s="89" t="s">
        <v>2859</v>
      </c>
      <c r="AG54" s="89" t="s">
        <v>2859</v>
      </c>
      <c r="AH54" s="89" t="s">
        <v>2859</v>
      </c>
      <c r="AI54" s="89" t="s">
        <v>2859</v>
      </c>
      <c r="AJ54" s="89" t="s">
        <v>2859</v>
      </c>
      <c r="AK54" s="89" t="s">
        <v>2859</v>
      </c>
      <c r="AL54" s="89" t="s">
        <v>2859</v>
      </c>
      <c r="AM54" s="89" t="s">
        <v>2859</v>
      </c>
      <c r="AN54" s="89" t="s">
        <v>2859</v>
      </c>
      <c r="AO54" s="89" t="s">
        <v>2859</v>
      </c>
      <c r="AP54" s="89" t="s">
        <v>2859</v>
      </c>
      <c r="AQ54" s="89" t="s">
        <v>2859</v>
      </c>
      <c r="AR54" s="89" t="s">
        <v>2859</v>
      </c>
      <c r="AS54" s="89" t="s">
        <v>2859</v>
      </c>
      <c r="AT54" s="89" t="s">
        <v>2859</v>
      </c>
      <c r="AU54" s="89" t="s">
        <v>2859</v>
      </c>
      <c r="AV54" s="89" t="s">
        <v>2859</v>
      </c>
      <c r="AW54" s="89" t="s">
        <v>2859</v>
      </c>
      <c r="AX54" s="89" t="s">
        <v>2859</v>
      </c>
      <c r="AY54" s="89" t="s">
        <v>2859</v>
      </c>
      <c r="AZ54" s="89" t="s">
        <v>2859</v>
      </c>
      <c r="BA54" s="89" t="s">
        <v>2859</v>
      </c>
      <c r="BB54" s="89" t="s">
        <v>2859</v>
      </c>
      <c r="BC54" s="89" t="s">
        <v>2859</v>
      </c>
      <c r="BD54" s="89" t="s">
        <v>2859</v>
      </c>
      <c r="BE54" s="89" t="s">
        <v>2859</v>
      </c>
      <c r="BF54" s="89" t="s">
        <v>2859</v>
      </c>
      <c r="BG54" s="89" t="s">
        <v>2859</v>
      </c>
      <c r="BH54" s="89" t="s">
        <v>2859</v>
      </c>
      <c r="BI54" s="89" t="s">
        <v>2859</v>
      </c>
      <c r="BJ54" s="89" t="s">
        <v>2859</v>
      </c>
      <c r="BK54" s="89" t="s">
        <v>2859</v>
      </c>
      <c r="BL54" s="89" t="s">
        <v>2859</v>
      </c>
      <c r="BM54" s="89" t="s">
        <v>2859</v>
      </c>
      <c r="BN54" s="89" t="s">
        <v>2859</v>
      </c>
      <c r="BO54" s="89" t="s">
        <v>2859</v>
      </c>
      <c r="BP54" s="89" t="s">
        <v>2859</v>
      </c>
      <c r="BQ54" s="89" t="s">
        <v>3690</v>
      </c>
      <c r="BR54" s="89" t="s">
        <v>2859</v>
      </c>
    </row>
    <row r="55" spans="1:70">
      <c r="A55" s="89" t="s">
        <v>2164</v>
      </c>
      <c r="B55" s="89" t="s">
        <v>3691</v>
      </c>
      <c r="C55" s="89" t="s">
        <v>3692</v>
      </c>
      <c r="D55" s="89" t="s">
        <v>2859</v>
      </c>
      <c r="E55" s="89" t="s">
        <v>2859</v>
      </c>
      <c r="F55" s="89" t="s">
        <v>2859</v>
      </c>
      <c r="G55" s="89" t="s">
        <v>2860</v>
      </c>
      <c r="H55" s="89" t="s">
        <v>2859</v>
      </c>
      <c r="I55" s="89" t="s">
        <v>2865</v>
      </c>
      <c r="J55" s="89" t="s">
        <v>2859</v>
      </c>
      <c r="K55" s="89" t="s">
        <v>2859</v>
      </c>
      <c r="L55" s="89" t="s">
        <v>2859</v>
      </c>
      <c r="M55" s="89" t="s">
        <v>2859</v>
      </c>
      <c r="N55" s="89" t="s">
        <v>2859</v>
      </c>
      <c r="O55" s="89" t="s">
        <v>2859</v>
      </c>
      <c r="P55" s="89" t="s">
        <v>2859</v>
      </c>
      <c r="Q55" s="89" t="s">
        <v>2859</v>
      </c>
      <c r="R55" s="89" t="s">
        <v>2859</v>
      </c>
      <c r="S55" s="89" t="s">
        <v>2859</v>
      </c>
      <c r="T55" s="89" t="s">
        <v>2859</v>
      </c>
      <c r="U55" s="89" t="s">
        <v>2859</v>
      </c>
      <c r="V55" s="89" t="s">
        <v>2859</v>
      </c>
      <c r="W55" s="89" t="s">
        <v>2859</v>
      </c>
      <c r="X55" s="89" t="s">
        <v>2859</v>
      </c>
      <c r="Y55" s="89" t="s">
        <v>2859</v>
      </c>
      <c r="Z55" s="89" t="s">
        <v>2859</v>
      </c>
      <c r="AA55" s="89" t="s">
        <v>2859</v>
      </c>
      <c r="AB55" s="89" t="s">
        <v>2859</v>
      </c>
      <c r="AC55" s="89" t="s">
        <v>2859</v>
      </c>
      <c r="AD55" s="89" t="s">
        <v>2859</v>
      </c>
      <c r="AE55" s="89" t="s">
        <v>2859</v>
      </c>
      <c r="AF55" s="89" t="s">
        <v>2859</v>
      </c>
      <c r="AG55" s="89" t="s">
        <v>2859</v>
      </c>
      <c r="AH55" s="89" t="s">
        <v>2859</v>
      </c>
      <c r="AI55" s="89" t="s">
        <v>2859</v>
      </c>
      <c r="AJ55" s="89" t="s">
        <v>2859</v>
      </c>
      <c r="AK55" s="89" t="s">
        <v>2859</v>
      </c>
      <c r="AL55" s="89" t="s">
        <v>2859</v>
      </c>
      <c r="AM55" s="89" t="s">
        <v>2859</v>
      </c>
      <c r="AN55" s="89" t="s">
        <v>2859</v>
      </c>
      <c r="AO55" s="89" t="s">
        <v>2859</v>
      </c>
      <c r="AP55" s="89" t="s">
        <v>2859</v>
      </c>
      <c r="AQ55" s="89" t="s">
        <v>2859</v>
      </c>
      <c r="AR55" s="89" t="s">
        <v>2859</v>
      </c>
      <c r="AS55" s="89" t="s">
        <v>2859</v>
      </c>
      <c r="AT55" s="89" t="s">
        <v>2859</v>
      </c>
      <c r="AU55" s="89" t="s">
        <v>2859</v>
      </c>
      <c r="AV55" s="89" t="s">
        <v>2859</v>
      </c>
      <c r="AW55" s="89" t="s">
        <v>2859</v>
      </c>
      <c r="AX55" s="89" t="s">
        <v>2859</v>
      </c>
      <c r="AY55" s="89" t="s">
        <v>2859</v>
      </c>
      <c r="AZ55" s="89" t="s">
        <v>2859</v>
      </c>
      <c r="BA55" s="89" t="s">
        <v>2859</v>
      </c>
      <c r="BB55" s="89" t="s">
        <v>2859</v>
      </c>
      <c r="BC55" s="89" t="s">
        <v>2859</v>
      </c>
      <c r="BD55" s="89" t="s">
        <v>2859</v>
      </c>
      <c r="BE55" s="89" t="s">
        <v>2859</v>
      </c>
      <c r="BF55" s="89" t="s">
        <v>2859</v>
      </c>
      <c r="BG55" s="89" t="s">
        <v>2859</v>
      </c>
      <c r="BH55" s="89" t="s">
        <v>2859</v>
      </c>
      <c r="BI55" s="89" t="s">
        <v>2859</v>
      </c>
      <c r="BJ55" s="89" t="s">
        <v>2859</v>
      </c>
      <c r="BK55" s="89" t="s">
        <v>2859</v>
      </c>
      <c r="BL55" s="89" t="s">
        <v>2859</v>
      </c>
      <c r="BM55" s="89" t="s">
        <v>2859</v>
      </c>
      <c r="BN55" s="89" t="s">
        <v>2859</v>
      </c>
      <c r="BO55" s="89" t="s">
        <v>2859</v>
      </c>
      <c r="BP55" s="89" t="s">
        <v>2859</v>
      </c>
      <c r="BQ55" s="89" t="s">
        <v>3693</v>
      </c>
      <c r="BR55" s="89" t="s">
        <v>2859</v>
      </c>
    </row>
    <row r="56" spans="1:70">
      <c r="A56" s="89" t="s">
        <v>2164</v>
      </c>
      <c r="B56" s="89" t="s">
        <v>3694</v>
      </c>
      <c r="C56" s="89" t="s">
        <v>3692</v>
      </c>
      <c r="D56" s="89" t="s">
        <v>2859</v>
      </c>
      <c r="E56" s="89" t="s">
        <v>2859</v>
      </c>
      <c r="F56" s="89" t="s">
        <v>2859</v>
      </c>
      <c r="G56" s="89" t="s">
        <v>2860</v>
      </c>
      <c r="H56" s="89" t="s">
        <v>2859</v>
      </c>
      <c r="I56" s="89" t="s">
        <v>2865</v>
      </c>
      <c r="J56" s="89" t="s">
        <v>2859</v>
      </c>
      <c r="K56" s="89" t="s">
        <v>2859</v>
      </c>
      <c r="L56" s="89" t="s">
        <v>2859</v>
      </c>
      <c r="M56" s="89" t="s">
        <v>2859</v>
      </c>
      <c r="N56" s="89" t="s">
        <v>2859</v>
      </c>
      <c r="O56" s="89" t="s">
        <v>2859</v>
      </c>
      <c r="P56" s="89" t="s">
        <v>2859</v>
      </c>
      <c r="Q56" s="89" t="s">
        <v>2859</v>
      </c>
      <c r="R56" s="89" t="s">
        <v>2859</v>
      </c>
      <c r="S56" s="89" t="s">
        <v>2859</v>
      </c>
      <c r="T56" s="89" t="s">
        <v>2859</v>
      </c>
      <c r="U56" s="89" t="s">
        <v>2859</v>
      </c>
      <c r="V56" s="89" t="s">
        <v>2859</v>
      </c>
      <c r="W56" s="89" t="s">
        <v>2859</v>
      </c>
      <c r="X56" s="89" t="s">
        <v>2859</v>
      </c>
      <c r="Y56" s="89" t="s">
        <v>2859</v>
      </c>
      <c r="Z56" s="89" t="s">
        <v>2859</v>
      </c>
      <c r="AA56" s="89" t="s">
        <v>2859</v>
      </c>
      <c r="AB56" s="89" t="s">
        <v>2859</v>
      </c>
      <c r="AC56" s="89" t="s">
        <v>2859</v>
      </c>
      <c r="AD56" s="89" t="s">
        <v>2859</v>
      </c>
      <c r="AE56" s="89" t="s">
        <v>2859</v>
      </c>
      <c r="AF56" s="89" t="s">
        <v>2859</v>
      </c>
      <c r="AG56" s="89" t="s">
        <v>2859</v>
      </c>
      <c r="AH56" s="89" t="s">
        <v>2859</v>
      </c>
      <c r="AI56" s="89" t="s">
        <v>2859</v>
      </c>
      <c r="AJ56" s="89" t="s">
        <v>2859</v>
      </c>
      <c r="AK56" s="89" t="s">
        <v>2859</v>
      </c>
      <c r="AL56" s="89" t="s">
        <v>2859</v>
      </c>
      <c r="AM56" s="89" t="s">
        <v>2859</v>
      </c>
      <c r="AN56" s="89" t="s">
        <v>2859</v>
      </c>
      <c r="AO56" s="89" t="s">
        <v>2859</v>
      </c>
      <c r="AP56" s="89" t="s">
        <v>2859</v>
      </c>
      <c r="AQ56" s="89" t="s">
        <v>2859</v>
      </c>
      <c r="AR56" s="89" t="s">
        <v>2859</v>
      </c>
      <c r="AS56" s="89" t="s">
        <v>2859</v>
      </c>
      <c r="AT56" s="89" t="s">
        <v>2859</v>
      </c>
      <c r="AU56" s="89" t="s">
        <v>2859</v>
      </c>
      <c r="AV56" s="89" t="s">
        <v>2859</v>
      </c>
      <c r="AW56" s="89" t="s">
        <v>2859</v>
      </c>
      <c r="AX56" s="89" t="s">
        <v>2859</v>
      </c>
      <c r="AY56" s="89" t="s">
        <v>2859</v>
      </c>
      <c r="AZ56" s="89" t="s">
        <v>2859</v>
      </c>
      <c r="BA56" s="89" t="s">
        <v>2859</v>
      </c>
      <c r="BB56" s="89" t="s">
        <v>2859</v>
      </c>
      <c r="BC56" s="89" t="s">
        <v>2859</v>
      </c>
      <c r="BD56" s="89" t="s">
        <v>2859</v>
      </c>
      <c r="BE56" s="89" t="s">
        <v>2859</v>
      </c>
      <c r="BF56" s="89" t="s">
        <v>2859</v>
      </c>
      <c r="BG56" s="89" t="s">
        <v>2859</v>
      </c>
      <c r="BH56" s="89" t="s">
        <v>2859</v>
      </c>
      <c r="BI56" s="89" t="s">
        <v>2859</v>
      </c>
      <c r="BJ56" s="89" t="s">
        <v>2859</v>
      </c>
      <c r="BK56" s="89" t="s">
        <v>2859</v>
      </c>
      <c r="BL56" s="89" t="s">
        <v>2859</v>
      </c>
      <c r="BM56" s="89" t="s">
        <v>2859</v>
      </c>
      <c r="BN56" s="89" t="s">
        <v>2859</v>
      </c>
      <c r="BO56" s="89" t="s">
        <v>2859</v>
      </c>
      <c r="BP56" s="89" t="s">
        <v>2859</v>
      </c>
      <c r="BQ56" s="89" t="s">
        <v>3695</v>
      </c>
      <c r="BR56" s="89" t="s">
        <v>2859</v>
      </c>
    </row>
    <row r="57" spans="1:70">
      <c r="A57" s="89" t="s">
        <v>2164</v>
      </c>
      <c r="B57" s="89" t="s">
        <v>3696</v>
      </c>
      <c r="C57" s="89" t="s">
        <v>2481</v>
      </c>
      <c r="D57" s="89" t="s">
        <v>2859</v>
      </c>
      <c r="E57" s="89" t="s">
        <v>2859</v>
      </c>
      <c r="F57" s="89" t="s">
        <v>2859</v>
      </c>
      <c r="G57" s="89" t="s">
        <v>2860</v>
      </c>
      <c r="H57" s="89" t="s">
        <v>2859</v>
      </c>
      <c r="I57" s="89" t="s">
        <v>2865</v>
      </c>
      <c r="J57" s="89" t="s">
        <v>2859</v>
      </c>
      <c r="K57" s="89" t="s">
        <v>2859</v>
      </c>
      <c r="L57" s="89" t="s">
        <v>2859</v>
      </c>
      <c r="M57" s="89" t="s">
        <v>2859</v>
      </c>
      <c r="N57" s="89" t="s">
        <v>2859</v>
      </c>
      <c r="O57" s="89" t="s">
        <v>2859</v>
      </c>
      <c r="P57" s="89" t="s">
        <v>2859</v>
      </c>
      <c r="Q57" s="89" t="s">
        <v>2859</v>
      </c>
      <c r="R57" s="89" t="s">
        <v>2859</v>
      </c>
      <c r="S57" s="89" t="s">
        <v>2859</v>
      </c>
      <c r="T57" s="89" t="s">
        <v>2859</v>
      </c>
      <c r="U57" s="89" t="s">
        <v>2859</v>
      </c>
      <c r="V57" s="89" t="s">
        <v>2859</v>
      </c>
      <c r="W57" s="89" t="s">
        <v>2859</v>
      </c>
      <c r="X57" s="89" t="s">
        <v>2859</v>
      </c>
      <c r="Y57" s="89" t="s">
        <v>2859</v>
      </c>
      <c r="Z57" s="89" t="s">
        <v>2859</v>
      </c>
      <c r="AA57" s="89" t="s">
        <v>2859</v>
      </c>
      <c r="AB57" s="89" t="s">
        <v>2859</v>
      </c>
      <c r="AC57" s="89" t="s">
        <v>2859</v>
      </c>
      <c r="AD57" s="89" t="s">
        <v>2859</v>
      </c>
      <c r="AE57" s="89" t="s">
        <v>2859</v>
      </c>
      <c r="AF57" s="89" t="s">
        <v>2859</v>
      </c>
      <c r="AG57" s="89" t="s">
        <v>2859</v>
      </c>
      <c r="AH57" s="89" t="s">
        <v>2859</v>
      </c>
      <c r="AI57" s="89" t="s">
        <v>2859</v>
      </c>
      <c r="AJ57" s="89" t="s">
        <v>2859</v>
      </c>
      <c r="AK57" s="89" t="s">
        <v>2859</v>
      </c>
      <c r="AL57" s="89" t="s">
        <v>2859</v>
      </c>
      <c r="AM57" s="89" t="s">
        <v>2859</v>
      </c>
      <c r="AN57" s="89" t="s">
        <v>2859</v>
      </c>
      <c r="AO57" s="89" t="s">
        <v>2859</v>
      </c>
      <c r="AP57" s="89" t="s">
        <v>2859</v>
      </c>
      <c r="AQ57" s="89" t="s">
        <v>2859</v>
      </c>
      <c r="AR57" s="89" t="s">
        <v>2859</v>
      </c>
      <c r="AS57" s="89" t="s">
        <v>2859</v>
      </c>
      <c r="AT57" s="89" t="s">
        <v>2859</v>
      </c>
      <c r="AU57" s="89" t="s">
        <v>2859</v>
      </c>
      <c r="AV57" s="89" t="s">
        <v>2859</v>
      </c>
      <c r="AW57" s="89" t="s">
        <v>2859</v>
      </c>
      <c r="AX57" s="89" t="s">
        <v>2859</v>
      </c>
      <c r="AY57" s="89" t="s">
        <v>2859</v>
      </c>
      <c r="AZ57" s="89" t="s">
        <v>2859</v>
      </c>
      <c r="BA57" s="89" t="s">
        <v>2859</v>
      </c>
      <c r="BB57" s="89" t="s">
        <v>2859</v>
      </c>
      <c r="BC57" s="89" t="s">
        <v>2859</v>
      </c>
      <c r="BD57" s="89" t="s">
        <v>2859</v>
      </c>
      <c r="BE57" s="89" t="s">
        <v>2859</v>
      </c>
      <c r="BF57" s="89" t="s">
        <v>2859</v>
      </c>
      <c r="BG57" s="89" t="s">
        <v>2859</v>
      </c>
      <c r="BH57" s="89" t="s">
        <v>2859</v>
      </c>
      <c r="BI57" s="89" t="s">
        <v>2859</v>
      </c>
      <c r="BJ57" s="89" t="s">
        <v>2859</v>
      </c>
      <c r="BK57" s="89" t="s">
        <v>2859</v>
      </c>
      <c r="BL57" s="89" t="s">
        <v>2859</v>
      </c>
      <c r="BM57" s="89" t="s">
        <v>2859</v>
      </c>
      <c r="BN57" s="89" t="s">
        <v>2859</v>
      </c>
      <c r="BO57" s="89" t="s">
        <v>2859</v>
      </c>
      <c r="BP57" s="89" t="s">
        <v>2859</v>
      </c>
      <c r="BQ57" s="89" t="s">
        <v>3697</v>
      </c>
      <c r="BR57" s="89" t="s">
        <v>2859</v>
      </c>
    </row>
    <row r="58" spans="1:70">
      <c r="A58" s="89" t="s">
        <v>2164</v>
      </c>
      <c r="B58" s="89" t="s">
        <v>3698</v>
      </c>
      <c r="C58" s="89" t="s">
        <v>2481</v>
      </c>
      <c r="D58" s="89" t="s">
        <v>2859</v>
      </c>
      <c r="E58" s="89" t="s">
        <v>2859</v>
      </c>
      <c r="F58" s="89" t="s">
        <v>2859</v>
      </c>
      <c r="G58" s="89" t="s">
        <v>2860</v>
      </c>
      <c r="H58" s="89" t="s">
        <v>2859</v>
      </c>
      <c r="I58" s="89" t="s">
        <v>2865</v>
      </c>
      <c r="J58" s="89" t="s">
        <v>2859</v>
      </c>
      <c r="K58" s="89" t="s">
        <v>2859</v>
      </c>
      <c r="L58" s="89" t="s">
        <v>2859</v>
      </c>
      <c r="M58" s="89" t="s">
        <v>2859</v>
      </c>
      <c r="N58" s="89" t="s">
        <v>2859</v>
      </c>
      <c r="O58" s="89" t="s">
        <v>2859</v>
      </c>
      <c r="P58" s="89" t="s">
        <v>2859</v>
      </c>
      <c r="Q58" s="89" t="s">
        <v>2859</v>
      </c>
      <c r="R58" s="89" t="s">
        <v>2859</v>
      </c>
      <c r="S58" s="89" t="s">
        <v>2859</v>
      </c>
      <c r="T58" s="89" t="s">
        <v>2859</v>
      </c>
      <c r="U58" s="89" t="s">
        <v>2859</v>
      </c>
      <c r="V58" s="89" t="s">
        <v>2859</v>
      </c>
      <c r="W58" s="89" t="s">
        <v>2859</v>
      </c>
      <c r="X58" s="89" t="s">
        <v>2859</v>
      </c>
      <c r="Y58" s="89" t="s">
        <v>2859</v>
      </c>
      <c r="Z58" s="89" t="s">
        <v>2859</v>
      </c>
      <c r="AA58" s="89" t="s">
        <v>2859</v>
      </c>
      <c r="AB58" s="89" t="s">
        <v>2859</v>
      </c>
      <c r="AC58" s="89" t="s">
        <v>2859</v>
      </c>
      <c r="AD58" s="89" t="s">
        <v>2859</v>
      </c>
      <c r="AE58" s="89" t="s">
        <v>2859</v>
      </c>
      <c r="AF58" s="89" t="s">
        <v>2859</v>
      </c>
      <c r="AG58" s="89" t="s">
        <v>2859</v>
      </c>
      <c r="AH58" s="89" t="s">
        <v>2859</v>
      </c>
      <c r="AI58" s="89" t="s">
        <v>2859</v>
      </c>
      <c r="AJ58" s="89" t="s">
        <v>2859</v>
      </c>
      <c r="AK58" s="89" t="s">
        <v>2859</v>
      </c>
      <c r="AL58" s="89" t="s">
        <v>2859</v>
      </c>
      <c r="AM58" s="89" t="s">
        <v>2859</v>
      </c>
      <c r="AN58" s="89" t="s">
        <v>2859</v>
      </c>
      <c r="AO58" s="89" t="s">
        <v>2859</v>
      </c>
      <c r="AP58" s="89" t="s">
        <v>2859</v>
      </c>
      <c r="AQ58" s="89" t="s">
        <v>2859</v>
      </c>
      <c r="AR58" s="89" t="s">
        <v>2859</v>
      </c>
      <c r="AS58" s="89" t="s">
        <v>2859</v>
      </c>
      <c r="AT58" s="89" t="s">
        <v>2859</v>
      </c>
      <c r="AU58" s="89" t="s">
        <v>2859</v>
      </c>
      <c r="AV58" s="89" t="s">
        <v>2859</v>
      </c>
      <c r="AW58" s="89" t="s">
        <v>2859</v>
      </c>
      <c r="AX58" s="89" t="s">
        <v>2859</v>
      </c>
      <c r="AY58" s="89" t="s">
        <v>2859</v>
      </c>
      <c r="AZ58" s="89" t="s">
        <v>2859</v>
      </c>
      <c r="BA58" s="89" t="s">
        <v>2859</v>
      </c>
      <c r="BB58" s="89" t="s">
        <v>2859</v>
      </c>
      <c r="BC58" s="89" t="s">
        <v>2859</v>
      </c>
      <c r="BD58" s="89" t="s">
        <v>2859</v>
      </c>
      <c r="BE58" s="89" t="s">
        <v>2859</v>
      </c>
      <c r="BF58" s="89" t="s">
        <v>2859</v>
      </c>
      <c r="BG58" s="89" t="s">
        <v>2859</v>
      </c>
      <c r="BH58" s="89" t="s">
        <v>2859</v>
      </c>
      <c r="BI58" s="89" t="s">
        <v>2859</v>
      </c>
      <c r="BJ58" s="89" t="s">
        <v>2859</v>
      </c>
      <c r="BK58" s="89" t="s">
        <v>2859</v>
      </c>
      <c r="BL58" s="89" t="s">
        <v>2859</v>
      </c>
      <c r="BM58" s="89" t="s">
        <v>2859</v>
      </c>
      <c r="BN58" s="89" t="s">
        <v>2859</v>
      </c>
      <c r="BO58" s="89" t="s">
        <v>2859</v>
      </c>
      <c r="BP58" s="89" t="s">
        <v>2859</v>
      </c>
      <c r="BQ58" s="89" t="s">
        <v>3699</v>
      </c>
      <c r="BR58" s="89" t="s">
        <v>2859</v>
      </c>
    </row>
    <row r="59" spans="1:70">
      <c r="A59" s="89" t="s">
        <v>2164</v>
      </c>
      <c r="B59" s="89" t="s">
        <v>3700</v>
      </c>
      <c r="C59" s="89" t="s">
        <v>2483</v>
      </c>
      <c r="D59" s="89" t="s">
        <v>2859</v>
      </c>
      <c r="E59" s="89" t="s">
        <v>2859</v>
      </c>
      <c r="F59" s="89" t="s">
        <v>2859</v>
      </c>
      <c r="G59" s="89" t="s">
        <v>2860</v>
      </c>
      <c r="H59" s="89" t="s">
        <v>2859</v>
      </c>
      <c r="I59" s="89" t="s">
        <v>2865</v>
      </c>
      <c r="J59" s="89" t="s">
        <v>2859</v>
      </c>
      <c r="K59" s="89" t="s">
        <v>2859</v>
      </c>
      <c r="L59" s="89" t="s">
        <v>2859</v>
      </c>
      <c r="M59" s="89" t="s">
        <v>2859</v>
      </c>
      <c r="N59" s="89" t="s">
        <v>2859</v>
      </c>
      <c r="O59" s="89" t="s">
        <v>2859</v>
      </c>
      <c r="P59" s="89" t="s">
        <v>2859</v>
      </c>
      <c r="Q59" s="89" t="s">
        <v>2859</v>
      </c>
      <c r="R59" s="89" t="s">
        <v>2859</v>
      </c>
      <c r="S59" s="89" t="s">
        <v>2859</v>
      </c>
      <c r="T59" s="89" t="s">
        <v>2859</v>
      </c>
      <c r="U59" s="89" t="s">
        <v>2859</v>
      </c>
      <c r="V59" s="89" t="s">
        <v>2859</v>
      </c>
      <c r="W59" s="89" t="s">
        <v>2859</v>
      </c>
      <c r="X59" s="89" t="s">
        <v>2859</v>
      </c>
      <c r="Y59" s="89" t="s">
        <v>2859</v>
      </c>
      <c r="Z59" s="89" t="s">
        <v>2859</v>
      </c>
      <c r="AA59" s="89" t="s">
        <v>2859</v>
      </c>
      <c r="AB59" s="89" t="s">
        <v>2859</v>
      </c>
      <c r="AC59" s="89" t="s">
        <v>2859</v>
      </c>
      <c r="AD59" s="89" t="s">
        <v>2859</v>
      </c>
      <c r="AE59" s="89" t="s">
        <v>2859</v>
      </c>
      <c r="AF59" s="89" t="s">
        <v>2859</v>
      </c>
      <c r="AG59" s="89" t="s">
        <v>2859</v>
      </c>
      <c r="AH59" s="89" t="s">
        <v>2859</v>
      </c>
      <c r="AI59" s="89" t="s">
        <v>2859</v>
      </c>
      <c r="AJ59" s="89" t="s">
        <v>2859</v>
      </c>
      <c r="AK59" s="89" t="s">
        <v>2859</v>
      </c>
      <c r="AL59" s="89" t="s">
        <v>2859</v>
      </c>
      <c r="AM59" s="89" t="s">
        <v>2859</v>
      </c>
      <c r="AN59" s="89" t="s">
        <v>2859</v>
      </c>
      <c r="AO59" s="89" t="s">
        <v>2859</v>
      </c>
      <c r="AP59" s="89" t="s">
        <v>2859</v>
      </c>
      <c r="AQ59" s="89" t="s">
        <v>2859</v>
      </c>
      <c r="AR59" s="89" t="s">
        <v>2859</v>
      </c>
      <c r="AS59" s="89" t="s">
        <v>2859</v>
      </c>
      <c r="AT59" s="89" t="s">
        <v>2859</v>
      </c>
      <c r="AU59" s="89" t="s">
        <v>2859</v>
      </c>
      <c r="AV59" s="89" t="s">
        <v>2859</v>
      </c>
      <c r="AW59" s="89" t="s">
        <v>2859</v>
      </c>
      <c r="AX59" s="89" t="s">
        <v>2859</v>
      </c>
      <c r="AY59" s="89" t="s">
        <v>2859</v>
      </c>
      <c r="AZ59" s="89" t="s">
        <v>2859</v>
      </c>
      <c r="BA59" s="89" t="s">
        <v>2859</v>
      </c>
      <c r="BB59" s="89" t="s">
        <v>2859</v>
      </c>
      <c r="BC59" s="89" t="s">
        <v>2859</v>
      </c>
      <c r="BD59" s="89" t="s">
        <v>2859</v>
      </c>
      <c r="BE59" s="89" t="s">
        <v>2859</v>
      </c>
      <c r="BF59" s="89" t="s">
        <v>2859</v>
      </c>
      <c r="BG59" s="89" t="s">
        <v>2859</v>
      </c>
      <c r="BH59" s="89" t="s">
        <v>2859</v>
      </c>
      <c r="BI59" s="89" t="s">
        <v>2859</v>
      </c>
      <c r="BJ59" s="89" t="s">
        <v>2859</v>
      </c>
      <c r="BK59" s="89" t="s">
        <v>2859</v>
      </c>
      <c r="BL59" s="89" t="s">
        <v>2859</v>
      </c>
      <c r="BM59" s="89" t="s">
        <v>2859</v>
      </c>
      <c r="BN59" s="89" t="s">
        <v>2859</v>
      </c>
      <c r="BO59" s="89" t="s">
        <v>2859</v>
      </c>
      <c r="BP59" s="89" t="s">
        <v>2859</v>
      </c>
      <c r="BQ59" s="89" t="s">
        <v>3701</v>
      </c>
      <c r="BR59" s="89" t="s">
        <v>2859</v>
      </c>
    </row>
    <row r="60" spans="1:70">
      <c r="A60" s="89" t="s">
        <v>2164</v>
      </c>
      <c r="B60" s="89" t="s">
        <v>3702</v>
      </c>
      <c r="C60" s="89" t="s">
        <v>2483</v>
      </c>
      <c r="D60" s="89" t="s">
        <v>2859</v>
      </c>
      <c r="E60" s="89" t="s">
        <v>2859</v>
      </c>
      <c r="F60" s="89" t="s">
        <v>2859</v>
      </c>
      <c r="G60" s="89" t="s">
        <v>2860</v>
      </c>
      <c r="H60" s="89" t="s">
        <v>2859</v>
      </c>
      <c r="I60" s="89" t="s">
        <v>2865</v>
      </c>
      <c r="J60" s="89" t="s">
        <v>2859</v>
      </c>
      <c r="K60" s="89" t="s">
        <v>2859</v>
      </c>
      <c r="L60" s="89" t="s">
        <v>2859</v>
      </c>
      <c r="M60" s="89" t="s">
        <v>2859</v>
      </c>
      <c r="N60" s="89" t="s">
        <v>2859</v>
      </c>
      <c r="O60" s="89" t="s">
        <v>2859</v>
      </c>
      <c r="P60" s="89" t="s">
        <v>2859</v>
      </c>
      <c r="Q60" s="89" t="s">
        <v>2859</v>
      </c>
      <c r="R60" s="89" t="s">
        <v>2859</v>
      </c>
      <c r="S60" s="89" t="s">
        <v>2859</v>
      </c>
      <c r="T60" s="89" t="s">
        <v>2859</v>
      </c>
      <c r="U60" s="89" t="s">
        <v>2859</v>
      </c>
      <c r="V60" s="89" t="s">
        <v>2859</v>
      </c>
      <c r="W60" s="89" t="s">
        <v>2859</v>
      </c>
      <c r="X60" s="89" t="s">
        <v>2859</v>
      </c>
      <c r="Y60" s="89" t="s">
        <v>2859</v>
      </c>
      <c r="Z60" s="89" t="s">
        <v>2859</v>
      </c>
      <c r="AA60" s="89" t="s">
        <v>2859</v>
      </c>
      <c r="AB60" s="89" t="s">
        <v>2859</v>
      </c>
      <c r="AC60" s="89" t="s">
        <v>2859</v>
      </c>
      <c r="AD60" s="89" t="s">
        <v>2859</v>
      </c>
      <c r="AE60" s="89" t="s">
        <v>2859</v>
      </c>
      <c r="AF60" s="89" t="s">
        <v>2859</v>
      </c>
      <c r="AG60" s="89" t="s">
        <v>2859</v>
      </c>
      <c r="AH60" s="89" t="s">
        <v>2859</v>
      </c>
      <c r="AI60" s="89" t="s">
        <v>2859</v>
      </c>
      <c r="AJ60" s="89" t="s">
        <v>2859</v>
      </c>
      <c r="AK60" s="89" t="s">
        <v>2859</v>
      </c>
      <c r="AL60" s="89" t="s">
        <v>2859</v>
      </c>
      <c r="AM60" s="89" t="s">
        <v>2859</v>
      </c>
      <c r="AN60" s="89" t="s">
        <v>2859</v>
      </c>
      <c r="AO60" s="89" t="s">
        <v>2859</v>
      </c>
      <c r="AP60" s="89" t="s">
        <v>2859</v>
      </c>
      <c r="AQ60" s="89" t="s">
        <v>2859</v>
      </c>
      <c r="AR60" s="89" t="s">
        <v>2859</v>
      </c>
      <c r="AS60" s="89" t="s">
        <v>2859</v>
      </c>
      <c r="AT60" s="89" t="s">
        <v>2859</v>
      </c>
      <c r="AU60" s="89" t="s">
        <v>2859</v>
      </c>
      <c r="AV60" s="89" t="s">
        <v>2859</v>
      </c>
      <c r="AW60" s="89" t="s">
        <v>2859</v>
      </c>
      <c r="AX60" s="89" t="s">
        <v>2859</v>
      </c>
      <c r="AY60" s="89" t="s">
        <v>2859</v>
      </c>
      <c r="AZ60" s="89" t="s">
        <v>2859</v>
      </c>
      <c r="BA60" s="89" t="s">
        <v>2859</v>
      </c>
      <c r="BB60" s="89" t="s">
        <v>2859</v>
      </c>
      <c r="BC60" s="89" t="s">
        <v>2859</v>
      </c>
      <c r="BD60" s="89" t="s">
        <v>2859</v>
      </c>
      <c r="BE60" s="89" t="s">
        <v>2859</v>
      </c>
      <c r="BF60" s="89" t="s">
        <v>2859</v>
      </c>
      <c r="BG60" s="89" t="s">
        <v>2859</v>
      </c>
      <c r="BH60" s="89" t="s">
        <v>2859</v>
      </c>
      <c r="BI60" s="89" t="s">
        <v>2859</v>
      </c>
      <c r="BJ60" s="89" t="s">
        <v>2859</v>
      </c>
      <c r="BK60" s="89" t="s">
        <v>2859</v>
      </c>
      <c r="BL60" s="89" t="s">
        <v>2859</v>
      </c>
      <c r="BM60" s="89" t="s">
        <v>2859</v>
      </c>
      <c r="BN60" s="89" t="s">
        <v>2859</v>
      </c>
      <c r="BO60" s="89" t="s">
        <v>2859</v>
      </c>
      <c r="BP60" s="89" t="s">
        <v>2859</v>
      </c>
      <c r="BQ60" s="89" t="s">
        <v>3703</v>
      </c>
      <c r="BR60" s="89" t="s">
        <v>2859</v>
      </c>
    </row>
    <row r="61" spans="1:70">
      <c r="A61" s="89" t="s">
        <v>2164</v>
      </c>
      <c r="B61" s="89" t="s">
        <v>2347</v>
      </c>
      <c r="C61" s="89" t="s">
        <v>2859</v>
      </c>
      <c r="D61" s="89" t="s">
        <v>2859</v>
      </c>
      <c r="E61" s="89" t="s">
        <v>2859</v>
      </c>
      <c r="F61" s="89" t="s">
        <v>2859</v>
      </c>
      <c r="G61" s="89" t="s">
        <v>2860</v>
      </c>
      <c r="H61" s="89" t="s">
        <v>2859</v>
      </c>
      <c r="I61" s="89" t="s">
        <v>2329</v>
      </c>
      <c r="J61" s="89" t="s">
        <v>2859</v>
      </c>
      <c r="K61" s="89" t="s">
        <v>2859</v>
      </c>
      <c r="L61" s="89" t="s">
        <v>2859</v>
      </c>
      <c r="M61" s="89" t="s">
        <v>2859</v>
      </c>
      <c r="N61" s="89" t="s">
        <v>2859</v>
      </c>
      <c r="O61" s="89" t="s">
        <v>2859</v>
      </c>
      <c r="P61" s="89" t="s">
        <v>2859</v>
      </c>
      <c r="Q61" s="89" t="s">
        <v>2859</v>
      </c>
      <c r="R61" s="89" t="s">
        <v>2859</v>
      </c>
      <c r="S61" s="89" t="s">
        <v>2859</v>
      </c>
      <c r="T61" s="89" t="s">
        <v>2859</v>
      </c>
      <c r="U61" s="89" t="s">
        <v>2859</v>
      </c>
      <c r="V61" s="89" t="s">
        <v>2859</v>
      </c>
      <c r="W61" s="89" t="s">
        <v>2859</v>
      </c>
      <c r="X61" s="89" t="s">
        <v>2859</v>
      </c>
      <c r="Y61" s="89" t="s">
        <v>2859</v>
      </c>
      <c r="Z61" s="89" t="s">
        <v>2859</v>
      </c>
      <c r="AA61" s="89" t="s">
        <v>2859</v>
      </c>
      <c r="AB61" s="89" t="s">
        <v>2859</v>
      </c>
      <c r="AC61" s="89" t="s">
        <v>2859</v>
      </c>
      <c r="AD61" s="89" t="s">
        <v>2859</v>
      </c>
      <c r="AE61" s="89" t="s">
        <v>2859</v>
      </c>
      <c r="AF61" s="89" t="s">
        <v>2859</v>
      </c>
      <c r="AG61" s="89" t="s">
        <v>2859</v>
      </c>
      <c r="AH61" s="89" t="s">
        <v>2859</v>
      </c>
      <c r="AI61" s="89" t="s">
        <v>2859</v>
      </c>
      <c r="AJ61" s="89" t="s">
        <v>2859</v>
      </c>
      <c r="AK61" s="89" t="s">
        <v>2859</v>
      </c>
      <c r="AL61" s="89" t="s">
        <v>2859</v>
      </c>
      <c r="AM61" s="89" t="s">
        <v>2859</v>
      </c>
      <c r="AN61" s="89" t="s">
        <v>2859</v>
      </c>
      <c r="AO61" s="89" t="s">
        <v>2859</v>
      </c>
      <c r="AP61" s="89" t="s">
        <v>2859</v>
      </c>
      <c r="AQ61" s="89" t="s">
        <v>2859</v>
      </c>
      <c r="AR61" s="89" t="s">
        <v>2859</v>
      </c>
      <c r="AS61" s="89" t="s">
        <v>2859</v>
      </c>
      <c r="AT61" s="89" t="s">
        <v>2859</v>
      </c>
      <c r="AU61" s="89" t="s">
        <v>2859</v>
      </c>
      <c r="AV61" s="89" t="s">
        <v>2859</v>
      </c>
      <c r="AW61" s="89" t="s">
        <v>2859</v>
      </c>
      <c r="AX61" s="89" t="s">
        <v>2859</v>
      </c>
      <c r="AY61" s="89" t="s">
        <v>2859</v>
      </c>
      <c r="AZ61" s="89" t="s">
        <v>2859</v>
      </c>
      <c r="BA61" s="89" t="s">
        <v>2859</v>
      </c>
      <c r="BB61" s="89" t="s">
        <v>2859</v>
      </c>
      <c r="BC61" s="89" t="s">
        <v>2859</v>
      </c>
      <c r="BD61" s="89" t="s">
        <v>2859</v>
      </c>
      <c r="BE61" s="89" t="s">
        <v>2859</v>
      </c>
      <c r="BF61" s="89" t="s">
        <v>2859</v>
      </c>
      <c r="BG61" s="89" t="s">
        <v>2859</v>
      </c>
      <c r="BH61" s="89" t="s">
        <v>2859</v>
      </c>
      <c r="BI61" s="89" t="s">
        <v>2859</v>
      </c>
      <c r="BJ61" s="89" t="s">
        <v>2859</v>
      </c>
      <c r="BK61" s="89" t="s">
        <v>2859</v>
      </c>
      <c r="BL61" s="89" t="s">
        <v>2859</v>
      </c>
      <c r="BM61" s="89" t="s">
        <v>2859</v>
      </c>
      <c r="BN61" s="89" t="s">
        <v>2859</v>
      </c>
      <c r="BO61" s="89" t="s">
        <v>2859</v>
      </c>
      <c r="BP61" s="89" t="s">
        <v>2859</v>
      </c>
      <c r="BQ61" s="89" t="s">
        <v>3704</v>
      </c>
      <c r="BR61" s="89" t="s">
        <v>2859</v>
      </c>
    </row>
    <row r="62" spans="1:70">
      <c r="A62" s="89" t="s">
        <v>2164</v>
      </c>
      <c r="B62" s="89" t="s">
        <v>2348</v>
      </c>
      <c r="C62" s="89" t="s">
        <v>2859</v>
      </c>
      <c r="D62" s="89" t="s">
        <v>2859</v>
      </c>
      <c r="E62" s="89" t="s">
        <v>2859</v>
      </c>
      <c r="F62" s="89" t="s">
        <v>2859</v>
      </c>
      <c r="G62" s="89" t="s">
        <v>2860</v>
      </c>
      <c r="H62" s="89" t="s">
        <v>2859</v>
      </c>
      <c r="I62" s="89" t="s">
        <v>2329</v>
      </c>
      <c r="J62" s="89" t="s">
        <v>2859</v>
      </c>
      <c r="K62" s="89" t="s">
        <v>2859</v>
      </c>
      <c r="L62" s="89" t="s">
        <v>2859</v>
      </c>
      <c r="M62" s="89" t="s">
        <v>2859</v>
      </c>
      <c r="N62" s="89" t="s">
        <v>2859</v>
      </c>
      <c r="O62" s="89" t="s">
        <v>2859</v>
      </c>
      <c r="P62" s="89" t="s">
        <v>2859</v>
      </c>
      <c r="Q62" s="89" t="s">
        <v>2859</v>
      </c>
      <c r="R62" s="89" t="s">
        <v>2859</v>
      </c>
      <c r="S62" s="89" t="s">
        <v>2859</v>
      </c>
      <c r="T62" s="89" t="s">
        <v>2859</v>
      </c>
      <c r="U62" s="89" t="s">
        <v>2859</v>
      </c>
      <c r="V62" s="89" t="s">
        <v>2859</v>
      </c>
      <c r="W62" s="89" t="s">
        <v>2859</v>
      </c>
      <c r="X62" s="89" t="s">
        <v>2859</v>
      </c>
      <c r="Y62" s="89" t="s">
        <v>2859</v>
      </c>
      <c r="Z62" s="89" t="s">
        <v>2859</v>
      </c>
      <c r="AA62" s="89" t="s">
        <v>2859</v>
      </c>
      <c r="AB62" s="89" t="s">
        <v>2859</v>
      </c>
      <c r="AC62" s="89" t="s">
        <v>2859</v>
      </c>
      <c r="AD62" s="89" t="s">
        <v>2859</v>
      </c>
      <c r="AE62" s="89" t="s">
        <v>2859</v>
      </c>
      <c r="AF62" s="89" t="s">
        <v>2859</v>
      </c>
      <c r="AG62" s="89" t="s">
        <v>2859</v>
      </c>
      <c r="AH62" s="89" t="s">
        <v>2859</v>
      </c>
      <c r="AI62" s="89" t="s">
        <v>2859</v>
      </c>
      <c r="AJ62" s="89" t="s">
        <v>2859</v>
      </c>
      <c r="AK62" s="89" t="s">
        <v>2859</v>
      </c>
      <c r="AL62" s="89" t="s">
        <v>2859</v>
      </c>
      <c r="AM62" s="89" t="s">
        <v>2859</v>
      </c>
      <c r="AN62" s="89" t="s">
        <v>2859</v>
      </c>
      <c r="AO62" s="89" t="s">
        <v>2859</v>
      </c>
      <c r="AP62" s="89" t="s">
        <v>2859</v>
      </c>
      <c r="AQ62" s="89" t="s">
        <v>2859</v>
      </c>
      <c r="AR62" s="89" t="s">
        <v>2859</v>
      </c>
      <c r="AS62" s="89" t="s">
        <v>2859</v>
      </c>
      <c r="AT62" s="89" t="s">
        <v>2859</v>
      </c>
      <c r="AU62" s="89" t="s">
        <v>2859</v>
      </c>
      <c r="AV62" s="89" t="s">
        <v>2859</v>
      </c>
      <c r="AW62" s="89" t="s">
        <v>2859</v>
      </c>
      <c r="AX62" s="89" t="s">
        <v>2859</v>
      </c>
      <c r="AY62" s="89" t="s">
        <v>2859</v>
      </c>
      <c r="AZ62" s="89" t="s">
        <v>2859</v>
      </c>
      <c r="BA62" s="89" t="s">
        <v>2859</v>
      </c>
      <c r="BB62" s="89" t="s">
        <v>2859</v>
      </c>
      <c r="BC62" s="89" t="s">
        <v>2859</v>
      </c>
      <c r="BD62" s="89" t="s">
        <v>2859</v>
      </c>
      <c r="BE62" s="89" t="s">
        <v>2859</v>
      </c>
      <c r="BF62" s="89" t="s">
        <v>2859</v>
      </c>
      <c r="BG62" s="89" t="s">
        <v>2859</v>
      </c>
      <c r="BH62" s="89" t="s">
        <v>2859</v>
      </c>
      <c r="BI62" s="89" t="s">
        <v>2859</v>
      </c>
      <c r="BJ62" s="89" t="s">
        <v>2859</v>
      </c>
      <c r="BK62" s="89" t="s">
        <v>2859</v>
      </c>
      <c r="BL62" s="89" t="s">
        <v>2859</v>
      </c>
      <c r="BM62" s="89" t="s">
        <v>2859</v>
      </c>
      <c r="BN62" s="89" t="s">
        <v>2859</v>
      </c>
      <c r="BO62" s="89" t="s">
        <v>2859</v>
      </c>
      <c r="BP62" s="89" t="s">
        <v>2859</v>
      </c>
      <c r="BQ62" s="89" t="s">
        <v>3705</v>
      </c>
      <c r="BR62" s="89" t="s">
        <v>2859</v>
      </c>
    </row>
    <row r="63" spans="1:70">
      <c r="A63" s="89" t="s">
        <v>2164</v>
      </c>
      <c r="B63" s="89" t="s">
        <v>2489</v>
      </c>
      <c r="C63" s="89" t="s">
        <v>2483</v>
      </c>
      <c r="D63" s="89" t="s">
        <v>2859</v>
      </c>
      <c r="E63" s="89" t="s">
        <v>2859</v>
      </c>
      <c r="F63" s="89" t="s">
        <v>2859</v>
      </c>
      <c r="G63" s="89" t="s">
        <v>2860</v>
      </c>
      <c r="H63" s="89" t="s">
        <v>2859</v>
      </c>
      <c r="I63" s="89" t="s">
        <v>2490</v>
      </c>
      <c r="J63" s="89" t="s">
        <v>2859</v>
      </c>
      <c r="K63" s="89" t="s">
        <v>2859</v>
      </c>
      <c r="L63" s="89" t="s">
        <v>2859</v>
      </c>
      <c r="M63" s="89" t="s">
        <v>2859</v>
      </c>
      <c r="N63" s="89" t="s">
        <v>2859</v>
      </c>
      <c r="O63" s="89" t="s">
        <v>2859</v>
      </c>
      <c r="P63" s="89" t="s">
        <v>2859</v>
      </c>
      <c r="Q63" s="89" t="s">
        <v>2859</v>
      </c>
      <c r="R63" s="89" t="s">
        <v>2859</v>
      </c>
      <c r="S63" s="89" t="s">
        <v>2859</v>
      </c>
      <c r="T63" s="89" t="s">
        <v>2859</v>
      </c>
      <c r="U63" s="89" t="s">
        <v>2859</v>
      </c>
      <c r="V63" s="89" t="s">
        <v>2859</v>
      </c>
      <c r="W63" s="89" t="s">
        <v>2859</v>
      </c>
      <c r="X63" s="89" t="s">
        <v>2859</v>
      </c>
      <c r="Y63" s="89" t="s">
        <v>2859</v>
      </c>
      <c r="Z63" s="89" t="s">
        <v>2859</v>
      </c>
      <c r="AA63" s="89" t="s">
        <v>2859</v>
      </c>
      <c r="AB63" s="89" t="s">
        <v>2859</v>
      </c>
      <c r="AC63" s="89" t="s">
        <v>2859</v>
      </c>
      <c r="AD63" s="89" t="s">
        <v>2859</v>
      </c>
      <c r="AE63" s="89" t="s">
        <v>2859</v>
      </c>
      <c r="AF63" s="89" t="s">
        <v>2859</v>
      </c>
      <c r="AG63" s="89" t="s">
        <v>2859</v>
      </c>
      <c r="AH63" s="89" t="s">
        <v>2859</v>
      </c>
      <c r="AI63" s="89" t="s">
        <v>2859</v>
      </c>
      <c r="AJ63" s="89" t="s">
        <v>2859</v>
      </c>
      <c r="AK63" s="89" t="s">
        <v>2859</v>
      </c>
      <c r="AL63" s="89" t="s">
        <v>2859</v>
      </c>
      <c r="AM63" s="89" t="s">
        <v>2859</v>
      </c>
      <c r="AN63" s="89" t="s">
        <v>2859</v>
      </c>
      <c r="AO63" s="89" t="s">
        <v>2859</v>
      </c>
      <c r="AP63" s="89" t="s">
        <v>2859</v>
      </c>
      <c r="AQ63" s="89" t="s">
        <v>2859</v>
      </c>
      <c r="AR63" s="89" t="s">
        <v>2859</v>
      </c>
      <c r="AS63" s="89" t="s">
        <v>2859</v>
      </c>
      <c r="AT63" s="89" t="s">
        <v>2859</v>
      </c>
      <c r="AU63" s="89" t="s">
        <v>2859</v>
      </c>
      <c r="AV63" s="89" t="s">
        <v>2859</v>
      </c>
      <c r="AW63" s="89" t="s">
        <v>2859</v>
      </c>
      <c r="AX63" s="89" t="s">
        <v>2859</v>
      </c>
      <c r="AY63" s="89" t="s">
        <v>2859</v>
      </c>
      <c r="AZ63" s="89" t="s">
        <v>2859</v>
      </c>
      <c r="BA63" s="89" t="s">
        <v>2859</v>
      </c>
      <c r="BB63" s="89" t="s">
        <v>2859</v>
      </c>
      <c r="BC63" s="89" t="s">
        <v>2859</v>
      </c>
      <c r="BD63" s="89" t="s">
        <v>2859</v>
      </c>
      <c r="BE63" s="89" t="s">
        <v>2859</v>
      </c>
      <c r="BF63" s="89" t="s">
        <v>2859</v>
      </c>
      <c r="BG63" s="89" t="s">
        <v>2859</v>
      </c>
      <c r="BH63" s="89" t="s">
        <v>2859</v>
      </c>
      <c r="BI63" s="89" t="s">
        <v>2859</v>
      </c>
      <c r="BJ63" s="89" t="s">
        <v>2859</v>
      </c>
      <c r="BK63" s="89" t="s">
        <v>2859</v>
      </c>
      <c r="BL63" s="89" t="s">
        <v>2859</v>
      </c>
      <c r="BM63" s="89" t="s">
        <v>2859</v>
      </c>
      <c r="BN63" s="89" t="s">
        <v>2859</v>
      </c>
      <c r="BO63" s="89" t="s">
        <v>2859</v>
      </c>
      <c r="BP63" s="89" t="s">
        <v>2859</v>
      </c>
      <c r="BQ63" s="89" t="s">
        <v>3706</v>
      </c>
      <c r="BR63" s="89" t="s">
        <v>2859</v>
      </c>
    </row>
    <row r="64" spans="1:70">
      <c r="A64" s="89" t="s">
        <v>2164</v>
      </c>
      <c r="B64" s="89" t="s">
        <v>2491</v>
      </c>
      <c r="C64" s="89" t="s">
        <v>2488</v>
      </c>
      <c r="D64" s="89" t="s">
        <v>2859</v>
      </c>
      <c r="E64" s="89" t="s">
        <v>2859</v>
      </c>
      <c r="F64" s="89" t="s">
        <v>2859</v>
      </c>
      <c r="G64" s="89" t="s">
        <v>2860</v>
      </c>
      <c r="H64" s="89" t="s">
        <v>2859</v>
      </c>
      <c r="I64" s="89" t="s">
        <v>120</v>
      </c>
      <c r="J64" s="89" t="s">
        <v>2859</v>
      </c>
      <c r="K64" s="89" t="s">
        <v>2859</v>
      </c>
      <c r="L64" s="89" t="s">
        <v>2859</v>
      </c>
      <c r="M64" s="89" t="s">
        <v>2859</v>
      </c>
      <c r="N64" s="89" t="s">
        <v>2859</v>
      </c>
      <c r="O64" s="89" t="s">
        <v>2859</v>
      </c>
      <c r="P64" s="89" t="s">
        <v>2859</v>
      </c>
      <c r="Q64" s="89" t="s">
        <v>2859</v>
      </c>
      <c r="R64" s="89" t="s">
        <v>2859</v>
      </c>
      <c r="S64" s="89" t="s">
        <v>2859</v>
      </c>
      <c r="T64" s="89" t="s">
        <v>2859</v>
      </c>
      <c r="U64" s="89" t="s">
        <v>2859</v>
      </c>
      <c r="V64" s="89" t="s">
        <v>2859</v>
      </c>
      <c r="W64" s="89" t="s">
        <v>2859</v>
      </c>
      <c r="X64" s="89" t="s">
        <v>2859</v>
      </c>
      <c r="Y64" s="89" t="s">
        <v>2859</v>
      </c>
      <c r="Z64" s="89" t="s">
        <v>2859</v>
      </c>
      <c r="AA64" s="89" t="s">
        <v>2859</v>
      </c>
      <c r="AB64" s="89" t="s">
        <v>2859</v>
      </c>
      <c r="AC64" s="89" t="s">
        <v>2859</v>
      </c>
      <c r="AD64" s="89" t="s">
        <v>2859</v>
      </c>
      <c r="AE64" s="89" t="s">
        <v>2859</v>
      </c>
      <c r="AF64" s="89" t="s">
        <v>2859</v>
      </c>
      <c r="AG64" s="89" t="s">
        <v>2859</v>
      </c>
      <c r="AH64" s="89" t="s">
        <v>2859</v>
      </c>
      <c r="AI64" s="89" t="s">
        <v>2859</v>
      </c>
      <c r="AJ64" s="89" t="s">
        <v>2859</v>
      </c>
      <c r="AK64" s="89" t="s">
        <v>2859</v>
      </c>
      <c r="AL64" s="89" t="s">
        <v>2859</v>
      </c>
      <c r="AM64" s="89" t="s">
        <v>2859</v>
      </c>
      <c r="AN64" s="89" t="s">
        <v>2859</v>
      </c>
      <c r="AO64" s="89" t="s">
        <v>2859</v>
      </c>
      <c r="AP64" s="89" t="s">
        <v>2859</v>
      </c>
      <c r="AQ64" s="89" t="s">
        <v>2859</v>
      </c>
      <c r="AR64" s="89" t="s">
        <v>2859</v>
      </c>
      <c r="AS64" s="89" t="s">
        <v>2859</v>
      </c>
      <c r="AT64" s="89" t="s">
        <v>2859</v>
      </c>
      <c r="AU64" s="89" t="s">
        <v>2859</v>
      </c>
      <c r="AV64" s="89" t="s">
        <v>2859</v>
      </c>
      <c r="AW64" s="89" t="s">
        <v>2859</v>
      </c>
      <c r="AX64" s="89" t="s">
        <v>2859</v>
      </c>
      <c r="AY64" s="89" t="s">
        <v>2859</v>
      </c>
      <c r="AZ64" s="89" t="s">
        <v>2859</v>
      </c>
      <c r="BA64" s="89" t="s">
        <v>2859</v>
      </c>
      <c r="BB64" s="89" t="s">
        <v>2859</v>
      </c>
      <c r="BC64" s="89" t="s">
        <v>2859</v>
      </c>
      <c r="BD64" s="89" t="s">
        <v>2859</v>
      </c>
      <c r="BE64" s="89" t="s">
        <v>2859</v>
      </c>
      <c r="BF64" s="89" t="s">
        <v>2859</v>
      </c>
      <c r="BG64" s="89" t="s">
        <v>2859</v>
      </c>
      <c r="BH64" s="89" t="s">
        <v>2859</v>
      </c>
      <c r="BI64" s="89" t="s">
        <v>2859</v>
      </c>
      <c r="BJ64" s="89" t="s">
        <v>2859</v>
      </c>
      <c r="BK64" s="89" t="s">
        <v>2859</v>
      </c>
      <c r="BL64" s="89" t="s">
        <v>2859</v>
      </c>
      <c r="BM64" s="89" t="s">
        <v>2859</v>
      </c>
      <c r="BN64" s="89" t="s">
        <v>2859</v>
      </c>
      <c r="BO64" s="89" t="s">
        <v>2859</v>
      </c>
      <c r="BP64" s="89" t="s">
        <v>2859</v>
      </c>
      <c r="BQ64" s="89" t="s">
        <v>3707</v>
      </c>
      <c r="BR64" s="89" t="s">
        <v>2859</v>
      </c>
    </row>
    <row r="65" spans="1:70">
      <c r="A65" s="89" t="s">
        <v>2164</v>
      </c>
      <c r="B65" s="89" t="s">
        <v>3708</v>
      </c>
      <c r="C65" s="89" t="s">
        <v>2859</v>
      </c>
      <c r="D65" s="89" t="s">
        <v>2859</v>
      </c>
      <c r="E65" s="89" t="s">
        <v>2859</v>
      </c>
      <c r="F65" s="89" t="s">
        <v>2859</v>
      </c>
      <c r="G65" s="89" t="s">
        <v>2860</v>
      </c>
      <c r="H65" s="89" t="s">
        <v>2859</v>
      </c>
      <c r="I65" s="89" t="s">
        <v>3709</v>
      </c>
      <c r="J65" s="89" t="s">
        <v>3710</v>
      </c>
      <c r="K65" s="89" t="s">
        <v>2867</v>
      </c>
      <c r="L65" s="89" t="s">
        <v>3331</v>
      </c>
      <c r="M65" s="89" t="s">
        <v>3710</v>
      </c>
      <c r="N65" s="89" t="s">
        <v>2867</v>
      </c>
      <c r="O65" s="89" t="s">
        <v>2859</v>
      </c>
      <c r="P65" s="89" t="s">
        <v>2859</v>
      </c>
      <c r="Q65" s="89" t="s">
        <v>2859</v>
      </c>
      <c r="R65" s="89" t="s">
        <v>2859</v>
      </c>
      <c r="S65" s="89" t="s">
        <v>2859</v>
      </c>
      <c r="T65" s="89" t="s">
        <v>2859</v>
      </c>
      <c r="U65" s="89" t="s">
        <v>2859</v>
      </c>
      <c r="V65" s="89" t="s">
        <v>2859</v>
      </c>
      <c r="W65" s="89" t="s">
        <v>2859</v>
      </c>
      <c r="X65" s="89" t="s">
        <v>2859</v>
      </c>
      <c r="Y65" s="89" t="s">
        <v>2859</v>
      </c>
      <c r="Z65" s="89" t="s">
        <v>2859</v>
      </c>
      <c r="AA65" s="89" t="s">
        <v>2859</v>
      </c>
      <c r="AB65" s="89" t="s">
        <v>2859</v>
      </c>
      <c r="AC65" s="89" t="s">
        <v>2859</v>
      </c>
      <c r="AD65" s="89" t="s">
        <v>2859</v>
      </c>
      <c r="AE65" s="89" t="s">
        <v>2859</v>
      </c>
      <c r="AF65" s="89" t="s">
        <v>2859</v>
      </c>
      <c r="AG65" s="89" t="s">
        <v>2859</v>
      </c>
      <c r="AH65" s="89" t="s">
        <v>2859</v>
      </c>
      <c r="AI65" s="89" t="s">
        <v>2859</v>
      </c>
      <c r="AJ65" s="89" t="s">
        <v>2859</v>
      </c>
      <c r="AK65" s="89" t="s">
        <v>2859</v>
      </c>
      <c r="AL65" s="89" t="s">
        <v>2859</v>
      </c>
      <c r="AM65" s="89" t="s">
        <v>2859</v>
      </c>
      <c r="AN65" s="89" t="s">
        <v>2859</v>
      </c>
      <c r="AO65" s="89" t="s">
        <v>2859</v>
      </c>
      <c r="AP65" s="89" t="s">
        <v>2859</v>
      </c>
      <c r="AQ65" s="89" t="s">
        <v>2859</v>
      </c>
      <c r="AR65" s="89" t="s">
        <v>2859</v>
      </c>
      <c r="AS65" s="89" t="s">
        <v>2859</v>
      </c>
      <c r="AT65" s="89" t="s">
        <v>2859</v>
      </c>
      <c r="AU65" s="89" t="s">
        <v>2859</v>
      </c>
      <c r="AV65" s="89" t="s">
        <v>2859</v>
      </c>
      <c r="AW65" s="89" t="s">
        <v>2859</v>
      </c>
      <c r="AX65" s="89" t="s">
        <v>2859</v>
      </c>
      <c r="AY65" s="89" t="s">
        <v>2859</v>
      </c>
      <c r="AZ65" s="89" t="s">
        <v>2859</v>
      </c>
      <c r="BA65" s="89" t="s">
        <v>2859</v>
      </c>
      <c r="BB65" s="89" t="s">
        <v>2859</v>
      </c>
      <c r="BC65" s="89" t="s">
        <v>2859</v>
      </c>
      <c r="BD65" s="89" t="s">
        <v>2859</v>
      </c>
      <c r="BE65" s="89" t="s">
        <v>2859</v>
      </c>
      <c r="BF65" s="89" t="s">
        <v>2859</v>
      </c>
      <c r="BG65" s="89" t="s">
        <v>2859</v>
      </c>
      <c r="BH65" s="89" t="s">
        <v>2859</v>
      </c>
      <c r="BI65" s="89" t="s">
        <v>2859</v>
      </c>
      <c r="BJ65" s="89" t="s">
        <v>2859</v>
      </c>
      <c r="BK65" s="89" t="s">
        <v>2859</v>
      </c>
      <c r="BL65" s="89" t="s">
        <v>2859</v>
      </c>
      <c r="BM65" s="89" t="s">
        <v>2859</v>
      </c>
      <c r="BN65" s="89" t="s">
        <v>2859</v>
      </c>
      <c r="BO65" s="89" t="s">
        <v>2859</v>
      </c>
      <c r="BP65" s="89" t="s">
        <v>2859</v>
      </c>
      <c r="BQ65" s="89" t="s">
        <v>3711</v>
      </c>
      <c r="BR65" s="89" t="s">
        <v>2869</v>
      </c>
    </row>
    <row r="66" spans="1:70">
      <c r="A66" s="89" t="s">
        <v>2164</v>
      </c>
      <c r="B66" s="89" t="s">
        <v>2397</v>
      </c>
      <c r="C66" s="89" t="s">
        <v>2859</v>
      </c>
      <c r="D66" s="89" t="s">
        <v>2859</v>
      </c>
      <c r="E66" s="89" t="s">
        <v>2859</v>
      </c>
      <c r="F66" s="89" t="s">
        <v>2859</v>
      </c>
      <c r="G66" s="89" t="s">
        <v>2860</v>
      </c>
      <c r="H66" s="89" t="s">
        <v>2859</v>
      </c>
      <c r="I66" s="89" t="s">
        <v>621</v>
      </c>
      <c r="J66" s="89" t="s">
        <v>2398</v>
      </c>
      <c r="K66" s="89" t="s">
        <v>2867</v>
      </c>
      <c r="L66" s="89" t="s">
        <v>2859</v>
      </c>
      <c r="M66" s="89" t="s">
        <v>2859</v>
      </c>
      <c r="N66" s="89" t="s">
        <v>2859</v>
      </c>
      <c r="O66" s="89" t="s">
        <v>2859</v>
      </c>
      <c r="P66" s="89" t="s">
        <v>2859</v>
      </c>
      <c r="Q66" s="89" t="s">
        <v>2859</v>
      </c>
      <c r="R66" s="89" t="s">
        <v>2859</v>
      </c>
      <c r="S66" s="89" t="s">
        <v>2859</v>
      </c>
      <c r="T66" s="89" t="s">
        <v>2859</v>
      </c>
      <c r="U66" s="89" t="s">
        <v>2859</v>
      </c>
      <c r="V66" s="89" t="s">
        <v>2859</v>
      </c>
      <c r="W66" s="89" t="s">
        <v>2859</v>
      </c>
      <c r="X66" s="89" t="s">
        <v>2859</v>
      </c>
      <c r="Y66" s="89" t="s">
        <v>2859</v>
      </c>
      <c r="Z66" s="89" t="s">
        <v>2859</v>
      </c>
      <c r="AA66" s="89" t="s">
        <v>2859</v>
      </c>
      <c r="AB66" s="89" t="s">
        <v>2859</v>
      </c>
      <c r="AC66" s="89" t="s">
        <v>2859</v>
      </c>
      <c r="AD66" s="89" t="s">
        <v>2859</v>
      </c>
      <c r="AE66" s="89" t="s">
        <v>2859</v>
      </c>
      <c r="AF66" s="89" t="s">
        <v>2859</v>
      </c>
      <c r="AG66" s="89" t="s">
        <v>2859</v>
      </c>
      <c r="AH66" s="89" t="s">
        <v>2859</v>
      </c>
      <c r="AI66" s="89" t="s">
        <v>2859</v>
      </c>
      <c r="AJ66" s="89" t="s">
        <v>2859</v>
      </c>
      <c r="AK66" s="89" t="s">
        <v>2859</v>
      </c>
      <c r="AL66" s="89" t="s">
        <v>2859</v>
      </c>
      <c r="AM66" s="89" t="s">
        <v>2859</v>
      </c>
      <c r="AN66" s="89" t="s">
        <v>2859</v>
      </c>
      <c r="AO66" s="89" t="s">
        <v>2859</v>
      </c>
      <c r="AP66" s="89" t="s">
        <v>2859</v>
      </c>
      <c r="AQ66" s="89" t="s">
        <v>2859</v>
      </c>
      <c r="AR66" s="89" t="s">
        <v>2859</v>
      </c>
      <c r="AS66" s="89" t="s">
        <v>2859</v>
      </c>
      <c r="AT66" s="89" t="s">
        <v>2859</v>
      </c>
      <c r="AU66" s="89" t="s">
        <v>2859</v>
      </c>
      <c r="AV66" s="89" t="s">
        <v>2859</v>
      </c>
      <c r="AW66" s="89" t="s">
        <v>2859</v>
      </c>
      <c r="AX66" s="89" t="s">
        <v>2859</v>
      </c>
      <c r="AY66" s="89" t="s">
        <v>2859</v>
      </c>
      <c r="AZ66" s="89" t="s">
        <v>2859</v>
      </c>
      <c r="BA66" s="89" t="s">
        <v>2859</v>
      </c>
      <c r="BB66" s="89" t="s">
        <v>2859</v>
      </c>
      <c r="BC66" s="89" t="s">
        <v>2859</v>
      </c>
      <c r="BD66" s="89" t="s">
        <v>2859</v>
      </c>
      <c r="BE66" s="89" t="s">
        <v>2859</v>
      </c>
      <c r="BF66" s="89" t="s">
        <v>2859</v>
      </c>
      <c r="BG66" s="89" t="s">
        <v>2859</v>
      </c>
      <c r="BH66" s="89" t="s">
        <v>2859</v>
      </c>
      <c r="BI66" s="89" t="s">
        <v>2859</v>
      </c>
      <c r="BJ66" s="89" t="s">
        <v>2859</v>
      </c>
      <c r="BK66" s="89" t="s">
        <v>2859</v>
      </c>
      <c r="BL66" s="89" t="s">
        <v>2859</v>
      </c>
      <c r="BM66" s="89" t="s">
        <v>2859</v>
      </c>
      <c r="BN66" s="89" t="s">
        <v>2859</v>
      </c>
      <c r="BO66" s="89" t="s">
        <v>2859</v>
      </c>
      <c r="BP66" s="89" t="s">
        <v>2859</v>
      </c>
      <c r="BQ66" s="89" t="s">
        <v>3712</v>
      </c>
      <c r="BR66" s="89" t="s">
        <v>2869</v>
      </c>
    </row>
    <row r="67" spans="1:70">
      <c r="A67" s="89" t="s">
        <v>2166</v>
      </c>
      <c r="B67" s="89" t="s">
        <v>3713</v>
      </c>
      <c r="C67" s="89" t="s">
        <v>2477</v>
      </c>
      <c r="D67" s="89" t="s">
        <v>2859</v>
      </c>
      <c r="E67" s="89" t="s">
        <v>2859</v>
      </c>
      <c r="F67" s="89" t="s">
        <v>2859</v>
      </c>
      <c r="G67" s="89" t="s">
        <v>2860</v>
      </c>
      <c r="H67" s="89" t="s">
        <v>2859</v>
      </c>
      <c r="I67" s="89" t="s">
        <v>1463</v>
      </c>
      <c r="J67" s="89" t="s">
        <v>3714</v>
      </c>
      <c r="K67" s="89" t="s">
        <v>2860</v>
      </c>
      <c r="L67" s="89" t="s">
        <v>2859</v>
      </c>
      <c r="M67" s="89" t="s">
        <v>2859</v>
      </c>
      <c r="N67" s="89" t="s">
        <v>2859</v>
      </c>
      <c r="O67" s="89" t="s">
        <v>2859</v>
      </c>
      <c r="P67" s="89" t="s">
        <v>2859</v>
      </c>
      <c r="Q67" s="89" t="s">
        <v>2859</v>
      </c>
      <c r="R67" s="89" t="s">
        <v>2859</v>
      </c>
      <c r="S67" s="89" t="s">
        <v>2859</v>
      </c>
      <c r="T67" s="89" t="s">
        <v>2859</v>
      </c>
      <c r="U67" s="89" t="s">
        <v>2859</v>
      </c>
      <c r="V67" s="89" t="s">
        <v>2859</v>
      </c>
      <c r="W67" s="89" t="s">
        <v>2859</v>
      </c>
      <c r="X67" s="89" t="s">
        <v>2859</v>
      </c>
      <c r="Y67" s="89" t="s">
        <v>2859</v>
      </c>
      <c r="Z67" s="89" t="s">
        <v>2859</v>
      </c>
      <c r="AA67" s="89" t="s">
        <v>2859</v>
      </c>
      <c r="AB67" s="89" t="s">
        <v>2859</v>
      </c>
      <c r="AC67" s="89" t="s">
        <v>2859</v>
      </c>
      <c r="AD67" s="89" t="s">
        <v>2859</v>
      </c>
      <c r="AE67" s="89" t="s">
        <v>2859</v>
      </c>
      <c r="AF67" s="89" t="s">
        <v>2859</v>
      </c>
      <c r="AG67" s="89" t="s">
        <v>2859</v>
      </c>
      <c r="AH67" s="89" t="s">
        <v>2859</v>
      </c>
      <c r="AI67" s="89" t="s">
        <v>2859</v>
      </c>
      <c r="AJ67" s="89" t="s">
        <v>2859</v>
      </c>
      <c r="AK67" s="89" t="s">
        <v>2859</v>
      </c>
      <c r="AL67" s="89" t="s">
        <v>2859</v>
      </c>
      <c r="AM67" s="89" t="s">
        <v>2859</v>
      </c>
      <c r="AN67" s="89" t="s">
        <v>2859</v>
      </c>
      <c r="AO67" s="89" t="s">
        <v>2859</v>
      </c>
      <c r="AP67" s="89" t="s">
        <v>2859</v>
      </c>
      <c r="AQ67" s="89" t="s">
        <v>2859</v>
      </c>
      <c r="AR67" s="89" t="s">
        <v>2859</v>
      </c>
      <c r="AS67" s="89" t="s">
        <v>2859</v>
      </c>
      <c r="AT67" s="89" t="s">
        <v>2859</v>
      </c>
      <c r="AU67" s="89" t="s">
        <v>2859</v>
      </c>
      <c r="AV67" s="89" t="s">
        <v>2859</v>
      </c>
      <c r="AW67" s="89" t="s">
        <v>2859</v>
      </c>
      <c r="AX67" s="89" t="s">
        <v>2859</v>
      </c>
      <c r="AY67" s="89" t="s">
        <v>2859</v>
      </c>
      <c r="AZ67" s="89" t="s">
        <v>2859</v>
      </c>
      <c r="BA67" s="89" t="s">
        <v>2859</v>
      </c>
      <c r="BB67" s="89" t="s">
        <v>2859</v>
      </c>
      <c r="BC67" s="89" t="s">
        <v>2859</v>
      </c>
      <c r="BD67" s="89" t="s">
        <v>2859</v>
      </c>
      <c r="BE67" s="89" t="s">
        <v>2859</v>
      </c>
      <c r="BF67" s="89" t="s">
        <v>2859</v>
      </c>
      <c r="BG67" s="89" t="s">
        <v>2859</v>
      </c>
      <c r="BH67" s="89" t="s">
        <v>2859</v>
      </c>
      <c r="BI67" s="89" t="s">
        <v>2859</v>
      </c>
      <c r="BJ67" s="89" t="s">
        <v>2859</v>
      </c>
      <c r="BK67" s="89" t="s">
        <v>2859</v>
      </c>
      <c r="BL67" s="89" t="s">
        <v>2859</v>
      </c>
      <c r="BM67" s="89" t="s">
        <v>2859</v>
      </c>
      <c r="BN67" s="89" t="s">
        <v>2859</v>
      </c>
      <c r="BO67" s="89" t="s">
        <v>2859</v>
      </c>
      <c r="BP67" s="89" t="s">
        <v>2859</v>
      </c>
      <c r="BQ67" s="89" t="s">
        <v>3715</v>
      </c>
      <c r="BR67" s="89" t="s">
        <v>2859</v>
      </c>
    </row>
    <row r="68" spans="1:70">
      <c r="A68" s="89" t="s">
        <v>2166</v>
      </c>
      <c r="B68" s="89" t="s">
        <v>3716</v>
      </c>
      <c r="C68" s="89" t="s">
        <v>2363</v>
      </c>
      <c r="D68" s="89" t="s">
        <v>2859</v>
      </c>
      <c r="E68" s="89" t="s">
        <v>2859</v>
      </c>
      <c r="F68" s="89" t="s">
        <v>2859</v>
      </c>
      <c r="G68" s="89" t="s">
        <v>2860</v>
      </c>
      <c r="H68" s="89" t="s">
        <v>2859</v>
      </c>
      <c r="I68" s="89" t="s">
        <v>1463</v>
      </c>
      <c r="J68" s="89" t="s">
        <v>3717</v>
      </c>
      <c r="K68" s="89" t="s">
        <v>2867</v>
      </c>
      <c r="L68" s="89" t="s">
        <v>2859</v>
      </c>
      <c r="M68" s="89" t="s">
        <v>2859</v>
      </c>
      <c r="N68" s="89" t="s">
        <v>2859</v>
      </c>
      <c r="O68" s="89" t="s">
        <v>2859</v>
      </c>
      <c r="P68" s="89" t="s">
        <v>2859</v>
      </c>
      <c r="Q68" s="89" t="s">
        <v>2859</v>
      </c>
      <c r="R68" s="89" t="s">
        <v>2859</v>
      </c>
      <c r="S68" s="89" t="s">
        <v>2859</v>
      </c>
      <c r="T68" s="89" t="s">
        <v>2859</v>
      </c>
      <c r="U68" s="89" t="s">
        <v>2859</v>
      </c>
      <c r="V68" s="89" t="s">
        <v>2859</v>
      </c>
      <c r="W68" s="89" t="s">
        <v>2859</v>
      </c>
      <c r="X68" s="89" t="s">
        <v>2859</v>
      </c>
      <c r="Y68" s="89" t="s">
        <v>2859</v>
      </c>
      <c r="Z68" s="89" t="s">
        <v>2859</v>
      </c>
      <c r="AA68" s="89" t="s">
        <v>2859</v>
      </c>
      <c r="AB68" s="89" t="s">
        <v>2859</v>
      </c>
      <c r="AC68" s="89" t="s">
        <v>2859</v>
      </c>
      <c r="AD68" s="89" t="s">
        <v>2859</v>
      </c>
      <c r="AE68" s="89" t="s">
        <v>2859</v>
      </c>
      <c r="AF68" s="89" t="s">
        <v>2859</v>
      </c>
      <c r="AG68" s="89" t="s">
        <v>2859</v>
      </c>
      <c r="AH68" s="89" t="s">
        <v>2859</v>
      </c>
      <c r="AI68" s="89" t="s">
        <v>2859</v>
      </c>
      <c r="AJ68" s="89" t="s">
        <v>2859</v>
      </c>
      <c r="AK68" s="89" t="s">
        <v>2859</v>
      </c>
      <c r="AL68" s="89" t="s">
        <v>2859</v>
      </c>
      <c r="AM68" s="89" t="s">
        <v>2859</v>
      </c>
      <c r="AN68" s="89" t="s">
        <v>2859</v>
      </c>
      <c r="AO68" s="89" t="s">
        <v>2859</v>
      </c>
      <c r="AP68" s="89" t="s">
        <v>2859</v>
      </c>
      <c r="AQ68" s="89" t="s">
        <v>2859</v>
      </c>
      <c r="AR68" s="89" t="s">
        <v>2859</v>
      </c>
      <c r="AS68" s="89" t="s">
        <v>2859</v>
      </c>
      <c r="AT68" s="89" t="s">
        <v>2859</v>
      </c>
      <c r="AU68" s="89" t="s">
        <v>2859</v>
      </c>
      <c r="AV68" s="89" t="s">
        <v>2859</v>
      </c>
      <c r="AW68" s="89" t="s">
        <v>2859</v>
      </c>
      <c r="AX68" s="89" t="s">
        <v>2859</v>
      </c>
      <c r="AY68" s="89" t="s">
        <v>2859</v>
      </c>
      <c r="AZ68" s="89" t="s">
        <v>2859</v>
      </c>
      <c r="BA68" s="89" t="s">
        <v>2859</v>
      </c>
      <c r="BB68" s="89" t="s">
        <v>2859</v>
      </c>
      <c r="BC68" s="89" t="s">
        <v>2859</v>
      </c>
      <c r="BD68" s="89" t="s">
        <v>2859</v>
      </c>
      <c r="BE68" s="89" t="s">
        <v>2859</v>
      </c>
      <c r="BF68" s="89" t="s">
        <v>2859</v>
      </c>
      <c r="BG68" s="89" t="s">
        <v>2859</v>
      </c>
      <c r="BH68" s="89" t="s">
        <v>2859</v>
      </c>
      <c r="BI68" s="89" t="s">
        <v>2859</v>
      </c>
      <c r="BJ68" s="89" t="s">
        <v>2859</v>
      </c>
      <c r="BK68" s="89" t="s">
        <v>2859</v>
      </c>
      <c r="BL68" s="89" t="s">
        <v>2859</v>
      </c>
      <c r="BM68" s="89" t="s">
        <v>2859</v>
      </c>
      <c r="BN68" s="89" t="s">
        <v>2859</v>
      </c>
      <c r="BO68" s="89" t="s">
        <v>2859</v>
      </c>
      <c r="BP68" s="89" t="s">
        <v>2859</v>
      </c>
      <c r="BQ68" s="89" t="s">
        <v>3718</v>
      </c>
      <c r="BR68" s="89" t="s">
        <v>2869</v>
      </c>
    </row>
    <row r="69" spans="1:70">
      <c r="A69" s="89" t="s">
        <v>2166</v>
      </c>
      <c r="B69" s="89" t="s">
        <v>2703</v>
      </c>
      <c r="C69" s="89" t="s">
        <v>2483</v>
      </c>
      <c r="D69" s="89" t="s">
        <v>2859</v>
      </c>
      <c r="E69" s="89" t="s">
        <v>2859</v>
      </c>
      <c r="F69" s="89" t="s">
        <v>2859</v>
      </c>
      <c r="G69" s="89" t="s">
        <v>2860</v>
      </c>
      <c r="H69" s="89" t="s">
        <v>2859</v>
      </c>
      <c r="I69" s="89" t="s">
        <v>2891</v>
      </c>
      <c r="J69" s="89" t="s">
        <v>2859</v>
      </c>
      <c r="K69" s="89" t="s">
        <v>2859</v>
      </c>
      <c r="L69" s="89" t="s">
        <v>804</v>
      </c>
      <c r="M69" s="89" t="s">
        <v>2859</v>
      </c>
      <c r="N69" s="89" t="s">
        <v>2859</v>
      </c>
      <c r="O69" s="89" t="s">
        <v>2859</v>
      </c>
      <c r="P69" s="89" t="s">
        <v>2859</v>
      </c>
      <c r="Q69" s="89" t="s">
        <v>2859</v>
      </c>
      <c r="R69" s="89" t="s">
        <v>2859</v>
      </c>
      <c r="S69" s="89" t="s">
        <v>2859</v>
      </c>
      <c r="T69" s="89" t="s">
        <v>2859</v>
      </c>
      <c r="U69" s="89" t="s">
        <v>2859</v>
      </c>
      <c r="V69" s="89" t="s">
        <v>2859</v>
      </c>
      <c r="W69" s="89" t="s">
        <v>2859</v>
      </c>
      <c r="X69" s="89" t="s">
        <v>2859</v>
      </c>
      <c r="Y69" s="89" t="s">
        <v>2859</v>
      </c>
      <c r="Z69" s="89" t="s">
        <v>2859</v>
      </c>
      <c r="AA69" s="89" t="s">
        <v>2859</v>
      </c>
      <c r="AB69" s="89" t="s">
        <v>2859</v>
      </c>
      <c r="AC69" s="89" t="s">
        <v>2859</v>
      </c>
      <c r="AD69" s="89" t="s">
        <v>2859</v>
      </c>
      <c r="AE69" s="89" t="s">
        <v>2859</v>
      </c>
      <c r="AF69" s="89" t="s">
        <v>2859</v>
      </c>
      <c r="AG69" s="89" t="s">
        <v>2859</v>
      </c>
      <c r="AH69" s="89" t="s">
        <v>2859</v>
      </c>
      <c r="AI69" s="89" t="s">
        <v>2859</v>
      </c>
      <c r="AJ69" s="89" t="s">
        <v>2859</v>
      </c>
      <c r="AK69" s="89" t="s">
        <v>2859</v>
      </c>
      <c r="AL69" s="89" t="s">
        <v>2859</v>
      </c>
      <c r="AM69" s="89" t="s">
        <v>2859</v>
      </c>
      <c r="AN69" s="89" t="s">
        <v>2859</v>
      </c>
      <c r="AO69" s="89" t="s">
        <v>2859</v>
      </c>
      <c r="AP69" s="89" t="s">
        <v>2859</v>
      </c>
      <c r="AQ69" s="89" t="s">
        <v>2859</v>
      </c>
      <c r="AR69" s="89" t="s">
        <v>2859</v>
      </c>
      <c r="AS69" s="89" t="s">
        <v>2859</v>
      </c>
      <c r="AT69" s="89" t="s">
        <v>2859</v>
      </c>
      <c r="AU69" s="89" t="s">
        <v>2859</v>
      </c>
      <c r="AV69" s="89" t="s">
        <v>2859</v>
      </c>
      <c r="AW69" s="89" t="s">
        <v>2859</v>
      </c>
      <c r="AX69" s="89" t="s">
        <v>2859</v>
      </c>
      <c r="AY69" s="89" t="s">
        <v>2859</v>
      </c>
      <c r="AZ69" s="89" t="s">
        <v>2859</v>
      </c>
      <c r="BA69" s="89" t="s">
        <v>2859</v>
      </c>
      <c r="BB69" s="89" t="s">
        <v>2859</v>
      </c>
      <c r="BC69" s="89" t="s">
        <v>2859</v>
      </c>
      <c r="BD69" s="89" t="s">
        <v>2859</v>
      </c>
      <c r="BE69" s="89" t="s">
        <v>2859</v>
      </c>
      <c r="BF69" s="89" t="s">
        <v>2859</v>
      </c>
      <c r="BG69" s="89" t="s">
        <v>2859</v>
      </c>
      <c r="BH69" s="89" t="s">
        <v>2859</v>
      </c>
      <c r="BI69" s="89" t="s">
        <v>2859</v>
      </c>
      <c r="BJ69" s="89" t="s">
        <v>2859</v>
      </c>
      <c r="BK69" s="89" t="s">
        <v>2859</v>
      </c>
      <c r="BL69" s="89" t="s">
        <v>2859</v>
      </c>
      <c r="BM69" s="89" t="s">
        <v>2859</v>
      </c>
      <c r="BN69" s="89" t="s">
        <v>2859</v>
      </c>
      <c r="BO69" s="89" t="s">
        <v>2859</v>
      </c>
      <c r="BP69" s="89" t="s">
        <v>2859</v>
      </c>
      <c r="BQ69" s="89" t="s">
        <v>3719</v>
      </c>
      <c r="BR69" s="89" t="s">
        <v>2859</v>
      </c>
    </row>
    <row r="70" spans="1:70">
      <c r="A70" s="89" t="s">
        <v>2166</v>
      </c>
      <c r="B70" s="89" t="s">
        <v>2705</v>
      </c>
      <c r="C70" s="89" t="s">
        <v>2339</v>
      </c>
      <c r="D70" s="89" t="s">
        <v>2859</v>
      </c>
      <c r="E70" s="89" t="s">
        <v>2859</v>
      </c>
      <c r="F70" s="89" t="s">
        <v>2859</v>
      </c>
      <c r="G70" s="89" t="s">
        <v>2860</v>
      </c>
      <c r="H70" s="89" t="s">
        <v>2859</v>
      </c>
      <c r="I70" s="89" t="s">
        <v>2891</v>
      </c>
      <c r="J70" s="89" t="s">
        <v>2859</v>
      </c>
      <c r="K70" s="89" t="s">
        <v>2859</v>
      </c>
      <c r="L70" s="89" t="s">
        <v>804</v>
      </c>
      <c r="M70" s="89" t="s">
        <v>2859</v>
      </c>
      <c r="N70" s="89" t="s">
        <v>2859</v>
      </c>
      <c r="O70" s="89" t="s">
        <v>2859</v>
      </c>
      <c r="P70" s="89" t="s">
        <v>2859</v>
      </c>
      <c r="Q70" s="89" t="s">
        <v>2859</v>
      </c>
      <c r="R70" s="89" t="s">
        <v>2859</v>
      </c>
      <c r="S70" s="89" t="s">
        <v>2859</v>
      </c>
      <c r="T70" s="89" t="s">
        <v>2859</v>
      </c>
      <c r="U70" s="89" t="s">
        <v>2859</v>
      </c>
      <c r="V70" s="89" t="s">
        <v>2859</v>
      </c>
      <c r="W70" s="89" t="s">
        <v>2859</v>
      </c>
      <c r="X70" s="89" t="s">
        <v>2859</v>
      </c>
      <c r="Y70" s="89" t="s">
        <v>2859</v>
      </c>
      <c r="Z70" s="89" t="s">
        <v>2859</v>
      </c>
      <c r="AA70" s="89" t="s">
        <v>2859</v>
      </c>
      <c r="AB70" s="89" t="s">
        <v>2859</v>
      </c>
      <c r="AC70" s="89" t="s">
        <v>2859</v>
      </c>
      <c r="AD70" s="89" t="s">
        <v>2859</v>
      </c>
      <c r="AE70" s="89" t="s">
        <v>2859</v>
      </c>
      <c r="AF70" s="89" t="s">
        <v>2859</v>
      </c>
      <c r="AG70" s="89" t="s">
        <v>2859</v>
      </c>
      <c r="AH70" s="89" t="s">
        <v>2859</v>
      </c>
      <c r="AI70" s="89" t="s">
        <v>2859</v>
      </c>
      <c r="AJ70" s="89" t="s">
        <v>2859</v>
      </c>
      <c r="AK70" s="89" t="s">
        <v>2859</v>
      </c>
      <c r="AL70" s="89" t="s">
        <v>2859</v>
      </c>
      <c r="AM70" s="89" t="s">
        <v>2859</v>
      </c>
      <c r="AN70" s="89" t="s">
        <v>2859</v>
      </c>
      <c r="AO70" s="89" t="s">
        <v>2859</v>
      </c>
      <c r="AP70" s="89" t="s">
        <v>2859</v>
      </c>
      <c r="AQ70" s="89" t="s">
        <v>2859</v>
      </c>
      <c r="AR70" s="89" t="s">
        <v>2859</v>
      </c>
      <c r="AS70" s="89" t="s">
        <v>2859</v>
      </c>
      <c r="AT70" s="89" t="s">
        <v>2859</v>
      </c>
      <c r="AU70" s="89" t="s">
        <v>2859</v>
      </c>
      <c r="AV70" s="89" t="s">
        <v>2859</v>
      </c>
      <c r="AW70" s="89" t="s">
        <v>2859</v>
      </c>
      <c r="AX70" s="89" t="s">
        <v>2859</v>
      </c>
      <c r="AY70" s="89" t="s">
        <v>2859</v>
      </c>
      <c r="AZ70" s="89" t="s">
        <v>2859</v>
      </c>
      <c r="BA70" s="89" t="s">
        <v>2859</v>
      </c>
      <c r="BB70" s="89" t="s">
        <v>2859</v>
      </c>
      <c r="BC70" s="89" t="s">
        <v>2859</v>
      </c>
      <c r="BD70" s="89" t="s">
        <v>2859</v>
      </c>
      <c r="BE70" s="89" t="s">
        <v>2859</v>
      </c>
      <c r="BF70" s="89" t="s">
        <v>2859</v>
      </c>
      <c r="BG70" s="89" t="s">
        <v>2859</v>
      </c>
      <c r="BH70" s="89" t="s">
        <v>2859</v>
      </c>
      <c r="BI70" s="89" t="s">
        <v>2859</v>
      </c>
      <c r="BJ70" s="89" t="s">
        <v>2859</v>
      </c>
      <c r="BK70" s="89" t="s">
        <v>2859</v>
      </c>
      <c r="BL70" s="89" t="s">
        <v>2859</v>
      </c>
      <c r="BM70" s="89" t="s">
        <v>2859</v>
      </c>
      <c r="BN70" s="89" t="s">
        <v>2859</v>
      </c>
      <c r="BO70" s="89" t="s">
        <v>2859</v>
      </c>
      <c r="BP70" s="89" t="s">
        <v>2859</v>
      </c>
      <c r="BQ70" s="89" t="s">
        <v>3720</v>
      </c>
      <c r="BR70" s="89" t="s">
        <v>2859</v>
      </c>
    </row>
    <row r="71" spans="1:70">
      <c r="A71" s="89" t="s">
        <v>2166</v>
      </c>
      <c r="B71" s="89" t="s">
        <v>2493</v>
      </c>
      <c r="C71" s="89" t="s">
        <v>2859</v>
      </c>
      <c r="D71" s="89" t="s">
        <v>2859</v>
      </c>
      <c r="E71" s="89" t="s">
        <v>2859</v>
      </c>
      <c r="F71" s="89" t="s">
        <v>2859</v>
      </c>
      <c r="G71" s="89" t="s">
        <v>2860</v>
      </c>
      <c r="H71" s="89" t="s">
        <v>2859</v>
      </c>
      <c r="I71" s="89" t="s">
        <v>2490</v>
      </c>
      <c r="J71" s="89" t="s">
        <v>2859</v>
      </c>
      <c r="K71" s="89" t="s">
        <v>2859</v>
      </c>
      <c r="L71" s="89" t="s">
        <v>2859</v>
      </c>
      <c r="M71" s="89" t="s">
        <v>2859</v>
      </c>
      <c r="N71" s="89" t="s">
        <v>2859</v>
      </c>
      <c r="O71" s="89" t="s">
        <v>2859</v>
      </c>
      <c r="P71" s="89" t="s">
        <v>2859</v>
      </c>
      <c r="Q71" s="89" t="s">
        <v>2859</v>
      </c>
      <c r="R71" s="89" t="s">
        <v>2859</v>
      </c>
      <c r="S71" s="89" t="s">
        <v>2859</v>
      </c>
      <c r="T71" s="89" t="s">
        <v>2859</v>
      </c>
      <c r="U71" s="89" t="s">
        <v>2859</v>
      </c>
      <c r="V71" s="89" t="s">
        <v>2859</v>
      </c>
      <c r="W71" s="89" t="s">
        <v>2859</v>
      </c>
      <c r="X71" s="89" t="s">
        <v>2859</v>
      </c>
      <c r="Y71" s="89" t="s">
        <v>2859</v>
      </c>
      <c r="Z71" s="89" t="s">
        <v>2859</v>
      </c>
      <c r="AA71" s="89" t="s">
        <v>2859</v>
      </c>
      <c r="AB71" s="89" t="s">
        <v>2859</v>
      </c>
      <c r="AC71" s="89" t="s">
        <v>2859</v>
      </c>
      <c r="AD71" s="89" t="s">
        <v>2859</v>
      </c>
      <c r="AE71" s="89" t="s">
        <v>2859</v>
      </c>
      <c r="AF71" s="89" t="s">
        <v>2859</v>
      </c>
      <c r="AG71" s="89" t="s">
        <v>2859</v>
      </c>
      <c r="AH71" s="89" t="s">
        <v>2859</v>
      </c>
      <c r="AI71" s="89" t="s">
        <v>2859</v>
      </c>
      <c r="AJ71" s="89" t="s">
        <v>2859</v>
      </c>
      <c r="AK71" s="89" t="s">
        <v>2859</v>
      </c>
      <c r="AL71" s="89" t="s">
        <v>2859</v>
      </c>
      <c r="AM71" s="89" t="s">
        <v>2859</v>
      </c>
      <c r="AN71" s="89" t="s">
        <v>2859</v>
      </c>
      <c r="AO71" s="89" t="s">
        <v>2859</v>
      </c>
      <c r="AP71" s="89" t="s">
        <v>2859</v>
      </c>
      <c r="AQ71" s="89" t="s">
        <v>2859</v>
      </c>
      <c r="AR71" s="89" t="s">
        <v>2859</v>
      </c>
      <c r="AS71" s="89" t="s">
        <v>2859</v>
      </c>
      <c r="AT71" s="89" t="s">
        <v>2859</v>
      </c>
      <c r="AU71" s="89" t="s">
        <v>2859</v>
      </c>
      <c r="AV71" s="89" t="s">
        <v>2859</v>
      </c>
      <c r="AW71" s="89" t="s">
        <v>2859</v>
      </c>
      <c r="AX71" s="89" t="s">
        <v>2859</v>
      </c>
      <c r="AY71" s="89" t="s">
        <v>2859</v>
      </c>
      <c r="AZ71" s="89" t="s">
        <v>2859</v>
      </c>
      <c r="BA71" s="89" t="s">
        <v>2859</v>
      </c>
      <c r="BB71" s="89" t="s">
        <v>2859</v>
      </c>
      <c r="BC71" s="89" t="s">
        <v>2859</v>
      </c>
      <c r="BD71" s="89" t="s">
        <v>2859</v>
      </c>
      <c r="BE71" s="89" t="s">
        <v>2859</v>
      </c>
      <c r="BF71" s="89" t="s">
        <v>2859</v>
      </c>
      <c r="BG71" s="89" t="s">
        <v>2859</v>
      </c>
      <c r="BH71" s="89" t="s">
        <v>2859</v>
      </c>
      <c r="BI71" s="89" t="s">
        <v>2859</v>
      </c>
      <c r="BJ71" s="89" t="s">
        <v>2859</v>
      </c>
      <c r="BK71" s="89" t="s">
        <v>2859</v>
      </c>
      <c r="BL71" s="89" t="s">
        <v>2859</v>
      </c>
      <c r="BM71" s="89" t="s">
        <v>2859</v>
      </c>
      <c r="BN71" s="89" t="s">
        <v>2859</v>
      </c>
      <c r="BO71" s="89" t="s">
        <v>2859</v>
      </c>
      <c r="BP71" s="89" t="s">
        <v>2859</v>
      </c>
      <c r="BQ71" s="89" t="s">
        <v>3721</v>
      </c>
      <c r="BR71" s="89" t="s">
        <v>2859</v>
      </c>
    </row>
    <row r="72" spans="1:70">
      <c r="A72" s="89" t="s">
        <v>2166</v>
      </c>
      <c r="B72" s="89" t="s">
        <v>2494</v>
      </c>
      <c r="C72" s="89" t="s">
        <v>2859</v>
      </c>
      <c r="D72" s="89" t="s">
        <v>2859</v>
      </c>
      <c r="E72" s="89" t="s">
        <v>2859</v>
      </c>
      <c r="F72" s="89" t="s">
        <v>2859</v>
      </c>
      <c r="G72" s="89" t="s">
        <v>2860</v>
      </c>
      <c r="H72" s="89" t="s">
        <v>2859</v>
      </c>
      <c r="I72" s="89" t="s">
        <v>2490</v>
      </c>
      <c r="J72" s="89" t="s">
        <v>2859</v>
      </c>
      <c r="K72" s="89" t="s">
        <v>2859</v>
      </c>
      <c r="L72" s="89" t="s">
        <v>2859</v>
      </c>
      <c r="M72" s="89" t="s">
        <v>2859</v>
      </c>
      <c r="N72" s="89" t="s">
        <v>2859</v>
      </c>
      <c r="O72" s="89" t="s">
        <v>2859</v>
      </c>
      <c r="P72" s="89" t="s">
        <v>2859</v>
      </c>
      <c r="Q72" s="89" t="s">
        <v>2859</v>
      </c>
      <c r="R72" s="89" t="s">
        <v>2859</v>
      </c>
      <c r="S72" s="89" t="s">
        <v>2859</v>
      </c>
      <c r="T72" s="89" t="s">
        <v>2859</v>
      </c>
      <c r="U72" s="89" t="s">
        <v>2859</v>
      </c>
      <c r="V72" s="89" t="s">
        <v>2859</v>
      </c>
      <c r="W72" s="89" t="s">
        <v>2859</v>
      </c>
      <c r="X72" s="89" t="s">
        <v>2859</v>
      </c>
      <c r="Y72" s="89" t="s">
        <v>2859</v>
      </c>
      <c r="Z72" s="89" t="s">
        <v>2859</v>
      </c>
      <c r="AA72" s="89" t="s">
        <v>2859</v>
      </c>
      <c r="AB72" s="89" t="s">
        <v>2859</v>
      </c>
      <c r="AC72" s="89" t="s">
        <v>2859</v>
      </c>
      <c r="AD72" s="89" t="s">
        <v>2859</v>
      </c>
      <c r="AE72" s="89" t="s">
        <v>2859</v>
      </c>
      <c r="AF72" s="89" t="s">
        <v>2859</v>
      </c>
      <c r="AG72" s="89" t="s">
        <v>2859</v>
      </c>
      <c r="AH72" s="89" t="s">
        <v>2859</v>
      </c>
      <c r="AI72" s="89" t="s">
        <v>2859</v>
      </c>
      <c r="AJ72" s="89" t="s">
        <v>2859</v>
      </c>
      <c r="AK72" s="89" t="s">
        <v>2859</v>
      </c>
      <c r="AL72" s="89" t="s">
        <v>2859</v>
      </c>
      <c r="AM72" s="89" t="s">
        <v>2859</v>
      </c>
      <c r="AN72" s="89" t="s">
        <v>2859</v>
      </c>
      <c r="AO72" s="89" t="s">
        <v>2859</v>
      </c>
      <c r="AP72" s="89" t="s">
        <v>2859</v>
      </c>
      <c r="AQ72" s="89" t="s">
        <v>2859</v>
      </c>
      <c r="AR72" s="89" t="s">
        <v>2859</v>
      </c>
      <c r="AS72" s="89" t="s">
        <v>2859</v>
      </c>
      <c r="AT72" s="89" t="s">
        <v>2859</v>
      </c>
      <c r="AU72" s="89" t="s">
        <v>2859</v>
      </c>
      <c r="AV72" s="89" t="s">
        <v>2859</v>
      </c>
      <c r="AW72" s="89" t="s">
        <v>2859</v>
      </c>
      <c r="AX72" s="89" t="s">
        <v>2859</v>
      </c>
      <c r="AY72" s="89" t="s">
        <v>2859</v>
      </c>
      <c r="AZ72" s="89" t="s">
        <v>2859</v>
      </c>
      <c r="BA72" s="89" t="s">
        <v>2859</v>
      </c>
      <c r="BB72" s="89" t="s">
        <v>2859</v>
      </c>
      <c r="BC72" s="89" t="s">
        <v>2859</v>
      </c>
      <c r="BD72" s="89" t="s">
        <v>2859</v>
      </c>
      <c r="BE72" s="89" t="s">
        <v>2859</v>
      </c>
      <c r="BF72" s="89" t="s">
        <v>2859</v>
      </c>
      <c r="BG72" s="89" t="s">
        <v>2859</v>
      </c>
      <c r="BH72" s="89" t="s">
        <v>2859</v>
      </c>
      <c r="BI72" s="89" t="s">
        <v>2859</v>
      </c>
      <c r="BJ72" s="89" t="s">
        <v>2859</v>
      </c>
      <c r="BK72" s="89" t="s">
        <v>2859</v>
      </c>
      <c r="BL72" s="89" t="s">
        <v>2859</v>
      </c>
      <c r="BM72" s="89" t="s">
        <v>2859</v>
      </c>
      <c r="BN72" s="89" t="s">
        <v>2859</v>
      </c>
      <c r="BO72" s="89" t="s">
        <v>2859</v>
      </c>
      <c r="BP72" s="89" t="s">
        <v>2859</v>
      </c>
      <c r="BQ72" s="89" t="s">
        <v>3722</v>
      </c>
      <c r="BR72" s="89" t="s">
        <v>2859</v>
      </c>
    </row>
    <row r="73" spans="1:70">
      <c r="A73" s="89" t="s">
        <v>2166</v>
      </c>
      <c r="B73" s="89" t="s">
        <v>2400</v>
      </c>
      <c r="C73" s="89" t="s">
        <v>2859</v>
      </c>
      <c r="D73" s="89" t="s">
        <v>2859</v>
      </c>
      <c r="E73" s="89" t="s">
        <v>2859</v>
      </c>
      <c r="F73" s="89" t="s">
        <v>2859</v>
      </c>
      <c r="G73" s="89" t="s">
        <v>2860</v>
      </c>
      <c r="H73" s="89" t="s">
        <v>2859</v>
      </c>
      <c r="I73" s="89" t="s">
        <v>2490</v>
      </c>
      <c r="J73" s="89" t="s">
        <v>2859</v>
      </c>
      <c r="K73" s="89" t="s">
        <v>2859</v>
      </c>
      <c r="L73" s="89" t="s">
        <v>621</v>
      </c>
      <c r="M73" s="89" t="s">
        <v>2859</v>
      </c>
      <c r="N73" s="89" t="s">
        <v>2859</v>
      </c>
      <c r="O73" s="89" t="s">
        <v>2859</v>
      </c>
      <c r="P73" s="89" t="s">
        <v>2859</v>
      </c>
      <c r="Q73" s="89" t="s">
        <v>2859</v>
      </c>
      <c r="R73" s="89" t="s">
        <v>2859</v>
      </c>
      <c r="S73" s="89" t="s">
        <v>2859</v>
      </c>
      <c r="T73" s="89" t="s">
        <v>2859</v>
      </c>
      <c r="U73" s="89" t="s">
        <v>2859</v>
      </c>
      <c r="V73" s="89" t="s">
        <v>2859</v>
      </c>
      <c r="W73" s="89" t="s">
        <v>2859</v>
      </c>
      <c r="X73" s="89" t="s">
        <v>2859</v>
      </c>
      <c r="Y73" s="89" t="s">
        <v>2859</v>
      </c>
      <c r="Z73" s="89" t="s">
        <v>2859</v>
      </c>
      <c r="AA73" s="89" t="s">
        <v>2859</v>
      </c>
      <c r="AB73" s="89" t="s">
        <v>2859</v>
      </c>
      <c r="AC73" s="89" t="s">
        <v>2859</v>
      </c>
      <c r="AD73" s="89" t="s">
        <v>2859</v>
      </c>
      <c r="AE73" s="89" t="s">
        <v>2859</v>
      </c>
      <c r="AF73" s="89" t="s">
        <v>2859</v>
      </c>
      <c r="AG73" s="89" t="s">
        <v>2859</v>
      </c>
      <c r="AH73" s="89" t="s">
        <v>2859</v>
      </c>
      <c r="AI73" s="89" t="s">
        <v>2859</v>
      </c>
      <c r="AJ73" s="89" t="s">
        <v>2859</v>
      </c>
      <c r="AK73" s="89" t="s">
        <v>2859</v>
      </c>
      <c r="AL73" s="89" t="s">
        <v>2859</v>
      </c>
      <c r="AM73" s="89" t="s">
        <v>2859</v>
      </c>
      <c r="AN73" s="89" t="s">
        <v>2859</v>
      </c>
      <c r="AO73" s="89" t="s">
        <v>2859</v>
      </c>
      <c r="AP73" s="89" t="s">
        <v>2859</v>
      </c>
      <c r="AQ73" s="89" t="s">
        <v>2859</v>
      </c>
      <c r="AR73" s="89" t="s">
        <v>2859</v>
      </c>
      <c r="AS73" s="89" t="s">
        <v>2859</v>
      </c>
      <c r="AT73" s="89" t="s">
        <v>2859</v>
      </c>
      <c r="AU73" s="89" t="s">
        <v>2859</v>
      </c>
      <c r="AV73" s="89" t="s">
        <v>2859</v>
      </c>
      <c r="AW73" s="89" t="s">
        <v>2859</v>
      </c>
      <c r="AX73" s="89" t="s">
        <v>2859</v>
      </c>
      <c r="AY73" s="89" t="s">
        <v>2859</v>
      </c>
      <c r="AZ73" s="89" t="s">
        <v>2859</v>
      </c>
      <c r="BA73" s="89" t="s">
        <v>2859</v>
      </c>
      <c r="BB73" s="89" t="s">
        <v>2859</v>
      </c>
      <c r="BC73" s="89" t="s">
        <v>2859</v>
      </c>
      <c r="BD73" s="89" t="s">
        <v>2859</v>
      </c>
      <c r="BE73" s="89" t="s">
        <v>2859</v>
      </c>
      <c r="BF73" s="89" t="s">
        <v>2859</v>
      </c>
      <c r="BG73" s="89" t="s">
        <v>2859</v>
      </c>
      <c r="BH73" s="89" t="s">
        <v>2859</v>
      </c>
      <c r="BI73" s="89" t="s">
        <v>2859</v>
      </c>
      <c r="BJ73" s="89" t="s">
        <v>2859</v>
      </c>
      <c r="BK73" s="89" t="s">
        <v>2859</v>
      </c>
      <c r="BL73" s="89" t="s">
        <v>2859</v>
      </c>
      <c r="BM73" s="89" t="s">
        <v>2859</v>
      </c>
      <c r="BN73" s="89" t="s">
        <v>2859</v>
      </c>
      <c r="BO73" s="89" t="s">
        <v>2859</v>
      </c>
      <c r="BP73" s="89" t="s">
        <v>2859</v>
      </c>
      <c r="BQ73" s="89" t="s">
        <v>3723</v>
      </c>
      <c r="BR73" s="89" t="s">
        <v>2859</v>
      </c>
    </row>
    <row r="74" spans="1:70">
      <c r="A74" s="89" t="s">
        <v>2166</v>
      </c>
      <c r="B74" s="89" t="s">
        <v>2495</v>
      </c>
      <c r="C74" s="89" t="s">
        <v>2483</v>
      </c>
      <c r="D74" s="89" t="s">
        <v>2859</v>
      </c>
      <c r="E74" s="89" t="s">
        <v>2859</v>
      </c>
      <c r="F74" s="89" t="s">
        <v>2859</v>
      </c>
      <c r="G74" s="89" t="s">
        <v>2860</v>
      </c>
      <c r="H74" s="89" t="s">
        <v>2859</v>
      </c>
      <c r="I74" s="89" t="s">
        <v>120</v>
      </c>
      <c r="J74" s="89" t="s">
        <v>2859</v>
      </c>
      <c r="K74" s="89" t="s">
        <v>2859</v>
      </c>
      <c r="L74" s="89" t="s">
        <v>2859</v>
      </c>
      <c r="M74" s="89" t="s">
        <v>2859</v>
      </c>
      <c r="N74" s="89" t="s">
        <v>2859</v>
      </c>
      <c r="O74" s="89" t="s">
        <v>2859</v>
      </c>
      <c r="P74" s="89" t="s">
        <v>2859</v>
      </c>
      <c r="Q74" s="89" t="s">
        <v>2859</v>
      </c>
      <c r="R74" s="89" t="s">
        <v>2859</v>
      </c>
      <c r="S74" s="89" t="s">
        <v>2859</v>
      </c>
      <c r="T74" s="89" t="s">
        <v>2859</v>
      </c>
      <c r="U74" s="89" t="s">
        <v>2859</v>
      </c>
      <c r="V74" s="89" t="s">
        <v>2859</v>
      </c>
      <c r="W74" s="89" t="s">
        <v>2859</v>
      </c>
      <c r="X74" s="89" t="s">
        <v>2859</v>
      </c>
      <c r="Y74" s="89" t="s">
        <v>2859</v>
      </c>
      <c r="Z74" s="89" t="s">
        <v>2859</v>
      </c>
      <c r="AA74" s="89" t="s">
        <v>2859</v>
      </c>
      <c r="AB74" s="89" t="s">
        <v>2859</v>
      </c>
      <c r="AC74" s="89" t="s">
        <v>2859</v>
      </c>
      <c r="AD74" s="89" t="s">
        <v>2859</v>
      </c>
      <c r="AE74" s="89" t="s">
        <v>2859</v>
      </c>
      <c r="AF74" s="89" t="s">
        <v>2859</v>
      </c>
      <c r="AG74" s="89" t="s">
        <v>2859</v>
      </c>
      <c r="AH74" s="89" t="s">
        <v>2859</v>
      </c>
      <c r="AI74" s="89" t="s">
        <v>2859</v>
      </c>
      <c r="AJ74" s="89" t="s">
        <v>2859</v>
      </c>
      <c r="AK74" s="89" t="s">
        <v>2859</v>
      </c>
      <c r="AL74" s="89" t="s">
        <v>2859</v>
      </c>
      <c r="AM74" s="89" t="s">
        <v>2859</v>
      </c>
      <c r="AN74" s="89" t="s">
        <v>2859</v>
      </c>
      <c r="AO74" s="89" t="s">
        <v>2859</v>
      </c>
      <c r="AP74" s="89" t="s">
        <v>2859</v>
      </c>
      <c r="AQ74" s="89" t="s">
        <v>2859</v>
      </c>
      <c r="AR74" s="89" t="s">
        <v>2859</v>
      </c>
      <c r="AS74" s="89" t="s">
        <v>2859</v>
      </c>
      <c r="AT74" s="89" t="s">
        <v>2859</v>
      </c>
      <c r="AU74" s="89" t="s">
        <v>2859</v>
      </c>
      <c r="AV74" s="89" t="s">
        <v>2859</v>
      </c>
      <c r="AW74" s="89" t="s">
        <v>2859</v>
      </c>
      <c r="AX74" s="89" t="s">
        <v>2859</v>
      </c>
      <c r="AY74" s="89" t="s">
        <v>2859</v>
      </c>
      <c r="AZ74" s="89" t="s">
        <v>2859</v>
      </c>
      <c r="BA74" s="89" t="s">
        <v>2859</v>
      </c>
      <c r="BB74" s="89" t="s">
        <v>2859</v>
      </c>
      <c r="BC74" s="89" t="s">
        <v>2859</v>
      </c>
      <c r="BD74" s="89" t="s">
        <v>2859</v>
      </c>
      <c r="BE74" s="89" t="s">
        <v>2859</v>
      </c>
      <c r="BF74" s="89" t="s">
        <v>2859</v>
      </c>
      <c r="BG74" s="89" t="s">
        <v>2859</v>
      </c>
      <c r="BH74" s="89" t="s">
        <v>2859</v>
      </c>
      <c r="BI74" s="89" t="s">
        <v>2859</v>
      </c>
      <c r="BJ74" s="89" t="s">
        <v>2859</v>
      </c>
      <c r="BK74" s="89" t="s">
        <v>2859</v>
      </c>
      <c r="BL74" s="89" t="s">
        <v>2859</v>
      </c>
      <c r="BM74" s="89" t="s">
        <v>2859</v>
      </c>
      <c r="BN74" s="89" t="s">
        <v>2859</v>
      </c>
      <c r="BO74" s="89" t="s">
        <v>2859</v>
      </c>
      <c r="BP74" s="89" t="s">
        <v>2859</v>
      </c>
      <c r="BQ74" s="89" t="s">
        <v>3724</v>
      </c>
      <c r="BR74" s="89" t="s">
        <v>2859</v>
      </c>
    </row>
    <row r="75" spans="1:70">
      <c r="A75" s="89" t="s">
        <v>2166</v>
      </c>
      <c r="B75" s="89" t="s">
        <v>2496</v>
      </c>
      <c r="C75" s="89" t="s">
        <v>2483</v>
      </c>
      <c r="D75" s="89" t="s">
        <v>2859</v>
      </c>
      <c r="E75" s="89" t="s">
        <v>2859</v>
      </c>
      <c r="F75" s="89" t="s">
        <v>2859</v>
      </c>
      <c r="G75" s="89" t="s">
        <v>2860</v>
      </c>
      <c r="H75" s="89" t="s">
        <v>2859</v>
      </c>
      <c r="I75" s="89" t="s">
        <v>120</v>
      </c>
      <c r="J75" s="89" t="s">
        <v>2859</v>
      </c>
      <c r="K75" s="89" t="s">
        <v>2859</v>
      </c>
      <c r="L75" s="89" t="s">
        <v>2859</v>
      </c>
      <c r="M75" s="89" t="s">
        <v>2859</v>
      </c>
      <c r="N75" s="89" t="s">
        <v>2859</v>
      </c>
      <c r="O75" s="89" t="s">
        <v>2859</v>
      </c>
      <c r="P75" s="89" t="s">
        <v>2859</v>
      </c>
      <c r="Q75" s="89" t="s">
        <v>2859</v>
      </c>
      <c r="R75" s="89" t="s">
        <v>2859</v>
      </c>
      <c r="S75" s="89" t="s">
        <v>2859</v>
      </c>
      <c r="T75" s="89" t="s">
        <v>2859</v>
      </c>
      <c r="U75" s="89" t="s">
        <v>2859</v>
      </c>
      <c r="V75" s="89" t="s">
        <v>2859</v>
      </c>
      <c r="W75" s="89" t="s">
        <v>2859</v>
      </c>
      <c r="X75" s="89" t="s">
        <v>2859</v>
      </c>
      <c r="Y75" s="89" t="s">
        <v>2859</v>
      </c>
      <c r="Z75" s="89" t="s">
        <v>2859</v>
      </c>
      <c r="AA75" s="89" t="s">
        <v>2859</v>
      </c>
      <c r="AB75" s="89" t="s">
        <v>2859</v>
      </c>
      <c r="AC75" s="89" t="s">
        <v>2859</v>
      </c>
      <c r="AD75" s="89" t="s">
        <v>2859</v>
      </c>
      <c r="AE75" s="89" t="s">
        <v>2859</v>
      </c>
      <c r="AF75" s="89" t="s">
        <v>2859</v>
      </c>
      <c r="AG75" s="89" t="s">
        <v>2859</v>
      </c>
      <c r="AH75" s="89" t="s">
        <v>2859</v>
      </c>
      <c r="AI75" s="89" t="s">
        <v>2859</v>
      </c>
      <c r="AJ75" s="89" t="s">
        <v>2859</v>
      </c>
      <c r="AK75" s="89" t="s">
        <v>2859</v>
      </c>
      <c r="AL75" s="89" t="s">
        <v>2859</v>
      </c>
      <c r="AM75" s="89" t="s">
        <v>2859</v>
      </c>
      <c r="AN75" s="89" t="s">
        <v>2859</v>
      </c>
      <c r="AO75" s="89" t="s">
        <v>2859</v>
      </c>
      <c r="AP75" s="89" t="s">
        <v>2859</v>
      </c>
      <c r="AQ75" s="89" t="s">
        <v>2859</v>
      </c>
      <c r="AR75" s="89" t="s">
        <v>2859</v>
      </c>
      <c r="AS75" s="89" t="s">
        <v>2859</v>
      </c>
      <c r="AT75" s="89" t="s">
        <v>2859</v>
      </c>
      <c r="AU75" s="89" t="s">
        <v>2859</v>
      </c>
      <c r="AV75" s="89" t="s">
        <v>2859</v>
      </c>
      <c r="AW75" s="89" t="s">
        <v>2859</v>
      </c>
      <c r="AX75" s="89" t="s">
        <v>2859</v>
      </c>
      <c r="AY75" s="89" t="s">
        <v>2859</v>
      </c>
      <c r="AZ75" s="89" t="s">
        <v>2859</v>
      </c>
      <c r="BA75" s="89" t="s">
        <v>2859</v>
      </c>
      <c r="BB75" s="89" t="s">
        <v>2859</v>
      </c>
      <c r="BC75" s="89" t="s">
        <v>2859</v>
      </c>
      <c r="BD75" s="89" t="s">
        <v>2859</v>
      </c>
      <c r="BE75" s="89" t="s">
        <v>2859</v>
      </c>
      <c r="BF75" s="89" t="s">
        <v>2859</v>
      </c>
      <c r="BG75" s="89" t="s">
        <v>2859</v>
      </c>
      <c r="BH75" s="89" t="s">
        <v>2859</v>
      </c>
      <c r="BI75" s="89" t="s">
        <v>2859</v>
      </c>
      <c r="BJ75" s="89" t="s">
        <v>2859</v>
      </c>
      <c r="BK75" s="89" t="s">
        <v>2859</v>
      </c>
      <c r="BL75" s="89" t="s">
        <v>2859</v>
      </c>
      <c r="BM75" s="89" t="s">
        <v>2859</v>
      </c>
      <c r="BN75" s="89" t="s">
        <v>2859</v>
      </c>
      <c r="BO75" s="89" t="s">
        <v>2859</v>
      </c>
      <c r="BP75" s="89" t="s">
        <v>2859</v>
      </c>
      <c r="BQ75" s="89" t="s">
        <v>3725</v>
      </c>
      <c r="BR75" s="89" t="s">
        <v>2859</v>
      </c>
    </row>
    <row r="76" spans="1:70">
      <c r="A76" s="89" t="s">
        <v>2166</v>
      </c>
      <c r="B76" s="89" t="s">
        <v>2497</v>
      </c>
      <c r="C76" s="89" t="s">
        <v>2339</v>
      </c>
      <c r="D76" s="89" t="s">
        <v>2859</v>
      </c>
      <c r="E76" s="89" t="s">
        <v>2859</v>
      </c>
      <c r="F76" s="89" t="s">
        <v>2859</v>
      </c>
      <c r="G76" s="89" t="s">
        <v>2860</v>
      </c>
      <c r="H76" s="89" t="s">
        <v>2859</v>
      </c>
      <c r="I76" s="89" t="s">
        <v>120</v>
      </c>
      <c r="J76" s="89" t="s">
        <v>2859</v>
      </c>
      <c r="K76" s="89" t="s">
        <v>2859</v>
      </c>
      <c r="L76" s="89" t="s">
        <v>2859</v>
      </c>
      <c r="M76" s="89" t="s">
        <v>2859</v>
      </c>
      <c r="N76" s="89" t="s">
        <v>2859</v>
      </c>
      <c r="O76" s="89" t="s">
        <v>2859</v>
      </c>
      <c r="P76" s="89" t="s">
        <v>2859</v>
      </c>
      <c r="Q76" s="89" t="s">
        <v>2859</v>
      </c>
      <c r="R76" s="89" t="s">
        <v>2859</v>
      </c>
      <c r="S76" s="89" t="s">
        <v>2859</v>
      </c>
      <c r="T76" s="89" t="s">
        <v>2859</v>
      </c>
      <c r="U76" s="89" t="s">
        <v>2859</v>
      </c>
      <c r="V76" s="89" t="s">
        <v>2859</v>
      </c>
      <c r="W76" s="89" t="s">
        <v>2859</v>
      </c>
      <c r="X76" s="89" t="s">
        <v>2859</v>
      </c>
      <c r="Y76" s="89" t="s">
        <v>2859</v>
      </c>
      <c r="Z76" s="89" t="s">
        <v>2859</v>
      </c>
      <c r="AA76" s="89" t="s">
        <v>2859</v>
      </c>
      <c r="AB76" s="89" t="s">
        <v>2859</v>
      </c>
      <c r="AC76" s="89" t="s">
        <v>2859</v>
      </c>
      <c r="AD76" s="89" t="s">
        <v>2859</v>
      </c>
      <c r="AE76" s="89" t="s">
        <v>2859</v>
      </c>
      <c r="AF76" s="89" t="s">
        <v>2859</v>
      </c>
      <c r="AG76" s="89" t="s">
        <v>2859</v>
      </c>
      <c r="AH76" s="89" t="s">
        <v>2859</v>
      </c>
      <c r="AI76" s="89" t="s">
        <v>2859</v>
      </c>
      <c r="AJ76" s="89" t="s">
        <v>2859</v>
      </c>
      <c r="AK76" s="89" t="s">
        <v>2859</v>
      </c>
      <c r="AL76" s="89" t="s">
        <v>2859</v>
      </c>
      <c r="AM76" s="89" t="s">
        <v>2859</v>
      </c>
      <c r="AN76" s="89" t="s">
        <v>2859</v>
      </c>
      <c r="AO76" s="89" t="s">
        <v>2859</v>
      </c>
      <c r="AP76" s="89" t="s">
        <v>2859</v>
      </c>
      <c r="AQ76" s="89" t="s">
        <v>2859</v>
      </c>
      <c r="AR76" s="89" t="s">
        <v>2859</v>
      </c>
      <c r="AS76" s="89" t="s">
        <v>2859</v>
      </c>
      <c r="AT76" s="89" t="s">
        <v>2859</v>
      </c>
      <c r="AU76" s="89" t="s">
        <v>2859</v>
      </c>
      <c r="AV76" s="89" t="s">
        <v>2859</v>
      </c>
      <c r="AW76" s="89" t="s">
        <v>2859</v>
      </c>
      <c r="AX76" s="89" t="s">
        <v>2859</v>
      </c>
      <c r="AY76" s="89" t="s">
        <v>2859</v>
      </c>
      <c r="AZ76" s="89" t="s">
        <v>2859</v>
      </c>
      <c r="BA76" s="89" t="s">
        <v>2859</v>
      </c>
      <c r="BB76" s="89" t="s">
        <v>2859</v>
      </c>
      <c r="BC76" s="89" t="s">
        <v>2859</v>
      </c>
      <c r="BD76" s="89" t="s">
        <v>2859</v>
      </c>
      <c r="BE76" s="89" t="s">
        <v>2859</v>
      </c>
      <c r="BF76" s="89" t="s">
        <v>2859</v>
      </c>
      <c r="BG76" s="89" t="s">
        <v>2859</v>
      </c>
      <c r="BH76" s="89" t="s">
        <v>2859</v>
      </c>
      <c r="BI76" s="89" t="s">
        <v>2859</v>
      </c>
      <c r="BJ76" s="89" t="s">
        <v>2859</v>
      </c>
      <c r="BK76" s="89" t="s">
        <v>2859</v>
      </c>
      <c r="BL76" s="89" t="s">
        <v>2859</v>
      </c>
      <c r="BM76" s="89" t="s">
        <v>2859</v>
      </c>
      <c r="BN76" s="89" t="s">
        <v>2859</v>
      </c>
      <c r="BO76" s="89" t="s">
        <v>2859</v>
      </c>
      <c r="BP76" s="89" t="s">
        <v>2859</v>
      </c>
      <c r="BQ76" s="89" t="s">
        <v>3726</v>
      </c>
      <c r="BR76" s="89" t="s">
        <v>2859</v>
      </c>
    </row>
    <row r="77" spans="1:70">
      <c r="A77" s="89" t="s">
        <v>2166</v>
      </c>
      <c r="B77" s="89" t="s">
        <v>2498</v>
      </c>
      <c r="C77" s="89" t="s">
        <v>2499</v>
      </c>
      <c r="D77" s="89" t="s">
        <v>2859</v>
      </c>
      <c r="E77" s="89" t="s">
        <v>2859</v>
      </c>
      <c r="F77" s="89" t="s">
        <v>2859</v>
      </c>
      <c r="G77" s="89" t="s">
        <v>2860</v>
      </c>
      <c r="H77" s="89" t="s">
        <v>2859</v>
      </c>
      <c r="I77" s="89" t="s">
        <v>2490</v>
      </c>
      <c r="J77" s="89" t="s">
        <v>2859</v>
      </c>
      <c r="K77" s="89" t="s">
        <v>2859</v>
      </c>
      <c r="L77" s="89" t="s">
        <v>2859</v>
      </c>
      <c r="M77" s="89" t="s">
        <v>2859</v>
      </c>
      <c r="N77" s="89" t="s">
        <v>2859</v>
      </c>
      <c r="O77" s="89" t="s">
        <v>2859</v>
      </c>
      <c r="P77" s="89" t="s">
        <v>2859</v>
      </c>
      <c r="Q77" s="89" t="s">
        <v>2859</v>
      </c>
      <c r="R77" s="89" t="s">
        <v>2859</v>
      </c>
      <c r="S77" s="89" t="s">
        <v>2859</v>
      </c>
      <c r="T77" s="89" t="s">
        <v>2859</v>
      </c>
      <c r="U77" s="89" t="s">
        <v>2859</v>
      </c>
      <c r="V77" s="89" t="s">
        <v>2859</v>
      </c>
      <c r="W77" s="89" t="s">
        <v>2859</v>
      </c>
      <c r="X77" s="89" t="s">
        <v>2859</v>
      </c>
      <c r="Y77" s="89" t="s">
        <v>2859</v>
      </c>
      <c r="Z77" s="89" t="s">
        <v>2859</v>
      </c>
      <c r="AA77" s="89" t="s">
        <v>2859</v>
      </c>
      <c r="AB77" s="89" t="s">
        <v>2859</v>
      </c>
      <c r="AC77" s="89" t="s">
        <v>2859</v>
      </c>
      <c r="AD77" s="89" t="s">
        <v>2859</v>
      </c>
      <c r="AE77" s="89" t="s">
        <v>2859</v>
      </c>
      <c r="AF77" s="89" t="s">
        <v>2859</v>
      </c>
      <c r="AG77" s="89" t="s">
        <v>2859</v>
      </c>
      <c r="AH77" s="89" t="s">
        <v>2859</v>
      </c>
      <c r="AI77" s="89" t="s">
        <v>2859</v>
      </c>
      <c r="AJ77" s="89" t="s">
        <v>2859</v>
      </c>
      <c r="AK77" s="89" t="s">
        <v>2859</v>
      </c>
      <c r="AL77" s="89" t="s">
        <v>2859</v>
      </c>
      <c r="AM77" s="89" t="s">
        <v>2859</v>
      </c>
      <c r="AN77" s="89" t="s">
        <v>2859</v>
      </c>
      <c r="AO77" s="89" t="s">
        <v>2859</v>
      </c>
      <c r="AP77" s="89" t="s">
        <v>2859</v>
      </c>
      <c r="AQ77" s="89" t="s">
        <v>2859</v>
      </c>
      <c r="AR77" s="89" t="s">
        <v>2859</v>
      </c>
      <c r="AS77" s="89" t="s">
        <v>2859</v>
      </c>
      <c r="AT77" s="89" t="s">
        <v>2859</v>
      </c>
      <c r="AU77" s="89" t="s">
        <v>2859</v>
      </c>
      <c r="AV77" s="89" t="s">
        <v>2859</v>
      </c>
      <c r="AW77" s="89" t="s">
        <v>2859</v>
      </c>
      <c r="AX77" s="89" t="s">
        <v>2859</v>
      </c>
      <c r="AY77" s="89" t="s">
        <v>2859</v>
      </c>
      <c r="AZ77" s="89" t="s">
        <v>2859</v>
      </c>
      <c r="BA77" s="89" t="s">
        <v>2859</v>
      </c>
      <c r="BB77" s="89" t="s">
        <v>2859</v>
      </c>
      <c r="BC77" s="89" t="s">
        <v>2859</v>
      </c>
      <c r="BD77" s="89" t="s">
        <v>2859</v>
      </c>
      <c r="BE77" s="89" t="s">
        <v>2859</v>
      </c>
      <c r="BF77" s="89" t="s">
        <v>2859</v>
      </c>
      <c r="BG77" s="89" t="s">
        <v>2859</v>
      </c>
      <c r="BH77" s="89" t="s">
        <v>2859</v>
      </c>
      <c r="BI77" s="89" t="s">
        <v>2859</v>
      </c>
      <c r="BJ77" s="89" t="s">
        <v>2859</v>
      </c>
      <c r="BK77" s="89" t="s">
        <v>2859</v>
      </c>
      <c r="BL77" s="89" t="s">
        <v>2859</v>
      </c>
      <c r="BM77" s="89" t="s">
        <v>2859</v>
      </c>
      <c r="BN77" s="89" t="s">
        <v>2859</v>
      </c>
      <c r="BO77" s="89" t="s">
        <v>2859</v>
      </c>
      <c r="BP77" s="89" t="s">
        <v>2859</v>
      </c>
      <c r="BQ77" s="89" t="s">
        <v>3727</v>
      </c>
      <c r="BR77" s="89" t="s">
        <v>2859</v>
      </c>
    </row>
    <row r="78" spans="1:70">
      <c r="A78" s="89" t="s">
        <v>2166</v>
      </c>
      <c r="B78" s="89" t="s">
        <v>2500</v>
      </c>
      <c r="C78" s="89" t="s">
        <v>2499</v>
      </c>
      <c r="D78" s="89" t="s">
        <v>2859</v>
      </c>
      <c r="E78" s="89" t="s">
        <v>2859</v>
      </c>
      <c r="F78" s="89" t="s">
        <v>2859</v>
      </c>
      <c r="G78" s="89" t="s">
        <v>2860</v>
      </c>
      <c r="H78" s="89" t="s">
        <v>2859</v>
      </c>
      <c r="I78" s="89" t="s">
        <v>2490</v>
      </c>
      <c r="J78" s="89" t="s">
        <v>2859</v>
      </c>
      <c r="K78" s="89" t="s">
        <v>2859</v>
      </c>
      <c r="L78" s="89" t="s">
        <v>2859</v>
      </c>
      <c r="M78" s="89" t="s">
        <v>2859</v>
      </c>
      <c r="N78" s="89" t="s">
        <v>2859</v>
      </c>
      <c r="O78" s="89" t="s">
        <v>2859</v>
      </c>
      <c r="P78" s="89" t="s">
        <v>2859</v>
      </c>
      <c r="Q78" s="89" t="s">
        <v>2859</v>
      </c>
      <c r="R78" s="89" t="s">
        <v>2859</v>
      </c>
      <c r="S78" s="89" t="s">
        <v>2859</v>
      </c>
      <c r="T78" s="89" t="s">
        <v>2859</v>
      </c>
      <c r="U78" s="89" t="s">
        <v>2859</v>
      </c>
      <c r="V78" s="89" t="s">
        <v>2859</v>
      </c>
      <c r="W78" s="89" t="s">
        <v>2859</v>
      </c>
      <c r="X78" s="89" t="s">
        <v>2859</v>
      </c>
      <c r="Y78" s="89" t="s">
        <v>2859</v>
      </c>
      <c r="Z78" s="89" t="s">
        <v>2859</v>
      </c>
      <c r="AA78" s="89" t="s">
        <v>2859</v>
      </c>
      <c r="AB78" s="89" t="s">
        <v>2859</v>
      </c>
      <c r="AC78" s="89" t="s">
        <v>2859</v>
      </c>
      <c r="AD78" s="89" t="s">
        <v>2859</v>
      </c>
      <c r="AE78" s="89" t="s">
        <v>2859</v>
      </c>
      <c r="AF78" s="89" t="s">
        <v>2859</v>
      </c>
      <c r="AG78" s="89" t="s">
        <v>2859</v>
      </c>
      <c r="AH78" s="89" t="s">
        <v>2859</v>
      </c>
      <c r="AI78" s="89" t="s">
        <v>2859</v>
      </c>
      <c r="AJ78" s="89" t="s">
        <v>2859</v>
      </c>
      <c r="AK78" s="89" t="s">
        <v>2859</v>
      </c>
      <c r="AL78" s="89" t="s">
        <v>2859</v>
      </c>
      <c r="AM78" s="89" t="s">
        <v>2859</v>
      </c>
      <c r="AN78" s="89" t="s">
        <v>2859</v>
      </c>
      <c r="AO78" s="89" t="s">
        <v>2859</v>
      </c>
      <c r="AP78" s="89" t="s">
        <v>2859</v>
      </c>
      <c r="AQ78" s="89" t="s">
        <v>2859</v>
      </c>
      <c r="AR78" s="89" t="s">
        <v>2859</v>
      </c>
      <c r="AS78" s="89" t="s">
        <v>2859</v>
      </c>
      <c r="AT78" s="89" t="s">
        <v>2859</v>
      </c>
      <c r="AU78" s="89" t="s">
        <v>2859</v>
      </c>
      <c r="AV78" s="89" t="s">
        <v>2859</v>
      </c>
      <c r="AW78" s="89" t="s">
        <v>2859</v>
      </c>
      <c r="AX78" s="89" t="s">
        <v>2859</v>
      </c>
      <c r="AY78" s="89" t="s">
        <v>2859</v>
      </c>
      <c r="AZ78" s="89" t="s">
        <v>2859</v>
      </c>
      <c r="BA78" s="89" t="s">
        <v>2859</v>
      </c>
      <c r="BB78" s="89" t="s">
        <v>2859</v>
      </c>
      <c r="BC78" s="89" t="s">
        <v>2859</v>
      </c>
      <c r="BD78" s="89" t="s">
        <v>2859</v>
      </c>
      <c r="BE78" s="89" t="s">
        <v>2859</v>
      </c>
      <c r="BF78" s="89" t="s">
        <v>2859</v>
      </c>
      <c r="BG78" s="89" t="s">
        <v>2859</v>
      </c>
      <c r="BH78" s="89" t="s">
        <v>2859</v>
      </c>
      <c r="BI78" s="89" t="s">
        <v>2859</v>
      </c>
      <c r="BJ78" s="89" t="s">
        <v>2859</v>
      </c>
      <c r="BK78" s="89" t="s">
        <v>2859</v>
      </c>
      <c r="BL78" s="89" t="s">
        <v>2859</v>
      </c>
      <c r="BM78" s="89" t="s">
        <v>2859</v>
      </c>
      <c r="BN78" s="89" t="s">
        <v>2859</v>
      </c>
      <c r="BO78" s="89" t="s">
        <v>2859</v>
      </c>
      <c r="BP78" s="89" t="s">
        <v>2859</v>
      </c>
      <c r="BQ78" s="89" t="s">
        <v>3728</v>
      </c>
      <c r="BR78" s="89" t="s">
        <v>2859</v>
      </c>
    </row>
    <row r="79" spans="1:70">
      <c r="A79" s="89" t="s">
        <v>2166</v>
      </c>
      <c r="B79" s="89" t="s">
        <v>3729</v>
      </c>
      <c r="C79" s="89" t="s">
        <v>2477</v>
      </c>
      <c r="D79" s="89" t="s">
        <v>2859</v>
      </c>
      <c r="E79" s="89" t="s">
        <v>2859</v>
      </c>
      <c r="F79" s="89" t="s">
        <v>2859</v>
      </c>
      <c r="G79" s="89" t="s">
        <v>2860</v>
      </c>
      <c r="H79" s="89" t="s">
        <v>2859</v>
      </c>
      <c r="I79" s="89" t="s">
        <v>2865</v>
      </c>
      <c r="J79" s="89" t="s">
        <v>2859</v>
      </c>
      <c r="K79" s="89" t="s">
        <v>2859</v>
      </c>
      <c r="L79" s="89" t="s">
        <v>2859</v>
      </c>
      <c r="M79" s="89" t="s">
        <v>2859</v>
      </c>
      <c r="N79" s="89" t="s">
        <v>2859</v>
      </c>
      <c r="O79" s="89" t="s">
        <v>2859</v>
      </c>
      <c r="P79" s="89" t="s">
        <v>2859</v>
      </c>
      <c r="Q79" s="89" t="s">
        <v>2859</v>
      </c>
      <c r="R79" s="89" t="s">
        <v>2859</v>
      </c>
      <c r="S79" s="89" t="s">
        <v>2859</v>
      </c>
      <c r="T79" s="89" t="s">
        <v>2859</v>
      </c>
      <c r="U79" s="89" t="s">
        <v>2859</v>
      </c>
      <c r="V79" s="89" t="s">
        <v>2859</v>
      </c>
      <c r="W79" s="89" t="s">
        <v>2859</v>
      </c>
      <c r="X79" s="89" t="s">
        <v>2859</v>
      </c>
      <c r="Y79" s="89" t="s">
        <v>2859</v>
      </c>
      <c r="Z79" s="89" t="s">
        <v>2859</v>
      </c>
      <c r="AA79" s="89" t="s">
        <v>2859</v>
      </c>
      <c r="AB79" s="89" t="s">
        <v>2859</v>
      </c>
      <c r="AC79" s="89" t="s">
        <v>2859</v>
      </c>
      <c r="AD79" s="89" t="s">
        <v>2859</v>
      </c>
      <c r="AE79" s="89" t="s">
        <v>2859</v>
      </c>
      <c r="AF79" s="89" t="s">
        <v>2859</v>
      </c>
      <c r="AG79" s="89" t="s">
        <v>2859</v>
      </c>
      <c r="AH79" s="89" t="s">
        <v>2859</v>
      </c>
      <c r="AI79" s="89" t="s">
        <v>2859</v>
      </c>
      <c r="AJ79" s="89" t="s">
        <v>2859</v>
      </c>
      <c r="AK79" s="89" t="s">
        <v>2859</v>
      </c>
      <c r="AL79" s="89" t="s">
        <v>2859</v>
      </c>
      <c r="AM79" s="89" t="s">
        <v>2859</v>
      </c>
      <c r="AN79" s="89" t="s">
        <v>2859</v>
      </c>
      <c r="AO79" s="89" t="s">
        <v>2859</v>
      </c>
      <c r="AP79" s="89" t="s">
        <v>2859</v>
      </c>
      <c r="AQ79" s="89" t="s">
        <v>2859</v>
      </c>
      <c r="AR79" s="89" t="s">
        <v>2859</v>
      </c>
      <c r="AS79" s="89" t="s">
        <v>2859</v>
      </c>
      <c r="AT79" s="89" t="s">
        <v>2859</v>
      </c>
      <c r="AU79" s="89" t="s">
        <v>2859</v>
      </c>
      <c r="AV79" s="89" t="s">
        <v>2859</v>
      </c>
      <c r="AW79" s="89" t="s">
        <v>2859</v>
      </c>
      <c r="AX79" s="89" t="s">
        <v>2859</v>
      </c>
      <c r="AY79" s="89" t="s">
        <v>2859</v>
      </c>
      <c r="AZ79" s="89" t="s">
        <v>2859</v>
      </c>
      <c r="BA79" s="89" t="s">
        <v>2859</v>
      </c>
      <c r="BB79" s="89" t="s">
        <v>2859</v>
      </c>
      <c r="BC79" s="89" t="s">
        <v>2859</v>
      </c>
      <c r="BD79" s="89" t="s">
        <v>2859</v>
      </c>
      <c r="BE79" s="89" t="s">
        <v>2859</v>
      </c>
      <c r="BF79" s="89" t="s">
        <v>2859</v>
      </c>
      <c r="BG79" s="89" t="s">
        <v>2859</v>
      </c>
      <c r="BH79" s="89" t="s">
        <v>2859</v>
      </c>
      <c r="BI79" s="89" t="s">
        <v>2859</v>
      </c>
      <c r="BJ79" s="89" t="s">
        <v>2859</v>
      </c>
      <c r="BK79" s="89" t="s">
        <v>2859</v>
      </c>
      <c r="BL79" s="89" t="s">
        <v>2859</v>
      </c>
      <c r="BM79" s="89" t="s">
        <v>2859</v>
      </c>
      <c r="BN79" s="89" t="s">
        <v>2859</v>
      </c>
      <c r="BO79" s="89" t="s">
        <v>2859</v>
      </c>
      <c r="BP79" s="89" t="s">
        <v>2859</v>
      </c>
      <c r="BQ79" s="89" t="s">
        <v>3730</v>
      </c>
      <c r="BR79" s="89" t="s">
        <v>2859</v>
      </c>
    </row>
    <row r="80" spans="1:70">
      <c r="A80" s="89" t="s">
        <v>2166</v>
      </c>
      <c r="B80" s="89" t="s">
        <v>2350</v>
      </c>
      <c r="C80" s="89" t="s">
        <v>2859</v>
      </c>
      <c r="D80" s="89" t="s">
        <v>2859</v>
      </c>
      <c r="E80" s="89" t="s">
        <v>2859</v>
      </c>
      <c r="F80" s="89" t="s">
        <v>2859</v>
      </c>
      <c r="G80" s="89" t="s">
        <v>2860</v>
      </c>
      <c r="H80" s="89" t="s">
        <v>2859</v>
      </c>
      <c r="I80" s="89" t="s">
        <v>2329</v>
      </c>
      <c r="J80" s="89" t="s">
        <v>2859</v>
      </c>
      <c r="K80" s="89" t="s">
        <v>2859</v>
      </c>
      <c r="L80" s="89" t="s">
        <v>2859</v>
      </c>
      <c r="M80" s="89" t="s">
        <v>2859</v>
      </c>
      <c r="N80" s="89" t="s">
        <v>2859</v>
      </c>
      <c r="O80" s="89" t="s">
        <v>2859</v>
      </c>
      <c r="P80" s="89" t="s">
        <v>2859</v>
      </c>
      <c r="Q80" s="89" t="s">
        <v>2859</v>
      </c>
      <c r="R80" s="89" t="s">
        <v>2859</v>
      </c>
      <c r="S80" s="89" t="s">
        <v>2859</v>
      </c>
      <c r="T80" s="89" t="s">
        <v>2859</v>
      </c>
      <c r="U80" s="89" t="s">
        <v>2859</v>
      </c>
      <c r="V80" s="89" t="s">
        <v>2859</v>
      </c>
      <c r="W80" s="89" t="s">
        <v>2859</v>
      </c>
      <c r="X80" s="89" t="s">
        <v>2859</v>
      </c>
      <c r="Y80" s="89" t="s">
        <v>2859</v>
      </c>
      <c r="Z80" s="89" t="s">
        <v>2859</v>
      </c>
      <c r="AA80" s="89" t="s">
        <v>2859</v>
      </c>
      <c r="AB80" s="89" t="s">
        <v>2859</v>
      </c>
      <c r="AC80" s="89" t="s">
        <v>2859</v>
      </c>
      <c r="AD80" s="89" t="s">
        <v>2859</v>
      </c>
      <c r="AE80" s="89" t="s">
        <v>2859</v>
      </c>
      <c r="AF80" s="89" t="s">
        <v>2859</v>
      </c>
      <c r="AG80" s="89" t="s">
        <v>2859</v>
      </c>
      <c r="AH80" s="89" t="s">
        <v>2859</v>
      </c>
      <c r="AI80" s="89" t="s">
        <v>2859</v>
      </c>
      <c r="AJ80" s="89" t="s">
        <v>2859</v>
      </c>
      <c r="AK80" s="89" t="s">
        <v>2859</v>
      </c>
      <c r="AL80" s="89" t="s">
        <v>2859</v>
      </c>
      <c r="AM80" s="89" t="s">
        <v>2859</v>
      </c>
      <c r="AN80" s="89" t="s">
        <v>2859</v>
      </c>
      <c r="AO80" s="89" t="s">
        <v>2859</v>
      </c>
      <c r="AP80" s="89" t="s">
        <v>2859</v>
      </c>
      <c r="AQ80" s="89" t="s">
        <v>2859</v>
      </c>
      <c r="AR80" s="89" t="s">
        <v>2859</v>
      </c>
      <c r="AS80" s="89" t="s">
        <v>2859</v>
      </c>
      <c r="AT80" s="89" t="s">
        <v>2859</v>
      </c>
      <c r="AU80" s="89" t="s">
        <v>2859</v>
      </c>
      <c r="AV80" s="89" t="s">
        <v>2859</v>
      </c>
      <c r="AW80" s="89" t="s">
        <v>2859</v>
      </c>
      <c r="AX80" s="89" t="s">
        <v>2859</v>
      </c>
      <c r="AY80" s="89" t="s">
        <v>2859</v>
      </c>
      <c r="AZ80" s="89" t="s">
        <v>2859</v>
      </c>
      <c r="BA80" s="89" t="s">
        <v>2859</v>
      </c>
      <c r="BB80" s="89" t="s">
        <v>2859</v>
      </c>
      <c r="BC80" s="89" t="s">
        <v>2859</v>
      </c>
      <c r="BD80" s="89" t="s">
        <v>2859</v>
      </c>
      <c r="BE80" s="89" t="s">
        <v>2859</v>
      </c>
      <c r="BF80" s="89" t="s">
        <v>2859</v>
      </c>
      <c r="BG80" s="89" t="s">
        <v>2859</v>
      </c>
      <c r="BH80" s="89" t="s">
        <v>2859</v>
      </c>
      <c r="BI80" s="89" t="s">
        <v>2859</v>
      </c>
      <c r="BJ80" s="89" t="s">
        <v>2859</v>
      </c>
      <c r="BK80" s="89" t="s">
        <v>2859</v>
      </c>
      <c r="BL80" s="89" t="s">
        <v>2859</v>
      </c>
      <c r="BM80" s="89" t="s">
        <v>2859</v>
      </c>
      <c r="BN80" s="89" t="s">
        <v>2859</v>
      </c>
      <c r="BO80" s="89" t="s">
        <v>2859</v>
      </c>
      <c r="BP80" s="89" t="s">
        <v>2859</v>
      </c>
      <c r="BQ80" s="89" t="s">
        <v>3731</v>
      </c>
      <c r="BR80" s="89" t="s">
        <v>2859</v>
      </c>
    </row>
    <row r="81" spans="1:70">
      <c r="A81" s="89" t="s">
        <v>2166</v>
      </c>
      <c r="B81" s="89" t="s">
        <v>2501</v>
      </c>
      <c r="C81" s="89" t="s">
        <v>2499</v>
      </c>
      <c r="D81" s="89" t="s">
        <v>2859</v>
      </c>
      <c r="E81" s="89" t="s">
        <v>2859</v>
      </c>
      <c r="F81" s="89" t="s">
        <v>2859</v>
      </c>
      <c r="G81" s="89" t="s">
        <v>2860</v>
      </c>
      <c r="H81" s="89" t="s">
        <v>2859</v>
      </c>
      <c r="I81" s="89" t="s">
        <v>120</v>
      </c>
      <c r="J81" s="89" t="s">
        <v>2502</v>
      </c>
      <c r="K81" s="89" t="s">
        <v>2860</v>
      </c>
      <c r="L81" s="89" t="s">
        <v>2859</v>
      </c>
      <c r="M81" s="89" t="s">
        <v>2859</v>
      </c>
      <c r="N81" s="89" t="s">
        <v>2859</v>
      </c>
      <c r="O81" s="89" t="s">
        <v>2859</v>
      </c>
      <c r="P81" s="89" t="s">
        <v>2859</v>
      </c>
      <c r="Q81" s="89" t="s">
        <v>2859</v>
      </c>
      <c r="R81" s="89" t="s">
        <v>2859</v>
      </c>
      <c r="S81" s="89" t="s">
        <v>2859</v>
      </c>
      <c r="T81" s="89" t="s">
        <v>2859</v>
      </c>
      <c r="U81" s="89" t="s">
        <v>2859</v>
      </c>
      <c r="V81" s="89" t="s">
        <v>2859</v>
      </c>
      <c r="W81" s="89" t="s">
        <v>2859</v>
      </c>
      <c r="X81" s="89" t="s">
        <v>2859</v>
      </c>
      <c r="Y81" s="89" t="s">
        <v>2859</v>
      </c>
      <c r="Z81" s="89" t="s">
        <v>2859</v>
      </c>
      <c r="AA81" s="89" t="s">
        <v>2859</v>
      </c>
      <c r="AB81" s="89" t="s">
        <v>2859</v>
      </c>
      <c r="AC81" s="89" t="s">
        <v>2859</v>
      </c>
      <c r="AD81" s="89" t="s">
        <v>2859</v>
      </c>
      <c r="AE81" s="89" t="s">
        <v>2859</v>
      </c>
      <c r="AF81" s="89" t="s">
        <v>2859</v>
      </c>
      <c r="AG81" s="89" t="s">
        <v>2859</v>
      </c>
      <c r="AH81" s="89" t="s">
        <v>2859</v>
      </c>
      <c r="AI81" s="89" t="s">
        <v>2859</v>
      </c>
      <c r="AJ81" s="89" t="s">
        <v>2859</v>
      </c>
      <c r="AK81" s="89" t="s">
        <v>2859</v>
      </c>
      <c r="AL81" s="89" t="s">
        <v>2859</v>
      </c>
      <c r="AM81" s="89" t="s">
        <v>2859</v>
      </c>
      <c r="AN81" s="89" t="s">
        <v>2859</v>
      </c>
      <c r="AO81" s="89" t="s">
        <v>2859</v>
      </c>
      <c r="AP81" s="89" t="s">
        <v>2859</v>
      </c>
      <c r="AQ81" s="89" t="s">
        <v>2859</v>
      </c>
      <c r="AR81" s="89" t="s">
        <v>2859</v>
      </c>
      <c r="AS81" s="89" t="s">
        <v>2859</v>
      </c>
      <c r="AT81" s="89" t="s">
        <v>2859</v>
      </c>
      <c r="AU81" s="89" t="s">
        <v>2859</v>
      </c>
      <c r="AV81" s="89" t="s">
        <v>2859</v>
      </c>
      <c r="AW81" s="89" t="s">
        <v>2859</v>
      </c>
      <c r="AX81" s="89" t="s">
        <v>2859</v>
      </c>
      <c r="AY81" s="89" t="s">
        <v>2859</v>
      </c>
      <c r="AZ81" s="89" t="s">
        <v>2859</v>
      </c>
      <c r="BA81" s="89" t="s">
        <v>2859</v>
      </c>
      <c r="BB81" s="89" t="s">
        <v>2859</v>
      </c>
      <c r="BC81" s="89" t="s">
        <v>2859</v>
      </c>
      <c r="BD81" s="89" t="s">
        <v>2859</v>
      </c>
      <c r="BE81" s="89" t="s">
        <v>2859</v>
      </c>
      <c r="BF81" s="89" t="s">
        <v>2859</v>
      </c>
      <c r="BG81" s="89" t="s">
        <v>2859</v>
      </c>
      <c r="BH81" s="89" t="s">
        <v>2859</v>
      </c>
      <c r="BI81" s="89" t="s">
        <v>2859</v>
      </c>
      <c r="BJ81" s="89" t="s">
        <v>2859</v>
      </c>
      <c r="BK81" s="89" t="s">
        <v>2859</v>
      </c>
      <c r="BL81" s="89" t="s">
        <v>2859</v>
      </c>
      <c r="BM81" s="89" t="s">
        <v>2859</v>
      </c>
      <c r="BN81" s="89" t="s">
        <v>2859</v>
      </c>
      <c r="BO81" s="89" t="s">
        <v>2859</v>
      </c>
      <c r="BP81" s="89" t="s">
        <v>2859</v>
      </c>
      <c r="BQ81" s="89" t="s">
        <v>3732</v>
      </c>
      <c r="BR81" s="89" t="s">
        <v>2859</v>
      </c>
    </row>
    <row r="82" spans="1:70">
      <c r="A82" s="89" t="s">
        <v>2166</v>
      </c>
      <c r="B82" s="89" t="s">
        <v>3733</v>
      </c>
      <c r="C82" s="89" t="s">
        <v>2499</v>
      </c>
      <c r="D82" s="89" t="s">
        <v>2859</v>
      </c>
      <c r="E82" s="89" t="s">
        <v>2859</v>
      </c>
      <c r="F82" s="89" t="s">
        <v>2859</v>
      </c>
      <c r="G82" s="89" t="s">
        <v>2860</v>
      </c>
      <c r="H82" s="89" t="s">
        <v>2859</v>
      </c>
      <c r="I82" s="89" t="s">
        <v>2865</v>
      </c>
      <c r="J82" s="89" t="s">
        <v>2859</v>
      </c>
      <c r="K82" s="89" t="s">
        <v>2859</v>
      </c>
      <c r="L82" s="89" t="s">
        <v>2859</v>
      </c>
      <c r="M82" s="89" t="s">
        <v>2859</v>
      </c>
      <c r="N82" s="89" t="s">
        <v>2859</v>
      </c>
      <c r="O82" s="89" t="s">
        <v>2859</v>
      </c>
      <c r="P82" s="89" t="s">
        <v>2859</v>
      </c>
      <c r="Q82" s="89" t="s">
        <v>2859</v>
      </c>
      <c r="R82" s="89" t="s">
        <v>2859</v>
      </c>
      <c r="S82" s="89" t="s">
        <v>2859</v>
      </c>
      <c r="T82" s="89" t="s">
        <v>2859</v>
      </c>
      <c r="U82" s="89" t="s">
        <v>2859</v>
      </c>
      <c r="V82" s="89" t="s">
        <v>2859</v>
      </c>
      <c r="W82" s="89" t="s">
        <v>2859</v>
      </c>
      <c r="X82" s="89" t="s">
        <v>2859</v>
      </c>
      <c r="Y82" s="89" t="s">
        <v>2859</v>
      </c>
      <c r="Z82" s="89" t="s">
        <v>2859</v>
      </c>
      <c r="AA82" s="89" t="s">
        <v>2859</v>
      </c>
      <c r="AB82" s="89" t="s">
        <v>2859</v>
      </c>
      <c r="AC82" s="89" t="s">
        <v>2859</v>
      </c>
      <c r="AD82" s="89" t="s">
        <v>2859</v>
      </c>
      <c r="AE82" s="89" t="s">
        <v>2859</v>
      </c>
      <c r="AF82" s="89" t="s">
        <v>2859</v>
      </c>
      <c r="AG82" s="89" t="s">
        <v>2859</v>
      </c>
      <c r="AH82" s="89" t="s">
        <v>2859</v>
      </c>
      <c r="AI82" s="89" t="s">
        <v>2859</v>
      </c>
      <c r="AJ82" s="89" t="s">
        <v>2859</v>
      </c>
      <c r="AK82" s="89" t="s">
        <v>2859</v>
      </c>
      <c r="AL82" s="89" t="s">
        <v>2859</v>
      </c>
      <c r="AM82" s="89" t="s">
        <v>2859</v>
      </c>
      <c r="AN82" s="89" t="s">
        <v>2859</v>
      </c>
      <c r="AO82" s="89" t="s">
        <v>2859</v>
      </c>
      <c r="AP82" s="89" t="s">
        <v>2859</v>
      </c>
      <c r="AQ82" s="89" t="s">
        <v>2859</v>
      </c>
      <c r="AR82" s="89" t="s">
        <v>2859</v>
      </c>
      <c r="AS82" s="89" t="s">
        <v>2859</v>
      </c>
      <c r="AT82" s="89" t="s">
        <v>2859</v>
      </c>
      <c r="AU82" s="89" t="s">
        <v>2859</v>
      </c>
      <c r="AV82" s="89" t="s">
        <v>2859</v>
      </c>
      <c r="AW82" s="89" t="s">
        <v>2859</v>
      </c>
      <c r="AX82" s="89" t="s">
        <v>2859</v>
      </c>
      <c r="AY82" s="89" t="s">
        <v>2859</v>
      </c>
      <c r="AZ82" s="89" t="s">
        <v>2859</v>
      </c>
      <c r="BA82" s="89" t="s">
        <v>2859</v>
      </c>
      <c r="BB82" s="89" t="s">
        <v>2859</v>
      </c>
      <c r="BC82" s="89" t="s">
        <v>2859</v>
      </c>
      <c r="BD82" s="89" t="s">
        <v>2859</v>
      </c>
      <c r="BE82" s="89" t="s">
        <v>2859</v>
      </c>
      <c r="BF82" s="89" t="s">
        <v>2859</v>
      </c>
      <c r="BG82" s="89" t="s">
        <v>2859</v>
      </c>
      <c r="BH82" s="89" t="s">
        <v>2859</v>
      </c>
      <c r="BI82" s="89" t="s">
        <v>2859</v>
      </c>
      <c r="BJ82" s="89" t="s">
        <v>2859</v>
      </c>
      <c r="BK82" s="89" t="s">
        <v>2859</v>
      </c>
      <c r="BL82" s="89" t="s">
        <v>2859</v>
      </c>
      <c r="BM82" s="89" t="s">
        <v>2859</v>
      </c>
      <c r="BN82" s="89" t="s">
        <v>2859</v>
      </c>
      <c r="BO82" s="89" t="s">
        <v>2859</v>
      </c>
      <c r="BP82" s="89" t="s">
        <v>2859</v>
      </c>
      <c r="BQ82" s="89" t="s">
        <v>3734</v>
      </c>
      <c r="BR82" s="89" t="s">
        <v>2859</v>
      </c>
    </row>
    <row r="83" spans="1:70">
      <c r="A83" s="89" t="s">
        <v>2167</v>
      </c>
      <c r="B83" s="89" t="s">
        <v>3735</v>
      </c>
      <c r="C83" s="89" t="s">
        <v>2404</v>
      </c>
      <c r="D83" s="89" t="s">
        <v>2859</v>
      </c>
      <c r="E83" s="89" t="s">
        <v>2859</v>
      </c>
      <c r="F83" s="89" t="s">
        <v>2859</v>
      </c>
      <c r="G83" s="89" t="s">
        <v>2860</v>
      </c>
      <c r="H83" s="89" t="s">
        <v>2859</v>
      </c>
      <c r="I83" s="89" t="s">
        <v>1463</v>
      </c>
      <c r="J83" s="89" t="s">
        <v>3736</v>
      </c>
      <c r="K83" s="89" t="s">
        <v>2860</v>
      </c>
      <c r="L83" s="89" t="s">
        <v>2859</v>
      </c>
      <c r="M83" s="89" t="s">
        <v>2859</v>
      </c>
      <c r="N83" s="89" t="s">
        <v>2859</v>
      </c>
      <c r="O83" s="89" t="s">
        <v>2859</v>
      </c>
      <c r="P83" s="89" t="s">
        <v>2859</v>
      </c>
      <c r="Q83" s="89" t="s">
        <v>2859</v>
      </c>
      <c r="R83" s="89" t="s">
        <v>2859</v>
      </c>
      <c r="S83" s="89" t="s">
        <v>2859</v>
      </c>
      <c r="T83" s="89" t="s">
        <v>2859</v>
      </c>
      <c r="U83" s="89" t="s">
        <v>2859</v>
      </c>
      <c r="V83" s="89" t="s">
        <v>2859</v>
      </c>
      <c r="W83" s="89" t="s">
        <v>2859</v>
      </c>
      <c r="X83" s="89" t="s">
        <v>2859</v>
      </c>
      <c r="Y83" s="89" t="s">
        <v>2859</v>
      </c>
      <c r="Z83" s="89" t="s">
        <v>2859</v>
      </c>
      <c r="AA83" s="89" t="s">
        <v>2859</v>
      </c>
      <c r="AB83" s="89" t="s">
        <v>2859</v>
      </c>
      <c r="AC83" s="89" t="s">
        <v>2859</v>
      </c>
      <c r="AD83" s="89" t="s">
        <v>2859</v>
      </c>
      <c r="AE83" s="89" t="s">
        <v>2859</v>
      </c>
      <c r="AF83" s="89" t="s">
        <v>2859</v>
      </c>
      <c r="AG83" s="89" t="s">
        <v>2859</v>
      </c>
      <c r="AH83" s="89" t="s">
        <v>2859</v>
      </c>
      <c r="AI83" s="89" t="s">
        <v>2859</v>
      </c>
      <c r="AJ83" s="89" t="s">
        <v>2859</v>
      </c>
      <c r="AK83" s="89" t="s">
        <v>2859</v>
      </c>
      <c r="AL83" s="89" t="s">
        <v>2859</v>
      </c>
      <c r="AM83" s="89" t="s">
        <v>2859</v>
      </c>
      <c r="AN83" s="89" t="s">
        <v>2859</v>
      </c>
      <c r="AO83" s="89" t="s">
        <v>2859</v>
      </c>
      <c r="AP83" s="89" t="s">
        <v>2859</v>
      </c>
      <c r="AQ83" s="89" t="s">
        <v>2859</v>
      </c>
      <c r="AR83" s="89" t="s">
        <v>2859</v>
      </c>
      <c r="AS83" s="89" t="s">
        <v>2859</v>
      </c>
      <c r="AT83" s="89" t="s">
        <v>2859</v>
      </c>
      <c r="AU83" s="89" t="s">
        <v>2859</v>
      </c>
      <c r="AV83" s="89" t="s">
        <v>2859</v>
      </c>
      <c r="AW83" s="89" t="s">
        <v>2859</v>
      </c>
      <c r="AX83" s="89" t="s">
        <v>2859</v>
      </c>
      <c r="AY83" s="89" t="s">
        <v>2859</v>
      </c>
      <c r="AZ83" s="89" t="s">
        <v>2859</v>
      </c>
      <c r="BA83" s="89" t="s">
        <v>2859</v>
      </c>
      <c r="BB83" s="89" t="s">
        <v>2859</v>
      </c>
      <c r="BC83" s="89" t="s">
        <v>2859</v>
      </c>
      <c r="BD83" s="89" t="s">
        <v>2859</v>
      </c>
      <c r="BE83" s="89" t="s">
        <v>2859</v>
      </c>
      <c r="BF83" s="89" t="s">
        <v>2859</v>
      </c>
      <c r="BG83" s="89" t="s">
        <v>2859</v>
      </c>
      <c r="BH83" s="89" t="s">
        <v>2859</v>
      </c>
      <c r="BI83" s="89" t="s">
        <v>2859</v>
      </c>
      <c r="BJ83" s="89" t="s">
        <v>2859</v>
      </c>
      <c r="BK83" s="89" t="s">
        <v>2859</v>
      </c>
      <c r="BL83" s="89" t="s">
        <v>2859</v>
      </c>
      <c r="BM83" s="89" t="s">
        <v>2859</v>
      </c>
      <c r="BN83" s="89" t="s">
        <v>2859</v>
      </c>
      <c r="BO83" s="89" t="s">
        <v>2859</v>
      </c>
      <c r="BP83" s="89" t="s">
        <v>2859</v>
      </c>
      <c r="BQ83" s="89" t="s">
        <v>3737</v>
      </c>
      <c r="BR83" s="89" t="s">
        <v>2859</v>
      </c>
    </row>
    <row r="84" spans="1:70">
      <c r="A84" s="89" t="s">
        <v>2167</v>
      </c>
      <c r="B84" s="89" t="s">
        <v>2504</v>
      </c>
      <c r="C84" s="89" t="s">
        <v>2505</v>
      </c>
      <c r="D84" s="89" t="s">
        <v>2859</v>
      </c>
      <c r="E84" s="89" t="s">
        <v>2859</v>
      </c>
      <c r="F84" s="89" t="s">
        <v>2859</v>
      </c>
      <c r="G84" s="89" t="s">
        <v>2860</v>
      </c>
      <c r="H84" s="89" t="s">
        <v>2859</v>
      </c>
      <c r="I84" s="89" t="s">
        <v>120</v>
      </c>
      <c r="J84" s="89" t="s">
        <v>2859</v>
      </c>
      <c r="K84" s="89" t="s">
        <v>2859</v>
      </c>
      <c r="L84" s="89" t="s">
        <v>2859</v>
      </c>
      <c r="M84" s="89" t="s">
        <v>2859</v>
      </c>
      <c r="N84" s="89" t="s">
        <v>2859</v>
      </c>
      <c r="O84" s="89" t="s">
        <v>2859</v>
      </c>
      <c r="P84" s="89" t="s">
        <v>2859</v>
      </c>
      <c r="Q84" s="89" t="s">
        <v>2859</v>
      </c>
      <c r="R84" s="89" t="s">
        <v>2859</v>
      </c>
      <c r="S84" s="89" t="s">
        <v>2859</v>
      </c>
      <c r="T84" s="89" t="s">
        <v>2859</v>
      </c>
      <c r="U84" s="89" t="s">
        <v>2859</v>
      </c>
      <c r="V84" s="89" t="s">
        <v>2859</v>
      </c>
      <c r="W84" s="89" t="s">
        <v>2859</v>
      </c>
      <c r="X84" s="89" t="s">
        <v>2859</v>
      </c>
      <c r="Y84" s="89" t="s">
        <v>2859</v>
      </c>
      <c r="Z84" s="89" t="s">
        <v>2859</v>
      </c>
      <c r="AA84" s="89" t="s">
        <v>2859</v>
      </c>
      <c r="AB84" s="89" t="s">
        <v>2859</v>
      </c>
      <c r="AC84" s="89" t="s">
        <v>2859</v>
      </c>
      <c r="AD84" s="89" t="s">
        <v>2859</v>
      </c>
      <c r="AE84" s="89" t="s">
        <v>2859</v>
      </c>
      <c r="AF84" s="89" t="s">
        <v>2859</v>
      </c>
      <c r="AG84" s="89" t="s">
        <v>2859</v>
      </c>
      <c r="AH84" s="89" t="s">
        <v>2859</v>
      </c>
      <c r="AI84" s="89" t="s">
        <v>2859</v>
      </c>
      <c r="AJ84" s="89" t="s">
        <v>2859</v>
      </c>
      <c r="AK84" s="89" t="s">
        <v>2859</v>
      </c>
      <c r="AL84" s="89" t="s">
        <v>2859</v>
      </c>
      <c r="AM84" s="89" t="s">
        <v>2859</v>
      </c>
      <c r="AN84" s="89" t="s">
        <v>2859</v>
      </c>
      <c r="AO84" s="89" t="s">
        <v>2859</v>
      </c>
      <c r="AP84" s="89" t="s">
        <v>2859</v>
      </c>
      <c r="AQ84" s="89" t="s">
        <v>2859</v>
      </c>
      <c r="AR84" s="89" t="s">
        <v>2859</v>
      </c>
      <c r="AS84" s="89" t="s">
        <v>2859</v>
      </c>
      <c r="AT84" s="89" t="s">
        <v>2859</v>
      </c>
      <c r="AU84" s="89" t="s">
        <v>2859</v>
      </c>
      <c r="AV84" s="89" t="s">
        <v>2859</v>
      </c>
      <c r="AW84" s="89" t="s">
        <v>2859</v>
      </c>
      <c r="AX84" s="89" t="s">
        <v>2859</v>
      </c>
      <c r="AY84" s="89" t="s">
        <v>2859</v>
      </c>
      <c r="AZ84" s="89" t="s">
        <v>2859</v>
      </c>
      <c r="BA84" s="89" t="s">
        <v>2859</v>
      </c>
      <c r="BB84" s="89" t="s">
        <v>2859</v>
      </c>
      <c r="BC84" s="89" t="s">
        <v>2859</v>
      </c>
      <c r="BD84" s="89" t="s">
        <v>2859</v>
      </c>
      <c r="BE84" s="89" t="s">
        <v>2859</v>
      </c>
      <c r="BF84" s="89" t="s">
        <v>2859</v>
      </c>
      <c r="BG84" s="89" t="s">
        <v>2859</v>
      </c>
      <c r="BH84" s="89" t="s">
        <v>2859</v>
      </c>
      <c r="BI84" s="89" t="s">
        <v>2859</v>
      </c>
      <c r="BJ84" s="89" t="s">
        <v>2859</v>
      </c>
      <c r="BK84" s="89" t="s">
        <v>2859</v>
      </c>
      <c r="BL84" s="89" t="s">
        <v>2859</v>
      </c>
      <c r="BM84" s="89" t="s">
        <v>2859</v>
      </c>
      <c r="BN84" s="89" t="s">
        <v>2859</v>
      </c>
      <c r="BO84" s="89" t="s">
        <v>2859</v>
      </c>
      <c r="BP84" s="89" t="s">
        <v>2859</v>
      </c>
      <c r="BQ84" s="89" t="s">
        <v>3738</v>
      </c>
      <c r="BR84" s="89" t="s">
        <v>2859</v>
      </c>
    </row>
    <row r="85" spans="1:70">
      <c r="A85" s="89" t="s">
        <v>2167</v>
      </c>
      <c r="B85" s="89" t="s">
        <v>2506</v>
      </c>
      <c r="C85" s="89" t="s">
        <v>2435</v>
      </c>
      <c r="D85" s="89" t="s">
        <v>2859</v>
      </c>
      <c r="E85" s="89" t="s">
        <v>2859</v>
      </c>
      <c r="F85" s="89" t="s">
        <v>2859</v>
      </c>
      <c r="G85" s="89" t="s">
        <v>2860</v>
      </c>
      <c r="H85" s="89" t="s">
        <v>2859</v>
      </c>
      <c r="I85" s="89" t="s">
        <v>120</v>
      </c>
      <c r="J85" s="89" t="s">
        <v>2859</v>
      </c>
      <c r="K85" s="89" t="s">
        <v>2859</v>
      </c>
      <c r="L85" s="89" t="s">
        <v>2859</v>
      </c>
      <c r="M85" s="89" t="s">
        <v>2859</v>
      </c>
      <c r="N85" s="89" t="s">
        <v>2859</v>
      </c>
      <c r="O85" s="89" t="s">
        <v>2859</v>
      </c>
      <c r="P85" s="89" t="s">
        <v>2859</v>
      </c>
      <c r="Q85" s="89" t="s">
        <v>2859</v>
      </c>
      <c r="R85" s="89" t="s">
        <v>2859</v>
      </c>
      <c r="S85" s="89" t="s">
        <v>2859</v>
      </c>
      <c r="T85" s="89" t="s">
        <v>2859</v>
      </c>
      <c r="U85" s="89" t="s">
        <v>2859</v>
      </c>
      <c r="V85" s="89" t="s">
        <v>2859</v>
      </c>
      <c r="W85" s="89" t="s">
        <v>2859</v>
      </c>
      <c r="X85" s="89" t="s">
        <v>2859</v>
      </c>
      <c r="Y85" s="89" t="s">
        <v>2859</v>
      </c>
      <c r="Z85" s="89" t="s">
        <v>2859</v>
      </c>
      <c r="AA85" s="89" t="s">
        <v>2859</v>
      </c>
      <c r="AB85" s="89" t="s">
        <v>2859</v>
      </c>
      <c r="AC85" s="89" t="s">
        <v>2859</v>
      </c>
      <c r="AD85" s="89" t="s">
        <v>2859</v>
      </c>
      <c r="AE85" s="89" t="s">
        <v>2859</v>
      </c>
      <c r="AF85" s="89" t="s">
        <v>2859</v>
      </c>
      <c r="AG85" s="89" t="s">
        <v>2859</v>
      </c>
      <c r="AH85" s="89" t="s">
        <v>2859</v>
      </c>
      <c r="AI85" s="89" t="s">
        <v>2859</v>
      </c>
      <c r="AJ85" s="89" t="s">
        <v>2859</v>
      </c>
      <c r="AK85" s="89" t="s">
        <v>2859</v>
      </c>
      <c r="AL85" s="89" t="s">
        <v>2859</v>
      </c>
      <c r="AM85" s="89" t="s">
        <v>2859</v>
      </c>
      <c r="AN85" s="89" t="s">
        <v>2859</v>
      </c>
      <c r="AO85" s="89" t="s">
        <v>2859</v>
      </c>
      <c r="AP85" s="89" t="s">
        <v>2859</v>
      </c>
      <c r="AQ85" s="89" t="s">
        <v>2859</v>
      </c>
      <c r="AR85" s="89" t="s">
        <v>2859</v>
      </c>
      <c r="AS85" s="89" t="s">
        <v>2859</v>
      </c>
      <c r="AT85" s="89" t="s">
        <v>2859</v>
      </c>
      <c r="AU85" s="89" t="s">
        <v>2859</v>
      </c>
      <c r="AV85" s="89" t="s">
        <v>2859</v>
      </c>
      <c r="AW85" s="89" t="s">
        <v>2859</v>
      </c>
      <c r="AX85" s="89" t="s">
        <v>2859</v>
      </c>
      <c r="AY85" s="89" t="s">
        <v>2859</v>
      </c>
      <c r="AZ85" s="89" t="s">
        <v>2859</v>
      </c>
      <c r="BA85" s="89" t="s">
        <v>2859</v>
      </c>
      <c r="BB85" s="89" t="s">
        <v>2859</v>
      </c>
      <c r="BC85" s="89" t="s">
        <v>2859</v>
      </c>
      <c r="BD85" s="89" t="s">
        <v>2859</v>
      </c>
      <c r="BE85" s="89" t="s">
        <v>2859</v>
      </c>
      <c r="BF85" s="89" t="s">
        <v>2859</v>
      </c>
      <c r="BG85" s="89" t="s">
        <v>2859</v>
      </c>
      <c r="BH85" s="89" t="s">
        <v>2859</v>
      </c>
      <c r="BI85" s="89" t="s">
        <v>2859</v>
      </c>
      <c r="BJ85" s="89" t="s">
        <v>2859</v>
      </c>
      <c r="BK85" s="89" t="s">
        <v>2859</v>
      </c>
      <c r="BL85" s="89" t="s">
        <v>2859</v>
      </c>
      <c r="BM85" s="89" t="s">
        <v>2859</v>
      </c>
      <c r="BN85" s="89" t="s">
        <v>2859</v>
      </c>
      <c r="BO85" s="89" t="s">
        <v>2859</v>
      </c>
      <c r="BP85" s="89" t="s">
        <v>2859</v>
      </c>
      <c r="BQ85" s="89" t="s">
        <v>3739</v>
      </c>
      <c r="BR85" s="89" t="s">
        <v>2859</v>
      </c>
    </row>
    <row r="86" spans="1:70">
      <c r="A86" s="89" t="s">
        <v>2167</v>
      </c>
      <c r="B86" s="89" t="s">
        <v>2507</v>
      </c>
      <c r="C86" s="89" t="s">
        <v>2435</v>
      </c>
      <c r="D86" s="89" t="s">
        <v>2859</v>
      </c>
      <c r="E86" s="89" t="s">
        <v>2859</v>
      </c>
      <c r="F86" s="89" t="s">
        <v>2859</v>
      </c>
      <c r="G86" s="89" t="s">
        <v>2860</v>
      </c>
      <c r="H86" s="89" t="s">
        <v>2859</v>
      </c>
      <c r="I86" s="89" t="s">
        <v>120</v>
      </c>
      <c r="J86" s="89" t="s">
        <v>2859</v>
      </c>
      <c r="K86" s="89" t="s">
        <v>2859</v>
      </c>
      <c r="L86" s="89" t="s">
        <v>2859</v>
      </c>
      <c r="M86" s="89" t="s">
        <v>2859</v>
      </c>
      <c r="N86" s="89" t="s">
        <v>2859</v>
      </c>
      <c r="O86" s="89" t="s">
        <v>2859</v>
      </c>
      <c r="P86" s="89" t="s">
        <v>2859</v>
      </c>
      <c r="Q86" s="89" t="s">
        <v>2859</v>
      </c>
      <c r="R86" s="89" t="s">
        <v>2859</v>
      </c>
      <c r="S86" s="89" t="s">
        <v>2859</v>
      </c>
      <c r="T86" s="89" t="s">
        <v>2859</v>
      </c>
      <c r="U86" s="89" t="s">
        <v>2859</v>
      </c>
      <c r="V86" s="89" t="s">
        <v>2859</v>
      </c>
      <c r="W86" s="89" t="s">
        <v>2859</v>
      </c>
      <c r="X86" s="89" t="s">
        <v>2859</v>
      </c>
      <c r="Y86" s="89" t="s">
        <v>2859</v>
      </c>
      <c r="Z86" s="89" t="s">
        <v>2859</v>
      </c>
      <c r="AA86" s="89" t="s">
        <v>2859</v>
      </c>
      <c r="AB86" s="89" t="s">
        <v>2859</v>
      </c>
      <c r="AC86" s="89" t="s">
        <v>2859</v>
      </c>
      <c r="AD86" s="89" t="s">
        <v>2859</v>
      </c>
      <c r="AE86" s="89" t="s">
        <v>2859</v>
      </c>
      <c r="AF86" s="89" t="s">
        <v>2859</v>
      </c>
      <c r="AG86" s="89" t="s">
        <v>2859</v>
      </c>
      <c r="AH86" s="89" t="s">
        <v>2859</v>
      </c>
      <c r="AI86" s="89" t="s">
        <v>2859</v>
      </c>
      <c r="AJ86" s="89" t="s">
        <v>2859</v>
      </c>
      <c r="AK86" s="89" t="s">
        <v>2859</v>
      </c>
      <c r="AL86" s="89" t="s">
        <v>2859</v>
      </c>
      <c r="AM86" s="89" t="s">
        <v>2859</v>
      </c>
      <c r="AN86" s="89" t="s">
        <v>2859</v>
      </c>
      <c r="AO86" s="89" t="s">
        <v>2859</v>
      </c>
      <c r="AP86" s="89" t="s">
        <v>2859</v>
      </c>
      <c r="AQ86" s="89" t="s">
        <v>2859</v>
      </c>
      <c r="AR86" s="89" t="s">
        <v>2859</v>
      </c>
      <c r="AS86" s="89" t="s">
        <v>2859</v>
      </c>
      <c r="AT86" s="89" t="s">
        <v>2859</v>
      </c>
      <c r="AU86" s="89" t="s">
        <v>2859</v>
      </c>
      <c r="AV86" s="89" t="s">
        <v>2859</v>
      </c>
      <c r="AW86" s="89" t="s">
        <v>2859</v>
      </c>
      <c r="AX86" s="89" t="s">
        <v>2859</v>
      </c>
      <c r="AY86" s="89" t="s">
        <v>2859</v>
      </c>
      <c r="AZ86" s="89" t="s">
        <v>2859</v>
      </c>
      <c r="BA86" s="89" t="s">
        <v>2859</v>
      </c>
      <c r="BB86" s="89" t="s">
        <v>2859</v>
      </c>
      <c r="BC86" s="89" t="s">
        <v>2859</v>
      </c>
      <c r="BD86" s="89" t="s">
        <v>2859</v>
      </c>
      <c r="BE86" s="89" t="s">
        <v>2859</v>
      </c>
      <c r="BF86" s="89" t="s">
        <v>2859</v>
      </c>
      <c r="BG86" s="89" t="s">
        <v>2859</v>
      </c>
      <c r="BH86" s="89" t="s">
        <v>2859</v>
      </c>
      <c r="BI86" s="89" t="s">
        <v>2859</v>
      </c>
      <c r="BJ86" s="89" t="s">
        <v>2859</v>
      </c>
      <c r="BK86" s="89" t="s">
        <v>2859</v>
      </c>
      <c r="BL86" s="89" t="s">
        <v>2859</v>
      </c>
      <c r="BM86" s="89" t="s">
        <v>2859</v>
      </c>
      <c r="BN86" s="89" t="s">
        <v>2859</v>
      </c>
      <c r="BO86" s="89" t="s">
        <v>2859</v>
      </c>
      <c r="BP86" s="89" t="s">
        <v>2859</v>
      </c>
      <c r="BQ86" s="89" t="s">
        <v>3740</v>
      </c>
      <c r="BR86" s="89" t="s">
        <v>2859</v>
      </c>
    </row>
    <row r="87" spans="1:70">
      <c r="A87" s="89" t="s">
        <v>2167</v>
      </c>
      <c r="B87" s="89" t="s">
        <v>3741</v>
      </c>
      <c r="C87" s="89" t="s">
        <v>2505</v>
      </c>
      <c r="D87" s="89" t="s">
        <v>2859</v>
      </c>
      <c r="E87" s="89" t="s">
        <v>2859</v>
      </c>
      <c r="F87" s="89" t="s">
        <v>2859</v>
      </c>
      <c r="G87" s="89" t="s">
        <v>2860</v>
      </c>
      <c r="H87" s="89" t="s">
        <v>2859</v>
      </c>
      <c r="I87" s="89" t="s">
        <v>2865</v>
      </c>
      <c r="J87" s="89" t="s">
        <v>2859</v>
      </c>
      <c r="K87" s="89" t="s">
        <v>2859</v>
      </c>
      <c r="L87" s="89" t="s">
        <v>2859</v>
      </c>
      <c r="M87" s="89" t="s">
        <v>2859</v>
      </c>
      <c r="N87" s="89" t="s">
        <v>2859</v>
      </c>
      <c r="O87" s="89" t="s">
        <v>2859</v>
      </c>
      <c r="P87" s="89" t="s">
        <v>2859</v>
      </c>
      <c r="Q87" s="89" t="s">
        <v>2859</v>
      </c>
      <c r="R87" s="89" t="s">
        <v>2859</v>
      </c>
      <c r="S87" s="89" t="s">
        <v>2859</v>
      </c>
      <c r="T87" s="89" t="s">
        <v>2859</v>
      </c>
      <c r="U87" s="89" t="s">
        <v>2859</v>
      </c>
      <c r="V87" s="89" t="s">
        <v>2859</v>
      </c>
      <c r="W87" s="89" t="s">
        <v>2859</v>
      </c>
      <c r="X87" s="89" t="s">
        <v>2859</v>
      </c>
      <c r="Y87" s="89" t="s">
        <v>2859</v>
      </c>
      <c r="Z87" s="89" t="s">
        <v>2859</v>
      </c>
      <c r="AA87" s="89" t="s">
        <v>2859</v>
      </c>
      <c r="AB87" s="89" t="s">
        <v>2859</v>
      </c>
      <c r="AC87" s="89" t="s">
        <v>2859</v>
      </c>
      <c r="AD87" s="89" t="s">
        <v>2859</v>
      </c>
      <c r="AE87" s="89" t="s">
        <v>2859</v>
      </c>
      <c r="AF87" s="89" t="s">
        <v>2859</v>
      </c>
      <c r="AG87" s="89" t="s">
        <v>2859</v>
      </c>
      <c r="AH87" s="89" t="s">
        <v>2859</v>
      </c>
      <c r="AI87" s="89" t="s">
        <v>2859</v>
      </c>
      <c r="AJ87" s="89" t="s">
        <v>2859</v>
      </c>
      <c r="AK87" s="89" t="s">
        <v>2859</v>
      </c>
      <c r="AL87" s="89" t="s">
        <v>2859</v>
      </c>
      <c r="AM87" s="89" t="s">
        <v>2859</v>
      </c>
      <c r="AN87" s="89" t="s">
        <v>2859</v>
      </c>
      <c r="AO87" s="89" t="s">
        <v>2859</v>
      </c>
      <c r="AP87" s="89" t="s">
        <v>2859</v>
      </c>
      <c r="AQ87" s="89" t="s">
        <v>2859</v>
      </c>
      <c r="AR87" s="89" t="s">
        <v>2859</v>
      </c>
      <c r="AS87" s="89" t="s">
        <v>2859</v>
      </c>
      <c r="AT87" s="89" t="s">
        <v>2859</v>
      </c>
      <c r="AU87" s="89" t="s">
        <v>2859</v>
      </c>
      <c r="AV87" s="89" t="s">
        <v>2859</v>
      </c>
      <c r="AW87" s="89" t="s">
        <v>2859</v>
      </c>
      <c r="AX87" s="89" t="s">
        <v>2859</v>
      </c>
      <c r="AY87" s="89" t="s">
        <v>2859</v>
      </c>
      <c r="AZ87" s="89" t="s">
        <v>2859</v>
      </c>
      <c r="BA87" s="89" t="s">
        <v>2859</v>
      </c>
      <c r="BB87" s="89" t="s">
        <v>2859</v>
      </c>
      <c r="BC87" s="89" t="s">
        <v>2859</v>
      </c>
      <c r="BD87" s="89" t="s">
        <v>2859</v>
      </c>
      <c r="BE87" s="89" t="s">
        <v>2859</v>
      </c>
      <c r="BF87" s="89" t="s">
        <v>2859</v>
      </c>
      <c r="BG87" s="89" t="s">
        <v>2859</v>
      </c>
      <c r="BH87" s="89" t="s">
        <v>2859</v>
      </c>
      <c r="BI87" s="89" t="s">
        <v>2859</v>
      </c>
      <c r="BJ87" s="89" t="s">
        <v>2859</v>
      </c>
      <c r="BK87" s="89" t="s">
        <v>2859</v>
      </c>
      <c r="BL87" s="89" t="s">
        <v>2859</v>
      </c>
      <c r="BM87" s="89" t="s">
        <v>2859</v>
      </c>
      <c r="BN87" s="89" t="s">
        <v>2859</v>
      </c>
      <c r="BO87" s="89" t="s">
        <v>2859</v>
      </c>
      <c r="BP87" s="89" t="s">
        <v>2859</v>
      </c>
      <c r="BQ87" s="89" t="s">
        <v>3742</v>
      </c>
      <c r="BR87" s="89" t="s">
        <v>2859</v>
      </c>
    </row>
    <row r="88" spans="1:70">
      <c r="A88" s="89" t="s">
        <v>2167</v>
      </c>
      <c r="B88" s="89" t="s">
        <v>3743</v>
      </c>
      <c r="C88" s="89" t="s">
        <v>2404</v>
      </c>
      <c r="D88" s="89" t="s">
        <v>2859</v>
      </c>
      <c r="E88" s="89" t="s">
        <v>2859</v>
      </c>
      <c r="F88" s="89" t="s">
        <v>2859</v>
      </c>
      <c r="G88" s="89" t="s">
        <v>2860</v>
      </c>
      <c r="H88" s="89" t="s">
        <v>2859</v>
      </c>
      <c r="I88" s="89" t="s">
        <v>2865</v>
      </c>
      <c r="J88" s="89" t="s">
        <v>2859</v>
      </c>
      <c r="K88" s="89" t="s">
        <v>2859</v>
      </c>
      <c r="L88" s="89" t="s">
        <v>2859</v>
      </c>
      <c r="M88" s="89" t="s">
        <v>2859</v>
      </c>
      <c r="N88" s="89" t="s">
        <v>2859</v>
      </c>
      <c r="O88" s="89" t="s">
        <v>2859</v>
      </c>
      <c r="P88" s="89" t="s">
        <v>2859</v>
      </c>
      <c r="Q88" s="89" t="s">
        <v>2859</v>
      </c>
      <c r="R88" s="89" t="s">
        <v>2859</v>
      </c>
      <c r="S88" s="89" t="s">
        <v>2859</v>
      </c>
      <c r="T88" s="89" t="s">
        <v>2859</v>
      </c>
      <c r="U88" s="89" t="s">
        <v>2859</v>
      </c>
      <c r="V88" s="89" t="s">
        <v>2859</v>
      </c>
      <c r="W88" s="89" t="s">
        <v>2859</v>
      </c>
      <c r="X88" s="89" t="s">
        <v>2859</v>
      </c>
      <c r="Y88" s="89" t="s">
        <v>2859</v>
      </c>
      <c r="Z88" s="89" t="s">
        <v>2859</v>
      </c>
      <c r="AA88" s="89" t="s">
        <v>2859</v>
      </c>
      <c r="AB88" s="89" t="s">
        <v>2859</v>
      </c>
      <c r="AC88" s="89" t="s">
        <v>2859</v>
      </c>
      <c r="AD88" s="89" t="s">
        <v>2859</v>
      </c>
      <c r="AE88" s="89" t="s">
        <v>2859</v>
      </c>
      <c r="AF88" s="89" t="s">
        <v>2859</v>
      </c>
      <c r="AG88" s="89" t="s">
        <v>2859</v>
      </c>
      <c r="AH88" s="89" t="s">
        <v>2859</v>
      </c>
      <c r="AI88" s="89" t="s">
        <v>2859</v>
      </c>
      <c r="AJ88" s="89" t="s">
        <v>2859</v>
      </c>
      <c r="AK88" s="89" t="s">
        <v>2859</v>
      </c>
      <c r="AL88" s="89" t="s">
        <v>2859</v>
      </c>
      <c r="AM88" s="89" t="s">
        <v>2859</v>
      </c>
      <c r="AN88" s="89" t="s">
        <v>2859</v>
      </c>
      <c r="AO88" s="89" t="s">
        <v>2859</v>
      </c>
      <c r="AP88" s="89" t="s">
        <v>2859</v>
      </c>
      <c r="AQ88" s="89" t="s">
        <v>2859</v>
      </c>
      <c r="AR88" s="89" t="s">
        <v>2859</v>
      </c>
      <c r="AS88" s="89" t="s">
        <v>2859</v>
      </c>
      <c r="AT88" s="89" t="s">
        <v>2859</v>
      </c>
      <c r="AU88" s="89" t="s">
        <v>2859</v>
      </c>
      <c r="AV88" s="89" t="s">
        <v>2859</v>
      </c>
      <c r="AW88" s="89" t="s">
        <v>2859</v>
      </c>
      <c r="AX88" s="89" t="s">
        <v>2859</v>
      </c>
      <c r="AY88" s="89" t="s">
        <v>2859</v>
      </c>
      <c r="AZ88" s="89" t="s">
        <v>2859</v>
      </c>
      <c r="BA88" s="89" t="s">
        <v>2859</v>
      </c>
      <c r="BB88" s="89" t="s">
        <v>2859</v>
      </c>
      <c r="BC88" s="89" t="s">
        <v>2859</v>
      </c>
      <c r="BD88" s="89" t="s">
        <v>2859</v>
      </c>
      <c r="BE88" s="89" t="s">
        <v>2859</v>
      </c>
      <c r="BF88" s="89" t="s">
        <v>2859</v>
      </c>
      <c r="BG88" s="89" t="s">
        <v>2859</v>
      </c>
      <c r="BH88" s="89" t="s">
        <v>2859</v>
      </c>
      <c r="BI88" s="89" t="s">
        <v>2859</v>
      </c>
      <c r="BJ88" s="89" t="s">
        <v>2859</v>
      </c>
      <c r="BK88" s="89" t="s">
        <v>2859</v>
      </c>
      <c r="BL88" s="89" t="s">
        <v>2859</v>
      </c>
      <c r="BM88" s="89" t="s">
        <v>2859</v>
      </c>
      <c r="BN88" s="89" t="s">
        <v>2859</v>
      </c>
      <c r="BO88" s="89" t="s">
        <v>2859</v>
      </c>
      <c r="BP88" s="89" t="s">
        <v>2859</v>
      </c>
      <c r="BQ88" s="89" t="s">
        <v>3744</v>
      </c>
      <c r="BR88" s="89" t="s">
        <v>2859</v>
      </c>
    </row>
    <row r="89" spans="1:70">
      <c r="A89" s="89" t="s">
        <v>2167</v>
      </c>
      <c r="B89" s="89" t="s">
        <v>3745</v>
      </c>
      <c r="C89" s="89" t="s">
        <v>2404</v>
      </c>
      <c r="D89" s="89" t="s">
        <v>2859</v>
      </c>
      <c r="E89" s="89" t="s">
        <v>2859</v>
      </c>
      <c r="F89" s="89" t="s">
        <v>2859</v>
      </c>
      <c r="G89" s="89" t="s">
        <v>2860</v>
      </c>
      <c r="H89" s="89" t="s">
        <v>2859</v>
      </c>
      <c r="I89" s="89" t="s">
        <v>2891</v>
      </c>
      <c r="J89" s="89" t="s">
        <v>3746</v>
      </c>
      <c r="K89" s="89" t="s">
        <v>2859</v>
      </c>
      <c r="L89" s="89" t="s">
        <v>2859</v>
      </c>
      <c r="M89" s="89" t="s">
        <v>2859</v>
      </c>
      <c r="N89" s="89" t="s">
        <v>2859</v>
      </c>
      <c r="O89" s="89" t="s">
        <v>2859</v>
      </c>
      <c r="P89" s="89" t="s">
        <v>2859</v>
      </c>
      <c r="Q89" s="89" t="s">
        <v>2859</v>
      </c>
      <c r="R89" s="89" t="s">
        <v>2859</v>
      </c>
      <c r="S89" s="89" t="s">
        <v>2859</v>
      </c>
      <c r="T89" s="89" t="s">
        <v>2859</v>
      </c>
      <c r="U89" s="89" t="s">
        <v>2859</v>
      </c>
      <c r="V89" s="89" t="s">
        <v>2859</v>
      </c>
      <c r="W89" s="89" t="s">
        <v>2859</v>
      </c>
      <c r="X89" s="89" t="s">
        <v>2859</v>
      </c>
      <c r="Y89" s="89" t="s">
        <v>2859</v>
      </c>
      <c r="Z89" s="89" t="s">
        <v>2859</v>
      </c>
      <c r="AA89" s="89" t="s">
        <v>2859</v>
      </c>
      <c r="AB89" s="89" t="s">
        <v>2859</v>
      </c>
      <c r="AC89" s="89" t="s">
        <v>2859</v>
      </c>
      <c r="AD89" s="89" t="s">
        <v>2859</v>
      </c>
      <c r="AE89" s="89" t="s">
        <v>2859</v>
      </c>
      <c r="AF89" s="89" t="s">
        <v>2859</v>
      </c>
      <c r="AG89" s="89" t="s">
        <v>2859</v>
      </c>
      <c r="AH89" s="89" t="s">
        <v>2859</v>
      </c>
      <c r="AI89" s="89" t="s">
        <v>2859</v>
      </c>
      <c r="AJ89" s="89" t="s">
        <v>2859</v>
      </c>
      <c r="AK89" s="89" t="s">
        <v>2859</v>
      </c>
      <c r="AL89" s="89" t="s">
        <v>2859</v>
      </c>
      <c r="AM89" s="89" t="s">
        <v>2859</v>
      </c>
      <c r="AN89" s="89" t="s">
        <v>2859</v>
      </c>
      <c r="AO89" s="89" t="s">
        <v>2859</v>
      </c>
      <c r="AP89" s="89" t="s">
        <v>2859</v>
      </c>
      <c r="AQ89" s="89" t="s">
        <v>2859</v>
      </c>
      <c r="AR89" s="89" t="s">
        <v>2859</v>
      </c>
      <c r="AS89" s="89" t="s">
        <v>2859</v>
      </c>
      <c r="AT89" s="89" t="s">
        <v>2859</v>
      </c>
      <c r="AU89" s="89" t="s">
        <v>2859</v>
      </c>
      <c r="AV89" s="89" t="s">
        <v>2859</v>
      </c>
      <c r="AW89" s="89" t="s">
        <v>2859</v>
      </c>
      <c r="AX89" s="89" t="s">
        <v>2859</v>
      </c>
      <c r="AY89" s="89" t="s">
        <v>2859</v>
      </c>
      <c r="AZ89" s="89" t="s">
        <v>2859</v>
      </c>
      <c r="BA89" s="89" t="s">
        <v>2859</v>
      </c>
      <c r="BB89" s="89" t="s">
        <v>2859</v>
      </c>
      <c r="BC89" s="89" t="s">
        <v>2859</v>
      </c>
      <c r="BD89" s="89" t="s">
        <v>2859</v>
      </c>
      <c r="BE89" s="89" t="s">
        <v>2859</v>
      </c>
      <c r="BF89" s="89" t="s">
        <v>2859</v>
      </c>
      <c r="BG89" s="89" t="s">
        <v>2859</v>
      </c>
      <c r="BH89" s="89" t="s">
        <v>2859</v>
      </c>
      <c r="BI89" s="89" t="s">
        <v>2859</v>
      </c>
      <c r="BJ89" s="89" t="s">
        <v>2859</v>
      </c>
      <c r="BK89" s="89" t="s">
        <v>2859</v>
      </c>
      <c r="BL89" s="89" t="s">
        <v>2859</v>
      </c>
      <c r="BM89" s="89" t="s">
        <v>2859</v>
      </c>
      <c r="BN89" s="89" t="s">
        <v>2859</v>
      </c>
      <c r="BO89" s="89" t="s">
        <v>2859</v>
      </c>
      <c r="BP89" s="89" t="s">
        <v>2859</v>
      </c>
      <c r="BQ89" s="89" t="s">
        <v>3747</v>
      </c>
      <c r="BR89" s="89" t="s">
        <v>2859</v>
      </c>
    </row>
    <row r="90" spans="1:70">
      <c r="A90" s="89" t="s">
        <v>2169</v>
      </c>
      <c r="B90" s="89" t="s">
        <v>3748</v>
      </c>
      <c r="C90" s="89" t="s">
        <v>2353</v>
      </c>
      <c r="D90" s="89" t="s">
        <v>2859</v>
      </c>
      <c r="E90" s="89" t="s">
        <v>2859</v>
      </c>
      <c r="F90" s="89" t="s">
        <v>2859</v>
      </c>
      <c r="G90" s="89" t="s">
        <v>2860</v>
      </c>
      <c r="H90" s="89" t="s">
        <v>2859</v>
      </c>
      <c r="I90" s="89" t="s">
        <v>1463</v>
      </c>
      <c r="J90" s="89" t="s">
        <v>2859</v>
      </c>
      <c r="K90" s="89" t="s">
        <v>2859</v>
      </c>
      <c r="L90" s="89" t="s">
        <v>2859</v>
      </c>
      <c r="M90" s="89" t="s">
        <v>2859</v>
      </c>
      <c r="N90" s="89" t="s">
        <v>2859</v>
      </c>
      <c r="O90" s="89" t="s">
        <v>2859</v>
      </c>
      <c r="P90" s="89" t="s">
        <v>2859</v>
      </c>
      <c r="Q90" s="89" t="s">
        <v>2859</v>
      </c>
      <c r="R90" s="89" t="s">
        <v>2859</v>
      </c>
      <c r="S90" s="89" t="s">
        <v>2859</v>
      </c>
      <c r="T90" s="89" t="s">
        <v>2859</v>
      </c>
      <c r="U90" s="89" t="s">
        <v>2859</v>
      </c>
      <c r="V90" s="89" t="s">
        <v>2859</v>
      </c>
      <c r="W90" s="89" t="s">
        <v>2859</v>
      </c>
      <c r="X90" s="89" t="s">
        <v>2859</v>
      </c>
      <c r="Y90" s="89" t="s">
        <v>2859</v>
      </c>
      <c r="Z90" s="89" t="s">
        <v>2859</v>
      </c>
      <c r="AA90" s="89" t="s">
        <v>2859</v>
      </c>
      <c r="AB90" s="89" t="s">
        <v>2859</v>
      </c>
      <c r="AC90" s="89" t="s">
        <v>2859</v>
      </c>
      <c r="AD90" s="89" t="s">
        <v>2859</v>
      </c>
      <c r="AE90" s="89" t="s">
        <v>2859</v>
      </c>
      <c r="AF90" s="89" t="s">
        <v>2859</v>
      </c>
      <c r="AG90" s="89" t="s">
        <v>2859</v>
      </c>
      <c r="AH90" s="89" t="s">
        <v>2859</v>
      </c>
      <c r="AI90" s="89" t="s">
        <v>2859</v>
      </c>
      <c r="AJ90" s="89" t="s">
        <v>2859</v>
      </c>
      <c r="AK90" s="89" t="s">
        <v>2859</v>
      </c>
      <c r="AL90" s="89" t="s">
        <v>2859</v>
      </c>
      <c r="AM90" s="89" t="s">
        <v>2859</v>
      </c>
      <c r="AN90" s="89" t="s">
        <v>2859</v>
      </c>
      <c r="AO90" s="89" t="s">
        <v>2859</v>
      </c>
      <c r="AP90" s="89" t="s">
        <v>2859</v>
      </c>
      <c r="AQ90" s="89" t="s">
        <v>2859</v>
      </c>
      <c r="AR90" s="89" t="s">
        <v>2859</v>
      </c>
      <c r="AS90" s="89" t="s">
        <v>2859</v>
      </c>
      <c r="AT90" s="89" t="s">
        <v>2859</v>
      </c>
      <c r="AU90" s="89" t="s">
        <v>2859</v>
      </c>
      <c r="AV90" s="89" t="s">
        <v>2859</v>
      </c>
      <c r="AW90" s="89" t="s">
        <v>2859</v>
      </c>
      <c r="AX90" s="89" t="s">
        <v>2859</v>
      </c>
      <c r="AY90" s="89" t="s">
        <v>2859</v>
      </c>
      <c r="AZ90" s="89" t="s">
        <v>2859</v>
      </c>
      <c r="BA90" s="89" t="s">
        <v>2859</v>
      </c>
      <c r="BB90" s="89" t="s">
        <v>2859</v>
      </c>
      <c r="BC90" s="89" t="s">
        <v>2859</v>
      </c>
      <c r="BD90" s="89" t="s">
        <v>2859</v>
      </c>
      <c r="BE90" s="89" t="s">
        <v>2859</v>
      </c>
      <c r="BF90" s="89" t="s">
        <v>2859</v>
      </c>
      <c r="BG90" s="89" t="s">
        <v>2859</v>
      </c>
      <c r="BH90" s="89" t="s">
        <v>2859</v>
      </c>
      <c r="BI90" s="89" t="s">
        <v>2859</v>
      </c>
      <c r="BJ90" s="89" t="s">
        <v>2859</v>
      </c>
      <c r="BK90" s="89" t="s">
        <v>2859</v>
      </c>
      <c r="BL90" s="89" t="s">
        <v>2859</v>
      </c>
      <c r="BM90" s="89" t="s">
        <v>2859</v>
      </c>
      <c r="BN90" s="89" t="s">
        <v>2859</v>
      </c>
      <c r="BO90" s="89" t="s">
        <v>2859</v>
      </c>
      <c r="BP90" s="89" t="s">
        <v>2859</v>
      </c>
      <c r="BQ90" s="89" t="s">
        <v>3749</v>
      </c>
      <c r="BR90" s="89" t="s">
        <v>2859</v>
      </c>
    </row>
    <row r="91" spans="1:70">
      <c r="A91" s="89" t="s">
        <v>2169</v>
      </c>
      <c r="B91" s="89" t="s">
        <v>3750</v>
      </c>
      <c r="C91" s="89" t="s">
        <v>2407</v>
      </c>
      <c r="D91" s="89" t="s">
        <v>2859</v>
      </c>
      <c r="E91" s="89" t="s">
        <v>2859</v>
      </c>
      <c r="F91" s="89" t="s">
        <v>2859</v>
      </c>
      <c r="G91" s="89" t="s">
        <v>2860</v>
      </c>
      <c r="H91" s="89" t="s">
        <v>2859</v>
      </c>
      <c r="I91" s="89" t="s">
        <v>1463</v>
      </c>
      <c r="J91" s="89" t="s">
        <v>3325</v>
      </c>
      <c r="K91" s="89" t="s">
        <v>2860</v>
      </c>
      <c r="L91" s="89" t="s">
        <v>2859</v>
      </c>
      <c r="M91" s="89" t="s">
        <v>2859</v>
      </c>
      <c r="N91" s="89" t="s">
        <v>2859</v>
      </c>
      <c r="O91" s="89" t="s">
        <v>2859</v>
      </c>
      <c r="P91" s="89" t="s">
        <v>2859</v>
      </c>
      <c r="Q91" s="89" t="s">
        <v>2859</v>
      </c>
      <c r="R91" s="89" t="s">
        <v>2859</v>
      </c>
      <c r="S91" s="89" t="s">
        <v>2859</v>
      </c>
      <c r="T91" s="89" t="s">
        <v>2859</v>
      </c>
      <c r="U91" s="89" t="s">
        <v>2859</v>
      </c>
      <c r="V91" s="89" t="s">
        <v>2859</v>
      </c>
      <c r="W91" s="89" t="s">
        <v>2859</v>
      </c>
      <c r="X91" s="89" t="s">
        <v>2859</v>
      </c>
      <c r="Y91" s="89" t="s">
        <v>2859</v>
      </c>
      <c r="Z91" s="89" t="s">
        <v>2859</v>
      </c>
      <c r="AA91" s="89" t="s">
        <v>2859</v>
      </c>
      <c r="AB91" s="89" t="s">
        <v>2859</v>
      </c>
      <c r="AC91" s="89" t="s">
        <v>2859</v>
      </c>
      <c r="AD91" s="89" t="s">
        <v>2859</v>
      </c>
      <c r="AE91" s="89" t="s">
        <v>2859</v>
      </c>
      <c r="AF91" s="89" t="s">
        <v>2859</v>
      </c>
      <c r="AG91" s="89" t="s">
        <v>2859</v>
      </c>
      <c r="AH91" s="89" t="s">
        <v>2859</v>
      </c>
      <c r="AI91" s="89" t="s">
        <v>2859</v>
      </c>
      <c r="AJ91" s="89" t="s">
        <v>2859</v>
      </c>
      <c r="AK91" s="89" t="s">
        <v>2859</v>
      </c>
      <c r="AL91" s="89" t="s">
        <v>2859</v>
      </c>
      <c r="AM91" s="89" t="s">
        <v>2859</v>
      </c>
      <c r="AN91" s="89" t="s">
        <v>2859</v>
      </c>
      <c r="AO91" s="89" t="s">
        <v>2859</v>
      </c>
      <c r="AP91" s="89" t="s">
        <v>2859</v>
      </c>
      <c r="AQ91" s="89" t="s">
        <v>2859</v>
      </c>
      <c r="AR91" s="89" t="s">
        <v>2859</v>
      </c>
      <c r="AS91" s="89" t="s">
        <v>2859</v>
      </c>
      <c r="AT91" s="89" t="s">
        <v>2859</v>
      </c>
      <c r="AU91" s="89" t="s">
        <v>2859</v>
      </c>
      <c r="AV91" s="89" t="s">
        <v>2859</v>
      </c>
      <c r="AW91" s="89" t="s">
        <v>2859</v>
      </c>
      <c r="AX91" s="89" t="s">
        <v>2859</v>
      </c>
      <c r="AY91" s="89" t="s">
        <v>2859</v>
      </c>
      <c r="AZ91" s="89" t="s">
        <v>2859</v>
      </c>
      <c r="BA91" s="89" t="s">
        <v>2859</v>
      </c>
      <c r="BB91" s="89" t="s">
        <v>2859</v>
      </c>
      <c r="BC91" s="89" t="s">
        <v>2859</v>
      </c>
      <c r="BD91" s="89" t="s">
        <v>2859</v>
      </c>
      <c r="BE91" s="89" t="s">
        <v>2859</v>
      </c>
      <c r="BF91" s="89" t="s">
        <v>2859</v>
      </c>
      <c r="BG91" s="89" t="s">
        <v>2859</v>
      </c>
      <c r="BH91" s="89" t="s">
        <v>2859</v>
      </c>
      <c r="BI91" s="89" t="s">
        <v>2859</v>
      </c>
      <c r="BJ91" s="89" t="s">
        <v>2859</v>
      </c>
      <c r="BK91" s="89" t="s">
        <v>2859</v>
      </c>
      <c r="BL91" s="89" t="s">
        <v>2859</v>
      </c>
      <c r="BM91" s="89" t="s">
        <v>2859</v>
      </c>
      <c r="BN91" s="89" t="s">
        <v>2859</v>
      </c>
      <c r="BO91" s="89" t="s">
        <v>2859</v>
      </c>
      <c r="BP91" s="89" t="s">
        <v>2859</v>
      </c>
      <c r="BQ91" s="89" t="s">
        <v>3751</v>
      </c>
      <c r="BR91" s="89" t="s">
        <v>2859</v>
      </c>
    </row>
    <row r="92" spans="1:70">
      <c r="A92" s="89" t="s">
        <v>2169</v>
      </c>
      <c r="B92" s="89" t="s">
        <v>3752</v>
      </c>
      <c r="C92" s="89" t="s">
        <v>3753</v>
      </c>
      <c r="D92" s="89" t="s">
        <v>2859</v>
      </c>
      <c r="E92" s="89" t="s">
        <v>2859</v>
      </c>
      <c r="F92" s="89" t="s">
        <v>2859</v>
      </c>
      <c r="G92" s="89" t="s">
        <v>2860</v>
      </c>
      <c r="H92" s="89" t="s">
        <v>2859</v>
      </c>
      <c r="I92" s="89" t="s">
        <v>1463</v>
      </c>
      <c r="J92" s="89" t="s">
        <v>3754</v>
      </c>
      <c r="K92" s="89" t="s">
        <v>2860</v>
      </c>
      <c r="L92" s="89" t="s">
        <v>2859</v>
      </c>
      <c r="M92" s="89" t="s">
        <v>2859</v>
      </c>
      <c r="N92" s="89" t="s">
        <v>2859</v>
      </c>
      <c r="O92" s="89" t="s">
        <v>2859</v>
      </c>
      <c r="P92" s="89" t="s">
        <v>2859</v>
      </c>
      <c r="Q92" s="89" t="s">
        <v>2859</v>
      </c>
      <c r="R92" s="89" t="s">
        <v>2859</v>
      </c>
      <c r="S92" s="89" t="s">
        <v>2859</v>
      </c>
      <c r="T92" s="89" t="s">
        <v>2859</v>
      </c>
      <c r="U92" s="89" t="s">
        <v>2859</v>
      </c>
      <c r="V92" s="89" t="s">
        <v>2859</v>
      </c>
      <c r="W92" s="89" t="s">
        <v>2859</v>
      </c>
      <c r="X92" s="89" t="s">
        <v>2859</v>
      </c>
      <c r="Y92" s="89" t="s">
        <v>2859</v>
      </c>
      <c r="Z92" s="89" t="s">
        <v>2859</v>
      </c>
      <c r="AA92" s="89" t="s">
        <v>2859</v>
      </c>
      <c r="AB92" s="89" t="s">
        <v>2859</v>
      </c>
      <c r="AC92" s="89" t="s">
        <v>2859</v>
      </c>
      <c r="AD92" s="89" t="s">
        <v>2859</v>
      </c>
      <c r="AE92" s="89" t="s">
        <v>2859</v>
      </c>
      <c r="AF92" s="89" t="s">
        <v>2859</v>
      </c>
      <c r="AG92" s="89" t="s">
        <v>2859</v>
      </c>
      <c r="AH92" s="89" t="s">
        <v>2859</v>
      </c>
      <c r="AI92" s="89" t="s">
        <v>2859</v>
      </c>
      <c r="AJ92" s="89" t="s">
        <v>2859</v>
      </c>
      <c r="AK92" s="89" t="s">
        <v>2859</v>
      </c>
      <c r="AL92" s="89" t="s">
        <v>2859</v>
      </c>
      <c r="AM92" s="89" t="s">
        <v>2859</v>
      </c>
      <c r="AN92" s="89" t="s">
        <v>2859</v>
      </c>
      <c r="AO92" s="89" t="s">
        <v>2859</v>
      </c>
      <c r="AP92" s="89" t="s">
        <v>2859</v>
      </c>
      <c r="AQ92" s="89" t="s">
        <v>2859</v>
      </c>
      <c r="AR92" s="89" t="s">
        <v>2859</v>
      </c>
      <c r="AS92" s="89" t="s">
        <v>2859</v>
      </c>
      <c r="AT92" s="89" t="s">
        <v>2859</v>
      </c>
      <c r="AU92" s="89" t="s">
        <v>2859</v>
      </c>
      <c r="AV92" s="89" t="s">
        <v>2859</v>
      </c>
      <c r="AW92" s="89" t="s">
        <v>2859</v>
      </c>
      <c r="AX92" s="89" t="s">
        <v>2859</v>
      </c>
      <c r="AY92" s="89" t="s">
        <v>2859</v>
      </c>
      <c r="AZ92" s="89" t="s">
        <v>2859</v>
      </c>
      <c r="BA92" s="89" t="s">
        <v>2859</v>
      </c>
      <c r="BB92" s="89" t="s">
        <v>2859</v>
      </c>
      <c r="BC92" s="89" t="s">
        <v>2859</v>
      </c>
      <c r="BD92" s="89" t="s">
        <v>2859</v>
      </c>
      <c r="BE92" s="89" t="s">
        <v>2859</v>
      </c>
      <c r="BF92" s="89" t="s">
        <v>2859</v>
      </c>
      <c r="BG92" s="89" t="s">
        <v>2859</v>
      </c>
      <c r="BH92" s="89" t="s">
        <v>2859</v>
      </c>
      <c r="BI92" s="89" t="s">
        <v>2859</v>
      </c>
      <c r="BJ92" s="89" t="s">
        <v>2859</v>
      </c>
      <c r="BK92" s="89" t="s">
        <v>2859</v>
      </c>
      <c r="BL92" s="89" t="s">
        <v>2859</v>
      </c>
      <c r="BM92" s="89" t="s">
        <v>2859</v>
      </c>
      <c r="BN92" s="89" t="s">
        <v>2859</v>
      </c>
      <c r="BO92" s="89" t="s">
        <v>2859</v>
      </c>
      <c r="BP92" s="89" t="s">
        <v>2859</v>
      </c>
      <c r="BQ92" s="89" t="s">
        <v>3755</v>
      </c>
      <c r="BR92" s="89" t="s">
        <v>2859</v>
      </c>
    </row>
    <row r="93" spans="1:70">
      <c r="A93" s="89" t="s">
        <v>2169</v>
      </c>
      <c r="B93" s="89" t="s">
        <v>3756</v>
      </c>
      <c r="C93" s="89" t="s">
        <v>2404</v>
      </c>
      <c r="D93" s="89" t="s">
        <v>2859</v>
      </c>
      <c r="E93" s="89" t="s">
        <v>2859</v>
      </c>
      <c r="F93" s="89" t="s">
        <v>2859</v>
      </c>
      <c r="G93" s="89" t="s">
        <v>2860</v>
      </c>
      <c r="H93" s="89" t="s">
        <v>2859</v>
      </c>
      <c r="I93" s="89" t="s">
        <v>1463</v>
      </c>
      <c r="J93" s="89" t="s">
        <v>3757</v>
      </c>
      <c r="K93" s="89" t="s">
        <v>2867</v>
      </c>
      <c r="L93" s="89" t="s">
        <v>2859</v>
      </c>
      <c r="M93" s="89" t="s">
        <v>2859</v>
      </c>
      <c r="N93" s="89" t="s">
        <v>2859</v>
      </c>
      <c r="O93" s="89" t="s">
        <v>2859</v>
      </c>
      <c r="P93" s="89" t="s">
        <v>2859</v>
      </c>
      <c r="Q93" s="89" t="s">
        <v>2859</v>
      </c>
      <c r="R93" s="89" t="s">
        <v>2859</v>
      </c>
      <c r="S93" s="89" t="s">
        <v>2859</v>
      </c>
      <c r="T93" s="89" t="s">
        <v>2859</v>
      </c>
      <c r="U93" s="89" t="s">
        <v>2859</v>
      </c>
      <c r="V93" s="89" t="s">
        <v>2859</v>
      </c>
      <c r="W93" s="89" t="s">
        <v>2859</v>
      </c>
      <c r="X93" s="89" t="s">
        <v>2859</v>
      </c>
      <c r="Y93" s="89" t="s">
        <v>2859</v>
      </c>
      <c r="Z93" s="89" t="s">
        <v>2859</v>
      </c>
      <c r="AA93" s="89" t="s">
        <v>2859</v>
      </c>
      <c r="AB93" s="89" t="s">
        <v>2859</v>
      </c>
      <c r="AC93" s="89" t="s">
        <v>2859</v>
      </c>
      <c r="AD93" s="89" t="s">
        <v>2859</v>
      </c>
      <c r="AE93" s="89" t="s">
        <v>2859</v>
      </c>
      <c r="AF93" s="89" t="s">
        <v>2859</v>
      </c>
      <c r="AG93" s="89" t="s">
        <v>2859</v>
      </c>
      <c r="AH93" s="89" t="s">
        <v>2859</v>
      </c>
      <c r="AI93" s="89" t="s">
        <v>2859</v>
      </c>
      <c r="AJ93" s="89" t="s">
        <v>2859</v>
      </c>
      <c r="AK93" s="89" t="s">
        <v>2859</v>
      </c>
      <c r="AL93" s="89" t="s">
        <v>2859</v>
      </c>
      <c r="AM93" s="89" t="s">
        <v>2859</v>
      </c>
      <c r="AN93" s="89" t="s">
        <v>2859</v>
      </c>
      <c r="AO93" s="89" t="s">
        <v>2859</v>
      </c>
      <c r="AP93" s="89" t="s">
        <v>2859</v>
      </c>
      <c r="AQ93" s="89" t="s">
        <v>2859</v>
      </c>
      <c r="AR93" s="89" t="s">
        <v>2859</v>
      </c>
      <c r="AS93" s="89" t="s">
        <v>2859</v>
      </c>
      <c r="AT93" s="89" t="s">
        <v>2859</v>
      </c>
      <c r="AU93" s="89" t="s">
        <v>2859</v>
      </c>
      <c r="AV93" s="89" t="s">
        <v>2859</v>
      </c>
      <c r="AW93" s="89" t="s">
        <v>2859</v>
      </c>
      <c r="AX93" s="89" t="s">
        <v>2859</v>
      </c>
      <c r="AY93" s="89" t="s">
        <v>2859</v>
      </c>
      <c r="AZ93" s="89" t="s">
        <v>2859</v>
      </c>
      <c r="BA93" s="89" t="s">
        <v>2859</v>
      </c>
      <c r="BB93" s="89" t="s">
        <v>2859</v>
      </c>
      <c r="BC93" s="89" t="s">
        <v>2859</v>
      </c>
      <c r="BD93" s="89" t="s">
        <v>2859</v>
      </c>
      <c r="BE93" s="89" t="s">
        <v>2859</v>
      </c>
      <c r="BF93" s="89" t="s">
        <v>2859</v>
      </c>
      <c r="BG93" s="89" t="s">
        <v>2859</v>
      </c>
      <c r="BH93" s="89" t="s">
        <v>2859</v>
      </c>
      <c r="BI93" s="89" t="s">
        <v>2859</v>
      </c>
      <c r="BJ93" s="89" t="s">
        <v>2859</v>
      </c>
      <c r="BK93" s="89" t="s">
        <v>2859</v>
      </c>
      <c r="BL93" s="89" t="s">
        <v>2859</v>
      </c>
      <c r="BM93" s="89" t="s">
        <v>2859</v>
      </c>
      <c r="BN93" s="89" t="s">
        <v>2859</v>
      </c>
      <c r="BO93" s="89" t="s">
        <v>2859</v>
      </c>
      <c r="BP93" s="89" t="s">
        <v>2859</v>
      </c>
      <c r="BQ93" s="89" t="s">
        <v>3758</v>
      </c>
      <c r="BR93" s="89" t="s">
        <v>2869</v>
      </c>
    </row>
    <row r="94" spans="1:70">
      <c r="A94" s="89" t="s">
        <v>2169</v>
      </c>
      <c r="B94" s="89" t="s">
        <v>3759</v>
      </c>
      <c r="C94" s="89" t="s">
        <v>2353</v>
      </c>
      <c r="D94" s="89" t="s">
        <v>2859</v>
      </c>
      <c r="E94" s="89" t="s">
        <v>2859</v>
      </c>
      <c r="F94" s="89" t="s">
        <v>2859</v>
      </c>
      <c r="G94" s="89" t="s">
        <v>2860</v>
      </c>
      <c r="H94" s="89" t="s">
        <v>2859</v>
      </c>
      <c r="I94" s="89" t="s">
        <v>1463</v>
      </c>
      <c r="J94" s="89" t="s">
        <v>3760</v>
      </c>
      <c r="K94" s="89" t="s">
        <v>2860</v>
      </c>
      <c r="L94" s="89" t="s">
        <v>2891</v>
      </c>
      <c r="M94" s="89" t="s">
        <v>3761</v>
      </c>
      <c r="N94" s="89" t="s">
        <v>2860</v>
      </c>
      <c r="O94" s="89" t="s">
        <v>2979</v>
      </c>
      <c r="P94" s="89" t="s">
        <v>3760</v>
      </c>
      <c r="Q94" s="89" t="s">
        <v>2860</v>
      </c>
      <c r="R94" s="89" t="s">
        <v>2859</v>
      </c>
      <c r="S94" s="89" t="s">
        <v>2859</v>
      </c>
      <c r="T94" s="89" t="s">
        <v>2859</v>
      </c>
      <c r="U94" s="89" t="s">
        <v>2859</v>
      </c>
      <c r="V94" s="89" t="s">
        <v>2859</v>
      </c>
      <c r="W94" s="89" t="s">
        <v>2859</v>
      </c>
      <c r="X94" s="89" t="s">
        <v>2859</v>
      </c>
      <c r="Y94" s="89" t="s">
        <v>2859</v>
      </c>
      <c r="Z94" s="89" t="s">
        <v>2859</v>
      </c>
      <c r="AA94" s="89" t="s">
        <v>2859</v>
      </c>
      <c r="AB94" s="89" t="s">
        <v>2859</v>
      </c>
      <c r="AC94" s="89" t="s">
        <v>2859</v>
      </c>
      <c r="AD94" s="89" t="s">
        <v>2859</v>
      </c>
      <c r="AE94" s="89" t="s">
        <v>2859</v>
      </c>
      <c r="AF94" s="89" t="s">
        <v>2859</v>
      </c>
      <c r="AG94" s="89" t="s">
        <v>2859</v>
      </c>
      <c r="AH94" s="89" t="s">
        <v>2859</v>
      </c>
      <c r="AI94" s="89" t="s">
        <v>2859</v>
      </c>
      <c r="AJ94" s="89" t="s">
        <v>2859</v>
      </c>
      <c r="AK94" s="89" t="s">
        <v>2859</v>
      </c>
      <c r="AL94" s="89" t="s">
        <v>2859</v>
      </c>
      <c r="AM94" s="89" t="s">
        <v>2859</v>
      </c>
      <c r="AN94" s="89" t="s">
        <v>2859</v>
      </c>
      <c r="AO94" s="89" t="s">
        <v>2859</v>
      </c>
      <c r="AP94" s="89" t="s">
        <v>2859</v>
      </c>
      <c r="AQ94" s="89" t="s">
        <v>2859</v>
      </c>
      <c r="AR94" s="89" t="s">
        <v>2859</v>
      </c>
      <c r="AS94" s="89" t="s">
        <v>2859</v>
      </c>
      <c r="AT94" s="89" t="s">
        <v>2859</v>
      </c>
      <c r="AU94" s="89" t="s">
        <v>2859</v>
      </c>
      <c r="AV94" s="89" t="s">
        <v>2859</v>
      </c>
      <c r="AW94" s="89" t="s">
        <v>2859</v>
      </c>
      <c r="AX94" s="89" t="s">
        <v>2859</v>
      </c>
      <c r="AY94" s="89" t="s">
        <v>2859</v>
      </c>
      <c r="AZ94" s="89" t="s">
        <v>2859</v>
      </c>
      <c r="BA94" s="89" t="s">
        <v>2859</v>
      </c>
      <c r="BB94" s="89" t="s">
        <v>2859</v>
      </c>
      <c r="BC94" s="89" t="s">
        <v>2859</v>
      </c>
      <c r="BD94" s="89" t="s">
        <v>2859</v>
      </c>
      <c r="BE94" s="89" t="s">
        <v>2859</v>
      </c>
      <c r="BF94" s="89" t="s">
        <v>2859</v>
      </c>
      <c r="BG94" s="89" t="s">
        <v>2859</v>
      </c>
      <c r="BH94" s="89" t="s">
        <v>2859</v>
      </c>
      <c r="BI94" s="89" t="s">
        <v>2859</v>
      </c>
      <c r="BJ94" s="89" t="s">
        <v>2859</v>
      </c>
      <c r="BK94" s="89" t="s">
        <v>2859</v>
      </c>
      <c r="BL94" s="89" t="s">
        <v>2859</v>
      </c>
      <c r="BM94" s="89" t="s">
        <v>2859</v>
      </c>
      <c r="BN94" s="89" t="s">
        <v>2859</v>
      </c>
      <c r="BO94" s="89" t="s">
        <v>2859</v>
      </c>
      <c r="BP94" s="89" t="s">
        <v>2859</v>
      </c>
      <c r="BQ94" s="89" t="s">
        <v>3762</v>
      </c>
      <c r="BR94" s="89" t="s">
        <v>2859</v>
      </c>
    </row>
    <row r="95" spans="1:70">
      <c r="A95" s="89" t="s">
        <v>2169</v>
      </c>
      <c r="B95" s="89" t="s">
        <v>2403</v>
      </c>
      <c r="C95" s="89" t="s">
        <v>2404</v>
      </c>
      <c r="D95" s="89" t="s">
        <v>2859</v>
      </c>
      <c r="E95" s="89" t="s">
        <v>2859</v>
      </c>
      <c r="F95" s="89" t="s">
        <v>2859</v>
      </c>
      <c r="G95" s="89" t="s">
        <v>2860</v>
      </c>
      <c r="H95" s="89" t="s">
        <v>2859</v>
      </c>
      <c r="I95" s="89" t="s">
        <v>621</v>
      </c>
      <c r="J95" s="89" t="s">
        <v>2405</v>
      </c>
      <c r="K95" s="89" t="s">
        <v>2860</v>
      </c>
      <c r="L95" s="89" t="s">
        <v>2859</v>
      </c>
      <c r="M95" s="89" t="s">
        <v>2859</v>
      </c>
      <c r="N95" s="89" t="s">
        <v>2859</v>
      </c>
      <c r="O95" s="89" t="s">
        <v>2859</v>
      </c>
      <c r="P95" s="89" t="s">
        <v>2859</v>
      </c>
      <c r="Q95" s="89" t="s">
        <v>2859</v>
      </c>
      <c r="R95" s="89" t="s">
        <v>2859</v>
      </c>
      <c r="S95" s="89" t="s">
        <v>2859</v>
      </c>
      <c r="T95" s="89" t="s">
        <v>2859</v>
      </c>
      <c r="U95" s="89" t="s">
        <v>2859</v>
      </c>
      <c r="V95" s="89" t="s">
        <v>2859</v>
      </c>
      <c r="W95" s="89" t="s">
        <v>2859</v>
      </c>
      <c r="X95" s="89" t="s">
        <v>2859</v>
      </c>
      <c r="Y95" s="89" t="s">
        <v>2859</v>
      </c>
      <c r="Z95" s="89" t="s">
        <v>2859</v>
      </c>
      <c r="AA95" s="89" t="s">
        <v>2859</v>
      </c>
      <c r="AB95" s="89" t="s">
        <v>2859</v>
      </c>
      <c r="AC95" s="89" t="s">
        <v>2859</v>
      </c>
      <c r="AD95" s="89" t="s">
        <v>2859</v>
      </c>
      <c r="AE95" s="89" t="s">
        <v>2859</v>
      </c>
      <c r="AF95" s="89" t="s">
        <v>2859</v>
      </c>
      <c r="AG95" s="89" t="s">
        <v>2859</v>
      </c>
      <c r="AH95" s="89" t="s">
        <v>2859</v>
      </c>
      <c r="AI95" s="89" t="s">
        <v>2859</v>
      </c>
      <c r="AJ95" s="89" t="s">
        <v>2859</v>
      </c>
      <c r="AK95" s="89" t="s">
        <v>2859</v>
      </c>
      <c r="AL95" s="89" t="s">
        <v>2859</v>
      </c>
      <c r="AM95" s="89" t="s">
        <v>2859</v>
      </c>
      <c r="AN95" s="89" t="s">
        <v>2859</v>
      </c>
      <c r="AO95" s="89" t="s">
        <v>2859</v>
      </c>
      <c r="AP95" s="89" t="s">
        <v>2859</v>
      </c>
      <c r="AQ95" s="89" t="s">
        <v>2859</v>
      </c>
      <c r="AR95" s="89" t="s">
        <v>2859</v>
      </c>
      <c r="AS95" s="89" t="s">
        <v>2859</v>
      </c>
      <c r="AT95" s="89" t="s">
        <v>2859</v>
      </c>
      <c r="AU95" s="89" t="s">
        <v>2859</v>
      </c>
      <c r="AV95" s="89" t="s">
        <v>2859</v>
      </c>
      <c r="AW95" s="89" t="s">
        <v>2859</v>
      </c>
      <c r="AX95" s="89" t="s">
        <v>2859</v>
      </c>
      <c r="AY95" s="89" t="s">
        <v>2859</v>
      </c>
      <c r="AZ95" s="89" t="s">
        <v>2859</v>
      </c>
      <c r="BA95" s="89" t="s">
        <v>2859</v>
      </c>
      <c r="BB95" s="89" t="s">
        <v>2859</v>
      </c>
      <c r="BC95" s="89" t="s">
        <v>2859</v>
      </c>
      <c r="BD95" s="89" t="s">
        <v>2859</v>
      </c>
      <c r="BE95" s="89" t="s">
        <v>2859</v>
      </c>
      <c r="BF95" s="89" t="s">
        <v>2859</v>
      </c>
      <c r="BG95" s="89" t="s">
        <v>2859</v>
      </c>
      <c r="BH95" s="89" t="s">
        <v>2859</v>
      </c>
      <c r="BI95" s="89" t="s">
        <v>2859</v>
      </c>
      <c r="BJ95" s="89" t="s">
        <v>2859</v>
      </c>
      <c r="BK95" s="89" t="s">
        <v>2859</v>
      </c>
      <c r="BL95" s="89" t="s">
        <v>2859</v>
      </c>
      <c r="BM95" s="89" t="s">
        <v>2859</v>
      </c>
      <c r="BN95" s="89" t="s">
        <v>2859</v>
      </c>
      <c r="BO95" s="89" t="s">
        <v>2859</v>
      </c>
      <c r="BP95" s="89" t="s">
        <v>2859</v>
      </c>
      <c r="BQ95" s="89" t="s">
        <v>3763</v>
      </c>
      <c r="BR95" s="89" t="s">
        <v>2859</v>
      </c>
    </row>
    <row r="96" spans="1:70">
      <c r="A96" s="89" t="s">
        <v>2169</v>
      </c>
      <c r="B96" s="89" t="s">
        <v>3764</v>
      </c>
      <c r="C96" s="89" t="s">
        <v>2353</v>
      </c>
      <c r="D96" s="89" t="s">
        <v>2859</v>
      </c>
      <c r="E96" s="89" t="s">
        <v>2859</v>
      </c>
      <c r="F96" s="89" t="s">
        <v>2859</v>
      </c>
      <c r="G96" s="89" t="s">
        <v>2860</v>
      </c>
      <c r="H96" s="89" t="s">
        <v>2859</v>
      </c>
      <c r="I96" s="89" t="s">
        <v>2891</v>
      </c>
      <c r="J96" s="89" t="s">
        <v>2859</v>
      </c>
      <c r="K96" s="89" t="s">
        <v>2859</v>
      </c>
      <c r="L96" s="89" t="s">
        <v>2859</v>
      </c>
      <c r="M96" s="89" t="s">
        <v>2859</v>
      </c>
      <c r="N96" s="89" t="s">
        <v>2859</v>
      </c>
      <c r="O96" s="89" t="s">
        <v>2859</v>
      </c>
      <c r="P96" s="89" t="s">
        <v>2859</v>
      </c>
      <c r="Q96" s="89" t="s">
        <v>2859</v>
      </c>
      <c r="R96" s="89" t="s">
        <v>2859</v>
      </c>
      <c r="S96" s="89" t="s">
        <v>2859</v>
      </c>
      <c r="T96" s="89" t="s">
        <v>2859</v>
      </c>
      <c r="U96" s="89" t="s">
        <v>2859</v>
      </c>
      <c r="V96" s="89" t="s">
        <v>2859</v>
      </c>
      <c r="W96" s="89" t="s">
        <v>2859</v>
      </c>
      <c r="X96" s="89" t="s">
        <v>2859</v>
      </c>
      <c r="Y96" s="89" t="s">
        <v>2859</v>
      </c>
      <c r="Z96" s="89" t="s">
        <v>2859</v>
      </c>
      <c r="AA96" s="89" t="s">
        <v>2859</v>
      </c>
      <c r="AB96" s="89" t="s">
        <v>2859</v>
      </c>
      <c r="AC96" s="89" t="s">
        <v>2859</v>
      </c>
      <c r="AD96" s="89" t="s">
        <v>2859</v>
      </c>
      <c r="AE96" s="89" t="s">
        <v>2859</v>
      </c>
      <c r="AF96" s="89" t="s">
        <v>2859</v>
      </c>
      <c r="AG96" s="89" t="s">
        <v>2859</v>
      </c>
      <c r="AH96" s="89" t="s">
        <v>2859</v>
      </c>
      <c r="AI96" s="89" t="s">
        <v>2859</v>
      </c>
      <c r="AJ96" s="89" t="s">
        <v>2859</v>
      </c>
      <c r="AK96" s="89" t="s">
        <v>2859</v>
      </c>
      <c r="AL96" s="89" t="s">
        <v>2859</v>
      </c>
      <c r="AM96" s="89" t="s">
        <v>2859</v>
      </c>
      <c r="AN96" s="89" t="s">
        <v>2859</v>
      </c>
      <c r="AO96" s="89" t="s">
        <v>2859</v>
      </c>
      <c r="AP96" s="89" t="s">
        <v>2859</v>
      </c>
      <c r="AQ96" s="89" t="s">
        <v>2859</v>
      </c>
      <c r="AR96" s="89" t="s">
        <v>2859</v>
      </c>
      <c r="AS96" s="89" t="s">
        <v>2859</v>
      </c>
      <c r="AT96" s="89" t="s">
        <v>2859</v>
      </c>
      <c r="AU96" s="89" t="s">
        <v>2859</v>
      </c>
      <c r="AV96" s="89" t="s">
        <v>2859</v>
      </c>
      <c r="AW96" s="89" t="s">
        <v>2859</v>
      </c>
      <c r="AX96" s="89" t="s">
        <v>2859</v>
      </c>
      <c r="AY96" s="89" t="s">
        <v>2859</v>
      </c>
      <c r="AZ96" s="89" t="s">
        <v>2859</v>
      </c>
      <c r="BA96" s="89" t="s">
        <v>2859</v>
      </c>
      <c r="BB96" s="89" t="s">
        <v>2859</v>
      </c>
      <c r="BC96" s="89" t="s">
        <v>2859</v>
      </c>
      <c r="BD96" s="89" t="s">
        <v>2859</v>
      </c>
      <c r="BE96" s="89" t="s">
        <v>2859</v>
      </c>
      <c r="BF96" s="89" t="s">
        <v>2859</v>
      </c>
      <c r="BG96" s="89" t="s">
        <v>2859</v>
      </c>
      <c r="BH96" s="89" t="s">
        <v>2859</v>
      </c>
      <c r="BI96" s="89" t="s">
        <v>2859</v>
      </c>
      <c r="BJ96" s="89" t="s">
        <v>2859</v>
      </c>
      <c r="BK96" s="89" t="s">
        <v>2859</v>
      </c>
      <c r="BL96" s="89" t="s">
        <v>2859</v>
      </c>
      <c r="BM96" s="89" t="s">
        <v>2859</v>
      </c>
      <c r="BN96" s="89" t="s">
        <v>2859</v>
      </c>
      <c r="BO96" s="89" t="s">
        <v>2859</v>
      </c>
      <c r="BP96" s="89" t="s">
        <v>2859</v>
      </c>
      <c r="BQ96" s="89" t="s">
        <v>3765</v>
      </c>
      <c r="BR96" s="89" t="s">
        <v>2859</v>
      </c>
    </row>
    <row r="97" spans="1:70">
      <c r="A97" s="89" t="s">
        <v>2169</v>
      </c>
      <c r="B97" s="89" t="s">
        <v>2406</v>
      </c>
      <c r="C97" s="89" t="s">
        <v>2407</v>
      </c>
      <c r="D97" s="89" t="s">
        <v>2859</v>
      </c>
      <c r="E97" s="89" t="s">
        <v>2859</v>
      </c>
      <c r="F97" s="89" t="s">
        <v>2859</v>
      </c>
      <c r="G97" s="89" t="s">
        <v>2860</v>
      </c>
      <c r="H97" s="89" t="s">
        <v>2859</v>
      </c>
      <c r="I97" s="89" t="s">
        <v>1463</v>
      </c>
      <c r="J97" s="89" t="s">
        <v>3766</v>
      </c>
      <c r="K97" s="89" t="s">
        <v>2867</v>
      </c>
      <c r="L97" s="89" t="s">
        <v>621</v>
      </c>
      <c r="M97" s="89" t="s">
        <v>3766</v>
      </c>
      <c r="N97" s="89" t="s">
        <v>2867</v>
      </c>
      <c r="O97" s="89" t="s">
        <v>3584</v>
      </c>
      <c r="P97" s="89" t="s">
        <v>3766</v>
      </c>
      <c r="Q97" s="89" t="s">
        <v>2867</v>
      </c>
      <c r="R97" s="89" t="s">
        <v>2893</v>
      </c>
      <c r="S97" s="89" t="s">
        <v>3766</v>
      </c>
      <c r="T97" s="89" t="s">
        <v>2867</v>
      </c>
      <c r="U97" s="89" t="s">
        <v>2891</v>
      </c>
      <c r="V97" s="89" t="s">
        <v>3767</v>
      </c>
      <c r="W97" s="89" t="s">
        <v>2867</v>
      </c>
      <c r="X97" s="89" t="s">
        <v>2859</v>
      </c>
      <c r="Y97" s="89" t="s">
        <v>2859</v>
      </c>
      <c r="Z97" s="89" t="s">
        <v>2859</v>
      </c>
      <c r="AA97" s="89" t="s">
        <v>2859</v>
      </c>
      <c r="AB97" s="89" t="s">
        <v>2859</v>
      </c>
      <c r="AC97" s="89" t="s">
        <v>2859</v>
      </c>
      <c r="AD97" s="89" t="s">
        <v>2859</v>
      </c>
      <c r="AE97" s="89" t="s">
        <v>2859</v>
      </c>
      <c r="AF97" s="89" t="s">
        <v>2859</v>
      </c>
      <c r="AG97" s="89" t="s">
        <v>2859</v>
      </c>
      <c r="AH97" s="89" t="s">
        <v>2859</v>
      </c>
      <c r="AI97" s="89" t="s">
        <v>2859</v>
      </c>
      <c r="AJ97" s="89" t="s">
        <v>2859</v>
      </c>
      <c r="AK97" s="89" t="s">
        <v>2859</v>
      </c>
      <c r="AL97" s="89" t="s">
        <v>2859</v>
      </c>
      <c r="AM97" s="89" t="s">
        <v>2859</v>
      </c>
      <c r="AN97" s="89" t="s">
        <v>2859</v>
      </c>
      <c r="AO97" s="89" t="s">
        <v>2859</v>
      </c>
      <c r="AP97" s="89" t="s">
        <v>2859</v>
      </c>
      <c r="AQ97" s="89" t="s">
        <v>2859</v>
      </c>
      <c r="AR97" s="89" t="s">
        <v>2859</v>
      </c>
      <c r="AS97" s="89" t="s">
        <v>2859</v>
      </c>
      <c r="AT97" s="89" t="s">
        <v>2859</v>
      </c>
      <c r="AU97" s="89" t="s">
        <v>2859</v>
      </c>
      <c r="AV97" s="89" t="s">
        <v>2859</v>
      </c>
      <c r="AW97" s="89" t="s">
        <v>2859</v>
      </c>
      <c r="AX97" s="89" t="s">
        <v>2859</v>
      </c>
      <c r="AY97" s="89" t="s">
        <v>2859</v>
      </c>
      <c r="AZ97" s="89" t="s">
        <v>2859</v>
      </c>
      <c r="BA97" s="89" t="s">
        <v>2859</v>
      </c>
      <c r="BB97" s="89" t="s">
        <v>2859</v>
      </c>
      <c r="BC97" s="89" t="s">
        <v>2859</v>
      </c>
      <c r="BD97" s="89" t="s">
        <v>2859</v>
      </c>
      <c r="BE97" s="89" t="s">
        <v>2859</v>
      </c>
      <c r="BF97" s="89" t="s">
        <v>2859</v>
      </c>
      <c r="BG97" s="89" t="s">
        <v>2859</v>
      </c>
      <c r="BH97" s="89" t="s">
        <v>2859</v>
      </c>
      <c r="BI97" s="89" t="s">
        <v>2859</v>
      </c>
      <c r="BJ97" s="89" t="s">
        <v>2859</v>
      </c>
      <c r="BK97" s="89" t="s">
        <v>2859</v>
      </c>
      <c r="BL97" s="89" t="s">
        <v>2859</v>
      </c>
      <c r="BM97" s="89" t="s">
        <v>2859</v>
      </c>
      <c r="BN97" s="89" t="s">
        <v>2859</v>
      </c>
      <c r="BO97" s="89" t="s">
        <v>2859</v>
      </c>
      <c r="BP97" s="89" t="s">
        <v>2859</v>
      </c>
      <c r="BQ97" s="89" t="s">
        <v>3768</v>
      </c>
      <c r="BR97" s="89" t="s">
        <v>2869</v>
      </c>
    </row>
    <row r="98" spans="1:70">
      <c r="A98" s="89" t="s">
        <v>2169</v>
      </c>
      <c r="B98" s="89" t="s">
        <v>3769</v>
      </c>
      <c r="C98" s="89" t="s">
        <v>3770</v>
      </c>
      <c r="D98" s="89" t="s">
        <v>2859</v>
      </c>
      <c r="E98" s="89" t="s">
        <v>2859</v>
      </c>
      <c r="F98" s="89" t="s">
        <v>2859</v>
      </c>
      <c r="G98" s="89" t="s">
        <v>2860</v>
      </c>
      <c r="H98" s="89" t="s">
        <v>2859</v>
      </c>
      <c r="I98" s="89" t="s">
        <v>2979</v>
      </c>
      <c r="J98" s="89" t="s">
        <v>3771</v>
      </c>
      <c r="K98" s="89" t="s">
        <v>2860</v>
      </c>
      <c r="L98" s="89" t="s">
        <v>2859</v>
      </c>
      <c r="M98" s="89" t="s">
        <v>2859</v>
      </c>
      <c r="N98" s="89" t="s">
        <v>2859</v>
      </c>
      <c r="O98" s="89" t="s">
        <v>2859</v>
      </c>
      <c r="P98" s="89" t="s">
        <v>2859</v>
      </c>
      <c r="Q98" s="89" t="s">
        <v>2859</v>
      </c>
      <c r="R98" s="89" t="s">
        <v>2859</v>
      </c>
      <c r="S98" s="89" t="s">
        <v>2859</v>
      </c>
      <c r="T98" s="89" t="s">
        <v>2859</v>
      </c>
      <c r="U98" s="89" t="s">
        <v>2859</v>
      </c>
      <c r="V98" s="89" t="s">
        <v>2859</v>
      </c>
      <c r="W98" s="89" t="s">
        <v>2859</v>
      </c>
      <c r="X98" s="89" t="s">
        <v>2859</v>
      </c>
      <c r="Y98" s="89" t="s">
        <v>2859</v>
      </c>
      <c r="Z98" s="89" t="s">
        <v>2859</v>
      </c>
      <c r="AA98" s="89" t="s">
        <v>2859</v>
      </c>
      <c r="AB98" s="89" t="s">
        <v>2859</v>
      </c>
      <c r="AC98" s="89" t="s">
        <v>2859</v>
      </c>
      <c r="AD98" s="89" t="s">
        <v>2859</v>
      </c>
      <c r="AE98" s="89" t="s">
        <v>2859</v>
      </c>
      <c r="AF98" s="89" t="s">
        <v>2859</v>
      </c>
      <c r="AG98" s="89" t="s">
        <v>2859</v>
      </c>
      <c r="AH98" s="89" t="s">
        <v>2859</v>
      </c>
      <c r="AI98" s="89" t="s">
        <v>2859</v>
      </c>
      <c r="AJ98" s="89" t="s">
        <v>2859</v>
      </c>
      <c r="AK98" s="89" t="s">
        <v>2859</v>
      </c>
      <c r="AL98" s="89" t="s">
        <v>2859</v>
      </c>
      <c r="AM98" s="89" t="s">
        <v>2859</v>
      </c>
      <c r="AN98" s="89" t="s">
        <v>2859</v>
      </c>
      <c r="AO98" s="89" t="s">
        <v>2859</v>
      </c>
      <c r="AP98" s="89" t="s">
        <v>2859</v>
      </c>
      <c r="AQ98" s="89" t="s">
        <v>2859</v>
      </c>
      <c r="AR98" s="89" t="s">
        <v>2859</v>
      </c>
      <c r="AS98" s="89" t="s">
        <v>2859</v>
      </c>
      <c r="AT98" s="89" t="s">
        <v>2859</v>
      </c>
      <c r="AU98" s="89" t="s">
        <v>2859</v>
      </c>
      <c r="AV98" s="89" t="s">
        <v>2859</v>
      </c>
      <c r="AW98" s="89" t="s">
        <v>2859</v>
      </c>
      <c r="AX98" s="89" t="s">
        <v>2859</v>
      </c>
      <c r="AY98" s="89" t="s">
        <v>2859</v>
      </c>
      <c r="AZ98" s="89" t="s">
        <v>2859</v>
      </c>
      <c r="BA98" s="89" t="s">
        <v>2859</v>
      </c>
      <c r="BB98" s="89" t="s">
        <v>2859</v>
      </c>
      <c r="BC98" s="89" t="s">
        <v>2859</v>
      </c>
      <c r="BD98" s="89" t="s">
        <v>2859</v>
      </c>
      <c r="BE98" s="89" t="s">
        <v>2859</v>
      </c>
      <c r="BF98" s="89" t="s">
        <v>2859</v>
      </c>
      <c r="BG98" s="89" t="s">
        <v>2859</v>
      </c>
      <c r="BH98" s="89" t="s">
        <v>2859</v>
      </c>
      <c r="BI98" s="89" t="s">
        <v>2859</v>
      </c>
      <c r="BJ98" s="89" t="s">
        <v>2859</v>
      </c>
      <c r="BK98" s="89" t="s">
        <v>2859</v>
      </c>
      <c r="BL98" s="89" t="s">
        <v>2859</v>
      </c>
      <c r="BM98" s="89" t="s">
        <v>2859</v>
      </c>
      <c r="BN98" s="89" t="s">
        <v>2859</v>
      </c>
      <c r="BO98" s="89" t="s">
        <v>2859</v>
      </c>
      <c r="BP98" s="89" t="s">
        <v>2859</v>
      </c>
      <c r="BQ98" s="89" t="s">
        <v>3772</v>
      </c>
      <c r="BR98" s="89" t="s">
        <v>2859</v>
      </c>
    </row>
    <row r="99" spans="1:70">
      <c r="A99" s="89" t="s">
        <v>2169</v>
      </c>
      <c r="B99" s="89" t="s">
        <v>2352</v>
      </c>
      <c r="C99" s="89" t="s">
        <v>2353</v>
      </c>
      <c r="D99" s="89" t="s">
        <v>2859</v>
      </c>
      <c r="E99" s="89" t="s">
        <v>2859</v>
      </c>
      <c r="F99" s="89" t="s">
        <v>2859</v>
      </c>
      <c r="G99" s="89" t="s">
        <v>2860</v>
      </c>
      <c r="H99" s="89" t="s">
        <v>2859</v>
      </c>
      <c r="I99" s="89" t="s">
        <v>2317</v>
      </c>
      <c r="J99" s="89" t="s">
        <v>2354</v>
      </c>
      <c r="K99" s="89" t="s">
        <v>2860</v>
      </c>
      <c r="L99" s="89" t="s">
        <v>2859</v>
      </c>
      <c r="M99" s="89" t="s">
        <v>2859</v>
      </c>
      <c r="N99" s="89" t="s">
        <v>2859</v>
      </c>
      <c r="O99" s="89" t="s">
        <v>2859</v>
      </c>
      <c r="P99" s="89" t="s">
        <v>2859</v>
      </c>
      <c r="Q99" s="89" t="s">
        <v>2859</v>
      </c>
      <c r="R99" s="89" t="s">
        <v>2859</v>
      </c>
      <c r="S99" s="89" t="s">
        <v>2859</v>
      </c>
      <c r="T99" s="89" t="s">
        <v>2859</v>
      </c>
      <c r="U99" s="89" t="s">
        <v>2859</v>
      </c>
      <c r="V99" s="89" t="s">
        <v>2859</v>
      </c>
      <c r="W99" s="89" t="s">
        <v>2859</v>
      </c>
      <c r="X99" s="89" t="s">
        <v>2859</v>
      </c>
      <c r="Y99" s="89" t="s">
        <v>2859</v>
      </c>
      <c r="Z99" s="89" t="s">
        <v>2859</v>
      </c>
      <c r="AA99" s="89" t="s">
        <v>2859</v>
      </c>
      <c r="AB99" s="89" t="s">
        <v>2859</v>
      </c>
      <c r="AC99" s="89" t="s">
        <v>2859</v>
      </c>
      <c r="AD99" s="89" t="s">
        <v>2859</v>
      </c>
      <c r="AE99" s="89" t="s">
        <v>2859</v>
      </c>
      <c r="AF99" s="89" t="s">
        <v>2859</v>
      </c>
      <c r="AG99" s="89" t="s">
        <v>2859</v>
      </c>
      <c r="AH99" s="89" t="s">
        <v>2859</v>
      </c>
      <c r="AI99" s="89" t="s">
        <v>2859</v>
      </c>
      <c r="AJ99" s="89" t="s">
        <v>2859</v>
      </c>
      <c r="AK99" s="89" t="s">
        <v>2859</v>
      </c>
      <c r="AL99" s="89" t="s">
        <v>2859</v>
      </c>
      <c r="AM99" s="89" t="s">
        <v>2859</v>
      </c>
      <c r="AN99" s="89" t="s">
        <v>2859</v>
      </c>
      <c r="AO99" s="89" t="s">
        <v>2859</v>
      </c>
      <c r="AP99" s="89" t="s">
        <v>2859</v>
      </c>
      <c r="AQ99" s="89" t="s">
        <v>2859</v>
      </c>
      <c r="AR99" s="89" t="s">
        <v>2859</v>
      </c>
      <c r="AS99" s="89" t="s">
        <v>2859</v>
      </c>
      <c r="AT99" s="89" t="s">
        <v>2859</v>
      </c>
      <c r="AU99" s="89" t="s">
        <v>2859</v>
      </c>
      <c r="AV99" s="89" t="s">
        <v>2859</v>
      </c>
      <c r="AW99" s="89" t="s">
        <v>2859</v>
      </c>
      <c r="AX99" s="89" t="s">
        <v>2859</v>
      </c>
      <c r="AY99" s="89" t="s">
        <v>2859</v>
      </c>
      <c r="AZ99" s="89" t="s">
        <v>2859</v>
      </c>
      <c r="BA99" s="89" t="s">
        <v>2859</v>
      </c>
      <c r="BB99" s="89" t="s">
        <v>2859</v>
      </c>
      <c r="BC99" s="89" t="s">
        <v>2859</v>
      </c>
      <c r="BD99" s="89" t="s">
        <v>2859</v>
      </c>
      <c r="BE99" s="89" t="s">
        <v>2859</v>
      </c>
      <c r="BF99" s="89" t="s">
        <v>2859</v>
      </c>
      <c r="BG99" s="89" t="s">
        <v>2859</v>
      </c>
      <c r="BH99" s="89" t="s">
        <v>2859</v>
      </c>
      <c r="BI99" s="89" t="s">
        <v>2859</v>
      </c>
      <c r="BJ99" s="89" t="s">
        <v>2859</v>
      </c>
      <c r="BK99" s="89" t="s">
        <v>2859</v>
      </c>
      <c r="BL99" s="89" t="s">
        <v>2859</v>
      </c>
      <c r="BM99" s="89" t="s">
        <v>2859</v>
      </c>
      <c r="BN99" s="89" t="s">
        <v>2859</v>
      </c>
      <c r="BO99" s="89" t="s">
        <v>2859</v>
      </c>
      <c r="BP99" s="89" t="s">
        <v>2859</v>
      </c>
      <c r="BQ99" s="89" t="s">
        <v>3773</v>
      </c>
      <c r="BR99" s="89" t="s">
        <v>2859</v>
      </c>
    </row>
    <row r="100" spans="1:70">
      <c r="A100" s="89" t="s">
        <v>2169</v>
      </c>
      <c r="B100" s="89" t="s">
        <v>2355</v>
      </c>
      <c r="C100" s="89" t="s">
        <v>2356</v>
      </c>
      <c r="D100" s="89" t="s">
        <v>2859</v>
      </c>
      <c r="E100" s="89" t="s">
        <v>2859</v>
      </c>
      <c r="F100" s="89" t="s">
        <v>2859</v>
      </c>
      <c r="G100" s="89" t="s">
        <v>2860</v>
      </c>
      <c r="H100" s="89" t="s">
        <v>2859</v>
      </c>
      <c r="I100" s="89" t="s">
        <v>2317</v>
      </c>
      <c r="J100" s="89" t="s">
        <v>2357</v>
      </c>
      <c r="K100" s="89" t="s">
        <v>2867</v>
      </c>
      <c r="L100" s="89" t="s">
        <v>2859</v>
      </c>
      <c r="M100" s="89" t="s">
        <v>2859</v>
      </c>
      <c r="N100" s="89" t="s">
        <v>2859</v>
      </c>
      <c r="O100" s="89" t="s">
        <v>2859</v>
      </c>
      <c r="P100" s="89" t="s">
        <v>2859</v>
      </c>
      <c r="Q100" s="89" t="s">
        <v>2859</v>
      </c>
      <c r="R100" s="89" t="s">
        <v>2859</v>
      </c>
      <c r="S100" s="89" t="s">
        <v>2859</v>
      </c>
      <c r="T100" s="89" t="s">
        <v>2859</v>
      </c>
      <c r="U100" s="89" t="s">
        <v>2859</v>
      </c>
      <c r="V100" s="89" t="s">
        <v>2859</v>
      </c>
      <c r="W100" s="89" t="s">
        <v>2859</v>
      </c>
      <c r="X100" s="89" t="s">
        <v>2859</v>
      </c>
      <c r="Y100" s="89" t="s">
        <v>2859</v>
      </c>
      <c r="Z100" s="89" t="s">
        <v>2859</v>
      </c>
      <c r="AA100" s="89" t="s">
        <v>2859</v>
      </c>
      <c r="AB100" s="89" t="s">
        <v>2859</v>
      </c>
      <c r="AC100" s="89" t="s">
        <v>2859</v>
      </c>
      <c r="AD100" s="89" t="s">
        <v>2859</v>
      </c>
      <c r="AE100" s="89" t="s">
        <v>2859</v>
      </c>
      <c r="AF100" s="89" t="s">
        <v>2859</v>
      </c>
      <c r="AG100" s="89" t="s">
        <v>2859</v>
      </c>
      <c r="AH100" s="89" t="s">
        <v>2859</v>
      </c>
      <c r="AI100" s="89" t="s">
        <v>2859</v>
      </c>
      <c r="AJ100" s="89" t="s">
        <v>2859</v>
      </c>
      <c r="AK100" s="89" t="s">
        <v>2859</v>
      </c>
      <c r="AL100" s="89" t="s">
        <v>2859</v>
      </c>
      <c r="AM100" s="89" t="s">
        <v>2859</v>
      </c>
      <c r="AN100" s="89" t="s">
        <v>2859</v>
      </c>
      <c r="AO100" s="89" t="s">
        <v>2859</v>
      </c>
      <c r="AP100" s="89" t="s">
        <v>2859</v>
      </c>
      <c r="AQ100" s="89" t="s">
        <v>2859</v>
      </c>
      <c r="AR100" s="89" t="s">
        <v>2859</v>
      </c>
      <c r="AS100" s="89" t="s">
        <v>2859</v>
      </c>
      <c r="AT100" s="89" t="s">
        <v>2859</v>
      </c>
      <c r="AU100" s="89" t="s">
        <v>2859</v>
      </c>
      <c r="AV100" s="89" t="s">
        <v>2859</v>
      </c>
      <c r="AW100" s="89" t="s">
        <v>2859</v>
      </c>
      <c r="AX100" s="89" t="s">
        <v>2859</v>
      </c>
      <c r="AY100" s="89" t="s">
        <v>2859</v>
      </c>
      <c r="AZ100" s="89" t="s">
        <v>2859</v>
      </c>
      <c r="BA100" s="89" t="s">
        <v>2859</v>
      </c>
      <c r="BB100" s="89" t="s">
        <v>2859</v>
      </c>
      <c r="BC100" s="89" t="s">
        <v>2859</v>
      </c>
      <c r="BD100" s="89" t="s">
        <v>2859</v>
      </c>
      <c r="BE100" s="89" t="s">
        <v>2859</v>
      </c>
      <c r="BF100" s="89" t="s">
        <v>2859</v>
      </c>
      <c r="BG100" s="89" t="s">
        <v>2859</v>
      </c>
      <c r="BH100" s="89" t="s">
        <v>2859</v>
      </c>
      <c r="BI100" s="89" t="s">
        <v>2859</v>
      </c>
      <c r="BJ100" s="89" t="s">
        <v>2859</v>
      </c>
      <c r="BK100" s="89" t="s">
        <v>2859</v>
      </c>
      <c r="BL100" s="89" t="s">
        <v>2859</v>
      </c>
      <c r="BM100" s="89" t="s">
        <v>2859</v>
      </c>
      <c r="BN100" s="89" t="s">
        <v>2859</v>
      </c>
      <c r="BO100" s="89" t="s">
        <v>2859</v>
      </c>
      <c r="BP100" s="89" t="s">
        <v>2859</v>
      </c>
      <c r="BQ100" s="89" t="s">
        <v>3774</v>
      </c>
      <c r="BR100" s="89" t="s">
        <v>2869</v>
      </c>
    </row>
    <row r="101" spans="1:70">
      <c r="A101" s="89" t="s">
        <v>2169</v>
      </c>
      <c r="B101" s="89" t="s">
        <v>2509</v>
      </c>
      <c r="C101" s="89" t="s">
        <v>2353</v>
      </c>
      <c r="D101" s="89" t="s">
        <v>2859</v>
      </c>
      <c r="E101" s="89" t="s">
        <v>2859</v>
      </c>
      <c r="F101" s="89" t="s">
        <v>2859</v>
      </c>
      <c r="G101" s="89" t="s">
        <v>2860</v>
      </c>
      <c r="H101" s="89" t="s">
        <v>2859</v>
      </c>
      <c r="I101" s="89" t="s">
        <v>2490</v>
      </c>
      <c r="J101" s="89" t="s">
        <v>2510</v>
      </c>
      <c r="K101" s="89" t="s">
        <v>2860</v>
      </c>
      <c r="L101" s="89" t="s">
        <v>2859</v>
      </c>
      <c r="M101" s="89" t="s">
        <v>2859</v>
      </c>
      <c r="N101" s="89" t="s">
        <v>2859</v>
      </c>
      <c r="O101" s="89" t="s">
        <v>2859</v>
      </c>
      <c r="P101" s="89" t="s">
        <v>2859</v>
      </c>
      <c r="Q101" s="89" t="s">
        <v>2859</v>
      </c>
      <c r="R101" s="89" t="s">
        <v>2859</v>
      </c>
      <c r="S101" s="89" t="s">
        <v>2859</v>
      </c>
      <c r="T101" s="89" t="s">
        <v>2859</v>
      </c>
      <c r="U101" s="89" t="s">
        <v>2859</v>
      </c>
      <c r="V101" s="89" t="s">
        <v>2859</v>
      </c>
      <c r="W101" s="89" t="s">
        <v>2859</v>
      </c>
      <c r="X101" s="89" t="s">
        <v>2859</v>
      </c>
      <c r="Y101" s="89" t="s">
        <v>2859</v>
      </c>
      <c r="Z101" s="89" t="s">
        <v>2859</v>
      </c>
      <c r="AA101" s="89" t="s">
        <v>2859</v>
      </c>
      <c r="AB101" s="89" t="s">
        <v>2859</v>
      </c>
      <c r="AC101" s="89" t="s">
        <v>2859</v>
      </c>
      <c r="AD101" s="89" t="s">
        <v>2859</v>
      </c>
      <c r="AE101" s="89" t="s">
        <v>2859</v>
      </c>
      <c r="AF101" s="89" t="s">
        <v>2859</v>
      </c>
      <c r="AG101" s="89" t="s">
        <v>2859</v>
      </c>
      <c r="AH101" s="89" t="s">
        <v>2859</v>
      </c>
      <c r="AI101" s="89" t="s">
        <v>2859</v>
      </c>
      <c r="AJ101" s="89" t="s">
        <v>2859</v>
      </c>
      <c r="AK101" s="89" t="s">
        <v>2859</v>
      </c>
      <c r="AL101" s="89" t="s">
        <v>2859</v>
      </c>
      <c r="AM101" s="89" t="s">
        <v>2859</v>
      </c>
      <c r="AN101" s="89" t="s">
        <v>2859</v>
      </c>
      <c r="AO101" s="89" t="s">
        <v>2859</v>
      </c>
      <c r="AP101" s="89" t="s">
        <v>2859</v>
      </c>
      <c r="AQ101" s="89" t="s">
        <v>2859</v>
      </c>
      <c r="AR101" s="89" t="s">
        <v>2859</v>
      </c>
      <c r="AS101" s="89" t="s">
        <v>2859</v>
      </c>
      <c r="AT101" s="89" t="s">
        <v>2859</v>
      </c>
      <c r="AU101" s="89" t="s">
        <v>2859</v>
      </c>
      <c r="AV101" s="89" t="s">
        <v>2859</v>
      </c>
      <c r="AW101" s="89" t="s">
        <v>2859</v>
      </c>
      <c r="AX101" s="89" t="s">
        <v>2859</v>
      </c>
      <c r="AY101" s="89" t="s">
        <v>2859</v>
      </c>
      <c r="AZ101" s="89" t="s">
        <v>2859</v>
      </c>
      <c r="BA101" s="89" t="s">
        <v>2859</v>
      </c>
      <c r="BB101" s="89" t="s">
        <v>2859</v>
      </c>
      <c r="BC101" s="89" t="s">
        <v>2859</v>
      </c>
      <c r="BD101" s="89" t="s">
        <v>2859</v>
      </c>
      <c r="BE101" s="89" t="s">
        <v>2859</v>
      </c>
      <c r="BF101" s="89" t="s">
        <v>2859</v>
      </c>
      <c r="BG101" s="89" t="s">
        <v>2859</v>
      </c>
      <c r="BH101" s="89" t="s">
        <v>2859</v>
      </c>
      <c r="BI101" s="89" t="s">
        <v>2859</v>
      </c>
      <c r="BJ101" s="89" t="s">
        <v>2859</v>
      </c>
      <c r="BK101" s="89" t="s">
        <v>2859</v>
      </c>
      <c r="BL101" s="89" t="s">
        <v>2859</v>
      </c>
      <c r="BM101" s="89" t="s">
        <v>2859</v>
      </c>
      <c r="BN101" s="89" t="s">
        <v>2859</v>
      </c>
      <c r="BO101" s="89" t="s">
        <v>2859</v>
      </c>
      <c r="BP101" s="89" t="s">
        <v>2859</v>
      </c>
      <c r="BQ101" s="89" t="s">
        <v>3775</v>
      </c>
      <c r="BR101" s="89" t="s">
        <v>2859</v>
      </c>
    </row>
    <row r="102" spans="1:70">
      <c r="A102" s="89" t="s">
        <v>2169</v>
      </c>
      <c r="B102" s="89" t="s">
        <v>2511</v>
      </c>
      <c r="C102" s="89" t="s">
        <v>2407</v>
      </c>
      <c r="D102" s="89" t="s">
        <v>2859</v>
      </c>
      <c r="E102" s="89" t="s">
        <v>2859</v>
      </c>
      <c r="F102" s="89" t="s">
        <v>2859</v>
      </c>
      <c r="G102" s="89" t="s">
        <v>2860</v>
      </c>
      <c r="H102" s="89" t="s">
        <v>2859</v>
      </c>
      <c r="I102" s="89" t="s">
        <v>120</v>
      </c>
      <c r="J102" s="89" t="s">
        <v>2512</v>
      </c>
      <c r="K102" s="89" t="s">
        <v>2867</v>
      </c>
      <c r="L102" s="89" t="s">
        <v>2859</v>
      </c>
      <c r="M102" s="89" t="s">
        <v>2859</v>
      </c>
      <c r="N102" s="89" t="s">
        <v>2859</v>
      </c>
      <c r="O102" s="89" t="s">
        <v>2859</v>
      </c>
      <c r="P102" s="89" t="s">
        <v>2859</v>
      </c>
      <c r="Q102" s="89" t="s">
        <v>2859</v>
      </c>
      <c r="R102" s="89" t="s">
        <v>2859</v>
      </c>
      <c r="S102" s="89" t="s">
        <v>2859</v>
      </c>
      <c r="T102" s="89" t="s">
        <v>2859</v>
      </c>
      <c r="U102" s="89" t="s">
        <v>2859</v>
      </c>
      <c r="V102" s="89" t="s">
        <v>2859</v>
      </c>
      <c r="W102" s="89" t="s">
        <v>2859</v>
      </c>
      <c r="X102" s="89" t="s">
        <v>2859</v>
      </c>
      <c r="Y102" s="89" t="s">
        <v>2859</v>
      </c>
      <c r="Z102" s="89" t="s">
        <v>2859</v>
      </c>
      <c r="AA102" s="89" t="s">
        <v>2859</v>
      </c>
      <c r="AB102" s="89" t="s">
        <v>2859</v>
      </c>
      <c r="AC102" s="89" t="s">
        <v>2859</v>
      </c>
      <c r="AD102" s="89" t="s">
        <v>2859</v>
      </c>
      <c r="AE102" s="89" t="s">
        <v>2859</v>
      </c>
      <c r="AF102" s="89" t="s">
        <v>2859</v>
      </c>
      <c r="AG102" s="89" t="s">
        <v>2859</v>
      </c>
      <c r="AH102" s="89" t="s">
        <v>2859</v>
      </c>
      <c r="AI102" s="89" t="s">
        <v>2859</v>
      </c>
      <c r="AJ102" s="89" t="s">
        <v>2859</v>
      </c>
      <c r="AK102" s="89" t="s">
        <v>2859</v>
      </c>
      <c r="AL102" s="89" t="s">
        <v>2859</v>
      </c>
      <c r="AM102" s="89" t="s">
        <v>2859</v>
      </c>
      <c r="AN102" s="89" t="s">
        <v>2859</v>
      </c>
      <c r="AO102" s="89" t="s">
        <v>2859</v>
      </c>
      <c r="AP102" s="89" t="s">
        <v>2859</v>
      </c>
      <c r="AQ102" s="89" t="s">
        <v>2859</v>
      </c>
      <c r="AR102" s="89" t="s">
        <v>2859</v>
      </c>
      <c r="AS102" s="89" t="s">
        <v>2859</v>
      </c>
      <c r="AT102" s="89" t="s">
        <v>2859</v>
      </c>
      <c r="AU102" s="89" t="s">
        <v>2859</v>
      </c>
      <c r="AV102" s="89" t="s">
        <v>2859</v>
      </c>
      <c r="AW102" s="89" t="s">
        <v>2859</v>
      </c>
      <c r="AX102" s="89" t="s">
        <v>2859</v>
      </c>
      <c r="AY102" s="89" t="s">
        <v>2859</v>
      </c>
      <c r="AZ102" s="89" t="s">
        <v>2859</v>
      </c>
      <c r="BA102" s="89" t="s">
        <v>2859</v>
      </c>
      <c r="BB102" s="89" t="s">
        <v>2859</v>
      </c>
      <c r="BC102" s="89" t="s">
        <v>2859</v>
      </c>
      <c r="BD102" s="89" t="s">
        <v>2859</v>
      </c>
      <c r="BE102" s="89" t="s">
        <v>2859</v>
      </c>
      <c r="BF102" s="89" t="s">
        <v>2859</v>
      </c>
      <c r="BG102" s="89" t="s">
        <v>2859</v>
      </c>
      <c r="BH102" s="89" t="s">
        <v>2859</v>
      </c>
      <c r="BI102" s="89" t="s">
        <v>2859</v>
      </c>
      <c r="BJ102" s="89" t="s">
        <v>2859</v>
      </c>
      <c r="BK102" s="89" t="s">
        <v>2859</v>
      </c>
      <c r="BL102" s="89" t="s">
        <v>2859</v>
      </c>
      <c r="BM102" s="89" t="s">
        <v>2859</v>
      </c>
      <c r="BN102" s="89" t="s">
        <v>2859</v>
      </c>
      <c r="BO102" s="89" t="s">
        <v>2859</v>
      </c>
      <c r="BP102" s="89" t="s">
        <v>2859</v>
      </c>
      <c r="BQ102" s="89" t="s">
        <v>3776</v>
      </c>
      <c r="BR102" s="89" t="s">
        <v>2869</v>
      </c>
    </row>
    <row r="103" spans="1:70">
      <c r="A103" s="89" t="s">
        <v>2169</v>
      </c>
      <c r="B103" s="89" t="s">
        <v>2513</v>
      </c>
      <c r="C103" s="89" t="s">
        <v>2404</v>
      </c>
      <c r="D103" s="89" t="s">
        <v>2859</v>
      </c>
      <c r="E103" s="89" t="s">
        <v>2859</v>
      </c>
      <c r="F103" s="89" t="s">
        <v>2859</v>
      </c>
      <c r="G103" s="89" t="s">
        <v>2860</v>
      </c>
      <c r="H103" s="89" t="s">
        <v>2859</v>
      </c>
      <c r="I103" s="89" t="s">
        <v>120</v>
      </c>
      <c r="J103" s="89" t="s">
        <v>2514</v>
      </c>
      <c r="K103" s="89" t="s">
        <v>2860</v>
      </c>
      <c r="L103" s="89" t="s">
        <v>2859</v>
      </c>
      <c r="M103" s="89" t="s">
        <v>2859</v>
      </c>
      <c r="N103" s="89" t="s">
        <v>2859</v>
      </c>
      <c r="O103" s="89" t="s">
        <v>2859</v>
      </c>
      <c r="P103" s="89" t="s">
        <v>2859</v>
      </c>
      <c r="Q103" s="89" t="s">
        <v>2859</v>
      </c>
      <c r="R103" s="89" t="s">
        <v>2859</v>
      </c>
      <c r="S103" s="89" t="s">
        <v>2859</v>
      </c>
      <c r="T103" s="89" t="s">
        <v>2859</v>
      </c>
      <c r="U103" s="89" t="s">
        <v>2859</v>
      </c>
      <c r="V103" s="89" t="s">
        <v>2859</v>
      </c>
      <c r="W103" s="89" t="s">
        <v>2859</v>
      </c>
      <c r="X103" s="89" t="s">
        <v>2859</v>
      </c>
      <c r="Y103" s="89" t="s">
        <v>2859</v>
      </c>
      <c r="Z103" s="89" t="s">
        <v>2859</v>
      </c>
      <c r="AA103" s="89" t="s">
        <v>2859</v>
      </c>
      <c r="AB103" s="89" t="s">
        <v>2859</v>
      </c>
      <c r="AC103" s="89" t="s">
        <v>2859</v>
      </c>
      <c r="AD103" s="89" t="s">
        <v>2859</v>
      </c>
      <c r="AE103" s="89" t="s">
        <v>2859</v>
      </c>
      <c r="AF103" s="89" t="s">
        <v>2859</v>
      </c>
      <c r="AG103" s="89" t="s">
        <v>2859</v>
      </c>
      <c r="AH103" s="89" t="s">
        <v>2859</v>
      </c>
      <c r="AI103" s="89" t="s">
        <v>2859</v>
      </c>
      <c r="AJ103" s="89" t="s">
        <v>2859</v>
      </c>
      <c r="AK103" s="89" t="s">
        <v>2859</v>
      </c>
      <c r="AL103" s="89" t="s">
        <v>2859</v>
      </c>
      <c r="AM103" s="89" t="s">
        <v>2859</v>
      </c>
      <c r="AN103" s="89" t="s">
        <v>2859</v>
      </c>
      <c r="AO103" s="89" t="s">
        <v>2859</v>
      </c>
      <c r="AP103" s="89" t="s">
        <v>2859</v>
      </c>
      <c r="AQ103" s="89" t="s">
        <v>2859</v>
      </c>
      <c r="AR103" s="89" t="s">
        <v>2859</v>
      </c>
      <c r="AS103" s="89" t="s">
        <v>2859</v>
      </c>
      <c r="AT103" s="89" t="s">
        <v>2859</v>
      </c>
      <c r="AU103" s="89" t="s">
        <v>2859</v>
      </c>
      <c r="AV103" s="89" t="s">
        <v>2859</v>
      </c>
      <c r="AW103" s="89" t="s">
        <v>2859</v>
      </c>
      <c r="AX103" s="89" t="s">
        <v>2859</v>
      </c>
      <c r="AY103" s="89" t="s">
        <v>2859</v>
      </c>
      <c r="AZ103" s="89" t="s">
        <v>2859</v>
      </c>
      <c r="BA103" s="89" t="s">
        <v>2859</v>
      </c>
      <c r="BB103" s="89" t="s">
        <v>2859</v>
      </c>
      <c r="BC103" s="89" t="s">
        <v>2859</v>
      </c>
      <c r="BD103" s="89" t="s">
        <v>2859</v>
      </c>
      <c r="BE103" s="89" t="s">
        <v>2859</v>
      </c>
      <c r="BF103" s="89" t="s">
        <v>2859</v>
      </c>
      <c r="BG103" s="89" t="s">
        <v>2859</v>
      </c>
      <c r="BH103" s="89" t="s">
        <v>2859</v>
      </c>
      <c r="BI103" s="89" t="s">
        <v>2859</v>
      </c>
      <c r="BJ103" s="89" t="s">
        <v>2859</v>
      </c>
      <c r="BK103" s="89" t="s">
        <v>2859</v>
      </c>
      <c r="BL103" s="89" t="s">
        <v>2859</v>
      </c>
      <c r="BM103" s="89" t="s">
        <v>2859</v>
      </c>
      <c r="BN103" s="89" t="s">
        <v>2859</v>
      </c>
      <c r="BO103" s="89" t="s">
        <v>2859</v>
      </c>
      <c r="BP103" s="89" t="s">
        <v>2859</v>
      </c>
      <c r="BQ103" s="89" t="s">
        <v>3777</v>
      </c>
      <c r="BR103" s="89" t="s">
        <v>2859</v>
      </c>
    </row>
    <row r="104" spans="1:70">
      <c r="A104" s="89" t="s">
        <v>2169</v>
      </c>
      <c r="B104" s="89" t="s">
        <v>3778</v>
      </c>
      <c r="C104" s="89" t="s">
        <v>2356</v>
      </c>
      <c r="D104" s="89" t="s">
        <v>2859</v>
      </c>
      <c r="E104" s="89" t="s">
        <v>2859</v>
      </c>
      <c r="F104" s="89" t="s">
        <v>2859</v>
      </c>
      <c r="G104" s="89" t="s">
        <v>2860</v>
      </c>
      <c r="H104" s="89" t="s">
        <v>2859</v>
      </c>
      <c r="I104" s="89" t="s">
        <v>2979</v>
      </c>
      <c r="J104" s="89" t="s">
        <v>2859</v>
      </c>
      <c r="K104" s="89" t="s">
        <v>2859</v>
      </c>
      <c r="L104" s="89" t="s">
        <v>2859</v>
      </c>
      <c r="M104" s="89" t="s">
        <v>2859</v>
      </c>
      <c r="N104" s="89" t="s">
        <v>2859</v>
      </c>
      <c r="O104" s="89" t="s">
        <v>2859</v>
      </c>
      <c r="P104" s="89" t="s">
        <v>2859</v>
      </c>
      <c r="Q104" s="89" t="s">
        <v>2859</v>
      </c>
      <c r="R104" s="89" t="s">
        <v>2859</v>
      </c>
      <c r="S104" s="89" t="s">
        <v>2859</v>
      </c>
      <c r="T104" s="89" t="s">
        <v>2859</v>
      </c>
      <c r="U104" s="89" t="s">
        <v>2859</v>
      </c>
      <c r="V104" s="89" t="s">
        <v>2859</v>
      </c>
      <c r="W104" s="89" t="s">
        <v>2859</v>
      </c>
      <c r="X104" s="89" t="s">
        <v>2859</v>
      </c>
      <c r="Y104" s="89" t="s">
        <v>2859</v>
      </c>
      <c r="Z104" s="89" t="s">
        <v>2859</v>
      </c>
      <c r="AA104" s="89" t="s">
        <v>2859</v>
      </c>
      <c r="AB104" s="89" t="s">
        <v>2859</v>
      </c>
      <c r="AC104" s="89" t="s">
        <v>2859</v>
      </c>
      <c r="AD104" s="89" t="s">
        <v>2859</v>
      </c>
      <c r="AE104" s="89" t="s">
        <v>2859</v>
      </c>
      <c r="AF104" s="89" t="s">
        <v>2859</v>
      </c>
      <c r="AG104" s="89" t="s">
        <v>2859</v>
      </c>
      <c r="AH104" s="89" t="s">
        <v>2859</v>
      </c>
      <c r="AI104" s="89" t="s">
        <v>2859</v>
      </c>
      <c r="AJ104" s="89" t="s">
        <v>2859</v>
      </c>
      <c r="AK104" s="89" t="s">
        <v>2859</v>
      </c>
      <c r="AL104" s="89" t="s">
        <v>2859</v>
      </c>
      <c r="AM104" s="89" t="s">
        <v>2859</v>
      </c>
      <c r="AN104" s="89" t="s">
        <v>2859</v>
      </c>
      <c r="AO104" s="89" t="s">
        <v>2859</v>
      </c>
      <c r="AP104" s="89" t="s">
        <v>2859</v>
      </c>
      <c r="AQ104" s="89" t="s">
        <v>2859</v>
      </c>
      <c r="AR104" s="89" t="s">
        <v>2859</v>
      </c>
      <c r="AS104" s="89" t="s">
        <v>2859</v>
      </c>
      <c r="AT104" s="89" t="s">
        <v>2859</v>
      </c>
      <c r="AU104" s="89" t="s">
        <v>2859</v>
      </c>
      <c r="AV104" s="89" t="s">
        <v>2859</v>
      </c>
      <c r="AW104" s="89" t="s">
        <v>2859</v>
      </c>
      <c r="AX104" s="89" t="s">
        <v>2859</v>
      </c>
      <c r="AY104" s="89" t="s">
        <v>2859</v>
      </c>
      <c r="AZ104" s="89" t="s">
        <v>2859</v>
      </c>
      <c r="BA104" s="89" t="s">
        <v>2859</v>
      </c>
      <c r="BB104" s="89" t="s">
        <v>2859</v>
      </c>
      <c r="BC104" s="89" t="s">
        <v>2859</v>
      </c>
      <c r="BD104" s="89" t="s">
        <v>2859</v>
      </c>
      <c r="BE104" s="89" t="s">
        <v>2859</v>
      </c>
      <c r="BF104" s="89" t="s">
        <v>2859</v>
      </c>
      <c r="BG104" s="89" t="s">
        <v>2859</v>
      </c>
      <c r="BH104" s="89" t="s">
        <v>2859</v>
      </c>
      <c r="BI104" s="89" t="s">
        <v>2859</v>
      </c>
      <c r="BJ104" s="89" t="s">
        <v>2859</v>
      </c>
      <c r="BK104" s="89" t="s">
        <v>2859</v>
      </c>
      <c r="BL104" s="89" t="s">
        <v>2859</v>
      </c>
      <c r="BM104" s="89" t="s">
        <v>2859</v>
      </c>
      <c r="BN104" s="89" t="s">
        <v>2859</v>
      </c>
      <c r="BO104" s="89" t="s">
        <v>2859</v>
      </c>
      <c r="BP104" s="89" t="s">
        <v>2859</v>
      </c>
      <c r="BQ104" s="89" t="s">
        <v>3779</v>
      </c>
      <c r="BR104" s="89" t="s">
        <v>2859</v>
      </c>
    </row>
    <row r="105" spans="1:70">
      <c r="A105" s="89" t="s">
        <v>2169</v>
      </c>
      <c r="B105" s="89" t="s">
        <v>2515</v>
      </c>
      <c r="C105" s="89" t="s">
        <v>2516</v>
      </c>
      <c r="D105" s="89" t="s">
        <v>2859</v>
      </c>
      <c r="E105" s="89" t="s">
        <v>2859</v>
      </c>
      <c r="F105" s="89" t="s">
        <v>2859</v>
      </c>
      <c r="G105" s="89" t="s">
        <v>2860</v>
      </c>
      <c r="H105" s="89" t="s">
        <v>2859</v>
      </c>
      <c r="I105" s="89" t="s">
        <v>120</v>
      </c>
      <c r="J105" s="89" t="s">
        <v>2517</v>
      </c>
      <c r="K105" s="89" t="s">
        <v>2859</v>
      </c>
      <c r="L105" s="89" t="s">
        <v>2859</v>
      </c>
      <c r="M105" s="89" t="s">
        <v>2859</v>
      </c>
      <c r="N105" s="89" t="s">
        <v>2859</v>
      </c>
      <c r="O105" s="89" t="s">
        <v>2859</v>
      </c>
      <c r="P105" s="89" t="s">
        <v>2859</v>
      </c>
      <c r="Q105" s="89" t="s">
        <v>2859</v>
      </c>
      <c r="R105" s="89" t="s">
        <v>2859</v>
      </c>
      <c r="S105" s="89" t="s">
        <v>2859</v>
      </c>
      <c r="T105" s="89" t="s">
        <v>2859</v>
      </c>
      <c r="U105" s="89" t="s">
        <v>2859</v>
      </c>
      <c r="V105" s="89" t="s">
        <v>2859</v>
      </c>
      <c r="W105" s="89" t="s">
        <v>2859</v>
      </c>
      <c r="X105" s="89" t="s">
        <v>2859</v>
      </c>
      <c r="Y105" s="89" t="s">
        <v>2859</v>
      </c>
      <c r="Z105" s="89" t="s">
        <v>2859</v>
      </c>
      <c r="AA105" s="89" t="s">
        <v>2859</v>
      </c>
      <c r="AB105" s="89" t="s">
        <v>2859</v>
      </c>
      <c r="AC105" s="89" t="s">
        <v>2859</v>
      </c>
      <c r="AD105" s="89" t="s">
        <v>2859</v>
      </c>
      <c r="AE105" s="89" t="s">
        <v>2859</v>
      </c>
      <c r="AF105" s="89" t="s">
        <v>2859</v>
      </c>
      <c r="AG105" s="89" t="s">
        <v>2859</v>
      </c>
      <c r="AH105" s="89" t="s">
        <v>2859</v>
      </c>
      <c r="AI105" s="89" t="s">
        <v>2859</v>
      </c>
      <c r="AJ105" s="89" t="s">
        <v>2859</v>
      </c>
      <c r="AK105" s="89" t="s">
        <v>2859</v>
      </c>
      <c r="AL105" s="89" t="s">
        <v>2859</v>
      </c>
      <c r="AM105" s="89" t="s">
        <v>2859</v>
      </c>
      <c r="AN105" s="89" t="s">
        <v>2859</v>
      </c>
      <c r="AO105" s="89" t="s">
        <v>2859</v>
      </c>
      <c r="AP105" s="89" t="s">
        <v>2859</v>
      </c>
      <c r="AQ105" s="89" t="s">
        <v>2859</v>
      </c>
      <c r="AR105" s="89" t="s">
        <v>2859</v>
      </c>
      <c r="AS105" s="89" t="s">
        <v>2859</v>
      </c>
      <c r="AT105" s="89" t="s">
        <v>2859</v>
      </c>
      <c r="AU105" s="89" t="s">
        <v>2859</v>
      </c>
      <c r="AV105" s="89" t="s">
        <v>2859</v>
      </c>
      <c r="AW105" s="89" t="s">
        <v>2859</v>
      </c>
      <c r="AX105" s="89" t="s">
        <v>2859</v>
      </c>
      <c r="AY105" s="89" t="s">
        <v>2859</v>
      </c>
      <c r="AZ105" s="89" t="s">
        <v>2859</v>
      </c>
      <c r="BA105" s="89" t="s">
        <v>2859</v>
      </c>
      <c r="BB105" s="89" t="s">
        <v>2859</v>
      </c>
      <c r="BC105" s="89" t="s">
        <v>2859</v>
      </c>
      <c r="BD105" s="89" t="s">
        <v>2859</v>
      </c>
      <c r="BE105" s="89" t="s">
        <v>2859</v>
      </c>
      <c r="BF105" s="89" t="s">
        <v>2859</v>
      </c>
      <c r="BG105" s="89" t="s">
        <v>2859</v>
      </c>
      <c r="BH105" s="89" t="s">
        <v>2859</v>
      </c>
      <c r="BI105" s="89" t="s">
        <v>2859</v>
      </c>
      <c r="BJ105" s="89" t="s">
        <v>2859</v>
      </c>
      <c r="BK105" s="89" t="s">
        <v>2859</v>
      </c>
      <c r="BL105" s="89" t="s">
        <v>2859</v>
      </c>
      <c r="BM105" s="89" t="s">
        <v>2859</v>
      </c>
      <c r="BN105" s="89" t="s">
        <v>2859</v>
      </c>
      <c r="BO105" s="89" t="s">
        <v>2859</v>
      </c>
      <c r="BP105" s="89" t="s">
        <v>2859</v>
      </c>
      <c r="BQ105" s="89" t="s">
        <v>3780</v>
      </c>
      <c r="BR105" s="89" t="s">
        <v>2859</v>
      </c>
    </row>
    <row r="106" spans="1:70">
      <c r="A106" s="89" t="s">
        <v>2169</v>
      </c>
      <c r="B106" s="89" t="s">
        <v>3781</v>
      </c>
      <c r="C106" s="89" t="s">
        <v>2363</v>
      </c>
      <c r="D106" s="89" t="s">
        <v>2859</v>
      </c>
      <c r="E106" s="89" t="s">
        <v>2859</v>
      </c>
      <c r="F106" s="89" t="s">
        <v>2859</v>
      </c>
      <c r="G106" s="89" t="s">
        <v>2860</v>
      </c>
      <c r="H106" s="89" t="s">
        <v>2859</v>
      </c>
      <c r="I106" s="89" t="s">
        <v>2865</v>
      </c>
      <c r="J106" s="89" t="s">
        <v>2859</v>
      </c>
      <c r="K106" s="89" t="s">
        <v>2859</v>
      </c>
      <c r="L106" s="89" t="s">
        <v>2859</v>
      </c>
      <c r="M106" s="89" t="s">
        <v>2859</v>
      </c>
      <c r="N106" s="89" t="s">
        <v>2859</v>
      </c>
      <c r="O106" s="89" t="s">
        <v>2859</v>
      </c>
      <c r="P106" s="89" t="s">
        <v>2859</v>
      </c>
      <c r="Q106" s="89" t="s">
        <v>2859</v>
      </c>
      <c r="R106" s="89" t="s">
        <v>2859</v>
      </c>
      <c r="S106" s="89" t="s">
        <v>2859</v>
      </c>
      <c r="T106" s="89" t="s">
        <v>2859</v>
      </c>
      <c r="U106" s="89" t="s">
        <v>2859</v>
      </c>
      <c r="V106" s="89" t="s">
        <v>2859</v>
      </c>
      <c r="W106" s="89" t="s">
        <v>2859</v>
      </c>
      <c r="X106" s="89" t="s">
        <v>2859</v>
      </c>
      <c r="Y106" s="89" t="s">
        <v>2859</v>
      </c>
      <c r="Z106" s="89" t="s">
        <v>2859</v>
      </c>
      <c r="AA106" s="89" t="s">
        <v>2859</v>
      </c>
      <c r="AB106" s="89" t="s">
        <v>2859</v>
      </c>
      <c r="AC106" s="89" t="s">
        <v>2859</v>
      </c>
      <c r="AD106" s="89" t="s">
        <v>2859</v>
      </c>
      <c r="AE106" s="89" t="s">
        <v>2859</v>
      </c>
      <c r="AF106" s="89" t="s">
        <v>2859</v>
      </c>
      <c r="AG106" s="89" t="s">
        <v>2859</v>
      </c>
      <c r="AH106" s="89" t="s">
        <v>2859</v>
      </c>
      <c r="AI106" s="89" t="s">
        <v>2859</v>
      </c>
      <c r="AJ106" s="89" t="s">
        <v>2859</v>
      </c>
      <c r="AK106" s="89" t="s">
        <v>2859</v>
      </c>
      <c r="AL106" s="89" t="s">
        <v>2859</v>
      </c>
      <c r="AM106" s="89" t="s">
        <v>2859</v>
      </c>
      <c r="AN106" s="89" t="s">
        <v>2859</v>
      </c>
      <c r="AO106" s="89" t="s">
        <v>2859</v>
      </c>
      <c r="AP106" s="89" t="s">
        <v>2859</v>
      </c>
      <c r="AQ106" s="89" t="s">
        <v>2859</v>
      </c>
      <c r="AR106" s="89" t="s">
        <v>2859</v>
      </c>
      <c r="AS106" s="89" t="s">
        <v>2859</v>
      </c>
      <c r="AT106" s="89" t="s">
        <v>2859</v>
      </c>
      <c r="AU106" s="89" t="s">
        <v>2859</v>
      </c>
      <c r="AV106" s="89" t="s">
        <v>2859</v>
      </c>
      <c r="AW106" s="89" t="s">
        <v>2859</v>
      </c>
      <c r="AX106" s="89" t="s">
        <v>2859</v>
      </c>
      <c r="AY106" s="89" t="s">
        <v>2859</v>
      </c>
      <c r="AZ106" s="89" t="s">
        <v>2859</v>
      </c>
      <c r="BA106" s="89" t="s">
        <v>2859</v>
      </c>
      <c r="BB106" s="89" t="s">
        <v>2859</v>
      </c>
      <c r="BC106" s="89" t="s">
        <v>2859</v>
      </c>
      <c r="BD106" s="89" t="s">
        <v>2859</v>
      </c>
      <c r="BE106" s="89" t="s">
        <v>2859</v>
      </c>
      <c r="BF106" s="89" t="s">
        <v>2859</v>
      </c>
      <c r="BG106" s="89" t="s">
        <v>2859</v>
      </c>
      <c r="BH106" s="89" t="s">
        <v>2859</v>
      </c>
      <c r="BI106" s="89" t="s">
        <v>2859</v>
      </c>
      <c r="BJ106" s="89" t="s">
        <v>2859</v>
      </c>
      <c r="BK106" s="89" t="s">
        <v>2859</v>
      </c>
      <c r="BL106" s="89" t="s">
        <v>2859</v>
      </c>
      <c r="BM106" s="89" t="s">
        <v>2859</v>
      </c>
      <c r="BN106" s="89" t="s">
        <v>2859</v>
      </c>
      <c r="BO106" s="89" t="s">
        <v>2859</v>
      </c>
      <c r="BP106" s="89" t="s">
        <v>2859</v>
      </c>
      <c r="BQ106" s="89" t="s">
        <v>3782</v>
      </c>
      <c r="BR106" s="89" t="s">
        <v>2859</v>
      </c>
    </row>
    <row r="107" spans="1:70">
      <c r="A107" s="89" t="s">
        <v>2169</v>
      </c>
      <c r="B107" s="89" t="s">
        <v>2358</v>
      </c>
      <c r="C107" s="89" t="s">
        <v>2859</v>
      </c>
      <c r="D107" s="89" t="s">
        <v>2859</v>
      </c>
      <c r="E107" s="89" t="s">
        <v>2859</v>
      </c>
      <c r="F107" s="89" t="s">
        <v>2859</v>
      </c>
      <c r="G107" s="89" t="s">
        <v>2860</v>
      </c>
      <c r="H107" s="89" t="s">
        <v>2859</v>
      </c>
      <c r="I107" s="89" t="s">
        <v>2329</v>
      </c>
      <c r="J107" s="89" t="s">
        <v>2859</v>
      </c>
      <c r="K107" s="89" t="s">
        <v>2859</v>
      </c>
      <c r="L107" s="89" t="s">
        <v>2859</v>
      </c>
      <c r="M107" s="89" t="s">
        <v>2859</v>
      </c>
      <c r="N107" s="89" t="s">
        <v>2859</v>
      </c>
      <c r="O107" s="89" t="s">
        <v>2859</v>
      </c>
      <c r="P107" s="89" t="s">
        <v>2859</v>
      </c>
      <c r="Q107" s="89" t="s">
        <v>2859</v>
      </c>
      <c r="R107" s="89" t="s">
        <v>2859</v>
      </c>
      <c r="S107" s="89" t="s">
        <v>2859</v>
      </c>
      <c r="T107" s="89" t="s">
        <v>2859</v>
      </c>
      <c r="U107" s="89" t="s">
        <v>2859</v>
      </c>
      <c r="V107" s="89" t="s">
        <v>2859</v>
      </c>
      <c r="W107" s="89" t="s">
        <v>2859</v>
      </c>
      <c r="X107" s="89" t="s">
        <v>2859</v>
      </c>
      <c r="Y107" s="89" t="s">
        <v>2859</v>
      </c>
      <c r="Z107" s="89" t="s">
        <v>2859</v>
      </c>
      <c r="AA107" s="89" t="s">
        <v>2859</v>
      </c>
      <c r="AB107" s="89" t="s">
        <v>2859</v>
      </c>
      <c r="AC107" s="89" t="s">
        <v>2859</v>
      </c>
      <c r="AD107" s="89" t="s">
        <v>2859</v>
      </c>
      <c r="AE107" s="89" t="s">
        <v>2859</v>
      </c>
      <c r="AF107" s="89" t="s">
        <v>2859</v>
      </c>
      <c r="AG107" s="89" t="s">
        <v>2859</v>
      </c>
      <c r="AH107" s="89" t="s">
        <v>2859</v>
      </c>
      <c r="AI107" s="89" t="s">
        <v>2859</v>
      </c>
      <c r="AJ107" s="89" t="s">
        <v>2859</v>
      </c>
      <c r="AK107" s="89" t="s">
        <v>2859</v>
      </c>
      <c r="AL107" s="89" t="s">
        <v>2859</v>
      </c>
      <c r="AM107" s="89" t="s">
        <v>2859</v>
      </c>
      <c r="AN107" s="89" t="s">
        <v>2859</v>
      </c>
      <c r="AO107" s="89" t="s">
        <v>2859</v>
      </c>
      <c r="AP107" s="89" t="s">
        <v>2859</v>
      </c>
      <c r="AQ107" s="89" t="s">
        <v>2859</v>
      </c>
      <c r="AR107" s="89" t="s">
        <v>2859</v>
      </c>
      <c r="AS107" s="89" t="s">
        <v>2859</v>
      </c>
      <c r="AT107" s="89" t="s">
        <v>2859</v>
      </c>
      <c r="AU107" s="89" t="s">
        <v>2859</v>
      </c>
      <c r="AV107" s="89" t="s">
        <v>2859</v>
      </c>
      <c r="AW107" s="89" t="s">
        <v>2859</v>
      </c>
      <c r="AX107" s="89" t="s">
        <v>2859</v>
      </c>
      <c r="AY107" s="89" t="s">
        <v>2859</v>
      </c>
      <c r="AZ107" s="89" t="s">
        <v>2859</v>
      </c>
      <c r="BA107" s="89" t="s">
        <v>2859</v>
      </c>
      <c r="BB107" s="89" t="s">
        <v>2859</v>
      </c>
      <c r="BC107" s="89" t="s">
        <v>2859</v>
      </c>
      <c r="BD107" s="89" t="s">
        <v>2859</v>
      </c>
      <c r="BE107" s="89" t="s">
        <v>2859</v>
      </c>
      <c r="BF107" s="89" t="s">
        <v>2859</v>
      </c>
      <c r="BG107" s="89" t="s">
        <v>2859</v>
      </c>
      <c r="BH107" s="89" t="s">
        <v>2859</v>
      </c>
      <c r="BI107" s="89" t="s">
        <v>2859</v>
      </c>
      <c r="BJ107" s="89" t="s">
        <v>2859</v>
      </c>
      <c r="BK107" s="89" t="s">
        <v>2859</v>
      </c>
      <c r="BL107" s="89" t="s">
        <v>2859</v>
      </c>
      <c r="BM107" s="89" t="s">
        <v>2859</v>
      </c>
      <c r="BN107" s="89" t="s">
        <v>2859</v>
      </c>
      <c r="BO107" s="89" t="s">
        <v>2859</v>
      </c>
      <c r="BP107" s="89" t="s">
        <v>2859</v>
      </c>
      <c r="BQ107" s="89" t="s">
        <v>3783</v>
      </c>
      <c r="BR107" s="89" t="s">
        <v>2859</v>
      </c>
    </row>
    <row r="108" spans="1:70">
      <c r="A108" s="89" t="s">
        <v>2169</v>
      </c>
      <c r="B108" s="89" t="s">
        <v>3784</v>
      </c>
      <c r="C108" s="89" t="s">
        <v>2363</v>
      </c>
      <c r="D108" s="89" t="s">
        <v>2859</v>
      </c>
      <c r="E108" s="89" t="s">
        <v>2859</v>
      </c>
      <c r="F108" s="89" t="s">
        <v>2859</v>
      </c>
      <c r="G108" s="89" t="s">
        <v>2860</v>
      </c>
      <c r="H108" s="89" t="s">
        <v>2859</v>
      </c>
      <c r="I108" s="89" t="s">
        <v>1463</v>
      </c>
      <c r="J108" s="89" t="s">
        <v>2859</v>
      </c>
      <c r="K108" s="89" t="s">
        <v>2859</v>
      </c>
      <c r="L108" s="89" t="s">
        <v>2859</v>
      </c>
      <c r="M108" s="89" t="s">
        <v>2859</v>
      </c>
      <c r="N108" s="89" t="s">
        <v>2859</v>
      </c>
      <c r="O108" s="89" t="s">
        <v>2859</v>
      </c>
      <c r="P108" s="89" t="s">
        <v>2859</v>
      </c>
      <c r="Q108" s="89" t="s">
        <v>2859</v>
      </c>
      <c r="R108" s="89" t="s">
        <v>2859</v>
      </c>
      <c r="S108" s="89" t="s">
        <v>2859</v>
      </c>
      <c r="T108" s="89" t="s">
        <v>2859</v>
      </c>
      <c r="U108" s="89" t="s">
        <v>2859</v>
      </c>
      <c r="V108" s="89" t="s">
        <v>2859</v>
      </c>
      <c r="W108" s="89" t="s">
        <v>2859</v>
      </c>
      <c r="X108" s="89" t="s">
        <v>2859</v>
      </c>
      <c r="Y108" s="89" t="s">
        <v>2859</v>
      </c>
      <c r="Z108" s="89" t="s">
        <v>2859</v>
      </c>
      <c r="AA108" s="89" t="s">
        <v>2859</v>
      </c>
      <c r="AB108" s="89" t="s">
        <v>2859</v>
      </c>
      <c r="AC108" s="89" t="s">
        <v>2859</v>
      </c>
      <c r="AD108" s="89" t="s">
        <v>2859</v>
      </c>
      <c r="AE108" s="89" t="s">
        <v>2859</v>
      </c>
      <c r="AF108" s="89" t="s">
        <v>2859</v>
      </c>
      <c r="AG108" s="89" t="s">
        <v>2859</v>
      </c>
      <c r="AH108" s="89" t="s">
        <v>2859</v>
      </c>
      <c r="AI108" s="89" t="s">
        <v>2859</v>
      </c>
      <c r="AJ108" s="89" t="s">
        <v>2859</v>
      </c>
      <c r="AK108" s="89" t="s">
        <v>2859</v>
      </c>
      <c r="AL108" s="89" t="s">
        <v>2859</v>
      </c>
      <c r="AM108" s="89" t="s">
        <v>2859</v>
      </c>
      <c r="AN108" s="89" t="s">
        <v>2859</v>
      </c>
      <c r="AO108" s="89" t="s">
        <v>2859</v>
      </c>
      <c r="AP108" s="89" t="s">
        <v>2859</v>
      </c>
      <c r="AQ108" s="89" t="s">
        <v>2859</v>
      </c>
      <c r="AR108" s="89" t="s">
        <v>2859</v>
      </c>
      <c r="AS108" s="89" t="s">
        <v>2859</v>
      </c>
      <c r="AT108" s="89" t="s">
        <v>2859</v>
      </c>
      <c r="AU108" s="89" t="s">
        <v>2859</v>
      </c>
      <c r="AV108" s="89" t="s">
        <v>2859</v>
      </c>
      <c r="AW108" s="89" t="s">
        <v>2859</v>
      </c>
      <c r="AX108" s="89" t="s">
        <v>2859</v>
      </c>
      <c r="AY108" s="89" t="s">
        <v>2859</v>
      </c>
      <c r="AZ108" s="89" t="s">
        <v>2859</v>
      </c>
      <c r="BA108" s="89" t="s">
        <v>2859</v>
      </c>
      <c r="BB108" s="89" t="s">
        <v>2859</v>
      </c>
      <c r="BC108" s="89" t="s">
        <v>2859</v>
      </c>
      <c r="BD108" s="89" t="s">
        <v>2859</v>
      </c>
      <c r="BE108" s="89" t="s">
        <v>2859</v>
      </c>
      <c r="BF108" s="89" t="s">
        <v>2859</v>
      </c>
      <c r="BG108" s="89" t="s">
        <v>2859</v>
      </c>
      <c r="BH108" s="89" t="s">
        <v>2859</v>
      </c>
      <c r="BI108" s="89" t="s">
        <v>2859</v>
      </c>
      <c r="BJ108" s="89" t="s">
        <v>2859</v>
      </c>
      <c r="BK108" s="89" t="s">
        <v>2859</v>
      </c>
      <c r="BL108" s="89" t="s">
        <v>2859</v>
      </c>
      <c r="BM108" s="89" t="s">
        <v>2859</v>
      </c>
      <c r="BN108" s="89" t="s">
        <v>2859</v>
      </c>
      <c r="BO108" s="89" t="s">
        <v>2859</v>
      </c>
      <c r="BP108" s="89" t="s">
        <v>2859</v>
      </c>
      <c r="BQ108" s="89" t="s">
        <v>3785</v>
      </c>
      <c r="BR108" s="89" t="s">
        <v>2859</v>
      </c>
    </row>
    <row r="109" spans="1:70">
      <c r="A109" s="89" t="s">
        <v>2169</v>
      </c>
      <c r="B109" s="89" t="s">
        <v>3786</v>
      </c>
      <c r="C109" s="89" t="s">
        <v>2363</v>
      </c>
      <c r="D109" s="89" t="s">
        <v>2859</v>
      </c>
      <c r="E109" s="89" t="s">
        <v>2859</v>
      </c>
      <c r="F109" s="89" t="s">
        <v>2859</v>
      </c>
      <c r="G109" s="89" t="s">
        <v>2860</v>
      </c>
      <c r="H109" s="89" t="s">
        <v>3787</v>
      </c>
      <c r="I109" s="89" t="s">
        <v>2859</v>
      </c>
      <c r="J109" s="89" t="s">
        <v>2859</v>
      </c>
      <c r="K109" s="89" t="s">
        <v>2859</v>
      </c>
      <c r="L109" s="89" t="s">
        <v>2859</v>
      </c>
      <c r="M109" s="89" t="s">
        <v>2859</v>
      </c>
      <c r="N109" s="89" t="s">
        <v>2859</v>
      </c>
      <c r="O109" s="89" t="s">
        <v>2859</v>
      </c>
      <c r="P109" s="89" t="s">
        <v>2859</v>
      </c>
      <c r="Q109" s="89" t="s">
        <v>2859</v>
      </c>
      <c r="R109" s="89" t="s">
        <v>2859</v>
      </c>
      <c r="S109" s="89" t="s">
        <v>2859</v>
      </c>
      <c r="T109" s="89" t="s">
        <v>2859</v>
      </c>
      <c r="U109" s="89" t="s">
        <v>2859</v>
      </c>
      <c r="V109" s="89" t="s">
        <v>2859</v>
      </c>
      <c r="W109" s="89" t="s">
        <v>2859</v>
      </c>
      <c r="X109" s="89" t="s">
        <v>2859</v>
      </c>
      <c r="Y109" s="89" t="s">
        <v>2859</v>
      </c>
      <c r="Z109" s="89" t="s">
        <v>2859</v>
      </c>
      <c r="AA109" s="89" t="s">
        <v>2859</v>
      </c>
      <c r="AB109" s="89" t="s">
        <v>2859</v>
      </c>
      <c r="AC109" s="89" t="s">
        <v>2859</v>
      </c>
      <c r="AD109" s="89" t="s">
        <v>2859</v>
      </c>
      <c r="AE109" s="89" t="s">
        <v>2859</v>
      </c>
      <c r="AF109" s="89" t="s">
        <v>2859</v>
      </c>
      <c r="AG109" s="89" t="s">
        <v>2859</v>
      </c>
      <c r="AH109" s="89" t="s">
        <v>2859</v>
      </c>
      <c r="AI109" s="89" t="s">
        <v>2859</v>
      </c>
      <c r="AJ109" s="89" t="s">
        <v>2859</v>
      </c>
      <c r="AK109" s="89" t="s">
        <v>2859</v>
      </c>
      <c r="AL109" s="89" t="s">
        <v>2859</v>
      </c>
      <c r="AM109" s="89" t="s">
        <v>2859</v>
      </c>
      <c r="AN109" s="89" t="s">
        <v>2859</v>
      </c>
      <c r="AO109" s="89" t="s">
        <v>2859</v>
      </c>
      <c r="AP109" s="89" t="s">
        <v>2859</v>
      </c>
      <c r="AQ109" s="89" t="s">
        <v>2859</v>
      </c>
      <c r="AR109" s="89" t="s">
        <v>2859</v>
      </c>
      <c r="AS109" s="89" t="s">
        <v>2859</v>
      </c>
      <c r="AT109" s="89" t="s">
        <v>2859</v>
      </c>
      <c r="AU109" s="89" t="s">
        <v>2859</v>
      </c>
      <c r="AV109" s="89" t="s">
        <v>2859</v>
      </c>
      <c r="AW109" s="89" t="s">
        <v>2859</v>
      </c>
      <c r="AX109" s="89" t="s">
        <v>2859</v>
      </c>
      <c r="AY109" s="89" t="s">
        <v>2859</v>
      </c>
      <c r="AZ109" s="89" t="s">
        <v>2859</v>
      </c>
      <c r="BA109" s="89" t="s">
        <v>2859</v>
      </c>
      <c r="BB109" s="89" t="s">
        <v>2859</v>
      </c>
      <c r="BC109" s="89" t="s">
        <v>2859</v>
      </c>
      <c r="BD109" s="89" t="s">
        <v>2859</v>
      </c>
      <c r="BE109" s="89" t="s">
        <v>2859</v>
      </c>
      <c r="BF109" s="89" t="s">
        <v>2859</v>
      </c>
      <c r="BG109" s="89" t="s">
        <v>2859</v>
      </c>
      <c r="BH109" s="89" t="s">
        <v>2859</v>
      </c>
      <c r="BI109" s="89" t="s">
        <v>2859</v>
      </c>
      <c r="BJ109" s="89" t="s">
        <v>2859</v>
      </c>
      <c r="BK109" s="89" t="s">
        <v>2859</v>
      </c>
      <c r="BL109" s="89" t="s">
        <v>2859</v>
      </c>
      <c r="BM109" s="89" t="s">
        <v>2859</v>
      </c>
      <c r="BN109" s="89" t="s">
        <v>2859</v>
      </c>
      <c r="BO109" s="89" t="s">
        <v>2859</v>
      </c>
      <c r="BP109" s="89" t="s">
        <v>2859</v>
      </c>
      <c r="BQ109" s="89" t="s">
        <v>3788</v>
      </c>
      <c r="BR109" s="89" t="s">
        <v>2869</v>
      </c>
    </row>
    <row r="110" spans="1:70">
      <c r="A110" s="89" t="s">
        <v>2169</v>
      </c>
      <c r="B110" s="89" t="s">
        <v>3789</v>
      </c>
      <c r="C110" s="89" t="s">
        <v>2363</v>
      </c>
      <c r="D110" s="89" t="s">
        <v>2859</v>
      </c>
      <c r="E110" s="89" t="s">
        <v>2859</v>
      </c>
      <c r="F110" s="89" t="s">
        <v>2859</v>
      </c>
      <c r="G110" s="89" t="s">
        <v>2860</v>
      </c>
      <c r="H110" s="89" t="s">
        <v>3787</v>
      </c>
      <c r="I110" s="89" t="s">
        <v>2859</v>
      </c>
      <c r="J110" s="89" t="s">
        <v>2859</v>
      </c>
      <c r="K110" s="89" t="s">
        <v>2859</v>
      </c>
      <c r="L110" s="89" t="s">
        <v>2859</v>
      </c>
      <c r="M110" s="89" t="s">
        <v>2859</v>
      </c>
      <c r="N110" s="89" t="s">
        <v>2859</v>
      </c>
      <c r="O110" s="89" t="s">
        <v>2859</v>
      </c>
      <c r="P110" s="89" t="s">
        <v>2859</v>
      </c>
      <c r="Q110" s="89" t="s">
        <v>2859</v>
      </c>
      <c r="R110" s="89" t="s">
        <v>2859</v>
      </c>
      <c r="S110" s="89" t="s">
        <v>2859</v>
      </c>
      <c r="T110" s="89" t="s">
        <v>2859</v>
      </c>
      <c r="U110" s="89" t="s">
        <v>2859</v>
      </c>
      <c r="V110" s="89" t="s">
        <v>2859</v>
      </c>
      <c r="W110" s="89" t="s">
        <v>2859</v>
      </c>
      <c r="X110" s="89" t="s">
        <v>2859</v>
      </c>
      <c r="Y110" s="89" t="s">
        <v>2859</v>
      </c>
      <c r="Z110" s="89" t="s">
        <v>2859</v>
      </c>
      <c r="AA110" s="89" t="s">
        <v>2859</v>
      </c>
      <c r="AB110" s="89" t="s">
        <v>2859</v>
      </c>
      <c r="AC110" s="89" t="s">
        <v>2859</v>
      </c>
      <c r="AD110" s="89" t="s">
        <v>2859</v>
      </c>
      <c r="AE110" s="89" t="s">
        <v>2859</v>
      </c>
      <c r="AF110" s="89" t="s">
        <v>2859</v>
      </c>
      <c r="AG110" s="89" t="s">
        <v>2859</v>
      </c>
      <c r="AH110" s="89" t="s">
        <v>2859</v>
      </c>
      <c r="AI110" s="89" t="s">
        <v>2859</v>
      </c>
      <c r="AJ110" s="89" t="s">
        <v>2859</v>
      </c>
      <c r="AK110" s="89" t="s">
        <v>2859</v>
      </c>
      <c r="AL110" s="89" t="s">
        <v>2859</v>
      </c>
      <c r="AM110" s="89" t="s">
        <v>2859</v>
      </c>
      <c r="AN110" s="89" t="s">
        <v>2859</v>
      </c>
      <c r="AO110" s="89" t="s">
        <v>2859</v>
      </c>
      <c r="AP110" s="89" t="s">
        <v>2859</v>
      </c>
      <c r="AQ110" s="89" t="s">
        <v>2859</v>
      </c>
      <c r="AR110" s="89" t="s">
        <v>2859</v>
      </c>
      <c r="AS110" s="89" t="s">
        <v>2859</v>
      </c>
      <c r="AT110" s="89" t="s">
        <v>2859</v>
      </c>
      <c r="AU110" s="89" t="s">
        <v>2859</v>
      </c>
      <c r="AV110" s="89" t="s">
        <v>2859</v>
      </c>
      <c r="AW110" s="89" t="s">
        <v>2859</v>
      </c>
      <c r="AX110" s="89" t="s">
        <v>2859</v>
      </c>
      <c r="AY110" s="89" t="s">
        <v>2859</v>
      </c>
      <c r="AZ110" s="89" t="s">
        <v>2859</v>
      </c>
      <c r="BA110" s="89" t="s">
        <v>2859</v>
      </c>
      <c r="BB110" s="89" t="s">
        <v>2859</v>
      </c>
      <c r="BC110" s="89" t="s">
        <v>2859</v>
      </c>
      <c r="BD110" s="89" t="s">
        <v>2859</v>
      </c>
      <c r="BE110" s="89" t="s">
        <v>2859</v>
      </c>
      <c r="BF110" s="89" t="s">
        <v>2859</v>
      </c>
      <c r="BG110" s="89" t="s">
        <v>2859</v>
      </c>
      <c r="BH110" s="89" t="s">
        <v>2859</v>
      </c>
      <c r="BI110" s="89" t="s">
        <v>2859</v>
      </c>
      <c r="BJ110" s="89" t="s">
        <v>2859</v>
      </c>
      <c r="BK110" s="89" t="s">
        <v>2859</v>
      </c>
      <c r="BL110" s="89" t="s">
        <v>2859</v>
      </c>
      <c r="BM110" s="89" t="s">
        <v>2859</v>
      </c>
      <c r="BN110" s="89" t="s">
        <v>2859</v>
      </c>
      <c r="BO110" s="89" t="s">
        <v>2859</v>
      </c>
      <c r="BP110" s="89" t="s">
        <v>2859</v>
      </c>
      <c r="BQ110" s="89" t="s">
        <v>3790</v>
      </c>
      <c r="BR110" s="89" t="s">
        <v>2869</v>
      </c>
    </row>
    <row r="111" spans="1:70">
      <c r="A111" s="89" t="s">
        <v>2169</v>
      </c>
      <c r="B111" s="89" t="s">
        <v>3791</v>
      </c>
      <c r="C111" s="89" t="s">
        <v>2363</v>
      </c>
      <c r="D111" s="89" t="s">
        <v>2859</v>
      </c>
      <c r="E111" s="89" t="s">
        <v>2859</v>
      </c>
      <c r="F111" s="89" t="s">
        <v>2859</v>
      </c>
      <c r="G111" s="89" t="s">
        <v>2860</v>
      </c>
      <c r="H111" s="89" t="s">
        <v>3792</v>
      </c>
      <c r="I111" s="89" t="s">
        <v>3331</v>
      </c>
      <c r="J111" s="89" t="s">
        <v>3793</v>
      </c>
      <c r="K111" s="89" t="s">
        <v>2867</v>
      </c>
      <c r="L111" s="89" t="s">
        <v>2859</v>
      </c>
      <c r="M111" s="89" t="s">
        <v>2859</v>
      </c>
      <c r="N111" s="89" t="s">
        <v>2859</v>
      </c>
      <c r="O111" s="89" t="s">
        <v>2859</v>
      </c>
      <c r="P111" s="89" t="s">
        <v>2859</v>
      </c>
      <c r="Q111" s="89" t="s">
        <v>2859</v>
      </c>
      <c r="R111" s="89" t="s">
        <v>2859</v>
      </c>
      <c r="S111" s="89" t="s">
        <v>2859</v>
      </c>
      <c r="T111" s="89" t="s">
        <v>2859</v>
      </c>
      <c r="U111" s="89" t="s">
        <v>2859</v>
      </c>
      <c r="V111" s="89" t="s">
        <v>2859</v>
      </c>
      <c r="W111" s="89" t="s">
        <v>2859</v>
      </c>
      <c r="X111" s="89" t="s">
        <v>2859</v>
      </c>
      <c r="Y111" s="89" t="s">
        <v>2859</v>
      </c>
      <c r="Z111" s="89" t="s">
        <v>2859</v>
      </c>
      <c r="AA111" s="89" t="s">
        <v>2859</v>
      </c>
      <c r="AB111" s="89" t="s">
        <v>2859</v>
      </c>
      <c r="AC111" s="89" t="s">
        <v>2859</v>
      </c>
      <c r="AD111" s="89" t="s">
        <v>2859</v>
      </c>
      <c r="AE111" s="89" t="s">
        <v>2859</v>
      </c>
      <c r="AF111" s="89" t="s">
        <v>2859</v>
      </c>
      <c r="AG111" s="89" t="s">
        <v>2859</v>
      </c>
      <c r="AH111" s="89" t="s">
        <v>2859</v>
      </c>
      <c r="AI111" s="89" t="s">
        <v>2859</v>
      </c>
      <c r="AJ111" s="89" t="s">
        <v>2859</v>
      </c>
      <c r="AK111" s="89" t="s">
        <v>2859</v>
      </c>
      <c r="AL111" s="89" t="s">
        <v>2859</v>
      </c>
      <c r="AM111" s="89" t="s">
        <v>2859</v>
      </c>
      <c r="AN111" s="89" t="s">
        <v>2859</v>
      </c>
      <c r="AO111" s="89" t="s">
        <v>2859</v>
      </c>
      <c r="AP111" s="89" t="s">
        <v>2859</v>
      </c>
      <c r="AQ111" s="89" t="s">
        <v>2859</v>
      </c>
      <c r="AR111" s="89" t="s">
        <v>2859</v>
      </c>
      <c r="AS111" s="89" t="s">
        <v>2859</v>
      </c>
      <c r="AT111" s="89" t="s">
        <v>2859</v>
      </c>
      <c r="AU111" s="89" t="s">
        <v>2859</v>
      </c>
      <c r="AV111" s="89" t="s">
        <v>2859</v>
      </c>
      <c r="AW111" s="89" t="s">
        <v>2859</v>
      </c>
      <c r="AX111" s="89" t="s">
        <v>2859</v>
      </c>
      <c r="AY111" s="89" t="s">
        <v>2859</v>
      </c>
      <c r="AZ111" s="89" t="s">
        <v>2859</v>
      </c>
      <c r="BA111" s="89" t="s">
        <v>2859</v>
      </c>
      <c r="BB111" s="89" t="s">
        <v>2859</v>
      </c>
      <c r="BC111" s="89" t="s">
        <v>2859</v>
      </c>
      <c r="BD111" s="89" t="s">
        <v>2859</v>
      </c>
      <c r="BE111" s="89" t="s">
        <v>2859</v>
      </c>
      <c r="BF111" s="89" t="s">
        <v>2859</v>
      </c>
      <c r="BG111" s="89" t="s">
        <v>2859</v>
      </c>
      <c r="BH111" s="89" t="s">
        <v>2859</v>
      </c>
      <c r="BI111" s="89" t="s">
        <v>2859</v>
      </c>
      <c r="BJ111" s="89" t="s">
        <v>2859</v>
      </c>
      <c r="BK111" s="89" t="s">
        <v>2859</v>
      </c>
      <c r="BL111" s="89" t="s">
        <v>2859</v>
      </c>
      <c r="BM111" s="89" t="s">
        <v>2859</v>
      </c>
      <c r="BN111" s="89" t="s">
        <v>2859</v>
      </c>
      <c r="BO111" s="89" t="s">
        <v>2859</v>
      </c>
      <c r="BP111" s="89" t="s">
        <v>2859</v>
      </c>
      <c r="BQ111" s="89" t="s">
        <v>3794</v>
      </c>
      <c r="BR111" s="89" t="s">
        <v>2869</v>
      </c>
    </row>
    <row r="112" spans="1:70">
      <c r="A112" s="89" t="s">
        <v>2173</v>
      </c>
      <c r="B112" s="89" t="s">
        <v>3795</v>
      </c>
      <c r="C112" s="89" t="s">
        <v>2412</v>
      </c>
      <c r="D112" s="89" t="s">
        <v>2859</v>
      </c>
      <c r="E112" s="89" t="s">
        <v>2859</v>
      </c>
      <c r="F112" s="89" t="s">
        <v>2859</v>
      </c>
      <c r="G112" s="89" t="s">
        <v>2860</v>
      </c>
      <c r="H112" s="89" t="s">
        <v>2859</v>
      </c>
      <c r="I112" s="89" t="s">
        <v>1463</v>
      </c>
      <c r="J112" s="89" t="s">
        <v>3796</v>
      </c>
      <c r="K112" s="89" t="s">
        <v>2867</v>
      </c>
      <c r="L112" s="89" t="s">
        <v>2859</v>
      </c>
      <c r="M112" s="89" t="s">
        <v>2859</v>
      </c>
      <c r="N112" s="89" t="s">
        <v>2859</v>
      </c>
      <c r="O112" s="89" t="s">
        <v>2859</v>
      </c>
      <c r="P112" s="89" t="s">
        <v>2859</v>
      </c>
      <c r="Q112" s="89" t="s">
        <v>2859</v>
      </c>
      <c r="R112" s="89" t="s">
        <v>2859</v>
      </c>
      <c r="S112" s="89" t="s">
        <v>2859</v>
      </c>
      <c r="T112" s="89" t="s">
        <v>2859</v>
      </c>
      <c r="U112" s="89" t="s">
        <v>2859</v>
      </c>
      <c r="V112" s="89" t="s">
        <v>2859</v>
      </c>
      <c r="W112" s="89" t="s">
        <v>2859</v>
      </c>
      <c r="X112" s="89" t="s">
        <v>2859</v>
      </c>
      <c r="Y112" s="89" t="s">
        <v>2859</v>
      </c>
      <c r="Z112" s="89" t="s">
        <v>2859</v>
      </c>
      <c r="AA112" s="89" t="s">
        <v>2859</v>
      </c>
      <c r="AB112" s="89" t="s">
        <v>2859</v>
      </c>
      <c r="AC112" s="89" t="s">
        <v>2859</v>
      </c>
      <c r="AD112" s="89" t="s">
        <v>2859</v>
      </c>
      <c r="AE112" s="89" t="s">
        <v>2859</v>
      </c>
      <c r="AF112" s="89" t="s">
        <v>2859</v>
      </c>
      <c r="AG112" s="89" t="s">
        <v>2859</v>
      </c>
      <c r="AH112" s="89" t="s">
        <v>2859</v>
      </c>
      <c r="AI112" s="89" t="s">
        <v>2859</v>
      </c>
      <c r="AJ112" s="89" t="s">
        <v>2859</v>
      </c>
      <c r="AK112" s="89" t="s">
        <v>2859</v>
      </c>
      <c r="AL112" s="89" t="s">
        <v>2859</v>
      </c>
      <c r="AM112" s="89" t="s">
        <v>2859</v>
      </c>
      <c r="AN112" s="89" t="s">
        <v>2859</v>
      </c>
      <c r="AO112" s="89" t="s">
        <v>2859</v>
      </c>
      <c r="AP112" s="89" t="s">
        <v>2859</v>
      </c>
      <c r="AQ112" s="89" t="s">
        <v>2859</v>
      </c>
      <c r="AR112" s="89" t="s">
        <v>2859</v>
      </c>
      <c r="AS112" s="89" t="s">
        <v>2859</v>
      </c>
      <c r="AT112" s="89" t="s">
        <v>2859</v>
      </c>
      <c r="AU112" s="89" t="s">
        <v>2859</v>
      </c>
      <c r="AV112" s="89" t="s">
        <v>2859</v>
      </c>
      <c r="AW112" s="89" t="s">
        <v>2859</v>
      </c>
      <c r="AX112" s="89" t="s">
        <v>2859</v>
      </c>
      <c r="AY112" s="89" t="s">
        <v>2859</v>
      </c>
      <c r="AZ112" s="89" t="s">
        <v>2859</v>
      </c>
      <c r="BA112" s="89" t="s">
        <v>2859</v>
      </c>
      <c r="BB112" s="89" t="s">
        <v>2859</v>
      </c>
      <c r="BC112" s="89" t="s">
        <v>2859</v>
      </c>
      <c r="BD112" s="89" t="s">
        <v>2859</v>
      </c>
      <c r="BE112" s="89" t="s">
        <v>2859</v>
      </c>
      <c r="BF112" s="89" t="s">
        <v>2859</v>
      </c>
      <c r="BG112" s="89" t="s">
        <v>2859</v>
      </c>
      <c r="BH112" s="89" t="s">
        <v>2859</v>
      </c>
      <c r="BI112" s="89" t="s">
        <v>2859</v>
      </c>
      <c r="BJ112" s="89" t="s">
        <v>2859</v>
      </c>
      <c r="BK112" s="89" t="s">
        <v>2859</v>
      </c>
      <c r="BL112" s="89" t="s">
        <v>2859</v>
      </c>
      <c r="BM112" s="89" t="s">
        <v>2859</v>
      </c>
      <c r="BN112" s="89" t="s">
        <v>2859</v>
      </c>
      <c r="BO112" s="89" t="s">
        <v>2859</v>
      </c>
      <c r="BP112" s="89" t="s">
        <v>2859</v>
      </c>
      <c r="BQ112" s="89" t="s">
        <v>3797</v>
      </c>
      <c r="BR112" s="89" t="s">
        <v>2869</v>
      </c>
    </row>
    <row r="113" spans="1:70">
      <c r="A113" s="89" t="s">
        <v>2173</v>
      </c>
      <c r="B113" s="89" t="s">
        <v>2411</v>
      </c>
      <c r="C113" s="89" t="s">
        <v>2412</v>
      </c>
      <c r="D113" s="89" t="s">
        <v>2859</v>
      </c>
      <c r="E113" s="89" t="s">
        <v>2859</v>
      </c>
      <c r="F113" s="89" t="s">
        <v>2859</v>
      </c>
      <c r="G113" s="89" t="s">
        <v>2860</v>
      </c>
      <c r="H113" s="89" t="s">
        <v>2859</v>
      </c>
      <c r="I113" s="89" t="s">
        <v>621</v>
      </c>
      <c r="J113" s="89" t="s">
        <v>2859</v>
      </c>
      <c r="K113" s="89" t="s">
        <v>2859</v>
      </c>
      <c r="L113" s="89" t="s">
        <v>2859</v>
      </c>
      <c r="M113" s="89" t="s">
        <v>2859</v>
      </c>
      <c r="N113" s="89" t="s">
        <v>2859</v>
      </c>
      <c r="O113" s="89" t="s">
        <v>2859</v>
      </c>
      <c r="P113" s="89" t="s">
        <v>2859</v>
      </c>
      <c r="Q113" s="89" t="s">
        <v>2859</v>
      </c>
      <c r="R113" s="89" t="s">
        <v>2859</v>
      </c>
      <c r="S113" s="89" t="s">
        <v>2859</v>
      </c>
      <c r="T113" s="89" t="s">
        <v>2859</v>
      </c>
      <c r="U113" s="89" t="s">
        <v>2859</v>
      </c>
      <c r="V113" s="89" t="s">
        <v>2859</v>
      </c>
      <c r="W113" s="89" t="s">
        <v>2859</v>
      </c>
      <c r="X113" s="89" t="s">
        <v>2859</v>
      </c>
      <c r="Y113" s="89" t="s">
        <v>2859</v>
      </c>
      <c r="Z113" s="89" t="s">
        <v>2859</v>
      </c>
      <c r="AA113" s="89" t="s">
        <v>2859</v>
      </c>
      <c r="AB113" s="89" t="s">
        <v>2859</v>
      </c>
      <c r="AC113" s="89" t="s">
        <v>2859</v>
      </c>
      <c r="AD113" s="89" t="s">
        <v>2859</v>
      </c>
      <c r="AE113" s="89" t="s">
        <v>2859</v>
      </c>
      <c r="AF113" s="89" t="s">
        <v>2859</v>
      </c>
      <c r="AG113" s="89" t="s">
        <v>2859</v>
      </c>
      <c r="AH113" s="89" t="s">
        <v>2859</v>
      </c>
      <c r="AI113" s="89" t="s">
        <v>2859</v>
      </c>
      <c r="AJ113" s="89" t="s">
        <v>2859</v>
      </c>
      <c r="AK113" s="89" t="s">
        <v>2859</v>
      </c>
      <c r="AL113" s="89" t="s">
        <v>2859</v>
      </c>
      <c r="AM113" s="89" t="s">
        <v>2859</v>
      </c>
      <c r="AN113" s="89" t="s">
        <v>2859</v>
      </c>
      <c r="AO113" s="89" t="s">
        <v>2859</v>
      </c>
      <c r="AP113" s="89" t="s">
        <v>2859</v>
      </c>
      <c r="AQ113" s="89" t="s">
        <v>2859</v>
      </c>
      <c r="AR113" s="89" t="s">
        <v>2859</v>
      </c>
      <c r="AS113" s="89" t="s">
        <v>2859</v>
      </c>
      <c r="AT113" s="89" t="s">
        <v>2859</v>
      </c>
      <c r="AU113" s="89" t="s">
        <v>2859</v>
      </c>
      <c r="AV113" s="89" t="s">
        <v>2859</v>
      </c>
      <c r="AW113" s="89" t="s">
        <v>2859</v>
      </c>
      <c r="AX113" s="89" t="s">
        <v>2859</v>
      </c>
      <c r="AY113" s="89" t="s">
        <v>2859</v>
      </c>
      <c r="AZ113" s="89" t="s">
        <v>2859</v>
      </c>
      <c r="BA113" s="89" t="s">
        <v>2859</v>
      </c>
      <c r="BB113" s="89" t="s">
        <v>2859</v>
      </c>
      <c r="BC113" s="89" t="s">
        <v>2859</v>
      </c>
      <c r="BD113" s="89" t="s">
        <v>2859</v>
      </c>
      <c r="BE113" s="89" t="s">
        <v>2859</v>
      </c>
      <c r="BF113" s="89" t="s">
        <v>2859</v>
      </c>
      <c r="BG113" s="89" t="s">
        <v>2859</v>
      </c>
      <c r="BH113" s="89" t="s">
        <v>2859</v>
      </c>
      <c r="BI113" s="89" t="s">
        <v>2859</v>
      </c>
      <c r="BJ113" s="89" t="s">
        <v>2859</v>
      </c>
      <c r="BK113" s="89" t="s">
        <v>2859</v>
      </c>
      <c r="BL113" s="89" t="s">
        <v>2859</v>
      </c>
      <c r="BM113" s="89" t="s">
        <v>2859</v>
      </c>
      <c r="BN113" s="89" t="s">
        <v>2859</v>
      </c>
      <c r="BO113" s="89" t="s">
        <v>2859</v>
      </c>
      <c r="BP113" s="89" t="s">
        <v>2859</v>
      </c>
      <c r="BQ113" s="89" t="s">
        <v>3798</v>
      </c>
      <c r="BR113" s="89" t="s">
        <v>2859</v>
      </c>
    </row>
    <row r="114" spans="1:70">
      <c r="A114" s="89" t="s">
        <v>2173</v>
      </c>
      <c r="B114" s="89" t="s">
        <v>3799</v>
      </c>
      <c r="C114" s="89" t="s">
        <v>3800</v>
      </c>
      <c r="D114" s="89" t="s">
        <v>2859</v>
      </c>
      <c r="E114" s="89" t="s">
        <v>2859</v>
      </c>
      <c r="F114" s="89" t="s">
        <v>2859</v>
      </c>
      <c r="G114" s="89" t="s">
        <v>2860</v>
      </c>
      <c r="H114" s="89" t="s">
        <v>2859</v>
      </c>
      <c r="I114" s="89" t="s">
        <v>2891</v>
      </c>
      <c r="J114" s="89" t="s">
        <v>2859</v>
      </c>
      <c r="K114" s="89" t="s">
        <v>2859</v>
      </c>
      <c r="L114" s="89" t="s">
        <v>2859</v>
      </c>
      <c r="M114" s="89" t="s">
        <v>2859</v>
      </c>
      <c r="N114" s="89" t="s">
        <v>2859</v>
      </c>
      <c r="O114" s="89" t="s">
        <v>2859</v>
      </c>
      <c r="P114" s="89" t="s">
        <v>2859</v>
      </c>
      <c r="Q114" s="89" t="s">
        <v>2859</v>
      </c>
      <c r="R114" s="89" t="s">
        <v>2859</v>
      </c>
      <c r="S114" s="89" t="s">
        <v>2859</v>
      </c>
      <c r="T114" s="89" t="s">
        <v>2859</v>
      </c>
      <c r="U114" s="89" t="s">
        <v>2859</v>
      </c>
      <c r="V114" s="89" t="s">
        <v>2859</v>
      </c>
      <c r="W114" s="89" t="s">
        <v>2859</v>
      </c>
      <c r="X114" s="89" t="s">
        <v>2859</v>
      </c>
      <c r="Y114" s="89" t="s">
        <v>2859</v>
      </c>
      <c r="Z114" s="89" t="s">
        <v>2859</v>
      </c>
      <c r="AA114" s="89" t="s">
        <v>2859</v>
      </c>
      <c r="AB114" s="89" t="s">
        <v>2859</v>
      </c>
      <c r="AC114" s="89" t="s">
        <v>2859</v>
      </c>
      <c r="AD114" s="89" t="s">
        <v>2859</v>
      </c>
      <c r="AE114" s="89" t="s">
        <v>2859</v>
      </c>
      <c r="AF114" s="89" t="s">
        <v>2859</v>
      </c>
      <c r="AG114" s="89" t="s">
        <v>2859</v>
      </c>
      <c r="AH114" s="89" t="s">
        <v>2859</v>
      </c>
      <c r="AI114" s="89" t="s">
        <v>2859</v>
      </c>
      <c r="AJ114" s="89" t="s">
        <v>2859</v>
      </c>
      <c r="AK114" s="89" t="s">
        <v>2859</v>
      </c>
      <c r="AL114" s="89" t="s">
        <v>2859</v>
      </c>
      <c r="AM114" s="89" t="s">
        <v>2859</v>
      </c>
      <c r="AN114" s="89" t="s">
        <v>2859</v>
      </c>
      <c r="AO114" s="89" t="s">
        <v>2859</v>
      </c>
      <c r="AP114" s="89" t="s">
        <v>2859</v>
      </c>
      <c r="AQ114" s="89" t="s">
        <v>2859</v>
      </c>
      <c r="AR114" s="89" t="s">
        <v>2859</v>
      </c>
      <c r="AS114" s="89" t="s">
        <v>2859</v>
      </c>
      <c r="AT114" s="89" t="s">
        <v>2859</v>
      </c>
      <c r="AU114" s="89" t="s">
        <v>2859</v>
      </c>
      <c r="AV114" s="89" t="s">
        <v>2859</v>
      </c>
      <c r="AW114" s="89" t="s">
        <v>2859</v>
      </c>
      <c r="AX114" s="89" t="s">
        <v>2859</v>
      </c>
      <c r="AY114" s="89" t="s">
        <v>2859</v>
      </c>
      <c r="AZ114" s="89" t="s">
        <v>2859</v>
      </c>
      <c r="BA114" s="89" t="s">
        <v>2859</v>
      </c>
      <c r="BB114" s="89" t="s">
        <v>2859</v>
      </c>
      <c r="BC114" s="89" t="s">
        <v>2859</v>
      </c>
      <c r="BD114" s="89" t="s">
        <v>2859</v>
      </c>
      <c r="BE114" s="89" t="s">
        <v>2859</v>
      </c>
      <c r="BF114" s="89" t="s">
        <v>2859</v>
      </c>
      <c r="BG114" s="89" t="s">
        <v>2859</v>
      </c>
      <c r="BH114" s="89" t="s">
        <v>2859</v>
      </c>
      <c r="BI114" s="89" t="s">
        <v>2859</v>
      </c>
      <c r="BJ114" s="89" t="s">
        <v>2859</v>
      </c>
      <c r="BK114" s="89" t="s">
        <v>2859</v>
      </c>
      <c r="BL114" s="89" t="s">
        <v>2859</v>
      </c>
      <c r="BM114" s="89" t="s">
        <v>2859</v>
      </c>
      <c r="BN114" s="89" t="s">
        <v>2859</v>
      </c>
      <c r="BO114" s="89" t="s">
        <v>2859</v>
      </c>
      <c r="BP114" s="89" t="s">
        <v>2859</v>
      </c>
      <c r="BQ114" s="89" t="s">
        <v>3801</v>
      </c>
      <c r="BR114" s="89" t="s">
        <v>2859</v>
      </c>
    </row>
    <row r="115" spans="1:70">
      <c r="A115" s="89" t="s">
        <v>2173</v>
      </c>
      <c r="B115" s="89" t="s">
        <v>2519</v>
      </c>
      <c r="C115" s="89" t="s">
        <v>2407</v>
      </c>
      <c r="D115" s="89" t="s">
        <v>2859</v>
      </c>
      <c r="E115" s="89" t="s">
        <v>2859</v>
      </c>
      <c r="F115" s="89" t="s">
        <v>2859</v>
      </c>
      <c r="G115" s="89" t="s">
        <v>2860</v>
      </c>
      <c r="H115" s="89" t="s">
        <v>2859</v>
      </c>
      <c r="I115" s="89" t="s">
        <v>120</v>
      </c>
      <c r="J115" s="89" t="s">
        <v>2520</v>
      </c>
      <c r="K115" s="89" t="s">
        <v>2867</v>
      </c>
      <c r="L115" s="89" t="s">
        <v>2859</v>
      </c>
      <c r="M115" s="89" t="s">
        <v>2859</v>
      </c>
      <c r="N115" s="89" t="s">
        <v>2859</v>
      </c>
      <c r="O115" s="89" t="s">
        <v>2859</v>
      </c>
      <c r="P115" s="89" t="s">
        <v>2859</v>
      </c>
      <c r="Q115" s="89" t="s">
        <v>2859</v>
      </c>
      <c r="R115" s="89" t="s">
        <v>2859</v>
      </c>
      <c r="S115" s="89" t="s">
        <v>2859</v>
      </c>
      <c r="T115" s="89" t="s">
        <v>2859</v>
      </c>
      <c r="U115" s="89" t="s">
        <v>2859</v>
      </c>
      <c r="V115" s="89" t="s">
        <v>2859</v>
      </c>
      <c r="W115" s="89" t="s">
        <v>2859</v>
      </c>
      <c r="X115" s="89" t="s">
        <v>2859</v>
      </c>
      <c r="Y115" s="89" t="s">
        <v>2859</v>
      </c>
      <c r="Z115" s="89" t="s">
        <v>2859</v>
      </c>
      <c r="AA115" s="89" t="s">
        <v>2859</v>
      </c>
      <c r="AB115" s="89" t="s">
        <v>2859</v>
      </c>
      <c r="AC115" s="89" t="s">
        <v>2859</v>
      </c>
      <c r="AD115" s="89" t="s">
        <v>2859</v>
      </c>
      <c r="AE115" s="89" t="s">
        <v>2859</v>
      </c>
      <c r="AF115" s="89" t="s">
        <v>2859</v>
      </c>
      <c r="AG115" s="89" t="s">
        <v>2859</v>
      </c>
      <c r="AH115" s="89" t="s">
        <v>2859</v>
      </c>
      <c r="AI115" s="89" t="s">
        <v>2859</v>
      </c>
      <c r="AJ115" s="89" t="s">
        <v>2859</v>
      </c>
      <c r="AK115" s="89" t="s">
        <v>2859</v>
      </c>
      <c r="AL115" s="89" t="s">
        <v>2859</v>
      </c>
      <c r="AM115" s="89" t="s">
        <v>2859</v>
      </c>
      <c r="AN115" s="89" t="s">
        <v>2859</v>
      </c>
      <c r="AO115" s="89" t="s">
        <v>2859</v>
      </c>
      <c r="AP115" s="89" t="s">
        <v>2859</v>
      </c>
      <c r="AQ115" s="89" t="s">
        <v>2859</v>
      </c>
      <c r="AR115" s="89" t="s">
        <v>2859</v>
      </c>
      <c r="AS115" s="89" t="s">
        <v>2859</v>
      </c>
      <c r="AT115" s="89" t="s">
        <v>2859</v>
      </c>
      <c r="AU115" s="89" t="s">
        <v>2859</v>
      </c>
      <c r="AV115" s="89" t="s">
        <v>2859</v>
      </c>
      <c r="AW115" s="89" t="s">
        <v>2859</v>
      </c>
      <c r="AX115" s="89" t="s">
        <v>2859</v>
      </c>
      <c r="AY115" s="89" t="s">
        <v>2859</v>
      </c>
      <c r="AZ115" s="89" t="s">
        <v>2859</v>
      </c>
      <c r="BA115" s="89" t="s">
        <v>2859</v>
      </c>
      <c r="BB115" s="89" t="s">
        <v>2859</v>
      </c>
      <c r="BC115" s="89" t="s">
        <v>2859</v>
      </c>
      <c r="BD115" s="89" t="s">
        <v>2859</v>
      </c>
      <c r="BE115" s="89" t="s">
        <v>2859</v>
      </c>
      <c r="BF115" s="89" t="s">
        <v>2859</v>
      </c>
      <c r="BG115" s="89" t="s">
        <v>2859</v>
      </c>
      <c r="BH115" s="89" t="s">
        <v>2859</v>
      </c>
      <c r="BI115" s="89" t="s">
        <v>2859</v>
      </c>
      <c r="BJ115" s="89" t="s">
        <v>2859</v>
      </c>
      <c r="BK115" s="89" t="s">
        <v>2859</v>
      </c>
      <c r="BL115" s="89" t="s">
        <v>2859</v>
      </c>
      <c r="BM115" s="89" t="s">
        <v>2859</v>
      </c>
      <c r="BN115" s="89" t="s">
        <v>2859</v>
      </c>
      <c r="BO115" s="89" t="s">
        <v>2859</v>
      </c>
      <c r="BP115" s="89" t="s">
        <v>2859</v>
      </c>
      <c r="BQ115" s="89" t="s">
        <v>3802</v>
      </c>
      <c r="BR115" s="89" t="s">
        <v>2869</v>
      </c>
    </row>
    <row r="116" spans="1:70">
      <c r="A116" s="89" t="s">
        <v>2173</v>
      </c>
      <c r="B116" s="89" t="s">
        <v>2521</v>
      </c>
      <c r="C116" s="89" t="s">
        <v>2407</v>
      </c>
      <c r="D116" s="89" t="s">
        <v>2859</v>
      </c>
      <c r="E116" s="89" t="s">
        <v>2859</v>
      </c>
      <c r="F116" s="89" t="s">
        <v>2859</v>
      </c>
      <c r="G116" s="89" t="s">
        <v>2860</v>
      </c>
      <c r="H116" s="89" t="s">
        <v>2859</v>
      </c>
      <c r="I116" s="89" t="s">
        <v>120</v>
      </c>
      <c r="J116" s="89" t="s">
        <v>2859</v>
      </c>
      <c r="K116" s="89" t="s">
        <v>2859</v>
      </c>
      <c r="L116" s="89" t="s">
        <v>2859</v>
      </c>
      <c r="M116" s="89" t="s">
        <v>2859</v>
      </c>
      <c r="N116" s="89" t="s">
        <v>2859</v>
      </c>
      <c r="O116" s="89" t="s">
        <v>2859</v>
      </c>
      <c r="P116" s="89" t="s">
        <v>2859</v>
      </c>
      <c r="Q116" s="89" t="s">
        <v>2859</v>
      </c>
      <c r="R116" s="89" t="s">
        <v>2859</v>
      </c>
      <c r="S116" s="89" t="s">
        <v>2859</v>
      </c>
      <c r="T116" s="89" t="s">
        <v>2859</v>
      </c>
      <c r="U116" s="89" t="s">
        <v>2859</v>
      </c>
      <c r="V116" s="89" t="s">
        <v>2859</v>
      </c>
      <c r="W116" s="89" t="s">
        <v>2859</v>
      </c>
      <c r="X116" s="89" t="s">
        <v>2859</v>
      </c>
      <c r="Y116" s="89" t="s">
        <v>2859</v>
      </c>
      <c r="Z116" s="89" t="s">
        <v>2859</v>
      </c>
      <c r="AA116" s="89" t="s">
        <v>2859</v>
      </c>
      <c r="AB116" s="89" t="s">
        <v>2859</v>
      </c>
      <c r="AC116" s="89" t="s">
        <v>2859</v>
      </c>
      <c r="AD116" s="89" t="s">
        <v>2859</v>
      </c>
      <c r="AE116" s="89" t="s">
        <v>2859</v>
      </c>
      <c r="AF116" s="89" t="s">
        <v>2859</v>
      </c>
      <c r="AG116" s="89" t="s">
        <v>2859</v>
      </c>
      <c r="AH116" s="89" t="s">
        <v>2859</v>
      </c>
      <c r="AI116" s="89" t="s">
        <v>2859</v>
      </c>
      <c r="AJ116" s="89" t="s">
        <v>2859</v>
      </c>
      <c r="AK116" s="89" t="s">
        <v>2859</v>
      </c>
      <c r="AL116" s="89" t="s">
        <v>2859</v>
      </c>
      <c r="AM116" s="89" t="s">
        <v>2859</v>
      </c>
      <c r="AN116" s="89" t="s">
        <v>2859</v>
      </c>
      <c r="AO116" s="89" t="s">
        <v>2859</v>
      </c>
      <c r="AP116" s="89" t="s">
        <v>2859</v>
      </c>
      <c r="AQ116" s="89" t="s">
        <v>2859</v>
      </c>
      <c r="AR116" s="89" t="s">
        <v>2859</v>
      </c>
      <c r="AS116" s="89" t="s">
        <v>2859</v>
      </c>
      <c r="AT116" s="89" t="s">
        <v>2859</v>
      </c>
      <c r="AU116" s="89" t="s">
        <v>2859</v>
      </c>
      <c r="AV116" s="89" t="s">
        <v>2859</v>
      </c>
      <c r="AW116" s="89" t="s">
        <v>2859</v>
      </c>
      <c r="AX116" s="89" t="s">
        <v>2859</v>
      </c>
      <c r="AY116" s="89" t="s">
        <v>2859</v>
      </c>
      <c r="AZ116" s="89" t="s">
        <v>2859</v>
      </c>
      <c r="BA116" s="89" t="s">
        <v>2859</v>
      </c>
      <c r="BB116" s="89" t="s">
        <v>2859</v>
      </c>
      <c r="BC116" s="89" t="s">
        <v>2859</v>
      </c>
      <c r="BD116" s="89" t="s">
        <v>2859</v>
      </c>
      <c r="BE116" s="89" t="s">
        <v>2859</v>
      </c>
      <c r="BF116" s="89" t="s">
        <v>2859</v>
      </c>
      <c r="BG116" s="89" t="s">
        <v>2859</v>
      </c>
      <c r="BH116" s="89" t="s">
        <v>2859</v>
      </c>
      <c r="BI116" s="89" t="s">
        <v>2859</v>
      </c>
      <c r="BJ116" s="89" t="s">
        <v>2859</v>
      </c>
      <c r="BK116" s="89" t="s">
        <v>2859</v>
      </c>
      <c r="BL116" s="89" t="s">
        <v>2859</v>
      </c>
      <c r="BM116" s="89" t="s">
        <v>2859</v>
      </c>
      <c r="BN116" s="89" t="s">
        <v>2859</v>
      </c>
      <c r="BO116" s="89" t="s">
        <v>2859</v>
      </c>
      <c r="BP116" s="89" t="s">
        <v>2859</v>
      </c>
      <c r="BQ116" s="89" t="s">
        <v>3803</v>
      </c>
      <c r="BR116" s="89" t="s">
        <v>2859</v>
      </c>
    </row>
    <row r="117" spans="1:70">
      <c r="A117" s="89" t="s">
        <v>2173</v>
      </c>
      <c r="B117" s="89" t="s">
        <v>2522</v>
      </c>
      <c r="C117" s="89" t="s">
        <v>2523</v>
      </c>
      <c r="D117" s="89" t="s">
        <v>2859</v>
      </c>
      <c r="E117" s="89" t="s">
        <v>2859</v>
      </c>
      <c r="F117" s="89" t="s">
        <v>2859</v>
      </c>
      <c r="G117" s="89" t="s">
        <v>2860</v>
      </c>
      <c r="H117" s="89" t="s">
        <v>2859</v>
      </c>
      <c r="I117" s="89" t="s">
        <v>120</v>
      </c>
      <c r="J117" s="89" t="s">
        <v>2524</v>
      </c>
      <c r="K117" s="89" t="s">
        <v>2867</v>
      </c>
      <c r="L117" s="89" t="s">
        <v>2859</v>
      </c>
      <c r="M117" s="89" t="s">
        <v>2859</v>
      </c>
      <c r="N117" s="89" t="s">
        <v>2859</v>
      </c>
      <c r="O117" s="89" t="s">
        <v>2859</v>
      </c>
      <c r="P117" s="89" t="s">
        <v>2859</v>
      </c>
      <c r="Q117" s="89" t="s">
        <v>2859</v>
      </c>
      <c r="R117" s="89" t="s">
        <v>2859</v>
      </c>
      <c r="S117" s="89" t="s">
        <v>2859</v>
      </c>
      <c r="T117" s="89" t="s">
        <v>2859</v>
      </c>
      <c r="U117" s="89" t="s">
        <v>2859</v>
      </c>
      <c r="V117" s="89" t="s">
        <v>2859</v>
      </c>
      <c r="W117" s="89" t="s">
        <v>2859</v>
      </c>
      <c r="X117" s="89" t="s">
        <v>2859</v>
      </c>
      <c r="Y117" s="89" t="s">
        <v>2859</v>
      </c>
      <c r="Z117" s="89" t="s">
        <v>2859</v>
      </c>
      <c r="AA117" s="89" t="s">
        <v>2859</v>
      </c>
      <c r="AB117" s="89" t="s">
        <v>2859</v>
      </c>
      <c r="AC117" s="89" t="s">
        <v>2859</v>
      </c>
      <c r="AD117" s="89" t="s">
        <v>2859</v>
      </c>
      <c r="AE117" s="89" t="s">
        <v>2859</v>
      </c>
      <c r="AF117" s="89" t="s">
        <v>2859</v>
      </c>
      <c r="AG117" s="89" t="s">
        <v>2859</v>
      </c>
      <c r="AH117" s="89" t="s">
        <v>2859</v>
      </c>
      <c r="AI117" s="89" t="s">
        <v>2859</v>
      </c>
      <c r="AJ117" s="89" t="s">
        <v>2859</v>
      </c>
      <c r="AK117" s="89" t="s">
        <v>2859</v>
      </c>
      <c r="AL117" s="89" t="s">
        <v>2859</v>
      </c>
      <c r="AM117" s="89" t="s">
        <v>2859</v>
      </c>
      <c r="AN117" s="89" t="s">
        <v>2859</v>
      </c>
      <c r="AO117" s="89" t="s">
        <v>2859</v>
      </c>
      <c r="AP117" s="89" t="s">
        <v>2859</v>
      </c>
      <c r="AQ117" s="89" t="s">
        <v>2859</v>
      </c>
      <c r="AR117" s="89" t="s">
        <v>2859</v>
      </c>
      <c r="AS117" s="89" t="s">
        <v>2859</v>
      </c>
      <c r="AT117" s="89" t="s">
        <v>2859</v>
      </c>
      <c r="AU117" s="89" t="s">
        <v>2859</v>
      </c>
      <c r="AV117" s="89" t="s">
        <v>2859</v>
      </c>
      <c r="AW117" s="89" t="s">
        <v>2859</v>
      </c>
      <c r="AX117" s="89" t="s">
        <v>2859</v>
      </c>
      <c r="AY117" s="89" t="s">
        <v>2859</v>
      </c>
      <c r="AZ117" s="89" t="s">
        <v>2859</v>
      </c>
      <c r="BA117" s="89" t="s">
        <v>2859</v>
      </c>
      <c r="BB117" s="89" t="s">
        <v>2859</v>
      </c>
      <c r="BC117" s="89" t="s">
        <v>2859</v>
      </c>
      <c r="BD117" s="89" t="s">
        <v>2859</v>
      </c>
      <c r="BE117" s="89" t="s">
        <v>2859</v>
      </c>
      <c r="BF117" s="89" t="s">
        <v>2859</v>
      </c>
      <c r="BG117" s="89" t="s">
        <v>2859</v>
      </c>
      <c r="BH117" s="89" t="s">
        <v>2859</v>
      </c>
      <c r="BI117" s="89" t="s">
        <v>2859</v>
      </c>
      <c r="BJ117" s="89" t="s">
        <v>2859</v>
      </c>
      <c r="BK117" s="89" t="s">
        <v>2859</v>
      </c>
      <c r="BL117" s="89" t="s">
        <v>2859</v>
      </c>
      <c r="BM117" s="89" t="s">
        <v>2859</v>
      </c>
      <c r="BN117" s="89" t="s">
        <v>2859</v>
      </c>
      <c r="BO117" s="89" t="s">
        <v>2859</v>
      </c>
      <c r="BP117" s="89" t="s">
        <v>2859</v>
      </c>
      <c r="BQ117" s="89" t="s">
        <v>3804</v>
      </c>
      <c r="BR117" s="89" t="s">
        <v>2869</v>
      </c>
    </row>
    <row r="118" spans="1:70">
      <c r="A118" s="89" t="s">
        <v>2173</v>
      </c>
      <c r="B118" s="89" t="s">
        <v>2525</v>
      </c>
      <c r="C118" s="89" t="s">
        <v>2412</v>
      </c>
      <c r="D118" s="89" t="s">
        <v>2859</v>
      </c>
      <c r="E118" s="89" t="s">
        <v>2859</v>
      </c>
      <c r="F118" s="89" t="s">
        <v>2859</v>
      </c>
      <c r="G118" s="89" t="s">
        <v>2860</v>
      </c>
      <c r="H118" s="89" t="s">
        <v>2859</v>
      </c>
      <c r="I118" s="89" t="s">
        <v>120</v>
      </c>
      <c r="J118" s="89" t="s">
        <v>2520</v>
      </c>
      <c r="K118" s="89" t="s">
        <v>2867</v>
      </c>
      <c r="L118" s="89" t="s">
        <v>2859</v>
      </c>
      <c r="M118" s="89" t="s">
        <v>2859</v>
      </c>
      <c r="N118" s="89" t="s">
        <v>2859</v>
      </c>
      <c r="O118" s="89" t="s">
        <v>2859</v>
      </c>
      <c r="P118" s="89" t="s">
        <v>2859</v>
      </c>
      <c r="Q118" s="89" t="s">
        <v>2859</v>
      </c>
      <c r="R118" s="89" t="s">
        <v>2859</v>
      </c>
      <c r="S118" s="89" t="s">
        <v>2859</v>
      </c>
      <c r="T118" s="89" t="s">
        <v>2859</v>
      </c>
      <c r="U118" s="89" t="s">
        <v>2859</v>
      </c>
      <c r="V118" s="89" t="s">
        <v>2859</v>
      </c>
      <c r="W118" s="89" t="s">
        <v>2859</v>
      </c>
      <c r="X118" s="89" t="s">
        <v>2859</v>
      </c>
      <c r="Y118" s="89" t="s">
        <v>2859</v>
      </c>
      <c r="Z118" s="89" t="s">
        <v>2859</v>
      </c>
      <c r="AA118" s="89" t="s">
        <v>2859</v>
      </c>
      <c r="AB118" s="89" t="s">
        <v>2859</v>
      </c>
      <c r="AC118" s="89" t="s">
        <v>2859</v>
      </c>
      <c r="AD118" s="89" t="s">
        <v>2859</v>
      </c>
      <c r="AE118" s="89" t="s">
        <v>2859</v>
      </c>
      <c r="AF118" s="89" t="s">
        <v>2859</v>
      </c>
      <c r="AG118" s="89" t="s">
        <v>2859</v>
      </c>
      <c r="AH118" s="89" t="s">
        <v>2859</v>
      </c>
      <c r="AI118" s="89" t="s">
        <v>2859</v>
      </c>
      <c r="AJ118" s="89" t="s">
        <v>2859</v>
      </c>
      <c r="AK118" s="89" t="s">
        <v>2859</v>
      </c>
      <c r="AL118" s="89" t="s">
        <v>2859</v>
      </c>
      <c r="AM118" s="89" t="s">
        <v>2859</v>
      </c>
      <c r="AN118" s="89" t="s">
        <v>2859</v>
      </c>
      <c r="AO118" s="89" t="s">
        <v>2859</v>
      </c>
      <c r="AP118" s="89" t="s">
        <v>2859</v>
      </c>
      <c r="AQ118" s="89" t="s">
        <v>2859</v>
      </c>
      <c r="AR118" s="89" t="s">
        <v>2859</v>
      </c>
      <c r="AS118" s="89" t="s">
        <v>2859</v>
      </c>
      <c r="AT118" s="89" t="s">
        <v>2859</v>
      </c>
      <c r="AU118" s="89" t="s">
        <v>2859</v>
      </c>
      <c r="AV118" s="89" t="s">
        <v>2859</v>
      </c>
      <c r="AW118" s="89" t="s">
        <v>2859</v>
      </c>
      <c r="AX118" s="89" t="s">
        <v>2859</v>
      </c>
      <c r="AY118" s="89" t="s">
        <v>2859</v>
      </c>
      <c r="AZ118" s="89" t="s">
        <v>2859</v>
      </c>
      <c r="BA118" s="89" t="s">
        <v>2859</v>
      </c>
      <c r="BB118" s="89" t="s">
        <v>2859</v>
      </c>
      <c r="BC118" s="89" t="s">
        <v>2859</v>
      </c>
      <c r="BD118" s="89" t="s">
        <v>2859</v>
      </c>
      <c r="BE118" s="89" t="s">
        <v>2859</v>
      </c>
      <c r="BF118" s="89" t="s">
        <v>2859</v>
      </c>
      <c r="BG118" s="89" t="s">
        <v>2859</v>
      </c>
      <c r="BH118" s="89" t="s">
        <v>2859</v>
      </c>
      <c r="BI118" s="89" t="s">
        <v>2859</v>
      </c>
      <c r="BJ118" s="89" t="s">
        <v>2859</v>
      </c>
      <c r="BK118" s="89" t="s">
        <v>2859</v>
      </c>
      <c r="BL118" s="89" t="s">
        <v>2859</v>
      </c>
      <c r="BM118" s="89" t="s">
        <v>2859</v>
      </c>
      <c r="BN118" s="89" t="s">
        <v>2859</v>
      </c>
      <c r="BO118" s="89" t="s">
        <v>2859</v>
      </c>
      <c r="BP118" s="89" t="s">
        <v>2859</v>
      </c>
      <c r="BQ118" s="89" t="s">
        <v>3805</v>
      </c>
      <c r="BR118" s="89" t="s">
        <v>2869</v>
      </c>
    </row>
    <row r="119" spans="1:70">
      <c r="A119" s="89" t="s">
        <v>2173</v>
      </c>
      <c r="B119" s="89" t="s">
        <v>2526</v>
      </c>
      <c r="C119" s="89" t="s">
        <v>2412</v>
      </c>
      <c r="D119" s="89" t="s">
        <v>2859</v>
      </c>
      <c r="E119" s="89" t="s">
        <v>2859</v>
      </c>
      <c r="F119" s="89" t="s">
        <v>2859</v>
      </c>
      <c r="G119" s="89" t="s">
        <v>2860</v>
      </c>
      <c r="H119" s="89" t="s">
        <v>2859</v>
      </c>
      <c r="I119" s="89" t="s">
        <v>120</v>
      </c>
      <c r="J119" s="89" t="s">
        <v>2527</v>
      </c>
      <c r="K119" s="89" t="s">
        <v>2867</v>
      </c>
      <c r="L119" s="89" t="s">
        <v>2859</v>
      </c>
      <c r="M119" s="89" t="s">
        <v>2859</v>
      </c>
      <c r="N119" s="89" t="s">
        <v>2859</v>
      </c>
      <c r="O119" s="89" t="s">
        <v>2859</v>
      </c>
      <c r="P119" s="89" t="s">
        <v>2859</v>
      </c>
      <c r="Q119" s="89" t="s">
        <v>2859</v>
      </c>
      <c r="R119" s="89" t="s">
        <v>2859</v>
      </c>
      <c r="S119" s="89" t="s">
        <v>2859</v>
      </c>
      <c r="T119" s="89" t="s">
        <v>2859</v>
      </c>
      <c r="U119" s="89" t="s">
        <v>2859</v>
      </c>
      <c r="V119" s="89" t="s">
        <v>2859</v>
      </c>
      <c r="W119" s="89" t="s">
        <v>2859</v>
      </c>
      <c r="X119" s="89" t="s">
        <v>2859</v>
      </c>
      <c r="Y119" s="89" t="s">
        <v>2859</v>
      </c>
      <c r="Z119" s="89" t="s">
        <v>2859</v>
      </c>
      <c r="AA119" s="89" t="s">
        <v>2859</v>
      </c>
      <c r="AB119" s="89" t="s">
        <v>2859</v>
      </c>
      <c r="AC119" s="89" t="s">
        <v>2859</v>
      </c>
      <c r="AD119" s="89" t="s">
        <v>2859</v>
      </c>
      <c r="AE119" s="89" t="s">
        <v>2859</v>
      </c>
      <c r="AF119" s="89" t="s">
        <v>2859</v>
      </c>
      <c r="AG119" s="89" t="s">
        <v>2859</v>
      </c>
      <c r="AH119" s="89" t="s">
        <v>2859</v>
      </c>
      <c r="AI119" s="89" t="s">
        <v>2859</v>
      </c>
      <c r="AJ119" s="89" t="s">
        <v>2859</v>
      </c>
      <c r="AK119" s="89" t="s">
        <v>2859</v>
      </c>
      <c r="AL119" s="89" t="s">
        <v>2859</v>
      </c>
      <c r="AM119" s="89" t="s">
        <v>2859</v>
      </c>
      <c r="AN119" s="89" t="s">
        <v>2859</v>
      </c>
      <c r="AO119" s="89" t="s">
        <v>2859</v>
      </c>
      <c r="AP119" s="89" t="s">
        <v>2859</v>
      </c>
      <c r="AQ119" s="89" t="s">
        <v>2859</v>
      </c>
      <c r="AR119" s="89" t="s">
        <v>2859</v>
      </c>
      <c r="AS119" s="89" t="s">
        <v>2859</v>
      </c>
      <c r="AT119" s="89" t="s">
        <v>2859</v>
      </c>
      <c r="AU119" s="89" t="s">
        <v>2859</v>
      </c>
      <c r="AV119" s="89" t="s">
        <v>2859</v>
      </c>
      <c r="AW119" s="89" t="s">
        <v>2859</v>
      </c>
      <c r="AX119" s="89" t="s">
        <v>2859</v>
      </c>
      <c r="AY119" s="89" t="s">
        <v>2859</v>
      </c>
      <c r="AZ119" s="89" t="s">
        <v>2859</v>
      </c>
      <c r="BA119" s="89" t="s">
        <v>2859</v>
      </c>
      <c r="BB119" s="89" t="s">
        <v>2859</v>
      </c>
      <c r="BC119" s="89" t="s">
        <v>2859</v>
      </c>
      <c r="BD119" s="89" t="s">
        <v>2859</v>
      </c>
      <c r="BE119" s="89" t="s">
        <v>2859</v>
      </c>
      <c r="BF119" s="89" t="s">
        <v>2859</v>
      </c>
      <c r="BG119" s="89" t="s">
        <v>2859</v>
      </c>
      <c r="BH119" s="89" t="s">
        <v>2859</v>
      </c>
      <c r="BI119" s="89" t="s">
        <v>2859</v>
      </c>
      <c r="BJ119" s="89" t="s">
        <v>2859</v>
      </c>
      <c r="BK119" s="89" t="s">
        <v>2859</v>
      </c>
      <c r="BL119" s="89" t="s">
        <v>2859</v>
      </c>
      <c r="BM119" s="89" t="s">
        <v>2859</v>
      </c>
      <c r="BN119" s="89" t="s">
        <v>2859</v>
      </c>
      <c r="BO119" s="89" t="s">
        <v>2859</v>
      </c>
      <c r="BP119" s="89" t="s">
        <v>2859</v>
      </c>
      <c r="BQ119" s="89" t="s">
        <v>3806</v>
      </c>
      <c r="BR119" s="89" t="s">
        <v>2869</v>
      </c>
    </row>
    <row r="120" spans="1:70">
      <c r="A120" s="89" t="s">
        <v>2173</v>
      </c>
      <c r="B120" s="89" t="s">
        <v>2528</v>
      </c>
      <c r="C120" s="89" t="s">
        <v>2529</v>
      </c>
      <c r="D120" s="89" t="s">
        <v>2859</v>
      </c>
      <c r="E120" s="89" t="s">
        <v>2859</v>
      </c>
      <c r="F120" s="89" t="s">
        <v>2859</v>
      </c>
      <c r="G120" s="89" t="s">
        <v>2860</v>
      </c>
      <c r="H120" s="89" t="s">
        <v>2859</v>
      </c>
      <c r="I120" s="89" t="s">
        <v>2490</v>
      </c>
      <c r="J120" s="89" t="s">
        <v>2859</v>
      </c>
      <c r="K120" s="89" t="s">
        <v>2859</v>
      </c>
      <c r="L120" s="89" t="s">
        <v>2859</v>
      </c>
      <c r="M120" s="89" t="s">
        <v>2859</v>
      </c>
      <c r="N120" s="89" t="s">
        <v>2859</v>
      </c>
      <c r="O120" s="89" t="s">
        <v>2859</v>
      </c>
      <c r="P120" s="89" t="s">
        <v>2859</v>
      </c>
      <c r="Q120" s="89" t="s">
        <v>2859</v>
      </c>
      <c r="R120" s="89" t="s">
        <v>2859</v>
      </c>
      <c r="S120" s="89" t="s">
        <v>2859</v>
      </c>
      <c r="T120" s="89" t="s">
        <v>2859</v>
      </c>
      <c r="U120" s="89" t="s">
        <v>2859</v>
      </c>
      <c r="V120" s="89" t="s">
        <v>2859</v>
      </c>
      <c r="W120" s="89" t="s">
        <v>2859</v>
      </c>
      <c r="X120" s="89" t="s">
        <v>2859</v>
      </c>
      <c r="Y120" s="89" t="s">
        <v>2859</v>
      </c>
      <c r="Z120" s="89" t="s">
        <v>2859</v>
      </c>
      <c r="AA120" s="89" t="s">
        <v>2859</v>
      </c>
      <c r="AB120" s="89" t="s">
        <v>2859</v>
      </c>
      <c r="AC120" s="89" t="s">
        <v>2859</v>
      </c>
      <c r="AD120" s="89" t="s">
        <v>2859</v>
      </c>
      <c r="AE120" s="89" t="s">
        <v>2859</v>
      </c>
      <c r="AF120" s="89" t="s">
        <v>2859</v>
      </c>
      <c r="AG120" s="89" t="s">
        <v>2859</v>
      </c>
      <c r="AH120" s="89" t="s">
        <v>2859</v>
      </c>
      <c r="AI120" s="89" t="s">
        <v>2859</v>
      </c>
      <c r="AJ120" s="89" t="s">
        <v>2859</v>
      </c>
      <c r="AK120" s="89" t="s">
        <v>2859</v>
      </c>
      <c r="AL120" s="89" t="s">
        <v>2859</v>
      </c>
      <c r="AM120" s="89" t="s">
        <v>2859</v>
      </c>
      <c r="AN120" s="89" t="s">
        <v>2859</v>
      </c>
      <c r="AO120" s="89" t="s">
        <v>2859</v>
      </c>
      <c r="AP120" s="89" t="s">
        <v>2859</v>
      </c>
      <c r="AQ120" s="89" t="s">
        <v>2859</v>
      </c>
      <c r="AR120" s="89" t="s">
        <v>2859</v>
      </c>
      <c r="AS120" s="89" t="s">
        <v>2859</v>
      </c>
      <c r="AT120" s="89" t="s">
        <v>2859</v>
      </c>
      <c r="AU120" s="89" t="s">
        <v>2859</v>
      </c>
      <c r="AV120" s="89" t="s">
        <v>2859</v>
      </c>
      <c r="AW120" s="89" t="s">
        <v>2859</v>
      </c>
      <c r="AX120" s="89" t="s">
        <v>2859</v>
      </c>
      <c r="AY120" s="89" t="s">
        <v>2859</v>
      </c>
      <c r="AZ120" s="89" t="s">
        <v>2859</v>
      </c>
      <c r="BA120" s="89" t="s">
        <v>2859</v>
      </c>
      <c r="BB120" s="89" t="s">
        <v>2859</v>
      </c>
      <c r="BC120" s="89" t="s">
        <v>2859</v>
      </c>
      <c r="BD120" s="89" t="s">
        <v>2859</v>
      </c>
      <c r="BE120" s="89" t="s">
        <v>2859</v>
      </c>
      <c r="BF120" s="89" t="s">
        <v>2859</v>
      </c>
      <c r="BG120" s="89" t="s">
        <v>2859</v>
      </c>
      <c r="BH120" s="89" t="s">
        <v>2859</v>
      </c>
      <c r="BI120" s="89" t="s">
        <v>2859</v>
      </c>
      <c r="BJ120" s="89" t="s">
        <v>2859</v>
      </c>
      <c r="BK120" s="89" t="s">
        <v>2859</v>
      </c>
      <c r="BL120" s="89" t="s">
        <v>2859</v>
      </c>
      <c r="BM120" s="89" t="s">
        <v>2859</v>
      </c>
      <c r="BN120" s="89" t="s">
        <v>2859</v>
      </c>
      <c r="BO120" s="89" t="s">
        <v>2859</v>
      </c>
      <c r="BP120" s="89" t="s">
        <v>2859</v>
      </c>
      <c r="BQ120" s="89" t="s">
        <v>3807</v>
      </c>
      <c r="BR120" s="89" t="s">
        <v>2859</v>
      </c>
    </row>
    <row r="121" spans="1:70">
      <c r="A121" s="89" t="s">
        <v>2173</v>
      </c>
      <c r="B121" s="89" t="s">
        <v>2413</v>
      </c>
      <c r="C121" s="89" t="s">
        <v>2407</v>
      </c>
      <c r="D121" s="89" t="s">
        <v>2859</v>
      </c>
      <c r="E121" s="89" t="s">
        <v>2859</v>
      </c>
      <c r="F121" s="89" t="s">
        <v>2859</v>
      </c>
      <c r="G121" s="89" t="s">
        <v>2860</v>
      </c>
      <c r="H121" s="89" t="s">
        <v>2859</v>
      </c>
      <c r="I121" s="89" t="s">
        <v>120</v>
      </c>
      <c r="J121" s="89" t="s">
        <v>3808</v>
      </c>
      <c r="K121" s="89" t="s">
        <v>2860</v>
      </c>
      <c r="L121" s="89" t="s">
        <v>1463</v>
      </c>
      <c r="M121" s="89" t="s">
        <v>3808</v>
      </c>
      <c r="N121" s="89" t="s">
        <v>2860</v>
      </c>
      <c r="O121" s="89" t="s">
        <v>1396</v>
      </c>
      <c r="P121" s="89" t="s">
        <v>3808</v>
      </c>
      <c r="Q121" s="89" t="s">
        <v>2860</v>
      </c>
      <c r="R121" s="89" t="s">
        <v>3809</v>
      </c>
      <c r="S121" s="89" t="s">
        <v>3808</v>
      </c>
      <c r="T121" s="89" t="s">
        <v>2860</v>
      </c>
      <c r="U121" s="89" t="s">
        <v>2872</v>
      </c>
      <c r="V121" s="89" t="s">
        <v>3808</v>
      </c>
      <c r="W121" s="89" t="s">
        <v>2860</v>
      </c>
      <c r="X121" s="89" t="s">
        <v>3810</v>
      </c>
      <c r="Y121" s="89" t="s">
        <v>3808</v>
      </c>
      <c r="Z121" s="89" t="s">
        <v>2860</v>
      </c>
      <c r="AA121" s="89" t="s">
        <v>3811</v>
      </c>
      <c r="AB121" s="89" t="s">
        <v>3808</v>
      </c>
      <c r="AC121" s="89" t="s">
        <v>2860</v>
      </c>
      <c r="AD121" s="89" t="s">
        <v>3101</v>
      </c>
      <c r="AE121" s="89" t="s">
        <v>3808</v>
      </c>
      <c r="AF121" s="89" t="s">
        <v>2860</v>
      </c>
      <c r="AG121" s="89" t="s">
        <v>2893</v>
      </c>
      <c r="AH121" s="89" t="s">
        <v>3808</v>
      </c>
      <c r="AI121" s="89" t="s">
        <v>2860</v>
      </c>
      <c r="AJ121" s="89" t="s">
        <v>3812</v>
      </c>
      <c r="AK121" s="89" t="s">
        <v>3808</v>
      </c>
      <c r="AL121" s="89" t="s">
        <v>2860</v>
      </c>
      <c r="AM121" s="89" t="s">
        <v>3813</v>
      </c>
      <c r="AN121" s="89" t="s">
        <v>3808</v>
      </c>
      <c r="AO121" s="89" t="s">
        <v>2860</v>
      </c>
      <c r="AP121" s="89" t="s">
        <v>2859</v>
      </c>
      <c r="AQ121" s="89" t="s">
        <v>2859</v>
      </c>
      <c r="AR121" s="89" t="s">
        <v>2859</v>
      </c>
      <c r="AS121" s="89" t="s">
        <v>2859</v>
      </c>
      <c r="AT121" s="89" t="s">
        <v>2859</v>
      </c>
      <c r="AU121" s="89" t="s">
        <v>2859</v>
      </c>
      <c r="AV121" s="89" t="s">
        <v>2859</v>
      </c>
      <c r="AW121" s="89" t="s">
        <v>2859</v>
      </c>
      <c r="AX121" s="89" t="s">
        <v>2859</v>
      </c>
      <c r="AY121" s="89" t="s">
        <v>2859</v>
      </c>
      <c r="AZ121" s="89" t="s">
        <v>2859</v>
      </c>
      <c r="BA121" s="89" t="s">
        <v>2859</v>
      </c>
      <c r="BB121" s="89" t="s">
        <v>2859</v>
      </c>
      <c r="BC121" s="89" t="s">
        <v>2859</v>
      </c>
      <c r="BD121" s="89" t="s">
        <v>2859</v>
      </c>
      <c r="BE121" s="89" t="s">
        <v>2859</v>
      </c>
      <c r="BF121" s="89" t="s">
        <v>2859</v>
      </c>
      <c r="BG121" s="89" t="s">
        <v>2859</v>
      </c>
      <c r="BH121" s="89" t="s">
        <v>2859</v>
      </c>
      <c r="BI121" s="89" t="s">
        <v>2859</v>
      </c>
      <c r="BJ121" s="89" t="s">
        <v>2859</v>
      </c>
      <c r="BK121" s="89" t="s">
        <v>2859</v>
      </c>
      <c r="BL121" s="89" t="s">
        <v>2859</v>
      </c>
      <c r="BM121" s="89" t="s">
        <v>2859</v>
      </c>
      <c r="BN121" s="89" t="s">
        <v>2859</v>
      </c>
      <c r="BO121" s="89" t="s">
        <v>2859</v>
      </c>
      <c r="BP121" s="89" t="s">
        <v>2859</v>
      </c>
      <c r="BQ121" s="89" t="s">
        <v>3814</v>
      </c>
      <c r="BR121" s="89" t="s">
        <v>2859</v>
      </c>
    </row>
    <row r="122" spans="1:70">
      <c r="A122" s="89" t="s">
        <v>2173</v>
      </c>
      <c r="B122" s="89" t="s">
        <v>2532</v>
      </c>
      <c r="C122" s="89" t="s">
        <v>2529</v>
      </c>
      <c r="D122" s="89" t="s">
        <v>2859</v>
      </c>
      <c r="E122" s="89" t="s">
        <v>2859</v>
      </c>
      <c r="F122" s="89" t="s">
        <v>2859</v>
      </c>
      <c r="G122" s="89" t="s">
        <v>2860</v>
      </c>
      <c r="H122" s="89" t="s">
        <v>2859</v>
      </c>
      <c r="I122" s="89" t="s">
        <v>120</v>
      </c>
      <c r="J122" s="89" t="s">
        <v>2859</v>
      </c>
      <c r="K122" s="89" t="s">
        <v>2859</v>
      </c>
      <c r="L122" s="89" t="s">
        <v>2891</v>
      </c>
      <c r="M122" s="89" t="s">
        <v>2859</v>
      </c>
      <c r="N122" s="89" t="s">
        <v>2859</v>
      </c>
      <c r="O122" s="89" t="s">
        <v>1463</v>
      </c>
      <c r="P122" s="89" t="s">
        <v>2859</v>
      </c>
      <c r="Q122" s="89" t="s">
        <v>2859</v>
      </c>
      <c r="R122" s="89" t="s">
        <v>2859</v>
      </c>
      <c r="S122" s="89" t="s">
        <v>2859</v>
      </c>
      <c r="T122" s="89" t="s">
        <v>2859</v>
      </c>
      <c r="U122" s="89" t="s">
        <v>2859</v>
      </c>
      <c r="V122" s="89" t="s">
        <v>2859</v>
      </c>
      <c r="W122" s="89" t="s">
        <v>2859</v>
      </c>
      <c r="X122" s="89" t="s">
        <v>2859</v>
      </c>
      <c r="Y122" s="89" t="s">
        <v>2859</v>
      </c>
      <c r="Z122" s="89" t="s">
        <v>2859</v>
      </c>
      <c r="AA122" s="89" t="s">
        <v>2859</v>
      </c>
      <c r="AB122" s="89" t="s">
        <v>2859</v>
      </c>
      <c r="AC122" s="89" t="s">
        <v>2859</v>
      </c>
      <c r="AD122" s="89" t="s">
        <v>2859</v>
      </c>
      <c r="AE122" s="89" t="s">
        <v>2859</v>
      </c>
      <c r="AF122" s="89" t="s">
        <v>2859</v>
      </c>
      <c r="AG122" s="89" t="s">
        <v>2859</v>
      </c>
      <c r="AH122" s="89" t="s">
        <v>2859</v>
      </c>
      <c r="AI122" s="89" t="s">
        <v>2859</v>
      </c>
      <c r="AJ122" s="89" t="s">
        <v>2859</v>
      </c>
      <c r="AK122" s="89" t="s">
        <v>2859</v>
      </c>
      <c r="AL122" s="89" t="s">
        <v>2859</v>
      </c>
      <c r="AM122" s="89" t="s">
        <v>2859</v>
      </c>
      <c r="AN122" s="89" t="s">
        <v>2859</v>
      </c>
      <c r="AO122" s="89" t="s">
        <v>2859</v>
      </c>
      <c r="AP122" s="89" t="s">
        <v>2859</v>
      </c>
      <c r="AQ122" s="89" t="s">
        <v>2859</v>
      </c>
      <c r="AR122" s="89" t="s">
        <v>2859</v>
      </c>
      <c r="AS122" s="89" t="s">
        <v>2859</v>
      </c>
      <c r="AT122" s="89" t="s">
        <v>2859</v>
      </c>
      <c r="AU122" s="89" t="s">
        <v>2859</v>
      </c>
      <c r="AV122" s="89" t="s">
        <v>2859</v>
      </c>
      <c r="AW122" s="89" t="s">
        <v>2859</v>
      </c>
      <c r="AX122" s="89" t="s">
        <v>2859</v>
      </c>
      <c r="AY122" s="89" t="s">
        <v>2859</v>
      </c>
      <c r="AZ122" s="89" t="s">
        <v>2859</v>
      </c>
      <c r="BA122" s="89" t="s">
        <v>2859</v>
      </c>
      <c r="BB122" s="89" t="s">
        <v>2859</v>
      </c>
      <c r="BC122" s="89" t="s">
        <v>2859</v>
      </c>
      <c r="BD122" s="89" t="s">
        <v>2859</v>
      </c>
      <c r="BE122" s="89" t="s">
        <v>2859</v>
      </c>
      <c r="BF122" s="89" t="s">
        <v>2859</v>
      </c>
      <c r="BG122" s="89" t="s">
        <v>2859</v>
      </c>
      <c r="BH122" s="89" t="s">
        <v>2859</v>
      </c>
      <c r="BI122" s="89" t="s">
        <v>2859</v>
      </c>
      <c r="BJ122" s="89" t="s">
        <v>2859</v>
      </c>
      <c r="BK122" s="89" t="s">
        <v>2859</v>
      </c>
      <c r="BL122" s="89" t="s">
        <v>2859</v>
      </c>
      <c r="BM122" s="89" t="s">
        <v>2859</v>
      </c>
      <c r="BN122" s="89" t="s">
        <v>2859</v>
      </c>
      <c r="BO122" s="89" t="s">
        <v>2859</v>
      </c>
      <c r="BP122" s="89" t="s">
        <v>2859</v>
      </c>
      <c r="BQ122" s="89" t="s">
        <v>3815</v>
      </c>
      <c r="BR122" s="89" t="s">
        <v>2859</v>
      </c>
    </row>
    <row r="123" spans="1:70">
      <c r="A123" s="89" t="s">
        <v>2173</v>
      </c>
      <c r="B123" s="89" t="s">
        <v>3816</v>
      </c>
      <c r="C123" s="89" t="s">
        <v>2859</v>
      </c>
      <c r="D123" s="89" t="s">
        <v>2859</v>
      </c>
      <c r="E123" s="89" t="s">
        <v>2859</v>
      </c>
      <c r="F123" s="89" t="s">
        <v>2859</v>
      </c>
      <c r="G123" s="89" t="s">
        <v>2860</v>
      </c>
      <c r="H123" s="89" t="s">
        <v>2859</v>
      </c>
      <c r="I123" s="89" t="s">
        <v>2865</v>
      </c>
      <c r="J123" s="89" t="s">
        <v>2859</v>
      </c>
      <c r="K123" s="89" t="s">
        <v>2859</v>
      </c>
      <c r="L123" s="89" t="s">
        <v>2859</v>
      </c>
      <c r="M123" s="89" t="s">
        <v>2859</v>
      </c>
      <c r="N123" s="89" t="s">
        <v>2859</v>
      </c>
      <c r="O123" s="89" t="s">
        <v>2859</v>
      </c>
      <c r="P123" s="89" t="s">
        <v>2859</v>
      </c>
      <c r="Q123" s="89" t="s">
        <v>2859</v>
      </c>
      <c r="R123" s="89" t="s">
        <v>2859</v>
      </c>
      <c r="S123" s="89" t="s">
        <v>2859</v>
      </c>
      <c r="T123" s="89" t="s">
        <v>2859</v>
      </c>
      <c r="U123" s="89" t="s">
        <v>2859</v>
      </c>
      <c r="V123" s="89" t="s">
        <v>2859</v>
      </c>
      <c r="W123" s="89" t="s">
        <v>2859</v>
      </c>
      <c r="X123" s="89" t="s">
        <v>2859</v>
      </c>
      <c r="Y123" s="89" t="s">
        <v>2859</v>
      </c>
      <c r="Z123" s="89" t="s">
        <v>2859</v>
      </c>
      <c r="AA123" s="89" t="s">
        <v>2859</v>
      </c>
      <c r="AB123" s="89" t="s">
        <v>2859</v>
      </c>
      <c r="AC123" s="89" t="s">
        <v>2859</v>
      </c>
      <c r="AD123" s="89" t="s">
        <v>2859</v>
      </c>
      <c r="AE123" s="89" t="s">
        <v>2859</v>
      </c>
      <c r="AF123" s="89" t="s">
        <v>2859</v>
      </c>
      <c r="AG123" s="89" t="s">
        <v>2859</v>
      </c>
      <c r="AH123" s="89" t="s">
        <v>2859</v>
      </c>
      <c r="AI123" s="89" t="s">
        <v>2859</v>
      </c>
      <c r="AJ123" s="89" t="s">
        <v>2859</v>
      </c>
      <c r="AK123" s="89" t="s">
        <v>2859</v>
      </c>
      <c r="AL123" s="89" t="s">
        <v>2859</v>
      </c>
      <c r="AM123" s="89" t="s">
        <v>2859</v>
      </c>
      <c r="AN123" s="89" t="s">
        <v>2859</v>
      </c>
      <c r="AO123" s="89" t="s">
        <v>2859</v>
      </c>
      <c r="AP123" s="89" t="s">
        <v>2859</v>
      </c>
      <c r="AQ123" s="89" t="s">
        <v>2859</v>
      </c>
      <c r="AR123" s="89" t="s">
        <v>2859</v>
      </c>
      <c r="AS123" s="89" t="s">
        <v>2859</v>
      </c>
      <c r="AT123" s="89" t="s">
        <v>2859</v>
      </c>
      <c r="AU123" s="89" t="s">
        <v>2859</v>
      </c>
      <c r="AV123" s="89" t="s">
        <v>2859</v>
      </c>
      <c r="AW123" s="89" t="s">
        <v>2859</v>
      </c>
      <c r="AX123" s="89" t="s">
        <v>2859</v>
      </c>
      <c r="AY123" s="89" t="s">
        <v>2859</v>
      </c>
      <c r="AZ123" s="89" t="s">
        <v>2859</v>
      </c>
      <c r="BA123" s="89" t="s">
        <v>2859</v>
      </c>
      <c r="BB123" s="89" t="s">
        <v>2859</v>
      </c>
      <c r="BC123" s="89" t="s">
        <v>2859</v>
      </c>
      <c r="BD123" s="89" t="s">
        <v>2859</v>
      </c>
      <c r="BE123" s="89" t="s">
        <v>2859</v>
      </c>
      <c r="BF123" s="89" t="s">
        <v>2859</v>
      </c>
      <c r="BG123" s="89" t="s">
        <v>2859</v>
      </c>
      <c r="BH123" s="89" t="s">
        <v>2859</v>
      </c>
      <c r="BI123" s="89" t="s">
        <v>2859</v>
      </c>
      <c r="BJ123" s="89" t="s">
        <v>2859</v>
      </c>
      <c r="BK123" s="89" t="s">
        <v>2859</v>
      </c>
      <c r="BL123" s="89" t="s">
        <v>2859</v>
      </c>
      <c r="BM123" s="89" t="s">
        <v>2859</v>
      </c>
      <c r="BN123" s="89" t="s">
        <v>2859</v>
      </c>
      <c r="BO123" s="89" t="s">
        <v>2859</v>
      </c>
      <c r="BP123" s="89" t="s">
        <v>2859</v>
      </c>
      <c r="BQ123" s="89" t="s">
        <v>3817</v>
      </c>
      <c r="BR123" s="89" t="s">
        <v>2859</v>
      </c>
    </row>
    <row r="124" spans="1:70">
      <c r="A124" s="89" t="s">
        <v>2173</v>
      </c>
      <c r="B124" s="89" t="s">
        <v>3818</v>
      </c>
      <c r="C124" s="89" t="s">
        <v>3800</v>
      </c>
      <c r="D124" s="89" t="s">
        <v>2859</v>
      </c>
      <c r="E124" s="89" t="s">
        <v>2859</v>
      </c>
      <c r="F124" s="89" t="s">
        <v>2859</v>
      </c>
      <c r="G124" s="89" t="s">
        <v>2860</v>
      </c>
      <c r="H124" s="89" t="s">
        <v>2859</v>
      </c>
      <c r="I124" s="89" t="s">
        <v>2865</v>
      </c>
      <c r="J124" s="89" t="s">
        <v>2859</v>
      </c>
      <c r="K124" s="89" t="s">
        <v>2859</v>
      </c>
      <c r="L124" s="89" t="s">
        <v>2859</v>
      </c>
      <c r="M124" s="89" t="s">
        <v>2859</v>
      </c>
      <c r="N124" s="89" t="s">
        <v>2859</v>
      </c>
      <c r="O124" s="89" t="s">
        <v>2859</v>
      </c>
      <c r="P124" s="89" t="s">
        <v>2859</v>
      </c>
      <c r="Q124" s="89" t="s">
        <v>2859</v>
      </c>
      <c r="R124" s="89" t="s">
        <v>2859</v>
      </c>
      <c r="S124" s="89" t="s">
        <v>2859</v>
      </c>
      <c r="T124" s="89" t="s">
        <v>2859</v>
      </c>
      <c r="U124" s="89" t="s">
        <v>2859</v>
      </c>
      <c r="V124" s="89" t="s">
        <v>2859</v>
      </c>
      <c r="W124" s="89" t="s">
        <v>2859</v>
      </c>
      <c r="X124" s="89" t="s">
        <v>2859</v>
      </c>
      <c r="Y124" s="89" t="s">
        <v>2859</v>
      </c>
      <c r="Z124" s="89" t="s">
        <v>2859</v>
      </c>
      <c r="AA124" s="89" t="s">
        <v>2859</v>
      </c>
      <c r="AB124" s="89" t="s">
        <v>2859</v>
      </c>
      <c r="AC124" s="89" t="s">
        <v>2859</v>
      </c>
      <c r="AD124" s="89" t="s">
        <v>2859</v>
      </c>
      <c r="AE124" s="89" t="s">
        <v>2859</v>
      </c>
      <c r="AF124" s="89" t="s">
        <v>2859</v>
      </c>
      <c r="AG124" s="89" t="s">
        <v>2859</v>
      </c>
      <c r="AH124" s="89" t="s">
        <v>2859</v>
      </c>
      <c r="AI124" s="89" t="s">
        <v>2859</v>
      </c>
      <c r="AJ124" s="89" t="s">
        <v>2859</v>
      </c>
      <c r="AK124" s="89" t="s">
        <v>2859</v>
      </c>
      <c r="AL124" s="89" t="s">
        <v>2859</v>
      </c>
      <c r="AM124" s="89" t="s">
        <v>2859</v>
      </c>
      <c r="AN124" s="89" t="s">
        <v>2859</v>
      </c>
      <c r="AO124" s="89" t="s">
        <v>2859</v>
      </c>
      <c r="AP124" s="89" t="s">
        <v>2859</v>
      </c>
      <c r="AQ124" s="89" t="s">
        <v>2859</v>
      </c>
      <c r="AR124" s="89" t="s">
        <v>2859</v>
      </c>
      <c r="AS124" s="89" t="s">
        <v>2859</v>
      </c>
      <c r="AT124" s="89" t="s">
        <v>2859</v>
      </c>
      <c r="AU124" s="89" t="s">
        <v>2859</v>
      </c>
      <c r="AV124" s="89" t="s">
        <v>2859</v>
      </c>
      <c r="AW124" s="89" t="s">
        <v>2859</v>
      </c>
      <c r="AX124" s="89" t="s">
        <v>2859</v>
      </c>
      <c r="AY124" s="89" t="s">
        <v>2859</v>
      </c>
      <c r="AZ124" s="89" t="s">
        <v>2859</v>
      </c>
      <c r="BA124" s="89" t="s">
        <v>2859</v>
      </c>
      <c r="BB124" s="89" t="s">
        <v>2859</v>
      </c>
      <c r="BC124" s="89" t="s">
        <v>2859</v>
      </c>
      <c r="BD124" s="89" t="s">
        <v>2859</v>
      </c>
      <c r="BE124" s="89" t="s">
        <v>2859</v>
      </c>
      <c r="BF124" s="89" t="s">
        <v>2859</v>
      </c>
      <c r="BG124" s="89" t="s">
        <v>2859</v>
      </c>
      <c r="BH124" s="89" t="s">
        <v>2859</v>
      </c>
      <c r="BI124" s="89" t="s">
        <v>2859</v>
      </c>
      <c r="BJ124" s="89" t="s">
        <v>2859</v>
      </c>
      <c r="BK124" s="89" t="s">
        <v>2859</v>
      </c>
      <c r="BL124" s="89" t="s">
        <v>2859</v>
      </c>
      <c r="BM124" s="89" t="s">
        <v>2859</v>
      </c>
      <c r="BN124" s="89" t="s">
        <v>2859</v>
      </c>
      <c r="BO124" s="89" t="s">
        <v>2859</v>
      </c>
      <c r="BP124" s="89" t="s">
        <v>2859</v>
      </c>
      <c r="BQ124" s="89" t="s">
        <v>3819</v>
      </c>
      <c r="BR124" s="89" t="s">
        <v>2859</v>
      </c>
    </row>
    <row r="125" spans="1:70">
      <c r="A125" s="89" t="s">
        <v>2173</v>
      </c>
      <c r="B125" s="89" t="s">
        <v>2360</v>
      </c>
      <c r="C125" s="89" t="s">
        <v>2859</v>
      </c>
      <c r="D125" s="89" t="s">
        <v>2859</v>
      </c>
      <c r="E125" s="89" t="s">
        <v>2859</v>
      </c>
      <c r="F125" s="89" t="s">
        <v>2859</v>
      </c>
      <c r="G125" s="89" t="s">
        <v>2860</v>
      </c>
      <c r="H125" s="89" t="s">
        <v>2859</v>
      </c>
      <c r="I125" s="89" t="s">
        <v>2317</v>
      </c>
      <c r="J125" s="89" t="s">
        <v>2361</v>
      </c>
      <c r="K125" s="89" t="s">
        <v>2867</v>
      </c>
      <c r="L125" s="89" t="s">
        <v>2859</v>
      </c>
      <c r="M125" s="89" t="s">
        <v>2859</v>
      </c>
      <c r="N125" s="89" t="s">
        <v>2859</v>
      </c>
      <c r="O125" s="89" t="s">
        <v>2859</v>
      </c>
      <c r="P125" s="89" t="s">
        <v>2859</v>
      </c>
      <c r="Q125" s="89" t="s">
        <v>2859</v>
      </c>
      <c r="R125" s="89" t="s">
        <v>2859</v>
      </c>
      <c r="S125" s="89" t="s">
        <v>2859</v>
      </c>
      <c r="T125" s="89" t="s">
        <v>2859</v>
      </c>
      <c r="U125" s="89" t="s">
        <v>2859</v>
      </c>
      <c r="V125" s="89" t="s">
        <v>2859</v>
      </c>
      <c r="W125" s="89" t="s">
        <v>2859</v>
      </c>
      <c r="X125" s="89" t="s">
        <v>2859</v>
      </c>
      <c r="Y125" s="89" t="s">
        <v>2859</v>
      </c>
      <c r="Z125" s="89" t="s">
        <v>2859</v>
      </c>
      <c r="AA125" s="89" t="s">
        <v>2859</v>
      </c>
      <c r="AB125" s="89" t="s">
        <v>2859</v>
      </c>
      <c r="AC125" s="89" t="s">
        <v>2859</v>
      </c>
      <c r="AD125" s="89" t="s">
        <v>2859</v>
      </c>
      <c r="AE125" s="89" t="s">
        <v>2859</v>
      </c>
      <c r="AF125" s="89" t="s">
        <v>2859</v>
      </c>
      <c r="AG125" s="89" t="s">
        <v>2859</v>
      </c>
      <c r="AH125" s="89" t="s">
        <v>2859</v>
      </c>
      <c r="AI125" s="89" t="s">
        <v>2859</v>
      </c>
      <c r="AJ125" s="89" t="s">
        <v>2859</v>
      </c>
      <c r="AK125" s="89" t="s">
        <v>2859</v>
      </c>
      <c r="AL125" s="89" t="s">
        <v>2859</v>
      </c>
      <c r="AM125" s="89" t="s">
        <v>2859</v>
      </c>
      <c r="AN125" s="89" t="s">
        <v>2859</v>
      </c>
      <c r="AO125" s="89" t="s">
        <v>2859</v>
      </c>
      <c r="AP125" s="89" t="s">
        <v>2859</v>
      </c>
      <c r="AQ125" s="89" t="s">
        <v>2859</v>
      </c>
      <c r="AR125" s="89" t="s">
        <v>2859</v>
      </c>
      <c r="AS125" s="89" t="s">
        <v>2859</v>
      </c>
      <c r="AT125" s="89" t="s">
        <v>2859</v>
      </c>
      <c r="AU125" s="89" t="s">
        <v>2859</v>
      </c>
      <c r="AV125" s="89" t="s">
        <v>2859</v>
      </c>
      <c r="AW125" s="89" t="s">
        <v>2859</v>
      </c>
      <c r="AX125" s="89" t="s">
        <v>2859</v>
      </c>
      <c r="AY125" s="89" t="s">
        <v>2859</v>
      </c>
      <c r="AZ125" s="89" t="s">
        <v>2859</v>
      </c>
      <c r="BA125" s="89" t="s">
        <v>2859</v>
      </c>
      <c r="BB125" s="89" t="s">
        <v>2859</v>
      </c>
      <c r="BC125" s="89" t="s">
        <v>2859</v>
      </c>
      <c r="BD125" s="89" t="s">
        <v>2859</v>
      </c>
      <c r="BE125" s="89" t="s">
        <v>2859</v>
      </c>
      <c r="BF125" s="89" t="s">
        <v>2859</v>
      </c>
      <c r="BG125" s="89" t="s">
        <v>2859</v>
      </c>
      <c r="BH125" s="89" t="s">
        <v>2859</v>
      </c>
      <c r="BI125" s="89" t="s">
        <v>2859</v>
      </c>
      <c r="BJ125" s="89" t="s">
        <v>2859</v>
      </c>
      <c r="BK125" s="89" t="s">
        <v>2859</v>
      </c>
      <c r="BL125" s="89" t="s">
        <v>2859</v>
      </c>
      <c r="BM125" s="89" t="s">
        <v>2859</v>
      </c>
      <c r="BN125" s="89" t="s">
        <v>2859</v>
      </c>
      <c r="BO125" s="89" t="s">
        <v>2859</v>
      </c>
      <c r="BP125" s="89" t="s">
        <v>2859</v>
      </c>
      <c r="BQ125" s="89" t="s">
        <v>3820</v>
      </c>
      <c r="BR125" s="89" t="s">
        <v>2869</v>
      </c>
    </row>
    <row r="126" spans="1:70">
      <c r="A126" s="89" t="s">
        <v>2173</v>
      </c>
      <c r="B126" s="89" t="s">
        <v>2417</v>
      </c>
      <c r="C126" s="89" t="s">
        <v>2859</v>
      </c>
      <c r="D126" s="89" t="s">
        <v>2859</v>
      </c>
      <c r="E126" s="89" t="s">
        <v>2859</v>
      </c>
      <c r="F126" s="89" t="s">
        <v>2859</v>
      </c>
      <c r="G126" s="89" t="s">
        <v>2860</v>
      </c>
      <c r="H126" s="89" t="s">
        <v>2859</v>
      </c>
      <c r="I126" s="89" t="s">
        <v>621</v>
      </c>
      <c r="J126" s="89" t="s">
        <v>2361</v>
      </c>
      <c r="K126" s="89" t="s">
        <v>2867</v>
      </c>
      <c r="L126" s="89" t="s">
        <v>2859</v>
      </c>
      <c r="M126" s="89" t="s">
        <v>2859</v>
      </c>
      <c r="N126" s="89" t="s">
        <v>2859</v>
      </c>
      <c r="O126" s="89" t="s">
        <v>2859</v>
      </c>
      <c r="P126" s="89" t="s">
        <v>2859</v>
      </c>
      <c r="Q126" s="89" t="s">
        <v>2859</v>
      </c>
      <c r="R126" s="89" t="s">
        <v>2859</v>
      </c>
      <c r="S126" s="89" t="s">
        <v>2859</v>
      </c>
      <c r="T126" s="89" t="s">
        <v>2859</v>
      </c>
      <c r="U126" s="89" t="s">
        <v>2859</v>
      </c>
      <c r="V126" s="89" t="s">
        <v>2859</v>
      </c>
      <c r="W126" s="89" t="s">
        <v>2859</v>
      </c>
      <c r="X126" s="89" t="s">
        <v>2859</v>
      </c>
      <c r="Y126" s="89" t="s">
        <v>2859</v>
      </c>
      <c r="Z126" s="89" t="s">
        <v>2859</v>
      </c>
      <c r="AA126" s="89" t="s">
        <v>2859</v>
      </c>
      <c r="AB126" s="89" t="s">
        <v>2859</v>
      </c>
      <c r="AC126" s="89" t="s">
        <v>2859</v>
      </c>
      <c r="AD126" s="89" t="s">
        <v>2859</v>
      </c>
      <c r="AE126" s="89" t="s">
        <v>2859</v>
      </c>
      <c r="AF126" s="89" t="s">
        <v>2859</v>
      </c>
      <c r="AG126" s="89" t="s">
        <v>2859</v>
      </c>
      <c r="AH126" s="89" t="s">
        <v>2859</v>
      </c>
      <c r="AI126" s="89" t="s">
        <v>2859</v>
      </c>
      <c r="AJ126" s="89" t="s">
        <v>2859</v>
      </c>
      <c r="AK126" s="89" t="s">
        <v>2859</v>
      </c>
      <c r="AL126" s="89" t="s">
        <v>2859</v>
      </c>
      <c r="AM126" s="89" t="s">
        <v>2859</v>
      </c>
      <c r="AN126" s="89" t="s">
        <v>2859</v>
      </c>
      <c r="AO126" s="89" t="s">
        <v>2859</v>
      </c>
      <c r="AP126" s="89" t="s">
        <v>2859</v>
      </c>
      <c r="AQ126" s="89" t="s">
        <v>2859</v>
      </c>
      <c r="AR126" s="89" t="s">
        <v>2859</v>
      </c>
      <c r="AS126" s="89" t="s">
        <v>2859</v>
      </c>
      <c r="AT126" s="89" t="s">
        <v>2859</v>
      </c>
      <c r="AU126" s="89" t="s">
        <v>2859</v>
      </c>
      <c r="AV126" s="89" t="s">
        <v>2859</v>
      </c>
      <c r="AW126" s="89" t="s">
        <v>2859</v>
      </c>
      <c r="AX126" s="89" t="s">
        <v>2859</v>
      </c>
      <c r="AY126" s="89" t="s">
        <v>2859</v>
      </c>
      <c r="AZ126" s="89" t="s">
        <v>2859</v>
      </c>
      <c r="BA126" s="89" t="s">
        <v>2859</v>
      </c>
      <c r="BB126" s="89" t="s">
        <v>2859</v>
      </c>
      <c r="BC126" s="89" t="s">
        <v>2859</v>
      </c>
      <c r="BD126" s="89" t="s">
        <v>2859</v>
      </c>
      <c r="BE126" s="89" t="s">
        <v>2859</v>
      </c>
      <c r="BF126" s="89" t="s">
        <v>2859</v>
      </c>
      <c r="BG126" s="89" t="s">
        <v>2859</v>
      </c>
      <c r="BH126" s="89" t="s">
        <v>2859</v>
      </c>
      <c r="BI126" s="89" t="s">
        <v>2859</v>
      </c>
      <c r="BJ126" s="89" t="s">
        <v>2859</v>
      </c>
      <c r="BK126" s="89" t="s">
        <v>2859</v>
      </c>
      <c r="BL126" s="89" t="s">
        <v>2859</v>
      </c>
      <c r="BM126" s="89" t="s">
        <v>2859</v>
      </c>
      <c r="BN126" s="89" t="s">
        <v>2859</v>
      </c>
      <c r="BO126" s="89" t="s">
        <v>2859</v>
      </c>
      <c r="BP126" s="89" t="s">
        <v>2859</v>
      </c>
      <c r="BQ126" s="89" t="s">
        <v>3821</v>
      </c>
      <c r="BR126" s="89" t="s">
        <v>2869</v>
      </c>
    </row>
    <row r="127" spans="1:70">
      <c r="A127" s="89" t="s">
        <v>2173</v>
      </c>
      <c r="B127" s="89" t="s">
        <v>2534</v>
      </c>
      <c r="C127" s="89" t="s">
        <v>2363</v>
      </c>
      <c r="D127" s="89" t="s">
        <v>2859</v>
      </c>
      <c r="E127" s="89" t="s">
        <v>2859</v>
      </c>
      <c r="F127" s="89" t="s">
        <v>2859</v>
      </c>
      <c r="G127" s="89" t="s">
        <v>2860</v>
      </c>
      <c r="H127" s="89" t="s">
        <v>2859</v>
      </c>
      <c r="I127" s="89" t="s">
        <v>120</v>
      </c>
      <c r="J127" s="89" t="s">
        <v>2535</v>
      </c>
      <c r="K127" s="89" t="s">
        <v>2867</v>
      </c>
      <c r="L127" s="89" t="s">
        <v>2859</v>
      </c>
      <c r="M127" s="89" t="s">
        <v>2859</v>
      </c>
      <c r="N127" s="89" t="s">
        <v>2859</v>
      </c>
      <c r="O127" s="89" t="s">
        <v>2859</v>
      </c>
      <c r="P127" s="89" t="s">
        <v>2859</v>
      </c>
      <c r="Q127" s="89" t="s">
        <v>2859</v>
      </c>
      <c r="R127" s="89" t="s">
        <v>2859</v>
      </c>
      <c r="S127" s="89" t="s">
        <v>2859</v>
      </c>
      <c r="T127" s="89" t="s">
        <v>2859</v>
      </c>
      <c r="U127" s="89" t="s">
        <v>2859</v>
      </c>
      <c r="V127" s="89" t="s">
        <v>2859</v>
      </c>
      <c r="W127" s="89" t="s">
        <v>2859</v>
      </c>
      <c r="X127" s="89" t="s">
        <v>2859</v>
      </c>
      <c r="Y127" s="89" t="s">
        <v>2859</v>
      </c>
      <c r="Z127" s="89" t="s">
        <v>2859</v>
      </c>
      <c r="AA127" s="89" t="s">
        <v>2859</v>
      </c>
      <c r="AB127" s="89" t="s">
        <v>2859</v>
      </c>
      <c r="AC127" s="89" t="s">
        <v>2859</v>
      </c>
      <c r="AD127" s="89" t="s">
        <v>2859</v>
      </c>
      <c r="AE127" s="89" t="s">
        <v>2859</v>
      </c>
      <c r="AF127" s="89" t="s">
        <v>2859</v>
      </c>
      <c r="AG127" s="89" t="s">
        <v>2859</v>
      </c>
      <c r="AH127" s="89" t="s">
        <v>2859</v>
      </c>
      <c r="AI127" s="89" t="s">
        <v>2859</v>
      </c>
      <c r="AJ127" s="89" t="s">
        <v>2859</v>
      </c>
      <c r="AK127" s="89" t="s">
        <v>2859</v>
      </c>
      <c r="AL127" s="89" t="s">
        <v>2859</v>
      </c>
      <c r="AM127" s="89" t="s">
        <v>2859</v>
      </c>
      <c r="AN127" s="89" t="s">
        <v>2859</v>
      </c>
      <c r="AO127" s="89" t="s">
        <v>2859</v>
      </c>
      <c r="AP127" s="89" t="s">
        <v>2859</v>
      </c>
      <c r="AQ127" s="89" t="s">
        <v>2859</v>
      </c>
      <c r="AR127" s="89" t="s">
        <v>2859</v>
      </c>
      <c r="AS127" s="89" t="s">
        <v>2859</v>
      </c>
      <c r="AT127" s="89" t="s">
        <v>2859</v>
      </c>
      <c r="AU127" s="89" t="s">
        <v>2859</v>
      </c>
      <c r="AV127" s="89" t="s">
        <v>2859</v>
      </c>
      <c r="AW127" s="89" t="s">
        <v>2859</v>
      </c>
      <c r="AX127" s="89" t="s">
        <v>2859</v>
      </c>
      <c r="AY127" s="89" t="s">
        <v>2859</v>
      </c>
      <c r="AZ127" s="89" t="s">
        <v>2859</v>
      </c>
      <c r="BA127" s="89" t="s">
        <v>2859</v>
      </c>
      <c r="BB127" s="89" t="s">
        <v>2859</v>
      </c>
      <c r="BC127" s="89" t="s">
        <v>2859</v>
      </c>
      <c r="BD127" s="89" t="s">
        <v>2859</v>
      </c>
      <c r="BE127" s="89" t="s">
        <v>2859</v>
      </c>
      <c r="BF127" s="89" t="s">
        <v>2859</v>
      </c>
      <c r="BG127" s="89" t="s">
        <v>2859</v>
      </c>
      <c r="BH127" s="89" t="s">
        <v>2859</v>
      </c>
      <c r="BI127" s="89" t="s">
        <v>2859</v>
      </c>
      <c r="BJ127" s="89" t="s">
        <v>2859</v>
      </c>
      <c r="BK127" s="89" t="s">
        <v>2859</v>
      </c>
      <c r="BL127" s="89" t="s">
        <v>2859</v>
      </c>
      <c r="BM127" s="89" t="s">
        <v>2859</v>
      </c>
      <c r="BN127" s="89" t="s">
        <v>2859</v>
      </c>
      <c r="BO127" s="89" t="s">
        <v>2859</v>
      </c>
      <c r="BP127" s="89" t="s">
        <v>2859</v>
      </c>
      <c r="BQ127" s="89" t="s">
        <v>3822</v>
      </c>
      <c r="BR127" s="89" t="s">
        <v>2869</v>
      </c>
    </row>
    <row r="128" spans="1:70">
      <c r="A128" s="89" t="s">
        <v>2173</v>
      </c>
      <c r="B128" s="89" t="s">
        <v>2362</v>
      </c>
      <c r="C128" s="89" t="s">
        <v>2363</v>
      </c>
      <c r="D128" s="89" t="s">
        <v>2859</v>
      </c>
      <c r="E128" s="89" t="s">
        <v>2859</v>
      </c>
      <c r="F128" s="89" t="s">
        <v>2859</v>
      </c>
      <c r="G128" s="89" t="s">
        <v>2860</v>
      </c>
      <c r="H128" s="89" t="s">
        <v>2859</v>
      </c>
      <c r="I128" s="89" t="s">
        <v>2364</v>
      </c>
      <c r="J128" s="89" t="s">
        <v>2859</v>
      </c>
      <c r="K128" s="89" t="s">
        <v>2859</v>
      </c>
      <c r="L128" s="89" t="s">
        <v>2859</v>
      </c>
      <c r="M128" s="89" t="s">
        <v>2859</v>
      </c>
      <c r="N128" s="89" t="s">
        <v>2859</v>
      </c>
      <c r="O128" s="89" t="s">
        <v>2859</v>
      </c>
      <c r="P128" s="89" t="s">
        <v>2859</v>
      </c>
      <c r="Q128" s="89" t="s">
        <v>2859</v>
      </c>
      <c r="R128" s="89" t="s">
        <v>2859</v>
      </c>
      <c r="S128" s="89" t="s">
        <v>2859</v>
      </c>
      <c r="T128" s="89" t="s">
        <v>2859</v>
      </c>
      <c r="U128" s="89" t="s">
        <v>2859</v>
      </c>
      <c r="V128" s="89" t="s">
        <v>2859</v>
      </c>
      <c r="W128" s="89" t="s">
        <v>2859</v>
      </c>
      <c r="X128" s="89" t="s">
        <v>2859</v>
      </c>
      <c r="Y128" s="89" t="s">
        <v>2859</v>
      </c>
      <c r="Z128" s="89" t="s">
        <v>2859</v>
      </c>
      <c r="AA128" s="89" t="s">
        <v>2859</v>
      </c>
      <c r="AB128" s="89" t="s">
        <v>2859</v>
      </c>
      <c r="AC128" s="89" t="s">
        <v>2859</v>
      </c>
      <c r="AD128" s="89" t="s">
        <v>2859</v>
      </c>
      <c r="AE128" s="89" t="s">
        <v>2859</v>
      </c>
      <c r="AF128" s="89" t="s">
        <v>2859</v>
      </c>
      <c r="AG128" s="89" t="s">
        <v>2859</v>
      </c>
      <c r="AH128" s="89" t="s">
        <v>2859</v>
      </c>
      <c r="AI128" s="89" t="s">
        <v>2859</v>
      </c>
      <c r="AJ128" s="89" t="s">
        <v>2859</v>
      </c>
      <c r="AK128" s="89" t="s">
        <v>2859</v>
      </c>
      <c r="AL128" s="89" t="s">
        <v>2859</v>
      </c>
      <c r="AM128" s="89" t="s">
        <v>2859</v>
      </c>
      <c r="AN128" s="89" t="s">
        <v>2859</v>
      </c>
      <c r="AO128" s="89" t="s">
        <v>2859</v>
      </c>
      <c r="AP128" s="89" t="s">
        <v>2859</v>
      </c>
      <c r="AQ128" s="89" t="s">
        <v>2859</v>
      </c>
      <c r="AR128" s="89" t="s">
        <v>2859</v>
      </c>
      <c r="AS128" s="89" t="s">
        <v>2859</v>
      </c>
      <c r="AT128" s="89" t="s">
        <v>2859</v>
      </c>
      <c r="AU128" s="89" t="s">
        <v>2859</v>
      </c>
      <c r="AV128" s="89" t="s">
        <v>2859</v>
      </c>
      <c r="AW128" s="89" t="s">
        <v>2859</v>
      </c>
      <c r="AX128" s="89" t="s">
        <v>2859</v>
      </c>
      <c r="AY128" s="89" t="s">
        <v>2859</v>
      </c>
      <c r="AZ128" s="89" t="s">
        <v>2859</v>
      </c>
      <c r="BA128" s="89" t="s">
        <v>2859</v>
      </c>
      <c r="BB128" s="89" t="s">
        <v>2859</v>
      </c>
      <c r="BC128" s="89" t="s">
        <v>2859</v>
      </c>
      <c r="BD128" s="89" t="s">
        <v>2859</v>
      </c>
      <c r="BE128" s="89" t="s">
        <v>2859</v>
      </c>
      <c r="BF128" s="89" t="s">
        <v>2859</v>
      </c>
      <c r="BG128" s="89" t="s">
        <v>2859</v>
      </c>
      <c r="BH128" s="89" t="s">
        <v>2859</v>
      </c>
      <c r="BI128" s="89" t="s">
        <v>2859</v>
      </c>
      <c r="BJ128" s="89" t="s">
        <v>2859</v>
      </c>
      <c r="BK128" s="89" t="s">
        <v>2859</v>
      </c>
      <c r="BL128" s="89" t="s">
        <v>2859</v>
      </c>
      <c r="BM128" s="89" t="s">
        <v>2859</v>
      </c>
      <c r="BN128" s="89" t="s">
        <v>2859</v>
      </c>
      <c r="BO128" s="89" t="s">
        <v>2859</v>
      </c>
      <c r="BP128" s="89" t="s">
        <v>2859</v>
      </c>
      <c r="BQ128" s="89" t="s">
        <v>3823</v>
      </c>
      <c r="BR128" s="89" t="s">
        <v>2859</v>
      </c>
    </row>
    <row r="129" spans="1:70">
      <c r="A129" s="89" t="s">
        <v>2176</v>
      </c>
      <c r="B129" s="89" t="s">
        <v>2420</v>
      </c>
      <c r="C129" s="89" t="s">
        <v>2859</v>
      </c>
      <c r="D129" s="89" t="s">
        <v>2859</v>
      </c>
      <c r="E129" s="89" t="s">
        <v>2859</v>
      </c>
      <c r="F129" s="89" t="s">
        <v>2859</v>
      </c>
      <c r="G129" s="89" t="s">
        <v>2860</v>
      </c>
      <c r="H129" s="89" t="s">
        <v>2859</v>
      </c>
      <c r="I129" s="89" t="s">
        <v>621</v>
      </c>
      <c r="J129" s="89" t="s">
        <v>2859</v>
      </c>
      <c r="K129" s="89" t="s">
        <v>2859</v>
      </c>
      <c r="L129" s="89" t="s">
        <v>2859</v>
      </c>
      <c r="M129" s="89" t="s">
        <v>2859</v>
      </c>
      <c r="N129" s="89" t="s">
        <v>2859</v>
      </c>
      <c r="O129" s="89" t="s">
        <v>2859</v>
      </c>
      <c r="P129" s="89" t="s">
        <v>2859</v>
      </c>
      <c r="Q129" s="89" t="s">
        <v>2859</v>
      </c>
      <c r="R129" s="89" t="s">
        <v>2859</v>
      </c>
      <c r="S129" s="89" t="s">
        <v>2859</v>
      </c>
      <c r="T129" s="89" t="s">
        <v>2859</v>
      </c>
      <c r="U129" s="89" t="s">
        <v>2859</v>
      </c>
      <c r="V129" s="89" t="s">
        <v>2859</v>
      </c>
      <c r="W129" s="89" t="s">
        <v>2859</v>
      </c>
      <c r="X129" s="89" t="s">
        <v>2859</v>
      </c>
      <c r="Y129" s="89" t="s">
        <v>2859</v>
      </c>
      <c r="Z129" s="89" t="s">
        <v>2859</v>
      </c>
      <c r="AA129" s="89" t="s">
        <v>2859</v>
      </c>
      <c r="AB129" s="89" t="s">
        <v>2859</v>
      </c>
      <c r="AC129" s="89" t="s">
        <v>2859</v>
      </c>
      <c r="AD129" s="89" t="s">
        <v>2859</v>
      </c>
      <c r="AE129" s="89" t="s">
        <v>2859</v>
      </c>
      <c r="AF129" s="89" t="s">
        <v>2859</v>
      </c>
      <c r="AG129" s="89" t="s">
        <v>2859</v>
      </c>
      <c r="AH129" s="89" t="s">
        <v>2859</v>
      </c>
      <c r="AI129" s="89" t="s">
        <v>2859</v>
      </c>
      <c r="AJ129" s="89" t="s">
        <v>2859</v>
      </c>
      <c r="AK129" s="89" t="s">
        <v>2859</v>
      </c>
      <c r="AL129" s="89" t="s">
        <v>2859</v>
      </c>
      <c r="AM129" s="89" t="s">
        <v>2859</v>
      </c>
      <c r="AN129" s="89" t="s">
        <v>2859</v>
      </c>
      <c r="AO129" s="89" t="s">
        <v>2859</v>
      </c>
      <c r="AP129" s="89" t="s">
        <v>2859</v>
      </c>
      <c r="AQ129" s="89" t="s">
        <v>2859</v>
      </c>
      <c r="AR129" s="89" t="s">
        <v>2859</v>
      </c>
      <c r="AS129" s="89" t="s">
        <v>2859</v>
      </c>
      <c r="AT129" s="89" t="s">
        <v>2859</v>
      </c>
      <c r="AU129" s="89" t="s">
        <v>2859</v>
      </c>
      <c r="AV129" s="89" t="s">
        <v>2859</v>
      </c>
      <c r="AW129" s="89" t="s">
        <v>2859</v>
      </c>
      <c r="AX129" s="89" t="s">
        <v>2859</v>
      </c>
      <c r="AY129" s="89" t="s">
        <v>2859</v>
      </c>
      <c r="AZ129" s="89" t="s">
        <v>2859</v>
      </c>
      <c r="BA129" s="89" t="s">
        <v>2859</v>
      </c>
      <c r="BB129" s="89" t="s">
        <v>2859</v>
      </c>
      <c r="BC129" s="89" t="s">
        <v>2859</v>
      </c>
      <c r="BD129" s="89" t="s">
        <v>2859</v>
      </c>
      <c r="BE129" s="89" t="s">
        <v>2859</v>
      </c>
      <c r="BF129" s="89" t="s">
        <v>2859</v>
      </c>
      <c r="BG129" s="89" t="s">
        <v>2859</v>
      </c>
      <c r="BH129" s="89" t="s">
        <v>2859</v>
      </c>
      <c r="BI129" s="89" t="s">
        <v>2859</v>
      </c>
      <c r="BJ129" s="89" t="s">
        <v>2859</v>
      </c>
      <c r="BK129" s="89" t="s">
        <v>2859</v>
      </c>
      <c r="BL129" s="89" t="s">
        <v>2859</v>
      </c>
      <c r="BM129" s="89" t="s">
        <v>2859</v>
      </c>
      <c r="BN129" s="89" t="s">
        <v>2859</v>
      </c>
      <c r="BO129" s="89" t="s">
        <v>2859</v>
      </c>
      <c r="BP129" s="89" t="s">
        <v>2859</v>
      </c>
      <c r="BQ129" s="89" t="s">
        <v>3824</v>
      </c>
      <c r="BR129" s="89" t="s">
        <v>2859</v>
      </c>
    </row>
    <row r="130" spans="1:70">
      <c r="A130" s="89" t="s">
        <v>2176</v>
      </c>
      <c r="B130" s="89" t="s">
        <v>3825</v>
      </c>
      <c r="C130" s="89" t="s">
        <v>2538</v>
      </c>
      <c r="D130" s="89" t="s">
        <v>2859</v>
      </c>
      <c r="E130" s="89" t="s">
        <v>2859</v>
      </c>
      <c r="F130" s="89" t="s">
        <v>2859</v>
      </c>
      <c r="G130" s="89" t="s">
        <v>2860</v>
      </c>
      <c r="H130" s="89" t="s">
        <v>2859</v>
      </c>
      <c r="I130" s="89" t="s">
        <v>2891</v>
      </c>
      <c r="J130" s="89" t="s">
        <v>3826</v>
      </c>
      <c r="K130" s="89" t="s">
        <v>2860</v>
      </c>
      <c r="L130" s="89" t="s">
        <v>2859</v>
      </c>
      <c r="M130" s="89" t="s">
        <v>2859</v>
      </c>
      <c r="N130" s="89" t="s">
        <v>2859</v>
      </c>
      <c r="O130" s="89" t="s">
        <v>2859</v>
      </c>
      <c r="P130" s="89" t="s">
        <v>2859</v>
      </c>
      <c r="Q130" s="89" t="s">
        <v>2859</v>
      </c>
      <c r="R130" s="89" t="s">
        <v>2859</v>
      </c>
      <c r="S130" s="89" t="s">
        <v>2859</v>
      </c>
      <c r="T130" s="89" t="s">
        <v>2859</v>
      </c>
      <c r="U130" s="89" t="s">
        <v>2859</v>
      </c>
      <c r="V130" s="89" t="s">
        <v>2859</v>
      </c>
      <c r="W130" s="89" t="s">
        <v>2859</v>
      </c>
      <c r="X130" s="89" t="s">
        <v>2859</v>
      </c>
      <c r="Y130" s="89" t="s">
        <v>2859</v>
      </c>
      <c r="Z130" s="89" t="s">
        <v>2859</v>
      </c>
      <c r="AA130" s="89" t="s">
        <v>2859</v>
      </c>
      <c r="AB130" s="89" t="s">
        <v>2859</v>
      </c>
      <c r="AC130" s="89" t="s">
        <v>2859</v>
      </c>
      <c r="AD130" s="89" t="s">
        <v>2859</v>
      </c>
      <c r="AE130" s="89" t="s">
        <v>2859</v>
      </c>
      <c r="AF130" s="89" t="s">
        <v>2859</v>
      </c>
      <c r="AG130" s="89" t="s">
        <v>2859</v>
      </c>
      <c r="AH130" s="89" t="s">
        <v>2859</v>
      </c>
      <c r="AI130" s="89" t="s">
        <v>2859</v>
      </c>
      <c r="AJ130" s="89" t="s">
        <v>2859</v>
      </c>
      <c r="AK130" s="89" t="s">
        <v>2859</v>
      </c>
      <c r="AL130" s="89" t="s">
        <v>2859</v>
      </c>
      <c r="AM130" s="89" t="s">
        <v>2859</v>
      </c>
      <c r="AN130" s="89" t="s">
        <v>2859</v>
      </c>
      <c r="AO130" s="89" t="s">
        <v>2859</v>
      </c>
      <c r="AP130" s="89" t="s">
        <v>2859</v>
      </c>
      <c r="AQ130" s="89" t="s">
        <v>2859</v>
      </c>
      <c r="AR130" s="89" t="s">
        <v>2859</v>
      </c>
      <c r="AS130" s="89" t="s">
        <v>2859</v>
      </c>
      <c r="AT130" s="89" t="s">
        <v>2859</v>
      </c>
      <c r="AU130" s="89" t="s">
        <v>2859</v>
      </c>
      <c r="AV130" s="89" t="s">
        <v>2859</v>
      </c>
      <c r="AW130" s="89" t="s">
        <v>2859</v>
      </c>
      <c r="AX130" s="89" t="s">
        <v>2859</v>
      </c>
      <c r="AY130" s="89" t="s">
        <v>2859</v>
      </c>
      <c r="AZ130" s="89" t="s">
        <v>2859</v>
      </c>
      <c r="BA130" s="89" t="s">
        <v>2859</v>
      </c>
      <c r="BB130" s="89" t="s">
        <v>2859</v>
      </c>
      <c r="BC130" s="89" t="s">
        <v>2859</v>
      </c>
      <c r="BD130" s="89" t="s">
        <v>2859</v>
      </c>
      <c r="BE130" s="89" t="s">
        <v>2859</v>
      </c>
      <c r="BF130" s="89" t="s">
        <v>2859</v>
      </c>
      <c r="BG130" s="89" t="s">
        <v>2859</v>
      </c>
      <c r="BH130" s="89" t="s">
        <v>2859</v>
      </c>
      <c r="BI130" s="89" t="s">
        <v>2859</v>
      </c>
      <c r="BJ130" s="89" t="s">
        <v>2859</v>
      </c>
      <c r="BK130" s="89" t="s">
        <v>2859</v>
      </c>
      <c r="BL130" s="89" t="s">
        <v>2859</v>
      </c>
      <c r="BM130" s="89" t="s">
        <v>2859</v>
      </c>
      <c r="BN130" s="89" t="s">
        <v>2859</v>
      </c>
      <c r="BO130" s="89" t="s">
        <v>2859</v>
      </c>
      <c r="BP130" s="89" t="s">
        <v>2859</v>
      </c>
      <c r="BQ130" s="89" t="s">
        <v>3827</v>
      </c>
      <c r="BR130" s="89" t="s">
        <v>2859</v>
      </c>
    </row>
    <row r="131" spans="1:70">
      <c r="A131" s="89" t="s">
        <v>2176</v>
      </c>
      <c r="B131" s="89" t="s">
        <v>3828</v>
      </c>
      <c r="C131" s="89" t="s">
        <v>2542</v>
      </c>
      <c r="D131" s="89" t="s">
        <v>2859</v>
      </c>
      <c r="E131" s="89" t="s">
        <v>2859</v>
      </c>
      <c r="F131" s="89" t="s">
        <v>2859</v>
      </c>
      <c r="G131" s="89" t="s">
        <v>2860</v>
      </c>
      <c r="H131" s="89" t="s">
        <v>2859</v>
      </c>
      <c r="I131" s="89" t="s">
        <v>2891</v>
      </c>
      <c r="J131" s="89" t="s">
        <v>2859</v>
      </c>
      <c r="K131" s="89" t="s">
        <v>2859</v>
      </c>
      <c r="L131" s="89" t="s">
        <v>2859</v>
      </c>
      <c r="M131" s="89" t="s">
        <v>2859</v>
      </c>
      <c r="N131" s="89" t="s">
        <v>2859</v>
      </c>
      <c r="O131" s="89" t="s">
        <v>2859</v>
      </c>
      <c r="P131" s="89" t="s">
        <v>2859</v>
      </c>
      <c r="Q131" s="89" t="s">
        <v>2859</v>
      </c>
      <c r="R131" s="89" t="s">
        <v>2859</v>
      </c>
      <c r="S131" s="89" t="s">
        <v>2859</v>
      </c>
      <c r="T131" s="89" t="s">
        <v>2859</v>
      </c>
      <c r="U131" s="89" t="s">
        <v>2859</v>
      </c>
      <c r="V131" s="89" t="s">
        <v>2859</v>
      </c>
      <c r="W131" s="89" t="s">
        <v>2859</v>
      </c>
      <c r="X131" s="89" t="s">
        <v>2859</v>
      </c>
      <c r="Y131" s="89" t="s">
        <v>2859</v>
      </c>
      <c r="Z131" s="89" t="s">
        <v>2859</v>
      </c>
      <c r="AA131" s="89" t="s">
        <v>2859</v>
      </c>
      <c r="AB131" s="89" t="s">
        <v>2859</v>
      </c>
      <c r="AC131" s="89" t="s">
        <v>2859</v>
      </c>
      <c r="AD131" s="89" t="s">
        <v>2859</v>
      </c>
      <c r="AE131" s="89" t="s">
        <v>2859</v>
      </c>
      <c r="AF131" s="89" t="s">
        <v>2859</v>
      </c>
      <c r="AG131" s="89" t="s">
        <v>2859</v>
      </c>
      <c r="AH131" s="89" t="s">
        <v>2859</v>
      </c>
      <c r="AI131" s="89" t="s">
        <v>2859</v>
      </c>
      <c r="AJ131" s="89" t="s">
        <v>2859</v>
      </c>
      <c r="AK131" s="89" t="s">
        <v>2859</v>
      </c>
      <c r="AL131" s="89" t="s">
        <v>2859</v>
      </c>
      <c r="AM131" s="89" t="s">
        <v>2859</v>
      </c>
      <c r="AN131" s="89" t="s">
        <v>2859</v>
      </c>
      <c r="AO131" s="89" t="s">
        <v>2859</v>
      </c>
      <c r="AP131" s="89" t="s">
        <v>2859</v>
      </c>
      <c r="AQ131" s="89" t="s">
        <v>2859</v>
      </c>
      <c r="AR131" s="89" t="s">
        <v>2859</v>
      </c>
      <c r="AS131" s="89" t="s">
        <v>2859</v>
      </c>
      <c r="AT131" s="89" t="s">
        <v>2859</v>
      </c>
      <c r="AU131" s="89" t="s">
        <v>2859</v>
      </c>
      <c r="AV131" s="89" t="s">
        <v>2859</v>
      </c>
      <c r="AW131" s="89" t="s">
        <v>2859</v>
      </c>
      <c r="AX131" s="89" t="s">
        <v>2859</v>
      </c>
      <c r="AY131" s="89" t="s">
        <v>2859</v>
      </c>
      <c r="AZ131" s="89" t="s">
        <v>2859</v>
      </c>
      <c r="BA131" s="89" t="s">
        <v>2859</v>
      </c>
      <c r="BB131" s="89" t="s">
        <v>2859</v>
      </c>
      <c r="BC131" s="89" t="s">
        <v>2859</v>
      </c>
      <c r="BD131" s="89" t="s">
        <v>2859</v>
      </c>
      <c r="BE131" s="89" t="s">
        <v>2859</v>
      </c>
      <c r="BF131" s="89" t="s">
        <v>2859</v>
      </c>
      <c r="BG131" s="89" t="s">
        <v>2859</v>
      </c>
      <c r="BH131" s="89" t="s">
        <v>2859</v>
      </c>
      <c r="BI131" s="89" t="s">
        <v>2859</v>
      </c>
      <c r="BJ131" s="89" t="s">
        <v>2859</v>
      </c>
      <c r="BK131" s="89" t="s">
        <v>2859</v>
      </c>
      <c r="BL131" s="89" t="s">
        <v>2859</v>
      </c>
      <c r="BM131" s="89" t="s">
        <v>2859</v>
      </c>
      <c r="BN131" s="89" t="s">
        <v>2859</v>
      </c>
      <c r="BO131" s="89" t="s">
        <v>2859</v>
      </c>
      <c r="BP131" s="89" t="s">
        <v>2859</v>
      </c>
      <c r="BQ131" s="89" t="s">
        <v>3829</v>
      </c>
      <c r="BR131" s="89" t="s">
        <v>2859</v>
      </c>
    </row>
    <row r="132" spans="1:70">
      <c r="A132" s="89" t="s">
        <v>2176</v>
      </c>
      <c r="B132" s="89" t="s">
        <v>2537</v>
      </c>
      <c r="C132" s="89" t="s">
        <v>2538</v>
      </c>
      <c r="D132" s="89" t="s">
        <v>2859</v>
      </c>
      <c r="E132" s="89" t="s">
        <v>2859</v>
      </c>
      <c r="F132" s="89" t="s">
        <v>2859</v>
      </c>
      <c r="G132" s="89" t="s">
        <v>2860</v>
      </c>
      <c r="H132" s="89" t="s">
        <v>2859</v>
      </c>
      <c r="I132" s="89" t="s">
        <v>120</v>
      </c>
      <c r="J132" s="89" t="s">
        <v>2859</v>
      </c>
      <c r="K132" s="89" t="s">
        <v>2859</v>
      </c>
      <c r="L132" s="89" t="s">
        <v>2859</v>
      </c>
      <c r="M132" s="89" t="s">
        <v>2859</v>
      </c>
      <c r="N132" s="89" t="s">
        <v>2859</v>
      </c>
      <c r="O132" s="89" t="s">
        <v>2859</v>
      </c>
      <c r="P132" s="89" t="s">
        <v>2859</v>
      </c>
      <c r="Q132" s="89" t="s">
        <v>2859</v>
      </c>
      <c r="R132" s="89" t="s">
        <v>2859</v>
      </c>
      <c r="S132" s="89" t="s">
        <v>2859</v>
      </c>
      <c r="T132" s="89" t="s">
        <v>2859</v>
      </c>
      <c r="U132" s="89" t="s">
        <v>2859</v>
      </c>
      <c r="V132" s="89" t="s">
        <v>2859</v>
      </c>
      <c r="W132" s="89" t="s">
        <v>2859</v>
      </c>
      <c r="X132" s="89" t="s">
        <v>2859</v>
      </c>
      <c r="Y132" s="89" t="s">
        <v>2859</v>
      </c>
      <c r="Z132" s="89" t="s">
        <v>2859</v>
      </c>
      <c r="AA132" s="89" t="s">
        <v>2859</v>
      </c>
      <c r="AB132" s="89" t="s">
        <v>2859</v>
      </c>
      <c r="AC132" s="89" t="s">
        <v>2859</v>
      </c>
      <c r="AD132" s="89" t="s">
        <v>2859</v>
      </c>
      <c r="AE132" s="89" t="s">
        <v>2859</v>
      </c>
      <c r="AF132" s="89" t="s">
        <v>2859</v>
      </c>
      <c r="AG132" s="89" t="s">
        <v>2859</v>
      </c>
      <c r="AH132" s="89" t="s">
        <v>2859</v>
      </c>
      <c r="AI132" s="89" t="s">
        <v>2859</v>
      </c>
      <c r="AJ132" s="89" t="s">
        <v>2859</v>
      </c>
      <c r="AK132" s="89" t="s">
        <v>2859</v>
      </c>
      <c r="AL132" s="89" t="s">
        <v>2859</v>
      </c>
      <c r="AM132" s="89" t="s">
        <v>2859</v>
      </c>
      <c r="AN132" s="89" t="s">
        <v>2859</v>
      </c>
      <c r="AO132" s="89" t="s">
        <v>2859</v>
      </c>
      <c r="AP132" s="89" t="s">
        <v>2859</v>
      </c>
      <c r="AQ132" s="89" t="s">
        <v>2859</v>
      </c>
      <c r="AR132" s="89" t="s">
        <v>2859</v>
      </c>
      <c r="AS132" s="89" t="s">
        <v>2859</v>
      </c>
      <c r="AT132" s="89" t="s">
        <v>2859</v>
      </c>
      <c r="AU132" s="89" t="s">
        <v>2859</v>
      </c>
      <c r="AV132" s="89" t="s">
        <v>2859</v>
      </c>
      <c r="AW132" s="89" t="s">
        <v>2859</v>
      </c>
      <c r="AX132" s="89" t="s">
        <v>2859</v>
      </c>
      <c r="AY132" s="89" t="s">
        <v>2859</v>
      </c>
      <c r="AZ132" s="89" t="s">
        <v>2859</v>
      </c>
      <c r="BA132" s="89" t="s">
        <v>2859</v>
      </c>
      <c r="BB132" s="89" t="s">
        <v>2859</v>
      </c>
      <c r="BC132" s="89" t="s">
        <v>2859</v>
      </c>
      <c r="BD132" s="89" t="s">
        <v>2859</v>
      </c>
      <c r="BE132" s="89" t="s">
        <v>2859</v>
      </c>
      <c r="BF132" s="89" t="s">
        <v>2859</v>
      </c>
      <c r="BG132" s="89" t="s">
        <v>2859</v>
      </c>
      <c r="BH132" s="89" t="s">
        <v>2859</v>
      </c>
      <c r="BI132" s="89" t="s">
        <v>2859</v>
      </c>
      <c r="BJ132" s="89" t="s">
        <v>2859</v>
      </c>
      <c r="BK132" s="89" t="s">
        <v>2859</v>
      </c>
      <c r="BL132" s="89" t="s">
        <v>2859</v>
      </c>
      <c r="BM132" s="89" t="s">
        <v>2859</v>
      </c>
      <c r="BN132" s="89" t="s">
        <v>2859</v>
      </c>
      <c r="BO132" s="89" t="s">
        <v>2859</v>
      </c>
      <c r="BP132" s="89" t="s">
        <v>2859</v>
      </c>
      <c r="BQ132" s="89" t="s">
        <v>3830</v>
      </c>
      <c r="BR132" s="89" t="s">
        <v>2859</v>
      </c>
    </row>
    <row r="133" spans="1:70">
      <c r="A133" s="89" t="s">
        <v>2176</v>
      </c>
      <c r="B133" s="89" t="s">
        <v>2539</v>
      </c>
      <c r="C133" s="89" t="s">
        <v>2538</v>
      </c>
      <c r="D133" s="89" t="s">
        <v>2859</v>
      </c>
      <c r="E133" s="89" t="s">
        <v>2859</v>
      </c>
      <c r="F133" s="89" t="s">
        <v>2859</v>
      </c>
      <c r="G133" s="89" t="s">
        <v>2860</v>
      </c>
      <c r="H133" s="89" t="s">
        <v>2859</v>
      </c>
      <c r="I133" s="89" t="s">
        <v>2490</v>
      </c>
      <c r="J133" s="89" t="s">
        <v>2540</v>
      </c>
      <c r="K133" s="89" t="s">
        <v>2867</v>
      </c>
      <c r="L133" s="89" t="s">
        <v>2859</v>
      </c>
      <c r="M133" s="89" t="s">
        <v>2859</v>
      </c>
      <c r="N133" s="89" t="s">
        <v>2859</v>
      </c>
      <c r="O133" s="89" t="s">
        <v>2859</v>
      </c>
      <c r="P133" s="89" t="s">
        <v>2859</v>
      </c>
      <c r="Q133" s="89" t="s">
        <v>2859</v>
      </c>
      <c r="R133" s="89" t="s">
        <v>2859</v>
      </c>
      <c r="S133" s="89" t="s">
        <v>2859</v>
      </c>
      <c r="T133" s="89" t="s">
        <v>2859</v>
      </c>
      <c r="U133" s="89" t="s">
        <v>2859</v>
      </c>
      <c r="V133" s="89" t="s">
        <v>2859</v>
      </c>
      <c r="W133" s="89" t="s">
        <v>2859</v>
      </c>
      <c r="X133" s="89" t="s">
        <v>2859</v>
      </c>
      <c r="Y133" s="89" t="s">
        <v>2859</v>
      </c>
      <c r="Z133" s="89" t="s">
        <v>2859</v>
      </c>
      <c r="AA133" s="89" t="s">
        <v>2859</v>
      </c>
      <c r="AB133" s="89" t="s">
        <v>2859</v>
      </c>
      <c r="AC133" s="89" t="s">
        <v>2859</v>
      </c>
      <c r="AD133" s="89" t="s">
        <v>2859</v>
      </c>
      <c r="AE133" s="89" t="s">
        <v>2859</v>
      </c>
      <c r="AF133" s="89" t="s">
        <v>2859</v>
      </c>
      <c r="AG133" s="89" t="s">
        <v>2859</v>
      </c>
      <c r="AH133" s="89" t="s">
        <v>2859</v>
      </c>
      <c r="AI133" s="89" t="s">
        <v>2859</v>
      </c>
      <c r="AJ133" s="89" t="s">
        <v>2859</v>
      </c>
      <c r="AK133" s="89" t="s">
        <v>2859</v>
      </c>
      <c r="AL133" s="89" t="s">
        <v>2859</v>
      </c>
      <c r="AM133" s="89" t="s">
        <v>2859</v>
      </c>
      <c r="AN133" s="89" t="s">
        <v>2859</v>
      </c>
      <c r="AO133" s="89" t="s">
        <v>2859</v>
      </c>
      <c r="AP133" s="89" t="s">
        <v>2859</v>
      </c>
      <c r="AQ133" s="89" t="s">
        <v>2859</v>
      </c>
      <c r="AR133" s="89" t="s">
        <v>2859</v>
      </c>
      <c r="AS133" s="89" t="s">
        <v>2859</v>
      </c>
      <c r="AT133" s="89" t="s">
        <v>2859</v>
      </c>
      <c r="AU133" s="89" t="s">
        <v>2859</v>
      </c>
      <c r="AV133" s="89" t="s">
        <v>2859</v>
      </c>
      <c r="AW133" s="89" t="s">
        <v>2859</v>
      </c>
      <c r="AX133" s="89" t="s">
        <v>2859</v>
      </c>
      <c r="AY133" s="89" t="s">
        <v>2859</v>
      </c>
      <c r="AZ133" s="89" t="s">
        <v>2859</v>
      </c>
      <c r="BA133" s="89" t="s">
        <v>2859</v>
      </c>
      <c r="BB133" s="89" t="s">
        <v>2859</v>
      </c>
      <c r="BC133" s="89" t="s">
        <v>2859</v>
      </c>
      <c r="BD133" s="89" t="s">
        <v>2859</v>
      </c>
      <c r="BE133" s="89" t="s">
        <v>2859</v>
      </c>
      <c r="BF133" s="89" t="s">
        <v>2859</v>
      </c>
      <c r="BG133" s="89" t="s">
        <v>2859</v>
      </c>
      <c r="BH133" s="89" t="s">
        <v>2859</v>
      </c>
      <c r="BI133" s="89" t="s">
        <v>2859</v>
      </c>
      <c r="BJ133" s="89" t="s">
        <v>2859</v>
      </c>
      <c r="BK133" s="89" t="s">
        <v>2859</v>
      </c>
      <c r="BL133" s="89" t="s">
        <v>2859</v>
      </c>
      <c r="BM133" s="89" t="s">
        <v>2859</v>
      </c>
      <c r="BN133" s="89" t="s">
        <v>2859</v>
      </c>
      <c r="BO133" s="89" t="s">
        <v>2859</v>
      </c>
      <c r="BP133" s="89" t="s">
        <v>2859</v>
      </c>
      <c r="BQ133" s="94" t="s">
        <v>3831</v>
      </c>
      <c r="BR133" s="89" t="s">
        <v>2869</v>
      </c>
    </row>
    <row r="134" spans="1:70">
      <c r="A134" s="89" t="s">
        <v>2176</v>
      </c>
      <c r="B134" s="89" t="s">
        <v>2541</v>
      </c>
      <c r="C134" s="89" t="s">
        <v>2542</v>
      </c>
      <c r="D134" s="89" t="s">
        <v>2859</v>
      </c>
      <c r="E134" s="89" t="s">
        <v>2859</v>
      </c>
      <c r="F134" s="89" t="s">
        <v>2859</v>
      </c>
      <c r="G134" s="89" t="s">
        <v>2860</v>
      </c>
      <c r="H134" s="89" t="s">
        <v>2859</v>
      </c>
      <c r="I134" s="89" t="s">
        <v>120</v>
      </c>
      <c r="J134" s="89" t="s">
        <v>2859</v>
      </c>
      <c r="K134" s="89" t="s">
        <v>2859</v>
      </c>
      <c r="L134" s="89" t="s">
        <v>2585</v>
      </c>
      <c r="M134" s="89" t="s">
        <v>2859</v>
      </c>
      <c r="N134" s="89" t="s">
        <v>2859</v>
      </c>
      <c r="O134" s="89" t="s">
        <v>2859</v>
      </c>
      <c r="P134" s="89" t="s">
        <v>2859</v>
      </c>
      <c r="Q134" s="89" t="s">
        <v>2859</v>
      </c>
      <c r="R134" s="89" t="s">
        <v>2859</v>
      </c>
      <c r="S134" s="89" t="s">
        <v>2859</v>
      </c>
      <c r="T134" s="89" t="s">
        <v>2859</v>
      </c>
      <c r="U134" s="89" t="s">
        <v>2859</v>
      </c>
      <c r="V134" s="89" t="s">
        <v>2859</v>
      </c>
      <c r="W134" s="89" t="s">
        <v>2859</v>
      </c>
      <c r="X134" s="89" t="s">
        <v>2859</v>
      </c>
      <c r="Y134" s="89" t="s">
        <v>2859</v>
      </c>
      <c r="Z134" s="89" t="s">
        <v>2859</v>
      </c>
      <c r="AA134" s="89" t="s">
        <v>2859</v>
      </c>
      <c r="AB134" s="89" t="s">
        <v>2859</v>
      </c>
      <c r="AC134" s="89" t="s">
        <v>2859</v>
      </c>
      <c r="AD134" s="89" t="s">
        <v>2859</v>
      </c>
      <c r="AE134" s="89" t="s">
        <v>2859</v>
      </c>
      <c r="AF134" s="89" t="s">
        <v>2859</v>
      </c>
      <c r="AG134" s="89" t="s">
        <v>2859</v>
      </c>
      <c r="AH134" s="89" t="s">
        <v>2859</v>
      </c>
      <c r="AI134" s="89" t="s">
        <v>2859</v>
      </c>
      <c r="AJ134" s="89" t="s">
        <v>2859</v>
      </c>
      <c r="AK134" s="89" t="s">
        <v>2859</v>
      </c>
      <c r="AL134" s="89" t="s">
        <v>2859</v>
      </c>
      <c r="AM134" s="89" t="s">
        <v>2859</v>
      </c>
      <c r="AN134" s="89" t="s">
        <v>2859</v>
      </c>
      <c r="AO134" s="89" t="s">
        <v>2859</v>
      </c>
      <c r="AP134" s="89" t="s">
        <v>2859</v>
      </c>
      <c r="AQ134" s="89" t="s">
        <v>2859</v>
      </c>
      <c r="AR134" s="89" t="s">
        <v>2859</v>
      </c>
      <c r="AS134" s="89" t="s">
        <v>2859</v>
      </c>
      <c r="AT134" s="89" t="s">
        <v>2859</v>
      </c>
      <c r="AU134" s="89" t="s">
        <v>2859</v>
      </c>
      <c r="AV134" s="89" t="s">
        <v>2859</v>
      </c>
      <c r="AW134" s="89" t="s">
        <v>2859</v>
      </c>
      <c r="AX134" s="89" t="s">
        <v>2859</v>
      </c>
      <c r="AY134" s="89" t="s">
        <v>2859</v>
      </c>
      <c r="AZ134" s="89" t="s">
        <v>2859</v>
      </c>
      <c r="BA134" s="89" t="s">
        <v>2859</v>
      </c>
      <c r="BB134" s="89" t="s">
        <v>2859</v>
      </c>
      <c r="BC134" s="89" t="s">
        <v>2859</v>
      </c>
      <c r="BD134" s="89" t="s">
        <v>2859</v>
      </c>
      <c r="BE134" s="89" t="s">
        <v>2859</v>
      </c>
      <c r="BF134" s="89" t="s">
        <v>2859</v>
      </c>
      <c r="BG134" s="89" t="s">
        <v>2859</v>
      </c>
      <c r="BH134" s="89" t="s">
        <v>2859</v>
      </c>
      <c r="BI134" s="89" t="s">
        <v>2859</v>
      </c>
      <c r="BJ134" s="89" t="s">
        <v>2859</v>
      </c>
      <c r="BK134" s="89" t="s">
        <v>2859</v>
      </c>
      <c r="BL134" s="89" t="s">
        <v>2859</v>
      </c>
      <c r="BM134" s="89" t="s">
        <v>2859</v>
      </c>
      <c r="BN134" s="89" t="s">
        <v>2859</v>
      </c>
      <c r="BO134" s="89" t="s">
        <v>2859</v>
      </c>
      <c r="BP134" s="89" t="s">
        <v>2859</v>
      </c>
      <c r="BQ134" s="89" t="s">
        <v>3832</v>
      </c>
      <c r="BR134" s="89" t="s">
        <v>2859</v>
      </c>
    </row>
    <row r="135" spans="1:70">
      <c r="A135" s="89" t="s">
        <v>2176</v>
      </c>
      <c r="B135" s="89" t="s">
        <v>2421</v>
      </c>
      <c r="C135" s="89" t="s">
        <v>2422</v>
      </c>
      <c r="D135" s="89" t="s">
        <v>2859</v>
      </c>
      <c r="E135" s="89" t="s">
        <v>2859</v>
      </c>
      <c r="F135" s="89" t="s">
        <v>2859</v>
      </c>
      <c r="G135" s="89" t="s">
        <v>2860</v>
      </c>
      <c r="H135" s="89" t="s">
        <v>2859</v>
      </c>
      <c r="I135" s="89" t="s">
        <v>120</v>
      </c>
      <c r="J135" s="89" t="s">
        <v>3833</v>
      </c>
      <c r="K135" s="89" t="s">
        <v>2860</v>
      </c>
      <c r="L135" s="89" t="s">
        <v>1463</v>
      </c>
      <c r="M135" s="89" t="s">
        <v>3833</v>
      </c>
      <c r="N135" s="89" t="s">
        <v>2860</v>
      </c>
      <c r="O135" s="89" t="s">
        <v>3809</v>
      </c>
      <c r="P135" s="89" t="s">
        <v>3833</v>
      </c>
      <c r="Q135" s="89" t="s">
        <v>2860</v>
      </c>
      <c r="R135" s="89" t="s">
        <v>2872</v>
      </c>
      <c r="S135" s="89" t="s">
        <v>3833</v>
      </c>
      <c r="T135" s="89" t="s">
        <v>2860</v>
      </c>
      <c r="U135" s="89" t="s">
        <v>2891</v>
      </c>
      <c r="V135" s="89" t="s">
        <v>3833</v>
      </c>
      <c r="W135" s="89" t="s">
        <v>2860</v>
      </c>
      <c r="X135" s="89" t="s">
        <v>2893</v>
      </c>
      <c r="Y135" s="89" t="s">
        <v>3833</v>
      </c>
      <c r="Z135" s="89" t="s">
        <v>2860</v>
      </c>
      <c r="AA135" s="89" t="s">
        <v>1396</v>
      </c>
      <c r="AB135" s="89" t="s">
        <v>3833</v>
      </c>
      <c r="AC135" s="89" t="s">
        <v>2860</v>
      </c>
      <c r="AD135" s="89" t="s">
        <v>3813</v>
      </c>
      <c r="AE135" s="89" t="s">
        <v>3833</v>
      </c>
      <c r="AF135" s="89" t="s">
        <v>2860</v>
      </c>
      <c r="AG135" s="89" t="s">
        <v>2859</v>
      </c>
      <c r="AH135" s="89" t="s">
        <v>2859</v>
      </c>
      <c r="AI135" s="89" t="s">
        <v>2859</v>
      </c>
      <c r="AJ135" s="89" t="s">
        <v>2859</v>
      </c>
      <c r="AK135" s="89" t="s">
        <v>2859</v>
      </c>
      <c r="AL135" s="89" t="s">
        <v>2859</v>
      </c>
      <c r="AM135" s="89" t="s">
        <v>2859</v>
      </c>
      <c r="AN135" s="89" t="s">
        <v>2859</v>
      </c>
      <c r="AO135" s="89" t="s">
        <v>2859</v>
      </c>
      <c r="AP135" s="89" t="s">
        <v>2859</v>
      </c>
      <c r="AQ135" s="89" t="s">
        <v>2859</v>
      </c>
      <c r="AR135" s="89" t="s">
        <v>2859</v>
      </c>
      <c r="AS135" s="89" t="s">
        <v>2859</v>
      </c>
      <c r="AT135" s="89" t="s">
        <v>2859</v>
      </c>
      <c r="AU135" s="89" t="s">
        <v>2859</v>
      </c>
      <c r="AV135" s="89" t="s">
        <v>2859</v>
      </c>
      <c r="AW135" s="89" t="s">
        <v>2859</v>
      </c>
      <c r="AX135" s="89" t="s">
        <v>2859</v>
      </c>
      <c r="AY135" s="89" t="s">
        <v>2859</v>
      </c>
      <c r="AZ135" s="89" t="s">
        <v>2859</v>
      </c>
      <c r="BA135" s="89" t="s">
        <v>2859</v>
      </c>
      <c r="BB135" s="89" t="s">
        <v>2859</v>
      </c>
      <c r="BC135" s="89" t="s">
        <v>2859</v>
      </c>
      <c r="BD135" s="89" t="s">
        <v>2859</v>
      </c>
      <c r="BE135" s="89" t="s">
        <v>2859</v>
      </c>
      <c r="BF135" s="89" t="s">
        <v>2859</v>
      </c>
      <c r="BG135" s="89" t="s">
        <v>2859</v>
      </c>
      <c r="BH135" s="89" t="s">
        <v>2859</v>
      </c>
      <c r="BI135" s="89" t="s">
        <v>2859</v>
      </c>
      <c r="BJ135" s="89" t="s">
        <v>2859</v>
      </c>
      <c r="BK135" s="89" t="s">
        <v>2859</v>
      </c>
      <c r="BL135" s="89" t="s">
        <v>2859</v>
      </c>
      <c r="BM135" s="89" t="s">
        <v>2859</v>
      </c>
      <c r="BN135" s="89" t="s">
        <v>2859</v>
      </c>
      <c r="BO135" s="89" t="s">
        <v>2859</v>
      </c>
      <c r="BP135" s="89" t="s">
        <v>2859</v>
      </c>
      <c r="BQ135" s="94" t="s">
        <v>3834</v>
      </c>
      <c r="BR135" s="89" t="s">
        <v>2859</v>
      </c>
    </row>
    <row r="136" spans="1:70">
      <c r="A136" s="89" t="s">
        <v>2176</v>
      </c>
      <c r="B136" s="89" t="s">
        <v>2545</v>
      </c>
      <c r="C136" s="89" t="s">
        <v>2422</v>
      </c>
      <c r="D136" s="89" t="s">
        <v>2859</v>
      </c>
      <c r="E136" s="89" t="s">
        <v>2859</v>
      </c>
      <c r="F136" s="89" t="s">
        <v>2859</v>
      </c>
      <c r="G136" s="89" t="s">
        <v>2860</v>
      </c>
      <c r="H136" s="89" t="s">
        <v>2859</v>
      </c>
      <c r="I136" s="89" t="s">
        <v>120</v>
      </c>
      <c r="J136" s="89" t="s">
        <v>2859</v>
      </c>
      <c r="K136" s="89" t="s">
        <v>2859</v>
      </c>
      <c r="L136" s="89" t="s">
        <v>2891</v>
      </c>
      <c r="M136" s="89" t="s">
        <v>2546</v>
      </c>
      <c r="N136" s="89" t="s">
        <v>2859</v>
      </c>
      <c r="O136" s="89" t="s">
        <v>2859</v>
      </c>
      <c r="P136" s="89" t="s">
        <v>2859</v>
      </c>
      <c r="Q136" s="89" t="s">
        <v>2859</v>
      </c>
      <c r="R136" s="89" t="s">
        <v>2859</v>
      </c>
      <c r="S136" s="89" t="s">
        <v>2859</v>
      </c>
      <c r="T136" s="89" t="s">
        <v>2859</v>
      </c>
      <c r="U136" s="89" t="s">
        <v>2859</v>
      </c>
      <c r="V136" s="89" t="s">
        <v>2859</v>
      </c>
      <c r="W136" s="89" t="s">
        <v>2859</v>
      </c>
      <c r="X136" s="89" t="s">
        <v>2859</v>
      </c>
      <c r="Y136" s="89" t="s">
        <v>2859</v>
      </c>
      <c r="Z136" s="89" t="s">
        <v>2859</v>
      </c>
      <c r="AA136" s="89" t="s">
        <v>2859</v>
      </c>
      <c r="AB136" s="89" t="s">
        <v>2859</v>
      </c>
      <c r="AC136" s="89" t="s">
        <v>2859</v>
      </c>
      <c r="AD136" s="89" t="s">
        <v>2859</v>
      </c>
      <c r="AE136" s="89" t="s">
        <v>2859</v>
      </c>
      <c r="AF136" s="89" t="s">
        <v>2859</v>
      </c>
      <c r="AG136" s="89" t="s">
        <v>2859</v>
      </c>
      <c r="AH136" s="89" t="s">
        <v>2859</v>
      </c>
      <c r="AI136" s="89" t="s">
        <v>2859</v>
      </c>
      <c r="AJ136" s="89" t="s">
        <v>2859</v>
      </c>
      <c r="AK136" s="89" t="s">
        <v>2859</v>
      </c>
      <c r="AL136" s="89" t="s">
        <v>2859</v>
      </c>
      <c r="AM136" s="89" t="s">
        <v>2859</v>
      </c>
      <c r="AN136" s="89" t="s">
        <v>2859</v>
      </c>
      <c r="AO136" s="89" t="s">
        <v>2859</v>
      </c>
      <c r="AP136" s="89" t="s">
        <v>2859</v>
      </c>
      <c r="AQ136" s="89" t="s">
        <v>2859</v>
      </c>
      <c r="AR136" s="89" t="s">
        <v>2859</v>
      </c>
      <c r="AS136" s="89" t="s">
        <v>2859</v>
      </c>
      <c r="AT136" s="89" t="s">
        <v>2859</v>
      </c>
      <c r="AU136" s="89" t="s">
        <v>2859</v>
      </c>
      <c r="AV136" s="89" t="s">
        <v>2859</v>
      </c>
      <c r="AW136" s="89" t="s">
        <v>2859</v>
      </c>
      <c r="AX136" s="89" t="s">
        <v>2859</v>
      </c>
      <c r="AY136" s="89" t="s">
        <v>2859</v>
      </c>
      <c r="AZ136" s="89" t="s">
        <v>2859</v>
      </c>
      <c r="BA136" s="89" t="s">
        <v>2859</v>
      </c>
      <c r="BB136" s="89" t="s">
        <v>2859</v>
      </c>
      <c r="BC136" s="89" t="s">
        <v>2859</v>
      </c>
      <c r="BD136" s="89" t="s">
        <v>2859</v>
      </c>
      <c r="BE136" s="89" t="s">
        <v>2859</v>
      </c>
      <c r="BF136" s="89" t="s">
        <v>2859</v>
      </c>
      <c r="BG136" s="89" t="s">
        <v>2859</v>
      </c>
      <c r="BH136" s="89" t="s">
        <v>2859</v>
      </c>
      <c r="BI136" s="89" t="s">
        <v>2859</v>
      </c>
      <c r="BJ136" s="89" t="s">
        <v>2859</v>
      </c>
      <c r="BK136" s="89" t="s">
        <v>2859</v>
      </c>
      <c r="BL136" s="89" t="s">
        <v>2859</v>
      </c>
      <c r="BM136" s="89" t="s">
        <v>2859</v>
      </c>
      <c r="BN136" s="89" t="s">
        <v>2859</v>
      </c>
      <c r="BO136" s="89" t="s">
        <v>2859</v>
      </c>
      <c r="BP136" s="89" t="s">
        <v>2859</v>
      </c>
      <c r="BQ136" s="89" t="s">
        <v>3835</v>
      </c>
      <c r="BR136" s="89" t="s">
        <v>2859</v>
      </c>
    </row>
    <row r="137" spans="1:70">
      <c r="A137" s="89" t="s">
        <v>2176</v>
      </c>
      <c r="B137" s="89" t="s">
        <v>2547</v>
      </c>
      <c r="C137" s="89" t="s">
        <v>2538</v>
      </c>
      <c r="D137" s="89" t="s">
        <v>2859</v>
      </c>
      <c r="E137" s="89" t="s">
        <v>2859</v>
      </c>
      <c r="F137" s="89" t="s">
        <v>2859</v>
      </c>
      <c r="G137" s="89" t="s">
        <v>2860</v>
      </c>
      <c r="H137" s="89" t="s">
        <v>2859</v>
      </c>
      <c r="I137" s="89" t="s">
        <v>120</v>
      </c>
      <c r="J137" s="89" t="s">
        <v>2859</v>
      </c>
      <c r="K137" s="89" t="s">
        <v>2859</v>
      </c>
      <c r="L137" s="89" t="s">
        <v>3836</v>
      </c>
      <c r="M137" s="89" t="s">
        <v>2859</v>
      </c>
      <c r="N137" s="89" t="s">
        <v>2859</v>
      </c>
      <c r="O137" s="89" t="s">
        <v>2859</v>
      </c>
      <c r="P137" s="89" t="s">
        <v>2859</v>
      </c>
      <c r="Q137" s="89" t="s">
        <v>2859</v>
      </c>
      <c r="R137" s="89" t="s">
        <v>2859</v>
      </c>
      <c r="S137" s="89" t="s">
        <v>2859</v>
      </c>
      <c r="T137" s="89" t="s">
        <v>2859</v>
      </c>
      <c r="U137" s="89" t="s">
        <v>2859</v>
      </c>
      <c r="V137" s="89" t="s">
        <v>2859</v>
      </c>
      <c r="W137" s="89" t="s">
        <v>2859</v>
      </c>
      <c r="X137" s="89" t="s">
        <v>2859</v>
      </c>
      <c r="Y137" s="89" t="s">
        <v>2859</v>
      </c>
      <c r="Z137" s="89" t="s">
        <v>2859</v>
      </c>
      <c r="AA137" s="89" t="s">
        <v>2859</v>
      </c>
      <c r="AB137" s="89" t="s">
        <v>2859</v>
      </c>
      <c r="AC137" s="89" t="s">
        <v>2859</v>
      </c>
      <c r="AD137" s="89" t="s">
        <v>2859</v>
      </c>
      <c r="AE137" s="89" t="s">
        <v>2859</v>
      </c>
      <c r="AF137" s="89" t="s">
        <v>2859</v>
      </c>
      <c r="AG137" s="89" t="s">
        <v>2859</v>
      </c>
      <c r="AH137" s="89" t="s">
        <v>2859</v>
      </c>
      <c r="AI137" s="89" t="s">
        <v>2859</v>
      </c>
      <c r="AJ137" s="89" t="s">
        <v>2859</v>
      </c>
      <c r="AK137" s="89" t="s">
        <v>2859</v>
      </c>
      <c r="AL137" s="89" t="s">
        <v>2859</v>
      </c>
      <c r="AM137" s="89" t="s">
        <v>2859</v>
      </c>
      <c r="AN137" s="89" t="s">
        <v>2859</v>
      </c>
      <c r="AO137" s="89" t="s">
        <v>2859</v>
      </c>
      <c r="AP137" s="89" t="s">
        <v>2859</v>
      </c>
      <c r="AQ137" s="89" t="s">
        <v>2859</v>
      </c>
      <c r="AR137" s="89" t="s">
        <v>2859</v>
      </c>
      <c r="AS137" s="89" t="s">
        <v>2859</v>
      </c>
      <c r="AT137" s="89" t="s">
        <v>2859</v>
      </c>
      <c r="AU137" s="89" t="s">
        <v>2859</v>
      </c>
      <c r="AV137" s="89" t="s">
        <v>2859</v>
      </c>
      <c r="AW137" s="89" t="s">
        <v>2859</v>
      </c>
      <c r="AX137" s="89" t="s">
        <v>2859</v>
      </c>
      <c r="AY137" s="89" t="s">
        <v>2859</v>
      </c>
      <c r="AZ137" s="89" t="s">
        <v>2859</v>
      </c>
      <c r="BA137" s="89" t="s">
        <v>2859</v>
      </c>
      <c r="BB137" s="89" t="s">
        <v>2859</v>
      </c>
      <c r="BC137" s="89" t="s">
        <v>2859</v>
      </c>
      <c r="BD137" s="89" t="s">
        <v>2859</v>
      </c>
      <c r="BE137" s="89" t="s">
        <v>2859</v>
      </c>
      <c r="BF137" s="89" t="s">
        <v>2859</v>
      </c>
      <c r="BG137" s="89" t="s">
        <v>2859</v>
      </c>
      <c r="BH137" s="89" t="s">
        <v>2859</v>
      </c>
      <c r="BI137" s="89" t="s">
        <v>2859</v>
      </c>
      <c r="BJ137" s="89" t="s">
        <v>2859</v>
      </c>
      <c r="BK137" s="89" t="s">
        <v>2859</v>
      </c>
      <c r="BL137" s="89" t="s">
        <v>2859</v>
      </c>
      <c r="BM137" s="89" t="s">
        <v>2859</v>
      </c>
      <c r="BN137" s="89" t="s">
        <v>2859</v>
      </c>
      <c r="BO137" s="89" t="s">
        <v>2859</v>
      </c>
      <c r="BP137" s="89" t="s">
        <v>2859</v>
      </c>
      <c r="BQ137" s="89" t="s">
        <v>3837</v>
      </c>
      <c r="BR137" s="89" t="s">
        <v>2859</v>
      </c>
    </row>
    <row r="138" spans="1:70">
      <c r="A138" s="89" t="s">
        <v>2176</v>
      </c>
      <c r="B138" s="89" t="s">
        <v>3838</v>
      </c>
      <c r="C138" s="89" t="s">
        <v>2538</v>
      </c>
      <c r="D138" s="89" t="s">
        <v>2859</v>
      </c>
      <c r="E138" s="89" t="s">
        <v>2859</v>
      </c>
      <c r="F138" s="89" t="s">
        <v>2859</v>
      </c>
      <c r="G138" s="89" t="s">
        <v>2860</v>
      </c>
      <c r="H138" s="89" t="s">
        <v>2859</v>
      </c>
      <c r="I138" s="89" t="s">
        <v>2893</v>
      </c>
      <c r="J138" s="89" t="s">
        <v>2859</v>
      </c>
      <c r="K138" s="89" t="s">
        <v>2859</v>
      </c>
      <c r="L138" s="89" t="s">
        <v>2859</v>
      </c>
      <c r="M138" s="89" t="s">
        <v>2859</v>
      </c>
      <c r="N138" s="89" t="s">
        <v>2859</v>
      </c>
      <c r="O138" s="89" t="s">
        <v>2859</v>
      </c>
      <c r="P138" s="89" t="s">
        <v>2859</v>
      </c>
      <c r="Q138" s="89" t="s">
        <v>2859</v>
      </c>
      <c r="R138" s="89" t="s">
        <v>2859</v>
      </c>
      <c r="S138" s="89" t="s">
        <v>2859</v>
      </c>
      <c r="T138" s="89" t="s">
        <v>2859</v>
      </c>
      <c r="U138" s="89" t="s">
        <v>2859</v>
      </c>
      <c r="V138" s="89" t="s">
        <v>2859</v>
      </c>
      <c r="W138" s="89" t="s">
        <v>2859</v>
      </c>
      <c r="X138" s="89" t="s">
        <v>2859</v>
      </c>
      <c r="Y138" s="89" t="s">
        <v>2859</v>
      </c>
      <c r="Z138" s="89" t="s">
        <v>2859</v>
      </c>
      <c r="AA138" s="89" t="s">
        <v>2859</v>
      </c>
      <c r="AB138" s="89" t="s">
        <v>2859</v>
      </c>
      <c r="AC138" s="89" t="s">
        <v>2859</v>
      </c>
      <c r="AD138" s="89" t="s">
        <v>2859</v>
      </c>
      <c r="AE138" s="89" t="s">
        <v>2859</v>
      </c>
      <c r="AF138" s="89" t="s">
        <v>2859</v>
      </c>
      <c r="AG138" s="89" t="s">
        <v>2859</v>
      </c>
      <c r="AH138" s="89" t="s">
        <v>2859</v>
      </c>
      <c r="AI138" s="89" t="s">
        <v>2859</v>
      </c>
      <c r="AJ138" s="89" t="s">
        <v>2859</v>
      </c>
      <c r="AK138" s="89" t="s">
        <v>2859</v>
      </c>
      <c r="AL138" s="89" t="s">
        <v>2859</v>
      </c>
      <c r="AM138" s="89" t="s">
        <v>2859</v>
      </c>
      <c r="AN138" s="89" t="s">
        <v>2859</v>
      </c>
      <c r="AO138" s="89" t="s">
        <v>2859</v>
      </c>
      <c r="AP138" s="89" t="s">
        <v>2859</v>
      </c>
      <c r="AQ138" s="89" t="s">
        <v>2859</v>
      </c>
      <c r="AR138" s="89" t="s">
        <v>2859</v>
      </c>
      <c r="AS138" s="89" t="s">
        <v>2859</v>
      </c>
      <c r="AT138" s="89" t="s">
        <v>2859</v>
      </c>
      <c r="AU138" s="89" t="s">
        <v>2859</v>
      </c>
      <c r="AV138" s="89" t="s">
        <v>2859</v>
      </c>
      <c r="AW138" s="89" t="s">
        <v>2859</v>
      </c>
      <c r="AX138" s="89" t="s">
        <v>2859</v>
      </c>
      <c r="AY138" s="89" t="s">
        <v>2859</v>
      </c>
      <c r="AZ138" s="89" t="s">
        <v>2859</v>
      </c>
      <c r="BA138" s="89" t="s">
        <v>2859</v>
      </c>
      <c r="BB138" s="89" t="s">
        <v>2859</v>
      </c>
      <c r="BC138" s="89" t="s">
        <v>2859</v>
      </c>
      <c r="BD138" s="89" t="s">
        <v>2859</v>
      </c>
      <c r="BE138" s="89" t="s">
        <v>2859</v>
      </c>
      <c r="BF138" s="89" t="s">
        <v>2859</v>
      </c>
      <c r="BG138" s="89" t="s">
        <v>2859</v>
      </c>
      <c r="BH138" s="89" t="s">
        <v>2859</v>
      </c>
      <c r="BI138" s="89" t="s">
        <v>2859</v>
      </c>
      <c r="BJ138" s="89" t="s">
        <v>2859</v>
      </c>
      <c r="BK138" s="89" t="s">
        <v>2859</v>
      </c>
      <c r="BL138" s="89" t="s">
        <v>2859</v>
      </c>
      <c r="BM138" s="89" t="s">
        <v>2859</v>
      </c>
      <c r="BN138" s="89" t="s">
        <v>2859</v>
      </c>
      <c r="BO138" s="89" t="s">
        <v>2859</v>
      </c>
      <c r="BP138" s="89" t="s">
        <v>2859</v>
      </c>
      <c r="BQ138" s="89" t="s">
        <v>3839</v>
      </c>
      <c r="BR138" s="89" t="s">
        <v>2859</v>
      </c>
    </row>
    <row r="139" spans="1:70">
      <c r="A139" s="89" t="s">
        <v>2176</v>
      </c>
      <c r="B139" s="89" t="s">
        <v>3840</v>
      </c>
      <c r="C139" s="89" t="s">
        <v>2538</v>
      </c>
      <c r="D139" s="89" t="s">
        <v>2859</v>
      </c>
      <c r="E139" s="89" t="s">
        <v>2859</v>
      </c>
      <c r="F139" s="89" t="s">
        <v>2859</v>
      </c>
      <c r="G139" s="89" t="s">
        <v>2860</v>
      </c>
      <c r="H139" s="89" t="s">
        <v>2859</v>
      </c>
      <c r="I139" s="89" t="s">
        <v>2865</v>
      </c>
      <c r="J139" s="89" t="s">
        <v>2859</v>
      </c>
      <c r="K139" s="89" t="s">
        <v>2859</v>
      </c>
      <c r="L139" s="89" t="s">
        <v>2859</v>
      </c>
      <c r="M139" s="89" t="s">
        <v>2859</v>
      </c>
      <c r="N139" s="89" t="s">
        <v>2859</v>
      </c>
      <c r="O139" s="89" t="s">
        <v>2859</v>
      </c>
      <c r="P139" s="89" t="s">
        <v>2859</v>
      </c>
      <c r="Q139" s="89" t="s">
        <v>2859</v>
      </c>
      <c r="R139" s="89" t="s">
        <v>2859</v>
      </c>
      <c r="S139" s="89" t="s">
        <v>2859</v>
      </c>
      <c r="T139" s="89" t="s">
        <v>2859</v>
      </c>
      <c r="U139" s="89" t="s">
        <v>2859</v>
      </c>
      <c r="V139" s="89" t="s">
        <v>2859</v>
      </c>
      <c r="W139" s="89" t="s">
        <v>2859</v>
      </c>
      <c r="X139" s="89" t="s">
        <v>2859</v>
      </c>
      <c r="Y139" s="89" t="s">
        <v>2859</v>
      </c>
      <c r="Z139" s="89" t="s">
        <v>2859</v>
      </c>
      <c r="AA139" s="89" t="s">
        <v>2859</v>
      </c>
      <c r="AB139" s="89" t="s">
        <v>2859</v>
      </c>
      <c r="AC139" s="89" t="s">
        <v>2859</v>
      </c>
      <c r="AD139" s="89" t="s">
        <v>2859</v>
      </c>
      <c r="AE139" s="89" t="s">
        <v>2859</v>
      </c>
      <c r="AF139" s="89" t="s">
        <v>2859</v>
      </c>
      <c r="AG139" s="89" t="s">
        <v>2859</v>
      </c>
      <c r="AH139" s="89" t="s">
        <v>2859</v>
      </c>
      <c r="AI139" s="89" t="s">
        <v>2859</v>
      </c>
      <c r="AJ139" s="89" t="s">
        <v>2859</v>
      </c>
      <c r="AK139" s="89" t="s">
        <v>2859</v>
      </c>
      <c r="AL139" s="89" t="s">
        <v>2859</v>
      </c>
      <c r="AM139" s="89" t="s">
        <v>2859</v>
      </c>
      <c r="AN139" s="89" t="s">
        <v>2859</v>
      </c>
      <c r="AO139" s="89" t="s">
        <v>2859</v>
      </c>
      <c r="AP139" s="89" t="s">
        <v>2859</v>
      </c>
      <c r="AQ139" s="89" t="s">
        <v>2859</v>
      </c>
      <c r="AR139" s="89" t="s">
        <v>2859</v>
      </c>
      <c r="AS139" s="89" t="s">
        <v>2859</v>
      </c>
      <c r="AT139" s="89" t="s">
        <v>2859</v>
      </c>
      <c r="AU139" s="89" t="s">
        <v>2859</v>
      </c>
      <c r="AV139" s="89" t="s">
        <v>2859</v>
      </c>
      <c r="AW139" s="89" t="s">
        <v>2859</v>
      </c>
      <c r="AX139" s="89" t="s">
        <v>2859</v>
      </c>
      <c r="AY139" s="89" t="s">
        <v>2859</v>
      </c>
      <c r="AZ139" s="89" t="s">
        <v>2859</v>
      </c>
      <c r="BA139" s="89" t="s">
        <v>2859</v>
      </c>
      <c r="BB139" s="89" t="s">
        <v>2859</v>
      </c>
      <c r="BC139" s="89" t="s">
        <v>2859</v>
      </c>
      <c r="BD139" s="89" t="s">
        <v>2859</v>
      </c>
      <c r="BE139" s="89" t="s">
        <v>2859</v>
      </c>
      <c r="BF139" s="89" t="s">
        <v>2859</v>
      </c>
      <c r="BG139" s="89" t="s">
        <v>2859</v>
      </c>
      <c r="BH139" s="89" t="s">
        <v>2859</v>
      </c>
      <c r="BI139" s="89" t="s">
        <v>2859</v>
      </c>
      <c r="BJ139" s="89" t="s">
        <v>2859</v>
      </c>
      <c r="BK139" s="89" t="s">
        <v>2859</v>
      </c>
      <c r="BL139" s="89" t="s">
        <v>2859</v>
      </c>
      <c r="BM139" s="89" t="s">
        <v>2859</v>
      </c>
      <c r="BN139" s="89" t="s">
        <v>2859</v>
      </c>
      <c r="BO139" s="89" t="s">
        <v>2859</v>
      </c>
      <c r="BP139" s="89" t="s">
        <v>2859</v>
      </c>
      <c r="BQ139" s="89" t="s">
        <v>3841</v>
      </c>
      <c r="BR139" s="89" t="s">
        <v>2859</v>
      </c>
    </row>
    <row r="140" spans="1:70">
      <c r="A140" s="89" t="s">
        <v>2176</v>
      </c>
      <c r="B140" s="89" t="s">
        <v>3842</v>
      </c>
      <c r="C140" s="89" t="s">
        <v>3843</v>
      </c>
      <c r="D140" s="89" t="s">
        <v>2859</v>
      </c>
      <c r="E140" s="89" t="s">
        <v>2859</v>
      </c>
      <c r="F140" s="89" t="s">
        <v>2859</v>
      </c>
      <c r="G140" s="89" t="s">
        <v>2860</v>
      </c>
      <c r="H140" s="89" t="s">
        <v>2859</v>
      </c>
      <c r="I140" s="89" t="s">
        <v>2865</v>
      </c>
      <c r="J140" s="89" t="s">
        <v>2859</v>
      </c>
      <c r="K140" s="89" t="s">
        <v>2859</v>
      </c>
      <c r="L140" s="89" t="s">
        <v>2859</v>
      </c>
      <c r="M140" s="89" t="s">
        <v>2859</v>
      </c>
      <c r="N140" s="89" t="s">
        <v>2859</v>
      </c>
      <c r="O140" s="89" t="s">
        <v>2859</v>
      </c>
      <c r="P140" s="89" t="s">
        <v>2859</v>
      </c>
      <c r="Q140" s="89" t="s">
        <v>2859</v>
      </c>
      <c r="R140" s="89" t="s">
        <v>2859</v>
      </c>
      <c r="S140" s="89" t="s">
        <v>2859</v>
      </c>
      <c r="T140" s="89" t="s">
        <v>2859</v>
      </c>
      <c r="U140" s="89" t="s">
        <v>2859</v>
      </c>
      <c r="V140" s="89" t="s">
        <v>2859</v>
      </c>
      <c r="W140" s="89" t="s">
        <v>2859</v>
      </c>
      <c r="X140" s="89" t="s">
        <v>2859</v>
      </c>
      <c r="Y140" s="89" t="s">
        <v>2859</v>
      </c>
      <c r="Z140" s="89" t="s">
        <v>2859</v>
      </c>
      <c r="AA140" s="89" t="s">
        <v>2859</v>
      </c>
      <c r="AB140" s="89" t="s">
        <v>2859</v>
      </c>
      <c r="AC140" s="89" t="s">
        <v>2859</v>
      </c>
      <c r="AD140" s="89" t="s">
        <v>2859</v>
      </c>
      <c r="AE140" s="89" t="s">
        <v>2859</v>
      </c>
      <c r="AF140" s="89" t="s">
        <v>2859</v>
      </c>
      <c r="AG140" s="89" t="s">
        <v>2859</v>
      </c>
      <c r="AH140" s="89" t="s">
        <v>2859</v>
      </c>
      <c r="AI140" s="89" t="s">
        <v>2859</v>
      </c>
      <c r="AJ140" s="89" t="s">
        <v>2859</v>
      </c>
      <c r="AK140" s="89" t="s">
        <v>2859</v>
      </c>
      <c r="AL140" s="89" t="s">
        <v>2859</v>
      </c>
      <c r="AM140" s="89" t="s">
        <v>2859</v>
      </c>
      <c r="AN140" s="89" t="s">
        <v>2859</v>
      </c>
      <c r="AO140" s="89" t="s">
        <v>2859</v>
      </c>
      <c r="AP140" s="89" t="s">
        <v>2859</v>
      </c>
      <c r="AQ140" s="89" t="s">
        <v>2859</v>
      </c>
      <c r="AR140" s="89" t="s">
        <v>2859</v>
      </c>
      <c r="AS140" s="89" t="s">
        <v>2859</v>
      </c>
      <c r="AT140" s="89" t="s">
        <v>2859</v>
      </c>
      <c r="AU140" s="89" t="s">
        <v>2859</v>
      </c>
      <c r="AV140" s="89" t="s">
        <v>2859</v>
      </c>
      <c r="AW140" s="89" t="s">
        <v>2859</v>
      </c>
      <c r="AX140" s="89" t="s">
        <v>2859</v>
      </c>
      <c r="AY140" s="89" t="s">
        <v>2859</v>
      </c>
      <c r="AZ140" s="89" t="s">
        <v>2859</v>
      </c>
      <c r="BA140" s="89" t="s">
        <v>2859</v>
      </c>
      <c r="BB140" s="89" t="s">
        <v>2859</v>
      </c>
      <c r="BC140" s="89" t="s">
        <v>2859</v>
      </c>
      <c r="BD140" s="89" t="s">
        <v>2859</v>
      </c>
      <c r="BE140" s="89" t="s">
        <v>2859</v>
      </c>
      <c r="BF140" s="89" t="s">
        <v>2859</v>
      </c>
      <c r="BG140" s="89" t="s">
        <v>2859</v>
      </c>
      <c r="BH140" s="89" t="s">
        <v>2859</v>
      </c>
      <c r="BI140" s="89" t="s">
        <v>2859</v>
      </c>
      <c r="BJ140" s="89" t="s">
        <v>2859</v>
      </c>
      <c r="BK140" s="89" t="s">
        <v>2859</v>
      </c>
      <c r="BL140" s="89" t="s">
        <v>2859</v>
      </c>
      <c r="BM140" s="89" t="s">
        <v>2859</v>
      </c>
      <c r="BN140" s="89" t="s">
        <v>2859</v>
      </c>
      <c r="BO140" s="89" t="s">
        <v>2859</v>
      </c>
      <c r="BP140" s="89" t="s">
        <v>2859</v>
      </c>
      <c r="BQ140" s="89" t="s">
        <v>3844</v>
      </c>
      <c r="BR140" s="89" t="s">
        <v>2859</v>
      </c>
    </row>
    <row r="141" spans="1:70">
      <c r="A141" s="89" t="s">
        <v>2176</v>
      </c>
      <c r="B141" s="89" t="s">
        <v>2785</v>
      </c>
      <c r="C141" s="89" t="s">
        <v>2859</v>
      </c>
      <c r="D141" s="89" t="s">
        <v>2859</v>
      </c>
      <c r="E141" s="89" t="s">
        <v>2859</v>
      </c>
      <c r="F141" s="89" t="s">
        <v>2859</v>
      </c>
      <c r="G141" s="89" t="s">
        <v>2860</v>
      </c>
      <c r="H141" s="89" t="s">
        <v>2859</v>
      </c>
      <c r="I141" s="89" t="s">
        <v>2865</v>
      </c>
      <c r="J141" s="89" t="s">
        <v>2859</v>
      </c>
      <c r="K141" s="89" t="s">
        <v>2859</v>
      </c>
      <c r="L141" s="89" t="s">
        <v>2787</v>
      </c>
      <c r="M141" s="89" t="s">
        <v>2859</v>
      </c>
      <c r="N141" s="89" t="s">
        <v>2859</v>
      </c>
      <c r="O141" s="89" t="s">
        <v>2859</v>
      </c>
      <c r="P141" s="89" t="s">
        <v>2859</v>
      </c>
      <c r="Q141" s="89" t="s">
        <v>2859</v>
      </c>
      <c r="R141" s="89" t="s">
        <v>2859</v>
      </c>
      <c r="S141" s="89" t="s">
        <v>2859</v>
      </c>
      <c r="T141" s="89" t="s">
        <v>2859</v>
      </c>
      <c r="U141" s="89" t="s">
        <v>2859</v>
      </c>
      <c r="V141" s="89" t="s">
        <v>2859</v>
      </c>
      <c r="W141" s="89" t="s">
        <v>2859</v>
      </c>
      <c r="X141" s="89" t="s">
        <v>2859</v>
      </c>
      <c r="Y141" s="89" t="s">
        <v>2859</v>
      </c>
      <c r="Z141" s="89" t="s">
        <v>2859</v>
      </c>
      <c r="AA141" s="89" t="s">
        <v>2859</v>
      </c>
      <c r="AB141" s="89" t="s">
        <v>2859</v>
      </c>
      <c r="AC141" s="89" t="s">
        <v>2859</v>
      </c>
      <c r="AD141" s="89" t="s">
        <v>2859</v>
      </c>
      <c r="AE141" s="89" t="s">
        <v>2859</v>
      </c>
      <c r="AF141" s="89" t="s">
        <v>2859</v>
      </c>
      <c r="AG141" s="89" t="s">
        <v>2859</v>
      </c>
      <c r="AH141" s="89" t="s">
        <v>2859</v>
      </c>
      <c r="AI141" s="89" t="s">
        <v>2859</v>
      </c>
      <c r="AJ141" s="89" t="s">
        <v>2859</v>
      </c>
      <c r="AK141" s="89" t="s">
        <v>2859</v>
      </c>
      <c r="AL141" s="89" t="s">
        <v>2859</v>
      </c>
      <c r="AM141" s="89" t="s">
        <v>2859</v>
      </c>
      <c r="AN141" s="89" t="s">
        <v>2859</v>
      </c>
      <c r="AO141" s="89" t="s">
        <v>2859</v>
      </c>
      <c r="AP141" s="89" t="s">
        <v>2859</v>
      </c>
      <c r="AQ141" s="89" t="s">
        <v>2859</v>
      </c>
      <c r="AR141" s="89" t="s">
        <v>2859</v>
      </c>
      <c r="AS141" s="89" t="s">
        <v>2859</v>
      </c>
      <c r="AT141" s="89" t="s">
        <v>2859</v>
      </c>
      <c r="AU141" s="89" t="s">
        <v>2859</v>
      </c>
      <c r="AV141" s="89" t="s">
        <v>2859</v>
      </c>
      <c r="AW141" s="89" t="s">
        <v>2859</v>
      </c>
      <c r="AX141" s="89" t="s">
        <v>2859</v>
      </c>
      <c r="AY141" s="89" t="s">
        <v>2859</v>
      </c>
      <c r="AZ141" s="89" t="s">
        <v>2859</v>
      </c>
      <c r="BA141" s="89" t="s">
        <v>2859</v>
      </c>
      <c r="BB141" s="89" t="s">
        <v>2859</v>
      </c>
      <c r="BC141" s="89" t="s">
        <v>2859</v>
      </c>
      <c r="BD141" s="89" t="s">
        <v>2859</v>
      </c>
      <c r="BE141" s="89" t="s">
        <v>2859</v>
      </c>
      <c r="BF141" s="89" t="s">
        <v>2859</v>
      </c>
      <c r="BG141" s="89" t="s">
        <v>2859</v>
      </c>
      <c r="BH141" s="89" t="s">
        <v>2859</v>
      </c>
      <c r="BI141" s="89" t="s">
        <v>2859</v>
      </c>
      <c r="BJ141" s="89" t="s">
        <v>2859</v>
      </c>
      <c r="BK141" s="89" t="s">
        <v>2859</v>
      </c>
      <c r="BL141" s="89" t="s">
        <v>2859</v>
      </c>
      <c r="BM141" s="89" t="s">
        <v>2859</v>
      </c>
      <c r="BN141" s="89" t="s">
        <v>2859</v>
      </c>
      <c r="BO141" s="89" t="s">
        <v>2859</v>
      </c>
      <c r="BP141" s="89" t="s">
        <v>2859</v>
      </c>
      <c r="BQ141" s="89" t="s">
        <v>3845</v>
      </c>
      <c r="BR141" s="89" t="s">
        <v>2859</v>
      </c>
    </row>
    <row r="142" spans="1:70">
      <c r="A142" s="89" t="s">
        <v>2176</v>
      </c>
      <c r="B142" s="89" t="s">
        <v>2549</v>
      </c>
      <c r="C142" s="89" t="s">
        <v>2538</v>
      </c>
      <c r="D142" s="89" t="s">
        <v>2859</v>
      </c>
      <c r="E142" s="89" t="s">
        <v>2859</v>
      </c>
      <c r="F142" s="89" t="s">
        <v>2859</v>
      </c>
      <c r="G142" s="89" t="s">
        <v>2860</v>
      </c>
      <c r="H142" s="89" t="s">
        <v>2859</v>
      </c>
      <c r="I142" s="89" t="s">
        <v>120</v>
      </c>
      <c r="J142" s="89" t="s">
        <v>3846</v>
      </c>
      <c r="K142" s="89" t="s">
        <v>2860</v>
      </c>
      <c r="L142" s="89" t="s">
        <v>3847</v>
      </c>
      <c r="M142" s="89" t="s">
        <v>3846</v>
      </c>
      <c r="N142" s="89" t="s">
        <v>2860</v>
      </c>
      <c r="O142" s="89" t="s">
        <v>2859</v>
      </c>
      <c r="P142" s="89" t="s">
        <v>2859</v>
      </c>
      <c r="Q142" s="89" t="s">
        <v>2859</v>
      </c>
      <c r="R142" s="89" t="s">
        <v>2859</v>
      </c>
      <c r="S142" s="89" t="s">
        <v>2859</v>
      </c>
      <c r="T142" s="89" t="s">
        <v>2859</v>
      </c>
      <c r="U142" s="89" t="s">
        <v>2859</v>
      </c>
      <c r="V142" s="89" t="s">
        <v>2859</v>
      </c>
      <c r="W142" s="89" t="s">
        <v>2859</v>
      </c>
      <c r="X142" s="89" t="s">
        <v>2859</v>
      </c>
      <c r="Y142" s="89" t="s">
        <v>2859</v>
      </c>
      <c r="Z142" s="89" t="s">
        <v>2859</v>
      </c>
      <c r="AA142" s="89" t="s">
        <v>2859</v>
      </c>
      <c r="AB142" s="89" t="s">
        <v>2859</v>
      </c>
      <c r="AC142" s="89" t="s">
        <v>2859</v>
      </c>
      <c r="AD142" s="89" t="s">
        <v>2859</v>
      </c>
      <c r="AE142" s="89" t="s">
        <v>2859</v>
      </c>
      <c r="AF142" s="89" t="s">
        <v>2859</v>
      </c>
      <c r="AG142" s="89" t="s">
        <v>2859</v>
      </c>
      <c r="AH142" s="89" t="s">
        <v>2859</v>
      </c>
      <c r="AI142" s="89" t="s">
        <v>2859</v>
      </c>
      <c r="AJ142" s="89" t="s">
        <v>2859</v>
      </c>
      <c r="AK142" s="89" t="s">
        <v>2859</v>
      </c>
      <c r="AL142" s="89" t="s">
        <v>2859</v>
      </c>
      <c r="AM142" s="89" t="s">
        <v>2859</v>
      </c>
      <c r="AN142" s="89" t="s">
        <v>2859</v>
      </c>
      <c r="AO142" s="89" t="s">
        <v>2859</v>
      </c>
      <c r="AP142" s="89" t="s">
        <v>2859</v>
      </c>
      <c r="AQ142" s="89" t="s">
        <v>2859</v>
      </c>
      <c r="AR142" s="89" t="s">
        <v>2859</v>
      </c>
      <c r="AS142" s="89" t="s">
        <v>2859</v>
      </c>
      <c r="AT142" s="89" t="s">
        <v>2859</v>
      </c>
      <c r="AU142" s="89" t="s">
        <v>2859</v>
      </c>
      <c r="AV142" s="89" t="s">
        <v>2859</v>
      </c>
      <c r="AW142" s="89" t="s">
        <v>2859</v>
      </c>
      <c r="AX142" s="89" t="s">
        <v>2859</v>
      </c>
      <c r="AY142" s="89" t="s">
        <v>2859</v>
      </c>
      <c r="AZ142" s="89" t="s">
        <v>2859</v>
      </c>
      <c r="BA142" s="89" t="s">
        <v>2859</v>
      </c>
      <c r="BB142" s="89" t="s">
        <v>2859</v>
      </c>
      <c r="BC142" s="89" t="s">
        <v>2859</v>
      </c>
      <c r="BD142" s="89" t="s">
        <v>2859</v>
      </c>
      <c r="BE142" s="89" t="s">
        <v>2859</v>
      </c>
      <c r="BF142" s="89" t="s">
        <v>2859</v>
      </c>
      <c r="BG142" s="89" t="s">
        <v>2859</v>
      </c>
      <c r="BH142" s="89" t="s">
        <v>2859</v>
      </c>
      <c r="BI142" s="89" t="s">
        <v>2859</v>
      </c>
      <c r="BJ142" s="89" t="s">
        <v>2859</v>
      </c>
      <c r="BK142" s="89" t="s">
        <v>2859</v>
      </c>
      <c r="BL142" s="89" t="s">
        <v>2859</v>
      </c>
      <c r="BM142" s="89" t="s">
        <v>2859</v>
      </c>
      <c r="BN142" s="89" t="s">
        <v>2859</v>
      </c>
      <c r="BO142" s="89" t="s">
        <v>2859</v>
      </c>
      <c r="BP142" s="89" t="s">
        <v>2859</v>
      </c>
      <c r="BQ142" s="89" t="s">
        <v>3848</v>
      </c>
      <c r="BR142" s="89" t="s">
        <v>2859</v>
      </c>
    </row>
    <row r="143" spans="1:70">
      <c r="A143" s="89" t="s">
        <v>2176</v>
      </c>
      <c r="B143" s="89" t="s">
        <v>2552</v>
      </c>
      <c r="C143" s="89" t="s">
        <v>2538</v>
      </c>
      <c r="D143" s="89" t="s">
        <v>2859</v>
      </c>
      <c r="E143" s="89" t="s">
        <v>2859</v>
      </c>
      <c r="F143" s="89" t="s">
        <v>2859</v>
      </c>
      <c r="G143" s="89" t="s">
        <v>2860</v>
      </c>
      <c r="H143" s="89" t="s">
        <v>2859</v>
      </c>
      <c r="I143" s="89" t="s">
        <v>120</v>
      </c>
      <c r="J143" s="89" t="s">
        <v>2859</v>
      </c>
      <c r="K143" s="89" t="s">
        <v>2859</v>
      </c>
      <c r="L143" s="89" t="s">
        <v>500</v>
      </c>
      <c r="M143" s="89" t="s">
        <v>2859</v>
      </c>
      <c r="N143" s="89" t="s">
        <v>2859</v>
      </c>
      <c r="O143" s="89" t="s">
        <v>2859</v>
      </c>
      <c r="P143" s="89" t="s">
        <v>2859</v>
      </c>
      <c r="Q143" s="89" t="s">
        <v>2859</v>
      </c>
      <c r="R143" s="89" t="s">
        <v>2859</v>
      </c>
      <c r="S143" s="89" t="s">
        <v>2859</v>
      </c>
      <c r="T143" s="89" t="s">
        <v>2859</v>
      </c>
      <c r="U143" s="89" t="s">
        <v>2859</v>
      </c>
      <c r="V143" s="89" t="s">
        <v>2859</v>
      </c>
      <c r="W143" s="89" t="s">
        <v>2859</v>
      </c>
      <c r="X143" s="89" t="s">
        <v>2859</v>
      </c>
      <c r="Y143" s="89" t="s">
        <v>2859</v>
      </c>
      <c r="Z143" s="89" t="s">
        <v>2859</v>
      </c>
      <c r="AA143" s="89" t="s">
        <v>2859</v>
      </c>
      <c r="AB143" s="89" t="s">
        <v>2859</v>
      </c>
      <c r="AC143" s="89" t="s">
        <v>2859</v>
      </c>
      <c r="AD143" s="89" t="s">
        <v>2859</v>
      </c>
      <c r="AE143" s="89" t="s">
        <v>2859</v>
      </c>
      <c r="AF143" s="89" t="s">
        <v>2859</v>
      </c>
      <c r="AG143" s="89" t="s">
        <v>2859</v>
      </c>
      <c r="AH143" s="89" t="s">
        <v>2859</v>
      </c>
      <c r="AI143" s="89" t="s">
        <v>2859</v>
      </c>
      <c r="AJ143" s="89" t="s">
        <v>2859</v>
      </c>
      <c r="AK143" s="89" t="s">
        <v>2859</v>
      </c>
      <c r="AL143" s="89" t="s">
        <v>2859</v>
      </c>
      <c r="AM143" s="89" t="s">
        <v>2859</v>
      </c>
      <c r="AN143" s="89" t="s">
        <v>2859</v>
      </c>
      <c r="AO143" s="89" t="s">
        <v>2859</v>
      </c>
      <c r="AP143" s="89" t="s">
        <v>2859</v>
      </c>
      <c r="AQ143" s="89" t="s">
        <v>2859</v>
      </c>
      <c r="AR143" s="89" t="s">
        <v>2859</v>
      </c>
      <c r="AS143" s="89" t="s">
        <v>2859</v>
      </c>
      <c r="AT143" s="89" t="s">
        <v>2859</v>
      </c>
      <c r="AU143" s="89" t="s">
        <v>2859</v>
      </c>
      <c r="AV143" s="89" t="s">
        <v>2859</v>
      </c>
      <c r="AW143" s="89" t="s">
        <v>2859</v>
      </c>
      <c r="AX143" s="89" t="s">
        <v>2859</v>
      </c>
      <c r="AY143" s="89" t="s">
        <v>2859</v>
      </c>
      <c r="AZ143" s="89" t="s">
        <v>2859</v>
      </c>
      <c r="BA143" s="89" t="s">
        <v>2859</v>
      </c>
      <c r="BB143" s="89" t="s">
        <v>2859</v>
      </c>
      <c r="BC143" s="89" t="s">
        <v>2859</v>
      </c>
      <c r="BD143" s="89" t="s">
        <v>2859</v>
      </c>
      <c r="BE143" s="89" t="s">
        <v>2859</v>
      </c>
      <c r="BF143" s="89" t="s">
        <v>2859</v>
      </c>
      <c r="BG143" s="89" t="s">
        <v>2859</v>
      </c>
      <c r="BH143" s="89" t="s">
        <v>2859</v>
      </c>
      <c r="BI143" s="89" t="s">
        <v>2859</v>
      </c>
      <c r="BJ143" s="89" t="s">
        <v>2859</v>
      </c>
      <c r="BK143" s="89" t="s">
        <v>2859</v>
      </c>
      <c r="BL143" s="89" t="s">
        <v>2859</v>
      </c>
      <c r="BM143" s="89" t="s">
        <v>2859</v>
      </c>
      <c r="BN143" s="89" t="s">
        <v>2859</v>
      </c>
      <c r="BO143" s="89" t="s">
        <v>2859</v>
      </c>
      <c r="BP143" s="89" t="s">
        <v>2859</v>
      </c>
      <c r="BQ143" s="89" t="s">
        <v>3849</v>
      </c>
      <c r="BR143" s="89" t="s">
        <v>2859</v>
      </c>
    </row>
    <row r="144" spans="1:70">
      <c r="A144" s="89" t="s">
        <v>2178</v>
      </c>
      <c r="B144" s="89" t="s">
        <v>2367</v>
      </c>
      <c r="C144" s="89" t="s">
        <v>2859</v>
      </c>
      <c r="D144" s="89" t="s">
        <v>2859</v>
      </c>
      <c r="E144" s="89" t="s">
        <v>2859</v>
      </c>
      <c r="F144" s="89" t="s">
        <v>2859</v>
      </c>
      <c r="G144" s="89" t="s">
        <v>2860</v>
      </c>
      <c r="H144" s="89" t="s">
        <v>2859</v>
      </c>
      <c r="I144" s="89" t="s">
        <v>2317</v>
      </c>
      <c r="J144" s="89" t="s">
        <v>2368</v>
      </c>
      <c r="K144" s="89" t="s">
        <v>2860</v>
      </c>
      <c r="L144" s="89" t="s">
        <v>2859</v>
      </c>
      <c r="M144" s="89" t="s">
        <v>2859</v>
      </c>
      <c r="N144" s="89" t="s">
        <v>2859</v>
      </c>
      <c r="O144" s="89" t="s">
        <v>2859</v>
      </c>
      <c r="P144" s="89" t="s">
        <v>2859</v>
      </c>
      <c r="Q144" s="89" t="s">
        <v>2859</v>
      </c>
      <c r="R144" s="89" t="s">
        <v>2859</v>
      </c>
      <c r="S144" s="89" t="s">
        <v>2859</v>
      </c>
      <c r="T144" s="89" t="s">
        <v>2859</v>
      </c>
      <c r="U144" s="89" t="s">
        <v>2859</v>
      </c>
      <c r="V144" s="89" t="s">
        <v>2859</v>
      </c>
      <c r="W144" s="89" t="s">
        <v>2859</v>
      </c>
      <c r="X144" s="89" t="s">
        <v>2859</v>
      </c>
      <c r="Y144" s="89" t="s">
        <v>2859</v>
      </c>
      <c r="Z144" s="89" t="s">
        <v>2859</v>
      </c>
      <c r="AA144" s="89" t="s">
        <v>2859</v>
      </c>
      <c r="AB144" s="89" t="s">
        <v>2859</v>
      </c>
      <c r="AC144" s="89" t="s">
        <v>2859</v>
      </c>
      <c r="AD144" s="89" t="s">
        <v>2859</v>
      </c>
      <c r="AE144" s="89" t="s">
        <v>2859</v>
      </c>
      <c r="AF144" s="89" t="s">
        <v>2859</v>
      </c>
      <c r="AG144" s="89" t="s">
        <v>2859</v>
      </c>
      <c r="AH144" s="89" t="s">
        <v>2859</v>
      </c>
      <c r="AI144" s="89" t="s">
        <v>2859</v>
      </c>
      <c r="AJ144" s="89" t="s">
        <v>2859</v>
      </c>
      <c r="AK144" s="89" t="s">
        <v>2859</v>
      </c>
      <c r="AL144" s="89" t="s">
        <v>2859</v>
      </c>
      <c r="AM144" s="89" t="s">
        <v>2859</v>
      </c>
      <c r="AN144" s="89" t="s">
        <v>2859</v>
      </c>
      <c r="AO144" s="89" t="s">
        <v>2859</v>
      </c>
      <c r="AP144" s="89" t="s">
        <v>2859</v>
      </c>
      <c r="AQ144" s="89" t="s">
        <v>2859</v>
      </c>
      <c r="AR144" s="89" t="s">
        <v>2859</v>
      </c>
      <c r="AS144" s="89" t="s">
        <v>2859</v>
      </c>
      <c r="AT144" s="89" t="s">
        <v>2859</v>
      </c>
      <c r="AU144" s="89" t="s">
        <v>2859</v>
      </c>
      <c r="AV144" s="89" t="s">
        <v>2859</v>
      </c>
      <c r="AW144" s="89" t="s">
        <v>2859</v>
      </c>
      <c r="AX144" s="89" t="s">
        <v>2859</v>
      </c>
      <c r="AY144" s="89" t="s">
        <v>2859</v>
      </c>
      <c r="AZ144" s="89" t="s">
        <v>2859</v>
      </c>
      <c r="BA144" s="89" t="s">
        <v>2859</v>
      </c>
      <c r="BB144" s="89" t="s">
        <v>2859</v>
      </c>
      <c r="BC144" s="89" t="s">
        <v>2859</v>
      </c>
      <c r="BD144" s="89" t="s">
        <v>2859</v>
      </c>
      <c r="BE144" s="89" t="s">
        <v>2859</v>
      </c>
      <c r="BF144" s="89" t="s">
        <v>2859</v>
      </c>
      <c r="BG144" s="89" t="s">
        <v>2859</v>
      </c>
      <c r="BH144" s="89" t="s">
        <v>2859</v>
      </c>
      <c r="BI144" s="89" t="s">
        <v>2859</v>
      </c>
      <c r="BJ144" s="89" t="s">
        <v>2859</v>
      </c>
      <c r="BK144" s="89" t="s">
        <v>2859</v>
      </c>
      <c r="BL144" s="89" t="s">
        <v>2859</v>
      </c>
      <c r="BM144" s="89" t="s">
        <v>2859</v>
      </c>
      <c r="BN144" s="89" t="s">
        <v>2859</v>
      </c>
      <c r="BO144" s="89" t="s">
        <v>2859</v>
      </c>
      <c r="BP144" s="89" t="s">
        <v>2859</v>
      </c>
      <c r="BQ144" s="89" t="s">
        <v>3850</v>
      </c>
      <c r="BR144" s="89" t="s">
        <v>2859</v>
      </c>
    </row>
    <row r="145" spans="1:70">
      <c r="A145" s="89" t="s">
        <v>2178</v>
      </c>
      <c r="B145" s="89" t="s">
        <v>3851</v>
      </c>
      <c r="C145" s="89" t="s">
        <v>2859</v>
      </c>
      <c r="D145" s="89" t="s">
        <v>2859</v>
      </c>
      <c r="E145" s="89" t="s">
        <v>2859</v>
      </c>
      <c r="F145" s="89" t="s">
        <v>2859</v>
      </c>
      <c r="G145" s="89" t="s">
        <v>2860</v>
      </c>
      <c r="H145" s="89" t="s">
        <v>2859</v>
      </c>
      <c r="I145" s="89" t="s">
        <v>939</v>
      </c>
      <c r="J145" s="89" t="s">
        <v>3852</v>
      </c>
      <c r="K145" s="89" t="s">
        <v>2860</v>
      </c>
      <c r="L145" s="89" t="s">
        <v>2859</v>
      </c>
      <c r="M145" s="89" t="s">
        <v>2859</v>
      </c>
      <c r="N145" s="89" t="s">
        <v>2859</v>
      </c>
      <c r="O145" s="89" t="s">
        <v>2859</v>
      </c>
      <c r="P145" s="89" t="s">
        <v>2859</v>
      </c>
      <c r="Q145" s="89" t="s">
        <v>2859</v>
      </c>
      <c r="R145" s="89" t="s">
        <v>2859</v>
      </c>
      <c r="S145" s="89" t="s">
        <v>2859</v>
      </c>
      <c r="T145" s="89" t="s">
        <v>2859</v>
      </c>
      <c r="U145" s="89" t="s">
        <v>2859</v>
      </c>
      <c r="V145" s="89" t="s">
        <v>2859</v>
      </c>
      <c r="W145" s="89" t="s">
        <v>2859</v>
      </c>
      <c r="X145" s="89" t="s">
        <v>2859</v>
      </c>
      <c r="Y145" s="89" t="s">
        <v>2859</v>
      </c>
      <c r="Z145" s="89" t="s">
        <v>2859</v>
      </c>
      <c r="AA145" s="89" t="s">
        <v>2859</v>
      </c>
      <c r="AB145" s="89" t="s">
        <v>2859</v>
      </c>
      <c r="AC145" s="89" t="s">
        <v>2859</v>
      </c>
      <c r="AD145" s="89" t="s">
        <v>2859</v>
      </c>
      <c r="AE145" s="89" t="s">
        <v>2859</v>
      </c>
      <c r="AF145" s="89" t="s">
        <v>2859</v>
      </c>
      <c r="AG145" s="89" t="s">
        <v>2859</v>
      </c>
      <c r="AH145" s="89" t="s">
        <v>2859</v>
      </c>
      <c r="AI145" s="89" t="s">
        <v>2859</v>
      </c>
      <c r="AJ145" s="89" t="s">
        <v>2859</v>
      </c>
      <c r="AK145" s="89" t="s">
        <v>2859</v>
      </c>
      <c r="AL145" s="89" t="s">
        <v>2859</v>
      </c>
      <c r="AM145" s="89" t="s">
        <v>2859</v>
      </c>
      <c r="AN145" s="89" t="s">
        <v>2859</v>
      </c>
      <c r="AO145" s="89" t="s">
        <v>2859</v>
      </c>
      <c r="AP145" s="89" t="s">
        <v>2859</v>
      </c>
      <c r="AQ145" s="89" t="s">
        <v>2859</v>
      </c>
      <c r="AR145" s="89" t="s">
        <v>2859</v>
      </c>
      <c r="AS145" s="89" t="s">
        <v>2859</v>
      </c>
      <c r="AT145" s="89" t="s">
        <v>2859</v>
      </c>
      <c r="AU145" s="89" t="s">
        <v>2859</v>
      </c>
      <c r="AV145" s="89" t="s">
        <v>2859</v>
      </c>
      <c r="AW145" s="89" t="s">
        <v>2859</v>
      </c>
      <c r="AX145" s="89" t="s">
        <v>2859</v>
      </c>
      <c r="AY145" s="89" t="s">
        <v>2859</v>
      </c>
      <c r="AZ145" s="89" t="s">
        <v>2859</v>
      </c>
      <c r="BA145" s="89" t="s">
        <v>2859</v>
      </c>
      <c r="BB145" s="89" t="s">
        <v>2859</v>
      </c>
      <c r="BC145" s="89" t="s">
        <v>2859</v>
      </c>
      <c r="BD145" s="89" t="s">
        <v>2859</v>
      </c>
      <c r="BE145" s="89" t="s">
        <v>2859</v>
      </c>
      <c r="BF145" s="89" t="s">
        <v>2859</v>
      </c>
      <c r="BG145" s="89" t="s">
        <v>2859</v>
      </c>
      <c r="BH145" s="89" t="s">
        <v>2859</v>
      </c>
      <c r="BI145" s="89" t="s">
        <v>2859</v>
      </c>
      <c r="BJ145" s="89" t="s">
        <v>2859</v>
      </c>
      <c r="BK145" s="89" t="s">
        <v>2859</v>
      </c>
      <c r="BL145" s="89" t="s">
        <v>2859</v>
      </c>
      <c r="BM145" s="89" t="s">
        <v>2859</v>
      </c>
      <c r="BN145" s="89" t="s">
        <v>2859</v>
      </c>
      <c r="BO145" s="89" t="s">
        <v>2859</v>
      </c>
      <c r="BP145" s="89" t="s">
        <v>2859</v>
      </c>
      <c r="BQ145" s="89" t="s">
        <v>3853</v>
      </c>
      <c r="BR145" s="89" t="s">
        <v>2859</v>
      </c>
    </row>
    <row r="146" spans="1:70">
      <c r="A146" s="89" t="s">
        <v>2178</v>
      </c>
      <c r="B146" s="89" t="s">
        <v>3854</v>
      </c>
      <c r="C146" s="89" t="s">
        <v>2559</v>
      </c>
      <c r="D146" s="89" t="s">
        <v>2859</v>
      </c>
      <c r="E146" s="89" t="s">
        <v>2859</v>
      </c>
      <c r="F146" s="89" t="s">
        <v>2859</v>
      </c>
      <c r="G146" s="89" t="s">
        <v>2860</v>
      </c>
      <c r="H146" s="89" t="s">
        <v>2859</v>
      </c>
      <c r="I146" s="89" t="s">
        <v>1463</v>
      </c>
      <c r="J146" s="89" t="s">
        <v>3855</v>
      </c>
      <c r="K146" s="89" t="s">
        <v>2867</v>
      </c>
      <c r="L146" s="89" t="s">
        <v>2859</v>
      </c>
      <c r="M146" s="89" t="s">
        <v>2859</v>
      </c>
      <c r="N146" s="89" t="s">
        <v>2859</v>
      </c>
      <c r="O146" s="89" t="s">
        <v>2859</v>
      </c>
      <c r="P146" s="89" t="s">
        <v>2859</v>
      </c>
      <c r="Q146" s="89" t="s">
        <v>2859</v>
      </c>
      <c r="R146" s="89" t="s">
        <v>2859</v>
      </c>
      <c r="S146" s="89" t="s">
        <v>2859</v>
      </c>
      <c r="T146" s="89" t="s">
        <v>2859</v>
      </c>
      <c r="U146" s="89" t="s">
        <v>2859</v>
      </c>
      <c r="V146" s="89" t="s">
        <v>2859</v>
      </c>
      <c r="W146" s="89" t="s">
        <v>2859</v>
      </c>
      <c r="X146" s="89" t="s">
        <v>2859</v>
      </c>
      <c r="Y146" s="89" t="s">
        <v>2859</v>
      </c>
      <c r="Z146" s="89" t="s">
        <v>2859</v>
      </c>
      <c r="AA146" s="89" t="s">
        <v>2859</v>
      </c>
      <c r="AB146" s="89" t="s">
        <v>2859</v>
      </c>
      <c r="AC146" s="89" t="s">
        <v>2859</v>
      </c>
      <c r="AD146" s="89" t="s">
        <v>2859</v>
      </c>
      <c r="AE146" s="89" t="s">
        <v>2859</v>
      </c>
      <c r="AF146" s="89" t="s">
        <v>2859</v>
      </c>
      <c r="AG146" s="89" t="s">
        <v>2859</v>
      </c>
      <c r="AH146" s="89" t="s">
        <v>2859</v>
      </c>
      <c r="AI146" s="89" t="s">
        <v>2859</v>
      </c>
      <c r="AJ146" s="89" t="s">
        <v>2859</v>
      </c>
      <c r="AK146" s="89" t="s">
        <v>2859</v>
      </c>
      <c r="AL146" s="89" t="s">
        <v>2859</v>
      </c>
      <c r="AM146" s="89" t="s">
        <v>2859</v>
      </c>
      <c r="AN146" s="89" t="s">
        <v>2859</v>
      </c>
      <c r="AO146" s="89" t="s">
        <v>2859</v>
      </c>
      <c r="AP146" s="89" t="s">
        <v>2859</v>
      </c>
      <c r="AQ146" s="89" t="s">
        <v>2859</v>
      </c>
      <c r="AR146" s="89" t="s">
        <v>2859</v>
      </c>
      <c r="AS146" s="89" t="s">
        <v>2859</v>
      </c>
      <c r="AT146" s="89" t="s">
        <v>2859</v>
      </c>
      <c r="AU146" s="89" t="s">
        <v>2859</v>
      </c>
      <c r="AV146" s="89" t="s">
        <v>2859</v>
      </c>
      <c r="AW146" s="89" t="s">
        <v>2859</v>
      </c>
      <c r="AX146" s="89" t="s">
        <v>2859</v>
      </c>
      <c r="AY146" s="89" t="s">
        <v>2859</v>
      </c>
      <c r="AZ146" s="89" t="s">
        <v>2859</v>
      </c>
      <c r="BA146" s="89" t="s">
        <v>2859</v>
      </c>
      <c r="BB146" s="89" t="s">
        <v>2859</v>
      </c>
      <c r="BC146" s="89" t="s">
        <v>2859</v>
      </c>
      <c r="BD146" s="89" t="s">
        <v>2859</v>
      </c>
      <c r="BE146" s="89" t="s">
        <v>2859</v>
      </c>
      <c r="BF146" s="89" t="s">
        <v>2859</v>
      </c>
      <c r="BG146" s="89" t="s">
        <v>2859</v>
      </c>
      <c r="BH146" s="89" t="s">
        <v>2859</v>
      </c>
      <c r="BI146" s="89" t="s">
        <v>2859</v>
      </c>
      <c r="BJ146" s="89" t="s">
        <v>2859</v>
      </c>
      <c r="BK146" s="89" t="s">
        <v>2859</v>
      </c>
      <c r="BL146" s="89" t="s">
        <v>2859</v>
      </c>
      <c r="BM146" s="89" t="s">
        <v>2859</v>
      </c>
      <c r="BN146" s="89" t="s">
        <v>2859</v>
      </c>
      <c r="BO146" s="89" t="s">
        <v>2859</v>
      </c>
      <c r="BP146" s="89" t="s">
        <v>2859</v>
      </c>
      <c r="BQ146" s="89" t="s">
        <v>3856</v>
      </c>
      <c r="BR146" s="89" t="s">
        <v>2869</v>
      </c>
    </row>
    <row r="147" spans="1:70">
      <c r="A147" s="89" t="s">
        <v>2178</v>
      </c>
      <c r="B147" s="89" t="s">
        <v>3857</v>
      </c>
      <c r="C147" s="89" t="s">
        <v>2859</v>
      </c>
      <c r="D147" s="89" t="s">
        <v>2859</v>
      </c>
      <c r="E147" s="89" t="s">
        <v>2859</v>
      </c>
      <c r="F147" s="89" t="s">
        <v>2859</v>
      </c>
      <c r="G147" s="89" t="s">
        <v>2860</v>
      </c>
      <c r="H147" s="89" t="s">
        <v>2859</v>
      </c>
      <c r="I147" s="89" t="s">
        <v>1463</v>
      </c>
      <c r="J147" s="89" t="s">
        <v>2859</v>
      </c>
      <c r="K147" s="89" t="s">
        <v>2859</v>
      </c>
      <c r="L147" s="89" t="s">
        <v>2859</v>
      </c>
      <c r="M147" s="89" t="s">
        <v>2859</v>
      </c>
      <c r="N147" s="89" t="s">
        <v>2859</v>
      </c>
      <c r="O147" s="89" t="s">
        <v>2859</v>
      </c>
      <c r="P147" s="89" t="s">
        <v>2859</v>
      </c>
      <c r="Q147" s="89" t="s">
        <v>2859</v>
      </c>
      <c r="R147" s="89" t="s">
        <v>2859</v>
      </c>
      <c r="S147" s="89" t="s">
        <v>2859</v>
      </c>
      <c r="T147" s="89" t="s">
        <v>2859</v>
      </c>
      <c r="U147" s="89" t="s">
        <v>2859</v>
      </c>
      <c r="V147" s="89" t="s">
        <v>2859</v>
      </c>
      <c r="W147" s="89" t="s">
        <v>2859</v>
      </c>
      <c r="X147" s="89" t="s">
        <v>2859</v>
      </c>
      <c r="Y147" s="89" t="s">
        <v>2859</v>
      </c>
      <c r="Z147" s="89" t="s">
        <v>2859</v>
      </c>
      <c r="AA147" s="89" t="s">
        <v>2859</v>
      </c>
      <c r="AB147" s="89" t="s">
        <v>2859</v>
      </c>
      <c r="AC147" s="89" t="s">
        <v>2859</v>
      </c>
      <c r="AD147" s="89" t="s">
        <v>2859</v>
      </c>
      <c r="AE147" s="89" t="s">
        <v>2859</v>
      </c>
      <c r="AF147" s="89" t="s">
        <v>2859</v>
      </c>
      <c r="AG147" s="89" t="s">
        <v>2859</v>
      </c>
      <c r="AH147" s="89" t="s">
        <v>2859</v>
      </c>
      <c r="AI147" s="89" t="s">
        <v>2859</v>
      </c>
      <c r="AJ147" s="89" t="s">
        <v>2859</v>
      </c>
      <c r="AK147" s="89" t="s">
        <v>2859</v>
      </c>
      <c r="AL147" s="89" t="s">
        <v>2859</v>
      </c>
      <c r="AM147" s="89" t="s">
        <v>2859</v>
      </c>
      <c r="AN147" s="89" t="s">
        <v>2859</v>
      </c>
      <c r="AO147" s="89" t="s">
        <v>2859</v>
      </c>
      <c r="AP147" s="89" t="s">
        <v>2859</v>
      </c>
      <c r="AQ147" s="89" t="s">
        <v>2859</v>
      </c>
      <c r="AR147" s="89" t="s">
        <v>2859</v>
      </c>
      <c r="AS147" s="89" t="s">
        <v>2859</v>
      </c>
      <c r="AT147" s="89" t="s">
        <v>2859</v>
      </c>
      <c r="AU147" s="89" t="s">
        <v>2859</v>
      </c>
      <c r="AV147" s="89" t="s">
        <v>2859</v>
      </c>
      <c r="AW147" s="89" t="s">
        <v>2859</v>
      </c>
      <c r="AX147" s="89" t="s">
        <v>2859</v>
      </c>
      <c r="AY147" s="89" t="s">
        <v>2859</v>
      </c>
      <c r="AZ147" s="89" t="s">
        <v>2859</v>
      </c>
      <c r="BA147" s="89" t="s">
        <v>2859</v>
      </c>
      <c r="BB147" s="89" t="s">
        <v>2859</v>
      </c>
      <c r="BC147" s="89" t="s">
        <v>2859</v>
      </c>
      <c r="BD147" s="89" t="s">
        <v>2859</v>
      </c>
      <c r="BE147" s="89" t="s">
        <v>2859</v>
      </c>
      <c r="BF147" s="89" t="s">
        <v>2859</v>
      </c>
      <c r="BG147" s="89" t="s">
        <v>2859</v>
      </c>
      <c r="BH147" s="89" t="s">
        <v>2859</v>
      </c>
      <c r="BI147" s="89" t="s">
        <v>2859</v>
      </c>
      <c r="BJ147" s="89" t="s">
        <v>2859</v>
      </c>
      <c r="BK147" s="89" t="s">
        <v>2859</v>
      </c>
      <c r="BL147" s="89" t="s">
        <v>2859</v>
      </c>
      <c r="BM147" s="89" t="s">
        <v>2859</v>
      </c>
      <c r="BN147" s="89" t="s">
        <v>2859</v>
      </c>
      <c r="BO147" s="89" t="s">
        <v>2859</v>
      </c>
      <c r="BP147" s="89" t="s">
        <v>2859</v>
      </c>
      <c r="BQ147" s="89" t="s">
        <v>3858</v>
      </c>
      <c r="BR147" s="89" t="s">
        <v>2859</v>
      </c>
    </row>
    <row r="148" spans="1:70">
      <c r="A148" s="89" t="s">
        <v>2178</v>
      </c>
      <c r="B148" s="89" t="s">
        <v>2427</v>
      </c>
      <c r="C148" s="89" t="s">
        <v>2370</v>
      </c>
      <c r="D148" s="89" t="s">
        <v>2859</v>
      </c>
      <c r="E148" s="89" t="s">
        <v>2859</v>
      </c>
      <c r="F148" s="89" t="s">
        <v>2859</v>
      </c>
      <c r="G148" s="89" t="s">
        <v>2860</v>
      </c>
      <c r="H148" s="89" t="s">
        <v>2859</v>
      </c>
      <c r="I148" s="89" t="s">
        <v>2865</v>
      </c>
      <c r="J148" s="89" t="s">
        <v>3859</v>
      </c>
      <c r="K148" s="89" t="s">
        <v>2860</v>
      </c>
      <c r="L148" s="89" t="s">
        <v>1463</v>
      </c>
      <c r="M148" s="89" t="s">
        <v>3859</v>
      </c>
      <c r="N148" s="89" t="s">
        <v>2860</v>
      </c>
      <c r="O148" s="89" t="s">
        <v>120</v>
      </c>
      <c r="P148" s="89" t="s">
        <v>3859</v>
      </c>
      <c r="Q148" s="89" t="s">
        <v>2860</v>
      </c>
      <c r="R148" s="89" t="s">
        <v>621</v>
      </c>
      <c r="S148" s="89" t="s">
        <v>3859</v>
      </c>
      <c r="T148" s="89" t="s">
        <v>2860</v>
      </c>
      <c r="U148" s="89" t="s">
        <v>2859</v>
      </c>
      <c r="V148" s="89" t="s">
        <v>2859</v>
      </c>
      <c r="W148" s="89" t="s">
        <v>2859</v>
      </c>
      <c r="X148" s="89" t="s">
        <v>2859</v>
      </c>
      <c r="Y148" s="89" t="s">
        <v>2859</v>
      </c>
      <c r="Z148" s="89" t="s">
        <v>2859</v>
      </c>
      <c r="AA148" s="89" t="s">
        <v>2859</v>
      </c>
      <c r="AB148" s="89" t="s">
        <v>2859</v>
      </c>
      <c r="AC148" s="89" t="s">
        <v>2859</v>
      </c>
      <c r="AD148" s="89" t="s">
        <v>2859</v>
      </c>
      <c r="AE148" s="89" t="s">
        <v>2859</v>
      </c>
      <c r="AF148" s="89" t="s">
        <v>2859</v>
      </c>
      <c r="AG148" s="89" t="s">
        <v>2859</v>
      </c>
      <c r="AH148" s="89" t="s">
        <v>2859</v>
      </c>
      <c r="AI148" s="89" t="s">
        <v>2859</v>
      </c>
      <c r="AJ148" s="89" t="s">
        <v>2859</v>
      </c>
      <c r="AK148" s="89" t="s">
        <v>2859</v>
      </c>
      <c r="AL148" s="89" t="s">
        <v>2859</v>
      </c>
      <c r="AM148" s="89" t="s">
        <v>2859</v>
      </c>
      <c r="AN148" s="89" t="s">
        <v>2859</v>
      </c>
      <c r="AO148" s="89" t="s">
        <v>2859</v>
      </c>
      <c r="AP148" s="89" t="s">
        <v>2859</v>
      </c>
      <c r="AQ148" s="89" t="s">
        <v>2859</v>
      </c>
      <c r="AR148" s="89" t="s">
        <v>2859</v>
      </c>
      <c r="AS148" s="89" t="s">
        <v>2859</v>
      </c>
      <c r="AT148" s="89" t="s">
        <v>2859</v>
      </c>
      <c r="AU148" s="89" t="s">
        <v>2859</v>
      </c>
      <c r="AV148" s="89" t="s">
        <v>2859</v>
      </c>
      <c r="AW148" s="89" t="s">
        <v>2859</v>
      </c>
      <c r="AX148" s="89" t="s">
        <v>2859</v>
      </c>
      <c r="AY148" s="89" t="s">
        <v>2859</v>
      </c>
      <c r="AZ148" s="89" t="s">
        <v>2859</v>
      </c>
      <c r="BA148" s="89" t="s">
        <v>2859</v>
      </c>
      <c r="BB148" s="89" t="s">
        <v>2859</v>
      </c>
      <c r="BC148" s="89" t="s">
        <v>2859</v>
      </c>
      <c r="BD148" s="89" t="s">
        <v>2859</v>
      </c>
      <c r="BE148" s="89" t="s">
        <v>2859</v>
      </c>
      <c r="BF148" s="89" t="s">
        <v>2859</v>
      </c>
      <c r="BG148" s="89" t="s">
        <v>2859</v>
      </c>
      <c r="BH148" s="89" t="s">
        <v>2859</v>
      </c>
      <c r="BI148" s="89" t="s">
        <v>2859</v>
      </c>
      <c r="BJ148" s="89" t="s">
        <v>2859</v>
      </c>
      <c r="BK148" s="89" t="s">
        <v>2859</v>
      </c>
      <c r="BL148" s="89" t="s">
        <v>2859</v>
      </c>
      <c r="BM148" s="89" t="s">
        <v>2859</v>
      </c>
      <c r="BN148" s="89" t="s">
        <v>2859</v>
      </c>
      <c r="BO148" s="89" t="s">
        <v>2859</v>
      </c>
      <c r="BP148" s="89" t="s">
        <v>2859</v>
      </c>
      <c r="BQ148" s="89" t="s">
        <v>3860</v>
      </c>
      <c r="BR148" s="89" t="s">
        <v>2859</v>
      </c>
    </row>
    <row r="149" spans="1:70">
      <c r="A149" s="89" t="s">
        <v>2178</v>
      </c>
      <c r="B149" s="89" t="s">
        <v>2555</v>
      </c>
      <c r="C149" s="89" t="s">
        <v>2363</v>
      </c>
      <c r="D149" s="89" t="s">
        <v>2859</v>
      </c>
      <c r="E149" s="89" t="s">
        <v>2859</v>
      </c>
      <c r="F149" s="89" t="s">
        <v>2859</v>
      </c>
      <c r="G149" s="89" t="s">
        <v>2860</v>
      </c>
      <c r="H149" s="89" t="s">
        <v>2859</v>
      </c>
      <c r="I149" s="89" t="s">
        <v>1463</v>
      </c>
      <c r="J149" s="89" t="s">
        <v>3861</v>
      </c>
      <c r="K149" s="89" t="s">
        <v>2860</v>
      </c>
      <c r="L149" s="89" t="s">
        <v>120</v>
      </c>
      <c r="M149" s="89" t="s">
        <v>3862</v>
      </c>
      <c r="N149" s="89" t="s">
        <v>2860</v>
      </c>
      <c r="O149" s="89" t="s">
        <v>2859</v>
      </c>
      <c r="P149" s="89" t="s">
        <v>2859</v>
      </c>
      <c r="Q149" s="89" t="s">
        <v>2859</v>
      </c>
      <c r="R149" s="89" t="s">
        <v>2859</v>
      </c>
      <c r="S149" s="89" t="s">
        <v>2859</v>
      </c>
      <c r="T149" s="89" t="s">
        <v>2859</v>
      </c>
      <c r="U149" s="89" t="s">
        <v>2859</v>
      </c>
      <c r="V149" s="89" t="s">
        <v>2859</v>
      </c>
      <c r="W149" s="89" t="s">
        <v>2859</v>
      </c>
      <c r="X149" s="89" t="s">
        <v>2859</v>
      </c>
      <c r="Y149" s="89" t="s">
        <v>2859</v>
      </c>
      <c r="Z149" s="89" t="s">
        <v>2859</v>
      </c>
      <c r="AA149" s="89" t="s">
        <v>2859</v>
      </c>
      <c r="AB149" s="89" t="s">
        <v>2859</v>
      </c>
      <c r="AC149" s="89" t="s">
        <v>2859</v>
      </c>
      <c r="AD149" s="89" t="s">
        <v>2859</v>
      </c>
      <c r="AE149" s="89" t="s">
        <v>2859</v>
      </c>
      <c r="AF149" s="89" t="s">
        <v>2859</v>
      </c>
      <c r="AG149" s="89" t="s">
        <v>2859</v>
      </c>
      <c r="AH149" s="89" t="s">
        <v>2859</v>
      </c>
      <c r="AI149" s="89" t="s">
        <v>2859</v>
      </c>
      <c r="AJ149" s="89" t="s">
        <v>2859</v>
      </c>
      <c r="AK149" s="89" t="s">
        <v>2859</v>
      </c>
      <c r="AL149" s="89" t="s">
        <v>2859</v>
      </c>
      <c r="AM149" s="89" t="s">
        <v>2859</v>
      </c>
      <c r="AN149" s="89" t="s">
        <v>2859</v>
      </c>
      <c r="AO149" s="89" t="s">
        <v>2859</v>
      </c>
      <c r="AP149" s="89" t="s">
        <v>2859</v>
      </c>
      <c r="AQ149" s="89" t="s">
        <v>2859</v>
      </c>
      <c r="AR149" s="89" t="s">
        <v>2859</v>
      </c>
      <c r="AS149" s="89" t="s">
        <v>2859</v>
      </c>
      <c r="AT149" s="89" t="s">
        <v>2859</v>
      </c>
      <c r="AU149" s="89" t="s">
        <v>2859</v>
      </c>
      <c r="AV149" s="89" t="s">
        <v>2859</v>
      </c>
      <c r="AW149" s="89" t="s">
        <v>2859</v>
      </c>
      <c r="AX149" s="89" t="s">
        <v>2859</v>
      </c>
      <c r="AY149" s="89" t="s">
        <v>2859</v>
      </c>
      <c r="AZ149" s="89" t="s">
        <v>2859</v>
      </c>
      <c r="BA149" s="89" t="s">
        <v>2859</v>
      </c>
      <c r="BB149" s="89" t="s">
        <v>2859</v>
      </c>
      <c r="BC149" s="89" t="s">
        <v>2859</v>
      </c>
      <c r="BD149" s="89" t="s">
        <v>2859</v>
      </c>
      <c r="BE149" s="89" t="s">
        <v>2859</v>
      </c>
      <c r="BF149" s="89" t="s">
        <v>2859</v>
      </c>
      <c r="BG149" s="89" t="s">
        <v>2859</v>
      </c>
      <c r="BH149" s="89" t="s">
        <v>2859</v>
      </c>
      <c r="BI149" s="89" t="s">
        <v>2859</v>
      </c>
      <c r="BJ149" s="89" t="s">
        <v>2859</v>
      </c>
      <c r="BK149" s="89" t="s">
        <v>2859</v>
      </c>
      <c r="BL149" s="89" t="s">
        <v>2859</v>
      </c>
      <c r="BM149" s="89" t="s">
        <v>2859</v>
      </c>
      <c r="BN149" s="89" t="s">
        <v>2859</v>
      </c>
      <c r="BO149" s="89" t="s">
        <v>2859</v>
      </c>
      <c r="BP149" s="89" t="s">
        <v>2859</v>
      </c>
      <c r="BQ149" s="89" t="s">
        <v>3863</v>
      </c>
      <c r="BR149" s="89" t="s">
        <v>2859</v>
      </c>
    </row>
    <row r="150" spans="1:70">
      <c r="A150" s="89" t="s">
        <v>2178</v>
      </c>
      <c r="B150" s="89" t="s">
        <v>2558</v>
      </c>
      <c r="C150" s="89" t="s">
        <v>2559</v>
      </c>
      <c r="D150" s="89" t="s">
        <v>2859</v>
      </c>
      <c r="E150" s="89" t="s">
        <v>2859</v>
      </c>
      <c r="F150" s="89" t="s">
        <v>2859</v>
      </c>
      <c r="G150" s="89" t="s">
        <v>2860</v>
      </c>
      <c r="H150" s="89" t="s">
        <v>2913</v>
      </c>
      <c r="I150" s="89" t="s">
        <v>120</v>
      </c>
      <c r="J150" s="89" t="s">
        <v>3864</v>
      </c>
      <c r="K150" s="89" t="s">
        <v>2860</v>
      </c>
      <c r="L150" s="89" t="s">
        <v>939</v>
      </c>
      <c r="M150" s="89" t="s">
        <v>3864</v>
      </c>
      <c r="N150" s="89" t="s">
        <v>2860</v>
      </c>
      <c r="O150" s="89" t="s">
        <v>2859</v>
      </c>
      <c r="P150" s="89" t="s">
        <v>2859</v>
      </c>
      <c r="Q150" s="89" t="s">
        <v>2859</v>
      </c>
      <c r="R150" s="89" t="s">
        <v>2859</v>
      </c>
      <c r="S150" s="89" t="s">
        <v>2859</v>
      </c>
      <c r="T150" s="89" t="s">
        <v>2859</v>
      </c>
      <c r="U150" s="89" t="s">
        <v>2859</v>
      </c>
      <c r="V150" s="89" t="s">
        <v>2859</v>
      </c>
      <c r="W150" s="89" t="s">
        <v>2859</v>
      </c>
      <c r="X150" s="89" t="s">
        <v>2859</v>
      </c>
      <c r="Y150" s="89" t="s">
        <v>2859</v>
      </c>
      <c r="Z150" s="89" t="s">
        <v>2859</v>
      </c>
      <c r="AA150" s="89" t="s">
        <v>2859</v>
      </c>
      <c r="AB150" s="89" t="s">
        <v>2859</v>
      </c>
      <c r="AC150" s="89" t="s">
        <v>2859</v>
      </c>
      <c r="AD150" s="89" t="s">
        <v>2859</v>
      </c>
      <c r="AE150" s="89" t="s">
        <v>2859</v>
      </c>
      <c r="AF150" s="89" t="s">
        <v>2859</v>
      </c>
      <c r="AG150" s="89" t="s">
        <v>2859</v>
      </c>
      <c r="AH150" s="89" t="s">
        <v>2859</v>
      </c>
      <c r="AI150" s="89" t="s">
        <v>2859</v>
      </c>
      <c r="AJ150" s="89" t="s">
        <v>2859</v>
      </c>
      <c r="AK150" s="89" t="s">
        <v>2859</v>
      </c>
      <c r="AL150" s="89" t="s">
        <v>2859</v>
      </c>
      <c r="AM150" s="89" t="s">
        <v>2859</v>
      </c>
      <c r="AN150" s="89" t="s">
        <v>2859</v>
      </c>
      <c r="AO150" s="89" t="s">
        <v>2859</v>
      </c>
      <c r="AP150" s="89" t="s">
        <v>2859</v>
      </c>
      <c r="AQ150" s="89" t="s">
        <v>2859</v>
      </c>
      <c r="AR150" s="89" t="s">
        <v>2859</v>
      </c>
      <c r="AS150" s="89" t="s">
        <v>2859</v>
      </c>
      <c r="AT150" s="89" t="s">
        <v>2859</v>
      </c>
      <c r="AU150" s="89" t="s">
        <v>2859</v>
      </c>
      <c r="AV150" s="89" t="s">
        <v>2859</v>
      </c>
      <c r="AW150" s="89" t="s">
        <v>2859</v>
      </c>
      <c r="AX150" s="89" t="s">
        <v>2859</v>
      </c>
      <c r="AY150" s="89" t="s">
        <v>2859</v>
      </c>
      <c r="AZ150" s="89" t="s">
        <v>2859</v>
      </c>
      <c r="BA150" s="89" t="s">
        <v>2859</v>
      </c>
      <c r="BB150" s="89" t="s">
        <v>2859</v>
      </c>
      <c r="BC150" s="89" t="s">
        <v>2859</v>
      </c>
      <c r="BD150" s="89" t="s">
        <v>2859</v>
      </c>
      <c r="BE150" s="89" t="s">
        <v>2859</v>
      </c>
      <c r="BF150" s="89" t="s">
        <v>2859</v>
      </c>
      <c r="BG150" s="89" t="s">
        <v>2859</v>
      </c>
      <c r="BH150" s="89" t="s">
        <v>2859</v>
      </c>
      <c r="BI150" s="89" t="s">
        <v>2859</v>
      </c>
      <c r="BJ150" s="89" t="s">
        <v>2859</v>
      </c>
      <c r="BK150" s="89" t="s">
        <v>2859</v>
      </c>
      <c r="BL150" s="89" t="s">
        <v>2859</v>
      </c>
      <c r="BM150" s="89" t="s">
        <v>2859</v>
      </c>
      <c r="BN150" s="89" t="s">
        <v>2859</v>
      </c>
      <c r="BO150" s="89" t="s">
        <v>2859</v>
      </c>
      <c r="BP150" s="89" t="s">
        <v>2859</v>
      </c>
      <c r="BQ150" s="89" t="s">
        <v>3865</v>
      </c>
      <c r="BR150" s="89" t="s">
        <v>2869</v>
      </c>
    </row>
    <row r="151" spans="1:70">
      <c r="A151" s="89" t="s">
        <v>2178</v>
      </c>
      <c r="B151" s="89" t="s">
        <v>2562</v>
      </c>
      <c r="C151" s="89" t="s">
        <v>2370</v>
      </c>
      <c r="D151" s="89" t="s">
        <v>2859</v>
      </c>
      <c r="E151" s="89" t="s">
        <v>2859</v>
      </c>
      <c r="F151" s="89" t="s">
        <v>2859</v>
      </c>
      <c r="G151" s="89" t="s">
        <v>2860</v>
      </c>
      <c r="H151" s="89" t="s">
        <v>2859</v>
      </c>
      <c r="I151" s="89" t="s">
        <v>120</v>
      </c>
      <c r="J151" s="89" t="s">
        <v>2563</v>
      </c>
      <c r="K151" s="89" t="s">
        <v>2867</v>
      </c>
      <c r="L151" s="89" t="s">
        <v>2859</v>
      </c>
      <c r="M151" s="89" t="s">
        <v>2859</v>
      </c>
      <c r="N151" s="89" t="s">
        <v>2859</v>
      </c>
      <c r="O151" s="89" t="s">
        <v>2859</v>
      </c>
      <c r="P151" s="89" t="s">
        <v>2859</v>
      </c>
      <c r="Q151" s="89" t="s">
        <v>2859</v>
      </c>
      <c r="R151" s="89" t="s">
        <v>2859</v>
      </c>
      <c r="S151" s="89" t="s">
        <v>2859</v>
      </c>
      <c r="T151" s="89" t="s">
        <v>2859</v>
      </c>
      <c r="U151" s="89" t="s">
        <v>2859</v>
      </c>
      <c r="V151" s="89" t="s">
        <v>2859</v>
      </c>
      <c r="W151" s="89" t="s">
        <v>2859</v>
      </c>
      <c r="X151" s="89" t="s">
        <v>2859</v>
      </c>
      <c r="Y151" s="89" t="s">
        <v>2859</v>
      </c>
      <c r="Z151" s="89" t="s">
        <v>2859</v>
      </c>
      <c r="AA151" s="89" t="s">
        <v>2859</v>
      </c>
      <c r="AB151" s="89" t="s">
        <v>2859</v>
      </c>
      <c r="AC151" s="89" t="s">
        <v>2859</v>
      </c>
      <c r="AD151" s="89" t="s">
        <v>2859</v>
      </c>
      <c r="AE151" s="89" t="s">
        <v>2859</v>
      </c>
      <c r="AF151" s="89" t="s">
        <v>2859</v>
      </c>
      <c r="AG151" s="89" t="s">
        <v>2859</v>
      </c>
      <c r="AH151" s="89" t="s">
        <v>2859</v>
      </c>
      <c r="AI151" s="89" t="s">
        <v>2859</v>
      </c>
      <c r="AJ151" s="89" t="s">
        <v>2859</v>
      </c>
      <c r="AK151" s="89" t="s">
        <v>2859</v>
      </c>
      <c r="AL151" s="89" t="s">
        <v>2859</v>
      </c>
      <c r="AM151" s="89" t="s">
        <v>2859</v>
      </c>
      <c r="AN151" s="89" t="s">
        <v>2859</v>
      </c>
      <c r="AO151" s="89" t="s">
        <v>2859</v>
      </c>
      <c r="AP151" s="89" t="s">
        <v>2859</v>
      </c>
      <c r="AQ151" s="89" t="s">
        <v>2859</v>
      </c>
      <c r="AR151" s="89" t="s">
        <v>2859</v>
      </c>
      <c r="AS151" s="89" t="s">
        <v>2859</v>
      </c>
      <c r="AT151" s="89" t="s">
        <v>2859</v>
      </c>
      <c r="AU151" s="89" t="s">
        <v>2859</v>
      </c>
      <c r="AV151" s="89" t="s">
        <v>2859</v>
      </c>
      <c r="AW151" s="89" t="s">
        <v>2859</v>
      </c>
      <c r="AX151" s="89" t="s">
        <v>2859</v>
      </c>
      <c r="AY151" s="89" t="s">
        <v>2859</v>
      </c>
      <c r="AZ151" s="89" t="s">
        <v>2859</v>
      </c>
      <c r="BA151" s="89" t="s">
        <v>2859</v>
      </c>
      <c r="BB151" s="89" t="s">
        <v>2859</v>
      </c>
      <c r="BC151" s="89" t="s">
        <v>2859</v>
      </c>
      <c r="BD151" s="89" t="s">
        <v>2859</v>
      </c>
      <c r="BE151" s="89" t="s">
        <v>2859</v>
      </c>
      <c r="BF151" s="89" t="s">
        <v>2859</v>
      </c>
      <c r="BG151" s="89" t="s">
        <v>2859</v>
      </c>
      <c r="BH151" s="89" t="s">
        <v>2859</v>
      </c>
      <c r="BI151" s="89" t="s">
        <v>2859</v>
      </c>
      <c r="BJ151" s="89" t="s">
        <v>2859</v>
      </c>
      <c r="BK151" s="89" t="s">
        <v>2859</v>
      </c>
      <c r="BL151" s="89" t="s">
        <v>2859</v>
      </c>
      <c r="BM151" s="89" t="s">
        <v>2859</v>
      </c>
      <c r="BN151" s="89" t="s">
        <v>2859</v>
      </c>
      <c r="BO151" s="89" t="s">
        <v>2859</v>
      </c>
      <c r="BP151" s="89" t="s">
        <v>2859</v>
      </c>
      <c r="BQ151" s="89" t="s">
        <v>3866</v>
      </c>
      <c r="BR151" s="89" t="s">
        <v>2869</v>
      </c>
    </row>
    <row r="152" spans="1:70">
      <c r="A152" s="89" t="s">
        <v>2178</v>
      </c>
      <c r="B152" s="89" t="s">
        <v>2369</v>
      </c>
      <c r="C152" s="89" t="s">
        <v>2370</v>
      </c>
      <c r="D152" s="89" t="s">
        <v>2859</v>
      </c>
      <c r="E152" s="89" t="s">
        <v>2859</v>
      </c>
      <c r="F152" s="89" t="s">
        <v>2859</v>
      </c>
      <c r="G152" s="89" t="s">
        <v>2860</v>
      </c>
      <c r="H152" s="89" t="s">
        <v>2859</v>
      </c>
      <c r="I152" s="89" t="s">
        <v>2317</v>
      </c>
      <c r="J152" s="89" t="s">
        <v>2371</v>
      </c>
      <c r="K152" s="89" t="s">
        <v>2860</v>
      </c>
      <c r="L152" s="89" t="s">
        <v>2859</v>
      </c>
      <c r="M152" s="89" t="s">
        <v>2859</v>
      </c>
      <c r="N152" s="89" t="s">
        <v>2859</v>
      </c>
      <c r="O152" s="89" t="s">
        <v>2859</v>
      </c>
      <c r="P152" s="89" t="s">
        <v>2859</v>
      </c>
      <c r="Q152" s="89" t="s">
        <v>2859</v>
      </c>
      <c r="R152" s="89" t="s">
        <v>2859</v>
      </c>
      <c r="S152" s="89" t="s">
        <v>2859</v>
      </c>
      <c r="T152" s="89" t="s">
        <v>2859</v>
      </c>
      <c r="U152" s="89" t="s">
        <v>2859</v>
      </c>
      <c r="V152" s="89" t="s">
        <v>2859</v>
      </c>
      <c r="W152" s="89" t="s">
        <v>2859</v>
      </c>
      <c r="X152" s="89" t="s">
        <v>2859</v>
      </c>
      <c r="Y152" s="89" t="s">
        <v>2859</v>
      </c>
      <c r="Z152" s="89" t="s">
        <v>2859</v>
      </c>
      <c r="AA152" s="89" t="s">
        <v>2859</v>
      </c>
      <c r="AB152" s="89" t="s">
        <v>2859</v>
      </c>
      <c r="AC152" s="89" t="s">
        <v>2859</v>
      </c>
      <c r="AD152" s="89" t="s">
        <v>2859</v>
      </c>
      <c r="AE152" s="89" t="s">
        <v>2859</v>
      </c>
      <c r="AF152" s="89" t="s">
        <v>2859</v>
      </c>
      <c r="AG152" s="89" t="s">
        <v>2859</v>
      </c>
      <c r="AH152" s="89" t="s">
        <v>2859</v>
      </c>
      <c r="AI152" s="89" t="s">
        <v>2859</v>
      </c>
      <c r="AJ152" s="89" t="s">
        <v>2859</v>
      </c>
      <c r="AK152" s="89" t="s">
        <v>2859</v>
      </c>
      <c r="AL152" s="89" t="s">
        <v>2859</v>
      </c>
      <c r="AM152" s="89" t="s">
        <v>2859</v>
      </c>
      <c r="AN152" s="89" t="s">
        <v>2859</v>
      </c>
      <c r="AO152" s="89" t="s">
        <v>2859</v>
      </c>
      <c r="AP152" s="89" t="s">
        <v>2859</v>
      </c>
      <c r="AQ152" s="89" t="s">
        <v>2859</v>
      </c>
      <c r="AR152" s="89" t="s">
        <v>2859</v>
      </c>
      <c r="AS152" s="89" t="s">
        <v>2859</v>
      </c>
      <c r="AT152" s="89" t="s">
        <v>2859</v>
      </c>
      <c r="AU152" s="89" t="s">
        <v>2859</v>
      </c>
      <c r="AV152" s="89" t="s">
        <v>2859</v>
      </c>
      <c r="AW152" s="89" t="s">
        <v>2859</v>
      </c>
      <c r="AX152" s="89" t="s">
        <v>2859</v>
      </c>
      <c r="AY152" s="89" t="s">
        <v>2859</v>
      </c>
      <c r="AZ152" s="89" t="s">
        <v>2859</v>
      </c>
      <c r="BA152" s="89" t="s">
        <v>2859</v>
      </c>
      <c r="BB152" s="89" t="s">
        <v>2859</v>
      </c>
      <c r="BC152" s="89" t="s">
        <v>2859</v>
      </c>
      <c r="BD152" s="89" t="s">
        <v>2859</v>
      </c>
      <c r="BE152" s="89" t="s">
        <v>2859</v>
      </c>
      <c r="BF152" s="89" t="s">
        <v>2859</v>
      </c>
      <c r="BG152" s="89" t="s">
        <v>2859</v>
      </c>
      <c r="BH152" s="89" t="s">
        <v>2859</v>
      </c>
      <c r="BI152" s="89" t="s">
        <v>2859</v>
      </c>
      <c r="BJ152" s="89" t="s">
        <v>2859</v>
      </c>
      <c r="BK152" s="89" t="s">
        <v>2859</v>
      </c>
      <c r="BL152" s="89" t="s">
        <v>2859</v>
      </c>
      <c r="BM152" s="89" t="s">
        <v>2859</v>
      </c>
      <c r="BN152" s="89" t="s">
        <v>2859</v>
      </c>
      <c r="BO152" s="89" t="s">
        <v>2859</v>
      </c>
      <c r="BP152" s="89" t="s">
        <v>2859</v>
      </c>
      <c r="BQ152" s="89" t="s">
        <v>3867</v>
      </c>
      <c r="BR152" s="89" t="s">
        <v>2859</v>
      </c>
    </row>
    <row r="153" spans="1:70">
      <c r="A153" s="89" t="s">
        <v>2178</v>
      </c>
      <c r="B153" s="89" t="s">
        <v>3868</v>
      </c>
      <c r="C153" s="89" t="s">
        <v>2559</v>
      </c>
      <c r="D153" s="89" t="s">
        <v>2859</v>
      </c>
      <c r="E153" s="89" t="s">
        <v>2859</v>
      </c>
      <c r="F153" s="89" t="s">
        <v>2859</v>
      </c>
      <c r="G153" s="89" t="s">
        <v>2860</v>
      </c>
      <c r="H153" s="89" t="s">
        <v>2859</v>
      </c>
      <c r="I153" s="89" t="s">
        <v>2865</v>
      </c>
      <c r="J153" s="89" t="s">
        <v>2859</v>
      </c>
      <c r="K153" s="89" t="s">
        <v>2859</v>
      </c>
      <c r="L153" s="89" t="s">
        <v>2859</v>
      </c>
      <c r="M153" s="89" t="s">
        <v>2859</v>
      </c>
      <c r="N153" s="89" t="s">
        <v>2859</v>
      </c>
      <c r="O153" s="89" t="s">
        <v>2859</v>
      </c>
      <c r="P153" s="89" t="s">
        <v>2859</v>
      </c>
      <c r="Q153" s="89" t="s">
        <v>2859</v>
      </c>
      <c r="R153" s="89" t="s">
        <v>2859</v>
      </c>
      <c r="S153" s="89" t="s">
        <v>2859</v>
      </c>
      <c r="T153" s="89" t="s">
        <v>2859</v>
      </c>
      <c r="U153" s="89" t="s">
        <v>2859</v>
      </c>
      <c r="V153" s="89" t="s">
        <v>2859</v>
      </c>
      <c r="W153" s="89" t="s">
        <v>2859</v>
      </c>
      <c r="X153" s="89" t="s">
        <v>2859</v>
      </c>
      <c r="Y153" s="89" t="s">
        <v>2859</v>
      </c>
      <c r="Z153" s="89" t="s">
        <v>2859</v>
      </c>
      <c r="AA153" s="89" t="s">
        <v>2859</v>
      </c>
      <c r="AB153" s="89" t="s">
        <v>2859</v>
      </c>
      <c r="AC153" s="89" t="s">
        <v>2859</v>
      </c>
      <c r="AD153" s="89" t="s">
        <v>2859</v>
      </c>
      <c r="AE153" s="89" t="s">
        <v>2859</v>
      </c>
      <c r="AF153" s="89" t="s">
        <v>2859</v>
      </c>
      <c r="AG153" s="89" t="s">
        <v>2859</v>
      </c>
      <c r="AH153" s="89" t="s">
        <v>2859</v>
      </c>
      <c r="AI153" s="89" t="s">
        <v>2859</v>
      </c>
      <c r="AJ153" s="89" t="s">
        <v>2859</v>
      </c>
      <c r="AK153" s="89" t="s">
        <v>2859</v>
      </c>
      <c r="AL153" s="89" t="s">
        <v>2859</v>
      </c>
      <c r="AM153" s="89" t="s">
        <v>2859</v>
      </c>
      <c r="AN153" s="89" t="s">
        <v>2859</v>
      </c>
      <c r="AO153" s="89" t="s">
        <v>2859</v>
      </c>
      <c r="AP153" s="89" t="s">
        <v>2859</v>
      </c>
      <c r="AQ153" s="89" t="s">
        <v>2859</v>
      </c>
      <c r="AR153" s="89" t="s">
        <v>2859</v>
      </c>
      <c r="AS153" s="89" t="s">
        <v>2859</v>
      </c>
      <c r="AT153" s="89" t="s">
        <v>2859</v>
      </c>
      <c r="AU153" s="89" t="s">
        <v>2859</v>
      </c>
      <c r="AV153" s="89" t="s">
        <v>2859</v>
      </c>
      <c r="AW153" s="89" t="s">
        <v>2859</v>
      </c>
      <c r="AX153" s="89" t="s">
        <v>2859</v>
      </c>
      <c r="AY153" s="89" t="s">
        <v>2859</v>
      </c>
      <c r="AZ153" s="89" t="s">
        <v>2859</v>
      </c>
      <c r="BA153" s="89" t="s">
        <v>2859</v>
      </c>
      <c r="BB153" s="89" t="s">
        <v>2859</v>
      </c>
      <c r="BC153" s="89" t="s">
        <v>2859</v>
      </c>
      <c r="BD153" s="89" t="s">
        <v>2859</v>
      </c>
      <c r="BE153" s="89" t="s">
        <v>2859</v>
      </c>
      <c r="BF153" s="89" t="s">
        <v>2859</v>
      </c>
      <c r="BG153" s="89" t="s">
        <v>2859</v>
      </c>
      <c r="BH153" s="89" t="s">
        <v>2859</v>
      </c>
      <c r="BI153" s="89" t="s">
        <v>2859</v>
      </c>
      <c r="BJ153" s="89" t="s">
        <v>2859</v>
      </c>
      <c r="BK153" s="89" t="s">
        <v>2859</v>
      </c>
      <c r="BL153" s="89" t="s">
        <v>2859</v>
      </c>
      <c r="BM153" s="89" t="s">
        <v>2859</v>
      </c>
      <c r="BN153" s="89" t="s">
        <v>2859</v>
      </c>
      <c r="BO153" s="89" t="s">
        <v>2859</v>
      </c>
      <c r="BP153" s="89" t="s">
        <v>2859</v>
      </c>
      <c r="BQ153" s="89" t="s">
        <v>3869</v>
      </c>
      <c r="BR153" s="89" t="s">
        <v>2859</v>
      </c>
    </row>
    <row r="154" spans="1:70">
      <c r="A154" s="89" t="s">
        <v>2178</v>
      </c>
      <c r="B154" s="89" t="s">
        <v>2372</v>
      </c>
      <c r="C154" s="89" t="s">
        <v>2859</v>
      </c>
      <c r="D154" s="89" t="s">
        <v>2859</v>
      </c>
      <c r="E154" s="89" t="s">
        <v>2859</v>
      </c>
      <c r="F154" s="89" t="s">
        <v>2859</v>
      </c>
      <c r="G154" s="89" t="s">
        <v>2860</v>
      </c>
      <c r="H154" s="89" t="s">
        <v>2859</v>
      </c>
      <c r="I154" s="89" t="s">
        <v>2329</v>
      </c>
      <c r="J154" s="89" t="s">
        <v>2859</v>
      </c>
      <c r="K154" s="89" t="s">
        <v>2859</v>
      </c>
      <c r="L154" s="89" t="s">
        <v>2859</v>
      </c>
      <c r="M154" s="89" t="s">
        <v>2859</v>
      </c>
      <c r="N154" s="89" t="s">
        <v>2859</v>
      </c>
      <c r="O154" s="89" t="s">
        <v>2859</v>
      </c>
      <c r="P154" s="89" t="s">
        <v>2859</v>
      </c>
      <c r="Q154" s="89" t="s">
        <v>2859</v>
      </c>
      <c r="R154" s="89" t="s">
        <v>2859</v>
      </c>
      <c r="S154" s="89" t="s">
        <v>2859</v>
      </c>
      <c r="T154" s="89" t="s">
        <v>2859</v>
      </c>
      <c r="U154" s="89" t="s">
        <v>2859</v>
      </c>
      <c r="V154" s="89" t="s">
        <v>2859</v>
      </c>
      <c r="W154" s="89" t="s">
        <v>2859</v>
      </c>
      <c r="X154" s="89" t="s">
        <v>2859</v>
      </c>
      <c r="Y154" s="89" t="s">
        <v>2859</v>
      </c>
      <c r="Z154" s="89" t="s">
        <v>2859</v>
      </c>
      <c r="AA154" s="89" t="s">
        <v>2859</v>
      </c>
      <c r="AB154" s="89" t="s">
        <v>2859</v>
      </c>
      <c r="AC154" s="89" t="s">
        <v>2859</v>
      </c>
      <c r="AD154" s="89" t="s">
        <v>2859</v>
      </c>
      <c r="AE154" s="89" t="s">
        <v>2859</v>
      </c>
      <c r="AF154" s="89" t="s">
        <v>2859</v>
      </c>
      <c r="AG154" s="89" t="s">
        <v>2859</v>
      </c>
      <c r="AH154" s="89" t="s">
        <v>2859</v>
      </c>
      <c r="AI154" s="89" t="s">
        <v>2859</v>
      </c>
      <c r="AJ154" s="89" t="s">
        <v>2859</v>
      </c>
      <c r="AK154" s="89" t="s">
        <v>2859</v>
      </c>
      <c r="AL154" s="89" t="s">
        <v>2859</v>
      </c>
      <c r="AM154" s="89" t="s">
        <v>2859</v>
      </c>
      <c r="AN154" s="89" t="s">
        <v>2859</v>
      </c>
      <c r="AO154" s="89" t="s">
        <v>2859</v>
      </c>
      <c r="AP154" s="89" t="s">
        <v>2859</v>
      </c>
      <c r="AQ154" s="89" t="s">
        <v>2859</v>
      </c>
      <c r="AR154" s="89" t="s">
        <v>2859</v>
      </c>
      <c r="AS154" s="89" t="s">
        <v>2859</v>
      </c>
      <c r="AT154" s="89" t="s">
        <v>2859</v>
      </c>
      <c r="AU154" s="89" t="s">
        <v>2859</v>
      </c>
      <c r="AV154" s="89" t="s">
        <v>2859</v>
      </c>
      <c r="AW154" s="89" t="s">
        <v>2859</v>
      </c>
      <c r="AX154" s="89" t="s">
        <v>2859</v>
      </c>
      <c r="AY154" s="89" t="s">
        <v>2859</v>
      </c>
      <c r="AZ154" s="89" t="s">
        <v>2859</v>
      </c>
      <c r="BA154" s="89" t="s">
        <v>2859</v>
      </c>
      <c r="BB154" s="89" t="s">
        <v>2859</v>
      </c>
      <c r="BC154" s="89" t="s">
        <v>2859</v>
      </c>
      <c r="BD154" s="89" t="s">
        <v>2859</v>
      </c>
      <c r="BE154" s="89" t="s">
        <v>2859</v>
      </c>
      <c r="BF154" s="89" t="s">
        <v>2859</v>
      </c>
      <c r="BG154" s="89" t="s">
        <v>2859</v>
      </c>
      <c r="BH154" s="89" t="s">
        <v>2859</v>
      </c>
      <c r="BI154" s="89" t="s">
        <v>2859</v>
      </c>
      <c r="BJ154" s="89" t="s">
        <v>2859</v>
      </c>
      <c r="BK154" s="89" t="s">
        <v>2859</v>
      </c>
      <c r="BL154" s="89" t="s">
        <v>2859</v>
      </c>
      <c r="BM154" s="89" t="s">
        <v>2859</v>
      </c>
      <c r="BN154" s="89" t="s">
        <v>2859</v>
      </c>
      <c r="BO154" s="89" t="s">
        <v>2859</v>
      </c>
      <c r="BP154" s="89" t="s">
        <v>2859</v>
      </c>
      <c r="BQ154" s="89" t="s">
        <v>3870</v>
      </c>
      <c r="BR154" s="89" t="s">
        <v>2859</v>
      </c>
    </row>
    <row r="155" spans="1:70">
      <c r="A155" s="89" t="s">
        <v>2178</v>
      </c>
      <c r="B155" s="89" t="s">
        <v>2564</v>
      </c>
      <c r="C155" s="89" t="s">
        <v>2859</v>
      </c>
      <c r="D155" s="89" t="s">
        <v>2859</v>
      </c>
      <c r="E155" s="89" t="s">
        <v>2859</v>
      </c>
      <c r="F155" s="89" t="s">
        <v>2859</v>
      </c>
      <c r="G155" s="89" t="s">
        <v>2860</v>
      </c>
      <c r="H155" s="89" t="s">
        <v>2859</v>
      </c>
      <c r="I155" s="89" t="s">
        <v>120</v>
      </c>
      <c r="J155" s="89" t="s">
        <v>2859</v>
      </c>
      <c r="K155" s="89" t="s">
        <v>2859</v>
      </c>
      <c r="L155" s="89" t="s">
        <v>2859</v>
      </c>
      <c r="M155" s="89" t="s">
        <v>2859</v>
      </c>
      <c r="N155" s="89" t="s">
        <v>2859</v>
      </c>
      <c r="O155" s="89" t="s">
        <v>2859</v>
      </c>
      <c r="P155" s="89" t="s">
        <v>2859</v>
      </c>
      <c r="Q155" s="89" t="s">
        <v>2859</v>
      </c>
      <c r="R155" s="89" t="s">
        <v>2859</v>
      </c>
      <c r="S155" s="89" t="s">
        <v>2859</v>
      </c>
      <c r="T155" s="89" t="s">
        <v>2859</v>
      </c>
      <c r="U155" s="89" t="s">
        <v>2859</v>
      </c>
      <c r="V155" s="89" t="s">
        <v>2859</v>
      </c>
      <c r="W155" s="89" t="s">
        <v>2859</v>
      </c>
      <c r="X155" s="89" t="s">
        <v>2859</v>
      </c>
      <c r="Y155" s="89" t="s">
        <v>2859</v>
      </c>
      <c r="Z155" s="89" t="s">
        <v>2859</v>
      </c>
      <c r="AA155" s="89" t="s">
        <v>2859</v>
      </c>
      <c r="AB155" s="89" t="s">
        <v>2859</v>
      </c>
      <c r="AC155" s="89" t="s">
        <v>2859</v>
      </c>
      <c r="AD155" s="89" t="s">
        <v>2859</v>
      </c>
      <c r="AE155" s="89" t="s">
        <v>2859</v>
      </c>
      <c r="AF155" s="89" t="s">
        <v>2859</v>
      </c>
      <c r="AG155" s="89" t="s">
        <v>2859</v>
      </c>
      <c r="AH155" s="89" t="s">
        <v>2859</v>
      </c>
      <c r="AI155" s="89" t="s">
        <v>2859</v>
      </c>
      <c r="AJ155" s="89" t="s">
        <v>2859</v>
      </c>
      <c r="AK155" s="89" t="s">
        <v>2859</v>
      </c>
      <c r="AL155" s="89" t="s">
        <v>2859</v>
      </c>
      <c r="AM155" s="89" t="s">
        <v>2859</v>
      </c>
      <c r="AN155" s="89" t="s">
        <v>2859</v>
      </c>
      <c r="AO155" s="89" t="s">
        <v>2859</v>
      </c>
      <c r="AP155" s="89" t="s">
        <v>2859</v>
      </c>
      <c r="AQ155" s="89" t="s">
        <v>2859</v>
      </c>
      <c r="AR155" s="89" t="s">
        <v>2859</v>
      </c>
      <c r="AS155" s="89" t="s">
        <v>2859</v>
      </c>
      <c r="AT155" s="89" t="s">
        <v>2859</v>
      </c>
      <c r="AU155" s="89" t="s">
        <v>2859</v>
      </c>
      <c r="AV155" s="89" t="s">
        <v>2859</v>
      </c>
      <c r="AW155" s="89" t="s">
        <v>2859</v>
      </c>
      <c r="AX155" s="89" t="s">
        <v>2859</v>
      </c>
      <c r="AY155" s="89" t="s">
        <v>2859</v>
      </c>
      <c r="AZ155" s="89" t="s">
        <v>2859</v>
      </c>
      <c r="BA155" s="89" t="s">
        <v>2859</v>
      </c>
      <c r="BB155" s="89" t="s">
        <v>2859</v>
      </c>
      <c r="BC155" s="89" t="s">
        <v>2859</v>
      </c>
      <c r="BD155" s="89" t="s">
        <v>2859</v>
      </c>
      <c r="BE155" s="89" t="s">
        <v>2859</v>
      </c>
      <c r="BF155" s="89" t="s">
        <v>2859</v>
      </c>
      <c r="BG155" s="89" t="s">
        <v>2859</v>
      </c>
      <c r="BH155" s="89" t="s">
        <v>2859</v>
      </c>
      <c r="BI155" s="89" t="s">
        <v>2859</v>
      </c>
      <c r="BJ155" s="89" t="s">
        <v>2859</v>
      </c>
      <c r="BK155" s="89" t="s">
        <v>2859</v>
      </c>
      <c r="BL155" s="89" t="s">
        <v>2859</v>
      </c>
      <c r="BM155" s="89" t="s">
        <v>2859</v>
      </c>
      <c r="BN155" s="89" t="s">
        <v>2859</v>
      </c>
      <c r="BO155" s="89" t="s">
        <v>2859</v>
      </c>
      <c r="BP155" s="89" t="s">
        <v>2859</v>
      </c>
      <c r="BQ155" s="89" t="s">
        <v>3871</v>
      </c>
      <c r="BR155" s="89" t="s">
        <v>2859</v>
      </c>
    </row>
    <row r="156" spans="1:70">
      <c r="A156" s="89" t="s">
        <v>2178</v>
      </c>
      <c r="B156" s="89" t="s">
        <v>2565</v>
      </c>
      <c r="C156" s="89" t="s">
        <v>2370</v>
      </c>
      <c r="D156" s="89" t="s">
        <v>2859</v>
      </c>
      <c r="E156" s="89" t="s">
        <v>2859</v>
      </c>
      <c r="F156" s="89" t="s">
        <v>2859</v>
      </c>
      <c r="G156" s="89" t="s">
        <v>2860</v>
      </c>
      <c r="H156" s="89" t="s">
        <v>2859</v>
      </c>
      <c r="I156" s="89" t="s">
        <v>120</v>
      </c>
      <c r="J156" s="89" t="s">
        <v>3872</v>
      </c>
      <c r="K156" s="89" t="s">
        <v>2860</v>
      </c>
      <c r="L156" s="89" t="s">
        <v>2490</v>
      </c>
      <c r="M156" s="89" t="s">
        <v>3872</v>
      </c>
      <c r="N156" s="89" t="s">
        <v>2860</v>
      </c>
      <c r="O156" s="89" t="s">
        <v>2859</v>
      </c>
      <c r="P156" s="89" t="s">
        <v>2859</v>
      </c>
      <c r="Q156" s="89" t="s">
        <v>2859</v>
      </c>
      <c r="R156" s="89" t="s">
        <v>2859</v>
      </c>
      <c r="S156" s="89" t="s">
        <v>2859</v>
      </c>
      <c r="T156" s="89" t="s">
        <v>2859</v>
      </c>
      <c r="U156" s="89" t="s">
        <v>2859</v>
      </c>
      <c r="V156" s="89" t="s">
        <v>2859</v>
      </c>
      <c r="W156" s="89" t="s">
        <v>2859</v>
      </c>
      <c r="X156" s="89" t="s">
        <v>2859</v>
      </c>
      <c r="Y156" s="89" t="s">
        <v>2859</v>
      </c>
      <c r="Z156" s="89" t="s">
        <v>2859</v>
      </c>
      <c r="AA156" s="89" t="s">
        <v>2859</v>
      </c>
      <c r="AB156" s="89" t="s">
        <v>2859</v>
      </c>
      <c r="AC156" s="89" t="s">
        <v>2859</v>
      </c>
      <c r="AD156" s="89" t="s">
        <v>2859</v>
      </c>
      <c r="AE156" s="89" t="s">
        <v>2859</v>
      </c>
      <c r="AF156" s="89" t="s">
        <v>2859</v>
      </c>
      <c r="AG156" s="89" t="s">
        <v>2859</v>
      </c>
      <c r="AH156" s="89" t="s">
        <v>2859</v>
      </c>
      <c r="AI156" s="89" t="s">
        <v>2859</v>
      </c>
      <c r="AJ156" s="89" t="s">
        <v>2859</v>
      </c>
      <c r="AK156" s="89" t="s">
        <v>2859</v>
      </c>
      <c r="AL156" s="89" t="s">
        <v>2859</v>
      </c>
      <c r="AM156" s="89" t="s">
        <v>2859</v>
      </c>
      <c r="AN156" s="89" t="s">
        <v>2859</v>
      </c>
      <c r="AO156" s="89" t="s">
        <v>2859</v>
      </c>
      <c r="AP156" s="89" t="s">
        <v>2859</v>
      </c>
      <c r="AQ156" s="89" t="s">
        <v>2859</v>
      </c>
      <c r="AR156" s="89" t="s">
        <v>2859</v>
      </c>
      <c r="AS156" s="89" t="s">
        <v>2859</v>
      </c>
      <c r="AT156" s="89" t="s">
        <v>2859</v>
      </c>
      <c r="AU156" s="89" t="s">
        <v>2859</v>
      </c>
      <c r="AV156" s="89" t="s">
        <v>2859</v>
      </c>
      <c r="AW156" s="89" t="s">
        <v>2859</v>
      </c>
      <c r="AX156" s="89" t="s">
        <v>2859</v>
      </c>
      <c r="AY156" s="89" t="s">
        <v>2859</v>
      </c>
      <c r="AZ156" s="89" t="s">
        <v>2859</v>
      </c>
      <c r="BA156" s="89" t="s">
        <v>2859</v>
      </c>
      <c r="BB156" s="89" t="s">
        <v>2859</v>
      </c>
      <c r="BC156" s="89" t="s">
        <v>2859</v>
      </c>
      <c r="BD156" s="89" t="s">
        <v>2859</v>
      </c>
      <c r="BE156" s="89" t="s">
        <v>2859</v>
      </c>
      <c r="BF156" s="89" t="s">
        <v>2859</v>
      </c>
      <c r="BG156" s="89" t="s">
        <v>2859</v>
      </c>
      <c r="BH156" s="89" t="s">
        <v>2859</v>
      </c>
      <c r="BI156" s="89" t="s">
        <v>2859</v>
      </c>
      <c r="BJ156" s="89" t="s">
        <v>2859</v>
      </c>
      <c r="BK156" s="89" t="s">
        <v>2859</v>
      </c>
      <c r="BL156" s="89" t="s">
        <v>2859</v>
      </c>
      <c r="BM156" s="89" t="s">
        <v>2859</v>
      </c>
      <c r="BN156" s="89" t="s">
        <v>2859</v>
      </c>
      <c r="BO156" s="89" t="s">
        <v>2859</v>
      </c>
      <c r="BP156" s="89" t="s">
        <v>2859</v>
      </c>
      <c r="BQ156" s="89" t="s">
        <v>3873</v>
      </c>
      <c r="BR156" s="89" t="s">
        <v>2859</v>
      </c>
    </row>
    <row r="157" spans="1:70">
      <c r="A157" s="89" t="s">
        <v>3874</v>
      </c>
      <c r="B157" s="89" t="s">
        <v>2374</v>
      </c>
      <c r="C157" s="89" t="s">
        <v>2859</v>
      </c>
      <c r="D157" s="89" t="s">
        <v>2859</v>
      </c>
      <c r="E157" s="89" t="s">
        <v>2859</v>
      </c>
      <c r="F157" s="89" t="s">
        <v>2859</v>
      </c>
      <c r="G157" s="89" t="s">
        <v>2860</v>
      </c>
      <c r="H157" s="89" t="s">
        <v>2859</v>
      </c>
      <c r="I157" s="89" t="s">
        <v>2329</v>
      </c>
      <c r="J157" s="89" t="s">
        <v>2375</v>
      </c>
      <c r="K157" s="89" t="s">
        <v>2860</v>
      </c>
      <c r="L157" s="89" t="s">
        <v>2859</v>
      </c>
      <c r="M157" s="89" t="s">
        <v>2859</v>
      </c>
      <c r="N157" s="89" t="s">
        <v>2859</v>
      </c>
      <c r="O157" s="89" t="s">
        <v>2859</v>
      </c>
      <c r="P157" s="89" t="s">
        <v>2859</v>
      </c>
      <c r="Q157" s="89" t="s">
        <v>2859</v>
      </c>
      <c r="R157" s="89" t="s">
        <v>2859</v>
      </c>
      <c r="S157" s="89" t="s">
        <v>2859</v>
      </c>
      <c r="T157" s="89" t="s">
        <v>2859</v>
      </c>
      <c r="U157" s="89" t="s">
        <v>2859</v>
      </c>
      <c r="V157" s="89" t="s">
        <v>2859</v>
      </c>
      <c r="W157" s="89" t="s">
        <v>2859</v>
      </c>
      <c r="X157" s="89" t="s">
        <v>2859</v>
      </c>
      <c r="Y157" s="89" t="s">
        <v>2859</v>
      </c>
      <c r="Z157" s="89" t="s">
        <v>2859</v>
      </c>
      <c r="AA157" s="89" t="s">
        <v>2859</v>
      </c>
      <c r="AB157" s="89" t="s">
        <v>2859</v>
      </c>
      <c r="AC157" s="89" t="s">
        <v>2859</v>
      </c>
      <c r="AD157" s="89" t="s">
        <v>2859</v>
      </c>
      <c r="AE157" s="89" t="s">
        <v>2859</v>
      </c>
      <c r="AF157" s="89" t="s">
        <v>2859</v>
      </c>
      <c r="AG157" s="89" t="s">
        <v>2859</v>
      </c>
      <c r="AH157" s="89" t="s">
        <v>2859</v>
      </c>
      <c r="AI157" s="89" t="s">
        <v>2859</v>
      </c>
      <c r="AJ157" s="89" t="s">
        <v>2859</v>
      </c>
      <c r="AK157" s="89" t="s">
        <v>2859</v>
      </c>
      <c r="AL157" s="89" t="s">
        <v>2859</v>
      </c>
      <c r="AM157" s="89" t="s">
        <v>2859</v>
      </c>
      <c r="AN157" s="89" t="s">
        <v>2859</v>
      </c>
      <c r="AO157" s="89" t="s">
        <v>2859</v>
      </c>
      <c r="AP157" s="89" t="s">
        <v>2859</v>
      </c>
      <c r="AQ157" s="89" t="s">
        <v>2859</v>
      </c>
      <c r="AR157" s="89" t="s">
        <v>2859</v>
      </c>
      <c r="AS157" s="89" t="s">
        <v>2859</v>
      </c>
      <c r="AT157" s="89" t="s">
        <v>2859</v>
      </c>
      <c r="AU157" s="89" t="s">
        <v>2859</v>
      </c>
      <c r="AV157" s="89" t="s">
        <v>2859</v>
      </c>
      <c r="AW157" s="89" t="s">
        <v>2859</v>
      </c>
      <c r="AX157" s="89" t="s">
        <v>2859</v>
      </c>
      <c r="AY157" s="89" t="s">
        <v>2859</v>
      </c>
      <c r="AZ157" s="89" t="s">
        <v>2859</v>
      </c>
      <c r="BA157" s="89" t="s">
        <v>2859</v>
      </c>
      <c r="BB157" s="89" t="s">
        <v>2859</v>
      </c>
      <c r="BC157" s="89" t="s">
        <v>2859</v>
      </c>
      <c r="BD157" s="89" t="s">
        <v>2859</v>
      </c>
      <c r="BE157" s="89" t="s">
        <v>2859</v>
      </c>
      <c r="BF157" s="89" t="s">
        <v>2859</v>
      </c>
      <c r="BG157" s="89" t="s">
        <v>2859</v>
      </c>
      <c r="BH157" s="89" t="s">
        <v>2859</v>
      </c>
      <c r="BI157" s="89" t="s">
        <v>2859</v>
      </c>
      <c r="BJ157" s="89" t="s">
        <v>2859</v>
      </c>
      <c r="BK157" s="89" t="s">
        <v>2859</v>
      </c>
      <c r="BL157" s="89" t="s">
        <v>2859</v>
      </c>
      <c r="BM157" s="89" t="s">
        <v>2859</v>
      </c>
      <c r="BN157" s="89" t="s">
        <v>2859</v>
      </c>
      <c r="BO157" s="89" t="s">
        <v>2859</v>
      </c>
      <c r="BP157" s="89" t="s">
        <v>2859</v>
      </c>
      <c r="BQ157" s="89" t="s">
        <v>3875</v>
      </c>
      <c r="BR157" s="89" t="s">
        <v>2859</v>
      </c>
    </row>
    <row r="158" spans="1:70">
      <c r="A158" s="89" t="s">
        <v>3874</v>
      </c>
      <c r="B158" s="89" t="s">
        <v>2569</v>
      </c>
      <c r="C158" s="89" t="s">
        <v>2570</v>
      </c>
      <c r="D158" s="89" t="s">
        <v>2859</v>
      </c>
      <c r="E158" s="89" t="s">
        <v>2859</v>
      </c>
      <c r="F158" s="89" t="s">
        <v>2859</v>
      </c>
      <c r="G158" s="89" t="s">
        <v>2860</v>
      </c>
      <c r="H158" s="89" t="s">
        <v>2859</v>
      </c>
      <c r="I158" s="89" t="s">
        <v>120</v>
      </c>
      <c r="J158" s="89" t="s">
        <v>2573</v>
      </c>
      <c r="K158" s="89" t="s">
        <v>2860</v>
      </c>
      <c r="L158" s="89" t="s">
        <v>1463</v>
      </c>
      <c r="M158" s="89" t="s">
        <v>2573</v>
      </c>
      <c r="N158" s="89" t="s">
        <v>2860</v>
      </c>
      <c r="O158" s="89" t="s">
        <v>2859</v>
      </c>
      <c r="P158" s="89" t="s">
        <v>2859</v>
      </c>
      <c r="Q158" s="89" t="s">
        <v>2859</v>
      </c>
      <c r="R158" s="89" t="s">
        <v>2859</v>
      </c>
      <c r="S158" s="89" t="s">
        <v>2859</v>
      </c>
      <c r="T158" s="89" t="s">
        <v>2859</v>
      </c>
      <c r="U158" s="89" t="s">
        <v>2859</v>
      </c>
      <c r="V158" s="89" t="s">
        <v>2859</v>
      </c>
      <c r="W158" s="89" t="s">
        <v>2859</v>
      </c>
      <c r="X158" s="89" t="s">
        <v>2859</v>
      </c>
      <c r="Y158" s="89" t="s">
        <v>2859</v>
      </c>
      <c r="Z158" s="89" t="s">
        <v>2859</v>
      </c>
      <c r="AA158" s="89" t="s">
        <v>2859</v>
      </c>
      <c r="AB158" s="89" t="s">
        <v>2859</v>
      </c>
      <c r="AC158" s="89" t="s">
        <v>2859</v>
      </c>
      <c r="AD158" s="89" t="s">
        <v>2859</v>
      </c>
      <c r="AE158" s="89" t="s">
        <v>2859</v>
      </c>
      <c r="AF158" s="89" t="s">
        <v>2859</v>
      </c>
      <c r="AG158" s="89" t="s">
        <v>2859</v>
      </c>
      <c r="AH158" s="89" t="s">
        <v>2859</v>
      </c>
      <c r="AI158" s="89" t="s">
        <v>2859</v>
      </c>
      <c r="AJ158" s="89" t="s">
        <v>2859</v>
      </c>
      <c r="AK158" s="89" t="s">
        <v>2859</v>
      </c>
      <c r="AL158" s="89" t="s">
        <v>2859</v>
      </c>
      <c r="AM158" s="89" t="s">
        <v>2859</v>
      </c>
      <c r="AN158" s="89" t="s">
        <v>2859</v>
      </c>
      <c r="AO158" s="89" t="s">
        <v>2859</v>
      </c>
      <c r="AP158" s="89" t="s">
        <v>2859</v>
      </c>
      <c r="AQ158" s="89" t="s">
        <v>2859</v>
      </c>
      <c r="AR158" s="89" t="s">
        <v>2859</v>
      </c>
      <c r="AS158" s="89" t="s">
        <v>2859</v>
      </c>
      <c r="AT158" s="89" t="s">
        <v>2859</v>
      </c>
      <c r="AU158" s="89" t="s">
        <v>2859</v>
      </c>
      <c r="AV158" s="89" t="s">
        <v>2859</v>
      </c>
      <c r="AW158" s="89" t="s">
        <v>2859</v>
      </c>
      <c r="AX158" s="89" t="s">
        <v>2859</v>
      </c>
      <c r="AY158" s="89" t="s">
        <v>2859</v>
      </c>
      <c r="AZ158" s="89" t="s">
        <v>2859</v>
      </c>
      <c r="BA158" s="89" t="s">
        <v>2859</v>
      </c>
      <c r="BB158" s="89" t="s">
        <v>2859</v>
      </c>
      <c r="BC158" s="89" t="s">
        <v>2859</v>
      </c>
      <c r="BD158" s="89" t="s">
        <v>2859</v>
      </c>
      <c r="BE158" s="89" t="s">
        <v>2859</v>
      </c>
      <c r="BF158" s="89" t="s">
        <v>2859</v>
      </c>
      <c r="BG158" s="89" t="s">
        <v>2859</v>
      </c>
      <c r="BH158" s="89" t="s">
        <v>2859</v>
      </c>
      <c r="BI158" s="89" t="s">
        <v>2859</v>
      </c>
      <c r="BJ158" s="89" t="s">
        <v>2859</v>
      </c>
      <c r="BK158" s="89" t="s">
        <v>2859</v>
      </c>
      <c r="BL158" s="89" t="s">
        <v>2859</v>
      </c>
      <c r="BM158" s="89" t="s">
        <v>2859</v>
      </c>
      <c r="BN158" s="89" t="s">
        <v>2859</v>
      </c>
      <c r="BO158" s="89" t="s">
        <v>2859</v>
      </c>
      <c r="BP158" s="89" t="s">
        <v>2859</v>
      </c>
      <c r="BQ158" s="89" t="s">
        <v>3876</v>
      </c>
      <c r="BR158" s="89" t="s">
        <v>2859</v>
      </c>
    </row>
    <row r="159" spans="1:70">
      <c r="A159" s="89" t="s">
        <v>3874</v>
      </c>
      <c r="B159" s="89" t="s">
        <v>3877</v>
      </c>
      <c r="C159" s="89" t="s">
        <v>2432</v>
      </c>
      <c r="D159" s="89" t="s">
        <v>2859</v>
      </c>
      <c r="E159" s="89" t="s">
        <v>2859</v>
      </c>
      <c r="F159" s="89" t="s">
        <v>2859</v>
      </c>
      <c r="G159" s="89" t="s">
        <v>2860</v>
      </c>
      <c r="H159" s="89" t="s">
        <v>2859</v>
      </c>
      <c r="I159" s="89" t="s">
        <v>1463</v>
      </c>
      <c r="J159" s="89" t="s">
        <v>2573</v>
      </c>
      <c r="K159" s="89" t="s">
        <v>2860</v>
      </c>
      <c r="L159" s="89" t="s">
        <v>2859</v>
      </c>
      <c r="M159" s="89" t="s">
        <v>2859</v>
      </c>
      <c r="N159" s="89" t="s">
        <v>2859</v>
      </c>
      <c r="O159" s="89" t="s">
        <v>2859</v>
      </c>
      <c r="P159" s="89" t="s">
        <v>2859</v>
      </c>
      <c r="Q159" s="89" t="s">
        <v>2859</v>
      </c>
      <c r="R159" s="89" t="s">
        <v>2859</v>
      </c>
      <c r="S159" s="89" t="s">
        <v>2859</v>
      </c>
      <c r="T159" s="89" t="s">
        <v>2859</v>
      </c>
      <c r="U159" s="89" t="s">
        <v>2859</v>
      </c>
      <c r="V159" s="89" t="s">
        <v>2859</v>
      </c>
      <c r="W159" s="89" t="s">
        <v>2859</v>
      </c>
      <c r="X159" s="89" t="s">
        <v>2859</v>
      </c>
      <c r="Y159" s="89" t="s">
        <v>2859</v>
      </c>
      <c r="Z159" s="89" t="s">
        <v>2859</v>
      </c>
      <c r="AA159" s="89" t="s">
        <v>2859</v>
      </c>
      <c r="AB159" s="89" t="s">
        <v>2859</v>
      </c>
      <c r="AC159" s="89" t="s">
        <v>2859</v>
      </c>
      <c r="AD159" s="89" t="s">
        <v>2859</v>
      </c>
      <c r="AE159" s="89" t="s">
        <v>2859</v>
      </c>
      <c r="AF159" s="89" t="s">
        <v>2859</v>
      </c>
      <c r="AG159" s="89" t="s">
        <v>2859</v>
      </c>
      <c r="AH159" s="89" t="s">
        <v>2859</v>
      </c>
      <c r="AI159" s="89" t="s">
        <v>2859</v>
      </c>
      <c r="AJ159" s="89" t="s">
        <v>2859</v>
      </c>
      <c r="AK159" s="89" t="s">
        <v>2859</v>
      </c>
      <c r="AL159" s="89" t="s">
        <v>2859</v>
      </c>
      <c r="AM159" s="89" t="s">
        <v>2859</v>
      </c>
      <c r="AN159" s="89" t="s">
        <v>2859</v>
      </c>
      <c r="AO159" s="89" t="s">
        <v>2859</v>
      </c>
      <c r="AP159" s="89" t="s">
        <v>2859</v>
      </c>
      <c r="AQ159" s="89" t="s">
        <v>2859</v>
      </c>
      <c r="AR159" s="89" t="s">
        <v>2859</v>
      </c>
      <c r="AS159" s="89" t="s">
        <v>2859</v>
      </c>
      <c r="AT159" s="89" t="s">
        <v>2859</v>
      </c>
      <c r="AU159" s="89" t="s">
        <v>2859</v>
      </c>
      <c r="AV159" s="89" t="s">
        <v>2859</v>
      </c>
      <c r="AW159" s="89" t="s">
        <v>2859</v>
      </c>
      <c r="AX159" s="89" t="s">
        <v>2859</v>
      </c>
      <c r="AY159" s="89" t="s">
        <v>2859</v>
      </c>
      <c r="AZ159" s="89" t="s">
        <v>2859</v>
      </c>
      <c r="BA159" s="89" t="s">
        <v>2859</v>
      </c>
      <c r="BB159" s="89" t="s">
        <v>2859</v>
      </c>
      <c r="BC159" s="89" t="s">
        <v>2859</v>
      </c>
      <c r="BD159" s="89" t="s">
        <v>2859</v>
      </c>
      <c r="BE159" s="89" t="s">
        <v>2859</v>
      </c>
      <c r="BF159" s="89" t="s">
        <v>2859</v>
      </c>
      <c r="BG159" s="89" t="s">
        <v>2859</v>
      </c>
      <c r="BH159" s="89" t="s">
        <v>2859</v>
      </c>
      <c r="BI159" s="89" t="s">
        <v>2859</v>
      </c>
      <c r="BJ159" s="89" t="s">
        <v>2859</v>
      </c>
      <c r="BK159" s="89" t="s">
        <v>2859</v>
      </c>
      <c r="BL159" s="89" t="s">
        <v>2859</v>
      </c>
      <c r="BM159" s="89" t="s">
        <v>2859</v>
      </c>
      <c r="BN159" s="89" t="s">
        <v>2859</v>
      </c>
      <c r="BO159" s="89" t="s">
        <v>2859</v>
      </c>
      <c r="BP159" s="89" t="s">
        <v>2859</v>
      </c>
      <c r="BQ159" s="89" t="s">
        <v>3878</v>
      </c>
      <c r="BR159" s="89" t="s">
        <v>2859</v>
      </c>
    </row>
    <row r="160" spans="1:70">
      <c r="A160" s="89" t="s">
        <v>3874</v>
      </c>
      <c r="B160" s="89" t="s">
        <v>2431</v>
      </c>
      <c r="C160" s="89" t="s">
        <v>2432</v>
      </c>
      <c r="D160" s="89" t="s">
        <v>2859</v>
      </c>
      <c r="E160" s="89" t="s">
        <v>2859</v>
      </c>
      <c r="F160" s="89" t="s">
        <v>2859</v>
      </c>
      <c r="G160" s="89" t="s">
        <v>2860</v>
      </c>
      <c r="H160" s="89" t="s">
        <v>2859</v>
      </c>
      <c r="I160" s="89" t="s">
        <v>621</v>
      </c>
      <c r="J160" s="89" t="s">
        <v>2433</v>
      </c>
      <c r="K160" s="89" t="s">
        <v>2860</v>
      </c>
      <c r="L160" s="89" t="s">
        <v>2859</v>
      </c>
      <c r="M160" s="89" t="s">
        <v>2859</v>
      </c>
      <c r="N160" s="89" t="s">
        <v>2859</v>
      </c>
      <c r="O160" s="89" t="s">
        <v>2859</v>
      </c>
      <c r="P160" s="89" t="s">
        <v>2859</v>
      </c>
      <c r="Q160" s="89" t="s">
        <v>2859</v>
      </c>
      <c r="R160" s="89" t="s">
        <v>2859</v>
      </c>
      <c r="S160" s="89" t="s">
        <v>2859</v>
      </c>
      <c r="T160" s="89" t="s">
        <v>2859</v>
      </c>
      <c r="U160" s="89" t="s">
        <v>2859</v>
      </c>
      <c r="V160" s="89" t="s">
        <v>2859</v>
      </c>
      <c r="W160" s="89" t="s">
        <v>2859</v>
      </c>
      <c r="X160" s="89" t="s">
        <v>2859</v>
      </c>
      <c r="Y160" s="89" t="s">
        <v>2859</v>
      </c>
      <c r="Z160" s="89" t="s">
        <v>2859</v>
      </c>
      <c r="AA160" s="89" t="s">
        <v>2859</v>
      </c>
      <c r="AB160" s="89" t="s">
        <v>2859</v>
      </c>
      <c r="AC160" s="89" t="s">
        <v>2859</v>
      </c>
      <c r="AD160" s="89" t="s">
        <v>2859</v>
      </c>
      <c r="AE160" s="89" t="s">
        <v>2859</v>
      </c>
      <c r="AF160" s="89" t="s">
        <v>2859</v>
      </c>
      <c r="AG160" s="89" t="s">
        <v>2859</v>
      </c>
      <c r="AH160" s="89" t="s">
        <v>2859</v>
      </c>
      <c r="AI160" s="89" t="s">
        <v>2859</v>
      </c>
      <c r="AJ160" s="89" t="s">
        <v>2859</v>
      </c>
      <c r="AK160" s="89" t="s">
        <v>2859</v>
      </c>
      <c r="AL160" s="89" t="s">
        <v>2859</v>
      </c>
      <c r="AM160" s="89" t="s">
        <v>2859</v>
      </c>
      <c r="AN160" s="89" t="s">
        <v>2859</v>
      </c>
      <c r="AO160" s="89" t="s">
        <v>2859</v>
      </c>
      <c r="AP160" s="89" t="s">
        <v>2859</v>
      </c>
      <c r="AQ160" s="89" t="s">
        <v>2859</v>
      </c>
      <c r="AR160" s="89" t="s">
        <v>2859</v>
      </c>
      <c r="AS160" s="89" t="s">
        <v>2859</v>
      </c>
      <c r="AT160" s="89" t="s">
        <v>2859</v>
      </c>
      <c r="AU160" s="89" t="s">
        <v>2859</v>
      </c>
      <c r="AV160" s="89" t="s">
        <v>2859</v>
      </c>
      <c r="AW160" s="89" t="s">
        <v>2859</v>
      </c>
      <c r="AX160" s="89" t="s">
        <v>2859</v>
      </c>
      <c r="AY160" s="89" t="s">
        <v>2859</v>
      </c>
      <c r="AZ160" s="89" t="s">
        <v>2859</v>
      </c>
      <c r="BA160" s="89" t="s">
        <v>2859</v>
      </c>
      <c r="BB160" s="89" t="s">
        <v>2859</v>
      </c>
      <c r="BC160" s="89" t="s">
        <v>2859</v>
      </c>
      <c r="BD160" s="89" t="s">
        <v>2859</v>
      </c>
      <c r="BE160" s="89" t="s">
        <v>2859</v>
      </c>
      <c r="BF160" s="89" t="s">
        <v>2859</v>
      </c>
      <c r="BG160" s="89" t="s">
        <v>2859</v>
      </c>
      <c r="BH160" s="89" t="s">
        <v>2859</v>
      </c>
      <c r="BI160" s="89" t="s">
        <v>2859</v>
      </c>
      <c r="BJ160" s="89" t="s">
        <v>2859</v>
      </c>
      <c r="BK160" s="89" t="s">
        <v>2859</v>
      </c>
      <c r="BL160" s="89" t="s">
        <v>2859</v>
      </c>
      <c r="BM160" s="89" t="s">
        <v>2859</v>
      </c>
      <c r="BN160" s="89" t="s">
        <v>2859</v>
      </c>
      <c r="BO160" s="89" t="s">
        <v>2859</v>
      </c>
      <c r="BP160" s="89" t="s">
        <v>2859</v>
      </c>
      <c r="BQ160" s="89" t="s">
        <v>3879</v>
      </c>
      <c r="BR160" s="89" t="s">
        <v>2859</v>
      </c>
    </row>
    <row r="161" spans="1:70">
      <c r="A161" s="89" t="s">
        <v>3874</v>
      </c>
      <c r="B161" s="89" t="s">
        <v>2572</v>
      </c>
      <c r="C161" s="89" t="s">
        <v>2432</v>
      </c>
      <c r="D161" s="89" t="s">
        <v>2859</v>
      </c>
      <c r="E161" s="89" t="s">
        <v>2859</v>
      </c>
      <c r="F161" s="89" t="s">
        <v>2859</v>
      </c>
      <c r="G161" s="89" t="s">
        <v>2860</v>
      </c>
      <c r="H161" s="89" t="s">
        <v>2859</v>
      </c>
      <c r="I161" s="89" t="s">
        <v>120</v>
      </c>
      <c r="J161" s="89" t="s">
        <v>2573</v>
      </c>
      <c r="K161" s="89" t="s">
        <v>2860</v>
      </c>
      <c r="L161" s="89" t="s">
        <v>2859</v>
      </c>
      <c r="M161" s="89" t="s">
        <v>2859</v>
      </c>
      <c r="N161" s="89" t="s">
        <v>2859</v>
      </c>
      <c r="O161" s="89" t="s">
        <v>2859</v>
      </c>
      <c r="P161" s="89" t="s">
        <v>2859</v>
      </c>
      <c r="Q161" s="89" t="s">
        <v>2859</v>
      </c>
      <c r="R161" s="89" t="s">
        <v>2859</v>
      </c>
      <c r="S161" s="89" t="s">
        <v>2859</v>
      </c>
      <c r="T161" s="89" t="s">
        <v>2859</v>
      </c>
      <c r="U161" s="89" t="s">
        <v>2859</v>
      </c>
      <c r="V161" s="89" t="s">
        <v>2859</v>
      </c>
      <c r="W161" s="89" t="s">
        <v>2859</v>
      </c>
      <c r="X161" s="89" t="s">
        <v>2859</v>
      </c>
      <c r="Y161" s="89" t="s">
        <v>2859</v>
      </c>
      <c r="Z161" s="89" t="s">
        <v>2859</v>
      </c>
      <c r="AA161" s="89" t="s">
        <v>2859</v>
      </c>
      <c r="AB161" s="89" t="s">
        <v>2859</v>
      </c>
      <c r="AC161" s="89" t="s">
        <v>2859</v>
      </c>
      <c r="AD161" s="89" t="s">
        <v>2859</v>
      </c>
      <c r="AE161" s="89" t="s">
        <v>2859</v>
      </c>
      <c r="AF161" s="89" t="s">
        <v>2859</v>
      </c>
      <c r="AG161" s="89" t="s">
        <v>2859</v>
      </c>
      <c r="AH161" s="89" t="s">
        <v>2859</v>
      </c>
      <c r="AI161" s="89" t="s">
        <v>2859</v>
      </c>
      <c r="AJ161" s="89" t="s">
        <v>2859</v>
      </c>
      <c r="AK161" s="89" t="s">
        <v>2859</v>
      </c>
      <c r="AL161" s="89" t="s">
        <v>2859</v>
      </c>
      <c r="AM161" s="89" t="s">
        <v>2859</v>
      </c>
      <c r="AN161" s="89" t="s">
        <v>2859</v>
      </c>
      <c r="AO161" s="89" t="s">
        <v>2859</v>
      </c>
      <c r="AP161" s="89" t="s">
        <v>2859</v>
      </c>
      <c r="AQ161" s="89" t="s">
        <v>2859</v>
      </c>
      <c r="AR161" s="89" t="s">
        <v>2859</v>
      </c>
      <c r="AS161" s="89" t="s">
        <v>2859</v>
      </c>
      <c r="AT161" s="89" t="s">
        <v>2859</v>
      </c>
      <c r="AU161" s="89" t="s">
        <v>2859</v>
      </c>
      <c r="AV161" s="89" t="s">
        <v>2859</v>
      </c>
      <c r="AW161" s="89" t="s">
        <v>2859</v>
      </c>
      <c r="AX161" s="89" t="s">
        <v>2859</v>
      </c>
      <c r="AY161" s="89" t="s">
        <v>2859</v>
      </c>
      <c r="AZ161" s="89" t="s">
        <v>2859</v>
      </c>
      <c r="BA161" s="89" t="s">
        <v>2859</v>
      </c>
      <c r="BB161" s="89" t="s">
        <v>2859</v>
      </c>
      <c r="BC161" s="89" t="s">
        <v>2859</v>
      </c>
      <c r="BD161" s="89" t="s">
        <v>2859</v>
      </c>
      <c r="BE161" s="89" t="s">
        <v>2859</v>
      </c>
      <c r="BF161" s="89" t="s">
        <v>2859</v>
      </c>
      <c r="BG161" s="89" t="s">
        <v>2859</v>
      </c>
      <c r="BH161" s="89" t="s">
        <v>2859</v>
      </c>
      <c r="BI161" s="89" t="s">
        <v>2859</v>
      </c>
      <c r="BJ161" s="89" t="s">
        <v>2859</v>
      </c>
      <c r="BK161" s="89" t="s">
        <v>2859</v>
      </c>
      <c r="BL161" s="89" t="s">
        <v>2859</v>
      </c>
      <c r="BM161" s="89" t="s">
        <v>2859</v>
      </c>
      <c r="BN161" s="89" t="s">
        <v>2859</v>
      </c>
      <c r="BO161" s="89" t="s">
        <v>2859</v>
      </c>
      <c r="BP161" s="89" t="s">
        <v>2859</v>
      </c>
      <c r="BQ161" s="89" t="s">
        <v>3880</v>
      </c>
      <c r="BR161" s="89" t="s">
        <v>2859</v>
      </c>
    </row>
    <row r="162" spans="1:70">
      <c r="A162" s="89" t="s">
        <v>3874</v>
      </c>
      <c r="B162" s="89" t="s">
        <v>2574</v>
      </c>
      <c r="C162" s="89" t="s">
        <v>2570</v>
      </c>
      <c r="D162" s="89" t="s">
        <v>2859</v>
      </c>
      <c r="E162" s="89" t="s">
        <v>2859</v>
      </c>
      <c r="F162" s="89" t="s">
        <v>2859</v>
      </c>
      <c r="G162" s="89" t="s">
        <v>2860</v>
      </c>
      <c r="H162" s="89" t="s">
        <v>2859</v>
      </c>
      <c r="I162" s="89" t="s">
        <v>120</v>
      </c>
      <c r="J162" s="89" t="s">
        <v>2573</v>
      </c>
      <c r="K162" s="89" t="s">
        <v>2860</v>
      </c>
      <c r="L162" s="89" t="s">
        <v>2859</v>
      </c>
      <c r="M162" s="89" t="s">
        <v>2859</v>
      </c>
      <c r="N162" s="89" t="s">
        <v>2859</v>
      </c>
      <c r="O162" s="89" t="s">
        <v>2859</v>
      </c>
      <c r="P162" s="89" t="s">
        <v>2859</v>
      </c>
      <c r="Q162" s="89" t="s">
        <v>2859</v>
      </c>
      <c r="R162" s="89" t="s">
        <v>2859</v>
      </c>
      <c r="S162" s="89" t="s">
        <v>2859</v>
      </c>
      <c r="T162" s="89" t="s">
        <v>2859</v>
      </c>
      <c r="U162" s="89" t="s">
        <v>2859</v>
      </c>
      <c r="V162" s="89" t="s">
        <v>2859</v>
      </c>
      <c r="W162" s="89" t="s">
        <v>2859</v>
      </c>
      <c r="X162" s="89" t="s">
        <v>2859</v>
      </c>
      <c r="Y162" s="89" t="s">
        <v>2859</v>
      </c>
      <c r="Z162" s="89" t="s">
        <v>2859</v>
      </c>
      <c r="AA162" s="89" t="s">
        <v>2859</v>
      </c>
      <c r="AB162" s="89" t="s">
        <v>2859</v>
      </c>
      <c r="AC162" s="89" t="s">
        <v>2859</v>
      </c>
      <c r="AD162" s="89" t="s">
        <v>2859</v>
      </c>
      <c r="AE162" s="89" t="s">
        <v>2859</v>
      </c>
      <c r="AF162" s="89" t="s">
        <v>2859</v>
      </c>
      <c r="AG162" s="89" t="s">
        <v>2859</v>
      </c>
      <c r="AH162" s="89" t="s">
        <v>2859</v>
      </c>
      <c r="AI162" s="89" t="s">
        <v>2859</v>
      </c>
      <c r="AJ162" s="89" t="s">
        <v>2859</v>
      </c>
      <c r="AK162" s="89" t="s">
        <v>2859</v>
      </c>
      <c r="AL162" s="89" t="s">
        <v>2859</v>
      </c>
      <c r="AM162" s="89" t="s">
        <v>2859</v>
      </c>
      <c r="AN162" s="89" t="s">
        <v>2859</v>
      </c>
      <c r="AO162" s="89" t="s">
        <v>2859</v>
      </c>
      <c r="AP162" s="89" t="s">
        <v>2859</v>
      </c>
      <c r="AQ162" s="89" t="s">
        <v>2859</v>
      </c>
      <c r="AR162" s="89" t="s">
        <v>2859</v>
      </c>
      <c r="AS162" s="89" t="s">
        <v>2859</v>
      </c>
      <c r="AT162" s="89" t="s">
        <v>2859</v>
      </c>
      <c r="AU162" s="89" t="s">
        <v>2859</v>
      </c>
      <c r="AV162" s="89" t="s">
        <v>2859</v>
      </c>
      <c r="AW162" s="89" t="s">
        <v>2859</v>
      </c>
      <c r="AX162" s="89" t="s">
        <v>2859</v>
      </c>
      <c r="AY162" s="89" t="s">
        <v>2859</v>
      </c>
      <c r="AZ162" s="89" t="s">
        <v>2859</v>
      </c>
      <c r="BA162" s="89" t="s">
        <v>2859</v>
      </c>
      <c r="BB162" s="89" t="s">
        <v>2859</v>
      </c>
      <c r="BC162" s="89" t="s">
        <v>2859</v>
      </c>
      <c r="BD162" s="89" t="s">
        <v>2859</v>
      </c>
      <c r="BE162" s="89" t="s">
        <v>2859</v>
      </c>
      <c r="BF162" s="89" t="s">
        <v>2859</v>
      </c>
      <c r="BG162" s="89" t="s">
        <v>2859</v>
      </c>
      <c r="BH162" s="89" t="s">
        <v>2859</v>
      </c>
      <c r="BI162" s="89" t="s">
        <v>2859</v>
      </c>
      <c r="BJ162" s="89" t="s">
        <v>2859</v>
      </c>
      <c r="BK162" s="89" t="s">
        <v>2859</v>
      </c>
      <c r="BL162" s="89" t="s">
        <v>2859</v>
      </c>
      <c r="BM162" s="89" t="s">
        <v>2859</v>
      </c>
      <c r="BN162" s="89" t="s">
        <v>2859</v>
      </c>
      <c r="BO162" s="89" t="s">
        <v>2859</v>
      </c>
      <c r="BP162" s="89" t="s">
        <v>2859</v>
      </c>
      <c r="BQ162" s="89" t="s">
        <v>3881</v>
      </c>
      <c r="BR162" s="89" t="s">
        <v>2859</v>
      </c>
    </row>
    <row r="163" spans="1:70">
      <c r="A163" s="89" t="s">
        <v>3874</v>
      </c>
      <c r="B163" s="89" t="s">
        <v>2575</v>
      </c>
      <c r="C163" s="89" t="s">
        <v>2576</v>
      </c>
      <c r="D163" s="89" t="s">
        <v>2859</v>
      </c>
      <c r="E163" s="89" t="s">
        <v>2859</v>
      </c>
      <c r="F163" s="89" t="s">
        <v>2859</v>
      </c>
      <c r="G163" s="89" t="s">
        <v>2860</v>
      </c>
      <c r="H163" s="89" t="s">
        <v>2859</v>
      </c>
      <c r="I163" s="89" t="s">
        <v>2490</v>
      </c>
      <c r="J163" s="89" t="s">
        <v>2577</v>
      </c>
      <c r="K163" s="89" t="s">
        <v>2860</v>
      </c>
      <c r="L163" s="89" t="s">
        <v>2859</v>
      </c>
      <c r="M163" s="89" t="s">
        <v>2859</v>
      </c>
      <c r="N163" s="89" t="s">
        <v>2859</v>
      </c>
      <c r="O163" s="89" t="s">
        <v>2859</v>
      </c>
      <c r="P163" s="89" t="s">
        <v>2859</v>
      </c>
      <c r="Q163" s="89" t="s">
        <v>2859</v>
      </c>
      <c r="R163" s="89" t="s">
        <v>2859</v>
      </c>
      <c r="S163" s="89" t="s">
        <v>2859</v>
      </c>
      <c r="T163" s="89" t="s">
        <v>2859</v>
      </c>
      <c r="U163" s="89" t="s">
        <v>2859</v>
      </c>
      <c r="V163" s="89" t="s">
        <v>2859</v>
      </c>
      <c r="W163" s="89" t="s">
        <v>2859</v>
      </c>
      <c r="X163" s="89" t="s">
        <v>2859</v>
      </c>
      <c r="Y163" s="89" t="s">
        <v>2859</v>
      </c>
      <c r="Z163" s="89" t="s">
        <v>2859</v>
      </c>
      <c r="AA163" s="89" t="s">
        <v>2859</v>
      </c>
      <c r="AB163" s="89" t="s">
        <v>2859</v>
      </c>
      <c r="AC163" s="89" t="s">
        <v>2859</v>
      </c>
      <c r="AD163" s="89" t="s">
        <v>2859</v>
      </c>
      <c r="AE163" s="89" t="s">
        <v>2859</v>
      </c>
      <c r="AF163" s="89" t="s">
        <v>2859</v>
      </c>
      <c r="AG163" s="89" t="s">
        <v>2859</v>
      </c>
      <c r="AH163" s="89" t="s">
        <v>2859</v>
      </c>
      <c r="AI163" s="89" t="s">
        <v>2859</v>
      </c>
      <c r="AJ163" s="89" t="s">
        <v>2859</v>
      </c>
      <c r="AK163" s="89" t="s">
        <v>2859</v>
      </c>
      <c r="AL163" s="89" t="s">
        <v>2859</v>
      </c>
      <c r="AM163" s="89" t="s">
        <v>2859</v>
      </c>
      <c r="AN163" s="89" t="s">
        <v>2859</v>
      </c>
      <c r="AO163" s="89" t="s">
        <v>2859</v>
      </c>
      <c r="AP163" s="89" t="s">
        <v>2859</v>
      </c>
      <c r="AQ163" s="89" t="s">
        <v>2859</v>
      </c>
      <c r="AR163" s="89" t="s">
        <v>2859</v>
      </c>
      <c r="AS163" s="89" t="s">
        <v>2859</v>
      </c>
      <c r="AT163" s="89" t="s">
        <v>2859</v>
      </c>
      <c r="AU163" s="89" t="s">
        <v>2859</v>
      </c>
      <c r="AV163" s="89" t="s">
        <v>2859</v>
      </c>
      <c r="AW163" s="89" t="s">
        <v>2859</v>
      </c>
      <c r="AX163" s="89" t="s">
        <v>2859</v>
      </c>
      <c r="AY163" s="89" t="s">
        <v>2859</v>
      </c>
      <c r="AZ163" s="89" t="s">
        <v>2859</v>
      </c>
      <c r="BA163" s="89" t="s">
        <v>2859</v>
      </c>
      <c r="BB163" s="89" t="s">
        <v>2859</v>
      </c>
      <c r="BC163" s="89" t="s">
        <v>2859</v>
      </c>
      <c r="BD163" s="89" t="s">
        <v>2859</v>
      </c>
      <c r="BE163" s="89" t="s">
        <v>2859</v>
      </c>
      <c r="BF163" s="89" t="s">
        <v>2859</v>
      </c>
      <c r="BG163" s="89" t="s">
        <v>2859</v>
      </c>
      <c r="BH163" s="89" t="s">
        <v>2859</v>
      </c>
      <c r="BI163" s="89" t="s">
        <v>2859</v>
      </c>
      <c r="BJ163" s="89" t="s">
        <v>2859</v>
      </c>
      <c r="BK163" s="89" t="s">
        <v>2859</v>
      </c>
      <c r="BL163" s="89" t="s">
        <v>2859</v>
      </c>
      <c r="BM163" s="89" t="s">
        <v>2859</v>
      </c>
      <c r="BN163" s="89" t="s">
        <v>2859</v>
      </c>
      <c r="BO163" s="89" t="s">
        <v>2859</v>
      </c>
      <c r="BP163" s="89" t="s">
        <v>2859</v>
      </c>
      <c r="BQ163" s="89" t="s">
        <v>3882</v>
      </c>
      <c r="BR163" s="89" t="s">
        <v>2859</v>
      </c>
    </row>
    <row r="164" spans="1:70">
      <c r="A164" s="89" t="s">
        <v>3874</v>
      </c>
      <c r="B164" s="89" t="s">
        <v>2578</v>
      </c>
      <c r="C164" s="89" t="s">
        <v>2579</v>
      </c>
      <c r="D164" s="89" t="s">
        <v>2859</v>
      </c>
      <c r="E164" s="89" t="s">
        <v>2859</v>
      </c>
      <c r="F164" s="89" t="s">
        <v>2859</v>
      </c>
      <c r="G164" s="89" t="s">
        <v>2860</v>
      </c>
      <c r="H164" s="89" t="s">
        <v>2859</v>
      </c>
      <c r="I164" s="89" t="s">
        <v>120</v>
      </c>
      <c r="J164" s="89" t="s">
        <v>3883</v>
      </c>
      <c r="K164" s="89" t="s">
        <v>2860</v>
      </c>
      <c r="L164" s="89" t="s">
        <v>2585</v>
      </c>
      <c r="M164" s="89" t="s">
        <v>2375</v>
      </c>
      <c r="N164" s="89" t="s">
        <v>2860</v>
      </c>
      <c r="O164" s="89" t="s">
        <v>2859</v>
      </c>
      <c r="P164" s="89" t="s">
        <v>2859</v>
      </c>
      <c r="Q164" s="89" t="s">
        <v>2859</v>
      </c>
      <c r="R164" s="89" t="s">
        <v>2859</v>
      </c>
      <c r="S164" s="89" t="s">
        <v>2859</v>
      </c>
      <c r="T164" s="89" t="s">
        <v>2859</v>
      </c>
      <c r="U164" s="89" t="s">
        <v>2859</v>
      </c>
      <c r="V164" s="89" t="s">
        <v>2859</v>
      </c>
      <c r="W164" s="89" t="s">
        <v>2859</v>
      </c>
      <c r="X164" s="89" t="s">
        <v>2859</v>
      </c>
      <c r="Y164" s="89" t="s">
        <v>2859</v>
      </c>
      <c r="Z164" s="89" t="s">
        <v>2859</v>
      </c>
      <c r="AA164" s="89" t="s">
        <v>2859</v>
      </c>
      <c r="AB164" s="89" t="s">
        <v>2859</v>
      </c>
      <c r="AC164" s="89" t="s">
        <v>2859</v>
      </c>
      <c r="AD164" s="89" t="s">
        <v>2859</v>
      </c>
      <c r="AE164" s="89" t="s">
        <v>2859</v>
      </c>
      <c r="AF164" s="89" t="s">
        <v>2859</v>
      </c>
      <c r="AG164" s="89" t="s">
        <v>2859</v>
      </c>
      <c r="AH164" s="89" t="s">
        <v>2859</v>
      </c>
      <c r="AI164" s="89" t="s">
        <v>2859</v>
      </c>
      <c r="AJ164" s="89" t="s">
        <v>2859</v>
      </c>
      <c r="AK164" s="89" t="s">
        <v>2859</v>
      </c>
      <c r="AL164" s="89" t="s">
        <v>2859</v>
      </c>
      <c r="AM164" s="89" t="s">
        <v>2859</v>
      </c>
      <c r="AN164" s="89" t="s">
        <v>2859</v>
      </c>
      <c r="AO164" s="89" t="s">
        <v>2859</v>
      </c>
      <c r="AP164" s="89" t="s">
        <v>2859</v>
      </c>
      <c r="AQ164" s="89" t="s">
        <v>2859</v>
      </c>
      <c r="AR164" s="89" t="s">
        <v>2859</v>
      </c>
      <c r="AS164" s="89" t="s">
        <v>2859</v>
      </c>
      <c r="AT164" s="89" t="s">
        <v>2859</v>
      </c>
      <c r="AU164" s="89" t="s">
        <v>2859</v>
      </c>
      <c r="AV164" s="89" t="s">
        <v>2859</v>
      </c>
      <c r="AW164" s="89" t="s">
        <v>2859</v>
      </c>
      <c r="AX164" s="89" t="s">
        <v>2859</v>
      </c>
      <c r="AY164" s="89" t="s">
        <v>2859</v>
      </c>
      <c r="AZ164" s="89" t="s">
        <v>2859</v>
      </c>
      <c r="BA164" s="89" t="s">
        <v>2859</v>
      </c>
      <c r="BB164" s="89" t="s">
        <v>2859</v>
      </c>
      <c r="BC164" s="89" t="s">
        <v>2859</v>
      </c>
      <c r="BD164" s="89" t="s">
        <v>2859</v>
      </c>
      <c r="BE164" s="89" t="s">
        <v>2859</v>
      </c>
      <c r="BF164" s="89" t="s">
        <v>2859</v>
      </c>
      <c r="BG164" s="89" t="s">
        <v>2859</v>
      </c>
      <c r="BH164" s="89" t="s">
        <v>2859</v>
      </c>
      <c r="BI164" s="89" t="s">
        <v>2859</v>
      </c>
      <c r="BJ164" s="89" t="s">
        <v>2859</v>
      </c>
      <c r="BK164" s="89" t="s">
        <v>2859</v>
      </c>
      <c r="BL164" s="89" t="s">
        <v>2859</v>
      </c>
      <c r="BM164" s="89" t="s">
        <v>2859</v>
      </c>
      <c r="BN164" s="89" t="s">
        <v>2859</v>
      </c>
      <c r="BO164" s="89" t="s">
        <v>2859</v>
      </c>
      <c r="BP164" s="89" t="s">
        <v>2859</v>
      </c>
      <c r="BQ164" s="89" t="s">
        <v>3884</v>
      </c>
      <c r="BR164" s="89" t="s">
        <v>2859</v>
      </c>
    </row>
    <row r="165" spans="1:70">
      <c r="A165" s="89" t="s">
        <v>3874</v>
      </c>
      <c r="B165" s="89" t="s">
        <v>3885</v>
      </c>
      <c r="C165" s="89" t="s">
        <v>2579</v>
      </c>
      <c r="D165" s="89" t="s">
        <v>2859</v>
      </c>
      <c r="E165" s="89" t="s">
        <v>2859</v>
      </c>
      <c r="F165" s="89" t="s">
        <v>2859</v>
      </c>
      <c r="G165" s="89" t="s">
        <v>2860</v>
      </c>
      <c r="H165" s="89" t="s">
        <v>2859</v>
      </c>
      <c r="I165" s="89" t="s">
        <v>1463</v>
      </c>
      <c r="J165" s="89" t="s">
        <v>2573</v>
      </c>
      <c r="K165" s="89" t="s">
        <v>2860</v>
      </c>
      <c r="L165" s="89" t="s">
        <v>2859</v>
      </c>
      <c r="M165" s="89" t="s">
        <v>2859</v>
      </c>
      <c r="N165" s="89" t="s">
        <v>2859</v>
      </c>
      <c r="O165" s="89" t="s">
        <v>2859</v>
      </c>
      <c r="P165" s="89" t="s">
        <v>2859</v>
      </c>
      <c r="Q165" s="89" t="s">
        <v>2859</v>
      </c>
      <c r="R165" s="89" t="s">
        <v>2859</v>
      </c>
      <c r="S165" s="89" t="s">
        <v>2859</v>
      </c>
      <c r="T165" s="89" t="s">
        <v>2859</v>
      </c>
      <c r="U165" s="89" t="s">
        <v>2859</v>
      </c>
      <c r="V165" s="89" t="s">
        <v>2859</v>
      </c>
      <c r="W165" s="89" t="s">
        <v>2859</v>
      </c>
      <c r="X165" s="89" t="s">
        <v>2859</v>
      </c>
      <c r="Y165" s="89" t="s">
        <v>2859</v>
      </c>
      <c r="Z165" s="89" t="s">
        <v>2859</v>
      </c>
      <c r="AA165" s="89" t="s">
        <v>2859</v>
      </c>
      <c r="AB165" s="89" t="s">
        <v>2859</v>
      </c>
      <c r="AC165" s="89" t="s">
        <v>2859</v>
      </c>
      <c r="AD165" s="89" t="s">
        <v>2859</v>
      </c>
      <c r="AE165" s="89" t="s">
        <v>2859</v>
      </c>
      <c r="AF165" s="89" t="s">
        <v>2859</v>
      </c>
      <c r="AG165" s="89" t="s">
        <v>2859</v>
      </c>
      <c r="AH165" s="89" t="s">
        <v>2859</v>
      </c>
      <c r="AI165" s="89" t="s">
        <v>2859</v>
      </c>
      <c r="AJ165" s="89" t="s">
        <v>2859</v>
      </c>
      <c r="AK165" s="89" t="s">
        <v>2859</v>
      </c>
      <c r="AL165" s="89" t="s">
        <v>2859</v>
      </c>
      <c r="AM165" s="89" t="s">
        <v>2859</v>
      </c>
      <c r="AN165" s="89" t="s">
        <v>2859</v>
      </c>
      <c r="AO165" s="89" t="s">
        <v>2859</v>
      </c>
      <c r="AP165" s="89" t="s">
        <v>2859</v>
      </c>
      <c r="AQ165" s="89" t="s">
        <v>2859</v>
      </c>
      <c r="AR165" s="89" t="s">
        <v>2859</v>
      </c>
      <c r="AS165" s="89" t="s">
        <v>2859</v>
      </c>
      <c r="AT165" s="89" t="s">
        <v>2859</v>
      </c>
      <c r="AU165" s="89" t="s">
        <v>2859</v>
      </c>
      <c r="AV165" s="89" t="s">
        <v>2859</v>
      </c>
      <c r="AW165" s="89" t="s">
        <v>2859</v>
      </c>
      <c r="AX165" s="89" t="s">
        <v>2859</v>
      </c>
      <c r="AY165" s="89" t="s">
        <v>2859</v>
      </c>
      <c r="AZ165" s="89" t="s">
        <v>2859</v>
      </c>
      <c r="BA165" s="89" t="s">
        <v>2859</v>
      </c>
      <c r="BB165" s="89" t="s">
        <v>2859</v>
      </c>
      <c r="BC165" s="89" t="s">
        <v>2859</v>
      </c>
      <c r="BD165" s="89" t="s">
        <v>2859</v>
      </c>
      <c r="BE165" s="89" t="s">
        <v>2859</v>
      </c>
      <c r="BF165" s="89" t="s">
        <v>2859</v>
      </c>
      <c r="BG165" s="89" t="s">
        <v>2859</v>
      </c>
      <c r="BH165" s="89" t="s">
        <v>2859</v>
      </c>
      <c r="BI165" s="89" t="s">
        <v>2859</v>
      </c>
      <c r="BJ165" s="89" t="s">
        <v>2859</v>
      </c>
      <c r="BK165" s="89" t="s">
        <v>2859</v>
      </c>
      <c r="BL165" s="89" t="s">
        <v>2859</v>
      </c>
      <c r="BM165" s="89" t="s">
        <v>2859</v>
      </c>
      <c r="BN165" s="89" t="s">
        <v>2859</v>
      </c>
      <c r="BO165" s="89" t="s">
        <v>2859</v>
      </c>
      <c r="BP165" s="89" t="s">
        <v>2859</v>
      </c>
      <c r="BQ165" s="89" t="s">
        <v>3886</v>
      </c>
      <c r="BR165" s="89" t="s">
        <v>2859</v>
      </c>
    </row>
    <row r="166" spans="1:70">
      <c r="A166" s="89" t="s">
        <v>3874</v>
      </c>
      <c r="B166" s="89" t="s">
        <v>2434</v>
      </c>
      <c r="C166" s="89" t="s">
        <v>2435</v>
      </c>
      <c r="D166" s="89" t="s">
        <v>2859</v>
      </c>
      <c r="E166" s="89" t="s">
        <v>2859</v>
      </c>
      <c r="F166" s="89" t="s">
        <v>2859</v>
      </c>
      <c r="G166" s="89" t="s">
        <v>2860</v>
      </c>
      <c r="H166" s="89" t="s">
        <v>2859</v>
      </c>
      <c r="I166" s="89" t="s">
        <v>635</v>
      </c>
      <c r="J166" s="89" t="s">
        <v>2573</v>
      </c>
      <c r="K166" s="89" t="s">
        <v>2860</v>
      </c>
      <c r="L166" s="89" t="s">
        <v>2669</v>
      </c>
      <c r="M166" s="89" t="s">
        <v>2573</v>
      </c>
      <c r="N166" s="89" t="s">
        <v>2860</v>
      </c>
      <c r="O166" s="89" t="s">
        <v>2859</v>
      </c>
      <c r="P166" s="89" t="s">
        <v>2859</v>
      </c>
      <c r="Q166" s="89" t="s">
        <v>2859</v>
      </c>
      <c r="R166" s="89" t="s">
        <v>2859</v>
      </c>
      <c r="S166" s="89" t="s">
        <v>2859</v>
      </c>
      <c r="T166" s="89" t="s">
        <v>2859</v>
      </c>
      <c r="U166" s="89" t="s">
        <v>2859</v>
      </c>
      <c r="V166" s="89" t="s">
        <v>2859</v>
      </c>
      <c r="W166" s="89" t="s">
        <v>2859</v>
      </c>
      <c r="X166" s="89" t="s">
        <v>2859</v>
      </c>
      <c r="Y166" s="89" t="s">
        <v>2859</v>
      </c>
      <c r="Z166" s="89" t="s">
        <v>2859</v>
      </c>
      <c r="AA166" s="89" t="s">
        <v>2859</v>
      </c>
      <c r="AB166" s="89" t="s">
        <v>2859</v>
      </c>
      <c r="AC166" s="89" t="s">
        <v>2859</v>
      </c>
      <c r="AD166" s="89" t="s">
        <v>2859</v>
      </c>
      <c r="AE166" s="89" t="s">
        <v>2859</v>
      </c>
      <c r="AF166" s="89" t="s">
        <v>2859</v>
      </c>
      <c r="AG166" s="89" t="s">
        <v>2859</v>
      </c>
      <c r="AH166" s="89" t="s">
        <v>2859</v>
      </c>
      <c r="AI166" s="89" t="s">
        <v>2859</v>
      </c>
      <c r="AJ166" s="89" t="s">
        <v>2859</v>
      </c>
      <c r="AK166" s="89" t="s">
        <v>2859</v>
      </c>
      <c r="AL166" s="89" t="s">
        <v>2859</v>
      </c>
      <c r="AM166" s="89" t="s">
        <v>2859</v>
      </c>
      <c r="AN166" s="89" t="s">
        <v>2859</v>
      </c>
      <c r="AO166" s="89" t="s">
        <v>2859</v>
      </c>
      <c r="AP166" s="89" t="s">
        <v>2859</v>
      </c>
      <c r="AQ166" s="89" t="s">
        <v>2859</v>
      </c>
      <c r="AR166" s="89" t="s">
        <v>2859</v>
      </c>
      <c r="AS166" s="89" t="s">
        <v>2859</v>
      </c>
      <c r="AT166" s="89" t="s">
        <v>2859</v>
      </c>
      <c r="AU166" s="89" t="s">
        <v>2859</v>
      </c>
      <c r="AV166" s="89" t="s">
        <v>2859</v>
      </c>
      <c r="AW166" s="89" t="s">
        <v>2859</v>
      </c>
      <c r="AX166" s="89" t="s">
        <v>2859</v>
      </c>
      <c r="AY166" s="89" t="s">
        <v>2859</v>
      </c>
      <c r="AZ166" s="89" t="s">
        <v>2859</v>
      </c>
      <c r="BA166" s="89" t="s">
        <v>2859</v>
      </c>
      <c r="BB166" s="89" t="s">
        <v>2859</v>
      </c>
      <c r="BC166" s="89" t="s">
        <v>2859</v>
      </c>
      <c r="BD166" s="89" t="s">
        <v>2859</v>
      </c>
      <c r="BE166" s="89" t="s">
        <v>2859</v>
      </c>
      <c r="BF166" s="89" t="s">
        <v>2859</v>
      </c>
      <c r="BG166" s="89" t="s">
        <v>2859</v>
      </c>
      <c r="BH166" s="89" t="s">
        <v>2859</v>
      </c>
      <c r="BI166" s="89" t="s">
        <v>2859</v>
      </c>
      <c r="BJ166" s="89" t="s">
        <v>2859</v>
      </c>
      <c r="BK166" s="89" t="s">
        <v>2859</v>
      </c>
      <c r="BL166" s="89" t="s">
        <v>2859</v>
      </c>
      <c r="BM166" s="89" t="s">
        <v>2859</v>
      </c>
      <c r="BN166" s="89" t="s">
        <v>2859</v>
      </c>
      <c r="BO166" s="89" t="s">
        <v>2859</v>
      </c>
      <c r="BP166" s="89" t="s">
        <v>2859</v>
      </c>
      <c r="BQ166" s="89" t="s">
        <v>3887</v>
      </c>
      <c r="BR166" s="89" t="s">
        <v>2859</v>
      </c>
    </row>
    <row r="167" spans="1:70">
      <c r="A167" s="89" t="s">
        <v>3874</v>
      </c>
      <c r="B167" s="89" t="s">
        <v>2599</v>
      </c>
      <c r="C167" s="89" t="s">
        <v>2435</v>
      </c>
      <c r="D167" s="89" t="s">
        <v>2859</v>
      </c>
      <c r="E167" s="89" t="s">
        <v>2859</v>
      </c>
      <c r="F167" s="89" t="s">
        <v>2859</v>
      </c>
      <c r="G167" s="89" t="s">
        <v>2860</v>
      </c>
      <c r="H167" s="89" t="s">
        <v>2859</v>
      </c>
      <c r="I167" s="89" t="s">
        <v>2585</v>
      </c>
      <c r="J167" s="89" t="s">
        <v>2375</v>
      </c>
      <c r="K167" s="89" t="s">
        <v>2860</v>
      </c>
      <c r="L167" s="89" t="s">
        <v>2859</v>
      </c>
      <c r="M167" s="89" t="s">
        <v>2859</v>
      </c>
      <c r="N167" s="89" t="s">
        <v>2859</v>
      </c>
      <c r="O167" s="89" t="s">
        <v>2859</v>
      </c>
      <c r="P167" s="89" t="s">
        <v>2859</v>
      </c>
      <c r="Q167" s="89" t="s">
        <v>2859</v>
      </c>
      <c r="R167" s="89" t="s">
        <v>2859</v>
      </c>
      <c r="S167" s="89" t="s">
        <v>2859</v>
      </c>
      <c r="T167" s="89" t="s">
        <v>2859</v>
      </c>
      <c r="U167" s="89" t="s">
        <v>2859</v>
      </c>
      <c r="V167" s="89" t="s">
        <v>2859</v>
      </c>
      <c r="W167" s="89" t="s">
        <v>2859</v>
      </c>
      <c r="X167" s="89" t="s">
        <v>2859</v>
      </c>
      <c r="Y167" s="89" t="s">
        <v>2859</v>
      </c>
      <c r="Z167" s="89" t="s">
        <v>2859</v>
      </c>
      <c r="AA167" s="89" t="s">
        <v>2859</v>
      </c>
      <c r="AB167" s="89" t="s">
        <v>2859</v>
      </c>
      <c r="AC167" s="89" t="s">
        <v>2859</v>
      </c>
      <c r="AD167" s="89" t="s">
        <v>2859</v>
      </c>
      <c r="AE167" s="89" t="s">
        <v>2859</v>
      </c>
      <c r="AF167" s="89" t="s">
        <v>2859</v>
      </c>
      <c r="AG167" s="89" t="s">
        <v>2859</v>
      </c>
      <c r="AH167" s="89" t="s">
        <v>2859</v>
      </c>
      <c r="AI167" s="89" t="s">
        <v>2859</v>
      </c>
      <c r="AJ167" s="89" t="s">
        <v>2859</v>
      </c>
      <c r="AK167" s="89" t="s">
        <v>2859</v>
      </c>
      <c r="AL167" s="89" t="s">
        <v>2859</v>
      </c>
      <c r="AM167" s="89" t="s">
        <v>2859</v>
      </c>
      <c r="AN167" s="89" t="s">
        <v>2859</v>
      </c>
      <c r="AO167" s="89" t="s">
        <v>2859</v>
      </c>
      <c r="AP167" s="89" t="s">
        <v>2859</v>
      </c>
      <c r="AQ167" s="89" t="s">
        <v>2859</v>
      </c>
      <c r="AR167" s="89" t="s">
        <v>2859</v>
      </c>
      <c r="AS167" s="89" t="s">
        <v>2859</v>
      </c>
      <c r="AT167" s="89" t="s">
        <v>2859</v>
      </c>
      <c r="AU167" s="89" t="s">
        <v>2859</v>
      </c>
      <c r="AV167" s="89" t="s">
        <v>2859</v>
      </c>
      <c r="AW167" s="89" t="s">
        <v>2859</v>
      </c>
      <c r="AX167" s="89" t="s">
        <v>2859</v>
      </c>
      <c r="AY167" s="89" t="s">
        <v>2859</v>
      </c>
      <c r="AZ167" s="89" t="s">
        <v>2859</v>
      </c>
      <c r="BA167" s="89" t="s">
        <v>2859</v>
      </c>
      <c r="BB167" s="89" t="s">
        <v>2859</v>
      </c>
      <c r="BC167" s="89" t="s">
        <v>2859</v>
      </c>
      <c r="BD167" s="89" t="s">
        <v>2859</v>
      </c>
      <c r="BE167" s="89" t="s">
        <v>2859</v>
      </c>
      <c r="BF167" s="89" t="s">
        <v>2859</v>
      </c>
      <c r="BG167" s="89" t="s">
        <v>2859</v>
      </c>
      <c r="BH167" s="89" t="s">
        <v>2859</v>
      </c>
      <c r="BI167" s="89" t="s">
        <v>2859</v>
      </c>
      <c r="BJ167" s="89" t="s">
        <v>2859</v>
      </c>
      <c r="BK167" s="89" t="s">
        <v>2859</v>
      </c>
      <c r="BL167" s="89" t="s">
        <v>2859</v>
      </c>
      <c r="BM167" s="89" t="s">
        <v>2859</v>
      </c>
      <c r="BN167" s="89" t="s">
        <v>2859</v>
      </c>
      <c r="BO167" s="89" t="s">
        <v>2859</v>
      </c>
      <c r="BP167" s="89" t="s">
        <v>2859</v>
      </c>
      <c r="BQ167" s="89" t="s">
        <v>3888</v>
      </c>
      <c r="BR167" s="89" t="s">
        <v>2859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2788</v>
      </c>
      <c r="B1" t="s">
        <v>3889</v>
      </c>
    </row>
    <row r="2" spans="1:16" ht="15" customHeight="1">
      <c r="A2" t="s">
        <v>2129</v>
      </c>
      <c r="B2" t="s">
        <v>2884</v>
      </c>
      <c r="C2" t="s">
        <v>2924</v>
      </c>
      <c r="D2" t="s">
        <v>2971</v>
      </c>
      <c r="E2" t="s">
        <v>2864</v>
      </c>
      <c r="F2" t="s">
        <v>2871</v>
      </c>
      <c r="G2" t="s">
        <v>2858</v>
      </c>
      <c r="H2" t="s">
        <v>3003</v>
      </c>
      <c r="I2" t="s">
        <v>2974</v>
      </c>
      <c r="J2" t="s">
        <v>2989</v>
      </c>
      <c r="K2" t="s">
        <v>3170</v>
      </c>
      <c r="L2" t="s">
        <v>2946</v>
      </c>
      <c r="M2" t="s">
        <v>3890</v>
      </c>
      <c r="N2" t="s">
        <v>3891</v>
      </c>
      <c r="O2" t="s">
        <v>2909</v>
      </c>
      <c r="P2" t="s">
        <v>2879</v>
      </c>
    </row>
    <row r="3" spans="1:16" ht="15" customHeight="1">
      <c r="A3" t="s">
        <v>2133</v>
      </c>
      <c r="B3" t="s">
        <v>2884</v>
      </c>
      <c r="C3" t="s">
        <v>2924</v>
      </c>
      <c r="D3" t="s">
        <v>2971</v>
      </c>
      <c r="E3" t="s">
        <v>2864</v>
      </c>
      <c r="F3" t="s">
        <v>2871</v>
      </c>
      <c r="G3" t="s">
        <v>2858</v>
      </c>
      <c r="H3" t="s">
        <v>3003</v>
      </c>
      <c r="I3" t="s">
        <v>2974</v>
      </c>
      <c r="J3" t="s">
        <v>2989</v>
      </c>
      <c r="K3" t="s">
        <v>3170</v>
      </c>
      <c r="L3" t="s">
        <v>2946</v>
      </c>
      <c r="M3" t="s">
        <v>3890</v>
      </c>
      <c r="N3" t="s">
        <v>3891</v>
      </c>
      <c r="O3" t="s">
        <v>2909</v>
      </c>
      <c r="P3" t="s">
        <v>2879</v>
      </c>
    </row>
    <row r="4" spans="1:16" ht="15" customHeight="1">
      <c r="A4" t="s">
        <v>2136</v>
      </c>
      <c r="B4" t="s">
        <v>2884</v>
      </c>
      <c r="C4" t="s">
        <v>2924</v>
      </c>
      <c r="D4" t="s">
        <v>2971</v>
      </c>
      <c r="E4" t="s">
        <v>2864</v>
      </c>
      <c r="F4" t="s">
        <v>2871</v>
      </c>
      <c r="G4" t="s">
        <v>2858</v>
      </c>
      <c r="H4" t="s">
        <v>3003</v>
      </c>
      <c r="I4" t="s">
        <v>2974</v>
      </c>
      <c r="J4" t="s">
        <v>2989</v>
      </c>
      <c r="K4" t="s">
        <v>3170</v>
      </c>
      <c r="L4" t="s">
        <v>2946</v>
      </c>
      <c r="M4" t="s">
        <v>3890</v>
      </c>
      <c r="N4" t="s">
        <v>3891</v>
      </c>
      <c r="O4" t="s">
        <v>2909</v>
      </c>
      <c r="P4" t="s">
        <v>2879</v>
      </c>
    </row>
    <row r="5" spans="1:16" ht="15" customHeight="1">
      <c r="A5" t="s">
        <v>2139</v>
      </c>
      <c r="B5" t="s">
        <v>2884</v>
      </c>
      <c r="C5" t="s">
        <v>2924</v>
      </c>
      <c r="D5" t="s">
        <v>2971</v>
      </c>
      <c r="E5" t="s">
        <v>2864</v>
      </c>
      <c r="F5" t="s">
        <v>2871</v>
      </c>
      <c r="G5" t="s">
        <v>2858</v>
      </c>
      <c r="H5" t="s">
        <v>3003</v>
      </c>
      <c r="I5" t="s">
        <v>2974</v>
      </c>
      <c r="J5" t="s">
        <v>2989</v>
      </c>
      <c r="K5" t="s">
        <v>3170</v>
      </c>
      <c r="L5" t="s">
        <v>2946</v>
      </c>
      <c r="M5" t="s">
        <v>3890</v>
      </c>
      <c r="N5" t="s">
        <v>3891</v>
      </c>
      <c r="O5" t="s">
        <v>2909</v>
      </c>
      <c r="P5" t="s">
        <v>2879</v>
      </c>
    </row>
    <row r="6" spans="1:16" ht="15" customHeight="1">
      <c r="A6" t="s">
        <v>2143</v>
      </c>
      <c r="B6" t="s">
        <v>2884</v>
      </c>
      <c r="C6" t="s">
        <v>2924</v>
      </c>
      <c r="D6" t="s">
        <v>2971</v>
      </c>
      <c r="E6" t="s">
        <v>2864</v>
      </c>
      <c r="F6" t="s">
        <v>2871</v>
      </c>
      <c r="G6" t="s">
        <v>2858</v>
      </c>
      <c r="H6" t="s">
        <v>3003</v>
      </c>
      <c r="I6" t="s">
        <v>2974</v>
      </c>
      <c r="J6" t="s">
        <v>2989</v>
      </c>
      <c r="K6" t="s">
        <v>3170</v>
      </c>
      <c r="L6" t="s">
        <v>2946</v>
      </c>
      <c r="M6" t="s">
        <v>3890</v>
      </c>
      <c r="N6" t="s">
        <v>3891</v>
      </c>
      <c r="O6" t="s">
        <v>2909</v>
      </c>
      <c r="P6" t="s">
        <v>2879</v>
      </c>
    </row>
    <row r="7" spans="1:16" ht="15" customHeight="1">
      <c r="A7" t="s">
        <v>2144</v>
      </c>
      <c r="B7" t="s">
        <v>2884</v>
      </c>
      <c r="C7" t="s">
        <v>2924</v>
      </c>
      <c r="D7" t="s">
        <v>2971</v>
      </c>
      <c r="E7" t="s">
        <v>2864</v>
      </c>
      <c r="F7" t="s">
        <v>2871</v>
      </c>
      <c r="G7" t="s">
        <v>2858</v>
      </c>
      <c r="H7" t="s">
        <v>3003</v>
      </c>
      <c r="I7" t="s">
        <v>2974</v>
      </c>
      <c r="J7" t="s">
        <v>2989</v>
      </c>
      <c r="K7" t="s">
        <v>3170</v>
      </c>
      <c r="L7" t="s">
        <v>2946</v>
      </c>
      <c r="M7" t="s">
        <v>3890</v>
      </c>
      <c r="N7" t="s">
        <v>3891</v>
      </c>
      <c r="O7" t="s">
        <v>2909</v>
      </c>
      <c r="P7" t="s">
        <v>2879</v>
      </c>
    </row>
    <row r="8" spans="1:16" ht="15" customHeight="1">
      <c r="A8" t="s">
        <v>2146</v>
      </c>
      <c r="B8" t="s">
        <v>2884</v>
      </c>
      <c r="C8" t="s">
        <v>2924</v>
      </c>
      <c r="D8" t="s">
        <v>2971</v>
      </c>
      <c r="E8" t="s">
        <v>2864</v>
      </c>
      <c r="F8" t="s">
        <v>2871</v>
      </c>
      <c r="G8" t="s">
        <v>2858</v>
      </c>
      <c r="H8" t="s">
        <v>3003</v>
      </c>
      <c r="I8" t="s">
        <v>2974</v>
      </c>
      <c r="J8" t="s">
        <v>2989</v>
      </c>
      <c r="K8" t="s">
        <v>3170</v>
      </c>
      <c r="L8" t="s">
        <v>2946</v>
      </c>
      <c r="M8" t="s">
        <v>3890</v>
      </c>
      <c r="N8" t="s">
        <v>3891</v>
      </c>
      <c r="O8" t="s">
        <v>2909</v>
      </c>
      <c r="P8" t="s">
        <v>2879</v>
      </c>
    </row>
    <row r="9" spans="1:16" ht="15" customHeight="1">
      <c r="A9" t="s">
        <v>2150</v>
      </c>
      <c r="B9" t="s">
        <v>2884</v>
      </c>
      <c r="C9" t="s">
        <v>2924</v>
      </c>
      <c r="D9" t="s">
        <v>2971</v>
      </c>
      <c r="E9" t="s">
        <v>2864</v>
      </c>
      <c r="F9" t="s">
        <v>2871</v>
      </c>
      <c r="G9" t="s">
        <v>2858</v>
      </c>
      <c r="H9" t="s">
        <v>3003</v>
      </c>
      <c r="I9" t="s">
        <v>2974</v>
      </c>
      <c r="J9" t="s">
        <v>2989</v>
      </c>
      <c r="K9" t="s">
        <v>3170</v>
      </c>
      <c r="L9" t="s">
        <v>2946</v>
      </c>
      <c r="M9" t="s">
        <v>3890</v>
      </c>
      <c r="N9" t="s">
        <v>3891</v>
      </c>
      <c r="O9" t="s">
        <v>2909</v>
      </c>
      <c r="P9" t="s">
        <v>2879</v>
      </c>
    </row>
    <row r="10" spans="1:16" ht="15" customHeight="1">
      <c r="A10" t="s">
        <v>2154</v>
      </c>
      <c r="B10" t="s">
        <v>3631</v>
      </c>
      <c r="C10" t="s">
        <v>2378</v>
      </c>
      <c r="D10" t="s">
        <v>2322</v>
      </c>
      <c r="E10" t="s">
        <v>2316</v>
      </c>
      <c r="F10" t="s">
        <v>2326</v>
      </c>
      <c r="G10" t="s">
        <v>2909</v>
      </c>
    </row>
    <row r="11" spans="1:16" ht="15" customHeight="1">
      <c r="A11" t="s">
        <v>2156</v>
      </c>
      <c r="B11" t="s">
        <v>2334</v>
      </c>
      <c r="C11" t="s">
        <v>3637</v>
      </c>
      <c r="D11" t="s">
        <v>2453</v>
      </c>
      <c r="E11" t="s">
        <v>2448</v>
      </c>
      <c r="F11" t="s">
        <v>2909</v>
      </c>
    </row>
    <row r="12" spans="1:16" ht="15" customHeight="1">
      <c r="A12" t="s">
        <v>2157</v>
      </c>
      <c r="B12" t="s">
        <v>2457</v>
      </c>
      <c r="C12" t="s">
        <v>2909</v>
      </c>
    </row>
    <row r="13" spans="1:16" ht="15" customHeight="1">
      <c r="A13" t="s">
        <v>2161</v>
      </c>
      <c r="B13" t="s">
        <v>2472</v>
      </c>
      <c r="C13" t="s">
        <v>2466</v>
      </c>
      <c r="D13" t="s">
        <v>2390</v>
      </c>
      <c r="E13" t="s">
        <v>2909</v>
      </c>
    </row>
    <row r="14" spans="1:16" ht="15" customHeight="1">
      <c r="A14" t="s">
        <v>2163</v>
      </c>
      <c r="B14" t="s">
        <v>2334</v>
      </c>
      <c r="C14" t="s">
        <v>2339</v>
      </c>
      <c r="D14" t="s">
        <v>2477</v>
      </c>
      <c r="E14" t="s">
        <v>2909</v>
      </c>
    </row>
    <row r="15" spans="1:16" ht="15" customHeight="1">
      <c r="A15" t="s">
        <v>2164</v>
      </c>
      <c r="B15" t="s">
        <v>3692</v>
      </c>
      <c r="C15" t="s">
        <v>2488</v>
      </c>
      <c r="D15" t="s">
        <v>2483</v>
      </c>
      <c r="E15" t="s">
        <v>2481</v>
      </c>
      <c r="F15" t="s">
        <v>2909</v>
      </c>
    </row>
    <row r="16" spans="1:16" ht="15" customHeight="1">
      <c r="A16" t="s">
        <v>2166</v>
      </c>
      <c r="B16" t="s">
        <v>2339</v>
      </c>
      <c r="C16" t="s">
        <v>2483</v>
      </c>
      <c r="D16" t="s">
        <v>2477</v>
      </c>
      <c r="E16" t="s">
        <v>2499</v>
      </c>
      <c r="F16" t="s">
        <v>2909</v>
      </c>
    </row>
    <row r="17" spans="1:9" ht="15" customHeight="1">
      <c r="A17" t="s">
        <v>2167</v>
      </c>
      <c r="B17" t="s">
        <v>2505</v>
      </c>
      <c r="C17" t="s">
        <v>2435</v>
      </c>
      <c r="D17" t="s">
        <v>2404</v>
      </c>
      <c r="E17" t="s">
        <v>2909</v>
      </c>
    </row>
    <row r="18" spans="1:9" ht="15" customHeight="1">
      <c r="A18" t="s">
        <v>2169</v>
      </c>
      <c r="B18" t="s">
        <v>2353</v>
      </c>
      <c r="C18" t="s">
        <v>2356</v>
      </c>
      <c r="D18" t="s">
        <v>2407</v>
      </c>
      <c r="E18" t="s">
        <v>2516</v>
      </c>
      <c r="F18" t="s">
        <v>3770</v>
      </c>
      <c r="G18" t="s">
        <v>3753</v>
      </c>
      <c r="H18" t="s">
        <v>2404</v>
      </c>
      <c r="I18" t="s">
        <v>2909</v>
      </c>
    </row>
    <row r="19" spans="1:9" ht="15" customHeight="1">
      <c r="A19" t="s">
        <v>2173</v>
      </c>
      <c r="B19" t="s">
        <v>2407</v>
      </c>
      <c r="C19" t="s">
        <v>2412</v>
      </c>
      <c r="D19" t="s">
        <v>2529</v>
      </c>
      <c r="E19" t="s">
        <v>3800</v>
      </c>
      <c r="F19" t="s">
        <v>2909</v>
      </c>
    </row>
    <row r="20" spans="1:9" ht="15" customHeight="1">
      <c r="A20" t="s">
        <v>2176</v>
      </c>
      <c r="B20" t="s">
        <v>2538</v>
      </c>
      <c r="C20" t="s">
        <v>2422</v>
      </c>
      <c r="D20" t="s">
        <v>2542</v>
      </c>
      <c r="E20" t="s">
        <v>3892</v>
      </c>
      <c r="F20" t="s">
        <v>2909</v>
      </c>
    </row>
    <row r="21" spans="1:9" ht="15" customHeight="1">
      <c r="A21" t="s">
        <v>2178</v>
      </c>
      <c r="B21" t="s">
        <v>2559</v>
      </c>
      <c r="C21" t="s">
        <v>2370</v>
      </c>
      <c r="D21" t="s">
        <v>2909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3893</v>
      </c>
      <c r="B1" s="210"/>
      <c r="C1" s="210"/>
      <c r="D1" s="210"/>
      <c r="E1" s="210"/>
    </row>
    <row r="2" spans="1:5" ht="43.5" customHeight="1">
      <c r="A2" s="44" t="s">
        <v>3894</v>
      </c>
      <c r="B2" s="44" t="s">
        <v>3895</v>
      </c>
      <c r="C2" s="44" t="s">
        <v>3896</v>
      </c>
      <c r="D2" s="44" t="s">
        <v>3897</v>
      </c>
      <c r="E2" s="44" t="s">
        <v>1519</v>
      </c>
    </row>
    <row r="3" spans="1:5" ht="15" customHeight="1">
      <c r="A3" s="45" t="s">
        <v>3898</v>
      </c>
      <c r="B3" s="46">
        <v>45901</v>
      </c>
      <c r="C3" s="46">
        <v>46215</v>
      </c>
      <c r="D3" s="45"/>
      <c r="E3" s="45" t="s">
        <v>3899</v>
      </c>
    </row>
    <row r="4" spans="1:5" ht="15" customHeight="1">
      <c r="A4" s="6" t="s">
        <v>3900</v>
      </c>
      <c r="B4" s="43">
        <v>45901</v>
      </c>
      <c r="C4" s="43">
        <v>46186</v>
      </c>
      <c r="D4" s="6"/>
      <c r="E4" s="6" t="s">
        <v>3901</v>
      </c>
    </row>
    <row r="5" spans="1:5" ht="15" customHeight="1">
      <c r="A5" s="45" t="s">
        <v>3898</v>
      </c>
      <c r="B5" s="46">
        <v>46216</v>
      </c>
      <c r="C5" s="46">
        <v>46237</v>
      </c>
      <c r="D5" s="45" t="s">
        <v>3902</v>
      </c>
      <c r="E5" s="45" t="s">
        <v>3903</v>
      </c>
    </row>
    <row r="6" spans="1:5" ht="15" customHeight="1">
      <c r="A6" s="6" t="s">
        <v>3900</v>
      </c>
      <c r="B6" s="43">
        <v>46187</v>
      </c>
      <c r="C6" s="43">
        <v>46259</v>
      </c>
      <c r="D6" s="6" t="s">
        <v>3904</v>
      </c>
      <c r="E6" s="6" t="s">
        <v>3905</v>
      </c>
    </row>
    <row r="7" spans="1:5" ht="15" customHeight="1">
      <c r="A7" s="45" t="s">
        <v>3898</v>
      </c>
      <c r="B7" s="46">
        <v>46238</v>
      </c>
      <c r="C7" s="46">
        <v>46568</v>
      </c>
      <c r="D7" s="45"/>
      <c r="E7" s="45" t="s">
        <v>3906</v>
      </c>
    </row>
    <row r="8" spans="1:5" ht="15" customHeight="1">
      <c r="A8" s="6" t="s">
        <v>3900</v>
      </c>
      <c r="B8" s="43">
        <v>46260</v>
      </c>
      <c r="C8" s="43">
        <v>46550</v>
      </c>
      <c r="D8" s="6"/>
      <c r="E8" s="6" t="s">
        <v>3907</v>
      </c>
    </row>
    <row r="9" spans="1:5" ht="15" customHeight="1">
      <c r="A9" s="45" t="s">
        <v>2093</v>
      </c>
      <c r="B9" s="46">
        <v>46013</v>
      </c>
      <c r="C9" s="46">
        <v>46026</v>
      </c>
      <c r="D9" s="45" t="s">
        <v>3908</v>
      </c>
      <c r="E9" s="45" t="s">
        <v>3909</v>
      </c>
    </row>
    <row r="10" spans="1:5" ht="15" customHeight="1">
      <c r="A10" s="6" t="s">
        <v>2093</v>
      </c>
      <c r="B10" s="43">
        <v>46113</v>
      </c>
      <c r="C10" s="43">
        <v>46117</v>
      </c>
      <c r="D10" s="6" t="s">
        <v>3910</v>
      </c>
      <c r="E10" s="6" t="s">
        <v>3911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3912</v>
      </c>
      <c r="B1" s="211"/>
      <c r="C1" s="211"/>
      <c r="D1" s="211"/>
      <c r="E1" s="211"/>
    </row>
    <row r="2" spans="1:8" ht="43.5" customHeight="1">
      <c r="A2" s="49" t="s">
        <v>3913</v>
      </c>
      <c r="B2" s="49" t="s">
        <v>3914</v>
      </c>
      <c r="C2" s="49" t="s">
        <v>3915</v>
      </c>
      <c r="D2" s="49" t="s">
        <v>3916</v>
      </c>
      <c r="E2" s="49" t="s">
        <v>3917</v>
      </c>
      <c r="F2" s="50" t="s">
        <v>3918</v>
      </c>
      <c r="G2" s="51" t="s">
        <v>3919</v>
      </c>
      <c r="H2" s="52" t="s">
        <v>3920</v>
      </c>
    </row>
    <row r="3" spans="1:8" ht="15" customHeight="1">
      <c r="A3" s="45" t="s">
        <v>2129</v>
      </c>
      <c r="B3" s="45" t="s">
        <v>2123</v>
      </c>
      <c r="C3" s="45" t="s">
        <v>3921</v>
      </c>
      <c r="D3" s="45"/>
      <c r="E3" s="45" t="s">
        <v>2867</v>
      </c>
      <c r="F3" s="53" t="s">
        <v>3922</v>
      </c>
      <c r="G3" s="53" t="s">
        <v>3923</v>
      </c>
      <c r="H3" s="54" t="s">
        <v>3924</v>
      </c>
    </row>
    <row r="4" spans="1:8" ht="15" customHeight="1">
      <c r="A4" s="6" t="s">
        <v>2133</v>
      </c>
      <c r="B4" s="6" t="s">
        <v>2123</v>
      </c>
      <c r="C4" s="6" t="s">
        <v>3925</v>
      </c>
      <c r="D4" s="6"/>
      <c r="E4" s="6" t="s">
        <v>2867</v>
      </c>
      <c r="F4" s="53" t="s">
        <v>3926</v>
      </c>
      <c r="G4" s="53" t="s">
        <v>3927</v>
      </c>
      <c r="H4" s="54" t="s">
        <v>3928</v>
      </c>
    </row>
    <row r="5" spans="1:8" ht="15" customHeight="1">
      <c r="A5" s="45" t="s">
        <v>2136</v>
      </c>
      <c r="B5" s="45" t="s">
        <v>2123</v>
      </c>
      <c r="C5" s="45" t="s">
        <v>3929</v>
      </c>
      <c r="D5" s="45"/>
      <c r="E5" s="45" t="s">
        <v>2867</v>
      </c>
      <c r="F5" s="53" t="s">
        <v>3930</v>
      </c>
      <c r="G5" s="53" t="s">
        <v>3931</v>
      </c>
      <c r="H5" s="54" t="s">
        <v>3932</v>
      </c>
    </row>
    <row r="6" spans="1:8" ht="15" customHeight="1">
      <c r="A6" s="6" t="s">
        <v>2139</v>
      </c>
      <c r="B6" s="6" t="s">
        <v>2123</v>
      </c>
      <c r="C6" s="6" t="s">
        <v>3933</v>
      </c>
      <c r="D6" s="6"/>
      <c r="E6" s="6" t="s">
        <v>2867</v>
      </c>
      <c r="F6" s="53" t="s">
        <v>3934</v>
      </c>
      <c r="G6" s="53" t="s">
        <v>3935</v>
      </c>
      <c r="H6" s="54" t="s">
        <v>3936</v>
      </c>
    </row>
    <row r="7" spans="1:8" ht="15" customHeight="1">
      <c r="A7" s="45" t="s">
        <v>2143</v>
      </c>
      <c r="B7" s="45" t="s">
        <v>2123</v>
      </c>
      <c r="C7" s="45" t="s">
        <v>3937</v>
      </c>
      <c r="D7" s="45"/>
      <c r="E7" s="45" t="s">
        <v>2867</v>
      </c>
      <c r="F7" s="53" t="s">
        <v>3938</v>
      </c>
      <c r="G7" s="53" t="s">
        <v>3939</v>
      </c>
      <c r="H7" s="54" t="s">
        <v>3940</v>
      </c>
    </row>
    <row r="8" spans="1:8" ht="15" customHeight="1">
      <c r="A8" s="6" t="s">
        <v>2144</v>
      </c>
      <c r="B8" s="6" t="s">
        <v>2123</v>
      </c>
      <c r="C8" s="6" t="s">
        <v>3941</v>
      </c>
      <c r="D8" s="6"/>
      <c r="E8" s="6" t="s">
        <v>2867</v>
      </c>
      <c r="F8" s="53" t="s">
        <v>3942</v>
      </c>
      <c r="G8" s="53" t="s">
        <v>3943</v>
      </c>
      <c r="H8" s="54" t="s">
        <v>3944</v>
      </c>
    </row>
    <row r="9" spans="1:8" ht="15" customHeight="1">
      <c r="A9" s="45" t="s">
        <v>2146</v>
      </c>
      <c r="B9" s="45" t="s">
        <v>2123</v>
      </c>
      <c r="C9" s="45" t="s">
        <v>3945</v>
      </c>
      <c r="D9" s="45"/>
      <c r="E9" s="45" t="s">
        <v>2867</v>
      </c>
      <c r="F9" s="53" t="s">
        <v>3946</v>
      </c>
      <c r="G9" s="53" t="s">
        <v>3947</v>
      </c>
      <c r="H9" s="54" t="s">
        <v>3948</v>
      </c>
    </row>
    <row r="10" spans="1:8" ht="15" customHeight="1">
      <c r="A10" s="6" t="s">
        <v>2150</v>
      </c>
      <c r="B10" s="6" t="s">
        <v>2123</v>
      </c>
      <c r="C10" s="6" t="s">
        <v>3949</v>
      </c>
      <c r="D10" s="6"/>
      <c r="E10" s="6" t="s">
        <v>2867</v>
      </c>
      <c r="F10" s="53" t="s">
        <v>3950</v>
      </c>
      <c r="G10" s="53" t="s">
        <v>3951</v>
      </c>
      <c r="H10" s="54" t="s">
        <v>3952</v>
      </c>
    </row>
    <row r="11" spans="1:8" ht="15" customHeight="1">
      <c r="A11" s="45" t="s">
        <v>2154</v>
      </c>
      <c r="B11" s="45" t="s">
        <v>2118</v>
      </c>
      <c r="C11" s="45" t="s">
        <v>3953</v>
      </c>
      <c r="D11" s="45" t="s">
        <v>2129</v>
      </c>
      <c r="E11" s="45" t="s">
        <v>2867</v>
      </c>
      <c r="F11" s="95" t="s">
        <v>3954</v>
      </c>
      <c r="G11" s="95" t="s">
        <v>3923</v>
      </c>
      <c r="H11" s="54" t="s">
        <v>3955</v>
      </c>
    </row>
    <row r="12" spans="1:8" ht="15" customHeight="1">
      <c r="A12" s="6" t="s">
        <v>2156</v>
      </c>
      <c r="B12" s="6" t="s">
        <v>2118</v>
      </c>
      <c r="C12" s="6" t="s">
        <v>3956</v>
      </c>
      <c r="D12" s="6"/>
      <c r="E12" s="6" t="s">
        <v>2867</v>
      </c>
      <c r="F12" s="53" t="s">
        <v>3957</v>
      </c>
      <c r="G12" s="53" t="s">
        <v>3958</v>
      </c>
      <c r="H12" s="54" t="s">
        <v>3959</v>
      </c>
    </row>
    <row r="13" spans="1:8" ht="15" customHeight="1">
      <c r="A13" s="45" t="s">
        <v>2157</v>
      </c>
      <c r="B13" s="45" t="s">
        <v>2118</v>
      </c>
      <c r="C13" s="45" t="s">
        <v>3960</v>
      </c>
      <c r="D13" s="45"/>
      <c r="E13" s="45" t="s">
        <v>2867</v>
      </c>
      <c r="F13" s="53" t="s">
        <v>3961</v>
      </c>
      <c r="G13" s="53" t="s">
        <v>3962</v>
      </c>
      <c r="H13" s="54" t="s">
        <v>3963</v>
      </c>
    </row>
    <row r="14" spans="1:8" ht="15" customHeight="1">
      <c r="A14" s="6" t="s">
        <v>2161</v>
      </c>
      <c r="B14" s="6" t="s">
        <v>2118</v>
      </c>
      <c r="C14" s="6" t="s">
        <v>3964</v>
      </c>
      <c r="D14" s="6"/>
      <c r="E14" s="6" t="s">
        <v>2867</v>
      </c>
      <c r="F14" s="53" t="s">
        <v>3965</v>
      </c>
      <c r="G14" s="53" t="s">
        <v>3966</v>
      </c>
      <c r="H14" s="54" t="s">
        <v>3967</v>
      </c>
    </row>
    <row r="15" spans="1:8" ht="15" customHeight="1">
      <c r="A15" s="45" t="s">
        <v>2163</v>
      </c>
      <c r="B15" s="45" t="s">
        <v>2118</v>
      </c>
      <c r="C15" s="45" t="s">
        <v>3968</v>
      </c>
      <c r="D15" s="45"/>
      <c r="E15" s="45" t="s">
        <v>2867</v>
      </c>
      <c r="F15" s="53" t="s">
        <v>3969</v>
      </c>
      <c r="G15" s="53" t="s">
        <v>3970</v>
      </c>
      <c r="H15" s="54" t="s">
        <v>3971</v>
      </c>
    </row>
    <row r="16" spans="1:8" ht="15" customHeight="1">
      <c r="A16" s="6" t="s">
        <v>2164</v>
      </c>
      <c r="B16" s="6" t="s">
        <v>2118</v>
      </c>
      <c r="C16" s="6" t="s">
        <v>3925</v>
      </c>
      <c r="D16" s="6" t="s">
        <v>2133</v>
      </c>
      <c r="E16" s="6" t="s">
        <v>2867</v>
      </c>
      <c r="F16" s="53" t="s">
        <v>3972</v>
      </c>
      <c r="G16" s="53" t="s">
        <v>3927</v>
      </c>
      <c r="H16" s="54" t="s">
        <v>3973</v>
      </c>
    </row>
    <row r="17" spans="1:8" ht="15" customHeight="1">
      <c r="A17" s="45" t="s">
        <v>2166</v>
      </c>
      <c r="B17" s="45" t="s">
        <v>2118</v>
      </c>
      <c r="C17" s="45" t="s">
        <v>3945</v>
      </c>
      <c r="D17" s="45" t="s">
        <v>2146</v>
      </c>
      <c r="E17" s="45" t="s">
        <v>2867</v>
      </c>
      <c r="F17" s="53" t="s">
        <v>3974</v>
      </c>
      <c r="G17" s="53" t="s">
        <v>3947</v>
      </c>
      <c r="H17" s="54" t="s">
        <v>3975</v>
      </c>
    </row>
    <row r="18" spans="1:8" ht="15" customHeight="1">
      <c r="A18" s="6" t="s">
        <v>2167</v>
      </c>
      <c r="B18" s="6" t="s">
        <v>2118</v>
      </c>
      <c r="C18" s="6" t="s">
        <v>3976</v>
      </c>
      <c r="D18" s="6"/>
      <c r="E18" s="6" t="s">
        <v>2867</v>
      </c>
      <c r="F18" s="53" t="s">
        <v>3977</v>
      </c>
      <c r="G18" s="53" t="s">
        <v>3978</v>
      </c>
      <c r="H18" s="54" t="s">
        <v>3979</v>
      </c>
    </row>
    <row r="19" spans="1:8" ht="15" customHeight="1">
      <c r="A19" s="45" t="s">
        <v>2169</v>
      </c>
      <c r="B19" s="45" t="s">
        <v>2118</v>
      </c>
      <c r="C19" s="45" t="s">
        <v>3980</v>
      </c>
      <c r="D19" s="45"/>
      <c r="E19" s="45" t="s">
        <v>2867</v>
      </c>
      <c r="F19" s="53" t="s">
        <v>3981</v>
      </c>
      <c r="G19" s="53" t="s">
        <v>3982</v>
      </c>
      <c r="H19" s="54" t="s">
        <v>3983</v>
      </c>
    </row>
    <row r="20" spans="1:8" ht="15" customHeight="1">
      <c r="A20" s="6" t="s">
        <v>2173</v>
      </c>
      <c r="B20" s="6" t="s">
        <v>2118</v>
      </c>
      <c r="C20" s="6" t="s">
        <v>3984</v>
      </c>
      <c r="D20" s="6"/>
      <c r="E20" s="6" t="s">
        <v>2867</v>
      </c>
      <c r="F20" s="53" t="s">
        <v>3985</v>
      </c>
      <c r="G20" s="53" t="s">
        <v>3986</v>
      </c>
      <c r="H20" s="54" t="s">
        <v>3987</v>
      </c>
    </row>
    <row r="21" spans="1:8" ht="15" customHeight="1">
      <c r="A21" s="45" t="s">
        <v>2176</v>
      </c>
      <c r="B21" s="45" t="s">
        <v>2118</v>
      </c>
      <c r="C21" s="45" t="s">
        <v>3988</v>
      </c>
      <c r="D21" s="45"/>
      <c r="E21" s="45" t="s">
        <v>2867</v>
      </c>
      <c r="F21" s="95" t="s">
        <v>3989</v>
      </c>
      <c r="G21" s="95" t="s">
        <v>3990</v>
      </c>
      <c r="H21" s="54" t="s">
        <v>3991</v>
      </c>
    </row>
    <row r="22" spans="1:8" ht="15" customHeight="1">
      <c r="A22" s="6" t="s">
        <v>2178</v>
      </c>
      <c r="B22" s="6" t="s">
        <v>2118</v>
      </c>
      <c r="C22" s="6" t="s">
        <v>3992</v>
      </c>
      <c r="D22" s="6"/>
      <c r="E22" s="6" t="s">
        <v>2867</v>
      </c>
      <c r="F22" s="53" t="s">
        <v>3993</v>
      </c>
      <c r="G22" s="53" t="s">
        <v>3994</v>
      </c>
      <c r="H22" s="54" t="s">
        <v>3995</v>
      </c>
    </row>
    <row r="23" spans="1:8" ht="15" customHeight="1">
      <c r="A23" s="45" t="s">
        <v>3996</v>
      </c>
      <c r="B23" s="45" t="s">
        <v>3891</v>
      </c>
      <c r="C23" s="45" t="s">
        <v>3921</v>
      </c>
      <c r="D23" s="45" t="s">
        <v>2129</v>
      </c>
      <c r="E23" s="45" t="s">
        <v>2867</v>
      </c>
      <c r="F23" s="53" t="s">
        <v>3997</v>
      </c>
      <c r="G23" s="53" t="s">
        <v>3923</v>
      </c>
      <c r="H23" s="54" t="s">
        <v>3924</v>
      </c>
    </row>
    <row r="24" spans="1:8" ht="15" customHeight="1">
      <c r="A24" s="6" t="s">
        <v>3998</v>
      </c>
      <c r="B24" s="6" t="s">
        <v>3891</v>
      </c>
      <c r="C24" s="6" t="s">
        <v>3925</v>
      </c>
      <c r="D24" s="6" t="s">
        <v>2133</v>
      </c>
      <c r="E24" s="6" t="s">
        <v>2867</v>
      </c>
      <c r="F24" s="53" t="s">
        <v>3999</v>
      </c>
      <c r="G24" s="53" t="s">
        <v>3927</v>
      </c>
      <c r="H24" s="54" t="s">
        <v>3928</v>
      </c>
    </row>
    <row r="25" spans="1:8" ht="15" customHeight="1">
      <c r="A25" s="45" t="s">
        <v>4000</v>
      </c>
      <c r="B25" s="45" t="s">
        <v>3891</v>
      </c>
      <c r="C25" s="45" t="s">
        <v>3929</v>
      </c>
      <c r="D25" s="45" t="s">
        <v>2136</v>
      </c>
      <c r="E25" s="45" t="s">
        <v>2867</v>
      </c>
      <c r="F25" s="53" t="s">
        <v>4001</v>
      </c>
      <c r="G25" s="53" t="s">
        <v>3931</v>
      </c>
      <c r="H25" s="54" t="s">
        <v>3932</v>
      </c>
    </row>
    <row r="26" spans="1:8" ht="15" customHeight="1">
      <c r="A26" s="6" t="s">
        <v>4002</v>
      </c>
      <c r="B26" s="6" t="s">
        <v>3891</v>
      </c>
      <c r="C26" s="6" t="s">
        <v>3933</v>
      </c>
      <c r="D26" s="6" t="s">
        <v>2139</v>
      </c>
      <c r="E26" s="6" t="s">
        <v>2867</v>
      </c>
      <c r="F26" s="53" t="s">
        <v>4003</v>
      </c>
      <c r="G26" s="53" t="s">
        <v>3935</v>
      </c>
      <c r="H26" s="54" t="s">
        <v>3936</v>
      </c>
    </row>
    <row r="27" spans="1:8" ht="15" customHeight="1">
      <c r="A27" s="45" t="s">
        <v>4004</v>
      </c>
      <c r="B27" s="45" t="s">
        <v>3891</v>
      </c>
      <c r="C27" s="45" t="s">
        <v>3937</v>
      </c>
      <c r="D27" s="45" t="s">
        <v>2143</v>
      </c>
      <c r="E27" s="45" t="s">
        <v>2867</v>
      </c>
      <c r="F27" s="53" t="s">
        <v>4005</v>
      </c>
      <c r="G27" s="53" t="s">
        <v>3939</v>
      </c>
      <c r="H27" s="54" t="s">
        <v>3940</v>
      </c>
    </row>
    <row r="28" spans="1:8" ht="15" customHeight="1">
      <c r="A28" s="6" t="s">
        <v>4006</v>
      </c>
      <c r="B28" s="6" t="s">
        <v>3891</v>
      </c>
      <c r="C28" s="6" t="s">
        <v>4007</v>
      </c>
      <c r="D28" s="6" t="s">
        <v>2144</v>
      </c>
      <c r="E28" s="6" t="s">
        <v>2867</v>
      </c>
      <c r="F28" s="53" t="s">
        <v>4008</v>
      </c>
      <c r="G28" s="53" t="s">
        <v>3943</v>
      </c>
      <c r="H28" s="54" t="s">
        <v>3944</v>
      </c>
    </row>
    <row r="29" spans="1:8" ht="15" customHeight="1">
      <c r="A29" s="45" t="s">
        <v>4009</v>
      </c>
      <c r="B29" s="45" t="s">
        <v>3891</v>
      </c>
      <c r="C29" s="45" t="s">
        <v>3945</v>
      </c>
      <c r="D29" s="45" t="s">
        <v>2146</v>
      </c>
      <c r="E29" s="45" t="s">
        <v>2867</v>
      </c>
      <c r="F29" s="53" t="s">
        <v>4010</v>
      </c>
      <c r="G29" s="53" t="s">
        <v>3947</v>
      </c>
      <c r="H29" s="54" t="s">
        <v>3948</v>
      </c>
    </row>
    <row r="30" spans="1:8" ht="15" customHeight="1">
      <c r="A30" s="6" t="s">
        <v>4011</v>
      </c>
      <c r="B30" s="6" t="s">
        <v>3891</v>
      </c>
      <c r="C30" s="6" t="s">
        <v>3949</v>
      </c>
      <c r="D30" s="6" t="s">
        <v>2150</v>
      </c>
      <c r="E30" s="6" t="s">
        <v>2867</v>
      </c>
      <c r="F30" s="53" t="s">
        <v>4012</v>
      </c>
      <c r="G30" s="53" t="s">
        <v>3951</v>
      </c>
      <c r="H30" s="54" t="s">
        <v>3952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4013</v>
      </c>
    </row>
    <row r="2" spans="1:2" ht="15" customHeight="1">
      <c r="A2" s="86" t="s">
        <v>1396</v>
      </c>
      <c r="B2" s="86" t="s">
        <v>4014</v>
      </c>
    </row>
    <row r="3" spans="1:2" ht="15" customHeight="1">
      <c r="A3" s="86" t="s">
        <v>3055</v>
      </c>
      <c r="B3" s="86" t="s">
        <v>4015</v>
      </c>
    </row>
    <row r="4" spans="1:2" ht="15" customHeight="1">
      <c r="A4" s="86" t="s">
        <v>1463</v>
      </c>
      <c r="B4" s="86"/>
    </row>
    <row r="5" spans="1:2" ht="15" customHeight="1">
      <c r="A5" s="86" t="s">
        <v>621</v>
      </c>
      <c r="B5" s="86"/>
    </row>
    <row r="6" spans="1:2" ht="15" customHeight="1">
      <c r="A6" s="86" t="s">
        <v>2979</v>
      </c>
      <c r="B6" s="86" t="s">
        <v>4016</v>
      </c>
    </row>
    <row r="7" spans="1:2" ht="15" customHeight="1">
      <c r="A7" s="86" t="s">
        <v>2585</v>
      </c>
      <c r="B7" s="86"/>
    </row>
    <row r="8" spans="1:2" ht="15" customHeight="1">
      <c r="A8" s="86" t="s">
        <v>120</v>
      </c>
      <c r="B8" s="86" t="s">
        <v>4017</v>
      </c>
    </row>
    <row r="9" spans="1:2" ht="15" customHeight="1">
      <c r="A9" s="86" t="s">
        <v>2891</v>
      </c>
      <c r="B9" s="86" t="s">
        <v>4018</v>
      </c>
    </row>
    <row r="10" spans="1:2" ht="15" customHeight="1">
      <c r="A10" s="86" t="s">
        <v>252</v>
      </c>
      <c r="B10" s="86"/>
    </row>
    <row r="11" spans="1:2" ht="15" customHeight="1">
      <c r="A11" s="86" t="s">
        <v>148</v>
      </c>
      <c r="B11" s="86"/>
    </row>
    <row r="12" spans="1:2" ht="15" customHeight="1">
      <c r="A12" s="86" t="s">
        <v>2893</v>
      </c>
      <c r="B12" s="86"/>
    </row>
    <row r="13" spans="1:2" ht="15" customHeight="1">
      <c r="A13" s="86" t="s">
        <v>577</v>
      </c>
      <c r="B13" s="86" t="s">
        <v>4019</v>
      </c>
    </row>
    <row r="14" spans="1:2" ht="15" customHeight="1">
      <c r="A14" s="86" t="s">
        <v>4020</v>
      </c>
      <c r="B14" s="86"/>
    </row>
    <row r="15" spans="1:2" ht="15" customHeight="1">
      <c r="A15" s="88" t="s">
        <v>3057</v>
      </c>
      <c r="B15" s="88" t="s">
        <v>4021</v>
      </c>
    </row>
    <row r="16" spans="1:2" ht="15" customHeight="1">
      <c r="A16" s="87" t="s">
        <v>3809</v>
      </c>
      <c r="B16" s="87"/>
    </row>
    <row r="17" spans="1:2" ht="15" customHeight="1">
      <c r="A17" s="87" t="s">
        <v>3813</v>
      </c>
      <c r="B17" s="87"/>
    </row>
    <row r="18" spans="1:2" ht="15" customHeight="1">
      <c r="A18" s="87" t="s">
        <v>2872</v>
      </c>
      <c r="B18" s="87"/>
    </row>
    <row r="19" spans="1:2" ht="15" customHeight="1">
      <c r="A19" s="87" t="s">
        <v>3810</v>
      </c>
      <c r="B19" s="87"/>
    </row>
    <row r="20" spans="1:2" ht="15" customHeight="1">
      <c r="A20" s="87" t="s">
        <v>3811</v>
      </c>
      <c r="B20" s="87"/>
    </row>
    <row r="21" spans="1:2" ht="15" customHeight="1">
      <c r="A21" s="87" t="s">
        <v>3812</v>
      </c>
      <c r="B21" s="87"/>
    </row>
    <row r="22" spans="1:2" ht="15" customHeight="1">
      <c r="A22" s="87" t="s">
        <v>2490</v>
      </c>
      <c r="B22" s="87" t="s">
        <v>4022</v>
      </c>
    </row>
    <row r="23" spans="1:2" ht="15" customHeight="1">
      <c r="A23" s="87" t="s">
        <v>2865</v>
      </c>
      <c r="B23" s="87"/>
    </row>
    <row r="24" spans="1:2" ht="15" customHeight="1">
      <c r="A24" s="87" t="s">
        <v>1111</v>
      </c>
      <c r="B24" s="87"/>
    </row>
    <row r="25" spans="1:2" ht="15" customHeight="1">
      <c r="A25" s="87" t="s">
        <v>2787</v>
      </c>
      <c r="B25" s="87"/>
    </row>
    <row r="26" spans="1:2" ht="15" customHeight="1">
      <c r="A26" s="87" t="s">
        <v>2329</v>
      </c>
      <c r="B26" s="87" t="s">
        <v>4023</v>
      </c>
    </row>
    <row r="27" spans="1:2" ht="15" customHeight="1">
      <c r="A27" s="87" t="s">
        <v>2364</v>
      </c>
      <c r="B27" s="87" t="s">
        <v>4024</v>
      </c>
    </row>
    <row r="28" spans="1:2">
      <c r="A28" s="87" t="s">
        <v>2317</v>
      </c>
      <c r="B28" s="87" t="s">
        <v>4025</v>
      </c>
    </row>
    <row r="29" spans="1:2">
      <c r="A29" s="87" t="s">
        <v>3649</v>
      </c>
      <c r="B29" s="87"/>
    </row>
    <row r="30" spans="1:2">
      <c r="A30" s="87" t="s">
        <v>939</v>
      </c>
      <c r="B30" s="87"/>
    </row>
    <row r="31" spans="1:2">
      <c r="A31" s="87" t="s">
        <v>935</v>
      </c>
      <c r="B31" s="87"/>
    </row>
    <row r="32" spans="1:2">
      <c r="A32" s="87" t="s">
        <v>933</v>
      </c>
      <c r="B32" s="87"/>
    </row>
    <row r="33" spans="1:2">
      <c r="A33" s="87" t="s">
        <v>3847</v>
      </c>
      <c r="B33" s="87"/>
    </row>
    <row r="34" spans="1:2">
      <c r="A34" s="87" t="s">
        <v>3101</v>
      </c>
      <c r="B34" s="87"/>
    </row>
    <row r="35" spans="1:2">
      <c r="A35" s="87" t="s">
        <v>3540</v>
      </c>
      <c r="B35" s="87"/>
    </row>
    <row r="36" spans="1:2">
      <c r="A36" s="87" t="s">
        <v>3836</v>
      </c>
      <c r="B36" s="87"/>
    </row>
    <row r="37" spans="1:2">
      <c r="A37" s="87" t="s">
        <v>500</v>
      </c>
      <c r="B37" s="87"/>
    </row>
    <row r="38" spans="1:2">
      <c r="A38" s="87" t="s">
        <v>3429</v>
      </c>
      <c r="B38" s="87"/>
    </row>
    <row r="39" spans="1:2">
      <c r="A39" s="87" t="s">
        <v>3584</v>
      </c>
      <c r="B39" s="87"/>
    </row>
    <row r="40" spans="1:2">
      <c r="A40" s="87" t="s">
        <v>256</v>
      </c>
      <c r="B40" s="87"/>
    </row>
    <row r="41" spans="1:2">
      <c r="A41" s="87" t="s">
        <v>635</v>
      </c>
      <c r="B41" s="87" t="s">
        <v>4026</v>
      </c>
    </row>
    <row r="42" spans="1:2">
      <c r="A42" s="87" t="s">
        <v>2669</v>
      </c>
      <c r="B42" s="87" t="s">
        <v>4027</v>
      </c>
    </row>
    <row r="43" spans="1:2">
      <c r="A43" s="87" t="s">
        <v>2346</v>
      </c>
      <c r="B43" s="87"/>
    </row>
    <row r="44" spans="1:2">
      <c r="A44" s="87" t="s">
        <v>3138</v>
      </c>
      <c r="B44" s="87"/>
    </row>
    <row r="45" spans="1:2">
      <c r="A45" s="87" t="s">
        <v>804</v>
      </c>
      <c r="B45" s="87"/>
    </row>
    <row r="46" spans="1:2">
      <c r="A46" s="87" t="s">
        <v>3134</v>
      </c>
      <c r="B46" s="87"/>
    </row>
    <row r="47" spans="1:2">
      <c r="A47" s="87" t="s">
        <v>3135</v>
      </c>
      <c r="B47" s="87"/>
    </row>
    <row r="48" spans="1:2">
      <c r="A48" s="87" t="s">
        <v>3709</v>
      </c>
      <c r="B48" s="87"/>
    </row>
    <row r="49" spans="1:2">
      <c r="A49" s="87" t="s">
        <v>3146</v>
      </c>
      <c r="B49" s="87"/>
    </row>
    <row r="50" spans="1:2">
      <c r="A50" s="87" t="s">
        <v>3145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4028</v>
      </c>
      <c r="B1" s="213"/>
    </row>
    <row r="2" spans="1:2" ht="30" customHeight="1">
      <c r="A2" s="214" t="s">
        <v>4029</v>
      </c>
      <c r="B2" s="214"/>
    </row>
    <row r="3" spans="1:2" ht="21.75" customHeight="1">
      <c r="A3" s="55" t="s">
        <v>4030</v>
      </c>
      <c r="B3" s="6" t="s">
        <v>4031</v>
      </c>
    </row>
    <row r="4" spans="1:2" ht="21.75" customHeight="1">
      <c r="A4" s="55" t="s">
        <v>4032</v>
      </c>
      <c r="B4" s="6" t="s">
        <v>4033</v>
      </c>
    </row>
    <row r="5" spans="1:2" ht="21.75" customHeight="1">
      <c r="A5" s="55" t="s">
        <v>4034</v>
      </c>
      <c r="B5" s="6" t="s">
        <v>4035</v>
      </c>
    </row>
    <row r="6" spans="1:2" ht="21.75" customHeight="1">
      <c r="A6" s="55" t="s">
        <v>4036</v>
      </c>
      <c r="B6" s="6" t="s">
        <v>4037</v>
      </c>
    </row>
    <row r="7" spans="1:2" ht="21.75" customHeight="1">
      <c r="A7" s="55" t="s">
        <v>4038</v>
      </c>
      <c r="B7" s="6" t="s">
        <v>4039</v>
      </c>
    </row>
    <row r="8" spans="1:2" ht="21.75" customHeight="1">
      <c r="A8" s="55" t="s">
        <v>4040</v>
      </c>
      <c r="B8" s="6" t="s">
        <v>4041</v>
      </c>
    </row>
    <row r="10" spans="1:2" ht="30" customHeight="1">
      <c r="A10" s="215" t="s">
        <v>4042</v>
      </c>
      <c r="B10" s="215"/>
    </row>
    <row r="11" spans="1:2" ht="21.75" customHeight="1">
      <c r="A11" s="56" t="s">
        <v>4043</v>
      </c>
      <c r="B11" s="21" t="s">
        <v>4044</v>
      </c>
    </row>
    <row r="12" spans="1:2" ht="21.75" customHeight="1">
      <c r="A12" s="57" t="s">
        <v>4045</v>
      </c>
      <c r="B12" s="58" t="s">
        <v>4046</v>
      </c>
    </row>
    <row r="13" spans="1:2" ht="21.75" customHeight="1">
      <c r="A13" s="56" t="s">
        <v>4047</v>
      </c>
      <c r="B13" s="21" t="s">
        <v>4048</v>
      </c>
    </row>
    <row r="14" spans="1:2" ht="21.75" customHeight="1">
      <c r="A14" s="59" t="s">
        <v>4049</v>
      </c>
      <c r="B14" s="42" t="s">
        <v>4050</v>
      </c>
    </row>
    <row r="15" spans="1:2" ht="21.75" customHeight="1">
      <c r="A15" s="60" t="s">
        <v>4051</v>
      </c>
      <c r="B15" s="61" t="s">
        <v>4052</v>
      </c>
    </row>
    <row r="17" spans="1:2" ht="30" customHeight="1">
      <c r="A17" s="216" t="s">
        <v>4053</v>
      </c>
      <c r="B17" s="216"/>
    </row>
    <row r="18" spans="1:2" ht="21.75" customHeight="1">
      <c r="A18" s="60" t="s">
        <v>4054</v>
      </c>
      <c r="B18" s="61" t="s">
        <v>4055</v>
      </c>
    </row>
    <row r="19" spans="1:2" ht="21.75" customHeight="1">
      <c r="A19" s="60" t="s">
        <v>4056</v>
      </c>
      <c r="B19" s="61" t="s">
        <v>4057</v>
      </c>
    </row>
    <row r="20" spans="1:2" ht="21.75" customHeight="1">
      <c r="A20" s="60" t="s">
        <v>4058</v>
      </c>
      <c r="B20" s="61" t="s">
        <v>4059</v>
      </c>
    </row>
    <row r="21" spans="1:2" ht="21.75" customHeight="1">
      <c r="A21" s="60" t="s">
        <v>4060</v>
      </c>
      <c r="B21" s="61" t="s">
        <v>4061</v>
      </c>
    </row>
    <row r="22" spans="1:2" ht="21.75" customHeight="1">
      <c r="A22" s="60" t="s">
        <v>4062</v>
      </c>
      <c r="B22" s="61" t="s">
        <v>4063</v>
      </c>
    </row>
    <row r="24" spans="1:2" ht="30" customHeight="1">
      <c r="A24" s="212" t="s">
        <v>4064</v>
      </c>
      <c r="B24" s="212"/>
    </row>
    <row r="25" spans="1:2" ht="279.75" customHeight="1">
      <c r="A25" s="62" t="s">
        <v>4065</v>
      </c>
      <c r="B25" s="63" t="s">
        <v>4066</v>
      </c>
    </row>
    <row r="27" spans="1:2" ht="30" customHeight="1">
      <c r="A27" s="212" t="s">
        <v>4067</v>
      </c>
      <c r="B27" s="212"/>
    </row>
    <row r="28" spans="1:2" ht="21.75" customHeight="1">
      <c r="A28" s="56" t="s">
        <v>4068</v>
      </c>
      <c r="B28" s="21" t="s">
        <v>4069</v>
      </c>
    </row>
    <row r="29" spans="1:2" ht="21.75" customHeight="1">
      <c r="A29" s="56" t="s">
        <v>4070</v>
      </c>
      <c r="B29" s="21" t="s">
        <v>4071</v>
      </c>
    </row>
    <row r="30" spans="1:2" ht="21.75" customHeight="1">
      <c r="A30" s="56" t="s">
        <v>4072</v>
      </c>
      <c r="B30" s="21" t="s">
        <v>4073</v>
      </c>
    </row>
    <row r="31" spans="1:2" ht="21.75" customHeight="1">
      <c r="A31" s="56" t="s">
        <v>4074</v>
      </c>
      <c r="B31" s="21" t="s">
        <v>4075</v>
      </c>
    </row>
    <row r="32" spans="1:2" ht="21.75" customHeight="1">
      <c r="A32" s="56" t="s">
        <v>4076</v>
      </c>
      <c r="B32" s="21" t="s">
        <v>4077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4078</v>
      </c>
      <c r="B1" t="s">
        <v>3914</v>
      </c>
    </row>
    <row r="2" spans="1:2" ht="15" customHeight="1">
      <c r="A2" t="s">
        <v>1522</v>
      </c>
      <c r="B2" t="s">
        <v>4079</v>
      </c>
    </row>
    <row r="3" spans="1:2" ht="15" customHeight="1">
      <c r="A3" t="s">
        <v>987</v>
      </c>
      <c r="B3" t="s">
        <v>4079</v>
      </c>
    </row>
    <row r="4" spans="1:2" ht="15" customHeight="1">
      <c r="A4" t="s">
        <v>990</v>
      </c>
      <c r="B4" t="s">
        <v>4079</v>
      </c>
    </row>
    <row r="5" spans="1:2" ht="15" customHeight="1">
      <c r="A5" t="s">
        <v>993</v>
      </c>
      <c r="B5" t="s">
        <v>4079</v>
      </c>
    </row>
    <row r="6" spans="1:2" ht="15" customHeight="1">
      <c r="A6" t="s">
        <v>1222</v>
      </c>
      <c r="B6" t="s">
        <v>4079</v>
      </c>
    </row>
    <row r="7" spans="1:2" ht="15" customHeight="1">
      <c r="A7" t="s">
        <v>1547</v>
      </c>
      <c r="B7" t="s">
        <v>4079</v>
      </c>
    </row>
    <row r="8" spans="1:2" ht="15" customHeight="1">
      <c r="A8" t="s">
        <v>1553</v>
      </c>
      <c r="B8" t="s">
        <v>4079</v>
      </c>
    </row>
    <row r="9" spans="1:2" ht="15" customHeight="1">
      <c r="A9" t="s">
        <v>1559</v>
      </c>
      <c r="B9" t="s">
        <v>4079</v>
      </c>
    </row>
    <row r="10" spans="1:2" ht="15" customHeight="1">
      <c r="A10" t="s">
        <v>974</v>
      </c>
      <c r="B10" t="s">
        <v>4079</v>
      </c>
    </row>
    <row r="11" spans="1:2" ht="15" customHeight="1">
      <c r="A11" t="s">
        <v>979</v>
      </c>
      <c r="B11" t="s">
        <v>4079</v>
      </c>
    </row>
    <row r="12" spans="1:2" ht="15" customHeight="1">
      <c r="A12" t="s">
        <v>1576</v>
      </c>
      <c r="B12" t="s">
        <v>4079</v>
      </c>
    </row>
    <row r="13" spans="1:2" ht="15" customHeight="1">
      <c r="A13" t="s">
        <v>1581</v>
      </c>
      <c r="B13" t="s">
        <v>4079</v>
      </c>
    </row>
    <row r="14" spans="1:2" ht="15" customHeight="1">
      <c r="A14" t="s">
        <v>1586</v>
      </c>
      <c r="B14" t="s">
        <v>4079</v>
      </c>
    </row>
    <row r="15" spans="1:2" ht="15" customHeight="1">
      <c r="A15" t="s">
        <v>1592</v>
      </c>
      <c r="B15" t="s">
        <v>4079</v>
      </c>
    </row>
    <row r="16" spans="1:2" ht="15" customHeight="1">
      <c r="A16" t="s">
        <v>1597</v>
      </c>
      <c r="B16" t="s">
        <v>4079</v>
      </c>
    </row>
    <row r="17" spans="1:2" ht="15" customHeight="1">
      <c r="A17" t="s">
        <v>1603</v>
      </c>
      <c r="B17" t="s">
        <v>4079</v>
      </c>
    </row>
    <row r="18" spans="1:2" ht="15" customHeight="1">
      <c r="A18" t="s">
        <v>1609</v>
      </c>
      <c r="B18" t="s">
        <v>4079</v>
      </c>
    </row>
    <row r="19" spans="1:2" ht="15" customHeight="1">
      <c r="A19" t="s">
        <v>1614</v>
      </c>
      <c r="B19" t="s">
        <v>4079</v>
      </c>
    </row>
    <row r="20" spans="1:2" ht="15" customHeight="1">
      <c r="A20" t="s">
        <v>1620</v>
      </c>
      <c r="B20" t="s">
        <v>4079</v>
      </c>
    </row>
    <row r="21" spans="1:2" ht="15" customHeight="1">
      <c r="A21" t="s">
        <v>1626</v>
      </c>
      <c r="B21" t="s">
        <v>4079</v>
      </c>
    </row>
    <row r="22" spans="1:2" ht="15" customHeight="1">
      <c r="A22" t="s">
        <v>1630</v>
      </c>
      <c r="B22" t="s">
        <v>4079</v>
      </c>
    </row>
    <row r="23" spans="1:2" ht="15" customHeight="1">
      <c r="A23" t="s">
        <v>1634</v>
      </c>
      <c r="B23" t="s">
        <v>4079</v>
      </c>
    </row>
    <row r="24" spans="1:2" ht="15" customHeight="1">
      <c r="A24" t="s">
        <v>1639</v>
      </c>
      <c r="B24" t="s">
        <v>4079</v>
      </c>
    </row>
    <row r="25" spans="1:2" ht="15" customHeight="1">
      <c r="A25" t="s">
        <v>1643</v>
      </c>
      <c r="B25" t="s">
        <v>4079</v>
      </c>
    </row>
    <row r="26" spans="1:2" ht="15" customHeight="1">
      <c r="A26" t="s">
        <v>1648</v>
      </c>
      <c r="B26" t="s">
        <v>4079</v>
      </c>
    </row>
    <row r="27" spans="1:2" ht="15" customHeight="1">
      <c r="A27" t="s">
        <v>1653</v>
      </c>
      <c r="B27" t="s">
        <v>4079</v>
      </c>
    </row>
    <row r="28" spans="1:2" ht="15" customHeight="1">
      <c r="A28" t="s">
        <v>1659</v>
      </c>
      <c r="B28" t="s">
        <v>4079</v>
      </c>
    </row>
    <row r="29" spans="1:2" ht="15" customHeight="1">
      <c r="A29" t="s">
        <v>1665</v>
      </c>
      <c r="B29" t="s">
        <v>4079</v>
      </c>
    </row>
    <row r="30" spans="1:2" ht="15" customHeight="1">
      <c r="A30" t="s">
        <v>1670</v>
      </c>
      <c r="B30" t="s">
        <v>4079</v>
      </c>
    </row>
    <row r="31" spans="1:2" ht="15" customHeight="1">
      <c r="A31" t="s">
        <v>1675</v>
      </c>
      <c r="B31" t="s">
        <v>4079</v>
      </c>
    </row>
    <row r="32" spans="1:2" ht="15" customHeight="1">
      <c r="A32" t="s">
        <v>1681</v>
      </c>
      <c r="B32" t="s">
        <v>4079</v>
      </c>
    </row>
    <row r="33" spans="1:2" ht="15" customHeight="1">
      <c r="A33" t="s">
        <v>1686</v>
      </c>
      <c r="B33" t="s">
        <v>4079</v>
      </c>
    </row>
    <row r="34" spans="1:2" ht="15" customHeight="1">
      <c r="A34" t="s">
        <v>1691</v>
      </c>
      <c r="B34" t="s">
        <v>4079</v>
      </c>
    </row>
    <row r="35" spans="1:2" ht="15" customHeight="1">
      <c r="A35" t="s">
        <v>1696</v>
      </c>
      <c r="B35" t="s">
        <v>4079</v>
      </c>
    </row>
    <row r="36" spans="1:2" ht="15" customHeight="1">
      <c r="A36" t="s">
        <v>1700</v>
      </c>
      <c r="B36" t="s">
        <v>4079</v>
      </c>
    </row>
    <row r="37" spans="1:2" ht="15" customHeight="1">
      <c r="A37" t="s">
        <v>1705</v>
      </c>
      <c r="B37" t="s">
        <v>4079</v>
      </c>
    </row>
    <row r="38" spans="1:2" ht="15" customHeight="1">
      <c r="A38" t="s">
        <v>1710</v>
      </c>
      <c r="B38" t="s">
        <v>4079</v>
      </c>
    </row>
    <row r="39" spans="1:2" ht="15" customHeight="1">
      <c r="A39" t="s">
        <v>1715</v>
      </c>
      <c r="B39" t="s">
        <v>4079</v>
      </c>
    </row>
    <row r="40" spans="1:2" ht="15" customHeight="1">
      <c r="A40" t="s">
        <v>1720</v>
      </c>
      <c r="B40" t="s">
        <v>4079</v>
      </c>
    </row>
    <row r="41" spans="1:2" ht="15" customHeight="1">
      <c r="A41" t="s">
        <v>1724</v>
      </c>
      <c r="B41" t="s">
        <v>4079</v>
      </c>
    </row>
    <row r="42" spans="1:2" ht="15" customHeight="1">
      <c r="A42" t="s">
        <v>1729</v>
      </c>
      <c r="B42" t="s">
        <v>4079</v>
      </c>
    </row>
    <row r="43" spans="1:2" ht="15" customHeight="1">
      <c r="A43" t="s">
        <v>1735</v>
      </c>
      <c r="B43" t="s">
        <v>4079</v>
      </c>
    </row>
    <row r="44" spans="1:2" ht="15" customHeight="1">
      <c r="A44" t="s">
        <v>1739</v>
      </c>
      <c r="B44" t="s">
        <v>4079</v>
      </c>
    </row>
    <row r="45" spans="1:2" ht="15" customHeight="1">
      <c r="A45" t="s">
        <v>1744</v>
      </c>
      <c r="B45" t="s">
        <v>4079</v>
      </c>
    </row>
    <row r="46" spans="1:2" ht="15" customHeight="1">
      <c r="A46" t="s">
        <v>1749</v>
      </c>
      <c r="B46" t="s">
        <v>4079</v>
      </c>
    </row>
    <row r="47" spans="1:2" ht="15" customHeight="1">
      <c r="A47" t="s">
        <v>1754</v>
      </c>
      <c r="B47" t="s">
        <v>4079</v>
      </c>
    </row>
    <row r="48" spans="1:2" ht="15" customHeight="1">
      <c r="A48" t="s">
        <v>1760</v>
      </c>
      <c r="B48" t="s">
        <v>4079</v>
      </c>
    </row>
    <row r="49" spans="1:2" ht="15" customHeight="1">
      <c r="A49" t="s">
        <v>1767</v>
      </c>
      <c r="B49" t="s">
        <v>4079</v>
      </c>
    </row>
    <row r="50" spans="1:2" ht="15" customHeight="1">
      <c r="A50" t="s">
        <v>1774</v>
      </c>
      <c r="B50" t="s">
        <v>4079</v>
      </c>
    </row>
    <row r="51" spans="1:2" ht="15" customHeight="1">
      <c r="A51" t="s">
        <v>1779</v>
      </c>
      <c r="B51" t="s">
        <v>4079</v>
      </c>
    </row>
    <row r="52" spans="1:2" ht="15" customHeight="1">
      <c r="A52" t="s">
        <v>1786</v>
      </c>
      <c r="B52" t="s">
        <v>4079</v>
      </c>
    </row>
    <row r="53" spans="1:2" ht="15" customHeight="1">
      <c r="A53" t="s">
        <v>1791</v>
      </c>
      <c r="B53" t="s">
        <v>4079</v>
      </c>
    </row>
    <row r="54" spans="1:2" ht="15" customHeight="1">
      <c r="A54" t="s">
        <v>1796</v>
      </c>
      <c r="B54" t="s">
        <v>4079</v>
      </c>
    </row>
    <row r="55" spans="1:2" ht="15" customHeight="1">
      <c r="A55" t="s">
        <v>1802</v>
      </c>
      <c r="B55" t="s">
        <v>4079</v>
      </c>
    </row>
    <row r="56" spans="1:2" ht="15" customHeight="1">
      <c r="A56" t="s">
        <v>1807</v>
      </c>
      <c r="B56" t="s">
        <v>4079</v>
      </c>
    </row>
    <row r="57" spans="1:2" ht="15" customHeight="1">
      <c r="A57" t="s">
        <v>1812</v>
      </c>
      <c r="B57" t="s">
        <v>4079</v>
      </c>
    </row>
    <row r="58" spans="1:2" ht="15" customHeight="1">
      <c r="A58" t="s">
        <v>1817</v>
      </c>
      <c r="B58" t="s">
        <v>4079</v>
      </c>
    </row>
    <row r="59" spans="1:2" ht="15" customHeight="1">
      <c r="A59" t="s">
        <v>1822</v>
      </c>
      <c r="B59" t="s">
        <v>4079</v>
      </c>
    </row>
    <row r="60" spans="1:2" ht="15" customHeight="1">
      <c r="A60" t="s">
        <v>1828</v>
      </c>
      <c r="B60" t="s">
        <v>4079</v>
      </c>
    </row>
    <row r="61" spans="1:2" ht="15" customHeight="1">
      <c r="A61" t="s">
        <v>1834</v>
      </c>
      <c r="B61" t="s">
        <v>4079</v>
      </c>
    </row>
    <row r="62" spans="1:2" ht="15" customHeight="1">
      <c r="A62" t="s">
        <v>1839</v>
      </c>
      <c r="B62" t="s">
        <v>4079</v>
      </c>
    </row>
    <row r="63" spans="1:2" ht="15" customHeight="1">
      <c r="A63" t="s">
        <v>1843</v>
      </c>
      <c r="B63" t="s">
        <v>4079</v>
      </c>
    </row>
    <row r="64" spans="1:2" ht="15" customHeight="1">
      <c r="A64" t="s">
        <v>1848</v>
      </c>
      <c r="B64" t="s">
        <v>4079</v>
      </c>
    </row>
    <row r="65" spans="1:2" ht="15" customHeight="1">
      <c r="A65" t="s">
        <v>1854</v>
      </c>
      <c r="B65" t="s">
        <v>4079</v>
      </c>
    </row>
    <row r="66" spans="1:2" ht="15" customHeight="1">
      <c r="A66" t="s">
        <v>1859</v>
      </c>
      <c r="B66" t="s">
        <v>4079</v>
      </c>
    </row>
    <row r="67" spans="1:2" ht="15" customHeight="1">
      <c r="A67" t="s">
        <v>1865</v>
      </c>
      <c r="B67" t="s">
        <v>4079</v>
      </c>
    </row>
    <row r="68" spans="1:2" ht="15" customHeight="1">
      <c r="A68" t="s">
        <v>1870</v>
      </c>
      <c r="B68" t="s">
        <v>4079</v>
      </c>
    </row>
    <row r="69" spans="1:2" ht="15" customHeight="1">
      <c r="A69" t="s">
        <v>1874</v>
      </c>
      <c r="B69" t="s">
        <v>4079</v>
      </c>
    </row>
    <row r="70" spans="1:2" ht="15" customHeight="1">
      <c r="A70" t="s">
        <v>1879</v>
      </c>
      <c r="B70" t="s">
        <v>4079</v>
      </c>
    </row>
    <row r="71" spans="1:2" ht="15" customHeight="1">
      <c r="A71" t="s">
        <v>1884</v>
      </c>
      <c r="B71" t="s">
        <v>4079</v>
      </c>
    </row>
    <row r="72" spans="1:2" ht="15" customHeight="1">
      <c r="A72" t="s">
        <v>1889</v>
      </c>
      <c r="B72" t="s">
        <v>4079</v>
      </c>
    </row>
    <row r="73" spans="1:2" ht="15" customHeight="1">
      <c r="A73" t="s">
        <v>1895</v>
      </c>
      <c r="B73" t="s">
        <v>4079</v>
      </c>
    </row>
    <row r="74" spans="1:2" ht="15" customHeight="1">
      <c r="A74" t="s">
        <v>1900</v>
      </c>
      <c r="B74" t="s">
        <v>4079</v>
      </c>
    </row>
    <row r="75" spans="1:2" ht="15" customHeight="1">
      <c r="A75" t="s">
        <v>1905</v>
      </c>
      <c r="B75" t="s">
        <v>4079</v>
      </c>
    </row>
    <row r="76" spans="1:2" ht="15" customHeight="1">
      <c r="A76" t="s">
        <v>1910</v>
      </c>
      <c r="B76" t="s">
        <v>4079</v>
      </c>
    </row>
    <row r="77" spans="1:2" ht="15" customHeight="1">
      <c r="A77" t="s">
        <v>1916</v>
      </c>
      <c r="B77" t="s">
        <v>4079</v>
      </c>
    </row>
    <row r="78" spans="1:2" ht="15" customHeight="1">
      <c r="A78" t="s">
        <v>1921</v>
      </c>
      <c r="B78" t="s">
        <v>4079</v>
      </c>
    </row>
    <row r="79" spans="1:2" ht="15" customHeight="1">
      <c r="A79" t="s">
        <v>1926</v>
      </c>
      <c r="B79" t="s">
        <v>4079</v>
      </c>
    </row>
    <row r="80" spans="1:2" ht="15" customHeight="1">
      <c r="A80" t="s">
        <v>1931</v>
      </c>
      <c r="B80" t="s">
        <v>4079</v>
      </c>
    </row>
    <row r="81" spans="1:2" ht="15" customHeight="1">
      <c r="A81" t="s">
        <v>1937</v>
      </c>
      <c r="B81" t="s">
        <v>4079</v>
      </c>
    </row>
    <row r="82" spans="1:2" ht="15" customHeight="1">
      <c r="A82" t="s">
        <v>1942</v>
      </c>
      <c r="B82" t="s">
        <v>4079</v>
      </c>
    </row>
    <row r="83" spans="1:2" ht="15" customHeight="1">
      <c r="A83" t="s">
        <v>1947</v>
      </c>
      <c r="B83" t="s">
        <v>4079</v>
      </c>
    </row>
    <row r="84" spans="1:2" ht="15" customHeight="1">
      <c r="A84" t="s">
        <v>1952</v>
      </c>
      <c r="B84" t="s">
        <v>4079</v>
      </c>
    </row>
    <row r="85" spans="1:2" ht="15" customHeight="1">
      <c r="A85" t="s">
        <v>1957</v>
      </c>
      <c r="B85" t="s">
        <v>4079</v>
      </c>
    </row>
    <row r="86" spans="1:2" ht="15" customHeight="1">
      <c r="A86" t="s">
        <v>1962</v>
      </c>
      <c r="B86" t="s">
        <v>4079</v>
      </c>
    </row>
    <row r="87" spans="1:2" ht="15" customHeight="1">
      <c r="A87" t="s">
        <v>1967</v>
      </c>
      <c r="B87" t="s">
        <v>4079</v>
      </c>
    </row>
    <row r="88" spans="1:2" ht="15" customHeight="1">
      <c r="A88" t="s">
        <v>1973</v>
      </c>
      <c r="B88" t="s">
        <v>4079</v>
      </c>
    </row>
    <row r="89" spans="1:2" ht="15" customHeight="1">
      <c r="A89" t="s">
        <v>1978</v>
      </c>
      <c r="B89" t="s">
        <v>4079</v>
      </c>
    </row>
    <row r="90" spans="1:2" ht="15" customHeight="1">
      <c r="A90" t="s">
        <v>1983</v>
      </c>
      <c r="B90" t="s">
        <v>4079</v>
      </c>
    </row>
    <row r="91" spans="1:2" ht="15" customHeight="1">
      <c r="A91" t="s">
        <v>1988</v>
      </c>
      <c r="B91" t="s">
        <v>4079</v>
      </c>
    </row>
    <row r="92" spans="1:2" ht="15" customHeight="1">
      <c r="A92" t="s">
        <v>1994</v>
      </c>
      <c r="B92" t="s">
        <v>4079</v>
      </c>
    </row>
    <row r="93" spans="1:2" ht="15" customHeight="1">
      <c r="A93" t="s">
        <v>1999</v>
      </c>
      <c r="B93" t="s">
        <v>4079</v>
      </c>
    </row>
    <row r="94" spans="1:2" ht="15" customHeight="1">
      <c r="A94" t="s">
        <v>2004</v>
      </c>
      <c r="B94" t="s">
        <v>4079</v>
      </c>
    </row>
    <row r="95" spans="1:2" ht="15" customHeight="1">
      <c r="A95" t="s">
        <v>2009</v>
      </c>
      <c r="B95" t="s">
        <v>4079</v>
      </c>
    </row>
    <row r="96" spans="1:2" ht="15" customHeight="1">
      <c r="A96" t="s">
        <v>2014</v>
      </c>
      <c r="B96" t="s">
        <v>4079</v>
      </c>
    </row>
    <row r="97" spans="1:2" ht="15" customHeight="1">
      <c r="A97" t="s">
        <v>2019</v>
      </c>
      <c r="B97" t="s">
        <v>4079</v>
      </c>
    </row>
    <row r="98" spans="1:2" ht="15" customHeight="1">
      <c r="A98" t="s">
        <v>2024</v>
      </c>
      <c r="B98" t="s">
        <v>4079</v>
      </c>
    </row>
    <row r="99" spans="1:2" ht="15" customHeight="1">
      <c r="A99" t="s">
        <v>2029</v>
      </c>
      <c r="B99" t="s">
        <v>4079</v>
      </c>
    </row>
    <row r="100" spans="1:2" ht="15" customHeight="1">
      <c r="A100" t="s">
        <v>2034</v>
      </c>
      <c r="B100" t="s">
        <v>4079</v>
      </c>
    </row>
    <row r="101" spans="1:2" ht="15" customHeight="1">
      <c r="A101" t="s">
        <v>2039</v>
      </c>
      <c r="B101" t="s">
        <v>4079</v>
      </c>
    </row>
    <row r="102" spans="1:2" ht="15" customHeight="1">
      <c r="A102" t="s">
        <v>2044</v>
      </c>
      <c r="B102" t="s">
        <v>4079</v>
      </c>
    </row>
    <row r="103" spans="1:2" ht="15" customHeight="1">
      <c r="A103" t="s">
        <v>2049</v>
      </c>
      <c r="B103" t="s">
        <v>4079</v>
      </c>
    </row>
    <row r="104" spans="1:2" ht="15" customHeight="1">
      <c r="A104" t="s">
        <v>2054</v>
      </c>
      <c r="B104" t="s">
        <v>4079</v>
      </c>
    </row>
    <row r="105" spans="1:2" ht="15" customHeight="1">
      <c r="A105" t="s">
        <v>2059</v>
      </c>
      <c r="B105" t="s">
        <v>4079</v>
      </c>
    </row>
    <row r="106" spans="1:2" ht="15" customHeight="1">
      <c r="A106" t="s">
        <v>2064</v>
      </c>
      <c r="B106" t="s">
        <v>4079</v>
      </c>
    </row>
    <row r="107" spans="1:2" ht="15" customHeight="1">
      <c r="A107" t="s">
        <v>2069</v>
      </c>
      <c r="B107" t="s">
        <v>4079</v>
      </c>
    </row>
    <row r="108" spans="1:2" ht="15" customHeight="1">
      <c r="A108" t="s">
        <v>2075</v>
      </c>
      <c r="B108" t="s">
        <v>4079</v>
      </c>
    </row>
    <row r="109" spans="1:2" ht="15" customHeight="1">
      <c r="A109" t="s">
        <v>2080</v>
      </c>
      <c r="B109" t="s">
        <v>4079</v>
      </c>
    </row>
    <row r="110" spans="1:2" ht="15" customHeight="1">
      <c r="A110" t="s">
        <v>1130</v>
      </c>
      <c r="B110" t="s">
        <v>4079</v>
      </c>
    </row>
    <row r="111" spans="1:2" ht="15" customHeight="1">
      <c r="A111" t="s">
        <v>21</v>
      </c>
      <c r="B111" t="s">
        <v>4080</v>
      </c>
    </row>
    <row r="112" spans="1:2" ht="15" customHeight="1">
      <c r="A112" t="s">
        <v>29</v>
      </c>
      <c r="B112" t="s">
        <v>4080</v>
      </c>
    </row>
    <row r="113" spans="1:2" ht="15" customHeight="1">
      <c r="A113" t="s">
        <v>36</v>
      </c>
      <c r="B113" t="s">
        <v>4080</v>
      </c>
    </row>
    <row r="114" spans="1:2" ht="15" customHeight="1">
      <c r="A114" t="s">
        <v>43</v>
      </c>
      <c r="B114" t="s">
        <v>4080</v>
      </c>
    </row>
    <row r="115" spans="1:2" ht="15" customHeight="1">
      <c r="A115" t="s">
        <v>51</v>
      </c>
      <c r="B115" t="s">
        <v>4080</v>
      </c>
    </row>
    <row r="116" spans="1:2" ht="15" customHeight="1">
      <c r="A116" t="s">
        <v>57</v>
      </c>
      <c r="B116" t="s">
        <v>4080</v>
      </c>
    </row>
    <row r="117" spans="1:2" ht="15" customHeight="1">
      <c r="A117" t="s">
        <v>63</v>
      </c>
      <c r="B117" t="s">
        <v>4080</v>
      </c>
    </row>
    <row r="118" spans="1:2" ht="15" customHeight="1">
      <c r="A118" t="s">
        <v>69</v>
      </c>
      <c r="B118" t="s">
        <v>4080</v>
      </c>
    </row>
    <row r="119" spans="1:2" ht="15" customHeight="1">
      <c r="A119" t="s">
        <v>76</v>
      </c>
      <c r="B119" t="s">
        <v>4080</v>
      </c>
    </row>
    <row r="120" spans="1:2" ht="15" customHeight="1">
      <c r="A120" t="s">
        <v>82</v>
      </c>
      <c r="B120" t="s">
        <v>4080</v>
      </c>
    </row>
    <row r="121" spans="1:2" ht="15" customHeight="1">
      <c r="A121" t="s">
        <v>87</v>
      </c>
      <c r="B121" t="s">
        <v>4080</v>
      </c>
    </row>
    <row r="122" spans="1:2" ht="15" customHeight="1">
      <c r="A122" t="s">
        <v>95</v>
      </c>
      <c r="B122" t="s">
        <v>4080</v>
      </c>
    </row>
    <row r="123" spans="1:2" ht="15" customHeight="1">
      <c r="A123" t="s">
        <v>102</v>
      </c>
      <c r="B123" t="s">
        <v>4080</v>
      </c>
    </row>
    <row r="124" spans="1:2" ht="15" customHeight="1">
      <c r="A124" t="s">
        <v>109</v>
      </c>
      <c r="B124" t="s">
        <v>4080</v>
      </c>
    </row>
    <row r="125" spans="1:2" ht="15" customHeight="1">
      <c r="A125" t="s">
        <v>116</v>
      </c>
      <c r="B125" t="s">
        <v>4080</v>
      </c>
    </row>
    <row r="126" spans="1:2" ht="15" customHeight="1">
      <c r="A126" t="s">
        <v>124</v>
      </c>
      <c r="B126" t="s">
        <v>4080</v>
      </c>
    </row>
    <row r="127" spans="1:2" ht="15" customHeight="1">
      <c r="A127" t="s">
        <v>131</v>
      </c>
      <c r="B127" t="s">
        <v>4080</v>
      </c>
    </row>
    <row r="128" spans="1:2" ht="15" customHeight="1">
      <c r="A128" t="s">
        <v>138</v>
      </c>
      <c r="B128" t="s">
        <v>4080</v>
      </c>
    </row>
    <row r="129" spans="1:2" ht="15" customHeight="1">
      <c r="A129" t="s">
        <v>146</v>
      </c>
      <c r="B129" t="s">
        <v>4080</v>
      </c>
    </row>
    <row r="130" spans="1:2" ht="15" customHeight="1">
      <c r="A130" t="s">
        <v>152</v>
      </c>
      <c r="B130" t="s">
        <v>4080</v>
      </c>
    </row>
    <row r="131" spans="1:2" ht="15" customHeight="1">
      <c r="A131" t="s">
        <v>159</v>
      </c>
      <c r="B131" t="s">
        <v>4080</v>
      </c>
    </row>
    <row r="132" spans="1:2" ht="15" customHeight="1">
      <c r="A132" t="s">
        <v>165</v>
      </c>
      <c r="B132" t="s">
        <v>4080</v>
      </c>
    </row>
    <row r="133" spans="1:2" ht="15" customHeight="1">
      <c r="A133" t="s">
        <v>170</v>
      </c>
      <c r="B133" t="s">
        <v>4080</v>
      </c>
    </row>
    <row r="134" spans="1:2" ht="15" customHeight="1">
      <c r="A134" t="s">
        <v>176</v>
      </c>
      <c r="B134" t="s">
        <v>4080</v>
      </c>
    </row>
    <row r="135" spans="1:2" ht="15" customHeight="1">
      <c r="A135" t="s">
        <v>182</v>
      </c>
      <c r="B135" t="s">
        <v>4080</v>
      </c>
    </row>
    <row r="136" spans="1:2" ht="15" customHeight="1">
      <c r="A136" t="s">
        <v>188</v>
      </c>
      <c r="B136" t="s">
        <v>4080</v>
      </c>
    </row>
    <row r="137" spans="1:2" ht="15" customHeight="1">
      <c r="A137" t="s">
        <v>196</v>
      </c>
      <c r="B137" t="s">
        <v>4080</v>
      </c>
    </row>
    <row r="138" spans="1:2" ht="15" customHeight="1">
      <c r="A138" t="s">
        <v>203</v>
      </c>
      <c r="B138" t="s">
        <v>4080</v>
      </c>
    </row>
    <row r="139" spans="1:2" ht="15" customHeight="1">
      <c r="A139" t="s">
        <v>210</v>
      </c>
      <c r="B139" t="s">
        <v>4080</v>
      </c>
    </row>
    <row r="140" spans="1:2" ht="15" customHeight="1">
      <c r="A140" t="s">
        <v>216</v>
      </c>
      <c r="B140" t="s">
        <v>4080</v>
      </c>
    </row>
    <row r="141" spans="1:2" ht="15" customHeight="1">
      <c r="A141" t="s">
        <v>222</v>
      </c>
      <c r="B141" t="s">
        <v>4080</v>
      </c>
    </row>
    <row r="142" spans="1:2" ht="15" customHeight="1">
      <c r="A142" t="s">
        <v>227</v>
      </c>
      <c r="B142" t="s">
        <v>4080</v>
      </c>
    </row>
    <row r="143" spans="1:2" ht="15" customHeight="1">
      <c r="A143" t="s">
        <v>234</v>
      </c>
      <c r="B143" t="s">
        <v>4080</v>
      </c>
    </row>
    <row r="144" spans="1:2" ht="15" customHeight="1">
      <c r="A144" t="s">
        <v>241</v>
      </c>
      <c r="B144" t="s">
        <v>4080</v>
      </c>
    </row>
    <row r="145" spans="1:2" ht="15" customHeight="1">
      <c r="A145" t="s">
        <v>247</v>
      </c>
      <c r="B145" t="s">
        <v>4080</v>
      </c>
    </row>
    <row r="146" spans="1:2" ht="15" customHeight="1">
      <c r="A146" t="s">
        <v>256</v>
      </c>
      <c r="B146" t="s">
        <v>4080</v>
      </c>
    </row>
    <row r="147" spans="1:2" ht="15" customHeight="1">
      <c r="A147" t="s">
        <v>264</v>
      </c>
      <c r="B147" t="s">
        <v>4080</v>
      </c>
    </row>
    <row r="148" spans="1:2" ht="15" customHeight="1">
      <c r="A148" t="s">
        <v>270</v>
      </c>
      <c r="B148" t="s">
        <v>4080</v>
      </c>
    </row>
    <row r="149" spans="1:2">
      <c r="A149" t="s">
        <v>276</v>
      </c>
      <c r="B149" t="s">
        <v>4080</v>
      </c>
    </row>
    <row r="150" spans="1:2">
      <c r="A150" t="s">
        <v>283</v>
      </c>
      <c r="B150" t="s">
        <v>4080</v>
      </c>
    </row>
    <row r="151" spans="1:2">
      <c r="A151" t="s">
        <v>288</v>
      </c>
      <c r="B151" t="s">
        <v>4080</v>
      </c>
    </row>
    <row r="152" spans="1:2">
      <c r="A152" t="s">
        <v>293</v>
      </c>
      <c r="B152" t="s">
        <v>4080</v>
      </c>
    </row>
    <row r="153" spans="1:2">
      <c r="A153" t="s">
        <v>299</v>
      </c>
      <c r="B153" t="s">
        <v>4080</v>
      </c>
    </row>
    <row r="154" spans="1:2">
      <c r="A154" t="s">
        <v>307</v>
      </c>
      <c r="B154" t="s">
        <v>4080</v>
      </c>
    </row>
    <row r="155" spans="1:2">
      <c r="A155" t="s">
        <v>315</v>
      </c>
      <c r="B155" t="s">
        <v>4080</v>
      </c>
    </row>
    <row r="156" spans="1:2">
      <c r="A156" t="s">
        <v>320</v>
      </c>
      <c r="B156" t="s">
        <v>4080</v>
      </c>
    </row>
    <row r="157" spans="1:2">
      <c r="A157" t="s">
        <v>326</v>
      </c>
      <c r="B157" t="s">
        <v>4080</v>
      </c>
    </row>
    <row r="158" spans="1:2">
      <c r="A158" t="s">
        <v>330</v>
      </c>
      <c r="B158" t="s">
        <v>4080</v>
      </c>
    </row>
    <row r="159" spans="1:2">
      <c r="A159" t="s">
        <v>335</v>
      </c>
      <c r="B159" t="s">
        <v>4080</v>
      </c>
    </row>
    <row r="160" spans="1:2">
      <c r="A160" t="s">
        <v>341</v>
      </c>
      <c r="B160" t="s">
        <v>4080</v>
      </c>
    </row>
    <row r="161" spans="1:2">
      <c r="A161" t="s">
        <v>347</v>
      </c>
      <c r="B161" t="s">
        <v>4080</v>
      </c>
    </row>
    <row r="162" spans="1:2">
      <c r="A162" t="s">
        <v>349</v>
      </c>
      <c r="B162" t="s">
        <v>4080</v>
      </c>
    </row>
    <row r="163" spans="1:2">
      <c r="A163" t="s">
        <v>355</v>
      </c>
      <c r="B163" t="s">
        <v>4080</v>
      </c>
    </row>
    <row r="164" spans="1:2">
      <c r="A164" t="s">
        <v>363</v>
      </c>
      <c r="B164" t="s">
        <v>4080</v>
      </c>
    </row>
    <row r="165" spans="1:2">
      <c r="A165" t="s">
        <v>369</v>
      </c>
      <c r="B165" t="s">
        <v>4080</v>
      </c>
    </row>
    <row r="166" spans="1:2">
      <c r="A166" t="s">
        <v>376</v>
      </c>
      <c r="B166" t="s">
        <v>4080</v>
      </c>
    </row>
    <row r="167" spans="1:2">
      <c r="A167" t="s">
        <v>381</v>
      </c>
      <c r="B167" t="s">
        <v>4080</v>
      </c>
    </row>
    <row r="168" spans="1:2">
      <c r="A168" t="s">
        <v>388</v>
      </c>
      <c r="B168" t="s">
        <v>4080</v>
      </c>
    </row>
    <row r="169" spans="1:2">
      <c r="A169" t="s">
        <v>394</v>
      </c>
      <c r="B169" t="s">
        <v>4080</v>
      </c>
    </row>
    <row r="170" spans="1:2">
      <c r="A170" t="s">
        <v>400</v>
      </c>
      <c r="B170" t="s">
        <v>4080</v>
      </c>
    </row>
    <row r="171" spans="1:2">
      <c r="A171" t="s">
        <v>407</v>
      </c>
      <c r="B171" t="s">
        <v>4080</v>
      </c>
    </row>
    <row r="172" spans="1:2">
      <c r="A172" t="s">
        <v>413</v>
      </c>
      <c r="B172" t="s">
        <v>4080</v>
      </c>
    </row>
    <row r="173" spans="1:2">
      <c r="A173" t="s">
        <v>420</v>
      </c>
      <c r="B173" t="s">
        <v>4080</v>
      </c>
    </row>
    <row r="174" spans="1:2">
      <c r="A174" t="s">
        <v>424</v>
      </c>
      <c r="B174" t="s">
        <v>4080</v>
      </c>
    </row>
    <row r="175" spans="1:2">
      <c r="A175" t="s">
        <v>428</v>
      </c>
      <c r="B175" t="s">
        <v>4080</v>
      </c>
    </row>
    <row r="176" spans="1:2">
      <c r="A176" t="s">
        <v>434</v>
      </c>
      <c r="B176" t="s">
        <v>4080</v>
      </c>
    </row>
    <row r="177" spans="1:2">
      <c r="A177" t="s">
        <v>440</v>
      </c>
      <c r="B177" t="s">
        <v>4080</v>
      </c>
    </row>
    <row r="178" spans="1:2">
      <c r="A178" t="s">
        <v>445</v>
      </c>
      <c r="B178" t="s">
        <v>4080</v>
      </c>
    </row>
    <row r="179" spans="1:2">
      <c r="A179" t="s">
        <v>452</v>
      </c>
      <c r="B179" t="s">
        <v>4080</v>
      </c>
    </row>
    <row r="180" spans="1:2">
      <c r="A180" t="s">
        <v>457</v>
      </c>
      <c r="B180" t="s">
        <v>4080</v>
      </c>
    </row>
    <row r="181" spans="1:2">
      <c r="A181" t="s">
        <v>463</v>
      </c>
      <c r="B181" t="s">
        <v>4080</v>
      </c>
    </row>
    <row r="182" spans="1:2">
      <c r="A182" t="s">
        <v>471</v>
      </c>
      <c r="B182" t="s">
        <v>4080</v>
      </c>
    </row>
    <row r="183" spans="1:2">
      <c r="A183" t="s">
        <v>477</v>
      </c>
      <c r="B183" t="s">
        <v>4080</v>
      </c>
    </row>
    <row r="184" spans="1:2">
      <c r="A184" t="s">
        <v>483</v>
      </c>
      <c r="B184" t="s">
        <v>4080</v>
      </c>
    </row>
    <row r="185" spans="1:2">
      <c r="A185" t="s">
        <v>489</v>
      </c>
      <c r="B185" t="s">
        <v>4080</v>
      </c>
    </row>
    <row r="186" spans="1:2">
      <c r="A186" t="s">
        <v>494</v>
      </c>
      <c r="B186" t="s">
        <v>4080</v>
      </c>
    </row>
    <row r="187" spans="1:2">
      <c r="A187" t="s">
        <v>498</v>
      </c>
      <c r="B187" t="s">
        <v>4080</v>
      </c>
    </row>
    <row r="188" spans="1:2">
      <c r="A188" t="s">
        <v>504</v>
      </c>
      <c r="B188" t="s">
        <v>4080</v>
      </c>
    </row>
    <row r="189" spans="1:2">
      <c r="A189" t="s">
        <v>510</v>
      </c>
      <c r="B189" t="s">
        <v>4080</v>
      </c>
    </row>
    <row r="190" spans="1:2">
      <c r="A190" t="s">
        <v>517</v>
      </c>
      <c r="B190" t="s">
        <v>4080</v>
      </c>
    </row>
    <row r="191" spans="1:2">
      <c r="A191" t="s">
        <v>522</v>
      </c>
      <c r="B191" t="s">
        <v>4080</v>
      </c>
    </row>
    <row r="192" spans="1:2">
      <c r="A192" t="s">
        <v>527</v>
      </c>
      <c r="B192" t="s">
        <v>4080</v>
      </c>
    </row>
    <row r="193" spans="1:2">
      <c r="A193" t="s">
        <v>534</v>
      </c>
      <c r="B193" t="s">
        <v>4080</v>
      </c>
    </row>
    <row r="194" spans="1:2">
      <c r="A194" t="s">
        <v>542</v>
      </c>
      <c r="B194" t="s">
        <v>4080</v>
      </c>
    </row>
    <row r="195" spans="1:2">
      <c r="A195" t="s">
        <v>547</v>
      </c>
      <c r="B195" t="s">
        <v>4080</v>
      </c>
    </row>
    <row r="196" spans="1:2">
      <c r="A196" t="s">
        <v>553</v>
      </c>
      <c r="B196" t="s">
        <v>4080</v>
      </c>
    </row>
    <row r="197" spans="1:2">
      <c r="A197" t="s">
        <v>558</v>
      </c>
      <c r="B197" t="s">
        <v>4080</v>
      </c>
    </row>
    <row r="198" spans="1:2">
      <c r="A198" t="s">
        <v>564</v>
      </c>
      <c r="B198" t="s">
        <v>4080</v>
      </c>
    </row>
    <row r="199" spans="1:2">
      <c r="A199" t="s">
        <v>568</v>
      </c>
      <c r="B199" t="s">
        <v>4080</v>
      </c>
    </row>
    <row r="200" spans="1:2">
      <c r="A200" t="s">
        <v>574</v>
      </c>
      <c r="B200" t="s">
        <v>4080</v>
      </c>
    </row>
    <row r="201" spans="1:2">
      <c r="A201" t="s">
        <v>581</v>
      </c>
      <c r="B201" t="s">
        <v>4080</v>
      </c>
    </row>
    <row r="202" spans="1:2">
      <c r="A202" t="s">
        <v>586</v>
      </c>
      <c r="B202" t="s">
        <v>4080</v>
      </c>
    </row>
    <row r="203" spans="1:2">
      <c r="A203" t="s">
        <v>591</v>
      </c>
      <c r="B203" t="s">
        <v>4080</v>
      </c>
    </row>
    <row r="204" spans="1:2">
      <c r="A204" t="s">
        <v>596</v>
      </c>
      <c r="B204" t="s">
        <v>4080</v>
      </c>
    </row>
    <row r="205" spans="1:2">
      <c r="A205" t="s">
        <v>603</v>
      </c>
      <c r="B205" t="s">
        <v>4080</v>
      </c>
    </row>
    <row r="206" spans="1:2">
      <c r="A206" t="s">
        <v>609</v>
      </c>
      <c r="B206" t="s">
        <v>4080</v>
      </c>
    </row>
    <row r="207" spans="1:2">
      <c r="A207" t="s">
        <v>615</v>
      </c>
      <c r="B207" t="s">
        <v>4080</v>
      </c>
    </row>
    <row r="208" spans="1:2">
      <c r="A208" t="s">
        <v>620</v>
      </c>
      <c r="B208" t="s">
        <v>4080</v>
      </c>
    </row>
    <row r="209" spans="1:2">
      <c r="A209" t="s">
        <v>627</v>
      </c>
      <c r="B209" t="s">
        <v>4080</v>
      </c>
    </row>
    <row r="210" spans="1:2">
      <c r="A210" t="s">
        <v>633</v>
      </c>
      <c r="B210" t="s">
        <v>4080</v>
      </c>
    </row>
    <row r="211" spans="1:2">
      <c r="A211" t="s">
        <v>639</v>
      </c>
      <c r="B211" t="s">
        <v>4080</v>
      </c>
    </row>
    <row r="212" spans="1:2">
      <c r="A212" t="s">
        <v>645</v>
      </c>
      <c r="B212" t="s">
        <v>4080</v>
      </c>
    </row>
    <row r="213" spans="1:2">
      <c r="A213" t="s">
        <v>650</v>
      </c>
      <c r="B213" t="s">
        <v>4080</v>
      </c>
    </row>
    <row r="214" spans="1:2">
      <c r="A214" t="s">
        <v>655</v>
      </c>
      <c r="B214" t="s">
        <v>4080</v>
      </c>
    </row>
    <row r="215" spans="1:2">
      <c r="A215" t="s">
        <v>661</v>
      </c>
      <c r="B215" t="s">
        <v>4080</v>
      </c>
    </row>
    <row r="216" spans="1:2">
      <c r="A216" t="s">
        <v>1352</v>
      </c>
      <c r="B216" t="s">
        <v>4080</v>
      </c>
    </row>
    <row r="217" spans="1:2">
      <c r="A217" t="s">
        <v>673</v>
      </c>
      <c r="B217" t="s">
        <v>4080</v>
      </c>
    </row>
    <row r="218" spans="1:2">
      <c r="A218" t="s">
        <v>679</v>
      </c>
      <c r="B218" t="s">
        <v>4080</v>
      </c>
    </row>
    <row r="219" spans="1:2">
      <c r="A219" t="s">
        <v>684</v>
      </c>
      <c r="B219" t="s">
        <v>4080</v>
      </c>
    </row>
    <row r="220" spans="1:2">
      <c r="A220" t="s">
        <v>688</v>
      </c>
      <c r="B220" t="s">
        <v>4080</v>
      </c>
    </row>
    <row r="221" spans="1:2">
      <c r="A221" t="s">
        <v>696</v>
      </c>
      <c r="B221" t="s">
        <v>4080</v>
      </c>
    </row>
    <row r="222" spans="1:2">
      <c r="A222" t="s">
        <v>702</v>
      </c>
      <c r="B222" t="s">
        <v>4080</v>
      </c>
    </row>
    <row r="223" spans="1:2">
      <c r="A223" t="s">
        <v>709</v>
      </c>
      <c r="B223" t="s">
        <v>4080</v>
      </c>
    </row>
    <row r="224" spans="1:2">
      <c r="A224" t="s">
        <v>712</v>
      </c>
      <c r="B224" t="s">
        <v>4080</v>
      </c>
    </row>
    <row r="225" spans="1:2">
      <c r="A225" t="s">
        <v>715</v>
      </c>
      <c r="B225" t="s">
        <v>4080</v>
      </c>
    </row>
    <row r="226" spans="1:2">
      <c r="A226" t="s">
        <v>718</v>
      </c>
      <c r="B226" t="s">
        <v>4080</v>
      </c>
    </row>
    <row r="227" spans="1:2">
      <c r="A227" t="s">
        <v>723</v>
      </c>
      <c r="B227" t="s">
        <v>4080</v>
      </c>
    </row>
    <row r="228" spans="1:2">
      <c r="A228" t="s">
        <v>728</v>
      </c>
      <c r="B228" t="s">
        <v>4080</v>
      </c>
    </row>
    <row r="229" spans="1:2">
      <c r="A229" t="s">
        <v>734</v>
      </c>
      <c r="B229" t="s">
        <v>4080</v>
      </c>
    </row>
    <row r="230" spans="1:2">
      <c r="A230" t="s">
        <v>739</v>
      </c>
      <c r="B230" t="s">
        <v>4080</v>
      </c>
    </row>
    <row r="231" spans="1:2">
      <c r="A231" t="s">
        <v>743</v>
      </c>
      <c r="B231" t="s">
        <v>4080</v>
      </c>
    </row>
    <row r="232" spans="1:2">
      <c r="A232" t="s">
        <v>748</v>
      </c>
      <c r="B232" t="s">
        <v>4080</v>
      </c>
    </row>
    <row r="233" spans="1:2">
      <c r="A233" t="s">
        <v>753</v>
      </c>
      <c r="B233" t="s">
        <v>4080</v>
      </c>
    </row>
    <row r="234" spans="1:2">
      <c r="A234" t="s">
        <v>757</v>
      </c>
      <c r="B234" t="s">
        <v>4080</v>
      </c>
    </row>
    <row r="235" spans="1:2">
      <c r="A235" t="s">
        <v>761</v>
      </c>
      <c r="B235" t="s">
        <v>4080</v>
      </c>
    </row>
    <row r="236" spans="1:2">
      <c r="A236" t="s">
        <v>765</v>
      </c>
      <c r="B236" t="s">
        <v>4080</v>
      </c>
    </row>
    <row r="237" spans="1:2">
      <c r="A237" t="s">
        <v>769</v>
      </c>
      <c r="B237" t="s">
        <v>4080</v>
      </c>
    </row>
    <row r="238" spans="1:2">
      <c r="A238" t="s">
        <v>776</v>
      </c>
      <c r="B238" t="s">
        <v>4080</v>
      </c>
    </row>
    <row r="239" spans="1:2">
      <c r="A239" t="s">
        <v>784</v>
      </c>
      <c r="B239" t="s">
        <v>4080</v>
      </c>
    </row>
    <row r="240" spans="1:2">
      <c r="A240" t="s">
        <v>789</v>
      </c>
      <c r="B240" t="s">
        <v>4080</v>
      </c>
    </row>
    <row r="241" spans="1:2">
      <c r="A241" t="s">
        <v>795</v>
      </c>
      <c r="B241" t="s">
        <v>4080</v>
      </c>
    </row>
    <row r="242" spans="1:2">
      <c r="A242" t="s">
        <v>799</v>
      </c>
      <c r="B242" t="s">
        <v>4080</v>
      </c>
    </row>
    <row r="243" spans="1:2">
      <c r="A243" t="s">
        <v>804</v>
      </c>
      <c r="B243" t="s">
        <v>4080</v>
      </c>
    </row>
    <row r="244" spans="1:2">
      <c r="A244" t="s">
        <v>808</v>
      </c>
      <c r="B244" t="s">
        <v>4080</v>
      </c>
    </row>
    <row r="245" spans="1:2">
      <c r="A245" t="s">
        <v>812</v>
      </c>
      <c r="B245" t="s">
        <v>4080</v>
      </c>
    </row>
    <row r="246" spans="1:2">
      <c r="A246" t="s">
        <v>815</v>
      </c>
      <c r="B246" t="s">
        <v>4080</v>
      </c>
    </row>
    <row r="247" spans="1:2">
      <c r="A247" t="s">
        <v>819</v>
      </c>
      <c r="B247" t="s">
        <v>4080</v>
      </c>
    </row>
    <row r="248" spans="1:2">
      <c r="A248" t="s">
        <v>823</v>
      </c>
      <c r="B248" t="s">
        <v>4080</v>
      </c>
    </row>
    <row r="249" spans="1:2">
      <c r="A249" t="s">
        <v>827</v>
      </c>
      <c r="B249" t="s">
        <v>4080</v>
      </c>
    </row>
    <row r="250" spans="1:2">
      <c r="A250" t="s">
        <v>833</v>
      </c>
      <c r="B250" t="s">
        <v>4080</v>
      </c>
    </row>
    <row r="251" spans="1:2">
      <c r="A251" t="s">
        <v>838</v>
      </c>
      <c r="B251" t="s">
        <v>4080</v>
      </c>
    </row>
    <row r="252" spans="1:2">
      <c r="A252" t="s">
        <v>842</v>
      </c>
      <c r="B252" t="s">
        <v>4080</v>
      </c>
    </row>
    <row r="253" spans="1:2">
      <c r="A253" t="s">
        <v>849</v>
      </c>
      <c r="B253" t="s">
        <v>4080</v>
      </c>
    </row>
    <row r="254" spans="1:2">
      <c r="A254" t="s">
        <v>854</v>
      </c>
      <c r="B254" t="s">
        <v>4080</v>
      </c>
    </row>
    <row r="255" spans="1:2">
      <c r="A255" t="s">
        <v>859</v>
      </c>
      <c r="B255" t="s">
        <v>4080</v>
      </c>
    </row>
    <row r="256" spans="1:2">
      <c r="A256" t="s">
        <v>865</v>
      </c>
      <c r="B256" t="s">
        <v>4080</v>
      </c>
    </row>
    <row r="257" spans="1:2">
      <c r="A257" t="s">
        <v>870</v>
      </c>
      <c r="B257" t="s">
        <v>4080</v>
      </c>
    </row>
    <row r="258" spans="1:2">
      <c r="A258" t="s">
        <v>875</v>
      </c>
      <c r="B258" t="s">
        <v>4080</v>
      </c>
    </row>
    <row r="259" spans="1:2">
      <c r="A259" t="s">
        <v>882</v>
      </c>
      <c r="B259" t="s">
        <v>4080</v>
      </c>
    </row>
    <row r="260" spans="1:2">
      <c r="A260" t="s">
        <v>888</v>
      </c>
      <c r="B260" t="s">
        <v>4080</v>
      </c>
    </row>
    <row r="261" spans="1:2">
      <c r="A261" t="s">
        <v>895</v>
      </c>
      <c r="B261" t="s">
        <v>4080</v>
      </c>
    </row>
    <row r="262" spans="1:2">
      <c r="A262" t="s">
        <v>901</v>
      </c>
      <c r="B262" t="s">
        <v>4080</v>
      </c>
    </row>
    <row r="263" spans="1:2">
      <c r="A263" t="s">
        <v>906</v>
      </c>
      <c r="B263" t="s">
        <v>4080</v>
      </c>
    </row>
    <row r="264" spans="1:2">
      <c r="A264" t="s">
        <v>912</v>
      </c>
      <c r="B264" t="s">
        <v>4080</v>
      </c>
    </row>
    <row r="265" spans="1:2">
      <c r="A265" t="s">
        <v>918</v>
      </c>
      <c r="B265" t="s">
        <v>4080</v>
      </c>
    </row>
    <row r="266" spans="1:2">
      <c r="A266" t="s">
        <v>922</v>
      </c>
      <c r="B266" t="s">
        <v>4080</v>
      </c>
    </row>
    <row r="267" spans="1:2">
      <c r="A267" t="s">
        <v>926</v>
      </c>
      <c r="B267" t="s">
        <v>4080</v>
      </c>
    </row>
    <row r="268" spans="1:2">
      <c r="A268" t="s">
        <v>928</v>
      </c>
      <c r="B268" t="s">
        <v>4080</v>
      </c>
    </row>
    <row r="269" spans="1:2">
      <c r="A269" t="s">
        <v>933</v>
      </c>
      <c r="B269" t="s">
        <v>4080</v>
      </c>
    </row>
    <row r="270" spans="1:2">
      <c r="A270" t="s">
        <v>935</v>
      </c>
      <c r="B270" t="s">
        <v>4080</v>
      </c>
    </row>
    <row r="271" spans="1:2">
      <c r="A271" t="s">
        <v>936</v>
      </c>
      <c r="B271" t="s">
        <v>4080</v>
      </c>
    </row>
    <row r="272" spans="1:2">
      <c r="A272" t="s">
        <v>937</v>
      </c>
      <c r="B272" t="s">
        <v>4080</v>
      </c>
    </row>
    <row r="273" spans="1:2">
      <c r="A273" t="s">
        <v>938</v>
      </c>
      <c r="B273" t="s">
        <v>4080</v>
      </c>
    </row>
    <row r="274" spans="1:2">
      <c r="A274" t="s">
        <v>939</v>
      </c>
      <c r="B274" t="s">
        <v>4080</v>
      </c>
    </row>
    <row r="275" spans="1:2">
      <c r="A275" t="s">
        <v>940</v>
      </c>
      <c r="B275" t="s">
        <v>4080</v>
      </c>
    </row>
    <row r="276" spans="1:2">
      <c r="A276" t="s">
        <v>945</v>
      </c>
      <c r="B276" t="s">
        <v>4080</v>
      </c>
    </row>
    <row r="277" spans="1:2">
      <c r="A277" t="s">
        <v>948</v>
      </c>
      <c r="B277" t="s">
        <v>4080</v>
      </c>
    </row>
    <row r="278" spans="1:2">
      <c r="A278" t="s">
        <v>953</v>
      </c>
      <c r="B278" t="s">
        <v>4080</v>
      </c>
    </row>
    <row r="279" spans="1:2">
      <c r="A279" t="s">
        <v>957</v>
      </c>
      <c r="B279" t="s">
        <v>4080</v>
      </c>
    </row>
    <row r="280" spans="1:2">
      <c r="A280" t="s">
        <v>961</v>
      </c>
      <c r="B280" t="s">
        <v>4080</v>
      </c>
    </row>
    <row r="281" spans="1:2">
      <c r="A281" t="s">
        <v>964</v>
      </c>
      <c r="B281" t="s">
        <v>4080</v>
      </c>
    </row>
    <row r="282" spans="1:2">
      <c r="A282" t="s">
        <v>969</v>
      </c>
      <c r="B282" t="s">
        <v>4080</v>
      </c>
    </row>
    <row r="283" spans="1:2">
      <c r="A283" t="s">
        <v>974</v>
      </c>
      <c r="B283" t="s">
        <v>4080</v>
      </c>
    </row>
    <row r="284" spans="1:2">
      <c r="A284" t="s">
        <v>979</v>
      </c>
      <c r="B284" t="s">
        <v>4080</v>
      </c>
    </row>
    <row r="285" spans="1:2">
      <c r="A285" t="s">
        <v>984</v>
      </c>
      <c r="B285" t="s">
        <v>4080</v>
      </c>
    </row>
    <row r="286" spans="1:2">
      <c r="A286" t="s">
        <v>988</v>
      </c>
      <c r="B286" t="s">
        <v>4080</v>
      </c>
    </row>
    <row r="287" spans="1:2">
      <c r="A287" t="s">
        <v>991</v>
      </c>
      <c r="B287" t="s">
        <v>4080</v>
      </c>
    </row>
    <row r="288" spans="1:2">
      <c r="A288" t="s">
        <v>994</v>
      </c>
      <c r="B288" t="s">
        <v>4080</v>
      </c>
    </row>
    <row r="289" spans="1:2">
      <c r="A289" t="s">
        <v>997</v>
      </c>
      <c r="B289" t="s">
        <v>4080</v>
      </c>
    </row>
    <row r="290" spans="1:2">
      <c r="A290" t="s">
        <v>1001</v>
      </c>
      <c r="B290" t="s">
        <v>4080</v>
      </c>
    </row>
    <row r="291" spans="1:2">
      <c r="A291" t="s">
        <v>1006</v>
      </c>
      <c r="B291" t="s">
        <v>4080</v>
      </c>
    </row>
    <row r="292" spans="1:2">
      <c r="A292" t="s">
        <v>635</v>
      </c>
      <c r="B292" t="s">
        <v>4080</v>
      </c>
    </row>
    <row r="293" spans="1:2">
      <c r="A293" t="s">
        <v>1010</v>
      </c>
      <c r="B293" t="s">
        <v>4080</v>
      </c>
    </row>
    <row r="294" spans="1:2">
      <c r="A294" t="s">
        <v>1012</v>
      </c>
      <c r="B294" t="s">
        <v>4080</v>
      </c>
    </row>
    <row r="295" spans="1:2">
      <c r="A295" t="s">
        <v>252</v>
      </c>
      <c r="B295" t="s">
        <v>4080</v>
      </c>
    </row>
    <row r="296" spans="1:2">
      <c r="A296" t="s">
        <v>1017</v>
      </c>
      <c r="B296" t="s">
        <v>4080</v>
      </c>
    </row>
    <row r="297" spans="1:2">
      <c r="A297" t="s">
        <v>1018</v>
      </c>
      <c r="B297" t="s">
        <v>4080</v>
      </c>
    </row>
    <row r="298" spans="1:2">
      <c r="A298" t="s">
        <v>1020</v>
      </c>
      <c r="B298" t="s">
        <v>4080</v>
      </c>
    </row>
    <row r="299" spans="1:2">
      <c r="A299" t="s">
        <v>1022</v>
      </c>
      <c r="B299" t="s">
        <v>4080</v>
      </c>
    </row>
    <row r="300" spans="1:2">
      <c r="A300" t="s">
        <v>1026</v>
      </c>
      <c r="B300" t="s">
        <v>4080</v>
      </c>
    </row>
    <row r="301" spans="1:2">
      <c r="A301" t="s">
        <v>1030</v>
      </c>
      <c r="B301" t="s">
        <v>4080</v>
      </c>
    </row>
    <row r="302" spans="1:2">
      <c r="A302" t="s">
        <v>1035</v>
      </c>
      <c r="B302" t="s">
        <v>4080</v>
      </c>
    </row>
    <row r="303" spans="1:2">
      <c r="A303" t="s">
        <v>1039</v>
      </c>
      <c r="B303" t="s">
        <v>4080</v>
      </c>
    </row>
    <row r="304" spans="1:2">
      <c r="A304" t="s">
        <v>1043</v>
      </c>
      <c r="B304" t="s">
        <v>4080</v>
      </c>
    </row>
    <row r="305" spans="1:2">
      <c r="A305" t="s">
        <v>1047</v>
      </c>
      <c r="B305" t="s">
        <v>4080</v>
      </c>
    </row>
    <row r="306" spans="1:2">
      <c r="A306" t="s">
        <v>1053</v>
      </c>
      <c r="B306" t="s">
        <v>4080</v>
      </c>
    </row>
    <row r="307" spans="1:2">
      <c r="A307" t="s">
        <v>1058</v>
      </c>
      <c r="B307" t="s">
        <v>4080</v>
      </c>
    </row>
    <row r="308" spans="1:2">
      <c r="A308" t="s">
        <v>1062</v>
      </c>
      <c r="B308" t="s">
        <v>4080</v>
      </c>
    </row>
    <row r="309" spans="1:2">
      <c r="A309" t="s">
        <v>1066</v>
      </c>
      <c r="B309" t="s">
        <v>4080</v>
      </c>
    </row>
    <row r="310" spans="1:2">
      <c r="A310" t="s">
        <v>1072</v>
      </c>
      <c r="B310" t="s">
        <v>4080</v>
      </c>
    </row>
    <row r="311" spans="1:2">
      <c r="A311" t="s">
        <v>1079</v>
      </c>
      <c r="B311" t="s">
        <v>4080</v>
      </c>
    </row>
    <row r="312" spans="1:2">
      <c r="A312" t="s">
        <v>1085</v>
      </c>
      <c r="B312" t="s">
        <v>4080</v>
      </c>
    </row>
    <row r="313" spans="1:2">
      <c r="A313" t="s">
        <v>1090</v>
      </c>
      <c r="B313" t="s">
        <v>4080</v>
      </c>
    </row>
    <row r="314" spans="1:2">
      <c r="A314" t="s">
        <v>1097</v>
      </c>
      <c r="B314" t="s">
        <v>4080</v>
      </c>
    </row>
    <row r="315" spans="1:2">
      <c r="A315" t="s">
        <v>1102</v>
      </c>
      <c r="B315" t="s">
        <v>4080</v>
      </c>
    </row>
    <row r="316" spans="1:2">
      <c r="A316" t="s">
        <v>1106</v>
      </c>
      <c r="B316" t="s">
        <v>4080</v>
      </c>
    </row>
    <row r="317" spans="1:2">
      <c r="A317" t="s">
        <v>1108</v>
      </c>
      <c r="B317" t="s">
        <v>4080</v>
      </c>
    </row>
    <row r="318" spans="1:2">
      <c r="A318" t="s">
        <v>1111</v>
      </c>
      <c r="B318" t="s">
        <v>4080</v>
      </c>
    </row>
    <row r="319" spans="1:2">
      <c r="A319" t="s">
        <v>1116</v>
      </c>
      <c r="B319" t="s">
        <v>4080</v>
      </c>
    </row>
    <row r="320" spans="1:2">
      <c r="A320" t="s">
        <v>1118</v>
      </c>
      <c r="B320" t="s">
        <v>4080</v>
      </c>
    </row>
    <row r="321" spans="1:2">
      <c r="A321" t="s">
        <v>1121</v>
      </c>
      <c r="B321" t="s">
        <v>4080</v>
      </c>
    </row>
    <row r="322" spans="1:2">
      <c r="A322" t="s">
        <v>1125</v>
      </c>
      <c r="B322" t="s">
        <v>4080</v>
      </c>
    </row>
    <row r="323" spans="1:2">
      <c r="A323" t="s">
        <v>500</v>
      </c>
      <c r="B323" t="s">
        <v>4080</v>
      </c>
    </row>
    <row r="324" spans="1:2">
      <c r="A324" t="s">
        <v>1130</v>
      </c>
      <c r="B324" t="s">
        <v>4080</v>
      </c>
    </row>
    <row r="325" spans="1:2">
      <c r="A325" t="s">
        <v>1133</v>
      </c>
      <c r="B325" t="s">
        <v>4080</v>
      </c>
    </row>
    <row r="326" spans="1:2">
      <c r="A326" t="s">
        <v>1138</v>
      </c>
      <c r="B326" t="s">
        <v>4080</v>
      </c>
    </row>
    <row r="327" spans="1:2">
      <c r="A327" t="s">
        <v>1143</v>
      </c>
      <c r="B327" t="s">
        <v>4080</v>
      </c>
    </row>
    <row r="328" spans="1:2">
      <c r="A328" t="s">
        <v>1148</v>
      </c>
      <c r="B328" t="s">
        <v>4080</v>
      </c>
    </row>
    <row r="329" spans="1:2">
      <c r="A329" t="s">
        <v>1153</v>
      </c>
      <c r="B329" t="s">
        <v>4080</v>
      </c>
    </row>
    <row r="330" spans="1:2">
      <c r="A330" t="s">
        <v>1157</v>
      </c>
      <c r="B330" t="s">
        <v>4080</v>
      </c>
    </row>
    <row r="331" spans="1:2">
      <c r="A331" t="s">
        <v>1164</v>
      </c>
      <c r="B331" t="s">
        <v>4080</v>
      </c>
    </row>
    <row r="332" spans="1:2">
      <c r="A332" t="s">
        <v>1170</v>
      </c>
      <c r="B332" t="s">
        <v>4080</v>
      </c>
    </row>
    <row r="333" spans="1:2">
      <c r="A333" t="s">
        <v>1177</v>
      </c>
      <c r="B333" t="s">
        <v>4080</v>
      </c>
    </row>
    <row r="334" spans="1:2">
      <c r="A334" t="s">
        <v>1183</v>
      </c>
      <c r="B334" t="s">
        <v>4080</v>
      </c>
    </row>
    <row r="335" spans="1:2">
      <c r="A335" t="s">
        <v>1187</v>
      </c>
      <c r="B335" t="s">
        <v>4080</v>
      </c>
    </row>
    <row r="336" spans="1:2">
      <c r="A336" t="s">
        <v>1195</v>
      </c>
      <c r="B336" t="s">
        <v>4080</v>
      </c>
    </row>
    <row r="337" spans="1:2">
      <c r="A337" t="s">
        <v>1197</v>
      </c>
      <c r="B337" t="s">
        <v>4080</v>
      </c>
    </row>
    <row r="338" spans="1:2">
      <c r="A338" t="s">
        <v>1203</v>
      </c>
      <c r="B338" t="s">
        <v>4080</v>
      </c>
    </row>
    <row r="339" spans="1:2">
      <c r="A339" t="s">
        <v>1207</v>
      </c>
      <c r="B339" t="s">
        <v>4080</v>
      </c>
    </row>
    <row r="340" spans="1:2">
      <c r="A340" t="s">
        <v>1210</v>
      </c>
      <c r="B340" t="s">
        <v>4080</v>
      </c>
    </row>
    <row r="341" spans="1:2">
      <c r="A341" t="s">
        <v>1213</v>
      </c>
      <c r="B341" t="s">
        <v>4080</v>
      </c>
    </row>
    <row r="342" spans="1:2">
      <c r="A342" t="s">
        <v>1223</v>
      </c>
      <c r="B342" t="s">
        <v>4080</v>
      </c>
    </row>
    <row r="343" spans="1:2">
      <c r="A343" t="s">
        <v>1227</v>
      </c>
      <c r="B343" t="s">
        <v>4080</v>
      </c>
    </row>
    <row r="344" spans="1:2">
      <c r="A344" t="s">
        <v>1230</v>
      </c>
      <c r="B344" t="s">
        <v>4080</v>
      </c>
    </row>
    <row r="345" spans="1:2">
      <c r="A345" t="s">
        <v>1237</v>
      </c>
      <c r="B345" t="s">
        <v>4080</v>
      </c>
    </row>
    <row r="346" spans="1:2">
      <c r="A346" t="s">
        <v>1243</v>
      </c>
      <c r="B346" t="s">
        <v>4080</v>
      </c>
    </row>
    <row r="347" spans="1:2">
      <c r="A347" t="s">
        <v>1249</v>
      </c>
      <c r="B347" t="s">
        <v>4080</v>
      </c>
    </row>
    <row r="348" spans="1:2">
      <c r="A348" t="s">
        <v>1254</v>
      </c>
      <c r="B348" t="s">
        <v>4080</v>
      </c>
    </row>
    <row r="349" spans="1:2">
      <c r="A349" t="s">
        <v>1257</v>
      </c>
      <c r="B349" t="s">
        <v>4080</v>
      </c>
    </row>
    <row r="350" spans="1:2">
      <c r="A350" t="s">
        <v>1258</v>
      </c>
      <c r="B350" t="s">
        <v>4080</v>
      </c>
    </row>
    <row r="351" spans="1:2">
      <c r="A351" t="s">
        <v>1261</v>
      </c>
      <c r="B351" t="s">
        <v>4080</v>
      </c>
    </row>
    <row r="352" spans="1:2">
      <c r="A352" t="s">
        <v>1268</v>
      </c>
      <c r="B352" t="s">
        <v>4080</v>
      </c>
    </row>
    <row r="353" spans="1:2">
      <c r="A353" t="s">
        <v>1270</v>
      </c>
      <c r="B353" t="s">
        <v>4080</v>
      </c>
    </row>
    <row r="354" spans="1:2">
      <c r="A354" t="s">
        <v>1272</v>
      </c>
      <c r="B354" t="s">
        <v>4080</v>
      </c>
    </row>
    <row r="355" spans="1:2">
      <c r="A355" t="s">
        <v>1276</v>
      </c>
      <c r="B355" t="s">
        <v>4080</v>
      </c>
    </row>
    <row r="356" spans="1:2">
      <c r="A356" t="s">
        <v>1282</v>
      </c>
      <c r="B356" t="s">
        <v>4080</v>
      </c>
    </row>
    <row r="357" spans="1:2">
      <c r="A357" t="s">
        <v>1285</v>
      </c>
      <c r="B357" t="s">
        <v>4080</v>
      </c>
    </row>
    <row r="358" spans="1:2">
      <c r="A358" t="s">
        <v>1289</v>
      </c>
      <c r="B358" t="s">
        <v>4080</v>
      </c>
    </row>
    <row r="359" spans="1:2">
      <c r="A359" t="s">
        <v>1294</v>
      </c>
      <c r="B359" t="s">
        <v>4080</v>
      </c>
    </row>
    <row r="360" spans="1:2">
      <c r="A360" t="s">
        <v>1296</v>
      </c>
      <c r="B360" t="s">
        <v>4080</v>
      </c>
    </row>
    <row r="361" spans="1:2">
      <c r="A361" t="s">
        <v>1299</v>
      </c>
      <c r="B361" t="s">
        <v>4080</v>
      </c>
    </row>
    <row r="362" spans="1:2">
      <c r="A362" t="s">
        <v>1304</v>
      </c>
      <c r="B362" t="s">
        <v>4080</v>
      </c>
    </row>
    <row r="363" spans="1:2">
      <c r="A363" t="s">
        <v>1308</v>
      </c>
      <c r="B363" t="s">
        <v>4080</v>
      </c>
    </row>
    <row r="364" spans="1:2">
      <c r="A364" t="s">
        <v>1313</v>
      </c>
      <c r="B364" t="s">
        <v>4080</v>
      </c>
    </row>
    <row r="365" spans="1:2">
      <c r="A365" t="s">
        <v>1319</v>
      </c>
      <c r="B365" t="s">
        <v>4080</v>
      </c>
    </row>
    <row r="366" spans="1:2">
      <c r="A366" t="s">
        <v>1321</v>
      </c>
      <c r="B366" t="s">
        <v>4080</v>
      </c>
    </row>
    <row r="367" spans="1:2">
      <c r="A367" t="s">
        <v>1327</v>
      </c>
      <c r="B367" t="s">
        <v>4080</v>
      </c>
    </row>
    <row r="368" spans="1:2">
      <c r="A368" t="s">
        <v>1331</v>
      </c>
      <c r="B368" t="s">
        <v>4080</v>
      </c>
    </row>
    <row r="369" spans="1:2">
      <c r="A369" t="s">
        <v>1336</v>
      </c>
      <c r="B369" t="s">
        <v>4080</v>
      </c>
    </row>
    <row r="370" spans="1:2">
      <c r="A370" t="s">
        <v>1340</v>
      </c>
      <c r="B370" t="s">
        <v>4080</v>
      </c>
    </row>
    <row r="371" spans="1:2">
      <c r="A371" t="s">
        <v>1344</v>
      </c>
      <c r="B371" t="s">
        <v>4080</v>
      </c>
    </row>
    <row r="372" spans="1:2">
      <c r="A372" t="s">
        <v>1347</v>
      </c>
      <c r="B372" t="s">
        <v>4080</v>
      </c>
    </row>
    <row r="373" spans="1:2">
      <c r="A373" t="s">
        <v>1357</v>
      </c>
      <c r="B373" t="s">
        <v>4080</v>
      </c>
    </row>
    <row r="374" spans="1:2">
      <c r="A374" t="s">
        <v>1362</v>
      </c>
      <c r="B374" t="s">
        <v>4080</v>
      </c>
    </row>
    <row r="375" spans="1:2">
      <c r="A375" t="s">
        <v>1366</v>
      </c>
      <c r="B375" t="s">
        <v>4080</v>
      </c>
    </row>
    <row r="376" spans="1:2">
      <c r="A376" t="s">
        <v>1370</v>
      </c>
      <c r="B376" t="s">
        <v>4080</v>
      </c>
    </row>
    <row r="377" spans="1:2">
      <c r="A377" t="s">
        <v>1374</v>
      </c>
      <c r="B377" t="s">
        <v>4080</v>
      </c>
    </row>
    <row r="378" spans="1:2">
      <c r="A378" t="s">
        <v>1378</v>
      </c>
      <c r="B378" t="s">
        <v>4080</v>
      </c>
    </row>
    <row r="379" spans="1:2">
      <c r="A379" t="s">
        <v>1384</v>
      </c>
      <c r="B379" t="s">
        <v>4080</v>
      </c>
    </row>
    <row r="380" spans="1:2">
      <c r="A380" t="s">
        <v>1389</v>
      </c>
      <c r="B380" t="s">
        <v>4080</v>
      </c>
    </row>
    <row r="381" spans="1:2">
      <c r="A381" t="s">
        <v>1393</v>
      </c>
      <c r="B381" t="s">
        <v>4080</v>
      </c>
    </row>
    <row r="382" spans="1:2">
      <c r="A382" t="s">
        <v>1399</v>
      </c>
      <c r="B382" t="s">
        <v>4080</v>
      </c>
    </row>
    <row r="383" spans="1:2">
      <c r="A383" t="s">
        <v>1405</v>
      </c>
      <c r="B383" t="s">
        <v>4080</v>
      </c>
    </row>
    <row r="384" spans="1:2">
      <c r="A384" t="s">
        <v>1410</v>
      </c>
      <c r="B384" t="s">
        <v>4080</v>
      </c>
    </row>
    <row r="385" spans="1:2">
      <c r="A385" t="s">
        <v>1414</v>
      </c>
      <c r="B385" t="s">
        <v>4080</v>
      </c>
    </row>
    <row r="386" spans="1:2">
      <c r="A386" t="s">
        <v>1415</v>
      </c>
      <c r="B386" t="s">
        <v>4080</v>
      </c>
    </row>
    <row r="387" spans="1:2">
      <c r="A387" t="s">
        <v>1418</v>
      </c>
      <c r="B387" t="s">
        <v>4080</v>
      </c>
    </row>
    <row r="388" spans="1:2">
      <c r="A388" t="s">
        <v>1422</v>
      </c>
      <c r="B388" t="s">
        <v>4080</v>
      </c>
    </row>
    <row r="389" spans="1:2">
      <c r="A389" t="s">
        <v>1427</v>
      </c>
      <c r="B389" t="s">
        <v>4080</v>
      </c>
    </row>
    <row r="390" spans="1:2">
      <c r="A390" t="s">
        <v>1429</v>
      </c>
      <c r="B390" t="s">
        <v>4080</v>
      </c>
    </row>
    <row r="391" spans="1:2">
      <c r="A391" t="s">
        <v>1434</v>
      </c>
      <c r="B391" t="s">
        <v>4080</v>
      </c>
    </row>
    <row r="392" spans="1:2">
      <c r="A392" t="s">
        <v>1439</v>
      </c>
      <c r="B392" t="s">
        <v>4080</v>
      </c>
    </row>
    <row r="393" spans="1:2">
      <c r="A393" t="s">
        <v>1446</v>
      </c>
      <c r="B393" t="s">
        <v>4080</v>
      </c>
    </row>
    <row r="394" spans="1:2">
      <c r="A394" t="s">
        <v>1454</v>
      </c>
      <c r="B394" t="s">
        <v>4080</v>
      </c>
    </row>
    <row r="395" spans="1:2">
      <c r="A395" t="s">
        <v>1463</v>
      </c>
      <c r="B395" t="s">
        <v>4080</v>
      </c>
    </row>
    <row r="396" spans="1:2">
      <c r="A396" t="s">
        <v>1465</v>
      </c>
      <c r="B396" t="s">
        <v>4080</v>
      </c>
    </row>
    <row r="397" spans="1:2">
      <c r="A397" t="s">
        <v>1466</v>
      </c>
      <c r="B397" t="s">
        <v>4080</v>
      </c>
    </row>
    <row r="398" spans="1:2">
      <c r="A398" t="s">
        <v>1467</v>
      </c>
      <c r="B398" t="s">
        <v>4080</v>
      </c>
    </row>
    <row r="399" spans="1:2">
      <c r="A399" t="s">
        <v>1468</v>
      </c>
      <c r="B399" t="s">
        <v>4080</v>
      </c>
    </row>
    <row r="400" spans="1:2">
      <c r="A400" t="s">
        <v>1469</v>
      </c>
      <c r="B400" t="s">
        <v>4080</v>
      </c>
    </row>
    <row r="401" spans="1:2">
      <c r="A401" t="s">
        <v>1470</v>
      </c>
      <c r="B401" t="s">
        <v>4080</v>
      </c>
    </row>
    <row r="402" spans="1:2">
      <c r="A402" t="s">
        <v>1471</v>
      </c>
      <c r="B402" t="s">
        <v>4080</v>
      </c>
    </row>
    <row r="403" spans="1:2">
      <c r="A403" t="s">
        <v>1472</v>
      </c>
      <c r="B403" t="s">
        <v>4080</v>
      </c>
    </row>
    <row r="404" spans="1:2">
      <c r="A404" t="s">
        <v>1473</v>
      </c>
      <c r="B404" t="s">
        <v>4080</v>
      </c>
    </row>
    <row r="405" spans="1:2">
      <c r="A405" t="s">
        <v>1474</v>
      </c>
      <c r="B405" t="s">
        <v>4080</v>
      </c>
    </row>
    <row r="406" spans="1:2">
      <c r="A406" t="s">
        <v>1475</v>
      </c>
      <c r="B406" t="s">
        <v>4080</v>
      </c>
    </row>
    <row r="407" spans="1:2">
      <c r="A407" t="s">
        <v>1476</v>
      </c>
      <c r="B407" t="s">
        <v>4080</v>
      </c>
    </row>
    <row r="408" spans="1:2">
      <c r="A408" t="s">
        <v>1477</v>
      </c>
      <c r="B408" t="s">
        <v>4080</v>
      </c>
    </row>
    <row r="409" spans="1:2">
      <c r="A409" t="s">
        <v>1478</v>
      </c>
      <c r="B409" t="s">
        <v>4080</v>
      </c>
    </row>
    <row r="410" spans="1:2">
      <c r="A410" t="s">
        <v>1479</v>
      </c>
      <c r="B410" t="s">
        <v>4080</v>
      </c>
    </row>
    <row r="411" spans="1:2">
      <c r="A411" t="s">
        <v>1480</v>
      </c>
      <c r="B411" t="s">
        <v>4080</v>
      </c>
    </row>
    <row r="412" spans="1:2">
      <c r="A412" t="s">
        <v>1481</v>
      </c>
      <c r="B412" t="s">
        <v>4080</v>
      </c>
    </row>
    <row r="413" spans="1:2">
      <c r="A413" t="s">
        <v>1482</v>
      </c>
      <c r="B413" t="s">
        <v>4080</v>
      </c>
    </row>
    <row r="414" spans="1:2">
      <c r="A414" t="s">
        <v>1483</v>
      </c>
      <c r="B414" t="s">
        <v>4080</v>
      </c>
    </row>
    <row r="415" spans="1:2">
      <c r="A415" t="s">
        <v>1484</v>
      </c>
      <c r="B415" t="s">
        <v>4080</v>
      </c>
    </row>
    <row r="416" spans="1:2">
      <c r="A416" t="s">
        <v>1485</v>
      </c>
      <c r="B416" t="s">
        <v>4080</v>
      </c>
    </row>
    <row r="417" spans="1:2">
      <c r="A417" t="s">
        <v>1486</v>
      </c>
      <c r="B417" t="s">
        <v>4080</v>
      </c>
    </row>
    <row r="418" spans="1:2">
      <c r="A418" t="s">
        <v>1487</v>
      </c>
      <c r="B418" t="s">
        <v>4080</v>
      </c>
    </row>
    <row r="419" spans="1:2">
      <c r="A419" t="s">
        <v>1488</v>
      </c>
      <c r="B419" t="s">
        <v>4080</v>
      </c>
    </row>
    <row r="420" spans="1:2">
      <c r="A420" t="s">
        <v>1489</v>
      </c>
      <c r="B420" t="s">
        <v>4080</v>
      </c>
    </row>
    <row r="421" spans="1:2">
      <c r="A421" t="s">
        <v>1490</v>
      </c>
      <c r="B421" t="s">
        <v>4080</v>
      </c>
    </row>
    <row r="422" spans="1:2">
      <c r="A422" t="s">
        <v>1491</v>
      </c>
      <c r="B422" t="s">
        <v>4080</v>
      </c>
    </row>
    <row r="423" spans="1:2">
      <c r="A423" t="s">
        <v>1492</v>
      </c>
      <c r="B423" t="s">
        <v>4080</v>
      </c>
    </row>
    <row r="424" spans="1:2">
      <c r="A424" t="s">
        <v>1493</v>
      </c>
      <c r="B424" t="s">
        <v>4080</v>
      </c>
    </row>
    <row r="425" spans="1:2">
      <c r="A425" t="s">
        <v>1494</v>
      </c>
      <c r="B425" t="s">
        <v>4080</v>
      </c>
    </row>
    <row r="426" spans="1:2">
      <c r="A426" t="s">
        <v>1495</v>
      </c>
      <c r="B426" t="s">
        <v>4080</v>
      </c>
    </row>
    <row r="427" spans="1:2">
      <c r="A427" t="s">
        <v>1496</v>
      </c>
      <c r="B427" t="s">
        <v>4080</v>
      </c>
    </row>
    <row r="428" spans="1:2">
      <c r="A428" t="s">
        <v>1497</v>
      </c>
      <c r="B428" t="s">
        <v>4080</v>
      </c>
    </row>
    <row r="429" spans="1:2">
      <c r="A429" t="s">
        <v>1498</v>
      </c>
      <c r="B429" t="s">
        <v>4080</v>
      </c>
    </row>
    <row r="430" spans="1:2">
      <c r="A430" t="s">
        <v>1499</v>
      </c>
      <c r="B430" t="s">
        <v>4080</v>
      </c>
    </row>
    <row r="431" spans="1:2">
      <c r="A431" t="s">
        <v>1500</v>
      </c>
      <c r="B431" t="s">
        <v>4080</v>
      </c>
    </row>
    <row r="432" spans="1:2">
      <c r="A432" t="s">
        <v>1501</v>
      </c>
      <c r="B432" t="s">
        <v>4080</v>
      </c>
    </row>
    <row r="433" spans="1:2">
      <c r="A433" t="s">
        <v>1502</v>
      </c>
      <c r="B433" t="s">
        <v>4080</v>
      </c>
    </row>
    <row r="434" spans="1:2">
      <c r="A434" t="s">
        <v>1503</v>
      </c>
      <c r="B434" t="s">
        <v>4080</v>
      </c>
    </row>
    <row r="435" spans="1:2">
      <c r="A435" t="s">
        <v>1504</v>
      </c>
      <c r="B435" t="s">
        <v>4080</v>
      </c>
    </row>
    <row r="436" spans="1:2">
      <c r="A436" t="s">
        <v>1505</v>
      </c>
      <c r="B436" t="s">
        <v>4080</v>
      </c>
    </row>
    <row r="437" spans="1:2">
      <c r="A437" t="s">
        <v>1506</v>
      </c>
      <c r="B437" t="s">
        <v>4080</v>
      </c>
    </row>
    <row r="438" spans="1:2">
      <c r="A438" t="s">
        <v>1507</v>
      </c>
      <c r="B438" t="s">
        <v>4080</v>
      </c>
    </row>
    <row r="439" spans="1:2">
      <c r="A439" t="s">
        <v>1508</v>
      </c>
      <c r="B439" t="s">
        <v>4080</v>
      </c>
    </row>
    <row r="440" spans="1:2">
      <c r="A440" t="s">
        <v>1509</v>
      </c>
      <c r="B440" t="s">
        <v>4080</v>
      </c>
    </row>
    <row r="441" spans="1:2">
      <c r="A441" t="s">
        <v>1510</v>
      </c>
      <c r="B441" t="s">
        <v>4080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2094</v>
      </c>
      <c r="B1" t="s">
        <v>2788</v>
      </c>
      <c r="C1" t="s">
        <v>2308</v>
      </c>
      <c r="D1" t="s">
        <v>2309</v>
      </c>
      <c r="E1" t="s">
        <v>2310</v>
      </c>
      <c r="F1" t="s">
        <v>1519</v>
      </c>
      <c r="G1" t="s">
        <v>4081</v>
      </c>
      <c r="H1" t="s">
        <v>2312</v>
      </c>
      <c r="I1" t="s">
        <v>4082</v>
      </c>
    </row>
    <row r="2" spans="1:9">
      <c r="A2" s="145" t="s">
        <v>4083</v>
      </c>
      <c r="B2" t="s">
        <v>2154</v>
      </c>
      <c r="C2" t="s">
        <v>2315</v>
      </c>
      <c r="D2" t="s">
        <v>2316</v>
      </c>
      <c r="E2" t="s">
        <v>2317</v>
      </c>
      <c r="F2" t="s">
        <v>2320</v>
      </c>
      <c r="G2" t="s">
        <v>4084</v>
      </c>
      <c r="H2" t="s">
        <v>2319</v>
      </c>
      <c r="I2" t="s">
        <v>3955</v>
      </c>
    </row>
    <row r="3" spans="1:9">
      <c r="A3" s="145" t="s">
        <v>4083</v>
      </c>
      <c r="B3" t="s">
        <v>2154</v>
      </c>
      <c r="C3" t="s">
        <v>2321</v>
      </c>
      <c r="D3" t="s">
        <v>2322</v>
      </c>
      <c r="E3" t="s">
        <v>2317</v>
      </c>
      <c r="G3" t="s">
        <v>4084</v>
      </c>
      <c r="H3" t="s">
        <v>2319</v>
      </c>
      <c r="I3" t="s">
        <v>3955</v>
      </c>
    </row>
    <row r="4" spans="1:9">
      <c r="A4" s="145" t="s">
        <v>4083</v>
      </c>
      <c r="B4" t="s">
        <v>2154</v>
      </c>
      <c r="C4" t="s">
        <v>2324</v>
      </c>
      <c r="D4" t="s">
        <v>2322</v>
      </c>
      <c r="E4" t="s">
        <v>2317</v>
      </c>
      <c r="G4" t="s">
        <v>4084</v>
      </c>
      <c r="H4" t="s">
        <v>2319</v>
      </c>
      <c r="I4" t="s">
        <v>3955</v>
      </c>
    </row>
    <row r="5" spans="1:9">
      <c r="A5" s="145" t="s">
        <v>4083</v>
      </c>
      <c r="B5" t="s">
        <v>2154</v>
      </c>
      <c r="C5" t="s">
        <v>2325</v>
      </c>
      <c r="D5" t="s">
        <v>2326</v>
      </c>
      <c r="E5" t="s">
        <v>2317</v>
      </c>
      <c r="G5" t="s">
        <v>4084</v>
      </c>
      <c r="H5" t="s">
        <v>2319</v>
      </c>
      <c r="I5" t="s">
        <v>3955</v>
      </c>
    </row>
    <row r="6" spans="1:9">
      <c r="A6" s="145" t="s">
        <v>4083</v>
      </c>
      <c r="B6" t="s">
        <v>2156</v>
      </c>
      <c r="C6" t="s">
        <v>2328</v>
      </c>
      <c r="E6" t="s">
        <v>2329</v>
      </c>
      <c r="F6" t="s">
        <v>2331</v>
      </c>
      <c r="G6" t="s">
        <v>4084</v>
      </c>
      <c r="H6" t="s">
        <v>2330</v>
      </c>
      <c r="I6" t="s">
        <v>3959</v>
      </c>
    </row>
    <row r="7" spans="1:9">
      <c r="A7" s="145" t="s">
        <v>4083</v>
      </c>
      <c r="B7" t="s">
        <v>2163</v>
      </c>
      <c r="C7" t="s">
        <v>2333</v>
      </c>
      <c r="D7" t="s">
        <v>2334</v>
      </c>
      <c r="E7" t="s">
        <v>2335</v>
      </c>
      <c r="G7" t="s">
        <v>4084</v>
      </c>
      <c r="H7" t="s">
        <v>2330</v>
      </c>
      <c r="I7" t="s">
        <v>3971</v>
      </c>
    </row>
    <row r="8" spans="1:9">
      <c r="A8" s="145" t="s">
        <v>4083</v>
      </c>
      <c r="B8" t="s">
        <v>2163</v>
      </c>
      <c r="C8" t="s">
        <v>2336</v>
      </c>
      <c r="D8" t="s">
        <v>2334</v>
      </c>
      <c r="E8" t="s">
        <v>2329</v>
      </c>
      <c r="G8" t="s">
        <v>4084</v>
      </c>
      <c r="H8" t="s">
        <v>2330</v>
      </c>
      <c r="I8" t="s">
        <v>3971</v>
      </c>
    </row>
    <row r="9" spans="1:9">
      <c r="A9" s="145" t="s">
        <v>4083</v>
      </c>
      <c r="B9" t="s">
        <v>2163</v>
      </c>
      <c r="C9" t="s">
        <v>2337</v>
      </c>
      <c r="D9" t="s">
        <v>2334</v>
      </c>
      <c r="E9" t="s">
        <v>2329</v>
      </c>
      <c r="G9" t="s">
        <v>4084</v>
      </c>
      <c r="H9" t="s">
        <v>2330</v>
      </c>
      <c r="I9" t="s">
        <v>3971</v>
      </c>
    </row>
    <row r="10" spans="1:9">
      <c r="A10" s="145" t="s">
        <v>4083</v>
      </c>
      <c r="B10" t="s">
        <v>2163</v>
      </c>
      <c r="C10" t="s">
        <v>2338</v>
      </c>
      <c r="D10" t="s">
        <v>2339</v>
      </c>
      <c r="E10" t="s">
        <v>2329</v>
      </c>
      <c r="G10" t="s">
        <v>4084</v>
      </c>
      <c r="H10" t="s">
        <v>2330</v>
      </c>
      <c r="I10" t="s">
        <v>3971</v>
      </c>
    </row>
    <row r="11" spans="1:9">
      <c r="A11" s="145" t="s">
        <v>4083</v>
      </c>
      <c r="B11" t="s">
        <v>2163</v>
      </c>
      <c r="C11" t="s">
        <v>2340</v>
      </c>
      <c r="E11" t="s">
        <v>2329</v>
      </c>
      <c r="G11" t="s">
        <v>4084</v>
      </c>
      <c r="H11" t="s">
        <v>2330</v>
      </c>
      <c r="I11" t="s">
        <v>3971</v>
      </c>
    </row>
    <row r="12" spans="1:9">
      <c r="A12" s="145" t="s">
        <v>4083</v>
      </c>
      <c r="B12" t="s">
        <v>2163</v>
      </c>
      <c r="C12" t="s">
        <v>2341</v>
      </c>
      <c r="E12" t="s">
        <v>2329</v>
      </c>
      <c r="G12" t="s">
        <v>4084</v>
      </c>
      <c r="H12" t="s">
        <v>2330</v>
      </c>
      <c r="I12" t="s">
        <v>3971</v>
      </c>
    </row>
    <row r="13" spans="1:9">
      <c r="A13" s="145" t="s">
        <v>4083</v>
      </c>
      <c r="B13" t="s">
        <v>2163</v>
      </c>
      <c r="C13" t="s">
        <v>2342</v>
      </c>
      <c r="E13" t="s">
        <v>2329</v>
      </c>
      <c r="G13" t="s">
        <v>4084</v>
      </c>
      <c r="H13" t="s">
        <v>2330</v>
      </c>
      <c r="I13" t="s">
        <v>3971</v>
      </c>
    </row>
    <row r="14" spans="1:9">
      <c r="A14" s="145" t="s">
        <v>4083</v>
      </c>
      <c r="B14" t="s">
        <v>2164</v>
      </c>
      <c r="C14" t="s">
        <v>2344</v>
      </c>
      <c r="E14" t="s">
        <v>2345</v>
      </c>
      <c r="G14" t="s">
        <v>4085</v>
      </c>
      <c r="H14" t="s">
        <v>2346</v>
      </c>
      <c r="I14" t="s">
        <v>3973</v>
      </c>
    </row>
    <row r="15" spans="1:9">
      <c r="A15" s="145" t="s">
        <v>4083</v>
      </c>
      <c r="B15" t="s">
        <v>2164</v>
      </c>
      <c r="C15" t="s">
        <v>2347</v>
      </c>
      <c r="E15" t="s">
        <v>2329</v>
      </c>
      <c r="G15" t="s">
        <v>4084</v>
      </c>
      <c r="H15" t="s">
        <v>2330</v>
      </c>
      <c r="I15" t="s">
        <v>3973</v>
      </c>
    </row>
    <row r="16" spans="1:9">
      <c r="A16" s="145" t="s">
        <v>4083</v>
      </c>
      <c r="B16" t="s">
        <v>2164</v>
      </c>
      <c r="C16" t="s">
        <v>2348</v>
      </c>
      <c r="E16" t="s">
        <v>2329</v>
      </c>
      <c r="G16" t="s">
        <v>4084</v>
      </c>
      <c r="H16" t="s">
        <v>2330</v>
      </c>
      <c r="I16" t="s">
        <v>3973</v>
      </c>
    </row>
    <row r="17" spans="1:9">
      <c r="A17" s="145" t="s">
        <v>4083</v>
      </c>
      <c r="B17" t="s">
        <v>2166</v>
      </c>
      <c r="C17" t="s">
        <v>2350</v>
      </c>
      <c r="E17" t="s">
        <v>2329</v>
      </c>
      <c r="G17" t="s">
        <v>4084</v>
      </c>
      <c r="H17" t="s">
        <v>2330</v>
      </c>
      <c r="I17" t="s">
        <v>3975</v>
      </c>
    </row>
    <row r="18" spans="1:9">
      <c r="A18" s="145" t="s">
        <v>4083</v>
      </c>
      <c r="B18" t="s">
        <v>2169</v>
      </c>
      <c r="C18" t="s">
        <v>2352</v>
      </c>
      <c r="D18" t="s">
        <v>2353</v>
      </c>
      <c r="E18" t="s">
        <v>2317</v>
      </c>
      <c r="F18" t="s">
        <v>2354</v>
      </c>
      <c r="G18" t="s">
        <v>4084</v>
      </c>
      <c r="H18" t="s">
        <v>2319</v>
      </c>
      <c r="I18" t="s">
        <v>3983</v>
      </c>
    </row>
    <row r="19" spans="1:9">
      <c r="A19" s="145" t="s">
        <v>4083</v>
      </c>
      <c r="B19" t="s">
        <v>2169</v>
      </c>
      <c r="C19" t="s">
        <v>2355</v>
      </c>
      <c r="D19" t="s">
        <v>2356</v>
      </c>
      <c r="E19" t="s">
        <v>2317</v>
      </c>
      <c r="F19" t="s">
        <v>2357</v>
      </c>
      <c r="G19" t="s">
        <v>4084</v>
      </c>
      <c r="H19" t="s">
        <v>2319</v>
      </c>
      <c r="I19" t="s">
        <v>3983</v>
      </c>
    </row>
    <row r="20" spans="1:9">
      <c r="A20" s="145" t="s">
        <v>4083</v>
      </c>
      <c r="B20" t="s">
        <v>2169</v>
      </c>
      <c r="C20" t="s">
        <v>2358</v>
      </c>
      <c r="E20" t="s">
        <v>2329</v>
      </c>
      <c r="G20" t="s">
        <v>4084</v>
      </c>
      <c r="H20" t="s">
        <v>2330</v>
      </c>
      <c r="I20" t="s">
        <v>3983</v>
      </c>
    </row>
    <row r="21" spans="1:9">
      <c r="A21" s="145" t="s">
        <v>4083</v>
      </c>
      <c r="B21" t="s">
        <v>2173</v>
      </c>
      <c r="C21" t="s">
        <v>2360</v>
      </c>
      <c r="E21" t="s">
        <v>2317</v>
      </c>
      <c r="F21" t="s">
        <v>2361</v>
      </c>
      <c r="G21" t="s">
        <v>4084</v>
      </c>
      <c r="H21" t="s">
        <v>2319</v>
      </c>
      <c r="I21" t="s">
        <v>3987</v>
      </c>
    </row>
    <row r="22" spans="1:9">
      <c r="A22" s="145" t="s">
        <v>4083</v>
      </c>
      <c r="B22" t="s">
        <v>2173</v>
      </c>
      <c r="C22" t="s">
        <v>2362</v>
      </c>
      <c r="D22" t="s">
        <v>2363</v>
      </c>
      <c r="E22" t="s">
        <v>2364</v>
      </c>
      <c r="G22" t="s">
        <v>4084</v>
      </c>
      <c r="H22" t="s">
        <v>2365</v>
      </c>
      <c r="I22" t="s">
        <v>3987</v>
      </c>
    </row>
    <row r="23" spans="1:9">
      <c r="A23" s="145" t="s">
        <v>4083</v>
      </c>
      <c r="B23" t="s">
        <v>2178</v>
      </c>
      <c r="C23" t="s">
        <v>2367</v>
      </c>
      <c r="E23" t="s">
        <v>2317</v>
      </c>
      <c r="F23" t="s">
        <v>2368</v>
      </c>
      <c r="G23" t="s">
        <v>4084</v>
      </c>
      <c r="H23" t="s">
        <v>2319</v>
      </c>
      <c r="I23" t="s">
        <v>3995</v>
      </c>
    </row>
    <row r="24" spans="1:9">
      <c r="A24" s="145" t="s">
        <v>4083</v>
      </c>
      <c r="B24" t="s">
        <v>2178</v>
      </c>
      <c r="C24" t="s">
        <v>2369</v>
      </c>
      <c r="D24" t="s">
        <v>2370</v>
      </c>
      <c r="E24" t="s">
        <v>2317</v>
      </c>
      <c r="F24" t="s">
        <v>2371</v>
      </c>
      <c r="G24" t="s">
        <v>4084</v>
      </c>
      <c r="H24" t="s">
        <v>2319</v>
      </c>
      <c r="I24" t="s">
        <v>3995</v>
      </c>
    </row>
    <row r="25" spans="1:9">
      <c r="A25" s="145" t="s">
        <v>4083</v>
      </c>
      <c r="B25" t="s">
        <v>2178</v>
      </c>
      <c r="C25" t="s">
        <v>2372</v>
      </c>
      <c r="E25" t="s">
        <v>2329</v>
      </c>
      <c r="G25" t="s">
        <v>4084</v>
      </c>
      <c r="H25" t="s">
        <v>2330</v>
      </c>
      <c r="I25" t="s">
        <v>3995</v>
      </c>
    </row>
    <row r="26" spans="1:9">
      <c r="A26" s="145" t="s">
        <v>4083</v>
      </c>
      <c r="B26" t="s">
        <v>3874</v>
      </c>
      <c r="C26" t="s">
        <v>2374</v>
      </c>
      <c r="E26" t="s">
        <v>2329</v>
      </c>
      <c r="F26" t="s">
        <v>2375</v>
      </c>
      <c r="G26" t="s">
        <v>4084</v>
      </c>
      <c r="H26" t="s">
        <v>2330</v>
      </c>
    </row>
    <row r="27" spans="1:9">
      <c r="A27" s="145" t="s">
        <v>4086</v>
      </c>
      <c r="B27" t="s">
        <v>2154</v>
      </c>
      <c r="C27" t="s">
        <v>2377</v>
      </c>
      <c r="D27" t="s">
        <v>2378</v>
      </c>
      <c r="E27" t="s">
        <v>1622</v>
      </c>
      <c r="F27" t="s">
        <v>2380</v>
      </c>
      <c r="G27" t="s">
        <v>4087</v>
      </c>
      <c r="H27" t="s">
        <v>621</v>
      </c>
      <c r="I27" t="s">
        <v>3955</v>
      </c>
    </row>
    <row r="28" spans="1:9">
      <c r="A28" s="145" t="s">
        <v>4086</v>
      </c>
      <c r="B28" t="s">
        <v>2154</v>
      </c>
      <c r="C28" t="s">
        <v>2381</v>
      </c>
      <c r="E28" t="s">
        <v>1396</v>
      </c>
      <c r="G28" t="s">
        <v>4088</v>
      </c>
      <c r="H28" t="s">
        <v>1396</v>
      </c>
      <c r="I28" t="s">
        <v>3955</v>
      </c>
    </row>
    <row r="29" spans="1:9">
      <c r="A29" s="145" t="s">
        <v>4086</v>
      </c>
      <c r="B29" t="s">
        <v>2154</v>
      </c>
      <c r="C29" t="s">
        <v>2382</v>
      </c>
      <c r="E29" t="s">
        <v>2383</v>
      </c>
      <c r="G29" t="s">
        <v>4088</v>
      </c>
      <c r="H29" t="s">
        <v>1396</v>
      </c>
      <c r="I29" t="s">
        <v>3955</v>
      </c>
    </row>
    <row r="30" spans="1:9">
      <c r="A30" s="145" t="s">
        <v>4086</v>
      </c>
      <c r="B30" t="s">
        <v>2156</v>
      </c>
      <c r="C30" t="s">
        <v>2328</v>
      </c>
      <c r="E30" t="s">
        <v>2329</v>
      </c>
      <c r="F30" t="s">
        <v>2331</v>
      </c>
      <c r="G30" t="s">
        <v>4089</v>
      </c>
      <c r="H30" t="s">
        <v>2385</v>
      </c>
      <c r="I30" t="s">
        <v>3959</v>
      </c>
    </row>
    <row r="31" spans="1:9">
      <c r="A31" s="145" t="s">
        <v>4086</v>
      </c>
      <c r="B31" t="s">
        <v>2161</v>
      </c>
      <c r="C31" t="s">
        <v>2387</v>
      </c>
      <c r="E31" t="s">
        <v>621</v>
      </c>
      <c r="F31" t="s">
        <v>2388</v>
      </c>
      <c r="G31" t="s">
        <v>4087</v>
      </c>
      <c r="H31" t="s">
        <v>621</v>
      </c>
      <c r="I31" t="s">
        <v>3967</v>
      </c>
    </row>
    <row r="32" spans="1:9">
      <c r="A32" s="145" t="s">
        <v>4086</v>
      </c>
      <c r="B32" t="s">
        <v>2161</v>
      </c>
      <c r="C32" t="s">
        <v>2389</v>
      </c>
      <c r="D32" t="s">
        <v>2390</v>
      </c>
      <c r="E32" t="s">
        <v>621</v>
      </c>
      <c r="F32" t="s">
        <v>2391</v>
      </c>
      <c r="G32" t="s">
        <v>4087</v>
      </c>
      <c r="H32" t="s">
        <v>621</v>
      </c>
      <c r="I32" t="s">
        <v>3967</v>
      </c>
    </row>
    <row r="33" spans="1:9">
      <c r="A33" s="145" t="s">
        <v>4086</v>
      </c>
      <c r="B33" t="s">
        <v>2161</v>
      </c>
      <c r="C33" t="s">
        <v>2392</v>
      </c>
      <c r="D33" t="s">
        <v>2390</v>
      </c>
      <c r="E33" t="s">
        <v>2393</v>
      </c>
      <c r="F33" t="s">
        <v>2394</v>
      </c>
      <c r="G33" t="s">
        <v>4088</v>
      </c>
      <c r="H33" t="s">
        <v>621</v>
      </c>
      <c r="I33" t="s">
        <v>3967</v>
      </c>
    </row>
    <row r="34" spans="1:9">
      <c r="A34" s="145" t="s">
        <v>4086</v>
      </c>
      <c r="B34" t="s">
        <v>2163</v>
      </c>
      <c r="C34" t="s">
        <v>2333</v>
      </c>
      <c r="D34" t="s">
        <v>2334</v>
      </c>
      <c r="E34" t="s">
        <v>2335</v>
      </c>
      <c r="G34" t="s">
        <v>4089</v>
      </c>
      <c r="H34" t="s">
        <v>2385</v>
      </c>
      <c r="I34" t="s">
        <v>3971</v>
      </c>
    </row>
    <row r="35" spans="1:9">
      <c r="A35" s="145" t="s">
        <v>4086</v>
      </c>
      <c r="B35" t="s">
        <v>2163</v>
      </c>
      <c r="C35" t="s">
        <v>2336</v>
      </c>
      <c r="D35" t="s">
        <v>2334</v>
      </c>
      <c r="E35" t="s">
        <v>2329</v>
      </c>
      <c r="G35" t="s">
        <v>4089</v>
      </c>
      <c r="H35" t="s">
        <v>2385</v>
      </c>
      <c r="I35" t="s">
        <v>3971</v>
      </c>
    </row>
    <row r="36" spans="1:9">
      <c r="A36" s="145" t="s">
        <v>4086</v>
      </c>
      <c r="B36" t="s">
        <v>2163</v>
      </c>
      <c r="C36" t="s">
        <v>2337</v>
      </c>
      <c r="D36" t="s">
        <v>2334</v>
      </c>
      <c r="E36" t="s">
        <v>2329</v>
      </c>
      <c r="G36" t="s">
        <v>4089</v>
      </c>
      <c r="H36" t="s">
        <v>2385</v>
      </c>
      <c r="I36" t="s">
        <v>3971</v>
      </c>
    </row>
    <row r="37" spans="1:9">
      <c r="A37" s="145" t="s">
        <v>4086</v>
      </c>
      <c r="B37" t="s">
        <v>2163</v>
      </c>
      <c r="C37" t="s">
        <v>2338</v>
      </c>
      <c r="D37" t="s">
        <v>2339</v>
      </c>
      <c r="E37" t="s">
        <v>2329</v>
      </c>
      <c r="G37" t="s">
        <v>4089</v>
      </c>
      <c r="H37" t="s">
        <v>2385</v>
      </c>
      <c r="I37" t="s">
        <v>3971</v>
      </c>
    </row>
    <row r="38" spans="1:9">
      <c r="A38" s="145" t="s">
        <v>4086</v>
      </c>
      <c r="B38" t="s">
        <v>2163</v>
      </c>
      <c r="C38" t="s">
        <v>2340</v>
      </c>
      <c r="E38" t="s">
        <v>2329</v>
      </c>
      <c r="G38" t="s">
        <v>4089</v>
      </c>
      <c r="H38" t="s">
        <v>2385</v>
      </c>
      <c r="I38" t="s">
        <v>3971</v>
      </c>
    </row>
    <row r="39" spans="1:9">
      <c r="A39" s="145" t="s">
        <v>4086</v>
      </c>
      <c r="B39" t="s">
        <v>2163</v>
      </c>
      <c r="C39" t="s">
        <v>2341</v>
      </c>
      <c r="E39" t="s">
        <v>2329</v>
      </c>
      <c r="G39" t="s">
        <v>4089</v>
      </c>
      <c r="H39" t="s">
        <v>2385</v>
      </c>
      <c r="I39" t="s">
        <v>3971</v>
      </c>
    </row>
    <row r="40" spans="1:9">
      <c r="A40" s="145" t="s">
        <v>4086</v>
      </c>
      <c r="B40" t="s">
        <v>2163</v>
      </c>
      <c r="C40" t="s">
        <v>2342</v>
      </c>
      <c r="E40" t="s">
        <v>2329</v>
      </c>
      <c r="G40" t="s">
        <v>4089</v>
      </c>
      <c r="H40" t="s">
        <v>2385</v>
      </c>
      <c r="I40" t="s">
        <v>3971</v>
      </c>
    </row>
    <row r="41" spans="1:9">
      <c r="A41" s="145" t="s">
        <v>4086</v>
      </c>
      <c r="B41" t="s">
        <v>2164</v>
      </c>
      <c r="C41" t="s">
        <v>2347</v>
      </c>
      <c r="E41" t="s">
        <v>2329</v>
      </c>
      <c r="G41" t="s">
        <v>4089</v>
      </c>
      <c r="H41" t="s">
        <v>2385</v>
      </c>
      <c r="I41" t="s">
        <v>3973</v>
      </c>
    </row>
    <row r="42" spans="1:9">
      <c r="A42" s="145" t="s">
        <v>4086</v>
      </c>
      <c r="B42" t="s">
        <v>2164</v>
      </c>
      <c r="C42" t="s">
        <v>2348</v>
      </c>
      <c r="E42" t="s">
        <v>2329</v>
      </c>
      <c r="G42" t="s">
        <v>4089</v>
      </c>
      <c r="H42" t="s">
        <v>2385</v>
      </c>
      <c r="I42" t="s">
        <v>3973</v>
      </c>
    </row>
    <row r="43" spans="1:9">
      <c r="A43" s="145" t="s">
        <v>4086</v>
      </c>
      <c r="B43" t="s">
        <v>2164</v>
      </c>
      <c r="C43" t="s">
        <v>2397</v>
      </c>
      <c r="E43" t="s">
        <v>621</v>
      </c>
      <c r="F43" t="s">
        <v>2398</v>
      </c>
      <c r="G43" t="s">
        <v>4087</v>
      </c>
      <c r="H43" t="s">
        <v>621</v>
      </c>
      <c r="I43" t="s">
        <v>3973</v>
      </c>
    </row>
    <row r="44" spans="1:9">
      <c r="A44" s="145" t="s">
        <v>4086</v>
      </c>
      <c r="B44" t="s">
        <v>2166</v>
      </c>
      <c r="C44" t="s">
        <v>2400</v>
      </c>
      <c r="E44" t="s">
        <v>2401</v>
      </c>
      <c r="G44" t="s">
        <v>4087</v>
      </c>
      <c r="H44" t="s">
        <v>621</v>
      </c>
      <c r="I44" t="s">
        <v>3975</v>
      </c>
    </row>
    <row r="45" spans="1:9">
      <c r="A45" s="145" t="s">
        <v>4086</v>
      </c>
      <c r="B45" t="s">
        <v>2166</v>
      </c>
      <c r="C45" t="s">
        <v>2350</v>
      </c>
      <c r="E45" t="s">
        <v>2329</v>
      </c>
      <c r="G45" t="s">
        <v>4089</v>
      </c>
      <c r="H45" t="s">
        <v>2385</v>
      </c>
      <c r="I45" t="s">
        <v>3975</v>
      </c>
    </row>
    <row r="46" spans="1:9">
      <c r="A46" s="145" t="s">
        <v>4086</v>
      </c>
      <c r="B46" t="s">
        <v>2169</v>
      </c>
      <c r="C46" t="s">
        <v>2403</v>
      </c>
      <c r="D46" t="s">
        <v>2404</v>
      </c>
      <c r="E46" t="s">
        <v>621</v>
      </c>
      <c r="F46" t="s">
        <v>2405</v>
      </c>
      <c r="G46" t="s">
        <v>4087</v>
      </c>
      <c r="H46" t="s">
        <v>621</v>
      </c>
      <c r="I46" t="s">
        <v>3983</v>
      </c>
    </row>
    <row r="47" spans="1:9">
      <c r="A47" s="145" t="s">
        <v>4086</v>
      </c>
      <c r="B47" t="s">
        <v>2169</v>
      </c>
      <c r="C47" t="s">
        <v>2406</v>
      </c>
      <c r="D47" t="s">
        <v>2407</v>
      </c>
      <c r="E47" t="s">
        <v>2408</v>
      </c>
      <c r="F47" t="s">
        <v>2409</v>
      </c>
      <c r="G47" t="s">
        <v>4087</v>
      </c>
      <c r="H47" t="s">
        <v>621</v>
      </c>
      <c r="I47" t="s">
        <v>3983</v>
      </c>
    </row>
    <row r="48" spans="1:9">
      <c r="A48" s="145" t="s">
        <v>4086</v>
      </c>
      <c r="B48" t="s">
        <v>2169</v>
      </c>
      <c r="C48" t="s">
        <v>2358</v>
      </c>
      <c r="E48" t="s">
        <v>2329</v>
      </c>
      <c r="G48" t="s">
        <v>4089</v>
      </c>
      <c r="H48" t="s">
        <v>2385</v>
      </c>
      <c r="I48" t="s">
        <v>3983</v>
      </c>
    </row>
    <row r="49" spans="1:9">
      <c r="A49" s="145" t="s">
        <v>4086</v>
      </c>
      <c r="B49" t="s">
        <v>2173</v>
      </c>
      <c r="C49" t="s">
        <v>2411</v>
      </c>
      <c r="D49" t="s">
        <v>2412</v>
      </c>
      <c r="E49" t="s">
        <v>621</v>
      </c>
      <c r="G49" t="s">
        <v>4087</v>
      </c>
      <c r="H49" t="s">
        <v>621</v>
      </c>
      <c r="I49" t="s">
        <v>3987</v>
      </c>
    </row>
    <row r="50" spans="1:9">
      <c r="A50" s="145" t="s">
        <v>4086</v>
      </c>
      <c r="B50" t="s">
        <v>2173</v>
      </c>
      <c r="C50" t="s">
        <v>2413</v>
      </c>
      <c r="D50" t="s">
        <v>2407</v>
      </c>
      <c r="E50" t="s">
        <v>2414</v>
      </c>
      <c r="F50" t="s">
        <v>2416</v>
      </c>
      <c r="G50" t="s">
        <v>4088</v>
      </c>
      <c r="H50" t="s">
        <v>2415</v>
      </c>
      <c r="I50" t="s">
        <v>3987</v>
      </c>
    </row>
    <row r="51" spans="1:9">
      <c r="A51" s="145" t="s">
        <v>4086</v>
      </c>
      <c r="B51" t="s">
        <v>2173</v>
      </c>
      <c r="C51" t="s">
        <v>2417</v>
      </c>
      <c r="E51" t="s">
        <v>621</v>
      </c>
      <c r="F51" t="s">
        <v>2361</v>
      </c>
      <c r="G51" t="s">
        <v>4087</v>
      </c>
      <c r="H51" t="s">
        <v>621</v>
      </c>
      <c r="I51" t="s">
        <v>3987</v>
      </c>
    </row>
    <row r="52" spans="1:9">
      <c r="A52" s="145" t="s">
        <v>4086</v>
      </c>
      <c r="B52" t="s">
        <v>2173</v>
      </c>
      <c r="C52" t="s">
        <v>2362</v>
      </c>
      <c r="D52" t="s">
        <v>2363</v>
      </c>
      <c r="E52" t="s">
        <v>2364</v>
      </c>
      <c r="G52" t="s">
        <v>4089</v>
      </c>
      <c r="H52" t="s">
        <v>2418</v>
      </c>
      <c r="I52" t="s">
        <v>3987</v>
      </c>
    </row>
    <row r="53" spans="1:9">
      <c r="A53" s="145" t="s">
        <v>4086</v>
      </c>
      <c r="B53" t="s">
        <v>2176</v>
      </c>
      <c r="C53" t="s">
        <v>2420</v>
      </c>
      <c r="E53" t="s">
        <v>621</v>
      </c>
      <c r="G53" t="s">
        <v>4087</v>
      </c>
      <c r="H53" t="s">
        <v>621</v>
      </c>
      <c r="I53" t="s">
        <v>3991</v>
      </c>
    </row>
    <row r="54" spans="1:9">
      <c r="A54" s="145" t="s">
        <v>4086</v>
      </c>
      <c r="B54" t="s">
        <v>2176</v>
      </c>
      <c r="C54" t="s">
        <v>2421</v>
      </c>
      <c r="D54" t="s">
        <v>2422</v>
      </c>
      <c r="E54" t="s">
        <v>2423</v>
      </c>
      <c r="F54" t="s">
        <v>2425</v>
      </c>
      <c r="G54" t="s">
        <v>4088</v>
      </c>
      <c r="H54" t="s">
        <v>2424</v>
      </c>
      <c r="I54" t="s">
        <v>3991</v>
      </c>
    </row>
    <row r="55" spans="1:9">
      <c r="A55" s="145" t="s">
        <v>4086</v>
      </c>
      <c r="B55" t="s">
        <v>2178</v>
      </c>
      <c r="C55" t="s">
        <v>2427</v>
      </c>
      <c r="D55" t="s">
        <v>2370</v>
      </c>
      <c r="E55" t="s">
        <v>2428</v>
      </c>
      <c r="F55" t="s">
        <v>2429</v>
      </c>
      <c r="G55" t="s">
        <v>4087</v>
      </c>
      <c r="H55" t="s">
        <v>621</v>
      </c>
      <c r="I55" t="s">
        <v>3995</v>
      </c>
    </row>
    <row r="56" spans="1:9">
      <c r="A56" s="145" t="s">
        <v>4086</v>
      </c>
      <c r="B56" t="s">
        <v>2178</v>
      </c>
      <c r="C56" t="s">
        <v>2372</v>
      </c>
      <c r="E56" t="s">
        <v>2329</v>
      </c>
      <c r="G56" t="s">
        <v>4089</v>
      </c>
      <c r="H56" t="s">
        <v>2385</v>
      </c>
      <c r="I56" t="s">
        <v>3995</v>
      </c>
    </row>
    <row r="57" spans="1:9">
      <c r="A57" s="145" t="s">
        <v>4086</v>
      </c>
      <c r="B57" t="s">
        <v>3874</v>
      </c>
      <c r="C57" t="s">
        <v>2374</v>
      </c>
      <c r="E57" t="s">
        <v>2329</v>
      </c>
      <c r="F57" t="s">
        <v>2375</v>
      </c>
      <c r="G57" t="s">
        <v>4089</v>
      </c>
      <c r="H57" t="s">
        <v>2385</v>
      </c>
    </row>
    <row r="58" spans="1:9">
      <c r="A58" s="145" t="s">
        <v>4086</v>
      </c>
      <c r="B58" t="s">
        <v>3874</v>
      </c>
      <c r="C58" t="s">
        <v>2431</v>
      </c>
      <c r="D58" t="s">
        <v>2432</v>
      </c>
      <c r="E58" t="s">
        <v>621</v>
      </c>
      <c r="F58" t="s">
        <v>2433</v>
      </c>
      <c r="G58" t="s">
        <v>4087</v>
      </c>
      <c r="H58" t="s">
        <v>621</v>
      </c>
    </row>
    <row r="59" spans="1:9">
      <c r="A59" s="145" t="s">
        <v>4086</v>
      </c>
      <c r="B59" t="s">
        <v>3874</v>
      </c>
      <c r="C59" t="s">
        <v>2434</v>
      </c>
      <c r="D59" t="s">
        <v>2435</v>
      </c>
      <c r="E59" t="s">
        <v>2436</v>
      </c>
      <c r="F59" t="s">
        <v>2437</v>
      </c>
      <c r="G59" t="s">
        <v>4088</v>
      </c>
      <c r="H59" t="s">
        <v>2436</v>
      </c>
    </row>
    <row r="60" spans="1:9">
      <c r="A60" s="145" t="s">
        <v>4090</v>
      </c>
      <c r="B60" t="s">
        <v>2154</v>
      </c>
      <c r="C60" t="s">
        <v>2377</v>
      </c>
      <c r="D60" t="s">
        <v>2378</v>
      </c>
      <c r="E60" t="s">
        <v>1622</v>
      </c>
      <c r="F60" t="s">
        <v>2380</v>
      </c>
      <c r="G60" t="s">
        <v>4091</v>
      </c>
      <c r="H60" t="s">
        <v>120</v>
      </c>
      <c r="I60" t="s">
        <v>3955</v>
      </c>
    </row>
    <row r="61" spans="1:9">
      <c r="A61" s="145" t="s">
        <v>4090</v>
      </c>
      <c r="B61" t="s">
        <v>2154</v>
      </c>
      <c r="C61" t="s">
        <v>2377</v>
      </c>
      <c r="D61" t="s">
        <v>2378</v>
      </c>
      <c r="E61" t="s">
        <v>1622</v>
      </c>
      <c r="F61" t="s">
        <v>2380</v>
      </c>
      <c r="G61" t="s">
        <v>4092</v>
      </c>
      <c r="H61" t="s">
        <v>120</v>
      </c>
      <c r="I61" t="s">
        <v>3955</v>
      </c>
    </row>
    <row r="62" spans="1:9">
      <c r="A62" s="145" t="s">
        <v>4090</v>
      </c>
      <c r="B62" t="s">
        <v>2154</v>
      </c>
      <c r="C62" t="s">
        <v>2381</v>
      </c>
      <c r="E62" t="s">
        <v>1396</v>
      </c>
      <c r="G62" t="s">
        <v>4092</v>
      </c>
      <c r="H62" t="s">
        <v>1396</v>
      </c>
      <c r="I62" t="s">
        <v>3955</v>
      </c>
    </row>
    <row r="63" spans="1:9">
      <c r="A63" s="145" t="s">
        <v>4090</v>
      </c>
      <c r="B63" t="s">
        <v>2154</v>
      </c>
      <c r="C63" t="s">
        <v>2382</v>
      </c>
      <c r="E63" t="s">
        <v>2383</v>
      </c>
      <c r="G63" t="s">
        <v>4091</v>
      </c>
      <c r="H63" t="s">
        <v>120</v>
      </c>
      <c r="I63" t="s">
        <v>3955</v>
      </c>
    </row>
    <row r="64" spans="1:9">
      <c r="A64" s="145" t="s">
        <v>4090</v>
      </c>
      <c r="B64" t="s">
        <v>2154</v>
      </c>
      <c r="C64" t="s">
        <v>2382</v>
      </c>
      <c r="E64" t="s">
        <v>2383</v>
      </c>
      <c r="G64" t="s">
        <v>4092</v>
      </c>
      <c r="H64" t="s">
        <v>2383</v>
      </c>
      <c r="I64" t="s">
        <v>3955</v>
      </c>
    </row>
    <row r="65" spans="1:9">
      <c r="A65" s="145" t="s">
        <v>4090</v>
      </c>
      <c r="B65" t="s">
        <v>2154</v>
      </c>
      <c r="C65" t="s">
        <v>2441</v>
      </c>
      <c r="D65" t="s">
        <v>2316</v>
      </c>
      <c r="E65" t="s">
        <v>120</v>
      </c>
      <c r="G65" t="s">
        <v>4091</v>
      </c>
      <c r="H65" t="s">
        <v>120</v>
      </c>
      <c r="I65" t="s">
        <v>3955</v>
      </c>
    </row>
    <row r="66" spans="1:9">
      <c r="A66" s="145" t="s">
        <v>4090</v>
      </c>
      <c r="B66" t="s">
        <v>2154</v>
      </c>
      <c r="C66" t="s">
        <v>2441</v>
      </c>
      <c r="D66" t="s">
        <v>2316</v>
      </c>
      <c r="E66" t="s">
        <v>120</v>
      </c>
      <c r="G66" t="s">
        <v>4092</v>
      </c>
      <c r="H66" t="s">
        <v>120</v>
      </c>
      <c r="I66" t="s">
        <v>3955</v>
      </c>
    </row>
    <row r="67" spans="1:9">
      <c r="A67" s="145" t="s">
        <v>4090</v>
      </c>
      <c r="B67" t="s">
        <v>2154</v>
      </c>
      <c r="C67" t="s">
        <v>2442</v>
      </c>
      <c r="D67" t="s">
        <v>2326</v>
      </c>
      <c r="E67" t="s">
        <v>120</v>
      </c>
      <c r="F67" t="s">
        <v>2443</v>
      </c>
      <c r="G67" t="s">
        <v>4091</v>
      </c>
      <c r="H67" t="s">
        <v>120</v>
      </c>
      <c r="I67" t="s">
        <v>3955</v>
      </c>
    </row>
    <row r="68" spans="1:9">
      <c r="A68" s="145" t="s">
        <v>4090</v>
      </c>
      <c r="B68" t="s">
        <v>2154</v>
      </c>
      <c r="C68" t="s">
        <v>2442</v>
      </c>
      <c r="D68" t="s">
        <v>2326</v>
      </c>
      <c r="E68" t="s">
        <v>120</v>
      </c>
      <c r="F68" t="s">
        <v>2443</v>
      </c>
      <c r="G68" t="s">
        <v>4092</v>
      </c>
      <c r="H68" t="s">
        <v>120</v>
      </c>
      <c r="I68" t="s">
        <v>3955</v>
      </c>
    </row>
    <row r="69" spans="1:9">
      <c r="A69" s="145" t="s">
        <v>4090</v>
      </c>
      <c r="B69" t="s">
        <v>2154</v>
      </c>
      <c r="C69" t="s">
        <v>2444</v>
      </c>
      <c r="E69" t="s">
        <v>120</v>
      </c>
      <c r="G69" t="s">
        <v>4091</v>
      </c>
      <c r="H69" t="s">
        <v>120</v>
      </c>
      <c r="I69" t="s">
        <v>3955</v>
      </c>
    </row>
    <row r="70" spans="1:9">
      <c r="A70" s="145" t="s">
        <v>4090</v>
      </c>
      <c r="B70" t="s">
        <v>2154</v>
      </c>
      <c r="C70" t="s">
        <v>2444</v>
      </c>
      <c r="E70" t="s">
        <v>120</v>
      </c>
      <c r="G70" t="s">
        <v>4092</v>
      </c>
      <c r="H70" t="s">
        <v>120</v>
      </c>
      <c r="I70" t="s">
        <v>3955</v>
      </c>
    </row>
    <row r="71" spans="1:9">
      <c r="A71" s="145" t="s">
        <v>4090</v>
      </c>
      <c r="B71" t="s">
        <v>2156</v>
      </c>
      <c r="C71" t="s">
        <v>2446</v>
      </c>
      <c r="D71" t="s">
        <v>2334</v>
      </c>
      <c r="E71" t="s">
        <v>120</v>
      </c>
      <c r="G71" t="s">
        <v>4091</v>
      </c>
      <c r="H71" t="s">
        <v>120</v>
      </c>
      <c r="I71" t="s">
        <v>3959</v>
      </c>
    </row>
    <row r="72" spans="1:9">
      <c r="A72" s="145" t="s">
        <v>4090</v>
      </c>
      <c r="B72" t="s">
        <v>2156</v>
      </c>
      <c r="C72" t="s">
        <v>2446</v>
      </c>
      <c r="D72" t="s">
        <v>2334</v>
      </c>
      <c r="E72" t="s">
        <v>120</v>
      </c>
      <c r="G72" t="s">
        <v>4092</v>
      </c>
      <c r="H72" t="s">
        <v>120</v>
      </c>
      <c r="I72" t="s">
        <v>3959</v>
      </c>
    </row>
    <row r="73" spans="1:9">
      <c r="A73" s="145" t="s">
        <v>4090</v>
      </c>
      <c r="B73" t="s">
        <v>2156</v>
      </c>
      <c r="C73" t="s">
        <v>2447</v>
      </c>
      <c r="D73" t="s">
        <v>2448</v>
      </c>
      <c r="E73" t="s">
        <v>120</v>
      </c>
      <c r="F73" t="s">
        <v>2449</v>
      </c>
      <c r="G73" t="s">
        <v>4091</v>
      </c>
      <c r="H73" t="s">
        <v>120</v>
      </c>
      <c r="I73" t="s">
        <v>3959</v>
      </c>
    </row>
    <row r="74" spans="1:9">
      <c r="A74" s="145" t="s">
        <v>4090</v>
      </c>
      <c r="B74" t="s">
        <v>2156</v>
      </c>
      <c r="C74" t="s">
        <v>2447</v>
      </c>
      <c r="D74" t="s">
        <v>2448</v>
      </c>
      <c r="E74" t="s">
        <v>120</v>
      </c>
      <c r="F74" t="s">
        <v>2449</v>
      </c>
      <c r="G74" t="s">
        <v>4092</v>
      </c>
      <c r="H74" t="s">
        <v>120</v>
      </c>
      <c r="I74" t="s">
        <v>3959</v>
      </c>
    </row>
    <row r="75" spans="1:9">
      <c r="A75" s="145" t="s">
        <v>4090</v>
      </c>
      <c r="B75" t="s">
        <v>2156</v>
      </c>
      <c r="C75" t="s">
        <v>2450</v>
      </c>
      <c r="D75" t="s">
        <v>2448</v>
      </c>
      <c r="E75" t="s">
        <v>120</v>
      </c>
      <c r="G75" t="s">
        <v>4091</v>
      </c>
      <c r="H75" t="s">
        <v>120</v>
      </c>
      <c r="I75" t="s">
        <v>3959</v>
      </c>
    </row>
    <row r="76" spans="1:9">
      <c r="A76" s="145" t="s">
        <v>4090</v>
      </c>
      <c r="B76" t="s">
        <v>2156</v>
      </c>
      <c r="C76" t="s">
        <v>2450</v>
      </c>
      <c r="D76" t="s">
        <v>2448</v>
      </c>
      <c r="E76" t="s">
        <v>120</v>
      </c>
      <c r="G76" t="s">
        <v>4092</v>
      </c>
      <c r="H76" t="s">
        <v>120</v>
      </c>
      <c r="I76" t="s">
        <v>3959</v>
      </c>
    </row>
    <row r="77" spans="1:9">
      <c r="A77" s="145" t="s">
        <v>4090</v>
      </c>
      <c r="B77" t="s">
        <v>2156</v>
      </c>
      <c r="C77" t="s">
        <v>2328</v>
      </c>
      <c r="E77" t="s">
        <v>2329</v>
      </c>
      <c r="F77" t="s">
        <v>2331</v>
      </c>
      <c r="G77" t="s">
        <v>4093</v>
      </c>
      <c r="H77" t="s">
        <v>2451</v>
      </c>
      <c r="I77" t="s">
        <v>3959</v>
      </c>
    </row>
    <row r="78" spans="1:9">
      <c r="A78" s="145" t="s">
        <v>4090</v>
      </c>
      <c r="B78" t="s">
        <v>2156</v>
      </c>
      <c r="C78" t="s">
        <v>2328</v>
      </c>
      <c r="E78" t="s">
        <v>2329</v>
      </c>
      <c r="F78" t="s">
        <v>2331</v>
      </c>
      <c r="G78" t="s">
        <v>4092</v>
      </c>
      <c r="H78" t="s">
        <v>2451</v>
      </c>
      <c r="I78" t="s">
        <v>3959</v>
      </c>
    </row>
    <row r="79" spans="1:9">
      <c r="A79" s="145" t="s">
        <v>4090</v>
      </c>
      <c r="B79" t="s">
        <v>2156</v>
      </c>
      <c r="C79" t="s">
        <v>2452</v>
      </c>
      <c r="D79" t="s">
        <v>2453</v>
      </c>
      <c r="E79" t="s">
        <v>120</v>
      </c>
      <c r="F79" t="s">
        <v>2454</v>
      </c>
      <c r="G79" t="s">
        <v>4091</v>
      </c>
      <c r="H79" t="s">
        <v>120</v>
      </c>
      <c r="I79" t="s">
        <v>3959</v>
      </c>
    </row>
    <row r="80" spans="1:9">
      <c r="A80" s="145" t="s">
        <v>4090</v>
      </c>
      <c r="B80" t="s">
        <v>2156</v>
      </c>
      <c r="C80" t="s">
        <v>2452</v>
      </c>
      <c r="D80" t="s">
        <v>2453</v>
      </c>
      <c r="E80" t="s">
        <v>120</v>
      </c>
      <c r="F80" t="s">
        <v>2454</v>
      </c>
      <c r="G80" t="s">
        <v>4092</v>
      </c>
      <c r="H80" t="s">
        <v>120</v>
      </c>
      <c r="I80" t="s">
        <v>3959</v>
      </c>
    </row>
    <row r="81" spans="1:9">
      <c r="A81" s="145" t="s">
        <v>4090</v>
      </c>
      <c r="B81" t="s">
        <v>3644</v>
      </c>
      <c r="C81" t="s">
        <v>2456</v>
      </c>
      <c r="D81" t="s">
        <v>2457</v>
      </c>
      <c r="E81" t="s">
        <v>120</v>
      </c>
      <c r="G81" t="s">
        <v>4091</v>
      </c>
      <c r="H81" t="s">
        <v>120</v>
      </c>
      <c r="I81" t="s">
        <v>3963</v>
      </c>
    </row>
    <row r="82" spans="1:9">
      <c r="A82" s="145" t="s">
        <v>4090</v>
      </c>
      <c r="B82" t="s">
        <v>3644</v>
      </c>
      <c r="C82" t="s">
        <v>2456</v>
      </c>
      <c r="D82" t="s">
        <v>2457</v>
      </c>
      <c r="E82" t="s">
        <v>120</v>
      </c>
      <c r="G82" t="s">
        <v>4092</v>
      </c>
      <c r="H82" t="s">
        <v>120</v>
      </c>
      <c r="I82" t="s">
        <v>3963</v>
      </c>
    </row>
    <row r="83" spans="1:9">
      <c r="A83" s="145" t="s">
        <v>4090</v>
      </c>
      <c r="B83" t="s">
        <v>3644</v>
      </c>
      <c r="C83" t="s">
        <v>2458</v>
      </c>
      <c r="D83" t="s">
        <v>2457</v>
      </c>
      <c r="E83" t="s">
        <v>2459</v>
      </c>
      <c r="G83" t="s">
        <v>4091</v>
      </c>
      <c r="H83" t="s">
        <v>120</v>
      </c>
      <c r="I83" t="s">
        <v>3963</v>
      </c>
    </row>
    <row r="84" spans="1:9">
      <c r="A84" s="145" t="s">
        <v>4090</v>
      </c>
      <c r="B84" t="s">
        <v>3644</v>
      </c>
      <c r="C84" t="s">
        <v>2458</v>
      </c>
      <c r="D84" t="s">
        <v>2457</v>
      </c>
      <c r="E84" t="s">
        <v>2459</v>
      </c>
      <c r="G84" t="s">
        <v>4092</v>
      </c>
      <c r="H84" t="s">
        <v>120</v>
      </c>
      <c r="I84" t="s">
        <v>3963</v>
      </c>
    </row>
    <row r="85" spans="1:9">
      <c r="A85" s="145" t="s">
        <v>4090</v>
      </c>
      <c r="B85" t="s">
        <v>3644</v>
      </c>
      <c r="C85" t="s">
        <v>2460</v>
      </c>
      <c r="D85" t="s">
        <v>2457</v>
      </c>
      <c r="E85" t="s">
        <v>2461</v>
      </c>
      <c r="F85" t="s">
        <v>2462</v>
      </c>
      <c r="G85" t="s">
        <v>4091</v>
      </c>
      <c r="H85" t="s">
        <v>120</v>
      </c>
      <c r="I85" t="s">
        <v>3963</v>
      </c>
    </row>
    <row r="86" spans="1:9">
      <c r="A86" s="145" t="s">
        <v>4090</v>
      </c>
      <c r="B86" t="s">
        <v>3644</v>
      </c>
      <c r="C86" t="s">
        <v>2460</v>
      </c>
      <c r="D86" t="s">
        <v>2457</v>
      </c>
      <c r="E86" t="s">
        <v>2461</v>
      </c>
      <c r="F86" t="s">
        <v>2462</v>
      </c>
      <c r="G86" t="s">
        <v>4092</v>
      </c>
      <c r="H86" t="s">
        <v>120</v>
      </c>
      <c r="I86" t="s">
        <v>3963</v>
      </c>
    </row>
    <row r="87" spans="1:9">
      <c r="A87" s="145" t="s">
        <v>4090</v>
      </c>
      <c r="B87" t="s">
        <v>3644</v>
      </c>
      <c r="C87" t="s">
        <v>2463</v>
      </c>
      <c r="D87" t="s">
        <v>2457</v>
      </c>
      <c r="E87" t="s">
        <v>120</v>
      </c>
      <c r="G87" t="s">
        <v>4091</v>
      </c>
      <c r="H87" t="s">
        <v>120</v>
      </c>
      <c r="I87" t="s">
        <v>3963</v>
      </c>
    </row>
    <row r="88" spans="1:9">
      <c r="A88" s="145" t="s">
        <v>4090</v>
      </c>
      <c r="B88" t="s">
        <v>3644</v>
      </c>
      <c r="C88" t="s">
        <v>2463</v>
      </c>
      <c r="D88" t="s">
        <v>2457</v>
      </c>
      <c r="E88" t="s">
        <v>120</v>
      </c>
      <c r="G88" t="s">
        <v>4092</v>
      </c>
      <c r="H88" t="s">
        <v>120</v>
      </c>
      <c r="I88" t="s">
        <v>3963</v>
      </c>
    </row>
    <row r="89" spans="1:9">
      <c r="A89" s="145" t="s">
        <v>4090</v>
      </c>
      <c r="B89" t="s">
        <v>2161</v>
      </c>
      <c r="C89" t="s">
        <v>2465</v>
      </c>
      <c r="D89" t="s">
        <v>2466</v>
      </c>
      <c r="E89" t="s">
        <v>2467</v>
      </c>
      <c r="G89" t="s">
        <v>4091</v>
      </c>
      <c r="H89" t="s">
        <v>120</v>
      </c>
      <c r="I89" t="s">
        <v>3967</v>
      </c>
    </row>
    <row r="90" spans="1:9">
      <c r="A90" s="145" t="s">
        <v>4090</v>
      </c>
      <c r="B90" t="s">
        <v>2161</v>
      </c>
      <c r="C90" t="s">
        <v>2465</v>
      </c>
      <c r="D90" t="s">
        <v>2466</v>
      </c>
      <c r="E90" t="s">
        <v>2467</v>
      </c>
      <c r="G90" t="s">
        <v>4092</v>
      </c>
      <c r="H90" t="s">
        <v>120</v>
      </c>
      <c r="I90" t="s">
        <v>3967</v>
      </c>
    </row>
    <row r="91" spans="1:9">
      <c r="A91" s="145" t="s">
        <v>4090</v>
      </c>
      <c r="B91" t="s">
        <v>2161</v>
      </c>
      <c r="C91" t="s">
        <v>2468</v>
      </c>
      <c r="D91" t="s">
        <v>2390</v>
      </c>
      <c r="E91" t="s">
        <v>120</v>
      </c>
      <c r="G91" t="s">
        <v>4091</v>
      </c>
      <c r="H91" t="s">
        <v>120</v>
      </c>
      <c r="I91" t="s">
        <v>3967</v>
      </c>
    </row>
    <row r="92" spans="1:9">
      <c r="A92" s="145" t="s">
        <v>4090</v>
      </c>
      <c r="B92" t="s">
        <v>2161</v>
      </c>
      <c r="C92" t="s">
        <v>2468</v>
      </c>
      <c r="D92" t="s">
        <v>2390</v>
      </c>
      <c r="E92" t="s">
        <v>120</v>
      </c>
      <c r="G92" t="s">
        <v>4092</v>
      </c>
      <c r="H92" t="s">
        <v>120</v>
      </c>
      <c r="I92" t="s">
        <v>3967</v>
      </c>
    </row>
    <row r="93" spans="1:9">
      <c r="A93" s="145" t="s">
        <v>4090</v>
      </c>
      <c r="B93" t="s">
        <v>2161</v>
      </c>
      <c r="C93" t="s">
        <v>2469</v>
      </c>
      <c r="D93" t="s">
        <v>2466</v>
      </c>
      <c r="E93" t="s">
        <v>2470</v>
      </c>
      <c r="G93" t="s">
        <v>4091</v>
      </c>
      <c r="H93" t="s">
        <v>120</v>
      </c>
      <c r="I93" t="s">
        <v>3967</v>
      </c>
    </row>
    <row r="94" spans="1:9">
      <c r="A94" s="145" t="s">
        <v>4090</v>
      </c>
      <c r="B94" t="s">
        <v>2161</v>
      </c>
      <c r="C94" t="s">
        <v>2469</v>
      </c>
      <c r="D94" t="s">
        <v>2466</v>
      </c>
      <c r="E94" t="s">
        <v>2470</v>
      </c>
      <c r="G94" t="s">
        <v>4092</v>
      </c>
      <c r="H94" t="s">
        <v>120</v>
      </c>
      <c r="I94" t="s">
        <v>3967</v>
      </c>
    </row>
    <row r="95" spans="1:9">
      <c r="A95" s="145" t="s">
        <v>4090</v>
      </c>
      <c r="B95" t="s">
        <v>2161</v>
      </c>
      <c r="C95" t="s">
        <v>2392</v>
      </c>
      <c r="D95" t="s">
        <v>2390</v>
      </c>
      <c r="E95" t="s">
        <v>2393</v>
      </c>
      <c r="F95" t="s">
        <v>2394</v>
      </c>
      <c r="G95" t="s">
        <v>4091</v>
      </c>
      <c r="H95" t="s">
        <v>120</v>
      </c>
      <c r="I95" t="s">
        <v>3967</v>
      </c>
    </row>
    <row r="96" spans="1:9">
      <c r="A96" s="145" t="s">
        <v>4090</v>
      </c>
      <c r="B96" t="s">
        <v>2161</v>
      </c>
      <c r="C96" t="s">
        <v>2392</v>
      </c>
      <c r="D96" t="s">
        <v>2390</v>
      </c>
      <c r="E96" t="s">
        <v>2393</v>
      </c>
      <c r="F96" t="s">
        <v>2394</v>
      </c>
      <c r="G96" t="s">
        <v>4092</v>
      </c>
      <c r="H96" t="s">
        <v>120</v>
      </c>
      <c r="I96" t="s">
        <v>3967</v>
      </c>
    </row>
    <row r="97" spans="1:9">
      <c r="A97" s="145" t="s">
        <v>4090</v>
      </c>
      <c r="B97" t="s">
        <v>2161</v>
      </c>
      <c r="C97" t="s">
        <v>2471</v>
      </c>
      <c r="D97" t="s">
        <v>2472</v>
      </c>
      <c r="E97" t="s">
        <v>120</v>
      </c>
      <c r="F97" t="s">
        <v>2473</v>
      </c>
      <c r="G97" t="s">
        <v>4091</v>
      </c>
      <c r="H97" t="s">
        <v>120</v>
      </c>
      <c r="I97" t="s">
        <v>3967</v>
      </c>
    </row>
    <row r="98" spans="1:9">
      <c r="A98" s="145" t="s">
        <v>4090</v>
      </c>
      <c r="B98" t="s">
        <v>2161</v>
      </c>
      <c r="C98" t="s">
        <v>2471</v>
      </c>
      <c r="D98" t="s">
        <v>2472</v>
      </c>
      <c r="E98" t="s">
        <v>120</v>
      </c>
      <c r="F98" t="s">
        <v>2473</v>
      </c>
      <c r="G98" t="s">
        <v>4092</v>
      </c>
      <c r="H98" t="s">
        <v>120</v>
      </c>
      <c r="I98" t="s">
        <v>3967</v>
      </c>
    </row>
    <row r="99" spans="1:9">
      <c r="A99" s="145" t="s">
        <v>4090</v>
      </c>
      <c r="B99" t="s">
        <v>2161</v>
      </c>
      <c r="C99" t="s">
        <v>2474</v>
      </c>
      <c r="D99" t="s">
        <v>2472</v>
      </c>
      <c r="E99" t="s">
        <v>120</v>
      </c>
      <c r="G99" t="s">
        <v>4091</v>
      </c>
      <c r="H99" t="s">
        <v>120</v>
      </c>
      <c r="I99" t="s">
        <v>3967</v>
      </c>
    </row>
    <row r="100" spans="1:9">
      <c r="A100" s="145" t="s">
        <v>4090</v>
      </c>
      <c r="B100" t="s">
        <v>2161</v>
      </c>
      <c r="C100" t="s">
        <v>2474</v>
      </c>
      <c r="D100" t="s">
        <v>2472</v>
      </c>
      <c r="E100" t="s">
        <v>120</v>
      </c>
      <c r="G100" t="s">
        <v>4092</v>
      </c>
      <c r="H100" t="s">
        <v>120</v>
      </c>
      <c r="I100" t="s">
        <v>3967</v>
      </c>
    </row>
    <row r="101" spans="1:9">
      <c r="A101" s="145" t="s">
        <v>4090</v>
      </c>
      <c r="B101" t="s">
        <v>2163</v>
      </c>
      <c r="C101" t="s">
        <v>2476</v>
      </c>
      <c r="D101" t="s">
        <v>2477</v>
      </c>
      <c r="E101" t="s">
        <v>120</v>
      </c>
      <c r="F101" t="s">
        <v>2478</v>
      </c>
      <c r="G101" t="s">
        <v>4091</v>
      </c>
      <c r="H101" t="s">
        <v>120</v>
      </c>
      <c r="I101" t="s">
        <v>3971</v>
      </c>
    </row>
    <row r="102" spans="1:9">
      <c r="A102" s="145" t="s">
        <v>4090</v>
      </c>
      <c r="B102" t="s">
        <v>2163</v>
      </c>
      <c r="C102" t="s">
        <v>2476</v>
      </c>
      <c r="D102" t="s">
        <v>2477</v>
      </c>
      <c r="E102" t="s">
        <v>120</v>
      </c>
      <c r="F102" t="s">
        <v>2478</v>
      </c>
      <c r="G102" t="s">
        <v>4092</v>
      </c>
      <c r="H102" t="s">
        <v>120</v>
      </c>
      <c r="I102" t="s">
        <v>3971</v>
      </c>
    </row>
    <row r="103" spans="1:9">
      <c r="A103" s="145" t="s">
        <v>4090</v>
      </c>
      <c r="B103" t="s">
        <v>2163</v>
      </c>
      <c r="C103" t="s">
        <v>2333</v>
      </c>
      <c r="D103" t="s">
        <v>2334</v>
      </c>
      <c r="E103" t="s">
        <v>2335</v>
      </c>
      <c r="G103" t="s">
        <v>4093</v>
      </c>
      <c r="H103" t="s">
        <v>2451</v>
      </c>
      <c r="I103" t="s">
        <v>3971</v>
      </c>
    </row>
    <row r="104" spans="1:9">
      <c r="A104" s="145" t="s">
        <v>4090</v>
      </c>
      <c r="B104" t="s">
        <v>2163</v>
      </c>
      <c r="C104" t="s">
        <v>2333</v>
      </c>
      <c r="D104" t="s">
        <v>2334</v>
      </c>
      <c r="E104" t="s">
        <v>2335</v>
      </c>
      <c r="G104" t="s">
        <v>4092</v>
      </c>
      <c r="H104" t="s">
        <v>2451</v>
      </c>
      <c r="I104" t="s">
        <v>3971</v>
      </c>
    </row>
    <row r="105" spans="1:9">
      <c r="A105" s="145" t="s">
        <v>4090</v>
      </c>
      <c r="B105" t="s">
        <v>2163</v>
      </c>
      <c r="C105" t="s">
        <v>2336</v>
      </c>
      <c r="D105" t="s">
        <v>2334</v>
      </c>
      <c r="E105" t="s">
        <v>2329</v>
      </c>
      <c r="G105" t="s">
        <v>4093</v>
      </c>
      <c r="H105" t="s">
        <v>2451</v>
      </c>
      <c r="I105" t="s">
        <v>3971</v>
      </c>
    </row>
    <row r="106" spans="1:9">
      <c r="A106" s="145" t="s">
        <v>4090</v>
      </c>
      <c r="B106" t="s">
        <v>2163</v>
      </c>
      <c r="C106" t="s">
        <v>2336</v>
      </c>
      <c r="D106" t="s">
        <v>2334</v>
      </c>
      <c r="E106" t="s">
        <v>2329</v>
      </c>
      <c r="G106" t="s">
        <v>4092</v>
      </c>
      <c r="H106" t="s">
        <v>2451</v>
      </c>
      <c r="I106" t="s">
        <v>3971</v>
      </c>
    </row>
    <row r="107" spans="1:9">
      <c r="A107" s="145" t="s">
        <v>4090</v>
      </c>
      <c r="B107" t="s">
        <v>2163</v>
      </c>
      <c r="C107" t="s">
        <v>2337</v>
      </c>
      <c r="D107" t="s">
        <v>2334</v>
      </c>
      <c r="E107" t="s">
        <v>2329</v>
      </c>
      <c r="G107" t="s">
        <v>4093</v>
      </c>
      <c r="H107" t="s">
        <v>2451</v>
      </c>
      <c r="I107" t="s">
        <v>3971</v>
      </c>
    </row>
    <row r="108" spans="1:9">
      <c r="A108" s="145" t="s">
        <v>4090</v>
      </c>
      <c r="B108" t="s">
        <v>2163</v>
      </c>
      <c r="C108" t="s">
        <v>2337</v>
      </c>
      <c r="D108" t="s">
        <v>2334</v>
      </c>
      <c r="E108" t="s">
        <v>2329</v>
      </c>
      <c r="G108" t="s">
        <v>4092</v>
      </c>
      <c r="H108" t="s">
        <v>2451</v>
      </c>
      <c r="I108" t="s">
        <v>3971</v>
      </c>
    </row>
    <row r="109" spans="1:9">
      <c r="A109" s="145" t="s">
        <v>4090</v>
      </c>
      <c r="B109" t="s">
        <v>2163</v>
      </c>
      <c r="C109" t="s">
        <v>2338</v>
      </c>
      <c r="D109" t="s">
        <v>2339</v>
      </c>
      <c r="E109" t="s">
        <v>2329</v>
      </c>
      <c r="G109" t="s">
        <v>4093</v>
      </c>
      <c r="H109" t="s">
        <v>2451</v>
      </c>
      <c r="I109" t="s">
        <v>3971</v>
      </c>
    </row>
    <row r="110" spans="1:9">
      <c r="A110" s="145" t="s">
        <v>4090</v>
      </c>
      <c r="B110" t="s">
        <v>2163</v>
      </c>
      <c r="C110" t="s">
        <v>2338</v>
      </c>
      <c r="D110" t="s">
        <v>2339</v>
      </c>
      <c r="E110" t="s">
        <v>2329</v>
      </c>
      <c r="G110" t="s">
        <v>4092</v>
      </c>
      <c r="H110" t="s">
        <v>2451</v>
      </c>
      <c r="I110" t="s">
        <v>3971</v>
      </c>
    </row>
    <row r="111" spans="1:9">
      <c r="A111" s="145" t="s">
        <v>4090</v>
      </c>
      <c r="B111" t="s">
        <v>2163</v>
      </c>
      <c r="C111" t="s">
        <v>2340</v>
      </c>
      <c r="E111" t="s">
        <v>2329</v>
      </c>
      <c r="G111" t="s">
        <v>4093</v>
      </c>
      <c r="H111" t="s">
        <v>2451</v>
      </c>
      <c r="I111" t="s">
        <v>3971</v>
      </c>
    </row>
    <row r="112" spans="1:9">
      <c r="A112" s="145" t="s">
        <v>4090</v>
      </c>
      <c r="B112" t="s">
        <v>2163</v>
      </c>
      <c r="C112" t="s">
        <v>2340</v>
      </c>
      <c r="E112" t="s">
        <v>2329</v>
      </c>
      <c r="G112" t="s">
        <v>4092</v>
      </c>
      <c r="H112" t="s">
        <v>2451</v>
      </c>
      <c r="I112" t="s">
        <v>3971</v>
      </c>
    </row>
    <row r="113" spans="1:9">
      <c r="A113" s="145" t="s">
        <v>4090</v>
      </c>
      <c r="B113" t="s">
        <v>2163</v>
      </c>
      <c r="C113" t="s">
        <v>2341</v>
      </c>
      <c r="E113" t="s">
        <v>2329</v>
      </c>
      <c r="G113" t="s">
        <v>4093</v>
      </c>
      <c r="H113" t="s">
        <v>2451</v>
      </c>
      <c r="I113" t="s">
        <v>3971</v>
      </c>
    </row>
    <row r="114" spans="1:9">
      <c r="A114" s="145" t="s">
        <v>4090</v>
      </c>
      <c r="B114" t="s">
        <v>2163</v>
      </c>
      <c r="C114" t="s">
        <v>2341</v>
      </c>
      <c r="E114" t="s">
        <v>2329</v>
      </c>
      <c r="G114" t="s">
        <v>4092</v>
      </c>
      <c r="H114" t="s">
        <v>2451</v>
      </c>
      <c r="I114" t="s">
        <v>3971</v>
      </c>
    </row>
    <row r="115" spans="1:9">
      <c r="A115" s="145" t="s">
        <v>4090</v>
      </c>
      <c r="B115" t="s">
        <v>2163</v>
      </c>
      <c r="C115" t="s">
        <v>2342</v>
      </c>
      <c r="E115" t="s">
        <v>2329</v>
      </c>
      <c r="G115" t="s">
        <v>4093</v>
      </c>
      <c r="H115" t="s">
        <v>2451</v>
      </c>
      <c r="I115" t="s">
        <v>3971</v>
      </c>
    </row>
    <row r="116" spans="1:9">
      <c r="A116" s="145" t="s">
        <v>4090</v>
      </c>
      <c r="B116" t="s">
        <v>2163</v>
      </c>
      <c r="C116" t="s">
        <v>2342</v>
      </c>
      <c r="E116" t="s">
        <v>2329</v>
      </c>
      <c r="G116" t="s">
        <v>4092</v>
      </c>
      <c r="H116" t="s">
        <v>2451</v>
      </c>
      <c r="I116" t="s">
        <v>3971</v>
      </c>
    </row>
    <row r="117" spans="1:9">
      <c r="A117" s="145" t="s">
        <v>4090</v>
      </c>
      <c r="B117" t="s">
        <v>2164</v>
      </c>
      <c r="C117" t="s">
        <v>2480</v>
      </c>
      <c r="D117" t="s">
        <v>2481</v>
      </c>
      <c r="E117" t="s">
        <v>120</v>
      </c>
      <c r="G117" t="s">
        <v>4091</v>
      </c>
      <c r="H117" t="s">
        <v>120</v>
      </c>
      <c r="I117" t="s">
        <v>3973</v>
      </c>
    </row>
    <row r="118" spans="1:9">
      <c r="A118" s="145" t="s">
        <v>4090</v>
      </c>
      <c r="B118" t="s">
        <v>2164</v>
      </c>
      <c r="C118" t="s">
        <v>2480</v>
      </c>
      <c r="D118" t="s">
        <v>2481</v>
      </c>
      <c r="E118" t="s">
        <v>120</v>
      </c>
      <c r="G118" t="s">
        <v>4092</v>
      </c>
      <c r="H118" t="s">
        <v>120</v>
      </c>
      <c r="I118" t="s">
        <v>3973</v>
      </c>
    </row>
    <row r="119" spans="1:9">
      <c r="A119" s="145" t="s">
        <v>4090</v>
      </c>
      <c r="B119" t="s">
        <v>2164</v>
      </c>
      <c r="C119" t="s">
        <v>2482</v>
      </c>
      <c r="D119" t="s">
        <v>2483</v>
      </c>
      <c r="E119" t="s">
        <v>120</v>
      </c>
      <c r="G119" t="s">
        <v>4091</v>
      </c>
      <c r="H119" t="s">
        <v>120</v>
      </c>
      <c r="I119" t="s">
        <v>3973</v>
      </c>
    </row>
    <row r="120" spans="1:9">
      <c r="A120" s="145" t="s">
        <v>4090</v>
      </c>
      <c r="B120" t="s">
        <v>2164</v>
      </c>
      <c r="C120" t="s">
        <v>2482</v>
      </c>
      <c r="D120" t="s">
        <v>2483</v>
      </c>
      <c r="E120" t="s">
        <v>120</v>
      </c>
      <c r="G120" t="s">
        <v>4092</v>
      </c>
      <c r="H120" t="s">
        <v>120</v>
      </c>
      <c r="I120" t="s">
        <v>3973</v>
      </c>
    </row>
    <row r="121" spans="1:9">
      <c r="A121" s="145" t="s">
        <v>4090</v>
      </c>
      <c r="B121" t="s">
        <v>2164</v>
      </c>
      <c r="C121" t="s">
        <v>2484</v>
      </c>
      <c r="D121" t="s">
        <v>2483</v>
      </c>
      <c r="E121" t="s">
        <v>2485</v>
      </c>
      <c r="F121" t="s">
        <v>2486</v>
      </c>
      <c r="G121" t="s">
        <v>4091</v>
      </c>
      <c r="H121" t="s">
        <v>120</v>
      </c>
      <c r="I121" t="s">
        <v>3973</v>
      </c>
    </row>
    <row r="122" spans="1:9">
      <c r="A122" s="145" t="s">
        <v>4090</v>
      </c>
      <c r="B122" t="s">
        <v>2164</v>
      </c>
      <c r="C122" t="s">
        <v>2484</v>
      </c>
      <c r="D122" t="s">
        <v>2483</v>
      </c>
      <c r="E122" t="s">
        <v>2485</v>
      </c>
      <c r="F122" t="s">
        <v>2486</v>
      </c>
      <c r="G122" t="s">
        <v>4092</v>
      </c>
      <c r="H122" t="s">
        <v>120</v>
      </c>
      <c r="I122" t="s">
        <v>3973</v>
      </c>
    </row>
    <row r="123" spans="1:9">
      <c r="A123" s="145" t="s">
        <v>4090</v>
      </c>
      <c r="B123" t="s">
        <v>2164</v>
      </c>
      <c r="C123" t="s">
        <v>2487</v>
      </c>
      <c r="D123" t="s">
        <v>2488</v>
      </c>
      <c r="E123" t="s">
        <v>120</v>
      </c>
      <c r="G123" t="s">
        <v>4091</v>
      </c>
      <c r="H123" t="s">
        <v>120</v>
      </c>
      <c r="I123" t="s">
        <v>3973</v>
      </c>
    </row>
    <row r="124" spans="1:9">
      <c r="A124" s="145" t="s">
        <v>4090</v>
      </c>
      <c r="B124" t="s">
        <v>2164</v>
      </c>
      <c r="C124" t="s">
        <v>2487</v>
      </c>
      <c r="D124" t="s">
        <v>2488</v>
      </c>
      <c r="E124" t="s">
        <v>120</v>
      </c>
      <c r="G124" t="s">
        <v>4092</v>
      </c>
      <c r="H124" t="s">
        <v>120</v>
      </c>
      <c r="I124" t="s">
        <v>3973</v>
      </c>
    </row>
    <row r="125" spans="1:9">
      <c r="A125" s="145" t="s">
        <v>4090</v>
      </c>
      <c r="B125" t="s">
        <v>2164</v>
      </c>
      <c r="C125" t="s">
        <v>2344</v>
      </c>
      <c r="E125" t="s">
        <v>2345</v>
      </c>
      <c r="G125" t="s">
        <v>4091</v>
      </c>
      <c r="H125" t="s">
        <v>120</v>
      </c>
      <c r="I125" t="s">
        <v>3973</v>
      </c>
    </row>
    <row r="126" spans="1:9">
      <c r="A126" s="145" t="s">
        <v>4090</v>
      </c>
      <c r="B126" t="s">
        <v>2164</v>
      </c>
      <c r="C126" t="s">
        <v>2344</v>
      </c>
      <c r="E126" t="s">
        <v>2345</v>
      </c>
      <c r="G126" t="s">
        <v>4092</v>
      </c>
      <c r="H126" t="s">
        <v>120</v>
      </c>
      <c r="I126" t="s">
        <v>3973</v>
      </c>
    </row>
    <row r="127" spans="1:9">
      <c r="A127" s="145" t="s">
        <v>4090</v>
      </c>
      <c r="B127" t="s">
        <v>2164</v>
      </c>
      <c r="C127" t="s">
        <v>2347</v>
      </c>
      <c r="E127" t="s">
        <v>2329</v>
      </c>
      <c r="G127" t="s">
        <v>4093</v>
      </c>
      <c r="H127" t="s">
        <v>2451</v>
      </c>
      <c r="I127" t="s">
        <v>3973</v>
      </c>
    </row>
    <row r="128" spans="1:9">
      <c r="A128" s="145" t="s">
        <v>4090</v>
      </c>
      <c r="B128" t="s">
        <v>2164</v>
      </c>
      <c r="C128" t="s">
        <v>2347</v>
      </c>
      <c r="E128" t="s">
        <v>2329</v>
      </c>
      <c r="G128" t="s">
        <v>4092</v>
      </c>
      <c r="H128" t="s">
        <v>2451</v>
      </c>
      <c r="I128" t="s">
        <v>3973</v>
      </c>
    </row>
    <row r="129" spans="1:9">
      <c r="A129" s="145" t="s">
        <v>4090</v>
      </c>
      <c r="B129" t="s">
        <v>2164</v>
      </c>
      <c r="C129" t="s">
        <v>2348</v>
      </c>
      <c r="E129" t="s">
        <v>2329</v>
      </c>
      <c r="G129" t="s">
        <v>4093</v>
      </c>
      <c r="H129" t="s">
        <v>2451</v>
      </c>
      <c r="I129" t="s">
        <v>3973</v>
      </c>
    </row>
    <row r="130" spans="1:9">
      <c r="A130" s="145" t="s">
        <v>4090</v>
      </c>
      <c r="B130" t="s">
        <v>2164</v>
      </c>
      <c r="C130" t="s">
        <v>2348</v>
      </c>
      <c r="E130" t="s">
        <v>2329</v>
      </c>
      <c r="G130" t="s">
        <v>4092</v>
      </c>
      <c r="H130" t="s">
        <v>2451</v>
      </c>
      <c r="I130" t="s">
        <v>3973</v>
      </c>
    </row>
    <row r="131" spans="1:9">
      <c r="A131" s="145" t="s">
        <v>4090</v>
      </c>
      <c r="B131" t="s">
        <v>2164</v>
      </c>
      <c r="C131" t="s">
        <v>2489</v>
      </c>
      <c r="D131" t="s">
        <v>2483</v>
      </c>
      <c r="E131" t="s">
        <v>2490</v>
      </c>
      <c r="G131" t="s">
        <v>4091</v>
      </c>
      <c r="H131" t="s">
        <v>2490</v>
      </c>
      <c r="I131" t="s">
        <v>3973</v>
      </c>
    </row>
    <row r="132" spans="1:9">
      <c r="A132" s="145" t="s">
        <v>4090</v>
      </c>
      <c r="B132" t="s">
        <v>2164</v>
      </c>
      <c r="C132" t="s">
        <v>2489</v>
      </c>
      <c r="D132" t="s">
        <v>2483</v>
      </c>
      <c r="E132" t="s">
        <v>2490</v>
      </c>
      <c r="G132" t="s">
        <v>4092</v>
      </c>
      <c r="H132" t="s">
        <v>2490</v>
      </c>
      <c r="I132" t="s">
        <v>3973</v>
      </c>
    </row>
    <row r="133" spans="1:9">
      <c r="A133" s="145" t="s">
        <v>4090</v>
      </c>
      <c r="B133" t="s">
        <v>2164</v>
      </c>
      <c r="C133" t="s">
        <v>2491</v>
      </c>
      <c r="D133" t="s">
        <v>2488</v>
      </c>
      <c r="E133" t="s">
        <v>120</v>
      </c>
      <c r="G133" t="s">
        <v>4091</v>
      </c>
      <c r="H133" t="s">
        <v>120</v>
      </c>
      <c r="I133" t="s">
        <v>3973</v>
      </c>
    </row>
    <row r="134" spans="1:9">
      <c r="A134" s="145" t="s">
        <v>4090</v>
      </c>
      <c r="B134" t="s">
        <v>2164</v>
      </c>
      <c r="C134" t="s">
        <v>2491</v>
      </c>
      <c r="D134" t="s">
        <v>2488</v>
      </c>
      <c r="E134" t="s">
        <v>120</v>
      </c>
      <c r="G134" t="s">
        <v>4092</v>
      </c>
      <c r="H134" t="s">
        <v>120</v>
      </c>
      <c r="I134" t="s">
        <v>3973</v>
      </c>
    </row>
    <row r="135" spans="1:9">
      <c r="A135" s="145" t="s">
        <v>4090</v>
      </c>
      <c r="B135" t="s">
        <v>2166</v>
      </c>
      <c r="C135" t="s">
        <v>2493</v>
      </c>
      <c r="E135" t="s">
        <v>2490</v>
      </c>
      <c r="G135" t="s">
        <v>4091</v>
      </c>
      <c r="H135" t="s">
        <v>2490</v>
      </c>
      <c r="I135" t="s">
        <v>3975</v>
      </c>
    </row>
    <row r="136" spans="1:9">
      <c r="A136" s="145" t="s">
        <v>4090</v>
      </c>
      <c r="B136" t="s">
        <v>2166</v>
      </c>
      <c r="C136" t="s">
        <v>2493</v>
      </c>
      <c r="E136" t="s">
        <v>2490</v>
      </c>
      <c r="G136" t="s">
        <v>4092</v>
      </c>
      <c r="H136" t="s">
        <v>2490</v>
      </c>
      <c r="I136" t="s">
        <v>3975</v>
      </c>
    </row>
    <row r="137" spans="1:9">
      <c r="A137" s="145" t="s">
        <v>4090</v>
      </c>
      <c r="B137" t="s">
        <v>2166</v>
      </c>
      <c r="C137" t="s">
        <v>2494</v>
      </c>
      <c r="E137" t="s">
        <v>2490</v>
      </c>
      <c r="G137" t="s">
        <v>4091</v>
      </c>
      <c r="H137" t="s">
        <v>2490</v>
      </c>
      <c r="I137" t="s">
        <v>3975</v>
      </c>
    </row>
    <row r="138" spans="1:9">
      <c r="A138" s="145" t="s">
        <v>4090</v>
      </c>
      <c r="B138" t="s">
        <v>2166</v>
      </c>
      <c r="C138" t="s">
        <v>2494</v>
      </c>
      <c r="E138" t="s">
        <v>2490</v>
      </c>
      <c r="G138" t="s">
        <v>4092</v>
      </c>
      <c r="H138" t="s">
        <v>2490</v>
      </c>
      <c r="I138" t="s">
        <v>3975</v>
      </c>
    </row>
    <row r="139" spans="1:9">
      <c r="A139" s="145" t="s">
        <v>4090</v>
      </c>
      <c r="B139" t="s">
        <v>2166</v>
      </c>
      <c r="C139" t="s">
        <v>2400</v>
      </c>
      <c r="E139" t="s">
        <v>2401</v>
      </c>
      <c r="G139" t="s">
        <v>4091</v>
      </c>
      <c r="H139" t="s">
        <v>2490</v>
      </c>
      <c r="I139" t="s">
        <v>3975</v>
      </c>
    </row>
    <row r="140" spans="1:9">
      <c r="A140" s="145" t="s">
        <v>4090</v>
      </c>
      <c r="B140" t="s">
        <v>2166</v>
      </c>
      <c r="C140" t="s">
        <v>2400</v>
      </c>
      <c r="E140" t="s">
        <v>2401</v>
      </c>
      <c r="G140" t="s">
        <v>4092</v>
      </c>
      <c r="H140" t="s">
        <v>2490</v>
      </c>
      <c r="I140" t="s">
        <v>3975</v>
      </c>
    </row>
    <row r="141" spans="1:9">
      <c r="A141" s="145" t="s">
        <v>4090</v>
      </c>
      <c r="B141" t="s">
        <v>2166</v>
      </c>
      <c r="C141" t="s">
        <v>2495</v>
      </c>
      <c r="D141" t="s">
        <v>2483</v>
      </c>
      <c r="E141" t="s">
        <v>120</v>
      </c>
      <c r="G141" t="s">
        <v>4091</v>
      </c>
      <c r="H141" t="s">
        <v>120</v>
      </c>
      <c r="I141" t="s">
        <v>3975</v>
      </c>
    </row>
    <row r="142" spans="1:9">
      <c r="A142" s="145" t="s">
        <v>4090</v>
      </c>
      <c r="B142" t="s">
        <v>2166</v>
      </c>
      <c r="C142" t="s">
        <v>2495</v>
      </c>
      <c r="D142" t="s">
        <v>2483</v>
      </c>
      <c r="E142" t="s">
        <v>120</v>
      </c>
      <c r="G142" t="s">
        <v>4092</v>
      </c>
      <c r="H142" t="s">
        <v>120</v>
      </c>
      <c r="I142" t="s">
        <v>3975</v>
      </c>
    </row>
    <row r="143" spans="1:9">
      <c r="A143" s="145" t="s">
        <v>4090</v>
      </c>
      <c r="B143" t="s">
        <v>2166</v>
      </c>
      <c r="C143" t="s">
        <v>2496</v>
      </c>
      <c r="D143" t="s">
        <v>2483</v>
      </c>
      <c r="E143" t="s">
        <v>120</v>
      </c>
      <c r="G143" t="s">
        <v>4091</v>
      </c>
      <c r="H143" t="s">
        <v>120</v>
      </c>
      <c r="I143" t="s">
        <v>3975</v>
      </c>
    </row>
    <row r="144" spans="1:9">
      <c r="A144" s="145" t="s">
        <v>4090</v>
      </c>
      <c r="B144" t="s">
        <v>2166</v>
      </c>
      <c r="C144" t="s">
        <v>2496</v>
      </c>
      <c r="D144" t="s">
        <v>2483</v>
      </c>
      <c r="E144" t="s">
        <v>120</v>
      </c>
      <c r="G144" t="s">
        <v>4092</v>
      </c>
      <c r="H144" t="s">
        <v>120</v>
      </c>
      <c r="I144" t="s">
        <v>3975</v>
      </c>
    </row>
    <row r="145" spans="1:9">
      <c r="A145" s="145" t="s">
        <v>4090</v>
      </c>
      <c r="B145" t="s">
        <v>2166</v>
      </c>
      <c r="C145" t="s">
        <v>2497</v>
      </c>
      <c r="D145" t="s">
        <v>2339</v>
      </c>
      <c r="E145" t="s">
        <v>120</v>
      </c>
      <c r="G145" t="s">
        <v>4091</v>
      </c>
      <c r="H145" t="s">
        <v>120</v>
      </c>
      <c r="I145" t="s">
        <v>3975</v>
      </c>
    </row>
    <row r="146" spans="1:9">
      <c r="A146" s="145" t="s">
        <v>4090</v>
      </c>
      <c r="B146" t="s">
        <v>2166</v>
      </c>
      <c r="C146" t="s">
        <v>2497</v>
      </c>
      <c r="D146" t="s">
        <v>2339</v>
      </c>
      <c r="E146" t="s">
        <v>120</v>
      </c>
      <c r="G146" t="s">
        <v>4092</v>
      </c>
      <c r="H146" t="s">
        <v>120</v>
      </c>
      <c r="I146" t="s">
        <v>3975</v>
      </c>
    </row>
    <row r="147" spans="1:9">
      <c r="A147" s="145" t="s">
        <v>4090</v>
      </c>
      <c r="B147" t="s">
        <v>2166</v>
      </c>
      <c r="C147" t="s">
        <v>2498</v>
      </c>
      <c r="D147" t="s">
        <v>2499</v>
      </c>
      <c r="E147" t="s">
        <v>2490</v>
      </c>
      <c r="G147" t="s">
        <v>4091</v>
      </c>
      <c r="H147" t="s">
        <v>2490</v>
      </c>
      <c r="I147" t="s">
        <v>3975</v>
      </c>
    </row>
    <row r="148" spans="1:9">
      <c r="A148" s="145" t="s">
        <v>4090</v>
      </c>
      <c r="B148" t="s">
        <v>2166</v>
      </c>
      <c r="C148" t="s">
        <v>2498</v>
      </c>
      <c r="D148" t="s">
        <v>2499</v>
      </c>
      <c r="E148" t="s">
        <v>2490</v>
      </c>
      <c r="G148" t="s">
        <v>4092</v>
      </c>
      <c r="H148" t="s">
        <v>2490</v>
      </c>
      <c r="I148" t="s">
        <v>3975</v>
      </c>
    </row>
    <row r="149" spans="1:9">
      <c r="A149" s="145" t="s">
        <v>4090</v>
      </c>
      <c r="B149" t="s">
        <v>2166</v>
      </c>
      <c r="C149" t="s">
        <v>2500</v>
      </c>
      <c r="D149" t="s">
        <v>2499</v>
      </c>
      <c r="E149" t="s">
        <v>2490</v>
      </c>
      <c r="G149" t="s">
        <v>4091</v>
      </c>
      <c r="H149" t="s">
        <v>2490</v>
      </c>
      <c r="I149" t="s">
        <v>3975</v>
      </c>
    </row>
    <row r="150" spans="1:9">
      <c r="A150" s="145" t="s">
        <v>4090</v>
      </c>
      <c r="B150" t="s">
        <v>2166</v>
      </c>
      <c r="C150" t="s">
        <v>2500</v>
      </c>
      <c r="D150" t="s">
        <v>2499</v>
      </c>
      <c r="E150" t="s">
        <v>2490</v>
      </c>
      <c r="G150" t="s">
        <v>4092</v>
      </c>
      <c r="H150" t="s">
        <v>2490</v>
      </c>
      <c r="I150" t="s">
        <v>3975</v>
      </c>
    </row>
    <row r="151" spans="1:9">
      <c r="A151" s="145" t="s">
        <v>4090</v>
      </c>
      <c r="B151" t="s">
        <v>2166</v>
      </c>
      <c r="C151" t="s">
        <v>2350</v>
      </c>
      <c r="E151" t="s">
        <v>2329</v>
      </c>
      <c r="G151" t="s">
        <v>4093</v>
      </c>
      <c r="H151" t="s">
        <v>2451</v>
      </c>
      <c r="I151" t="s">
        <v>3975</v>
      </c>
    </row>
    <row r="152" spans="1:9">
      <c r="A152" s="145" t="s">
        <v>4090</v>
      </c>
      <c r="B152" t="s">
        <v>2166</v>
      </c>
      <c r="C152" t="s">
        <v>2350</v>
      </c>
      <c r="E152" t="s">
        <v>2329</v>
      </c>
      <c r="G152" t="s">
        <v>4092</v>
      </c>
      <c r="H152" t="s">
        <v>2451</v>
      </c>
      <c r="I152" t="s">
        <v>3975</v>
      </c>
    </row>
    <row r="153" spans="1:9">
      <c r="A153" s="145" t="s">
        <v>4090</v>
      </c>
      <c r="B153" t="s">
        <v>2166</v>
      </c>
      <c r="C153" t="s">
        <v>2501</v>
      </c>
      <c r="D153" t="s">
        <v>2499</v>
      </c>
      <c r="E153" t="s">
        <v>120</v>
      </c>
      <c r="F153" t="s">
        <v>2502</v>
      </c>
      <c r="G153" t="s">
        <v>4091</v>
      </c>
      <c r="H153" t="s">
        <v>120</v>
      </c>
      <c r="I153" t="s">
        <v>3975</v>
      </c>
    </row>
    <row r="154" spans="1:9">
      <c r="A154" s="145" t="s">
        <v>4090</v>
      </c>
      <c r="B154" t="s">
        <v>2166</v>
      </c>
      <c r="C154" t="s">
        <v>2501</v>
      </c>
      <c r="D154" t="s">
        <v>2499</v>
      </c>
      <c r="E154" t="s">
        <v>120</v>
      </c>
      <c r="F154" t="s">
        <v>2502</v>
      </c>
      <c r="G154" t="s">
        <v>4092</v>
      </c>
      <c r="H154" t="s">
        <v>120</v>
      </c>
      <c r="I154" t="s">
        <v>3975</v>
      </c>
    </row>
    <row r="155" spans="1:9">
      <c r="A155" s="145" t="s">
        <v>4090</v>
      </c>
      <c r="B155" t="s">
        <v>2167</v>
      </c>
      <c r="C155" t="s">
        <v>2504</v>
      </c>
      <c r="D155" t="s">
        <v>2505</v>
      </c>
      <c r="E155" t="s">
        <v>120</v>
      </c>
      <c r="G155" t="s">
        <v>4091</v>
      </c>
      <c r="H155" t="s">
        <v>120</v>
      </c>
      <c r="I155" t="s">
        <v>3979</v>
      </c>
    </row>
    <row r="156" spans="1:9">
      <c r="A156" s="145" t="s">
        <v>4090</v>
      </c>
      <c r="B156" t="s">
        <v>2167</v>
      </c>
      <c r="C156" t="s">
        <v>2504</v>
      </c>
      <c r="D156" t="s">
        <v>2505</v>
      </c>
      <c r="E156" t="s">
        <v>120</v>
      </c>
      <c r="G156" t="s">
        <v>4092</v>
      </c>
      <c r="H156" t="s">
        <v>120</v>
      </c>
      <c r="I156" t="s">
        <v>3979</v>
      </c>
    </row>
    <row r="157" spans="1:9">
      <c r="A157" s="145" t="s">
        <v>4090</v>
      </c>
      <c r="B157" t="s">
        <v>2167</v>
      </c>
      <c r="C157" t="s">
        <v>2506</v>
      </c>
      <c r="D157" t="s">
        <v>2435</v>
      </c>
      <c r="E157" t="s">
        <v>120</v>
      </c>
      <c r="G157" t="s">
        <v>4091</v>
      </c>
      <c r="H157" t="s">
        <v>120</v>
      </c>
      <c r="I157" t="s">
        <v>3979</v>
      </c>
    </row>
    <row r="158" spans="1:9">
      <c r="A158" s="145" t="s">
        <v>4090</v>
      </c>
      <c r="B158" t="s">
        <v>2167</v>
      </c>
      <c r="C158" t="s">
        <v>2506</v>
      </c>
      <c r="D158" t="s">
        <v>2435</v>
      </c>
      <c r="E158" t="s">
        <v>120</v>
      </c>
      <c r="G158" t="s">
        <v>4092</v>
      </c>
      <c r="H158" t="s">
        <v>120</v>
      </c>
      <c r="I158" t="s">
        <v>3979</v>
      </c>
    </row>
    <row r="159" spans="1:9">
      <c r="A159" s="145" t="s">
        <v>4090</v>
      </c>
      <c r="B159" t="s">
        <v>2167</v>
      </c>
      <c r="C159" t="s">
        <v>2507</v>
      </c>
      <c r="D159" t="s">
        <v>2435</v>
      </c>
      <c r="E159" t="s">
        <v>120</v>
      </c>
      <c r="G159" t="s">
        <v>4091</v>
      </c>
      <c r="H159" t="s">
        <v>120</v>
      </c>
      <c r="I159" t="s">
        <v>3979</v>
      </c>
    </row>
    <row r="160" spans="1:9">
      <c r="A160" s="145" t="s">
        <v>4090</v>
      </c>
      <c r="B160" t="s">
        <v>2167</v>
      </c>
      <c r="C160" t="s">
        <v>2507</v>
      </c>
      <c r="D160" t="s">
        <v>2435</v>
      </c>
      <c r="E160" t="s">
        <v>120</v>
      </c>
      <c r="G160" t="s">
        <v>4092</v>
      </c>
      <c r="H160" t="s">
        <v>120</v>
      </c>
      <c r="I160" t="s">
        <v>3979</v>
      </c>
    </row>
    <row r="161" spans="1:9">
      <c r="A161" s="145" t="s">
        <v>4090</v>
      </c>
      <c r="B161" t="s">
        <v>2169</v>
      </c>
      <c r="C161" t="s">
        <v>2509</v>
      </c>
      <c r="D161" t="s">
        <v>2353</v>
      </c>
      <c r="E161" t="s">
        <v>2490</v>
      </c>
      <c r="F161" t="s">
        <v>2510</v>
      </c>
      <c r="G161" t="s">
        <v>4091</v>
      </c>
      <c r="H161" t="s">
        <v>2490</v>
      </c>
      <c r="I161" t="s">
        <v>3983</v>
      </c>
    </row>
    <row r="162" spans="1:9">
      <c r="A162" s="145" t="s">
        <v>4090</v>
      </c>
      <c r="B162" t="s">
        <v>2169</v>
      </c>
      <c r="C162" t="s">
        <v>2509</v>
      </c>
      <c r="D162" t="s">
        <v>2353</v>
      </c>
      <c r="E162" t="s">
        <v>2490</v>
      </c>
      <c r="F162" t="s">
        <v>2510</v>
      </c>
      <c r="G162" t="s">
        <v>4092</v>
      </c>
      <c r="H162" t="s">
        <v>2490</v>
      </c>
      <c r="I162" t="s">
        <v>3983</v>
      </c>
    </row>
    <row r="163" spans="1:9">
      <c r="A163" s="145" t="s">
        <v>4090</v>
      </c>
      <c r="B163" t="s">
        <v>2169</v>
      </c>
      <c r="C163" t="s">
        <v>2511</v>
      </c>
      <c r="D163" t="s">
        <v>2407</v>
      </c>
      <c r="E163" t="s">
        <v>120</v>
      </c>
      <c r="F163" t="s">
        <v>2512</v>
      </c>
      <c r="G163" t="s">
        <v>4091</v>
      </c>
      <c r="H163" t="s">
        <v>120</v>
      </c>
      <c r="I163" t="s">
        <v>3983</v>
      </c>
    </row>
    <row r="164" spans="1:9">
      <c r="A164" s="145" t="s">
        <v>4090</v>
      </c>
      <c r="B164" t="s">
        <v>2169</v>
      </c>
      <c r="C164" t="s">
        <v>2511</v>
      </c>
      <c r="D164" t="s">
        <v>2407</v>
      </c>
      <c r="E164" t="s">
        <v>120</v>
      </c>
      <c r="F164" t="s">
        <v>2512</v>
      </c>
      <c r="G164" t="s">
        <v>4092</v>
      </c>
      <c r="H164" t="s">
        <v>120</v>
      </c>
      <c r="I164" t="s">
        <v>3983</v>
      </c>
    </row>
    <row r="165" spans="1:9">
      <c r="A165" s="145" t="s">
        <v>4090</v>
      </c>
      <c r="B165" t="s">
        <v>2169</v>
      </c>
      <c r="C165" t="s">
        <v>2513</v>
      </c>
      <c r="D165" t="s">
        <v>2404</v>
      </c>
      <c r="E165" t="s">
        <v>120</v>
      </c>
      <c r="F165" t="s">
        <v>2514</v>
      </c>
      <c r="G165" t="s">
        <v>4091</v>
      </c>
      <c r="H165" t="s">
        <v>120</v>
      </c>
      <c r="I165" t="s">
        <v>3983</v>
      </c>
    </row>
    <row r="166" spans="1:9">
      <c r="A166" s="145" t="s">
        <v>4090</v>
      </c>
      <c r="B166" t="s">
        <v>2169</v>
      </c>
      <c r="C166" t="s">
        <v>2513</v>
      </c>
      <c r="D166" t="s">
        <v>2404</v>
      </c>
      <c r="E166" t="s">
        <v>120</v>
      </c>
      <c r="F166" t="s">
        <v>2514</v>
      </c>
      <c r="G166" t="s">
        <v>4092</v>
      </c>
      <c r="H166" t="s">
        <v>120</v>
      </c>
      <c r="I166" t="s">
        <v>3983</v>
      </c>
    </row>
    <row r="167" spans="1:9">
      <c r="A167" s="145" t="s">
        <v>4090</v>
      </c>
      <c r="B167" t="s">
        <v>2169</v>
      </c>
      <c r="C167" t="s">
        <v>2515</v>
      </c>
      <c r="D167" t="s">
        <v>2516</v>
      </c>
      <c r="E167" t="s">
        <v>120</v>
      </c>
      <c r="F167" t="s">
        <v>2517</v>
      </c>
      <c r="G167" t="s">
        <v>4091</v>
      </c>
      <c r="H167" t="s">
        <v>120</v>
      </c>
      <c r="I167" t="s">
        <v>3983</v>
      </c>
    </row>
    <row r="168" spans="1:9">
      <c r="A168" s="145" t="s">
        <v>4090</v>
      </c>
      <c r="B168" t="s">
        <v>2169</v>
      </c>
      <c r="C168" t="s">
        <v>2515</v>
      </c>
      <c r="D168" t="s">
        <v>2516</v>
      </c>
      <c r="E168" t="s">
        <v>120</v>
      </c>
      <c r="F168" t="s">
        <v>2517</v>
      </c>
      <c r="G168" t="s">
        <v>4092</v>
      </c>
      <c r="H168" t="s">
        <v>120</v>
      </c>
      <c r="I168" t="s">
        <v>3983</v>
      </c>
    </row>
    <row r="169" spans="1:9">
      <c r="A169" s="145" t="s">
        <v>4090</v>
      </c>
      <c r="B169" t="s">
        <v>2169</v>
      </c>
      <c r="C169" t="s">
        <v>2358</v>
      </c>
      <c r="E169" t="s">
        <v>2329</v>
      </c>
      <c r="G169" t="s">
        <v>4093</v>
      </c>
      <c r="H169" t="s">
        <v>2451</v>
      </c>
      <c r="I169" t="s">
        <v>3983</v>
      </c>
    </row>
    <row r="170" spans="1:9">
      <c r="A170" s="145" t="s">
        <v>4090</v>
      </c>
      <c r="B170" t="s">
        <v>2169</v>
      </c>
      <c r="C170" t="s">
        <v>2358</v>
      </c>
      <c r="E170" t="s">
        <v>2329</v>
      </c>
      <c r="G170" t="s">
        <v>4092</v>
      </c>
      <c r="H170" t="s">
        <v>2451</v>
      </c>
      <c r="I170" t="s">
        <v>3983</v>
      </c>
    </row>
    <row r="171" spans="1:9">
      <c r="A171" s="145" t="s">
        <v>4090</v>
      </c>
      <c r="B171" t="s">
        <v>2173</v>
      </c>
      <c r="C171" t="s">
        <v>2519</v>
      </c>
      <c r="D171" t="s">
        <v>2407</v>
      </c>
      <c r="E171" t="s">
        <v>120</v>
      </c>
      <c r="F171" t="s">
        <v>2520</v>
      </c>
      <c r="G171" t="s">
        <v>4091</v>
      </c>
      <c r="H171" t="s">
        <v>120</v>
      </c>
      <c r="I171" t="s">
        <v>3987</v>
      </c>
    </row>
    <row r="172" spans="1:9">
      <c r="A172" s="145" t="s">
        <v>4090</v>
      </c>
      <c r="B172" t="s">
        <v>2173</v>
      </c>
      <c r="C172" t="s">
        <v>2519</v>
      </c>
      <c r="D172" t="s">
        <v>2407</v>
      </c>
      <c r="E172" t="s">
        <v>120</v>
      </c>
      <c r="F172" t="s">
        <v>2520</v>
      </c>
      <c r="G172" t="s">
        <v>4092</v>
      </c>
      <c r="H172" t="s">
        <v>120</v>
      </c>
      <c r="I172" t="s">
        <v>3987</v>
      </c>
    </row>
    <row r="173" spans="1:9">
      <c r="A173" s="145" t="s">
        <v>4090</v>
      </c>
      <c r="B173" t="s">
        <v>2173</v>
      </c>
      <c r="C173" t="s">
        <v>2521</v>
      </c>
      <c r="D173" t="s">
        <v>2407</v>
      </c>
      <c r="E173" t="s">
        <v>120</v>
      </c>
      <c r="G173" t="s">
        <v>4091</v>
      </c>
      <c r="H173" t="s">
        <v>120</v>
      </c>
      <c r="I173" t="s">
        <v>3987</v>
      </c>
    </row>
    <row r="174" spans="1:9">
      <c r="A174" s="145" t="s">
        <v>4090</v>
      </c>
      <c r="B174" t="s">
        <v>2173</v>
      </c>
      <c r="C174" t="s">
        <v>2521</v>
      </c>
      <c r="D174" t="s">
        <v>2407</v>
      </c>
      <c r="E174" t="s">
        <v>120</v>
      </c>
      <c r="G174" t="s">
        <v>4092</v>
      </c>
      <c r="H174" t="s">
        <v>120</v>
      </c>
      <c r="I174" t="s">
        <v>3987</v>
      </c>
    </row>
    <row r="175" spans="1:9">
      <c r="A175" s="145" t="s">
        <v>4090</v>
      </c>
      <c r="B175" t="s">
        <v>2173</v>
      </c>
      <c r="C175" t="s">
        <v>2522</v>
      </c>
      <c r="D175" t="s">
        <v>2523</v>
      </c>
      <c r="E175" t="s">
        <v>120</v>
      </c>
      <c r="F175" t="s">
        <v>2524</v>
      </c>
      <c r="G175" t="s">
        <v>4091</v>
      </c>
      <c r="H175" t="s">
        <v>120</v>
      </c>
      <c r="I175" t="s">
        <v>3987</v>
      </c>
    </row>
    <row r="176" spans="1:9">
      <c r="A176" s="145" t="s">
        <v>4090</v>
      </c>
      <c r="B176" t="s">
        <v>2173</v>
      </c>
      <c r="C176" t="s">
        <v>2522</v>
      </c>
      <c r="D176" t="s">
        <v>2523</v>
      </c>
      <c r="E176" t="s">
        <v>120</v>
      </c>
      <c r="F176" t="s">
        <v>2524</v>
      </c>
      <c r="G176" t="s">
        <v>4092</v>
      </c>
      <c r="H176" t="s">
        <v>120</v>
      </c>
      <c r="I176" t="s">
        <v>3987</v>
      </c>
    </row>
    <row r="177" spans="1:9">
      <c r="A177" s="145" t="s">
        <v>4090</v>
      </c>
      <c r="B177" t="s">
        <v>2173</v>
      </c>
      <c r="C177" t="s">
        <v>2525</v>
      </c>
      <c r="D177" t="s">
        <v>2412</v>
      </c>
      <c r="E177" t="s">
        <v>120</v>
      </c>
      <c r="F177" t="s">
        <v>2520</v>
      </c>
      <c r="G177" t="s">
        <v>4091</v>
      </c>
      <c r="H177" t="s">
        <v>120</v>
      </c>
      <c r="I177" t="s">
        <v>3987</v>
      </c>
    </row>
    <row r="178" spans="1:9">
      <c r="A178" s="145" t="s">
        <v>4090</v>
      </c>
      <c r="B178" t="s">
        <v>2173</v>
      </c>
      <c r="C178" t="s">
        <v>2525</v>
      </c>
      <c r="D178" t="s">
        <v>2412</v>
      </c>
      <c r="E178" t="s">
        <v>120</v>
      </c>
      <c r="F178" t="s">
        <v>2520</v>
      </c>
      <c r="G178" t="s">
        <v>4092</v>
      </c>
      <c r="H178" t="s">
        <v>120</v>
      </c>
      <c r="I178" t="s">
        <v>3987</v>
      </c>
    </row>
    <row r="179" spans="1:9">
      <c r="A179" s="145" t="s">
        <v>4090</v>
      </c>
      <c r="B179" t="s">
        <v>2173</v>
      </c>
      <c r="C179" t="s">
        <v>2526</v>
      </c>
      <c r="D179" t="s">
        <v>2412</v>
      </c>
      <c r="E179" t="s">
        <v>120</v>
      </c>
      <c r="F179" t="s">
        <v>2527</v>
      </c>
      <c r="G179" t="s">
        <v>4091</v>
      </c>
      <c r="H179" t="s">
        <v>120</v>
      </c>
      <c r="I179" t="s">
        <v>3987</v>
      </c>
    </row>
    <row r="180" spans="1:9">
      <c r="A180" s="145" t="s">
        <v>4090</v>
      </c>
      <c r="B180" t="s">
        <v>2173</v>
      </c>
      <c r="C180" t="s">
        <v>2526</v>
      </c>
      <c r="D180" t="s">
        <v>2412</v>
      </c>
      <c r="E180" t="s">
        <v>120</v>
      </c>
      <c r="F180" t="s">
        <v>2527</v>
      </c>
      <c r="G180" t="s">
        <v>4092</v>
      </c>
      <c r="H180" t="s">
        <v>120</v>
      </c>
      <c r="I180" t="s">
        <v>3987</v>
      </c>
    </row>
    <row r="181" spans="1:9">
      <c r="A181" s="145" t="s">
        <v>4090</v>
      </c>
      <c r="B181" t="s">
        <v>2173</v>
      </c>
      <c r="C181" t="s">
        <v>2528</v>
      </c>
      <c r="D181" t="s">
        <v>2529</v>
      </c>
      <c r="E181" t="s">
        <v>2490</v>
      </c>
      <c r="G181" t="s">
        <v>4091</v>
      </c>
      <c r="H181" t="s">
        <v>2490</v>
      </c>
      <c r="I181" t="s">
        <v>3987</v>
      </c>
    </row>
    <row r="182" spans="1:9">
      <c r="A182" s="145" t="s">
        <v>4090</v>
      </c>
      <c r="B182" t="s">
        <v>2173</v>
      </c>
      <c r="C182" t="s">
        <v>2528</v>
      </c>
      <c r="D182" t="s">
        <v>2529</v>
      </c>
      <c r="E182" t="s">
        <v>2490</v>
      </c>
      <c r="G182" t="s">
        <v>4092</v>
      </c>
      <c r="H182" t="s">
        <v>2490</v>
      </c>
      <c r="I182" t="s">
        <v>3987</v>
      </c>
    </row>
    <row r="183" spans="1:9">
      <c r="A183" s="145" t="s">
        <v>4090</v>
      </c>
      <c r="B183" t="s">
        <v>2173</v>
      </c>
      <c r="C183" t="s">
        <v>2413</v>
      </c>
      <c r="D183" t="s">
        <v>2407</v>
      </c>
      <c r="E183" t="s">
        <v>2414</v>
      </c>
      <c r="F183" t="s">
        <v>2416</v>
      </c>
      <c r="G183" t="s">
        <v>4094</v>
      </c>
      <c r="H183" t="s">
        <v>120</v>
      </c>
      <c r="I183" t="s">
        <v>3987</v>
      </c>
    </row>
    <row r="184" spans="1:9">
      <c r="A184" s="145" t="s">
        <v>4090</v>
      </c>
      <c r="B184" t="s">
        <v>2173</v>
      </c>
      <c r="C184" t="s">
        <v>2413</v>
      </c>
      <c r="D184" t="s">
        <v>2407</v>
      </c>
      <c r="E184" t="s">
        <v>2414</v>
      </c>
      <c r="F184" t="s">
        <v>2416</v>
      </c>
      <c r="G184" t="s">
        <v>4092</v>
      </c>
      <c r="H184" t="s">
        <v>2531</v>
      </c>
      <c r="I184" t="s">
        <v>3987</v>
      </c>
    </row>
    <row r="185" spans="1:9">
      <c r="A185" s="145" t="s">
        <v>4090</v>
      </c>
      <c r="B185" t="s">
        <v>2173</v>
      </c>
      <c r="C185" t="s">
        <v>2532</v>
      </c>
      <c r="D185" t="s">
        <v>2529</v>
      </c>
      <c r="E185" t="s">
        <v>2533</v>
      </c>
      <c r="G185" t="s">
        <v>4091</v>
      </c>
      <c r="H185" t="s">
        <v>120</v>
      </c>
      <c r="I185" t="s">
        <v>3987</v>
      </c>
    </row>
    <row r="186" spans="1:9">
      <c r="A186" s="145" t="s">
        <v>4090</v>
      </c>
      <c r="B186" t="s">
        <v>2173</v>
      </c>
      <c r="C186" t="s">
        <v>2532</v>
      </c>
      <c r="D186" t="s">
        <v>2529</v>
      </c>
      <c r="E186" t="s">
        <v>2533</v>
      </c>
      <c r="G186" t="s">
        <v>4092</v>
      </c>
      <c r="H186" t="s">
        <v>120</v>
      </c>
      <c r="I186" t="s">
        <v>3987</v>
      </c>
    </row>
    <row r="187" spans="1:9">
      <c r="A187" s="145" t="s">
        <v>4090</v>
      </c>
      <c r="B187" t="s">
        <v>2173</v>
      </c>
      <c r="C187" t="s">
        <v>2534</v>
      </c>
      <c r="D187" t="s">
        <v>2363</v>
      </c>
      <c r="E187" t="s">
        <v>120</v>
      </c>
      <c r="F187" t="s">
        <v>2535</v>
      </c>
      <c r="G187" t="s">
        <v>4091</v>
      </c>
      <c r="H187" t="s">
        <v>120</v>
      </c>
      <c r="I187" t="s">
        <v>3987</v>
      </c>
    </row>
    <row r="188" spans="1:9">
      <c r="A188" s="145" t="s">
        <v>4090</v>
      </c>
      <c r="B188" t="s">
        <v>2173</v>
      </c>
      <c r="C188" t="s">
        <v>2534</v>
      </c>
      <c r="D188" t="s">
        <v>2363</v>
      </c>
      <c r="E188" t="s">
        <v>120</v>
      </c>
      <c r="F188" t="s">
        <v>2535</v>
      </c>
      <c r="G188" t="s">
        <v>4092</v>
      </c>
      <c r="H188" t="s">
        <v>120</v>
      </c>
      <c r="I188" t="s">
        <v>3987</v>
      </c>
    </row>
    <row r="189" spans="1:9">
      <c r="A189" s="145" t="s">
        <v>4090</v>
      </c>
      <c r="B189" t="s">
        <v>2176</v>
      </c>
      <c r="C189" t="s">
        <v>2537</v>
      </c>
      <c r="D189" t="s">
        <v>2538</v>
      </c>
      <c r="E189" t="s">
        <v>120</v>
      </c>
      <c r="G189" t="s">
        <v>4091</v>
      </c>
      <c r="H189" t="s">
        <v>120</v>
      </c>
      <c r="I189" t="s">
        <v>3991</v>
      </c>
    </row>
    <row r="190" spans="1:9">
      <c r="A190" s="145" t="s">
        <v>4090</v>
      </c>
      <c r="B190" t="s">
        <v>2176</v>
      </c>
      <c r="C190" t="s">
        <v>2537</v>
      </c>
      <c r="D190" t="s">
        <v>2538</v>
      </c>
      <c r="E190" t="s">
        <v>120</v>
      </c>
      <c r="G190" t="s">
        <v>4092</v>
      </c>
      <c r="H190" t="s">
        <v>120</v>
      </c>
      <c r="I190" t="s">
        <v>3991</v>
      </c>
    </row>
    <row r="191" spans="1:9">
      <c r="A191" s="145" t="s">
        <v>4090</v>
      </c>
      <c r="B191" t="s">
        <v>2176</v>
      </c>
      <c r="C191" t="s">
        <v>2539</v>
      </c>
      <c r="D191" t="s">
        <v>2538</v>
      </c>
      <c r="E191" t="s">
        <v>2490</v>
      </c>
      <c r="F191" t="s">
        <v>2540</v>
      </c>
      <c r="G191" t="s">
        <v>4091</v>
      </c>
      <c r="H191" t="s">
        <v>2490</v>
      </c>
      <c r="I191" t="s">
        <v>3991</v>
      </c>
    </row>
    <row r="192" spans="1:9">
      <c r="A192" s="145" t="s">
        <v>4090</v>
      </c>
      <c r="B192" t="s">
        <v>2176</v>
      </c>
      <c r="C192" t="s">
        <v>2539</v>
      </c>
      <c r="D192" t="s">
        <v>2538</v>
      </c>
      <c r="E192" t="s">
        <v>2490</v>
      </c>
      <c r="F192" t="s">
        <v>2540</v>
      </c>
      <c r="G192" t="s">
        <v>4092</v>
      </c>
      <c r="H192" t="s">
        <v>2490</v>
      </c>
      <c r="I192" t="s">
        <v>3991</v>
      </c>
    </row>
    <row r="193" spans="1:9">
      <c r="A193" s="145" t="s">
        <v>4090</v>
      </c>
      <c r="B193" t="s">
        <v>2176</v>
      </c>
      <c r="C193" t="s">
        <v>2541</v>
      </c>
      <c r="D193" t="s">
        <v>2542</v>
      </c>
      <c r="E193" t="s">
        <v>2543</v>
      </c>
      <c r="G193" t="s">
        <v>4091</v>
      </c>
      <c r="H193" t="s">
        <v>120</v>
      </c>
      <c r="I193" t="s">
        <v>3991</v>
      </c>
    </row>
    <row r="194" spans="1:9">
      <c r="A194" s="145" t="s">
        <v>4090</v>
      </c>
      <c r="B194" t="s">
        <v>2176</v>
      </c>
      <c r="C194" t="s">
        <v>2541</v>
      </c>
      <c r="D194" t="s">
        <v>2542</v>
      </c>
      <c r="E194" t="s">
        <v>2543</v>
      </c>
      <c r="G194" t="s">
        <v>4092</v>
      </c>
      <c r="H194" t="s">
        <v>120</v>
      </c>
      <c r="I194" t="s">
        <v>3991</v>
      </c>
    </row>
    <row r="195" spans="1:9">
      <c r="A195" s="145" t="s">
        <v>4090</v>
      </c>
      <c r="B195" t="s">
        <v>2176</v>
      </c>
      <c r="C195" t="s">
        <v>2421</v>
      </c>
      <c r="D195" t="s">
        <v>2422</v>
      </c>
      <c r="E195" t="s">
        <v>2423</v>
      </c>
      <c r="F195" t="s">
        <v>2425</v>
      </c>
      <c r="G195" t="s">
        <v>4091</v>
      </c>
      <c r="H195" t="s">
        <v>120</v>
      </c>
      <c r="I195" t="s">
        <v>3991</v>
      </c>
    </row>
    <row r="196" spans="1:9">
      <c r="A196" s="145" t="s">
        <v>4090</v>
      </c>
      <c r="B196" t="s">
        <v>2176</v>
      </c>
      <c r="C196" t="s">
        <v>2421</v>
      </c>
      <c r="D196" t="s">
        <v>2422</v>
      </c>
      <c r="E196" t="s">
        <v>2423</v>
      </c>
      <c r="F196" t="s">
        <v>2425</v>
      </c>
      <c r="G196" t="s">
        <v>4092</v>
      </c>
      <c r="H196" t="s">
        <v>2544</v>
      </c>
      <c r="I196" t="s">
        <v>3991</v>
      </c>
    </row>
    <row r="197" spans="1:9">
      <c r="A197" s="145" t="s">
        <v>4090</v>
      </c>
      <c r="B197" t="s">
        <v>2176</v>
      </c>
      <c r="C197" t="s">
        <v>2545</v>
      </c>
      <c r="D197" t="s">
        <v>2422</v>
      </c>
      <c r="E197" t="s">
        <v>2461</v>
      </c>
      <c r="F197" t="s">
        <v>2546</v>
      </c>
      <c r="G197" t="s">
        <v>4091</v>
      </c>
      <c r="H197" t="s">
        <v>120</v>
      </c>
      <c r="I197" t="s">
        <v>3991</v>
      </c>
    </row>
    <row r="198" spans="1:9">
      <c r="A198" s="145" t="s">
        <v>4090</v>
      </c>
      <c r="B198" t="s">
        <v>2176</v>
      </c>
      <c r="C198" t="s">
        <v>2545</v>
      </c>
      <c r="D198" t="s">
        <v>2422</v>
      </c>
      <c r="E198" t="s">
        <v>2461</v>
      </c>
      <c r="F198" t="s">
        <v>2546</v>
      </c>
      <c r="G198" t="s">
        <v>4092</v>
      </c>
      <c r="H198" t="s">
        <v>120</v>
      </c>
      <c r="I198" t="s">
        <v>3991</v>
      </c>
    </row>
    <row r="199" spans="1:9">
      <c r="A199" s="145" t="s">
        <v>4090</v>
      </c>
      <c r="B199" t="s">
        <v>2176</v>
      </c>
      <c r="C199" t="s">
        <v>2547</v>
      </c>
      <c r="D199" t="s">
        <v>2538</v>
      </c>
      <c r="E199" t="s">
        <v>2548</v>
      </c>
      <c r="G199" t="s">
        <v>4091</v>
      </c>
      <c r="H199" t="s">
        <v>120</v>
      </c>
      <c r="I199" t="s">
        <v>3991</v>
      </c>
    </row>
    <row r="200" spans="1:9">
      <c r="A200" s="145" t="s">
        <v>4090</v>
      </c>
      <c r="B200" t="s">
        <v>2176</v>
      </c>
      <c r="C200" t="s">
        <v>2547</v>
      </c>
      <c r="D200" t="s">
        <v>2538</v>
      </c>
      <c r="E200" t="s">
        <v>2548</v>
      </c>
      <c r="G200" t="s">
        <v>4092</v>
      </c>
      <c r="H200" t="s">
        <v>120</v>
      </c>
      <c r="I200" t="s">
        <v>3991</v>
      </c>
    </row>
    <row r="201" spans="1:9">
      <c r="A201" s="145" t="s">
        <v>4090</v>
      </c>
      <c r="B201" t="s">
        <v>2176</v>
      </c>
      <c r="C201" t="s">
        <v>2549</v>
      </c>
      <c r="D201" t="s">
        <v>2538</v>
      </c>
      <c r="E201" t="s">
        <v>2550</v>
      </c>
      <c r="F201" t="s">
        <v>2551</v>
      </c>
      <c r="G201" t="s">
        <v>4091</v>
      </c>
      <c r="H201" t="s">
        <v>120</v>
      </c>
      <c r="I201" t="s">
        <v>3991</v>
      </c>
    </row>
    <row r="202" spans="1:9">
      <c r="A202" s="145" t="s">
        <v>4090</v>
      </c>
      <c r="B202" t="s">
        <v>2176</v>
      </c>
      <c r="C202" t="s">
        <v>2549</v>
      </c>
      <c r="D202" t="s">
        <v>2538</v>
      </c>
      <c r="E202" t="s">
        <v>2550</v>
      </c>
      <c r="F202" t="s">
        <v>2551</v>
      </c>
      <c r="G202" t="s">
        <v>4092</v>
      </c>
      <c r="H202" t="s">
        <v>120</v>
      </c>
      <c r="I202" t="s">
        <v>3991</v>
      </c>
    </row>
    <row r="203" spans="1:9">
      <c r="A203" s="145" t="s">
        <v>4090</v>
      </c>
      <c r="B203" t="s">
        <v>2176</v>
      </c>
      <c r="C203" t="s">
        <v>2552</v>
      </c>
      <c r="D203" t="s">
        <v>2538</v>
      </c>
      <c r="E203" t="s">
        <v>2553</v>
      </c>
      <c r="G203" t="s">
        <v>4091</v>
      </c>
      <c r="H203" t="s">
        <v>120</v>
      </c>
      <c r="I203" t="s">
        <v>3991</v>
      </c>
    </row>
    <row r="204" spans="1:9">
      <c r="A204" s="145" t="s">
        <v>4090</v>
      </c>
      <c r="B204" t="s">
        <v>2176</v>
      </c>
      <c r="C204" t="s">
        <v>2552</v>
      </c>
      <c r="D204" t="s">
        <v>2538</v>
      </c>
      <c r="E204" t="s">
        <v>2553</v>
      </c>
      <c r="G204" t="s">
        <v>4092</v>
      </c>
      <c r="H204" t="s">
        <v>120</v>
      </c>
      <c r="I204" t="s">
        <v>3991</v>
      </c>
    </row>
    <row r="205" spans="1:9">
      <c r="A205" s="145" t="s">
        <v>4090</v>
      </c>
      <c r="B205" t="s">
        <v>2178</v>
      </c>
      <c r="C205" t="s">
        <v>2427</v>
      </c>
      <c r="D205" t="s">
        <v>2370</v>
      </c>
      <c r="E205" t="s">
        <v>2428</v>
      </c>
      <c r="F205" t="s">
        <v>2429</v>
      </c>
      <c r="G205" t="s">
        <v>4091</v>
      </c>
      <c r="H205" t="s">
        <v>120</v>
      </c>
      <c r="I205" t="s">
        <v>3995</v>
      </c>
    </row>
    <row r="206" spans="1:9">
      <c r="A206" s="145" t="s">
        <v>4090</v>
      </c>
      <c r="B206" t="s">
        <v>2178</v>
      </c>
      <c r="C206" t="s">
        <v>2427</v>
      </c>
      <c r="D206" t="s">
        <v>2370</v>
      </c>
      <c r="E206" t="s">
        <v>2428</v>
      </c>
      <c r="F206" t="s">
        <v>2429</v>
      </c>
      <c r="G206" t="s">
        <v>4092</v>
      </c>
      <c r="H206" t="s">
        <v>120</v>
      </c>
      <c r="I206" t="s">
        <v>3995</v>
      </c>
    </row>
    <row r="207" spans="1:9">
      <c r="A207" s="145" t="s">
        <v>4090</v>
      </c>
      <c r="B207" t="s">
        <v>2178</v>
      </c>
      <c r="C207" t="s">
        <v>2555</v>
      </c>
      <c r="D207" t="s">
        <v>2363</v>
      </c>
      <c r="E207" t="s">
        <v>2556</v>
      </c>
      <c r="F207" t="s">
        <v>2557</v>
      </c>
      <c r="G207" t="s">
        <v>4091</v>
      </c>
      <c r="H207" t="s">
        <v>120</v>
      </c>
      <c r="I207" t="s">
        <v>3995</v>
      </c>
    </row>
    <row r="208" spans="1:9">
      <c r="A208" s="145" t="s">
        <v>4090</v>
      </c>
      <c r="B208" t="s">
        <v>2178</v>
      </c>
      <c r="C208" t="s">
        <v>2555</v>
      </c>
      <c r="D208" t="s">
        <v>2363</v>
      </c>
      <c r="E208" t="s">
        <v>2556</v>
      </c>
      <c r="F208" t="s">
        <v>2557</v>
      </c>
      <c r="G208" t="s">
        <v>4092</v>
      </c>
      <c r="H208" t="s">
        <v>120</v>
      </c>
      <c r="I208" t="s">
        <v>3995</v>
      </c>
    </row>
    <row r="209" spans="1:9">
      <c r="A209" s="145" t="s">
        <v>4090</v>
      </c>
      <c r="B209" t="s">
        <v>2178</v>
      </c>
      <c r="C209" t="s">
        <v>2558</v>
      </c>
      <c r="D209" t="s">
        <v>2559</v>
      </c>
      <c r="E209" t="s">
        <v>2560</v>
      </c>
      <c r="F209" t="s">
        <v>2561</v>
      </c>
      <c r="G209" t="s">
        <v>4091</v>
      </c>
      <c r="H209" t="s">
        <v>120</v>
      </c>
      <c r="I209" t="s">
        <v>3995</v>
      </c>
    </row>
    <row r="210" spans="1:9">
      <c r="A210" s="145" t="s">
        <v>4090</v>
      </c>
      <c r="B210" t="s">
        <v>2178</v>
      </c>
      <c r="C210" t="s">
        <v>2558</v>
      </c>
      <c r="D210" t="s">
        <v>2559</v>
      </c>
      <c r="E210" t="s">
        <v>2560</v>
      </c>
      <c r="F210" t="s">
        <v>2561</v>
      </c>
      <c r="G210" t="s">
        <v>4092</v>
      </c>
      <c r="H210" t="s">
        <v>120</v>
      </c>
      <c r="I210" t="s">
        <v>3995</v>
      </c>
    </row>
    <row r="211" spans="1:9">
      <c r="A211" s="145" t="s">
        <v>4090</v>
      </c>
      <c r="B211" t="s">
        <v>2178</v>
      </c>
      <c r="C211" t="s">
        <v>2562</v>
      </c>
      <c r="D211" t="s">
        <v>2370</v>
      </c>
      <c r="E211" t="s">
        <v>120</v>
      </c>
      <c r="F211" t="s">
        <v>2563</v>
      </c>
      <c r="G211" t="s">
        <v>4091</v>
      </c>
      <c r="H211" t="s">
        <v>120</v>
      </c>
      <c r="I211" t="s">
        <v>3995</v>
      </c>
    </row>
    <row r="212" spans="1:9">
      <c r="A212" s="145" t="s">
        <v>4090</v>
      </c>
      <c r="B212" t="s">
        <v>2178</v>
      </c>
      <c r="C212" t="s">
        <v>2562</v>
      </c>
      <c r="D212" t="s">
        <v>2370</v>
      </c>
      <c r="E212" t="s">
        <v>120</v>
      </c>
      <c r="F212" t="s">
        <v>2563</v>
      </c>
      <c r="G212" t="s">
        <v>4092</v>
      </c>
      <c r="H212" t="s">
        <v>120</v>
      </c>
      <c r="I212" t="s">
        <v>3995</v>
      </c>
    </row>
    <row r="213" spans="1:9">
      <c r="A213" s="145" t="s">
        <v>4090</v>
      </c>
      <c r="B213" t="s">
        <v>2178</v>
      </c>
      <c r="C213" t="s">
        <v>2372</v>
      </c>
      <c r="E213" t="s">
        <v>2329</v>
      </c>
      <c r="G213" t="s">
        <v>4093</v>
      </c>
      <c r="H213" t="s">
        <v>2451</v>
      </c>
      <c r="I213" t="s">
        <v>3995</v>
      </c>
    </row>
    <row r="214" spans="1:9">
      <c r="A214" s="145" t="s">
        <v>4090</v>
      </c>
      <c r="B214" t="s">
        <v>2178</v>
      </c>
      <c r="C214" t="s">
        <v>2372</v>
      </c>
      <c r="E214" t="s">
        <v>2329</v>
      </c>
      <c r="G214" t="s">
        <v>4092</v>
      </c>
      <c r="H214" t="s">
        <v>2451</v>
      </c>
      <c r="I214" t="s">
        <v>3995</v>
      </c>
    </row>
    <row r="215" spans="1:9">
      <c r="A215" s="145" t="s">
        <v>4090</v>
      </c>
      <c r="B215" t="s">
        <v>2178</v>
      </c>
      <c r="C215" t="s">
        <v>2564</v>
      </c>
      <c r="E215" t="s">
        <v>120</v>
      </c>
      <c r="G215" t="s">
        <v>4091</v>
      </c>
      <c r="H215" t="s">
        <v>120</v>
      </c>
      <c r="I215" t="s">
        <v>3995</v>
      </c>
    </row>
    <row r="216" spans="1:9">
      <c r="A216" s="145" t="s">
        <v>4090</v>
      </c>
      <c r="B216" t="s">
        <v>2178</v>
      </c>
      <c r="C216" t="s">
        <v>2564</v>
      </c>
      <c r="E216" t="s">
        <v>120</v>
      </c>
      <c r="G216" t="s">
        <v>4092</v>
      </c>
      <c r="H216" t="s">
        <v>120</v>
      </c>
      <c r="I216" t="s">
        <v>3995</v>
      </c>
    </row>
    <row r="217" spans="1:9">
      <c r="A217" s="145" t="s">
        <v>4090</v>
      </c>
      <c r="B217" t="s">
        <v>2178</v>
      </c>
      <c r="C217" t="s">
        <v>2565</v>
      </c>
      <c r="D217" t="s">
        <v>2370</v>
      </c>
      <c r="E217" t="s">
        <v>2566</v>
      </c>
      <c r="F217" t="s">
        <v>2567</v>
      </c>
      <c r="G217" t="s">
        <v>4091</v>
      </c>
      <c r="H217" t="s">
        <v>2566</v>
      </c>
      <c r="I217" t="s">
        <v>3995</v>
      </c>
    </row>
    <row r="218" spans="1:9">
      <c r="A218" s="145" t="s">
        <v>4090</v>
      </c>
      <c r="B218" t="s">
        <v>2178</v>
      </c>
      <c r="C218" t="s">
        <v>2565</v>
      </c>
      <c r="D218" t="s">
        <v>2370</v>
      </c>
      <c r="E218" t="s">
        <v>2566</v>
      </c>
      <c r="F218" t="s">
        <v>2567</v>
      </c>
      <c r="G218" t="s">
        <v>4092</v>
      </c>
      <c r="H218" t="s">
        <v>2566</v>
      </c>
      <c r="I218" t="s">
        <v>3995</v>
      </c>
    </row>
    <row r="219" spans="1:9">
      <c r="A219" s="145" t="s">
        <v>4090</v>
      </c>
      <c r="B219" t="s">
        <v>3874</v>
      </c>
      <c r="C219" t="s">
        <v>2374</v>
      </c>
      <c r="E219" t="s">
        <v>2329</v>
      </c>
      <c r="F219" t="s">
        <v>2375</v>
      </c>
      <c r="G219" t="s">
        <v>4093</v>
      </c>
      <c r="H219" t="s">
        <v>2451</v>
      </c>
    </row>
    <row r="220" spans="1:9">
      <c r="A220" s="145" t="s">
        <v>4090</v>
      </c>
      <c r="B220" t="s">
        <v>3874</v>
      </c>
      <c r="C220" t="s">
        <v>2374</v>
      </c>
      <c r="E220" t="s">
        <v>2329</v>
      </c>
      <c r="F220" t="s">
        <v>2375</v>
      </c>
      <c r="G220" t="s">
        <v>4092</v>
      </c>
      <c r="H220" t="s">
        <v>2451</v>
      </c>
    </row>
    <row r="221" spans="1:9">
      <c r="A221" s="145" t="s">
        <v>4090</v>
      </c>
      <c r="B221" t="s">
        <v>3874</v>
      </c>
      <c r="C221" t="s">
        <v>2569</v>
      </c>
      <c r="D221" t="s">
        <v>2570</v>
      </c>
      <c r="E221" t="s">
        <v>2571</v>
      </c>
      <c r="F221" t="s">
        <v>2437</v>
      </c>
      <c r="G221" t="s">
        <v>4091</v>
      </c>
      <c r="H221" t="s">
        <v>120</v>
      </c>
    </row>
    <row r="222" spans="1:9">
      <c r="A222" s="145" t="s">
        <v>4090</v>
      </c>
      <c r="B222" t="s">
        <v>3874</v>
      </c>
      <c r="C222" t="s">
        <v>2569</v>
      </c>
      <c r="D222" t="s">
        <v>2570</v>
      </c>
      <c r="E222" t="s">
        <v>2571</v>
      </c>
      <c r="F222" t="s">
        <v>2437</v>
      </c>
      <c r="G222" t="s">
        <v>4092</v>
      </c>
      <c r="H222" t="s">
        <v>120</v>
      </c>
    </row>
    <row r="223" spans="1:9">
      <c r="A223" s="145" t="s">
        <v>4090</v>
      </c>
      <c r="B223" t="s">
        <v>3874</v>
      </c>
      <c r="C223" t="s">
        <v>2572</v>
      </c>
      <c r="D223" t="s">
        <v>2432</v>
      </c>
      <c r="E223" t="s">
        <v>120</v>
      </c>
      <c r="F223" t="s">
        <v>2573</v>
      </c>
      <c r="G223" t="s">
        <v>4091</v>
      </c>
      <c r="H223" t="s">
        <v>120</v>
      </c>
    </row>
    <row r="224" spans="1:9">
      <c r="A224" s="145" t="s">
        <v>4090</v>
      </c>
      <c r="B224" t="s">
        <v>3874</v>
      </c>
      <c r="C224" t="s">
        <v>2572</v>
      </c>
      <c r="D224" t="s">
        <v>2432</v>
      </c>
      <c r="E224" t="s">
        <v>120</v>
      </c>
      <c r="F224" t="s">
        <v>2573</v>
      </c>
      <c r="G224" t="s">
        <v>4092</v>
      </c>
      <c r="H224" t="s">
        <v>120</v>
      </c>
    </row>
    <row r="225" spans="1:9">
      <c r="A225" s="145" t="s">
        <v>4090</v>
      </c>
      <c r="B225" t="s">
        <v>3874</v>
      </c>
      <c r="C225" t="s">
        <v>2574</v>
      </c>
      <c r="D225" t="s">
        <v>2570</v>
      </c>
      <c r="E225" t="s">
        <v>120</v>
      </c>
      <c r="F225" t="s">
        <v>2573</v>
      </c>
      <c r="G225" t="s">
        <v>4091</v>
      </c>
      <c r="H225" t="s">
        <v>120</v>
      </c>
    </row>
    <row r="226" spans="1:9">
      <c r="A226" s="145" t="s">
        <v>4090</v>
      </c>
      <c r="B226" t="s">
        <v>3874</v>
      </c>
      <c r="C226" t="s">
        <v>2574</v>
      </c>
      <c r="D226" t="s">
        <v>2570</v>
      </c>
      <c r="E226" t="s">
        <v>120</v>
      </c>
      <c r="F226" t="s">
        <v>2573</v>
      </c>
      <c r="G226" t="s">
        <v>4092</v>
      </c>
      <c r="H226" t="s">
        <v>120</v>
      </c>
    </row>
    <row r="227" spans="1:9">
      <c r="A227" s="145" t="s">
        <v>4090</v>
      </c>
      <c r="B227" t="s">
        <v>3874</v>
      </c>
      <c r="C227" t="s">
        <v>2575</v>
      </c>
      <c r="D227" t="s">
        <v>2576</v>
      </c>
      <c r="E227" t="s">
        <v>2490</v>
      </c>
      <c r="F227" t="s">
        <v>2577</v>
      </c>
      <c r="G227" t="s">
        <v>4091</v>
      </c>
      <c r="H227" t="s">
        <v>2490</v>
      </c>
    </row>
    <row r="228" spans="1:9">
      <c r="A228" s="145" t="s">
        <v>4090</v>
      </c>
      <c r="B228" t="s">
        <v>3874</v>
      </c>
      <c r="C228" t="s">
        <v>2575</v>
      </c>
      <c r="D228" t="s">
        <v>2576</v>
      </c>
      <c r="E228" t="s">
        <v>2490</v>
      </c>
      <c r="F228" t="s">
        <v>2577</v>
      </c>
      <c r="G228" t="s">
        <v>4092</v>
      </c>
      <c r="H228" t="s">
        <v>2490</v>
      </c>
    </row>
    <row r="229" spans="1:9">
      <c r="A229" s="145" t="s">
        <v>4090</v>
      </c>
      <c r="B229" t="s">
        <v>3874</v>
      </c>
      <c r="C229" t="s">
        <v>2578</v>
      </c>
      <c r="D229" t="s">
        <v>2579</v>
      </c>
      <c r="E229" t="s">
        <v>2543</v>
      </c>
      <c r="F229" t="s">
        <v>2580</v>
      </c>
      <c r="G229" t="s">
        <v>4091</v>
      </c>
      <c r="H229" t="s">
        <v>120</v>
      </c>
    </row>
    <row r="230" spans="1:9">
      <c r="A230" s="145" t="s">
        <v>4090</v>
      </c>
      <c r="B230" t="s">
        <v>3874</v>
      </c>
      <c r="C230" t="s">
        <v>2578</v>
      </c>
      <c r="D230" t="s">
        <v>2579</v>
      </c>
      <c r="E230" t="s">
        <v>2543</v>
      </c>
      <c r="F230" t="s">
        <v>2580</v>
      </c>
      <c r="G230" t="s">
        <v>4092</v>
      </c>
      <c r="H230" t="s">
        <v>120</v>
      </c>
    </row>
    <row r="231" spans="1:9">
      <c r="A231" s="145" t="s">
        <v>4095</v>
      </c>
      <c r="B231" t="s">
        <v>2154</v>
      </c>
      <c r="C231" t="s">
        <v>2377</v>
      </c>
      <c r="D231" t="s">
        <v>2378</v>
      </c>
      <c r="E231" t="s">
        <v>1622</v>
      </c>
      <c r="F231" t="s">
        <v>2380</v>
      </c>
      <c r="G231" t="s">
        <v>4087</v>
      </c>
      <c r="H231" t="s">
        <v>621</v>
      </c>
      <c r="I231" t="s">
        <v>3955</v>
      </c>
    </row>
    <row r="232" spans="1:9">
      <c r="A232" s="145" t="s">
        <v>4095</v>
      </c>
      <c r="B232" t="s">
        <v>2156</v>
      </c>
      <c r="C232" t="s">
        <v>2328</v>
      </c>
      <c r="E232" t="s">
        <v>2329</v>
      </c>
      <c r="F232" t="s">
        <v>2331</v>
      </c>
      <c r="G232" t="s">
        <v>4096</v>
      </c>
      <c r="H232" t="s">
        <v>2385</v>
      </c>
      <c r="I232" t="s">
        <v>3959</v>
      </c>
    </row>
    <row r="233" spans="1:9">
      <c r="A233" s="145" t="s">
        <v>4095</v>
      </c>
      <c r="B233" t="s">
        <v>3644</v>
      </c>
      <c r="C233" t="s">
        <v>2458</v>
      </c>
      <c r="D233" t="s">
        <v>2457</v>
      </c>
      <c r="E233" t="s">
        <v>2459</v>
      </c>
      <c r="G233" t="s">
        <v>4094</v>
      </c>
      <c r="H233" t="s">
        <v>2585</v>
      </c>
      <c r="I233" t="s">
        <v>3963</v>
      </c>
    </row>
    <row r="234" spans="1:9">
      <c r="A234" s="145" t="s">
        <v>4095</v>
      </c>
      <c r="B234" t="s">
        <v>2161</v>
      </c>
      <c r="C234" t="s">
        <v>2587</v>
      </c>
      <c r="D234" t="s">
        <v>2363</v>
      </c>
      <c r="E234" t="s">
        <v>2588</v>
      </c>
      <c r="G234" t="s">
        <v>4094</v>
      </c>
      <c r="H234" t="s">
        <v>2585</v>
      </c>
      <c r="I234" t="s">
        <v>3967</v>
      </c>
    </row>
    <row r="235" spans="1:9">
      <c r="A235" s="145" t="s">
        <v>4095</v>
      </c>
      <c r="B235" t="s">
        <v>2161</v>
      </c>
      <c r="C235" t="s">
        <v>2387</v>
      </c>
      <c r="E235" t="s">
        <v>621</v>
      </c>
      <c r="F235" t="s">
        <v>2388</v>
      </c>
      <c r="G235" t="s">
        <v>4087</v>
      </c>
      <c r="H235" t="s">
        <v>621</v>
      </c>
      <c r="I235" t="s">
        <v>3967</v>
      </c>
    </row>
    <row r="236" spans="1:9">
      <c r="A236" s="145" t="s">
        <v>4095</v>
      </c>
      <c r="B236" t="s">
        <v>2161</v>
      </c>
      <c r="C236" t="s">
        <v>2389</v>
      </c>
      <c r="D236" t="s">
        <v>2390</v>
      </c>
      <c r="E236" t="s">
        <v>621</v>
      </c>
      <c r="F236" t="s">
        <v>2391</v>
      </c>
      <c r="G236" t="s">
        <v>4087</v>
      </c>
      <c r="H236" t="s">
        <v>621</v>
      </c>
      <c r="I236" t="s">
        <v>3967</v>
      </c>
    </row>
    <row r="237" spans="1:9">
      <c r="A237" s="145" t="s">
        <v>4095</v>
      </c>
      <c r="B237" t="s">
        <v>2161</v>
      </c>
      <c r="C237" t="s">
        <v>2392</v>
      </c>
      <c r="D237" t="s">
        <v>2390</v>
      </c>
      <c r="E237" t="s">
        <v>2393</v>
      </c>
      <c r="F237" t="s">
        <v>2394</v>
      </c>
      <c r="G237" t="s">
        <v>4094</v>
      </c>
      <c r="H237" t="s">
        <v>2589</v>
      </c>
      <c r="I237" t="s">
        <v>3967</v>
      </c>
    </row>
    <row r="238" spans="1:9">
      <c r="A238" s="145" t="s">
        <v>4095</v>
      </c>
      <c r="B238" t="s">
        <v>2163</v>
      </c>
      <c r="C238" t="s">
        <v>2333</v>
      </c>
      <c r="D238" t="s">
        <v>2334</v>
      </c>
      <c r="E238" t="s">
        <v>2335</v>
      </c>
      <c r="G238" t="s">
        <v>4096</v>
      </c>
      <c r="H238" t="s">
        <v>2385</v>
      </c>
      <c r="I238" t="s">
        <v>3971</v>
      </c>
    </row>
    <row r="239" spans="1:9">
      <c r="A239" s="145" t="s">
        <v>4095</v>
      </c>
      <c r="B239" t="s">
        <v>2163</v>
      </c>
      <c r="C239" t="s">
        <v>2336</v>
      </c>
      <c r="D239" t="s">
        <v>2334</v>
      </c>
      <c r="E239" t="s">
        <v>2329</v>
      </c>
      <c r="G239" t="s">
        <v>4096</v>
      </c>
      <c r="H239" t="s">
        <v>2385</v>
      </c>
      <c r="I239" t="s">
        <v>3971</v>
      </c>
    </row>
    <row r="240" spans="1:9">
      <c r="A240" s="145" t="s">
        <v>4095</v>
      </c>
      <c r="B240" t="s">
        <v>2163</v>
      </c>
      <c r="C240" t="s">
        <v>2337</v>
      </c>
      <c r="D240" t="s">
        <v>2334</v>
      </c>
      <c r="E240" t="s">
        <v>2329</v>
      </c>
      <c r="G240" t="s">
        <v>4096</v>
      </c>
      <c r="H240" t="s">
        <v>2385</v>
      </c>
      <c r="I240" t="s">
        <v>3971</v>
      </c>
    </row>
    <row r="241" spans="1:9">
      <c r="A241" s="145" t="s">
        <v>4095</v>
      </c>
      <c r="B241" t="s">
        <v>2163</v>
      </c>
      <c r="C241" t="s">
        <v>2338</v>
      </c>
      <c r="D241" t="s">
        <v>2339</v>
      </c>
      <c r="E241" t="s">
        <v>2329</v>
      </c>
      <c r="G241" t="s">
        <v>4096</v>
      </c>
      <c r="H241" t="s">
        <v>2385</v>
      </c>
      <c r="I241" t="s">
        <v>3971</v>
      </c>
    </row>
    <row r="242" spans="1:9">
      <c r="A242" s="145" t="s">
        <v>4095</v>
      </c>
      <c r="B242" t="s">
        <v>2163</v>
      </c>
      <c r="C242" t="s">
        <v>2340</v>
      </c>
      <c r="E242" t="s">
        <v>2329</v>
      </c>
      <c r="G242" t="s">
        <v>4096</v>
      </c>
      <c r="H242" t="s">
        <v>2385</v>
      </c>
      <c r="I242" t="s">
        <v>3971</v>
      </c>
    </row>
    <row r="243" spans="1:9">
      <c r="A243" s="145" t="s">
        <v>4095</v>
      </c>
      <c r="B243" t="s">
        <v>2163</v>
      </c>
      <c r="C243" t="s">
        <v>2341</v>
      </c>
      <c r="E243" t="s">
        <v>2329</v>
      </c>
      <c r="G243" t="s">
        <v>4096</v>
      </c>
      <c r="H243" t="s">
        <v>2385</v>
      </c>
      <c r="I243" t="s">
        <v>3971</v>
      </c>
    </row>
    <row r="244" spans="1:9">
      <c r="A244" s="145" t="s">
        <v>4095</v>
      </c>
      <c r="B244" t="s">
        <v>2163</v>
      </c>
      <c r="C244" t="s">
        <v>2342</v>
      </c>
      <c r="E244" t="s">
        <v>2329</v>
      </c>
      <c r="G244" t="s">
        <v>4096</v>
      </c>
      <c r="H244" t="s">
        <v>2385</v>
      </c>
      <c r="I244" t="s">
        <v>3971</v>
      </c>
    </row>
    <row r="245" spans="1:9">
      <c r="A245" s="145" t="s">
        <v>4095</v>
      </c>
      <c r="B245" t="s">
        <v>2164</v>
      </c>
      <c r="C245" t="s">
        <v>2347</v>
      </c>
      <c r="E245" t="s">
        <v>2329</v>
      </c>
      <c r="G245" t="s">
        <v>4096</v>
      </c>
      <c r="H245" t="s">
        <v>2385</v>
      </c>
      <c r="I245" t="s">
        <v>3973</v>
      </c>
    </row>
    <row r="246" spans="1:9">
      <c r="A246" s="145" t="s">
        <v>4095</v>
      </c>
      <c r="B246" t="s">
        <v>2164</v>
      </c>
      <c r="C246" t="s">
        <v>2348</v>
      </c>
      <c r="E246" t="s">
        <v>2329</v>
      </c>
      <c r="G246" t="s">
        <v>4096</v>
      </c>
      <c r="H246" t="s">
        <v>2385</v>
      </c>
      <c r="I246" t="s">
        <v>3973</v>
      </c>
    </row>
    <row r="247" spans="1:9">
      <c r="A247" s="145" t="s">
        <v>4095</v>
      </c>
      <c r="B247" t="s">
        <v>2164</v>
      </c>
      <c r="C247" t="s">
        <v>2397</v>
      </c>
      <c r="E247" t="s">
        <v>621</v>
      </c>
      <c r="F247" t="s">
        <v>2398</v>
      </c>
      <c r="G247" t="s">
        <v>4087</v>
      </c>
      <c r="H247" t="s">
        <v>621</v>
      </c>
      <c r="I247" t="s">
        <v>3973</v>
      </c>
    </row>
    <row r="248" spans="1:9">
      <c r="A248" s="145" t="s">
        <v>4095</v>
      </c>
      <c r="B248" t="s">
        <v>2166</v>
      </c>
      <c r="C248" t="s">
        <v>2400</v>
      </c>
      <c r="E248" t="s">
        <v>2401</v>
      </c>
      <c r="G248" t="s">
        <v>4087</v>
      </c>
      <c r="H248" t="s">
        <v>621</v>
      </c>
      <c r="I248" t="s">
        <v>3975</v>
      </c>
    </row>
    <row r="249" spans="1:9">
      <c r="A249" s="145" t="s">
        <v>4095</v>
      </c>
      <c r="B249" t="s">
        <v>2166</v>
      </c>
      <c r="C249" t="s">
        <v>2350</v>
      </c>
      <c r="E249" t="s">
        <v>2329</v>
      </c>
      <c r="G249" t="s">
        <v>4096</v>
      </c>
      <c r="H249" t="s">
        <v>2385</v>
      </c>
      <c r="I249" t="s">
        <v>3975</v>
      </c>
    </row>
    <row r="250" spans="1:9">
      <c r="A250" s="145" t="s">
        <v>4095</v>
      </c>
      <c r="B250" t="s">
        <v>2169</v>
      </c>
      <c r="C250" t="s">
        <v>2403</v>
      </c>
      <c r="D250" t="s">
        <v>2404</v>
      </c>
      <c r="E250" t="s">
        <v>621</v>
      </c>
      <c r="F250" t="s">
        <v>2405</v>
      </c>
      <c r="G250" t="s">
        <v>4087</v>
      </c>
      <c r="H250" t="s">
        <v>621</v>
      </c>
      <c r="I250" t="s">
        <v>3983</v>
      </c>
    </row>
    <row r="251" spans="1:9">
      <c r="A251" s="145" t="s">
        <v>4095</v>
      </c>
      <c r="B251" t="s">
        <v>2169</v>
      </c>
      <c r="C251" t="s">
        <v>2406</v>
      </c>
      <c r="D251" t="s">
        <v>2407</v>
      </c>
      <c r="E251" t="s">
        <v>2408</v>
      </c>
      <c r="F251" t="s">
        <v>2409</v>
      </c>
      <c r="G251" t="s">
        <v>4087</v>
      </c>
      <c r="H251" t="s">
        <v>621</v>
      </c>
      <c r="I251" t="s">
        <v>3983</v>
      </c>
    </row>
    <row r="252" spans="1:9">
      <c r="A252" s="145" t="s">
        <v>4095</v>
      </c>
      <c r="B252" t="s">
        <v>2169</v>
      </c>
      <c r="C252" t="s">
        <v>2358</v>
      </c>
      <c r="E252" t="s">
        <v>2329</v>
      </c>
      <c r="G252" t="s">
        <v>4096</v>
      </c>
      <c r="H252" t="s">
        <v>2385</v>
      </c>
      <c r="I252" t="s">
        <v>3983</v>
      </c>
    </row>
    <row r="253" spans="1:9">
      <c r="A253" s="145" t="s">
        <v>4095</v>
      </c>
      <c r="B253" t="s">
        <v>2173</v>
      </c>
      <c r="C253" t="s">
        <v>2411</v>
      </c>
      <c r="D253" t="s">
        <v>2412</v>
      </c>
      <c r="E253" t="s">
        <v>621</v>
      </c>
      <c r="G253" t="s">
        <v>4087</v>
      </c>
      <c r="H253" t="s">
        <v>621</v>
      </c>
      <c r="I253" t="s">
        <v>3987</v>
      </c>
    </row>
    <row r="254" spans="1:9">
      <c r="A254" s="145" t="s">
        <v>4095</v>
      </c>
      <c r="B254" t="s">
        <v>2173</v>
      </c>
      <c r="C254" t="s">
        <v>2413</v>
      </c>
      <c r="D254" t="s">
        <v>2407</v>
      </c>
      <c r="E254" t="s">
        <v>2414</v>
      </c>
      <c r="F254" t="s">
        <v>2416</v>
      </c>
      <c r="G254" t="s">
        <v>4094</v>
      </c>
      <c r="H254" t="s">
        <v>2595</v>
      </c>
      <c r="I254" t="s">
        <v>3987</v>
      </c>
    </row>
    <row r="255" spans="1:9">
      <c r="A255" s="145" t="s">
        <v>4095</v>
      </c>
      <c r="B255" t="s">
        <v>2173</v>
      </c>
      <c r="C255" t="s">
        <v>2417</v>
      </c>
      <c r="E255" t="s">
        <v>621</v>
      </c>
      <c r="F255" t="s">
        <v>2361</v>
      </c>
      <c r="G255" t="s">
        <v>4087</v>
      </c>
      <c r="H255" t="s">
        <v>621</v>
      </c>
      <c r="I255" t="s">
        <v>3987</v>
      </c>
    </row>
    <row r="256" spans="1:9">
      <c r="A256" s="145" t="s">
        <v>4095</v>
      </c>
      <c r="B256" t="s">
        <v>2173</v>
      </c>
      <c r="C256" t="s">
        <v>2362</v>
      </c>
      <c r="D256" t="s">
        <v>2363</v>
      </c>
      <c r="E256" t="s">
        <v>2364</v>
      </c>
      <c r="G256" t="s">
        <v>4096</v>
      </c>
      <c r="H256" t="s">
        <v>2418</v>
      </c>
      <c r="I256" t="s">
        <v>3987</v>
      </c>
    </row>
    <row r="257" spans="1:9">
      <c r="A257" s="145" t="s">
        <v>4095</v>
      </c>
      <c r="B257" t="s">
        <v>2176</v>
      </c>
      <c r="C257" t="s">
        <v>2420</v>
      </c>
      <c r="E257" t="s">
        <v>621</v>
      </c>
      <c r="G257" t="s">
        <v>4087</v>
      </c>
      <c r="H257" t="s">
        <v>621</v>
      </c>
      <c r="I257" t="s">
        <v>3991</v>
      </c>
    </row>
    <row r="258" spans="1:9">
      <c r="A258" s="145" t="s">
        <v>4095</v>
      </c>
      <c r="B258" t="s">
        <v>2176</v>
      </c>
      <c r="C258" t="s">
        <v>2541</v>
      </c>
      <c r="D258" t="s">
        <v>2542</v>
      </c>
      <c r="E258" t="s">
        <v>2543</v>
      </c>
      <c r="G258" t="s">
        <v>4094</v>
      </c>
      <c r="H258" t="s">
        <v>2585</v>
      </c>
      <c r="I258" t="s">
        <v>3991</v>
      </c>
    </row>
    <row r="259" spans="1:9">
      <c r="A259" s="145" t="s">
        <v>4095</v>
      </c>
      <c r="B259" t="s">
        <v>2178</v>
      </c>
      <c r="C259" t="s">
        <v>2427</v>
      </c>
      <c r="D259" t="s">
        <v>2370</v>
      </c>
      <c r="E259" t="s">
        <v>2428</v>
      </c>
      <c r="F259" t="s">
        <v>2429</v>
      </c>
      <c r="G259" t="s">
        <v>4087</v>
      </c>
      <c r="H259" t="s">
        <v>621</v>
      </c>
      <c r="I259" t="s">
        <v>3995</v>
      </c>
    </row>
    <row r="260" spans="1:9">
      <c r="A260" s="145" t="s">
        <v>4095</v>
      </c>
      <c r="B260" t="s">
        <v>2178</v>
      </c>
      <c r="C260" t="s">
        <v>2372</v>
      </c>
      <c r="E260" t="s">
        <v>2329</v>
      </c>
      <c r="G260" t="s">
        <v>4096</v>
      </c>
      <c r="H260" t="s">
        <v>2385</v>
      </c>
      <c r="I260" t="s">
        <v>3995</v>
      </c>
    </row>
    <row r="261" spans="1:9">
      <c r="A261" s="145" t="s">
        <v>4095</v>
      </c>
      <c r="B261" t="s">
        <v>3874</v>
      </c>
      <c r="C261" t="s">
        <v>2374</v>
      </c>
      <c r="E261" t="s">
        <v>2329</v>
      </c>
      <c r="F261" t="s">
        <v>2375</v>
      </c>
      <c r="G261" t="s">
        <v>4096</v>
      </c>
      <c r="H261" t="s">
        <v>2385</v>
      </c>
    </row>
    <row r="262" spans="1:9">
      <c r="A262" s="145" t="s">
        <v>4095</v>
      </c>
      <c r="B262" t="s">
        <v>3874</v>
      </c>
      <c r="C262" t="s">
        <v>2431</v>
      </c>
      <c r="D262" t="s">
        <v>2432</v>
      </c>
      <c r="E262" t="s">
        <v>621</v>
      </c>
      <c r="F262" t="s">
        <v>2433</v>
      </c>
      <c r="G262" t="s">
        <v>4087</v>
      </c>
      <c r="H262" t="s">
        <v>621</v>
      </c>
    </row>
    <row r="263" spans="1:9">
      <c r="A263" s="145" t="s">
        <v>4095</v>
      </c>
      <c r="B263" t="s">
        <v>3874</v>
      </c>
      <c r="C263" t="s">
        <v>2578</v>
      </c>
      <c r="D263" t="s">
        <v>2579</v>
      </c>
      <c r="E263" t="s">
        <v>2543</v>
      </c>
      <c r="F263" t="s">
        <v>2580</v>
      </c>
      <c r="G263" t="s">
        <v>4094</v>
      </c>
      <c r="H263" t="s">
        <v>2585</v>
      </c>
    </row>
    <row r="264" spans="1:9">
      <c r="A264" s="145" t="s">
        <v>4095</v>
      </c>
      <c r="B264" t="s">
        <v>3874</v>
      </c>
      <c r="C264" t="s">
        <v>2434</v>
      </c>
      <c r="D264" t="s">
        <v>2435</v>
      </c>
      <c r="E264" t="s">
        <v>2436</v>
      </c>
      <c r="F264" t="s">
        <v>2437</v>
      </c>
      <c r="G264" t="s">
        <v>4094</v>
      </c>
      <c r="H264" t="s">
        <v>2436</v>
      </c>
    </row>
    <row r="265" spans="1:9">
      <c r="A265" s="145" t="s">
        <v>4095</v>
      </c>
      <c r="B265" t="s">
        <v>3874</v>
      </c>
      <c r="C265" t="s">
        <v>2599</v>
      </c>
      <c r="D265" t="s">
        <v>2435</v>
      </c>
      <c r="E265" t="s">
        <v>2585</v>
      </c>
      <c r="F265" t="s">
        <v>2375</v>
      </c>
      <c r="G265" t="s">
        <v>4094</v>
      </c>
      <c r="H265" t="s">
        <v>2585</v>
      </c>
    </row>
    <row r="266" spans="1:9">
      <c r="A266" s="145" t="s">
        <v>4097</v>
      </c>
      <c r="B266" t="s">
        <v>2154</v>
      </c>
      <c r="C266" t="s">
        <v>2377</v>
      </c>
      <c r="D266" t="s">
        <v>2378</v>
      </c>
      <c r="E266" t="s">
        <v>1622</v>
      </c>
      <c r="F266" t="s">
        <v>2380</v>
      </c>
      <c r="G266" t="s">
        <v>4094</v>
      </c>
      <c r="H266" t="s">
        <v>621</v>
      </c>
      <c r="I266" t="s">
        <v>3955</v>
      </c>
    </row>
    <row r="267" spans="1:9">
      <c r="A267" s="145" t="s">
        <v>4097</v>
      </c>
      <c r="B267" t="s">
        <v>2156</v>
      </c>
      <c r="C267" t="s">
        <v>2328</v>
      </c>
      <c r="E267" t="s">
        <v>2329</v>
      </c>
      <c r="F267" t="s">
        <v>2331</v>
      </c>
      <c r="G267" t="s">
        <v>4096</v>
      </c>
      <c r="H267" t="s">
        <v>2385</v>
      </c>
      <c r="I267" t="s">
        <v>3959</v>
      </c>
    </row>
    <row r="268" spans="1:9">
      <c r="A268" s="145" t="s">
        <v>4097</v>
      </c>
      <c r="B268" t="s">
        <v>3644</v>
      </c>
      <c r="C268" t="s">
        <v>2458</v>
      </c>
      <c r="D268" t="s">
        <v>2457</v>
      </c>
      <c r="E268" t="s">
        <v>2459</v>
      </c>
      <c r="G268" t="s">
        <v>4094</v>
      </c>
      <c r="H268" t="s">
        <v>2585</v>
      </c>
      <c r="I268" t="s">
        <v>3963</v>
      </c>
    </row>
    <row r="269" spans="1:9">
      <c r="A269" s="145" t="s">
        <v>4097</v>
      </c>
      <c r="B269" t="s">
        <v>2161</v>
      </c>
      <c r="C269" t="s">
        <v>2587</v>
      </c>
      <c r="D269" t="s">
        <v>2363</v>
      </c>
      <c r="E269" t="s">
        <v>2588</v>
      </c>
      <c r="G269" t="s">
        <v>4094</v>
      </c>
      <c r="H269" t="s">
        <v>2585</v>
      </c>
      <c r="I269" t="s">
        <v>3967</v>
      </c>
    </row>
    <row r="270" spans="1:9">
      <c r="A270" s="145" t="s">
        <v>4097</v>
      </c>
      <c r="B270" t="s">
        <v>2161</v>
      </c>
      <c r="C270" t="s">
        <v>2387</v>
      </c>
      <c r="E270" t="s">
        <v>621</v>
      </c>
      <c r="F270" t="s">
        <v>2388</v>
      </c>
      <c r="G270" t="s">
        <v>4094</v>
      </c>
      <c r="H270" t="s">
        <v>621</v>
      </c>
      <c r="I270" t="s">
        <v>3967</v>
      </c>
    </row>
    <row r="271" spans="1:9">
      <c r="A271" s="145" t="s">
        <v>4097</v>
      </c>
      <c r="B271" t="s">
        <v>2161</v>
      </c>
      <c r="C271" t="s">
        <v>2389</v>
      </c>
      <c r="D271" t="s">
        <v>2390</v>
      </c>
      <c r="E271" t="s">
        <v>621</v>
      </c>
      <c r="F271" t="s">
        <v>2391</v>
      </c>
      <c r="G271" t="s">
        <v>4094</v>
      </c>
      <c r="H271" t="s">
        <v>621</v>
      </c>
      <c r="I271" t="s">
        <v>3967</v>
      </c>
    </row>
    <row r="272" spans="1:9">
      <c r="A272" s="145" t="s">
        <v>4097</v>
      </c>
      <c r="B272" t="s">
        <v>2161</v>
      </c>
      <c r="C272" t="s">
        <v>2392</v>
      </c>
      <c r="D272" t="s">
        <v>2390</v>
      </c>
      <c r="E272" t="s">
        <v>2393</v>
      </c>
      <c r="F272" t="s">
        <v>2394</v>
      </c>
      <c r="G272" t="s">
        <v>4094</v>
      </c>
      <c r="H272" t="s">
        <v>2589</v>
      </c>
      <c r="I272" t="s">
        <v>3967</v>
      </c>
    </row>
    <row r="273" spans="1:9">
      <c r="A273" s="145" t="s">
        <v>4097</v>
      </c>
      <c r="B273" t="s">
        <v>2163</v>
      </c>
      <c r="C273" t="s">
        <v>2333</v>
      </c>
      <c r="D273" t="s">
        <v>2334</v>
      </c>
      <c r="E273" t="s">
        <v>2335</v>
      </c>
      <c r="G273" t="s">
        <v>4096</v>
      </c>
      <c r="H273" t="s">
        <v>2385</v>
      </c>
      <c r="I273" t="s">
        <v>3971</v>
      </c>
    </row>
    <row r="274" spans="1:9">
      <c r="A274" s="145" t="s">
        <v>4097</v>
      </c>
      <c r="B274" t="s">
        <v>2163</v>
      </c>
      <c r="C274" t="s">
        <v>2336</v>
      </c>
      <c r="D274" t="s">
        <v>2334</v>
      </c>
      <c r="E274" t="s">
        <v>2329</v>
      </c>
      <c r="G274" t="s">
        <v>4096</v>
      </c>
      <c r="H274" t="s">
        <v>2385</v>
      </c>
      <c r="I274" t="s">
        <v>3971</v>
      </c>
    </row>
    <row r="275" spans="1:9">
      <c r="A275" s="145" t="s">
        <v>4097</v>
      </c>
      <c r="B275" t="s">
        <v>2163</v>
      </c>
      <c r="C275" t="s">
        <v>2337</v>
      </c>
      <c r="D275" t="s">
        <v>2334</v>
      </c>
      <c r="E275" t="s">
        <v>2329</v>
      </c>
      <c r="G275" t="s">
        <v>4096</v>
      </c>
      <c r="H275" t="s">
        <v>2385</v>
      </c>
      <c r="I275" t="s">
        <v>3971</v>
      </c>
    </row>
    <row r="276" spans="1:9">
      <c r="A276" s="145" t="s">
        <v>4097</v>
      </c>
      <c r="B276" t="s">
        <v>2163</v>
      </c>
      <c r="C276" t="s">
        <v>2338</v>
      </c>
      <c r="D276" t="s">
        <v>2339</v>
      </c>
      <c r="E276" t="s">
        <v>2329</v>
      </c>
      <c r="G276" t="s">
        <v>4096</v>
      </c>
      <c r="H276" t="s">
        <v>2385</v>
      </c>
      <c r="I276" t="s">
        <v>3971</v>
      </c>
    </row>
    <row r="277" spans="1:9">
      <c r="A277" s="145" t="s">
        <v>4097</v>
      </c>
      <c r="B277" t="s">
        <v>2163</v>
      </c>
      <c r="C277" t="s">
        <v>2340</v>
      </c>
      <c r="E277" t="s">
        <v>2329</v>
      </c>
      <c r="G277" t="s">
        <v>4096</v>
      </c>
      <c r="H277" t="s">
        <v>2385</v>
      </c>
      <c r="I277" t="s">
        <v>3971</v>
      </c>
    </row>
    <row r="278" spans="1:9">
      <c r="A278" s="145" t="s">
        <v>4097</v>
      </c>
      <c r="B278" t="s">
        <v>2163</v>
      </c>
      <c r="C278" t="s">
        <v>2341</v>
      </c>
      <c r="E278" t="s">
        <v>2329</v>
      </c>
      <c r="G278" t="s">
        <v>4096</v>
      </c>
      <c r="H278" t="s">
        <v>2385</v>
      </c>
      <c r="I278" t="s">
        <v>3971</v>
      </c>
    </row>
    <row r="279" spans="1:9">
      <c r="A279" s="145" t="s">
        <v>4097</v>
      </c>
      <c r="B279" t="s">
        <v>2163</v>
      </c>
      <c r="C279" t="s">
        <v>2342</v>
      </c>
      <c r="E279" t="s">
        <v>2329</v>
      </c>
      <c r="G279" t="s">
        <v>4096</v>
      </c>
      <c r="H279" t="s">
        <v>2385</v>
      </c>
      <c r="I279" t="s">
        <v>3971</v>
      </c>
    </row>
    <row r="280" spans="1:9">
      <c r="A280" s="145" t="s">
        <v>4097</v>
      </c>
      <c r="B280" t="s">
        <v>2164</v>
      </c>
      <c r="C280" t="s">
        <v>2347</v>
      </c>
      <c r="E280" t="s">
        <v>2329</v>
      </c>
      <c r="G280" t="s">
        <v>4096</v>
      </c>
      <c r="H280" t="s">
        <v>2385</v>
      </c>
      <c r="I280" t="s">
        <v>3973</v>
      </c>
    </row>
    <row r="281" spans="1:9">
      <c r="A281" s="145" t="s">
        <v>4097</v>
      </c>
      <c r="B281" t="s">
        <v>2164</v>
      </c>
      <c r="C281" t="s">
        <v>2348</v>
      </c>
      <c r="E281" t="s">
        <v>2329</v>
      </c>
      <c r="G281" t="s">
        <v>4096</v>
      </c>
      <c r="H281" t="s">
        <v>2385</v>
      </c>
      <c r="I281" t="s">
        <v>3973</v>
      </c>
    </row>
    <row r="282" spans="1:9">
      <c r="A282" s="145" t="s">
        <v>4097</v>
      </c>
      <c r="B282" t="s">
        <v>2164</v>
      </c>
      <c r="C282" t="s">
        <v>2397</v>
      </c>
      <c r="E282" t="s">
        <v>621</v>
      </c>
      <c r="F282" t="s">
        <v>2398</v>
      </c>
      <c r="G282" t="s">
        <v>4094</v>
      </c>
      <c r="H282" t="s">
        <v>621</v>
      </c>
      <c r="I282" t="s">
        <v>3973</v>
      </c>
    </row>
    <row r="283" spans="1:9">
      <c r="A283" s="145" t="s">
        <v>4097</v>
      </c>
      <c r="B283" t="s">
        <v>2166</v>
      </c>
      <c r="C283" t="s">
        <v>2400</v>
      </c>
      <c r="E283" t="s">
        <v>2401</v>
      </c>
      <c r="G283" t="s">
        <v>4094</v>
      </c>
      <c r="H283" t="s">
        <v>621</v>
      </c>
      <c r="I283" t="s">
        <v>3975</v>
      </c>
    </row>
    <row r="284" spans="1:9">
      <c r="A284" s="145" t="s">
        <v>4097</v>
      </c>
      <c r="B284" t="s">
        <v>2166</v>
      </c>
      <c r="C284" t="s">
        <v>2350</v>
      </c>
      <c r="E284" t="s">
        <v>2329</v>
      </c>
      <c r="G284" t="s">
        <v>4096</v>
      </c>
      <c r="H284" t="s">
        <v>2385</v>
      </c>
      <c r="I284" t="s">
        <v>3975</v>
      </c>
    </row>
    <row r="285" spans="1:9">
      <c r="A285" s="145" t="s">
        <v>4097</v>
      </c>
      <c r="B285" t="s">
        <v>2169</v>
      </c>
      <c r="C285" t="s">
        <v>2403</v>
      </c>
      <c r="D285" t="s">
        <v>2404</v>
      </c>
      <c r="E285" t="s">
        <v>621</v>
      </c>
      <c r="F285" t="s">
        <v>2405</v>
      </c>
      <c r="G285" t="s">
        <v>4094</v>
      </c>
      <c r="H285" t="s">
        <v>621</v>
      </c>
      <c r="I285" t="s">
        <v>3983</v>
      </c>
    </row>
    <row r="286" spans="1:9">
      <c r="A286" s="145" t="s">
        <v>4097</v>
      </c>
      <c r="B286" t="s">
        <v>2169</v>
      </c>
      <c r="C286" t="s">
        <v>2406</v>
      </c>
      <c r="D286" t="s">
        <v>2407</v>
      </c>
      <c r="E286" t="s">
        <v>2408</v>
      </c>
      <c r="F286" t="s">
        <v>2409</v>
      </c>
      <c r="G286" t="s">
        <v>4094</v>
      </c>
      <c r="H286" t="s">
        <v>621</v>
      </c>
      <c r="I286" t="s">
        <v>3983</v>
      </c>
    </row>
    <row r="287" spans="1:9">
      <c r="A287" s="145" t="s">
        <v>4097</v>
      </c>
      <c r="B287" t="s">
        <v>2169</v>
      </c>
      <c r="C287" t="s">
        <v>2358</v>
      </c>
      <c r="E287" t="s">
        <v>2329</v>
      </c>
      <c r="G287" t="s">
        <v>4096</v>
      </c>
      <c r="H287" t="s">
        <v>2385</v>
      </c>
      <c r="I287" t="s">
        <v>3983</v>
      </c>
    </row>
    <row r="288" spans="1:9">
      <c r="A288" s="145" t="s">
        <v>4097</v>
      </c>
      <c r="B288" t="s">
        <v>2173</v>
      </c>
      <c r="C288" t="s">
        <v>2411</v>
      </c>
      <c r="D288" t="s">
        <v>2412</v>
      </c>
      <c r="E288" t="s">
        <v>621</v>
      </c>
      <c r="G288" t="s">
        <v>4094</v>
      </c>
      <c r="H288" t="s">
        <v>621</v>
      </c>
      <c r="I288" t="s">
        <v>3987</v>
      </c>
    </row>
    <row r="289" spans="1:9">
      <c r="A289" s="145" t="s">
        <v>4097</v>
      </c>
      <c r="B289" t="s">
        <v>2173</v>
      </c>
      <c r="C289" t="s">
        <v>2413</v>
      </c>
      <c r="D289" t="s">
        <v>2407</v>
      </c>
      <c r="E289" t="s">
        <v>2414</v>
      </c>
      <c r="F289" t="s">
        <v>2416</v>
      </c>
      <c r="G289" t="s">
        <v>4094</v>
      </c>
      <c r="H289" t="s">
        <v>2595</v>
      </c>
      <c r="I289" t="s">
        <v>3987</v>
      </c>
    </row>
    <row r="290" spans="1:9">
      <c r="A290" s="145" t="s">
        <v>4097</v>
      </c>
      <c r="B290" t="s">
        <v>2173</v>
      </c>
      <c r="C290" t="s">
        <v>2417</v>
      </c>
      <c r="E290" t="s">
        <v>621</v>
      </c>
      <c r="F290" t="s">
        <v>2361</v>
      </c>
      <c r="G290" t="s">
        <v>4094</v>
      </c>
      <c r="H290" t="s">
        <v>621</v>
      </c>
      <c r="I290" t="s">
        <v>3987</v>
      </c>
    </row>
    <row r="291" spans="1:9">
      <c r="A291" s="145" t="s">
        <v>4097</v>
      </c>
      <c r="B291" t="s">
        <v>2173</v>
      </c>
      <c r="C291" t="s">
        <v>2362</v>
      </c>
      <c r="D291" t="s">
        <v>2363</v>
      </c>
      <c r="E291" t="s">
        <v>2364</v>
      </c>
      <c r="G291" t="s">
        <v>4096</v>
      </c>
      <c r="H291" t="s">
        <v>2418</v>
      </c>
      <c r="I291" t="s">
        <v>3987</v>
      </c>
    </row>
    <row r="292" spans="1:9">
      <c r="A292" s="145" t="s">
        <v>4097</v>
      </c>
      <c r="B292" t="s">
        <v>2176</v>
      </c>
      <c r="C292" t="s">
        <v>2420</v>
      </c>
      <c r="E292" t="s">
        <v>621</v>
      </c>
      <c r="G292" t="s">
        <v>4094</v>
      </c>
      <c r="H292" t="s">
        <v>621</v>
      </c>
      <c r="I292" t="s">
        <v>3991</v>
      </c>
    </row>
    <row r="293" spans="1:9">
      <c r="A293" s="145" t="s">
        <v>4097</v>
      </c>
      <c r="B293" t="s">
        <v>2176</v>
      </c>
      <c r="C293" t="s">
        <v>2541</v>
      </c>
      <c r="D293" t="s">
        <v>2542</v>
      </c>
      <c r="E293" t="s">
        <v>2543</v>
      </c>
      <c r="G293" t="s">
        <v>4094</v>
      </c>
      <c r="H293" t="s">
        <v>2585</v>
      </c>
      <c r="I293" t="s">
        <v>3991</v>
      </c>
    </row>
    <row r="294" spans="1:9">
      <c r="A294" s="145" t="s">
        <v>4097</v>
      </c>
      <c r="B294" t="s">
        <v>2178</v>
      </c>
      <c r="C294" t="s">
        <v>2427</v>
      </c>
      <c r="D294" t="s">
        <v>2370</v>
      </c>
      <c r="E294" t="s">
        <v>2428</v>
      </c>
      <c r="F294" t="s">
        <v>2429</v>
      </c>
      <c r="G294" t="s">
        <v>4094</v>
      </c>
      <c r="H294" t="s">
        <v>621</v>
      </c>
      <c r="I294" t="s">
        <v>3995</v>
      </c>
    </row>
    <row r="295" spans="1:9">
      <c r="A295" s="145" t="s">
        <v>4097</v>
      </c>
      <c r="B295" t="s">
        <v>2178</v>
      </c>
      <c r="C295" t="s">
        <v>2372</v>
      </c>
      <c r="E295" t="s">
        <v>2329</v>
      </c>
      <c r="G295" t="s">
        <v>4096</v>
      </c>
      <c r="H295" t="s">
        <v>2385</v>
      </c>
      <c r="I295" t="s">
        <v>3995</v>
      </c>
    </row>
    <row r="296" spans="1:9">
      <c r="A296" s="145" t="s">
        <v>4097</v>
      </c>
      <c r="B296" t="s">
        <v>3874</v>
      </c>
      <c r="C296" t="s">
        <v>2374</v>
      </c>
      <c r="E296" t="s">
        <v>2329</v>
      </c>
      <c r="F296" t="s">
        <v>2375</v>
      </c>
      <c r="G296" t="s">
        <v>4096</v>
      </c>
      <c r="H296" t="s">
        <v>2385</v>
      </c>
    </row>
    <row r="297" spans="1:9">
      <c r="A297" s="145" t="s">
        <v>4097</v>
      </c>
      <c r="B297" t="s">
        <v>3874</v>
      </c>
      <c r="C297" t="s">
        <v>2431</v>
      </c>
      <c r="D297" t="s">
        <v>2432</v>
      </c>
      <c r="E297" t="s">
        <v>621</v>
      </c>
      <c r="F297" t="s">
        <v>2433</v>
      </c>
      <c r="G297" t="s">
        <v>4094</v>
      </c>
      <c r="H297" t="s">
        <v>621</v>
      </c>
    </row>
    <row r="298" spans="1:9">
      <c r="A298" s="145" t="s">
        <v>4097</v>
      </c>
      <c r="B298" t="s">
        <v>3874</v>
      </c>
      <c r="C298" t="s">
        <v>2578</v>
      </c>
      <c r="D298" t="s">
        <v>2579</v>
      </c>
      <c r="E298" t="s">
        <v>2543</v>
      </c>
      <c r="F298" t="s">
        <v>2580</v>
      </c>
      <c r="G298" t="s">
        <v>4094</v>
      </c>
      <c r="H298" t="s">
        <v>2585</v>
      </c>
    </row>
    <row r="299" spans="1:9">
      <c r="A299" s="145" t="s">
        <v>4097</v>
      </c>
      <c r="B299" t="s">
        <v>3874</v>
      </c>
      <c r="C299" t="s">
        <v>2599</v>
      </c>
      <c r="D299" t="s">
        <v>2435</v>
      </c>
      <c r="E299" t="s">
        <v>2585</v>
      </c>
      <c r="F299" t="s">
        <v>2375</v>
      </c>
      <c r="G299" t="s">
        <v>4094</v>
      </c>
      <c r="H299" t="s">
        <v>2585</v>
      </c>
    </row>
    <row r="300" spans="1:9">
      <c r="A300" s="145" t="s">
        <v>4098</v>
      </c>
      <c r="B300" t="s">
        <v>2154</v>
      </c>
      <c r="C300" t="s">
        <v>2377</v>
      </c>
      <c r="D300" t="s">
        <v>2378</v>
      </c>
      <c r="E300" t="s">
        <v>1622</v>
      </c>
      <c r="F300" t="s">
        <v>2380</v>
      </c>
      <c r="G300" t="s">
        <v>4094</v>
      </c>
      <c r="H300" t="s">
        <v>120</v>
      </c>
      <c r="I300" t="s">
        <v>3955</v>
      </c>
    </row>
    <row r="301" spans="1:9">
      <c r="A301" s="145" t="s">
        <v>4098</v>
      </c>
      <c r="B301" t="s">
        <v>2154</v>
      </c>
      <c r="C301" t="s">
        <v>2382</v>
      </c>
      <c r="E301" t="s">
        <v>2383</v>
      </c>
      <c r="G301" t="s">
        <v>4094</v>
      </c>
      <c r="H301" t="s">
        <v>120</v>
      </c>
      <c r="I301" t="s">
        <v>3955</v>
      </c>
    </row>
    <row r="302" spans="1:9">
      <c r="A302" s="145" t="s">
        <v>4098</v>
      </c>
      <c r="B302" t="s">
        <v>2154</v>
      </c>
      <c r="C302" t="s">
        <v>2441</v>
      </c>
      <c r="D302" t="s">
        <v>2316</v>
      </c>
      <c r="E302" t="s">
        <v>120</v>
      </c>
      <c r="G302" t="s">
        <v>4094</v>
      </c>
      <c r="H302" t="s">
        <v>120</v>
      </c>
      <c r="I302" t="s">
        <v>3955</v>
      </c>
    </row>
    <row r="303" spans="1:9">
      <c r="A303" s="145" t="s">
        <v>4098</v>
      </c>
      <c r="B303" t="s">
        <v>2154</v>
      </c>
      <c r="C303" t="s">
        <v>2442</v>
      </c>
      <c r="D303" t="s">
        <v>2326</v>
      </c>
      <c r="E303" t="s">
        <v>120</v>
      </c>
      <c r="F303" t="s">
        <v>2443</v>
      </c>
      <c r="G303" t="s">
        <v>4094</v>
      </c>
      <c r="H303" t="s">
        <v>120</v>
      </c>
      <c r="I303" t="s">
        <v>3955</v>
      </c>
    </row>
    <row r="304" spans="1:9">
      <c r="A304" s="145" t="s">
        <v>4098</v>
      </c>
      <c r="B304" t="s">
        <v>2154</v>
      </c>
      <c r="C304" t="s">
        <v>2444</v>
      </c>
      <c r="E304" t="s">
        <v>120</v>
      </c>
      <c r="G304" t="s">
        <v>4094</v>
      </c>
      <c r="H304" t="s">
        <v>120</v>
      </c>
      <c r="I304" t="s">
        <v>3955</v>
      </c>
    </row>
    <row r="305" spans="1:9">
      <c r="A305" s="145" t="s">
        <v>4098</v>
      </c>
      <c r="B305" t="s">
        <v>2156</v>
      </c>
      <c r="C305" t="s">
        <v>2446</v>
      </c>
      <c r="D305" t="s">
        <v>2334</v>
      </c>
      <c r="E305" t="s">
        <v>120</v>
      </c>
      <c r="G305" t="s">
        <v>4094</v>
      </c>
      <c r="H305" t="s">
        <v>120</v>
      </c>
      <c r="I305" t="s">
        <v>3959</v>
      </c>
    </row>
    <row r="306" spans="1:9">
      <c r="A306" s="145" t="s">
        <v>4098</v>
      </c>
      <c r="B306" t="s">
        <v>2156</v>
      </c>
      <c r="C306" t="s">
        <v>2447</v>
      </c>
      <c r="D306" t="s">
        <v>2448</v>
      </c>
      <c r="E306" t="s">
        <v>120</v>
      </c>
      <c r="F306" t="s">
        <v>2449</v>
      </c>
      <c r="G306" t="s">
        <v>4094</v>
      </c>
      <c r="H306" t="s">
        <v>120</v>
      </c>
      <c r="I306" t="s">
        <v>3959</v>
      </c>
    </row>
    <row r="307" spans="1:9">
      <c r="A307" s="145" t="s">
        <v>4098</v>
      </c>
      <c r="B307" t="s">
        <v>2156</v>
      </c>
      <c r="C307" t="s">
        <v>2450</v>
      </c>
      <c r="D307" t="s">
        <v>2448</v>
      </c>
      <c r="E307" t="s">
        <v>120</v>
      </c>
      <c r="G307" t="s">
        <v>4094</v>
      </c>
      <c r="H307" t="s">
        <v>120</v>
      </c>
      <c r="I307" t="s">
        <v>3959</v>
      </c>
    </row>
    <row r="308" spans="1:9">
      <c r="A308" s="145" t="s">
        <v>4098</v>
      </c>
      <c r="B308" t="s">
        <v>2156</v>
      </c>
      <c r="C308" t="s">
        <v>2328</v>
      </c>
      <c r="E308" t="s">
        <v>2329</v>
      </c>
      <c r="F308" t="s">
        <v>2331</v>
      </c>
      <c r="G308" t="s">
        <v>4099</v>
      </c>
      <c r="H308" t="s">
        <v>2451</v>
      </c>
      <c r="I308" t="s">
        <v>3959</v>
      </c>
    </row>
    <row r="309" spans="1:9">
      <c r="A309" s="145" t="s">
        <v>4098</v>
      </c>
      <c r="B309" t="s">
        <v>2156</v>
      </c>
      <c r="C309" t="s">
        <v>2452</v>
      </c>
      <c r="D309" t="s">
        <v>2453</v>
      </c>
      <c r="E309" t="s">
        <v>120</v>
      </c>
      <c r="F309" t="s">
        <v>2454</v>
      </c>
      <c r="G309" t="s">
        <v>4094</v>
      </c>
      <c r="H309" t="s">
        <v>120</v>
      </c>
      <c r="I309" t="s">
        <v>3959</v>
      </c>
    </row>
    <row r="310" spans="1:9">
      <c r="A310" s="145" t="s">
        <v>4098</v>
      </c>
      <c r="B310" t="s">
        <v>3644</v>
      </c>
      <c r="C310" t="s">
        <v>2456</v>
      </c>
      <c r="D310" t="s">
        <v>2457</v>
      </c>
      <c r="E310" t="s">
        <v>120</v>
      </c>
      <c r="G310" t="s">
        <v>4094</v>
      </c>
      <c r="H310" t="s">
        <v>120</v>
      </c>
      <c r="I310" t="s">
        <v>3963</v>
      </c>
    </row>
    <row r="311" spans="1:9">
      <c r="A311" s="145" t="s">
        <v>4098</v>
      </c>
      <c r="B311" t="s">
        <v>3644</v>
      </c>
      <c r="C311" t="s">
        <v>2458</v>
      </c>
      <c r="D311" t="s">
        <v>2457</v>
      </c>
      <c r="E311" t="s">
        <v>2459</v>
      </c>
      <c r="G311" t="s">
        <v>4094</v>
      </c>
      <c r="H311" t="s">
        <v>120</v>
      </c>
      <c r="I311" t="s">
        <v>3963</v>
      </c>
    </row>
    <row r="312" spans="1:9">
      <c r="A312" s="145" t="s">
        <v>4098</v>
      </c>
      <c r="B312" t="s">
        <v>3644</v>
      </c>
      <c r="C312" t="s">
        <v>2460</v>
      </c>
      <c r="D312" t="s">
        <v>2457</v>
      </c>
      <c r="E312" t="s">
        <v>2461</v>
      </c>
      <c r="F312" t="s">
        <v>2462</v>
      </c>
      <c r="G312" t="s">
        <v>4094</v>
      </c>
      <c r="H312" t="s">
        <v>120</v>
      </c>
      <c r="I312" t="s">
        <v>3963</v>
      </c>
    </row>
    <row r="313" spans="1:9">
      <c r="A313" s="145" t="s">
        <v>4098</v>
      </c>
      <c r="B313" t="s">
        <v>3644</v>
      </c>
      <c r="C313" t="s">
        <v>2463</v>
      </c>
      <c r="D313" t="s">
        <v>2457</v>
      </c>
      <c r="E313" t="s">
        <v>120</v>
      </c>
      <c r="G313" t="s">
        <v>4094</v>
      </c>
      <c r="H313" t="s">
        <v>120</v>
      </c>
      <c r="I313" t="s">
        <v>3963</v>
      </c>
    </row>
    <row r="314" spans="1:9">
      <c r="A314" s="145" t="s">
        <v>4098</v>
      </c>
      <c r="B314" t="s">
        <v>2161</v>
      </c>
      <c r="C314" t="s">
        <v>2465</v>
      </c>
      <c r="D314" t="s">
        <v>2466</v>
      </c>
      <c r="E314" t="s">
        <v>2467</v>
      </c>
      <c r="G314" t="s">
        <v>4094</v>
      </c>
      <c r="H314" t="s">
        <v>120</v>
      </c>
      <c r="I314" t="s">
        <v>3967</v>
      </c>
    </row>
    <row r="315" spans="1:9">
      <c r="A315" s="145" t="s">
        <v>4098</v>
      </c>
      <c r="B315" t="s">
        <v>2161</v>
      </c>
      <c r="C315" t="s">
        <v>2468</v>
      </c>
      <c r="D315" t="s">
        <v>2390</v>
      </c>
      <c r="E315" t="s">
        <v>120</v>
      </c>
      <c r="G315" t="s">
        <v>4094</v>
      </c>
      <c r="H315" t="s">
        <v>120</v>
      </c>
      <c r="I315" t="s">
        <v>3967</v>
      </c>
    </row>
    <row r="316" spans="1:9">
      <c r="A316" s="145" t="s">
        <v>4098</v>
      </c>
      <c r="B316" t="s">
        <v>2161</v>
      </c>
      <c r="C316" t="s">
        <v>2469</v>
      </c>
      <c r="D316" t="s">
        <v>2466</v>
      </c>
      <c r="E316" t="s">
        <v>2470</v>
      </c>
      <c r="G316" t="s">
        <v>4094</v>
      </c>
      <c r="H316" t="s">
        <v>120</v>
      </c>
      <c r="I316" t="s">
        <v>3967</v>
      </c>
    </row>
    <row r="317" spans="1:9">
      <c r="A317" s="145" t="s">
        <v>4098</v>
      </c>
      <c r="B317" t="s">
        <v>2161</v>
      </c>
      <c r="C317" t="s">
        <v>2392</v>
      </c>
      <c r="D317" t="s">
        <v>2390</v>
      </c>
      <c r="E317" t="s">
        <v>2393</v>
      </c>
      <c r="F317" t="s">
        <v>2394</v>
      </c>
      <c r="G317" t="s">
        <v>4094</v>
      </c>
      <c r="H317" t="s">
        <v>120</v>
      </c>
      <c r="I317" t="s">
        <v>3967</v>
      </c>
    </row>
    <row r="318" spans="1:9">
      <c r="A318" s="145" t="s">
        <v>4098</v>
      </c>
      <c r="B318" t="s">
        <v>2161</v>
      </c>
      <c r="C318" t="s">
        <v>2471</v>
      </c>
      <c r="D318" t="s">
        <v>2472</v>
      </c>
      <c r="E318" t="s">
        <v>120</v>
      </c>
      <c r="F318" t="s">
        <v>2473</v>
      </c>
      <c r="G318" t="s">
        <v>4094</v>
      </c>
      <c r="H318" t="s">
        <v>120</v>
      </c>
      <c r="I318" t="s">
        <v>3967</v>
      </c>
    </row>
    <row r="319" spans="1:9">
      <c r="A319" s="145" t="s">
        <v>4098</v>
      </c>
      <c r="B319" t="s">
        <v>2161</v>
      </c>
      <c r="C319" t="s">
        <v>2474</v>
      </c>
      <c r="D319" t="s">
        <v>2472</v>
      </c>
      <c r="E319" t="s">
        <v>120</v>
      </c>
      <c r="G319" t="s">
        <v>4094</v>
      </c>
      <c r="H319" t="s">
        <v>120</v>
      </c>
      <c r="I319" t="s">
        <v>3967</v>
      </c>
    </row>
    <row r="320" spans="1:9">
      <c r="A320" s="145" t="s">
        <v>4098</v>
      </c>
      <c r="B320" t="s">
        <v>2163</v>
      </c>
      <c r="C320" t="s">
        <v>2476</v>
      </c>
      <c r="D320" t="s">
        <v>2477</v>
      </c>
      <c r="E320" t="s">
        <v>120</v>
      </c>
      <c r="F320" t="s">
        <v>2478</v>
      </c>
      <c r="G320" t="s">
        <v>4094</v>
      </c>
      <c r="H320" t="s">
        <v>120</v>
      </c>
      <c r="I320" t="s">
        <v>3971</v>
      </c>
    </row>
    <row r="321" spans="1:9">
      <c r="A321" s="145" t="s">
        <v>4098</v>
      </c>
      <c r="B321" t="s">
        <v>2163</v>
      </c>
      <c r="C321" t="s">
        <v>2333</v>
      </c>
      <c r="D321" t="s">
        <v>2334</v>
      </c>
      <c r="E321" t="s">
        <v>2335</v>
      </c>
      <c r="G321" t="s">
        <v>4099</v>
      </c>
      <c r="H321" t="s">
        <v>2451</v>
      </c>
      <c r="I321" t="s">
        <v>3971</v>
      </c>
    </row>
    <row r="322" spans="1:9">
      <c r="A322" s="145" t="s">
        <v>4098</v>
      </c>
      <c r="B322" t="s">
        <v>2163</v>
      </c>
      <c r="C322" t="s">
        <v>2336</v>
      </c>
      <c r="D322" t="s">
        <v>2334</v>
      </c>
      <c r="E322" t="s">
        <v>2329</v>
      </c>
      <c r="G322" t="s">
        <v>4099</v>
      </c>
      <c r="H322" t="s">
        <v>2451</v>
      </c>
      <c r="I322" t="s">
        <v>3971</v>
      </c>
    </row>
    <row r="323" spans="1:9">
      <c r="A323" s="145" t="s">
        <v>4098</v>
      </c>
      <c r="B323" t="s">
        <v>2163</v>
      </c>
      <c r="C323" t="s">
        <v>2337</v>
      </c>
      <c r="D323" t="s">
        <v>2334</v>
      </c>
      <c r="E323" t="s">
        <v>2329</v>
      </c>
      <c r="G323" t="s">
        <v>4099</v>
      </c>
      <c r="H323" t="s">
        <v>2451</v>
      </c>
      <c r="I323" t="s">
        <v>3971</v>
      </c>
    </row>
    <row r="324" spans="1:9">
      <c r="A324" s="145" t="s">
        <v>4098</v>
      </c>
      <c r="B324" t="s">
        <v>2163</v>
      </c>
      <c r="C324" t="s">
        <v>2338</v>
      </c>
      <c r="D324" t="s">
        <v>2339</v>
      </c>
      <c r="E324" t="s">
        <v>2329</v>
      </c>
      <c r="G324" t="s">
        <v>4099</v>
      </c>
      <c r="H324" t="s">
        <v>2451</v>
      </c>
      <c r="I324" t="s">
        <v>3971</v>
      </c>
    </row>
    <row r="325" spans="1:9">
      <c r="A325" s="145" t="s">
        <v>4098</v>
      </c>
      <c r="B325" t="s">
        <v>2163</v>
      </c>
      <c r="C325" t="s">
        <v>2340</v>
      </c>
      <c r="E325" t="s">
        <v>2329</v>
      </c>
      <c r="G325" t="s">
        <v>4099</v>
      </c>
      <c r="H325" t="s">
        <v>2451</v>
      </c>
      <c r="I325" t="s">
        <v>3971</v>
      </c>
    </row>
    <row r="326" spans="1:9">
      <c r="A326" s="145" t="s">
        <v>4098</v>
      </c>
      <c r="B326" t="s">
        <v>2163</v>
      </c>
      <c r="C326" t="s">
        <v>2341</v>
      </c>
      <c r="E326" t="s">
        <v>2329</v>
      </c>
      <c r="G326" t="s">
        <v>4099</v>
      </c>
      <c r="H326" t="s">
        <v>2451</v>
      </c>
      <c r="I326" t="s">
        <v>3971</v>
      </c>
    </row>
    <row r="327" spans="1:9">
      <c r="A327" s="145" t="s">
        <v>4098</v>
      </c>
      <c r="B327" t="s">
        <v>2163</v>
      </c>
      <c r="C327" t="s">
        <v>2342</v>
      </c>
      <c r="E327" t="s">
        <v>2329</v>
      </c>
      <c r="G327" t="s">
        <v>4099</v>
      </c>
      <c r="H327" t="s">
        <v>2451</v>
      </c>
      <c r="I327" t="s">
        <v>3971</v>
      </c>
    </row>
    <row r="328" spans="1:9">
      <c r="A328" s="145" t="s">
        <v>4098</v>
      </c>
      <c r="B328" t="s">
        <v>2164</v>
      </c>
      <c r="C328" t="s">
        <v>2480</v>
      </c>
      <c r="D328" t="s">
        <v>2481</v>
      </c>
      <c r="E328" t="s">
        <v>120</v>
      </c>
      <c r="G328" t="s">
        <v>4094</v>
      </c>
      <c r="H328" t="s">
        <v>120</v>
      </c>
      <c r="I328" t="s">
        <v>3973</v>
      </c>
    </row>
    <row r="329" spans="1:9">
      <c r="A329" s="145" t="s">
        <v>4098</v>
      </c>
      <c r="B329" t="s">
        <v>2164</v>
      </c>
      <c r="C329" t="s">
        <v>2482</v>
      </c>
      <c r="D329" t="s">
        <v>2483</v>
      </c>
      <c r="E329" t="s">
        <v>120</v>
      </c>
      <c r="G329" t="s">
        <v>4094</v>
      </c>
      <c r="H329" t="s">
        <v>120</v>
      </c>
      <c r="I329" t="s">
        <v>3973</v>
      </c>
    </row>
    <row r="330" spans="1:9">
      <c r="A330" s="145" t="s">
        <v>4098</v>
      </c>
      <c r="B330" t="s">
        <v>2164</v>
      </c>
      <c r="C330" t="s">
        <v>2484</v>
      </c>
      <c r="D330" t="s">
        <v>2483</v>
      </c>
      <c r="E330" t="s">
        <v>2485</v>
      </c>
      <c r="F330" t="s">
        <v>2486</v>
      </c>
      <c r="G330" t="s">
        <v>4094</v>
      </c>
      <c r="H330" t="s">
        <v>120</v>
      </c>
      <c r="I330" t="s">
        <v>3973</v>
      </c>
    </row>
    <row r="331" spans="1:9">
      <c r="A331" s="145" t="s">
        <v>4098</v>
      </c>
      <c r="B331" t="s">
        <v>2164</v>
      </c>
      <c r="C331" t="s">
        <v>2487</v>
      </c>
      <c r="D331" t="s">
        <v>2488</v>
      </c>
      <c r="E331" t="s">
        <v>120</v>
      </c>
      <c r="G331" t="s">
        <v>4094</v>
      </c>
      <c r="H331" t="s">
        <v>120</v>
      </c>
      <c r="I331" t="s">
        <v>3973</v>
      </c>
    </row>
    <row r="332" spans="1:9">
      <c r="A332" s="145" t="s">
        <v>4098</v>
      </c>
      <c r="B332" t="s">
        <v>2164</v>
      </c>
      <c r="C332" t="s">
        <v>2344</v>
      </c>
      <c r="E332" t="s">
        <v>2345</v>
      </c>
      <c r="G332" t="s">
        <v>4094</v>
      </c>
      <c r="H332" t="s">
        <v>120</v>
      </c>
      <c r="I332" t="s">
        <v>3973</v>
      </c>
    </row>
    <row r="333" spans="1:9">
      <c r="A333" s="145" t="s">
        <v>4098</v>
      </c>
      <c r="B333" t="s">
        <v>2164</v>
      </c>
      <c r="C333" t="s">
        <v>2347</v>
      </c>
      <c r="E333" t="s">
        <v>2329</v>
      </c>
      <c r="G333" t="s">
        <v>4099</v>
      </c>
      <c r="H333" t="s">
        <v>2451</v>
      </c>
      <c r="I333" t="s">
        <v>3973</v>
      </c>
    </row>
    <row r="334" spans="1:9">
      <c r="A334" s="145" t="s">
        <v>4098</v>
      </c>
      <c r="B334" t="s">
        <v>2164</v>
      </c>
      <c r="C334" t="s">
        <v>2348</v>
      </c>
      <c r="E334" t="s">
        <v>2329</v>
      </c>
      <c r="G334" t="s">
        <v>4099</v>
      </c>
      <c r="H334" t="s">
        <v>2451</v>
      </c>
      <c r="I334" t="s">
        <v>3973</v>
      </c>
    </row>
    <row r="335" spans="1:9">
      <c r="A335" s="145" t="s">
        <v>4098</v>
      </c>
      <c r="B335" t="s">
        <v>2164</v>
      </c>
      <c r="C335" t="s">
        <v>2489</v>
      </c>
      <c r="D335" t="s">
        <v>2483</v>
      </c>
      <c r="E335" t="s">
        <v>2490</v>
      </c>
      <c r="G335" t="s">
        <v>4094</v>
      </c>
      <c r="H335" t="s">
        <v>2490</v>
      </c>
      <c r="I335" t="s">
        <v>3973</v>
      </c>
    </row>
    <row r="336" spans="1:9">
      <c r="A336" s="145" t="s">
        <v>4098</v>
      </c>
      <c r="B336" t="s">
        <v>2164</v>
      </c>
      <c r="C336" t="s">
        <v>2491</v>
      </c>
      <c r="D336" t="s">
        <v>2488</v>
      </c>
      <c r="E336" t="s">
        <v>120</v>
      </c>
      <c r="G336" t="s">
        <v>4094</v>
      </c>
      <c r="H336" t="s">
        <v>120</v>
      </c>
      <c r="I336" t="s">
        <v>3973</v>
      </c>
    </row>
    <row r="337" spans="1:9">
      <c r="A337" s="145" t="s">
        <v>4098</v>
      </c>
      <c r="B337" t="s">
        <v>2166</v>
      </c>
      <c r="C337" t="s">
        <v>2493</v>
      </c>
      <c r="E337" t="s">
        <v>2490</v>
      </c>
      <c r="G337" t="s">
        <v>4094</v>
      </c>
      <c r="H337" t="s">
        <v>2490</v>
      </c>
      <c r="I337" t="s">
        <v>3975</v>
      </c>
    </row>
    <row r="338" spans="1:9">
      <c r="A338" s="145" t="s">
        <v>4098</v>
      </c>
      <c r="B338" t="s">
        <v>2166</v>
      </c>
      <c r="C338" t="s">
        <v>2494</v>
      </c>
      <c r="E338" t="s">
        <v>2490</v>
      </c>
      <c r="G338" t="s">
        <v>4094</v>
      </c>
      <c r="H338" t="s">
        <v>2490</v>
      </c>
      <c r="I338" t="s">
        <v>3975</v>
      </c>
    </row>
    <row r="339" spans="1:9">
      <c r="A339" s="145" t="s">
        <v>4098</v>
      </c>
      <c r="B339" t="s">
        <v>2166</v>
      </c>
      <c r="C339" t="s">
        <v>2400</v>
      </c>
      <c r="E339" t="s">
        <v>2401</v>
      </c>
      <c r="G339" t="s">
        <v>4094</v>
      </c>
      <c r="H339" t="s">
        <v>2490</v>
      </c>
      <c r="I339" t="s">
        <v>3975</v>
      </c>
    </row>
    <row r="340" spans="1:9">
      <c r="A340" s="145" t="s">
        <v>4098</v>
      </c>
      <c r="B340" t="s">
        <v>2166</v>
      </c>
      <c r="C340" t="s">
        <v>2495</v>
      </c>
      <c r="D340" t="s">
        <v>2483</v>
      </c>
      <c r="E340" t="s">
        <v>120</v>
      </c>
      <c r="G340" t="s">
        <v>4094</v>
      </c>
      <c r="H340" t="s">
        <v>120</v>
      </c>
      <c r="I340" t="s">
        <v>3975</v>
      </c>
    </row>
    <row r="341" spans="1:9">
      <c r="A341" s="145" t="s">
        <v>4098</v>
      </c>
      <c r="B341" t="s">
        <v>2166</v>
      </c>
      <c r="C341" t="s">
        <v>2496</v>
      </c>
      <c r="D341" t="s">
        <v>2483</v>
      </c>
      <c r="E341" t="s">
        <v>120</v>
      </c>
      <c r="G341" t="s">
        <v>4094</v>
      </c>
      <c r="H341" t="s">
        <v>120</v>
      </c>
      <c r="I341" t="s">
        <v>3975</v>
      </c>
    </row>
    <row r="342" spans="1:9">
      <c r="A342" s="145" t="s">
        <v>4098</v>
      </c>
      <c r="B342" t="s">
        <v>2166</v>
      </c>
      <c r="C342" t="s">
        <v>2497</v>
      </c>
      <c r="D342" t="s">
        <v>2339</v>
      </c>
      <c r="E342" t="s">
        <v>120</v>
      </c>
      <c r="G342" t="s">
        <v>4094</v>
      </c>
      <c r="H342" t="s">
        <v>120</v>
      </c>
      <c r="I342" t="s">
        <v>3975</v>
      </c>
    </row>
    <row r="343" spans="1:9">
      <c r="A343" s="145" t="s">
        <v>4098</v>
      </c>
      <c r="B343" t="s">
        <v>2166</v>
      </c>
      <c r="C343" t="s">
        <v>2498</v>
      </c>
      <c r="D343" t="s">
        <v>2499</v>
      </c>
      <c r="E343" t="s">
        <v>2490</v>
      </c>
      <c r="G343" t="s">
        <v>4094</v>
      </c>
      <c r="H343" t="s">
        <v>2490</v>
      </c>
      <c r="I343" t="s">
        <v>3975</v>
      </c>
    </row>
    <row r="344" spans="1:9">
      <c r="A344" s="145" t="s">
        <v>4098</v>
      </c>
      <c r="B344" t="s">
        <v>2166</v>
      </c>
      <c r="C344" t="s">
        <v>2500</v>
      </c>
      <c r="D344" t="s">
        <v>2499</v>
      </c>
      <c r="E344" t="s">
        <v>2490</v>
      </c>
      <c r="G344" t="s">
        <v>4094</v>
      </c>
      <c r="H344" t="s">
        <v>2490</v>
      </c>
      <c r="I344" t="s">
        <v>3975</v>
      </c>
    </row>
    <row r="345" spans="1:9">
      <c r="A345" s="145" t="s">
        <v>4098</v>
      </c>
      <c r="B345" t="s">
        <v>2166</v>
      </c>
      <c r="C345" t="s">
        <v>2350</v>
      </c>
      <c r="E345" t="s">
        <v>2329</v>
      </c>
      <c r="G345" t="s">
        <v>4099</v>
      </c>
      <c r="H345" t="s">
        <v>2451</v>
      </c>
      <c r="I345" t="s">
        <v>3975</v>
      </c>
    </row>
    <row r="346" spans="1:9">
      <c r="A346" s="145" t="s">
        <v>4098</v>
      </c>
      <c r="B346" t="s">
        <v>2166</v>
      </c>
      <c r="C346" t="s">
        <v>2501</v>
      </c>
      <c r="D346" t="s">
        <v>2499</v>
      </c>
      <c r="E346" t="s">
        <v>120</v>
      </c>
      <c r="F346" t="s">
        <v>2502</v>
      </c>
      <c r="G346" t="s">
        <v>4094</v>
      </c>
      <c r="H346" t="s">
        <v>120</v>
      </c>
      <c r="I346" t="s">
        <v>3975</v>
      </c>
    </row>
    <row r="347" spans="1:9">
      <c r="A347" s="145" t="s">
        <v>4098</v>
      </c>
      <c r="B347" t="s">
        <v>2167</v>
      </c>
      <c r="C347" t="s">
        <v>2504</v>
      </c>
      <c r="D347" t="s">
        <v>2505</v>
      </c>
      <c r="E347" t="s">
        <v>120</v>
      </c>
      <c r="G347" t="s">
        <v>4094</v>
      </c>
      <c r="H347" t="s">
        <v>120</v>
      </c>
      <c r="I347" t="s">
        <v>3979</v>
      </c>
    </row>
    <row r="348" spans="1:9">
      <c r="A348" s="145" t="s">
        <v>4098</v>
      </c>
      <c r="B348" t="s">
        <v>2167</v>
      </c>
      <c r="C348" t="s">
        <v>2506</v>
      </c>
      <c r="D348" t="s">
        <v>2435</v>
      </c>
      <c r="E348" t="s">
        <v>120</v>
      </c>
      <c r="G348" t="s">
        <v>4094</v>
      </c>
      <c r="H348" t="s">
        <v>120</v>
      </c>
      <c r="I348" t="s">
        <v>3979</v>
      </c>
    </row>
    <row r="349" spans="1:9">
      <c r="A349" s="145" t="s">
        <v>4098</v>
      </c>
      <c r="B349" t="s">
        <v>2167</v>
      </c>
      <c r="C349" t="s">
        <v>2507</v>
      </c>
      <c r="D349" t="s">
        <v>2435</v>
      </c>
      <c r="E349" t="s">
        <v>120</v>
      </c>
      <c r="G349" t="s">
        <v>4094</v>
      </c>
      <c r="H349" t="s">
        <v>120</v>
      </c>
      <c r="I349" t="s">
        <v>3979</v>
      </c>
    </row>
    <row r="350" spans="1:9">
      <c r="A350" s="145" t="s">
        <v>4098</v>
      </c>
      <c r="B350" t="s">
        <v>2169</v>
      </c>
      <c r="C350" t="s">
        <v>2509</v>
      </c>
      <c r="D350" t="s">
        <v>2353</v>
      </c>
      <c r="E350" t="s">
        <v>2490</v>
      </c>
      <c r="F350" t="s">
        <v>2510</v>
      </c>
      <c r="G350" t="s">
        <v>4094</v>
      </c>
      <c r="H350" t="s">
        <v>2490</v>
      </c>
      <c r="I350" t="s">
        <v>3983</v>
      </c>
    </row>
    <row r="351" spans="1:9">
      <c r="A351" s="145" t="s">
        <v>4098</v>
      </c>
      <c r="B351" t="s">
        <v>2169</v>
      </c>
      <c r="C351" t="s">
        <v>2511</v>
      </c>
      <c r="D351" t="s">
        <v>2407</v>
      </c>
      <c r="E351" t="s">
        <v>120</v>
      </c>
      <c r="F351" t="s">
        <v>2512</v>
      </c>
      <c r="G351" t="s">
        <v>4094</v>
      </c>
      <c r="H351" t="s">
        <v>120</v>
      </c>
      <c r="I351" t="s">
        <v>3983</v>
      </c>
    </row>
    <row r="352" spans="1:9">
      <c r="A352" s="145" t="s">
        <v>4098</v>
      </c>
      <c r="B352" t="s">
        <v>2169</v>
      </c>
      <c r="C352" t="s">
        <v>2513</v>
      </c>
      <c r="D352" t="s">
        <v>2404</v>
      </c>
      <c r="E352" t="s">
        <v>120</v>
      </c>
      <c r="F352" t="s">
        <v>2514</v>
      </c>
      <c r="G352" t="s">
        <v>4094</v>
      </c>
      <c r="H352" t="s">
        <v>120</v>
      </c>
      <c r="I352" t="s">
        <v>3983</v>
      </c>
    </row>
    <row r="353" spans="1:9">
      <c r="A353" s="145" t="s">
        <v>4098</v>
      </c>
      <c r="B353" t="s">
        <v>2169</v>
      </c>
      <c r="C353" t="s">
        <v>2515</v>
      </c>
      <c r="D353" t="s">
        <v>2516</v>
      </c>
      <c r="E353" t="s">
        <v>120</v>
      </c>
      <c r="F353" t="s">
        <v>2517</v>
      </c>
      <c r="G353" t="s">
        <v>4094</v>
      </c>
      <c r="H353" t="s">
        <v>120</v>
      </c>
      <c r="I353" t="s">
        <v>3983</v>
      </c>
    </row>
    <row r="354" spans="1:9">
      <c r="A354" s="145" t="s">
        <v>4098</v>
      </c>
      <c r="B354" t="s">
        <v>2169</v>
      </c>
      <c r="C354" t="s">
        <v>2358</v>
      </c>
      <c r="E354" t="s">
        <v>2329</v>
      </c>
      <c r="G354" t="s">
        <v>4099</v>
      </c>
      <c r="H354" t="s">
        <v>2451</v>
      </c>
      <c r="I354" t="s">
        <v>3983</v>
      </c>
    </row>
    <row r="355" spans="1:9">
      <c r="A355" s="145" t="s">
        <v>4098</v>
      </c>
      <c r="B355" t="s">
        <v>2173</v>
      </c>
      <c r="C355" t="s">
        <v>2519</v>
      </c>
      <c r="D355" t="s">
        <v>2407</v>
      </c>
      <c r="E355" t="s">
        <v>120</v>
      </c>
      <c r="F355" t="s">
        <v>2520</v>
      </c>
      <c r="G355" t="s">
        <v>4094</v>
      </c>
      <c r="H355" t="s">
        <v>120</v>
      </c>
      <c r="I355" t="s">
        <v>3987</v>
      </c>
    </row>
    <row r="356" spans="1:9">
      <c r="A356" s="145" t="s">
        <v>4098</v>
      </c>
      <c r="B356" t="s">
        <v>2173</v>
      </c>
      <c r="C356" t="s">
        <v>2521</v>
      </c>
      <c r="D356" t="s">
        <v>2407</v>
      </c>
      <c r="E356" t="s">
        <v>120</v>
      </c>
      <c r="G356" t="s">
        <v>4094</v>
      </c>
      <c r="H356" t="s">
        <v>120</v>
      </c>
      <c r="I356" t="s">
        <v>3987</v>
      </c>
    </row>
    <row r="357" spans="1:9">
      <c r="A357" s="145" t="s">
        <v>4098</v>
      </c>
      <c r="B357" t="s">
        <v>2173</v>
      </c>
      <c r="C357" t="s">
        <v>2522</v>
      </c>
      <c r="D357" t="s">
        <v>2523</v>
      </c>
      <c r="E357" t="s">
        <v>120</v>
      </c>
      <c r="F357" t="s">
        <v>2524</v>
      </c>
      <c r="G357" t="s">
        <v>4094</v>
      </c>
      <c r="H357" t="s">
        <v>120</v>
      </c>
      <c r="I357" t="s">
        <v>3987</v>
      </c>
    </row>
    <row r="358" spans="1:9">
      <c r="A358" s="145" t="s">
        <v>4098</v>
      </c>
      <c r="B358" t="s">
        <v>2173</v>
      </c>
      <c r="C358" t="s">
        <v>2525</v>
      </c>
      <c r="D358" t="s">
        <v>2412</v>
      </c>
      <c r="E358" t="s">
        <v>120</v>
      </c>
      <c r="F358" t="s">
        <v>2520</v>
      </c>
      <c r="G358" t="s">
        <v>4094</v>
      </c>
      <c r="H358" t="s">
        <v>120</v>
      </c>
      <c r="I358" t="s">
        <v>3987</v>
      </c>
    </row>
    <row r="359" spans="1:9">
      <c r="A359" s="145" t="s">
        <v>4098</v>
      </c>
      <c r="B359" t="s">
        <v>2173</v>
      </c>
      <c r="C359" t="s">
        <v>2526</v>
      </c>
      <c r="D359" t="s">
        <v>2412</v>
      </c>
      <c r="E359" t="s">
        <v>120</v>
      </c>
      <c r="F359" t="s">
        <v>2527</v>
      </c>
      <c r="G359" t="s">
        <v>4094</v>
      </c>
      <c r="H359" t="s">
        <v>120</v>
      </c>
      <c r="I359" t="s">
        <v>3987</v>
      </c>
    </row>
    <row r="360" spans="1:9">
      <c r="A360" s="145" t="s">
        <v>4098</v>
      </c>
      <c r="B360" t="s">
        <v>2173</v>
      </c>
      <c r="C360" t="s">
        <v>2528</v>
      </c>
      <c r="D360" t="s">
        <v>2529</v>
      </c>
      <c r="E360" t="s">
        <v>2490</v>
      </c>
      <c r="G360" t="s">
        <v>4094</v>
      </c>
      <c r="H360" t="s">
        <v>2490</v>
      </c>
      <c r="I360" t="s">
        <v>3987</v>
      </c>
    </row>
    <row r="361" spans="1:9">
      <c r="A361" s="145" t="s">
        <v>4098</v>
      </c>
      <c r="B361" t="s">
        <v>2173</v>
      </c>
      <c r="C361" t="s">
        <v>2413</v>
      </c>
      <c r="D361" t="s">
        <v>2407</v>
      </c>
      <c r="E361" t="s">
        <v>2414</v>
      </c>
      <c r="F361" t="s">
        <v>2416</v>
      </c>
      <c r="G361" t="s">
        <v>4094</v>
      </c>
      <c r="H361" t="s">
        <v>120</v>
      </c>
      <c r="I361" t="s">
        <v>3987</v>
      </c>
    </row>
    <row r="362" spans="1:9">
      <c r="A362" s="145" t="s">
        <v>4098</v>
      </c>
      <c r="B362" t="s">
        <v>2173</v>
      </c>
      <c r="C362" t="s">
        <v>2532</v>
      </c>
      <c r="D362" t="s">
        <v>2529</v>
      </c>
      <c r="E362" t="s">
        <v>2533</v>
      </c>
      <c r="G362" t="s">
        <v>4094</v>
      </c>
      <c r="H362" t="s">
        <v>120</v>
      </c>
      <c r="I362" t="s">
        <v>3987</v>
      </c>
    </row>
    <row r="363" spans="1:9">
      <c r="A363" s="145" t="s">
        <v>4098</v>
      </c>
      <c r="B363" t="s">
        <v>2173</v>
      </c>
      <c r="C363" t="s">
        <v>2534</v>
      </c>
      <c r="D363" t="s">
        <v>2363</v>
      </c>
      <c r="E363" t="s">
        <v>120</v>
      </c>
      <c r="F363" t="s">
        <v>2535</v>
      </c>
      <c r="G363" t="s">
        <v>4094</v>
      </c>
      <c r="H363" t="s">
        <v>120</v>
      </c>
      <c r="I363" t="s">
        <v>3987</v>
      </c>
    </row>
    <row r="364" spans="1:9">
      <c r="A364" s="145" t="s">
        <v>4098</v>
      </c>
      <c r="B364" t="s">
        <v>2176</v>
      </c>
      <c r="C364" t="s">
        <v>2537</v>
      </c>
      <c r="D364" t="s">
        <v>2538</v>
      </c>
      <c r="E364" t="s">
        <v>120</v>
      </c>
      <c r="G364" t="s">
        <v>4094</v>
      </c>
      <c r="H364" t="s">
        <v>120</v>
      </c>
      <c r="I364" t="s">
        <v>3991</v>
      </c>
    </row>
    <row r="365" spans="1:9">
      <c r="A365" s="145" t="s">
        <v>4098</v>
      </c>
      <c r="B365" t="s">
        <v>2176</v>
      </c>
      <c r="C365" t="s">
        <v>2539</v>
      </c>
      <c r="D365" t="s">
        <v>2538</v>
      </c>
      <c r="E365" t="s">
        <v>2490</v>
      </c>
      <c r="F365" t="s">
        <v>2540</v>
      </c>
      <c r="G365" t="s">
        <v>4094</v>
      </c>
      <c r="H365" t="s">
        <v>2490</v>
      </c>
      <c r="I365" t="s">
        <v>3991</v>
      </c>
    </row>
    <row r="366" spans="1:9">
      <c r="A366" s="145" t="s">
        <v>4098</v>
      </c>
      <c r="B366" t="s">
        <v>2176</v>
      </c>
      <c r="C366" t="s">
        <v>2541</v>
      </c>
      <c r="D366" t="s">
        <v>2542</v>
      </c>
      <c r="E366" t="s">
        <v>2543</v>
      </c>
      <c r="G366" t="s">
        <v>4094</v>
      </c>
      <c r="H366" t="s">
        <v>120</v>
      </c>
      <c r="I366" t="s">
        <v>3991</v>
      </c>
    </row>
    <row r="367" spans="1:9">
      <c r="A367" s="145" t="s">
        <v>4098</v>
      </c>
      <c r="B367" t="s">
        <v>2176</v>
      </c>
      <c r="C367" t="s">
        <v>2421</v>
      </c>
      <c r="D367" t="s">
        <v>2422</v>
      </c>
      <c r="E367" t="s">
        <v>2423</v>
      </c>
      <c r="F367" t="s">
        <v>2425</v>
      </c>
      <c r="G367" t="s">
        <v>4094</v>
      </c>
      <c r="H367" t="s">
        <v>120</v>
      </c>
      <c r="I367" t="s">
        <v>3991</v>
      </c>
    </row>
    <row r="368" spans="1:9">
      <c r="A368" s="145" t="s">
        <v>4098</v>
      </c>
      <c r="B368" t="s">
        <v>2176</v>
      </c>
      <c r="C368" t="s">
        <v>2545</v>
      </c>
      <c r="D368" t="s">
        <v>2422</v>
      </c>
      <c r="E368" t="s">
        <v>2461</v>
      </c>
      <c r="F368" t="s">
        <v>2546</v>
      </c>
      <c r="G368" t="s">
        <v>4094</v>
      </c>
      <c r="H368" t="s">
        <v>120</v>
      </c>
      <c r="I368" t="s">
        <v>3991</v>
      </c>
    </row>
    <row r="369" spans="1:9">
      <c r="A369" s="145" t="s">
        <v>4098</v>
      </c>
      <c r="B369" t="s">
        <v>2176</v>
      </c>
      <c r="C369" t="s">
        <v>2547</v>
      </c>
      <c r="D369" t="s">
        <v>2538</v>
      </c>
      <c r="E369" t="s">
        <v>2548</v>
      </c>
      <c r="G369" t="s">
        <v>4094</v>
      </c>
      <c r="H369" t="s">
        <v>120</v>
      </c>
      <c r="I369" t="s">
        <v>3991</v>
      </c>
    </row>
    <row r="370" spans="1:9">
      <c r="A370" s="145" t="s">
        <v>4098</v>
      </c>
      <c r="B370" t="s">
        <v>2176</v>
      </c>
      <c r="C370" t="s">
        <v>2549</v>
      </c>
      <c r="D370" t="s">
        <v>2538</v>
      </c>
      <c r="E370" t="s">
        <v>2550</v>
      </c>
      <c r="F370" t="s">
        <v>2551</v>
      </c>
      <c r="G370" t="s">
        <v>4094</v>
      </c>
      <c r="H370" t="s">
        <v>120</v>
      </c>
      <c r="I370" t="s">
        <v>3991</v>
      </c>
    </row>
    <row r="371" spans="1:9">
      <c r="A371" s="145" t="s">
        <v>4098</v>
      </c>
      <c r="B371" t="s">
        <v>2176</v>
      </c>
      <c r="C371" t="s">
        <v>2552</v>
      </c>
      <c r="D371" t="s">
        <v>2538</v>
      </c>
      <c r="E371" t="s">
        <v>2553</v>
      </c>
      <c r="G371" t="s">
        <v>4094</v>
      </c>
      <c r="H371" t="s">
        <v>120</v>
      </c>
      <c r="I371" t="s">
        <v>3991</v>
      </c>
    </row>
    <row r="372" spans="1:9">
      <c r="A372" s="145" t="s">
        <v>4098</v>
      </c>
      <c r="B372" t="s">
        <v>2178</v>
      </c>
      <c r="C372" t="s">
        <v>2427</v>
      </c>
      <c r="D372" t="s">
        <v>2370</v>
      </c>
      <c r="E372" t="s">
        <v>2428</v>
      </c>
      <c r="F372" t="s">
        <v>2429</v>
      </c>
      <c r="G372" t="s">
        <v>4094</v>
      </c>
      <c r="H372" t="s">
        <v>120</v>
      </c>
      <c r="I372" t="s">
        <v>3995</v>
      </c>
    </row>
    <row r="373" spans="1:9">
      <c r="A373" s="145" t="s">
        <v>4098</v>
      </c>
      <c r="B373" t="s">
        <v>2178</v>
      </c>
      <c r="C373" t="s">
        <v>2555</v>
      </c>
      <c r="D373" t="s">
        <v>2363</v>
      </c>
      <c r="E373" t="s">
        <v>2556</v>
      </c>
      <c r="F373" t="s">
        <v>2557</v>
      </c>
      <c r="G373" t="s">
        <v>4094</v>
      </c>
      <c r="H373" t="s">
        <v>120</v>
      </c>
      <c r="I373" t="s">
        <v>3995</v>
      </c>
    </row>
    <row r="374" spans="1:9">
      <c r="A374" s="145" t="s">
        <v>4098</v>
      </c>
      <c r="B374" t="s">
        <v>2178</v>
      </c>
      <c r="C374" t="s">
        <v>2558</v>
      </c>
      <c r="D374" t="s">
        <v>2559</v>
      </c>
      <c r="E374" t="s">
        <v>2560</v>
      </c>
      <c r="F374" t="s">
        <v>2561</v>
      </c>
      <c r="G374" t="s">
        <v>4094</v>
      </c>
      <c r="H374" t="s">
        <v>120</v>
      </c>
      <c r="I374" t="s">
        <v>3995</v>
      </c>
    </row>
    <row r="375" spans="1:9">
      <c r="A375" s="145" t="s">
        <v>4098</v>
      </c>
      <c r="B375" t="s">
        <v>2178</v>
      </c>
      <c r="C375" t="s">
        <v>2562</v>
      </c>
      <c r="D375" t="s">
        <v>2370</v>
      </c>
      <c r="E375" t="s">
        <v>120</v>
      </c>
      <c r="F375" t="s">
        <v>2563</v>
      </c>
      <c r="G375" t="s">
        <v>4094</v>
      </c>
      <c r="H375" t="s">
        <v>120</v>
      </c>
      <c r="I375" t="s">
        <v>3995</v>
      </c>
    </row>
    <row r="376" spans="1:9">
      <c r="A376" s="145" t="s">
        <v>4098</v>
      </c>
      <c r="B376" t="s">
        <v>2178</v>
      </c>
      <c r="C376" t="s">
        <v>2372</v>
      </c>
      <c r="E376" t="s">
        <v>2329</v>
      </c>
      <c r="G376" t="s">
        <v>4099</v>
      </c>
      <c r="H376" t="s">
        <v>2451</v>
      </c>
      <c r="I376" t="s">
        <v>3995</v>
      </c>
    </row>
    <row r="377" spans="1:9">
      <c r="A377" s="145" t="s">
        <v>4098</v>
      </c>
      <c r="B377" t="s">
        <v>2178</v>
      </c>
      <c r="C377" t="s">
        <v>2564</v>
      </c>
      <c r="E377" t="s">
        <v>120</v>
      </c>
      <c r="G377" t="s">
        <v>4094</v>
      </c>
      <c r="H377" t="s">
        <v>120</v>
      </c>
      <c r="I377" t="s">
        <v>3995</v>
      </c>
    </row>
    <row r="378" spans="1:9">
      <c r="A378" s="145" t="s">
        <v>4098</v>
      </c>
      <c r="B378" t="s">
        <v>2178</v>
      </c>
      <c r="C378" t="s">
        <v>2565</v>
      </c>
      <c r="D378" t="s">
        <v>2370</v>
      </c>
      <c r="E378" t="s">
        <v>2566</v>
      </c>
      <c r="F378" t="s">
        <v>2567</v>
      </c>
      <c r="G378" t="s">
        <v>4094</v>
      </c>
      <c r="H378" t="s">
        <v>2566</v>
      </c>
      <c r="I378" t="s">
        <v>3995</v>
      </c>
    </row>
    <row r="379" spans="1:9">
      <c r="A379" s="145" t="s">
        <v>4098</v>
      </c>
      <c r="B379" t="s">
        <v>3874</v>
      </c>
      <c r="C379" t="s">
        <v>2374</v>
      </c>
      <c r="E379" t="s">
        <v>2329</v>
      </c>
      <c r="F379" t="s">
        <v>2375</v>
      </c>
      <c r="G379" t="s">
        <v>4099</v>
      </c>
      <c r="H379" t="s">
        <v>2451</v>
      </c>
    </row>
    <row r="380" spans="1:9">
      <c r="A380" s="145" t="s">
        <v>4098</v>
      </c>
      <c r="B380" t="s">
        <v>3874</v>
      </c>
      <c r="C380" t="s">
        <v>2569</v>
      </c>
      <c r="D380" t="s">
        <v>2570</v>
      </c>
      <c r="E380" t="s">
        <v>2571</v>
      </c>
      <c r="F380" t="s">
        <v>2437</v>
      </c>
      <c r="G380" t="s">
        <v>4094</v>
      </c>
      <c r="H380" t="s">
        <v>120</v>
      </c>
    </row>
    <row r="381" spans="1:9">
      <c r="A381" s="145" t="s">
        <v>4098</v>
      </c>
      <c r="B381" t="s">
        <v>3874</v>
      </c>
      <c r="C381" t="s">
        <v>2572</v>
      </c>
      <c r="D381" t="s">
        <v>2432</v>
      </c>
      <c r="E381" t="s">
        <v>120</v>
      </c>
      <c r="F381" t="s">
        <v>2573</v>
      </c>
      <c r="G381" t="s">
        <v>4094</v>
      </c>
      <c r="H381" t="s">
        <v>120</v>
      </c>
    </row>
    <row r="382" spans="1:9">
      <c r="A382" s="145" t="s">
        <v>4098</v>
      </c>
      <c r="B382" t="s">
        <v>3874</v>
      </c>
      <c r="C382" t="s">
        <v>2574</v>
      </c>
      <c r="D382" t="s">
        <v>2570</v>
      </c>
      <c r="E382" t="s">
        <v>120</v>
      </c>
      <c r="F382" t="s">
        <v>2573</v>
      </c>
      <c r="G382" t="s">
        <v>4094</v>
      </c>
      <c r="H382" t="s">
        <v>120</v>
      </c>
    </row>
    <row r="383" spans="1:9">
      <c r="A383" s="145" t="s">
        <v>4098</v>
      </c>
      <c r="B383" t="s">
        <v>3874</v>
      </c>
      <c r="C383" t="s">
        <v>2575</v>
      </c>
      <c r="D383" t="s">
        <v>2576</v>
      </c>
      <c r="E383" t="s">
        <v>2490</v>
      </c>
      <c r="F383" t="s">
        <v>2577</v>
      </c>
      <c r="G383" t="s">
        <v>4094</v>
      </c>
      <c r="H383" t="s">
        <v>2490</v>
      </c>
    </row>
    <row r="384" spans="1:9">
      <c r="A384" s="145" t="s">
        <v>4098</v>
      </c>
      <c r="B384" t="s">
        <v>3874</v>
      </c>
      <c r="C384" t="s">
        <v>2578</v>
      </c>
      <c r="D384" t="s">
        <v>2579</v>
      </c>
      <c r="E384" t="s">
        <v>2543</v>
      </c>
      <c r="F384" t="s">
        <v>2580</v>
      </c>
      <c r="G384" t="s">
        <v>4094</v>
      </c>
      <c r="H384" t="s">
        <v>120</v>
      </c>
    </row>
    <row r="385" spans="1:9">
      <c r="A385" s="145" t="s">
        <v>4100</v>
      </c>
      <c r="B385" t="s">
        <v>2154</v>
      </c>
      <c r="C385" t="s">
        <v>2315</v>
      </c>
      <c r="D385" t="s">
        <v>2316</v>
      </c>
      <c r="E385" t="s">
        <v>2317</v>
      </c>
      <c r="F385" t="s">
        <v>2320</v>
      </c>
      <c r="G385" t="s">
        <v>4101</v>
      </c>
      <c r="H385" t="s">
        <v>2319</v>
      </c>
      <c r="I385" t="s">
        <v>3955</v>
      </c>
    </row>
    <row r="386" spans="1:9">
      <c r="A386" s="145" t="s">
        <v>4100</v>
      </c>
      <c r="B386" t="s">
        <v>2154</v>
      </c>
      <c r="C386" t="s">
        <v>2377</v>
      </c>
      <c r="D386" t="s">
        <v>2378</v>
      </c>
      <c r="E386" t="s">
        <v>1622</v>
      </c>
      <c r="F386" t="s">
        <v>2380</v>
      </c>
      <c r="G386" t="s">
        <v>4094</v>
      </c>
      <c r="H386" t="s">
        <v>120</v>
      </c>
      <c r="I386" t="s">
        <v>3955</v>
      </c>
    </row>
    <row r="387" spans="1:9">
      <c r="A387" s="145" t="s">
        <v>4100</v>
      </c>
      <c r="B387" t="s">
        <v>2154</v>
      </c>
      <c r="C387" t="s">
        <v>2382</v>
      </c>
      <c r="E387" t="s">
        <v>2383</v>
      </c>
      <c r="G387" t="s">
        <v>4094</v>
      </c>
      <c r="H387" t="s">
        <v>120</v>
      </c>
      <c r="I387" t="s">
        <v>3955</v>
      </c>
    </row>
    <row r="388" spans="1:9">
      <c r="A388" s="145" t="s">
        <v>4100</v>
      </c>
      <c r="B388" t="s">
        <v>2154</v>
      </c>
      <c r="C388" t="s">
        <v>2441</v>
      </c>
      <c r="D388" t="s">
        <v>2316</v>
      </c>
      <c r="E388" t="s">
        <v>120</v>
      </c>
      <c r="G388" t="s">
        <v>4094</v>
      </c>
      <c r="H388" t="s">
        <v>120</v>
      </c>
      <c r="I388" t="s">
        <v>3955</v>
      </c>
    </row>
    <row r="389" spans="1:9">
      <c r="A389" s="145" t="s">
        <v>4100</v>
      </c>
      <c r="B389" t="s">
        <v>2154</v>
      </c>
      <c r="C389" t="s">
        <v>2442</v>
      </c>
      <c r="D389" t="s">
        <v>2326</v>
      </c>
      <c r="E389" t="s">
        <v>120</v>
      </c>
      <c r="F389" t="s">
        <v>2443</v>
      </c>
      <c r="G389" t="s">
        <v>4094</v>
      </c>
      <c r="H389" t="s">
        <v>120</v>
      </c>
      <c r="I389" t="s">
        <v>3955</v>
      </c>
    </row>
    <row r="390" spans="1:9">
      <c r="A390" s="145" t="s">
        <v>4100</v>
      </c>
      <c r="B390" t="s">
        <v>2154</v>
      </c>
      <c r="C390" t="s">
        <v>2444</v>
      </c>
      <c r="E390" t="s">
        <v>120</v>
      </c>
      <c r="G390" t="s">
        <v>4094</v>
      </c>
      <c r="H390" t="s">
        <v>120</v>
      </c>
      <c r="I390" t="s">
        <v>3955</v>
      </c>
    </row>
    <row r="391" spans="1:9">
      <c r="A391" s="145" t="s">
        <v>4100</v>
      </c>
      <c r="B391" t="s">
        <v>2154</v>
      </c>
      <c r="C391" t="s">
        <v>2321</v>
      </c>
      <c r="D391" t="s">
        <v>2322</v>
      </c>
      <c r="E391" t="s">
        <v>2317</v>
      </c>
      <c r="G391" t="s">
        <v>4101</v>
      </c>
      <c r="H391" t="s">
        <v>2319</v>
      </c>
      <c r="I391" t="s">
        <v>3955</v>
      </c>
    </row>
    <row r="392" spans="1:9">
      <c r="A392" s="145" t="s">
        <v>4100</v>
      </c>
      <c r="B392" t="s">
        <v>2154</v>
      </c>
      <c r="C392" t="s">
        <v>2324</v>
      </c>
      <c r="D392" t="s">
        <v>2322</v>
      </c>
      <c r="E392" t="s">
        <v>2317</v>
      </c>
      <c r="G392" t="s">
        <v>4101</v>
      </c>
      <c r="H392" t="s">
        <v>2319</v>
      </c>
      <c r="I392" t="s">
        <v>3955</v>
      </c>
    </row>
    <row r="393" spans="1:9">
      <c r="A393" s="145" t="s">
        <v>4100</v>
      </c>
      <c r="B393" t="s">
        <v>2154</v>
      </c>
      <c r="C393" t="s">
        <v>2325</v>
      </c>
      <c r="D393" t="s">
        <v>2326</v>
      </c>
      <c r="E393" t="s">
        <v>2317</v>
      </c>
      <c r="G393" t="s">
        <v>4101</v>
      </c>
      <c r="H393" t="s">
        <v>2319</v>
      </c>
      <c r="I393" t="s">
        <v>3955</v>
      </c>
    </row>
    <row r="394" spans="1:9">
      <c r="A394" s="145" t="s">
        <v>4100</v>
      </c>
      <c r="B394" t="s">
        <v>2156</v>
      </c>
      <c r="C394" t="s">
        <v>2446</v>
      </c>
      <c r="D394" t="s">
        <v>2334</v>
      </c>
      <c r="E394" t="s">
        <v>120</v>
      </c>
      <c r="G394" t="s">
        <v>4094</v>
      </c>
      <c r="H394" t="s">
        <v>120</v>
      </c>
      <c r="I394" t="s">
        <v>3959</v>
      </c>
    </row>
    <row r="395" spans="1:9">
      <c r="A395" s="145" t="s">
        <v>4100</v>
      </c>
      <c r="B395" t="s">
        <v>2156</v>
      </c>
      <c r="C395" t="s">
        <v>2447</v>
      </c>
      <c r="D395" t="s">
        <v>2448</v>
      </c>
      <c r="E395" t="s">
        <v>120</v>
      </c>
      <c r="F395" t="s">
        <v>2449</v>
      </c>
      <c r="G395" t="s">
        <v>4094</v>
      </c>
      <c r="H395" t="s">
        <v>120</v>
      </c>
      <c r="I395" t="s">
        <v>3959</v>
      </c>
    </row>
    <row r="396" spans="1:9">
      <c r="A396" s="145" t="s">
        <v>4100</v>
      </c>
      <c r="B396" t="s">
        <v>2156</v>
      </c>
      <c r="C396" t="s">
        <v>2450</v>
      </c>
      <c r="D396" t="s">
        <v>2448</v>
      </c>
      <c r="E396" t="s">
        <v>120</v>
      </c>
      <c r="G396" t="s">
        <v>4094</v>
      </c>
      <c r="H396" t="s">
        <v>120</v>
      </c>
      <c r="I396" t="s">
        <v>3959</v>
      </c>
    </row>
    <row r="397" spans="1:9">
      <c r="A397" s="145" t="s">
        <v>4100</v>
      </c>
      <c r="B397" t="s">
        <v>2156</v>
      </c>
      <c r="C397" t="s">
        <v>2328</v>
      </c>
      <c r="E397" t="s">
        <v>2329</v>
      </c>
      <c r="F397" t="s">
        <v>2331</v>
      </c>
      <c r="G397" t="s">
        <v>4101</v>
      </c>
      <c r="H397" t="s">
        <v>2330</v>
      </c>
      <c r="I397" t="s">
        <v>3959</v>
      </c>
    </row>
    <row r="398" spans="1:9">
      <c r="A398" s="145" t="s">
        <v>4100</v>
      </c>
      <c r="B398" t="s">
        <v>2156</v>
      </c>
      <c r="C398" t="s">
        <v>2452</v>
      </c>
      <c r="D398" t="s">
        <v>2453</v>
      </c>
      <c r="E398" t="s">
        <v>120</v>
      </c>
      <c r="F398" t="s">
        <v>2454</v>
      </c>
      <c r="G398" t="s">
        <v>4094</v>
      </c>
      <c r="H398" t="s">
        <v>120</v>
      </c>
      <c r="I398" t="s">
        <v>3959</v>
      </c>
    </row>
    <row r="399" spans="1:9">
      <c r="A399" s="145" t="s">
        <v>4100</v>
      </c>
      <c r="B399" t="s">
        <v>3644</v>
      </c>
      <c r="C399" t="s">
        <v>2456</v>
      </c>
      <c r="D399" t="s">
        <v>2457</v>
      </c>
      <c r="E399" t="s">
        <v>120</v>
      </c>
      <c r="G399" t="s">
        <v>4094</v>
      </c>
      <c r="H399" t="s">
        <v>120</v>
      </c>
      <c r="I399" t="s">
        <v>3963</v>
      </c>
    </row>
    <row r="400" spans="1:9">
      <c r="A400" s="145" t="s">
        <v>4100</v>
      </c>
      <c r="B400" t="s">
        <v>3644</v>
      </c>
      <c r="C400" t="s">
        <v>2458</v>
      </c>
      <c r="D400" t="s">
        <v>2457</v>
      </c>
      <c r="E400" t="s">
        <v>2459</v>
      </c>
      <c r="G400" t="s">
        <v>4094</v>
      </c>
      <c r="H400" t="s">
        <v>120</v>
      </c>
      <c r="I400" t="s">
        <v>3963</v>
      </c>
    </row>
    <row r="401" spans="1:9">
      <c r="A401" s="145" t="s">
        <v>4100</v>
      </c>
      <c r="B401" t="s">
        <v>3644</v>
      </c>
      <c r="C401" t="s">
        <v>2460</v>
      </c>
      <c r="D401" t="s">
        <v>2457</v>
      </c>
      <c r="E401" t="s">
        <v>2461</v>
      </c>
      <c r="F401" t="s">
        <v>2462</v>
      </c>
      <c r="G401" t="s">
        <v>4094</v>
      </c>
      <c r="H401" t="s">
        <v>120</v>
      </c>
      <c r="I401" t="s">
        <v>3963</v>
      </c>
    </row>
    <row r="402" spans="1:9">
      <c r="A402" s="145" t="s">
        <v>4100</v>
      </c>
      <c r="B402" t="s">
        <v>3644</v>
      </c>
      <c r="C402" t="s">
        <v>2463</v>
      </c>
      <c r="D402" t="s">
        <v>2457</v>
      </c>
      <c r="E402" t="s">
        <v>120</v>
      </c>
      <c r="G402" t="s">
        <v>4094</v>
      </c>
      <c r="H402" t="s">
        <v>120</v>
      </c>
      <c r="I402" t="s">
        <v>3963</v>
      </c>
    </row>
    <row r="403" spans="1:9">
      <c r="A403" s="145" t="s">
        <v>4100</v>
      </c>
      <c r="B403" t="s">
        <v>2161</v>
      </c>
      <c r="C403" t="s">
        <v>2465</v>
      </c>
      <c r="D403" t="s">
        <v>2466</v>
      </c>
      <c r="E403" t="s">
        <v>2467</v>
      </c>
      <c r="G403" t="s">
        <v>4094</v>
      </c>
      <c r="H403" t="s">
        <v>120</v>
      </c>
      <c r="I403" t="s">
        <v>3967</v>
      </c>
    </row>
    <row r="404" spans="1:9">
      <c r="A404" s="145" t="s">
        <v>4100</v>
      </c>
      <c r="B404" t="s">
        <v>2161</v>
      </c>
      <c r="C404" t="s">
        <v>2468</v>
      </c>
      <c r="D404" t="s">
        <v>2390</v>
      </c>
      <c r="E404" t="s">
        <v>120</v>
      </c>
      <c r="G404" t="s">
        <v>4094</v>
      </c>
      <c r="H404" t="s">
        <v>120</v>
      </c>
      <c r="I404" t="s">
        <v>3967</v>
      </c>
    </row>
    <row r="405" spans="1:9">
      <c r="A405" s="145" t="s">
        <v>4100</v>
      </c>
      <c r="B405" t="s">
        <v>2161</v>
      </c>
      <c r="C405" t="s">
        <v>2469</v>
      </c>
      <c r="D405" t="s">
        <v>2466</v>
      </c>
      <c r="E405" t="s">
        <v>2470</v>
      </c>
      <c r="G405" t="s">
        <v>4094</v>
      </c>
      <c r="H405" t="s">
        <v>120</v>
      </c>
      <c r="I405" t="s">
        <v>3967</v>
      </c>
    </row>
    <row r="406" spans="1:9">
      <c r="A406" s="145" t="s">
        <v>4100</v>
      </c>
      <c r="B406" t="s">
        <v>2161</v>
      </c>
      <c r="C406" t="s">
        <v>2392</v>
      </c>
      <c r="D406" t="s">
        <v>2390</v>
      </c>
      <c r="E406" t="s">
        <v>2393</v>
      </c>
      <c r="F406" t="s">
        <v>2394</v>
      </c>
      <c r="G406" t="s">
        <v>4094</v>
      </c>
      <c r="H406" t="s">
        <v>120</v>
      </c>
      <c r="I406" t="s">
        <v>3967</v>
      </c>
    </row>
    <row r="407" spans="1:9">
      <c r="A407" s="145" t="s">
        <v>4100</v>
      </c>
      <c r="B407" t="s">
        <v>2161</v>
      </c>
      <c r="C407" t="s">
        <v>2471</v>
      </c>
      <c r="D407" t="s">
        <v>2472</v>
      </c>
      <c r="E407" t="s">
        <v>120</v>
      </c>
      <c r="F407" t="s">
        <v>2473</v>
      </c>
      <c r="G407" t="s">
        <v>4094</v>
      </c>
      <c r="H407" t="s">
        <v>120</v>
      </c>
      <c r="I407" t="s">
        <v>3967</v>
      </c>
    </row>
    <row r="408" spans="1:9">
      <c r="A408" s="145" t="s">
        <v>4100</v>
      </c>
      <c r="B408" t="s">
        <v>2161</v>
      </c>
      <c r="C408" t="s">
        <v>2474</v>
      </c>
      <c r="D408" t="s">
        <v>2472</v>
      </c>
      <c r="E408" t="s">
        <v>120</v>
      </c>
      <c r="G408" t="s">
        <v>4094</v>
      </c>
      <c r="H408" t="s">
        <v>120</v>
      </c>
      <c r="I408" t="s">
        <v>3967</v>
      </c>
    </row>
    <row r="409" spans="1:9">
      <c r="A409" s="145" t="s">
        <v>4100</v>
      </c>
      <c r="B409" t="s">
        <v>2163</v>
      </c>
      <c r="C409" t="s">
        <v>2476</v>
      </c>
      <c r="D409" t="s">
        <v>2477</v>
      </c>
      <c r="E409" t="s">
        <v>120</v>
      </c>
      <c r="F409" t="s">
        <v>2478</v>
      </c>
      <c r="G409" t="s">
        <v>4094</v>
      </c>
      <c r="H409" t="s">
        <v>120</v>
      </c>
      <c r="I409" t="s">
        <v>3971</v>
      </c>
    </row>
    <row r="410" spans="1:9">
      <c r="A410" s="145" t="s">
        <v>4100</v>
      </c>
      <c r="B410" t="s">
        <v>2163</v>
      </c>
      <c r="C410" t="s">
        <v>2333</v>
      </c>
      <c r="D410" t="s">
        <v>2334</v>
      </c>
      <c r="E410" t="s">
        <v>2335</v>
      </c>
      <c r="G410" t="s">
        <v>4101</v>
      </c>
      <c r="H410" t="s">
        <v>2330</v>
      </c>
      <c r="I410" t="s">
        <v>3971</v>
      </c>
    </row>
    <row r="411" spans="1:9">
      <c r="A411" s="145" t="s">
        <v>4100</v>
      </c>
      <c r="B411" t="s">
        <v>2163</v>
      </c>
      <c r="C411" t="s">
        <v>2336</v>
      </c>
      <c r="D411" t="s">
        <v>2334</v>
      </c>
      <c r="E411" t="s">
        <v>2329</v>
      </c>
      <c r="G411" t="s">
        <v>4101</v>
      </c>
      <c r="H411" t="s">
        <v>2330</v>
      </c>
      <c r="I411" t="s">
        <v>3971</v>
      </c>
    </row>
    <row r="412" spans="1:9">
      <c r="A412" s="145" t="s">
        <v>4100</v>
      </c>
      <c r="B412" t="s">
        <v>2163</v>
      </c>
      <c r="C412" t="s">
        <v>2337</v>
      </c>
      <c r="D412" t="s">
        <v>2334</v>
      </c>
      <c r="E412" t="s">
        <v>2329</v>
      </c>
      <c r="G412" t="s">
        <v>4101</v>
      </c>
      <c r="H412" t="s">
        <v>2330</v>
      </c>
      <c r="I412" t="s">
        <v>3971</v>
      </c>
    </row>
    <row r="413" spans="1:9">
      <c r="A413" s="145" t="s">
        <v>4100</v>
      </c>
      <c r="B413" t="s">
        <v>2163</v>
      </c>
      <c r="C413" t="s">
        <v>2338</v>
      </c>
      <c r="D413" t="s">
        <v>2339</v>
      </c>
      <c r="E413" t="s">
        <v>2329</v>
      </c>
      <c r="G413" t="s">
        <v>4101</v>
      </c>
      <c r="H413" t="s">
        <v>2330</v>
      </c>
      <c r="I413" t="s">
        <v>3971</v>
      </c>
    </row>
    <row r="414" spans="1:9">
      <c r="A414" s="145" t="s">
        <v>4100</v>
      </c>
      <c r="B414" t="s">
        <v>2163</v>
      </c>
      <c r="C414" t="s">
        <v>2340</v>
      </c>
      <c r="E414" t="s">
        <v>2329</v>
      </c>
      <c r="G414" t="s">
        <v>4101</v>
      </c>
      <c r="H414" t="s">
        <v>2330</v>
      </c>
      <c r="I414" t="s">
        <v>3971</v>
      </c>
    </row>
    <row r="415" spans="1:9">
      <c r="A415" s="145" t="s">
        <v>4100</v>
      </c>
      <c r="B415" t="s">
        <v>2163</v>
      </c>
      <c r="C415" t="s">
        <v>2341</v>
      </c>
      <c r="E415" t="s">
        <v>2329</v>
      </c>
      <c r="G415" t="s">
        <v>4101</v>
      </c>
      <c r="H415" t="s">
        <v>2330</v>
      </c>
      <c r="I415" t="s">
        <v>3971</v>
      </c>
    </row>
    <row r="416" spans="1:9">
      <c r="A416" s="145" t="s">
        <v>4100</v>
      </c>
      <c r="B416" t="s">
        <v>2163</v>
      </c>
      <c r="C416" t="s">
        <v>2342</v>
      </c>
      <c r="E416" t="s">
        <v>2329</v>
      </c>
      <c r="G416" t="s">
        <v>4101</v>
      </c>
      <c r="H416" t="s">
        <v>2330</v>
      </c>
      <c r="I416" t="s">
        <v>3971</v>
      </c>
    </row>
    <row r="417" spans="1:9">
      <c r="A417" s="145" t="s">
        <v>4100</v>
      </c>
      <c r="B417" t="s">
        <v>2164</v>
      </c>
      <c r="C417" t="s">
        <v>2480</v>
      </c>
      <c r="D417" t="s">
        <v>2481</v>
      </c>
      <c r="E417" t="s">
        <v>120</v>
      </c>
      <c r="G417" t="s">
        <v>4094</v>
      </c>
      <c r="H417" t="s">
        <v>120</v>
      </c>
      <c r="I417" t="s">
        <v>3973</v>
      </c>
    </row>
    <row r="418" spans="1:9">
      <c r="A418" s="145" t="s">
        <v>4100</v>
      </c>
      <c r="B418" t="s">
        <v>2164</v>
      </c>
      <c r="C418" t="s">
        <v>2482</v>
      </c>
      <c r="D418" t="s">
        <v>2483</v>
      </c>
      <c r="E418" t="s">
        <v>120</v>
      </c>
      <c r="G418" t="s">
        <v>4094</v>
      </c>
      <c r="H418" t="s">
        <v>120</v>
      </c>
      <c r="I418" t="s">
        <v>3973</v>
      </c>
    </row>
    <row r="419" spans="1:9">
      <c r="A419" s="145" t="s">
        <v>4100</v>
      </c>
      <c r="B419" t="s">
        <v>2164</v>
      </c>
      <c r="C419" t="s">
        <v>2484</v>
      </c>
      <c r="D419" t="s">
        <v>2483</v>
      </c>
      <c r="E419" t="s">
        <v>2485</v>
      </c>
      <c r="F419" t="s">
        <v>2486</v>
      </c>
      <c r="G419" t="s">
        <v>4094</v>
      </c>
      <c r="H419" t="s">
        <v>120</v>
      </c>
      <c r="I419" t="s">
        <v>3973</v>
      </c>
    </row>
    <row r="420" spans="1:9">
      <c r="A420" s="145" t="s">
        <v>4100</v>
      </c>
      <c r="B420" t="s">
        <v>2164</v>
      </c>
      <c r="C420" t="s">
        <v>2487</v>
      </c>
      <c r="D420" t="s">
        <v>2488</v>
      </c>
      <c r="E420" t="s">
        <v>120</v>
      </c>
      <c r="G420" t="s">
        <v>4094</v>
      </c>
      <c r="H420" t="s">
        <v>120</v>
      </c>
      <c r="I420" t="s">
        <v>3973</v>
      </c>
    </row>
    <row r="421" spans="1:9">
      <c r="A421" s="145" t="s">
        <v>4100</v>
      </c>
      <c r="B421" t="s">
        <v>2164</v>
      </c>
      <c r="C421" t="s">
        <v>2344</v>
      </c>
      <c r="E421" t="s">
        <v>2345</v>
      </c>
      <c r="G421" t="s">
        <v>4094</v>
      </c>
      <c r="H421" t="s">
        <v>120</v>
      </c>
      <c r="I421" t="s">
        <v>3973</v>
      </c>
    </row>
    <row r="422" spans="1:9">
      <c r="A422" s="145" t="s">
        <v>4100</v>
      </c>
      <c r="B422" t="s">
        <v>2164</v>
      </c>
      <c r="C422" t="s">
        <v>2634</v>
      </c>
      <c r="D422" t="s">
        <v>2481</v>
      </c>
      <c r="E422" t="s">
        <v>1111</v>
      </c>
      <c r="G422" t="s">
        <v>4094</v>
      </c>
      <c r="H422" t="s">
        <v>1111</v>
      </c>
      <c r="I422" t="s">
        <v>3973</v>
      </c>
    </row>
    <row r="423" spans="1:9">
      <c r="A423" s="145" t="s">
        <v>4100</v>
      </c>
      <c r="B423" t="s">
        <v>2164</v>
      </c>
      <c r="C423" t="s">
        <v>2347</v>
      </c>
      <c r="E423" t="s">
        <v>2329</v>
      </c>
      <c r="G423" t="s">
        <v>4101</v>
      </c>
      <c r="H423" t="s">
        <v>2330</v>
      </c>
      <c r="I423" t="s">
        <v>3973</v>
      </c>
    </row>
    <row r="424" spans="1:9">
      <c r="A424" s="145" t="s">
        <v>4100</v>
      </c>
      <c r="B424" t="s">
        <v>2164</v>
      </c>
      <c r="C424" t="s">
        <v>2348</v>
      </c>
      <c r="E424" t="s">
        <v>2329</v>
      </c>
      <c r="G424" t="s">
        <v>4101</v>
      </c>
      <c r="H424" t="s">
        <v>2330</v>
      </c>
      <c r="I424" t="s">
        <v>3973</v>
      </c>
    </row>
    <row r="425" spans="1:9">
      <c r="A425" s="145" t="s">
        <v>4100</v>
      </c>
      <c r="B425" t="s">
        <v>2164</v>
      </c>
      <c r="C425" t="s">
        <v>2489</v>
      </c>
      <c r="D425" t="s">
        <v>2483</v>
      </c>
      <c r="E425" t="s">
        <v>2490</v>
      </c>
      <c r="G425" t="s">
        <v>4094</v>
      </c>
      <c r="H425" t="s">
        <v>2490</v>
      </c>
      <c r="I425" t="s">
        <v>3973</v>
      </c>
    </row>
    <row r="426" spans="1:9">
      <c r="A426" s="145" t="s">
        <v>4100</v>
      </c>
      <c r="B426" t="s">
        <v>2164</v>
      </c>
      <c r="C426" t="s">
        <v>2491</v>
      </c>
      <c r="D426" t="s">
        <v>2488</v>
      </c>
      <c r="E426" t="s">
        <v>120</v>
      </c>
      <c r="G426" t="s">
        <v>4094</v>
      </c>
      <c r="H426" t="s">
        <v>120</v>
      </c>
      <c r="I426" t="s">
        <v>3973</v>
      </c>
    </row>
    <row r="427" spans="1:9">
      <c r="A427" s="145" t="s">
        <v>4100</v>
      </c>
      <c r="B427" t="s">
        <v>2166</v>
      </c>
      <c r="C427" t="s">
        <v>2493</v>
      </c>
      <c r="E427" t="s">
        <v>2490</v>
      </c>
      <c r="G427" t="s">
        <v>4094</v>
      </c>
      <c r="H427" t="s">
        <v>2490</v>
      </c>
      <c r="I427" t="s">
        <v>3975</v>
      </c>
    </row>
    <row r="428" spans="1:9">
      <c r="A428" s="145" t="s">
        <v>4100</v>
      </c>
      <c r="B428" t="s">
        <v>2166</v>
      </c>
      <c r="C428" t="s">
        <v>2494</v>
      </c>
      <c r="E428" t="s">
        <v>2490</v>
      </c>
      <c r="G428" t="s">
        <v>4094</v>
      </c>
      <c r="H428" t="s">
        <v>2490</v>
      </c>
      <c r="I428" t="s">
        <v>3975</v>
      </c>
    </row>
    <row r="429" spans="1:9">
      <c r="A429" s="145" t="s">
        <v>4100</v>
      </c>
      <c r="B429" t="s">
        <v>2166</v>
      </c>
      <c r="C429" t="s">
        <v>2400</v>
      </c>
      <c r="E429" t="s">
        <v>2401</v>
      </c>
      <c r="G429" t="s">
        <v>4094</v>
      </c>
      <c r="H429" t="s">
        <v>2490</v>
      </c>
      <c r="I429" t="s">
        <v>3975</v>
      </c>
    </row>
    <row r="430" spans="1:9">
      <c r="A430" s="145" t="s">
        <v>4100</v>
      </c>
      <c r="B430" t="s">
        <v>2166</v>
      </c>
      <c r="C430" t="s">
        <v>2495</v>
      </c>
      <c r="D430" t="s">
        <v>2483</v>
      </c>
      <c r="E430" t="s">
        <v>120</v>
      </c>
      <c r="G430" t="s">
        <v>4094</v>
      </c>
      <c r="H430" t="s">
        <v>120</v>
      </c>
      <c r="I430" t="s">
        <v>3975</v>
      </c>
    </row>
    <row r="431" spans="1:9">
      <c r="A431" s="145" t="s">
        <v>4100</v>
      </c>
      <c r="B431" t="s">
        <v>2166</v>
      </c>
      <c r="C431" t="s">
        <v>2496</v>
      </c>
      <c r="D431" t="s">
        <v>2483</v>
      </c>
      <c r="E431" t="s">
        <v>120</v>
      </c>
      <c r="G431" t="s">
        <v>4094</v>
      </c>
      <c r="H431" t="s">
        <v>120</v>
      </c>
      <c r="I431" t="s">
        <v>3975</v>
      </c>
    </row>
    <row r="432" spans="1:9">
      <c r="A432" s="145" t="s">
        <v>4100</v>
      </c>
      <c r="B432" t="s">
        <v>2166</v>
      </c>
      <c r="C432" t="s">
        <v>2497</v>
      </c>
      <c r="D432" t="s">
        <v>2339</v>
      </c>
      <c r="E432" t="s">
        <v>120</v>
      </c>
      <c r="G432" t="s">
        <v>4094</v>
      </c>
      <c r="H432" t="s">
        <v>120</v>
      </c>
      <c r="I432" t="s">
        <v>3975</v>
      </c>
    </row>
    <row r="433" spans="1:9">
      <c r="A433" s="145" t="s">
        <v>4100</v>
      </c>
      <c r="B433" t="s">
        <v>2166</v>
      </c>
      <c r="C433" t="s">
        <v>2498</v>
      </c>
      <c r="D433" t="s">
        <v>2499</v>
      </c>
      <c r="E433" t="s">
        <v>2490</v>
      </c>
      <c r="G433" t="s">
        <v>4094</v>
      </c>
      <c r="H433" t="s">
        <v>2490</v>
      </c>
      <c r="I433" t="s">
        <v>3975</v>
      </c>
    </row>
    <row r="434" spans="1:9">
      <c r="A434" s="145" t="s">
        <v>4100</v>
      </c>
      <c r="B434" t="s">
        <v>2166</v>
      </c>
      <c r="C434" t="s">
        <v>2500</v>
      </c>
      <c r="D434" t="s">
        <v>2499</v>
      </c>
      <c r="E434" t="s">
        <v>2490</v>
      </c>
      <c r="G434" t="s">
        <v>4094</v>
      </c>
      <c r="H434" t="s">
        <v>2490</v>
      </c>
      <c r="I434" t="s">
        <v>3975</v>
      </c>
    </row>
    <row r="435" spans="1:9">
      <c r="A435" s="145" t="s">
        <v>4100</v>
      </c>
      <c r="B435" t="s">
        <v>2166</v>
      </c>
      <c r="C435" t="s">
        <v>2350</v>
      </c>
      <c r="E435" t="s">
        <v>2329</v>
      </c>
      <c r="G435" t="s">
        <v>4101</v>
      </c>
      <c r="H435" t="s">
        <v>2330</v>
      </c>
      <c r="I435" t="s">
        <v>3975</v>
      </c>
    </row>
    <row r="436" spans="1:9">
      <c r="A436" s="145" t="s">
        <v>4100</v>
      </c>
      <c r="B436" t="s">
        <v>2166</v>
      </c>
      <c r="C436" t="s">
        <v>2501</v>
      </c>
      <c r="D436" t="s">
        <v>2499</v>
      </c>
      <c r="E436" t="s">
        <v>120</v>
      </c>
      <c r="F436" t="s">
        <v>2502</v>
      </c>
      <c r="G436" t="s">
        <v>4094</v>
      </c>
      <c r="H436" t="s">
        <v>120</v>
      </c>
      <c r="I436" t="s">
        <v>3975</v>
      </c>
    </row>
    <row r="437" spans="1:9">
      <c r="A437" s="145" t="s">
        <v>4100</v>
      </c>
      <c r="B437" t="s">
        <v>2167</v>
      </c>
      <c r="C437" t="s">
        <v>2504</v>
      </c>
      <c r="D437" t="s">
        <v>2505</v>
      </c>
      <c r="E437" t="s">
        <v>120</v>
      </c>
      <c r="G437" t="s">
        <v>4094</v>
      </c>
      <c r="H437" t="s">
        <v>120</v>
      </c>
      <c r="I437" t="s">
        <v>3979</v>
      </c>
    </row>
    <row r="438" spans="1:9">
      <c r="A438" s="145" t="s">
        <v>4100</v>
      </c>
      <c r="B438" t="s">
        <v>2167</v>
      </c>
      <c r="C438" t="s">
        <v>2506</v>
      </c>
      <c r="D438" t="s">
        <v>2435</v>
      </c>
      <c r="E438" t="s">
        <v>120</v>
      </c>
      <c r="G438" t="s">
        <v>4094</v>
      </c>
      <c r="H438" t="s">
        <v>120</v>
      </c>
      <c r="I438" t="s">
        <v>3979</v>
      </c>
    </row>
    <row r="439" spans="1:9">
      <c r="A439" s="145" t="s">
        <v>4100</v>
      </c>
      <c r="B439" t="s">
        <v>2167</v>
      </c>
      <c r="C439" t="s">
        <v>2507</v>
      </c>
      <c r="D439" t="s">
        <v>2435</v>
      </c>
      <c r="E439" t="s">
        <v>120</v>
      </c>
      <c r="G439" t="s">
        <v>4094</v>
      </c>
      <c r="H439" t="s">
        <v>120</v>
      </c>
      <c r="I439" t="s">
        <v>3979</v>
      </c>
    </row>
    <row r="440" spans="1:9">
      <c r="A440" s="145" t="s">
        <v>4100</v>
      </c>
      <c r="B440" t="s">
        <v>2169</v>
      </c>
      <c r="C440" t="s">
        <v>2352</v>
      </c>
      <c r="D440" t="s">
        <v>2353</v>
      </c>
      <c r="E440" t="s">
        <v>2317</v>
      </c>
      <c r="F440" t="s">
        <v>2354</v>
      </c>
      <c r="G440" t="s">
        <v>4101</v>
      </c>
      <c r="H440" t="s">
        <v>2319</v>
      </c>
      <c r="I440" t="s">
        <v>3983</v>
      </c>
    </row>
    <row r="441" spans="1:9">
      <c r="A441" s="145" t="s">
        <v>4100</v>
      </c>
      <c r="B441" t="s">
        <v>2169</v>
      </c>
      <c r="C441" t="s">
        <v>2355</v>
      </c>
      <c r="D441" t="s">
        <v>2356</v>
      </c>
      <c r="E441" t="s">
        <v>2317</v>
      </c>
      <c r="F441" t="s">
        <v>2357</v>
      </c>
      <c r="G441" t="s">
        <v>4101</v>
      </c>
      <c r="H441" t="s">
        <v>2319</v>
      </c>
      <c r="I441" t="s">
        <v>3983</v>
      </c>
    </row>
    <row r="442" spans="1:9">
      <c r="A442" s="145" t="s">
        <v>4100</v>
      </c>
      <c r="B442" t="s">
        <v>2169</v>
      </c>
      <c r="C442" t="s">
        <v>2509</v>
      </c>
      <c r="D442" t="s">
        <v>2353</v>
      </c>
      <c r="E442" t="s">
        <v>2490</v>
      </c>
      <c r="F442" t="s">
        <v>2510</v>
      </c>
      <c r="G442" t="s">
        <v>4094</v>
      </c>
      <c r="H442" t="s">
        <v>2490</v>
      </c>
      <c r="I442" t="s">
        <v>3983</v>
      </c>
    </row>
    <row r="443" spans="1:9">
      <c r="A443" s="145" t="s">
        <v>4100</v>
      </c>
      <c r="B443" t="s">
        <v>2169</v>
      </c>
      <c r="C443" t="s">
        <v>2511</v>
      </c>
      <c r="D443" t="s">
        <v>2407</v>
      </c>
      <c r="E443" t="s">
        <v>120</v>
      </c>
      <c r="F443" t="s">
        <v>2512</v>
      </c>
      <c r="G443" t="s">
        <v>4094</v>
      </c>
      <c r="H443" t="s">
        <v>120</v>
      </c>
      <c r="I443" t="s">
        <v>3983</v>
      </c>
    </row>
    <row r="444" spans="1:9">
      <c r="A444" s="145" t="s">
        <v>4100</v>
      </c>
      <c r="B444" t="s">
        <v>2169</v>
      </c>
      <c r="C444" t="s">
        <v>2513</v>
      </c>
      <c r="D444" t="s">
        <v>2404</v>
      </c>
      <c r="E444" t="s">
        <v>120</v>
      </c>
      <c r="F444" t="s">
        <v>2514</v>
      </c>
      <c r="G444" t="s">
        <v>4094</v>
      </c>
      <c r="H444" t="s">
        <v>120</v>
      </c>
      <c r="I444" t="s">
        <v>3983</v>
      </c>
    </row>
    <row r="445" spans="1:9">
      <c r="A445" s="145" t="s">
        <v>4100</v>
      </c>
      <c r="B445" t="s">
        <v>2169</v>
      </c>
      <c r="C445" t="s">
        <v>2515</v>
      </c>
      <c r="D445" t="s">
        <v>2516</v>
      </c>
      <c r="E445" t="s">
        <v>120</v>
      </c>
      <c r="F445" t="s">
        <v>2517</v>
      </c>
      <c r="G445" t="s">
        <v>4094</v>
      </c>
      <c r="H445" t="s">
        <v>120</v>
      </c>
      <c r="I445" t="s">
        <v>3983</v>
      </c>
    </row>
    <row r="446" spans="1:9">
      <c r="A446" s="145" t="s">
        <v>4100</v>
      </c>
      <c r="B446" t="s">
        <v>2169</v>
      </c>
      <c r="C446" t="s">
        <v>2358</v>
      </c>
      <c r="E446" t="s">
        <v>2329</v>
      </c>
      <c r="G446" t="s">
        <v>4101</v>
      </c>
      <c r="H446" t="s">
        <v>2330</v>
      </c>
      <c r="I446" t="s">
        <v>3983</v>
      </c>
    </row>
    <row r="447" spans="1:9">
      <c r="A447" s="145" t="s">
        <v>4100</v>
      </c>
      <c r="B447" t="s">
        <v>2173</v>
      </c>
      <c r="C447" t="s">
        <v>2519</v>
      </c>
      <c r="D447" t="s">
        <v>2407</v>
      </c>
      <c r="E447" t="s">
        <v>120</v>
      </c>
      <c r="F447" t="s">
        <v>2520</v>
      </c>
      <c r="G447" t="s">
        <v>4094</v>
      </c>
      <c r="H447" t="s">
        <v>120</v>
      </c>
      <c r="I447" t="s">
        <v>3987</v>
      </c>
    </row>
    <row r="448" spans="1:9">
      <c r="A448" s="145" t="s">
        <v>4100</v>
      </c>
      <c r="B448" t="s">
        <v>2173</v>
      </c>
      <c r="C448" t="s">
        <v>2521</v>
      </c>
      <c r="D448" t="s">
        <v>2407</v>
      </c>
      <c r="E448" t="s">
        <v>120</v>
      </c>
      <c r="G448" t="s">
        <v>4094</v>
      </c>
      <c r="H448" t="s">
        <v>120</v>
      </c>
      <c r="I448" t="s">
        <v>3987</v>
      </c>
    </row>
    <row r="449" spans="1:9">
      <c r="A449" s="145" t="s">
        <v>4100</v>
      </c>
      <c r="B449" t="s">
        <v>2173</v>
      </c>
      <c r="C449" t="s">
        <v>2522</v>
      </c>
      <c r="D449" t="s">
        <v>2523</v>
      </c>
      <c r="E449" t="s">
        <v>120</v>
      </c>
      <c r="F449" t="s">
        <v>2524</v>
      </c>
      <c r="G449" t="s">
        <v>4094</v>
      </c>
      <c r="H449" t="s">
        <v>120</v>
      </c>
      <c r="I449" t="s">
        <v>3987</v>
      </c>
    </row>
    <row r="450" spans="1:9">
      <c r="A450" s="145" t="s">
        <v>4100</v>
      </c>
      <c r="B450" t="s">
        <v>2173</v>
      </c>
      <c r="C450" t="s">
        <v>2525</v>
      </c>
      <c r="D450" t="s">
        <v>2412</v>
      </c>
      <c r="E450" t="s">
        <v>120</v>
      </c>
      <c r="F450" t="s">
        <v>2520</v>
      </c>
      <c r="G450" t="s">
        <v>4094</v>
      </c>
      <c r="H450" t="s">
        <v>120</v>
      </c>
      <c r="I450" t="s">
        <v>3987</v>
      </c>
    </row>
    <row r="451" spans="1:9">
      <c r="A451" s="145" t="s">
        <v>4100</v>
      </c>
      <c r="B451" t="s">
        <v>2173</v>
      </c>
      <c r="C451" t="s">
        <v>2526</v>
      </c>
      <c r="D451" t="s">
        <v>2412</v>
      </c>
      <c r="E451" t="s">
        <v>120</v>
      </c>
      <c r="F451" t="s">
        <v>2527</v>
      </c>
      <c r="G451" t="s">
        <v>4094</v>
      </c>
      <c r="H451" t="s">
        <v>120</v>
      </c>
      <c r="I451" t="s">
        <v>3987</v>
      </c>
    </row>
    <row r="452" spans="1:9">
      <c r="A452" s="145" t="s">
        <v>4100</v>
      </c>
      <c r="B452" t="s">
        <v>2173</v>
      </c>
      <c r="C452" t="s">
        <v>2528</v>
      </c>
      <c r="D452" t="s">
        <v>2529</v>
      </c>
      <c r="E452" t="s">
        <v>2490</v>
      </c>
      <c r="G452" t="s">
        <v>4094</v>
      </c>
      <c r="H452" t="s">
        <v>2490</v>
      </c>
      <c r="I452" t="s">
        <v>3987</v>
      </c>
    </row>
    <row r="453" spans="1:9">
      <c r="A453" s="145" t="s">
        <v>4100</v>
      </c>
      <c r="B453" t="s">
        <v>2173</v>
      </c>
      <c r="C453" t="s">
        <v>2413</v>
      </c>
      <c r="D453" t="s">
        <v>2407</v>
      </c>
      <c r="E453" t="s">
        <v>2414</v>
      </c>
      <c r="F453" t="s">
        <v>2416</v>
      </c>
      <c r="G453" t="s">
        <v>4094</v>
      </c>
      <c r="H453" t="s">
        <v>2639</v>
      </c>
      <c r="I453" t="s">
        <v>3987</v>
      </c>
    </row>
    <row r="454" spans="1:9">
      <c r="A454" s="145" t="s">
        <v>4100</v>
      </c>
      <c r="B454" t="s">
        <v>2173</v>
      </c>
      <c r="C454" t="s">
        <v>2532</v>
      </c>
      <c r="D454" t="s">
        <v>2529</v>
      </c>
      <c r="E454" t="s">
        <v>2533</v>
      </c>
      <c r="G454" t="s">
        <v>4094</v>
      </c>
      <c r="H454" t="s">
        <v>120</v>
      </c>
      <c r="I454" t="s">
        <v>3987</v>
      </c>
    </row>
    <row r="455" spans="1:9">
      <c r="A455" s="145" t="s">
        <v>4100</v>
      </c>
      <c r="B455" t="s">
        <v>2173</v>
      </c>
      <c r="C455" t="s">
        <v>2360</v>
      </c>
      <c r="E455" t="s">
        <v>2317</v>
      </c>
      <c r="F455" t="s">
        <v>2361</v>
      </c>
      <c r="G455" t="s">
        <v>4101</v>
      </c>
      <c r="H455" t="s">
        <v>2319</v>
      </c>
      <c r="I455" t="s">
        <v>3987</v>
      </c>
    </row>
    <row r="456" spans="1:9">
      <c r="A456" s="145" t="s">
        <v>4100</v>
      </c>
      <c r="B456" t="s">
        <v>2173</v>
      </c>
      <c r="C456" t="s">
        <v>2534</v>
      </c>
      <c r="D456" t="s">
        <v>2363</v>
      </c>
      <c r="E456" t="s">
        <v>120</v>
      </c>
      <c r="F456" t="s">
        <v>2535</v>
      </c>
      <c r="G456" t="s">
        <v>4094</v>
      </c>
      <c r="H456" t="s">
        <v>120</v>
      </c>
      <c r="I456" t="s">
        <v>3987</v>
      </c>
    </row>
    <row r="457" spans="1:9">
      <c r="A457" s="145" t="s">
        <v>4100</v>
      </c>
      <c r="B457" t="s">
        <v>2173</v>
      </c>
      <c r="C457" t="s">
        <v>2362</v>
      </c>
      <c r="D457" t="s">
        <v>2363</v>
      </c>
      <c r="E457" t="s">
        <v>2364</v>
      </c>
      <c r="G457" t="s">
        <v>4101</v>
      </c>
      <c r="H457" t="s">
        <v>2365</v>
      </c>
      <c r="I457" t="s">
        <v>3987</v>
      </c>
    </row>
    <row r="458" spans="1:9">
      <c r="A458" s="145" t="s">
        <v>4100</v>
      </c>
      <c r="B458" t="s">
        <v>2176</v>
      </c>
      <c r="C458" t="s">
        <v>2537</v>
      </c>
      <c r="D458" t="s">
        <v>2538</v>
      </c>
      <c r="E458" t="s">
        <v>120</v>
      </c>
      <c r="G458" t="s">
        <v>4094</v>
      </c>
      <c r="H458" t="s">
        <v>120</v>
      </c>
      <c r="I458" t="s">
        <v>3991</v>
      </c>
    </row>
    <row r="459" spans="1:9">
      <c r="A459" s="145" t="s">
        <v>4100</v>
      </c>
      <c r="B459" t="s">
        <v>2176</v>
      </c>
      <c r="C459" t="s">
        <v>2539</v>
      </c>
      <c r="D459" t="s">
        <v>2538</v>
      </c>
      <c r="E459" t="s">
        <v>2490</v>
      </c>
      <c r="F459" t="s">
        <v>2540</v>
      </c>
      <c r="G459" t="s">
        <v>4094</v>
      </c>
      <c r="H459" t="s">
        <v>2490</v>
      </c>
      <c r="I459" t="s">
        <v>3991</v>
      </c>
    </row>
    <row r="460" spans="1:9">
      <c r="A460" s="145" t="s">
        <v>4100</v>
      </c>
      <c r="B460" t="s">
        <v>2176</v>
      </c>
      <c r="C460" t="s">
        <v>2541</v>
      </c>
      <c r="D460" t="s">
        <v>2542</v>
      </c>
      <c r="E460" t="s">
        <v>2543</v>
      </c>
      <c r="G460" t="s">
        <v>4094</v>
      </c>
      <c r="H460" t="s">
        <v>120</v>
      </c>
      <c r="I460" t="s">
        <v>3991</v>
      </c>
    </row>
    <row r="461" spans="1:9">
      <c r="A461" s="145" t="s">
        <v>4100</v>
      </c>
      <c r="B461" t="s">
        <v>2176</v>
      </c>
      <c r="C461" t="s">
        <v>2421</v>
      </c>
      <c r="D461" t="s">
        <v>2422</v>
      </c>
      <c r="E461" t="s">
        <v>2423</v>
      </c>
      <c r="F461" t="s">
        <v>2425</v>
      </c>
      <c r="G461" t="s">
        <v>4094</v>
      </c>
      <c r="H461" t="s">
        <v>120</v>
      </c>
      <c r="I461" t="s">
        <v>3991</v>
      </c>
    </row>
    <row r="462" spans="1:9">
      <c r="A462" s="145" t="s">
        <v>4100</v>
      </c>
      <c r="B462" t="s">
        <v>2176</v>
      </c>
      <c r="C462" t="s">
        <v>2545</v>
      </c>
      <c r="D462" t="s">
        <v>2422</v>
      </c>
      <c r="E462" t="s">
        <v>2461</v>
      </c>
      <c r="F462" t="s">
        <v>2546</v>
      </c>
      <c r="G462" t="s">
        <v>4094</v>
      </c>
      <c r="H462" t="s">
        <v>120</v>
      </c>
      <c r="I462" t="s">
        <v>3991</v>
      </c>
    </row>
    <row r="463" spans="1:9">
      <c r="A463" s="145" t="s">
        <v>4100</v>
      </c>
      <c r="B463" t="s">
        <v>2176</v>
      </c>
      <c r="C463" t="s">
        <v>2547</v>
      </c>
      <c r="D463" t="s">
        <v>2538</v>
      </c>
      <c r="E463" t="s">
        <v>2548</v>
      </c>
      <c r="G463" t="s">
        <v>4094</v>
      </c>
      <c r="H463" t="s">
        <v>120</v>
      </c>
      <c r="I463" t="s">
        <v>3991</v>
      </c>
    </row>
    <row r="464" spans="1:9">
      <c r="A464" s="145" t="s">
        <v>4100</v>
      </c>
      <c r="B464" t="s">
        <v>2176</v>
      </c>
      <c r="C464" t="s">
        <v>2549</v>
      </c>
      <c r="D464" t="s">
        <v>2538</v>
      </c>
      <c r="E464" t="s">
        <v>2550</v>
      </c>
      <c r="F464" t="s">
        <v>2551</v>
      </c>
      <c r="G464" t="s">
        <v>4094</v>
      </c>
      <c r="H464" t="s">
        <v>120</v>
      </c>
      <c r="I464" t="s">
        <v>3991</v>
      </c>
    </row>
    <row r="465" spans="1:9">
      <c r="A465" s="145" t="s">
        <v>4100</v>
      </c>
      <c r="B465" t="s">
        <v>2176</v>
      </c>
      <c r="C465" t="s">
        <v>2552</v>
      </c>
      <c r="D465" t="s">
        <v>2538</v>
      </c>
      <c r="E465" t="s">
        <v>2553</v>
      </c>
      <c r="G465" t="s">
        <v>4094</v>
      </c>
      <c r="H465" t="s">
        <v>120</v>
      </c>
      <c r="I465" t="s">
        <v>3991</v>
      </c>
    </row>
    <row r="466" spans="1:9">
      <c r="A466" s="145" t="s">
        <v>4100</v>
      </c>
      <c r="B466" t="s">
        <v>2178</v>
      </c>
      <c r="C466" t="s">
        <v>2367</v>
      </c>
      <c r="E466" t="s">
        <v>2317</v>
      </c>
      <c r="F466" t="s">
        <v>2368</v>
      </c>
      <c r="G466" t="s">
        <v>4101</v>
      </c>
      <c r="H466" t="s">
        <v>2319</v>
      </c>
      <c r="I466" t="s">
        <v>3995</v>
      </c>
    </row>
    <row r="467" spans="1:9">
      <c r="A467" s="145" t="s">
        <v>4100</v>
      </c>
      <c r="B467" t="s">
        <v>2178</v>
      </c>
      <c r="C467" t="s">
        <v>2427</v>
      </c>
      <c r="D467" t="s">
        <v>2370</v>
      </c>
      <c r="E467" t="s">
        <v>2428</v>
      </c>
      <c r="F467" t="s">
        <v>2429</v>
      </c>
      <c r="G467" t="s">
        <v>4094</v>
      </c>
      <c r="H467" t="s">
        <v>120</v>
      </c>
      <c r="I467" t="s">
        <v>3995</v>
      </c>
    </row>
    <row r="468" spans="1:9">
      <c r="A468" s="145" t="s">
        <v>4100</v>
      </c>
      <c r="B468" t="s">
        <v>2178</v>
      </c>
      <c r="C468" t="s">
        <v>2555</v>
      </c>
      <c r="D468" t="s">
        <v>2363</v>
      </c>
      <c r="E468" t="s">
        <v>2556</v>
      </c>
      <c r="F468" t="s">
        <v>2557</v>
      </c>
      <c r="G468" t="s">
        <v>4094</v>
      </c>
      <c r="H468" t="s">
        <v>120</v>
      </c>
      <c r="I468" t="s">
        <v>3995</v>
      </c>
    </row>
    <row r="469" spans="1:9">
      <c r="A469" s="145" t="s">
        <v>4100</v>
      </c>
      <c r="B469" t="s">
        <v>2178</v>
      </c>
      <c r="C469" t="s">
        <v>2558</v>
      </c>
      <c r="D469" t="s">
        <v>2559</v>
      </c>
      <c r="E469" t="s">
        <v>2560</v>
      </c>
      <c r="F469" t="s">
        <v>2561</v>
      </c>
      <c r="G469" t="s">
        <v>4094</v>
      </c>
      <c r="H469" t="s">
        <v>120</v>
      </c>
      <c r="I469" t="s">
        <v>3995</v>
      </c>
    </row>
    <row r="470" spans="1:9">
      <c r="A470" s="145" t="s">
        <v>4100</v>
      </c>
      <c r="B470" t="s">
        <v>2178</v>
      </c>
      <c r="C470" t="s">
        <v>2562</v>
      </c>
      <c r="D470" t="s">
        <v>2370</v>
      </c>
      <c r="E470" t="s">
        <v>120</v>
      </c>
      <c r="F470" t="s">
        <v>2563</v>
      </c>
      <c r="G470" t="s">
        <v>4094</v>
      </c>
      <c r="H470" t="s">
        <v>120</v>
      </c>
      <c r="I470" t="s">
        <v>3995</v>
      </c>
    </row>
    <row r="471" spans="1:9">
      <c r="A471" s="145" t="s">
        <v>4100</v>
      </c>
      <c r="B471" t="s">
        <v>2178</v>
      </c>
      <c r="C471" t="s">
        <v>2369</v>
      </c>
      <c r="D471" t="s">
        <v>2370</v>
      </c>
      <c r="E471" t="s">
        <v>2317</v>
      </c>
      <c r="F471" t="s">
        <v>2371</v>
      </c>
      <c r="G471" t="s">
        <v>4101</v>
      </c>
      <c r="H471" t="s">
        <v>2319</v>
      </c>
      <c r="I471" t="s">
        <v>3995</v>
      </c>
    </row>
    <row r="472" spans="1:9">
      <c r="A472" s="145" t="s">
        <v>4100</v>
      </c>
      <c r="B472" t="s">
        <v>2178</v>
      </c>
      <c r="C472" t="s">
        <v>2372</v>
      </c>
      <c r="E472" t="s">
        <v>2329</v>
      </c>
      <c r="G472" t="s">
        <v>4101</v>
      </c>
      <c r="H472" t="s">
        <v>2330</v>
      </c>
      <c r="I472" t="s">
        <v>3995</v>
      </c>
    </row>
    <row r="473" spans="1:9">
      <c r="A473" s="145" t="s">
        <v>4100</v>
      </c>
      <c r="B473" t="s">
        <v>2178</v>
      </c>
      <c r="C473" t="s">
        <v>2564</v>
      </c>
      <c r="E473" t="s">
        <v>120</v>
      </c>
      <c r="G473" t="s">
        <v>4094</v>
      </c>
      <c r="H473" t="s">
        <v>120</v>
      </c>
      <c r="I473" t="s">
        <v>3995</v>
      </c>
    </row>
    <row r="474" spans="1:9">
      <c r="A474" s="145" t="s">
        <v>4100</v>
      </c>
      <c r="B474" t="s">
        <v>2178</v>
      </c>
      <c r="C474" t="s">
        <v>2565</v>
      </c>
      <c r="D474" t="s">
        <v>2370</v>
      </c>
      <c r="E474" t="s">
        <v>2566</v>
      </c>
      <c r="F474" t="s">
        <v>2567</v>
      </c>
      <c r="G474" t="s">
        <v>4094</v>
      </c>
      <c r="H474" t="s">
        <v>2566</v>
      </c>
      <c r="I474" t="s">
        <v>3995</v>
      </c>
    </row>
    <row r="475" spans="1:9">
      <c r="A475" s="145" t="s">
        <v>4100</v>
      </c>
      <c r="B475" t="s">
        <v>3874</v>
      </c>
      <c r="C475" t="s">
        <v>2374</v>
      </c>
      <c r="E475" t="s">
        <v>2329</v>
      </c>
      <c r="F475" t="s">
        <v>2375</v>
      </c>
      <c r="G475" t="s">
        <v>4101</v>
      </c>
      <c r="H475" t="s">
        <v>2330</v>
      </c>
    </row>
    <row r="476" spans="1:9">
      <c r="A476" s="145" t="s">
        <v>4100</v>
      </c>
      <c r="B476" t="s">
        <v>3874</v>
      </c>
      <c r="C476" t="s">
        <v>2569</v>
      </c>
      <c r="D476" t="s">
        <v>2570</v>
      </c>
      <c r="E476" t="s">
        <v>2571</v>
      </c>
      <c r="F476" t="s">
        <v>2437</v>
      </c>
      <c r="G476" t="s">
        <v>4094</v>
      </c>
      <c r="H476" t="s">
        <v>120</v>
      </c>
    </row>
    <row r="477" spans="1:9">
      <c r="A477" s="145" t="s">
        <v>4100</v>
      </c>
      <c r="B477" t="s">
        <v>3874</v>
      </c>
      <c r="C477" t="s">
        <v>2572</v>
      </c>
      <c r="D477" t="s">
        <v>2432</v>
      </c>
      <c r="E477" t="s">
        <v>120</v>
      </c>
      <c r="F477" t="s">
        <v>2573</v>
      </c>
      <c r="G477" t="s">
        <v>4094</v>
      </c>
      <c r="H477" t="s">
        <v>120</v>
      </c>
    </row>
    <row r="478" spans="1:9">
      <c r="A478" s="145" t="s">
        <v>4100</v>
      </c>
      <c r="B478" t="s">
        <v>3874</v>
      </c>
      <c r="C478" t="s">
        <v>2574</v>
      </c>
      <c r="D478" t="s">
        <v>2570</v>
      </c>
      <c r="E478" t="s">
        <v>120</v>
      </c>
      <c r="F478" t="s">
        <v>2573</v>
      </c>
      <c r="G478" t="s">
        <v>4094</v>
      </c>
      <c r="H478" t="s">
        <v>120</v>
      </c>
    </row>
    <row r="479" spans="1:9">
      <c r="A479" s="145" t="s">
        <v>4100</v>
      </c>
      <c r="B479" t="s">
        <v>3874</v>
      </c>
      <c r="C479" t="s">
        <v>2575</v>
      </c>
      <c r="D479" t="s">
        <v>2576</v>
      </c>
      <c r="E479" t="s">
        <v>2490</v>
      </c>
      <c r="F479" t="s">
        <v>2577</v>
      </c>
      <c r="G479" t="s">
        <v>4094</v>
      </c>
      <c r="H479" t="s">
        <v>2490</v>
      </c>
    </row>
    <row r="480" spans="1:9">
      <c r="A480" s="145" t="s">
        <v>4100</v>
      </c>
      <c r="B480" t="s">
        <v>3874</v>
      </c>
      <c r="C480" t="s">
        <v>2578</v>
      </c>
      <c r="D480" t="s">
        <v>2579</v>
      </c>
      <c r="E480" t="s">
        <v>2543</v>
      </c>
      <c r="F480" t="s">
        <v>2580</v>
      </c>
      <c r="G480" t="s">
        <v>4094</v>
      </c>
      <c r="H480" t="s">
        <v>120</v>
      </c>
    </row>
    <row r="481" spans="1:9">
      <c r="A481" s="145" t="s">
        <v>4100</v>
      </c>
      <c r="B481" t="s">
        <v>3874</v>
      </c>
      <c r="C481" t="s">
        <v>2434</v>
      </c>
      <c r="D481" t="s">
        <v>2435</v>
      </c>
      <c r="E481" t="s">
        <v>2436</v>
      </c>
      <c r="F481" t="s">
        <v>2437</v>
      </c>
      <c r="G481" t="s">
        <v>4094</v>
      </c>
      <c r="H481" t="s">
        <v>2436</v>
      </c>
    </row>
    <row r="482" spans="1:9">
      <c r="A482" s="145" t="s">
        <v>4102</v>
      </c>
      <c r="B482" t="s">
        <v>2154</v>
      </c>
      <c r="C482" t="s">
        <v>2377</v>
      </c>
      <c r="D482" t="s">
        <v>2378</v>
      </c>
      <c r="E482" t="s">
        <v>1622</v>
      </c>
      <c r="F482" t="s">
        <v>2380</v>
      </c>
      <c r="G482" t="s">
        <v>4094</v>
      </c>
      <c r="H482" t="s">
        <v>1622</v>
      </c>
      <c r="I482" t="s">
        <v>3955</v>
      </c>
    </row>
    <row r="483" spans="1:9">
      <c r="A483" s="145" t="s">
        <v>4102</v>
      </c>
      <c r="B483" t="s">
        <v>2154</v>
      </c>
      <c r="C483" t="s">
        <v>2381</v>
      </c>
      <c r="E483" t="s">
        <v>1396</v>
      </c>
      <c r="G483" t="s">
        <v>4094</v>
      </c>
      <c r="H483" t="s">
        <v>1396</v>
      </c>
      <c r="I483" t="s">
        <v>3955</v>
      </c>
    </row>
    <row r="484" spans="1:9">
      <c r="A484" s="145" t="s">
        <v>4102</v>
      </c>
      <c r="B484" t="s">
        <v>2154</v>
      </c>
      <c r="C484" t="s">
        <v>2382</v>
      </c>
      <c r="E484" t="s">
        <v>2383</v>
      </c>
      <c r="G484" t="s">
        <v>4094</v>
      </c>
      <c r="H484" t="s">
        <v>2645</v>
      </c>
      <c r="I484" t="s">
        <v>3955</v>
      </c>
    </row>
    <row r="485" spans="1:9">
      <c r="A485" s="145" t="s">
        <v>4102</v>
      </c>
      <c r="B485" t="s">
        <v>2154</v>
      </c>
      <c r="C485" t="s">
        <v>2441</v>
      </c>
      <c r="D485" t="s">
        <v>2316</v>
      </c>
      <c r="E485" t="s">
        <v>120</v>
      </c>
      <c r="G485" t="s">
        <v>4094</v>
      </c>
      <c r="H485" t="s">
        <v>120</v>
      </c>
      <c r="I485" t="s">
        <v>3955</v>
      </c>
    </row>
    <row r="486" spans="1:9">
      <c r="A486" s="145" t="s">
        <v>4102</v>
      </c>
      <c r="B486" t="s">
        <v>2154</v>
      </c>
      <c r="C486" t="s">
        <v>2442</v>
      </c>
      <c r="D486" t="s">
        <v>2326</v>
      </c>
      <c r="E486" t="s">
        <v>120</v>
      </c>
      <c r="F486" t="s">
        <v>2443</v>
      </c>
      <c r="G486" t="s">
        <v>4094</v>
      </c>
      <c r="H486" t="s">
        <v>120</v>
      </c>
      <c r="I486" t="s">
        <v>3955</v>
      </c>
    </row>
    <row r="487" spans="1:9">
      <c r="A487" s="145" t="s">
        <v>4102</v>
      </c>
      <c r="B487" t="s">
        <v>2154</v>
      </c>
      <c r="C487" t="s">
        <v>2444</v>
      </c>
      <c r="E487" t="s">
        <v>120</v>
      </c>
      <c r="G487" t="s">
        <v>4094</v>
      </c>
      <c r="H487" t="s">
        <v>120</v>
      </c>
      <c r="I487" t="s">
        <v>3955</v>
      </c>
    </row>
    <row r="488" spans="1:9">
      <c r="A488" s="145" t="s">
        <v>4102</v>
      </c>
      <c r="B488" t="s">
        <v>2156</v>
      </c>
      <c r="C488" t="s">
        <v>2446</v>
      </c>
      <c r="D488" t="s">
        <v>2334</v>
      </c>
      <c r="E488" t="s">
        <v>120</v>
      </c>
      <c r="G488" t="s">
        <v>4094</v>
      </c>
      <c r="H488" t="s">
        <v>120</v>
      </c>
      <c r="I488" t="s">
        <v>3959</v>
      </c>
    </row>
    <row r="489" spans="1:9">
      <c r="A489" s="145" t="s">
        <v>4102</v>
      </c>
      <c r="B489" t="s">
        <v>2156</v>
      </c>
      <c r="C489" t="s">
        <v>2447</v>
      </c>
      <c r="D489" t="s">
        <v>2448</v>
      </c>
      <c r="E489" t="s">
        <v>120</v>
      </c>
      <c r="F489" t="s">
        <v>2449</v>
      </c>
      <c r="G489" t="s">
        <v>4094</v>
      </c>
      <c r="H489" t="s">
        <v>120</v>
      </c>
      <c r="I489" t="s">
        <v>3959</v>
      </c>
    </row>
    <row r="490" spans="1:9">
      <c r="A490" s="145" t="s">
        <v>4102</v>
      </c>
      <c r="B490" t="s">
        <v>2156</v>
      </c>
      <c r="C490" t="s">
        <v>2450</v>
      </c>
      <c r="D490" t="s">
        <v>2448</v>
      </c>
      <c r="E490" t="s">
        <v>120</v>
      </c>
      <c r="G490" t="s">
        <v>4094</v>
      </c>
      <c r="H490" t="s">
        <v>120</v>
      </c>
      <c r="I490" t="s">
        <v>3959</v>
      </c>
    </row>
    <row r="491" spans="1:9">
      <c r="A491" s="145" t="s">
        <v>4102</v>
      </c>
      <c r="B491" t="s">
        <v>2156</v>
      </c>
      <c r="C491" t="s">
        <v>2328</v>
      </c>
      <c r="E491" t="s">
        <v>2329</v>
      </c>
      <c r="F491" t="s">
        <v>2331</v>
      </c>
      <c r="G491" t="s">
        <v>4103</v>
      </c>
      <c r="H491" t="s">
        <v>2647</v>
      </c>
      <c r="I491" t="s">
        <v>3959</v>
      </c>
    </row>
    <row r="492" spans="1:9">
      <c r="A492" s="145" t="s">
        <v>4102</v>
      </c>
      <c r="B492" t="s">
        <v>2156</v>
      </c>
      <c r="C492" t="s">
        <v>2452</v>
      </c>
      <c r="D492" t="s">
        <v>2453</v>
      </c>
      <c r="E492" t="s">
        <v>120</v>
      </c>
      <c r="F492" t="s">
        <v>2454</v>
      </c>
      <c r="G492" t="s">
        <v>4094</v>
      </c>
      <c r="H492" t="s">
        <v>120</v>
      </c>
      <c r="I492" t="s">
        <v>3959</v>
      </c>
    </row>
    <row r="493" spans="1:9">
      <c r="A493" s="145" t="s">
        <v>4102</v>
      </c>
      <c r="B493" t="s">
        <v>3644</v>
      </c>
      <c r="C493" t="s">
        <v>2456</v>
      </c>
      <c r="D493" t="s">
        <v>2457</v>
      </c>
      <c r="E493" t="s">
        <v>120</v>
      </c>
      <c r="G493" t="s">
        <v>4094</v>
      </c>
      <c r="H493" t="s">
        <v>120</v>
      </c>
      <c r="I493" t="s">
        <v>3963</v>
      </c>
    </row>
    <row r="494" spans="1:9">
      <c r="A494" s="145" t="s">
        <v>4102</v>
      </c>
      <c r="B494" t="s">
        <v>3644</v>
      </c>
      <c r="C494" t="s">
        <v>2458</v>
      </c>
      <c r="D494" t="s">
        <v>2457</v>
      </c>
      <c r="E494" t="s">
        <v>2459</v>
      </c>
      <c r="G494" t="s">
        <v>4094</v>
      </c>
      <c r="H494" t="s">
        <v>120</v>
      </c>
      <c r="I494" t="s">
        <v>3963</v>
      </c>
    </row>
    <row r="495" spans="1:9">
      <c r="A495" s="145" t="s">
        <v>4102</v>
      </c>
      <c r="B495" t="s">
        <v>3644</v>
      </c>
      <c r="C495" t="s">
        <v>2460</v>
      </c>
      <c r="D495" t="s">
        <v>2457</v>
      </c>
      <c r="E495" t="s">
        <v>2461</v>
      </c>
      <c r="F495" t="s">
        <v>2462</v>
      </c>
      <c r="G495" t="s">
        <v>4094</v>
      </c>
      <c r="H495" t="s">
        <v>120</v>
      </c>
      <c r="I495" t="s">
        <v>3963</v>
      </c>
    </row>
    <row r="496" spans="1:9">
      <c r="A496" s="145" t="s">
        <v>4102</v>
      </c>
      <c r="B496" t="s">
        <v>3644</v>
      </c>
      <c r="C496" t="s">
        <v>2463</v>
      </c>
      <c r="D496" t="s">
        <v>2457</v>
      </c>
      <c r="E496" t="s">
        <v>120</v>
      </c>
      <c r="G496" t="s">
        <v>4094</v>
      </c>
      <c r="H496" t="s">
        <v>120</v>
      </c>
      <c r="I496" t="s">
        <v>3963</v>
      </c>
    </row>
    <row r="497" spans="1:9">
      <c r="A497" s="145" t="s">
        <v>4102</v>
      </c>
      <c r="B497" t="s">
        <v>2161</v>
      </c>
      <c r="C497" t="s">
        <v>2465</v>
      </c>
      <c r="D497" t="s">
        <v>2466</v>
      </c>
      <c r="E497" t="s">
        <v>2467</v>
      </c>
      <c r="G497" t="s">
        <v>4094</v>
      </c>
      <c r="H497" t="s">
        <v>120</v>
      </c>
      <c r="I497" t="s">
        <v>3967</v>
      </c>
    </row>
    <row r="498" spans="1:9">
      <c r="A498" s="145" t="s">
        <v>4102</v>
      </c>
      <c r="B498" t="s">
        <v>2161</v>
      </c>
      <c r="C498" t="s">
        <v>2387</v>
      </c>
      <c r="E498" t="s">
        <v>621</v>
      </c>
      <c r="F498" t="s">
        <v>2388</v>
      </c>
      <c r="G498" t="s">
        <v>4094</v>
      </c>
      <c r="H498" t="s">
        <v>621</v>
      </c>
      <c r="I498" t="s">
        <v>3967</v>
      </c>
    </row>
    <row r="499" spans="1:9">
      <c r="A499" s="145" t="s">
        <v>4102</v>
      </c>
      <c r="B499" t="s">
        <v>2161</v>
      </c>
      <c r="C499" t="s">
        <v>2389</v>
      </c>
      <c r="D499" t="s">
        <v>2390</v>
      </c>
      <c r="E499" t="s">
        <v>621</v>
      </c>
      <c r="F499" t="s">
        <v>2391</v>
      </c>
      <c r="G499" t="s">
        <v>4094</v>
      </c>
      <c r="H499" t="s">
        <v>621</v>
      </c>
      <c r="I499" t="s">
        <v>3967</v>
      </c>
    </row>
    <row r="500" spans="1:9">
      <c r="A500" s="145" t="s">
        <v>4102</v>
      </c>
      <c r="B500" t="s">
        <v>2161</v>
      </c>
      <c r="C500" t="s">
        <v>2468</v>
      </c>
      <c r="D500" t="s">
        <v>2390</v>
      </c>
      <c r="E500" t="s">
        <v>120</v>
      </c>
      <c r="G500" t="s">
        <v>4094</v>
      </c>
      <c r="H500" t="s">
        <v>120</v>
      </c>
      <c r="I500" t="s">
        <v>3967</v>
      </c>
    </row>
    <row r="501" spans="1:9">
      <c r="A501" s="145" t="s">
        <v>4102</v>
      </c>
      <c r="B501" t="s">
        <v>2161</v>
      </c>
      <c r="C501" t="s">
        <v>2469</v>
      </c>
      <c r="D501" t="s">
        <v>2466</v>
      </c>
      <c r="E501" t="s">
        <v>2470</v>
      </c>
      <c r="G501" t="s">
        <v>4094</v>
      </c>
      <c r="H501" t="s">
        <v>120</v>
      </c>
      <c r="I501" t="s">
        <v>3967</v>
      </c>
    </row>
    <row r="502" spans="1:9">
      <c r="A502" s="145" t="s">
        <v>4102</v>
      </c>
      <c r="B502" t="s">
        <v>2161</v>
      </c>
      <c r="C502" t="s">
        <v>2392</v>
      </c>
      <c r="D502" t="s">
        <v>2390</v>
      </c>
      <c r="E502" t="s">
        <v>2393</v>
      </c>
      <c r="F502" t="s">
        <v>2394</v>
      </c>
      <c r="G502" t="s">
        <v>4094</v>
      </c>
      <c r="H502" t="s">
        <v>1622</v>
      </c>
      <c r="I502" t="s">
        <v>3967</v>
      </c>
    </row>
    <row r="503" spans="1:9">
      <c r="A503" s="145" t="s">
        <v>4102</v>
      </c>
      <c r="B503" t="s">
        <v>2161</v>
      </c>
      <c r="C503" t="s">
        <v>2471</v>
      </c>
      <c r="D503" t="s">
        <v>2472</v>
      </c>
      <c r="E503" t="s">
        <v>120</v>
      </c>
      <c r="F503" t="s">
        <v>2473</v>
      </c>
      <c r="G503" t="s">
        <v>4094</v>
      </c>
      <c r="H503" t="s">
        <v>120</v>
      </c>
      <c r="I503" t="s">
        <v>3967</v>
      </c>
    </row>
    <row r="504" spans="1:9">
      <c r="A504" s="145" t="s">
        <v>4102</v>
      </c>
      <c r="B504" t="s">
        <v>2161</v>
      </c>
      <c r="C504" t="s">
        <v>2474</v>
      </c>
      <c r="D504" t="s">
        <v>2472</v>
      </c>
      <c r="E504" t="s">
        <v>120</v>
      </c>
      <c r="G504" t="s">
        <v>4094</v>
      </c>
      <c r="H504" t="s">
        <v>120</v>
      </c>
      <c r="I504" t="s">
        <v>3967</v>
      </c>
    </row>
    <row r="505" spans="1:9">
      <c r="A505" s="145" t="s">
        <v>4102</v>
      </c>
      <c r="B505" t="s">
        <v>2163</v>
      </c>
      <c r="C505" t="s">
        <v>2476</v>
      </c>
      <c r="D505" t="s">
        <v>2477</v>
      </c>
      <c r="E505" t="s">
        <v>120</v>
      </c>
      <c r="F505" t="s">
        <v>2478</v>
      </c>
      <c r="G505" t="s">
        <v>4094</v>
      </c>
      <c r="H505" t="s">
        <v>120</v>
      </c>
      <c r="I505" t="s">
        <v>3971</v>
      </c>
    </row>
    <row r="506" spans="1:9">
      <c r="A506" s="145" t="s">
        <v>4102</v>
      </c>
      <c r="B506" t="s">
        <v>2163</v>
      </c>
      <c r="C506" t="s">
        <v>2333</v>
      </c>
      <c r="D506" t="s">
        <v>2334</v>
      </c>
      <c r="E506" t="s">
        <v>2335</v>
      </c>
      <c r="G506" t="s">
        <v>4103</v>
      </c>
      <c r="H506" t="s">
        <v>2647</v>
      </c>
      <c r="I506" t="s">
        <v>3971</v>
      </c>
    </row>
    <row r="507" spans="1:9">
      <c r="A507" s="145" t="s">
        <v>4102</v>
      </c>
      <c r="B507" t="s">
        <v>2163</v>
      </c>
      <c r="C507" t="s">
        <v>2336</v>
      </c>
      <c r="D507" t="s">
        <v>2334</v>
      </c>
      <c r="E507" t="s">
        <v>2329</v>
      </c>
      <c r="G507" t="s">
        <v>4103</v>
      </c>
      <c r="H507" t="s">
        <v>2647</v>
      </c>
      <c r="I507" t="s">
        <v>3971</v>
      </c>
    </row>
    <row r="508" spans="1:9">
      <c r="A508" s="145" t="s">
        <v>4102</v>
      </c>
      <c r="B508" t="s">
        <v>2163</v>
      </c>
      <c r="C508" t="s">
        <v>2337</v>
      </c>
      <c r="D508" t="s">
        <v>2334</v>
      </c>
      <c r="E508" t="s">
        <v>2329</v>
      </c>
      <c r="G508" t="s">
        <v>4103</v>
      </c>
      <c r="H508" t="s">
        <v>2647</v>
      </c>
      <c r="I508" t="s">
        <v>3971</v>
      </c>
    </row>
    <row r="509" spans="1:9">
      <c r="A509" s="145" t="s">
        <v>4102</v>
      </c>
      <c r="B509" t="s">
        <v>2163</v>
      </c>
      <c r="C509" t="s">
        <v>2338</v>
      </c>
      <c r="D509" t="s">
        <v>2339</v>
      </c>
      <c r="E509" t="s">
        <v>2329</v>
      </c>
      <c r="G509" t="s">
        <v>4103</v>
      </c>
      <c r="H509" t="s">
        <v>2647</v>
      </c>
      <c r="I509" t="s">
        <v>3971</v>
      </c>
    </row>
    <row r="510" spans="1:9">
      <c r="A510" s="145" t="s">
        <v>4102</v>
      </c>
      <c r="B510" t="s">
        <v>2163</v>
      </c>
      <c r="C510" t="s">
        <v>2340</v>
      </c>
      <c r="E510" t="s">
        <v>2329</v>
      </c>
      <c r="G510" t="s">
        <v>4103</v>
      </c>
      <c r="H510" t="s">
        <v>2647</v>
      </c>
      <c r="I510" t="s">
        <v>3971</v>
      </c>
    </row>
    <row r="511" spans="1:9">
      <c r="A511" s="145" t="s">
        <v>4102</v>
      </c>
      <c r="B511" t="s">
        <v>2163</v>
      </c>
      <c r="C511" t="s">
        <v>2341</v>
      </c>
      <c r="E511" t="s">
        <v>2329</v>
      </c>
      <c r="G511" t="s">
        <v>4103</v>
      </c>
      <c r="H511" t="s">
        <v>2647</v>
      </c>
      <c r="I511" t="s">
        <v>3971</v>
      </c>
    </row>
    <row r="512" spans="1:9">
      <c r="A512" s="145" t="s">
        <v>4102</v>
      </c>
      <c r="B512" t="s">
        <v>2163</v>
      </c>
      <c r="C512" t="s">
        <v>2342</v>
      </c>
      <c r="E512" t="s">
        <v>2329</v>
      </c>
      <c r="G512" t="s">
        <v>4103</v>
      </c>
      <c r="H512" t="s">
        <v>2647</v>
      </c>
      <c r="I512" t="s">
        <v>3971</v>
      </c>
    </row>
    <row r="513" spans="1:9">
      <c r="A513" s="145" t="s">
        <v>4102</v>
      </c>
      <c r="B513" t="s">
        <v>2164</v>
      </c>
      <c r="C513" t="s">
        <v>2480</v>
      </c>
      <c r="D513" t="s">
        <v>2481</v>
      </c>
      <c r="E513" t="s">
        <v>120</v>
      </c>
      <c r="G513" t="s">
        <v>4094</v>
      </c>
      <c r="H513" t="s">
        <v>120</v>
      </c>
      <c r="I513" t="s">
        <v>3973</v>
      </c>
    </row>
    <row r="514" spans="1:9">
      <c r="A514" s="145" t="s">
        <v>4102</v>
      </c>
      <c r="B514" t="s">
        <v>2164</v>
      </c>
      <c r="C514" t="s">
        <v>2482</v>
      </c>
      <c r="D514" t="s">
        <v>2483</v>
      </c>
      <c r="E514" t="s">
        <v>120</v>
      </c>
      <c r="G514" t="s">
        <v>4094</v>
      </c>
      <c r="H514" t="s">
        <v>120</v>
      </c>
      <c r="I514" t="s">
        <v>3973</v>
      </c>
    </row>
    <row r="515" spans="1:9">
      <c r="A515" s="145" t="s">
        <v>4102</v>
      </c>
      <c r="B515" t="s">
        <v>2164</v>
      </c>
      <c r="C515" t="s">
        <v>2484</v>
      </c>
      <c r="D515" t="s">
        <v>2483</v>
      </c>
      <c r="E515" t="s">
        <v>2485</v>
      </c>
      <c r="F515" t="s">
        <v>2486</v>
      </c>
      <c r="G515" t="s">
        <v>4094</v>
      </c>
      <c r="H515" t="s">
        <v>120</v>
      </c>
      <c r="I515" t="s">
        <v>3973</v>
      </c>
    </row>
    <row r="516" spans="1:9">
      <c r="A516" s="145" t="s">
        <v>4102</v>
      </c>
      <c r="B516" t="s">
        <v>2164</v>
      </c>
      <c r="C516" t="s">
        <v>2487</v>
      </c>
      <c r="D516" t="s">
        <v>2488</v>
      </c>
      <c r="E516" t="s">
        <v>120</v>
      </c>
      <c r="G516" t="s">
        <v>4094</v>
      </c>
      <c r="H516" t="s">
        <v>120</v>
      </c>
      <c r="I516" t="s">
        <v>3973</v>
      </c>
    </row>
    <row r="517" spans="1:9">
      <c r="A517" s="145" t="s">
        <v>4102</v>
      </c>
      <c r="B517" t="s">
        <v>2164</v>
      </c>
      <c r="C517" t="s">
        <v>2344</v>
      </c>
      <c r="E517" t="s">
        <v>2345</v>
      </c>
      <c r="G517" t="s">
        <v>4094</v>
      </c>
      <c r="H517" t="s">
        <v>120</v>
      </c>
      <c r="I517" t="s">
        <v>3973</v>
      </c>
    </row>
    <row r="518" spans="1:9">
      <c r="A518" s="145" t="s">
        <v>4102</v>
      </c>
      <c r="B518" t="s">
        <v>2164</v>
      </c>
      <c r="C518" t="s">
        <v>2347</v>
      </c>
      <c r="E518" t="s">
        <v>2329</v>
      </c>
      <c r="G518" t="s">
        <v>4103</v>
      </c>
      <c r="H518" t="s">
        <v>2647</v>
      </c>
      <c r="I518" t="s">
        <v>3973</v>
      </c>
    </row>
    <row r="519" spans="1:9">
      <c r="A519" s="145" t="s">
        <v>4102</v>
      </c>
      <c r="B519" t="s">
        <v>2164</v>
      </c>
      <c r="C519" t="s">
        <v>2348</v>
      </c>
      <c r="E519" t="s">
        <v>2329</v>
      </c>
      <c r="G519" t="s">
        <v>4103</v>
      </c>
      <c r="H519" t="s">
        <v>2647</v>
      </c>
      <c r="I519" t="s">
        <v>3973</v>
      </c>
    </row>
    <row r="520" spans="1:9">
      <c r="A520" s="145" t="s">
        <v>4102</v>
      </c>
      <c r="B520" t="s">
        <v>2164</v>
      </c>
      <c r="C520" t="s">
        <v>2489</v>
      </c>
      <c r="D520" t="s">
        <v>2483</v>
      </c>
      <c r="E520" t="s">
        <v>2490</v>
      </c>
      <c r="G520" t="s">
        <v>4094</v>
      </c>
      <c r="H520" t="s">
        <v>2490</v>
      </c>
      <c r="I520" t="s">
        <v>3973</v>
      </c>
    </row>
    <row r="521" spans="1:9">
      <c r="A521" s="145" t="s">
        <v>4102</v>
      </c>
      <c r="B521" t="s">
        <v>2164</v>
      </c>
      <c r="C521" t="s">
        <v>2491</v>
      </c>
      <c r="D521" t="s">
        <v>2488</v>
      </c>
      <c r="E521" t="s">
        <v>120</v>
      </c>
      <c r="G521" t="s">
        <v>4094</v>
      </c>
      <c r="H521" t="s">
        <v>120</v>
      </c>
      <c r="I521" t="s">
        <v>3973</v>
      </c>
    </row>
    <row r="522" spans="1:9">
      <c r="A522" s="145" t="s">
        <v>4102</v>
      </c>
      <c r="B522" t="s">
        <v>2164</v>
      </c>
      <c r="C522" t="s">
        <v>2397</v>
      </c>
      <c r="E522" t="s">
        <v>621</v>
      </c>
      <c r="F522" t="s">
        <v>2398</v>
      </c>
      <c r="G522" t="s">
        <v>4094</v>
      </c>
      <c r="H522" t="s">
        <v>621</v>
      </c>
      <c r="I522" t="s">
        <v>3973</v>
      </c>
    </row>
    <row r="523" spans="1:9">
      <c r="A523" s="145" t="s">
        <v>4102</v>
      </c>
      <c r="B523" t="s">
        <v>2166</v>
      </c>
      <c r="C523" t="s">
        <v>2493</v>
      </c>
      <c r="E523" t="s">
        <v>2490</v>
      </c>
      <c r="G523" t="s">
        <v>4094</v>
      </c>
      <c r="H523" t="s">
        <v>2490</v>
      </c>
      <c r="I523" t="s">
        <v>3975</v>
      </c>
    </row>
    <row r="524" spans="1:9">
      <c r="A524" s="145" t="s">
        <v>4102</v>
      </c>
      <c r="B524" t="s">
        <v>2166</v>
      </c>
      <c r="C524" t="s">
        <v>2494</v>
      </c>
      <c r="E524" t="s">
        <v>2490</v>
      </c>
      <c r="G524" t="s">
        <v>4094</v>
      </c>
      <c r="H524" t="s">
        <v>2490</v>
      </c>
      <c r="I524" t="s">
        <v>3975</v>
      </c>
    </row>
    <row r="525" spans="1:9">
      <c r="A525" s="145" t="s">
        <v>4102</v>
      </c>
      <c r="B525" t="s">
        <v>2166</v>
      </c>
      <c r="C525" t="s">
        <v>2400</v>
      </c>
      <c r="E525" t="s">
        <v>2401</v>
      </c>
      <c r="G525" t="s">
        <v>4094</v>
      </c>
      <c r="H525" t="s">
        <v>2653</v>
      </c>
      <c r="I525" t="s">
        <v>3975</v>
      </c>
    </row>
    <row r="526" spans="1:9">
      <c r="A526" s="145" t="s">
        <v>4102</v>
      </c>
      <c r="B526" t="s">
        <v>2166</v>
      </c>
      <c r="C526" t="s">
        <v>2495</v>
      </c>
      <c r="D526" t="s">
        <v>2483</v>
      </c>
      <c r="E526" t="s">
        <v>120</v>
      </c>
      <c r="G526" t="s">
        <v>4094</v>
      </c>
      <c r="H526" t="s">
        <v>120</v>
      </c>
      <c r="I526" t="s">
        <v>3975</v>
      </c>
    </row>
    <row r="527" spans="1:9">
      <c r="A527" s="145" t="s">
        <v>4102</v>
      </c>
      <c r="B527" t="s">
        <v>2166</v>
      </c>
      <c r="C527" t="s">
        <v>2496</v>
      </c>
      <c r="D527" t="s">
        <v>2483</v>
      </c>
      <c r="E527" t="s">
        <v>120</v>
      </c>
      <c r="G527" t="s">
        <v>4094</v>
      </c>
      <c r="H527" t="s">
        <v>120</v>
      </c>
      <c r="I527" t="s">
        <v>3975</v>
      </c>
    </row>
    <row r="528" spans="1:9">
      <c r="A528" s="145" t="s">
        <v>4102</v>
      </c>
      <c r="B528" t="s">
        <v>2166</v>
      </c>
      <c r="C528" t="s">
        <v>2497</v>
      </c>
      <c r="D528" t="s">
        <v>2339</v>
      </c>
      <c r="E528" t="s">
        <v>120</v>
      </c>
      <c r="G528" t="s">
        <v>4094</v>
      </c>
      <c r="H528" t="s">
        <v>120</v>
      </c>
      <c r="I528" t="s">
        <v>3975</v>
      </c>
    </row>
    <row r="529" spans="1:9">
      <c r="A529" s="145" t="s">
        <v>4102</v>
      </c>
      <c r="B529" t="s">
        <v>2166</v>
      </c>
      <c r="C529" t="s">
        <v>2498</v>
      </c>
      <c r="D529" t="s">
        <v>2499</v>
      </c>
      <c r="E529" t="s">
        <v>2490</v>
      </c>
      <c r="G529" t="s">
        <v>4094</v>
      </c>
      <c r="H529" t="s">
        <v>2490</v>
      </c>
      <c r="I529" t="s">
        <v>3975</v>
      </c>
    </row>
    <row r="530" spans="1:9">
      <c r="A530" s="145" t="s">
        <v>4102</v>
      </c>
      <c r="B530" t="s">
        <v>2166</v>
      </c>
      <c r="C530" t="s">
        <v>2500</v>
      </c>
      <c r="D530" t="s">
        <v>2499</v>
      </c>
      <c r="E530" t="s">
        <v>2490</v>
      </c>
      <c r="G530" t="s">
        <v>4094</v>
      </c>
      <c r="H530" t="s">
        <v>2490</v>
      </c>
      <c r="I530" t="s">
        <v>3975</v>
      </c>
    </row>
    <row r="531" spans="1:9">
      <c r="A531" s="145" t="s">
        <v>4102</v>
      </c>
      <c r="B531" t="s">
        <v>2166</v>
      </c>
      <c r="C531" t="s">
        <v>2350</v>
      </c>
      <c r="E531" t="s">
        <v>2329</v>
      </c>
      <c r="G531" t="s">
        <v>4103</v>
      </c>
      <c r="H531" t="s">
        <v>2647</v>
      </c>
      <c r="I531" t="s">
        <v>3975</v>
      </c>
    </row>
    <row r="532" spans="1:9">
      <c r="A532" s="145" t="s">
        <v>4102</v>
      </c>
      <c r="B532" t="s">
        <v>2166</v>
      </c>
      <c r="C532" t="s">
        <v>2501</v>
      </c>
      <c r="D532" t="s">
        <v>2499</v>
      </c>
      <c r="E532" t="s">
        <v>120</v>
      </c>
      <c r="F532" t="s">
        <v>2502</v>
      </c>
      <c r="G532" t="s">
        <v>4094</v>
      </c>
      <c r="H532" t="s">
        <v>120</v>
      </c>
      <c r="I532" t="s">
        <v>3975</v>
      </c>
    </row>
    <row r="533" spans="1:9">
      <c r="A533" s="145" t="s">
        <v>4102</v>
      </c>
      <c r="B533" t="s">
        <v>2167</v>
      </c>
      <c r="C533" t="s">
        <v>2504</v>
      </c>
      <c r="D533" t="s">
        <v>2505</v>
      </c>
      <c r="E533" t="s">
        <v>120</v>
      </c>
      <c r="G533" t="s">
        <v>4094</v>
      </c>
      <c r="H533" t="s">
        <v>120</v>
      </c>
      <c r="I533" t="s">
        <v>3979</v>
      </c>
    </row>
    <row r="534" spans="1:9">
      <c r="A534" s="145" t="s">
        <v>4102</v>
      </c>
      <c r="B534" t="s">
        <v>2167</v>
      </c>
      <c r="C534" t="s">
        <v>2506</v>
      </c>
      <c r="D534" t="s">
        <v>2435</v>
      </c>
      <c r="E534" t="s">
        <v>120</v>
      </c>
      <c r="G534" t="s">
        <v>4094</v>
      </c>
      <c r="H534" t="s">
        <v>120</v>
      </c>
      <c r="I534" t="s">
        <v>3979</v>
      </c>
    </row>
    <row r="535" spans="1:9">
      <c r="A535" s="145" t="s">
        <v>4102</v>
      </c>
      <c r="B535" t="s">
        <v>2167</v>
      </c>
      <c r="C535" t="s">
        <v>2507</v>
      </c>
      <c r="D535" t="s">
        <v>2435</v>
      </c>
      <c r="E535" t="s">
        <v>120</v>
      </c>
      <c r="G535" t="s">
        <v>4094</v>
      </c>
      <c r="H535" t="s">
        <v>120</v>
      </c>
      <c r="I535" t="s">
        <v>3979</v>
      </c>
    </row>
    <row r="536" spans="1:9">
      <c r="A536" s="145" t="s">
        <v>4102</v>
      </c>
      <c r="B536" t="s">
        <v>2169</v>
      </c>
      <c r="C536" t="s">
        <v>2403</v>
      </c>
      <c r="D536" t="s">
        <v>2404</v>
      </c>
      <c r="E536" t="s">
        <v>621</v>
      </c>
      <c r="F536" t="s">
        <v>2405</v>
      </c>
      <c r="G536" t="s">
        <v>4094</v>
      </c>
      <c r="H536" t="s">
        <v>621</v>
      </c>
      <c r="I536" t="s">
        <v>3983</v>
      </c>
    </row>
    <row r="537" spans="1:9">
      <c r="A537" s="145" t="s">
        <v>4102</v>
      </c>
      <c r="B537" t="s">
        <v>2169</v>
      </c>
      <c r="C537" t="s">
        <v>2406</v>
      </c>
      <c r="D537" t="s">
        <v>2407</v>
      </c>
      <c r="E537" t="s">
        <v>2408</v>
      </c>
      <c r="F537" t="s">
        <v>2409</v>
      </c>
      <c r="G537" t="s">
        <v>4094</v>
      </c>
      <c r="H537" t="s">
        <v>621</v>
      </c>
      <c r="I537" t="s">
        <v>3983</v>
      </c>
    </row>
    <row r="538" spans="1:9">
      <c r="A538" s="145" t="s">
        <v>4102</v>
      </c>
      <c r="B538" t="s">
        <v>2169</v>
      </c>
      <c r="C538" t="s">
        <v>2509</v>
      </c>
      <c r="D538" t="s">
        <v>2353</v>
      </c>
      <c r="E538" t="s">
        <v>2490</v>
      </c>
      <c r="F538" t="s">
        <v>2510</v>
      </c>
      <c r="G538" t="s">
        <v>4094</v>
      </c>
      <c r="H538" t="s">
        <v>2490</v>
      </c>
      <c r="I538" t="s">
        <v>3983</v>
      </c>
    </row>
    <row r="539" spans="1:9">
      <c r="A539" s="145" t="s">
        <v>4102</v>
      </c>
      <c r="B539" t="s">
        <v>2169</v>
      </c>
      <c r="C539" t="s">
        <v>2511</v>
      </c>
      <c r="D539" t="s">
        <v>2407</v>
      </c>
      <c r="E539" t="s">
        <v>120</v>
      </c>
      <c r="F539" t="s">
        <v>2512</v>
      </c>
      <c r="G539" t="s">
        <v>4094</v>
      </c>
      <c r="H539" t="s">
        <v>120</v>
      </c>
      <c r="I539" t="s">
        <v>3983</v>
      </c>
    </row>
    <row r="540" spans="1:9">
      <c r="A540" s="145" t="s">
        <v>4102</v>
      </c>
      <c r="B540" t="s">
        <v>2169</v>
      </c>
      <c r="C540" t="s">
        <v>2513</v>
      </c>
      <c r="D540" t="s">
        <v>2404</v>
      </c>
      <c r="E540" t="s">
        <v>120</v>
      </c>
      <c r="F540" t="s">
        <v>2514</v>
      </c>
      <c r="G540" t="s">
        <v>4094</v>
      </c>
      <c r="H540" t="s">
        <v>120</v>
      </c>
      <c r="I540" t="s">
        <v>3983</v>
      </c>
    </row>
    <row r="541" spans="1:9">
      <c r="A541" s="145" t="s">
        <v>4102</v>
      </c>
      <c r="B541" t="s">
        <v>2169</v>
      </c>
      <c r="C541" t="s">
        <v>2515</v>
      </c>
      <c r="D541" t="s">
        <v>2516</v>
      </c>
      <c r="E541" t="s">
        <v>120</v>
      </c>
      <c r="F541" t="s">
        <v>2517</v>
      </c>
      <c r="G541" t="s">
        <v>4094</v>
      </c>
      <c r="H541" t="s">
        <v>120</v>
      </c>
      <c r="I541" t="s">
        <v>3983</v>
      </c>
    </row>
    <row r="542" spans="1:9">
      <c r="A542" s="145" t="s">
        <v>4102</v>
      </c>
      <c r="B542" t="s">
        <v>2169</v>
      </c>
      <c r="C542" t="s">
        <v>2358</v>
      </c>
      <c r="E542" t="s">
        <v>2329</v>
      </c>
      <c r="G542" t="s">
        <v>4103</v>
      </c>
      <c r="H542" t="s">
        <v>2647</v>
      </c>
      <c r="I542" t="s">
        <v>3983</v>
      </c>
    </row>
    <row r="543" spans="1:9">
      <c r="A543" s="145" t="s">
        <v>4102</v>
      </c>
      <c r="B543" t="s">
        <v>2173</v>
      </c>
      <c r="C543" t="s">
        <v>2411</v>
      </c>
      <c r="D543" t="s">
        <v>2412</v>
      </c>
      <c r="E543" t="s">
        <v>621</v>
      </c>
      <c r="G543" t="s">
        <v>4094</v>
      </c>
      <c r="H543" t="s">
        <v>621</v>
      </c>
      <c r="I543" t="s">
        <v>3987</v>
      </c>
    </row>
    <row r="544" spans="1:9">
      <c r="A544" s="145" t="s">
        <v>4102</v>
      </c>
      <c r="B544" t="s">
        <v>2173</v>
      </c>
      <c r="C544" t="s">
        <v>2519</v>
      </c>
      <c r="D544" t="s">
        <v>2407</v>
      </c>
      <c r="E544" t="s">
        <v>120</v>
      </c>
      <c r="F544" t="s">
        <v>2520</v>
      </c>
      <c r="G544" t="s">
        <v>4094</v>
      </c>
      <c r="H544" t="s">
        <v>120</v>
      </c>
      <c r="I544" t="s">
        <v>3987</v>
      </c>
    </row>
    <row r="545" spans="1:9">
      <c r="A545" s="145" t="s">
        <v>4102</v>
      </c>
      <c r="B545" t="s">
        <v>2173</v>
      </c>
      <c r="C545" t="s">
        <v>2521</v>
      </c>
      <c r="D545" t="s">
        <v>2407</v>
      </c>
      <c r="E545" t="s">
        <v>120</v>
      </c>
      <c r="G545" t="s">
        <v>4094</v>
      </c>
      <c r="H545" t="s">
        <v>120</v>
      </c>
      <c r="I545" t="s">
        <v>3987</v>
      </c>
    </row>
    <row r="546" spans="1:9">
      <c r="A546" s="145" t="s">
        <v>4102</v>
      </c>
      <c r="B546" t="s">
        <v>2173</v>
      </c>
      <c r="C546" t="s">
        <v>2522</v>
      </c>
      <c r="D546" t="s">
        <v>2523</v>
      </c>
      <c r="E546" t="s">
        <v>120</v>
      </c>
      <c r="F546" t="s">
        <v>2524</v>
      </c>
      <c r="G546" t="s">
        <v>4094</v>
      </c>
      <c r="H546" t="s">
        <v>120</v>
      </c>
      <c r="I546" t="s">
        <v>3987</v>
      </c>
    </row>
    <row r="547" spans="1:9">
      <c r="A547" s="145" t="s">
        <v>4102</v>
      </c>
      <c r="B547" t="s">
        <v>2173</v>
      </c>
      <c r="C547" t="s">
        <v>2525</v>
      </c>
      <c r="D547" t="s">
        <v>2412</v>
      </c>
      <c r="E547" t="s">
        <v>120</v>
      </c>
      <c r="F547" t="s">
        <v>2520</v>
      </c>
      <c r="G547" t="s">
        <v>4094</v>
      </c>
      <c r="H547" t="s">
        <v>120</v>
      </c>
      <c r="I547" t="s">
        <v>3987</v>
      </c>
    </row>
    <row r="548" spans="1:9">
      <c r="A548" s="145" t="s">
        <v>4102</v>
      </c>
      <c r="B548" t="s">
        <v>2173</v>
      </c>
      <c r="C548" t="s">
        <v>2526</v>
      </c>
      <c r="D548" t="s">
        <v>2412</v>
      </c>
      <c r="E548" t="s">
        <v>120</v>
      </c>
      <c r="F548" t="s">
        <v>2527</v>
      </c>
      <c r="G548" t="s">
        <v>4094</v>
      </c>
      <c r="H548" t="s">
        <v>120</v>
      </c>
      <c r="I548" t="s">
        <v>3987</v>
      </c>
    </row>
    <row r="549" spans="1:9">
      <c r="A549" s="145" t="s">
        <v>4102</v>
      </c>
      <c r="B549" t="s">
        <v>2173</v>
      </c>
      <c r="C549" t="s">
        <v>2528</v>
      </c>
      <c r="D549" t="s">
        <v>2529</v>
      </c>
      <c r="E549" t="s">
        <v>2490</v>
      </c>
      <c r="G549" t="s">
        <v>4094</v>
      </c>
      <c r="H549" t="s">
        <v>2490</v>
      </c>
      <c r="I549" t="s">
        <v>3987</v>
      </c>
    </row>
    <row r="550" spans="1:9">
      <c r="A550" s="145" t="s">
        <v>4102</v>
      </c>
      <c r="B550" t="s">
        <v>2173</v>
      </c>
      <c r="C550" t="s">
        <v>2413</v>
      </c>
      <c r="D550" t="s">
        <v>2407</v>
      </c>
      <c r="E550" t="s">
        <v>2414</v>
      </c>
      <c r="F550" t="s">
        <v>2416</v>
      </c>
      <c r="G550" t="s">
        <v>4094</v>
      </c>
      <c r="H550" t="s">
        <v>2657</v>
      </c>
      <c r="I550" t="s">
        <v>3987</v>
      </c>
    </row>
    <row r="551" spans="1:9">
      <c r="A551" s="145" t="s">
        <v>4102</v>
      </c>
      <c r="B551" t="s">
        <v>2173</v>
      </c>
      <c r="C551" t="s">
        <v>2532</v>
      </c>
      <c r="D551" t="s">
        <v>2529</v>
      </c>
      <c r="E551" t="s">
        <v>2533</v>
      </c>
      <c r="G551" t="s">
        <v>4094</v>
      </c>
      <c r="H551" t="s">
        <v>120</v>
      </c>
      <c r="I551" t="s">
        <v>3987</v>
      </c>
    </row>
    <row r="552" spans="1:9">
      <c r="A552" s="145" t="s">
        <v>4102</v>
      </c>
      <c r="B552" t="s">
        <v>2173</v>
      </c>
      <c r="C552" t="s">
        <v>2417</v>
      </c>
      <c r="E552" t="s">
        <v>621</v>
      </c>
      <c r="F552" t="s">
        <v>2361</v>
      </c>
      <c r="G552" t="s">
        <v>4094</v>
      </c>
      <c r="H552" t="s">
        <v>621</v>
      </c>
      <c r="I552" t="s">
        <v>3987</v>
      </c>
    </row>
    <row r="553" spans="1:9">
      <c r="A553" s="145" t="s">
        <v>4102</v>
      </c>
      <c r="B553" t="s">
        <v>2173</v>
      </c>
      <c r="C553" t="s">
        <v>2534</v>
      </c>
      <c r="D553" t="s">
        <v>2363</v>
      </c>
      <c r="E553" t="s">
        <v>120</v>
      </c>
      <c r="F553" t="s">
        <v>2535</v>
      </c>
      <c r="G553" t="s">
        <v>4094</v>
      </c>
      <c r="H553" t="s">
        <v>120</v>
      </c>
      <c r="I553" t="s">
        <v>3987</v>
      </c>
    </row>
    <row r="554" spans="1:9">
      <c r="A554" s="145" t="s">
        <v>4102</v>
      </c>
      <c r="B554" t="s">
        <v>2173</v>
      </c>
      <c r="C554" t="s">
        <v>2362</v>
      </c>
      <c r="D554" t="s">
        <v>2363</v>
      </c>
      <c r="E554" t="s">
        <v>2364</v>
      </c>
      <c r="G554" t="s">
        <v>4103</v>
      </c>
      <c r="H554" t="s">
        <v>2418</v>
      </c>
      <c r="I554" t="s">
        <v>3987</v>
      </c>
    </row>
    <row r="555" spans="1:9">
      <c r="A555" s="145" t="s">
        <v>4102</v>
      </c>
      <c r="B555" t="s">
        <v>2176</v>
      </c>
      <c r="C555" t="s">
        <v>2420</v>
      </c>
      <c r="E555" t="s">
        <v>621</v>
      </c>
      <c r="G555" t="s">
        <v>4094</v>
      </c>
      <c r="H555" t="s">
        <v>621</v>
      </c>
      <c r="I555" t="s">
        <v>3991</v>
      </c>
    </row>
    <row r="556" spans="1:9">
      <c r="A556" s="145" t="s">
        <v>4102</v>
      </c>
      <c r="B556" t="s">
        <v>2176</v>
      </c>
      <c r="C556" t="s">
        <v>2537</v>
      </c>
      <c r="D556" t="s">
        <v>2538</v>
      </c>
      <c r="E556" t="s">
        <v>120</v>
      </c>
      <c r="G556" t="s">
        <v>4094</v>
      </c>
      <c r="H556" t="s">
        <v>120</v>
      </c>
      <c r="I556" t="s">
        <v>3991</v>
      </c>
    </row>
    <row r="557" spans="1:9">
      <c r="A557" s="145" t="s">
        <v>4102</v>
      </c>
      <c r="B557" t="s">
        <v>2176</v>
      </c>
      <c r="C557" t="s">
        <v>2539</v>
      </c>
      <c r="D557" t="s">
        <v>2538</v>
      </c>
      <c r="E557" t="s">
        <v>2490</v>
      </c>
      <c r="F557" t="s">
        <v>2540</v>
      </c>
      <c r="G557" t="s">
        <v>4094</v>
      </c>
      <c r="H557" t="s">
        <v>2490</v>
      </c>
      <c r="I557" t="s">
        <v>3991</v>
      </c>
    </row>
    <row r="558" spans="1:9">
      <c r="A558" s="145" t="s">
        <v>4102</v>
      </c>
      <c r="B558" t="s">
        <v>2176</v>
      </c>
      <c r="C558" t="s">
        <v>2541</v>
      </c>
      <c r="D558" t="s">
        <v>2542</v>
      </c>
      <c r="E558" t="s">
        <v>2543</v>
      </c>
      <c r="G558" t="s">
        <v>4094</v>
      </c>
      <c r="H558" t="s">
        <v>120</v>
      </c>
      <c r="I558" t="s">
        <v>3991</v>
      </c>
    </row>
    <row r="559" spans="1:9">
      <c r="A559" s="145" t="s">
        <v>4102</v>
      </c>
      <c r="B559" t="s">
        <v>2176</v>
      </c>
      <c r="C559" t="s">
        <v>2421</v>
      </c>
      <c r="D559" t="s">
        <v>2422</v>
      </c>
      <c r="E559" t="s">
        <v>2423</v>
      </c>
      <c r="F559" t="s">
        <v>2425</v>
      </c>
      <c r="G559" t="s">
        <v>4094</v>
      </c>
      <c r="H559" t="s">
        <v>2659</v>
      </c>
      <c r="I559" t="s">
        <v>3991</v>
      </c>
    </row>
    <row r="560" spans="1:9">
      <c r="A560" s="145" t="s">
        <v>4102</v>
      </c>
      <c r="B560" t="s">
        <v>2176</v>
      </c>
      <c r="C560" t="s">
        <v>2545</v>
      </c>
      <c r="D560" t="s">
        <v>2422</v>
      </c>
      <c r="E560" t="s">
        <v>2461</v>
      </c>
      <c r="F560" t="s">
        <v>2546</v>
      </c>
      <c r="G560" t="s">
        <v>4094</v>
      </c>
      <c r="H560" t="s">
        <v>120</v>
      </c>
      <c r="I560" t="s">
        <v>3991</v>
      </c>
    </row>
    <row r="561" spans="1:9">
      <c r="A561" s="145" t="s">
        <v>4102</v>
      </c>
      <c r="B561" t="s">
        <v>2176</v>
      </c>
      <c r="C561" t="s">
        <v>2547</v>
      </c>
      <c r="D561" t="s">
        <v>2538</v>
      </c>
      <c r="E561" t="s">
        <v>2548</v>
      </c>
      <c r="G561" t="s">
        <v>4094</v>
      </c>
      <c r="H561" t="s">
        <v>120</v>
      </c>
      <c r="I561" t="s">
        <v>3991</v>
      </c>
    </row>
    <row r="562" spans="1:9">
      <c r="A562" s="145" t="s">
        <v>4102</v>
      </c>
      <c r="B562" t="s">
        <v>2176</v>
      </c>
      <c r="C562" t="s">
        <v>2549</v>
      </c>
      <c r="D562" t="s">
        <v>2538</v>
      </c>
      <c r="E562" t="s">
        <v>2550</v>
      </c>
      <c r="F562" t="s">
        <v>2551</v>
      </c>
      <c r="G562" t="s">
        <v>4094</v>
      </c>
      <c r="H562" t="s">
        <v>120</v>
      </c>
      <c r="I562" t="s">
        <v>3991</v>
      </c>
    </row>
    <row r="563" spans="1:9">
      <c r="A563" s="145" t="s">
        <v>4102</v>
      </c>
      <c r="B563" t="s">
        <v>2176</v>
      </c>
      <c r="C563" t="s">
        <v>2552</v>
      </c>
      <c r="D563" t="s">
        <v>2538</v>
      </c>
      <c r="E563" t="s">
        <v>2553</v>
      </c>
      <c r="G563" t="s">
        <v>4094</v>
      </c>
      <c r="H563" t="s">
        <v>120</v>
      </c>
      <c r="I563" t="s">
        <v>3991</v>
      </c>
    </row>
    <row r="564" spans="1:9">
      <c r="A564" s="145" t="s">
        <v>4102</v>
      </c>
      <c r="B564" t="s">
        <v>2178</v>
      </c>
      <c r="C564" t="s">
        <v>2427</v>
      </c>
      <c r="D564" t="s">
        <v>2370</v>
      </c>
      <c r="E564" t="s">
        <v>2428</v>
      </c>
      <c r="F564" t="s">
        <v>2429</v>
      </c>
      <c r="G564" t="s">
        <v>4094</v>
      </c>
      <c r="H564" t="s">
        <v>1622</v>
      </c>
      <c r="I564" t="s">
        <v>3995</v>
      </c>
    </row>
    <row r="565" spans="1:9">
      <c r="A565" s="145" t="s">
        <v>4102</v>
      </c>
      <c r="B565" t="s">
        <v>2178</v>
      </c>
      <c r="C565" t="s">
        <v>2555</v>
      </c>
      <c r="D565" t="s">
        <v>2363</v>
      </c>
      <c r="E565" t="s">
        <v>2556</v>
      </c>
      <c r="F565" t="s">
        <v>2557</v>
      </c>
      <c r="G565" t="s">
        <v>4094</v>
      </c>
      <c r="H565" t="s">
        <v>120</v>
      </c>
      <c r="I565" t="s">
        <v>3995</v>
      </c>
    </row>
    <row r="566" spans="1:9">
      <c r="A566" s="145" t="s">
        <v>4102</v>
      </c>
      <c r="B566" t="s">
        <v>2178</v>
      </c>
      <c r="C566" t="s">
        <v>2558</v>
      </c>
      <c r="D566" t="s">
        <v>2559</v>
      </c>
      <c r="E566" t="s">
        <v>2560</v>
      </c>
      <c r="F566" t="s">
        <v>2561</v>
      </c>
      <c r="G566" t="s">
        <v>4094</v>
      </c>
      <c r="H566" t="s">
        <v>120</v>
      </c>
      <c r="I566" t="s">
        <v>3995</v>
      </c>
    </row>
    <row r="567" spans="1:9">
      <c r="A567" s="145" t="s">
        <v>4102</v>
      </c>
      <c r="B567" t="s">
        <v>2178</v>
      </c>
      <c r="C567" t="s">
        <v>2562</v>
      </c>
      <c r="D567" t="s">
        <v>2370</v>
      </c>
      <c r="E567" t="s">
        <v>120</v>
      </c>
      <c r="F567" t="s">
        <v>2563</v>
      </c>
      <c r="G567" t="s">
        <v>4094</v>
      </c>
      <c r="H567" t="s">
        <v>120</v>
      </c>
      <c r="I567" t="s">
        <v>3995</v>
      </c>
    </row>
    <row r="568" spans="1:9">
      <c r="A568" s="145" t="s">
        <v>4102</v>
      </c>
      <c r="B568" t="s">
        <v>2178</v>
      </c>
      <c r="C568" t="s">
        <v>2372</v>
      </c>
      <c r="E568" t="s">
        <v>2329</v>
      </c>
      <c r="G568" t="s">
        <v>4103</v>
      </c>
      <c r="H568" t="s">
        <v>2647</v>
      </c>
      <c r="I568" t="s">
        <v>3995</v>
      </c>
    </row>
    <row r="569" spans="1:9">
      <c r="A569" s="145" t="s">
        <v>4102</v>
      </c>
      <c r="B569" t="s">
        <v>2178</v>
      </c>
      <c r="C569" t="s">
        <v>2564</v>
      </c>
      <c r="E569" t="s">
        <v>120</v>
      </c>
      <c r="G569" t="s">
        <v>4094</v>
      </c>
      <c r="H569" t="s">
        <v>120</v>
      </c>
      <c r="I569" t="s">
        <v>3995</v>
      </c>
    </row>
    <row r="570" spans="1:9">
      <c r="A570" s="145" t="s">
        <v>4102</v>
      </c>
      <c r="B570" t="s">
        <v>2178</v>
      </c>
      <c r="C570" t="s">
        <v>2565</v>
      </c>
      <c r="D570" t="s">
        <v>2370</v>
      </c>
      <c r="E570" t="s">
        <v>2566</v>
      </c>
      <c r="F570" t="s">
        <v>2567</v>
      </c>
      <c r="G570" t="s">
        <v>4094</v>
      </c>
      <c r="H570" t="s">
        <v>2566</v>
      </c>
      <c r="I570" t="s">
        <v>3995</v>
      </c>
    </row>
    <row r="571" spans="1:9">
      <c r="A571" s="145" t="s">
        <v>4102</v>
      </c>
      <c r="B571" t="s">
        <v>3874</v>
      </c>
      <c r="C571" t="s">
        <v>2374</v>
      </c>
      <c r="E571" t="s">
        <v>2329</v>
      </c>
      <c r="F571" t="s">
        <v>2375</v>
      </c>
      <c r="G571" t="s">
        <v>4103</v>
      </c>
      <c r="H571" t="s">
        <v>2647</v>
      </c>
    </row>
    <row r="572" spans="1:9">
      <c r="A572" s="145" t="s">
        <v>4102</v>
      </c>
      <c r="B572" t="s">
        <v>3874</v>
      </c>
      <c r="C572" t="s">
        <v>2569</v>
      </c>
      <c r="D572" t="s">
        <v>2570</v>
      </c>
      <c r="E572" t="s">
        <v>2571</v>
      </c>
      <c r="F572" t="s">
        <v>2437</v>
      </c>
      <c r="G572" t="s">
        <v>4094</v>
      </c>
      <c r="H572" t="s">
        <v>120</v>
      </c>
    </row>
    <row r="573" spans="1:9">
      <c r="A573" s="145" t="s">
        <v>4102</v>
      </c>
      <c r="B573" t="s">
        <v>3874</v>
      </c>
      <c r="C573" t="s">
        <v>2431</v>
      </c>
      <c r="D573" t="s">
        <v>2432</v>
      </c>
      <c r="E573" t="s">
        <v>621</v>
      </c>
      <c r="F573" t="s">
        <v>2433</v>
      </c>
      <c r="G573" t="s">
        <v>4094</v>
      </c>
      <c r="H573" t="s">
        <v>621</v>
      </c>
    </row>
    <row r="574" spans="1:9">
      <c r="A574" s="145" t="s">
        <v>4102</v>
      </c>
      <c r="B574" t="s">
        <v>3874</v>
      </c>
      <c r="C574" t="s">
        <v>2572</v>
      </c>
      <c r="D574" t="s">
        <v>2432</v>
      </c>
      <c r="E574" t="s">
        <v>120</v>
      </c>
      <c r="F574" t="s">
        <v>2573</v>
      </c>
      <c r="G574" t="s">
        <v>4094</v>
      </c>
      <c r="H574" t="s">
        <v>120</v>
      </c>
    </row>
    <row r="575" spans="1:9">
      <c r="A575" s="145" t="s">
        <v>4102</v>
      </c>
      <c r="B575" t="s">
        <v>3874</v>
      </c>
      <c r="C575" t="s">
        <v>2574</v>
      </c>
      <c r="D575" t="s">
        <v>2570</v>
      </c>
      <c r="E575" t="s">
        <v>120</v>
      </c>
      <c r="F575" t="s">
        <v>2573</v>
      </c>
      <c r="G575" t="s">
        <v>4094</v>
      </c>
      <c r="H575" t="s">
        <v>120</v>
      </c>
    </row>
    <row r="576" spans="1:9">
      <c r="A576" s="145" t="s">
        <v>4102</v>
      </c>
      <c r="B576" t="s">
        <v>3874</v>
      </c>
      <c r="C576" t="s">
        <v>2575</v>
      </c>
      <c r="D576" t="s">
        <v>2576</v>
      </c>
      <c r="E576" t="s">
        <v>2490</v>
      </c>
      <c r="F576" t="s">
        <v>2577</v>
      </c>
      <c r="G576" t="s">
        <v>4094</v>
      </c>
      <c r="H576" t="s">
        <v>2490</v>
      </c>
    </row>
    <row r="577" spans="1:9">
      <c r="A577" s="145" t="s">
        <v>4102</v>
      </c>
      <c r="B577" t="s">
        <v>3874</v>
      </c>
      <c r="C577" t="s">
        <v>2578</v>
      </c>
      <c r="D577" t="s">
        <v>2579</v>
      </c>
      <c r="E577" t="s">
        <v>2543</v>
      </c>
      <c r="F577" t="s">
        <v>2580</v>
      </c>
      <c r="G577" t="s">
        <v>4094</v>
      </c>
      <c r="H577" t="s">
        <v>120</v>
      </c>
    </row>
    <row r="578" spans="1:9">
      <c r="A578" s="145" t="s">
        <v>4102</v>
      </c>
      <c r="B578" t="s">
        <v>3874</v>
      </c>
      <c r="C578" t="s">
        <v>2434</v>
      </c>
      <c r="D578" t="s">
        <v>2435</v>
      </c>
      <c r="E578" t="s">
        <v>2436</v>
      </c>
      <c r="F578" t="s">
        <v>2437</v>
      </c>
      <c r="G578" t="s">
        <v>4094</v>
      </c>
      <c r="H578" t="s">
        <v>2436</v>
      </c>
    </row>
    <row r="579" spans="1:9">
      <c r="A579" s="145" t="s">
        <v>4104</v>
      </c>
      <c r="B579" t="s">
        <v>2154</v>
      </c>
      <c r="C579" t="s">
        <v>2381</v>
      </c>
      <c r="E579" t="s">
        <v>1396</v>
      </c>
      <c r="G579" t="s">
        <v>4094</v>
      </c>
      <c r="H579" t="s">
        <v>1396</v>
      </c>
      <c r="I579" t="s">
        <v>3955</v>
      </c>
    </row>
    <row r="580" spans="1:9">
      <c r="A580" s="145" t="s">
        <v>4104</v>
      </c>
      <c r="B580" t="s">
        <v>2154</v>
      </c>
      <c r="C580" t="s">
        <v>2382</v>
      </c>
      <c r="E580" t="s">
        <v>2383</v>
      </c>
      <c r="G580" t="s">
        <v>4094</v>
      </c>
      <c r="H580" t="s">
        <v>1396</v>
      </c>
      <c r="I580" t="s">
        <v>3955</v>
      </c>
    </row>
    <row r="581" spans="1:9">
      <c r="A581" s="145" t="s">
        <v>4104</v>
      </c>
      <c r="B581" t="s">
        <v>2173</v>
      </c>
      <c r="C581" t="s">
        <v>2413</v>
      </c>
      <c r="D581" t="s">
        <v>2407</v>
      </c>
      <c r="E581" t="s">
        <v>2414</v>
      </c>
      <c r="F581" t="s">
        <v>2416</v>
      </c>
      <c r="G581" t="s">
        <v>4094</v>
      </c>
      <c r="H581" t="s">
        <v>2665</v>
      </c>
      <c r="I581" t="s">
        <v>3987</v>
      </c>
    </row>
    <row r="582" spans="1:9">
      <c r="A582" s="145" t="s">
        <v>4104</v>
      </c>
      <c r="B582" t="s">
        <v>2176</v>
      </c>
      <c r="C582" t="s">
        <v>2421</v>
      </c>
      <c r="D582" t="s">
        <v>2422</v>
      </c>
      <c r="E582" t="s">
        <v>2423</v>
      </c>
      <c r="F582" t="s">
        <v>2425</v>
      </c>
      <c r="G582" t="s">
        <v>4094</v>
      </c>
      <c r="H582" t="s">
        <v>2667</v>
      </c>
      <c r="I582" t="s">
        <v>3991</v>
      </c>
    </row>
    <row r="583" spans="1:9">
      <c r="A583" s="145" t="s">
        <v>4104</v>
      </c>
      <c r="B583" t="s">
        <v>3874</v>
      </c>
      <c r="C583" t="s">
        <v>2434</v>
      </c>
      <c r="D583" t="s">
        <v>2435</v>
      </c>
      <c r="E583" t="s">
        <v>2436</v>
      </c>
      <c r="F583" t="s">
        <v>2437</v>
      </c>
      <c r="G583" t="s">
        <v>4094</v>
      </c>
      <c r="H583" t="s">
        <v>2669</v>
      </c>
    </row>
    <row r="584" spans="1:9">
      <c r="A584" s="145" t="s">
        <v>4105</v>
      </c>
      <c r="B584" t="s">
        <v>2154</v>
      </c>
      <c r="C584" t="s">
        <v>2315</v>
      </c>
      <c r="D584" t="s">
        <v>2316</v>
      </c>
      <c r="E584" t="s">
        <v>2317</v>
      </c>
      <c r="F584" t="s">
        <v>2320</v>
      </c>
      <c r="G584" t="s">
        <v>4106</v>
      </c>
      <c r="H584" t="s">
        <v>2319</v>
      </c>
      <c r="I584" t="s">
        <v>3955</v>
      </c>
    </row>
    <row r="585" spans="1:9">
      <c r="A585" s="145" t="s">
        <v>4105</v>
      </c>
      <c r="B585" t="s">
        <v>2154</v>
      </c>
      <c r="C585" t="s">
        <v>2321</v>
      </c>
      <c r="D585" t="s">
        <v>2322</v>
      </c>
      <c r="E585" t="s">
        <v>2317</v>
      </c>
      <c r="G585" t="s">
        <v>4106</v>
      </c>
      <c r="H585" t="s">
        <v>2319</v>
      </c>
      <c r="I585" t="s">
        <v>3955</v>
      </c>
    </row>
    <row r="586" spans="1:9">
      <c r="A586" s="145" t="s">
        <v>4105</v>
      </c>
      <c r="B586" t="s">
        <v>2154</v>
      </c>
      <c r="C586" t="s">
        <v>2324</v>
      </c>
      <c r="D586" t="s">
        <v>2322</v>
      </c>
      <c r="E586" t="s">
        <v>2317</v>
      </c>
      <c r="G586" t="s">
        <v>4106</v>
      </c>
      <c r="H586" t="s">
        <v>2319</v>
      </c>
      <c r="I586" t="s">
        <v>3955</v>
      </c>
    </row>
    <row r="587" spans="1:9">
      <c r="A587" s="145" t="s">
        <v>4105</v>
      </c>
      <c r="B587" t="s">
        <v>2154</v>
      </c>
      <c r="C587" t="s">
        <v>2325</v>
      </c>
      <c r="D587" t="s">
        <v>2326</v>
      </c>
      <c r="E587" t="s">
        <v>2317</v>
      </c>
      <c r="G587" t="s">
        <v>4106</v>
      </c>
      <c r="H587" t="s">
        <v>2319</v>
      </c>
      <c r="I587" t="s">
        <v>3955</v>
      </c>
    </row>
    <row r="588" spans="1:9">
      <c r="A588" s="145" t="s">
        <v>4105</v>
      </c>
      <c r="B588" t="s">
        <v>2156</v>
      </c>
      <c r="C588" t="s">
        <v>2328</v>
      </c>
      <c r="E588" t="s">
        <v>2329</v>
      </c>
      <c r="F588" t="s">
        <v>2331</v>
      </c>
      <c r="G588" t="s">
        <v>4106</v>
      </c>
      <c r="H588" t="s">
        <v>2330</v>
      </c>
      <c r="I588" t="s">
        <v>3959</v>
      </c>
    </row>
    <row r="589" spans="1:9">
      <c r="A589" s="145" t="s">
        <v>4105</v>
      </c>
      <c r="B589" t="s">
        <v>2163</v>
      </c>
      <c r="C589" t="s">
        <v>2333</v>
      </c>
      <c r="D589" t="s">
        <v>2334</v>
      </c>
      <c r="E589" t="s">
        <v>2335</v>
      </c>
      <c r="G589" t="s">
        <v>4106</v>
      </c>
      <c r="H589" t="s">
        <v>2330</v>
      </c>
      <c r="I589" t="s">
        <v>3971</v>
      </c>
    </row>
    <row r="590" spans="1:9">
      <c r="A590" s="145" t="s">
        <v>4105</v>
      </c>
      <c r="B590" t="s">
        <v>2163</v>
      </c>
      <c r="C590" t="s">
        <v>2336</v>
      </c>
      <c r="D590" t="s">
        <v>2334</v>
      </c>
      <c r="E590" t="s">
        <v>2329</v>
      </c>
      <c r="G590" t="s">
        <v>4106</v>
      </c>
      <c r="H590" t="s">
        <v>2330</v>
      </c>
      <c r="I590" t="s">
        <v>3971</v>
      </c>
    </row>
    <row r="591" spans="1:9">
      <c r="A591" s="145" t="s">
        <v>4105</v>
      </c>
      <c r="B591" t="s">
        <v>2163</v>
      </c>
      <c r="C591" t="s">
        <v>2337</v>
      </c>
      <c r="D591" t="s">
        <v>2334</v>
      </c>
      <c r="E591" t="s">
        <v>2329</v>
      </c>
      <c r="G591" t="s">
        <v>4106</v>
      </c>
      <c r="H591" t="s">
        <v>2330</v>
      </c>
      <c r="I591" t="s">
        <v>3971</v>
      </c>
    </row>
    <row r="592" spans="1:9">
      <c r="A592" s="145" t="s">
        <v>4105</v>
      </c>
      <c r="B592" t="s">
        <v>2163</v>
      </c>
      <c r="C592" t="s">
        <v>2338</v>
      </c>
      <c r="D592" t="s">
        <v>2339</v>
      </c>
      <c r="E592" t="s">
        <v>2329</v>
      </c>
      <c r="G592" t="s">
        <v>4106</v>
      </c>
      <c r="H592" t="s">
        <v>2330</v>
      </c>
      <c r="I592" t="s">
        <v>3971</v>
      </c>
    </row>
    <row r="593" spans="1:9">
      <c r="A593" s="145" t="s">
        <v>4105</v>
      </c>
      <c r="B593" t="s">
        <v>2163</v>
      </c>
      <c r="C593" t="s">
        <v>2340</v>
      </c>
      <c r="E593" t="s">
        <v>2329</v>
      </c>
      <c r="G593" t="s">
        <v>4106</v>
      </c>
      <c r="H593" t="s">
        <v>2330</v>
      </c>
      <c r="I593" t="s">
        <v>3971</v>
      </c>
    </row>
    <row r="594" spans="1:9">
      <c r="A594" s="145" t="s">
        <v>4105</v>
      </c>
      <c r="B594" t="s">
        <v>2163</v>
      </c>
      <c r="C594" t="s">
        <v>2341</v>
      </c>
      <c r="E594" t="s">
        <v>2329</v>
      </c>
      <c r="G594" t="s">
        <v>4106</v>
      </c>
      <c r="H594" t="s">
        <v>2330</v>
      </c>
      <c r="I594" t="s">
        <v>3971</v>
      </c>
    </row>
    <row r="595" spans="1:9">
      <c r="A595" s="145" t="s">
        <v>4105</v>
      </c>
      <c r="B595" t="s">
        <v>2163</v>
      </c>
      <c r="C595" t="s">
        <v>2342</v>
      </c>
      <c r="E595" t="s">
        <v>2329</v>
      </c>
      <c r="G595" t="s">
        <v>4106</v>
      </c>
      <c r="H595" t="s">
        <v>2330</v>
      </c>
      <c r="I595" t="s">
        <v>3971</v>
      </c>
    </row>
    <row r="596" spans="1:9">
      <c r="A596" s="145" t="s">
        <v>4105</v>
      </c>
      <c r="B596" t="s">
        <v>2164</v>
      </c>
      <c r="C596" t="s">
        <v>2344</v>
      </c>
      <c r="E596" t="s">
        <v>2345</v>
      </c>
      <c r="G596" t="s">
        <v>4094</v>
      </c>
      <c r="H596" t="s">
        <v>2346</v>
      </c>
      <c r="I596" t="s">
        <v>3973</v>
      </c>
    </row>
    <row r="597" spans="1:9">
      <c r="A597" s="145" t="s">
        <v>4105</v>
      </c>
      <c r="B597" t="s">
        <v>2164</v>
      </c>
      <c r="C597" t="s">
        <v>2347</v>
      </c>
      <c r="E597" t="s">
        <v>2329</v>
      </c>
      <c r="G597" t="s">
        <v>4106</v>
      </c>
      <c r="H597" t="s">
        <v>2330</v>
      </c>
      <c r="I597" t="s">
        <v>3973</v>
      </c>
    </row>
    <row r="598" spans="1:9">
      <c r="A598" s="145" t="s">
        <v>4105</v>
      </c>
      <c r="B598" t="s">
        <v>2164</v>
      </c>
      <c r="C598" t="s">
        <v>2348</v>
      </c>
      <c r="E598" t="s">
        <v>2329</v>
      </c>
      <c r="G598" t="s">
        <v>4106</v>
      </c>
      <c r="H598" t="s">
        <v>2330</v>
      </c>
      <c r="I598" t="s">
        <v>3973</v>
      </c>
    </row>
    <row r="599" spans="1:9">
      <c r="A599" s="145" t="s">
        <v>4105</v>
      </c>
      <c r="B599" t="s">
        <v>2166</v>
      </c>
      <c r="C599" t="s">
        <v>2350</v>
      </c>
      <c r="E599" t="s">
        <v>2329</v>
      </c>
      <c r="G599" t="s">
        <v>4106</v>
      </c>
      <c r="H599" t="s">
        <v>2330</v>
      </c>
      <c r="I599" t="s">
        <v>3975</v>
      </c>
    </row>
    <row r="600" spans="1:9">
      <c r="A600" s="145" t="s">
        <v>4105</v>
      </c>
      <c r="B600" t="s">
        <v>2169</v>
      </c>
      <c r="C600" t="s">
        <v>2352</v>
      </c>
      <c r="D600" t="s">
        <v>2353</v>
      </c>
      <c r="E600" t="s">
        <v>2317</v>
      </c>
      <c r="F600" t="s">
        <v>2354</v>
      </c>
      <c r="G600" t="s">
        <v>4106</v>
      </c>
      <c r="H600" t="s">
        <v>2319</v>
      </c>
      <c r="I600" t="s">
        <v>3983</v>
      </c>
    </row>
    <row r="601" spans="1:9">
      <c r="A601" s="145" t="s">
        <v>4105</v>
      </c>
      <c r="B601" t="s">
        <v>2169</v>
      </c>
      <c r="C601" t="s">
        <v>2355</v>
      </c>
      <c r="D601" t="s">
        <v>2356</v>
      </c>
      <c r="E601" t="s">
        <v>2317</v>
      </c>
      <c r="F601" t="s">
        <v>2357</v>
      </c>
      <c r="G601" t="s">
        <v>4106</v>
      </c>
      <c r="H601" t="s">
        <v>2319</v>
      </c>
      <c r="I601" t="s">
        <v>3983</v>
      </c>
    </row>
    <row r="602" spans="1:9">
      <c r="A602" s="145" t="s">
        <v>4105</v>
      </c>
      <c r="B602" t="s">
        <v>2169</v>
      </c>
      <c r="C602" t="s">
        <v>2358</v>
      </c>
      <c r="E602" t="s">
        <v>2329</v>
      </c>
      <c r="G602" t="s">
        <v>4106</v>
      </c>
      <c r="H602" t="s">
        <v>2330</v>
      </c>
      <c r="I602" t="s">
        <v>3983</v>
      </c>
    </row>
    <row r="603" spans="1:9">
      <c r="A603" s="145" t="s">
        <v>4105</v>
      </c>
      <c r="B603" t="s">
        <v>2173</v>
      </c>
      <c r="C603" t="s">
        <v>2360</v>
      </c>
      <c r="E603" t="s">
        <v>2317</v>
      </c>
      <c r="F603" t="s">
        <v>2361</v>
      </c>
      <c r="G603" t="s">
        <v>4106</v>
      </c>
      <c r="H603" t="s">
        <v>2319</v>
      </c>
      <c r="I603" t="s">
        <v>3987</v>
      </c>
    </row>
    <row r="604" spans="1:9">
      <c r="A604" s="145" t="s">
        <v>4105</v>
      </c>
      <c r="B604" t="s">
        <v>2173</v>
      </c>
      <c r="C604" t="s">
        <v>2362</v>
      </c>
      <c r="D604" t="s">
        <v>2363</v>
      </c>
      <c r="E604" t="s">
        <v>2364</v>
      </c>
      <c r="G604" t="s">
        <v>4106</v>
      </c>
      <c r="H604" t="s">
        <v>2365</v>
      </c>
      <c r="I604" t="s">
        <v>3987</v>
      </c>
    </row>
    <row r="605" spans="1:9">
      <c r="A605" s="145" t="s">
        <v>4105</v>
      </c>
      <c r="B605" t="s">
        <v>2178</v>
      </c>
      <c r="C605" t="s">
        <v>2367</v>
      </c>
      <c r="E605" t="s">
        <v>2317</v>
      </c>
      <c r="F605" t="s">
        <v>2368</v>
      </c>
      <c r="G605" t="s">
        <v>4106</v>
      </c>
      <c r="H605" t="s">
        <v>2319</v>
      </c>
      <c r="I605" t="s">
        <v>3995</v>
      </c>
    </row>
    <row r="606" spans="1:9">
      <c r="A606" s="145" t="s">
        <v>4105</v>
      </c>
      <c r="B606" t="s">
        <v>2178</v>
      </c>
      <c r="C606" t="s">
        <v>2369</v>
      </c>
      <c r="D606" t="s">
        <v>2370</v>
      </c>
      <c r="E606" t="s">
        <v>2317</v>
      </c>
      <c r="F606" t="s">
        <v>2371</v>
      </c>
      <c r="G606" t="s">
        <v>4106</v>
      </c>
      <c r="H606" t="s">
        <v>2319</v>
      </c>
      <c r="I606" t="s">
        <v>3995</v>
      </c>
    </row>
    <row r="607" spans="1:9">
      <c r="A607" s="145" t="s">
        <v>4105</v>
      </c>
      <c r="B607" t="s">
        <v>2178</v>
      </c>
      <c r="C607" t="s">
        <v>2372</v>
      </c>
      <c r="E607" t="s">
        <v>2329</v>
      </c>
      <c r="G607" t="s">
        <v>4106</v>
      </c>
      <c r="H607" t="s">
        <v>2330</v>
      </c>
      <c r="I607" t="s">
        <v>3995</v>
      </c>
    </row>
    <row r="608" spans="1:9">
      <c r="A608" s="145" t="s">
        <v>4105</v>
      </c>
      <c r="B608" t="s">
        <v>3874</v>
      </c>
      <c r="C608" t="s">
        <v>2374</v>
      </c>
      <c r="E608" t="s">
        <v>2329</v>
      </c>
      <c r="F608" t="s">
        <v>2375</v>
      </c>
      <c r="G608" t="s">
        <v>4106</v>
      </c>
      <c r="H608" t="s">
        <v>2330</v>
      </c>
    </row>
    <row r="609" spans="1:9">
      <c r="A609" s="145" t="s">
        <v>4107</v>
      </c>
      <c r="B609" t="s">
        <v>2154</v>
      </c>
      <c r="C609" t="s">
        <v>2377</v>
      </c>
      <c r="D609" t="s">
        <v>2378</v>
      </c>
      <c r="E609" t="s">
        <v>1622</v>
      </c>
      <c r="F609" t="s">
        <v>2380</v>
      </c>
      <c r="G609" t="s">
        <v>4094</v>
      </c>
      <c r="H609" t="s">
        <v>621</v>
      </c>
      <c r="I609" t="s">
        <v>3955</v>
      </c>
    </row>
    <row r="610" spans="1:9">
      <c r="A610" s="145" t="s">
        <v>4107</v>
      </c>
      <c r="B610" t="s">
        <v>2156</v>
      </c>
      <c r="C610" t="s">
        <v>2328</v>
      </c>
      <c r="E610" t="s">
        <v>2329</v>
      </c>
      <c r="F610" t="s">
        <v>2331</v>
      </c>
      <c r="G610" t="s">
        <v>4108</v>
      </c>
      <c r="H610" t="s">
        <v>2385</v>
      </c>
      <c r="I610" t="s">
        <v>3959</v>
      </c>
    </row>
    <row r="611" spans="1:9">
      <c r="A611" s="145" t="s">
        <v>4107</v>
      </c>
      <c r="B611" t="s">
        <v>2161</v>
      </c>
      <c r="C611" t="s">
        <v>2387</v>
      </c>
      <c r="E611" t="s">
        <v>621</v>
      </c>
      <c r="F611" t="s">
        <v>2388</v>
      </c>
      <c r="G611" t="s">
        <v>4094</v>
      </c>
      <c r="H611" t="s">
        <v>621</v>
      </c>
      <c r="I611" t="s">
        <v>3967</v>
      </c>
    </row>
    <row r="612" spans="1:9">
      <c r="A612" s="145" t="s">
        <v>4107</v>
      </c>
      <c r="B612" t="s">
        <v>2161</v>
      </c>
      <c r="C612" t="s">
        <v>2389</v>
      </c>
      <c r="D612" t="s">
        <v>2390</v>
      </c>
      <c r="E612" t="s">
        <v>621</v>
      </c>
      <c r="F612" t="s">
        <v>2391</v>
      </c>
      <c r="G612" t="s">
        <v>4094</v>
      </c>
      <c r="H612" t="s">
        <v>621</v>
      </c>
      <c r="I612" t="s">
        <v>3967</v>
      </c>
    </row>
    <row r="613" spans="1:9">
      <c r="A613" s="145" t="s">
        <v>4107</v>
      </c>
      <c r="B613" t="s">
        <v>2161</v>
      </c>
      <c r="C613" t="s">
        <v>2392</v>
      </c>
      <c r="D613" t="s">
        <v>2390</v>
      </c>
      <c r="E613" t="s">
        <v>2393</v>
      </c>
      <c r="F613" t="s">
        <v>2394</v>
      </c>
      <c r="G613" t="s">
        <v>4094</v>
      </c>
      <c r="H613" t="s">
        <v>621</v>
      </c>
      <c r="I613" t="s">
        <v>3967</v>
      </c>
    </row>
    <row r="614" spans="1:9">
      <c r="A614" s="145" t="s">
        <v>4107</v>
      </c>
      <c r="B614" t="s">
        <v>2163</v>
      </c>
      <c r="C614" t="s">
        <v>2333</v>
      </c>
      <c r="D614" t="s">
        <v>2334</v>
      </c>
      <c r="E614" t="s">
        <v>2335</v>
      </c>
      <c r="G614" t="s">
        <v>4108</v>
      </c>
      <c r="H614" t="s">
        <v>2385</v>
      </c>
      <c r="I614" t="s">
        <v>3971</v>
      </c>
    </row>
    <row r="615" spans="1:9">
      <c r="A615" s="145" t="s">
        <v>4107</v>
      </c>
      <c r="B615" t="s">
        <v>2163</v>
      </c>
      <c r="C615" t="s">
        <v>2336</v>
      </c>
      <c r="D615" t="s">
        <v>2334</v>
      </c>
      <c r="E615" t="s">
        <v>2329</v>
      </c>
      <c r="G615" t="s">
        <v>4108</v>
      </c>
      <c r="H615" t="s">
        <v>2385</v>
      </c>
      <c r="I615" t="s">
        <v>3971</v>
      </c>
    </row>
    <row r="616" spans="1:9">
      <c r="A616" s="145" t="s">
        <v>4107</v>
      </c>
      <c r="B616" t="s">
        <v>2163</v>
      </c>
      <c r="C616" t="s">
        <v>2337</v>
      </c>
      <c r="D616" t="s">
        <v>2334</v>
      </c>
      <c r="E616" t="s">
        <v>2329</v>
      </c>
      <c r="G616" t="s">
        <v>4108</v>
      </c>
      <c r="H616" t="s">
        <v>2385</v>
      </c>
      <c r="I616" t="s">
        <v>3971</v>
      </c>
    </row>
    <row r="617" spans="1:9">
      <c r="A617" s="145" t="s">
        <v>4107</v>
      </c>
      <c r="B617" t="s">
        <v>2163</v>
      </c>
      <c r="C617" t="s">
        <v>2338</v>
      </c>
      <c r="D617" t="s">
        <v>2339</v>
      </c>
      <c r="E617" t="s">
        <v>2329</v>
      </c>
      <c r="G617" t="s">
        <v>4108</v>
      </c>
      <c r="H617" t="s">
        <v>2385</v>
      </c>
      <c r="I617" t="s">
        <v>3971</v>
      </c>
    </row>
    <row r="618" spans="1:9">
      <c r="A618" s="145" t="s">
        <v>4107</v>
      </c>
      <c r="B618" t="s">
        <v>2163</v>
      </c>
      <c r="C618" t="s">
        <v>2340</v>
      </c>
      <c r="E618" t="s">
        <v>2329</v>
      </c>
      <c r="G618" t="s">
        <v>4108</v>
      </c>
      <c r="H618" t="s">
        <v>2385</v>
      </c>
      <c r="I618" t="s">
        <v>3971</v>
      </c>
    </row>
    <row r="619" spans="1:9">
      <c r="A619" s="145" t="s">
        <v>4107</v>
      </c>
      <c r="B619" t="s">
        <v>2163</v>
      </c>
      <c r="C619" t="s">
        <v>2341</v>
      </c>
      <c r="E619" t="s">
        <v>2329</v>
      </c>
      <c r="G619" t="s">
        <v>4108</v>
      </c>
      <c r="H619" t="s">
        <v>2385</v>
      </c>
      <c r="I619" t="s">
        <v>3971</v>
      </c>
    </row>
    <row r="620" spans="1:9">
      <c r="A620" s="145" t="s">
        <v>4107</v>
      </c>
      <c r="B620" t="s">
        <v>2163</v>
      </c>
      <c r="C620" t="s">
        <v>2342</v>
      </c>
      <c r="E620" t="s">
        <v>2329</v>
      </c>
      <c r="G620" t="s">
        <v>4108</v>
      </c>
      <c r="H620" t="s">
        <v>2385</v>
      </c>
      <c r="I620" t="s">
        <v>3971</v>
      </c>
    </row>
    <row r="621" spans="1:9">
      <c r="A621" s="145" t="s">
        <v>4107</v>
      </c>
      <c r="B621" t="s">
        <v>2164</v>
      </c>
      <c r="C621" t="s">
        <v>2347</v>
      </c>
      <c r="E621" t="s">
        <v>2329</v>
      </c>
      <c r="G621" t="s">
        <v>4108</v>
      </c>
      <c r="H621" t="s">
        <v>2385</v>
      </c>
      <c r="I621" t="s">
        <v>3973</v>
      </c>
    </row>
    <row r="622" spans="1:9">
      <c r="A622" s="145" t="s">
        <v>4107</v>
      </c>
      <c r="B622" t="s">
        <v>2164</v>
      </c>
      <c r="C622" t="s">
        <v>2348</v>
      </c>
      <c r="E622" t="s">
        <v>2329</v>
      </c>
      <c r="G622" t="s">
        <v>4108</v>
      </c>
      <c r="H622" t="s">
        <v>2385</v>
      </c>
      <c r="I622" t="s">
        <v>3973</v>
      </c>
    </row>
    <row r="623" spans="1:9">
      <c r="A623" s="145" t="s">
        <v>4107</v>
      </c>
      <c r="B623" t="s">
        <v>2164</v>
      </c>
      <c r="C623" t="s">
        <v>2397</v>
      </c>
      <c r="E623" t="s">
        <v>621</v>
      </c>
      <c r="F623" t="s">
        <v>2398</v>
      </c>
      <c r="G623" t="s">
        <v>4094</v>
      </c>
      <c r="H623" t="s">
        <v>621</v>
      </c>
      <c r="I623" t="s">
        <v>3973</v>
      </c>
    </row>
    <row r="624" spans="1:9">
      <c r="A624" s="145" t="s">
        <v>4107</v>
      </c>
      <c r="B624" t="s">
        <v>2166</v>
      </c>
      <c r="C624" t="s">
        <v>2400</v>
      </c>
      <c r="E624" t="s">
        <v>2401</v>
      </c>
      <c r="G624" t="s">
        <v>4094</v>
      </c>
      <c r="H624" t="s">
        <v>621</v>
      </c>
      <c r="I624" t="s">
        <v>3975</v>
      </c>
    </row>
    <row r="625" spans="1:9">
      <c r="A625" s="145" t="s">
        <v>4107</v>
      </c>
      <c r="B625" t="s">
        <v>2166</v>
      </c>
      <c r="C625" t="s">
        <v>2350</v>
      </c>
      <c r="E625" t="s">
        <v>2329</v>
      </c>
      <c r="G625" t="s">
        <v>4108</v>
      </c>
      <c r="H625" t="s">
        <v>2385</v>
      </c>
      <c r="I625" t="s">
        <v>3975</v>
      </c>
    </row>
    <row r="626" spans="1:9">
      <c r="A626" s="145" t="s">
        <v>4107</v>
      </c>
      <c r="B626" t="s">
        <v>2169</v>
      </c>
      <c r="C626" t="s">
        <v>2403</v>
      </c>
      <c r="D626" t="s">
        <v>2404</v>
      </c>
      <c r="E626" t="s">
        <v>621</v>
      </c>
      <c r="F626" t="s">
        <v>2405</v>
      </c>
      <c r="G626" t="s">
        <v>4094</v>
      </c>
      <c r="H626" t="s">
        <v>621</v>
      </c>
      <c r="I626" t="s">
        <v>3983</v>
      </c>
    </row>
    <row r="627" spans="1:9">
      <c r="A627" s="145" t="s">
        <v>4107</v>
      </c>
      <c r="B627" t="s">
        <v>2169</v>
      </c>
      <c r="C627" t="s">
        <v>2406</v>
      </c>
      <c r="D627" t="s">
        <v>2407</v>
      </c>
      <c r="E627" t="s">
        <v>2408</v>
      </c>
      <c r="F627" t="s">
        <v>2409</v>
      </c>
      <c r="G627" t="s">
        <v>4094</v>
      </c>
      <c r="H627" t="s">
        <v>621</v>
      </c>
      <c r="I627" t="s">
        <v>3983</v>
      </c>
    </row>
    <row r="628" spans="1:9">
      <c r="A628" s="145" t="s">
        <v>4107</v>
      </c>
      <c r="B628" t="s">
        <v>2169</v>
      </c>
      <c r="C628" t="s">
        <v>2358</v>
      </c>
      <c r="E628" t="s">
        <v>2329</v>
      </c>
      <c r="G628" t="s">
        <v>4108</v>
      </c>
      <c r="H628" t="s">
        <v>2385</v>
      </c>
      <c r="I628" t="s">
        <v>3983</v>
      </c>
    </row>
    <row r="629" spans="1:9">
      <c r="A629" s="145" t="s">
        <v>4107</v>
      </c>
      <c r="B629" t="s">
        <v>2173</v>
      </c>
      <c r="C629" t="s">
        <v>2411</v>
      </c>
      <c r="D629" t="s">
        <v>2412</v>
      </c>
      <c r="E629" t="s">
        <v>621</v>
      </c>
      <c r="G629" t="s">
        <v>4094</v>
      </c>
      <c r="H629" t="s">
        <v>621</v>
      </c>
      <c r="I629" t="s">
        <v>3987</v>
      </c>
    </row>
    <row r="630" spans="1:9">
      <c r="A630" s="145" t="s">
        <v>4107</v>
      </c>
      <c r="B630" t="s">
        <v>2173</v>
      </c>
      <c r="C630" t="s">
        <v>2417</v>
      </c>
      <c r="E630" t="s">
        <v>621</v>
      </c>
      <c r="F630" t="s">
        <v>2361</v>
      </c>
      <c r="G630" t="s">
        <v>4094</v>
      </c>
      <c r="H630" t="s">
        <v>621</v>
      </c>
      <c r="I630" t="s">
        <v>3987</v>
      </c>
    </row>
    <row r="631" spans="1:9">
      <c r="A631" s="145" t="s">
        <v>4107</v>
      </c>
      <c r="B631" t="s">
        <v>2173</v>
      </c>
      <c r="C631" t="s">
        <v>2362</v>
      </c>
      <c r="D631" t="s">
        <v>2363</v>
      </c>
      <c r="E631" t="s">
        <v>2364</v>
      </c>
      <c r="G631" t="s">
        <v>4108</v>
      </c>
      <c r="H631" t="s">
        <v>2418</v>
      </c>
      <c r="I631" t="s">
        <v>3987</v>
      </c>
    </row>
    <row r="632" spans="1:9">
      <c r="A632" s="145" t="s">
        <v>4107</v>
      </c>
      <c r="B632" t="s">
        <v>2176</v>
      </c>
      <c r="C632" t="s">
        <v>2420</v>
      </c>
      <c r="E632" t="s">
        <v>621</v>
      </c>
      <c r="G632" t="s">
        <v>4094</v>
      </c>
      <c r="H632" t="s">
        <v>621</v>
      </c>
      <c r="I632" t="s">
        <v>3991</v>
      </c>
    </row>
    <row r="633" spans="1:9">
      <c r="A633" s="145" t="s">
        <v>4107</v>
      </c>
      <c r="B633" t="s">
        <v>2178</v>
      </c>
      <c r="C633" t="s">
        <v>2427</v>
      </c>
      <c r="D633" t="s">
        <v>2370</v>
      </c>
      <c r="E633" t="s">
        <v>2428</v>
      </c>
      <c r="F633" t="s">
        <v>2429</v>
      </c>
      <c r="G633" t="s">
        <v>4094</v>
      </c>
      <c r="H633" t="s">
        <v>621</v>
      </c>
      <c r="I633" t="s">
        <v>3995</v>
      </c>
    </row>
    <row r="634" spans="1:9">
      <c r="A634" s="145" t="s">
        <v>4107</v>
      </c>
      <c r="B634" t="s">
        <v>2178</v>
      </c>
      <c r="C634" t="s">
        <v>2372</v>
      </c>
      <c r="E634" t="s">
        <v>2329</v>
      </c>
      <c r="G634" t="s">
        <v>4108</v>
      </c>
      <c r="H634" t="s">
        <v>2385</v>
      </c>
      <c r="I634" t="s">
        <v>3995</v>
      </c>
    </row>
    <row r="635" spans="1:9">
      <c r="A635" s="145" t="s">
        <v>4107</v>
      </c>
      <c r="B635" t="s">
        <v>3874</v>
      </c>
      <c r="C635" t="s">
        <v>2374</v>
      </c>
      <c r="E635" t="s">
        <v>2329</v>
      </c>
      <c r="F635" t="s">
        <v>2375</v>
      </c>
      <c r="G635" t="s">
        <v>4108</v>
      </c>
      <c r="H635" t="s">
        <v>2385</v>
      </c>
    </row>
    <row r="636" spans="1:9">
      <c r="A636" s="145" t="s">
        <v>4107</v>
      </c>
      <c r="B636" t="s">
        <v>3874</v>
      </c>
      <c r="C636" t="s">
        <v>2431</v>
      </c>
      <c r="D636" t="s">
        <v>2432</v>
      </c>
      <c r="E636" t="s">
        <v>621</v>
      </c>
      <c r="F636" t="s">
        <v>2433</v>
      </c>
      <c r="G636" t="s">
        <v>4094</v>
      </c>
      <c r="H636" t="s">
        <v>621</v>
      </c>
    </row>
    <row r="637" spans="1:9">
      <c r="A637" s="145" t="s">
        <v>4107</v>
      </c>
      <c r="B637" t="s">
        <v>3874</v>
      </c>
      <c r="C637" t="s">
        <v>2434</v>
      </c>
      <c r="D637" t="s">
        <v>2435</v>
      </c>
      <c r="E637" t="s">
        <v>2436</v>
      </c>
      <c r="F637" t="s">
        <v>2437</v>
      </c>
      <c r="G637" t="s">
        <v>4094</v>
      </c>
      <c r="H637" t="s">
        <v>2692</v>
      </c>
    </row>
    <row r="638" spans="1:9">
      <c r="A638" s="145" t="s">
        <v>4109</v>
      </c>
      <c r="B638" t="s">
        <v>2154</v>
      </c>
      <c r="C638" t="s">
        <v>2315</v>
      </c>
      <c r="D638" t="s">
        <v>2316</v>
      </c>
      <c r="E638" t="s">
        <v>2317</v>
      </c>
      <c r="F638" t="s">
        <v>2320</v>
      </c>
      <c r="G638" t="s">
        <v>4110</v>
      </c>
      <c r="H638" t="s">
        <v>2319</v>
      </c>
      <c r="I638" t="s">
        <v>3955</v>
      </c>
    </row>
    <row r="639" spans="1:9">
      <c r="A639" s="145" t="s">
        <v>4109</v>
      </c>
      <c r="B639" t="s">
        <v>2154</v>
      </c>
      <c r="C639" t="s">
        <v>2377</v>
      </c>
      <c r="D639" t="s">
        <v>2378</v>
      </c>
      <c r="E639" t="s">
        <v>1622</v>
      </c>
      <c r="F639" t="s">
        <v>2380</v>
      </c>
      <c r="G639" t="s">
        <v>4094</v>
      </c>
      <c r="H639" t="s">
        <v>120</v>
      </c>
      <c r="I639" t="s">
        <v>3955</v>
      </c>
    </row>
    <row r="640" spans="1:9">
      <c r="A640" s="145" t="s">
        <v>4109</v>
      </c>
      <c r="B640" t="s">
        <v>2154</v>
      </c>
      <c r="C640" t="s">
        <v>2381</v>
      </c>
      <c r="E640" t="s">
        <v>1396</v>
      </c>
      <c r="G640" t="s">
        <v>4094</v>
      </c>
      <c r="H640" t="s">
        <v>1396</v>
      </c>
      <c r="I640" t="s">
        <v>3955</v>
      </c>
    </row>
    <row r="641" spans="1:9">
      <c r="A641" s="145" t="s">
        <v>4109</v>
      </c>
      <c r="B641" t="s">
        <v>2154</v>
      </c>
      <c r="C641" t="s">
        <v>2382</v>
      </c>
      <c r="E641" t="s">
        <v>2383</v>
      </c>
      <c r="G641" t="s">
        <v>4094</v>
      </c>
      <c r="H641" t="s">
        <v>2645</v>
      </c>
      <c r="I641" t="s">
        <v>3955</v>
      </c>
    </row>
    <row r="642" spans="1:9">
      <c r="A642" s="145" t="s">
        <v>4109</v>
      </c>
      <c r="B642" t="s">
        <v>2154</v>
      </c>
      <c r="C642" t="s">
        <v>2441</v>
      </c>
      <c r="D642" t="s">
        <v>2316</v>
      </c>
      <c r="E642" t="s">
        <v>120</v>
      </c>
      <c r="G642" t="s">
        <v>4094</v>
      </c>
      <c r="H642" t="s">
        <v>120</v>
      </c>
      <c r="I642" t="s">
        <v>3955</v>
      </c>
    </row>
    <row r="643" spans="1:9">
      <c r="A643" s="145" t="s">
        <v>4109</v>
      </c>
      <c r="B643" t="s">
        <v>2154</v>
      </c>
      <c r="C643" t="s">
        <v>2442</v>
      </c>
      <c r="D643" t="s">
        <v>2326</v>
      </c>
      <c r="E643" t="s">
        <v>120</v>
      </c>
      <c r="F643" t="s">
        <v>2443</v>
      </c>
      <c r="G643" t="s">
        <v>4094</v>
      </c>
      <c r="H643" t="s">
        <v>120</v>
      </c>
      <c r="I643" t="s">
        <v>3955</v>
      </c>
    </row>
    <row r="644" spans="1:9">
      <c r="A644" s="145" t="s">
        <v>4109</v>
      </c>
      <c r="B644" t="s">
        <v>2154</v>
      </c>
      <c r="C644" t="s">
        <v>2444</v>
      </c>
      <c r="E644" t="s">
        <v>120</v>
      </c>
      <c r="G644" t="s">
        <v>4094</v>
      </c>
      <c r="H644" t="s">
        <v>120</v>
      </c>
      <c r="I644" t="s">
        <v>3955</v>
      </c>
    </row>
    <row r="645" spans="1:9">
      <c r="A645" s="145" t="s">
        <v>4109</v>
      </c>
      <c r="B645" t="s">
        <v>2154</v>
      </c>
      <c r="C645" t="s">
        <v>2321</v>
      </c>
      <c r="D645" t="s">
        <v>2322</v>
      </c>
      <c r="E645" t="s">
        <v>2317</v>
      </c>
      <c r="G645" t="s">
        <v>4110</v>
      </c>
      <c r="H645" t="s">
        <v>2319</v>
      </c>
      <c r="I645" t="s">
        <v>3955</v>
      </c>
    </row>
    <row r="646" spans="1:9">
      <c r="A646" s="145" t="s">
        <v>4109</v>
      </c>
      <c r="B646" t="s">
        <v>2154</v>
      </c>
      <c r="C646" t="s">
        <v>2324</v>
      </c>
      <c r="D646" t="s">
        <v>2322</v>
      </c>
      <c r="E646" t="s">
        <v>2317</v>
      </c>
      <c r="G646" t="s">
        <v>4110</v>
      </c>
      <c r="H646" t="s">
        <v>2319</v>
      </c>
      <c r="I646" t="s">
        <v>3955</v>
      </c>
    </row>
    <row r="647" spans="1:9">
      <c r="A647" s="145" t="s">
        <v>4109</v>
      </c>
      <c r="B647" t="s">
        <v>2154</v>
      </c>
      <c r="C647" t="s">
        <v>2325</v>
      </c>
      <c r="D647" t="s">
        <v>2326</v>
      </c>
      <c r="E647" t="s">
        <v>2317</v>
      </c>
      <c r="G647" t="s">
        <v>4110</v>
      </c>
      <c r="H647" t="s">
        <v>2319</v>
      </c>
      <c r="I647" t="s">
        <v>3955</v>
      </c>
    </row>
    <row r="648" spans="1:9">
      <c r="A648" s="145" t="s">
        <v>4109</v>
      </c>
      <c r="B648" t="s">
        <v>2156</v>
      </c>
      <c r="C648" t="s">
        <v>2446</v>
      </c>
      <c r="D648" t="s">
        <v>2334</v>
      </c>
      <c r="E648" t="s">
        <v>120</v>
      </c>
      <c r="G648" t="s">
        <v>4094</v>
      </c>
      <c r="H648" t="s">
        <v>120</v>
      </c>
      <c r="I648" t="s">
        <v>3959</v>
      </c>
    </row>
    <row r="649" spans="1:9">
      <c r="A649" s="145" t="s">
        <v>4109</v>
      </c>
      <c r="B649" t="s">
        <v>2156</v>
      </c>
      <c r="C649" t="s">
        <v>2447</v>
      </c>
      <c r="D649" t="s">
        <v>2448</v>
      </c>
      <c r="E649" t="s">
        <v>120</v>
      </c>
      <c r="F649" t="s">
        <v>2449</v>
      </c>
      <c r="G649" t="s">
        <v>4094</v>
      </c>
      <c r="H649" t="s">
        <v>120</v>
      </c>
      <c r="I649" t="s">
        <v>3959</v>
      </c>
    </row>
    <row r="650" spans="1:9">
      <c r="A650" s="145" t="s">
        <v>4109</v>
      </c>
      <c r="B650" t="s">
        <v>2156</v>
      </c>
      <c r="C650" t="s">
        <v>2450</v>
      </c>
      <c r="D650" t="s">
        <v>2448</v>
      </c>
      <c r="E650" t="s">
        <v>120</v>
      </c>
      <c r="G650" t="s">
        <v>4094</v>
      </c>
      <c r="H650" t="s">
        <v>120</v>
      </c>
      <c r="I650" t="s">
        <v>3959</v>
      </c>
    </row>
    <row r="651" spans="1:9">
      <c r="A651" s="145" t="s">
        <v>4109</v>
      </c>
      <c r="B651" t="s">
        <v>2156</v>
      </c>
      <c r="C651" t="s">
        <v>2328</v>
      </c>
      <c r="E651" t="s">
        <v>2329</v>
      </c>
      <c r="F651" t="s">
        <v>2331</v>
      </c>
      <c r="G651" t="s">
        <v>4110</v>
      </c>
      <c r="H651" t="s">
        <v>2696</v>
      </c>
      <c r="I651" t="s">
        <v>3959</v>
      </c>
    </row>
    <row r="652" spans="1:9">
      <c r="A652" s="145" t="s">
        <v>4109</v>
      </c>
      <c r="B652" t="s">
        <v>2156</v>
      </c>
      <c r="C652" t="s">
        <v>2452</v>
      </c>
      <c r="D652" t="s">
        <v>2453</v>
      </c>
      <c r="E652" t="s">
        <v>120</v>
      </c>
      <c r="F652" t="s">
        <v>2454</v>
      </c>
      <c r="G652" t="s">
        <v>4094</v>
      </c>
      <c r="H652" t="s">
        <v>120</v>
      </c>
      <c r="I652" t="s">
        <v>3959</v>
      </c>
    </row>
    <row r="653" spans="1:9">
      <c r="A653" s="145" t="s">
        <v>4109</v>
      </c>
      <c r="B653" t="s">
        <v>3644</v>
      </c>
      <c r="C653" t="s">
        <v>2456</v>
      </c>
      <c r="D653" t="s">
        <v>2457</v>
      </c>
      <c r="E653" t="s">
        <v>120</v>
      </c>
      <c r="G653" t="s">
        <v>4094</v>
      </c>
      <c r="H653" t="s">
        <v>120</v>
      </c>
      <c r="I653" t="s">
        <v>3963</v>
      </c>
    </row>
    <row r="654" spans="1:9">
      <c r="A654" s="145" t="s">
        <v>4109</v>
      </c>
      <c r="B654" t="s">
        <v>3644</v>
      </c>
      <c r="C654" t="s">
        <v>2458</v>
      </c>
      <c r="D654" t="s">
        <v>2457</v>
      </c>
      <c r="E654" t="s">
        <v>2459</v>
      </c>
      <c r="G654" t="s">
        <v>4094</v>
      </c>
      <c r="H654" t="s">
        <v>2698</v>
      </c>
      <c r="I654" t="s">
        <v>3963</v>
      </c>
    </row>
    <row r="655" spans="1:9">
      <c r="A655" s="145" t="s">
        <v>4109</v>
      </c>
      <c r="B655" t="s">
        <v>3644</v>
      </c>
      <c r="C655" t="s">
        <v>2460</v>
      </c>
      <c r="D655" t="s">
        <v>2457</v>
      </c>
      <c r="E655" t="s">
        <v>2461</v>
      </c>
      <c r="F655" t="s">
        <v>2462</v>
      </c>
      <c r="G655" t="s">
        <v>4094</v>
      </c>
      <c r="H655" t="s">
        <v>120</v>
      </c>
      <c r="I655" t="s">
        <v>3963</v>
      </c>
    </row>
    <row r="656" spans="1:9">
      <c r="A656" s="145" t="s">
        <v>4109</v>
      </c>
      <c r="B656" t="s">
        <v>3644</v>
      </c>
      <c r="C656" t="s">
        <v>2463</v>
      </c>
      <c r="D656" t="s">
        <v>2457</v>
      </c>
      <c r="E656" t="s">
        <v>120</v>
      </c>
      <c r="G656" t="s">
        <v>4094</v>
      </c>
      <c r="H656" t="s">
        <v>120</v>
      </c>
      <c r="I656" t="s">
        <v>3963</v>
      </c>
    </row>
    <row r="657" spans="1:9">
      <c r="A657" s="145" t="s">
        <v>4109</v>
      </c>
      <c r="B657" t="s">
        <v>2161</v>
      </c>
      <c r="C657" t="s">
        <v>2465</v>
      </c>
      <c r="D657" t="s">
        <v>2466</v>
      </c>
      <c r="E657" t="s">
        <v>2467</v>
      </c>
      <c r="G657" t="s">
        <v>4094</v>
      </c>
      <c r="H657" t="s">
        <v>120</v>
      </c>
      <c r="I657" t="s">
        <v>3967</v>
      </c>
    </row>
    <row r="658" spans="1:9">
      <c r="A658" s="145" t="s">
        <v>4109</v>
      </c>
      <c r="B658" t="s">
        <v>2161</v>
      </c>
      <c r="C658" t="s">
        <v>2468</v>
      </c>
      <c r="D658" t="s">
        <v>2390</v>
      </c>
      <c r="E658" t="s">
        <v>120</v>
      </c>
      <c r="G658" t="s">
        <v>4094</v>
      </c>
      <c r="H658" t="s">
        <v>120</v>
      </c>
      <c r="I658" t="s">
        <v>3967</v>
      </c>
    </row>
    <row r="659" spans="1:9">
      <c r="A659" s="145" t="s">
        <v>4109</v>
      </c>
      <c r="B659" t="s">
        <v>2161</v>
      </c>
      <c r="C659" t="s">
        <v>2469</v>
      </c>
      <c r="D659" t="s">
        <v>2466</v>
      </c>
      <c r="E659" t="s">
        <v>2470</v>
      </c>
      <c r="G659" t="s">
        <v>4094</v>
      </c>
      <c r="H659" t="s">
        <v>120</v>
      </c>
      <c r="I659" t="s">
        <v>3967</v>
      </c>
    </row>
    <row r="660" spans="1:9">
      <c r="A660" s="145" t="s">
        <v>4109</v>
      </c>
      <c r="B660" t="s">
        <v>2161</v>
      </c>
      <c r="C660" t="s">
        <v>2392</v>
      </c>
      <c r="D660" t="s">
        <v>2390</v>
      </c>
      <c r="E660" t="s">
        <v>2393</v>
      </c>
      <c r="F660" t="s">
        <v>2394</v>
      </c>
      <c r="G660" t="s">
        <v>4094</v>
      </c>
      <c r="H660" t="s">
        <v>120</v>
      </c>
      <c r="I660" t="s">
        <v>3967</v>
      </c>
    </row>
    <row r="661" spans="1:9">
      <c r="A661" s="145" t="s">
        <v>4109</v>
      </c>
      <c r="B661" t="s">
        <v>2161</v>
      </c>
      <c r="C661" t="s">
        <v>2471</v>
      </c>
      <c r="D661" t="s">
        <v>2472</v>
      </c>
      <c r="E661" t="s">
        <v>120</v>
      </c>
      <c r="F661" t="s">
        <v>2473</v>
      </c>
      <c r="G661" t="s">
        <v>4094</v>
      </c>
      <c r="H661" t="s">
        <v>120</v>
      </c>
      <c r="I661" t="s">
        <v>3967</v>
      </c>
    </row>
    <row r="662" spans="1:9">
      <c r="A662" s="145" t="s">
        <v>4109</v>
      </c>
      <c r="B662" t="s">
        <v>2161</v>
      </c>
      <c r="C662" t="s">
        <v>2474</v>
      </c>
      <c r="D662" t="s">
        <v>2472</v>
      </c>
      <c r="E662" t="s">
        <v>120</v>
      </c>
      <c r="G662" t="s">
        <v>4094</v>
      </c>
      <c r="H662" t="s">
        <v>120</v>
      </c>
      <c r="I662" t="s">
        <v>3967</v>
      </c>
    </row>
    <row r="663" spans="1:9">
      <c r="A663" s="145" t="s">
        <v>4109</v>
      </c>
      <c r="B663" t="s">
        <v>2163</v>
      </c>
      <c r="C663" t="s">
        <v>2476</v>
      </c>
      <c r="D663" t="s">
        <v>2477</v>
      </c>
      <c r="E663" t="s">
        <v>120</v>
      </c>
      <c r="F663" t="s">
        <v>2478</v>
      </c>
      <c r="G663" t="s">
        <v>4094</v>
      </c>
      <c r="H663" t="s">
        <v>120</v>
      </c>
      <c r="I663" t="s">
        <v>3971</v>
      </c>
    </row>
    <row r="664" spans="1:9">
      <c r="A664" s="145" t="s">
        <v>4109</v>
      </c>
      <c r="B664" t="s">
        <v>2163</v>
      </c>
      <c r="C664" t="s">
        <v>2333</v>
      </c>
      <c r="D664" t="s">
        <v>2334</v>
      </c>
      <c r="E664" t="s">
        <v>2335</v>
      </c>
      <c r="G664" t="s">
        <v>4110</v>
      </c>
      <c r="H664" t="s">
        <v>2696</v>
      </c>
      <c r="I664" t="s">
        <v>3971</v>
      </c>
    </row>
    <row r="665" spans="1:9">
      <c r="A665" s="145" t="s">
        <v>4109</v>
      </c>
      <c r="B665" t="s">
        <v>2163</v>
      </c>
      <c r="C665" t="s">
        <v>2336</v>
      </c>
      <c r="D665" t="s">
        <v>2334</v>
      </c>
      <c r="E665" t="s">
        <v>2329</v>
      </c>
      <c r="G665" t="s">
        <v>4110</v>
      </c>
      <c r="H665" t="s">
        <v>2696</v>
      </c>
      <c r="I665" t="s">
        <v>3971</v>
      </c>
    </row>
    <row r="666" spans="1:9">
      <c r="A666" s="145" t="s">
        <v>4109</v>
      </c>
      <c r="B666" t="s">
        <v>2163</v>
      </c>
      <c r="C666" t="s">
        <v>2337</v>
      </c>
      <c r="D666" t="s">
        <v>2334</v>
      </c>
      <c r="E666" t="s">
        <v>2329</v>
      </c>
      <c r="G666" t="s">
        <v>4110</v>
      </c>
      <c r="H666" t="s">
        <v>2696</v>
      </c>
      <c r="I666" t="s">
        <v>3971</v>
      </c>
    </row>
    <row r="667" spans="1:9">
      <c r="A667" s="145" t="s">
        <v>4109</v>
      </c>
      <c r="B667" t="s">
        <v>2163</v>
      </c>
      <c r="C667" t="s">
        <v>2338</v>
      </c>
      <c r="D667" t="s">
        <v>2339</v>
      </c>
      <c r="E667" t="s">
        <v>2329</v>
      </c>
      <c r="G667" t="s">
        <v>4110</v>
      </c>
      <c r="H667" t="s">
        <v>2696</v>
      </c>
      <c r="I667" t="s">
        <v>3971</v>
      </c>
    </row>
    <row r="668" spans="1:9">
      <c r="A668" s="145" t="s">
        <v>4109</v>
      </c>
      <c r="B668" t="s">
        <v>2163</v>
      </c>
      <c r="C668" t="s">
        <v>2340</v>
      </c>
      <c r="E668" t="s">
        <v>2329</v>
      </c>
      <c r="G668" t="s">
        <v>4110</v>
      </c>
      <c r="H668" t="s">
        <v>2696</v>
      </c>
      <c r="I668" t="s">
        <v>3971</v>
      </c>
    </row>
    <row r="669" spans="1:9">
      <c r="A669" s="145" t="s">
        <v>4109</v>
      </c>
      <c r="B669" t="s">
        <v>2163</v>
      </c>
      <c r="C669" t="s">
        <v>2341</v>
      </c>
      <c r="E669" t="s">
        <v>2329</v>
      </c>
      <c r="G669" t="s">
        <v>4110</v>
      </c>
      <c r="H669" t="s">
        <v>2696</v>
      </c>
      <c r="I669" t="s">
        <v>3971</v>
      </c>
    </row>
    <row r="670" spans="1:9">
      <c r="A670" s="145" t="s">
        <v>4109</v>
      </c>
      <c r="B670" t="s">
        <v>2163</v>
      </c>
      <c r="C670" t="s">
        <v>2342</v>
      </c>
      <c r="E670" t="s">
        <v>2329</v>
      </c>
      <c r="G670" t="s">
        <v>4110</v>
      </c>
      <c r="H670" t="s">
        <v>2696</v>
      </c>
      <c r="I670" t="s">
        <v>3971</v>
      </c>
    </row>
    <row r="671" spans="1:9">
      <c r="A671" s="145" t="s">
        <v>4109</v>
      </c>
      <c r="B671" t="s">
        <v>2164</v>
      </c>
      <c r="C671" t="s">
        <v>2480</v>
      </c>
      <c r="D671" t="s">
        <v>2481</v>
      </c>
      <c r="E671" t="s">
        <v>120</v>
      </c>
      <c r="G671" t="s">
        <v>4094</v>
      </c>
      <c r="H671" t="s">
        <v>120</v>
      </c>
      <c r="I671" t="s">
        <v>3973</v>
      </c>
    </row>
    <row r="672" spans="1:9">
      <c r="A672" s="145" t="s">
        <v>4109</v>
      </c>
      <c r="B672" t="s">
        <v>2164</v>
      </c>
      <c r="C672" t="s">
        <v>2482</v>
      </c>
      <c r="D672" t="s">
        <v>2483</v>
      </c>
      <c r="E672" t="s">
        <v>120</v>
      </c>
      <c r="G672" t="s">
        <v>4094</v>
      </c>
      <c r="H672" t="s">
        <v>120</v>
      </c>
      <c r="I672" t="s">
        <v>3973</v>
      </c>
    </row>
    <row r="673" spans="1:9">
      <c r="A673" s="145" t="s">
        <v>4109</v>
      </c>
      <c r="B673" t="s">
        <v>2164</v>
      </c>
      <c r="C673" t="s">
        <v>2484</v>
      </c>
      <c r="D673" t="s">
        <v>2483</v>
      </c>
      <c r="E673" t="s">
        <v>2485</v>
      </c>
      <c r="F673" t="s">
        <v>2486</v>
      </c>
      <c r="G673" t="s">
        <v>4094</v>
      </c>
      <c r="H673" t="s">
        <v>120</v>
      </c>
      <c r="I673" t="s">
        <v>3973</v>
      </c>
    </row>
    <row r="674" spans="1:9">
      <c r="A674" s="145" t="s">
        <v>4109</v>
      </c>
      <c r="B674" t="s">
        <v>2164</v>
      </c>
      <c r="C674" t="s">
        <v>2487</v>
      </c>
      <c r="D674" t="s">
        <v>2488</v>
      </c>
      <c r="E674" t="s">
        <v>120</v>
      </c>
      <c r="G674" t="s">
        <v>4094</v>
      </c>
      <c r="H674" t="s">
        <v>120</v>
      </c>
      <c r="I674" t="s">
        <v>3973</v>
      </c>
    </row>
    <row r="675" spans="1:9">
      <c r="A675" s="145" t="s">
        <v>4109</v>
      </c>
      <c r="B675" t="s">
        <v>2164</v>
      </c>
      <c r="C675" t="s">
        <v>2344</v>
      </c>
      <c r="E675" t="s">
        <v>2345</v>
      </c>
      <c r="G675" t="s">
        <v>4094</v>
      </c>
      <c r="H675" t="s">
        <v>120</v>
      </c>
      <c r="I675" t="s">
        <v>3973</v>
      </c>
    </row>
    <row r="676" spans="1:9">
      <c r="A676" s="145" t="s">
        <v>4109</v>
      </c>
      <c r="B676" t="s">
        <v>2164</v>
      </c>
      <c r="C676" t="s">
        <v>2347</v>
      </c>
      <c r="E676" t="s">
        <v>2329</v>
      </c>
      <c r="G676" t="s">
        <v>4110</v>
      </c>
      <c r="H676" t="s">
        <v>2696</v>
      </c>
      <c r="I676" t="s">
        <v>3973</v>
      </c>
    </row>
    <row r="677" spans="1:9">
      <c r="A677" s="145" t="s">
        <v>4109</v>
      </c>
      <c r="B677" t="s">
        <v>2164</v>
      </c>
      <c r="C677" t="s">
        <v>2348</v>
      </c>
      <c r="E677" t="s">
        <v>2329</v>
      </c>
      <c r="G677" t="s">
        <v>4110</v>
      </c>
      <c r="H677" t="s">
        <v>2696</v>
      </c>
      <c r="I677" t="s">
        <v>3973</v>
      </c>
    </row>
    <row r="678" spans="1:9">
      <c r="A678" s="145" t="s">
        <v>4109</v>
      </c>
      <c r="B678" t="s">
        <v>2164</v>
      </c>
      <c r="C678" t="s">
        <v>2489</v>
      </c>
      <c r="D678" t="s">
        <v>2483</v>
      </c>
      <c r="E678" t="s">
        <v>2490</v>
      </c>
      <c r="G678" t="s">
        <v>4094</v>
      </c>
      <c r="H678" t="s">
        <v>2490</v>
      </c>
      <c r="I678" t="s">
        <v>3973</v>
      </c>
    </row>
    <row r="679" spans="1:9">
      <c r="A679" s="145" t="s">
        <v>4109</v>
      </c>
      <c r="B679" t="s">
        <v>2164</v>
      </c>
      <c r="C679" t="s">
        <v>2491</v>
      </c>
      <c r="D679" t="s">
        <v>2488</v>
      </c>
      <c r="E679" t="s">
        <v>120</v>
      </c>
      <c r="G679" t="s">
        <v>4094</v>
      </c>
      <c r="H679" t="s">
        <v>120</v>
      </c>
      <c r="I679" t="s">
        <v>3973</v>
      </c>
    </row>
    <row r="680" spans="1:9">
      <c r="A680" s="145" t="s">
        <v>4109</v>
      </c>
      <c r="B680" t="s">
        <v>2166</v>
      </c>
      <c r="C680" t="s">
        <v>2703</v>
      </c>
      <c r="D680" t="s">
        <v>2483</v>
      </c>
      <c r="E680" t="s">
        <v>2704</v>
      </c>
      <c r="G680" t="s">
        <v>4094</v>
      </c>
      <c r="H680" t="s">
        <v>804</v>
      </c>
      <c r="I680" t="s">
        <v>3975</v>
      </c>
    </row>
    <row r="681" spans="1:9">
      <c r="A681" s="145" t="s">
        <v>4109</v>
      </c>
      <c r="B681" t="s">
        <v>2166</v>
      </c>
      <c r="C681" t="s">
        <v>2705</v>
      </c>
      <c r="D681" t="s">
        <v>2339</v>
      </c>
      <c r="E681" t="s">
        <v>2704</v>
      </c>
      <c r="G681" t="s">
        <v>4094</v>
      </c>
      <c r="H681" t="s">
        <v>804</v>
      </c>
      <c r="I681" t="s">
        <v>3975</v>
      </c>
    </row>
    <row r="682" spans="1:9">
      <c r="A682" s="145" t="s">
        <v>4109</v>
      </c>
      <c r="B682" t="s">
        <v>2166</v>
      </c>
      <c r="C682" t="s">
        <v>2493</v>
      </c>
      <c r="E682" t="s">
        <v>2490</v>
      </c>
      <c r="G682" t="s">
        <v>4094</v>
      </c>
      <c r="H682" t="s">
        <v>2490</v>
      </c>
      <c r="I682" t="s">
        <v>3975</v>
      </c>
    </row>
    <row r="683" spans="1:9">
      <c r="A683" s="145" t="s">
        <v>4109</v>
      </c>
      <c r="B683" t="s">
        <v>2166</v>
      </c>
      <c r="C683" t="s">
        <v>2494</v>
      </c>
      <c r="E683" t="s">
        <v>2490</v>
      </c>
      <c r="G683" t="s">
        <v>4094</v>
      </c>
      <c r="H683" t="s">
        <v>2490</v>
      </c>
      <c r="I683" t="s">
        <v>3975</v>
      </c>
    </row>
    <row r="684" spans="1:9">
      <c r="A684" s="145" t="s">
        <v>4109</v>
      </c>
      <c r="B684" t="s">
        <v>2166</v>
      </c>
      <c r="C684" t="s">
        <v>2400</v>
      </c>
      <c r="E684" t="s">
        <v>2401</v>
      </c>
      <c r="G684" t="s">
        <v>4094</v>
      </c>
      <c r="H684" t="s">
        <v>2490</v>
      </c>
      <c r="I684" t="s">
        <v>3975</v>
      </c>
    </row>
    <row r="685" spans="1:9">
      <c r="A685" s="145" t="s">
        <v>4109</v>
      </c>
      <c r="B685" t="s">
        <v>2166</v>
      </c>
      <c r="C685" t="s">
        <v>2495</v>
      </c>
      <c r="D685" t="s">
        <v>2483</v>
      </c>
      <c r="E685" t="s">
        <v>120</v>
      </c>
      <c r="G685" t="s">
        <v>4094</v>
      </c>
      <c r="H685" t="s">
        <v>120</v>
      </c>
      <c r="I685" t="s">
        <v>3975</v>
      </c>
    </row>
    <row r="686" spans="1:9">
      <c r="A686" s="145" t="s">
        <v>4109</v>
      </c>
      <c r="B686" t="s">
        <v>2166</v>
      </c>
      <c r="C686" t="s">
        <v>2496</v>
      </c>
      <c r="D686" t="s">
        <v>2483</v>
      </c>
      <c r="E686" t="s">
        <v>120</v>
      </c>
      <c r="G686" t="s">
        <v>4094</v>
      </c>
      <c r="H686" t="s">
        <v>120</v>
      </c>
      <c r="I686" t="s">
        <v>3975</v>
      </c>
    </row>
    <row r="687" spans="1:9">
      <c r="A687" s="145" t="s">
        <v>4109</v>
      </c>
      <c r="B687" t="s">
        <v>2166</v>
      </c>
      <c r="C687" t="s">
        <v>2497</v>
      </c>
      <c r="D687" t="s">
        <v>2339</v>
      </c>
      <c r="E687" t="s">
        <v>120</v>
      </c>
      <c r="G687" t="s">
        <v>4094</v>
      </c>
      <c r="H687" t="s">
        <v>120</v>
      </c>
      <c r="I687" t="s">
        <v>3975</v>
      </c>
    </row>
    <row r="688" spans="1:9">
      <c r="A688" s="145" t="s">
        <v>4109</v>
      </c>
      <c r="B688" t="s">
        <v>2166</v>
      </c>
      <c r="C688" t="s">
        <v>2498</v>
      </c>
      <c r="D688" t="s">
        <v>2499</v>
      </c>
      <c r="E688" t="s">
        <v>2490</v>
      </c>
      <c r="G688" t="s">
        <v>4094</v>
      </c>
      <c r="H688" t="s">
        <v>2490</v>
      </c>
      <c r="I688" t="s">
        <v>3975</v>
      </c>
    </row>
    <row r="689" spans="1:9">
      <c r="A689" s="145" t="s">
        <v>4109</v>
      </c>
      <c r="B689" t="s">
        <v>2166</v>
      </c>
      <c r="C689" t="s">
        <v>2500</v>
      </c>
      <c r="D689" t="s">
        <v>2499</v>
      </c>
      <c r="E689" t="s">
        <v>2490</v>
      </c>
      <c r="G689" t="s">
        <v>4094</v>
      </c>
      <c r="H689" t="s">
        <v>2490</v>
      </c>
      <c r="I689" t="s">
        <v>3975</v>
      </c>
    </row>
    <row r="690" spans="1:9">
      <c r="A690" s="145" t="s">
        <v>4109</v>
      </c>
      <c r="B690" t="s">
        <v>2166</v>
      </c>
      <c r="C690" t="s">
        <v>2350</v>
      </c>
      <c r="E690" t="s">
        <v>2329</v>
      </c>
      <c r="G690" t="s">
        <v>4110</v>
      </c>
      <c r="H690" t="s">
        <v>2696</v>
      </c>
      <c r="I690" t="s">
        <v>3975</v>
      </c>
    </row>
    <row r="691" spans="1:9">
      <c r="A691" s="145" t="s">
        <v>4109</v>
      </c>
      <c r="B691" t="s">
        <v>2166</v>
      </c>
      <c r="C691" t="s">
        <v>2501</v>
      </c>
      <c r="D691" t="s">
        <v>2499</v>
      </c>
      <c r="E691" t="s">
        <v>120</v>
      </c>
      <c r="F691" t="s">
        <v>2502</v>
      </c>
      <c r="G691" t="s">
        <v>4094</v>
      </c>
      <c r="H691" t="s">
        <v>120</v>
      </c>
      <c r="I691" t="s">
        <v>3975</v>
      </c>
    </row>
    <row r="692" spans="1:9">
      <c r="A692" s="145" t="s">
        <v>4109</v>
      </c>
      <c r="B692" t="s">
        <v>2167</v>
      </c>
      <c r="C692" t="s">
        <v>2504</v>
      </c>
      <c r="D692" t="s">
        <v>2505</v>
      </c>
      <c r="E692" t="s">
        <v>120</v>
      </c>
      <c r="G692" t="s">
        <v>4094</v>
      </c>
      <c r="H692" t="s">
        <v>120</v>
      </c>
      <c r="I692" t="s">
        <v>3979</v>
      </c>
    </row>
    <row r="693" spans="1:9">
      <c r="A693" s="145" t="s">
        <v>4109</v>
      </c>
      <c r="B693" t="s">
        <v>2167</v>
      </c>
      <c r="C693" t="s">
        <v>2506</v>
      </c>
      <c r="D693" t="s">
        <v>2435</v>
      </c>
      <c r="E693" t="s">
        <v>120</v>
      </c>
      <c r="G693" t="s">
        <v>4094</v>
      </c>
      <c r="H693" t="s">
        <v>120</v>
      </c>
      <c r="I693" t="s">
        <v>3979</v>
      </c>
    </row>
    <row r="694" spans="1:9">
      <c r="A694" s="145" t="s">
        <v>4109</v>
      </c>
      <c r="B694" t="s">
        <v>2167</v>
      </c>
      <c r="C694" t="s">
        <v>2507</v>
      </c>
      <c r="D694" t="s">
        <v>2435</v>
      </c>
      <c r="E694" t="s">
        <v>120</v>
      </c>
      <c r="G694" t="s">
        <v>4094</v>
      </c>
      <c r="H694" t="s">
        <v>120</v>
      </c>
      <c r="I694" t="s">
        <v>3979</v>
      </c>
    </row>
    <row r="695" spans="1:9">
      <c r="A695" s="145" t="s">
        <v>4109</v>
      </c>
      <c r="B695" t="s">
        <v>2169</v>
      </c>
      <c r="C695" t="s">
        <v>2352</v>
      </c>
      <c r="D695" t="s">
        <v>2353</v>
      </c>
      <c r="E695" t="s">
        <v>2317</v>
      </c>
      <c r="F695" t="s">
        <v>2354</v>
      </c>
      <c r="G695" t="s">
        <v>4110</v>
      </c>
      <c r="H695" t="s">
        <v>2319</v>
      </c>
      <c r="I695" t="s">
        <v>3983</v>
      </c>
    </row>
    <row r="696" spans="1:9">
      <c r="A696" s="145" t="s">
        <v>4109</v>
      </c>
      <c r="B696" t="s">
        <v>2169</v>
      </c>
      <c r="C696" t="s">
        <v>2355</v>
      </c>
      <c r="D696" t="s">
        <v>2356</v>
      </c>
      <c r="E696" t="s">
        <v>2317</v>
      </c>
      <c r="F696" t="s">
        <v>2357</v>
      </c>
      <c r="G696" t="s">
        <v>4110</v>
      </c>
      <c r="H696" t="s">
        <v>2319</v>
      </c>
      <c r="I696" t="s">
        <v>3983</v>
      </c>
    </row>
    <row r="697" spans="1:9">
      <c r="A697" s="145" t="s">
        <v>4109</v>
      </c>
      <c r="B697" t="s">
        <v>2169</v>
      </c>
      <c r="C697" t="s">
        <v>2509</v>
      </c>
      <c r="D697" t="s">
        <v>2353</v>
      </c>
      <c r="E697" t="s">
        <v>2490</v>
      </c>
      <c r="F697" t="s">
        <v>2510</v>
      </c>
      <c r="G697" t="s">
        <v>4094</v>
      </c>
      <c r="H697" t="s">
        <v>2490</v>
      </c>
      <c r="I697" t="s">
        <v>3983</v>
      </c>
    </row>
    <row r="698" spans="1:9">
      <c r="A698" s="145" t="s">
        <v>4109</v>
      </c>
      <c r="B698" t="s">
        <v>2169</v>
      </c>
      <c r="C698" t="s">
        <v>2511</v>
      </c>
      <c r="D698" t="s">
        <v>2407</v>
      </c>
      <c r="E698" t="s">
        <v>120</v>
      </c>
      <c r="F698" t="s">
        <v>2512</v>
      </c>
      <c r="G698" t="s">
        <v>4094</v>
      </c>
      <c r="H698" t="s">
        <v>120</v>
      </c>
      <c r="I698" t="s">
        <v>3983</v>
      </c>
    </row>
    <row r="699" spans="1:9">
      <c r="A699" s="145" t="s">
        <v>4109</v>
      </c>
      <c r="B699" t="s">
        <v>2169</v>
      </c>
      <c r="C699" t="s">
        <v>2513</v>
      </c>
      <c r="D699" t="s">
        <v>2404</v>
      </c>
      <c r="E699" t="s">
        <v>120</v>
      </c>
      <c r="F699" t="s">
        <v>2514</v>
      </c>
      <c r="G699" t="s">
        <v>4094</v>
      </c>
      <c r="H699" t="s">
        <v>120</v>
      </c>
      <c r="I699" t="s">
        <v>3983</v>
      </c>
    </row>
    <row r="700" spans="1:9">
      <c r="A700" s="145" t="s">
        <v>4109</v>
      </c>
      <c r="B700" t="s">
        <v>2169</v>
      </c>
      <c r="C700" t="s">
        <v>2515</v>
      </c>
      <c r="D700" t="s">
        <v>2516</v>
      </c>
      <c r="E700" t="s">
        <v>120</v>
      </c>
      <c r="F700" t="s">
        <v>2517</v>
      </c>
      <c r="G700" t="s">
        <v>4094</v>
      </c>
      <c r="H700" t="s">
        <v>120</v>
      </c>
      <c r="I700" t="s">
        <v>3983</v>
      </c>
    </row>
    <row r="701" spans="1:9">
      <c r="A701" s="145" t="s">
        <v>4109</v>
      </c>
      <c r="B701" t="s">
        <v>2169</v>
      </c>
      <c r="C701" t="s">
        <v>2358</v>
      </c>
      <c r="E701" t="s">
        <v>2329</v>
      </c>
      <c r="G701" t="s">
        <v>4110</v>
      </c>
      <c r="H701" t="s">
        <v>2696</v>
      </c>
      <c r="I701" t="s">
        <v>3983</v>
      </c>
    </row>
    <row r="702" spans="1:9">
      <c r="A702" s="145" t="s">
        <v>4109</v>
      </c>
      <c r="B702" t="s">
        <v>2173</v>
      </c>
      <c r="C702" t="s">
        <v>2519</v>
      </c>
      <c r="D702" t="s">
        <v>2407</v>
      </c>
      <c r="E702" t="s">
        <v>120</v>
      </c>
      <c r="F702" t="s">
        <v>2520</v>
      </c>
      <c r="G702" t="s">
        <v>4094</v>
      </c>
      <c r="H702" t="s">
        <v>120</v>
      </c>
      <c r="I702" t="s">
        <v>3987</v>
      </c>
    </row>
    <row r="703" spans="1:9">
      <c r="A703" s="145" t="s">
        <v>4109</v>
      </c>
      <c r="B703" t="s">
        <v>2173</v>
      </c>
      <c r="C703" t="s">
        <v>2521</v>
      </c>
      <c r="D703" t="s">
        <v>2407</v>
      </c>
      <c r="E703" t="s">
        <v>120</v>
      </c>
      <c r="G703" t="s">
        <v>4094</v>
      </c>
      <c r="H703" t="s">
        <v>120</v>
      </c>
      <c r="I703" t="s">
        <v>3987</v>
      </c>
    </row>
    <row r="704" spans="1:9">
      <c r="A704" s="145" t="s">
        <v>4109</v>
      </c>
      <c r="B704" t="s">
        <v>2173</v>
      </c>
      <c r="C704" t="s">
        <v>2522</v>
      </c>
      <c r="D704" t="s">
        <v>2523</v>
      </c>
      <c r="E704" t="s">
        <v>120</v>
      </c>
      <c r="F704" t="s">
        <v>2524</v>
      </c>
      <c r="G704" t="s">
        <v>4094</v>
      </c>
      <c r="H704" t="s">
        <v>120</v>
      </c>
      <c r="I704" t="s">
        <v>3987</v>
      </c>
    </row>
    <row r="705" spans="1:9">
      <c r="A705" s="145" t="s">
        <v>4109</v>
      </c>
      <c r="B705" t="s">
        <v>2173</v>
      </c>
      <c r="C705" t="s">
        <v>2525</v>
      </c>
      <c r="D705" t="s">
        <v>2412</v>
      </c>
      <c r="E705" t="s">
        <v>120</v>
      </c>
      <c r="F705" t="s">
        <v>2520</v>
      </c>
      <c r="G705" t="s">
        <v>4094</v>
      </c>
      <c r="H705" t="s">
        <v>120</v>
      </c>
      <c r="I705" t="s">
        <v>3987</v>
      </c>
    </row>
    <row r="706" spans="1:9">
      <c r="A706" s="145" t="s">
        <v>4109</v>
      </c>
      <c r="B706" t="s">
        <v>2173</v>
      </c>
      <c r="C706" t="s">
        <v>2526</v>
      </c>
      <c r="D706" t="s">
        <v>2412</v>
      </c>
      <c r="E706" t="s">
        <v>120</v>
      </c>
      <c r="F706" t="s">
        <v>2527</v>
      </c>
      <c r="G706" t="s">
        <v>4094</v>
      </c>
      <c r="H706" t="s">
        <v>120</v>
      </c>
      <c r="I706" t="s">
        <v>3987</v>
      </c>
    </row>
    <row r="707" spans="1:9">
      <c r="A707" s="145" t="s">
        <v>4109</v>
      </c>
      <c r="B707" t="s">
        <v>2173</v>
      </c>
      <c r="C707" t="s">
        <v>2528</v>
      </c>
      <c r="D707" t="s">
        <v>2529</v>
      </c>
      <c r="E707" t="s">
        <v>2490</v>
      </c>
      <c r="G707" t="s">
        <v>4094</v>
      </c>
      <c r="H707" t="s">
        <v>2490</v>
      </c>
      <c r="I707" t="s">
        <v>3987</v>
      </c>
    </row>
    <row r="708" spans="1:9">
      <c r="A708" s="145" t="s">
        <v>4109</v>
      </c>
      <c r="B708" t="s">
        <v>2173</v>
      </c>
      <c r="C708" t="s">
        <v>2413</v>
      </c>
      <c r="D708" t="s">
        <v>2407</v>
      </c>
      <c r="E708" t="s">
        <v>2414</v>
      </c>
      <c r="F708" t="s">
        <v>2416</v>
      </c>
      <c r="G708" t="s">
        <v>4094</v>
      </c>
      <c r="H708" t="s">
        <v>2709</v>
      </c>
      <c r="I708" t="s">
        <v>3987</v>
      </c>
    </row>
    <row r="709" spans="1:9">
      <c r="A709" s="145" t="s">
        <v>4109</v>
      </c>
      <c r="B709" t="s">
        <v>2173</v>
      </c>
      <c r="C709" t="s">
        <v>2532</v>
      </c>
      <c r="D709" t="s">
        <v>2529</v>
      </c>
      <c r="E709" t="s">
        <v>2533</v>
      </c>
      <c r="G709" t="s">
        <v>4094</v>
      </c>
      <c r="H709" t="s">
        <v>120</v>
      </c>
      <c r="I709" t="s">
        <v>3987</v>
      </c>
    </row>
    <row r="710" spans="1:9">
      <c r="A710" s="145" t="s">
        <v>4109</v>
      </c>
      <c r="B710" t="s">
        <v>2173</v>
      </c>
      <c r="C710" t="s">
        <v>2360</v>
      </c>
      <c r="E710" t="s">
        <v>2317</v>
      </c>
      <c r="F710" t="s">
        <v>2361</v>
      </c>
      <c r="G710" t="s">
        <v>4110</v>
      </c>
      <c r="H710" t="s">
        <v>2319</v>
      </c>
      <c r="I710" t="s">
        <v>3987</v>
      </c>
    </row>
    <row r="711" spans="1:9">
      <c r="A711" s="145" t="s">
        <v>4109</v>
      </c>
      <c r="B711" t="s">
        <v>2173</v>
      </c>
      <c r="C711" t="s">
        <v>2534</v>
      </c>
      <c r="D711" t="s">
        <v>2363</v>
      </c>
      <c r="E711" t="s">
        <v>120</v>
      </c>
      <c r="F711" t="s">
        <v>2535</v>
      </c>
      <c r="G711" t="s">
        <v>4094</v>
      </c>
      <c r="H711" t="s">
        <v>120</v>
      </c>
      <c r="I711" t="s">
        <v>3987</v>
      </c>
    </row>
    <row r="712" spans="1:9">
      <c r="A712" s="145" t="s">
        <v>4109</v>
      </c>
      <c r="B712" t="s">
        <v>2173</v>
      </c>
      <c r="C712" t="s">
        <v>2362</v>
      </c>
      <c r="D712" t="s">
        <v>2363</v>
      </c>
      <c r="E712" t="s">
        <v>2364</v>
      </c>
      <c r="G712" t="s">
        <v>4110</v>
      </c>
      <c r="H712" t="s">
        <v>2365</v>
      </c>
      <c r="I712" t="s">
        <v>3987</v>
      </c>
    </row>
    <row r="713" spans="1:9">
      <c r="A713" s="145" t="s">
        <v>4109</v>
      </c>
      <c r="B713" t="s">
        <v>2176</v>
      </c>
      <c r="C713" t="s">
        <v>2537</v>
      </c>
      <c r="D713" t="s">
        <v>2538</v>
      </c>
      <c r="E713" t="s">
        <v>120</v>
      </c>
      <c r="G713" t="s">
        <v>4094</v>
      </c>
      <c r="H713" t="s">
        <v>120</v>
      </c>
      <c r="I713" t="s">
        <v>3991</v>
      </c>
    </row>
    <row r="714" spans="1:9">
      <c r="A714" s="145" t="s">
        <v>4109</v>
      </c>
      <c r="B714" t="s">
        <v>2176</v>
      </c>
      <c r="C714" t="s">
        <v>2539</v>
      </c>
      <c r="D714" t="s">
        <v>2538</v>
      </c>
      <c r="E714" t="s">
        <v>2490</v>
      </c>
      <c r="F714" t="s">
        <v>2540</v>
      </c>
      <c r="G714" t="s">
        <v>4094</v>
      </c>
      <c r="H714" t="s">
        <v>2490</v>
      </c>
      <c r="I714" t="s">
        <v>3991</v>
      </c>
    </row>
    <row r="715" spans="1:9">
      <c r="A715" s="145" t="s">
        <v>4109</v>
      </c>
      <c r="B715" t="s">
        <v>2176</v>
      </c>
      <c r="C715" t="s">
        <v>2541</v>
      </c>
      <c r="D715" t="s">
        <v>2542</v>
      </c>
      <c r="E715" t="s">
        <v>2543</v>
      </c>
      <c r="G715" t="s">
        <v>4094</v>
      </c>
      <c r="H715" t="s">
        <v>120</v>
      </c>
      <c r="I715" t="s">
        <v>3991</v>
      </c>
    </row>
    <row r="716" spans="1:9">
      <c r="A716" s="145" t="s">
        <v>4109</v>
      </c>
      <c r="B716" t="s">
        <v>2176</v>
      </c>
      <c r="C716" t="s">
        <v>2421</v>
      </c>
      <c r="D716" t="s">
        <v>2422</v>
      </c>
      <c r="E716" t="s">
        <v>2423</v>
      </c>
      <c r="F716" t="s">
        <v>2425</v>
      </c>
      <c r="G716" t="s">
        <v>4094</v>
      </c>
      <c r="H716" t="s">
        <v>2711</v>
      </c>
      <c r="I716" t="s">
        <v>3991</v>
      </c>
    </row>
    <row r="717" spans="1:9">
      <c r="A717" s="145" t="s">
        <v>4109</v>
      </c>
      <c r="B717" t="s">
        <v>2176</v>
      </c>
      <c r="C717" t="s">
        <v>2545</v>
      </c>
      <c r="D717" t="s">
        <v>2422</v>
      </c>
      <c r="E717" t="s">
        <v>2461</v>
      </c>
      <c r="F717" t="s">
        <v>2546</v>
      </c>
      <c r="G717" t="s">
        <v>4094</v>
      </c>
      <c r="H717" t="s">
        <v>120</v>
      </c>
      <c r="I717" t="s">
        <v>3991</v>
      </c>
    </row>
    <row r="718" spans="1:9">
      <c r="A718" s="145" t="s">
        <v>4109</v>
      </c>
      <c r="B718" t="s">
        <v>2176</v>
      </c>
      <c r="C718" t="s">
        <v>2547</v>
      </c>
      <c r="D718" t="s">
        <v>2538</v>
      </c>
      <c r="E718" t="s">
        <v>2548</v>
      </c>
      <c r="G718" t="s">
        <v>4094</v>
      </c>
      <c r="H718" t="s">
        <v>120</v>
      </c>
      <c r="I718" t="s">
        <v>3991</v>
      </c>
    </row>
    <row r="719" spans="1:9">
      <c r="A719" s="145" t="s">
        <v>4109</v>
      </c>
      <c r="B719" t="s">
        <v>2176</v>
      </c>
      <c r="C719" t="s">
        <v>2549</v>
      </c>
      <c r="D719" t="s">
        <v>2538</v>
      </c>
      <c r="E719" t="s">
        <v>2550</v>
      </c>
      <c r="F719" t="s">
        <v>2551</v>
      </c>
      <c r="G719" t="s">
        <v>4094</v>
      </c>
      <c r="H719" t="s">
        <v>120</v>
      </c>
      <c r="I719" t="s">
        <v>3991</v>
      </c>
    </row>
    <row r="720" spans="1:9">
      <c r="A720" s="145" t="s">
        <v>4109</v>
      </c>
      <c r="B720" t="s">
        <v>2176</v>
      </c>
      <c r="C720" t="s">
        <v>2552</v>
      </c>
      <c r="D720" t="s">
        <v>2538</v>
      </c>
      <c r="E720" t="s">
        <v>2553</v>
      </c>
      <c r="G720" t="s">
        <v>4094</v>
      </c>
      <c r="H720" t="s">
        <v>120</v>
      </c>
      <c r="I720" t="s">
        <v>3991</v>
      </c>
    </row>
    <row r="721" spans="1:9">
      <c r="A721" s="145" t="s">
        <v>4109</v>
      </c>
      <c r="B721" t="s">
        <v>2178</v>
      </c>
      <c r="C721" t="s">
        <v>2367</v>
      </c>
      <c r="E721" t="s">
        <v>2317</v>
      </c>
      <c r="F721" t="s">
        <v>2368</v>
      </c>
      <c r="G721" t="s">
        <v>4110</v>
      </c>
      <c r="H721" t="s">
        <v>2319</v>
      </c>
      <c r="I721" t="s">
        <v>3995</v>
      </c>
    </row>
    <row r="722" spans="1:9">
      <c r="A722" s="145" t="s">
        <v>4109</v>
      </c>
      <c r="B722" t="s">
        <v>2178</v>
      </c>
      <c r="C722" t="s">
        <v>2427</v>
      </c>
      <c r="D722" t="s">
        <v>2370</v>
      </c>
      <c r="E722" t="s">
        <v>2428</v>
      </c>
      <c r="F722" t="s">
        <v>2429</v>
      </c>
      <c r="G722" t="s">
        <v>4094</v>
      </c>
      <c r="H722" t="s">
        <v>120</v>
      </c>
      <c r="I722" t="s">
        <v>3995</v>
      </c>
    </row>
    <row r="723" spans="1:9">
      <c r="A723" s="145" t="s">
        <v>4109</v>
      </c>
      <c r="B723" t="s">
        <v>2178</v>
      </c>
      <c r="C723" t="s">
        <v>2555</v>
      </c>
      <c r="D723" t="s">
        <v>2363</v>
      </c>
      <c r="E723" t="s">
        <v>2556</v>
      </c>
      <c r="F723" t="s">
        <v>2557</v>
      </c>
      <c r="G723" t="s">
        <v>4094</v>
      </c>
      <c r="H723" t="s">
        <v>120</v>
      </c>
      <c r="I723" t="s">
        <v>3995</v>
      </c>
    </row>
    <row r="724" spans="1:9">
      <c r="A724" s="145" t="s">
        <v>4109</v>
      </c>
      <c r="B724" t="s">
        <v>2178</v>
      </c>
      <c r="C724" t="s">
        <v>2558</v>
      </c>
      <c r="D724" t="s">
        <v>2559</v>
      </c>
      <c r="E724" t="s">
        <v>2560</v>
      </c>
      <c r="F724" t="s">
        <v>2561</v>
      </c>
      <c r="G724" t="s">
        <v>4094</v>
      </c>
      <c r="H724" t="s">
        <v>120</v>
      </c>
      <c r="I724" t="s">
        <v>3995</v>
      </c>
    </row>
    <row r="725" spans="1:9">
      <c r="A725" s="145" t="s">
        <v>4109</v>
      </c>
      <c r="B725" t="s">
        <v>2178</v>
      </c>
      <c r="C725" t="s">
        <v>2562</v>
      </c>
      <c r="D725" t="s">
        <v>2370</v>
      </c>
      <c r="E725" t="s">
        <v>120</v>
      </c>
      <c r="F725" t="s">
        <v>2563</v>
      </c>
      <c r="G725" t="s">
        <v>4094</v>
      </c>
      <c r="H725" t="s">
        <v>120</v>
      </c>
      <c r="I725" t="s">
        <v>3995</v>
      </c>
    </row>
    <row r="726" spans="1:9">
      <c r="A726" s="145" t="s">
        <v>4109</v>
      </c>
      <c r="B726" t="s">
        <v>2178</v>
      </c>
      <c r="C726" t="s">
        <v>2369</v>
      </c>
      <c r="D726" t="s">
        <v>2370</v>
      </c>
      <c r="E726" t="s">
        <v>2317</v>
      </c>
      <c r="F726" t="s">
        <v>2371</v>
      </c>
      <c r="G726" t="s">
        <v>4110</v>
      </c>
      <c r="H726" t="s">
        <v>2319</v>
      </c>
      <c r="I726" t="s">
        <v>3995</v>
      </c>
    </row>
    <row r="727" spans="1:9">
      <c r="A727" s="145" t="s">
        <v>4109</v>
      </c>
      <c r="B727" t="s">
        <v>2178</v>
      </c>
      <c r="C727" t="s">
        <v>2372</v>
      </c>
      <c r="E727" t="s">
        <v>2329</v>
      </c>
      <c r="G727" t="s">
        <v>4110</v>
      </c>
      <c r="H727" t="s">
        <v>2696</v>
      </c>
      <c r="I727" t="s">
        <v>3995</v>
      </c>
    </row>
    <row r="728" spans="1:9">
      <c r="A728" s="145" t="s">
        <v>4109</v>
      </c>
      <c r="B728" t="s">
        <v>2178</v>
      </c>
      <c r="C728" t="s">
        <v>2564</v>
      </c>
      <c r="E728" t="s">
        <v>120</v>
      </c>
      <c r="G728" t="s">
        <v>4094</v>
      </c>
      <c r="H728" t="s">
        <v>120</v>
      </c>
      <c r="I728" t="s">
        <v>3995</v>
      </c>
    </row>
    <row r="729" spans="1:9">
      <c r="A729" s="145" t="s">
        <v>4109</v>
      </c>
      <c r="B729" t="s">
        <v>2178</v>
      </c>
      <c r="C729" t="s">
        <v>2565</v>
      </c>
      <c r="D729" t="s">
        <v>2370</v>
      </c>
      <c r="E729" t="s">
        <v>2566</v>
      </c>
      <c r="F729" t="s">
        <v>2567</v>
      </c>
      <c r="G729" t="s">
        <v>4094</v>
      </c>
      <c r="H729" t="s">
        <v>2566</v>
      </c>
      <c r="I729" t="s">
        <v>3995</v>
      </c>
    </row>
    <row r="730" spans="1:9">
      <c r="A730" s="145" t="s">
        <v>4109</v>
      </c>
      <c r="B730" t="s">
        <v>3874</v>
      </c>
      <c r="C730" t="s">
        <v>2374</v>
      </c>
      <c r="E730" t="s">
        <v>2329</v>
      </c>
      <c r="F730" t="s">
        <v>2375</v>
      </c>
      <c r="G730" t="s">
        <v>4110</v>
      </c>
      <c r="H730" t="s">
        <v>2696</v>
      </c>
    </row>
    <row r="731" spans="1:9">
      <c r="A731" s="145" t="s">
        <v>4109</v>
      </c>
      <c r="B731" t="s">
        <v>3874</v>
      </c>
      <c r="C731" t="s">
        <v>2569</v>
      </c>
      <c r="D731" t="s">
        <v>2570</v>
      </c>
      <c r="E731" t="s">
        <v>2571</v>
      </c>
      <c r="F731" t="s">
        <v>2437</v>
      </c>
      <c r="G731" t="s">
        <v>4094</v>
      </c>
      <c r="H731" t="s">
        <v>120</v>
      </c>
    </row>
    <row r="732" spans="1:9">
      <c r="A732" s="145" t="s">
        <v>4109</v>
      </c>
      <c r="B732" t="s">
        <v>3874</v>
      </c>
      <c r="C732" t="s">
        <v>2572</v>
      </c>
      <c r="D732" t="s">
        <v>2432</v>
      </c>
      <c r="E732" t="s">
        <v>120</v>
      </c>
      <c r="F732" t="s">
        <v>2573</v>
      </c>
      <c r="G732" t="s">
        <v>4094</v>
      </c>
      <c r="H732" t="s">
        <v>120</v>
      </c>
    </row>
    <row r="733" spans="1:9">
      <c r="A733" s="145" t="s">
        <v>4109</v>
      </c>
      <c r="B733" t="s">
        <v>3874</v>
      </c>
      <c r="C733" t="s">
        <v>2574</v>
      </c>
      <c r="D733" t="s">
        <v>2570</v>
      </c>
      <c r="E733" t="s">
        <v>120</v>
      </c>
      <c r="F733" t="s">
        <v>2573</v>
      </c>
      <c r="G733" t="s">
        <v>4094</v>
      </c>
      <c r="H733" t="s">
        <v>120</v>
      </c>
    </row>
    <row r="734" spans="1:9">
      <c r="A734" s="145" t="s">
        <v>4109</v>
      </c>
      <c r="B734" t="s">
        <v>3874</v>
      </c>
      <c r="C734" t="s">
        <v>2575</v>
      </c>
      <c r="D734" t="s">
        <v>2576</v>
      </c>
      <c r="E734" t="s">
        <v>2490</v>
      </c>
      <c r="F734" t="s">
        <v>2577</v>
      </c>
      <c r="G734" t="s">
        <v>4094</v>
      </c>
      <c r="H734" t="s">
        <v>2490</v>
      </c>
    </row>
    <row r="735" spans="1:9">
      <c r="A735" s="145" t="s">
        <v>4109</v>
      </c>
      <c r="B735" t="s">
        <v>3874</v>
      </c>
      <c r="C735" t="s">
        <v>2578</v>
      </c>
      <c r="D735" t="s">
        <v>2579</v>
      </c>
      <c r="E735" t="s">
        <v>2543</v>
      </c>
      <c r="F735" t="s">
        <v>2580</v>
      </c>
      <c r="G735" t="s">
        <v>4094</v>
      </c>
      <c r="H735" t="s">
        <v>120</v>
      </c>
    </row>
    <row r="736" spans="1:9">
      <c r="A736" s="145" t="s">
        <v>4111</v>
      </c>
      <c r="B736" t="s">
        <v>2154</v>
      </c>
      <c r="C736" t="s">
        <v>2377</v>
      </c>
      <c r="D736" t="s">
        <v>2378</v>
      </c>
      <c r="E736" t="s">
        <v>1622</v>
      </c>
      <c r="F736" t="s">
        <v>2380</v>
      </c>
      <c r="G736" t="s">
        <v>4094</v>
      </c>
      <c r="H736" t="s">
        <v>1622</v>
      </c>
      <c r="I736" t="s">
        <v>3955</v>
      </c>
    </row>
    <row r="737" spans="1:9">
      <c r="A737" s="145" t="s">
        <v>4111</v>
      </c>
      <c r="B737" t="s">
        <v>2154</v>
      </c>
      <c r="C737" t="s">
        <v>2381</v>
      </c>
      <c r="E737" t="s">
        <v>1396</v>
      </c>
      <c r="G737" t="s">
        <v>4094</v>
      </c>
      <c r="H737" t="s">
        <v>1396</v>
      </c>
      <c r="I737" t="s">
        <v>3955</v>
      </c>
    </row>
    <row r="738" spans="1:9">
      <c r="A738" s="145" t="s">
        <v>4111</v>
      </c>
      <c r="B738" t="s">
        <v>2154</v>
      </c>
      <c r="C738" t="s">
        <v>2382</v>
      </c>
      <c r="E738" t="s">
        <v>2383</v>
      </c>
      <c r="G738" t="s">
        <v>4094</v>
      </c>
      <c r="H738" t="s">
        <v>2645</v>
      </c>
      <c r="I738" t="s">
        <v>3955</v>
      </c>
    </row>
    <row r="739" spans="1:9">
      <c r="A739" s="145" t="s">
        <v>4111</v>
      </c>
      <c r="B739" t="s">
        <v>2154</v>
      </c>
      <c r="C739" t="s">
        <v>2441</v>
      </c>
      <c r="D739" t="s">
        <v>2316</v>
      </c>
      <c r="E739" t="s">
        <v>120</v>
      </c>
      <c r="G739" t="s">
        <v>4094</v>
      </c>
      <c r="H739" t="s">
        <v>120</v>
      </c>
      <c r="I739" t="s">
        <v>3955</v>
      </c>
    </row>
    <row r="740" spans="1:9">
      <c r="A740" s="145" t="s">
        <v>4111</v>
      </c>
      <c r="B740" t="s">
        <v>2154</v>
      </c>
      <c r="C740" t="s">
        <v>2442</v>
      </c>
      <c r="D740" t="s">
        <v>2326</v>
      </c>
      <c r="E740" t="s">
        <v>120</v>
      </c>
      <c r="F740" t="s">
        <v>2443</v>
      </c>
      <c r="G740" t="s">
        <v>4094</v>
      </c>
      <c r="H740" t="s">
        <v>120</v>
      </c>
      <c r="I740" t="s">
        <v>3955</v>
      </c>
    </row>
    <row r="741" spans="1:9">
      <c r="A741" s="145" t="s">
        <v>4111</v>
      </c>
      <c r="B741" t="s">
        <v>2154</v>
      </c>
      <c r="C741" t="s">
        <v>2444</v>
      </c>
      <c r="E741" t="s">
        <v>120</v>
      </c>
      <c r="G741" t="s">
        <v>4094</v>
      </c>
      <c r="H741" t="s">
        <v>120</v>
      </c>
      <c r="I741" t="s">
        <v>3955</v>
      </c>
    </row>
    <row r="742" spans="1:9">
      <c r="A742" s="145" t="s">
        <v>4111</v>
      </c>
      <c r="B742" t="s">
        <v>2156</v>
      </c>
      <c r="C742" t="s">
        <v>2446</v>
      </c>
      <c r="D742" t="s">
        <v>2334</v>
      </c>
      <c r="E742" t="s">
        <v>120</v>
      </c>
      <c r="G742" t="s">
        <v>4094</v>
      </c>
      <c r="H742" t="s">
        <v>120</v>
      </c>
      <c r="I742" t="s">
        <v>3959</v>
      </c>
    </row>
    <row r="743" spans="1:9">
      <c r="A743" s="145" t="s">
        <v>4111</v>
      </c>
      <c r="B743" t="s">
        <v>2156</v>
      </c>
      <c r="C743" t="s">
        <v>2447</v>
      </c>
      <c r="D743" t="s">
        <v>2448</v>
      </c>
      <c r="E743" t="s">
        <v>120</v>
      </c>
      <c r="F743" t="s">
        <v>2449</v>
      </c>
      <c r="G743" t="s">
        <v>4094</v>
      </c>
      <c r="H743" t="s">
        <v>120</v>
      </c>
      <c r="I743" t="s">
        <v>3959</v>
      </c>
    </row>
    <row r="744" spans="1:9">
      <c r="A744" s="145" t="s">
        <v>4111</v>
      </c>
      <c r="B744" t="s">
        <v>2156</v>
      </c>
      <c r="C744" t="s">
        <v>2450</v>
      </c>
      <c r="D744" t="s">
        <v>2448</v>
      </c>
      <c r="E744" t="s">
        <v>120</v>
      </c>
      <c r="G744" t="s">
        <v>4094</v>
      </c>
      <c r="H744" t="s">
        <v>120</v>
      </c>
      <c r="I744" t="s">
        <v>3959</v>
      </c>
    </row>
    <row r="745" spans="1:9">
      <c r="A745" s="145" t="s">
        <v>4111</v>
      </c>
      <c r="B745" t="s">
        <v>2156</v>
      </c>
      <c r="C745" t="s">
        <v>2328</v>
      </c>
      <c r="E745" t="s">
        <v>2329</v>
      </c>
      <c r="F745" t="s">
        <v>2331</v>
      </c>
      <c r="G745" t="s">
        <v>4112</v>
      </c>
      <c r="H745" t="s">
        <v>2647</v>
      </c>
      <c r="I745" t="s">
        <v>3959</v>
      </c>
    </row>
    <row r="746" spans="1:9">
      <c r="A746" s="145" t="s">
        <v>4111</v>
      </c>
      <c r="B746" t="s">
        <v>2156</v>
      </c>
      <c r="C746" t="s">
        <v>2452</v>
      </c>
      <c r="D746" t="s">
        <v>2453</v>
      </c>
      <c r="E746" t="s">
        <v>120</v>
      </c>
      <c r="F746" t="s">
        <v>2454</v>
      </c>
      <c r="G746" t="s">
        <v>4094</v>
      </c>
      <c r="H746" t="s">
        <v>120</v>
      </c>
      <c r="I746" t="s">
        <v>3959</v>
      </c>
    </row>
    <row r="747" spans="1:9">
      <c r="A747" s="145" t="s">
        <v>4111</v>
      </c>
      <c r="B747" t="s">
        <v>3644</v>
      </c>
      <c r="C747" t="s">
        <v>2456</v>
      </c>
      <c r="D747" t="s">
        <v>2457</v>
      </c>
      <c r="E747" t="s">
        <v>120</v>
      </c>
      <c r="G747" t="s">
        <v>4094</v>
      </c>
      <c r="H747" t="s">
        <v>120</v>
      </c>
      <c r="I747" t="s">
        <v>3963</v>
      </c>
    </row>
    <row r="748" spans="1:9">
      <c r="A748" s="145" t="s">
        <v>4111</v>
      </c>
      <c r="B748" t="s">
        <v>3644</v>
      </c>
      <c r="C748" t="s">
        <v>2458</v>
      </c>
      <c r="D748" t="s">
        <v>2457</v>
      </c>
      <c r="E748" t="s">
        <v>2459</v>
      </c>
      <c r="G748" t="s">
        <v>4094</v>
      </c>
      <c r="H748" t="s">
        <v>120</v>
      </c>
      <c r="I748" t="s">
        <v>3963</v>
      </c>
    </row>
    <row r="749" spans="1:9">
      <c r="A749" s="145" t="s">
        <v>4111</v>
      </c>
      <c r="B749" t="s">
        <v>3644</v>
      </c>
      <c r="C749" t="s">
        <v>2460</v>
      </c>
      <c r="D749" t="s">
        <v>2457</v>
      </c>
      <c r="E749" t="s">
        <v>2461</v>
      </c>
      <c r="F749" t="s">
        <v>2462</v>
      </c>
      <c r="G749" t="s">
        <v>4094</v>
      </c>
      <c r="H749" t="s">
        <v>120</v>
      </c>
      <c r="I749" t="s">
        <v>3963</v>
      </c>
    </row>
    <row r="750" spans="1:9">
      <c r="A750" s="145" t="s">
        <v>4111</v>
      </c>
      <c r="B750" t="s">
        <v>3644</v>
      </c>
      <c r="C750" t="s">
        <v>2463</v>
      </c>
      <c r="D750" t="s">
        <v>2457</v>
      </c>
      <c r="E750" t="s">
        <v>120</v>
      </c>
      <c r="G750" t="s">
        <v>4094</v>
      </c>
      <c r="H750" t="s">
        <v>120</v>
      </c>
      <c r="I750" t="s">
        <v>3963</v>
      </c>
    </row>
    <row r="751" spans="1:9">
      <c r="A751" s="145" t="s">
        <v>4111</v>
      </c>
      <c r="B751" t="s">
        <v>2161</v>
      </c>
      <c r="C751" t="s">
        <v>2465</v>
      </c>
      <c r="D751" t="s">
        <v>2466</v>
      </c>
      <c r="E751" t="s">
        <v>2467</v>
      </c>
      <c r="G751" t="s">
        <v>4094</v>
      </c>
      <c r="H751" t="s">
        <v>120</v>
      </c>
      <c r="I751" t="s">
        <v>3967</v>
      </c>
    </row>
    <row r="752" spans="1:9">
      <c r="A752" s="145" t="s">
        <v>4111</v>
      </c>
      <c r="B752" t="s">
        <v>2161</v>
      </c>
      <c r="C752" t="s">
        <v>2387</v>
      </c>
      <c r="E752" t="s">
        <v>621</v>
      </c>
      <c r="F752" t="s">
        <v>2388</v>
      </c>
      <c r="G752" t="s">
        <v>4094</v>
      </c>
      <c r="H752" t="s">
        <v>621</v>
      </c>
      <c r="I752" t="s">
        <v>3967</v>
      </c>
    </row>
    <row r="753" spans="1:9">
      <c r="A753" s="145" t="s">
        <v>4111</v>
      </c>
      <c r="B753" t="s">
        <v>2161</v>
      </c>
      <c r="C753" t="s">
        <v>2389</v>
      </c>
      <c r="D753" t="s">
        <v>2390</v>
      </c>
      <c r="E753" t="s">
        <v>621</v>
      </c>
      <c r="F753" t="s">
        <v>2391</v>
      </c>
      <c r="G753" t="s">
        <v>4094</v>
      </c>
      <c r="H753" t="s">
        <v>621</v>
      </c>
      <c r="I753" t="s">
        <v>3967</v>
      </c>
    </row>
    <row r="754" spans="1:9">
      <c r="A754" s="145" t="s">
        <v>4111</v>
      </c>
      <c r="B754" t="s">
        <v>2161</v>
      </c>
      <c r="C754" t="s">
        <v>2468</v>
      </c>
      <c r="D754" t="s">
        <v>2390</v>
      </c>
      <c r="E754" t="s">
        <v>120</v>
      </c>
      <c r="G754" t="s">
        <v>4094</v>
      </c>
      <c r="H754" t="s">
        <v>120</v>
      </c>
      <c r="I754" t="s">
        <v>3967</v>
      </c>
    </row>
    <row r="755" spans="1:9">
      <c r="A755" s="145" t="s">
        <v>4111</v>
      </c>
      <c r="B755" t="s">
        <v>2161</v>
      </c>
      <c r="C755" t="s">
        <v>2469</v>
      </c>
      <c r="D755" t="s">
        <v>2466</v>
      </c>
      <c r="E755" t="s">
        <v>2470</v>
      </c>
      <c r="G755" t="s">
        <v>4094</v>
      </c>
      <c r="H755" t="s">
        <v>120</v>
      </c>
      <c r="I755" t="s">
        <v>3967</v>
      </c>
    </row>
    <row r="756" spans="1:9">
      <c r="A756" s="145" t="s">
        <v>4111</v>
      </c>
      <c r="B756" t="s">
        <v>2161</v>
      </c>
      <c r="C756" t="s">
        <v>2392</v>
      </c>
      <c r="D756" t="s">
        <v>2390</v>
      </c>
      <c r="E756" t="s">
        <v>2393</v>
      </c>
      <c r="F756" t="s">
        <v>2394</v>
      </c>
      <c r="G756" t="s">
        <v>4094</v>
      </c>
      <c r="H756" t="s">
        <v>2719</v>
      </c>
      <c r="I756" t="s">
        <v>3967</v>
      </c>
    </row>
    <row r="757" spans="1:9">
      <c r="A757" s="145" t="s">
        <v>4111</v>
      </c>
      <c r="B757" t="s">
        <v>2161</v>
      </c>
      <c r="C757" t="s">
        <v>2471</v>
      </c>
      <c r="D757" t="s">
        <v>2472</v>
      </c>
      <c r="E757" t="s">
        <v>120</v>
      </c>
      <c r="F757" t="s">
        <v>2473</v>
      </c>
      <c r="G757" t="s">
        <v>4094</v>
      </c>
      <c r="H757" t="s">
        <v>120</v>
      </c>
      <c r="I757" t="s">
        <v>3967</v>
      </c>
    </row>
    <row r="758" spans="1:9">
      <c r="A758" s="145" t="s">
        <v>4111</v>
      </c>
      <c r="B758" t="s">
        <v>2161</v>
      </c>
      <c r="C758" t="s">
        <v>2474</v>
      </c>
      <c r="D758" t="s">
        <v>2472</v>
      </c>
      <c r="E758" t="s">
        <v>120</v>
      </c>
      <c r="G758" t="s">
        <v>4094</v>
      </c>
      <c r="H758" t="s">
        <v>120</v>
      </c>
      <c r="I758" t="s">
        <v>3967</v>
      </c>
    </row>
    <row r="759" spans="1:9">
      <c r="A759" s="145" t="s">
        <v>4111</v>
      </c>
      <c r="B759" t="s">
        <v>2163</v>
      </c>
      <c r="C759" t="s">
        <v>2476</v>
      </c>
      <c r="D759" t="s">
        <v>2477</v>
      </c>
      <c r="E759" t="s">
        <v>120</v>
      </c>
      <c r="F759" t="s">
        <v>2478</v>
      </c>
      <c r="G759" t="s">
        <v>4094</v>
      </c>
      <c r="H759" t="s">
        <v>120</v>
      </c>
      <c r="I759" t="s">
        <v>3971</v>
      </c>
    </row>
    <row r="760" spans="1:9">
      <c r="A760" s="145" t="s">
        <v>4111</v>
      </c>
      <c r="B760" t="s">
        <v>2163</v>
      </c>
      <c r="C760" t="s">
        <v>2333</v>
      </c>
      <c r="D760" t="s">
        <v>2334</v>
      </c>
      <c r="E760" t="s">
        <v>2335</v>
      </c>
      <c r="G760" t="s">
        <v>4112</v>
      </c>
      <c r="H760" t="s">
        <v>2647</v>
      </c>
      <c r="I760" t="s">
        <v>3971</v>
      </c>
    </row>
    <row r="761" spans="1:9">
      <c r="A761" s="145" t="s">
        <v>4111</v>
      </c>
      <c r="B761" t="s">
        <v>2163</v>
      </c>
      <c r="C761" t="s">
        <v>2336</v>
      </c>
      <c r="D761" t="s">
        <v>2334</v>
      </c>
      <c r="E761" t="s">
        <v>2329</v>
      </c>
      <c r="G761" t="s">
        <v>4112</v>
      </c>
      <c r="H761" t="s">
        <v>2647</v>
      </c>
      <c r="I761" t="s">
        <v>3971</v>
      </c>
    </row>
    <row r="762" spans="1:9">
      <c r="A762" s="145" t="s">
        <v>4111</v>
      </c>
      <c r="B762" t="s">
        <v>2163</v>
      </c>
      <c r="C762" t="s">
        <v>2337</v>
      </c>
      <c r="D762" t="s">
        <v>2334</v>
      </c>
      <c r="E762" t="s">
        <v>2329</v>
      </c>
      <c r="G762" t="s">
        <v>4112</v>
      </c>
      <c r="H762" t="s">
        <v>2647</v>
      </c>
      <c r="I762" t="s">
        <v>3971</v>
      </c>
    </row>
    <row r="763" spans="1:9">
      <c r="A763" s="145" t="s">
        <v>4111</v>
      </c>
      <c r="B763" t="s">
        <v>2163</v>
      </c>
      <c r="C763" t="s">
        <v>2338</v>
      </c>
      <c r="D763" t="s">
        <v>2339</v>
      </c>
      <c r="E763" t="s">
        <v>2329</v>
      </c>
      <c r="G763" t="s">
        <v>4112</v>
      </c>
      <c r="H763" t="s">
        <v>2647</v>
      </c>
      <c r="I763" t="s">
        <v>3971</v>
      </c>
    </row>
    <row r="764" spans="1:9">
      <c r="A764" s="145" t="s">
        <v>4111</v>
      </c>
      <c r="B764" t="s">
        <v>2163</v>
      </c>
      <c r="C764" t="s">
        <v>2340</v>
      </c>
      <c r="E764" t="s">
        <v>2329</v>
      </c>
      <c r="G764" t="s">
        <v>4112</v>
      </c>
      <c r="H764" t="s">
        <v>2647</v>
      </c>
      <c r="I764" t="s">
        <v>3971</v>
      </c>
    </row>
    <row r="765" spans="1:9">
      <c r="A765" s="145" t="s">
        <v>4111</v>
      </c>
      <c r="B765" t="s">
        <v>2163</v>
      </c>
      <c r="C765" t="s">
        <v>2341</v>
      </c>
      <c r="E765" t="s">
        <v>2329</v>
      </c>
      <c r="G765" t="s">
        <v>4112</v>
      </c>
      <c r="H765" t="s">
        <v>2647</v>
      </c>
      <c r="I765" t="s">
        <v>3971</v>
      </c>
    </row>
    <row r="766" spans="1:9">
      <c r="A766" s="145" t="s">
        <v>4111</v>
      </c>
      <c r="B766" t="s">
        <v>2163</v>
      </c>
      <c r="C766" t="s">
        <v>2342</v>
      </c>
      <c r="E766" t="s">
        <v>2329</v>
      </c>
      <c r="G766" t="s">
        <v>4112</v>
      </c>
      <c r="H766" t="s">
        <v>2647</v>
      </c>
      <c r="I766" t="s">
        <v>3971</v>
      </c>
    </row>
    <row r="767" spans="1:9">
      <c r="A767" s="145" t="s">
        <v>4111</v>
      </c>
      <c r="B767" t="s">
        <v>2164</v>
      </c>
      <c r="C767" t="s">
        <v>2480</v>
      </c>
      <c r="D767" t="s">
        <v>2481</v>
      </c>
      <c r="E767" t="s">
        <v>120</v>
      </c>
      <c r="G767" t="s">
        <v>4094</v>
      </c>
      <c r="H767" t="s">
        <v>120</v>
      </c>
      <c r="I767" t="s">
        <v>3973</v>
      </c>
    </row>
    <row r="768" spans="1:9">
      <c r="A768" s="145" t="s">
        <v>4111</v>
      </c>
      <c r="B768" t="s">
        <v>2164</v>
      </c>
      <c r="C768" t="s">
        <v>2482</v>
      </c>
      <c r="D768" t="s">
        <v>2483</v>
      </c>
      <c r="E768" t="s">
        <v>120</v>
      </c>
      <c r="G768" t="s">
        <v>4094</v>
      </c>
      <c r="H768" t="s">
        <v>120</v>
      </c>
      <c r="I768" t="s">
        <v>3973</v>
      </c>
    </row>
    <row r="769" spans="1:9">
      <c r="A769" s="145" t="s">
        <v>4111</v>
      </c>
      <c r="B769" t="s">
        <v>2164</v>
      </c>
      <c r="C769" t="s">
        <v>2484</v>
      </c>
      <c r="D769" t="s">
        <v>2483</v>
      </c>
      <c r="E769" t="s">
        <v>2485</v>
      </c>
      <c r="F769" t="s">
        <v>2486</v>
      </c>
      <c r="G769" t="s">
        <v>4094</v>
      </c>
      <c r="H769" t="s">
        <v>120</v>
      </c>
      <c r="I769" t="s">
        <v>3973</v>
      </c>
    </row>
    <row r="770" spans="1:9">
      <c r="A770" s="145" t="s">
        <v>4111</v>
      </c>
      <c r="B770" t="s">
        <v>2164</v>
      </c>
      <c r="C770" t="s">
        <v>2487</v>
      </c>
      <c r="D770" t="s">
        <v>2488</v>
      </c>
      <c r="E770" t="s">
        <v>120</v>
      </c>
      <c r="G770" t="s">
        <v>4094</v>
      </c>
      <c r="H770" t="s">
        <v>120</v>
      </c>
      <c r="I770" t="s">
        <v>3973</v>
      </c>
    </row>
    <row r="771" spans="1:9">
      <c r="A771" s="145" t="s">
        <v>4111</v>
      </c>
      <c r="B771" t="s">
        <v>2164</v>
      </c>
      <c r="C771" t="s">
        <v>2344</v>
      </c>
      <c r="E771" t="s">
        <v>2345</v>
      </c>
      <c r="G771" t="s">
        <v>4094</v>
      </c>
      <c r="H771" t="s">
        <v>120</v>
      </c>
      <c r="I771" t="s">
        <v>3973</v>
      </c>
    </row>
    <row r="772" spans="1:9">
      <c r="A772" s="145" t="s">
        <v>4111</v>
      </c>
      <c r="B772" t="s">
        <v>2164</v>
      </c>
      <c r="C772" t="s">
        <v>2347</v>
      </c>
      <c r="E772" t="s">
        <v>2329</v>
      </c>
      <c r="G772" t="s">
        <v>4112</v>
      </c>
      <c r="H772" t="s">
        <v>2647</v>
      </c>
      <c r="I772" t="s">
        <v>3973</v>
      </c>
    </row>
    <row r="773" spans="1:9">
      <c r="A773" s="145" t="s">
        <v>4111</v>
      </c>
      <c r="B773" t="s">
        <v>2164</v>
      </c>
      <c r="C773" t="s">
        <v>2348</v>
      </c>
      <c r="E773" t="s">
        <v>2329</v>
      </c>
      <c r="G773" t="s">
        <v>4112</v>
      </c>
      <c r="H773" t="s">
        <v>2647</v>
      </c>
      <c r="I773" t="s">
        <v>3973</v>
      </c>
    </row>
    <row r="774" spans="1:9">
      <c r="A774" s="145" t="s">
        <v>4111</v>
      </c>
      <c r="B774" t="s">
        <v>2164</v>
      </c>
      <c r="C774" t="s">
        <v>2489</v>
      </c>
      <c r="D774" t="s">
        <v>2483</v>
      </c>
      <c r="E774" t="s">
        <v>2490</v>
      </c>
      <c r="G774" t="s">
        <v>4094</v>
      </c>
      <c r="H774" t="s">
        <v>2490</v>
      </c>
      <c r="I774" t="s">
        <v>3973</v>
      </c>
    </row>
    <row r="775" spans="1:9">
      <c r="A775" s="145" t="s">
        <v>4111</v>
      </c>
      <c r="B775" t="s">
        <v>2164</v>
      </c>
      <c r="C775" t="s">
        <v>2491</v>
      </c>
      <c r="D775" t="s">
        <v>2488</v>
      </c>
      <c r="E775" t="s">
        <v>120</v>
      </c>
      <c r="G775" t="s">
        <v>4094</v>
      </c>
      <c r="H775" t="s">
        <v>120</v>
      </c>
      <c r="I775" t="s">
        <v>3973</v>
      </c>
    </row>
    <row r="776" spans="1:9">
      <c r="A776" s="145" t="s">
        <v>4111</v>
      </c>
      <c r="B776" t="s">
        <v>2164</v>
      </c>
      <c r="C776" t="s">
        <v>2397</v>
      </c>
      <c r="E776" t="s">
        <v>621</v>
      </c>
      <c r="F776" t="s">
        <v>2398</v>
      </c>
      <c r="G776" t="s">
        <v>4094</v>
      </c>
      <c r="H776" t="s">
        <v>621</v>
      </c>
      <c r="I776" t="s">
        <v>3973</v>
      </c>
    </row>
    <row r="777" spans="1:9">
      <c r="A777" s="145" t="s">
        <v>4111</v>
      </c>
      <c r="B777" t="s">
        <v>2166</v>
      </c>
      <c r="C777" t="s">
        <v>2493</v>
      </c>
      <c r="E777" t="s">
        <v>2490</v>
      </c>
      <c r="G777" t="s">
        <v>4094</v>
      </c>
      <c r="H777" t="s">
        <v>2490</v>
      </c>
      <c r="I777" t="s">
        <v>3975</v>
      </c>
    </row>
    <row r="778" spans="1:9">
      <c r="A778" s="145" t="s">
        <v>4111</v>
      </c>
      <c r="B778" t="s">
        <v>2166</v>
      </c>
      <c r="C778" t="s">
        <v>2494</v>
      </c>
      <c r="E778" t="s">
        <v>2490</v>
      </c>
      <c r="G778" t="s">
        <v>4094</v>
      </c>
      <c r="H778" t="s">
        <v>2490</v>
      </c>
      <c r="I778" t="s">
        <v>3975</v>
      </c>
    </row>
    <row r="779" spans="1:9">
      <c r="A779" s="145" t="s">
        <v>4111</v>
      </c>
      <c r="B779" t="s">
        <v>2166</v>
      </c>
      <c r="C779" t="s">
        <v>2400</v>
      </c>
      <c r="E779" t="s">
        <v>2401</v>
      </c>
      <c r="G779" t="s">
        <v>4094</v>
      </c>
      <c r="H779" t="s">
        <v>2401</v>
      </c>
      <c r="I779" t="s">
        <v>3975</v>
      </c>
    </row>
    <row r="780" spans="1:9">
      <c r="A780" s="145" t="s">
        <v>4111</v>
      </c>
      <c r="B780" t="s">
        <v>2166</v>
      </c>
      <c r="C780" t="s">
        <v>2495</v>
      </c>
      <c r="D780" t="s">
        <v>2483</v>
      </c>
      <c r="E780" t="s">
        <v>120</v>
      </c>
      <c r="G780" t="s">
        <v>4094</v>
      </c>
      <c r="H780" t="s">
        <v>120</v>
      </c>
      <c r="I780" t="s">
        <v>3975</v>
      </c>
    </row>
    <row r="781" spans="1:9">
      <c r="A781" s="145" t="s">
        <v>4111</v>
      </c>
      <c r="B781" t="s">
        <v>2166</v>
      </c>
      <c r="C781" t="s">
        <v>2496</v>
      </c>
      <c r="D781" t="s">
        <v>2483</v>
      </c>
      <c r="E781" t="s">
        <v>120</v>
      </c>
      <c r="G781" t="s">
        <v>4094</v>
      </c>
      <c r="H781" t="s">
        <v>120</v>
      </c>
      <c r="I781" t="s">
        <v>3975</v>
      </c>
    </row>
    <row r="782" spans="1:9">
      <c r="A782" s="145" t="s">
        <v>4111</v>
      </c>
      <c r="B782" t="s">
        <v>2166</v>
      </c>
      <c r="C782" t="s">
        <v>2497</v>
      </c>
      <c r="D782" t="s">
        <v>2339</v>
      </c>
      <c r="E782" t="s">
        <v>120</v>
      </c>
      <c r="G782" t="s">
        <v>4094</v>
      </c>
      <c r="H782" t="s">
        <v>120</v>
      </c>
      <c r="I782" t="s">
        <v>3975</v>
      </c>
    </row>
    <row r="783" spans="1:9">
      <c r="A783" s="145" t="s">
        <v>4111</v>
      </c>
      <c r="B783" t="s">
        <v>2166</v>
      </c>
      <c r="C783" t="s">
        <v>2498</v>
      </c>
      <c r="D783" t="s">
        <v>2499</v>
      </c>
      <c r="E783" t="s">
        <v>2490</v>
      </c>
      <c r="G783" t="s">
        <v>4094</v>
      </c>
      <c r="H783" t="s">
        <v>2490</v>
      </c>
      <c r="I783" t="s">
        <v>3975</v>
      </c>
    </row>
    <row r="784" spans="1:9">
      <c r="A784" s="145" t="s">
        <v>4111</v>
      </c>
      <c r="B784" t="s">
        <v>2166</v>
      </c>
      <c r="C784" t="s">
        <v>2500</v>
      </c>
      <c r="D784" t="s">
        <v>2499</v>
      </c>
      <c r="E784" t="s">
        <v>2490</v>
      </c>
      <c r="G784" t="s">
        <v>4094</v>
      </c>
      <c r="H784" t="s">
        <v>2490</v>
      </c>
      <c r="I784" t="s">
        <v>3975</v>
      </c>
    </row>
    <row r="785" spans="1:9">
      <c r="A785" s="145" t="s">
        <v>4111</v>
      </c>
      <c r="B785" t="s">
        <v>2166</v>
      </c>
      <c r="C785" t="s">
        <v>2350</v>
      </c>
      <c r="E785" t="s">
        <v>2329</v>
      </c>
      <c r="G785" t="s">
        <v>4112</v>
      </c>
      <c r="H785" t="s">
        <v>2647</v>
      </c>
      <c r="I785" t="s">
        <v>3975</v>
      </c>
    </row>
    <row r="786" spans="1:9">
      <c r="A786" s="145" t="s">
        <v>4111</v>
      </c>
      <c r="B786" t="s">
        <v>2166</v>
      </c>
      <c r="C786" t="s">
        <v>2501</v>
      </c>
      <c r="D786" t="s">
        <v>2499</v>
      </c>
      <c r="E786" t="s">
        <v>120</v>
      </c>
      <c r="F786" t="s">
        <v>2502</v>
      </c>
      <c r="G786" t="s">
        <v>4094</v>
      </c>
      <c r="H786" t="s">
        <v>120</v>
      </c>
      <c r="I786" t="s">
        <v>3975</v>
      </c>
    </row>
    <row r="787" spans="1:9">
      <c r="A787" s="145" t="s">
        <v>4111</v>
      </c>
      <c r="B787" t="s">
        <v>2167</v>
      </c>
      <c r="C787" t="s">
        <v>2504</v>
      </c>
      <c r="D787" t="s">
        <v>2505</v>
      </c>
      <c r="E787" t="s">
        <v>120</v>
      </c>
      <c r="G787" t="s">
        <v>4094</v>
      </c>
      <c r="H787" t="s">
        <v>120</v>
      </c>
      <c r="I787" t="s">
        <v>3979</v>
      </c>
    </row>
    <row r="788" spans="1:9">
      <c r="A788" s="145" t="s">
        <v>4111</v>
      </c>
      <c r="B788" t="s">
        <v>2167</v>
      </c>
      <c r="C788" t="s">
        <v>2506</v>
      </c>
      <c r="D788" t="s">
        <v>2435</v>
      </c>
      <c r="E788" t="s">
        <v>120</v>
      </c>
      <c r="G788" t="s">
        <v>4094</v>
      </c>
      <c r="H788" t="s">
        <v>120</v>
      </c>
      <c r="I788" t="s">
        <v>3979</v>
      </c>
    </row>
    <row r="789" spans="1:9">
      <c r="A789" s="145" t="s">
        <v>4111</v>
      </c>
      <c r="B789" t="s">
        <v>2167</v>
      </c>
      <c r="C789" t="s">
        <v>2507</v>
      </c>
      <c r="D789" t="s">
        <v>2435</v>
      </c>
      <c r="E789" t="s">
        <v>120</v>
      </c>
      <c r="G789" t="s">
        <v>4094</v>
      </c>
      <c r="H789" t="s">
        <v>120</v>
      </c>
      <c r="I789" t="s">
        <v>3979</v>
      </c>
    </row>
    <row r="790" spans="1:9">
      <c r="A790" s="145" t="s">
        <v>4111</v>
      </c>
      <c r="B790" t="s">
        <v>2169</v>
      </c>
      <c r="C790" t="s">
        <v>2403</v>
      </c>
      <c r="D790" t="s">
        <v>2404</v>
      </c>
      <c r="E790" t="s">
        <v>621</v>
      </c>
      <c r="F790" t="s">
        <v>2405</v>
      </c>
      <c r="G790" t="s">
        <v>4094</v>
      </c>
      <c r="H790" t="s">
        <v>621</v>
      </c>
      <c r="I790" t="s">
        <v>3983</v>
      </c>
    </row>
    <row r="791" spans="1:9">
      <c r="A791" s="145" t="s">
        <v>4111</v>
      </c>
      <c r="B791" t="s">
        <v>2169</v>
      </c>
      <c r="C791" t="s">
        <v>2406</v>
      </c>
      <c r="D791" t="s">
        <v>2407</v>
      </c>
      <c r="E791" t="s">
        <v>2408</v>
      </c>
      <c r="F791" t="s">
        <v>2409</v>
      </c>
      <c r="G791" t="s">
        <v>4094</v>
      </c>
      <c r="H791" t="s">
        <v>621</v>
      </c>
      <c r="I791" t="s">
        <v>3983</v>
      </c>
    </row>
    <row r="792" spans="1:9">
      <c r="A792" s="145" t="s">
        <v>4111</v>
      </c>
      <c r="B792" t="s">
        <v>2169</v>
      </c>
      <c r="C792" t="s">
        <v>2509</v>
      </c>
      <c r="D792" t="s">
        <v>2353</v>
      </c>
      <c r="E792" t="s">
        <v>2490</v>
      </c>
      <c r="F792" t="s">
        <v>2510</v>
      </c>
      <c r="G792" t="s">
        <v>4094</v>
      </c>
      <c r="H792" t="s">
        <v>2490</v>
      </c>
      <c r="I792" t="s">
        <v>3983</v>
      </c>
    </row>
    <row r="793" spans="1:9">
      <c r="A793" s="145" t="s">
        <v>4111</v>
      </c>
      <c r="B793" t="s">
        <v>2169</v>
      </c>
      <c r="C793" t="s">
        <v>2511</v>
      </c>
      <c r="D793" t="s">
        <v>2407</v>
      </c>
      <c r="E793" t="s">
        <v>120</v>
      </c>
      <c r="F793" t="s">
        <v>2512</v>
      </c>
      <c r="G793" t="s">
        <v>4094</v>
      </c>
      <c r="H793" t="s">
        <v>120</v>
      </c>
      <c r="I793" t="s">
        <v>3983</v>
      </c>
    </row>
    <row r="794" spans="1:9">
      <c r="A794" s="145" t="s">
        <v>4111</v>
      </c>
      <c r="B794" t="s">
        <v>2169</v>
      </c>
      <c r="C794" t="s">
        <v>2513</v>
      </c>
      <c r="D794" t="s">
        <v>2404</v>
      </c>
      <c r="E794" t="s">
        <v>120</v>
      </c>
      <c r="F794" t="s">
        <v>2514</v>
      </c>
      <c r="G794" t="s">
        <v>4094</v>
      </c>
      <c r="H794" t="s">
        <v>120</v>
      </c>
      <c r="I794" t="s">
        <v>3983</v>
      </c>
    </row>
    <row r="795" spans="1:9">
      <c r="A795" s="145" t="s">
        <v>4111</v>
      </c>
      <c r="B795" t="s">
        <v>2169</v>
      </c>
      <c r="C795" t="s">
        <v>2515</v>
      </c>
      <c r="D795" t="s">
        <v>2516</v>
      </c>
      <c r="E795" t="s">
        <v>120</v>
      </c>
      <c r="F795" t="s">
        <v>2517</v>
      </c>
      <c r="G795" t="s">
        <v>4094</v>
      </c>
      <c r="H795" t="s">
        <v>120</v>
      </c>
      <c r="I795" t="s">
        <v>3983</v>
      </c>
    </row>
    <row r="796" spans="1:9">
      <c r="A796" s="145" t="s">
        <v>4111</v>
      </c>
      <c r="B796" t="s">
        <v>2169</v>
      </c>
      <c r="C796" t="s">
        <v>2358</v>
      </c>
      <c r="E796" t="s">
        <v>2329</v>
      </c>
      <c r="G796" t="s">
        <v>4112</v>
      </c>
      <c r="H796" t="s">
        <v>2647</v>
      </c>
      <c r="I796" t="s">
        <v>3983</v>
      </c>
    </row>
    <row r="797" spans="1:9">
      <c r="A797" s="145" t="s">
        <v>4111</v>
      </c>
      <c r="B797" t="s">
        <v>2173</v>
      </c>
      <c r="C797" t="s">
        <v>2411</v>
      </c>
      <c r="D797" t="s">
        <v>2412</v>
      </c>
      <c r="E797" t="s">
        <v>621</v>
      </c>
      <c r="G797" t="s">
        <v>4094</v>
      </c>
      <c r="H797" t="s">
        <v>621</v>
      </c>
      <c r="I797" t="s">
        <v>3987</v>
      </c>
    </row>
    <row r="798" spans="1:9">
      <c r="A798" s="145" t="s">
        <v>4111</v>
      </c>
      <c r="B798" t="s">
        <v>2173</v>
      </c>
      <c r="C798" t="s">
        <v>2519</v>
      </c>
      <c r="D798" t="s">
        <v>2407</v>
      </c>
      <c r="E798" t="s">
        <v>120</v>
      </c>
      <c r="F798" t="s">
        <v>2520</v>
      </c>
      <c r="G798" t="s">
        <v>4094</v>
      </c>
      <c r="H798" t="s">
        <v>120</v>
      </c>
      <c r="I798" t="s">
        <v>3987</v>
      </c>
    </row>
    <row r="799" spans="1:9">
      <c r="A799" s="145" t="s">
        <v>4111</v>
      </c>
      <c r="B799" t="s">
        <v>2173</v>
      </c>
      <c r="C799" t="s">
        <v>2521</v>
      </c>
      <c r="D799" t="s">
        <v>2407</v>
      </c>
      <c r="E799" t="s">
        <v>120</v>
      </c>
      <c r="G799" t="s">
        <v>4094</v>
      </c>
      <c r="H799" t="s">
        <v>120</v>
      </c>
      <c r="I799" t="s">
        <v>3987</v>
      </c>
    </row>
    <row r="800" spans="1:9">
      <c r="A800" s="145" t="s">
        <v>4111</v>
      </c>
      <c r="B800" t="s">
        <v>2173</v>
      </c>
      <c r="C800" t="s">
        <v>2522</v>
      </c>
      <c r="D800" t="s">
        <v>2523</v>
      </c>
      <c r="E800" t="s">
        <v>120</v>
      </c>
      <c r="F800" t="s">
        <v>2524</v>
      </c>
      <c r="G800" t="s">
        <v>4094</v>
      </c>
      <c r="H800" t="s">
        <v>120</v>
      </c>
      <c r="I800" t="s">
        <v>3987</v>
      </c>
    </row>
    <row r="801" spans="1:9">
      <c r="A801" s="145" t="s">
        <v>4111</v>
      </c>
      <c r="B801" t="s">
        <v>2173</v>
      </c>
      <c r="C801" t="s">
        <v>2525</v>
      </c>
      <c r="D801" t="s">
        <v>2412</v>
      </c>
      <c r="E801" t="s">
        <v>120</v>
      </c>
      <c r="F801" t="s">
        <v>2520</v>
      </c>
      <c r="G801" t="s">
        <v>4094</v>
      </c>
      <c r="H801" t="s">
        <v>120</v>
      </c>
      <c r="I801" t="s">
        <v>3987</v>
      </c>
    </row>
    <row r="802" spans="1:9">
      <c r="A802" s="145" t="s">
        <v>4111</v>
      </c>
      <c r="B802" t="s">
        <v>2173</v>
      </c>
      <c r="C802" t="s">
        <v>2526</v>
      </c>
      <c r="D802" t="s">
        <v>2412</v>
      </c>
      <c r="E802" t="s">
        <v>120</v>
      </c>
      <c r="F802" t="s">
        <v>2527</v>
      </c>
      <c r="G802" t="s">
        <v>4094</v>
      </c>
      <c r="H802" t="s">
        <v>120</v>
      </c>
      <c r="I802" t="s">
        <v>3987</v>
      </c>
    </row>
    <row r="803" spans="1:9">
      <c r="A803" s="145" t="s">
        <v>4111</v>
      </c>
      <c r="B803" t="s">
        <v>2173</v>
      </c>
      <c r="C803" t="s">
        <v>2528</v>
      </c>
      <c r="D803" t="s">
        <v>2529</v>
      </c>
      <c r="E803" t="s">
        <v>2490</v>
      </c>
      <c r="G803" t="s">
        <v>4094</v>
      </c>
      <c r="H803" t="s">
        <v>2490</v>
      </c>
      <c r="I803" t="s">
        <v>3987</v>
      </c>
    </row>
    <row r="804" spans="1:9">
      <c r="A804" s="145" t="s">
        <v>4111</v>
      </c>
      <c r="B804" t="s">
        <v>2173</v>
      </c>
      <c r="C804" t="s">
        <v>2413</v>
      </c>
      <c r="D804" t="s">
        <v>2407</v>
      </c>
      <c r="E804" t="s">
        <v>2414</v>
      </c>
      <c r="F804" t="s">
        <v>2416</v>
      </c>
      <c r="G804" t="s">
        <v>4094</v>
      </c>
      <c r="H804" t="s">
        <v>2657</v>
      </c>
      <c r="I804" t="s">
        <v>3987</v>
      </c>
    </row>
    <row r="805" spans="1:9">
      <c r="A805" s="145" t="s">
        <v>4111</v>
      </c>
      <c r="B805" t="s">
        <v>2173</v>
      </c>
      <c r="C805" t="s">
        <v>2532</v>
      </c>
      <c r="D805" t="s">
        <v>2529</v>
      </c>
      <c r="E805" t="s">
        <v>2533</v>
      </c>
      <c r="G805" t="s">
        <v>4094</v>
      </c>
      <c r="H805" t="s">
        <v>120</v>
      </c>
      <c r="I805" t="s">
        <v>3987</v>
      </c>
    </row>
    <row r="806" spans="1:9">
      <c r="A806" s="145" t="s">
        <v>4111</v>
      </c>
      <c r="B806" t="s">
        <v>2173</v>
      </c>
      <c r="C806" t="s">
        <v>2417</v>
      </c>
      <c r="E806" t="s">
        <v>621</v>
      </c>
      <c r="F806" t="s">
        <v>2361</v>
      </c>
      <c r="G806" t="s">
        <v>4094</v>
      </c>
      <c r="H806" t="s">
        <v>621</v>
      </c>
      <c r="I806" t="s">
        <v>3987</v>
      </c>
    </row>
    <row r="807" spans="1:9">
      <c r="A807" s="145" t="s">
        <v>4111</v>
      </c>
      <c r="B807" t="s">
        <v>2173</v>
      </c>
      <c r="C807" t="s">
        <v>2534</v>
      </c>
      <c r="D807" t="s">
        <v>2363</v>
      </c>
      <c r="E807" t="s">
        <v>120</v>
      </c>
      <c r="F807" t="s">
        <v>2535</v>
      </c>
      <c r="G807" t="s">
        <v>4094</v>
      </c>
      <c r="H807" t="s">
        <v>120</v>
      </c>
      <c r="I807" t="s">
        <v>3987</v>
      </c>
    </row>
    <row r="808" spans="1:9">
      <c r="A808" s="145" t="s">
        <v>4111</v>
      </c>
      <c r="B808" t="s">
        <v>2173</v>
      </c>
      <c r="C808" t="s">
        <v>2362</v>
      </c>
      <c r="D808" t="s">
        <v>2363</v>
      </c>
      <c r="E808" t="s">
        <v>2364</v>
      </c>
      <c r="G808" t="s">
        <v>4112</v>
      </c>
      <c r="H808" t="s">
        <v>2418</v>
      </c>
      <c r="I808" t="s">
        <v>3987</v>
      </c>
    </row>
    <row r="809" spans="1:9">
      <c r="A809" s="145" t="s">
        <v>4111</v>
      </c>
      <c r="B809" t="s">
        <v>2176</v>
      </c>
      <c r="C809" t="s">
        <v>2420</v>
      </c>
      <c r="E809" t="s">
        <v>621</v>
      </c>
      <c r="G809" t="s">
        <v>4094</v>
      </c>
      <c r="H809" t="s">
        <v>621</v>
      </c>
      <c r="I809" t="s">
        <v>3991</v>
      </c>
    </row>
    <row r="810" spans="1:9">
      <c r="A810" s="145" t="s">
        <v>4111</v>
      </c>
      <c r="B810" t="s">
        <v>2176</v>
      </c>
      <c r="C810" t="s">
        <v>2537</v>
      </c>
      <c r="D810" t="s">
        <v>2538</v>
      </c>
      <c r="E810" t="s">
        <v>120</v>
      </c>
      <c r="G810" t="s">
        <v>4094</v>
      </c>
      <c r="H810" t="s">
        <v>120</v>
      </c>
      <c r="I810" t="s">
        <v>3991</v>
      </c>
    </row>
    <row r="811" spans="1:9">
      <c r="A811" s="145" t="s">
        <v>4111</v>
      </c>
      <c r="B811" t="s">
        <v>2176</v>
      </c>
      <c r="C811" t="s">
        <v>2539</v>
      </c>
      <c r="D811" t="s">
        <v>2538</v>
      </c>
      <c r="E811" t="s">
        <v>2490</v>
      </c>
      <c r="F811" t="s">
        <v>2540</v>
      </c>
      <c r="G811" t="s">
        <v>4094</v>
      </c>
      <c r="H811" t="s">
        <v>2490</v>
      </c>
      <c r="I811" t="s">
        <v>3991</v>
      </c>
    </row>
    <row r="812" spans="1:9">
      <c r="A812" s="145" t="s">
        <v>4111</v>
      </c>
      <c r="B812" t="s">
        <v>2176</v>
      </c>
      <c r="C812" t="s">
        <v>2541</v>
      </c>
      <c r="D812" t="s">
        <v>2542</v>
      </c>
      <c r="E812" t="s">
        <v>2543</v>
      </c>
      <c r="G812" t="s">
        <v>4094</v>
      </c>
      <c r="H812" t="s">
        <v>120</v>
      </c>
      <c r="I812" t="s">
        <v>3991</v>
      </c>
    </row>
    <row r="813" spans="1:9">
      <c r="A813" s="145" t="s">
        <v>4111</v>
      </c>
      <c r="B813" t="s">
        <v>2176</v>
      </c>
      <c r="C813" t="s">
        <v>2421</v>
      </c>
      <c r="D813" t="s">
        <v>2422</v>
      </c>
      <c r="E813" t="s">
        <v>2423</v>
      </c>
      <c r="F813" t="s">
        <v>2425</v>
      </c>
      <c r="G813" t="s">
        <v>4094</v>
      </c>
      <c r="H813" t="s">
        <v>2659</v>
      </c>
      <c r="I813" t="s">
        <v>3991</v>
      </c>
    </row>
    <row r="814" spans="1:9">
      <c r="A814" s="145" t="s">
        <v>4111</v>
      </c>
      <c r="B814" t="s">
        <v>2176</v>
      </c>
      <c r="C814" t="s">
        <v>2545</v>
      </c>
      <c r="D814" t="s">
        <v>2422</v>
      </c>
      <c r="E814" t="s">
        <v>2461</v>
      </c>
      <c r="F814" t="s">
        <v>2546</v>
      </c>
      <c r="G814" t="s">
        <v>4094</v>
      </c>
      <c r="H814" t="s">
        <v>120</v>
      </c>
      <c r="I814" t="s">
        <v>3991</v>
      </c>
    </row>
    <row r="815" spans="1:9">
      <c r="A815" s="145" t="s">
        <v>4111</v>
      </c>
      <c r="B815" t="s">
        <v>2176</v>
      </c>
      <c r="C815" t="s">
        <v>2547</v>
      </c>
      <c r="D815" t="s">
        <v>2538</v>
      </c>
      <c r="E815" t="s">
        <v>2548</v>
      </c>
      <c r="G815" t="s">
        <v>4094</v>
      </c>
      <c r="H815" t="s">
        <v>120</v>
      </c>
      <c r="I815" t="s">
        <v>3991</v>
      </c>
    </row>
    <row r="816" spans="1:9">
      <c r="A816" s="145" t="s">
        <v>4111</v>
      </c>
      <c r="B816" t="s">
        <v>2176</v>
      </c>
      <c r="C816" t="s">
        <v>2549</v>
      </c>
      <c r="D816" t="s">
        <v>2538</v>
      </c>
      <c r="E816" t="s">
        <v>2550</v>
      </c>
      <c r="F816" t="s">
        <v>2551</v>
      </c>
      <c r="G816" t="s">
        <v>4094</v>
      </c>
      <c r="H816" t="s">
        <v>120</v>
      </c>
      <c r="I816" t="s">
        <v>3991</v>
      </c>
    </row>
    <row r="817" spans="1:9">
      <c r="A817" s="145" t="s">
        <v>4111</v>
      </c>
      <c r="B817" t="s">
        <v>2176</v>
      </c>
      <c r="C817" t="s">
        <v>2552</v>
      </c>
      <c r="D817" t="s">
        <v>2538</v>
      </c>
      <c r="E817" t="s">
        <v>2553</v>
      </c>
      <c r="G817" t="s">
        <v>4094</v>
      </c>
      <c r="H817" t="s">
        <v>120</v>
      </c>
      <c r="I817" t="s">
        <v>3991</v>
      </c>
    </row>
    <row r="818" spans="1:9">
      <c r="A818" s="145" t="s">
        <v>4111</v>
      </c>
      <c r="B818" t="s">
        <v>2178</v>
      </c>
      <c r="C818" t="s">
        <v>2427</v>
      </c>
      <c r="D818" t="s">
        <v>2370</v>
      </c>
      <c r="E818" t="s">
        <v>2428</v>
      </c>
      <c r="F818" t="s">
        <v>2429</v>
      </c>
      <c r="G818" t="s">
        <v>4094</v>
      </c>
      <c r="H818" t="s">
        <v>2719</v>
      </c>
      <c r="I818" t="s">
        <v>3995</v>
      </c>
    </row>
    <row r="819" spans="1:9">
      <c r="A819" s="145" t="s">
        <v>4111</v>
      </c>
      <c r="B819" t="s">
        <v>2178</v>
      </c>
      <c r="C819" t="s">
        <v>2555</v>
      </c>
      <c r="D819" t="s">
        <v>2363</v>
      </c>
      <c r="E819" t="s">
        <v>2556</v>
      </c>
      <c r="F819" t="s">
        <v>2557</v>
      </c>
      <c r="G819" t="s">
        <v>4094</v>
      </c>
      <c r="H819" t="s">
        <v>120</v>
      </c>
      <c r="I819" t="s">
        <v>3995</v>
      </c>
    </row>
    <row r="820" spans="1:9">
      <c r="A820" s="145" t="s">
        <v>4111</v>
      </c>
      <c r="B820" t="s">
        <v>2178</v>
      </c>
      <c r="C820" t="s">
        <v>2558</v>
      </c>
      <c r="D820" t="s">
        <v>2559</v>
      </c>
      <c r="E820" t="s">
        <v>2560</v>
      </c>
      <c r="F820" t="s">
        <v>2561</v>
      </c>
      <c r="G820" t="s">
        <v>4094</v>
      </c>
      <c r="H820" t="s">
        <v>120</v>
      </c>
      <c r="I820" t="s">
        <v>3995</v>
      </c>
    </row>
    <row r="821" spans="1:9">
      <c r="A821" s="145" t="s">
        <v>4111</v>
      </c>
      <c r="B821" t="s">
        <v>2178</v>
      </c>
      <c r="C821" t="s">
        <v>2562</v>
      </c>
      <c r="D821" t="s">
        <v>2370</v>
      </c>
      <c r="E821" t="s">
        <v>120</v>
      </c>
      <c r="F821" t="s">
        <v>2563</v>
      </c>
      <c r="G821" t="s">
        <v>4094</v>
      </c>
      <c r="H821" t="s">
        <v>120</v>
      </c>
      <c r="I821" t="s">
        <v>3995</v>
      </c>
    </row>
    <row r="822" spans="1:9">
      <c r="A822" s="145" t="s">
        <v>4111</v>
      </c>
      <c r="B822" t="s">
        <v>2178</v>
      </c>
      <c r="C822" t="s">
        <v>2372</v>
      </c>
      <c r="E822" t="s">
        <v>2329</v>
      </c>
      <c r="G822" t="s">
        <v>4112</v>
      </c>
      <c r="H822" t="s">
        <v>2647</v>
      </c>
      <c r="I822" t="s">
        <v>3995</v>
      </c>
    </row>
    <row r="823" spans="1:9">
      <c r="A823" s="145" t="s">
        <v>4111</v>
      </c>
      <c r="B823" t="s">
        <v>2178</v>
      </c>
      <c r="C823" t="s">
        <v>2564</v>
      </c>
      <c r="E823" t="s">
        <v>120</v>
      </c>
      <c r="G823" t="s">
        <v>4094</v>
      </c>
      <c r="H823" t="s">
        <v>120</v>
      </c>
      <c r="I823" t="s">
        <v>3995</v>
      </c>
    </row>
    <row r="824" spans="1:9">
      <c r="A824" s="145" t="s">
        <v>4111</v>
      </c>
      <c r="B824" t="s">
        <v>2178</v>
      </c>
      <c r="C824" t="s">
        <v>2565</v>
      </c>
      <c r="D824" t="s">
        <v>2370</v>
      </c>
      <c r="E824" t="s">
        <v>2566</v>
      </c>
      <c r="F824" t="s">
        <v>2567</v>
      </c>
      <c r="G824" t="s">
        <v>4094</v>
      </c>
      <c r="H824" t="s">
        <v>2566</v>
      </c>
      <c r="I824" t="s">
        <v>3995</v>
      </c>
    </row>
    <row r="825" spans="1:9">
      <c r="A825" s="145" t="s">
        <v>4111</v>
      </c>
      <c r="B825" t="s">
        <v>3874</v>
      </c>
      <c r="C825" t="s">
        <v>2374</v>
      </c>
      <c r="E825" t="s">
        <v>2329</v>
      </c>
      <c r="F825" t="s">
        <v>2375</v>
      </c>
      <c r="G825" t="s">
        <v>4112</v>
      </c>
      <c r="H825" t="s">
        <v>2647</v>
      </c>
    </row>
    <row r="826" spans="1:9">
      <c r="A826" s="145" t="s">
        <v>4111</v>
      </c>
      <c r="B826" t="s">
        <v>3874</v>
      </c>
      <c r="C826" t="s">
        <v>2569</v>
      </c>
      <c r="D826" t="s">
        <v>2570</v>
      </c>
      <c r="E826" t="s">
        <v>2571</v>
      </c>
      <c r="F826" t="s">
        <v>2437</v>
      </c>
      <c r="G826" t="s">
        <v>4094</v>
      </c>
      <c r="H826" t="s">
        <v>120</v>
      </c>
    </row>
    <row r="827" spans="1:9">
      <c r="A827" s="145" t="s">
        <v>4111</v>
      </c>
      <c r="B827" t="s">
        <v>3874</v>
      </c>
      <c r="C827" t="s">
        <v>2431</v>
      </c>
      <c r="D827" t="s">
        <v>2432</v>
      </c>
      <c r="E827" t="s">
        <v>621</v>
      </c>
      <c r="F827" t="s">
        <v>2433</v>
      </c>
      <c r="G827" t="s">
        <v>4094</v>
      </c>
      <c r="H827" t="s">
        <v>621</v>
      </c>
    </row>
    <row r="828" spans="1:9">
      <c r="A828" s="145" t="s">
        <v>4111</v>
      </c>
      <c r="B828" t="s">
        <v>3874</v>
      </c>
      <c r="C828" t="s">
        <v>2572</v>
      </c>
      <c r="D828" t="s">
        <v>2432</v>
      </c>
      <c r="E828" t="s">
        <v>120</v>
      </c>
      <c r="F828" t="s">
        <v>2573</v>
      </c>
      <c r="G828" t="s">
        <v>4094</v>
      </c>
      <c r="H828" t="s">
        <v>120</v>
      </c>
    </row>
    <row r="829" spans="1:9">
      <c r="A829" s="145" t="s">
        <v>4111</v>
      </c>
      <c r="B829" t="s">
        <v>3874</v>
      </c>
      <c r="C829" t="s">
        <v>2574</v>
      </c>
      <c r="D829" t="s">
        <v>2570</v>
      </c>
      <c r="E829" t="s">
        <v>120</v>
      </c>
      <c r="F829" t="s">
        <v>2573</v>
      </c>
      <c r="G829" t="s">
        <v>4094</v>
      </c>
      <c r="H829" t="s">
        <v>120</v>
      </c>
    </row>
    <row r="830" spans="1:9">
      <c r="A830" s="145" t="s">
        <v>4111</v>
      </c>
      <c r="B830" t="s">
        <v>3874</v>
      </c>
      <c r="C830" t="s">
        <v>2575</v>
      </c>
      <c r="D830" t="s">
        <v>2576</v>
      </c>
      <c r="E830" t="s">
        <v>2490</v>
      </c>
      <c r="F830" t="s">
        <v>2577</v>
      </c>
      <c r="G830" t="s">
        <v>4094</v>
      </c>
      <c r="H830" t="s">
        <v>2490</v>
      </c>
    </row>
    <row r="831" spans="1:9">
      <c r="A831" s="145" t="s">
        <v>4111</v>
      </c>
      <c r="B831" t="s">
        <v>3874</v>
      </c>
      <c r="C831" t="s">
        <v>2578</v>
      </c>
      <c r="D831" t="s">
        <v>2579</v>
      </c>
      <c r="E831" t="s">
        <v>2543</v>
      </c>
      <c r="F831" t="s">
        <v>2580</v>
      </c>
      <c r="G831" t="s">
        <v>4094</v>
      </c>
      <c r="H831" t="s">
        <v>120</v>
      </c>
    </row>
    <row r="832" spans="1:9">
      <c r="A832" s="145" t="s">
        <v>4111</v>
      </c>
      <c r="B832" t="s">
        <v>3874</v>
      </c>
      <c r="C832" t="s">
        <v>2434</v>
      </c>
      <c r="D832" t="s">
        <v>2435</v>
      </c>
      <c r="E832" t="s">
        <v>2436</v>
      </c>
      <c r="F832" t="s">
        <v>2437</v>
      </c>
      <c r="G832" t="s">
        <v>4094</v>
      </c>
      <c r="H832" t="s">
        <v>2436</v>
      </c>
    </row>
    <row r="833" spans="1:9">
      <c r="A833" s="145" t="s">
        <v>4113</v>
      </c>
      <c r="B833" t="s">
        <v>2154</v>
      </c>
      <c r="C833" t="s">
        <v>2315</v>
      </c>
      <c r="D833" t="s">
        <v>2316</v>
      </c>
      <c r="E833" t="s">
        <v>2317</v>
      </c>
      <c r="F833" t="s">
        <v>2320</v>
      </c>
      <c r="G833" t="s">
        <v>4114</v>
      </c>
      <c r="H833" t="s">
        <v>2319</v>
      </c>
      <c r="I833" t="s">
        <v>3955</v>
      </c>
    </row>
    <row r="834" spans="1:9">
      <c r="A834" s="145" t="s">
        <v>4113</v>
      </c>
      <c r="B834" t="s">
        <v>2154</v>
      </c>
      <c r="C834" t="s">
        <v>2377</v>
      </c>
      <c r="D834" t="s">
        <v>2378</v>
      </c>
      <c r="E834" t="s">
        <v>1622</v>
      </c>
      <c r="F834" t="s">
        <v>2380</v>
      </c>
      <c r="G834" t="s">
        <v>4094</v>
      </c>
      <c r="H834" t="s">
        <v>120</v>
      </c>
      <c r="I834" t="s">
        <v>3955</v>
      </c>
    </row>
    <row r="835" spans="1:9">
      <c r="A835" s="145" t="s">
        <v>4113</v>
      </c>
      <c r="B835" t="s">
        <v>2154</v>
      </c>
      <c r="C835" t="s">
        <v>2381</v>
      </c>
      <c r="E835" t="s">
        <v>1396</v>
      </c>
      <c r="G835" t="s">
        <v>4094</v>
      </c>
      <c r="H835" t="s">
        <v>1396</v>
      </c>
      <c r="I835" t="s">
        <v>3955</v>
      </c>
    </row>
    <row r="836" spans="1:9">
      <c r="A836" s="145" t="s">
        <v>4113</v>
      </c>
      <c r="B836" t="s">
        <v>2154</v>
      </c>
      <c r="C836" t="s">
        <v>2382</v>
      </c>
      <c r="E836" t="s">
        <v>2383</v>
      </c>
      <c r="G836" t="s">
        <v>4094</v>
      </c>
      <c r="H836" t="s">
        <v>2645</v>
      </c>
      <c r="I836" t="s">
        <v>3955</v>
      </c>
    </row>
    <row r="837" spans="1:9">
      <c r="A837" s="145" t="s">
        <v>4113</v>
      </c>
      <c r="B837" t="s">
        <v>2154</v>
      </c>
      <c r="C837" t="s">
        <v>2441</v>
      </c>
      <c r="D837" t="s">
        <v>2316</v>
      </c>
      <c r="E837" t="s">
        <v>120</v>
      </c>
      <c r="G837" t="s">
        <v>4094</v>
      </c>
      <c r="H837" t="s">
        <v>120</v>
      </c>
      <c r="I837" t="s">
        <v>3955</v>
      </c>
    </row>
    <row r="838" spans="1:9">
      <c r="A838" s="145" t="s">
        <v>4113</v>
      </c>
      <c r="B838" t="s">
        <v>2154</v>
      </c>
      <c r="C838" t="s">
        <v>2442</v>
      </c>
      <c r="D838" t="s">
        <v>2326</v>
      </c>
      <c r="E838" t="s">
        <v>120</v>
      </c>
      <c r="F838" t="s">
        <v>2443</v>
      </c>
      <c r="G838" t="s">
        <v>4094</v>
      </c>
      <c r="H838" t="s">
        <v>120</v>
      </c>
      <c r="I838" t="s">
        <v>3955</v>
      </c>
    </row>
    <row r="839" spans="1:9">
      <c r="A839" s="145" t="s">
        <v>4113</v>
      </c>
      <c r="B839" t="s">
        <v>2154</v>
      </c>
      <c r="C839" t="s">
        <v>2444</v>
      </c>
      <c r="E839" t="s">
        <v>120</v>
      </c>
      <c r="G839" t="s">
        <v>4094</v>
      </c>
      <c r="H839" t="s">
        <v>120</v>
      </c>
      <c r="I839" t="s">
        <v>3955</v>
      </c>
    </row>
    <row r="840" spans="1:9">
      <c r="A840" s="145" t="s">
        <v>4113</v>
      </c>
      <c r="B840" t="s">
        <v>2154</v>
      </c>
      <c r="C840" t="s">
        <v>2321</v>
      </c>
      <c r="D840" t="s">
        <v>2322</v>
      </c>
      <c r="E840" t="s">
        <v>2317</v>
      </c>
      <c r="G840" t="s">
        <v>4114</v>
      </c>
      <c r="H840" t="s">
        <v>2319</v>
      </c>
      <c r="I840" t="s">
        <v>3955</v>
      </c>
    </row>
    <row r="841" spans="1:9">
      <c r="A841" s="145" t="s">
        <v>4113</v>
      </c>
      <c r="B841" t="s">
        <v>2154</v>
      </c>
      <c r="C841" t="s">
        <v>2324</v>
      </c>
      <c r="D841" t="s">
        <v>2322</v>
      </c>
      <c r="E841" t="s">
        <v>2317</v>
      </c>
      <c r="G841" t="s">
        <v>4114</v>
      </c>
      <c r="H841" t="s">
        <v>2319</v>
      </c>
      <c r="I841" t="s">
        <v>3955</v>
      </c>
    </row>
    <row r="842" spans="1:9">
      <c r="A842" s="145" t="s">
        <v>4113</v>
      </c>
      <c r="B842" t="s">
        <v>2154</v>
      </c>
      <c r="C842" t="s">
        <v>2325</v>
      </c>
      <c r="D842" t="s">
        <v>2326</v>
      </c>
      <c r="E842" t="s">
        <v>2317</v>
      </c>
      <c r="G842" t="s">
        <v>4114</v>
      </c>
      <c r="H842" t="s">
        <v>2319</v>
      </c>
      <c r="I842" t="s">
        <v>3955</v>
      </c>
    </row>
    <row r="843" spans="1:9">
      <c r="A843" s="145" t="s">
        <v>4113</v>
      </c>
      <c r="B843" t="s">
        <v>2156</v>
      </c>
      <c r="C843" t="s">
        <v>2446</v>
      </c>
      <c r="D843" t="s">
        <v>2334</v>
      </c>
      <c r="E843" t="s">
        <v>120</v>
      </c>
      <c r="G843" t="s">
        <v>4094</v>
      </c>
      <c r="H843" t="s">
        <v>120</v>
      </c>
      <c r="I843" t="s">
        <v>3959</v>
      </c>
    </row>
    <row r="844" spans="1:9">
      <c r="A844" s="145" t="s">
        <v>4113</v>
      </c>
      <c r="B844" t="s">
        <v>2156</v>
      </c>
      <c r="C844" t="s">
        <v>2447</v>
      </c>
      <c r="D844" t="s">
        <v>2448</v>
      </c>
      <c r="E844" t="s">
        <v>120</v>
      </c>
      <c r="F844" t="s">
        <v>2449</v>
      </c>
      <c r="G844" t="s">
        <v>4094</v>
      </c>
      <c r="H844" t="s">
        <v>120</v>
      </c>
      <c r="I844" t="s">
        <v>3959</v>
      </c>
    </row>
    <row r="845" spans="1:9">
      <c r="A845" s="145" t="s">
        <v>4113</v>
      </c>
      <c r="B845" t="s">
        <v>2156</v>
      </c>
      <c r="C845" t="s">
        <v>2450</v>
      </c>
      <c r="D845" t="s">
        <v>2448</v>
      </c>
      <c r="E845" t="s">
        <v>120</v>
      </c>
      <c r="G845" t="s">
        <v>4094</v>
      </c>
      <c r="H845" t="s">
        <v>120</v>
      </c>
      <c r="I845" t="s">
        <v>3959</v>
      </c>
    </row>
    <row r="846" spans="1:9">
      <c r="A846" s="145" t="s">
        <v>4113</v>
      </c>
      <c r="B846" t="s">
        <v>2156</v>
      </c>
      <c r="C846" t="s">
        <v>2328</v>
      </c>
      <c r="E846" t="s">
        <v>2329</v>
      </c>
      <c r="F846" t="s">
        <v>2331</v>
      </c>
      <c r="G846" t="s">
        <v>4094</v>
      </c>
      <c r="H846" t="s">
        <v>2732</v>
      </c>
      <c r="I846" t="s">
        <v>3959</v>
      </c>
    </row>
    <row r="847" spans="1:9">
      <c r="A847" s="145" t="s">
        <v>4113</v>
      </c>
      <c r="B847" t="s">
        <v>2156</v>
      </c>
      <c r="C847" t="s">
        <v>2452</v>
      </c>
      <c r="D847" t="s">
        <v>2453</v>
      </c>
      <c r="E847" t="s">
        <v>120</v>
      </c>
      <c r="F847" t="s">
        <v>2454</v>
      </c>
      <c r="G847" t="s">
        <v>4094</v>
      </c>
      <c r="H847" t="s">
        <v>120</v>
      </c>
      <c r="I847" t="s">
        <v>3959</v>
      </c>
    </row>
    <row r="848" spans="1:9">
      <c r="A848" s="145" t="s">
        <v>4113</v>
      </c>
      <c r="B848" t="s">
        <v>3644</v>
      </c>
      <c r="C848" t="s">
        <v>2456</v>
      </c>
      <c r="D848" t="s">
        <v>2457</v>
      </c>
      <c r="E848" t="s">
        <v>120</v>
      </c>
      <c r="G848" t="s">
        <v>4094</v>
      </c>
      <c r="H848" t="s">
        <v>120</v>
      </c>
      <c r="I848" t="s">
        <v>3963</v>
      </c>
    </row>
    <row r="849" spans="1:9">
      <c r="A849" s="145" t="s">
        <v>4113</v>
      </c>
      <c r="B849" t="s">
        <v>3644</v>
      </c>
      <c r="C849" t="s">
        <v>2458</v>
      </c>
      <c r="D849" t="s">
        <v>2457</v>
      </c>
      <c r="E849" t="s">
        <v>2459</v>
      </c>
      <c r="G849" t="s">
        <v>4094</v>
      </c>
      <c r="H849" t="s">
        <v>120</v>
      </c>
      <c r="I849" t="s">
        <v>3963</v>
      </c>
    </row>
    <row r="850" spans="1:9">
      <c r="A850" s="145" t="s">
        <v>4113</v>
      </c>
      <c r="B850" t="s">
        <v>3644</v>
      </c>
      <c r="C850" t="s">
        <v>2460</v>
      </c>
      <c r="D850" t="s">
        <v>2457</v>
      </c>
      <c r="E850" t="s">
        <v>2461</v>
      </c>
      <c r="F850" t="s">
        <v>2462</v>
      </c>
      <c r="G850" t="s">
        <v>4094</v>
      </c>
      <c r="H850" t="s">
        <v>120</v>
      </c>
      <c r="I850" t="s">
        <v>3963</v>
      </c>
    </row>
    <row r="851" spans="1:9">
      <c r="A851" s="145" t="s">
        <v>4113</v>
      </c>
      <c r="B851" t="s">
        <v>3644</v>
      </c>
      <c r="C851" t="s">
        <v>2463</v>
      </c>
      <c r="D851" t="s">
        <v>2457</v>
      </c>
      <c r="E851" t="s">
        <v>120</v>
      </c>
      <c r="G851" t="s">
        <v>4094</v>
      </c>
      <c r="H851" t="s">
        <v>120</v>
      </c>
      <c r="I851" t="s">
        <v>3963</v>
      </c>
    </row>
    <row r="852" spans="1:9">
      <c r="A852" s="145" t="s">
        <v>4113</v>
      </c>
      <c r="B852" t="s">
        <v>2161</v>
      </c>
      <c r="C852" t="s">
        <v>2465</v>
      </c>
      <c r="D852" t="s">
        <v>2466</v>
      </c>
      <c r="E852" t="s">
        <v>2467</v>
      </c>
      <c r="G852" t="s">
        <v>4094</v>
      </c>
      <c r="H852" t="s">
        <v>120</v>
      </c>
      <c r="I852" t="s">
        <v>3967</v>
      </c>
    </row>
    <row r="853" spans="1:9">
      <c r="A853" s="145" t="s">
        <v>4113</v>
      </c>
      <c r="B853" t="s">
        <v>2161</v>
      </c>
      <c r="C853" t="s">
        <v>2468</v>
      </c>
      <c r="D853" t="s">
        <v>2390</v>
      </c>
      <c r="E853" t="s">
        <v>120</v>
      </c>
      <c r="G853" t="s">
        <v>4094</v>
      </c>
      <c r="H853" t="s">
        <v>120</v>
      </c>
      <c r="I853" t="s">
        <v>3967</v>
      </c>
    </row>
    <row r="854" spans="1:9">
      <c r="A854" s="145" t="s">
        <v>4113</v>
      </c>
      <c r="B854" t="s">
        <v>2161</v>
      </c>
      <c r="C854" t="s">
        <v>2469</v>
      </c>
      <c r="D854" t="s">
        <v>2466</v>
      </c>
      <c r="E854" t="s">
        <v>2470</v>
      </c>
      <c r="G854" t="s">
        <v>4094</v>
      </c>
      <c r="H854" t="s">
        <v>120</v>
      </c>
      <c r="I854" t="s">
        <v>3967</v>
      </c>
    </row>
    <row r="855" spans="1:9">
      <c r="A855" s="145" t="s">
        <v>4113</v>
      </c>
      <c r="B855" t="s">
        <v>2161</v>
      </c>
      <c r="C855" t="s">
        <v>2392</v>
      </c>
      <c r="D855" t="s">
        <v>2390</v>
      </c>
      <c r="E855" t="s">
        <v>2393</v>
      </c>
      <c r="F855" t="s">
        <v>2394</v>
      </c>
      <c r="G855" t="s">
        <v>4094</v>
      </c>
      <c r="H855" t="s">
        <v>120</v>
      </c>
      <c r="I855" t="s">
        <v>3967</v>
      </c>
    </row>
    <row r="856" spans="1:9">
      <c r="A856" s="145" t="s">
        <v>4113</v>
      </c>
      <c r="B856" t="s">
        <v>2161</v>
      </c>
      <c r="C856" t="s">
        <v>2471</v>
      </c>
      <c r="D856" t="s">
        <v>2472</v>
      </c>
      <c r="E856" t="s">
        <v>120</v>
      </c>
      <c r="F856" t="s">
        <v>2473</v>
      </c>
      <c r="G856" t="s">
        <v>4094</v>
      </c>
      <c r="H856" t="s">
        <v>120</v>
      </c>
      <c r="I856" t="s">
        <v>3967</v>
      </c>
    </row>
    <row r="857" spans="1:9">
      <c r="A857" s="145" t="s">
        <v>4113</v>
      </c>
      <c r="B857" t="s">
        <v>2161</v>
      </c>
      <c r="C857" t="s">
        <v>2474</v>
      </c>
      <c r="D857" t="s">
        <v>2472</v>
      </c>
      <c r="E857" t="s">
        <v>120</v>
      </c>
      <c r="G857" t="s">
        <v>4094</v>
      </c>
      <c r="H857" t="s">
        <v>120</v>
      </c>
      <c r="I857" t="s">
        <v>3967</v>
      </c>
    </row>
    <row r="858" spans="1:9">
      <c r="A858" s="145" t="s">
        <v>4113</v>
      </c>
      <c r="B858" t="s">
        <v>2163</v>
      </c>
      <c r="C858" t="s">
        <v>2476</v>
      </c>
      <c r="D858" t="s">
        <v>2477</v>
      </c>
      <c r="E858" t="s">
        <v>120</v>
      </c>
      <c r="F858" t="s">
        <v>2478</v>
      </c>
      <c r="G858" t="s">
        <v>4094</v>
      </c>
      <c r="H858" t="s">
        <v>120</v>
      </c>
      <c r="I858" t="s">
        <v>3971</v>
      </c>
    </row>
    <row r="859" spans="1:9">
      <c r="A859" s="145" t="s">
        <v>4113</v>
      </c>
      <c r="B859" t="s">
        <v>2163</v>
      </c>
      <c r="C859" t="s">
        <v>2333</v>
      </c>
      <c r="D859" t="s">
        <v>2334</v>
      </c>
      <c r="E859" t="s">
        <v>2335</v>
      </c>
      <c r="G859" t="s">
        <v>4094</v>
      </c>
      <c r="H859" t="s">
        <v>2732</v>
      </c>
      <c r="I859" t="s">
        <v>3971</v>
      </c>
    </row>
    <row r="860" spans="1:9">
      <c r="A860" s="145" t="s">
        <v>4113</v>
      </c>
      <c r="B860" t="s">
        <v>2163</v>
      </c>
      <c r="C860" t="s">
        <v>2336</v>
      </c>
      <c r="D860" t="s">
        <v>2334</v>
      </c>
      <c r="E860" t="s">
        <v>2329</v>
      </c>
      <c r="G860" t="s">
        <v>4094</v>
      </c>
      <c r="H860" t="s">
        <v>2732</v>
      </c>
      <c r="I860" t="s">
        <v>3971</v>
      </c>
    </row>
    <row r="861" spans="1:9">
      <c r="A861" s="145" t="s">
        <v>4113</v>
      </c>
      <c r="B861" t="s">
        <v>2163</v>
      </c>
      <c r="C861" t="s">
        <v>2337</v>
      </c>
      <c r="D861" t="s">
        <v>2334</v>
      </c>
      <c r="E861" t="s">
        <v>2329</v>
      </c>
      <c r="G861" t="s">
        <v>4094</v>
      </c>
      <c r="H861" t="s">
        <v>2732</v>
      </c>
      <c r="I861" t="s">
        <v>3971</v>
      </c>
    </row>
    <row r="862" spans="1:9">
      <c r="A862" s="145" t="s">
        <v>4113</v>
      </c>
      <c r="B862" t="s">
        <v>2163</v>
      </c>
      <c r="C862" t="s">
        <v>2338</v>
      </c>
      <c r="D862" t="s">
        <v>2339</v>
      </c>
      <c r="E862" t="s">
        <v>2329</v>
      </c>
      <c r="G862" t="s">
        <v>4094</v>
      </c>
      <c r="H862" t="s">
        <v>2732</v>
      </c>
      <c r="I862" t="s">
        <v>3971</v>
      </c>
    </row>
    <row r="863" spans="1:9">
      <c r="A863" s="145" t="s">
        <v>4113</v>
      </c>
      <c r="B863" t="s">
        <v>2163</v>
      </c>
      <c r="C863" t="s">
        <v>2340</v>
      </c>
      <c r="E863" t="s">
        <v>2329</v>
      </c>
      <c r="G863" t="s">
        <v>4094</v>
      </c>
      <c r="H863" t="s">
        <v>2732</v>
      </c>
      <c r="I863" t="s">
        <v>3971</v>
      </c>
    </row>
    <row r="864" spans="1:9">
      <c r="A864" s="145" t="s">
        <v>4113</v>
      </c>
      <c r="B864" t="s">
        <v>2163</v>
      </c>
      <c r="C864" t="s">
        <v>2341</v>
      </c>
      <c r="E864" t="s">
        <v>2329</v>
      </c>
      <c r="G864" t="s">
        <v>4094</v>
      </c>
      <c r="H864" t="s">
        <v>2732</v>
      </c>
      <c r="I864" t="s">
        <v>3971</v>
      </c>
    </row>
    <row r="865" spans="1:9">
      <c r="A865" s="145" t="s">
        <v>4113</v>
      </c>
      <c r="B865" t="s">
        <v>2163</v>
      </c>
      <c r="C865" t="s">
        <v>2342</v>
      </c>
      <c r="E865" t="s">
        <v>2329</v>
      </c>
      <c r="G865" t="s">
        <v>4094</v>
      </c>
      <c r="H865" t="s">
        <v>2732</v>
      </c>
      <c r="I865" t="s">
        <v>3971</v>
      </c>
    </row>
    <row r="866" spans="1:9">
      <c r="A866" s="145" t="s">
        <v>4113</v>
      </c>
      <c r="B866" t="s">
        <v>2164</v>
      </c>
      <c r="C866" t="s">
        <v>2480</v>
      </c>
      <c r="D866" t="s">
        <v>2481</v>
      </c>
      <c r="E866" t="s">
        <v>120</v>
      </c>
      <c r="G866" t="s">
        <v>4094</v>
      </c>
      <c r="H866" t="s">
        <v>120</v>
      </c>
      <c r="I866" t="s">
        <v>3973</v>
      </c>
    </row>
    <row r="867" spans="1:9">
      <c r="A867" s="145" t="s">
        <v>4113</v>
      </c>
      <c r="B867" t="s">
        <v>2164</v>
      </c>
      <c r="C867" t="s">
        <v>2482</v>
      </c>
      <c r="D867" t="s">
        <v>2483</v>
      </c>
      <c r="E867" t="s">
        <v>120</v>
      </c>
      <c r="G867" t="s">
        <v>4094</v>
      </c>
      <c r="H867" t="s">
        <v>120</v>
      </c>
      <c r="I867" t="s">
        <v>3973</v>
      </c>
    </row>
    <row r="868" spans="1:9">
      <c r="A868" s="145" t="s">
        <v>4113</v>
      </c>
      <c r="B868" t="s">
        <v>2164</v>
      </c>
      <c r="C868" t="s">
        <v>2484</v>
      </c>
      <c r="D868" t="s">
        <v>2483</v>
      </c>
      <c r="E868" t="s">
        <v>2485</v>
      </c>
      <c r="F868" t="s">
        <v>2486</v>
      </c>
      <c r="G868" t="s">
        <v>4094</v>
      </c>
      <c r="H868" t="s">
        <v>120</v>
      </c>
      <c r="I868" t="s">
        <v>3973</v>
      </c>
    </row>
    <row r="869" spans="1:9">
      <c r="A869" s="145" t="s">
        <v>4113</v>
      </c>
      <c r="B869" t="s">
        <v>2164</v>
      </c>
      <c r="C869" t="s">
        <v>2487</v>
      </c>
      <c r="D869" t="s">
        <v>2488</v>
      </c>
      <c r="E869" t="s">
        <v>120</v>
      </c>
      <c r="G869" t="s">
        <v>4094</v>
      </c>
      <c r="H869" t="s">
        <v>120</v>
      </c>
      <c r="I869" t="s">
        <v>3973</v>
      </c>
    </row>
    <row r="870" spans="1:9">
      <c r="A870" s="145" t="s">
        <v>4113</v>
      </c>
      <c r="B870" t="s">
        <v>2164</v>
      </c>
      <c r="C870" t="s">
        <v>2344</v>
      </c>
      <c r="E870" t="s">
        <v>2345</v>
      </c>
      <c r="G870" t="s">
        <v>4094</v>
      </c>
      <c r="H870" t="s">
        <v>120</v>
      </c>
      <c r="I870" t="s">
        <v>3973</v>
      </c>
    </row>
    <row r="871" spans="1:9">
      <c r="A871" s="145" t="s">
        <v>4113</v>
      </c>
      <c r="B871" t="s">
        <v>2164</v>
      </c>
      <c r="C871" t="s">
        <v>2347</v>
      </c>
      <c r="E871" t="s">
        <v>2329</v>
      </c>
      <c r="G871" t="s">
        <v>4094</v>
      </c>
      <c r="H871" t="s">
        <v>2732</v>
      </c>
      <c r="I871" t="s">
        <v>3973</v>
      </c>
    </row>
    <row r="872" spans="1:9">
      <c r="A872" s="145" t="s">
        <v>4113</v>
      </c>
      <c r="B872" t="s">
        <v>2164</v>
      </c>
      <c r="C872" t="s">
        <v>2348</v>
      </c>
      <c r="E872" t="s">
        <v>2329</v>
      </c>
      <c r="G872" t="s">
        <v>4094</v>
      </c>
      <c r="H872" t="s">
        <v>2732</v>
      </c>
      <c r="I872" t="s">
        <v>3973</v>
      </c>
    </row>
    <row r="873" spans="1:9">
      <c r="A873" s="145" t="s">
        <v>4113</v>
      </c>
      <c r="B873" t="s">
        <v>2164</v>
      </c>
      <c r="C873" t="s">
        <v>2489</v>
      </c>
      <c r="D873" t="s">
        <v>2483</v>
      </c>
      <c r="E873" t="s">
        <v>2490</v>
      </c>
      <c r="G873" t="s">
        <v>4094</v>
      </c>
      <c r="H873" t="s">
        <v>2490</v>
      </c>
      <c r="I873" t="s">
        <v>3973</v>
      </c>
    </row>
    <row r="874" spans="1:9">
      <c r="A874" s="145" t="s">
        <v>4113</v>
      </c>
      <c r="B874" t="s">
        <v>2164</v>
      </c>
      <c r="C874" t="s">
        <v>2491</v>
      </c>
      <c r="D874" t="s">
        <v>2488</v>
      </c>
      <c r="E874" t="s">
        <v>120</v>
      </c>
      <c r="G874" t="s">
        <v>4094</v>
      </c>
      <c r="H874" t="s">
        <v>120</v>
      </c>
      <c r="I874" t="s">
        <v>3973</v>
      </c>
    </row>
    <row r="875" spans="1:9">
      <c r="A875" s="145" t="s">
        <v>4113</v>
      </c>
      <c r="B875" t="s">
        <v>2166</v>
      </c>
      <c r="C875" t="s">
        <v>2493</v>
      </c>
      <c r="E875" t="s">
        <v>2490</v>
      </c>
      <c r="G875" t="s">
        <v>4094</v>
      </c>
      <c r="H875" t="s">
        <v>2490</v>
      </c>
      <c r="I875" t="s">
        <v>3975</v>
      </c>
    </row>
    <row r="876" spans="1:9">
      <c r="A876" s="145" t="s">
        <v>4113</v>
      </c>
      <c r="B876" t="s">
        <v>2166</v>
      </c>
      <c r="C876" t="s">
        <v>2494</v>
      </c>
      <c r="E876" t="s">
        <v>2490</v>
      </c>
      <c r="G876" t="s">
        <v>4094</v>
      </c>
      <c r="H876" t="s">
        <v>2490</v>
      </c>
      <c r="I876" t="s">
        <v>3975</v>
      </c>
    </row>
    <row r="877" spans="1:9">
      <c r="A877" s="145" t="s">
        <v>4113</v>
      </c>
      <c r="B877" t="s">
        <v>2166</v>
      </c>
      <c r="C877" t="s">
        <v>2400</v>
      </c>
      <c r="E877" t="s">
        <v>2401</v>
      </c>
      <c r="G877" t="s">
        <v>4094</v>
      </c>
      <c r="H877" t="s">
        <v>2490</v>
      </c>
      <c r="I877" t="s">
        <v>3975</v>
      </c>
    </row>
    <row r="878" spans="1:9">
      <c r="A878" s="145" t="s">
        <v>4113</v>
      </c>
      <c r="B878" t="s">
        <v>2166</v>
      </c>
      <c r="C878" t="s">
        <v>2495</v>
      </c>
      <c r="D878" t="s">
        <v>2483</v>
      </c>
      <c r="E878" t="s">
        <v>120</v>
      </c>
      <c r="G878" t="s">
        <v>4094</v>
      </c>
      <c r="H878" t="s">
        <v>120</v>
      </c>
      <c r="I878" t="s">
        <v>3975</v>
      </c>
    </row>
    <row r="879" spans="1:9">
      <c r="A879" s="145" t="s">
        <v>4113</v>
      </c>
      <c r="B879" t="s">
        <v>2166</v>
      </c>
      <c r="C879" t="s">
        <v>2496</v>
      </c>
      <c r="D879" t="s">
        <v>2483</v>
      </c>
      <c r="E879" t="s">
        <v>120</v>
      </c>
      <c r="G879" t="s">
        <v>4094</v>
      </c>
      <c r="H879" t="s">
        <v>120</v>
      </c>
      <c r="I879" t="s">
        <v>3975</v>
      </c>
    </row>
    <row r="880" spans="1:9">
      <c r="A880" s="145" t="s">
        <v>4113</v>
      </c>
      <c r="B880" t="s">
        <v>2166</v>
      </c>
      <c r="C880" t="s">
        <v>2497</v>
      </c>
      <c r="D880" t="s">
        <v>2339</v>
      </c>
      <c r="E880" t="s">
        <v>120</v>
      </c>
      <c r="G880" t="s">
        <v>4094</v>
      </c>
      <c r="H880" t="s">
        <v>120</v>
      </c>
      <c r="I880" t="s">
        <v>3975</v>
      </c>
    </row>
    <row r="881" spans="1:9">
      <c r="A881" s="145" t="s">
        <v>4113</v>
      </c>
      <c r="B881" t="s">
        <v>2166</v>
      </c>
      <c r="C881" t="s">
        <v>2498</v>
      </c>
      <c r="D881" t="s">
        <v>2499</v>
      </c>
      <c r="E881" t="s">
        <v>2490</v>
      </c>
      <c r="G881" t="s">
        <v>4094</v>
      </c>
      <c r="H881" t="s">
        <v>2490</v>
      </c>
      <c r="I881" t="s">
        <v>3975</v>
      </c>
    </row>
    <row r="882" spans="1:9">
      <c r="A882" s="145" t="s">
        <v>4113</v>
      </c>
      <c r="B882" t="s">
        <v>2166</v>
      </c>
      <c r="C882" t="s">
        <v>2500</v>
      </c>
      <c r="D882" t="s">
        <v>2499</v>
      </c>
      <c r="E882" t="s">
        <v>2490</v>
      </c>
      <c r="G882" t="s">
        <v>4094</v>
      </c>
      <c r="H882" t="s">
        <v>2490</v>
      </c>
      <c r="I882" t="s">
        <v>3975</v>
      </c>
    </row>
    <row r="883" spans="1:9">
      <c r="A883" s="145" t="s">
        <v>4113</v>
      </c>
      <c r="B883" t="s">
        <v>2166</v>
      </c>
      <c r="C883" t="s">
        <v>2350</v>
      </c>
      <c r="E883" t="s">
        <v>2329</v>
      </c>
      <c r="G883" t="s">
        <v>4094</v>
      </c>
      <c r="H883" t="s">
        <v>2732</v>
      </c>
      <c r="I883" t="s">
        <v>3975</v>
      </c>
    </row>
    <row r="884" spans="1:9">
      <c r="A884" s="145" t="s">
        <v>4113</v>
      </c>
      <c r="B884" t="s">
        <v>2166</v>
      </c>
      <c r="C884" t="s">
        <v>2501</v>
      </c>
      <c r="D884" t="s">
        <v>2499</v>
      </c>
      <c r="E884" t="s">
        <v>120</v>
      </c>
      <c r="F884" t="s">
        <v>2502</v>
      </c>
      <c r="G884" t="s">
        <v>4094</v>
      </c>
      <c r="H884" t="s">
        <v>120</v>
      </c>
      <c r="I884" t="s">
        <v>3975</v>
      </c>
    </row>
    <row r="885" spans="1:9">
      <c r="A885" s="145" t="s">
        <v>4113</v>
      </c>
      <c r="B885" t="s">
        <v>2167</v>
      </c>
      <c r="C885" t="s">
        <v>2504</v>
      </c>
      <c r="D885" t="s">
        <v>2505</v>
      </c>
      <c r="E885" t="s">
        <v>120</v>
      </c>
      <c r="G885" t="s">
        <v>4094</v>
      </c>
      <c r="H885" t="s">
        <v>120</v>
      </c>
      <c r="I885" t="s">
        <v>3979</v>
      </c>
    </row>
    <row r="886" spans="1:9">
      <c r="A886" s="145" t="s">
        <v>4113</v>
      </c>
      <c r="B886" t="s">
        <v>2167</v>
      </c>
      <c r="C886" t="s">
        <v>2506</v>
      </c>
      <c r="D886" t="s">
        <v>2435</v>
      </c>
      <c r="E886" t="s">
        <v>120</v>
      </c>
      <c r="G886" t="s">
        <v>4094</v>
      </c>
      <c r="H886" t="s">
        <v>120</v>
      </c>
      <c r="I886" t="s">
        <v>3979</v>
      </c>
    </row>
    <row r="887" spans="1:9">
      <c r="A887" s="145" t="s">
        <v>4113</v>
      </c>
      <c r="B887" t="s">
        <v>2167</v>
      </c>
      <c r="C887" t="s">
        <v>2507</v>
      </c>
      <c r="D887" t="s">
        <v>2435</v>
      </c>
      <c r="E887" t="s">
        <v>120</v>
      </c>
      <c r="G887" t="s">
        <v>4094</v>
      </c>
      <c r="H887" t="s">
        <v>120</v>
      </c>
      <c r="I887" t="s">
        <v>3979</v>
      </c>
    </row>
    <row r="888" spans="1:9">
      <c r="A888" s="145" t="s">
        <v>4113</v>
      </c>
      <c r="B888" t="s">
        <v>2169</v>
      </c>
      <c r="C888" t="s">
        <v>2352</v>
      </c>
      <c r="D888" t="s">
        <v>2353</v>
      </c>
      <c r="E888" t="s">
        <v>2317</v>
      </c>
      <c r="F888" t="s">
        <v>2354</v>
      </c>
      <c r="G888" t="s">
        <v>4114</v>
      </c>
      <c r="H888" t="s">
        <v>2319</v>
      </c>
      <c r="I888" t="s">
        <v>3983</v>
      </c>
    </row>
    <row r="889" spans="1:9">
      <c r="A889" s="145" t="s">
        <v>4113</v>
      </c>
      <c r="B889" t="s">
        <v>2169</v>
      </c>
      <c r="C889" t="s">
        <v>2355</v>
      </c>
      <c r="D889" t="s">
        <v>2356</v>
      </c>
      <c r="E889" t="s">
        <v>2317</v>
      </c>
      <c r="F889" t="s">
        <v>2357</v>
      </c>
      <c r="G889" t="s">
        <v>4114</v>
      </c>
      <c r="H889" t="s">
        <v>2319</v>
      </c>
      <c r="I889" t="s">
        <v>3983</v>
      </c>
    </row>
    <row r="890" spans="1:9">
      <c r="A890" s="145" t="s">
        <v>4113</v>
      </c>
      <c r="B890" t="s">
        <v>2169</v>
      </c>
      <c r="C890" t="s">
        <v>2509</v>
      </c>
      <c r="D890" t="s">
        <v>2353</v>
      </c>
      <c r="E890" t="s">
        <v>2490</v>
      </c>
      <c r="F890" t="s">
        <v>2510</v>
      </c>
      <c r="G890" t="s">
        <v>4094</v>
      </c>
      <c r="H890" t="s">
        <v>2490</v>
      </c>
      <c r="I890" t="s">
        <v>3983</v>
      </c>
    </row>
    <row r="891" spans="1:9">
      <c r="A891" s="145" t="s">
        <v>4113</v>
      </c>
      <c r="B891" t="s">
        <v>2169</v>
      </c>
      <c r="C891" t="s">
        <v>2511</v>
      </c>
      <c r="D891" t="s">
        <v>2407</v>
      </c>
      <c r="E891" t="s">
        <v>120</v>
      </c>
      <c r="F891" t="s">
        <v>2512</v>
      </c>
      <c r="G891" t="s">
        <v>4094</v>
      </c>
      <c r="H891" t="s">
        <v>120</v>
      </c>
      <c r="I891" t="s">
        <v>3983</v>
      </c>
    </row>
    <row r="892" spans="1:9">
      <c r="A892" s="145" t="s">
        <v>4113</v>
      </c>
      <c r="B892" t="s">
        <v>2169</v>
      </c>
      <c r="C892" t="s">
        <v>2513</v>
      </c>
      <c r="D892" t="s">
        <v>2404</v>
      </c>
      <c r="E892" t="s">
        <v>120</v>
      </c>
      <c r="F892" t="s">
        <v>2514</v>
      </c>
      <c r="G892" t="s">
        <v>4094</v>
      </c>
      <c r="H892" t="s">
        <v>120</v>
      </c>
      <c r="I892" t="s">
        <v>3983</v>
      </c>
    </row>
    <row r="893" spans="1:9">
      <c r="A893" s="145" t="s">
        <v>4113</v>
      </c>
      <c r="B893" t="s">
        <v>2169</v>
      </c>
      <c r="C893" t="s">
        <v>2515</v>
      </c>
      <c r="D893" t="s">
        <v>2516</v>
      </c>
      <c r="E893" t="s">
        <v>120</v>
      </c>
      <c r="F893" t="s">
        <v>2517</v>
      </c>
      <c r="G893" t="s">
        <v>4094</v>
      </c>
      <c r="H893" t="s">
        <v>120</v>
      </c>
      <c r="I893" t="s">
        <v>3983</v>
      </c>
    </row>
    <row r="894" spans="1:9">
      <c r="A894" s="145" t="s">
        <v>4113</v>
      </c>
      <c r="B894" t="s">
        <v>2169</v>
      </c>
      <c r="C894" t="s">
        <v>2358</v>
      </c>
      <c r="E894" t="s">
        <v>2329</v>
      </c>
      <c r="G894" t="s">
        <v>4094</v>
      </c>
      <c r="H894" t="s">
        <v>2732</v>
      </c>
      <c r="I894" t="s">
        <v>3983</v>
      </c>
    </row>
    <row r="895" spans="1:9">
      <c r="A895" s="145" t="s">
        <v>4113</v>
      </c>
      <c r="B895" t="s">
        <v>2173</v>
      </c>
      <c r="C895" t="s">
        <v>2519</v>
      </c>
      <c r="D895" t="s">
        <v>2407</v>
      </c>
      <c r="E895" t="s">
        <v>120</v>
      </c>
      <c r="F895" t="s">
        <v>2520</v>
      </c>
      <c r="G895" t="s">
        <v>4094</v>
      </c>
      <c r="H895" t="s">
        <v>120</v>
      </c>
      <c r="I895" t="s">
        <v>3987</v>
      </c>
    </row>
    <row r="896" spans="1:9">
      <c r="A896" s="145" t="s">
        <v>4113</v>
      </c>
      <c r="B896" t="s">
        <v>2173</v>
      </c>
      <c r="C896" t="s">
        <v>2521</v>
      </c>
      <c r="D896" t="s">
        <v>2407</v>
      </c>
      <c r="E896" t="s">
        <v>120</v>
      </c>
      <c r="G896" t="s">
        <v>4094</v>
      </c>
      <c r="H896" t="s">
        <v>120</v>
      </c>
      <c r="I896" t="s">
        <v>3987</v>
      </c>
    </row>
    <row r="897" spans="1:9">
      <c r="A897" s="145" t="s">
        <v>4113</v>
      </c>
      <c r="B897" t="s">
        <v>2173</v>
      </c>
      <c r="C897" t="s">
        <v>2522</v>
      </c>
      <c r="D897" t="s">
        <v>2523</v>
      </c>
      <c r="E897" t="s">
        <v>120</v>
      </c>
      <c r="F897" t="s">
        <v>2524</v>
      </c>
      <c r="G897" t="s">
        <v>4094</v>
      </c>
      <c r="H897" t="s">
        <v>120</v>
      </c>
      <c r="I897" t="s">
        <v>3987</v>
      </c>
    </row>
    <row r="898" spans="1:9">
      <c r="A898" s="145" t="s">
        <v>4113</v>
      </c>
      <c r="B898" t="s">
        <v>2173</v>
      </c>
      <c r="C898" t="s">
        <v>2525</v>
      </c>
      <c r="D898" t="s">
        <v>2412</v>
      </c>
      <c r="E898" t="s">
        <v>120</v>
      </c>
      <c r="F898" t="s">
        <v>2520</v>
      </c>
      <c r="G898" t="s">
        <v>4094</v>
      </c>
      <c r="H898" t="s">
        <v>120</v>
      </c>
      <c r="I898" t="s">
        <v>3987</v>
      </c>
    </row>
    <row r="899" spans="1:9">
      <c r="A899" s="145" t="s">
        <v>4113</v>
      </c>
      <c r="B899" t="s">
        <v>2173</v>
      </c>
      <c r="C899" t="s">
        <v>2526</v>
      </c>
      <c r="D899" t="s">
        <v>2412</v>
      </c>
      <c r="E899" t="s">
        <v>120</v>
      </c>
      <c r="F899" t="s">
        <v>2527</v>
      </c>
      <c r="G899" t="s">
        <v>4094</v>
      </c>
      <c r="H899" t="s">
        <v>120</v>
      </c>
      <c r="I899" t="s">
        <v>3987</v>
      </c>
    </row>
    <row r="900" spans="1:9">
      <c r="A900" s="145" t="s">
        <v>4113</v>
      </c>
      <c r="B900" t="s">
        <v>2173</v>
      </c>
      <c r="C900" t="s">
        <v>2528</v>
      </c>
      <c r="D900" t="s">
        <v>2529</v>
      </c>
      <c r="E900" t="s">
        <v>2490</v>
      </c>
      <c r="G900" t="s">
        <v>4094</v>
      </c>
      <c r="H900" t="s">
        <v>2490</v>
      </c>
      <c r="I900" t="s">
        <v>3987</v>
      </c>
    </row>
    <row r="901" spans="1:9">
      <c r="A901" s="145" t="s">
        <v>4113</v>
      </c>
      <c r="B901" t="s">
        <v>2173</v>
      </c>
      <c r="C901" t="s">
        <v>2413</v>
      </c>
      <c r="D901" t="s">
        <v>2407</v>
      </c>
      <c r="E901" t="s">
        <v>2414</v>
      </c>
      <c r="F901" t="s">
        <v>2416</v>
      </c>
      <c r="G901" t="s">
        <v>4094</v>
      </c>
      <c r="H901" t="s">
        <v>2741</v>
      </c>
      <c r="I901" t="s">
        <v>3987</v>
      </c>
    </row>
    <row r="902" spans="1:9">
      <c r="A902" s="145" t="s">
        <v>4113</v>
      </c>
      <c r="B902" t="s">
        <v>2173</v>
      </c>
      <c r="C902" t="s">
        <v>2532</v>
      </c>
      <c r="D902" t="s">
        <v>2529</v>
      </c>
      <c r="E902" t="s">
        <v>2533</v>
      </c>
      <c r="G902" t="s">
        <v>4094</v>
      </c>
      <c r="H902" t="s">
        <v>120</v>
      </c>
      <c r="I902" t="s">
        <v>3987</v>
      </c>
    </row>
    <row r="903" spans="1:9">
      <c r="A903" s="145" t="s">
        <v>4113</v>
      </c>
      <c r="B903" t="s">
        <v>2173</v>
      </c>
      <c r="C903" t="s">
        <v>2360</v>
      </c>
      <c r="E903" t="s">
        <v>2317</v>
      </c>
      <c r="F903" t="s">
        <v>2361</v>
      </c>
      <c r="G903" t="s">
        <v>4114</v>
      </c>
      <c r="H903" t="s">
        <v>2319</v>
      </c>
      <c r="I903" t="s">
        <v>3987</v>
      </c>
    </row>
    <row r="904" spans="1:9">
      <c r="A904" s="145" t="s">
        <v>4113</v>
      </c>
      <c r="B904" t="s">
        <v>2173</v>
      </c>
      <c r="C904" t="s">
        <v>2534</v>
      </c>
      <c r="D904" t="s">
        <v>2363</v>
      </c>
      <c r="E904" t="s">
        <v>120</v>
      </c>
      <c r="F904" t="s">
        <v>2535</v>
      </c>
      <c r="G904" t="s">
        <v>4094</v>
      </c>
      <c r="H904" t="s">
        <v>120</v>
      </c>
      <c r="I904" t="s">
        <v>3987</v>
      </c>
    </row>
    <row r="905" spans="1:9">
      <c r="A905" s="145" t="s">
        <v>4113</v>
      </c>
      <c r="B905" t="s">
        <v>2173</v>
      </c>
      <c r="C905" t="s">
        <v>2362</v>
      </c>
      <c r="D905" t="s">
        <v>2363</v>
      </c>
      <c r="E905" t="s">
        <v>2364</v>
      </c>
      <c r="G905" t="s">
        <v>4114</v>
      </c>
      <c r="H905" t="s">
        <v>2365</v>
      </c>
      <c r="I905" t="s">
        <v>3987</v>
      </c>
    </row>
    <row r="906" spans="1:9">
      <c r="A906" s="145" t="s">
        <v>4113</v>
      </c>
      <c r="B906" t="s">
        <v>2176</v>
      </c>
      <c r="C906" t="s">
        <v>2537</v>
      </c>
      <c r="D906" t="s">
        <v>2538</v>
      </c>
      <c r="E906" t="s">
        <v>120</v>
      </c>
      <c r="G906" t="s">
        <v>4094</v>
      </c>
      <c r="H906" t="s">
        <v>120</v>
      </c>
      <c r="I906" t="s">
        <v>3991</v>
      </c>
    </row>
    <row r="907" spans="1:9">
      <c r="A907" s="145" t="s">
        <v>4113</v>
      </c>
      <c r="B907" t="s">
        <v>2176</v>
      </c>
      <c r="C907" t="s">
        <v>2539</v>
      </c>
      <c r="D907" t="s">
        <v>2538</v>
      </c>
      <c r="E907" t="s">
        <v>2490</v>
      </c>
      <c r="F907" t="s">
        <v>2540</v>
      </c>
      <c r="G907" t="s">
        <v>4094</v>
      </c>
      <c r="H907" t="s">
        <v>2490</v>
      </c>
      <c r="I907" t="s">
        <v>3991</v>
      </c>
    </row>
    <row r="908" spans="1:9">
      <c r="A908" s="145" t="s">
        <v>4113</v>
      </c>
      <c r="B908" t="s">
        <v>2176</v>
      </c>
      <c r="C908" t="s">
        <v>2541</v>
      </c>
      <c r="D908" t="s">
        <v>2542</v>
      </c>
      <c r="E908" t="s">
        <v>2543</v>
      </c>
      <c r="G908" t="s">
        <v>4094</v>
      </c>
      <c r="H908" t="s">
        <v>120</v>
      </c>
      <c r="I908" t="s">
        <v>3991</v>
      </c>
    </row>
    <row r="909" spans="1:9">
      <c r="A909" s="145" t="s">
        <v>4113</v>
      </c>
      <c r="B909" t="s">
        <v>2176</v>
      </c>
      <c r="C909" t="s">
        <v>2421</v>
      </c>
      <c r="D909" t="s">
        <v>2422</v>
      </c>
      <c r="E909" t="s">
        <v>2423</v>
      </c>
      <c r="F909" t="s">
        <v>2425</v>
      </c>
      <c r="G909" t="s">
        <v>4094</v>
      </c>
      <c r="H909" t="s">
        <v>2743</v>
      </c>
      <c r="I909" t="s">
        <v>3991</v>
      </c>
    </row>
    <row r="910" spans="1:9">
      <c r="A910" s="145" t="s">
        <v>4113</v>
      </c>
      <c r="B910" t="s">
        <v>2176</v>
      </c>
      <c r="C910" t="s">
        <v>2545</v>
      </c>
      <c r="D910" t="s">
        <v>2422</v>
      </c>
      <c r="E910" t="s">
        <v>2461</v>
      </c>
      <c r="F910" t="s">
        <v>2546</v>
      </c>
      <c r="G910" t="s">
        <v>4094</v>
      </c>
      <c r="H910" t="s">
        <v>120</v>
      </c>
      <c r="I910" t="s">
        <v>3991</v>
      </c>
    </row>
    <row r="911" spans="1:9">
      <c r="A911" s="145" t="s">
        <v>4113</v>
      </c>
      <c r="B911" t="s">
        <v>2176</v>
      </c>
      <c r="C911" t="s">
        <v>2547</v>
      </c>
      <c r="D911" t="s">
        <v>2538</v>
      </c>
      <c r="E911" t="s">
        <v>2548</v>
      </c>
      <c r="G911" t="s">
        <v>4094</v>
      </c>
      <c r="H911" t="s">
        <v>120</v>
      </c>
      <c r="I911" t="s">
        <v>3991</v>
      </c>
    </row>
    <row r="912" spans="1:9">
      <c r="A912" s="145" t="s">
        <v>4113</v>
      </c>
      <c r="B912" t="s">
        <v>2176</v>
      </c>
      <c r="C912" t="s">
        <v>2549</v>
      </c>
      <c r="D912" t="s">
        <v>2538</v>
      </c>
      <c r="E912" t="s">
        <v>2550</v>
      </c>
      <c r="F912" t="s">
        <v>2551</v>
      </c>
      <c r="G912" t="s">
        <v>4094</v>
      </c>
      <c r="H912" t="s">
        <v>120</v>
      </c>
      <c r="I912" t="s">
        <v>3991</v>
      </c>
    </row>
    <row r="913" spans="1:9">
      <c r="A913" s="145" t="s">
        <v>4113</v>
      </c>
      <c r="B913" t="s">
        <v>2176</v>
      </c>
      <c r="C913" t="s">
        <v>2552</v>
      </c>
      <c r="D913" t="s">
        <v>2538</v>
      </c>
      <c r="E913" t="s">
        <v>2553</v>
      </c>
      <c r="G913" t="s">
        <v>4094</v>
      </c>
      <c r="H913" t="s">
        <v>120</v>
      </c>
      <c r="I913" t="s">
        <v>3991</v>
      </c>
    </row>
    <row r="914" spans="1:9">
      <c r="A914" s="145" t="s">
        <v>4113</v>
      </c>
      <c r="B914" t="s">
        <v>2178</v>
      </c>
      <c r="C914" t="s">
        <v>2367</v>
      </c>
      <c r="E914" t="s">
        <v>2317</v>
      </c>
      <c r="F914" t="s">
        <v>2368</v>
      </c>
      <c r="G914" t="s">
        <v>4114</v>
      </c>
      <c r="H914" t="s">
        <v>2319</v>
      </c>
      <c r="I914" t="s">
        <v>3995</v>
      </c>
    </row>
    <row r="915" spans="1:9">
      <c r="A915" s="145" t="s">
        <v>4113</v>
      </c>
      <c r="B915" t="s">
        <v>2178</v>
      </c>
      <c r="C915" t="s">
        <v>2427</v>
      </c>
      <c r="D915" t="s">
        <v>2370</v>
      </c>
      <c r="E915" t="s">
        <v>2428</v>
      </c>
      <c r="F915" t="s">
        <v>2429</v>
      </c>
      <c r="G915" t="s">
        <v>4094</v>
      </c>
      <c r="H915" t="s">
        <v>120</v>
      </c>
      <c r="I915" t="s">
        <v>3995</v>
      </c>
    </row>
    <row r="916" spans="1:9">
      <c r="A916" s="145" t="s">
        <v>4113</v>
      </c>
      <c r="B916" t="s">
        <v>2178</v>
      </c>
      <c r="C916" t="s">
        <v>2555</v>
      </c>
      <c r="D916" t="s">
        <v>2363</v>
      </c>
      <c r="E916" t="s">
        <v>2556</v>
      </c>
      <c r="F916" t="s">
        <v>2557</v>
      </c>
      <c r="G916" t="s">
        <v>4094</v>
      </c>
      <c r="H916" t="s">
        <v>120</v>
      </c>
      <c r="I916" t="s">
        <v>3995</v>
      </c>
    </row>
    <row r="917" spans="1:9">
      <c r="A917" s="145" t="s">
        <v>4113</v>
      </c>
      <c r="B917" t="s">
        <v>2178</v>
      </c>
      <c r="C917" t="s">
        <v>2558</v>
      </c>
      <c r="D917" t="s">
        <v>2559</v>
      </c>
      <c r="E917" t="s">
        <v>2560</v>
      </c>
      <c r="F917" t="s">
        <v>2561</v>
      </c>
      <c r="G917" t="s">
        <v>4094</v>
      </c>
      <c r="H917" t="s">
        <v>120</v>
      </c>
      <c r="I917" t="s">
        <v>3995</v>
      </c>
    </row>
    <row r="918" spans="1:9">
      <c r="A918" s="145" t="s">
        <v>4113</v>
      </c>
      <c r="B918" t="s">
        <v>2178</v>
      </c>
      <c r="C918" t="s">
        <v>2562</v>
      </c>
      <c r="D918" t="s">
        <v>2370</v>
      </c>
      <c r="E918" t="s">
        <v>120</v>
      </c>
      <c r="F918" t="s">
        <v>2563</v>
      </c>
      <c r="G918" t="s">
        <v>4094</v>
      </c>
      <c r="H918" t="s">
        <v>120</v>
      </c>
      <c r="I918" t="s">
        <v>3995</v>
      </c>
    </row>
    <row r="919" spans="1:9">
      <c r="A919" s="145" t="s">
        <v>4113</v>
      </c>
      <c r="B919" t="s">
        <v>2178</v>
      </c>
      <c r="C919" t="s">
        <v>2369</v>
      </c>
      <c r="D919" t="s">
        <v>2370</v>
      </c>
      <c r="E919" t="s">
        <v>2317</v>
      </c>
      <c r="F919" t="s">
        <v>2371</v>
      </c>
      <c r="G919" t="s">
        <v>4114</v>
      </c>
      <c r="H919" t="s">
        <v>2319</v>
      </c>
      <c r="I919" t="s">
        <v>3995</v>
      </c>
    </row>
    <row r="920" spans="1:9">
      <c r="A920" s="145" t="s">
        <v>4113</v>
      </c>
      <c r="B920" t="s">
        <v>2178</v>
      </c>
      <c r="C920" t="s">
        <v>2372</v>
      </c>
      <c r="E920" t="s">
        <v>2329</v>
      </c>
      <c r="G920" t="s">
        <v>4094</v>
      </c>
      <c r="H920" t="s">
        <v>2732</v>
      </c>
      <c r="I920" t="s">
        <v>3995</v>
      </c>
    </row>
    <row r="921" spans="1:9">
      <c r="A921" s="145" t="s">
        <v>4113</v>
      </c>
      <c r="B921" t="s">
        <v>2178</v>
      </c>
      <c r="C921" t="s">
        <v>2564</v>
      </c>
      <c r="E921" t="s">
        <v>120</v>
      </c>
      <c r="G921" t="s">
        <v>4094</v>
      </c>
      <c r="H921" t="s">
        <v>120</v>
      </c>
      <c r="I921" t="s">
        <v>3995</v>
      </c>
    </row>
    <row r="922" spans="1:9">
      <c r="A922" s="145" t="s">
        <v>4113</v>
      </c>
      <c r="B922" t="s">
        <v>2178</v>
      </c>
      <c r="C922" t="s">
        <v>2565</v>
      </c>
      <c r="D922" t="s">
        <v>2370</v>
      </c>
      <c r="E922" t="s">
        <v>2566</v>
      </c>
      <c r="F922" t="s">
        <v>2567</v>
      </c>
      <c r="G922" t="s">
        <v>4094</v>
      </c>
      <c r="H922" t="s">
        <v>2566</v>
      </c>
      <c r="I922" t="s">
        <v>3995</v>
      </c>
    </row>
    <row r="923" spans="1:9">
      <c r="A923" s="145" t="s">
        <v>4113</v>
      </c>
      <c r="B923" t="s">
        <v>3874</v>
      </c>
      <c r="C923" t="s">
        <v>2374</v>
      </c>
      <c r="E923" t="s">
        <v>2329</v>
      </c>
      <c r="F923" t="s">
        <v>2375</v>
      </c>
      <c r="G923" t="s">
        <v>4094</v>
      </c>
      <c r="H923" t="s">
        <v>2732</v>
      </c>
    </row>
    <row r="924" spans="1:9">
      <c r="A924" s="145" t="s">
        <v>4113</v>
      </c>
      <c r="B924" t="s">
        <v>3874</v>
      </c>
      <c r="C924" t="s">
        <v>2569</v>
      </c>
      <c r="D924" t="s">
        <v>2570</v>
      </c>
      <c r="E924" t="s">
        <v>2571</v>
      </c>
      <c r="F924" t="s">
        <v>2437</v>
      </c>
      <c r="G924" t="s">
        <v>4094</v>
      </c>
      <c r="H924" t="s">
        <v>120</v>
      </c>
    </row>
    <row r="925" spans="1:9">
      <c r="A925" s="145" t="s">
        <v>4113</v>
      </c>
      <c r="B925" t="s">
        <v>3874</v>
      </c>
      <c r="C925" t="s">
        <v>2572</v>
      </c>
      <c r="D925" t="s">
        <v>2432</v>
      </c>
      <c r="E925" t="s">
        <v>120</v>
      </c>
      <c r="F925" t="s">
        <v>2573</v>
      </c>
      <c r="G925" t="s">
        <v>4094</v>
      </c>
      <c r="H925" t="s">
        <v>120</v>
      </c>
    </row>
    <row r="926" spans="1:9">
      <c r="A926" s="145" t="s">
        <v>4113</v>
      </c>
      <c r="B926" t="s">
        <v>3874</v>
      </c>
      <c r="C926" t="s">
        <v>2574</v>
      </c>
      <c r="D926" t="s">
        <v>2570</v>
      </c>
      <c r="E926" t="s">
        <v>120</v>
      </c>
      <c r="F926" t="s">
        <v>2573</v>
      </c>
      <c r="G926" t="s">
        <v>4094</v>
      </c>
      <c r="H926" t="s">
        <v>120</v>
      </c>
    </row>
    <row r="927" spans="1:9">
      <c r="A927" s="145" t="s">
        <v>4113</v>
      </c>
      <c r="B927" t="s">
        <v>3874</v>
      </c>
      <c r="C927" t="s">
        <v>2575</v>
      </c>
      <c r="D927" t="s">
        <v>2576</v>
      </c>
      <c r="E927" t="s">
        <v>2490</v>
      </c>
      <c r="F927" t="s">
        <v>2577</v>
      </c>
      <c r="G927" t="s">
        <v>4094</v>
      </c>
      <c r="H927" t="s">
        <v>2490</v>
      </c>
    </row>
    <row r="928" spans="1:9">
      <c r="A928" s="145" t="s">
        <v>4113</v>
      </c>
      <c r="B928" t="s">
        <v>3874</v>
      </c>
      <c r="C928" t="s">
        <v>2578</v>
      </c>
      <c r="D928" t="s">
        <v>2579</v>
      </c>
      <c r="E928" t="s">
        <v>2543</v>
      </c>
      <c r="F928" t="s">
        <v>2580</v>
      </c>
      <c r="G928" t="s">
        <v>4094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2094</v>
      </c>
      <c r="B1" t="s">
        <v>2788</v>
      </c>
      <c r="C1" t="s">
        <v>2308</v>
      </c>
      <c r="D1" t="s">
        <v>2309</v>
      </c>
      <c r="E1" t="s">
        <v>2310</v>
      </c>
      <c r="F1" t="s">
        <v>1519</v>
      </c>
      <c r="G1" t="s">
        <v>2791</v>
      </c>
      <c r="H1" t="s">
        <v>2312</v>
      </c>
      <c r="I1" t="s">
        <v>4082</v>
      </c>
    </row>
    <row r="2" spans="1:9">
      <c r="A2" s="145" t="s">
        <v>4083</v>
      </c>
      <c r="B2" t="s">
        <v>2154</v>
      </c>
      <c r="C2" t="s">
        <v>2377</v>
      </c>
      <c r="D2" t="s">
        <v>2378</v>
      </c>
      <c r="E2" t="s">
        <v>1622</v>
      </c>
      <c r="F2" t="s">
        <v>2380</v>
      </c>
      <c r="G2" t="s">
        <v>2747</v>
      </c>
      <c r="H2" t="s">
        <v>120</v>
      </c>
      <c r="I2" t="s">
        <v>3955</v>
      </c>
    </row>
    <row r="3" spans="1:9">
      <c r="A3" s="145" t="s">
        <v>4083</v>
      </c>
      <c r="B3" t="s">
        <v>2154</v>
      </c>
      <c r="C3" t="s">
        <v>2381</v>
      </c>
      <c r="E3" t="s">
        <v>1396</v>
      </c>
      <c r="G3" t="s">
        <v>2747</v>
      </c>
      <c r="H3" t="s">
        <v>1396</v>
      </c>
      <c r="I3" t="s">
        <v>3955</v>
      </c>
    </row>
    <row r="4" spans="1:9">
      <c r="A4" s="145" t="s">
        <v>4083</v>
      </c>
      <c r="B4" t="s">
        <v>2154</v>
      </c>
      <c r="C4" t="s">
        <v>2382</v>
      </c>
      <c r="E4" t="s">
        <v>2383</v>
      </c>
      <c r="G4" t="s">
        <v>2747</v>
      </c>
      <c r="H4" t="s">
        <v>2383</v>
      </c>
      <c r="I4" t="s">
        <v>3955</v>
      </c>
    </row>
    <row r="5" spans="1:9">
      <c r="A5" s="145" t="s">
        <v>4083</v>
      </c>
      <c r="B5" t="s">
        <v>2154</v>
      </c>
      <c r="C5" t="s">
        <v>2441</v>
      </c>
      <c r="D5" t="s">
        <v>2316</v>
      </c>
      <c r="E5" t="s">
        <v>120</v>
      </c>
      <c r="G5" t="s">
        <v>2747</v>
      </c>
      <c r="H5" t="s">
        <v>120</v>
      </c>
      <c r="I5" t="s">
        <v>3955</v>
      </c>
    </row>
    <row r="6" spans="1:9">
      <c r="A6" s="145" t="s">
        <v>4083</v>
      </c>
      <c r="B6" t="s">
        <v>2154</v>
      </c>
      <c r="C6" t="s">
        <v>2442</v>
      </c>
      <c r="D6" t="s">
        <v>2326</v>
      </c>
      <c r="E6" t="s">
        <v>120</v>
      </c>
      <c r="F6" t="s">
        <v>2443</v>
      </c>
      <c r="G6" t="s">
        <v>2747</v>
      </c>
      <c r="H6" t="s">
        <v>120</v>
      </c>
      <c r="I6" t="s">
        <v>3955</v>
      </c>
    </row>
    <row r="7" spans="1:9">
      <c r="A7" s="145" t="s">
        <v>4083</v>
      </c>
      <c r="B7" t="s">
        <v>2154</v>
      </c>
      <c r="C7" t="s">
        <v>2444</v>
      </c>
      <c r="E7" t="s">
        <v>120</v>
      </c>
      <c r="G7" t="s">
        <v>2747</v>
      </c>
      <c r="H7" t="s">
        <v>120</v>
      </c>
      <c r="I7" t="s">
        <v>3955</v>
      </c>
    </row>
    <row r="8" spans="1:9">
      <c r="A8" s="145" t="s">
        <v>4083</v>
      </c>
      <c r="B8" t="s">
        <v>2156</v>
      </c>
      <c r="C8" t="s">
        <v>2446</v>
      </c>
      <c r="D8" t="s">
        <v>2334</v>
      </c>
      <c r="E8" t="s">
        <v>120</v>
      </c>
      <c r="G8" t="s">
        <v>2747</v>
      </c>
      <c r="H8" t="s">
        <v>120</v>
      </c>
      <c r="I8" t="s">
        <v>3959</v>
      </c>
    </row>
    <row r="9" spans="1:9">
      <c r="A9" s="145" t="s">
        <v>4083</v>
      </c>
      <c r="B9" t="s">
        <v>2156</v>
      </c>
      <c r="C9" t="s">
        <v>2447</v>
      </c>
      <c r="D9" t="s">
        <v>2448</v>
      </c>
      <c r="E9" t="s">
        <v>120</v>
      </c>
      <c r="F9" t="s">
        <v>2449</v>
      </c>
      <c r="G9" t="s">
        <v>2747</v>
      </c>
      <c r="H9" t="s">
        <v>120</v>
      </c>
      <c r="I9" t="s">
        <v>3959</v>
      </c>
    </row>
    <row r="10" spans="1:9">
      <c r="A10" s="145" t="s">
        <v>4083</v>
      </c>
      <c r="B10" t="s">
        <v>2156</v>
      </c>
      <c r="C10" t="s">
        <v>2450</v>
      </c>
      <c r="D10" t="s">
        <v>2448</v>
      </c>
      <c r="E10" t="s">
        <v>120</v>
      </c>
      <c r="G10" t="s">
        <v>2747</v>
      </c>
      <c r="H10" t="s">
        <v>120</v>
      </c>
      <c r="I10" t="s">
        <v>3959</v>
      </c>
    </row>
    <row r="11" spans="1:9">
      <c r="A11" s="145" t="s">
        <v>4083</v>
      </c>
      <c r="B11" t="s">
        <v>2156</v>
      </c>
      <c r="C11" t="s">
        <v>2328</v>
      </c>
      <c r="E11" t="s">
        <v>2329</v>
      </c>
      <c r="F11" t="s">
        <v>2331</v>
      </c>
      <c r="G11" t="s">
        <v>2747</v>
      </c>
      <c r="H11" t="s">
        <v>2451</v>
      </c>
      <c r="I11" t="s">
        <v>3959</v>
      </c>
    </row>
    <row r="12" spans="1:9">
      <c r="A12" s="145" t="s">
        <v>4083</v>
      </c>
      <c r="B12" t="s">
        <v>2156</v>
      </c>
      <c r="C12" t="s">
        <v>2452</v>
      </c>
      <c r="D12" t="s">
        <v>2453</v>
      </c>
      <c r="E12" t="s">
        <v>120</v>
      </c>
      <c r="F12" t="s">
        <v>2454</v>
      </c>
      <c r="G12" t="s">
        <v>2747</v>
      </c>
      <c r="H12" t="s">
        <v>120</v>
      </c>
      <c r="I12" t="s">
        <v>3959</v>
      </c>
    </row>
    <row r="13" spans="1:9">
      <c r="A13" s="145" t="s">
        <v>4083</v>
      </c>
      <c r="B13" t="s">
        <v>3644</v>
      </c>
      <c r="C13" t="s">
        <v>2456</v>
      </c>
      <c r="D13" t="s">
        <v>2457</v>
      </c>
      <c r="E13" t="s">
        <v>120</v>
      </c>
      <c r="G13" t="s">
        <v>2747</v>
      </c>
      <c r="H13" t="s">
        <v>120</v>
      </c>
      <c r="I13" t="s">
        <v>3963</v>
      </c>
    </row>
    <row r="14" spans="1:9">
      <c r="A14" s="145" t="s">
        <v>4083</v>
      </c>
      <c r="B14" t="s">
        <v>3644</v>
      </c>
      <c r="C14" t="s">
        <v>2458</v>
      </c>
      <c r="D14" t="s">
        <v>2457</v>
      </c>
      <c r="E14" t="s">
        <v>2459</v>
      </c>
      <c r="G14" t="s">
        <v>2747</v>
      </c>
      <c r="H14" t="s">
        <v>120</v>
      </c>
      <c r="I14" t="s">
        <v>3963</v>
      </c>
    </row>
    <row r="15" spans="1:9">
      <c r="A15" s="145" t="s">
        <v>4083</v>
      </c>
      <c r="B15" t="s">
        <v>3644</v>
      </c>
      <c r="C15" t="s">
        <v>2460</v>
      </c>
      <c r="D15" t="s">
        <v>2457</v>
      </c>
      <c r="E15" t="s">
        <v>2461</v>
      </c>
      <c r="F15" t="s">
        <v>2462</v>
      </c>
      <c r="G15" t="s">
        <v>2747</v>
      </c>
      <c r="H15" t="s">
        <v>120</v>
      </c>
      <c r="I15" t="s">
        <v>3963</v>
      </c>
    </row>
    <row r="16" spans="1:9">
      <c r="A16" s="145" t="s">
        <v>4083</v>
      </c>
      <c r="B16" t="s">
        <v>3644</v>
      </c>
      <c r="C16" t="s">
        <v>2463</v>
      </c>
      <c r="D16" t="s">
        <v>2457</v>
      </c>
      <c r="E16" t="s">
        <v>120</v>
      </c>
      <c r="G16" t="s">
        <v>2747</v>
      </c>
      <c r="H16" t="s">
        <v>120</v>
      </c>
      <c r="I16" t="s">
        <v>3963</v>
      </c>
    </row>
    <row r="17" spans="1:9">
      <c r="A17" s="145" t="s">
        <v>4083</v>
      </c>
      <c r="B17" t="s">
        <v>2161</v>
      </c>
      <c r="C17" t="s">
        <v>2465</v>
      </c>
      <c r="D17" t="s">
        <v>2466</v>
      </c>
      <c r="E17" t="s">
        <v>2467</v>
      </c>
      <c r="G17" t="s">
        <v>2747</v>
      </c>
      <c r="H17" t="s">
        <v>120</v>
      </c>
      <c r="I17" t="s">
        <v>3967</v>
      </c>
    </row>
    <row r="18" spans="1:9">
      <c r="A18" s="145" t="s">
        <v>4083</v>
      </c>
      <c r="B18" t="s">
        <v>2161</v>
      </c>
      <c r="C18" t="s">
        <v>2468</v>
      </c>
      <c r="D18" t="s">
        <v>2390</v>
      </c>
      <c r="E18" t="s">
        <v>120</v>
      </c>
      <c r="G18" t="s">
        <v>2747</v>
      </c>
      <c r="H18" t="s">
        <v>120</v>
      </c>
      <c r="I18" t="s">
        <v>3967</v>
      </c>
    </row>
    <row r="19" spans="1:9">
      <c r="A19" s="145" t="s">
        <v>4083</v>
      </c>
      <c r="B19" t="s">
        <v>2161</v>
      </c>
      <c r="C19" t="s">
        <v>2469</v>
      </c>
      <c r="D19" t="s">
        <v>2466</v>
      </c>
      <c r="E19" t="s">
        <v>2470</v>
      </c>
      <c r="G19" t="s">
        <v>2747</v>
      </c>
      <c r="H19" t="s">
        <v>120</v>
      </c>
      <c r="I19" t="s">
        <v>3967</v>
      </c>
    </row>
    <row r="20" spans="1:9">
      <c r="A20" s="145" t="s">
        <v>4083</v>
      </c>
      <c r="B20" t="s">
        <v>2161</v>
      </c>
      <c r="C20" t="s">
        <v>2392</v>
      </c>
      <c r="D20" t="s">
        <v>2390</v>
      </c>
      <c r="E20" t="s">
        <v>2393</v>
      </c>
      <c r="F20" t="s">
        <v>2394</v>
      </c>
      <c r="G20" t="s">
        <v>2747</v>
      </c>
      <c r="H20" t="s">
        <v>120</v>
      </c>
      <c r="I20" t="s">
        <v>3967</v>
      </c>
    </row>
    <row r="21" spans="1:9">
      <c r="A21" s="145" t="s">
        <v>4083</v>
      </c>
      <c r="B21" t="s">
        <v>2161</v>
      </c>
      <c r="C21" t="s">
        <v>2471</v>
      </c>
      <c r="D21" t="s">
        <v>2472</v>
      </c>
      <c r="E21" t="s">
        <v>120</v>
      </c>
      <c r="F21" t="s">
        <v>2473</v>
      </c>
      <c r="G21" t="s">
        <v>2747</v>
      </c>
      <c r="H21" t="s">
        <v>120</v>
      </c>
      <c r="I21" t="s">
        <v>3967</v>
      </c>
    </row>
    <row r="22" spans="1:9">
      <c r="A22" s="145" t="s">
        <v>4083</v>
      </c>
      <c r="B22" t="s">
        <v>2161</v>
      </c>
      <c r="C22" t="s">
        <v>2474</v>
      </c>
      <c r="D22" t="s">
        <v>2472</v>
      </c>
      <c r="E22" t="s">
        <v>120</v>
      </c>
      <c r="G22" t="s">
        <v>2747</v>
      </c>
      <c r="H22" t="s">
        <v>120</v>
      </c>
      <c r="I22" t="s">
        <v>3967</v>
      </c>
    </row>
    <row r="23" spans="1:9">
      <c r="A23" s="145" t="s">
        <v>4083</v>
      </c>
      <c r="B23" t="s">
        <v>2163</v>
      </c>
      <c r="C23" t="s">
        <v>2476</v>
      </c>
      <c r="D23" t="s">
        <v>2477</v>
      </c>
      <c r="E23" t="s">
        <v>120</v>
      </c>
      <c r="F23" t="s">
        <v>2478</v>
      </c>
      <c r="G23" t="s">
        <v>2747</v>
      </c>
      <c r="H23" t="s">
        <v>120</v>
      </c>
      <c r="I23" t="s">
        <v>3971</v>
      </c>
    </row>
    <row r="24" spans="1:9">
      <c r="A24" s="145" t="s">
        <v>4083</v>
      </c>
      <c r="B24" t="s">
        <v>2163</v>
      </c>
      <c r="C24" t="s">
        <v>2333</v>
      </c>
      <c r="D24" t="s">
        <v>2334</v>
      </c>
      <c r="E24" t="s">
        <v>2335</v>
      </c>
      <c r="G24" t="s">
        <v>2747</v>
      </c>
      <c r="H24" t="s">
        <v>2451</v>
      </c>
      <c r="I24" t="s">
        <v>3971</v>
      </c>
    </row>
    <row r="25" spans="1:9">
      <c r="A25" s="145" t="s">
        <v>4083</v>
      </c>
      <c r="B25" t="s">
        <v>2163</v>
      </c>
      <c r="C25" t="s">
        <v>2336</v>
      </c>
      <c r="D25" t="s">
        <v>2334</v>
      </c>
      <c r="E25" t="s">
        <v>2329</v>
      </c>
      <c r="G25" t="s">
        <v>2747</v>
      </c>
      <c r="H25" t="s">
        <v>2451</v>
      </c>
      <c r="I25" t="s">
        <v>3971</v>
      </c>
    </row>
    <row r="26" spans="1:9">
      <c r="A26" s="145" t="s">
        <v>4083</v>
      </c>
      <c r="B26" t="s">
        <v>2163</v>
      </c>
      <c r="C26" t="s">
        <v>2337</v>
      </c>
      <c r="D26" t="s">
        <v>2334</v>
      </c>
      <c r="E26" t="s">
        <v>2329</v>
      </c>
      <c r="G26" t="s">
        <v>2747</v>
      </c>
      <c r="H26" t="s">
        <v>2451</v>
      </c>
      <c r="I26" t="s">
        <v>3971</v>
      </c>
    </row>
    <row r="27" spans="1:9">
      <c r="A27" s="145" t="s">
        <v>4083</v>
      </c>
      <c r="B27" t="s">
        <v>2163</v>
      </c>
      <c r="C27" t="s">
        <v>2338</v>
      </c>
      <c r="D27" t="s">
        <v>2339</v>
      </c>
      <c r="E27" t="s">
        <v>2329</v>
      </c>
      <c r="G27" t="s">
        <v>2747</v>
      </c>
      <c r="H27" t="s">
        <v>2451</v>
      </c>
      <c r="I27" t="s">
        <v>3971</v>
      </c>
    </row>
    <row r="28" spans="1:9">
      <c r="A28" s="145" t="s">
        <v>4083</v>
      </c>
      <c r="B28" t="s">
        <v>2163</v>
      </c>
      <c r="C28" t="s">
        <v>2340</v>
      </c>
      <c r="E28" t="s">
        <v>2329</v>
      </c>
      <c r="G28" t="s">
        <v>2747</v>
      </c>
      <c r="H28" t="s">
        <v>2451</v>
      </c>
      <c r="I28" t="s">
        <v>3971</v>
      </c>
    </row>
    <row r="29" spans="1:9">
      <c r="A29" s="145" t="s">
        <v>4083</v>
      </c>
      <c r="B29" t="s">
        <v>2163</v>
      </c>
      <c r="C29" t="s">
        <v>2341</v>
      </c>
      <c r="E29" t="s">
        <v>2329</v>
      </c>
      <c r="G29" t="s">
        <v>2747</v>
      </c>
      <c r="H29" t="s">
        <v>2451</v>
      </c>
      <c r="I29" t="s">
        <v>3971</v>
      </c>
    </row>
    <row r="30" spans="1:9">
      <c r="A30" s="145" t="s">
        <v>4083</v>
      </c>
      <c r="B30" t="s">
        <v>2163</v>
      </c>
      <c r="C30" t="s">
        <v>2342</v>
      </c>
      <c r="E30" t="s">
        <v>2329</v>
      </c>
      <c r="G30" t="s">
        <v>2747</v>
      </c>
      <c r="H30" t="s">
        <v>2451</v>
      </c>
      <c r="I30" t="s">
        <v>3971</v>
      </c>
    </row>
    <row r="31" spans="1:9">
      <c r="A31" s="145" t="s">
        <v>4083</v>
      </c>
      <c r="B31" t="s">
        <v>2164</v>
      </c>
      <c r="C31" t="s">
        <v>2480</v>
      </c>
      <c r="D31" t="s">
        <v>2481</v>
      </c>
      <c r="E31" t="s">
        <v>120</v>
      </c>
      <c r="G31" t="s">
        <v>2747</v>
      </c>
      <c r="H31" t="s">
        <v>120</v>
      </c>
      <c r="I31" t="s">
        <v>3973</v>
      </c>
    </row>
    <row r="32" spans="1:9">
      <c r="A32" s="145" t="s">
        <v>4083</v>
      </c>
      <c r="B32" t="s">
        <v>2164</v>
      </c>
      <c r="C32" t="s">
        <v>2482</v>
      </c>
      <c r="D32" t="s">
        <v>2483</v>
      </c>
      <c r="E32" t="s">
        <v>120</v>
      </c>
      <c r="G32" t="s">
        <v>2747</v>
      </c>
      <c r="H32" t="s">
        <v>120</v>
      </c>
      <c r="I32" t="s">
        <v>3973</v>
      </c>
    </row>
    <row r="33" spans="1:9">
      <c r="A33" s="145" t="s">
        <v>4083</v>
      </c>
      <c r="B33" t="s">
        <v>2164</v>
      </c>
      <c r="C33" t="s">
        <v>2484</v>
      </c>
      <c r="D33" t="s">
        <v>2483</v>
      </c>
      <c r="E33" t="s">
        <v>2485</v>
      </c>
      <c r="F33" t="s">
        <v>2486</v>
      </c>
      <c r="G33" t="s">
        <v>2747</v>
      </c>
      <c r="H33" t="s">
        <v>120</v>
      </c>
      <c r="I33" t="s">
        <v>3973</v>
      </c>
    </row>
    <row r="34" spans="1:9">
      <c r="A34" s="145" t="s">
        <v>4083</v>
      </c>
      <c r="B34" t="s">
        <v>2164</v>
      </c>
      <c r="C34" t="s">
        <v>2487</v>
      </c>
      <c r="D34" t="s">
        <v>2488</v>
      </c>
      <c r="E34" t="s">
        <v>120</v>
      </c>
      <c r="G34" t="s">
        <v>2747</v>
      </c>
      <c r="H34" t="s">
        <v>120</v>
      </c>
      <c r="I34" t="s">
        <v>3973</v>
      </c>
    </row>
    <row r="35" spans="1:9">
      <c r="A35" s="145" t="s">
        <v>4083</v>
      </c>
      <c r="B35" t="s">
        <v>2164</v>
      </c>
      <c r="C35" t="s">
        <v>2344</v>
      </c>
      <c r="E35" t="s">
        <v>2345</v>
      </c>
      <c r="G35" t="s">
        <v>2747</v>
      </c>
      <c r="H35" t="s">
        <v>120</v>
      </c>
      <c r="I35" t="s">
        <v>3973</v>
      </c>
    </row>
    <row r="36" spans="1:9">
      <c r="A36" s="145" t="s">
        <v>4083</v>
      </c>
      <c r="B36" t="s">
        <v>2164</v>
      </c>
      <c r="C36" t="s">
        <v>2347</v>
      </c>
      <c r="E36" t="s">
        <v>2329</v>
      </c>
      <c r="G36" t="s">
        <v>2747</v>
      </c>
      <c r="H36" t="s">
        <v>2451</v>
      </c>
      <c r="I36" t="s">
        <v>3973</v>
      </c>
    </row>
    <row r="37" spans="1:9">
      <c r="A37" s="145" t="s">
        <v>4083</v>
      </c>
      <c r="B37" t="s">
        <v>2164</v>
      </c>
      <c r="C37" t="s">
        <v>2348</v>
      </c>
      <c r="E37" t="s">
        <v>2329</v>
      </c>
      <c r="G37" t="s">
        <v>2747</v>
      </c>
      <c r="H37" t="s">
        <v>2451</v>
      </c>
      <c r="I37" t="s">
        <v>3973</v>
      </c>
    </row>
    <row r="38" spans="1:9">
      <c r="A38" s="145" t="s">
        <v>4083</v>
      </c>
      <c r="B38" t="s">
        <v>2164</v>
      </c>
      <c r="C38" t="s">
        <v>2489</v>
      </c>
      <c r="D38" t="s">
        <v>2483</v>
      </c>
      <c r="E38" t="s">
        <v>2490</v>
      </c>
      <c r="G38" t="s">
        <v>2747</v>
      </c>
      <c r="H38" t="s">
        <v>2490</v>
      </c>
      <c r="I38" t="s">
        <v>3973</v>
      </c>
    </row>
    <row r="39" spans="1:9">
      <c r="A39" s="145" t="s">
        <v>4083</v>
      </c>
      <c r="B39" t="s">
        <v>2164</v>
      </c>
      <c r="C39" t="s">
        <v>2491</v>
      </c>
      <c r="D39" t="s">
        <v>2488</v>
      </c>
      <c r="E39" t="s">
        <v>120</v>
      </c>
      <c r="G39" t="s">
        <v>2747</v>
      </c>
      <c r="H39" t="s">
        <v>120</v>
      </c>
      <c r="I39" t="s">
        <v>3973</v>
      </c>
    </row>
    <row r="40" spans="1:9">
      <c r="A40" s="145" t="s">
        <v>4083</v>
      </c>
      <c r="B40" t="s">
        <v>2166</v>
      </c>
      <c r="C40" t="s">
        <v>2493</v>
      </c>
      <c r="E40" t="s">
        <v>2490</v>
      </c>
      <c r="G40" t="s">
        <v>2747</v>
      </c>
      <c r="H40" t="s">
        <v>2490</v>
      </c>
      <c r="I40" t="s">
        <v>3975</v>
      </c>
    </row>
    <row r="41" spans="1:9">
      <c r="A41" s="145" t="s">
        <v>4083</v>
      </c>
      <c r="B41" t="s">
        <v>2166</v>
      </c>
      <c r="C41" t="s">
        <v>2494</v>
      </c>
      <c r="E41" t="s">
        <v>2490</v>
      </c>
      <c r="G41" t="s">
        <v>2747</v>
      </c>
      <c r="H41" t="s">
        <v>2490</v>
      </c>
      <c r="I41" t="s">
        <v>3975</v>
      </c>
    </row>
    <row r="42" spans="1:9">
      <c r="A42" s="145" t="s">
        <v>4083</v>
      </c>
      <c r="B42" t="s">
        <v>2166</v>
      </c>
      <c r="C42" t="s">
        <v>2400</v>
      </c>
      <c r="E42" t="s">
        <v>2401</v>
      </c>
      <c r="G42" t="s">
        <v>2747</v>
      </c>
      <c r="H42" t="s">
        <v>2490</v>
      </c>
      <c r="I42" t="s">
        <v>3975</v>
      </c>
    </row>
    <row r="43" spans="1:9">
      <c r="A43" s="145" t="s">
        <v>4083</v>
      </c>
      <c r="B43" t="s">
        <v>2166</v>
      </c>
      <c r="C43" t="s">
        <v>2495</v>
      </c>
      <c r="D43" t="s">
        <v>2483</v>
      </c>
      <c r="E43" t="s">
        <v>120</v>
      </c>
      <c r="G43" t="s">
        <v>2747</v>
      </c>
      <c r="H43" t="s">
        <v>120</v>
      </c>
      <c r="I43" t="s">
        <v>3975</v>
      </c>
    </row>
    <row r="44" spans="1:9">
      <c r="A44" s="145" t="s">
        <v>4083</v>
      </c>
      <c r="B44" t="s">
        <v>2166</v>
      </c>
      <c r="C44" t="s">
        <v>2496</v>
      </c>
      <c r="D44" t="s">
        <v>2483</v>
      </c>
      <c r="E44" t="s">
        <v>120</v>
      </c>
      <c r="G44" t="s">
        <v>2747</v>
      </c>
      <c r="H44" t="s">
        <v>120</v>
      </c>
      <c r="I44" t="s">
        <v>3975</v>
      </c>
    </row>
    <row r="45" spans="1:9">
      <c r="A45" s="145" t="s">
        <v>4083</v>
      </c>
      <c r="B45" t="s">
        <v>2166</v>
      </c>
      <c r="C45" t="s">
        <v>2497</v>
      </c>
      <c r="D45" t="s">
        <v>2339</v>
      </c>
      <c r="E45" t="s">
        <v>120</v>
      </c>
      <c r="G45" t="s">
        <v>2747</v>
      </c>
      <c r="H45" t="s">
        <v>120</v>
      </c>
      <c r="I45" t="s">
        <v>3975</v>
      </c>
    </row>
    <row r="46" spans="1:9">
      <c r="A46" s="145" t="s">
        <v>4083</v>
      </c>
      <c r="B46" t="s">
        <v>2166</v>
      </c>
      <c r="C46" t="s">
        <v>2498</v>
      </c>
      <c r="D46" t="s">
        <v>2499</v>
      </c>
      <c r="E46" t="s">
        <v>2490</v>
      </c>
      <c r="G46" t="s">
        <v>2747</v>
      </c>
      <c r="H46" t="s">
        <v>2490</v>
      </c>
      <c r="I46" t="s">
        <v>3975</v>
      </c>
    </row>
    <row r="47" spans="1:9">
      <c r="A47" s="145" t="s">
        <v>4083</v>
      </c>
      <c r="B47" t="s">
        <v>2166</v>
      </c>
      <c r="C47" t="s">
        <v>2500</v>
      </c>
      <c r="D47" t="s">
        <v>2499</v>
      </c>
      <c r="E47" t="s">
        <v>2490</v>
      </c>
      <c r="G47" t="s">
        <v>2747</v>
      </c>
      <c r="H47" t="s">
        <v>2490</v>
      </c>
      <c r="I47" t="s">
        <v>3975</v>
      </c>
    </row>
    <row r="48" spans="1:9">
      <c r="A48" s="145" t="s">
        <v>4083</v>
      </c>
      <c r="B48" t="s">
        <v>2166</v>
      </c>
      <c r="C48" t="s">
        <v>2350</v>
      </c>
      <c r="E48" t="s">
        <v>2329</v>
      </c>
      <c r="G48" t="s">
        <v>2747</v>
      </c>
      <c r="H48" t="s">
        <v>2451</v>
      </c>
      <c r="I48" t="s">
        <v>3975</v>
      </c>
    </row>
    <row r="49" spans="1:9">
      <c r="A49" s="145" t="s">
        <v>4083</v>
      </c>
      <c r="B49" t="s">
        <v>2166</v>
      </c>
      <c r="C49" t="s">
        <v>2501</v>
      </c>
      <c r="D49" t="s">
        <v>2499</v>
      </c>
      <c r="E49" t="s">
        <v>120</v>
      </c>
      <c r="F49" t="s">
        <v>2502</v>
      </c>
      <c r="G49" t="s">
        <v>2747</v>
      </c>
      <c r="H49" t="s">
        <v>120</v>
      </c>
      <c r="I49" t="s">
        <v>3975</v>
      </c>
    </row>
    <row r="50" spans="1:9">
      <c r="A50" s="145" t="s">
        <v>4083</v>
      </c>
      <c r="B50" t="s">
        <v>2167</v>
      </c>
      <c r="C50" t="s">
        <v>2504</v>
      </c>
      <c r="D50" t="s">
        <v>2505</v>
      </c>
      <c r="E50" t="s">
        <v>120</v>
      </c>
      <c r="G50" t="s">
        <v>2747</v>
      </c>
      <c r="H50" t="s">
        <v>120</v>
      </c>
      <c r="I50" t="s">
        <v>3979</v>
      </c>
    </row>
    <row r="51" spans="1:9">
      <c r="A51" s="145" t="s">
        <v>4083</v>
      </c>
      <c r="B51" t="s">
        <v>2167</v>
      </c>
      <c r="C51" t="s">
        <v>2506</v>
      </c>
      <c r="D51" t="s">
        <v>2435</v>
      </c>
      <c r="E51" t="s">
        <v>120</v>
      </c>
      <c r="G51" t="s">
        <v>2747</v>
      </c>
      <c r="H51" t="s">
        <v>120</v>
      </c>
      <c r="I51" t="s">
        <v>3979</v>
      </c>
    </row>
    <row r="52" spans="1:9">
      <c r="A52" s="145" t="s">
        <v>4083</v>
      </c>
      <c r="B52" t="s">
        <v>2167</v>
      </c>
      <c r="C52" t="s">
        <v>2507</v>
      </c>
      <c r="D52" t="s">
        <v>2435</v>
      </c>
      <c r="E52" t="s">
        <v>120</v>
      </c>
      <c r="G52" t="s">
        <v>2747</v>
      </c>
      <c r="H52" t="s">
        <v>120</v>
      </c>
      <c r="I52" t="s">
        <v>3979</v>
      </c>
    </row>
    <row r="53" spans="1:9">
      <c r="A53" s="145" t="s">
        <v>4083</v>
      </c>
      <c r="B53" t="s">
        <v>2169</v>
      </c>
      <c r="C53" t="s">
        <v>2509</v>
      </c>
      <c r="D53" t="s">
        <v>2353</v>
      </c>
      <c r="E53" t="s">
        <v>2490</v>
      </c>
      <c r="F53" t="s">
        <v>2510</v>
      </c>
      <c r="G53" t="s">
        <v>2747</v>
      </c>
      <c r="H53" t="s">
        <v>2490</v>
      </c>
      <c r="I53" t="s">
        <v>3983</v>
      </c>
    </row>
    <row r="54" spans="1:9">
      <c r="A54" s="145" t="s">
        <v>4083</v>
      </c>
      <c r="B54" t="s">
        <v>2169</v>
      </c>
      <c r="C54" t="s">
        <v>2511</v>
      </c>
      <c r="D54" t="s">
        <v>2407</v>
      </c>
      <c r="E54" t="s">
        <v>120</v>
      </c>
      <c r="F54" t="s">
        <v>2512</v>
      </c>
      <c r="G54" t="s">
        <v>2747</v>
      </c>
      <c r="H54" t="s">
        <v>120</v>
      </c>
      <c r="I54" t="s">
        <v>3983</v>
      </c>
    </row>
    <row r="55" spans="1:9">
      <c r="A55" s="145" t="s">
        <v>4083</v>
      </c>
      <c r="B55" t="s">
        <v>2169</v>
      </c>
      <c r="C55" t="s">
        <v>2513</v>
      </c>
      <c r="D55" t="s">
        <v>2404</v>
      </c>
      <c r="E55" t="s">
        <v>120</v>
      </c>
      <c r="F55" t="s">
        <v>2514</v>
      </c>
      <c r="G55" t="s">
        <v>2747</v>
      </c>
      <c r="H55" t="s">
        <v>120</v>
      </c>
      <c r="I55" t="s">
        <v>3983</v>
      </c>
    </row>
    <row r="56" spans="1:9">
      <c r="A56" s="145" t="s">
        <v>4083</v>
      </c>
      <c r="B56" t="s">
        <v>2169</v>
      </c>
      <c r="C56" t="s">
        <v>2515</v>
      </c>
      <c r="D56" t="s">
        <v>2516</v>
      </c>
      <c r="E56" t="s">
        <v>120</v>
      </c>
      <c r="F56" t="s">
        <v>2517</v>
      </c>
      <c r="G56" t="s">
        <v>2747</v>
      </c>
      <c r="H56" t="s">
        <v>120</v>
      </c>
      <c r="I56" t="s">
        <v>3983</v>
      </c>
    </row>
    <row r="57" spans="1:9">
      <c r="A57" s="145" t="s">
        <v>4083</v>
      </c>
      <c r="B57" t="s">
        <v>2169</v>
      </c>
      <c r="C57" t="s">
        <v>2358</v>
      </c>
      <c r="E57" t="s">
        <v>2329</v>
      </c>
      <c r="G57" t="s">
        <v>2747</v>
      </c>
      <c r="H57" t="s">
        <v>2451</v>
      </c>
      <c r="I57" t="s">
        <v>3983</v>
      </c>
    </row>
    <row r="58" spans="1:9">
      <c r="A58" s="145" t="s">
        <v>4083</v>
      </c>
      <c r="B58" t="s">
        <v>2173</v>
      </c>
      <c r="C58" t="s">
        <v>2519</v>
      </c>
      <c r="D58" t="s">
        <v>2407</v>
      </c>
      <c r="E58" t="s">
        <v>120</v>
      </c>
      <c r="F58" t="s">
        <v>2520</v>
      </c>
      <c r="G58" t="s">
        <v>2747</v>
      </c>
      <c r="H58" t="s">
        <v>120</v>
      </c>
      <c r="I58" t="s">
        <v>3987</v>
      </c>
    </row>
    <row r="59" spans="1:9">
      <c r="A59" s="145" t="s">
        <v>4083</v>
      </c>
      <c r="B59" t="s">
        <v>2173</v>
      </c>
      <c r="C59" t="s">
        <v>2521</v>
      </c>
      <c r="D59" t="s">
        <v>2407</v>
      </c>
      <c r="E59" t="s">
        <v>120</v>
      </c>
      <c r="G59" t="s">
        <v>2747</v>
      </c>
      <c r="H59" t="s">
        <v>120</v>
      </c>
      <c r="I59" t="s">
        <v>3987</v>
      </c>
    </row>
    <row r="60" spans="1:9">
      <c r="A60" s="145" t="s">
        <v>4083</v>
      </c>
      <c r="B60" t="s">
        <v>2173</v>
      </c>
      <c r="C60" t="s">
        <v>2522</v>
      </c>
      <c r="D60" t="s">
        <v>2523</v>
      </c>
      <c r="E60" t="s">
        <v>120</v>
      </c>
      <c r="F60" t="s">
        <v>2524</v>
      </c>
      <c r="G60" t="s">
        <v>2747</v>
      </c>
      <c r="H60" t="s">
        <v>120</v>
      </c>
      <c r="I60" t="s">
        <v>3987</v>
      </c>
    </row>
    <row r="61" spans="1:9">
      <c r="A61" s="145" t="s">
        <v>4083</v>
      </c>
      <c r="B61" t="s">
        <v>2173</v>
      </c>
      <c r="C61" t="s">
        <v>2525</v>
      </c>
      <c r="D61" t="s">
        <v>2412</v>
      </c>
      <c r="E61" t="s">
        <v>120</v>
      </c>
      <c r="F61" t="s">
        <v>2520</v>
      </c>
      <c r="G61" t="s">
        <v>2747</v>
      </c>
      <c r="H61" t="s">
        <v>120</v>
      </c>
      <c r="I61" t="s">
        <v>3987</v>
      </c>
    </row>
    <row r="62" spans="1:9">
      <c r="A62" s="145" t="s">
        <v>4083</v>
      </c>
      <c r="B62" t="s">
        <v>2173</v>
      </c>
      <c r="C62" t="s">
        <v>2526</v>
      </c>
      <c r="D62" t="s">
        <v>2412</v>
      </c>
      <c r="E62" t="s">
        <v>120</v>
      </c>
      <c r="F62" t="s">
        <v>2527</v>
      </c>
      <c r="G62" t="s">
        <v>2747</v>
      </c>
      <c r="H62" t="s">
        <v>120</v>
      </c>
      <c r="I62" t="s">
        <v>3987</v>
      </c>
    </row>
    <row r="63" spans="1:9">
      <c r="A63" s="145" t="s">
        <v>4083</v>
      </c>
      <c r="B63" t="s">
        <v>2173</v>
      </c>
      <c r="C63" t="s">
        <v>2528</v>
      </c>
      <c r="D63" t="s">
        <v>2529</v>
      </c>
      <c r="E63" t="s">
        <v>2490</v>
      </c>
      <c r="G63" t="s">
        <v>2747</v>
      </c>
      <c r="H63" t="s">
        <v>2490</v>
      </c>
      <c r="I63" t="s">
        <v>3987</v>
      </c>
    </row>
    <row r="64" spans="1:9">
      <c r="A64" s="145" t="s">
        <v>4083</v>
      </c>
      <c r="B64" t="s">
        <v>2173</v>
      </c>
      <c r="C64" t="s">
        <v>2413</v>
      </c>
      <c r="D64" t="s">
        <v>2407</v>
      </c>
      <c r="E64" t="s">
        <v>2414</v>
      </c>
      <c r="F64" t="s">
        <v>2416</v>
      </c>
      <c r="G64" t="s">
        <v>2747</v>
      </c>
      <c r="H64" t="s">
        <v>2751</v>
      </c>
      <c r="I64" t="s">
        <v>3987</v>
      </c>
    </row>
    <row r="65" spans="1:9">
      <c r="A65" s="145" t="s">
        <v>4083</v>
      </c>
      <c r="B65" t="s">
        <v>2173</v>
      </c>
      <c r="C65" t="s">
        <v>2532</v>
      </c>
      <c r="D65" t="s">
        <v>2529</v>
      </c>
      <c r="E65" t="s">
        <v>2533</v>
      </c>
      <c r="G65" t="s">
        <v>2747</v>
      </c>
      <c r="H65" t="s">
        <v>120</v>
      </c>
      <c r="I65" t="s">
        <v>3987</v>
      </c>
    </row>
    <row r="66" spans="1:9">
      <c r="A66" s="145" t="s">
        <v>4083</v>
      </c>
      <c r="B66" t="s">
        <v>2173</v>
      </c>
      <c r="C66" t="s">
        <v>2534</v>
      </c>
      <c r="D66" t="s">
        <v>2363</v>
      </c>
      <c r="E66" t="s">
        <v>120</v>
      </c>
      <c r="F66" t="s">
        <v>2535</v>
      </c>
      <c r="G66" t="s">
        <v>2747</v>
      </c>
      <c r="H66" t="s">
        <v>120</v>
      </c>
      <c r="I66" t="s">
        <v>3987</v>
      </c>
    </row>
    <row r="67" spans="1:9">
      <c r="A67" s="145" t="s">
        <v>4083</v>
      </c>
      <c r="B67" t="s">
        <v>2176</v>
      </c>
      <c r="C67" t="s">
        <v>2537</v>
      </c>
      <c r="D67" t="s">
        <v>2538</v>
      </c>
      <c r="E67" t="s">
        <v>120</v>
      </c>
      <c r="G67" t="s">
        <v>2747</v>
      </c>
      <c r="H67" t="s">
        <v>120</v>
      </c>
      <c r="I67" t="s">
        <v>3991</v>
      </c>
    </row>
    <row r="68" spans="1:9">
      <c r="A68" s="145" t="s">
        <v>4083</v>
      </c>
      <c r="B68" t="s">
        <v>2176</v>
      </c>
      <c r="C68" t="s">
        <v>2539</v>
      </c>
      <c r="D68" t="s">
        <v>2538</v>
      </c>
      <c r="E68" t="s">
        <v>2490</v>
      </c>
      <c r="F68" t="s">
        <v>2540</v>
      </c>
      <c r="G68" t="s">
        <v>2747</v>
      </c>
      <c r="H68" t="s">
        <v>2490</v>
      </c>
      <c r="I68" t="s">
        <v>3991</v>
      </c>
    </row>
    <row r="69" spans="1:9">
      <c r="A69" s="145" t="s">
        <v>4083</v>
      </c>
      <c r="B69" t="s">
        <v>2176</v>
      </c>
      <c r="C69" t="s">
        <v>2541</v>
      </c>
      <c r="D69" t="s">
        <v>2542</v>
      </c>
      <c r="E69" t="s">
        <v>2543</v>
      </c>
      <c r="G69" t="s">
        <v>2747</v>
      </c>
      <c r="H69" t="s">
        <v>120</v>
      </c>
      <c r="I69" t="s">
        <v>3991</v>
      </c>
    </row>
    <row r="70" spans="1:9">
      <c r="A70" s="145" t="s">
        <v>4083</v>
      </c>
      <c r="B70" t="s">
        <v>2176</v>
      </c>
      <c r="C70" t="s">
        <v>2421</v>
      </c>
      <c r="D70" t="s">
        <v>2422</v>
      </c>
      <c r="E70" t="s">
        <v>2423</v>
      </c>
      <c r="F70" t="s">
        <v>2425</v>
      </c>
      <c r="G70" t="s">
        <v>2747</v>
      </c>
      <c r="H70" t="s">
        <v>2544</v>
      </c>
      <c r="I70" t="s">
        <v>3991</v>
      </c>
    </row>
    <row r="71" spans="1:9">
      <c r="A71" s="145" t="s">
        <v>4083</v>
      </c>
      <c r="B71" t="s">
        <v>2176</v>
      </c>
      <c r="C71" t="s">
        <v>2545</v>
      </c>
      <c r="D71" t="s">
        <v>2422</v>
      </c>
      <c r="E71" t="s">
        <v>2461</v>
      </c>
      <c r="F71" t="s">
        <v>2546</v>
      </c>
      <c r="G71" t="s">
        <v>2747</v>
      </c>
      <c r="H71" t="s">
        <v>120</v>
      </c>
      <c r="I71" t="s">
        <v>3991</v>
      </c>
    </row>
    <row r="72" spans="1:9">
      <c r="A72" s="145" t="s">
        <v>4083</v>
      </c>
      <c r="B72" t="s">
        <v>2176</v>
      </c>
      <c r="C72" t="s">
        <v>2547</v>
      </c>
      <c r="D72" t="s">
        <v>2538</v>
      </c>
      <c r="E72" t="s">
        <v>2548</v>
      </c>
      <c r="G72" t="s">
        <v>2747</v>
      </c>
      <c r="H72" t="s">
        <v>120</v>
      </c>
      <c r="I72" t="s">
        <v>3991</v>
      </c>
    </row>
    <row r="73" spans="1:9">
      <c r="A73" s="145" t="s">
        <v>4083</v>
      </c>
      <c r="B73" t="s">
        <v>2176</v>
      </c>
      <c r="C73" t="s">
        <v>2549</v>
      </c>
      <c r="D73" t="s">
        <v>2538</v>
      </c>
      <c r="E73" t="s">
        <v>2550</v>
      </c>
      <c r="F73" t="s">
        <v>2551</v>
      </c>
      <c r="G73" t="s">
        <v>2747</v>
      </c>
      <c r="H73" t="s">
        <v>120</v>
      </c>
      <c r="I73" t="s">
        <v>3991</v>
      </c>
    </row>
    <row r="74" spans="1:9">
      <c r="A74" s="145" t="s">
        <v>4083</v>
      </c>
      <c r="B74" t="s">
        <v>2176</v>
      </c>
      <c r="C74" t="s">
        <v>2552</v>
      </c>
      <c r="D74" t="s">
        <v>2538</v>
      </c>
      <c r="E74" t="s">
        <v>2553</v>
      </c>
      <c r="G74" t="s">
        <v>2747</v>
      </c>
      <c r="H74" t="s">
        <v>120</v>
      </c>
      <c r="I74" t="s">
        <v>3991</v>
      </c>
    </row>
    <row r="75" spans="1:9">
      <c r="A75" s="145" t="s">
        <v>4083</v>
      </c>
      <c r="B75" t="s">
        <v>2178</v>
      </c>
      <c r="C75" t="s">
        <v>2427</v>
      </c>
      <c r="D75" t="s">
        <v>2370</v>
      </c>
      <c r="E75" t="s">
        <v>2428</v>
      </c>
      <c r="F75" t="s">
        <v>2429</v>
      </c>
      <c r="G75" t="s">
        <v>2747</v>
      </c>
      <c r="H75" t="s">
        <v>120</v>
      </c>
      <c r="I75" t="s">
        <v>3995</v>
      </c>
    </row>
    <row r="76" spans="1:9">
      <c r="A76" s="145" t="s">
        <v>4083</v>
      </c>
      <c r="B76" t="s">
        <v>2178</v>
      </c>
      <c r="C76" t="s">
        <v>2555</v>
      </c>
      <c r="D76" t="s">
        <v>2363</v>
      </c>
      <c r="E76" t="s">
        <v>2556</v>
      </c>
      <c r="F76" t="s">
        <v>2557</v>
      </c>
      <c r="G76" t="s">
        <v>2747</v>
      </c>
      <c r="H76" t="s">
        <v>120</v>
      </c>
      <c r="I76" t="s">
        <v>3995</v>
      </c>
    </row>
    <row r="77" spans="1:9">
      <c r="A77" s="145" t="s">
        <v>4083</v>
      </c>
      <c r="B77" t="s">
        <v>2178</v>
      </c>
      <c r="C77" t="s">
        <v>2558</v>
      </c>
      <c r="D77" t="s">
        <v>2559</v>
      </c>
      <c r="E77" t="s">
        <v>2560</v>
      </c>
      <c r="F77" t="s">
        <v>2561</v>
      </c>
      <c r="G77" t="s">
        <v>2747</v>
      </c>
      <c r="H77" t="s">
        <v>120</v>
      </c>
      <c r="I77" t="s">
        <v>3995</v>
      </c>
    </row>
    <row r="78" spans="1:9">
      <c r="A78" s="145" t="s">
        <v>4083</v>
      </c>
      <c r="B78" t="s">
        <v>2178</v>
      </c>
      <c r="C78" t="s">
        <v>2562</v>
      </c>
      <c r="D78" t="s">
        <v>2370</v>
      </c>
      <c r="E78" t="s">
        <v>120</v>
      </c>
      <c r="F78" t="s">
        <v>2563</v>
      </c>
      <c r="G78" t="s">
        <v>2747</v>
      </c>
      <c r="H78" t="s">
        <v>120</v>
      </c>
      <c r="I78" t="s">
        <v>3995</v>
      </c>
    </row>
    <row r="79" spans="1:9">
      <c r="A79" s="145" t="s">
        <v>4083</v>
      </c>
      <c r="B79" t="s">
        <v>2178</v>
      </c>
      <c r="C79" t="s">
        <v>2372</v>
      </c>
      <c r="E79" t="s">
        <v>2329</v>
      </c>
      <c r="G79" t="s">
        <v>2747</v>
      </c>
      <c r="H79" t="s">
        <v>2451</v>
      </c>
      <c r="I79" t="s">
        <v>3995</v>
      </c>
    </row>
    <row r="80" spans="1:9">
      <c r="A80" s="145" t="s">
        <v>4083</v>
      </c>
      <c r="B80" t="s">
        <v>2178</v>
      </c>
      <c r="C80" t="s">
        <v>2564</v>
      </c>
      <c r="E80" t="s">
        <v>120</v>
      </c>
      <c r="G80" t="s">
        <v>2747</v>
      </c>
      <c r="H80" t="s">
        <v>120</v>
      </c>
      <c r="I80" t="s">
        <v>3995</v>
      </c>
    </row>
    <row r="81" spans="1:9">
      <c r="A81" s="145" t="s">
        <v>4083</v>
      </c>
      <c r="B81" t="s">
        <v>2178</v>
      </c>
      <c r="C81" t="s">
        <v>2565</v>
      </c>
      <c r="D81" t="s">
        <v>2370</v>
      </c>
      <c r="E81" t="s">
        <v>2566</v>
      </c>
      <c r="F81" t="s">
        <v>2567</v>
      </c>
      <c r="G81" t="s">
        <v>2747</v>
      </c>
      <c r="H81" t="s">
        <v>2566</v>
      </c>
      <c r="I81" t="s">
        <v>3995</v>
      </c>
    </row>
    <row r="82" spans="1:9">
      <c r="A82" s="145" t="s">
        <v>4083</v>
      </c>
      <c r="B82" t="s">
        <v>3874</v>
      </c>
      <c r="C82" t="s">
        <v>2374</v>
      </c>
      <c r="E82" t="s">
        <v>2329</v>
      </c>
      <c r="F82" t="s">
        <v>2375</v>
      </c>
      <c r="G82" t="s">
        <v>2747</v>
      </c>
      <c r="H82" t="s">
        <v>2451</v>
      </c>
    </row>
    <row r="83" spans="1:9">
      <c r="A83" s="145" t="s">
        <v>4083</v>
      </c>
      <c r="B83" t="s">
        <v>3874</v>
      </c>
      <c r="C83" t="s">
        <v>2569</v>
      </c>
      <c r="D83" t="s">
        <v>2570</v>
      </c>
      <c r="E83" t="s">
        <v>2571</v>
      </c>
      <c r="F83" t="s">
        <v>2437</v>
      </c>
      <c r="G83" t="s">
        <v>2747</v>
      </c>
      <c r="H83" t="s">
        <v>120</v>
      </c>
    </row>
    <row r="84" spans="1:9">
      <c r="A84" s="145" t="s">
        <v>4083</v>
      </c>
      <c r="B84" t="s">
        <v>3874</v>
      </c>
      <c r="C84" t="s">
        <v>2572</v>
      </c>
      <c r="D84" t="s">
        <v>2432</v>
      </c>
      <c r="E84" t="s">
        <v>120</v>
      </c>
      <c r="F84" t="s">
        <v>2573</v>
      </c>
      <c r="G84" t="s">
        <v>2747</v>
      </c>
      <c r="H84" t="s">
        <v>120</v>
      </c>
    </row>
    <row r="85" spans="1:9">
      <c r="A85" s="145" t="s">
        <v>4083</v>
      </c>
      <c r="B85" t="s">
        <v>3874</v>
      </c>
      <c r="C85" t="s">
        <v>2574</v>
      </c>
      <c r="D85" t="s">
        <v>2570</v>
      </c>
      <c r="E85" t="s">
        <v>120</v>
      </c>
      <c r="F85" t="s">
        <v>2573</v>
      </c>
      <c r="G85" t="s">
        <v>2747</v>
      </c>
      <c r="H85" t="s">
        <v>120</v>
      </c>
    </row>
    <row r="86" spans="1:9">
      <c r="A86" s="145" t="s">
        <v>4083</v>
      </c>
      <c r="B86" t="s">
        <v>3874</v>
      </c>
      <c r="C86" t="s">
        <v>2575</v>
      </c>
      <c r="D86" t="s">
        <v>2576</v>
      </c>
      <c r="E86" t="s">
        <v>2490</v>
      </c>
      <c r="F86" t="s">
        <v>2577</v>
      </c>
      <c r="G86" t="s">
        <v>2747</v>
      </c>
      <c r="H86" t="s">
        <v>2490</v>
      </c>
    </row>
    <row r="87" spans="1:9">
      <c r="A87" s="145" t="s">
        <v>4083</v>
      </c>
      <c r="B87" t="s">
        <v>3874</v>
      </c>
      <c r="C87" t="s">
        <v>2578</v>
      </c>
      <c r="D87" t="s">
        <v>2579</v>
      </c>
      <c r="E87" t="s">
        <v>2543</v>
      </c>
      <c r="F87" t="s">
        <v>2580</v>
      </c>
      <c r="G87" t="s">
        <v>2747</v>
      </c>
      <c r="H87" t="s">
        <v>120</v>
      </c>
    </row>
    <row r="88" spans="1:9">
      <c r="A88" s="145" t="s">
        <v>4086</v>
      </c>
      <c r="B88" t="s">
        <v>2154</v>
      </c>
      <c r="C88" t="s">
        <v>2315</v>
      </c>
      <c r="D88" t="s">
        <v>2316</v>
      </c>
      <c r="E88" t="s">
        <v>2317</v>
      </c>
      <c r="F88" t="s">
        <v>2320</v>
      </c>
      <c r="G88" t="s">
        <v>2747</v>
      </c>
      <c r="H88" t="s">
        <v>2319</v>
      </c>
      <c r="I88" t="s">
        <v>3955</v>
      </c>
    </row>
    <row r="89" spans="1:9">
      <c r="A89" s="145" t="s">
        <v>4086</v>
      </c>
      <c r="B89" t="s">
        <v>2154</v>
      </c>
      <c r="C89" t="s">
        <v>2381</v>
      </c>
      <c r="E89" t="s">
        <v>1396</v>
      </c>
      <c r="G89" t="s">
        <v>2747</v>
      </c>
      <c r="H89" t="s">
        <v>1396</v>
      </c>
      <c r="I89" t="s">
        <v>3955</v>
      </c>
    </row>
    <row r="90" spans="1:9">
      <c r="A90" s="145" t="s">
        <v>4086</v>
      </c>
      <c r="B90" t="s">
        <v>2154</v>
      </c>
      <c r="C90" t="s">
        <v>2382</v>
      </c>
      <c r="E90" t="s">
        <v>2383</v>
      </c>
      <c r="G90" t="s">
        <v>2747</v>
      </c>
      <c r="H90" t="s">
        <v>1396</v>
      </c>
      <c r="I90" t="s">
        <v>3955</v>
      </c>
    </row>
    <row r="91" spans="1:9">
      <c r="A91" s="145" t="s">
        <v>4086</v>
      </c>
      <c r="B91" t="s">
        <v>2154</v>
      </c>
      <c r="C91" t="s">
        <v>2321</v>
      </c>
      <c r="D91" t="s">
        <v>2322</v>
      </c>
      <c r="E91" t="s">
        <v>2317</v>
      </c>
      <c r="G91" t="s">
        <v>2747</v>
      </c>
      <c r="H91" t="s">
        <v>2319</v>
      </c>
      <c r="I91" t="s">
        <v>3955</v>
      </c>
    </row>
    <row r="92" spans="1:9">
      <c r="A92" s="145" t="s">
        <v>4086</v>
      </c>
      <c r="B92" t="s">
        <v>2154</v>
      </c>
      <c r="C92" t="s">
        <v>2324</v>
      </c>
      <c r="D92" t="s">
        <v>2322</v>
      </c>
      <c r="E92" t="s">
        <v>2317</v>
      </c>
      <c r="G92" t="s">
        <v>2747</v>
      </c>
      <c r="H92" t="s">
        <v>2319</v>
      </c>
      <c r="I92" t="s">
        <v>3955</v>
      </c>
    </row>
    <row r="93" spans="1:9">
      <c r="A93" s="145" t="s">
        <v>4086</v>
      </c>
      <c r="B93" t="s">
        <v>2154</v>
      </c>
      <c r="C93" t="s">
        <v>2325</v>
      </c>
      <c r="D93" t="s">
        <v>2326</v>
      </c>
      <c r="E93" t="s">
        <v>2317</v>
      </c>
      <c r="G93" t="s">
        <v>2747</v>
      </c>
      <c r="H93" t="s">
        <v>2319</v>
      </c>
      <c r="I93" t="s">
        <v>3955</v>
      </c>
    </row>
    <row r="94" spans="1:9">
      <c r="A94" s="145" t="s">
        <v>4086</v>
      </c>
      <c r="B94" t="s">
        <v>2156</v>
      </c>
      <c r="C94" t="s">
        <v>2328</v>
      </c>
      <c r="E94" t="s">
        <v>2329</v>
      </c>
      <c r="F94" t="s">
        <v>2331</v>
      </c>
      <c r="G94" t="s">
        <v>2747</v>
      </c>
      <c r="H94" t="s">
        <v>2330</v>
      </c>
      <c r="I94" t="s">
        <v>3959</v>
      </c>
    </row>
    <row r="95" spans="1:9">
      <c r="A95" s="145" t="s">
        <v>4086</v>
      </c>
      <c r="B95" t="s">
        <v>2163</v>
      </c>
      <c r="C95" t="s">
        <v>2333</v>
      </c>
      <c r="D95" t="s">
        <v>2334</v>
      </c>
      <c r="E95" t="s">
        <v>2335</v>
      </c>
      <c r="G95" t="s">
        <v>2747</v>
      </c>
      <c r="H95" t="s">
        <v>2330</v>
      </c>
      <c r="I95" t="s">
        <v>3971</v>
      </c>
    </row>
    <row r="96" spans="1:9">
      <c r="A96" s="145" t="s">
        <v>4086</v>
      </c>
      <c r="B96" t="s">
        <v>2163</v>
      </c>
      <c r="C96" t="s">
        <v>2336</v>
      </c>
      <c r="D96" t="s">
        <v>2334</v>
      </c>
      <c r="E96" t="s">
        <v>2329</v>
      </c>
      <c r="G96" t="s">
        <v>2747</v>
      </c>
      <c r="H96" t="s">
        <v>2330</v>
      </c>
      <c r="I96" t="s">
        <v>3971</v>
      </c>
    </row>
    <row r="97" spans="1:9">
      <c r="A97" s="145" t="s">
        <v>4086</v>
      </c>
      <c r="B97" t="s">
        <v>2163</v>
      </c>
      <c r="C97" t="s">
        <v>2337</v>
      </c>
      <c r="D97" t="s">
        <v>2334</v>
      </c>
      <c r="E97" t="s">
        <v>2329</v>
      </c>
      <c r="G97" t="s">
        <v>2747</v>
      </c>
      <c r="H97" t="s">
        <v>2330</v>
      </c>
      <c r="I97" t="s">
        <v>3971</v>
      </c>
    </row>
    <row r="98" spans="1:9">
      <c r="A98" s="145" t="s">
        <v>4086</v>
      </c>
      <c r="B98" t="s">
        <v>2163</v>
      </c>
      <c r="C98" t="s">
        <v>2338</v>
      </c>
      <c r="D98" t="s">
        <v>2339</v>
      </c>
      <c r="E98" t="s">
        <v>2329</v>
      </c>
      <c r="G98" t="s">
        <v>2747</v>
      </c>
      <c r="H98" t="s">
        <v>2330</v>
      </c>
      <c r="I98" t="s">
        <v>3971</v>
      </c>
    </row>
    <row r="99" spans="1:9">
      <c r="A99" s="145" t="s">
        <v>4086</v>
      </c>
      <c r="B99" t="s">
        <v>2163</v>
      </c>
      <c r="C99" t="s">
        <v>2340</v>
      </c>
      <c r="E99" t="s">
        <v>2329</v>
      </c>
      <c r="G99" t="s">
        <v>2747</v>
      </c>
      <c r="H99" t="s">
        <v>2330</v>
      </c>
      <c r="I99" t="s">
        <v>3971</v>
      </c>
    </row>
    <row r="100" spans="1:9">
      <c r="A100" s="145" t="s">
        <v>4086</v>
      </c>
      <c r="B100" t="s">
        <v>2163</v>
      </c>
      <c r="C100" t="s">
        <v>2341</v>
      </c>
      <c r="E100" t="s">
        <v>2329</v>
      </c>
      <c r="G100" t="s">
        <v>2747</v>
      </c>
      <c r="H100" t="s">
        <v>2330</v>
      </c>
      <c r="I100" t="s">
        <v>3971</v>
      </c>
    </row>
    <row r="101" spans="1:9">
      <c r="A101" s="145" t="s">
        <v>4086</v>
      </c>
      <c r="B101" t="s">
        <v>2163</v>
      </c>
      <c r="C101" t="s">
        <v>2342</v>
      </c>
      <c r="E101" t="s">
        <v>2329</v>
      </c>
      <c r="G101" t="s">
        <v>2747</v>
      </c>
      <c r="H101" t="s">
        <v>2330</v>
      </c>
      <c r="I101" t="s">
        <v>3971</v>
      </c>
    </row>
    <row r="102" spans="1:9">
      <c r="A102" s="145" t="s">
        <v>4086</v>
      </c>
      <c r="B102" t="s">
        <v>2164</v>
      </c>
      <c r="C102" t="s">
        <v>2347</v>
      </c>
      <c r="E102" t="s">
        <v>2329</v>
      </c>
      <c r="G102" t="s">
        <v>2747</v>
      </c>
      <c r="H102" t="s">
        <v>2330</v>
      </c>
      <c r="I102" t="s">
        <v>3973</v>
      </c>
    </row>
    <row r="103" spans="1:9">
      <c r="A103" s="145" t="s">
        <v>4086</v>
      </c>
      <c r="B103" t="s">
        <v>2164</v>
      </c>
      <c r="C103" t="s">
        <v>2348</v>
      </c>
      <c r="E103" t="s">
        <v>2329</v>
      </c>
      <c r="G103" t="s">
        <v>2747</v>
      </c>
      <c r="H103" t="s">
        <v>2330</v>
      </c>
      <c r="I103" t="s">
        <v>3973</v>
      </c>
    </row>
    <row r="104" spans="1:9">
      <c r="A104" s="145" t="s">
        <v>4086</v>
      </c>
      <c r="B104" t="s">
        <v>2166</v>
      </c>
      <c r="C104" t="s">
        <v>2350</v>
      </c>
      <c r="E104" t="s">
        <v>2329</v>
      </c>
      <c r="G104" t="s">
        <v>2747</v>
      </c>
      <c r="H104" t="s">
        <v>2330</v>
      </c>
      <c r="I104" t="s">
        <v>3975</v>
      </c>
    </row>
    <row r="105" spans="1:9">
      <c r="A105" s="145" t="s">
        <v>4086</v>
      </c>
      <c r="B105" t="s">
        <v>2169</v>
      </c>
      <c r="C105" t="s">
        <v>2352</v>
      </c>
      <c r="D105" t="s">
        <v>2353</v>
      </c>
      <c r="E105" t="s">
        <v>2317</v>
      </c>
      <c r="F105" t="s">
        <v>2354</v>
      </c>
      <c r="G105" t="s">
        <v>2747</v>
      </c>
      <c r="H105" t="s">
        <v>2319</v>
      </c>
      <c r="I105" t="s">
        <v>3983</v>
      </c>
    </row>
    <row r="106" spans="1:9">
      <c r="A106" s="145" t="s">
        <v>4086</v>
      </c>
      <c r="B106" t="s">
        <v>2169</v>
      </c>
      <c r="C106" t="s">
        <v>2355</v>
      </c>
      <c r="D106" t="s">
        <v>2356</v>
      </c>
      <c r="E106" t="s">
        <v>2317</v>
      </c>
      <c r="F106" t="s">
        <v>2357</v>
      </c>
      <c r="G106" t="s">
        <v>2747</v>
      </c>
      <c r="H106" t="s">
        <v>2319</v>
      </c>
      <c r="I106" t="s">
        <v>3983</v>
      </c>
    </row>
    <row r="107" spans="1:9">
      <c r="A107" s="145" t="s">
        <v>4086</v>
      </c>
      <c r="B107" t="s">
        <v>2169</v>
      </c>
      <c r="C107" t="s">
        <v>2358</v>
      </c>
      <c r="E107" t="s">
        <v>2329</v>
      </c>
      <c r="G107" t="s">
        <v>2747</v>
      </c>
      <c r="H107" t="s">
        <v>2330</v>
      </c>
      <c r="I107" t="s">
        <v>3983</v>
      </c>
    </row>
    <row r="108" spans="1:9">
      <c r="A108" s="145" t="s">
        <v>4086</v>
      </c>
      <c r="B108" t="s">
        <v>2173</v>
      </c>
      <c r="C108" t="s">
        <v>2413</v>
      </c>
      <c r="D108" t="s">
        <v>2407</v>
      </c>
      <c r="E108" t="s">
        <v>2414</v>
      </c>
      <c r="F108" t="s">
        <v>2416</v>
      </c>
      <c r="G108" t="s">
        <v>2747</v>
      </c>
      <c r="H108" t="s">
        <v>2754</v>
      </c>
      <c r="I108" t="s">
        <v>3987</v>
      </c>
    </row>
    <row r="109" spans="1:9">
      <c r="A109" s="145" t="s">
        <v>4086</v>
      </c>
      <c r="B109" t="s">
        <v>2173</v>
      </c>
      <c r="C109" t="s">
        <v>2360</v>
      </c>
      <c r="E109" t="s">
        <v>2317</v>
      </c>
      <c r="F109" t="s">
        <v>2361</v>
      </c>
      <c r="G109" t="s">
        <v>2747</v>
      </c>
      <c r="H109" t="s">
        <v>2319</v>
      </c>
      <c r="I109" t="s">
        <v>3987</v>
      </c>
    </row>
    <row r="110" spans="1:9">
      <c r="A110" s="145" t="s">
        <v>4086</v>
      </c>
      <c r="B110" t="s">
        <v>2173</v>
      </c>
      <c r="C110" t="s">
        <v>2362</v>
      </c>
      <c r="D110" t="s">
        <v>2363</v>
      </c>
      <c r="E110" t="s">
        <v>2364</v>
      </c>
      <c r="G110" t="s">
        <v>2747</v>
      </c>
      <c r="H110" t="s">
        <v>2365</v>
      </c>
      <c r="I110" t="s">
        <v>3987</v>
      </c>
    </row>
    <row r="111" spans="1:9">
      <c r="A111" s="145" t="s">
        <v>4086</v>
      </c>
      <c r="B111" t="s">
        <v>2176</v>
      </c>
      <c r="C111" t="s">
        <v>2421</v>
      </c>
      <c r="D111" t="s">
        <v>2422</v>
      </c>
      <c r="E111" t="s">
        <v>2423</v>
      </c>
      <c r="F111" t="s">
        <v>2425</v>
      </c>
      <c r="G111" t="s">
        <v>2747</v>
      </c>
      <c r="H111" t="s">
        <v>2755</v>
      </c>
      <c r="I111" t="s">
        <v>3991</v>
      </c>
    </row>
    <row r="112" spans="1:9">
      <c r="A112" s="145" t="s">
        <v>4086</v>
      </c>
      <c r="B112" t="s">
        <v>2178</v>
      </c>
      <c r="C112" t="s">
        <v>2367</v>
      </c>
      <c r="E112" t="s">
        <v>2317</v>
      </c>
      <c r="F112" t="s">
        <v>2368</v>
      </c>
      <c r="G112" t="s">
        <v>2747</v>
      </c>
      <c r="H112" t="s">
        <v>2319</v>
      </c>
      <c r="I112" t="s">
        <v>3995</v>
      </c>
    </row>
    <row r="113" spans="1:9">
      <c r="A113" s="145" t="s">
        <v>4086</v>
      </c>
      <c r="B113" t="s">
        <v>2178</v>
      </c>
      <c r="C113" t="s">
        <v>2369</v>
      </c>
      <c r="D113" t="s">
        <v>2370</v>
      </c>
      <c r="E113" t="s">
        <v>2317</v>
      </c>
      <c r="F113" t="s">
        <v>2371</v>
      </c>
      <c r="G113" t="s">
        <v>2747</v>
      </c>
      <c r="H113" t="s">
        <v>2319</v>
      </c>
      <c r="I113" t="s">
        <v>3995</v>
      </c>
    </row>
    <row r="114" spans="1:9">
      <c r="A114" s="145" t="s">
        <v>4086</v>
      </c>
      <c r="B114" t="s">
        <v>2178</v>
      </c>
      <c r="C114" t="s">
        <v>2372</v>
      </c>
      <c r="E114" t="s">
        <v>2329</v>
      </c>
      <c r="G114" t="s">
        <v>2747</v>
      </c>
      <c r="H114" t="s">
        <v>2330</v>
      </c>
      <c r="I114" t="s">
        <v>3995</v>
      </c>
    </row>
    <row r="115" spans="1:9">
      <c r="A115" s="145" t="s">
        <v>4086</v>
      </c>
      <c r="B115" t="s">
        <v>3874</v>
      </c>
      <c r="C115" t="s">
        <v>2374</v>
      </c>
      <c r="E115" t="s">
        <v>2329</v>
      </c>
      <c r="F115" t="s">
        <v>2375</v>
      </c>
      <c r="G115" t="s">
        <v>2747</v>
      </c>
      <c r="H115" t="s">
        <v>2330</v>
      </c>
    </row>
    <row r="116" spans="1:9">
      <c r="A116" s="145" t="s">
        <v>4090</v>
      </c>
      <c r="B116" t="s">
        <v>2154</v>
      </c>
      <c r="C116" t="s">
        <v>2381</v>
      </c>
      <c r="E116" t="s">
        <v>1396</v>
      </c>
      <c r="G116" t="s">
        <v>2207</v>
      </c>
      <c r="H116" t="s">
        <v>1396</v>
      </c>
      <c r="I116" t="s">
        <v>3955</v>
      </c>
    </row>
    <row r="117" spans="1:9">
      <c r="A117" s="145" t="s">
        <v>4090</v>
      </c>
      <c r="B117" t="s">
        <v>2154</v>
      </c>
      <c r="C117" t="s">
        <v>2382</v>
      </c>
      <c r="E117" t="s">
        <v>2383</v>
      </c>
      <c r="G117" t="s">
        <v>2207</v>
      </c>
      <c r="H117" t="s">
        <v>1396</v>
      </c>
      <c r="I117" t="s">
        <v>3955</v>
      </c>
    </row>
    <row r="118" spans="1:9">
      <c r="A118" s="145" t="s">
        <v>4090</v>
      </c>
      <c r="B118" t="s">
        <v>2173</v>
      </c>
      <c r="C118" t="s">
        <v>2413</v>
      </c>
      <c r="D118" t="s">
        <v>2407</v>
      </c>
      <c r="E118" t="s">
        <v>2414</v>
      </c>
      <c r="F118" t="s">
        <v>2416</v>
      </c>
      <c r="G118" t="s">
        <v>2207</v>
      </c>
      <c r="H118" t="s">
        <v>2757</v>
      </c>
      <c r="I118" t="s">
        <v>3987</v>
      </c>
    </row>
    <row r="119" spans="1:9">
      <c r="A119" s="145" t="s">
        <v>4090</v>
      </c>
      <c r="B119" t="s">
        <v>2176</v>
      </c>
      <c r="C119" t="s">
        <v>2421</v>
      </c>
      <c r="D119" t="s">
        <v>2422</v>
      </c>
      <c r="E119" t="s">
        <v>2423</v>
      </c>
      <c r="F119" t="s">
        <v>2425</v>
      </c>
      <c r="G119" t="s">
        <v>2207</v>
      </c>
      <c r="H119" t="s">
        <v>2755</v>
      </c>
      <c r="I119" t="s">
        <v>3991</v>
      </c>
    </row>
    <row r="120" spans="1:9">
      <c r="A120" s="145" t="s">
        <v>4095</v>
      </c>
      <c r="B120" t="s">
        <v>2154</v>
      </c>
      <c r="C120" t="s">
        <v>2315</v>
      </c>
      <c r="D120" t="s">
        <v>2316</v>
      </c>
      <c r="E120" t="s">
        <v>2317</v>
      </c>
      <c r="F120" t="s">
        <v>2320</v>
      </c>
      <c r="G120" t="s">
        <v>2747</v>
      </c>
      <c r="H120" t="s">
        <v>2319</v>
      </c>
      <c r="I120" t="s">
        <v>3955</v>
      </c>
    </row>
    <row r="121" spans="1:9">
      <c r="A121" s="145" t="s">
        <v>4095</v>
      </c>
      <c r="B121" t="s">
        <v>2154</v>
      </c>
      <c r="C121" t="s">
        <v>2381</v>
      </c>
      <c r="E121" t="s">
        <v>1396</v>
      </c>
      <c r="G121" t="s">
        <v>2747</v>
      </c>
      <c r="H121" t="s">
        <v>1396</v>
      </c>
      <c r="I121" t="s">
        <v>3955</v>
      </c>
    </row>
    <row r="122" spans="1:9">
      <c r="A122" s="145" t="s">
        <v>4095</v>
      </c>
      <c r="B122" t="s">
        <v>2154</v>
      </c>
      <c r="C122" t="s">
        <v>2382</v>
      </c>
      <c r="E122" t="s">
        <v>2383</v>
      </c>
      <c r="G122" t="s">
        <v>2747</v>
      </c>
      <c r="H122" t="s">
        <v>1396</v>
      </c>
      <c r="I122" t="s">
        <v>3955</v>
      </c>
    </row>
    <row r="123" spans="1:9">
      <c r="A123" s="145" t="s">
        <v>4095</v>
      </c>
      <c r="B123" t="s">
        <v>2154</v>
      </c>
      <c r="C123" t="s">
        <v>2321</v>
      </c>
      <c r="D123" t="s">
        <v>2322</v>
      </c>
      <c r="E123" t="s">
        <v>2317</v>
      </c>
      <c r="G123" t="s">
        <v>2747</v>
      </c>
      <c r="H123" t="s">
        <v>2319</v>
      </c>
      <c r="I123" t="s">
        <v>3955</v>
      </c>
    </row>
    <row r="124" spans="1:9">
      <c r="A124" s="145" t="s">
        <v>4095</v>
      </c>
      <c r="B124" t="s">
        <v>2154</v>
      </c>
      <c r="C124" t="s">
        <v>2324</v>
      </c>
      <c r="D124" t="s">
        <v>2322</v>
      </c>
      <c r="E124" t="s">
        <v>2317</v>
      </c>
      <c r="G124" t="s">
        <v>2747</v>
      </c>
      <c r="H124" t="s">
        <v>2319</v>
      </c>
      <c r="I124" t="s">
        <v>3955</v>
      </c>
    </row>
    <row r="125" spans="1:9">
      <c r="A125" s="145" t="s">
        <v>4095</v>
      </c>
      <c r="B125" t="s">
        <v>2154</v>
      </c>
      <c r="C125" t="s">
        <v>2325</v>
      </c>
      <c r="D125" t="s">
        <v>2326</v>
      </c>
      <c r="E125" t="s">
        <v>2317</v>
      </c>
      <c r="G125" t="s">
        <v>2747</v>
      </c>
      <c r="H125" t="s">
        <v>2319</v>
      </c>
      <c r="I125" t="s">
        <v>3955</v>
      </c>
    </row>
    <row r="126" spans="1:9">
      <c r="A126" s="145" t="s">
        <v>4095</v>
      </c>
      <c r="B126" t="s">
        <v>2156</v>
      </c>
      <c r="C126" t="s">
        <v>2328</v>
      </c>
      <c r="E126" t="s">
        <v>2329</v>
      </c>
      <c r="F126" t="s">
        <v>2331</v>
      </c>
      <c r="G126" t="s">
        <v>2747</v>
      </c>
      <c r="H126" t="s">
        <v>2330</v>
      </c>
      <c r="I126" t="s">
        <v>3959</v>
      </c>
    </row>
    <row r="127" spans="1:9">
      <c r="A127" s="145" t="s">
        <v>4095</v>
      </c>
      <c r="B127" t="s">
        <v>2163</v>
      </c>
      <c r="C127" t="s">
        <v>2333</v>
      </c>
      <c r="D127" t="s">
        <v>2334</v>
      </c>
      <c r="E127" t="s">
        <v>2335</v>
      </c>
      <c r="G127" t="s">
        <v>2747</v>
      </c>
      <c r="H127" t="s">
        <v>2330</v>
      </c>
      <c r="I127" t="s">
        <v>3971</v>
      </c>
    </row>
    <row r="128" spans="1:9">
      <c r="A128" s="145" t="s">
        <v>4095</v>
      </c>
      <c r="B128" t="s">
        <v>2163</v>
      </c>
      <c r="C128" t="s">
        <v>2336</v>
      </c>
      <c r="D128" t="s">
        <v>2334</v>
      </c>
      <c r="E128" t="s">
        <v>2329</v>
      </c>
      <c r="G128" t="s">
        <v>2747</v>
      </c>
      <c r="H128" t="s">
        <v>2330</v>
      </c>
      <c r="I128" t="s">
        <v>3971</v>
      </c>
    </row>
    <row r="129" spans="1:9">
      <c r="A129" s="145" t="s">
        <v>4095</v>
      </c>
      <c r="B129" t="s">
        <v>2163</v>
      </c>
      <c r="C129" t="s">
        <v>2337</v>
      </c>
      <c r="D129" t="s">
        <v>2334</v>
      </c>
      <c r="E129" t="s">
        <v>2329</v>
      </c>
      <c r="G129" t="s">
        <v>2747</v>
      </c>
      <c r="H129" t="s">
        <v>2330</v>
      </c>
      <c r="I129" t="s">
        <v>3971</v>
      </c>
    </row>
    <row r="130" spans="1:9">
      <c r="A130" s="145" t="s">
        <v>4095</v>
      </c>
      <c r="B130" t="s">
        <v>2163</v>
      </c>
      <c r="C130" t="s">
        <v>2338</v>
      </c>
      <c r="D130" t="s">
        <v>2339</v>
      </c>
      <c r="E130" t="s">
        <v>2329</v>
      </c>
      <c r="G130" t="s">
        <v>2747</v>
      </c>
      <c r="H130" t="s">
        <v>2330</v>
      </c>
      <c r="I130" t="s">
        <v>3971</v>
      </c>
    </row>
    <row r="131" spans="1:9">
      <c r="A131" s="145" t="s">
        <v>4095</v>
      </c>
      <c r="B131" t="s">
        <v>2163</v>
      </c>
      <c r="C131" t="s">
        <v>2340</v>
      </c>
      <c r="E131" t="s">
        <v>2329</v>
      </c>
      <c r="G131" t="s">
        <v>2747</v>
      </c>
      <c r="H131" t="s">
        <v>2330</v>
      </c>
      <c r="I131" t="s">
        <v>3971</v>
      </c>
    </row>
    <row r="132" spans="1:9">
      <c r="A132" s="145" t="s">
        <v>4095</v>
      </c>
      <c r="B132" t="s">
        <v>2163</v>
      </c>
      <c r="C132" t="s">
        <v>2341</v>
      </c>
      <c r="E132" t="s">
        <v>2329</v>
      </c>
      <c r="G132" t="s">
        <v>2747</v>
      </c>
      <c r="H132" t="s">
        <v>2330</v>
      </c>
      <c r="I132" t="s">
        <v>3971</v>
      </c>
    </row>
    <row r="133" spans="1:9">
      <c r="A133" s="145" t="s">
        <v>4095</v>
      </c>
      <c r="B133" t="s">
        <v>2163</v>
      </c>
      <c r="C133" t="s">
        <v>2342</v>
      </c>
      <c r="E133" t="s">
        <v>2329</v>
      </c>
      <c r="G133" t="s">
        <v>2747</v>
      </c>
      <c r="H133" t="s">
        <v>2330</v>
      </c>
      <c r="I133" t="s">
        <v>3971</v>
      </c>
    </row>
    <row r="134" spans="1:9">
      <c r="A134" s="145" t="s">
        <v>4095</v>
      </c>
      <c r="B134" t="s">
        <v>2164</v>
      </c>
      <c r="C134" t="s">
        <v>2347</v>
      </c>
      <c r="E134" t="s">
        <v>2329</v>
      </c>
      <c r="G134" t="s">
        <v>2747</v>
      </c>
      <c r="H134" t="s">
        <v>2330</v>
      </c>
      <c r="I134" t="s">
        <v>3973</v>
      </c>
    </row>
    <row r="135" spans="1:9">
      <c r="A135" s="145" t="s">
        <v>4095</v>
      </c>
      <c r="B135" t="s">
        <v>2164</v>
      </c>
      <c r="C135" t="s">
        <v>2348</v>
      </c>
      <c r="E135" t="s">
        <v>2329</v>
      </c>
      <c r="G135" t="s">
        <v>2747</v>
      </c>
      <c r="H135" t="s">
        <v>2330</v>
      </c>
      <c r="I135" t="s">
        <v>3973</v>
      </c>
    </row>
    <row r="136" spans="1:9">
      <c r="A136" s="145" t="s">
        <v>4095</v>
      </c>
      <c r="B136" t="s">
        <v>2166</v>
      </c>
      <c r="C136" t="s">
        <v>2350</v>
      </c>
      <c r="E136" t="s">
        <v>2329</v>
      </c>
      <c r="G136" t="s">
        <v>2747</v>
      </c>
      <c r="H136" t="s">
        <v>2330</v>
      </c>
      <c r="I136" t="s">
        <v>3975</v>
      </c>
    </row>
    <row r="137" spans="1:9">
      <c r="A137" s="145" t="s">
        <v>4095</v>
      </c>
      <c r="B137" t="s">
        <v>2169</v>
      </c>
      <c r="C137" t="s">
        <v>2352</v>
      </c>
      <c r="D137" t="s">
        <v>2353</v>
      </c>
      <c r="E137" t="s">
        <v>2317</v>
      </c>
      <c r="F137" t="s">
        <v>2354</v>
      </c>
      <c r="G137" t="s">
        <v>2747</v>
      </c>
      <c r="H137" t="s">
        <v>2319</v>
      </c>
      <c r="I137" t="s">
        <v>3983</v>
      </c>
    </row>
    <row r="138" spans="1:9">
      <c r="A138" s="145" t="s">
        <v>4095</v>
      </c>
      <c r="B138" t="s">
        <v>2169</v>
      </c>
      <c r="C138" t="s">
        <v>2355</v>
      </c>
      <c r="D138" t="s">
        <v>2356</v>
      </c>
      <c r="E138" t="s">
        <v>2317</v>
      </c>
      <c r="F138" t="s">
        <v>2357</v>
      </c>
      <c r="G138" t="s">
        <v>2747</v>
      </c>
      <c r="H138" t="s">
        <v>2319</v>
      </c>
      <c r="I138" t="s">
        <v>3983</v>
      </c>
    </row>
    <row r="139" spans="1:9">
      <c r="A139" s="145" t="s">
        <v>4095</v>
      </c>
      <c r="B139" t="s">
        <v>2169</v>
      </c>
      <c r="C139" t="s">
        <v>2358</v>
      </c>
      <c r="E139" t="s">
        <v>2329</v>
      </c>
      <c r="G139" t="s">
        <v>2747</v>
      </c>
      <c r="H139" t="s">
        <v>2330</v>
      </c>
      <c r="I139" t="s">
        <v>3983</v>
      </c>
    </row>
    <row r="140" spans="1:9">
      <c r="A140" s="145" t="s">
        <v>4095</v>
      </c>
      <c r="B140" t="s">
        <v>2173</v>
      </c>
      <c r="C140" t="s">
        <v>2413</v>
      </c>
      <c r="D140" t="s">
        <v>2407</v>
      </c>
      <c r="E140" t="s">
        <v>2414</v>
      </c>
      <c r="F140" t="s">
        <v>2416</v>
      </c>
      <c r="G140" t="s">
        <v>2747</v>
      </c>
      <c r="H140" t="s">
        <v>2415</v>
      </c>
      <c r="I140" t="s">
        <v>3987</v>
      </c>
    </row>
    <row r="141" spans="1:9">
      <c r="A141" s="145" t="s">
        <v>4095</v>
      </c>
      <c r="B141" t="s">
        <v>2173</v>
      </c>
      <c r="C141" t="s">
        <v>2360</v>
      </c>
      <c r="E141" t="s">
        <v>2317</v>
      </c>
      <c r="F141" t="s">
        <v>2361</v>
      </c>
      <c r="G141" t="s">
        <v>2747</v>
      </c>
      <c r="H141" t="s">
        <v>2319</v>
      </c>
      <c r="I141" t="s">
        <v>3987</v>
      </c>
    </row>
    <row r="142" spans="1:9">
      <c r="A142" s="145" t="s">
        <v>4095</v>
      </c>
      <c r="B142" t="s">
        <v>2173</v>
      </c>
      <c r="C142" t="s">
        <v>2362</v>
      </c>
      <c r="D142" t="s">
        <v>2363</v>
      </c>
      <c r="E142" t="s">
        <v>2364</v>
      </c>
      <c r="G142" t="s">
        <v>2747</v>
      </c>
      <c r="H142" t="s">
        <v>2365</v>
      </c>
      <c r="I142" t="s">
        <v>3987</v>
      </c>
    </row>
    <row r="143" spans="1:9">
      <c r="A143" s="145" t="s">
        <v>4095</v>
      </c>
      <c r="B143" t="s">
        <v>2176</v>
      </c>
      <c r="C143" t="s">
        <v>2421</v>
      </c>
      <c r="D143" t="s">
        <v>2422</v>
      </c>
      <c r="E143" t="s">
        <v>2423</v>
      </c>
      <c r="F143" t="s">
        <v>2425</v>
      </c>
      <c r="G143" t="s">
        <v>2747</v>
      </c>
      <c r="H143" t="s">
        <v>2424</v>
      </c>
      <c r="I143" t="s">
        <v>3991</v>
      </c>
    </row>
    <row r="144" spans="1:9">
      <c r="A144" s="145" t="s">
        <v>4095</v>
      </c>
      <c r="B144" t="s">
        <v>2178</v>
      </c>
      <c r="C144" t="s">
        <v>2367</v>
      </c>
      <c r="E144" t="s">
        <v>2317</v>
      </c>
      <c r="F144" t="s">
        <v>2368</v>
      </c>
      <c r="G144" t="s">
        <v>2747</v>
      </c>
      <c r="H144" t="s">
        <v>2319</v>
      </c>
      <c r="I144" t="s">
        <v>3995</v>
      </c>
    </row>
    <row r="145" spans="1:9">
      <c r="A145" s="145" t="s">
        <v>4095</v>
      </c>
      <c r="B145" t="s">
        <v>2178</v>
      </c>
      <c r="C145" t="s">
        <v>2369</v>
      </c>
      <c r="D145" t="s">
        <v>2370</v>
      </c>
      <c r="E145" t="s">
        <v>2317</v>
      </c>
      <c r="F145" t="s">
        <v>2371</v>
      </c>
      <c r="G145" t="s">
        <v>2747</v>
      </c>
      <c r="H145" t="s">
        <v>2319</v>
      </c>
      <c r="I145" t="s">
        <v>3995</v>
      </c>
    </row>
    <row r="146" spans="1:9">
      <c r="A146" s="145" t="s">
        <v>4095</v>
      </c>
      <c r="B146" t="s">
        <v>2178</v>
      </c>
      <c r="C146" t="s">
        <v>2372</v>
      </c>
      <c r="E146" t="s">
        <v>2329</v>
      </c>
      <c r="G146" t="s">
        <v>2747</v>
      </c>
      <c r="H146" t="s">
        <v>2330</v>
      </c>
      <c r="I146" t="s">
        <v>3995</v>
      </c>
    </row>
    <row r="147" spans="1:9">
      <c r="A147" s="145" t="s">
        <v>4095</v>
      </c>
      <c r="B147" t="s">
        <v>3874</v>
      </c>
      <c r="C147" t="s">
        <v>2374</v>
      </c>
      <c r="E147" t="s">
        <v>2329</v>
      </c>
      <c r="F147" t="s">
        <v>2375</v>
      </c>
      <c r="G147" t="s">
        <v>2747</v>
      </c>
      <c r="H147" t="s">
        <v>2330</v>
      </c>
    </row>
    <row r="148" spans="1:9">
      <c r="A148" s="145" t="s">
        <v>4097</v>
      </c>
      <c r="B148" t="s">
        <v>2154</v>
      </c>
      <c r="C148" t="s">
        <v>2315</v>
      </c>
      <c r="D148" t="s">
        <v>2316</v>
      </c>
      <c r="E148" t="s">
        <v>2317</v>
      </c>
      <c r="F148" t="s">
        <v>2320</v>
      </c>
      <c r="G148" t="s">
        <v>2747</v>
      </c>
      <c r="H148" t="s">
        <v>2319</v>
      </c>
      <c r="I148" t="s">
        <v>3955</v>
      </c>
    </row>
    <row r="149" spans="1:9">
      <c r="A149" s="145" t="s">
        <v>4097</v>
      </c>
      <c r="B149" t="s">
        <v>2154</v>
      </c>
      <c r="C149" t="s">
        <v>2381</v>
      </c>
      <c r="E149" t="s">
        <v>1396</v>
      </c>
      <c r="G149" t="s">
        <v>2747</v>
      </c>
      <c r="H149" t="s">
        <v>1396</v>
      </c>
      <c r="I149" t="s">
        <v>3955</v>
      </c>
    </row>
    <row r="150" spans="1:9">
      <c r="A150" s="145" t="s">
        <v>4097</v>
      </c>
      <c r="B150" t="s">
        <v>2154</v>
      </c>
      <c r="C150" t="s">
        <v>2382</v>
      </c>
      <c r="E150" t="s">
        <v>2383</v>
      </c>
      <c r="G150" t="s">
        <v>2747</v>
      </c>
      <c r="H150" t="s">
        <v>1396</v>
      </c>
      <c r="I150" t="s">
        <v>3955</v>
      </c>
    </row>
    <row r="151" spans="1:9">
      <c r="A151" s="145" t="s">
        <v>4097</v>
      </c>
      <c r="B151" t="s">
        <v>2154</v>
      </c>
      <c r="C151" t="s">
        <v>2321</v>
      </c>
      <c r="D151" t="s">
        <v>2322</v>
      </c>
      <c r="E151" t="s">
        <v>2317</v>
      </c>
      <c r="G151" t="s">
        <v>2747</v>
      </c>
      <c r="H151" t="s">
        <v>2319</v>
      </c>
      <c r="I151" t="s">
        <v>3955</v>
      </c>
    </row>
    <row r="152" spans="1:9">
      <c r="A152" s="145" t="s">
        <v>4097</v>
      </c>
      <c r="B152" t="s">
        <v>2154</v>
      </c>
      <c r="C152" t="s">
        <v>2324</v>
      </c>
      <c r="D152" t="s">
        <v>2322</v>
      </c>
      <c r="E152" t="s">
        <v>2317</v>
      </c>
      <c r="G152" t="s">
        <v>2747</v>
      </c>
      <c r="H152" t="s">
        <v>2319</v>
      </c>
      <c r="I152" t="s">
        <v>3955</v>
      </c>
    </row>
    <row r="153" spans="1:9">
      <c r="A153" s="145" t="s">
        <v>4097</v>
      </c>
      <c r="B153" t="s">
        <v>2154</v>
      </c>
      <c r="C153" t="s">
        <v>2325</v>
      </c>
      <c r="D153" t="s">
        <v>2326</v>
      </c>
      <c r="E153" t="s">
        <v>2317</v>
      </c>
      <c r="G153" t="s">
        <v>2747</v>
      </c>
      <c r="H153" t="s">
        <v>2319</v>
      </c>
      <c r="I153" t="s">
        <v>3955</v>
      </c>
    </row>
    <row r="154" spans="1:9">
      <c r="A154" s="145" t="s">
        <v>4097</v>
      </c>
      <c r="B154" t="s">
        <v>2156</v>
      </c>
      <c r="C154" t="s">
        <v>2328</v>
      </c>
      <c r="E154" t="s">
        <v>2329</v>
      </c>
      <c r="F154" t="s">
        <v>2331</v>
      </c>
      <c r="G154" t="s">
        <v>2747</v>
      </c>
      <c r="H154" t="s">
        <v>2330</v>
      </c>
      <c r="I154" t="s">
        <v>3959</v>
      </c>
    </row>
    <row r="155" spans="1:9">
      <c r="A155" s="145" t="s">
        <v>4097</v>
      </c>
      <c r="B155" t="s">
        <v>2163</v>
      </c>
      <c r="C155" t="s">
        <v>2333</v>
      </c>
      <c r="D155" t="s">
        <v>2334</v>
      </c>
      <c r="E155" t="s">
        <v>2335</v>
      </c>
      <c r="G155" t="s">
        <v>2747</v>
      </c>
      <c r="H155" t="s">
        <v>2330</v>
      </c>
      <c r="I155" t="s">
        <v>3971</v>
      </c>
    </row>
    <row r="156" spans="1:9">
      <c r="A156" s="145" t="s">
        <v>4097</v>
      </c>
      <c r="B156" t="s">
        <v>2163</v>
      </c>
      <c r="C156" t="s">
        <v>2336</v>
      </c>
      <c r="D156" t="s">
        <v>2334</v>
      </c>
      <c r="E156" t="s">
        <v>2329</v>
      </c>
      <c r="G156" t="s">
        <v>2747</v>
      </c>
      <c r="H156" t="s">
        <v>2330</v>
      </c>
      <c r="I156" t="s">
        <v>3971</v>
      </c>
    </row>
    <row r="157" spans="1:9">
      <c r="A157" s="145" t="s">
        <v>4097</v>
      </c>
      <c r="B157" t="s">
        <v>2163</v>
      </c>
      <c r="C157" t="s">
        <v>2337</v>
      </c>
      <c r="D157" t="s">
        <v>2334</v>
      </c>
      <c r="E157" t="s">
        <v>2329</v>
      </c>
      <c r="G157" t="s">
        <v>2747</v>
      </c>
      <c r="H157" t="s">
        <v>2330</v>
      </c>
      <c r="I157" t="s">
        <v>3971</v>
      </c>
    </row>
    <row r="158" spans="1:9">
      <c r="A158" s="145" t="s">
        <v>4097</v>
      </c>
      <c r="B158" t="s">
        <v>2163</v>
      </c>
      <c r="C158" t="s">
        <v>2338</v>
      </c>
      <c r="D158" t="s">
        <v>2339</v>
      </c>
      <c r="E158" t="s">
        <v>2329</v>
      </c>
      <c r="G158" t="s">
        <v>2747</v>
      </c>
      <c r="H158" t="s">
        <v>2330</v>
      </c>
      <c r="I158" t="s">
        <v>3971</v>
      </c>
    </row>
    <row r="159" spans="1:9">
      <c r="A159" s="145" t="s">
        <v>4097</v>
      </c>
      <c r="B159" t="s">
        <v>2163</v>
      </c>
      <c r="C159" t="s">
        <v>2340</v>
      </c>
      <c r="E159" t="s">
        <v>2329</v>
      </c>
      <c r="G159" t="s">
        <v>2747</v>
      </c>
      <c r="H159" t="s">
        <v>2330</v>
      </c>
      <c r="I159" t="s">
        <v>3971</v>
      </c>
    </row>
    <row r="160" spans="1:9">
      <c r="A160" s="145" t="s">
        <v>4097</v>
      </c>
      <c r="B160" t="s">
        <v>2163</v>
      </c>
      <c r="C160" t="s">
        <v>2341</v>
      </c>
      <c r="E160" t="s">
        <v>2329</v>
      </c>
      <c r="G160" t="s">
        <v>2747</v>
      </c>
      <c r="H160" t="s">
        <v>2330</v>
      </c>
      <c r="I160" t="s">
        <v>3971</v>
      </c>
    </row>
    <row r="161" spans="1:9">
      <c r="A161" s="145" t="s">
        <v>4097</v>
      </c>
      <c r="B161" t="s">
        <v>2163</v>
      </c>
      <c r="C161" t="s">
        <v>2342</v>
      </c>
      <c r="E161" t="s">
        <v>2329</v>
      </c>
      <c r="G161" t="s">
        <v>2747</v>
      </c>
      <c r="H161" t="s">
        <v>2330</v>
      </c>
      <c r="I161" t="s">
        <v>3971</v>
      </c>
    </row>
    <row r="162" spans="1:9">
      <c r="A162" s="145" t="s">
        <v>4097</v>
      </c>
      <c r="B162" t="s">
        <v>2164</v>
      </c>
      <c r="C162" t="s">
        <v>2347</v>
      </c>
      <c r="E162" t="s">
        <v>2329</v>
      </c>
      <c r="G162" t="s">
        <v>2747</v>
      </c>
      <c r="H162" t="s">
        <v>2330</v>
      </c>
      <c r="I162" t="s">
        <v>3973</v>
      </c>
    </row>
    <row r="163" spans="1:9">
      <c r="A163" s="145" t="s">
        <v>4097</v>
      </c>
      <c r="B163" t="s">
        <v>2164</v>
      </c>
      <c r="C163" t="s">
        <v>2348</v>
      </c>
      <c r="E163" t="s">
        <v>2329</v>
      </c>
      <c r="G163" t="s">
        <v>2747</v>
      </c>
      <c r="H163" t="s">
        <v>2330</v>
      </c>
      <c r="I163" t="s">
        <v>3973</v>
      </c>
    </row>
    <row r="164" spans="1:9">
      <c r="A164" s="145" t="s">
        <v>4097</v>
      </c>
      <c r="B164" t="s">
        <v>2166</v>
      </c>
      <c r="C164" t="s">
        <v>2350</v>
      </c>
      <c r="E164" t="s">
        <v>2329</v>
      </c>
      <c r="G164" t="s">
        <v>2747</v>
      </c>
      <c r="H164" t="s">
        <v>2330</v>
      </c>
      <c r="I164" t="s">
        <v>3975</v>
      </c>
    </row>
    <row r="165" spans="1:9">
      <c r="A165" s="145" t="s">
        <v>4097</v>
      </c>
      <c r="B165" t="s">
        <v>2169</v>
      </c>
      <c r="C165" t="s">
        <v>2352</v>
      </c>
      <c r="D165" t="s">
        <v>2353</v>
      </c>
      <c r="E165" t="s">
        <v>2317</v>
      </c>
      <c r="F165" t="s">
        <v>2354</v>
      </c>
      <c r="G165" t="s">
        <v>2747</v>
      </c>
      <c r="H165" t="s">
        <v>2319</v>
      </c>
      <c r="I165" t="s">
        <v>3983</v>
      </c>
    </row>
    <row r="166" spans="1:9">
      <c r="A166" s="145" t="s">
        <v>4097</v>
      </c>
      <c r="B166" t="s">
        <v>2169</v>
      </c>
      <c r="C166" t="s">
        <v>2355</v>
      </c>
      <c r="D166" t="s">
        <v>2356</v>
      </c>
      <c r="E166" t="s">
        <v>2317</v>
      </c>
      <c r="F166" t="s">
        <v>2357</v>
      </c>
      <c r="G166" t="s">
        <v>2747</v>
      </c>
      <c r="H166" t="s">
        <v>2319</v>
      </c>
      <c r="I166" t="s">
        <v>3983</v>
      </c>
    </row>
    <row r="167" spans="1:9">
      <c r="A167" s="145" t="s">
        <v>4097</v>
      </c>
      <c r="B167" t="s">
        <v>2169</v>
      </c>
      <c r="C167" t="s">
        <v>2358</v>
      </c>
      <c r="E167" t="s">
        <v>2329</v>
      </c>
      <c r="G167" t="s">
        <v>2747</v>
      </c>
      <c r="H167" t="s">
        <v>2330</v>
      </c>
      <c r="I167" t="s">
        <v>3983</v>
      </c>
    </row>
    <row r="168" spans="1:9">
      <c r="A168" s="145" t="s">
        <v>4097</v>
      </c>
      <c r="B168" t="s">
        <v>2173</v>
      </c>
      <c r="C168" t="s">
        <v>2413</v>
      </c>
      <c r="D168" t="s">
        <v>2407</v>
      </c>
      <c r="E168" t="s">
        <v>2414</v>
      </c>
      <c r="F168" t="s">
        <v>2416</v>
      </c>
      <c r="G168" t="s">
        <v>2747</v>
      </c>
      <c r="H168" t="s">
        <v>2415</v>
      </c>
      <c r="I168" t="s">
        <v>3987</v>
      </c>
    </row>
    <row r="169" spans="1:9">
      <c r="A169" s="145" t="s">
        <v>4097</v>
      </c>
      <c r="B169" t="s">
        <v>2173</v>
      </c>
      <c r="C169" t="s">
        <v>2360</v>
      </c>
      <c r="E169" t="s">
        <v>2317</v>
      </c>
      <c r="F169" t="s">
        <v>2361</v>
      </c>
      <c r="G169" t="s">
        <v>2747</v>
      </c>
      <c r="H169" t="s">
        <v>2319</v>
      </c>
      <c r="I169" t="s">
        <v>3987</v>
      </c>
    </row>
    <row r="170" spans="1:9">
      <c r="A170" s="145" t="s">
        <v>4097</v>
      </c>
      <c r="B170" t="s">
        <v>2173</v>
      </c>
      <c r="C170" t="s">
        <v>2362</v>
      </c>
      <c r="D170" t="s">
        <v>2363</v>
      </c>
      <c r="E170" t="s">
        <v>2364</v>
      </c>
      <c r="G170" t="s">
        <v>2747</v>
      </c>
      <c r="H170" t="s">
        <v>2365</v>
      </c>
      <c r="I170" t="s">
        <v>3987</v>
      </c>
    </row>
    <row r="171" spans="1:9">
      <c r="A171" s="145" t="s">
        <v>4097</v>
      </c>
      <c r="B171" t="s">
        <v>2176</v>
      </c>
      <c r="C171" t="s">
        <v>2421</v>
      </c>
      <c r="D171" t="s">
        <v>2422</v>
      </c>
      <c r="E171" t="s">
        <v>2423</v>
      </c>
      <c r="F171" t="s">
        <v>2425</v>
      </c>
      <c r="G171" t="s">
        <v>2747</v>
      </c>
      <c r="H171" t="s">
        <v>2424</v>
      </c>
      <c r="I171" t="s">
        <v>3991</v>
      </c>
    </row>
    <row r="172" spans="1:9">
      <c r="A172" s="145" t="s">
        <v>4097</v>
      </c>
      <c r="B172" t="s">
        <v>2178</v>
      </c>
      <c r="C172" t="s">
        <v>2367</v>
      </c>
      <c r="E172" t="s">
        <v>2317</v>
      </c>
      <c r="F172" t="s">
        <v>2368</v>
      </c>
      <c r="G172" t="s">
        <v>2747</v>
      </c>
      <c r="H172" t="s">
        <v>2319</v>
      </c>
      <c r="I172" t="s">
        <v>3995</v>
      </c>
    </row>
    <row r="173" spans="1:9">
      <c r="A173" s="145" t="s">
        <v>4097</v>
      </c>
      <c r="B173" t="s">
        <v>2178</v>
      </c>
      <c r="C173" t="s">
        <v>2369</v>
      </c>
      <c r="D173" t="s">
        <v>2370</v>
      </c>
      <c r="E173" t="s">
        <v>2317</v>
      </c>
      <c r="F173" t="s">
        <v>2371</v>
      </c>
      <c r="G173" t="s">
        <v>2747</v>
      </c>
      <c r="H173" t="s">
        <v>2319</v>
      </c>
      <c r="I173" t="s">
        <v>3995</v>
      </c>
    </row>
    <row r="174" spans="1:9">
      <c r="A174" s="145" t="s">
        <v>4097</v>
      </c>
      <c r="B174" t="s">
        <v>2178</v>
      </c>
      <c r="C174" t="s">
        <v>2372</v>
      </c>
      <c r="E174" t="s">
        <v>2329</v>
      </c>
      <c r="G174" t="s">
        <v>2747</v>
      </c>
      <c r="H174" t="s">
        <v>2330</v>
      </c>
      <c r="I174" t="s">
        <v>3995</v>
      </c>
    </row>
    <row r="175" spans="1:9">
      <c r="A175" s="145" t="s">
        <v>4097</v>
      </c>
      <c r="B175" t="s">
        <v>3874</v>
      </c>
      <c r="C175" t="s">
        <v>2374</v>
      </c>
      <c r="E175" t="s">
        <v>2329</v>
      </c>
      <c r="F175" t="s">
        <v>2375</v>
      </c>
      <c r="G175" t="s">
        <v>2747</v>
      </c>
      <c r="H175" t="s">
        <v>2330</v>
      </c>
    </row>
    <row r="176" spans="1:9">
      <c r="A176" s="145" t="s">
        <v>4098</v>
      </c>
      <c r="B176" t="s">
        <v>2154</v>
      </c>
      <c r="C176" t="s">
        <v>2381</v>
      </c>
      <c r="E176" t="s">
        <v>1396</v>
      </c>
      <c r="G176" t="s">
        <v>2747</v>
      </c>
      <c r="H176" t="s">
        <v>1396</v>
      </c>
      <c r="I176" t="s">
        <v>3955</v>
      </c>
    </row>
    <row r="177" spans="1:9">
      <c r="A177" s="145" t="s">
        <v>4098</v>
      </c>
      <c r="B177" t="s">
        <v>2154</v>
      </c>
      <c r="C177" t="s">
        <v>2382</v>
      </c>
      <c r="E177" t="s">
        <v>2383</v>
      </c>
      <c r="G177" t="s">
        <v>2747</v>
      </c>
      <c r="H177" t="s">
        <v>1396</v>
      </c>
      <c r="I177" t="s">
        <v>3955</v>
      </c>
    </row>
    <row r="178" spans="1:9">
      <c r="A178" s="145" t="s">
        <v>4098</v>
      </c>
      <c r="B178" t="s">
        <v>3644</v>
      </c>
      <c r="C178" t="s">
        <v>2458</v>
      </c>
      <c r="D178" t="s">
        <v>2457</v>
      </c>
      <c r="E178" t="s">
        <v>2459</v>
      </c>
      <c r="G178" t="s">
        <v>2747</v>
      </c>
      <c r="H178" t="s">
        <v>2585</v>
      </c>
      <c r="I178" t="s">
        <v>3963</v>
      </c>
    </row>
    <row r="179" spans="1:9">
      <c r="A179" s="145" t="s">
        <v>4098</v>
      </c>
      <c r="B179" t="s">
        <v>2161</v>
      </c>
      <c r="C179" t="s">
        <v>2587</v>
      </c>
      <c r="D179" t="s">
        <v>2363</v>
      </c>
      <c r="E179" t="s">
        <v>2588</v>
      </c>
      <c r="G179" t="s">
        <v>2747</v>
      </c>
      <c r="H179" t="s">
        <v>2585</v>
      </c>
      <c r="I179" t="s">
        <v>3967</v>
      </c>
    </row>
    <row r="180" spans="1:9">
      <c r="A180" s="145" t="s">
        <v>4098</v>
      </c>
      <c r="B180" t="s">
        <v>2161</v>
      </c>
      <c r="C180" t="s">
        <v>2392</v>
      </c>
      <c r="D180" t="s">
        <v>2390</v>
      </c>
      <c r="E180" t="s">
        <v>2393</v>
      </c>
      <c r="F180" t="s">
        <v>2394</v>
      </c>
      <c r="G180" t="s">
        <v>2747</v>
      </c>
      <c r="H180" t="s">
        <v>2585</v>
      </c>
      <c r="I180" t="s">
        <v>3967</v>
      </c>
    </row>
    <row r="181" spans="1:9">
      <c r="A181" s="145" t="s">
        <v>4098</v>
      </c>
      <c r="B181" t="s">
        <v>2173</v>
      </c>
      <c r="C181" t="s">
        <v>2413</v>
      </c>
      <c r="D181" t="s">
        <v>2407</v>
      </c>
      <c r="E181" t="s">
        <v>2414</v>
      </c>
      <c r="F181" t="s">
        <v>2416</v>
      </c>
      <c r="G181" t="s">
        <v>2747</v>
      </c>
      <c r="H181" t="s">
        <v>2760</v>
      </c>
      <c r="I181" t="s">
        <v>3987</v>
      </c>
    </row>
    <row r="182" spans="1:9">
      <c r="A182" s="145" t="s">
        <v>4098</v>
      </c>
      <c r="B182" t="s">
        <v>2176</v>
      </c>
      <c r="C182" t="s">
        <v>2541</v>
      </c>
      <c r="D182" t="s">
        <v>2542</v>
      </c>
      <c r="E182" t="s">
        <v>2543</v>
      </c>
      <c r="G182" t="s">
        <v>2747</v>
      </c>
      <c r="H182" t="s">
        <v>2585</v>
      </c>
      <c r="I182" t="s">
        <v>3991</v>
      </c>
    </row>
    <row r="183" spans="1:9">
      <c r="A183" s="145" t="s">
        <v>4098</v>
      </c>
      <c r="B183" t="s">
        <v>2176</v>
      </c>
      <c r="C183" t="s">
        <v>2421</v>
      </c>
      <c r="D183" t="s">
        <v>2422</v>
      </c>
      <c r="E183" t="s">
        <v>2423</v>
      </c>
      <c r="F183" t="s">
        <v>2425</v>
      </c>
      <c r="G183" t="s">
        <v>2747</v>
      </c>
      <c r="H183" t="s">
        <v>2424</v>
      </c>
      <c r="I183" t="s">
        <v>3991</v>
      </c>
    </row>
    <row r="184" spans="1:9">
      <c r="A184" s="145" t="s">
        <v>4098</v>
      </c>
      <c r="B184" t="s">
        <v>3874</v>
      </c>
      <c r="C184" t="s">
        <v>2578</v>
      </c>
      <c r="D184" t="s">
        <v>2579</v>
      </c>
      <c r="E184" t="s">
        <v>2543</v>
      </c>
      <c r="F184" t="s">
        <v>2580</v>
      </c>
      <c r="G184" t="s">
        <v>2747</v>
      </c>
      <c r="H184" t="s">
        <v>2585</v>
      </c>
    </row>
    <row r="185" spans="1:9">
      <c r="A185" s="145" t="s">
        <v>4098</v>
      </c>
      <c r="B185" t="s">
        <v>3874</v>
      </c>
      <c r="C185" t="s">
        <v>2599</v>
      </c>
      <c r="D185" t="s">
        <v>2435</v>
      </c>
      <c r="E185" t="s">
        <v>2585</v>
      </c>
      <c r="F185" t="s">
        <v>2375</v>
      </c>
      <c r="G185" t="s">
        <v>2747</v>
      </c>
      <c r="H185" t="s">
        <v>2585</v>
      </c>
    </row>
    <row r="186" spans="1:9">
      <c r="A186" s="145" t="s">
        <v>4100</v>
      </c>
      <c r="B186" t="s">
        <v>2154</v>
      </c>
      <c r="C186" t="s">
        <v>2377</v>
      </c>
      <c r="D186" t="s">
        <v>2378</v>
      </c>
      <c r="E186" t="s">
        <v>1622</v>
      </c>
      <c r="F186" t="s">
        <v>2380</v>
      </c>
      <c r="G186" t="s">
        <v>2747</v>
      </c>
      <c r="H186" t="s">
        <v>120</v>
      </c>
      <c r="I186" t="s">
        <v>3955</v>
      </c>
    </row>
    <row r="187" spans="1:9">
      <c r="A187" s="145" t="s">
        <v>4100</v>
      </c>
      <c r="B187" t="s">
        <v>2154</v>
      </c>
      <c r="C187" t="s">
        <v>2381</v>
      </c>
      <c r="E187" t="s">
        <v>1396</v>
      </c>
      <c r="G187" t="s">
        <v>2747</v>
      </c>
      <c r="H187" t="s">
        <v>1396</v>
      </c>
      <c r="I187" t="s">
        <v>3955</v>
      </c>
    </row>
    <row r="188" spans="1:9">
      <c r="A188" s="145" t="s">
        <v>4100</v>
      </c>
      <c r="B188" t="s">
        <v>2154</v>
      </c>
      <c r="C188" t="s">
        <v>2382</v>
      </c>
      <c r="E188" t="s">
        <v>2383</v>
      </c>
      <c r="G188" t="s">
        <v>2747</v>
      </c>
      <c r="H188" t="s">
        <v>2383</v>
      </c>
      <c r="I188" t="s">
        <v>3955</v>
      </c>
    </row>
    <row r="189" spans="1:9">
      <c r="A189" s="145" t="s">
        <v>4100</v>
      </c>
      <c r="B189" t="s">
        <v>2154</v>
      </c>
      <c r="C189" t="s">
        <v>2441</v>
      </c>
      <c r="D189" t="s">
        <v>2316</v>
      </c>
      <c r="E189" t="s">
        <v>120</v>
      </c>
      <c r="G189" t="s">
        <v>2747</v>
      </c>
      <c r="H189" t="s">
        <v>120</v>
      </c>
      <c r="I189" t="s">
        <v>3955</v>
      </c>
    </row>
    <row r="190" spans="1:9">
      <c r="A190" s="145" t="s">
        <v>4100</v>
      </c>
      <c r="B190" t="s">
        <v>2154</v>
      </c>
      <c r="C190" t="s">
        <v>2442</v>
      </c>
      <c r="D190" t="s">
        <v>2326</v>
      </c>
      <c r="E190" t="s">
        <v>120</v>
      </c>
      <c r="F190" t="s">
        <v>2443</v>
      </c>
      <c r="G190" t="s">
        <v>2747</v>
      </c>
      <c r="H190" t="s">
        <v>120</v>
      </c>
      <c r="I190" t="s">
        <v>3955</v>
      </c>
    </row>
    <row r="191" spans="1:9">
      <c r="A191" s="145" t="s">
        <v>4100</v>
      </c>
      <c r="B191" t="s">
        <v>2154</v>
      </c>
      <c r="C191" t="s">
        <v>2444</v>
      </c>
      <c r="E191" t="s">
        <v>120</v>
      </c>
      <c r="G191" t="s">
        <v>2747</v>
      </c>
      <c r="H191" t="s">
        <v>120</v>
      </c>
      <c r="I191" t="s">
        <v>3955</v>
      </c>
    </row>
    <row r="192" spans="1:9">
      <c r="A192" s="145" t="s">
        <v>4100</v>
      </c>
      <c r="B192" t="s">
        <v>2156</v>
      </c>
      <c r="C192" t="s">
        <v>2446</v>
      </c>
      <c r="D192" t="s">
        <v>2334</v>
      </c>
      <c r="E192" t="s">
        <v>120</v>
      </c>
      <c r="G192" t="s">
        <v>2747</v>
      </c>
      <c r="H192" t="s">
        <v>120</v>
      </c>
      <c r="I192" t="s">
        <v>3959</v>
      </c>
    </row>
    <row r="193" spans="1:9">
      <c r="A193" s="145" t="s">
        <v>4100</v>
      </c>
      <c r="B193" t="s">
        <v>2156</v>
      </c>
      <c r="C193" t="s">
        <v>2447</v>
      </c>
      <c r="D193" t="s">
        <v>2448</v>
      </c>
      <c r="E193" t="s">
        <v>120</v>
      </c>
      <c r="F193" t="s">
        <v>2449</v>
      </c>
      <c r="G193" t="s">
        <v>2747</v>
      </c>
      <c r="H193" t="s">
        <v>120</v>
      </c>
      <c r="I193" t="s">
        <v>3959</v>
      </c>
    </row>
    <row r="194" spans="1:9">
      <c r="A194" s="145" t="s">
        <v>4100</v>
      </c>
      <c r="B194" t="s">
        <v>2156</v>
      </c>
      <c r="C194" t="s">
        <v>2450</v>
      </c>
      <c r="D194" t="s">
        <v>2448</v>
      </c>
      <c r="E194" t="s">
        <v>120</v>
      </c>
      <c r="G194" t="s">
        <v>2747</v>
      </c>
      <c r="H194" t="s">
        <v>120</v>
      </c>
      <c r="I194" t="s">
        <v>3959</v>
      </c>
    </row>
    <row r="195" spans="1:9">
      <c r="A195" s="145" t="s">
        <v>4100</v>
      </c>
      <c r="B195" t="s">
        <v>2156</v>
      </c>
      <c r="C195" t="s">
        <v>2328</v>
      </c>
      <c r="E195" t="s">
        <v>2329</v>
      </c>
      <c r="F195" t="s">
        <v>2331</v>
      </c>
      <c r="G195" t="s">
        <v>2747</v>
      </c>
      <c r="H195" t="s">
        <v>2451</v>
      </c>
      <c r="I195" t="s">
        <v>3959</v>
      </c>
    </row>
    <row r="196" spans="1:9">
      <c r="A196" s="145" t="s">
        <v>4100</v>
      </c>
      <c r="B196" t="s">
        <v>2156</v>
      </c>
      <c r="C196" t="s">
        <v>2452</v>
      </c>
      <c r="D196" t="s">
        <v>2453</v>
      </c>
      <c r="E196" t="s">
        <v>120</v>
      </c>
      <c r="F196" t="s">
        <v>2454</v>
      </c>
      <c r="G196" t="s">
        <v>2747</v>
      </c>
      <c r="H196" t="s">
        <v>120</v>
      </c>
      <c r="I196" t="s">
        <v>3959</v>
      </c>
    </row>
    <row r="197" spans="1:9">
      <c r="A197" s="145" t="s">
        <v>4100</v>
      </c>
      <c r="B197" t="s">
        <v>3644</v>
      </c>
      <c r="C197" t="s">
        <v>2456</v>
      </c>
      <c r="D197" t="s">
        <v>2457</v>
      </c>
      <c r="E197" t="s">
        <v>120</v>
      </c>
      <c r="G197" t="s">
        <v>2747</v>
      </c>
      <c r="H197" t="s">
        <v>120</v>
      </c>
      <c r="I197" t="s">
        <v>3963</v>
      </c>
    </row>
    <row r="198" spans="1:9">
      <c r="A198" s="145" t="s">
        <v>4100</v>
      </c>
      <c r="B198" t="s">
        <v>3644</v>
      </c>
      <c r="C198" t="s">
        <v>2458</v>
      </c>
      <c r="D198" t="s">
        <v>2457</v>
      </c>
      <c r="E198" t="s">
        <v>2459</v>
      </c>
      <c r="G198" t="s">
        <v>2747</v>
      </c>
      <c r="H198" t="s">
        <v>120</v>
      </c>
      <c r="I198" t="s">
        <v>3963</v>
      </c>
    </row>
    <row r="199" spans="1:9">
      <c r="A199" s="145" t="s">
        <v>4100</v>
      </c>
      <c r="B199" t="s">
        <v>3644</v>
      </c>
      <c r="C199" t="s">
        <v>2460</v>
      </c>
      <c r="D199" t="s">
        <v>2457</v>
      </c>
      <c r="E199" t="s">
        <v>2461</v>
      </c>
      <c r="F199" t="s">
        <v>2462</v>
      </c>
      <c r="G199" t="s">
        <v>2747</v>
      </c>
      <c r="H199" t="s">
        <v>120</v>
      </c>
      <c r="I199" t="s">
        <v>3963</v>
      </c>
    </row>
    <row r="200" spans="1:9">
      <c r="A200" s="145" t="s">
        <v>4100</v>
      </c>
      <c r="B200" t="s">
        <v>3644</v>
      </c>
      <c r="C200" t="s">
        <v>2463</v>
      </c>
      <c r="D200" t="s">
        <v>2457</v>
      </c>
      <c r="E200" t="s">
        <v>120</v>
      </c>
      <c r="G200" t="s">
        <v>2747</v>
      </c>
      <c r="H200" t="s">
        <v>120</v>
      </c>
      <c r="I200" t="s">
        <v>3963</v>
      </c>
    </row>
    <row r="201" spans="1:9">
      <c r="A201" s="145" t="s">
        <v>4100</v>
      </c>
      <c r="B201" t="s">
        <v>2161</v>
      </c>
      <c r="C201" t="s">
        <v>2465</v>
      </c>
      <c r="D201" t="s">
        <v>2466</v>
      </c>
      <c r="E201" t="s">
        <v>2467</v>
      </c>
      <c r="G201" t="s">
        <v>2747</v>
      </c>
      <c r="H201" t="s">
        <v>120</v>
      </c>
      <c r="I201" t="s">
        <v>3967</v>
      </c>
    </row>
    <row r="202" spans="1:9">
      <c r="A202" s="145" t="s">
        <v>4100</v>
      </c>
      <c r="B202" t="s">
        <v>2161</v>
      </c>
      <c r="C202" t="s">
        <v>2468</v>
      </c>
      <c r="D202" t="s">
        <v>2390</v>
      </c>
      <c r="E202" t="s">
        <v>120</v>
      </c>
      <c r="G202" t="s">
        <v>2747</v>
      </c>
      <c r="H202" t="s">
        <v>120</v>
      </c>
      <c r="I202" t="s">
        <v>3967</v>
      </c>
    </row>
    <row r="203" spans="1:9">
      <c r="A203" s="145" t="s">
        <v>4100</v>
      </c>
      <c r="B203" t="s">
        <v>2161</v>
      </c>
      <c r="C203" t="s">
        <v>2469</v>
      </c>
      <c r="D203" t="s">
        <v>2466</v>
      </c>
      <c r="E203" t="s">
        <v>2470</v>
      </c>
      <c r="G203" t="s">
        <v>2747</v>
      </c>
      <c r="H203" t="s">
        <v>120</v>
      </c>
      <c r="I203" t="s">
        <v>3967</v>
      </c>
    </row>
    <row r="204" spans="1:9">
      <c r="A204" s="145" t="s">
        <v>4100</v>
      </c>
      <c r="B204" t="s">
        <v>2161</v>
      </c>
      <c r="C204" t="s">
        <v>2392</v>
      </c>
      <c r="D204" t="s">
        <v>2390</v>
      </c>
      <c r="E204" t="s">
        <v>2393</v>
      </c>
      <c r="F204" t="s">
        <v>2394</v>
      </c>
      <c r="G204" t="s">
        <v>2747</v>
      </c>
      <c r="H204" t="s">
        <v>120</v>
      </c>
      <c r="I204" t="s">
        <v>3967</v>
      </c>
    </row>
    <row r="205" spans="1:9">
      <c r="A205" s="145" t="s">
        <v>4100</v>
      </c>
      <c r="B205" t="s">
        <v>2161</v>
      </c>
      <c r="C205" t="s">
        <v>2471</v>
      </c>
      <c r="D205" t="s">
        <v>2472</v>
      </c>
      <c r="E205" t="s">
        <v>120</v>
      </c>
      <c r="F205" t="s">
        <v>2473</v>
      </c>
      <c r="G205" t="s">
        <v>2747</v>
      </c>
      <c r="H205" t="s">
        <v>120</v>
      </c>
      <c r="I205" t="s">
        <v>3967</v>
      </c>
    </row>
    <row r="206" spans="1:9">
      <c r="A206" s="145" t="s">
        <v>4100</v>
      </c>
      <c r="B206" t="s">
        <v>2161</v>
      </c>
      <c r="C206" t="s">
        <v>2474</v>
      </c>
      <c r="D206" t="s">
        <v>2472</v>
      </c>
      <c r="E206" t="s">
        <v>120</v>
      </c>
      <c r="G206" t="s">
        <v>2747</v>
      </c>
      <c r="H206" t="s">
        <v>120</v>
      </c>
      <c r="I206" t="s">
        <v>3967</v>
      </c>
    </row>
    <row r="207" spans="1:9">
      <c r="A207" s="145" t="s">
        <v>4100</v>
      </c>
      <c r="B207" t="s">
        <v>2163</v>
      </c>
      <c r="C207" t="s">
        <v>2476</v>
      </c>
      <c r="D207" t="s">
        <v>2477</v>
      </c>
      <c r="E207" t="s">
        <v>120</v>
      </c>
      <c r="F207" t="s">
        <v>2478</v>
      </c>
      <c r="G207" t="s">
        <v>2747</v>
      </c>
      <c r="H207" t="s">
        <v>120</v>
      </c>
      <c r="I207" t="s">
        <v>3971</v>
      </c>
    </row>
    <row r="208" spans="1:9">
      <c r="A208" s="145" t="s">
        <v>4100</v>
      </c>
      <c r="B208" t="s">
        <v>2163</v>
      </c>
      <c r="C208" t="s">
        <v>2333</v>
      </c>
      <c r="D208" t="s">
        <v>2334</v>
      </c>
      <c r="E208" t="s">
        <v>2335</v>
      </c>
      <c r="G208" t="s">
        <v>2747</v>
      </c>
      <c r="H208" t="s">
        <v>2451</v>
      </c>
      <c r="I208" t="s">
        <v>3971</v>
      </c>
    </row>
    <row r="209" spans="1:9">
      <c r="A209" s="145" t="s">
        <v>4100</v>
      </c>
      <c r="B209" t="s">
        <v>2163</v>
      </c>
      <c r="C209" t="s">
        <v>2336</v>
      </c>
      <c r="D209" t="s">
        <v>2334</v>
      </c>
      <c r="E209" t="s">
        <v>2329</v>
      </c>
      <c r="G209" t="s">
        <v>2747</v>
      </c>
      <c r="H209" t="s">
        <v>2451</v>
      </c>
      <c r="I209" t="s">
        <v>3971</v>
      </c>
    </row>
    <row r="210" spans="1:9">
      <c r="A210" s="145" t="s">
        <v>4100</v>
      </c>
      <c r="B210" t="s">
        <v>2163</v>
      </c>
      <c r="C210" t="s">
        <v>2337</v>
      </c>
      <c r="D210" t="s">
        <v>2334</v>
      </c>
      <c r="E210" t="s">
        <v>2329</v>
      </c>
      <c r="G210" t="s">
        <v>2747</v>
      </c>
      <c r="H210" t="s">
        <v>2451</v>
      </c>
      <c r="I210" t="s">
        <v>3971</v>
      </c>
    </row>
    <row r="211" spans="1:9">
      <c r="A211" s="145" t="s">
        <v>4100</v>
      </c>
      <c r="B211" t="s">
        <v>2163</v>
      </c>
      <c r="C211" t="s">
        <v>2338</v>
      </c>
      <c r="D211" t="s">
        <v>2339</v>
      </c>
      <c r="E211" t="s">
        <v>2329</v>
      </c>
      <c r="G211" t="s">
        <v>2747</v>
      </c>
      <c r="H211" t="s">
        <v>2451</v>
      </c>
      <c r="I211" t="s">
        <v>3971</v>
      </c>
    </row>
    <row r="212" spans="1:9">
      <c r="A212" s="145" t="s">
        <v>4100</v>
      </c>
      <c r="B212" t="s">
        <v>2163</v>
      </c>
      <c r="C212" t="s">
        <v>2340</v>
      </c>
      <c r="E212" t="s">
        <v>2329</v>
      </c>
      <c r="G212" t="s">
        <v>2747</v>
      </c>
      <c r="H212" t="s">
        <v>2451</v>
      </c>
      <c r="I212" t="s">
        <v>3971</v>
      </c>
    </row>
    <row r="213" spans="1:9">
      <c r="A213" s="145" t="s">
        <v>4100</v>
      </c>
      <c r="B213" t="s">
        <v>2163</v>
      </c>
      <c r="C213" t="s">
        <v>2341</v>
      </c>
      <c r="E213" t="s">
        <v>2329</v>
      </c>
      <c r="G213" t="s">
        <v>2747</v>
      </c>
      <c r="H213" t="s">
        <v>2451</v>
      </c>
      <c r="I213" t="s">
        <v>3971</v>
      </c>
    </row>
    <row r="214" spans="1:9">
      <c r="A214" s="145" t="s">
        <v>4100</v>
      </c>
      <c r="B214" t="s">
        <v>2163</v>
      </c>
      <c r="C214" t="s">
        <v>2342</v>
      </c>
      <c r="E214" t="s">
        <v>2329</v>
      </c>
      <c r="G214" t="s">
        <v>2747</v>
      </c>
      <c r="H214" t="s">
        <v>2451</v>
      </c>
      <c r="I214" t="s">
        <v>3971</v>
      </c>
    </row>
    <row r="215" spans="1:9">
      <c r="A215" s="145" t="s">
        <v>4100</v>
      </c>
      <c r="B215" t="s">
        <v>2164</v>
      </c>
      <c r="C215" t="s">
        <v>2480</v>
      </c>
      <c r="D215" t="s">
        <v>2481</v>
      </c>
      <c r="E215" t="s">
        <v>120</v>
      </c>
      <c r="G215" t="s">
        <v>2747</v>
      </c>
      <c r="H215" t="s">
        <v>120</v>
      </c>
      <c r="I215" t="s">
        <v>3973</v>
      </c>
    </row>
    <row r="216" spans="1:9">
      <c r="A216" s="145" t="s">
        <v>4100</v>
      </c>
      <c r="B216" t="s">
        <v>2164</v>
      </c>
      <c r="C216" t="s">
        <v>2482</v>
      </c>
      <c r="D216" t="s">
        <v>2483</v>
      </c>
      <c r="E216" t="s">
        <v>120</v>
      </c>
      <c r="G216" t="s">
        <v>2747</v>
      </c>
      <c r="H216" t="s">
        <v>120</v>
      </c>
      <c r="I216" t="s">
        <v>3973</v>
      </c>
    </row>
    <row r="217" spans="1:9">
      <c r="A217" s="145" t="s">
        <v>4100</v>
      </c>
      <c r="B217" t="s">
        <v>2164</v>
      </c>
      <c r="C217" t="s">
        <v>2484</v>
      </c>
      <c r="D217" t="s">
        <v>2483</v>
      </c>
      <c r="E217" t="s">
        <v>2485</v>
      </c>
      <c r="F217" t="s">
        <v>2486</v>
      </c>
      <c r="G217" t="s">
        <v>2747</v>
      </c>
      <c r="H217" t="s">
        <v>120</v>
      </c>
      <c r="I217" t="s">
        <v>3973</v>
      </c>
    </row>
    <row r="218" spans="1:9">
      <c r="A218" s="145" t="s">
        <v>4100</v>
      </c>
      <c r="B218" t="s">
        <v>2164</v>
      </c>
      <c r="C218" t="s">
        <v>2487</v>
      </c>
      <c r="D218" t="s">
        <v>2488</v>
      </c>
      <c r="E218" t="s">
        <v>120</v>
      </c>
      <c r="G218" t="s">
        <v>2747</v>
      </c>
      <c r="H218" t="s">
        <v>120</v>
      </c>
      <c r="I218" t="s">
        <v>3973</v>
      </c>
    </row>
    <row r="219" spans="1:9">
      <c r="A219" s="145" t="s">
        <v>4100</v>
      </c>
      <c r="B219" t="s">
        <v>2164</v>
      </c>
      <c r="C219" t="s">
        <v>2344</v>
      </c>
      <c r="E219" t="s">
        <v>2345</v>
      </c>
      <c r="G219" t="s">
        <v>2747</v>
      </c>
      <c r="H219" t="s">
        <v>120</v>
      </c>
      <c r="I219" t="s">
        <v>3973</v>
      </c>
    </row>
    <row r="220" spans="1:9">
      <c r="A220" s="145" t="s">
        <v>4100</v>
      </c>
      <c r="B220" t="s">
        <v>2164</v>
      </c>
      <c r="C220" t="s">
        <v>2347</v>
      </c>
      <c r="E220" t="s">
        <v>2329</v>
      </c>
      <c r="G220" t="s">
        <v>2747</v>
      </c>
      <c r="H220" t="s">
        <v>2451</v>
      </c>
      <c r="I220" t="s">
        <v>3973</v>
      </c>
    </row>
    <row r="221" spans="1:9">
      <c r="A221" s="145" t="s">
        <v>4100</v>
      </c>
      <c r="B221" t="s">
        <v>2164</v>
      </c>
      <c r="C221" t="s">
        <v>2348</v>
      </c>
      <c r="E221" t="s">
        <v>2329</v>
      </c>
      <c r="G221" t="s">
        <v>2747</v>
      </c>
      <c r="H221" t="s">
        <v>2451</v>
      </c>
      <c r="I221" t="s">
        <v>3973</v>
      </c>
    </row>
    <row r="222" spans="1:9">
      <c r="A222" s="145" t="s">
        <v>4100</v>
      </c>
      <c r="B222" t="s">
        <v>2164</v>
      </c>
      <c r="C222" t="s">
        <v>2489</v>
      </c>
      <c r="D222" t="s">
        <v>2483</v>
      </c>
      <c r="E222" t="s">
        <v>2490</v>
      </c>
      <c r="G222" t="s">
        <v>2747</v>
      </c>
      <c r="H222" t="s">
        <v>2490</v>
      </c>
      <c r="I222" t="s">
        <v>3973</v>
      </c>
    </row>
    <row r="223" spans="1:9">
      <c r="A223" s="145" t="s">
        <v>4100</v>
      </c>
      <c r="B223" t="s">
        <v>2164</v>
      </c>
      <c r="C223" t="s">
        <v>2491</v>
      </c>
      <c r="D223" t="s">
        <v>2488</v>
      </c>
      <c r="E223" t="s">
        <v>120</v>
      </c>
      <c r="G223" t="s">
        <v>2747</v>
      </c>
      <c r="H223" t="s">
        <v>120</v>
      </c>
      <c r="I223" t="s">
        <v>3973</v>
      </c>
    </row>
    <row r="224" spans="1:9">
      <c r="A224" s="145" t="s">
        <v>4100</v>
      </c>
      <c r="B224" t="s">
        <v>2166</v>
      </c>
      <c r="C224" t="s">
        <v>2493</v>
      </c>
      <c r="E224" t="s">
        <v>2490</v>
      </c>
      <c r="G224" t="s">
        <v>2747</v>
      </c>
      <c r="H224" t="s">
        <v>2490</v>
      </c>
      <c r="I224" t="s">
        <v>3975</v>
      </c>
    </row>
    <row r="225" spans="1:9">
      <c r="A225" s="145" t="s">
        <v>4100</v>
      </c>
      <c r="B225" t="s">
        <v>2166</v>
      </c>
      <c r="C225" t="s">
        <v>2494</v>
      </c>
      <c r="E225" t="s">
        <v>2490</v>
      </c>
      <c r="G225" t="s">
        <v>2747</v>
      </c>
      <c r="H225" t="s">
        <v>2490</v>
      </c>
      <c r="I225" t="s">
        <v>3975</v>
      </c>
    </row>
    <row r="226" spans="1:9">
      <c r="A226" s="145" t="s">
        <v>4100</v>
      </c>
      <c r="B226" t="s">
        <v>2166</v>
      </c>
      <c r="C226" t="s">
        <v>2400</v>
      </c>
      <c r="E226" t="s">
        <v>2401</v>
      </c>
      <c r="G226" t="s">
        <v>2747</v>
      </c>
      <c r="H226" t="s">
        <v>2490</v>
      </c>
      <c r="I226" t="s">
        <v>3975</v>
      </c>
    </row>
    <row r="227" spans="1:9">
      <c r="A227" s="145" t="s">
        <v>4100</v>
      </c>
      <c r="B227" t="s">
        <v>2166</v>
      </c>
      <c r="C227" t="s">
        <v>2495</v>
      </c>
      <c r="D227" t="s">
        <v>2483</v>
      </c>
      <c r="E227" t="s">
        <v>120</v>
      </c>
      <c r="G227" t="s">
        <v>2747</v>
      </c>
      <c r="H227" t="s">
        <v>120</v>
      </c>
      <c r="I227" t="s">
        <v>3975</v>
      </c>
    </row>
    <row r="228" spans="1:9">
      <c r="A228" s="145" t="s">
        <v>4100</v>
      </c>
      <c r="B228" t="s">
        <v>2166</v>
      </c>
      <c r="C228" t="s">
        <v>2496</v>
      </c>
      <c r="D228" t="s">
        <v>2483</v>
      </c>
      <c r="E228" t="s">
        <v>120</v>
      </c>
      <c r="G228" t="s">
        <v>2747</v>
      </c>
      <c r="H228" t="s">
        <v>120</v>
      </c>
      <c r="I228" t="s">
        <v>3975</v>
      </c>
    </row>
    <row r="229" spans="1:9">
      <c r="A229" s="145" t="s">
        <v>4100</v>
      </c>
      <c r="B229" t="s">
        <v>2166</v>
      </c>
      <c r="C229" t="s">
        <v>2497</v>
      </c>
      <c r="D229" t="s">
        <v>2339</v>
      </c>
      <c r="E229" t="s">
        <v>120</v>
      </c>
      <c r="G229" t="s">
        <v>2747</v>
      </c>
      <c r="H229" t="s">
        <v>120</v>
      </c>
      <c r="I229" t="s">
        <v>3975</v>
      </c>
    </row>
    <row r="230" spans="1:9">
      <c r="A230" s="145" t="s">
        <v>4100</v>
      </c>
      <c r="B230" t="s">
        <v>2166</v>
      </c>
      <c r="C230" t="s">
        <v>2498</v>
      </c>
      <c r="D230" t="s">
        <v>2499</v>
      </c>
      <c r="E230" t="s">
        <v>2490</v>
      </c>
      <c r="G230" t="s">
        <v>2747</v>
      </c>
      <c r="H230" t="s">
        <v>2490</v>
      </c>
      <c r="I230" t="s">
        <v>3975</v>
      </c>
    </row>
    <row r="231" spans="1:9">
      <c r="A231" s="145" t="s">
        <v>4100</v>
      </c>
      <c r="B231" t="s">
        <v>2166</v>
      </c>
      <c r="C231" t="s">
        <v>2500</v>
      </c>
      <c r="D231" t="s">
        <v>2499</v>
      </c>
      <c r="E231" t="s">
        <v>2490</v>
      </c>
      <c r="G231" t="s">
        <v>2747</v>
      </c>
      <c r="H231" t="s">
        <v>2490</v>
      </c>
      <c r="I231" t="s">
        <v>3975</v>
      </c>
    </row>
    <row r="232" spans="1:9">
      <c r="A232" s="145" t="s">
        <v>4100</v>
      </c>
      <c r="B232" t="s">
        <v>2166</v>
      </c>
      <c r="C232" t="s">
        <v>2350</v>
      </c>
      <c r="E232" t="s">
        <v>2329</v>
      </c>
      <c r="G232" t="s">
        <v>2747</v>
      </c>
      <c r="H232" t="s">
        <v>2451</v>
      </c>
      <c r="I232" t="s">
        <v>3975</v>
      </c>
    </row>
    <row r="233" spans="1:9">
      <c r="A233" s="145" t="s">
        <v>4100</v>
      </c>
      <c r="B233" t="s">
        <v>2166</v>
      </c>
      <c r="C233" t="s">
        <v>2501</v>
      </c>
      <c r="D233" t="s">
        <v>2499</v>
      </c>
      <c r="E233" t="s">
        <v>120</v>
      </c>
      <c r="F233" t="s">
        <v>2502</v>
      </c>
      <c r="G233" t="s">
        <v>2747</v>
      </c>
      <c r="H233" t="s">
        <v>120</v>
      </c>
      <c r="I233" t="s">
        <v>3975</v>
      </c>
    </row>
    <row r="234" spans="1:9">
      <c r="A234" s="145" t="s">
        <v>4100</v>
      </c>
      <c r="B234" t="s">
        <v>2167</v>
      </c>
      <c r="C234" t="s">
        <v>2504</v>
      </c>
      <c r="D234" t="s">
        <v>2505</v>
      </c>
      <c r="E234" t="s">
        <v>120</v>
      </c>
      <c r="G234" t="s">
        <v>2747</v>
      </c>
      <c r="H234" t="s">
        <v>120</v>
      </c>
      <c r="I234" t="s">
        <v>3979</v>
      </c>
    </row>
    <row r="235" spans="1:9">
      <c r="A235" s="145" t="s">
        <v>4100</v>
      </c>
      <c r="B235" t="s">
        <v>2167</v>
      </c>
      <c r="C235" t="s">
        <v>2506</v>
      </c>
      <c r="D235" t="s">
        <v>2435</v>
      </c>
      <c r="E235" t="s">
        <v>120</v>
      </c>
      <c r="G235" t="s">
        <v>2747</v>
      </c>
      <c r="H235" t="s">
        <v>120</v>
      </c>
      <c r="I235" t="s">
        <v>3979</v>
      </c>
    </row>
    <row r="236" spans="1:9">
      <c r="A236" s="145" t="s">
        <v>4100</v>
      </c>
      <c r="B236" t="s">
        <v>2167</v>
      </c>
      <c r="C236" t="s">
        <v>2507</v>
      </c>
      <c r="D236" t="s">
        <v>2435</v>
      </c>
      <c r="E236" t="s">
        <v>120</v>
      </c>
      <c r="G236" t="s">
        <v>2747</v>
      </c>
      <c r="H236" t="s">
        <v>120</v>
      </c>
      <c r="I236" t="s">
        <v>3979</v>
      </c>
    </row>
    <row r="237" spans="1:9">
      <c r="A237" s="145" t="s">
        <v>4100</v>
      </c>
      <c r="B237" t="s">
        <v>2169</v>
      </c>
      <c r="C237" t="s">
        <v>2509</v>
      </c>
      <c r="D237" t="s">
        <v>2353</v>
      </c>
      <c r="E237" t="s">
        <v>2490</v>
      </c>
      <c r="F237" t="s">
        <v>2510</v>
      </c>
      <c r="G237" t="s">
        <v>2747</v>
      </c>
      <c r="H237" t="s">
        <v>2490</v>
      </c>
      <c r="I237" t="s">
        <v>3983</v>
      </c>
    </row>
    <row r="238" spans="1:9">
      <c r="A238" s="145" t="s">
        <v>4100</v>
      </c>
      <c r="B238" t="s">
        <v>2169</v>
      </c>
      <c r="C238" t="s">
        <v>2511</v>
      </c>
      <c r="D238" t="s">
        <v>2407</v>
      </c>
      <c r="E238" t="s">
        <v>120</v>
      </c>
      <c r="F238" t="s">
        <v>2512</v>
      </c>
      <c r="G238" t="s">
        <v>2747</v>
      </c>
      <c r="H238" t="s">
        <v>120</v>
      </c>
      <c r="I238" t="s">
        <v>3983</v>
      </c>
    </row>
    <row r="239" spans="1:9">
      <c r="A239" s="145" t="s">
        <v>4100</v>
      </c>
      <c r="B239" t="s">
        <v>2169</v>
      </c>
      <c r="C239" t="s">
        <v>2513</v>
      </c>
      <c r="D239" t="s">
        <v>2404</v>
      </c>
      <c r="E239" t="s">
        <v>120</v>
      </c>
      <c r="F239" t="s">
        <v>2514</v>
      </c>
      <c r="G239" t="s">
        <v>2747</v>
      </c>
      <c r="H239" t="s">
        <v>120</v>
      </c>
      <c r="I239" t="s">
        <v>3983</v>
      </c>
    </row>
    <row r="240" spans="1:9">
      <c r="A240" s="145" t="s">
        <v>4100</v>
      </c>
      <c r="B240" t="s">
        <v>2169</v>
      </c>
      <c r="C240" t="s">
        <v>2515</v>
      </c>
      <c r="D240" t="s">
        <v>2516</v>
      </c>
      <c r="E240" t="s">
        <v>120</v>
      </c>
      <c r="F240" t="s">
        <v>2517</v>
      </c>
      <c r="G240" t="s">
        <v>2747</v>
      </c>
      <c r="H240" t="s">
        <v>120</v>
      </c>
      <c r="I240" t="s">
        <v>3983</v>
      </c>
    </row>
    <row r="241" spans="1:9">
      <c r="A241" s="145" t="s">
        <v>4100</v>
      </c>
      <c r="B241" t="s">
        <v>2169</v>
      </c>
      <c r="C241" t="s">
        <v>2358</v>
      </c>
      <c r="E241" t="s">
        <v>2329</v>
      </c>
      <c r="G241" t="s">
        <v>2747</v>
      </c>
      <c r="H241" t="s">
        <v>2451</v>
      </c>
      <c r="I241" t="s">
        <v>3983</v>
      </c>
    </row>
    <row r="242" spans="1:9">
      <c r="A242" s="145" t="s">
        <v>4100</v>
      </c>
      <c r="B242" t="s">
        <v>2173</v>
      </c>
      <c r="C242" t="s">
        <v>2519</v>
      </c>
      <c r="D242" t="s">
        <v>2407</v>
      </c>
      <c r="E242" t="s">
        <v>120</v>
      </c>
      <c r="F242" t="s">
        <v>2520</v>
      </c>
      <c r="G242" t="s">
        <v>2747</v>
      </c>
      <c r="H242" t="s">
        <v>120</v>
      </c>
      <c r="I242" t="s">
        <v>3987</v>
      </c>
    </row>
    <row r="243" spans="1:9">
      <c r="A243" s="145" t="s">
        <v>4100</v>
      </c>
      <c r="B243" t="s">
        <v>2173</v>
      </c>
      <c r="C243" t="s">
        <v>2521</v>
      </c>
      <c r="D243" t="s">
        <v>2407</v>
      </c>
      <c r="E243" t="s">
        <v>120</v>
      </c>
      <c r="G243" t="s">
        <v>2747</v>
      </c>
      <c r="H243" t="s">
        <v>120</v>
      </c>
      <c r="I243" t="s">
        <v>3987</v>
      </c>
    </row>
    <row r="244" spans="1:9">
      <c r="A244" s="145" t="s">
        <v>4100</v>
      </c>
      <c r="B244" t="s">
        <v>2173</v>
      </c>
      <c r="C244" t="s">
        <v>2522</v>
      </c>
      <c r="D244" t="s">
        <v>2523</v>
      </c>
      <c r="E244" t="s">
        <v>120</v>
      </c>
      <c r="F244" t="s">
        <v>2524</v>
      </c>
      <c r="G244" t="s">
        <v>2747</v>
      </c>
      <c r="H244" t="s">
        <v>120</v>
      </c>
      <c r="I244" t="s">
        <v>3987</v>
      </c>
    </row>
    <row r="245" spans="1:9">
      <c r="A245" s="145" t="s">
        <v>4100</v>
      </c>
      <c r="B245" t="s">
        <v>2173</v>
      </c>
      <c r="C245" t="s">
        <v>2525</v>
      </c>
      <c r="D245" t="s">
        <v>2412</v>
      </c>
      <c r="E245" t="s">
        <v>120</v>
      </c>
      <c r="F245" t="s">
        <v>2520</v>
      </c>
      <c r="G245" t="s">
        <v>2747</v>
      </c>
      <c r="H245" t="s">
        <v>120</v>
      </c>
      <c r="I245" t="s">
        <v>3987</v>
      </c>
    </row>
    <row r="246" spans="1:9">
      <c r="A246" s="145" t="s">
        <v>4100</v>
      </c>
      <c r="B246" t="s">
        <v>2173</v>
      </c>
      <c r="C246" t="s">
        <v>2526</v>
      </c>
      <c r="D246" t="s">
        <v>2412</v>
      </c>
      <c r="E246" t="s">
        <v>120</v>
      </c>
      <c r="F246" t="s">
        <v>2527</v>
      </c>
      <c r="G246" t="s">
        <v>2747</v>
      </c>
      <c r="H246" t="s">
        <v>120</v>
      </c>
      <c r="I246" t="s">
        <v>3987</v>
      </c>
    </row>
    <row r="247" spans="1:9">
      <c r="A247" s="145" t="s">
        <v>4100</v>
      </c>
      <c r="B247" t="s">
        <v>2173</v>
      </c>
      <c r="C247" t="s">
        <v>2528</v>
      </c>
      <c r="D247" t="s">
        <v>2529</v>
      </c>
      <c r="E247" t="s">
        <v>2490</v>
      </c>
      <c r="G247" t="s">
        <v>2747</v>
      </c>
      <c r="H247" t="s">
        <v>2490</v>
      </c>
      <c r="I247" t="s">
        <v>3987</v>
      </c>
    </row>
    <row r="248" spans="1:9">
      <c r="A248" s="145" t="s">
        <v>4100</v>
      </c>
      <c r="B248" t="s">
        <v>2173</v>
      </c>
      <c r="C248" t="s">
        <v>2413</v>
      </c>
      <c r="D248" t="s">
        <v>2407</v>
      </c>
      <c r="E248" t="s">
        <v>2414</v>
      </c>
      <c r="F248" t="s">
        <v>2416</v>
      </c>
      <c r="G248" t="s">
        <v>2747</v>
      </c>
      <c r="H248" t="s">
        <v>2762</v>
      </c>
      <c r="I248" t="s">
        <v>3987</v>
      </c>
    </row>
    <row r="249" spans="1:9">
      <c r="A249" s="145" t="s">
        <v>4100</v>
      </c>
      <c r="B249" t="s">
        <v>2173</v>
      </c>
      <c r="C249" t="s">
        <v>2532</v>
      </c>
      <c r="D249" t="s">
        <v>2529</v>
      </c>
      <c r="E249" t="s">
        <v>2533</v>
      </c>
      <c r="G249" t="s">
        <v>2747</v>
      </c>
      <c r="H249" t="s">
        <v>120</v>
      </c>
      <c r="I249" t="s">
        <v>3987</v>
      </c>
    </row>
    <row r="250" spans="1:9">
      <c r="A250" s="145" t="s">
        <v>4100</v>
      </c>
      <c r="B250" t="s">
        <v>2173</v>
      </c>
      <c r="C250" t="s">
        <v>2534</v>
      </c>
      <c r="D250" t="s">
        <v>2363</v>
      </c>
      <c r="E250" t="s">
        <v>120</v>
      </c>
      <c r="F250" t="s">
        <v>2535</v>
      </c>
      <c r="G250" t="s">
        <v>2747</v>
      </c>
      <c r="H250" t="s">
        <v>120</v>
      </c>
      <c r="I250" t="s">
        <v>3987</v>
      </c>
    </row>
    <row r="251" spans="1:9">
      <c r="A251" s="145" t="s">
        <v>4100</v>
      </c>
      <c r="B251" t="s">
        <v>2176</v>
      </c>
      <c r="C251" t="s">
        <v>2537</v>
      </c>
      <c r="D251" t="s">
        <v>2538</v>
      </c>
      <c r="E251" t="s">
        <v>120</v>
      </c>
      <c r="G251" t="s">
        <v>2747</v>
      </c>
      <c r="H251" t="s">
        <v>120</v>
      </c>
      <c r="I251" t="s">
        <v>3991</v>
      </c>
    </row>
    <row r="252" spans="1:9">
      <c r="A252" s="145" t="s">
        <v>4100</v>
      </c>
      <c r="B252" t="s">
        <v>2176</v>
      </c>
      <c r="C252" t="s">
        <v>2539</v>
      </c>
      <c r="D252" t="s">
        <v>2538</v>
      </c>
      <c r="E252" t="s">
        <v>2490</v>
      </c>
      <c r="F252" t="s">
        <v>2540</v>
      </c>
      <c r="G252" t="s">
        <v>2747</v>
      </c>
      <c r="H252" t="s">
        <v>2490</v>
      </c>
      <c r="I252" t="s">
        <v>3991</v>
      </c>
    </row>
    <row r="253" spans="1:9">
      <c r="A253" s="145" t="s">
        <v>4100</v>
      </c>
      <c r="B253" t="s">
        <v>2176</v>
      </c>
      <c r="C253" t="s">
        <v>2541</v>
      </c>
      <c r="D253" t="s">
        <v>2542</v>
      </c>
      <c r="E253" t="s">
        <v>2543</v>
      </c>
      <c r="G253" t="s">
        <v>2747</v>
      </c>
      <c r="H253" t="s">
        <v>120</v>
      </c>
      <c r="I253" t="s">
        <v>3991</v>
      </c>
    </row>
    <row r="254" spans="1:9">
      <c r="A254" s="145" t="s">
        <v>4100</v>
      </c>
      <c r="B254" t="s">
        <v>2176</v>
      </c>
      <c r="C254" t="s">
        <v>2421</v>
      </c>
      <c r="D254" t="s">
        <v>2422</v>
      </c>
      <c r="E254" t="s">
        <v>2423</v>
      </c>
      <c r="F254" t="s">
        <v>2425</v>
      </c>
      <c r="G254" t="s">
        <v>2747</v>
      </c>
      <c r="H254" t="s">
        <v>2544</v>
      </c>
      <c r="I254" t="s">
        <v>3991</v>
      </c>
    </row>
    <row r="255" spans="1:9">
      <c r="A255" s="145" t="s">
        <v>4100</v>
      </c>
      <c r="B255" t="s">
        <v>2176</v>
      </c>
      <c r="C255" t="s">
        <v>2545</v>
      </c>
      <c r="D255" t="s">
        <v>2422</v>
      </c>
      <c r="E255" t="s">
        <v>2461</v>
      </c>
      <c r="F255" t="s">
        <v>2546</v>
      </c>
      <c r="G255" t="s">
        <v>2747</v>
      </c>
      <c r="H255" t="s">
        <v>120</v>
      </c>
      <c r="I255" t="s">
        <v>3991</v>
      </c>
    </row>
    <row r="256" spans="1:9">
      <c r="A256" s="145" t="s">
        <v>4100</v>
      </c>
      <c r="B256" t="s">
        <v>2176</v>
      </c>
      <c r="C256" t="s">
        <v>2547</v>
      </c>
      <c r="D256" t="s">
        <v>2538</v>
      </c>
      <c r="E256" t="s">
        <v>2548</v>
      </c>
      <c r="G256" t="s">
        <v>2747</v>
      </c>
      <c r="H256" t="s">
        <v>120</v>
      </c>
      <c r="I256" t="s">
        <v>3991</v>
      </c>
    </row>
    <row r="257" spans="1:9">
      <c r="A257" s="145" t="s">
        <v>4100</v>
      </c>
      <c r="B257" t="s">
        <v>2176</v>
      </c>
      <c r="C257" t="s">
        <v>2549</v>
      </c>
      <c r="D257" t="s">
        <v>2538</v>
      </c>
      <c r="E257" t="s">
        <v>2550</v>
      </c>
      <c r="F257" t="s">
        <v>2551</v>
      </c>
      <c r="G257" t="s">
        <v>2747</v>
      </c>
      <c r="H257" t="s">
        <v>120</v>
      </c>
      <c r="I257" t="s">
        <v>3991</v>
      </c>
    </row>
    <row r="258" spans="1:9">
      <c r="A258" s="145" t="s">
        <v>4100</v>
      </c>
      <c r="B258" t="s">
        <v>2176</v>
      </c>
      <c r="C258" t="s">
        <v>2552</v>
      </c>
      <c r="D258" t="s">
        <v>2538</v>
      </c>
      <c r="E258" t="s">
        <v>2553</v>
      </c>
      <c r="G258" t="s">
        <v>2747</v>
      </c>
      <c r="H258" t="s">
        <v>120</v>
      </c>
      <c r="I258" t="s">
        <v>3991</v>
      </c>
    </row>
    <row r="259" spans="1:9">
      <c r="A259" s="145" t="s">
        <v>4100</v>
      </c>
      <c r="B259" t="s">
        <v>2178</v>
      </c>
      <c r="C259" t="s">
        <v>2427</v>
      </c>
      <c r="D259" t="s">
        <v>2370</v>
      </c>
      <c r="E259" t="s">
        <v>2428</v>
      </c>
      <c r="F259" t="s">
        <v>2429</v>
      </c>
      <c r="G259" t="s">
        <v>2747</v>
      </c>
      <c r="H259" t="s">
        <v>120</v>
      </c>
      <c r="I259" t="s">
        <v>3995</v>
      </c>
    </row>
    <row r="260" spans="1:9">
      <c r="A260" s="145" t="s">
        <v>4100</v>
      </c>
      <c r="B260" t="s">
        <v>2178</v>
      </c>
      <c r="C260" t="s">
        <v>2555</v>
      </c>
      <c r="D260" t="s">
        <v>2363</v>
      </c>
      <c r="E260" t="s">
        <v>2556</v>
      </c>
      <c r="F260" t="s">
        <v>2557</v>
      </c>
      <c r="G260" t="s">
        <v>2747</v>
      </c>
      <c r="H260" t="s">
        <v>120</v>
      </c>
      <c r="I260" t="s">
        <v>3995</v>
      </c>
    </row>
    <row r="261" spans="1:9">
      <c r="A261" s="145" t="s">
        <v>4100</v>
      </c>
      <c r="B261" t="s">
        <v>2178</v>
      </c>
      <c r="C261" t="s">
        <v>2558</v>
      </c>
      <c r="D261" t="s">
        <v>2559</v>
      </c>
      <c r="E261" t="s">
        <v>2560</v>
      </c>
      <c r="F261" t="s">
        <v>2561</v>
      </c>
      <c r="G261" t="s">
        <v>2747</v>
      </c>
      <c r="H261" t="s">
        <v>120</v>
      </c>
      <c r="I261" t="s">
        <v>3995</v>
      </c>
    </row>
    <row r="262" spans="1:9">
      <c r="A262" s="145" t="s">
        <v>4100</v>
      </c>
      <c r="B262" t="s">
        <v>2178</v>
      </c>
      <c r="C262" t="s">
        <v>2562</v>
      </c>
      <c r="D262" t="s">
        <v>2370</v>
      </c>
      <c r="E262" t="s">
        <v>120</v>
      </c>
      <c r="F262" t="s">
        <v>2563</v>
      </c>
      <c r="G262" t="s">
        <v>2747</v>
      </c>
      <c r="H262" t="s">
        <v>120</v>
      </c>
      <c r="I262" t="s">
        <v>3995</v>
      </c>
    </row>
    <row r="263" spans="1:9">
      <c r="A263" s="145" t="s">
        <v>4100</v>
      </c>
      <c r="B263" t="s">
        <v>2178</v>
      </c>
      <c r="C263" t="s">
        <v>2372</v>
      </c>
      <c r="E263" t="s">
        <v>2329</v>
      </c>
      <c r="G263" t="s">
        <v>2747</v>
      </c>
      <c r="H263" t="s">
        <v>2451</v>
      </c>
      <c r="I263" t="s">
        <v>3995</v>
      </c>
    </row>
    <row r="264" spans="1:9">
      <c r="A264" s="145" t="s">
        <v>4100</v>
      </c>
      <c r="B264" t="s">
        <v>2178</v>
      </c>
      <c r="C264" t="s">
        <v>2564</v>
      </c>
      <c r="E264" t="s">
        <v>120</v>
      </c>
      <c r="G264" t="s">
        <v>2747</v>
      </c>
      <c r="H264" t="s">
        <v>120</v>
      </c>
      <c r="I264" t="s">
        <v>3995</v>
      </c>
    </row>
    <row r="265" spans="1:9">
      <c r="A265" s="145" t="s">
        <v>4100</v>
      </c>
      <c r="B265" t="s">
        <v>2178</v>
      </c>
      <c r="C265" t="s">
        <v>2565</v>
      </c>
      <c r="D265" t="s">
        <v>2370</v>
      </c>
      <c r="E265" t="s">
        <v>2566</v>
      </c>
      <c r="F265" t="s">
        <v>2567</v>
      </c>
      <c r="G265" t="s">
        <v>2747</v>
      </c>
      <c r="H265" t="s">
        <v>2566</v>
      </c>
      <c r="I265" t="s">
        <v>3995</v>
      </c>
    </row>
    <row r="266" spans="1:9">
      <c r="A266" s="145" t="s">
        <v>4100</v>
      </c>
      <c r="B266" t="s">
        <v>3874</v>
      </c>
      <c r="C266" t="s">
        <v>2374</v>
      </c>
      <c r="E266" t="s">
        <v>2329</v>
      </c>
      <c r="F266" t="s">
        <v>2375</v>
      </c>
      <c r="G266" t="s">
        <v>2747</v>
      </c>
      <c r="H266" t="s">
        <v>2451</v>
      </c>
    </row>
    <row r="267" spans="1:9">
      <c r="A267" s="145" t="s">
        <v>4100</v>
      </c>
      <c r="B267" t="s">
        <v>3874</v>
      </c>
      <c r="C267" t="s">
        <v>2569</v>
      </c>
      <c r="D267" t="s">
        <v>2570</v>
      </c>
      <c r="E267" t="s">
        <v>2571</v>
      </c>
      <c r="F267" t="s">
        <v>2437</v>
      </c>
      <c r="G267" t="s">
        <v>2747</v>
      </c>
      <c r="H267" t="s">
        <v>120</v>
      </c>
    </row>
    <row r="268" spans="1:9">
      <c r="A268" s="145" t="s">
        <v>4100</v>
      </c>
      <c r="B268" t="s">
        <v>3874</v>
      </c>
      <c r="C268" t="s">
        <v>2572</v>
      </c>
      <c r="D268" t="s">
        <v>2432</v>
      </c>
      <c r="E268" t="s">
        <v>120</v>
      </c>
      <c r="F268" t="s">
        <v>2573</v>
      </c>
      <c r="G268" t="s">
        <v>2747</v>
      </c>
      <c r="H268" t="s">
        <v>120</v>
      </c>
    </row>
    <row r="269" spans="1:9">
      <c r="A269" s="145" t="s">
        <v>4100</v>
      </c>
      <c r="B269" t="s">
        <v>3874</v>
      </c>
      <c r="C269" t="s">
        <v>2574</v>
      </c>
      <c r="D269" t="s">
        <v>2570</v>
      </c>
      <c r="E269" t="s">
        <v>120</v>
      </c>
      <c r="F269" t="s">
        <v>2573</v>
      </c>
      <c r="G269" t="s">
        <v>2747</v>
      </c>
      <c r="H269" t="s">
        <v>120</v>
      </c>
    </row>
    <row r="270" spans="1:9">
      <c r="A270" s="145" t="s">
        <v>4100</v>
      </c>
      <c r="B270" t="s">
        <v>3874</v>
      </c>
      <c r="C270" t="s">
        <v>2575</v>
      </c>
      <c r="D270" t="s">
        <v>2576</v>
      </c>
      <c r="E270" t="s">
        <v>2490</v>
      </c>
      <c r="F270" t="s">
        <v>2577</v>
      </c>
      <c r="G270" t="s">
        <v>2747</v>
      </c>
      <c r="H270" t="s">
        <v>2490</v>
      </c>
    </row>
    <row r="271" spans="1:9">
      <c r="A271" s="145" t="s">
        <v>4100</v>
      </c>
      <c r="B271" t="s">
        <v>3874</v>
      </c>
      <c r="C271" t="s">
        <v>2578</v>
      </c>
      <c r="D271" t="s">
        <v>2579</v>
      </c>
      <c r="E271" t="s">
        <v>2543</v>
      </c>
      <c r="F271" t="s">
        <v>2580</v>
      </c>
      <c r="G271" t="s">
        <v>2747</v>
      </c>
      <c r="H271" t="s">
        <v>120</v>
      </c>
    </row>
    <row r="272" spans="1:9">
      <c r="A272" s="145" t="s">
        <v>4102</v>
      </c>
      <c r="B272" t="s">
        <v>2154</v>
      </c>
      <c r="C272" t="s">
        <v>2377</v>
      </c>
      <c r="D272" t="s">
        <v>2378</v>
      </c>
      <c r="E272" t="s">
        <v>1622</v>
      </c>
      <c r="F272" t="s">
        <v>2380</v>
      </c>
      <c r="G272" t="s">
        <v>2747</v>
      </c>
      <c r="H272" t="s">
        <v>120</v>
      </c>
      <c r="I272" t="s">
        <v>3955</v>
      </c>
    </row>
    <row r="273" spans="1:9">
      <c r="A273" s="145" t="s">
        <v>4102</v>
      </c>
      <c r="B273" t="s">
        <v>2154</v>
      </c>
      <c r="C273" t="s">
        <v>2381</v>
      </c>
      <c r="E273" t="s">
        <v>1396</v>
      </c>
      <c r="G273" t="s">
        <v>2747</v>
      </c>
      <c r="H273" t="s">
        <v>1396</v>
      </c>
      <c r="I273" t="s">
        <v>3955</v>
      </c>
    </row>
    <row r="274" spans="1:9">
      <c r="A274" s="145" t="s">
        <v>4102</v>
      </c>
      <c r="B274" t="s">
        <v>2154</v>
      </c>
      <c r="C274" t="s">
        <v>2382</v>
      </c>
      <c r="E274" t="s">
        <v>2383</v>
      </c>
      <c r="G274" t="s">
        <v>2747</v>
      </c>
      <c r="H274" t="s">
        <v>2383</v>
      </c>
      <c r="I274" t="s">
        <v>3955</v>
      </c>
    </row>
    <row r="275" spans="1:9">
      <c r="A275" s="145" t="s">
        <v>4102</v>
      </c>
      <c r="B275" t="s">
        <v>2154</v>
      </c>
      <c r="C275" t="s">
        <v>2441</v>
      </c>
      <c r="D275" t="s">
        <v>2316</v>
      </c>
      <c r="E275" t="s">
        <v>120</v>
      </c>
      <c r="G275" t="s">
        <v>2747</v>
      </c>
      <c r="H275" t="s">
        <v>120</v>
      </c>
      <c r="I275" t="s">
        <v>3955</v>
      </c>
    </row>
    <row r="276" spans="1:9">
      <c r="A276" s="145" t="s">
        <v>4102</v>
      </c>
      <c r="B276" t="s">
        <v>2154</v>
      </c>
      <c r="C276" t="s">
        <v>2442</v>
      </c>
      <c r="D276" t="s">
        <v>2326</v>
      </c>
      <c r="E276" t="s">
        <v>120</v>
      </c>
      <c r="F276" t="s">
        <v>2443</v>
      </c>
      <c r="G276" t="s">
        <v>2747</v>
      </c>
      <c r="H276" t="s">
        <v>120</v>
      </c>
      <c r="I276" t="s">
        <v>3955</v>
      </c>
    </row>
    <row r="277" spans="1:9">
      <c r="A277" s="145" t="s">
        <v>4102</v>
      </c>
      <c r="B277" t="s">
        <v>2154</v>
      </c>
      <c r="C277" t="s">
        <v>2444</v>
      </c>
      <c r="E277" t="s">
        <v>120</v>
      </c>
      <c r="G277" t="s">
        <v>2747</v>
      </c>
      <c r="H277" t="s">
        <v>120</v>
      </c>
      <c r="I277" t="s">
        <v>3955</v>
      </c>
    </row>
    <row r="278" spans="1:9">
      <c r="A278" s="145" t="s">
        <v>4102</v>
      </c>
      <c r="B278" t="s">
        <v>2156</v>
      </c>
      <c r="C278" t="s">
        <v>2446</v>
      </c>
      <c r="D278" t="s">
        <v>2334</v>
      </c>
      <c r="E278" t="s">
        <v>120</v>
      </c>
      <c r="G278" t="s">
        <v>2747</v>
      </c>
      <c r="H278" t="s">
        <v>120</v>
      </c>
      <c r="I278" t="s">
        <v>3959</v>
      </c>
    </row>
    <row r="279" spans="1:9">
      <c r="A279" s="145" t="s">
        <v>4102</v>
      </c>
      <c r="B279" t="s">
        <v>2156</v>
      </c>
      <c r="C279" t="s">
        <v>2447</v>
      </c>
      <c r="D279" t="s">
        <v>2448</v>
      </c>
      <c r="E279" t="s">
        <v>120</v>
      </c>
      <c r="F279" t="s">
        <v>2449</v>
      </c>
      <c r="G279" t="s">
        <v>2747</v>
      </c>
      <c r="H279" t="s">
        <v>120</v>
      </c>
      <c r="I279" t="s">
        <v>3959</v>
      </c>
    </row>
    <row r="280" spans="1:9">
      <c r="A280" s="145" t="s">
        <v>4102</v>
      </c>
      <c r="B280" t="s">
        <v>2156</v>
      </c>
      <c r="C280" t="s">
        <v>2450</v>
      </c>
      <c r="D280" t="s">
        <v>2448</v>
      </c>
      <c r="E280" t="s">
        <v>120</v>
      </c>
      <c r="G280" t="s">
        <v>2747</v>
      </c>
      <c r="H280" t="s">
        <v>120</v>
      </c>
      <c r="I280" t="s">
        <v>3959</v>
      </c>
    </row>
    <row r="281" spans="1:9">
      <c r="A281" s="145" t="s">
        <v>4102</v>
      </c>
      <c r="B281" t="s">
        <v>2156</v>
      </c>
      <c r="C281" t="s">
        <v>2328</v>
      </c>
      <c r="E281" t="s">
        <v>2329</v>
      </c>
      <c r="F281" t="s">
        <v>2331</v>
      </c>
      <c r="G281" t="s">
        <v>2747</v>
      </c>
      <c r="H281" t="s">
        <v>2451</v>
      </c>
      <c r="I281" t="s">
        <v>3959</v>
      </c>
    </row>
    <row r="282" spans="1:9">
      <c r="A282" s="145" t="s">
        <v>4102</v>
      </c>
      <c r="B282" t="s">
        <v>2156</v>
      </c>
      <c r="C282" t="s">
        <v>2452</v>
      </c>
      <c r="D282" t="s">
        <v>2453</v>
      </c>
      <c r="E282" t="s">
        <v>120</v>
      </c>
      <c r="F282" t="s">
        <v>2454</v>
      </c>
      <c r="G282" t="s">
        <v>2747</v>
      </c>
      <c r="H282" t="s">
        <v>120</v>
      </c>
      <c r="I282" t="s">
        <v>3959</v>
      </c>
    </row>
    <row r="283" spans="1:9">
      <c r="A283" s="145" t="s">
        <v>4102</v>
      </c>
      <c r="B283" t="s">
        <v>3644</v>
      </c>
      <c r="C283" t="s">
        <v>2456</v>
      </c>
      <c r="D283" t="s">
        <v>2457</v>
      </c>
      <c r="E283" t="s">
        <v>120</v>
      </c>
      <c r="G283" t="s">
        <v>2747</v>
      </c>
      <c r="H283" t="s">
        <v>120</v>
      </c>
      <c r="I283" t="s">
        <v>3963</v>
      </c>
    </row>
    <row r="284" spans="1:9">
      <c r="A284" s="145" t="s">
        <v>4102</v>
      </c>
      <c r="B284" t="s">
        <v>3644</v>
      </c>
      <c r="C284" t="s">
        <v>2458</v>
      </c>
      <c r="D284" t="s">
        <v>2457</v>
      </c>
      <c r="E284" t="s">
        <v>2459</v>
      </c>
      <c r="G284" t="s">
        <v>2747</v>
      </c>
      <c r="H284" t="s">
        <v>120</v>
      </c>
      <c r="I284" t="s">
        <v>3963</v>
      </c>
    </row>
    <row r="285" spans="1:9">
      <c r="A285" s="145" t="s">
        <v>4102</v>
      </c>
      <c r="B285" t="s">
        <v>3644</v>
      </c>
      <c r="C285" t="s">
        <v>2460</v>
      </c>
      <c r="D285" t="s">
        <v>2457</v>
      </c>
      <c r="E285" t="s">
        <v>2461</v>
      </c>
      <c r="F285" t="s">
        <v>2462</v>
      </c>
      <c r="G285" t="s">
        <v>2747</v>
      </c>
      <c r="H285" t="s">
        <v>120</v>
      </c>
      <c r="I285" t="s">
        <v>3963</v>
      </c>
    </row>
    <row r="286" spans="1:9">
      <c r="A286" s="145" t="s">
        <v>4102</v>
      </c>
      <c r="B286" t="s">
        <v>3644</v>
      </c>
      <c r="C286" t="s">
        <v>2463</v>
      </c>
      <c r="D286" t="s">
        <v>2457</v>
      </c>
      <c r="E286" t="s">
        <v>120</v>
      </c>
      <c r="G286" t="s">
        <v>2747</v>
      </c>
      <c r="H286" t="s">
        <v>120</v>
      </c>
      <c r="I286" t="s">
        <v>3963</v>
      </c>
    </row>
    <row r="287" spans="1:9">
      <c r="A287" s="145" t="s">
        <v>4102</v>
      </c>
      <c r="B287" t="s">
        <v>2161</v>
      </c>
      <c r="C287" t="s">
        <v>2465</v>
      </c>
      <c r="D287" t="s">
        <v>2466</v>
      </c>
      <c r="E287" t="s">
        <v>2467</v>
      </c>
      <c r="G287" t="s">
        <v>2747</v>
      </c>
      <c r="H287" t="s">
        <v>120</v>
      </c>
      <c r="I287" t="s">
        <v>3967</v>
      </c>
    </row>
    <row r="288" spans="1:9">
      <c r="A288" s="145" t="s">
        <v>4102</v>
      </c>
      <c r="B288" t="s">
        <v>2161</v>
      </c>
      <c r="C288" t="s">
        <v>2468</v>
      </c>
      <c r="D288" t="s">
        <v>2390</v>
      </c>
      <c r="E288" t="s">
        <v>120</v>
      </c>
      <c r="G288" t="s">
        <v>2747</v>
      </c>
      <c r="H288" t="s">
        <v>120</v>
      </c>
      <c r="I288" t="s">
        <v>3967</v>
      </c>
    </row>
    <row r="289" spans="1:9">
      <c r="A289" s="145" t="s">
        <v>4102</v>
      </c>
      <c r="B289" t="s">
        <v>2161</v>
      </c>
      <c r="C289" t="s">
        <v>2469</v>
      </c>
      <c r="D289" t="s">
        <v>2466</v>
      </c>
      <c r="E289" t="s">
        <v>2470</v>
      </c>
      <c r="G289" t="s">
        <v>2747</v>
      </c>
      <c r="H289" t="s">
        <v>120</v>
      </c>
      <c r="I289" t="s">
        <v>3967</v>
      </c>
    </row>
    <row r="290" spans="1:9">
      <c r="A290" s="145" t="s">
        <v>4102</v>
      </c>
      <c r="B290" t="s">
        <v>2161</v>
      </c>
      <c r="C290" t="s">
        <v>2392</v>
      </c>
      <c r="D290" t="s">
        <v>2390</v>
      </c>
      <c r="E290" t="s">
        <v>2393</v>
      </c>
      <c r="F290" t="s">
        <v>2394</v>
      </c>
      <c r="G290" t="s">
        <v>2747</v>
      </c>
      <c r="H290" t="s">
        <v>120</v>
      </c>
      <c r="I290" t="s">
        <v>3967</v>
      </c>
    </row>
    <row r="291" spans="1:9">
      <c r="A291" s="145" t="s">
        <v>4102</v>
      </c>
      <c r="B291" t="s">
        <v>2161</v>
      </c>
      <c r="C291" t="s">
        <v>2471</v>
      </c>
      <c r="D291" t="s">
        <v>2472</v>
      </c>
      <c r="E291" t="s">
        <v>120</v>
      </c>
      <c r="F291" t="s">
        <v>2473</v>
      </c>
      <c r="G291" t="s">
        <v>2747</v>
      </c>
      <c r="H291" t="s">
        <v>120</v>
      </c>
      <c r="I291" t="s">
        <v>3967</v>
      </c>
    </row>
    <row r="292" spans="1:9">
      <c r="A292" s="145" t="s">
        <v>4102</v>
      </c>
      <c r="B292" t="s">
        <v>2161</v>
      </c>
      <c r="C292" t="s">
        <v>2474</v>
      </c>
      <c r="D292" t="s">
        <v>2472</v>
      </c>
      <c r="E292" t="s">
        <v>120</v>
      </c>
      <c r="G292" t="s">
        <v>2747</v>
      </c>
      <c r="H292" t="s">
        <v>120</v>
      </c>
      <c r="I292" t="s">
        <v>3967</v>
      </c>
    </row>
    <row r="293" spans="1:9">
      <c r="A293" s="145" t="s">
        <v>4102</v>
      </c>
      <c r="B293" t="s">
        <v>2163</v>
      </c>
      <c r="C293" t="s">
        <v>2476</v>
      </c>
      <c r="D293" t="s">
        <v>2477</v>
      </c>
      <c r="E293" t="s">
        <v>120</v>
      </c>
      <c r="F293" t="s">
        <v>2478</v>
      </c>
      <c r="G293" t="s">
        <v>2747</v>
      </c>
      <c r="H293" t="s">
        <v>120</v>
      </c>
      <c r="I293" t="s">
        <v>3971</v>
      </c>
    </row>
    <row r="294" spans="1:9">
      <c r="A294" s="145" t="s">
        <v>4102</v>
      </c>
      <c r="B294" t="s">
        <v>2163</v>
      </c>
      <c r="C294" t="s">
        <v>2333</v>
      </c>
      <c r="D294" t="s">
        <v>2334</v>
      </c>
      <c r="E294" t="s">
        <v>2335</v>
      </c>
      <c r="G294" t="s">
        <v>2747</v>
      </c>
      <c r="H294" t="s">
        <v>2451</v>
      </c>
      <c r="I294" t="s">
        <v>3971</v>
      </c>
    </row>
    <row r="295" spans="1:9">
      <c r="A295" s="145" t="s">
        <v>4102</v>
      </c>
      <c r="B295" t="s">
        <v>2163</v>
      </c>
      <c r="C295" t="s">
        <v>2336</v>
      </c>
      <c r="D295" t="s">
        <v>2334</v>
      </c>
      <c r="E295" t="s">
        <v>2329</v>
      </c>
      <c r="G295" t="s">
        <v>2747</v>
      </c>
      <c r="H295" t="s">
        <v>2451</v>
      </c>
      <c r="I295" t="s">
        <v>3971</v>
      </c>
    </row>
    <row r="296" spans="1:9">
      <c r="A296" s="145" t="s">
        <v>4102</v>
      </c>
      <c r="B296" t="s">
        <v>2163</v>
      </c>
      <c r="C296" t="s">
        <v>2337</v>
      </c>
      <c r="D296" t="s">
        <v>2334</v>
      </c>
      <c r="E296" t="s">
        <v>2329</v>
      </c>
      <c r="G296" t="s">
        <v>2747</v>
      </c>
      <c r="H296" t="s">
        <v>2451</v>
      </c>
      <c r="I296" t="s">
        <v>3971</v>
      </c>
    </row>
    <row r="297" spans="1:9">
      <c r="A297" s="145" t="s">
        <v>4102</v>
      </c>
      <c r="B297" t="s">
        <v>2163</v>
      </c>
      <c r="C297" t="s">
        <v>2338</v>
      </c>
      <c r="D297" t="s">
        <v>2339</v>
      </c>
      <c r="E297" t="s">
        <v>2329</v>
      </c>
      <c r="G297" t="s">
        <v>2747</v>
      </c>
      <c r="H297" t="s">
        <v>2451</v>
      </c>
      <c r="I297" t="s">
        <v>3971</v>
      </c>
    </row>
    <row r="298" spans="1:9">
      <c r="A298" s="145" t="s">
        <v>4102</v>
      </c>
      <c r="B298" t="s">
        <v>2163</v>
      </c>
      <c r="C298" t="s">
        <v>2340</v>
      </c>
      <c r="E298" t="s">
        <v>2329</v>
      </c>
      <c r="G298" t="s">
        <v>2747</v>
      </c>
      <c r="H298" t="s">
        <v>2451</v>
      </c>
      <c r="I298" t="s">
        <v>3971</v>
      </c>
    </row>
    <row r="299" spans="1:9">
      <c r="A299" s="145" t="s">
        <v>4102</v>
      </c>
      <c r="B299" t="s">
        <v>2163</v>
      </c>
      <c r="C299" t="s">
        <v>2341</v>
      </c>
      <c r="E299" t="s">
        <v>2329</v>
      </c>
      <c r="G299" t="s">
        <v>2747</v>
      </c>
      <c r="H299" t="s">
        <v>2451</v>
      </c>
      <c r="I299" t="s">
        <v>3971</v>
      </c>
    </row>
    <row r="300" spans="1:9">
      <c r="A300" s="145" t="s">
        <v>4102</v>
      </c>
      <c r="B300" t="s">
        <v>2163</v>
      </c>
      <c r="C300" t="s">
        <v>2342</v>
      </c>
      <c r="E300" t="s">
        <v>2329</v>
      </c>
      <c r="G300" t="s">
        <v>2747</v>
      </c>
      <c r="H300" t="s">
        <v>2451</v>
      </c>
      <c r="I300" t="s">
        <v>3971</v>
      </c>
    </row>
    <row r="301" spans="1:9">
      <c r="A301" s="145" t="s">
        <v>4102</v>
      </c>
      <c r="B301" t="s">
        <v>2164</v>
      </c>
      <c r="C301" t="s">
        <v>2480</v>
      </c>
      <c r="D301" t="s">
        <v>2481</v>
      </c>
      <c r="E301" t="s">
        <v>120</v>
      </c>
      <c r="G301" t="s">
        <v>2747</v>
      </c>
      <c r="H301" t="s">
        <v>120</v>
      </c>
      <c r="I301" t="s">
        <v>3973</v>
      </c>
    </row>
    <row r="302" spans="1:9">
      <c r="A302" s="145" t="s">
        <v>4102</v>
      </c>
      <c r="B302" t="s">
        <v>2164</v>
      </c>
      <c r="C302" t="s">
        <v>2482</v>
      </c>
      <c r="D302" t="s">
        <v>2483</v>
      </c>
      <c r="E302" t="s">
        <v>120</v>
      </c>
      <c r="G302" t="s">
        <v>2747</v>
      </c>
      <c r="H302" t="s">
        <v>120</v>
      </c>
      <c r="I302" t="s">
        <v>3973</v>
      </c>
    </row>
    <row r="303" spans="1:9">
      <c r="A303" s="145" t="s">
        <v>4102</v>
      </c>
      <c r="B303" t="s">
        <v>2164</v>
      </c>
      <c r="C303" t="s">
        <v>2484</v>
      </c>
      <c r="D303" t="s">
        <v>2483</v>
      </c>
      <c r="E303" t="s">
        <v>2485</v>
      </c>
      <c r="F303" t="s">
        <v>2486</v>
      </c>
      <c r="G303" t="s">
        <v>2747</v>
      </c>
      <c r="H303" t="s">
        <v>120</v>
      </c>
      <c r="I303" t="s">
        <v>3973</v>
      </c>
    </row>
    <row r="304" spans="1:9">
      <c r="A304" s="145" t="s">
        <v>4102</v>
      </c>
      <c r="B304" t="s">
        <v>2164</v>
      </c>
      <c r="C304" t="s">
        <v>2487</v>
      </c>
      <c r="D304" t="s">
        <v>2488</v>
      </c>
      <c r="E304" t="s">
        <v>120</v>
      </c>
      <c r="G304" t="s">
        <v>2747</v>
      </c>
      <c r="H304" t="s">
        <v>120</v>
      </c>
      <c r="I304" t="s">
        <v>3973</v>
      </c>
    </row>
    <row r="305" spans="1:9">
      <c r="A305" s="145" t="s">
        <v>4102</v>
      </c>
      <c r="B305" t="s">
        <v>2164</v>
      </c>
      <c r="C305" t="s">
        <v>2344</v>
      </c>
      <c r="E305" t="s">
        <v>2345</v>
      </c>
      <c r="G305" t="s">
        <v>2747</v>
      </c>
      <c r="H305" t="s">
        <v>120</v>
      </c>
      <c r="I305" t="s">
        <v>3973</v>
      </c>
    </row>
    <row r="306" spans="1:9">
      <c r="A306" s="145" t="s">
        <v>4102</v>
      </c>
      <c r="B306" t="s">
        <v>2164</v>
      </c>
      <c r="C306" t="s">
        <v>2347</v>
      </c>
      <c r="E306" t="s">
        <v>2329</v>
      </c>
      <c r="G306" t="s">
        <v>2747</v>
      </c>
      <c r="H306" t="s">
        <v>2451</v>
      </c>
      <c r="I306" t="s">
        <v>3973</v>
      </c>
    </row>
    <row r="307" spans="1:9">
      <c r="A307" s="145" t="s">
        <v>4102</v>
      </c>
      <c r="B307" t="s">
        <v>2164</v>
      </c>
      <c r="C307" t="s">
        <v>2348</v>
      </c>
      <c r="E307" t="s">
        <v>2329</v>
      </c>
      <c r="G307" t="s">
        <v>2747</v>
      </c>
      <c r="H307" t="s">
        <v>2451</v>
      </c>
      <c r="I307" t="s">
        <v>3973</v>
      </c>
    </row>
    <row r="308" spans="1:9">
      <c r="A308" s="145" t="s">
        <v>4102</v>
      </c>
      <c r="B308" t="s">
        <v>2164</v>
      </c>
      <c r="C308" t="s">
        <v>2489</v>
      </c>
      <c r="D308" t="s">
        <v>2483</v>
      </c>
      <c r="E308" t="s">
        <v>2490</v>
      </c>
      <c r="G308" t="s">
        <v>2747</v>
      </c>
      <c r="H308" t="s">
        <v>2490</v>
      </c>
      <c r="I308" t="s">
        <v>3973</v>
      </c>
    </row>
    <row r="309" spans="1:9">
      <c r="A309" s="145" t="s">
        <v>4102</v>
      </c>
      <c r="B309" t="s">
        <v>2164</v>
      </c>
      <c r="C309" t="s">
        <v>2491</v>
      </c>
      <c r="D309" t="s">
        <v>2488</v>
      </c>
      <c r="E309" t="s">
        <v>120</v>
      </c>
      <c r="G309" t="s">
        <v>2747</v>
      </c>
      <c r="H309" t="s">
        <v>120</v>
      </c>
      <c r="I309" t="s">
        <v>3973</v>
      </c>
    </row>
    <row r="310" spans="1:9">
      <c r="A310" s="145" t="s">
        <v>4102</v>
      </c>
      <c r="B310" t="s">
        <v>2166</v>
      </c>
      <c r="C310" t="s">
        <v>2493</v>
      </c>
      <c r="E310" t="s">
        <v>2490</v>
      </c>
      <c r="G310" t="s">
        <v>2747</v>
      </c>
      <c r="H310" t="s">
        <v>2490</v>
      </c>
      <c r="I310" t="s">
        <v>3975</v>
      </c>
    </row>
    <row r="311" spans="1:9">
      <c r="A311" s="145" t="s">
        <v>4102</v>
      </c>
      <c r="B311" t="s">
        <v>2166</v>
      </c>
      <c r="C311" t="s">
        <v>2494</v>
      </c>
      <c r="E311" t="s">
        <v>2490</v>
      </c>
      <c r="G311" t="s">
        <v>2747</v>
      </c>
      <c r="H311" t="s">
        <v>2490</v>
      </c>
      <c r="I311" t="s">
        <v>3975</v>
      </c>
    </row>
    <row r="312" spans="1:9">
      <c r="A312" s="145" t="s">
        <v>4102</v>
      </c>
      <c r="B312" t="s">
        <v>2166</v>
      </c>
      <c r="C312" t="s">
        <v>2400</v>
      </c>
      <c r="E312" t="s">
        <v>2401</v>
      </c>
      <c r="G312" t="s">
        <v>2747</v>
      </c>
      <c r="H312" t="s">
        <v>2490</v>
      </c>
      <c r="I312" t="s">
        <v>3975</v>
      </c>
    </row>
    <row r="313" spans="1:9">
      <c r="A313" s="145" t="s">
        <v>4102</v>
      </c>
      <c r="B313" t="s">
        <v>2166</v>
      </c>
      <c r="C313" t="s">
        <v>2495</v>
      </c>
      <c r="D313" t="s">
        <v>2483</v>
      </c>
      <c r="E313" t="s">
        <v>120</v>
      </c>
      <c r="G313" t="s">
        <v>2747</v>
      </c>
      <c r="H313" t="s">
        <v>120</v>
      </c>
      <c r="I313" t="s">
        <v>3975</v>
      </c>
    </row>
    <row r="314" spans="1:9">
      <c r="A314" s="145" t="s">
        <v>4102</v>
      </c>
      <c r="B314" t="s">
        <v>2166</v>
      </c>
      <c r="C314" t="s">
        <v>2496</v>
      </c>
      <c r="D314" t="s">
        <v>2483</v>
      </c>
      <c r="E314" t="s">
        <v>120</v>
      </c>
      <c r="G314" t="s">
        <v>2747</v>
      </c>
      <c r="H314" t="s">
        <v>120</v>
      </c>
      <c r="I314" t="s">
        <v>3975</v>
      </c>
    </row>
    <row r="315" spans="1:9">
      <c r="A315" s="145" t="s">
        <v>4102</v>
      </c>
      <c r="B315" t="s">
        <v>2166</v>
      </c>
      <c r="C315" t="s">
        <v>2497</v>
      </c>
      <c r="D315" t="s">
        <v>2339</v>
      </c>
      <c r="E315" t="s">
        <v>120</v>
      </c>
      <c r="G315" t="s">
        <v>2747</v>
      </c>
      <c r="H315" t="s">
        <v>120</v>
      </c>
      <c r="I315" t="s">
        <v>3975</v>
      </c>
    </row>
    <row r="316" spans="1:9">
      <c r="A316" s="145" t="s">
        <v>4102</v>
      </c>
      <c r="B316" t="s">
        <v>2166</v>
      </c>
      <c r="C316" t="s">
        <v>2498</v>
      </c>
      <c r="D316" t="s">
        <v>2499</v>
      </c>
      <c r="E316" t="s">
        <v>2490</v>
      </c>
      <c r="G316" t="s">
        <v>2747</v>
      </c>
      <c r="H316" t="s">
        <v>2490</v>
      </c>
      <c r="I316" t="s">
        <v>3975</v>
      </c>
    </row>
    <row r="317" spans="1:9">
      <c r="A317" s="145" t="s">
        <v>4102</v>
      </c>
      <c r="B317" t="s">
        <v>2166</v>
      </c>
      <c r="C317" t="s">
        <v>2500</v>
      </c>
      <c r="D317" t="s">
        <v>2499</v>
      </c>
      <c r="E317" t="s">
        <v>2490</v>
      </c>
      <c r="G317" t="s">
        <v>2747</v>
      </c>
      <c r="H317" t="s">
        <v>2490</v>
      </c>
      <c r="I317" t="s">
        <v>3975</v>
      </c>
    </row>
    <row r="318" spans="1:9">
      <c r="A318" s="145" t="s">
        <v>4102</v>
      </c>
      <c r="B318" t="s">
        <v>2166</v>
      </c>
      <c r="C318" t="s">
        <v>2350</v>
      </c>
      <c r="E318" t="s">
        <v>2329</v>
      </c>
      <c r="G318" t="s">
        <v>2747</v>
      </c>
      <c r="H318" t="s">
        <v>2451</v>
      </c>
      <c r="I318" t="s">
        <v>3975</v>
      </c>
    </row>
    <row r="319" spans="1:9">
      <c r="A319" s="145" t="s">
        <v>4102</v>
      </c>
      <c r="B319" t="s">
        <v>2166</v>
      </c>
      <c r="C319" t="s">
        <v>2501</v>
      </c>
      <c r="D319" t="s">
        <v>2499</v>
      </c>
      <c r="E319" t="s">
        <v>120</v>
      </c>
      <c r="F319" t="s">
        <v>2502</v>
      </c>
      <c r="G319" t="s">
        <v>2747</v>
      </c>
      <c r="H319" t="s">
        <v>120</v>
      </c>
      <c r="I319" t="s">
        <v>3975</v>
      </c>
    </row>
    <row r="320" spans="1:9">
      <c r="A320" s="145" t="s">
        <v>4102</v>
      </c>
      <c r="B320" t="s">
        <v>2167</v>
      </c>
      <c r="C320" t="s">
        <v>2504</v>
      </c>
      <c r="D320" t="s">
        <v>2505</v>
      </c>
      <c r="E320" t="s">
        <v>120</v>
      </c>
      <c r="G320" t="s">
        <v>2747</v>
      </c>
      <c r="H320" t="s">
        <v>120</v>
      </c>
      <c r="I320" t="s">
        <v>3979</v>
      </c>
    </row>
    <row r="321" spans="1:9">
      <c r="A321" s="145" t="s">
        <v>4102</v>
      </c>
      <c r="B321" t="s">
        <v>2167</v>
      </c>
      <c r="C321" t="s">
        <v>2506</v>
      </c>
      <c r="D321" t="s">
        <v>2435</v>
      </c>
      <c r="E321" t="s">
        <v>120</v>
      </c>
      <c r="G321" t="s">
        <v>2747</v>
      </c>
      <c r="H321" t="s">
        <v>120</v>
      </c>
      <c r="I321" t="s">
        <v>3979</v>
      </c>
    </row>
    <row r="322" spans="1:9">
      <c r="A322" s="145" t="s">
        <v>4102</v>
      </c>
      <c r="B322" t="s">
        <v>2167</v>
      </c>
      <c r="C322" t="s">
        <v>2507</v>
      </c>
      <c r="D322" t="s">
        <v>2435</v>
      </c>
      <c r="E322" t="s">
        <v>120</v>
      </c>
      <c r="G322" t="s">
        <v>2747</v>
      </c>
      <c r="H322" t="s">
        <v>120</v>
      </c>
      <c r="I322" t="s">
        <v>3979</v>
      </c>
    </row>
    <row r="323" spans="1:9">
      <c r="A323" s="145" t="s">
        <v>4102</v>
      </c>
      <c r="B323" t="s">
        <v>2169</v>
      </c>
      <c r="C323" t="s">
        <v>2509</v>
      </c>
      <c r="D323" t="s">
        <v>2353</v>
      </c>
      <c r="E323" t="s">
        <v>2490</v>
      </c>
      <c r="F323" t="s">
        <v>2510</v>
      </c>
      <c r="G323" t="s">
        <v>2747</v>
      </c>
      <c r="H323" t="s">
        <v>2490</v>
      </c>
      <c r="I323" t="s">
        <v>3983</v>
      </c>
    </row>
    <row r="324" spans="1:9">
      <c r="A324" s="145" t="s">
        <v>4102</v>
      </c>
      <c r="B324" t="s">
        <v>2169</v>
      </c>
      <c r="C324" t="s">
        <v>2511</v>
      </c>
      <c r="D324" t="s">
        <v>2407</v>
      </c>
      <c r="E324" t="s">
        <v>120</v>
      </c>
      <c r="F324" t="s">
        <v>2512</v>
      </c>
      <c r="G324" t="s">
        <v>2747</v>
      </c>
      <c r="H324" t="s">
        <v>120</v>
      </c>
      <c r="I324" t="s">
        <v>3983</v>
      </c>
    </row>
    <row r="325" spans="1:9">
      <c r="A325" s="145" t="s">
        <v>4102</v>
      </c>
      <c r="B325" t="s">
        <v>2169</v>
      </c>
      <c r="C325" t="s">
        <v>2513</v>
      </c>
      <c r="D325" t="s">
        <v>2404</v>
      </c>
      <c r="E325" t="s">
        <v>120</v>
      </c>
      <c r="F325" t="s">
        <v>2514</v>
      </c>
      <c r="G325" t="s">
        <v>2747</v>
      </c>
      <c r="H325" t="s">
        <v>120</v>
      </c>
      <c r="I325" t="s">
        <v>3983</v>
      </c>
    </row>
    <row r="326" spans="1:9">
      <c r="A326" s="145" t="s">
        <v>4102</v>
      </c>
      <c r="B326" t="s">
        <v>2169</v>
      </c>
      <c r="C326" t="s">
        <v>2515</v>
      </c>
      <c r="D326" t="s">
        <v>2516</v>
      </c>
      <c r="E326" t="s">
        <v>120</v>
      </c>
      <c r="F326" t="s">
        <v>2517</v>
      </c>
      <c r="G326" t="s">
        <v>2747</v>
      </c>
      <c r="H326" t="s">
        <v>120</v>
      </c>
      <c r="I326" t="s">
        <v>3983</v>
      </c>
    </row>
    <row r="327" spans="1:9">
      <c r="A327" s="145" t="s">
        <v>4102</v>
      </c>
      <c r="B327" t="s">
        <v>2169</v>
      </c>
      <c r="C327" t="s">
        <v>2358</v>
      </c>
      <c r="E327" t="s">
        <v>2329</v>
      </c>
      <c r="G327" t="s">
        <v>2747</v>
      </c>
      <c r="H327" t="s">
        <v>2451</v>
      </c>
      <c r="I327" t="s">
        <v>3983</v>
      </c>
    </row>
    <row r="328" spans="1:9">
      <c r="A328" s="145" t="s">
        <v>4102</v>
      </c>
      <c r="B328" t="s">
        <v>2173</v>
      </c>
      <c r="C328" t="s">
        <v>2519</v>
      </c>
      <c r="D328" t="s">
        <v>2407</v>
      </c>
      <c r="E328" t="s">
        <v>120</v>
      </c>
      <c r="F328" t="s">
        <v>2520</v>
      </c>
      <c r="G328" t="s">
        <v>2747</v>
      </c>
      <c r="H328" t="s">
        <v>120</v>
      </c>
      <c r="I328" t="s">
        <v>3987</v>
      </c>
    </row>
    <row r="329" spans="1:9">
      <c r="A329" s="145" t="s">
        <v>4102</v>
      </c>
      <c r="B329" t="s">
        <v>2173</v>
      </c>
      <c r="C329" t="s">
        <v>2521</v>
      </c>
      <c r="D329" t="s">
        <v>2407</v>
      </c>
      <c r="E329" t="s">
        <v>120</v>
      </c>
      <c r="G329" t="s">
        <v>2747</v>
      </c>
      <c r="H329" t="s">
        <v>120</v>
      </c>
      <c r="I329" t="s">
        <v>3987</v>
      </c>
    </row>
    <row r="330" spans="1:9">
      <c r="A330" s="145" t="s">
        <v>4102</v>
      </c>
      <c r="B330" t="s">
        <v>2173</v>
      </c>
      <c r="C330" t="s">
        <v>2522</v>
      </c>
      <c r="D330" t="s">
        <v>2523</v>
      </c>
      <c r="E330" t="s">
        <v>120</v>
      </c>
      <c r="F330" t="s">
        <v>2524</v>
      </c>
      <c r="G330" t="s">
        <v>2747</v>
      </c>
      <c r="H330" t="s">
        <v>120</v>
      </c>
      <c r="I330" t="s">
        <v>3987</v>
      </c>
    </row>
    <row r="331" spans="1:9">
      <c r="A331" s="145" t="s">
        <v>4102</v>
      </c>
      <c r="B331" t="s">
        <v>2173</v>
      </c>
      <c r="C331" t="s">
        <v>2525</v>
      </c>
      <c r="D331" t="s">
        <v>2412</v>
      </c>
      <c r="E331" t="s">
        <v>120</v>
      </c>
      <c r="F331" t="s">
        <v>2520</v>
      </c>
      <c r="G331" t="s">
        <v>2747</v>
      </c>
      <c r="H331" t="s">
        <v>120</v>
      </c>
      <c r="I331" t="s">
        <v>3987</v>
      </c>
    </row>
    <row r="332" spans="1:9">
      <c r="A332" s="145" t="s">
        <v>4102</v>
      </c>
      <c r="B332" t="s">
        <v>2173</v>
      </c>
      <c r="C332" t="s">
        <v>2526</v>
      </c>
      <c r="D332" t="s">
        <v>2412</v>
      </c>
      <c r="E332" t="s">
        <v>120</v>
      </c>
      <c r="F332" t="s">
        <v>2527</v>
      </c>
      <c r="G332" t="s">
        <v>2747</v>
      </c>
      <c r="H332" t="s">
        <v>120</v>
      </c>
      <c r="I332" t="s">
        <v>3987</v>
      </c>
    </row>
    <row r="333" spans="1:9">
      <c r="A333" s="145" t="s">
        <v>4102</v>
      </c>
      <c r="B333" t="s">
        <v>2173</v>
      </c>
      <c r="C333" t="s">
        <v>2528</v>
      </c>
      <c r="D333" t="s">
        <v>2529</v>
      </c>
      <c r="E333" t="s">
        <v>2490</v>
      </c>
      <c r="G333" t="s">
        <v>2747</v>
      </c>
      <c r="H333" t="s">
        <v>2490</v>
      </c>
      <c r="I333" t="s">
        <v>3987</v>
      </c>
    </row>
    <row r="334" spans="1:9">
      <c r="A334" s="145" t="s">
        <v>4102</v>
      </c>
      <c r="B334" t="s">
        <v>2173</v>
      </c>
      <c r="C334" t="s">
        <v>2413</v>
      </c>
      <c r="D334" t="s">
        <v>2407</v>
      </c>
      <c r="E334" t="s">
        <v>2414</v>
      </c>
      <c r="F334" t="s">
        <v>2416</v>
      </c>
      <c r="G334" t="s">
        <v>2747</v>
      </c>
      <c r="H334" t="s">
        <v>2764</v>
      </c>
      <c r="I334" t="s">
        <v>3987</v>
      </c>
    </row>
    <row r="335" spans="1:9">
      <c r="A335" s="145" t="s">
        <v>4102</v>
      </c>
      <c r="B335" t="s">
        <v>2173</v>
      </c>
      <c r="C335" t="s">
        <v>2532</v>
      </c>
      <c r="D335" t="s">
        <v>2529</v>
      </c>
      <c r="E335" t="s">
        <v>2533</v>
      </c>
      <c r="G335" t="s">
        <v>2747</v>
      </c>
      <c r="H335" t="s">
        <v>120</v>
      </c>
      <c r="I335" t="s">
        <v>3987</v>
      </c>
    </row>
    <row r="336" spans="1:9">
      <c r="A336" s="145" t="s">
        <v>4102</v>
      </c>
      <c r="B336" t="s">
        <v>2173</v>
      </c>
      <c r="C336" t="s">
        <v>2534</v>
      </c>
      <c r="D336" t="s">
        <v>2363</v>
      </c>
      <c r="E336" t="s">
        <v>120</v>
      </c>
      <c r="F336" t="s">
        <v>2535</v>
      </c>
      <c r="G336" t="s">
        <v>2747</v>
      </c>
      <c r="H336" t="s">
        <v>120</v>
      </c>
      <c r="I336" t="s">
        <v>3987</v>
      </c>
    </row>
    <row r="337" spans="1:9">
      <c r="A337" s="145" t="s">
        <v>4102</v>
      </c>
      <c r="B337" t="s">
        <v>2176</v>
      </c>
      <c r="C337" t="s">
        <v>2537</v>
      </c>
      <c r="D337" t="s">
        <v>2538</v>
      </c>
      <c r="E337" t="s">
        <v>120</v>
      </c>
      <c r="G337" t="s">
        <v>2747</v>
      </c>
      <c r="H337" t="s">
        <v>120</v>
      </c>
      <c r="I337" t="s">
        <v>3991</v>
      </c>
    </row>
    <row r="338" spans="1:9">
      <c r="A338" s="145" t="s">
        <v>4102</v>
      </c>
      <c r="B338" t="s">
        <v>2176</v>
      </c>
      <c r="C338" t="s">
        <v>2539</v>
      </c>
      <c r="D338" t="s">
        <v>2538</v>
      </c>
      <c r="E338" t="s">
        <v>2490</v>
      </c>
      <c r="F338" t="s">
        <v>2540</v>
      </c>
      <c r="G338" t="s">
        <v>2747</v>
      </c>
      <c r="H338" t="s">
        <v>2490</v>
      </c>
      <c r="I338" t="s">
        <v>3991</v>
      </c>
    </row>
    <row r="339" spans="1:9">
      <c r="A339" s="145" t="s">
        <v>4102</v>
      </c>
      <c r="B339" t="s">
        <v>2176</v>
      </c>
      <c r="C339" t="s">
        <v>2541</v>
      </c>
      <c r="D339" t="s">
        <v>2542</v>
      </c>
      <c r="E339" t="s">
        <v>2543</v>
      </c>
      <c r="G339" t="s">
        <v>2747</v>
      </c>
      <c r="H339" t="s">
        <v>120</v>
      </c>
      <c r="I339" t="s">
        <v>3991</v>
      </c>
    </row>
    <row r="340" spans="1:9">
      <c r="A340" s="145" t="s">
        <v>4102</v>
      </c>
      <c r="B340" t="s">
        <v>2176</v>
      </c>
      <c r="C340" t="s">
        <v>2421</v>
      </c>
      <c r="D340" t="s">
        <v>2422</v>
      </c>
      <c r="E340" t="s">
        <v>2423</v>
      </c>
      <c r="F340" t="s">
        <v>2425</v>
      </c>
      <c r="G340" t="s">
        <v>2747</v>
      </c>
      <c r="H340" t="s">
        <v>2544</v>
      </c>
      <c r="I340" t="s">
        <v>3991</v>
      </c>
    </row>
    <row r="341" spans="1:9">
      <c r="A341" s="145" t="s">
        <v>4102</v>
      </c>
      <c r="B341" t="s">
        <v>2176</v>
      </c>
      <c r="C341" t="s">
        <v>2545</v>
      </c>
      <c r="D341" t="s">
        <v>2422</v>
      </c>
      <c r="E341" t="s">
        <v>2461</v>
      </c>
      <c r="F341" t="s">
        <v>2546</v>
      </c>
      <c r="G341" t="s">
        <v>2747</v>
      </c>
      <c r="H341" t="s">
        <v>120</v>
      </c>
      <c r="I341" t="s">
        <v>3991</v>
      </c>
    </row>
    <row r="342" spans="1:9">
      <c r="A342" s="145" t="s">
        <v>4102</v>
      </c>
      <c r="B342" t="s">
        <v>2176</v>
      </c>
      <c r="C342" t="s">
        <v>2547</v>
      </c>
      <c r="D342" t="s">
        <v>2538</v>
      </c>
      <c r="E342" t="s">
        <v>2548</v>
      </c>
      <c r="G342" t="s">
        <v>2747</v>
      </c>
      <c r="H342" t="s">
        <v>120</v>
      </c>
      <c r="I342" t="s">
        <v>3991</v>
      </c>
    </row>
    <row r="343" spans="1:9">
      <c r="A343" s="145" t="s">
        <v>4102</v>
      </c>
      <c r="B343" t="s">
        <v>2176</v>
      </c>
      <c r="C343" t="s">
        <v>2549</v>
      </c>
      <c r="D343" t="s">
        <v>2538</v>
      </c>
      <c r="E343" t="s">
        <v>2550</v>
      </c>
      <c r="F343" t="s">
        <v>2551</v>
      </c>
      <c r="G343" t="s">
        <v>2747</v>
      </c>
      <c r="H343" t="s">
        <v>120</v>
      </c>
      <c r="I343" t="s">
        <v>3991</v>
      </c>
    </row>
    <row r="344" spans="1:9">
      <c r="A344" s="145" t="s">
        <v>4102</v>
      </c>
      <c r="B344" t="s">
        <v>2176</v>
      </c>
      <c r="C344" t="s">
        <v>2552</v>
      </c>
      <c r="D344" t="s">
        <v>2538</v>
      </c>
      <c r="E344" t="s">
        <v>2553</v>
      </c>
      <c r="G344" t="s">
        <v>2747</v>
      </c>
      <c r="H344" t="s">
        <v>120</v>
      </c>
      <c r="I344" t="s">
        <v>3991</v>
      </c>
    </row>
    <row r="345" spans="1:9">
      <c r="A345" s="145" t="s">
        <v>4102</v>
      </c>
      <c r="B345" t="s">
        <v>2178</v>
      </c>
      <c r="C345" t="s">
        <v>2427</v>
      </c>
      <c r="D345" t="s">
        <v>2370</v>
      </c>
      <c r="E345" t="s">
        <v>2428</v>
      </c>
      <c r="F345" t="s">
        <v>2429</v>
      </c>
      <c r="G345" t="s">
        <v>2747</v>
      </c>
      <c r="H345" t="s">
        <v>120</v>
      </c>
      <c r="I345" t="s">
        <v>3995</v>
      </c>
    </row>
    <row r="346" spans="1:9">
      <c r="A346" s="145" t="s">
        <v>4102</v>
      </c>
      <c r="B346" t="s">
        <v>2178</v>
      </c>
      <c r="C346" t="s">
        <v>2555</v>
      </c>
      <c r="D346" t="s">
        <v>2363</v>
      </c>
      <c r="E346" t="s">
        <v>2556</v>
      </c>
      <c r="F346" t="s">
        <v>2557</v>
      </c>
      <c r="G346" t="s">
        <v>2747</v>
      </c>
      <c r="H346" t="s">
        <v>120</v>
      </c>
      <c r="I346" t="s">
        <v>3995</v>
      </c>
    </row>
    <row r="347" spans="1:9">
      <c r="A347" s="145" t="s">
        <v>4102</v>
      </c>
      <c r="B347" t="s">
        <v>2178</v>
      </c>
      <c r="C347" t="s">
        <v>2558</v>
      </c>
      <c r="D347" t="s">
        <v>2559</v>
      </c>
      <c r="E347" t="s">
        <v>2560</v>
      </c>
      <c r="F347" t="s">
        <v>2561</v>
      </c>
      <c r="G347" t="s">
        <v>2747</v>
      </c>
      <c r="H347" t="s">
        <v>120</v>
      </c>
      <c r="I347" t="s">
        <v>3995</v>
      </c>
    </row>
    <row r="348" spans="1:9">
      <c r="A348" s="145" t="s">
        <v>4102</v>
      </c>
      <c r="B348" t="s">
        <v>2178</v>
      </c>
      <c r="C348" t="s">
        <v>2562</v>
      </c>
      <c r="D348" t="s">
        <v>2370</v>
      </c>
      <c r="E348" t="s">
        <v>120</v>
      </c>
      <c r="F348" t="s">
        <v>2563</v>
      </c>
      <c r="G348" t="s">
        <v>2747</v>
      </c>
      <c r="H348" t="s">
        <v>120</v>
      </c>
      <c r="I348" t="s">
        <v>3995</v>
      </c>
    </row>
    <row r="349" spans="1:9">
      <c r="A349" s="145" t="s">
        <v>4102</v>
      </c>
      <c r="B349" t="s">
        <v>2178</v>
      </c>
      <c r="C349" t="s">
        <v>2372</v>
      </c>
      <c r="E349" t="s">
        <v>2329</v>
      </c>
      <c r="G349" t="s">
        <v>2747</v>
      </c>
      <c r="H349" t="s">
        <v>2451</v>
      </c>
      <c r="I349" t="s">
        <v>3995</v>
      </c>
    </row>
    <row r="350" spans="1:9">
      <c r="A350" s="145" t="s">
        <v>4102</v>
      </c>
      <c r="B350" t="s">
        <v>2178</v>
      </c>
      <c r="C350" t="s">
        <v>2564</v>
      </c>
      <c r="E350" t="s">
        <v>120</v>
      </c>
      <c r="G350" t="s">
        <v>2747</v>
      </c>
      <c r="H350" t="s">
        <v>120</v>
      </c>
      <c r="I350" t="s">
        <v>3995</v>
      </c>
    </row>
    <row r="351" spans="1:9">
      <c r="A351" s="145" t="s">
        <v>4102</v>
      </c>
      <c r="B351" t="s">
        <v>2178</v>
      </c>
      <c r="C351" t="s">
        <v>2565</v>
      </c>
      <c r="D351" t="s">
        <v>2370</v>
      </c>
      <c r="E351" t="s">
        <v>2566</v>
      </c>
      <c r="F351" t="s">
        <v>2567</v>
      </c>
      <c r="G351" t="s">
        <v>2747</v>
      </c>
      <c r="H351" t="s">
        <v>2566</v>
      </c>
      <c r="I351" t="s">
        <v>3995</v>
      </c>
    </row>
    <row r="352" spans="1:9">
      <c r="A352" s="145" t="s">
        <v>4102</v>
      </c>
      <c r="B352" t="s">
        <v>3874</v>
      </c>
      <c r="C352" t="s">
        <v>2374</v>
      </c>
      <c r="E352" t="s">
        <v>2329</v>
      </c>
      <c r="F352" t="s">
        <v>2375</v>
      </c>
      <c r="G352" t="s">
        <v>2747</v>
      </c>
      <c r="H352" t="s">
        <v>2451</v>
      </c>
    </row>
    <row r="353" spans="1:9">
      <c r="A353" s="145" t="s">
        <v>4102</v>
      </c>
      <c r="B353" t="s">
        <v>3874</v>
      </c>
      <c r="C353" t="s">
        <v>2569</v>
      </c>
      <c r="D353" t="s">
        <v>2570</v>
      </c>
      <c r="E353" t="s">
        <v>2571</v>
      </c>
      <c r="F353" t="s">
        <v>2437</v>
      </c>
      <c r="G353" t="s">
        <v>2747</v>
      </c>
      <c r="H353" t="s">
        <v>120</v>
      </c>
    </row>
    <row r="354" spans="1:9">
      <c r="A354" s="145" t="s">
        <v>4102</v>
      </c>
      <c r="B354" t="s">
        <v>3874</v>
      </c>
      <c r="C354" t="s">
        <v>2572</v>
      </c>
      <c r="D354" t="s">
        <v>2432</v>
      </c>
      <c r="E354" t="s">
        <v>120</v>
      </c>
      <c r="F354" t="s">
        <v>2573</v>
      </c>
      <c r="G354" t="s">
        <v>2747</v>
      </c>
      <c r="H354" t="s">
        <v>120</v>
      </c>
    </row>
    <row r="355" spans="1:9">
      <c r="A355" s="145" t="s">
        <v>4102</v>
      </c>
      <c r="B355" t="s">
        <v>3874</v>
      </c>
      <c r="C355" t="s">
        <v>2574</v>
      </c>
      <c r="D355" t="s">
        <v>2570</v>
      </c>
      <c r="E355" t="s">
        <v>120</v>
      </c>
      <c r="F355" t="s">
        <v>2573</v>
      </c>
      <c r="G355" t="s">
        <v>2747</v>
      </c>
      <c r="H355" t="s">
        <v>120</v>
      </c>
    </row>
    <row r="356" spans="1:9">
      <c r="A356" s="145" t="s">
        <v>4102</v>
      </c>
      <c r="B356" t="s">
        <v>3874</v>
      </c>
      <c r="C356" t="s">
        <v>2575</v>
      </c>
      <c r="D356" t="s">
        <v>2576</v>
      </c>
      <c r="E356" t="s">
        <v>2490</v>
      </c>
      <c r="F356" t="s">
        <v>2577</v>
      </c>
      <c r="G356" t="s">
        <v>2747</v>
      </c>
      <c r="H356" t="s">
        <v>2490</v>
      </c>
    </row>
    <row r="357" spans="1:9">
      <c r="A357" s="145" t="s">
        <v>4102</v>
      </c>
      <c r="B357" t="s">
        <v>3874</v>
      </c>
      <c r="C357" t="s">
        <v>2578</v>
      </c>
      <c r="D357" t="s">
        <v>2579</v>
      </c>
      <c r="E357" t="s">
        <v>2543</v>
      </c>
      <c r="F357" t="s">
        <v>2580</v>
      </c>
      <c r="G357" t="s">
        <v>2747</v>
      </c>
      <c r="H357" t="s">
        <v>120</v>
      </c>
    </row>
    <row r="358" spans="1:9">
      <c r="A358" s="145" t="s">
        <v>4104</v>
      </c>
      <c r="B358" t="s">
        <v>2154</v>
      </c>
      <c r="C358" t="s">
        <v>2381</v>
      </c>
      <c r="E358" t="s">
        <v>1396</v>
      </c>
      <c r="G358" t="s">
        <v>2747</v>
      </c>
      <c r="H358" t="s">
        <v>1396</v>
      </c>
      <c r="I358" t="s">
        <v>3955</v>
      </c>
    </row>
    <row r="359" spans="1:9">
      <c r="A359" s="145" t="s">
        <v>4104</v>
      </c>
      <c r="B359" t="s">
        <v>2154</v>
      </c>
      <c r="C359" t="s">
        <v>2382</v>
      </c>
      <c r="E359" t="s">
        <v>2383</v>
      </c>
      <c r="G359" t="s">
        <v>2747</v>
      </c>
      <c r="H359" t="s">
        <v>1396</v>
      </c>
      <c r="I359" t="s">
        <v>3955</v>
      </c>
    </row>
    <row r="360" spans="1:9">
      <c r="A360" s="145" t="s">
        <v>4104</v>
      </c>
      <c r="B360" t="s">
        <v>2173</v>
      </c>
      <c r="C360" t="s">
        <v>2413</v>
      </c>
      <c r="D360" t="s">
        <v>2407</v>
      </c>
      <c r="E360" t="s">
        <v>2414</v>
      </c>
      <c r="F360" t="s">
        <v>2416</v>
      </c>
      <c r="G360" t="s">
        <v>2747</v>
      </c>
      <c r="H360" t="s">
        <v>2415</v>
      </c>
      <c r="I360" t="s">
        <v>3987</v>
      </c>
    </row>
    <row r="361" spans="1:9">
      <c r="A361" s="145" t="s">
        <v>4104</v>
      </c>
      <c r="B361" t="s">
        <v>2176</v>
      </c>
      <c r="C361" t="s">
        <v>2421</v>
      </c>
      <c r="D361" t="s">
        <v>2422</v>
      </c>
      <c r="E361" t="s">
        <v>2423</v>
      </c>
      <c r="F361" t="s">
        <v>2425</v>
      </c>
      <c r="G361" t="s">
        <v>2747</v>
      </c>
      <c r="H361" t="s">
        <v>2424</v>
      </c>
      <c r="I361" t="s">
        <v>3991</v>
      </c>
    </row>
    <row r="362" spans="1:9">
      <c r="A362" s="145" t="s">
        <v>4105</v>
      </c>
      <c r="B362" t="s">
        <v>2154</v>
      </c>
      <c r="C362" t="s">
        <v>2377</v>
      </c>
      <c r="D362" t="s">
        <v>2378</v>
      </c>
      <c r="E362" t="s">
        <v>1622</v>
      </c>
      <c r="F362" t="s">
        <v>2380</v>
      </c>
      <c r="G362" t="s">
        <v>2747</v>
      </c>
      <c r="H362" t="s">
        <v>120</v>
      </c>
      <c r="I362" t="s">
        <v>3955</v>
      </c>
    </row>
    <row r="363" spans="1:9">
      <c r="A363" s="145" t="s">
        <v>4105</v>
      </c>
      <c r="B363" t="s">
        <v>2154</v>
      </c>
      <c r="C363" t="s">
        <v>2381</v>
      </c>
      <c r="E363" t="s">
        <v>1396</v>
      </c>
      <c r="G363" t="s">
        <v>2747</v>
      </c>
      <c r="H363" t="s">
        <v>1396</v>
      </c>
      <c r="I363" t="s">
        <v>3955</v>
      </c>
    </row>
    <row r="364" spans="1:9">
      <c r="A364" s="145" t="s">
        <v>4105</v>
      </c>
      <c r="B364" t="s">
        <v>2154</v>
      </c>
      <c r="C364" t="s">
        <v>2382</v>
      </c>
      <c r="E364" t="s">
        <v>2383</v>
      </c>
      <c r="G364" t="s">
        <v>2747</v>
      </c>
      <c r="H364" t="s">
        <v>2383</v>
      </c>
      <c r="I364" t="s">
        <v>3955</v>
      </c>
    </row>
    <row r="365" spans="1:9">
      <c r="A365" s="145" t="s">
        <v>4105</v>
      </c>
      <c r="B365" t="s">
        <v>2154</v>
      </c>
      <c r="C365" t="s">
        <v>2441</v>
      </c>
      <c r="D365" t="s">
        <v>2316</v>
      </c>
      <c r="E365" t="s">
        <v>120</v>
      </c>
      <c r="G365" t="s">
        <v>2747</v>
      </c>
      <c r="H365" t="s">
        <v>120</v>
      </c>
      <c r="I365" t="s">
        <v>3955</v>
      </c>
    </row>
    <row r="366" spans="1:9">
      <c r="A366" s="145" t="s">
        <v>4105</v>
      </c>
      <c r="B366" t="s">
        <v>2154</v>
      </c>
      <c r="C366" t="s">
        <v>2442</v>
      </c>
      <c r="D366" t="s">
        <v>2326</v>
      </c>
      <c r="E366" t="s">
        <v>120</v>
      </c>
      <c r="F366" t="s">
        <v>2443</v>
      </c>
      <c r="G366" t="s">
        <v>2747</v>
      </c>
      <c r="H366" t="s">
        <v>120</v>
      </c>
      <c r="I366" t="s">
        <v>3955</v>
      </c>
    </row>
    <row r="367" spans="1:9">
      <c r="A367" s="145" t="s">
        <v>4105</v>
      </c>
      <c r="B367" t="s">
        <v>2154</v>
      </c>
      <c r="C367" t="s">
        <v>2444</v>
      </c>
      <c r="E367" t="s">
        <v>120</v>
      </c>
      <c r="G367" t="s">
        <v>2747</v>
      </c>
      <c r="H367" t="s">
        <v>120</v>
      </c>
      <c r="I367" t="s">
        <v>3955</v>
      </c>
    </row>
    <row r="368" spans="1:9">
      <c r="A368" s="145" t="s">
        <v>4105</v>
      </c>
      <c r="B368" t="s">
        <v>2156</v>
      </c>
      <c r="C368" t="s">
        <v>2446</v>
      </c>
      <c r="D368" t="s">
        <v>2334</v>
      </c>
      <c r="E368" t="s">
        <v>120</v>
      </c>
      <c r="G368" t="s">
        <v>2747</v>
      </c>
      <c r="H368" t="s">
        <v>120</v>
      </c>
      <c r="I368" t="s">
        <v>3959</v>
      </c>
    </row>
    <row r="369" spans="1:9">
      <c r="A369" s="145" t="s">
        <v>4105</v>
      </c>
      <c r="B369" t="s">
        <v>2156</v>
      </c>
      <c r="C369" t="s">
        <v>2447</v>
      </c>
      <c r="D369" t="s">
        <v>2448</v>
      </c>
      <c r="E369" t="s">
        <v>120</v>
      </c>
      <c r="F369" t="s">
        <v>2449</v>
      </c>
      <c r="G369" t="s">
        <v>2747</v>
      </c>
      <c r="H369" t="s">
        <v>120</v>
      </c>
      <c r="I369" t="s">
        <v>3959</v>
      </c>
    </row>
    <row r="370" spans="1:9">
      <c r="A370" s="145" t="s">
        <v>4105</v>
      </c>
      <c r="B370" t="s">
        <v>2156</v>
      </c>
      <c r="C370" t="s">
        <v>2450</v>
      </c>
      <c r="D370" t="s">
        <v>2448</v>
      </c>
      <c r="E370" t="s">
        <v>120</v>
      </c>
      <c r="G370" t="s">
        <v>2747</v>
      </c>
      <c r="H370" t="s">
        <v>120</v>
      </c>
      <c r="I370" t="s">
        <v>3959</v>
      </c>
    </row>
    <row r="371" spans="1:9">
      <c r="A371" s="145" t="s">
        <v>4105</v>
      </c>
      <c r="B371" t="s">
        <v>2156</v>
      </c>
      <c r="C371" t="s">
        <v>2328</v>
      </c>
      <c r="E371" t="s">
        <v>2329</v>
      </c>
      <c r="F371" t="s">
        <v>2331</v>
      </c>
      <c r="G371" t="s">
        <v>2747</v>
      </c>
      <c r="H371" t="s">
        <v>2451</v>
      </c>
      <c r="I371" t="s">
        <v>3959</v>
      </c>
    </row>
    <row r="372" spans="1:9">
      <c r="A372" s="145" t="s">
        <v>4105</v>
      </c>
      <c r="B372" t="s">
        <v>2156</v>
      </c>
      <c r="C372" t="s">
        <v>2452</v>
      </c>
      <c r="D372" t="s">
        <v>2453</v>
      </c>
      <c r="E372" t="s">
        <v>120</v>
      </c>
      <c r="F372" t="s">
        <v>2454</v>
      </c>
      <c r="G372" t="s">
        <v>2747</v>
      </c>
      <c r="H372" t="s">
        <v>120</v>
      </c>
      <c r="I372" t="s">
        <v>3959</v>
      </c>
    </row>
    <row r="373" spans="1:9">
      <c r="A373" s="145" t="s">
        <v>4105</v>
      </c>
      <c r="B373" t="s">
        <v>3644</v>
      </c>
      <c r="C373" t="s">
        <v>2456</v>
      </c>
      <c r="D373" t="s">
        <v>2457</v>
      </c>
      <c r="E373" t="s">
        <v>120</v>
      </c>
      <c r="G373" t="s">
        <v>2747</v>
      </c>
      <c r="H373" t="s">
        <v>120</v>
      </c>
      <c r="I373" t="s">
        <v>3963</v>
      </c>
    </row>
    <row r="374" spans="1:9">
      <c r="A374" s="145" t="s">
        <v>4105</v>
      </c>
      <c r="B374" t="s">
        <v>3644</v>
      </c>
      <c r="C374" t="s">
        <v>2458</v>
      </c>
      <c r="D374" t="s">
        <v>2457</v>
      </c>
      <c r="E374" t="s">
        <v>2459</v>
      </c>
      <c r="G374" t="s">
        <v>2747</v>
      </c>
      <c r="H374" t="s">
        <v>2768</v>
      </c>
      <c r="I374" t="s">
        <v>3963</v>
      </c>
    </row>
    <row r="375" spans="1:9">
      <c r="A375" s="145" t="s">
        <v>4105</v>
      </c>
      <c r="B375" t="s">
        <v>3644</v>
      </c>
      <c r="C375" t="s">
        <v>2460</v>
      </c>
      <c r="D375" t="s">
        <v>2457</v>
      </c>
      <c r="E375" t="s">
        <v>2461</v>
      </c>
      <c r="F375" t="s">
        <v>2462</v>
      </c>
      <c r="G375" t="s">
        <v>2747</v>
      </c>
      <c r="H375" t="s">
        <v>120</v>
      </c>
      <c r="I375" t="s">
        <v>3963</v>
      </c>
    </row>
    <row r="376" spans="1:9">
      <c r="A376" s="145" t="s">
        <v>4105</v>
      </c>
      <c r="B376" t="s">
        <v>3644</v>
      </c>
      <c r="C376" t="s">
        <v>2463</v>
      </c>
      <c r="D376" t="s">
        <v>2457</v>
      </c>
      <c r="E376" t="s">
        <v>120</v>
      </c>
      <c r="G376" t="s">
        <v>2747</v>
      </c>
      <c r="H376" t="s">
        <v>120</v>
      </c>
      <c r="I376" t="s">
        <v>3963</v>
      </c>
    </row>
    <row r="377" spans="1:9">
      <c r="A377" s="145" t="s">
        <v>4105</v>
      </c>
      <c r="B377" t="s">
        <v>2161</v>
      </c>
      <c r="C377" t="s">
        <v>2465</v>
      </c>
      <c r="D377" t="s">
        <v>2466</v>
      </c>
      <c r="E377" t="s">
        <v>2467</v>
      </c>
      <c r="G377" t="s">
        <v>2747</v>
      </c>
      <c r="H377" t="s">
        <v>120</v>
      </c>
      <c r="I377" t="s">
        <v>3967</v>
      </c>
    </row>
    <row r="378" spans="1:9">
      <c r="A378" s="145" t="s">
        <v>4105</v>
      </c>
      <c r="B378" t="s">
        <v>2161</v>
      </c>
      <c r="C378" t="s">
        <v>2468</v>
      </c>
      <c r="D378" t="s">
        <v>2390</v>
      </c>
      <c r="E378" t="s">
        <v>120</v>
      </c>
      <c r="G378" t="s">
        <v>2747</v>
      </c>
      <c r="H378" t="s">
        <v>120</v>
      </c>
      <c r="I378" t="s">
        <v>3967</v>
      </c>
    </row>
    <row r="379" spans="1:9">
      <c r="A379" s="145" t="s">
        <v>4105</v>
      </c>
      <c r="B379" t="s">
        <v>2161</v>
      </c>
      <c r="C379" t="s">
        <v>2469</v>
      </c>
      <c r="D379" t="s">
        <v>2466</v>
      </c>
      <c r="E379" t="s">
        <v>2470</v>
      </c>
      <c r="G379" t="s">
        <v>2747</v>
      </c>
      <c r="H379" t="s">
        <v>120</v>
      </c>
      <c r="I379" t="s">
        <v>3967</v>
      </c>
    </row>
    <row r="380" spans="1:9">
      <c r="A380" s="145" t="s">
        <v>4105</v>
      </c>
      <c r="B380" t="s">
        <v>2161</v>
      </c>
      <c r="C380" t="s">
        <v>2392</v>
      </c>
      <c r="D380" t="s">
        <v>2390</v>
      </c>
      <c r="E380" t="s">
        <v>2393</v>
      </c>
      <c r="F380" t="s">
        <v>2394</v>
      </c>
      <c r="G380" t="s">
        <v>2747</v>
      </c>
      <c r="H380" t="s">
        <v>120</v>
      </c>
      <c r="I380" t="s">
        <v>3967</v>
      </c>
    </row>
    <row r="381" spans="1:9">
      <c r="A381" s="145" t="s">
        <v>4105</v>
      </c>
      <c r="B381" t="s">
        <v>2161</v>
      </c>
      <c r="C381" t="s">
        <v>2471</v>
      </c>
      <c r="D381" t="s">
        <v>2472</v>
      </c>
      <c r="E381" t="s">
        <v>120</v>
      </c>
      <c r="F381" t="s">
        <v>2473</v>
      </c>
      <c r="G381" t="s">
        <v>2747</v>
      </c>
      <c r="H381" t="s">
        <v>120</v>
      </c>
      <c r="I381" t="s">
        <v>3967</v>
      </c>
    </row>
    <row r="382" spans="1:9">
      <c r="A382" s="145" t="s">
        <v>4105</v>
      </c>
      <c r="B382" t="s">
        <v>2161</v>
      </c>
      <c r="C382" t="s">
        <v>2474</v>
      </c>
      <c r="D382" t="s">
        <v>2472</v>
      </c>
      <c r="E382" t="s">
        <v>120</v>
      </c>
      <c r="G382" t="s">
        <v>2747</v>
      </c>
      <c r="H382" t="s">
        <v>120</v>
      </c>
      <c r="I382" t="s">
        <v>3967</v>
      </c>
    </row>
    <row r="383" spans="1:9">
      <c r="A383" s="145" t="s">
        <v>4105</v>
      </c>
      <c r="B383" t="s">
        <v>2163</v>
      </c>
      <c r="C383" t="s">
        <v>2476</v>
      </c>
      <c r="D383" t="s">
        <v>2477</v>
      </c>
      <c r="E383" t="s">
        <v>120</v>
      </c>
      <c r="F383" t="s">
        <v>2478</v>
      </c>
      <c r="G383" t="s">
        <v>2747</v>
      </c>
      <c r="H383" t="s">
        <v>120</v>
      </c>
      <c r="I383" t="s">
        <v>3971</v>
      </c>
    </row>
    <row r="384" spans="1:9">
      <c r="A384" s="145" t="s">
        <v>4105</v>
      </c>
      <c r="B384" t="s">
        <v>2163</v>
      </c>
      <c r="C384" t="s">
        <v>2333</v>
      </c>
      <c r="D384" t="s">
        <v>2334</v>
      </c>
      <c r="E384" t="s">
        <v>2335</v>
      </c>
      <c r="G384" t="s">
        <v>2747</v>
      </c>
      <c r="H384" t="s">
        <v>2451</v>
      </c>
      <c r="I384" t="s">
        <v>3971</v>
      </c>
    </row>
    <row r="385" spans="1:9">
      <c r="A385" s="145" t="s">
        <v>4105</v>
      </c>
      <c r="B385" t="s">
        <v>2163</v>
      </c>
      <c r="C385" t="s">
        <v>2336</v>
      </c>
      <c r="D385" t="s">
        <v>2334</v>
      </c>
      <c r="E385" t="s">
        <v>2329</v>
      </c>
      <c r="G385" t="s">
        <v>2747</v>
      </c>
      <c r="H385" t="s">
        <v>2451</v>
      </c>
      <c r="I385" t="s">
        <v>3971</v>
      </c>
    </row>
    <row r="386" spans="1:9">
      <c r="A386" s="145" t="s">
        <v>4105</v>
      </c>
      <c r="B386" t="s">
        <v>2163</v>
      </c>
      <c r="C386" t="s">
        <v>2337</v>
      </c>
      <c r="D386" t="s">
        <v>2334</v>
      </c>
      <c r="E386" t="s">
        <v>2329</v>
      </c>
      <c r="G386" t="s">
        <v>2747</v>
      </c>
      <c r="H386" t="s">
        <v>2451</v>
      </c>
      <c r="I386" t="s">
        <v>3971</v>
      </c>
    </row>
    <row r="387" spans="1:9">
      <c r="A387" s="145" t="s">
        <v>4105</v>
      </c>
      <c r="B387" t="s">
        <v>2163</v>
      </c>
      <c r="C387" t="s">
        <v>2338</v>
      </c>
      <c r="D387" t="s">
        <v>2339</v>
      </c>
      <c r="E387" t="s">
        <v>2329</v>
      </c>
      <c r="G387" t="s">
        <v>2747</v>
      </c>
      <c r="H387" t="s">
        <v>2451</v>
      </c>
      <c r="I387" t="s">
        <v>3971</v>
      </c>
    </row>
    <row r="388" spans="1:9">
      <c r="A388" s="145" t="s">
        <v>4105</v>
      </c>
      <c r="B388" t="s">
        <v>2163</v>
      </c>
      <c r="C388" t="s">
        <v>2340</v>
      </c>
      <c r="E388" t="s">
        <v>2329</v>
      </c>
      <c r="G388" t="s">
        <v>2747</v>
      </c>
      <c r="H388" t="s">
        <v>2451</v>
      </c>
      <c r="I388" t="s">
        <v>3971</v>
      </c>
    </row>
    <row r="389" spans="1:9">
      <c r="A389" s="145" t="s">
        <v>4105</v>
      </c>
      <c r="B389" t="s">
        <v>2163</v>
      </c>
      <c r="C389" t="s">
        <v>2341</v>
      </c>
      <c r="E389" t="s">
        <v>2329</v>
      </c>
      <c r="G389" t="s">
        <v>2747</v>
      </c>
      <c r="H389" t="s">
        <v>2451</v>
      </c>
      <c r="I389" t="s">
        <v>3971</v>
      </c>
    </row>
    <row r="390" spans="1:9">
      <c r="A390" s="145" t="s">
        <v>4105</v>
      </c>
      <c r="B390" t="s">
        <v>2163</v>
      </c>
      <c r="C390" t="s">
        <v>2342</v>
      </c>
      <c r="E390" t="s">
        <v>2329</v>
      </c>
      <c r="G390" t="s">
        <v>2747</v>
      </c>
      <c r="H390" t="s">
        <v>2451</v>
      </c>
      <c r="I390" t="s">
        <v>3971</v>
      </c>
    </row>
    <row r="391" spans="1:9">
      <c r="A391" s="145" t="s">
        <v>4105</v>
      </c>
      <c r="B391" t="s">
        <v>2164</v>
      </c>
      <c r="C391" t="s">
        <v>2480</v>
      </c>
      <c r="D391" t="s">
        <v>2481</v>
      </c>
      <c r="E391" t="s">
        <v>120</v>
      </c>
      <c r="G391" t="s">
        <v>2747</v>
      </c>
      <c r="H391" t="s">
        <v>120</v>
      </c>
      <c r="I391" t="s">
        <v>3973</v>
      </c>
    </row>
    <row r="392" spans="1:9">
      <c r="A392" s="145" t="s">
        <v>4105</v>
      </c>
      <c r="B392" t="s">
        <v>2164</v>
      </c>
      <c r="C392" t="s">
        <v>2482</v>
      </c>
      <c r="D392" t="s">
        <v>2483</v>
      </c>
      <c r="E392" t="s">
        <v>120</v>
      </c>
      <c r="G392" t="s">
        <v>2747</v>
      </c>
      <c r="H392" t="s">
        <v>120</v>
      </c>
      <c r="I392" t="s">
        <v>3973</v>
      </c>
    </row>
    <row r="393" spans="1:9">
      <c r="A393" s="145" t="s">
        <v>4105</v>
      </c>
      <c r="B393" t="s">
        <v>2164</v>
      </c>
      <c r="C393" t="s">
        <v>2484</v>
      </c>
      <c r="D393" t="s">
        <v>2483</v>
      </c>
      <c r="E393" t="s">
        <v>2485</v>
      </c>
      <c r="F393" t="s">
        <v>2486</v>
      </c>
      <c r="G393" t="s">
        <v>2747</v>
      </c>
      <c r="H393" t="s">
        <v>120</v>
      </c>
      <c r="I393" t="s">
        <v>3973</v>
      </c>
    </row>
    <row r="394" spans="1:9">
      <c r="A394" s="145" t="s">
        <v>4105</v>
      </c>
      <c r="B394" t="s">
        <v>2164</v>
      </c>
      <c r="C394" t="s">
        <v>2487</v>
      </c>
      <c r="D394" t="s">
        <v>2488</v>
      </c>
      <c r="E394" t="s">
        <v>120</v>
      </c>
      <c r="G394" t="s">
        <v>2747</v>
      </c>
      <c r="H394" t="s">
        <v>120</v>
      </c>
      <c r="I394" t="s">
        <v>3973</v>
      </c>
    </row>
    <row r="395" spans="1:9">
      <c r="A395" s="145" t="s">
        <v>4105</v>
      </c>
      <c r="B395" t="s">
        <v>2164</v>
      </c>
      <c r="C395" t="s">
        <v>2344</v>
      </c>
      <c r="E395" t="s">
        <v>2345</v>
      </c>
      <c r="G395" t="s">
        <v>2747</v>
      </c>
      <c r="H395" t="s">
        <v>120</v>
      </c>
      <c r="I395" t="s">
        <v>3973</v>
      </c>
    </row>
    <row r="396" spans="1:9">
      <c r="A396" s="145" t="s">
        <v>4105</v>
      </c>
      <c r="B396" t="s">
        <v>2164</v>
      </c>
      <c r="C396" t="s">
        <v>2347</v>
      </c>
      <c r="E396" t="s">
        <v>2329</v>
      </c>
      <c r="G396" t="s">
        <v>2747</v>
      </c>
      <c r="H396" t="s">
        <v>2451</v>
      </c>
      <c r="I396" t="s">
        <v>3973</v>
      </c>
    </row>
    <row r="397" spans="1:9">
      <c r="A397" s="145" t="s">
        <v>4105</v>
      </c>
      <c r="B397" t="s">
        <v>2164</v>
      </c>
      <c r="C397" t="s">
        <v>2348</v>
      </c>
      <c r="E397" t="s">
        <v>2329</v>
      </c>
      <c r="G397" t="s">
        <v>2747</v>
      </c>
      <c r="H397" t="s">
        <v>2451</v>
      </c>
      <c r="I397" t="s">
        <v>3973</v>
      </c>
    </row>
    <row r="398" spans="1:9">
      <c r="A398" s="145" t="s">
        <v>4105</v>
      </c>
      <c r="B398" t="s">
        <v>2164</v>
      </c>
      <c r="C398" t="s">
        <v>2489</v>
      </c>
      <c r="D398" t="s">
        <v>2483</v>
      </c>
      <c r="E398" t="s">
        <v>2490</v>
      </c>
      <c r="G398" t="s">
        <v>2747</v>
      </c>
      <c r="H398" t="s">
        <v>2490</v>
      </c>
      <c r="I398" t="s">
        <v>3973</v>
      </c>
    </row>
    <row r="399" spans="1:9">
      <c r="A399" s="145" t="s">
        <v>4105</v>
      </c>
      <c r="B399" t="s">
        <v>2164</v>
      </c>
      <c r="C399" t="s">
        <v>2491</v>
      </c>
      <c r="D399" t="s">
        <v>2488</v>
      </c>
      <c r="E399" t="s">
        <v>120</v>
      </c>
      <c r="G399" t="s">
        <v>2747</v>
      </c>
      <c r="H399" t="s">
        <v>120</v>
      </c>
      <c r="I399" t="s">
        <v>3973</v>
      </c>
    </row>
    <row r="400" spans="1:9">
      <c r="A400" s="145" t="s">
        <v>4105</v>
      </c>
      <c r="B400" t="s">
        <v>2166</v>
      </c>
      <c r="C400" t="s">
        <v>2493</v>
      </c>
      <c r="E400" t="s">
        <v>2490</v>
      </c>
      <c r="G400" t="s">
        <v>2747</v>
      </c>
      <c r="H400" t="s">
        <v>2490</v>
      </c>
      <c r="I400" t="s">
        <v>3975</v>
      </c>
    </row>
    <row r="401" spans="1:9">
      <c r="A401" s="145" t="s">
        <v>4105</v>
      </c>
      <c r="B401" t="s">
        <v>2166</v>
      </c>
      <c r="C401" t="s">
        <v>2494</v>
      </c>
      <c r="E401" t="s">
        <v>2490</v>
      </c>
      <c r="G401" t="s">
        <v>2747</v>
      </c>
      <c r="H401" t="s">
        <v>2490</v>
      </c>
      <c r="I401" t="s">
        <v>3975</v>
      </c>
    </row>
    <row r="402" spans="1:9">
      <c r="A402" s="145" t="s">
        <v>4105</v>
      </c>
      <c r="B402" t="s">
        <v>2166</v>
      </c>
      <c r="C402" t="s">
        <v>2400</v>
      </c>
      <c r="E402" t="s">
        <v>2401</v>
      </c>
      <c r="G402" t="s">
        <v>2747</v>
      </c>
      <c r="H402" t="s">
        <v>2490</v>
      </c>
      <c r="I402" t="s">
        <v>3975</v>
      </c>
    </row>
    <row r="403" spans="1:9">
      <c r="A403" s="145" t="s">
        <v>4105</v>
      </c>
      <c r="B403" t="s">
        <v>2166</v>
      </c>
      <c r="C403" t="s">
        <v>2495</v>
      </c>
      <c r="D403" t="s">
        <v>2483</v>
      </c>
      <c r="E403" t="s">
        <v>120</v>
      </c>
      <c r="G403" t="s">
        <v>2747</v>
      </c>
      <c r="H403" t="s">
        <v>120</v>
      </c>
      <c r="I403" t="s">
        <v>3975</v>
      </c>
    </row>
    <row r="404" spans="1:9">
      <c r="A404" s="145" t="s">
        <v>4105</v>
      </c>
      <c r="B404" t="s">
        <v>2166</v>
      </c>
      <c r="C404" t="s">
        <v>2496</v>
      </c>
      <c r="D404" t="s">
        <v>2483</v>
      </c>
      <c r="E404" t="s">
        <v>120</v>
      </c>
      <c r="G404" t="s">
        <v>2747</v>
      </c>
      <c r="H404" t="s">
        <v>120</v>
      </c>
      <c r="I404" t="s">
        <v>3975</v>
      </c>
    </row>
    <row r="405" spans="1:9">
      <c r="A405" s="145" t="s">
        <v>4105</v>
      </c>
      <c r="B405" t="s">
        <v>2166</v>
      </c>
      <c r="C405" t="s">
        <v>2497</v>
      </c>
      <c r="D405" t="s">
        <v>2339</v>
      </c>
      <c r="E405" t="s">
        <v>120</v>
      </c>
      <c r="G405" t="s">
        <v>2747</v>
      </c>
      <c r="H405" t="s">
        <v>120</v>
      </c>
      <c r="I405" t="s">
        <v>3975</v>
      </c>
    </row>
    <row r="406" spans="1:9">
      <c r="A406" s="145" t="s">
        <v>4105</v>
      </c>
      <c r="B406" t="s">
        <v>2166</v>
      </c>
      <c r="C406" t="s">
        <v>2498</v>
      </c>
      <c r="D406" t="s">
        <v>2499</v>
      </c>
      <c r="E406" t="s">
        <v>2490</v>
      </c>
      <c r="G406" t="s">
        <v>2747</v>
      </c>
      <c r="H406" t="s">
        <v>2490</v>
      </c>
      <c r="I406" t="s">
        <v>3975</v>
      </c>
    </row>
    <row r="407" spans="1:9">
      <c r="A407" s="145" t="s">
        <v>4105</v>
      </c>
      <c r="B407" t="s">
        <v>2166</v>
      </c>
      <c r="C407" t="s">
        <v>2500</v>
      </c>
      <c r="D407" t="s">
        <v>2499</v>
      </c>
      <c r="E407" t="s">
        <v>2490</v>
      </c>
      <c r="G407" t="s">
        <v>2747</v>
      </c>
      <c r="H407" t="s">
        <v>2490</v>
      </c>
      <c r="I407" t="s">
        <v>3975</v>
      </c>
    </row>
    <row r="408" spans="1:9">
      <c r="A408" s="145" t="s">
        <v>4105</v>
      </c>
      <c r="B408" t="s">
        <v>2166</v>
      </c>
      <c r="C408" t="s">
        <v>2350</v>
      </c>
      <c r="E408" t="s">
        <v>2329</v>
      </c>
      <c r="G408" t="s">
        <v>2747</v>
      </c>
      <c r="H408" t="s">
        <v>2451</v>
      </c>
      <c r="I408" t="s">
        <v>3975</v>
      </c>
    </row>
    <row r="409" spans="1:9">
      <c r="A409" s="145" t="s">
        <v>4105</v>
      </c>
      <c r="B409" t="s">
        <v>2166</v>
      </c>
      <c r="C409" t="s">
        <v>2501</v>
      </c>
      <c r="D409" t="s">
        <v>2499</v>
      </c>
      <c r="E409" t="s">
        <v>120</v>
      </c>
      <c r="F409" t="s">
        <v>2502</v>
      </c>
      <c r="G409" t="s">
        <v>2747</v>
      </c>
      <c r="H409" t="s">
        <v>120</v>
      </c>
      <c r="I409" t="s">
        <v>3975</v>
      </c>
    </row>
    <row r="410" spans="1:9">
      <c r="A410" s="145" t="s">
        <v>4105</v>
      </c>
      <c r="B410" t="s">
        <v>2167</v>
      </c>
      <c r="C410" t="s">
        <v>2504</v>
      </c>
      <c r="D410" t="s">
        <v>2505</v>
      </c>
      <c r="E410" t="s">
        <v>120</v>
      </c>
      <c r="G410" t="s">
        <v>2747</v>
      </c>
      <c r="H410" t="s">
        <v>120</v>
      </c>
      <c r="I410" t="s">
        <v>3979</v>
      </c>
    </row>
    <row r="411" spans="1:9">
      <c r="A411" s="145" t="s">
        <v>4105</v>
      </c>
      <c r="B411" t="s">
        <v>2167</v>
      </c>
      <c r="C411" t="s">
        <v>2506</v>
      </c>
      <c r="D411" t="s">
        <v>2435</v>
      </c>
      <c r="E411" t="s">
        <v>120</v>
      </c>
      <c r="G411" t="s">
        <v>2747</v>
      </c>
      <c r="H411" t="s">
        <v>120</v>
      </c>
      <c r="I411" t="s">
        <v>3979</v>
      </c>
    </row>
    <row r="412" spans="1:9">
      <c r="A412" s="145" t="s">
        <v>4105</v>
      </c>
      <c r="B412" t="s">
        <v>2167</v>
      </c>
      <c r="C412" t="s">
        <v>2507</v>
      </c>
      <c r="D412" t="s">
        <v>2435</v>
      </c>
      <c r="E412" t="s">
        <v>120</v>
      </c>
      <c r="G412" t="s">
        <v>2747</v>
      </c>
      <c r="H412" t="s">
        <v>120</v>
      </c>
      <c r="I412" t="s">
        <v>3979</v>
      </c>
    </row>
    <row r="413" spans="1:9">
      <c r="A413" s="145" t="s">
        <v>4105</v>
      </c>
      <c r="B413" t="s">
        <v>2169</v>
      </c>
      <c r="C413" t="s">
        <v>2509</v>
      </c>
      <c r="D413" t="s">
        <v>2353</v>
      </c>
      <c r="E413" t="s">
        <v>2490</v>
      </c>
      <c r="F413" t="s">
        <v>2510</v>
      </c>
      <c r="G413" t="s">
        <v>2747</v>
      </c>
      <c r="H413" t="s">
        <v>2490</v>
      </c>
      <c r="I413" t="s">
        <v>3983</v>
      </c>
    </row>
    <row r="414" spans="1:9">
      <c r="A414" s="145" t="s">
        <v>4105</v>
      </c>
      <c r="B414" t="s">
        <v>2169</v>
      </c>
      <c r="C414" t="s">
        <v>2511</v>
      </c>
      <c r="D414" t="s">
        <v>2407</v>
      </c>
      <c r="E414" t="s">
        <v>120</v>
      </c>
      <c r="F414" t="s">
        <v>2512</v>
      </c>
      <c r="G414" t="s">
        <v>2747</v>
      </c>
      <c r="H414" t="s">
        <v>120</v>
      </c>
      <c r="I414" t="s">
        <v>3983</v>
      </c>
    </row>
    <row r="415" spans="1:9">
      <c r="A415" s="145" t="s">
        <v>4105</v>
      </c>
      <c r="B415" t="s">
        <v>2169</v>
      </c>
      <c r="C415" t="s">
        <v>2513</v>
      </c>
      <c r="D415" t="s">
        <v>2404</v>
      </c>
      <c r="E415" t="s">
        <v>120</v>
      </c>
      <c r="F415" t="s">
        <v>2514</v>
      </c>
      <c r="G415" t="s">
        <v>2747</v>
      </c>
      <c r="H415" t="s">
        <v>120</v>
      </c>
      <c r="I415" t="s">
        <v>3983</v>
      </c>
    </row>
    <row r="416" spans="1:9">
      <c r="A416" s="145" t="s">
        <v>4105</v>
      </c>
      <c r="B416" t="s">
        <v>2169</v>
      </c>
      <c r="C416" t="s">
        <v>2515</v>
      </c>
      <c r="D416" t="s">
        <v>2516</v>
      </c>
      <c r="E416" t="s">
        <v>120</v>
      </c>
      <c r="F416" t="s">
        <v>2517</v>
      </c>
      <c r="G416" t="s">
        <v>2747</v>
      </c>
      <c r="H416" t="s">
        <v>120</v>
      </c>
      <c r="I416" t="s">
        <v>3983</v>
      </c>
    </row>
    <row r="417" spans="1:9">
      <c r="A417" s="145" t="s">
        <v>4105</v>
      </c>
      <c r="B417" t="s">
        <v>2169</v>
      </c>
      <c r="C417" t="s">
        <v>2358</v>
      </c>
      <c r="E417" t="s">
        <v>2329</v>
      </c>
      <c r="G417" t="s">
        <v>2747</v>
      </c>
      <c r="H417" t="s">
        <v>2451</v>
      </c>
      <c r="I417" t="s">
        <v>3983</v>
      </c>
    </row>
    <row r="418" spans="1:9">
      <c r="A418" s="145" t="s">
        <v>4105</v>
      </c>
      <c r="B418" t="s">
        <v>2173</v>
      </c>
      <c r="C418" t="s">
        <v>2519</v>
      </c>
      <c r="D418" t="s">
        <v>2407</v>
      </c>
      <c r="E418" t="s">
        <v>120</v>
      </c>
      <c r="F418" t="s">
        <v>2520</v>
      </c>
      <c r="G418" t="s">
        <v>2747</v>
      </c>
      <c r="H418" t="s">
        <v>120</v>
      </c>
      <c r="I418" t="s">
        <v>3987</v>
      </c>
    </row>
    <row r="419" spans="1:9">
      <c r="A419" s="145" t="s">
        <v>4105</v>
      </c>
      <c r="B419" t="s">
        <v>2173</v>
      </c>
      <c r="C419" t="s">
        <v>2521</v>
      </c>
      <c r="D419" t="s">
        <v>2407</v>
      </c>
      <c r="E419" t="s">
        <v>120</v>
      </c>
      <c r="G419" t="s">
        <v>2747</v>
      </c>
      <c r="H419" t="s">
        <v>120</v>
      </c>
      <c r="I419" t="s">
        <v>3987</v>
      </c>
    </row>
    <row r="420" spans="1:9">
      <c r="A420" s="145" t="s">
        <v>4105</v>
      </c>
      <c r="B420" t="s">
        <v>2173</v>
      </c>
      <c r="C420" t="s">
        <v>2522</v>
      </c>
      <c r="D420" t="s">
        <v>2523</v>
      </c>
      <c r="E420" t="s">
        <v>120</v>
      </c>
      <c r="F420" t="s">
        <v>2524</v>
      </c>
      <c r="G420" t="s">
        <v>2747</v>
      </c>
      <c r="H420" t="s">
        <v>120</v>
      </c>
      <c r="I420" t="s">
        <v>3987</v>
      </c>
    </row>
    <row r="421" spans="1:9">
      <c r="A421" s="145" t="s">
        <v>4105</v>
      </c>
      <c r="B421" t="s">
        <v>2173</v>
      </c>
      <c r="C421" t="s">
        <v>2525</v>
      </c>
      <c r="D421" t="s">
        <v>2412</v>
      </c>
      <c r="E421" t="s">
        <v>120</v>
      </c>
      <c r="F421" t="s">
        <v>2520</v>
      </c>
      <c r="G421" t="s">
        <v>2747</v>
      </c>
      <c r="H421" t="s">
        <v>120</v>
      </c>
      <c r="I421" t="s">
        <v>3987</v>
      </c>
    </row>
    <row r="422" spans="1:9">
      <c r="A422" s="145" t="s">
        <v>4105</v>
      </c>
      <c r="B422" t="s">
        <v>2173</v>
      </c>
      <c r="C422" t="s">
        <v>2526</v>
      </c>
      <c r="D422" t="s">
        <v>2412</v>
      </c>
      <c r="E422" t="s">
        <v>120</v>
      </c>
      <c r="F422" t="s">
        <v>2527</v>
      </c>
      <c r="G422" t="s">
        <v>2747</v>
      </c>
      <c r="H422" t="s">
        <v>120</v>
      </c>
      <c r="I422" t="s">
        <v>3987</v>
      </c>
    </row>
    <row r="423" spans="1:9">
      <c r="A423" s="145" t="s">
        <v>4105</v>
      </c>
      <c r="B423" t="s">
        <v>2173</v>
      </c>
      <c r="C423" t="s">
        <v>2528</v>
      </c>
      <c r="D423" t="s">
        <v>2529</v>
      </c>
      <c r="E423" t="s">
        <v>2490</v>
      </c>
      <c r="G423" t="s">
        <v>2747</v>
      </c>
      <c r="H423" t="s">
        <v>2490</v>
      </c>
      <c r="I423" t="s">
        <v>3987</v>
      </c>
    </row>
    <row r="424" spans="1:9">
      <c r="A424" s="145" t="s">
        <v>4105</v>
      </c>
      <c r="B424" t="s">
        <v>2173</v>
      </c>
      <c r="C424" t="s">
        <v>2413</v>
      </c>
      <c r="D424" t="s">
        <v>2407</v>
      </c>
      <c r="E424" t="s">
        <v>2414</v>
      </c>
      <c r="F424" t="s">
        <v>2416</v>
      </c>
      <c r="G424" t="s">
        <v>2747</v>
      </c>
      <c r="H424" t="s">
        <v>2771</v>
      </c>
      <c r="I424" t="s">
        <v>3987</v>
      </c>
    </row>
    <row r="425" spans="1:9">
      <c r="A425" s="145" t="s">
        <v>4105</v>
      </c>
      <c r="B425" t="s">
        <v>2173</v>
      </c>
      <c r="C425" t="s">
        <v>2532</v>
      </c>
      <c r="D425" t="s">
        <v>2529</v>
      </c>
      <c r="E425" t="s">
        <v>2533</v>
      </c>
      <c r="G425" t="s">
        <v>2747</v>
      </c>
      <c r="H425" t="s">
        <v>120</v>
      </c>
      <c r="I425" t="s">
        <v>3987</v>
      </c>
    </row>
    <row r="426" spans="1:9">
      <c r="A426" s="145" t="s">
        <v>4105</v>
      </c>
      <c r="B426" t="s">
        <v>2173</v>
      </c>
      <c r="C426" t="s">
        <v>2534</v>
      </c>
      <c r="D426" t="s">
        <v>2363</v>
      </c>
      <c r="E426" t="s">
        <v>120</v>
      </c>
      <c r="F426" t="s">
        <v>2535</v>
      </c>
      <c r="G426" t="s">
        <v>2747</v>
      </c>
      <c r="H426" t="s">
        <v>120</v>
      </c>
      <c r="I426" t="s">
        <v>3987</v>
      </c>
    </row>
    <row r="427" spans="1:9">
      <c r="A427" s="145" t="s">
        <v>4105</v>
      </c>
      <c r="B427" t="s">
        <v>2176</v>
      </c>
      <c r="C427" t="s">
        <v>2537</v>
      </c>
      <c r="D427" t="s">
        <v>2538</v>
      </c>
      <c r="E427" t="s">
        <v>120</v>
      </c>
      <c r="G427" t="s">
        <v>2747</v>
      </c>
      <c r="H427" t="s">
        <v>120</v>
      </c>
      <c r="I427" t="s">
        <v>3991</v>
      </c>
    </row>
    <row r="428" spans="1:9">
      <c r="A428" s="145" t="s">
        <v>4105</v>
      </c>
      <c r="B428" t="s">
        <v>2176</v>
      </c>
      <c r="C428" t="s">
        <v>2539</v>
      </c>
      <c r="D428" t="s">
        <v>2538</v>
      </c>
      <c r="E428" t="s">
        <v>2490</v>
      </c>
      <c r="F428" t="s">
        <v>2540</v>
      </c>
      <c r="G428" t="s">
        <v>2747</v>
      </c>
      <c r="H428" t="s">
        <v>2490</v>
      </c>
      <c r="I428" t="s">
        <v>3991</v>
      </c>
    </row>
    <row r="429" spans="1:9">
      <c r="A429" s="145" t="s">
        <v>4105</v>
      </c>
      <c r="B429" t="s">
        <v>2176</v>
      </c>
      <c r="C429" t="s">
        <v>2541</v>
      </c>
      <c r="D429" t="s">
        <v>2542</v>
      </c>
      <c r="E429" t="s">
        <v>2543</v>
      </c>
      <c r="G429" t="s">
        <v>2747</v>
      </c>
      <c r="H429" t="s">
        <v>120</v>
      </c>
      <c r="I429" t="s">
        <v>3991</v>
      </c>
    </row>
    <row r="430" spans="1:9">
      <c r="A430" s="145" t="s">
        <v>4105</v>
      </c>
      <c r="B430" t="s">
        <v>2176</v>
      </c>
      <c r="C430" t="s">
        <v>2421</v>
      </c>
      <c r="D430" t="s">
        <v>2422</v>
      </c>
      <c r="E430" t="s">
        <v>2423</v>
      </c>
      <c r="F430" t="s">
        <v>2425</v>
      </c>
      <c r="G430" t="s">
        <v>2747</v>
      </c>
      <c r="H430" t="s">
        <v>2773</v>
      </c>
      <c r="I430" t="s">
        <v>3991</v>
      </c>
    </row>
    <row r="431" spans="1:9">
      <c r="A431" s="145" t="s">
        <v>4105</v>
      </c>
      <c r="B431" t="s">
        <v>2176</v>
      </c>
      <c r="C431" t="s">
        <v>2545</v>
      </c>
      <c r="D431" t="s">
        <v>2422</v>
      </c>
      <c r="E431" t="s">
        <v>2461</v>
      </c>
      <c r="F431" t="s">
        <v>2546</v>
      </c>
      <c r="G431" t="s">
        <v>2747</v>
      </c>
      <c r="H431" t="s">
        <v>120</v>
      </c>
      <c r="I431" t="s">
        <v>3991</v>
      </c>
    </row>
    <row r="432" spans="1:9">
      <c r="A432" s="145" t="s">
        <v>4105</v>
      </c>
      <c r="B432" t="s">
        <v>2176</v>
      </c>
      <c r="C432" t="s">
        <v>2547</v>
      </c>
      <c r="D432" t="s">
        <v>2538</v>
      </c>
      <c r="E432" t="s">
        <v>2548</v>
      </c>
      <c r="G432" t="s">
        <v>2747</v>
      </c>
      <c r="H432" t="s">
        <v>120</v>
      </c>
      <c r="I432" t="s">
        <v>3991</v>
      </c>
    </row>
    <row r="433" spans="1:9">
      <c r="A433" s="145" t="s">
        <v>4105</v>
      </c>
      <c r="B433" t="s">
        <v>2176</v>
      </c>
      <c r="C433" t="s">
        <v>2549</v>
      </c>
      <c r="D433" t="s">
        <v>2538</v>
      </c>
      <c r="E433" t="s">
        <v>2550</v>
      </c>
      <c r="F433" t="s">
        <v>2551</v>
      </c>
      <c r="G433" t="s">
        <v>2747</v>
      </c>
      <c r="H433" t="s">
        <v>120</v>
      </c>
      <c r="I433" t="s">
        <v>3991</v>
      </c>
    </row>
    <row r="434" spans="1:9">
      <c r="A434" s="145" t="s">
        <v>4105</v>
      </c>
      <c r="B434" t="s">
        <v>2176</v>
      </c>
      <c r="C434" t="s">
        <v>2552</v>
      </c>
      <c r="D434" t="s">
        <v>2538</v>
      </c>
      <c r="E434" t="s">
        <v>2553</v>
      </c>
      <c r="G434" t="s">
        <v>2747</v>
      </c>
      <c r="H434" t="s">
        <v>120</v>
      </c>
      <c r="I434" t="s">
        <v>3991</v>
      </c>
    </row>
    <row r="435" spans="1:9">
      <c r="A435" s="145" t="s">
        <v>4105</v>
      </c>
      <c r="B435" t="s">
        <v>2178</v>
      </c>
      <c r="C435" t="s">
        <v>2427</v>
      </c>
      <c r="D435" t="s">
        <v>2370</v>
      </c>
      <c r="E435" t="s">
        <v>2428</v>
      </c>
      <c r="F435" t="s">
        <v>2429</v>
      </c>
      <c r="G435" t="s">
        <v>2747</v>
      </c>
      <c r="H435" t="s">
        <v>120</v>
      </c>
      <c r="I435" t="s">
        <v>3995</v>
      </c>
    </row>
    <row r="436" spans="1:9">
      <c r="A436" s="145" t="s">
        <v>4105</v>
      </c>
      <c r="B436" t="s">
        <v>2178</v>
      </c>
      <c r="C436" t="s">
        <v>2555</v>
      </c>
      <c r="D436" t="s">
        <v>2363</v>
      </c>
      <c r="E436" t="s">
        <v>2556</v>
      </c>
      <c r="F436" t="s">
        <v>2557</v>
      </c>
      <c r="G436" t="s">
        <v>2747</v>
      </c>
      <c r="H436" t="s">
        <v>120</v>
      </c>
      <c r="I436" t="s">
        <v>3995</v>
      </c>
    </row>
    <row r="437" spans="1:9">
      <c r="A437" s="145" t="s">
        <v>4105</v>
      </c>
      <c r="B437" t="s">
        <v>2178</v>
      </c>
      <c r="C437" t="s">
        <v>2558</v>
      </c>
      <c r="D437" t="s">
        <v>2559</v>
      </c>
      <c r="E437" t="s">
        <v>2560</v>
      </c>
      <c r="F437" t="s">
        <v>2561</v>
      </c>
      <c r="G437" t="s">
        <v>2747</v>
      </c>
      <c r="H437" t="s">
        <v>120</v>
      </c>
      <c r="I437" t="s">
        <v>3995</v>
      </c>
    </row>
    <row r="438" spans="1:9">
      <c r="A438" s="145" t="s">
        <v>4105</v>
      </c>
      <c r="B438" t="s">
        <v>2178</v>
      </c>
      <c r="C438" t="s">
        <v>2562</v>
      </c>
      <c r="D438" t="s">
        <v>2370</v>
      </c>
      <c r="E438" t="s">
        <v>120</v>
      </c>
      <c r="F438" t="s">
        <v>2563</v>
      </c>
      <c r="G438" t="s">
        <v>2747</v>
      </c>
      <c r="H438" t="s">
        <v>120</v>
      </c>
      <c r="I438" t="s">
        <v>3995</v>
      </c>
    </row>
    <row r="439" spans="1:9">
      <c r="A439" s="145" t="s">
        <v>4105</v>
      </c>
      <c r="B439" t="s">
        <v>2178</v>
      </c>
      <c r="C439" t="s">
        <v>2372</v>
      </c>
      <c r="E439" t="s">
        <v>2329</v>
      </c>
      <c r="G439" t="s">
        <v>2747</v>
      </c>
      <c r="H439" t="s">
        <v>2451</v>
      </c>
      <c r="I439" t="s">
        <v>3995</v>
      </c>
    </row>
    <row r="440" spans="1:9">
      <c r="A440" s="145" t="s">
        <v>4105</v>
      </c>
      <c r="B440" t="s">
        <v>2178</v>
      </c>
      <c r="C440" t="s">
        <v>2564</v>
      </c>
      <c r="E440" t="s">
        <v>120</v>
      </c>
      <c r="G440" t="s">
        <v>2747</v>
      </c>
      <c r="H440" t="s">
        <v>120</v>
      </c>
      <c r="I440" t="s">
        <v>3995</v>
      </c>
    </row>
    <row r="441" spans="1:9">
      <c r="A441" s="145" t="s">
        <v>4105</v>
      </c>
      <c r="B441" t="s">
        <v>2178</v>
      </c>
      <c r="C441" t="s">
        <v>2565</v>
      </c>
      <c r="D441" t="s">
        <v>2370</v>
      </c>
      <c r="E441" t="s">
        <v>2566</v>
      </c>
      <c r="F441" t="s">
        <v>2567</v>
      </c>
      <c r="G441" t="s">
        <v>2747</v>
      </c>
      <c r="H441" t="s">
        <v>2566</v>
      </c>
      <c r="I441" t="s">
        <v>3995</v>
      </c>
    </row>
    <row r="442" spans="1:9">
      <c r="A442" s="145" t="s">
        <v>4105</v>
      </c>
      <c r="B442" t="s">
        <v>3874</v>
      </c>
      <c r="C442" t="s">
        <v>2374</v>
      </c>
      <c r="E442" t="s">
        <v>2329</v>
      </c>
      <c r="F442" t="s">
        <v>2375</v>
      </c>
      <c r="G442" t="s">
        <v>2747</v>
      </c>
      <c r="H442" t="s">
        <v>2451</v>
      </c>
    </row>
    <row r="443" spans="1:9">
      <c r="A443" s="145" t="s">
        <v>4105</v>
      </c>
      <c r="B443" t="s">
        <v>3874</v>
      </c>
      <c r="C443" t="s">
        <v>2569</v>
      </c>
      <c r="D443" t="s">
        <v>2570</v>
      </c>
      <c r="E443" t="s">
        <v>2571</v>
      </c>
      <c r="F443" t="s">
        <v>2437</v>
      </c>
      <c r="G443" t="s">
        <v>2747</v>
      </c>
      <c r="H443" t="s">
        <v>120</v>
      </c>
    </row>
    <row r="444" spans="1:9">
      <c r="A444" s="145" t="s">
        <v>4105</v>
      </c>
      <c r="B444" t="s">
        <v>3874</v>
      </c>
      <c r="C444" t="s">
        <v>2572</v>
      </c>
      <c r="D444" t="s">
        <v>2432</v>
      </c>
      <c r="E444" t="s">
        <v>120</v>
      </c>
      <c r="F444" t="s">
        <v>2573</v>
      </c>
      <c r="G444" t="s">
        <v>2747</v>
      </c>
      <c r="H444" t="s">
        <v>120</v>
      </c>
    </row>
    <row r="445" spans="1:9">
      <c r="A445" s="145" t="s">
        <v>4105</v>
      </c>
      <c r="B445" t="s">
        <v>3874</v>
      </c>
      <c r="C445" t="s">
        <v>2574</v>
      </c>
      <c r="D445" t="s">
        <v>2570</v>
      </c>
      <c r="E445" t="s">
        <v>120</v>
      </c>
      <c r="F445" t="s">
        <v>2573</v>
      </c>
      <c r="G445" t="s">
        <v>2747</v>
      </c>
      <c r="H445" t="s">
        <v>120</v>
      </c>
    </row>
    <row r="446" spans="1:9">
      <c r="A446" s="145" t="s">
        <v>4105</v>
      </c>
      <c r="B446" t="s">
        <v>3874</v>
      </c>
      <c r="C446" t="s">
        <v>2575</v>
      </c>
      <c r="D446" t="s">
        <v>2576</v>
      </c>
      <c r="E446" t="s">
        <v>2490</v>
      </c>
      <c r="F446" t="s">
        <v>2577</v>
      </c>
      <c r="G446" t="s">
        <v>2747</v>
      </c>
      <c r="H446" t="s">
        <v>2490</v>
      </c>
    </row>
    <row r="447" spans="1:9">
      <c r="A447" s="145" t="s">
        <v>4105</v>
      </c>
      <c r="B447" t="s">
        <v>3874</v>
      </c>
      <c r="C447" t="s">
        <v>2578</v>
      </c>
      <c r="D447" t="s">
        <v>2579</v>
      </c>
      <c r="E447" t="s">
        <v>2543</v>
      </c>
      <c r="F447" t="s">
        <v>2580</v>
      </c>
      <c r="G447" t="s">
        <v>2747</v>
      </c>
      <c r="H447" t="s">
        <v>120</v>
      </c>
    </row>
    <row r="448" spans="1:9">
      <c r="A448" s="145" t="s">
        <v>4107</v>
      </c>
      <c r="B448" t="s">
        <v>2154</v>
      </c>
      <c r="C448" t="s">
        <v>2315</v>
      </c>
      <c r="D448" t="s">
        <v>2316</v>
      </c>
      <c r="E448" t="s">
        <v>2317</v>
      </c>
      <c r="F448" t="s">
        <v>2320</v>
      </c>
      <c r="G448" t="s">
        <v>2747</v>
      </c>
      <c r="H448" t="s">
        <v>2319</v>
      </c>
      <c r="I448" t="s">
        <v>3955</v>
      </c>
    </row>
    <row r="449" spans="1:9">
      <c r="A449" s="145" t="s">
        <v>4107</v>
      </c>
      <c r="B449" t="s">
        <v>2154</v>
      </c>
      <c r="C449" t="s">
        <v>2381</v>
      </c>
      <c r="E449" t="s">
        <v>1396</v>
      </c>
      <c r="G449" t="s">
        <v>2747</v>
      </c>
      <c r="H449" t="s">
        <v>1396</v>
      </c>
      <c r="I449" t="s">
        <v>3955</v>
      </c>
    </row>
    <row r="450" spans="1:9">
      <c r="A450" s="145" t="s">
        <v>4107</v>
      </c>
      <c r="B450" t="s">
        <v>2154</v>
      </c>
      <c r="C450" t="s">
        <v>2382</v>
      </c>
      <c r="E450" t="s">
        <v>2383</v>
      </c>
      <c r="G450" t="s">
        <v>2747</v>
      </c>
      <c r="H450" t="s">
        <v>1396</v>
      </c>
      <c r="I450" t="s">
        <v>3955</v>
      </c>
    </row>
    <row r="451" spans="1:9">
      <c r="A451" s="145" t="s">
        <v>4107</v>
      </c>
      <c r="B451" t="s">
        <v>2154</v>
      </c>
      <c r="C451" t="s">
        <v>2321</v>
      </c>
      <c r="D451" t="s">
        <v>2322</v>
      </c>
      <c r="E451" t="s">
        <v>2317</v>
      </c>
      <c r="G451" t="s">
        <v>2747</v>
      </c>
      <c r="H451" t="s">
        <v>2319</v>
      </c>
      <c r="I451" t="s">
        <v>3955</v>
      </c>
    </row>
    <row r="452" spans="1:9">
      <c r="A452" s="145" t="s">
        <v>4107</v>
      </c>
      <c r="B452" t="s">
        <v>2154</v>
      </c>
      <c r="C452" t="s">
        <v>2324</v>
      </c>
      <c r="D452" t="s">
        <v>2322</v>
      </c>
      <c r="E452" t="s">
        <v>2317</v>
      </c>
      <c r="G452" t="s">
        <v>2747</v>
      </c>
      <c r="H452" t="s">
        <v>2319</v>
      </c>
      <c r="I452" t="s">
        <v>3955</v>
      </c>
    </row>
    <row r="453" spans="1:9">
      <c r="A453" s="145" t="s">
        <v>4107</v>
      </c>
      <c r="B453" t="s">
        <v>2154</v>
      </c>
      <c r="C453" t="s">
        <v>2325</v>
      </c>
      <c r="D453" t="s">
        <v>2326</v>
      </c>
      <c r="E453" t="s">
        <v>2317</v>
      </c>
      <c r="G453" t="s">
        <v>2747</v>
      </c>
      <c r="H453" t="s">
        <v>2319</v>
      </c>
      <c r="I453" t="s">
        <v>3955</v>
      </c>
    </row>
    <row r="454" spans="1:9">
      <c r="A454" s="145" t="s">
        <v>4107</v>
      </c>
      <c r="B454" t="s">
        <v>2156</v>
      </c>
      <c r="C454" t="s">
        <v>2328</v>
      </c>
      <c r="E454" t="s">
        <v>2329</v>
      </c>
      <c r="F454" t="s">
        <v>2331</v>
      </c>
      <c r="G454" t="s">
        <v>2747</v>
      </c>
      <c r="H454" t="s">
        <v>2330</v>
      </c>
      <c r="I454" t="s">
        <v>3959</v>
      </c>
    </row>
    <row r="455" spans="1:9">
      <c r="A455" s="145" t="s">
        <v>4107</v>
      </c>
      <c r="B455" t="s">
        <v>3644</v>
      </c>
      <c r="C455" t="s">
        <v>2458</v>
      </c>
      <c r="D455" t="s">
        <v>2457</v>
      </c>
      <c r="E455" t="s">
        <v>2459</v>
      </c>
      <c r="G455" t="s">
        <v>2747</v>
      </c>
      <c r="H455" t="s">
        <v>2776</v>
      </c>
      <c r="I455" t="s">
        <v>3963</v>
      </c>
    </row>
    <row r="456" spans="1:9">
      <c r="A456" s="145" t="s">
        <v>4107</v>
      </c>
      <c r="B456" t="s">
        <v>2161</v>
      </c>
      <c r="C456" t="s">
        <v>2587</v>
      </c>
      <c r="D456" t="s">
        <v>2363</v>
      </c>
      <c r="E456" t="s">
        <v>2588</v>
      </c>
      <c r="G456" t="s">
        <v>2747</v>
      </c>
      <c r="H456" t="s">
        <v>2585</v>
      </c>
      <c r="I456" t="s">
        <v>3967</v>
      </c>
    </row>
    <row r="457" spans="1:9">
      <c r="A457" s="145" t="s">
        <v>4107</v>
      </c>
      <c r="B457" t="s">
        <v>2161</v>
      </c>
      <c r="C457" t="s">
        <v>2392</v>
      </c>
      <c r="D457" t="s">
        <v>2390</v>
      </c>
      <c r="E457" t="s">
        <v>2393</v>
      </c>
      <c r="F457" t="s">
        <v>2394</v>
      </c>
      <c r="G457" t="s">
        <v>2747</v>
      </c>
      <c r="H457" t="s">
        <v>2585</v>
      </c>
      <c r="I457" t="s">
        <v>3967</v>
      </c>
    </row>
    <row r="458" spans="1:9">
      <c r="A458" s="145" t="s">
        <v>4107</v>
      </c>
      <c r="B458" t="s">
        <v>2163</v>
      </c>
      <c r="C458" t="s">
        <v>2333</v>
      </c>
      <c r="D458" t="s">
        <v>2334</v>
      </c>
      <c r="E458" t="s">
        <v>2335</v>
      </c>
      <c r="G458" t="s">
        <v>2747</v>
      </c>
      <c r="H458" t="s">
        <v>2330</v>
      </c>
      <c r="I458" t="s">
        <v>3971</v>
      </c>
    </row>
    <row r="459" spans="1:9">
      <c r="A459" s="145" t="s">
        <v>4107</v>
      </c>
      <c r="B459" t="s">
        <v>2163</v>
      </c>
      <c r="C459" t="s">
        <v>2336</v>
      </c>
      <c r="D459" t="s">
        <v>2334</v>
      </c>
      <c r="E459" t="s">
        <v>2329</v>
      </c>
      <c r="G459" t="s">
        <v>2747</v>
      </c>
      <c r="H459" t="s">
        <v>2330</v>
      </c>
      <c r="I459" t="s">
        <v>3971</v>
      </c>
    </row>
    <row r="460" spans="1:9">
      <c r="A460" s="145" t="s">
        <v>4107</v>
      </c>
      <c r="B460" t="s">
        <v>2163</v>
      </c>
      <c r="C460" t="s">
        <v>2337</v>
      </c>
      <c r="D460" t="s">
        <v>2334</v>
      </c>
      <c r="E460" t="s">
        <v>2329</v>
      </c>
      <c r="G460" t="s">
        <v>2747</v>
      </c>
      <c r="H460" t="s">
        <v>2330</v>
      </c>
      <c r="I460" t="s">
        <v>3971</v>
      </c>
    </row>
    <row r="461" spans="1:9">
      <c r="A461" s="145" t="s">
        <v>4107</v>
      </c>
      <c r="B461" t="s">
        <v>2163</v>
      </c>
      <c r="C461" t="s">
        <v>2338</v>
      </c>
      <c r="D461" t="s">
        <v>2339</v>
      </c>
      <c r="E461" t="s">
        <v>2329</v>
      </c>
      <c r="G461" t="s">
        <v>2747</v>
      </c>
      <c r="H461" t="s">
        <v>2330</v>
      </c>
      <c r="I461" t="s">
        <v>3971</v>
      </c>
    </row>
    <row r="462" spans="1:9">
      <c r="A462" s="145" t="s">
        <v>4107</v>
      </c>
      <c r="B462" t="s">
        <v>2163</v>
      </c>
      <c r="C462" t="s">
        <v>2340</v>
      </c>
      <c r="E462" t="s">
        <v>2329</v>
      </c>
      <c r="G462" t="s">
        <v>2747</v>
      </c>
      <c r="H462" t="s">
        <v>2330</v>
      </c>
      <c r="I462" t="s">
        <v>3971</v>
      </c>
    </row>
    <row r="463" spans="1:9">
      <c r="A463" s="145" t="s">
        <v>4107</v>
      </c>
      <c r="B463" t="s">
        <v>2163</v>
      </c>
      <c r="C463" t="s">
        <v>2341</v>
      </c>
      <c r="E463" t="s">
        <v>2329</v>
      </c>
      <c r="G463" t="s">
        <v>2747</v>
      </c>
      <c r="H463" t="s">
        <v>2330</v>
      </c>
      <c r="I463" t="s">
        <v>3971</v>
      </c>
    </row>
    <row r="464" spans="1:9">
      <c r="A464" s="145" t="s">
        <v>4107</v>
      </c>
      <c r="B464" t="s">
        <v>2163</v>
      </c>
      <c r="C464" t="s">
        <v>2342</v>
      </c>
      <c r="E464" t="s">
        <v>2329</v>
      </c>
      <c r="G464" t="s">
        <v>2747</v>
      </c>
      <c r="H464" t="s">
        <v>2330</v>
      </c>
      <c r="I464" t="s">
        <v>3971</v>
      </c>
    </row>
    <row r="465" spans="1:9">
      <c r="A465" s="145" t="s">
        <v>4107</v>
      </c>
      <c r="B465" t="s">
        <v>2164</v>
      </c>
      <c r="C465" t="s">
        <v>2347</v>
      </c>
      <c r="E465" t="s">
        <v>2329</v>
      </c>
      <c r="G465" t="s">
        <v>2747</v>
      </c>
      <c r="H465" t="s">
        <v>2330</v>
      </c>
      <c r="I465" t="s">
        <v>3973</v>
      </c>
    </row>
    <row r="466" spans="1:9">
      <c r="A466" s="145" t="s">
        <v>4107</v>
      </c>
      <c r="B466" t="s">
        <v>2164</v>
      </c>
      <c r="C466" t="s">
        <v>2348</v>
      </c>
      <c r="E466" t="s">
        <v>2329</v>
      </c>
      <c r="G466" t="s">
        <v>2747</v>
      </c>
      <c r="H466" t="s">
        <v>2330</v>
      </c>
      <c r="I466" t="s">
        <v>3973</v>
      </c>
    </row>
    <row r="467" spans="1:9">
      <c r="A467" s="145" t="s">
        <v>4107</v>
      </c>
      <c r="B467" t="s">
        <v>2166</v>
      </c>
      <c r="C467" t="s">
        <v>2350</v>
      </c>
      <c r="E467" t="s">
        <v>2329</v>
      </c>
      <c r="G467" t="s">
        <v>2747</v>
      </c>
      <c r="H467" t="s">
        <v>2330</v>
      </c>
      <c r="I467" t="s">
        <v>3975</v>
      </c>
    </row>
    <row r="468" spans="1:9">
      <c r="A468" s="145" t="s">
        <v>4107</v>
      </c>
      <c r="B468" t="s">
        <v>2169</v>
      </c>
      <c r="C468" t="s">
        <v>2352</v>
      </c>
      <c r="D468" t="s">
        <v>2353</v>
      </c>
      <c r="E468" t="s">
        <v>2317</v>
      </c>
      <c r="F468" t="s">
        <v>2354</v>
      </c>
      <c r="G468" t="s">
        <v>2747</v>
      </c>
      <c r="H468" t="s">
        <v>2319</v>
      </c>
      <c r="I468" t="s">
        <v>3983</v>
      </c>
    </row>
    <row r="469" spans="1:9">
      <c r="A469" s="145" t="s">
        <v>4107</v>
      </c>
      <c r="B469" t="s">
        <v>2169</v>
      </c>
      <c r="C469" t="s">
        <v>2355</v>
      </c>
      <c r="D469" t="s">
        <v>2356</v>
      </c>
      <c r="E469" t="s">
        <v>2317</v>
      </c>
      <c r="F469" t="s">
        <v>2357</v>
      </c>
      <c r="G469" t="s">
        <v>2747</v>
      </c>
      <c r="H469" t="s">
        <v>2319</v>
      </c>
      <c r="I469" t="s">
        <v>3983</v>
      </c>
    </row>
    <row r="470" spans="1:9">
      <c r="A470" s="145" t="s">
        <v>4107</v>
      </c>
      <c r="B470" t="s">
        <v>2169</v>
      </c>
      <c r="C470" t="s">
        <v>2358</v>
      </c>
      <c r="E470" t="s">
        <v>2329</v>
      </c>
      <c r="G470" t="s">
        <v>2747</v>
      </c>
      <c r="H470" t="s">
        <v>2330</v>
      </c>
      <c r="I470" t="s">
        <v>3983</v>
      </c>
    </row>
    <row r="471" spans="1:9">
      <c r="A471" s="145" t="s">
        <v>4107</v>
      </c>
      <c r="B471" t="s">
        <v>2173</v>
      </c>
      <c r="C471" t="s">
        <v>2413</v>
      </c>
      <c r="D471" t="s">
        <v>2407</v>
      </c>
      <c r="E471" t="s">
        <v>2414</v>
      </c>
      <c r="F471" t="s">
        <v>2416</v>
      </c>
      <c r="G471" t="s">
        <v>2747</v>
      </c>
      <c r="H471" t="s">
        <v>2777</v>
      </c>
      <c r="I471" t="s">
        <v>3987</v>
      </c>
    </row>
    <row r="472" spans="1:9">
      <c r="A472" s="145" t="s">
        <v>4107</v>
      </c>
      <c r="B472" t="s">
        <v>2173</v>
      </c>
      <c r="C472" t="s">
        <v>2360</v>
      </c>
      <c r="E472" t="s">
        <v>2317</v>
      </c>
      <c r="F472" t="s">
        <v>2361</v>
      </c>
      <c r="G472" t="s">
        <v>2747</v>
      </c>
      <c r="H472" t="s">
        <v>2319</v>
      </c>
      <c r="I472" t="s">
        <v>3987</v>
      </c>
    </row>
    <row r="473" spans="1:9">
      <c r="A473" s="145" t="s">
        <v>4107</v>
      </c>
      <c r="B473" t="s">
        <v>2173</v>
      </c>
      <c r="C473" t="s">
        <v>2362</v>
      </c>
      <c r="D473" t="s">
        <v>2363</v>
      </c>
      <c r="E473" t="s">
        <v>2364</v>
      </c>
      <c r="G473" t="s">
        <v>2747</v>
      </c>
      <c r="H473" t="s">
        <v>2365</v>
      </c>
      <c r="I473" t="s">
        <v>3987</v>
      </c>
    </row>
    <row r="474" spans="1:9">
      <c r="A474" s="145" t="s">
        <v>4107</v>
      </c>
      <c r="B474" t="s">
        <v>2176</v>
      </c>
      <c r="C474" t="s">
        <v>2541</v>
      </c>
      <c r="D474" t="s">
        <v>2542</v>
      </c>
      <c r="E474" t="s">
        <v>2543</v>
      </c>
      <c r="G474" t="s">
        <v>2747</v>
      </c>
      <c r="H474" t="s">
        <v>2585</v>
      </c>
      <c r="I474" t="s">
        <v>3991</v>
      </c>
    </row>
    <row r="475" spans="1:9">
      <c r="A475" s="145" t="s">
        <v>4107</v>
      </c>
      <c r="B475" t="s">
        <v>2176</v>
      </c>
      <c r="C475" t="s">
        <v>2421</v>
      </c>
      <c r="D475" t="s">
        <v>2422</v>
      </c>
      <c r="E475" t="s">
        <v>2423</v>
      </c>
      <c r="F475" t="s">
        <v>2425</v>
      </c>
      <c r="G475" t="s">
        <v>2747</v>
      </c>
      <c r="H475" t="s">
        <v>2778</v>
      </c>
      <c r="I475" t="s">
        <v>3991</v>
      </c>
    </row>
    <row r="476" spans="1:9">
      <c r="A476" s="145" t="s">
        <v>4107</v>
      </c>
      <c r="B476" t="s">
        <v>2178</v>
      </c>
      <c r="C476" t="s">
        <v>2367</v>
      </c>
      <c r="E476" t="s">
        <v>2317</v>
      </c>
      <c r="F476" t="s">
        <v>2368</v>
      </c>
      <c r="G476" t="s">
        <v>2747</v>
      </c>
      <c r="H476" t="s">
        <v>2319</v>
      </c>
      <c r="I476" t="s">
        <v>3995</v>
      </c>
    </row>
    <row r="477" spans="1:9">
      <c r="A477" s="145" t="s">
        <v>4107</v>
      </c>
      <c r="B477" t="s">
        <v>2178</v>
      </c>
      <c r="C477" t="s">
        <v>2369</v>
      </c>
      <c r="D477" t="s">
        <v>2370</v>
      </c>
      <c r="E477" t="s">
        <v>2317</v>
      </c>
      <c r="F477" t="s">
        <v>2371</v>
      </c>
      <c r="G477" t="s">
        <v>2747</v>
      </c>
      <c r="H477" t="s">
        <v>2319</v>
      </c>
      <c r="I477" t="s">
        <v>3995</v>
      </c>
    </row>
    <row r="478" spans="1:9">
      <c r="A478" s="145" t="s">
        <v>4107</v>
      </c>
      <c r="B478" t="s">
        <v>2178</v>
      </c>
      <c r="C478" t="s">
        <v>2372</v>
      </c>
      <c r="E478" t="s">
        <v>2329</v>
      </c>
      <c r="G478" t="s">
        <v>2747</v>
      </c>
      <c r="H478" t="s">
        <v>2330</v>
      </c>
      <c r="I478" t="s">
        <v>3995</v>
      </c>
    </row>
    <row r="479" spans="1:9">
      <c r="A479" s="145" t="s">
        <v>4107</v>
      </c>
      <c r="B479" t="s">
        <v>3874</v>
      </c>
      <c r="C479" t="s">
        <v>2374</v>
      </c>
      <c r="E479" t="s">
        <v>2329</v>
      </c>
      <c r="F479" t="s">
        <v>2375</v>
      </c>
      <c r="G479" t="s">
        <v>2747</v>
      </c>
      <c r="H479" t="s">
        <v>2330</v>
      </c>
    </row>
    <row r="480" spans="1:9">
      <c r="A480" s="145" t="s">
        <v>4107</v>
      </c>
      <c r="B480" t="s">
        <v>3874</v>
      </c>
      <c r="C480" t="s">
        <v>2578</v>
      </c>
      <c r="D480" t="s">
        <v>2579</v>
      </c>
      <c r="E480" t="s">
        <v>2543</v>
      </c>
      <c r="F480" t="s">
        <v>2580</v>
      </c>
      <c r="G480" t="s">
        <v>2747</v>
      </c>
      <c r="H480" t="s">
        <v>2585</v>
      </c>
    </row>
    <row r="481" spans="1:9">
      <c r="A481" s="145" t="s">
        <v>4107</v>
      </c>
      <c r="B481" t="s">
        <v>3874</v>
      </c>
      <c r="C481" t="s">
        <v>2599</v>
      </c>
      <c r="D481" t="s">
        <v>2435</v>
      </c>
      <c r="E481" t="s">
        <v>2585</v>
      </c>
      <c r="F481" t="s">
        <v>2375</v>
      </c>
      <c r="G481" t="s">
        <v>2747</v>
      </c>
      <c r="H481" t="s">
        <v>2585</v>
      </c>
    </row>
    <row r="482" spans="1:9">
      <c r="A482" s="145" t="s">
        <v>4109</v>
      </c>
      <c r="B482" t="s">
        <v>2154</v>
      </c>
      <c r="C482" t="s">
        <v>2315</v>
      </c>
      <c r="D482" t="s">
        <v>2316</v>
      </c>
      <c r="E482" t="s">
        <v>2317</v>
      </c>
      <c r="F482" t="s">
        <v>2320</v>
      </c>
      <c r="G482" t="s">
        <v>2747</v>
      </c>
      <c r="H482" t="s">
        <v>2319</v>
      </c>
      <c r="I482" t="s">
        <v>3955</v>
      </c>
    </row>
    <row r="483" spans="1:9">
      <c r="A483" s="145" t="s">
        <v>4109</v>
      </c>
      <c r="B483" t="s">
        <v>2154</v>
      </c>
      <c r="C483" t="s">
        <v>2377</v>
      </c>
      <c r="D483" t="s">
        <v>2378</v>
      </c>
      <c r="E483" t="s">
        <v>1622</v>
      </c>
      <c r="F483" t="s">
        <v>2380</v>
      </c>
      <c r="G483" t="s">
        <v>2747</v>
      </c>
      <c r="H483" t="s">
        <v>120</v>
      </c>
      <c r="I483" t="s">
        <v>3955</v>
      </c>
    </row>
    <row r="484" spans="1:9">
      <c r="A484" s="145" t="s">
        <v>4109</v>
      </c>
      <c r="B484" t="s">
        <v>2154</v>
      </c>
      <c r="C484" t="s">
        <v>2381</v>
      </c>
      <c r="E484" t="s">
        <v>1396</v>
      </c>
      <c r="G484" t="s">
        <v>2747</v>
      </c>
      <c r="H484" t="s">
        <v>1396</v>
      </c>
      <c r="I484" t="s">
        <v>3955</v>
      </c>
    </row>
    <row r="485" spans="1:9">
      <c r="A485" s="145" t="s">
        <v>4109</v>
      </c>
      <c r="B485" t="s">
        <v>2154</v>
      </c>
      <c r="C485" t="s">
        <v>2382</v>
      </c>
      <c r="E485" t="s">
        <v>2383</v>
      </c>
      <c r="G485" t="s">
        <v>2747</v>
      </c>
      <c r="H485" t="s">
        <v>2645</v>
      </c>
      <c r="I485" t="s">
        <v>3955</v>
      </c>
    </row>
    <row r="486" spans="1:9">
      <c r="A486" s="145" t="s">
        <v>4109</v>
      </c>
      <c r="B486" t="s">
        <v>2154</v>
      </c>
      <c r="C486" t="s">
        <v>2441</v>
      </c>
      <c r="D486" t="s">
        <v>2316</v>
      </c>
      <c r="E486" t="s">
        <v>120</v>
      </c>
      <c r="G486" t="s">
        <v>2747</v>
      </c>
      <c r="H486" t="s">
        <v>120</v>
      </c>
      <c r="I486" t="s">
        <v>3955</v>
      </c>
    </row>
    <row r="487" spans="1:9">
      <c r="A487" s="145" t="s">
        <v>4109</v>
      </c>
      <c r="B487" t="s">
        <v>2154</v>
      </c>
      <c r="C487" t="s">
        <v>2442</v>
      </c>
      <c r="D487" t="s">
        <v>2326</v>
      </c>
      <c r="E487" t="s">
        <v>120</v>
      </c>
      <c r="F487" t="s">
        <v>2443</v>
      </c>
      <c r="G487" t="s">
        <v>2747</v>
      </c>
      <c r="H487" t="s">
        <v>120</v>
      </c>
      <c r="I487" t="s">
        <v>3955</v>
      </c>
    </row>
    <row r="488" spans="1:9">
      <c r="A488" s="145" t="s">
        <v>4109</v>
      </c>
      <c r="B488" t="s">
        <v>2154</v>
      </c>
      <c r="C488" t="s">
        <v>2444</v>
      </c>
      <c r="E488" t="s">
        <v>120</v>
      </c>
      <c r="G488" t="s">
        <v>2747</v>
      </c>
      <c r="H488" t="s">
        <v>120</v>
      </c>
      <c r="I488" t="s">
        <v>3955</v>
      </c>
    </row>
    <row r="489" spans="1:9">
      <c r="A489" s="145" t="s">
        <v>4109</v>
      </c>
      <c r="B489" t="s">
        <v>2154</v>
      </c>
      <c r="C489" t="s">
        <v>2321</v>
      </c>
      <c r="D489" t="s">
        <v>2322</v>
      </c>
      <c r="E489" t="s">
        <v>2317</v>
      </c>
      <c r="G489" t="s">
        <v>2747</v>
      </c>
      <c r="H489" t="s">
        <v>2319</v>
      </c>
      <c r="I489" t="s">
        <v>3955</v>
      </c>
    </row>
    <row r="490" spans="1:9">
      <c r="A490" s="145" t="s">
        <v>4109</v>
      </c>
      <c r="B490" t="s">
        <v>2154</v>
      </c>
      <c r="C490" t="s">
        <v>2324</v>
      </c>
      <c r="D490" t="s">
        <v>2322</v>
      </c>
      <c r="E490" t="s">
        <v>2317</v>
      </c>
      <c r="G490" t="s">
        <v>2747</v>
      </c>
      <c r="H490" t="s">
        <v>2319</v>
      </c>
      <c r="I490" t="s">
        <v>3955</v>
      </c>
    </row>
    <row r="491" spans="1:9">
      <c r="A491" s="145" t="s">
        <v>4109</v>
      </c>
      <c r="B491" t="s">
        <v>2154</v>
      </c>
      <c r="C491" t="s">
        <v>2325</v>
      </c>
      <c r="D491" t="s">
        <v>2326</v>
      </c>
      <c r="E491" t="s">
        <v>2317</v>
      </c>
      <c r="G491" t="s">
        <v>2747</v>
      </c>
      <c r="H491" t="s">
        <v>2319</v>
      </c>
      <c r="I491" t="s">
        <v>3955</v>
      </c>
    </row>
    <row r="492" spans="1:9">
      <c r="A492" s="145" t="s">
        <v>4109</v>
      </c>
      <c r="B492" t="s">
        <v>2156</v>
      </c>
      <c r="C492" t="s">
        <v>2446</v>
      </c>
      <c r="D492" t="s">
        <v>2334</v>
      </c>
      <c r="E492" t="s">
        <v>120</v>
      </c>
      <c r="G492" t="s">
        <v>2747</v>
      </c>
      <c r="H492" t="s">
        <v>120</v>
      </c>
      <c r="I492" t="s">
        <v>3959</v>
      </c>
    </row>
    <row r="493" spans="1:9">
      <c r="A493" s="145" t="s">
        <v>4109</v>
      </c>
      <c r="B493" t="s">
        <v>2156</v>
      </c>
      <c r="C493" t="s">
        <v>2447</v>
      </c>
      <c r="D493" t="s">
        <v>2448</v>
      </c>
      <c r="E493" t="s">
        <v>120</v>
      </c>
      <c r="F493" t="s">
        <v>2449</v>
      </c>
      <c r="G493" t="s">
        <v>2747</v>
      </c>
      <c r="H493" t="s">
        <v>120</v>
      </c>
      <c r="I493" t="s">
        <v>3959</v>
      </c>
    </row>
    <row r="494" spans="1:9">
      <c r="A494" s="145" t="s">
        <v>4109</v>
      </c>
      <c r="B494" t="s">
        <v>2156</v>
      </c>
      <c r="C494" t="s">
        <v>2450</v>
      </c>
      <c r="D494" t="s">
        <v>2448</v>
      </c>
      <c r="E494" t="s">
        <v>120</v>
      </c>
      <c r="G494" t="s">
        <v>2747</v>
      </c>
      <c r="H494" t="s">
        <v>120</v>
      </c>
      <c r="I494" t="s">
        <v>3959</v>
      </c>
    </row>
    <row r="495" spans="1:9">
      <c r="A495" s="145" t="s">
        <v>4109</v>
      </c>
      <c r="B495" t="s">
        <v>2156</v>
      </c>
      <c r="C495" t="s">
        <v>2328</v>
      </c>
      <c r="E495" t="s">
        <v>2329</v>
      </c>
      <c r="F495" t="s">
        <v>2331</v>
      </c>
      <c r="G495" t="s">
        <v>2747</v>
      </c>
      <c r="H495" t="s">
        <v>2696</v>
      </c>
      <c r="I495" t="s">
        <v>3959</v>
      </c>
    </row>
    <row r="496" spans="1:9">
      <c r="A496" s="145" t="s">
        <v>4109</v>
      </c>
      <c r="B496" t="s">
        <v>2156</v>
      </c>
      <c r="C496" t="s">
        <v>2452</v>
      </c>
      <c r="D496" t="s">
        <v>2453</v>
      </c>
      <c r="E496" t="s">
        <v>120</v>
      </c>
      <c r="F496" t="s">
        <v>2454</v>
      </c>
      <c r="G496" t="s">
        <v>2747</v>
      </c>
      <c r="H496" t="s">
        <v>120</v>
      </c>
      <c r="I496" t="s">
        <v>3959</v>
      </c>
    </row>
    <row r="497" spans="1:9">
      <c r="A497" s="145" t="s">
        <v>4109</v>
      </c>
      <c r="B497" t="s">
        <v>3644</v>
      </c>
      <c r="C497" t="s">
        <v>2456</v>
      </c>
      <c r="D497" t="s">
        <v>2457</v>
      </c>
      <c r="E497" t="s">
        <v>120</v>
      </c>
      <c r="G497" t="s">
        <v>2747</v>
      </c>
      <c r="H497" t="s">
        <v>120</v>
      </c>
      <c r="I497" t="s">
        <v>3963</v>
      </c>
    </row>
    <row r="498" spans="1:9">
      <c r="A498" s="145" t="s">
        <v>4109</v>
      </c>
      <c r="B498" t="s">
        <v>3644</v>
      </c>
      <c r="C498" t="s">
        <v>2458</v>
      </c>
      <c r="D498" t="s">
        <v>2457</v>
      </c>
      <c r="E498" t="s">
        <v>2459</v>
      </c>
      <c r="G498" t="s">
        <v>2747</v>
      </c>
      <c r="H498" t="s">
        <v>2698</v>
      </c>
      <c r="I498" t="s">
        <v>3963</v>
      </c>
    </row>
    <row r="499" spans="1:9">
      <c r="A499" s="145" t="s">
        <v>4109</v>
      </c>
      <c r="B499" t="s">
        <v>3644</v>
      </c>
      <c r="C499" t="s">
        <v>2460</v>
      </c>
      <c r="D499" t="s">
        <v>2457</v>
      </c>
      <c r="E499" t="s">
        <v>2461</v>
      </c>
      <c r="F499" t="s">
        <v>2462</v>
      </c>
      <c r="G499" t="s">
        <v>2747</v>
      </c>
      <c r="H499" t="s">
        <v>120</v>
      </c>
      <c r="I499" t="s">
        <v>3963</v>
      </c>
    </row>
    <row r="500" spans="1:9">
      <c r="A500" s="145" t="s">
        <v>4109</v>
      </c>
      <c r="B500" t="s">
        <v>3644</v>
      </c>
      <c r="C500" t="s">
        <v>2463</v>
      </c>
      <c r="D500" t="s">
        <v>2457</v>
      </c>
      <c r="E500" t="s">
        <v>120</v>
      </c>
      <c r="G500" t="s">
        <v>2747</v>
      </c>
      <c r="H500" t="s">
        <v>120</v>
      </c>
      <c r="I500" t="s">
        <v>3963</v>
      </c>
    </row>
    <row r="501" spans="1:9">
      <c r="A501" s="145" t="s">
        <v>4109</v>
      </c>
      <c r="B501" t="s">
        <v>2161</v>
      </c>
      <c r="C501" t="s">
        <v>2465</v>
      </c>
      <c r="D501" t="s">
        <v>2466</v>
      </c>
      <c r="E501" t="s">
        <v>2467</v>
      </c>
      <c r="G501" t="s">
        <v>2747</v>
      </c>
      <c r="H501" t="s">
        <v>120</v>
      </c>
      <c r="I501" t="s">
        <v>3967</v>
      </c>
    </row>
    <row r="502" spans="1:9">
      <c r="A502" s="145" t="s">
        <v>4109</v>
      </c>
      <c r="B502" t="s">
        <v>2161</v>
      </c>
      <c r="C502" t="s">
        <v>2468</v>
      </c>
      <c r="D502" t="s">
        <v>2390</v>
      </c>
      <c r="E502" t="s">
        <v>120</v>
      </c>
      <c r="G502" t="s">
        <v>2747</v>
      </c>
      <c r="H502" t="s">
        <v>120</v>
      </c>
      <c r="I502" t="s">
        <v>3967</v>
      </c>
    </row>
    <row r="503" spans="1:9">
      <c r="A503" s="145" t="s">
        <v>4109</v>
      </c>
      <c r="B503" t="s">
        <v>2161</v>
      </c>
      <c r="C503" t="s">
        <v>2469</v>
      </c>
      <c r="D503" t="s">
        <v>2466</v>
      </c>
      <c r="E503" t="s">
        <v>2470</v>
      </c>
      <c r="G503" t="s">
        <v>2747</v>
      </c>
      <c r="H503" t="s">
        <v>120</v>
      </c>
      <c r="I503" t="s">
        <v>3967</v>
      </c>
    </row>
    <row r="504" spans="1:9">
      <c r="A504" s="145" t="s">
        <v>4109</v>
      </c>
      <c r="B504" t="s">
        <v>2161</v>
      </c>
      <c r="C504" t="s">
        <v>2392</v>
      </c>
      <c r="D504" t="s">
        <v>2390</v>
      </c>
      <c r="E504" t="s">
        <v>2393</v>
      </c>
      <c r="F504" t="s">
        <v>2394</v>
      </c>
      <c r="G504" t="s">
        <v>2747</v>
      </c>
      <c r="H504" t="s">
        <v>120</v>
      </c>
      <c r="I504" t="s">
        <v>3967</v>
      </c>
    </row>
    <row r="505" spans="1:9">
      <c r="A505" s="145" t="s">
        <v>4109</v>
      </c>
      <c r="B505" t="s">
        <v>2161</v>
      </c>
      <c r="C505" t="s">
        <v>2471</v>
      </c>
      <c r="D505" t="s">
        <v>2472</v>
      </c>
      <c r="E505" t="s">
        <v>120</v>
      </c>
      <c r="F505" t="s">
        <v>2473</v>
      </c>
      <c r="G505" t="s">
        <v>2747</v>
      </c>
      <c r="H505" t="s">
        <v>120</v>
      </c>
      <c r="I505" t="s">
        <v>3967</v>
      </c>
    </row>
    <row r="506" spans="1:9">
      <c r="A506" s="145" t="s">
        <v>4109</v>
      </c>
      <c r="B506" t="s">
        <v>2161</v>
      </c>
      <c r="C506" t="s">
        <v>2474</v>
      </c>
      <c r="D506" t="s">
        <v>2472</v>
      </c>
      <c r="E506" t="s">
        <v>120</v>
      </c>
      <c r="G506" t="s">
        <v>2747</v>
      </c>
      <c r="H506" t="s">
        <v>120</v>
      </c>
      <c r="I506" t="s">
        <v>3967</v>
      </c>
    </row>
    <row r="507" spans="1:9">
      <c r="A507" s="145" t="s">
        <v>4109</v>
      </c>
      <c r="B507" t="s">
        <v>2163</v>
      </c>
      <c r="C507" t="s">
        <v>2476</v>
      </c>
      <c r="D507" t="s">
        <v>2477</v>
      </c>
      <c r="E507" t="s">
        <v>120</v>
      </c>
      <c r="F507" t="s">
        <v>2478</v>
      </c>
      <c r="G507" t="s">
        <v>2747</v>
      </c>
      <c r="H507" t="s">
        <v>120</v>
      </c>
      <c r="I507" t="s">
        <v>3971</v>
      </c>
    </row>
    <row r="508" spans="1:9">
      <c r="A508" s="145" t="s">
        <v>4109</v>
      </c>
      <c r="B508" t="s">
        <v>2163</v>
      </c>
      <c r="C508" t="s">
        <v>2333</v>
      </c>
      <c r="D508" t="s">
        <v>2334</v>
      </c>
      <c r="E508" t="s">
        <v>2335</v>
      </c>
      <c r="G508" t="s">
        <v>2747</v>
      </c>
      <c r="H508" t="s">
        <v>2696</v>
      </c>
      <c r="I508" t="s">
        <v>3971</v>
      </c>
    </row>
    <row r="509" spans="1:9">
      <c r="A509" s="145" t="s">
        <v>4109</v>
      </c>
      <c r="B509" t="s">
        <v>2163</v>
      </c>
      <c r="C509" t="s">
        <v>2336</v>
      </c>
      <c r="D509" t="s">
        <v>2334</v>
      </c>
      <c r="E509" t="s">
        <v>2329</v>
      </c>
      <c r="G509" t="s">
        <v>2747</v>
      </c>
      <c r="H509" t="s">
        <v>2696</v>
      </c>
      <c r="I509" t="s">
        <v>3971</v>
      </c>
    </row>
    <row r="510" spans="1:9">
      <c r="A510" s="145" t="s">
        <v>4109</v>
      </c>
      <c r="B510" t="s">
        <v>2163</v>
      </c>
      <c r="C510" t="s">
        <v>2337</v>
      </c>
      <c r="D510" t="s">
        <v>2334</v>
      </c>
      <c r="E510" t="s">
        <v>2329</v>
      </c>
      <c r="G510" t="s">
        <v>2747</v>
      </c>
      <c r="H510" t="s">
        <v>2696</v>
      </c>
      <c r="I510" t="s">
        <v>3971</v>
      </c>
    </row>
    <row r="511" spans="1:9">
      <c r="A511" s="145" t="s">
        <v>4109</v>
      </c>
      <c r="B511" t="s">
        <v>2163</v>
      </c>
      <c r="C511" t="s">
        <v>2338</v>
      </c>
      <c r="D511" t="s">
        <v>2339</v>
      </c>
      <c r="E511" t="s">
        <v>2329</v>
      </c>
      <c r="G511" t="s">
        <v>2747</v>
      </c>
      <c r="H511" t="s">
        <v>2696</v>
      </c>
      <c r="I511" t="s">
        <v>3971</v>
      </c>
    </row>
    <row r="512" spans="1:9">
      <c r="A512" s="145" t="s">
        <v>4109</v>
      </c>
      <c r="B512" t="s">
        <v>2163</v>
      </c>
      <c r="C512" t="s">
        <v>2340</v>
      </c>
      <c r="E512" t="s">
        <v>2329</v>
      </c>
      <c r="G512" t="s">
        <v>2747</v>
      </c>
      <c r="H512" t="s">
        <v>2696</v>
      </c>
      <c r="I512" t="s">
        <v>3971</v>
      </c>
    </row>
    <row r="513" spans="1:9">
      <c r="A513" s="145" t="s">
        <v>4109</v>
      </c>
      <c r="B513" t="s">
        <v>2163</v>
      </c>
      <c r="C513" t="s">
        <v>2341</v>
      </c>
      <c r="E513" t="s">
        <v>2329</v>
      </c>
      <c r="G513" t="s">
        <v>2747</v>
      </c>
      <c r="H513" t="s">
        <v>2696</v>
      </c>
      <c r="I513" t="s">
        <v>3971</v>
      </c>
    </row>
    <row r="514" spans="1:9">
      <c r="A514" s="145" t="s">
        <v>4109</v>
      </c>
      <c r="B514" t="s">
        <v>2163</v>
      </c>
      <c r="C514" t="s">
        <v>2342</v>
      </c>
      <c r="E514" t="s">
        <v>2329</v>
      </c>
      <c r="G514" t="s">
        <v>2747</v>
      </c>
      <c r="H514" t="s">
        <v>2696</v>
      </c>
      <c r="I514" t="s">
        <v>3971</v>
      </c>
    </row>
    <row r="515" spans="1:9">
      <c r="A515" s="145" t="s">
        <v>4109</v>
      </c>
      <c r="B515" t="s">
        <v>2164</v>
      </c>
      <c r="C515" t="s">
        <v>2480</v>
      </c>
      <c r="D515" t="s">
        <v>2481</v>
      </c>
      <c r="E515" t="s">
        <v>120</v>
      </c>
      <c r="G515" t="s">
        <v>2747</v>
      </c>
      <c r="H515" t="s">
        <v>120</v>
      </c>
      <c r="I515" t="s">
        <v>3973</v>
      </c>
    </row>
    <row r="516" spans="1:9">
      <c r="A516" s="145" t="s">
        <v>4109</v>
      </c>
      <c r="B516" t="s">
        <v>2164</v>
      </c>
      <c r="C516" t="s">
        <v>2482</v>
      </c>
      <c r="D516" t="s">
        <v>2483</v>
      </c>
      <c r="E516" t="s">
        <v>120</v>
      </c>
      <c r="G516" t="s">
        <v>2747</v>
      </c>
      <c r="H516" t="s">
        <v>120</v>
      </c>
      <c r="I516" t="s">
        <v>3973</v>
      </c>
    </row>
    <row r="517" spans="1:9">
      <c r="A517" s="145" t="s">
        <v>4109</v>
      </c>
      <c r="B517" t="s">
        <v>2164</v>
      </c>
      <c r="C517" t="s">
        <v>2484</v>
      </c>
      <c r="D517" t="s">
        <v>2483</v>
      </c>
      <c r="E517" t="s">
        <v>2485</v>
      </c>
      <c r="F517" t="s">
        <v>2486</v>
      </c>
      <c r="G517" t="s">
        <v>2747</v>
      </c>
      <c r="H517" t="s">
        <v>120</v>
      </c>
      <c r="I517" t="s">
        <v>3973</v>
      </c>
    </row>
    <row r="518" spans="1:9">
      <c r="A518" s="145" t="s">
        <v>4109</v>
      </c>
      <c r="B518" t="s">
        <v>2164</v>
      </c>
      <c r="C518" t="s">
        <v>2487</v>
      </c>
      <c r="D518" t="s">
        <v>2488</v>
      </c>
      <c r="E518" t="s">
        <v>120</v>
      </c>
      <c r="G518" t="s">
        <v>2747</v>
      </c>
      <c r="H518" t="s">
        <v>120</v>
      </c>
      <c r="I518" t="s">
        <v>3973</v>
      </c>
    </row>
    <row r="519" spans="1:9">
      <c r="A519" s="145" t="s">
        <v>4109</v>
      </c>
      <c r="B519" t="s">
        <v>2164</v>
      </c>
      <c r="C519" t="s">
        <v>2344</v>
      </c>
      <c r="E519" t="s">
        <v>2345</v>
      </c>
      <c r="G519" t="s">
        <v>2747</v>
      </c>
      <c r="H519" t="s">
        <v>120</v>
      </c>
      <c r="I519" t="s">
        <v>3973</v>
      </c>
    </row>
    <row r="520" spans="1:9">
      <c r="A520" s="145" t="s">
        <v>4109</v>
      </c>
      <c r="B520" t="s">
        <v>2164</v>
      </c>
      <c r="C520" t="s">
        <v>2347</v>
      </c>
      <c r="E520" t="s">
        <v>2329</v>
      </c>
      <c r="G520" t="s">
        <v>2747</v>
      </c>
      <c r="H520" t="s">
        <v>2696</v>
      </c>
      <c r="I520" t="s">
        <v>3973</v>
      </c>
    </row>
    <row r="521" spans="1:9">
      <c r="A521" s="145" t="s">
        <v>4109</v>
      </c>
      <c r="B521" t="s">
        <v>2164</v>
      </c>
      <c r="C521" t="s">
        <v>2348</v>
      </c>
      <c r="E521" t="s">
        <v>2329</v>
      </c>
      <c r="G521" t="s">
        <v>2747</v>
      </c>
      <c r="H521" t="s">
        <v>2696</v>
      </c>
      <c r="I521" t="s">
        <v>3973</v>
      </c>
    </row>
    <row r="522" spans="1:9">
      <c r="A522" s="145" t="s">
        <v>4109</v>
      </c>
      <c r="B522" t="s">
        <v>2164</v>
      </c>
      <c r="C522" t="s">
        <v>2489</v>
      </c>
      <c r="D522" t="s">
        <v>2483</v>
      </c>
      <c r="E522" t="s">
        <v>2490</v>
      </c>
      <c r="G522" t="s">
        <v>2747</v>
      </c>
      <c r="H522" t="s">
        <v>2490</v>
      </c>
      <c r="I522" t="s">
        <v>3973</v>
      </c>
    </row>
    <row r="523" spans="1:9">
      <c r="A523" s="145" t="s">
        <v>4109</v>
      </c>
      <c r="B523" t="s">
        <v>2164</v>
      </c>
      <c r="C523" t="s">
        <v>2491</v>
      </c>
      <c r="D523" t="s">
        <v>2488</v>
      </c>
      <c r="E523" t="s">
        <v>120</v>
      </c>
      <c r="G523" t="s">
        <v>2747</v>
      </c>
      <c r="H523" t="s">
        <v>120</v>
      </c>
      <c r="I523" t="s">
        <v>3973</v>
      </c>
    </row>
    <row r="524" spans="1:9">
      <c r="A524" s="145" t="s">
        <v>4109</v>
      </c>
      <c r="B524" t="s">
        <v>2166</v>
      </c>
      <c r="C524" t="s">
        <v>2703</v>
      </c>
      <c r="D524" t="s">
        <v>2483</v>
      </c>
      <c r="E524" t="s">
        <v>2704</v>
      </c>
      <c r="G524" t="s">
        <v>2747</v>
      </c>
      <c r="H524" t="s">
        <v>804</v>
      </c>
      <c r="I524" t="s">
        <v>3975</v>
      </c>
    </row>
    <row r="525" spans="1:9">
      <c r="A525" s="145" t="s">
        <v>4109</v>
      </c>
      <c r="B525" t="s">
        <v>2166</v>
      </c>
      <c r="C525" t="s">
        <v>2705</v>
      </c>
      <c r="D525" t="s">
        <v>2339</v>
      </c>
      <c r="E525" t="s">
        <v>2704</v>
      </c>
      <c r="G525" t="s">
        <v>2747</v>
      </c>
      <c r="H525" t="s">
        <v>804</v>
      </c>
      <c r="I525" t="s">
        <v>3975</v>
      </c>
    </row>
    <row r="526" spans="1:9">
      <c r="A526" s="145" t="s">
        <v>4109</v>
      </c>
      <c r="B526" t="s">
        <v>2166</v>
      </c>
      <c r="C526" t="s">
        <v>2493</v>
      </c>
      <c r="E526" t="s">
        <v>2490</v>
      </c>
      <c r="G526" t="s">
        <v>2747</v>
      </c>
      <c r="H526" t="s">
        <v>2490</v>
      </c>
      <c r="I526" t="s">
        <v>3975</v>
      </c>
    </row>
    <row r="527" spans="1:9">
      <c r="A527" s="145" t="s">
        <v>4109</v>
      </c>
      <c r="B527" t="s">
        <v>2166</v>
      </c>
      <c r="C527" t="s">
        <v>2494</v>
      </c>
      <c r="E527" t="s">
        <v>2490</v>
      </c>
      <c r="G527" t="s">
        <v>2747</v>
      </c>
      <c r="H527" t="s">
        <v>2490</v>
      </c>
      <c r="I527" t="s">
        <v>3975</v>
      </c>
    </row>
    <row r="528" spans="1:9">
      <c r="A528" s="145" t="s">
        <v>4109</v>
      </c>
      <c r="B528" t="s">
        <v>2166</v>
      </c>
      <c r="C528" t="s">
        <v>2400</v>
      </c>
      <c r="E528" t="s">
        <v>2401</v>
      </c>
      <c r="G528" t="s">
        <v>2747</v>
      </c>
      <c r="H528" t="s">
        <v>2490</v>
      </c>
      <c r="I528" t="s">
        <v>3975</v>
      </c>
    </row>
    <row r="529" spans="1:9">
      <c r="A529" s="145" t="s">
        <v>4109</v>
      </c>
      <c r="B529" t="s">
        <v>2166</v>
      </c>
      <c r="C529" t="s">
        <v>2495</v>
      </c>
      <c r="D529" t="s">
        <v>2483</v>
      </c>
      <c r="E529" t="s">
        <v>120</v>
      </c>
      <c r="G529" t="s">
        <v>2747</v>
      </c>
      <c r="H529" t="s">
        <v>120</v>
      </c>
      <c r="I529" t="s">
        <v>3975</v>
      </c>
    </row>
    <row r="530" spans="1:9">
      <c r="A530" s="145" t="s">
        <v>4109</v>
      </c>
      <c r="B530" t="s">
        <v>2166</v>
      </c>
      <c r="C530" t="s">
        <v>2496</v>
      </c>
      <c r="D530" t="s">
        <v>2483</v>
      </c>
      <c r="E530" t="s">
        <v>120</v>
      </c>
      <c r="G530" t="s">
        <v>2747</v>
      </c>
      <c r="H530" t="s">
        <v>120</v>
      </c>
      <c r="I530" t="s">
        <v>3975</v>
      </c>
    </row>
    <row r="531" spans="1:9">
      <c r="A531" s="145" t="s">
        <v>4109</v>
      </c>
      <c r="B531" t="s">
        <v>2166</v>
      </c>
      <c r="C531" t="s">
        <v>2497</v>
      </c>
      <c r="D531" t="s">
        <v>2339</v>
      </c>
      <c r="E531" t="s">
        <v>120</v>
      </c>
      <c r="G531" t="s">
        <v>2747</v>
      </c>
      <c r="H531" t="s">
        <v>120</v>
      </c>
      <c r="I531" t="s">
        <v>3975</v>
      </c>
    </row>
    <row r="532" spans="1:9">
      <c r="A532" s="145" t="s">
        <v>4109</v>
      </c>
      <c r="B532" t="s">
        <v>2166</v>
      </c>
      <c r="C532" t="s">
        <v>2498</v>
      </c>
      <c r="D532" t="s">
        <v>2499</v>
      </c>
      <c r="E532" t="s">
        <v>2490</v>
      </c>
      <c r="G532" t="s">
        <v>2747</v>
      </c>
      <c r="H532" t="s">
        <v>2490</v>
      </c>
      <c r="I532" t="s">
        <v>3975</v>
      </c>
    </row>
    <row r="533" spans="1:9">
      <c r="A533" s="145" t="s">
        <v>4109</v>
      </c>
      <c r="B533" t="s">
        <v>2166</v>
      </c>
      <c r="C533" t="s">
        <v>2500</v>
      </c>
      <c r="D533" t="s">
        <v>2499</v>
      </c>
      <c r="E533" t="s">
        <v>2490</v>
      </c>
      <c r="G533" t="s">
        <v>2747</v>
      </c>
      <c r="H533" t="s">
        <v>2490</v>
      </c>
      <c r="I533" t="s">
        <v>3975</v>
      </c>
    </row>
    <row r="534" spans="1:9">
      <c r="A534" s="145" t="s">
        <v>4109</v>
      </c>
      <c r="B534" t="s">
        <v>2166</v>
      </c>
      <c r="C534" t="s">
        <v>2350</v>
      </c>
      <c r="E534" t="s">
        <v>2329</v>
      </c>
      <c r="G534" t="s">
        <v>2747</v>
      </c>
      <c r="H534" t="s">
        <v>2696</v>
      </c>
      <c r="I534" t="s">
        <v>3975</v>
      </c>
    </row>
    <row r="535" spans="1:9">
      <c r="A535" s="145" t="s">
        <v>4109</v>
      </c>
      <c r="B535" t="s">
        <v>2166</v>
      </c>
      <c r="C535" t="s">
        <v>2501</v>
      </c>
      <c r="D535" t="s">
        <v>2499</v>
      </c>
      <c r="E535" t="s">
        <v>120</v>
      </c>
      <c r="F535" t="s">
        <v>2502</v>
      </c>
      <c r="G535" t="s">
        <v>2747</v>
      </c>
      <c r="H535" t="s">
        <v>120</v>
      </c>
      <c r="I535" t="s">
        <v>3975</v>
      </c>
    </row>
    <row r="536" spans="1:9">
      <c r="A536" s="145" t="s">
        <v>4109</v>
      </c>
      <c r="B536" t="s">
        <v>2167</v>
      </c>
      <c r="C536" t="s">
        <v>2504</v>
      </c>
      <c r="D536" t="s">
        <v>2505</v>
      </c>
      <c r="E536" t="s">
        <v>120</v>
      </c>
      <c r="G536" t="s">
        <v>2747</v>
      </c>
      <c r="H536" t="s">
        <v>120</v>
      </c>
      <c r="I536" t="s">
        <v>3979</v>
      </c>
    </row>
    <row r="537" spans="1:9">
      <c r="A537" s="145" t="s">
        <v>4109</v>
      </c>
      <c r="B537" t="s">
        <v>2167</v>
      </c>
      <c r="C537" t="s">
        <v>2506</v>
      </c>
      <c r="D537" t="s">
        <v>2435</v>
      </c>
      <c r="E537" t="s">
        <v>120</v>
      </c>
      <c r="G537" t="s">
        <v>2747</v>
      </c>
      <c r="H537" t="s">
        <v>120</v>
      </c>
      <c r="I537" t="s">
        <v>3979</v>
      </c>
    </row>
    <row r="538" spans="1:9">
      <c r="A538" s="145" t="s">
        <v>4109</v>
      </c>
      <c r="B538" t="s">
        <v>2167</v>
      </c>
      <c r="C538" t="s">
        <v>2507</v>
      </c>
      <c r="D538" t="s">
        <v>2435</v>
      </c>
      <c r="E538" t="s">
        <v>120</v>
      </c>
      <c r="G538" t="s">
        <v>2747</v>
      </c>
      <c r="H538" t="s">
        <v>120</v>
      </c>
      <c r="I538" t="s">
        <v>3979</v>
      </c>
    </row>
    <row r="539" spans="1:9">
      <c r="A539" s="145" t="s">
        <v>4109</v>
      </c>
      <c r="B539" t="s">
        <v>2169</v>
      </c>
      <c r="C539" t="s">
        <v>2352</v>
      </c>
      <c r="D539" t="s">
        <v>2353</v>
      </c>
      <c r="E539" t="s">
        <v>2317</v>
      </c>
      <c r="F539" t="s">
        <v>2354</v>
      </c>
      <c r="G539" t="s">
        <v>2747</v>
      </c>
      <c r="H539" t="s">
        <v>2319</v>
      </c>
      <c r="I539" t="s">
        <v>3983</v>
      </c>
    </row>
    <row r="540" spans="1:9">
      <c r="A540" s="145" t="s">
        <v>4109</v>
      </c>
      <c r="B540" t="s">
        <v>2169</v>
      </c>
      <c r="C540" t="s">
        <v>2355</v>
      </c>
      <c r="D540" t="s">
        <v>2356</v>
      </c>
      <c r="E540" t="s">
        <v>2317</v>
      </c>
      <c r="F540" t="s">
        <v>2357</v>
      </c>
      <c r="G540" t="s">
        <v>2747</v>
      </c>
      <c r="H540" t="s">
        <v>2319</v>
      </c>
      <c r="I540" t="s">
        <v>3983</v>
      </c>
    </row>
    <row r="541" spans="1:9">
      <c r="A541" s="145" t="s">
        <v>4109</v>
      </c>
      <c r="B541" t="s">
        <v>2169</v>
      </c>
      <c r="C541" t="s">
        <v>2509</v>
      </c>
      <c r="D541" t="s">
        <v>2353</v>
      </c>
      <c r="E541" t="s">
        <v>2490</v>
      </c>
      <c r="F541" t="s">
        <v>2510</v>
      </c>
      <c r="G541" t="s">
        <v>2747</v>
      </c>
      <c r="H541" t="s">
        <v>2490</v>
      </c>
      <c r="I541" t="s">
        <v>3983</v>
      </c>
    </row>
    <row r="542" spans="1:9">
      <c r="A542" s="145" t="s">
        <v>4109</v>
      </c>
      <c r="B542" t="s">
        <v>2169</v>
      </c>
      <c r="C542" t="s">
        <v>2511</v>
      </c>
      <c r="D542" t="s">
        <v>2407</v>
      </c>
      <c r="E542" t="s">
        <v>120</v>
      </c>
      <c r="F542" t="s">
        <v>2512</v>
      </c>
      <c r="G542" t="s">
        <v>2747</v>
      </c>
      <c r="H542" t="s">
        <v>120</v>
      </c>
      <c r="I542" t="s">
        <v>3983</v>
      </c>
    </row>
    <row r="543" spans="1:9">
      <c r="A543" s="145" t="s">
        <v>4109</v>
      </c>
      <c r="B543" t="s">
        <v>2169</v>
      </c>
      <c r="C543" t="s">
        <v>2513</v>
      </c>
      <c r="D543" t="s">
        <v>2404</v>
      </c>
      <c r="E543" t="s">
        <v>120</v>
      </c>
      <c r="F543" t="s">
        <v>2514</v>
      </c>
      <c r="G543" t="s">
        <v>2747</v>
      </c>
      <c r="H543" t="s">
        <v>120</v>
      </c>
      <c r="I543" t="s">
        <v>3983</v>
      </c>
    </row>
    <row r="544" spans="1:9">
      <c r="A544" s="145" t="s">
        <v>4109</v>
      </c>
      <c r="B544" t="s">
        <v>2169</v>
      </c>
      <c r="C544" t="s">
        <v>2515</v>
      </c>
      <c r="D544" t="s">
        <v>2516</v>
      </c>
      <c r="E544" t="s">
        <v>120</v>
      </c>
      <c r="F544" t="s">
        <v>2517</v>
      </c>
      <c r="G544" t="s">
        <v>2747</v>
      </c>
      <c r="H544" t="s">
        <v>120</v>
      </c>
      <c r="I544" t="s">
        <v>3983</v>
      </c>
    </row>
    <row r="545" spans="1:9">
      <c r="A545" s="145" t="s">
        <v>4109</v>
      </c>
      <c r="B545" t="s">
        <v>2169</v>
      </c>
      <c r="C545" t="s">
        <v>2358</v>
      </c>
      <c r="E545" t="s">
        <v>2329</v>
      </c>
      <c r="G545" t="s">
        <v>2747</v>
      </c>
      <c r="H545" t="s">
        <v>2696</v>
      </c>
      <c r="I545" t="s">
        <v>3983</v>
      </c>
    </row>
    <row r="546" spans="1:9">
      <c r="A546" s="145" t="s">
        <v>4109</v>
      </c>
      <c r="B546" t="s">
        <v>2173</v>
      </c>
      <c r="C546" t="s">
        <v>2519</v>
      </c>
      <c r="D546" t="s">
        <v>2407</v>
      </c>
      <c r="E546" t="s">
        <v>120</v>
      </c>
      <c r="F546" t="s">
        <v>2520</v>
      </c>
      <c r="G546" t="s">
        <v>2747</v>
      </c>
      <c r="H546" t="s">
        <v>120</v>
      </c>
      <c r="I546" t="s">
        <v>3987</v>
      </c>
    </row>
    <row r="547" spans="1:9">
      <c r="A547" s="145" t="s">
        <v>4109</v>
      </c>
      <c r="B547" t="s">
        <v>2173</v>
      </c>
      <c r="C547" t="s">
        <v>2521</v>
      </c>
      <c r="D547" t="s">
        <v>2407</v>
      </c>
      <c r="E547" t="s">
        <v>120</v>
      </c>
      <c r="G547" t="s">
        <v>2747</v>
      </c>
      <c r="H547" t="s">
        <v>120</v>
      </c>
      <c r="I547" t="s">
        <v>3987</v>
      </c>
    </row>
    <row r="548" spans="1:9">
      <c r="A548" s="145" t="s">
        <v>4109</v>
      </c>
      <c r="B548" t="s">
        <v>2173</v>
      </c>
      <c r="C548" t="s">
        <v>2522</v>
      </c>
      <c r="D548" t="s">
        <v>2523</v>
      </c>
      <c r="E548" t="s">
        <v>120</v>
      </c>
      <c r="F548" t="s">
        <v>2524</v>
      </c>
      <c r="G548" t="s">
        <v>2747</v>
      </c>
      <c r="H548" t="s">
        <v>120</v>
      </c>
      <c r="I548" t="s">
        <v>3987</v>
      </c>
    </row>
    <row r="549" spans="1:9">
      <c r="A549" s="145" t="s">
        <v>4109</v>
      </c>
      <c r="B549" t="s">
        <v>2173</v>
      </c>
      <c r="C549" t="s">
        <v>2525</v>
      </c>
      <c r="D549" t="s">
        <v>2412</v>
      </c>
      <c r="E549" t="s">
        <v>120</v>
      </c>
      <c r="F549" t="s">
        <v>2520</v>
      </c>
      <c r="G549" t="s">
        <v>2747</v>
      </c>
      <c r="H549" t="s">
        <v>120</v>
      </c>
      <c r="I549" t="s">
        <v>3987</v>
      </c>
    </row>
    <row r="550" spans="1:9">
      <c r="A550" s="145" t="s">
        <v>4109</v>
      </c>
      <c r="B550" t="s">
        <v>2173</v>
      </c>
      <c r="C550" t="s">
        <v>2526</v>
      </c>
      <c r="D550" t="s">
        <v>2412</v>
      </c>
      <c r="E550" t="s">
        <v>120</v>
      </c>
      <c r="F550" t="s">
        <v>2527</v>
      </c>
      <c r="G550" t="s">
        <v>2747</v>
      </c>
      <c r="H550" t="s">
        <v>120</v>
      </c>
      <c r="I550" t="s">
        <v>3987</v>
      </c>
    </row>
    <row r="551" spans="1:9">
      <c r="A551" s="145" t="s">
        <v>4109</v>
      </c>
      <c r="B551" t="s">
        <v>2173</v>
      </c>
      <c r="C551" t="s">
        <v>2528</v>
      </c>
      <c r="D551" t="s">
        <v>2529</v>
      </c>
      <c r="E551" t="s">
        <v>2490</v>
      </c>
      <c r="G551" t="s">
        <v>2747</v>
      </c>
      <c r="H551" t="s">
        <v>2490</v>
      </c>
      <c r="I551" t="s">
        <v>3987</v>
      </c>
    </row>
    <row r="552" spans="1:9">
      <c r="A552" s="145" t="s">
        <v>4109</v>
      </c>
      <c r="B552" t="s">
        <v>2173</v>
      </c>
      <c r="C552" t="s">
        <v>2413</v>
      </c>
      <c r="D552" t="s">
        <v>2407</v>
      </c>
      <c r="E552" t="s">
        <v>2414</v>
      </c>
      <c r="F552" t="s">
        <v>2416</v>
      </c>
      <c r="G552" t="s">
        <v>2747</v>
      </c>
      <c r="H552" t="s">
        <v>2780</v>
      </c>
      <c r="I552" t="s">
        <v>3987</v>
      </c>
    </row>
    <row r="553" spans="1:9">
      <c r="A553" s="145" t="s">
        <v>4109</v>
      </c>
      <c r="B553" t="s">
        <v>2173</v>
      </c>
      <c r="C553" t="s">
        <v>2532</v>
      </c>
      <c r="D553" t="s">
        <v>2529</v>
      </c>
      <c r="E553" t="s">
        <v>2533</v>
      </c>
      <c r="G553" t="s">
        <v>2747</v>
      </c>
      <c r="H553" t="s">
        <v>120</v>
      </c>
      <c r="I553" t="s">
        <v>3987</v>
      </c>
    </row>
    <row r="554" spans="1:9">
      <c r="A554" s="145" t="s">
        <v>4109</v>
      </c>
      <c r="B554" t="s">
        <v>2173</v>
      </c>
      <c r="C554" t="s">
        <v>2360</v>
      </c>
      <c r="E554" t="s">
        <v>2317</v>
      </c>
      <c r="F554" t="s">
        <v>2361</v>
      </c>
      <c r="G554" t="s">
        <v>2747</v>
      </c>
      <c r="H554" t="s">
        <v>2319</v>
      </c>
      <c r="I554" t="s">
        <v>3987</v>
      </c>
    </row>
    <row r="555" spans="1:9">
      <c r="A555" s="145" t="s">
        <v>4109</v>
      </c>
      <c r="B555" t="s">
        <v>2173</v>
      </c>
      <c r="C555" t="s">
        <v>2534</v>
      </c>
      <c r="D555" t="s">
        <v>2363</v>
      </c>
      <c r="E555" t="s">
        <v>120</v>
      </c>
      <c r="F555" t="s">
        <v>2535</v>
      </c>
      <c r="G555" t="s">
        <v>2747</v>
      </c>
      <c r="H555" t="s">
        <v>120</v>
      </c>
      <c r="I555" t="s">
        <v>3987</v>
      </c>
    </row>
    <row r="556" spans="1:9">
      <c r="A556" s="145" t="s">
        <v>4109</v>
      </c>
      <c r="B556" t="s">
        <v>2173</v>
      </c>
      <c r="C556" t="s">
        <v>2362</v>
      </c>
      <c r="D556" t="s">
        <v>2363</v>
      </c>
      <c r="E556" t="s">
        <v>2364</v>
      </c>
      <c r="G556" t="s">
        <v>2747</v>
      </c>
      <c r="H556" t="s">
        <v>2365</v>
      </c>
      <c r="I556" t="s">
        <v>3987</v>
      </c>
    </row>
    <row r="557" spans="1:9">
      <c r="A557" s="145" t="s">
        <v>4109</v>
      </c>
      <c r="B557" t="s">
        <v>2176</v>
      </c>
      <c r="C557" t="s">
        <v>2537</v>
      </c>
      <c r="D557" t="s">
        <v>2538</v>
      </c>
      <c r="E557" t="s">
        <v>120</v>
      </c>
      <c r="G557" t="s">
        <v>2747</v>
      </c>
      <c r="H557" t="s">
        <v>120</v>
      </c>
      <c r="I557" t="s">
        <v>3991</v>
      </c>
    </row>
    <row r="558" spans="1:9">
      <c r="A558" s="145" t="s">
        <v>4109</v>
      </c>
      <c r="B558" t="s">
        <v>2176</v>
      </c>
      <c r="C558" t="s">
        <v>2539</v>
      </c>
      <c r="D558" t="s">
        <v>2538</v>
      </c>
      <c r="E558" t="s">
        <v>2490</v>
      </c>
      <c r="F558" t="s">
        <v>2540</v>
      </c>
      <c r="G558" t="s">
        <v>2747</v>
      </c>
      <c r="H558" t="s">
        <v>2490</v>
      </c>
      <c r="I558" t="s">
        <v>3991</v>
      </c>
    </row>
    <row r="559" spans="1:9">
      <c r="A559" s="145" t="s">
        <v>4109</v>
      </c>
      <c r="B559" t="s">
        <v>2176</v>
      </c>
      <c r="C559" t="s">
        <v>2541</v>
      </c>
      <c r="D559" t="s">
        <v>2542</v>
      </c>
      <c r="E559" t="s">
        <v>2543</v>
      </c>
      <c r="G559" t="s">
        <v>2747</v>
      </c>
      <c r="H559" t="s">
        <v>120</v>
      </c>
      <c r="I559" t="s">
        <v>3991</v>
      </c>
    </row>
    <row r="560" spans="1:9">
      <c r="A560" s="145" t="s">
        <v>4109</v>
      </c>
      <c r="B560" t="s">
        <v>2176</v>
      </c>
      <c r="C560" t="s">
        <v>2421</v>
      </c>
      <c r="D560" t="s">
        <v>2422</v>
      </c>
      <c r="E560" t="s">
        <v>2423</v>
      </c>
      <c r="F560" t="s">
        <v>2425</v>
      </c>
      <c r="G560" t="s">
        <v>2747</v>
      </c>
      <c r="H560" t="s">
        <v>2781</v>
      </c>
      <c r="I560" t="s">
        <v>3991</v>
      </c>
    </row>
    <row r="561" spans="1:9">
      <c r="A561" s="145" t="s">
        <v>4109</v>
      </c>
      <c r="B561" t="s">
        <v>2176</v>
      </c>
      <c r="C561" t="s">
        <v>2545</v>
      </c>
      <c r="D561" t="s">
        <v>2422</v>
      </c>
      <c r="E561" t="s">
        <v>2461</v>
      </c>
      <c r="F561" t="s">
        <v>2546</v>
      </c>
      <c r="G561" t="s">
        <v>2747</v>
      </c>
      <c r="H561" t="s">
        <v>120</v>
      </c>
      <c r="I561" t="s">
        <v>3991</v>
      </c>
    </row>
    <row r="562" spans="1:9">
      <c r="A562" s="145" t="s">
        <v>4109</v>
      </c>
      <c r="B562" t="s">
        <v>2176</v>
      </c>
      <c r="C562" t="s">
        <v>2547</v>
      </c>
      <c r="D562" t="s">
        <v>2538</v>
      </c>
      <c r="E562" t="s">
        <v>2548</v>
      </c>
      <c r="G562" t="s">
        <v>2747</v>
      </c>
      <c r="H562" t="s">
        <v>120</v>
      </c>
      <c r="I562" t="s">
        <v>3991</v>
      </c>
    </row>
    <row r="563" spans="1:9">
      <c r="A563" s="145" t="s">
        <v>4109</v>
      </c>
      <c r="B563" t="s">
        <v>2176</v>
      </c>
      <c r="C563" t="s">
        <v>2549</v>
      </c>
      <c r="D563" t="s">
        <v>2538</v>
      </c>
      <c r="E563" t="s">
        <v>2550</v>
      </c>
      <c r="F563" t="s">
        <v>2551</v>
      </c>
      <c r="G563" t="s">
        <v>2747</v>
      </c>
      <c r="H563" t="s">
        <v>120</v>
      </c>
      <c r="I563" t="s">
        <v>3991</v>
      </c>
    </row>
    <row r="564" spans="1:9">
      <c r="A564" s="145" t="s">
        <v>4109</v>
      </c>
      <c r="B564" t="s">
        <v>2176</v>
      </c>
      <c r="C564" t="s">
        <v>2552</v>
      </c>
      <c r="D564" t="s">
        <v>2538</v>
      </c>
      <c r="E564" t="s">
        <v>2553</v>
      </c>
      <c r="G564" t="s">
        <v>2747</v>
      </c>
      <c r="H564" t="s">
        <v>120</v>
      </c>
      <c r="I564" t="s">
        <v>3991</v>
      </c>
    </row>
    <row r="565" spans="1:9">
      <c r="A565" s="145" t="s">
        <v>4109</v>
      </c>
      <c r="B565" t="s">
        <v>2178</v>
      </c>
      <c r="C565" t="s">
        <v>2367</v>
      </c>
      <c r="E565" t="s">
        <v>2317</v>
      </c>
      <c r="F565" t="s">
        <v>2368</v>
      </c>
      <c r="G565" t="s">
        <v>2747</v>
      </c>
      <c r="H565" t="s">
        <v>2319</v>
      </c>
      <c r="I565" t="s">
        <v>3995</v>
      </c>
    </row>
    <row r="566" spans="1:9">
      <c r="A566" s="145" t="s">
        <v>4109</v>
      </c>
      <c r="B566" t="s">
        <v>2178</v>
      </c>
      <c r="C566" t="s">
        <v>2427</v>
      </c>
      <c r="D566" t="s">
        <v>2370</v>
      </c>
      <c r="E566" t="s">
        <v>2428</v>
      </c>
      <c r="F566" t="s">
        <v>2429</v>
      </c>
      <c r="G566" t="s">
        <v>2747</v>
      </c>
      <c r="H566" t="s">
        <v>120</v>
      </c>
      <c r="I566" t="s">
        <v>3995</v>
      </c>
    </row>
    <row r="567" spans="1:9">
      <c r="A567" s="145" t="s">
        <v>4109</v>
      </c>
      <c r="B567" t="s">
        <v>2178</v>
      </c>
      <c r="C567" t="s">
        <v>2555</v>
      </c>
      <c r="D567" t="s">
        <v>2363</v>
      </c>
      <c r="E567" t="s">
        <v>2556</v>
      </c>
      <c r="F567" t="s">
        <v>2557</v>
      </c>
      <c r="G567" t="s">
        <v>2747</v>
      </c>
      <c r="H567" t="s">
        <v>120</v>
      </c>
      <c r="I567" t="s">
        <v>3995</v>
      </c>
    </row>
    <row r="568" spans="1:9">
      <c r="A568" s="145" t="s">
        <v>4109</v>
      </c>
      <c r="B568" t="s">
        <v>2178</v>
      </c>
      <c r="C568" t="s">
        <v>2558</v>
      </c>
      <c r="D568" t="s">
        <v>2559</v>
      </c>
      <c r="E568" t="s">
        <v>2560</v>
      </c>
      <c r="F568" t="s">
        <v>2561</v>
      </c>
      <c r="G568" t="s">
        <v>2747</v>
      </c>
      <c r="H568" t="s">
        <v>120</v>
      </c>
      <c r="I568" t="s">
        <v>3995</v>
      </c>
    </row>
    <row r="569" spans="1:9">
      <c r="A569" s="145" t="s">
        <v>4109</v>
      </c>
      <c r="B569" t="s">
        <v>2178</v>
      </c>
      <c r="C569" t="s">
        <v>2562</v>
      </c>
      <c r="D569" t="s">
        <v>2370</v>
      </c>
      <c r="E569" t="s">
        <v>120</v>
      </c>
      <c r="F569" t="s">
        <v>2563</v>
      </c>
      <c r="G569" t="s">
        <v>2747</v>
      </c>
      <c r="H569" t="s">
        <v>120</v>
      </c>
      <c r="I569" t="s">
        <v>3995</v>
      </c>
    </row>
    <row r="570" spans="1:9">
      <c r="A570" s="145" t="s">
        <v>4109</v>
      </c>
      <c r="B570" t="s">
        <v>2178</v>
      </c>
      <c r="C570" t="s">
        <v>2369</v>
      </c>
      <c r="D570" t="s">
        <v>2370</v>
      </c>
      <c r="E570" t="s">
        <v>2317</v>
      </c>
      <c r="F570" t="s">
        <v>2371</v>
      </c>
      <c r="G570" t="s">
        <v>2747</v>
      </c>
      <c r="H570" t="s">
        <v>2319</v>
      </c>
      <c r="I570" t="s">
        <v>3995</v>
      </c>
    </row>
    <row r="571" spans="1:9">
      <c r="A571" s="145" t="s">
        <v>4109</v>
      </c>
      <c r="B571" t="s">
        <v>2178</v>
      </c>
      <c r="C571" t="s">
        <v>2372</v>
      </c>
      <c r="E571" t="s">
        <v>2329</v>
      </c>
      <c r="G571" t="s">
        <v>2747</v>
      </c>
      <c r="H571" t="s">
        <v>2696</v>
      </c>
      <c r="I571" t="s">
        <v>3995</v>
      </c>
    </row>
    <row r="572" spans="1:9">
      <c r="A572" s="145" t="s">
        <v>4109</v>
      </c>
      <c r="B572" t="s">
        <v>2178</v>
      </c>
      <c r="C572" t="s">
        <v>2564</v>
      </c>
      <c r="E572" t="s">
        <v>120</v>
      </c>
      <c r="G572" t="s">
        <v>2747</v>
      </c>
      <c r="H572" t="s">
        <v>120</v>
      </c>
      <c r="I572" t="s">
        <v>3995</v>
      </c>
    </row>
    <row r="573" spans="1:9">
      <c r="A573" s="145" t="s">
        <v>4109</v>
      </c>
      <c r="B573" t="s">
        <v>2178</v>
      </c>
      <c r="C573" t="s">
        <v>2565</v>
      </c>
      <c r="D573" t="s">
        <v>2370</v>
      </c>
      <c r="E573" t="s">
        <v>2566</v>
      </c>
      <c r="F573" t="s">
        <v>2567</v>
      </c>
      <c r="G573" t="s">
        <v>2747</v>
      </c>
      <c r="H573" t="s">
        <v>2566</v>
      </c>
      <c r="I573" t="s">
        <v>3995</v>
      </c>
    </row>
    <row r="574" spans="1:9">
      <c r="A574" s="145" t="s">
        <v>4109</v>
      </c>
      <c r="B574" t="s">
        <v>3874</v>
      </c>
      <c r="C574" t="s">
        <v>2374</v>
      </c>
      <c r="E574" t="s">
        <v>2329</v>
      </c>
      <c r="F574" t="s">
        <v>2375</v>
      </c>
      <c r="G574" t="s">
        <v>2747</v>
      </c>
      <c r="H574" t="s">
        <v>2696</v>
      </c>
    </row>
    <row r="575" spans="1:9">
      <c r="A575" s="145" t="s">
        <v>4109</v>
      </c>
      <c r="B575" t="s">
        <v>3874</v>
      </c>
      <c r="C575" t="s">
        <v>2569</v>
      </c>
      <c r="D575" t="s">
        <v>2570</v>
      </c>
      <c r="E575" t="s">
        <v>2571</v>
      </c>
      <c r="F575" t="s">
        <v>2437</v>
      </c>
      <c r="G575" t="s">
        <v>2747</v>
      </c>
      <c r="H575" t="s">
        <v>120</v>
      </c>
    </row>
    <row r="576" spans="1:9">
      <c r="A576" s="145" t="s">
        <v>4109</v>
      </c>
      <c r="B576" t="s">
        <v>3874</v>
      </c>
      <c r="C576" t="s">
        <v>2572</v>
      </c>
      <c r="D576" t="s">
        <v>2432</v>
      </c>
      <c r="E576" t="s">
        <v>120</v>
      </c>
      <c r="F576" t="s">
        <v>2573</v>
      </c>
      <c r="G576" t="s">
        <v>2747</v>
      </c>
      <c r="H576" t="s">
        <v>120</v>
      </c>
    </row>
    <row r="577" spans="1:9">
      <c r="A577" s="145" t="s">
        <v>4109</v>
      </c>
      <c r="B577" t="s">
        <v>3874</v>
      </c>
      <c r="C577" t="s">
        <v>2574</v>
      </c>
      <c r="D577" t="s">
        <v>2570</v>
      </c>
      <c r="E577" t="s">
        <v>120</v>
      </c>
      <c r="F577" t="s">
        <v>2573</v>
      </c>
      <c r="G577" t="s">
        <v>2747</v>
      </c>
      <c r="H577" t="s">
        <v>120</v>
      </c>
    </row>
    <row r="578" spans="1:9">
      <c r="A578" s="145" t="s">
        <v>4109</v>
      </c>
      <c r="B578" t="s">
        <v>3874</v>
      </c>
      <c r="C578" t="s">
        <v>2575</v>
      </c>
      <c r="D578" t="s">
        <v>2576</v>
      </c>
      <c r="E578" t="s">
        <v>2490</v>
      </c>
      <c r="F578" t="s">
        <v>2577</v>
      </c>
      <c r="G578" t="s">
        <v>2747</v>
      </c>
      <c r="H578" t="s">
        <v>2490</v>
      </c>
    </row>
    <row r="579" spans="1:9">
      <c r="A579" s="145" t="s">
        <v>4109</v>
      </c>
      <c r="B579" t="s">
        <v>3874</v>
      </c>
      <c r="C579" t="s">
        <v>2578</v>
      </c>
      <c r="D579" t="s">
        <v>2579</v>
      </c>
      <c r="E579" t="s">
        <v>2543</v>
      </c>
      <c r="F579" t="s">
        <v>2580</v>
      </c>
      <c r="G579" t="s">
        <v>2747</v>
      </c>
      <c r="H579" t="s">
        <v>120</v>
      </c>
    </row>
    <row r="580" spans="1:9">
      <c r="A580" s="145" t="s">
        <v>4111</v>
      </c>
      <c r="B580" t="s">
        <v>2154</v>
      </c>
      <c r="C580" t="s">
        <v>2381</v>
      </c>
      <c r="E580" t="s">
        <v>1396</v>
      </c>
      <c r="G580" t="s">
        <v>2747</v>
      </c>
      <c r="H580" t="s">
        <v>1396</v>
      </c>
      <c r="I580" t="s">
        <v>3955</v>
      </c>
    </row>
    <row r="581" spans="1:9">
      <c r="A581" s="145" t="s">
        <v>4111</v>
      </c>
      <c r="B581" t="s">
        <v>2154</v>
      </c>
      <c r="C581" t="s">
        <v>2382</v>
      </c>
      <c r="E581" t="s">
        <v>2383</v>
      </c>
      <c r="G581" t="s">
        <v>2747</v>
      </c>
      <c r="H581" t="s">
        <v>1396</v>
      </c>
      <c r="I581" t="s">
        <v>3955</v>
      </c>
    </row>
    <row r="582" spans="1:9">
      <c r="A582" s="145" t="s">
        <v>4111</v>
      </c>
      <c r="B582" t="s">
        <v>3644</v>
      </c>
      <c r="C582" t="s">
        <v>2458</v>
      </c>
      <c r="D582" t="s">
        <v>2457</v>
      </c>
      <c r="E582" t="s">
        <v>2459</v>
      </c>
      <c r="G582" t="s">
        <v>2747</v>
      </c>
      <c r="H582" t="s">
        <v>2776</v>
      </c>
      <c r="I582" t="s">
        <v>3963</v>
      </c>
    </row>
    <row r="583" spans="1:9">
      <c r="A583" s="145" t="s">
        <v>4111</v>
      </c>
      <c r="B583" t="s">
        <v>2161</v>
      </c>
      <c r="C583" t="s">
        <v>2587</v>
      </c>
      <c r="D583" t="s">
        <v>2363</v>
      </c>
      <c r="E583" t="s">
        <v>2588</v>
      </c>
      <c r="G583" t="s">
        <v>2747</v>
      </c>
      <c r="H583" t="s">
        <v>2585</v>
      </c>
      <c r="I583" t="s">
        <v>3967</v>
      </c>
    </row>
    <row r="584" spans="1:9">
      <c r="A584" s="145" t="s">
        <v>4111</v>
      </c>
      <c r="B584" t="s">
        <v>2161</v>
      </c>
      <c r="C584" t="s">
        <v>2392</v>
      </c>
      <c r="D584" t="s">
        <v>2390</v>
      </c>
      <c r="E584" t="s">
        <v>2393</v>
      </c>
      <c r="F584" t="s">
        <v>2394</v>
      </c>
      <c r="G584" t="s">
        <v>2747</v>
      </c>
      <c r="H584" t="s">
        <v>2585</v>
      </c>
      <c r="I584" t="s">
        <v>3967</v>
      </c>
    </row>
    <row r="585" spans="1:9">
      <c r="A585" s="145" t="s">
        <v>4111</v>
      </c>
      <c r="B585" t="s">
        <v>2173</v>
      </c>
      <c r="C585" t="s">
        <v>2413</v>
      </c>
      <c r="D585" t="s">
        <v>2407</v>
      </c>
      <c r="E585" t="s">
        <v>2414</v>
      </c>
      <c r="F585" t="s">
        <v>2416</v>
      </c>
      <c r="G585" t="s">
        <v>2747</v>
      </c>
      <c r="H585" t="s">
        <v>2777</v>
      </c>
      <c r="I585" t="s">
        <v>3987</v>
      </c>
    </row>
    <row r="586" spans="1:9">
      <c r="A586" s="145" t="s">
        <v>4111</v>
      </c>
      <c r="B586" t="s">
        <v>2176</v>
      </c>
      <c r="C586" t="s">
        <v>2541</v>
      </c>
      <c r="D586" t="s">
        <v>2542</v>
      </c>
      <c r="E586" t="s">
        <v>2543</v>
      </c>
      <c r="G586" t="s">
        <v>2747</v>
      </c>
      <c r="H586" t="s">
        <v>2585</v>
      </c>
      <c r="I586" t="s">
        <v>3991</v>
      </c>
    </row>
    <row r="587" spans="1:9">
      <c r="A587" s="145" t="s">
        <v>4111</v>
      </c>
      <c r="B587" t="s">
        <v>2176</v>
      </c>
      <c r="C587" t="s">
        <v>2421</v>
      </c>
      <c r="D587" t="s">
        <v>2422</v>
      </c>
      <c r="E587" t="s">
        <v>2423</v>
      </c>
      <c r="F587" t="s">
        <v>2425</v>
      </c>
      <c r="G587" t="s">
        <v>2747</v>
      </c>
      <c r="H587" t="s">
        <v>2778</v>
      </c>
      <c r="I587" t="s">
        <v>3991</v>
      </c>
    </row>
    <row r="588" spans="1:9">
      <c r="A588" s="145" t="s">
        <v>4111</v>
      </c>
      <c r="B588" t="s">
        <v>3874</v>
      </c>
      <c r="C588" t="s">
        <v>2578</v>
      </c>
      <c r="D588" t="s">
        <v>2579</v>
      </c>
      <c r="E588" t="s">
        <v>2543</v>
      </c>
      <c r="F588" t="s">
        <v>2580</v>
      </c>
      <c r="G588" t="s">
        <v>2747</v>
      </c>
      <c r="H588" t="s">
        <v>2585</v>
      </c>
    </row>
    <row r="589" spans="1:9">
      <c r="A589" s="145" t="s">
        <v>4111</v>
      </c>
      <c r="B589" t="s">
        <v>3874</v>
      </c>
      <c r="C589" t="s">
        <v>2599</v>
      </c>
      <c r="D589" t="s">
        <v>2435</v>
      </c>
      <c r="E589" t="s">
        <v>2585</v>
      </c>
      <c r="F589" t="s">
        <v>2375</v>
      </c>
      <c r="G589" t="s">
        <v>2747</v>
      </c>
      <c r="H589" t="s">
        <v>2585</v>
      </c>
    </row>
    <row r="590" spans="1:9">
      <c r="A590" s="145" t="s">
        <v>4113</v>
      </c>
      <c r="B590" t="s">
        <v>2154</v>
      </c>
      <c r="C590" t="s">
        <v>2315</v>
      </c>
      <c r="D590" t="s">
        <v>2316</v>
      </c>
      <c r="E590" t="s">
        <v>2317</v>
      </c>
      <c r="F590" t="s">
        <v>2320</v>
      </c>
      <c r="G590" t="s">
        <v>2747</v>
      </c>
      <c r="H590" t="s">
        <v>2319</v>
      </c>
      <c r="I590" t="s">
        <v>3955</v>
      </c>
    </row>
    <row r="591" spans="1:9">
      <c r="A591" s="145" t="s">
        <v>4113</v>
      </c>
      <c r="B591" t="s">
        <v>2154</v>
      </c>
      <c r="C591" t="s">
        <v>2381</v>
      </c>
      <c r="E591" t="s">
        <v>1396</v>
      </c>
      <c r="G591" t="s">
        <v>2747</v>
      </c>
      <c r="H591" t="s">
        <v>1396</v>
      </c>
      <c r="I591" t="s">
        <v>3955</v>
      </c>
    </row>
    <row r="592" spans="1:9">
      <c r="A592" s="145" t="s">
        <v>4113</v>
      </c>
      <c r="B592" t="s">
        <v>2154</v>
      </c>
      <c r="C592" t="s">
        <v>2382</v>
      </c>
      <c r="E592" t="s">
        <v>2383</v>
      </c>
      <c r="G592" t="s">
        <v>2747</v>
      </c>
      <c r="H592" t="s">
        <v>1396</v>
      </c>
      <c r="I592" t="s">
        <v>3955</v>
      </c>
    </row>
    <row r="593" spans="1:9">
      <c r="A593" s="145" t="s">
        <v>4113</v>
      </c>
      <c r="B593" t="s">
        <v>2154</v>
      </c>
      <c r="C593" t="s">
        <v>2321</v>
      </c>
      <c r="D593" t="s">
        <v>2322</v>
      </c>
      <c r="E593" t="s">
        <v>2317</v>
      </c>
      <c r="G593" t="s">
        <v>2747</v>
      </c>
      <c r="H593" t="s">
        <v>2319</v>
      </c>
      <c r="I593" t="s">
        <v>3955</v>
      </c>
    </row>
    <row r="594" spans="1:9">
      <c r="A594" s="145" t="s">
        <v>4113</v>
      </c>
      <c r="B594" t="s">
        <v>2154</v>
      </c>
      <c r="C594" t="s">
        <v>2324</v>
      </c>
      <c r="D594" t="s">
        <v>2322</v>
      </c>
      <c r="E594" t="s">
        <v>2317</v>
      </c>
      <c r="G594" t="s">
        <v>2747</v>
      </c>
      <c r="H594" t="s">
        <v>2319</v>
      </c>
      <c r="I594" t="s">
        <v>3955</v>
      </c>
    </row>
    <row r="595" spans="1:9">
      <c r="A595" s="145" t="s">
        <v>4113</v>
      </c>
      <c r="B595" t="s">
        <v>2154</v>
      </c>
      <c r="C595" t="s">
        <v>2325</v>
      </c>
      <c r="D595" t="s">
        <v>2326</v>
      </c>
      <c r="E595" t="s">
        <v>2317</v>
      </c>
      <c r="G595" t="s">
        <v>2747</v>
      </c>
      <c r="H595" t="s">
        <v>2319</v>
      </c>
      <c r="I595" t="s">
        <v>3955</v>
      </c>
    </row>
    <row r="596" spans="1:9">
      <c r="A596" s="145" t="s">
        <v>4113</v>
      </c>
      <c r="B596" t="s">
        <v>2156</v>
      </c>
      <c r="C596" t="s">
        <v>2328</v>
      </c>
      <c r="E596" t="s">
        <v>2329</v>
      </c>
      <c r="F596" t="s">
        <v>2331</v>
      </c>
      <c r="G596" t="s">
        <v>2747</v>
      </c>
      <c r="H596" t="s">
        <v>2330</v>
      </c>
      <c r="I596" t="s">
        <v>3959</v>
      </c>
    </row>
    <row r="597" spans="1:9">
      <c r="A597" s="145" t="s">
        <v>4113</v>
      </c>
      <c r="B597" t="s">
        <v>2163</v>
      </c>
      <c r="C597" t="s">
        <v>2333</v>
      </c>
      <c r="D597" t="s">
        <v>2334</v>
      </c>
      <c r="E597" t="s">
        <v>2335</v>
      </c>
      <c r="G597" t="s">
        <v>2747</v>
      </c>
      <c r="H597" t="s">
        <v>2330</v>
      </c>
      <c r="I597" t="s">
        <v>3971</v>
      </c>
    </row>
    <row r="598" spans="1:9">
      <c r="A598" s="145" t="s">
        <v>4113</v>
      </c>
      <c r="B598" t="s">
        <v>2163</v>
      </c>
      <c r="C598" t="s">
        <v>2336</v>
      </c>
      <c r="D598" t="s">
        <v>2334</v>
      </c>
      <c r="E598" t="s">
        <v>2329</v>
      </c>
      <c r="G598" t="s">
        <v>2747</v>
      </c>
      <c r="H598" t="s">
        <v>2330</v>
      </c>
      <c r="I598" t="s">
        <v>3971</v>
      </c>
    </row>
    <row r="599" spans="1:9">
      <c r="A599" s="145" t="s">
        <v>4113</v>
      </c>
      <c r="B599" t="s">
        <v>2163</v>
      </c>
      <c r="C599" t="s">
        <v>2337</v>
      </c>
      <c r="D599" t="s">
        <v>2334</v>
      </c>
      <c r="E599" t="s">
        <v>2329</v>
      </c>
      <c r="G599" t="s">
        <v>2747</v>
      </c>
      <c r="H599" t="s">
        <v>2330</v>
      </c>
      <c r="I599" t="s">
        <v>3971</v>
      </c>
    </row>
    <row r="600" spans="1:9">
      <c r="A600" s="145" t="s">
        <v>4113</v>
      </c>
      <c r="B600" t="s">
        <v>2163</v>
      </c>
      <c r="C600" t="s">
        <v>2338</v>
      </c>
      <c r="D600" t="s">
        <v>2339</v>
      </c>
      <c r="E600" t="s">
        <v>2329</v>
      </c>
      <c r="G600" t="s">
        <v>2747</v>
      </c>
      <c r="H600" t="s">
        <v>2330</v>
      </c>
      <c r="I600" t="s">
        <v>3971</v>
      </c>
    </row>
    <row r="601" spans="1:9">
      <c r="A601" s="145" t="s">
        <v>4113</v>
      </c>
      <c r="B601" t="s">
        <v>2163</v>
      </c>
      <c r="C601" t="s">
        <v>2340</v>
      </c>
      <c r="E601" t="s">
        <v>2329</v>
      </c>
      <c r="G601" t="s">
        <v>2747</v>
      </c>
      <c r="H601" t="s">
        <v>2330</v>
      </c>
      <c r="I601" t="s">
        <v>3971</v>
      </c>
    </row>
    <row r="602" spans="1:9">
      <c r="A602" s="145" t="s">
        <v>4113</v>
      </c>
      <c r="B602" t="s">
        <v>2163</v>
      </c>
      <c r="C602" t="s">
        <v>2341</v>
      </c>
      <c r="E602" t="s">
        <v>2329</v>
      </c>
      <c r="G602" t="s">
        <v>2747</v>
      </c>
      <c r="H602" t="s">
        <v>2330</v>
      </c>
      <c r="I602" t="s">
        <v>3971</v>
      </c>
    </row>
    <row r="603" spans="1:9">
      <c r="A603" s="145" t="s">
        <v>4113</v>
      </c>
      <c r="B603" t="s">
        <v>2163</v>
      </c>
      <c r="C603" t="s">
        <v>2342</v>
      </c>
      <c r="E603" t="s">
        <v>2329</v>
      </c>
      <c r="G603" t="s">
        <v>2747</v>
      </c>
      <c r="H603" t="s">
        <v>2330</v>
      </c>
      <c r="I603" t="s">
        <v>3971</v>
      </c>
    </row>
    <row r="604" spans="1:9">
      <c r="A604" s="145" t="s">
        <v>4113</v>
      </c>
      <c r="B604" t="s">
        <v>2164</v>
      </c>
      <c r="C604" t="s">
        <v>2347</v>
      </c>
      <c r="E604" t="s">
        <v>2329</v>
      </c>
      <c r="G604" t="s">
        <v>2747</v>
      </c>
      <c r="H604" t="s">
        <v>2330</v>
      </c>
      <c r="I604" t="s">
        <v>3973</v>
      </c>
    </row>
    <row r="605" spans="1:9">
      <c r="A605" s="145" t="s">
        <v>4113</v>
      </c>
      <c r="B605" t="s">
        <v>2164</v>
      </c>
      <c r="C605" t="s">
        <v>2348</v>
      </c>
      <c r="E605" t="s">
        <v>2329</v>
      </c>
      <c r="G605" t="s">
        <v>2747</v>
      </c>
      <c r="H605" t="s">
        <v>2330</v>
      </c>
      <c r="I605" t="s">
        <v>3973</v>
      </c>
    </row>
    <row r="606" spans="1:9">
      <c r="A606" s="145" t="s">
        <v>4113</v>
      </c>
      <c r="B606" t="s">
        <v>2166</v>
      </c>
      <c r="C606" t="s">
        <v>2350</v>
      </c>
      <c r="E606" t="s">
        <v>2329</v>
      </c>
      <c r="G606" t="s">
        <v>2747</v>
      </c>
      <c r="H606" t="s">
        <v>2330</v>
      </c>
      <c r="I606" t="s">
        <v>3975</v>
      </c>
    </row>
    <row r="607" spans="1:9">
      <c r="A607" s="145" t="s">
        <v>4113</v>
      </c>
      <c r="B607" t="s">
        <v>2169</v>
      </c>
      <c r="C607" t="s">
        <v>2352</v>
      </c>
      <c r="D607" t="s">
        <v>2353</v>
      </c>
      <c r="E607" t="s">
        <v>2317</v>
      </c>
      <c r="F607" t="s">
        <v>2354</v>
      </c>
      <c r="G607" t="s">
        <v>2747</v>
      </c>
      <c r="H607" t="s">
        <v>2319</v>
      </c>
      <c r="I607" t="s">
        <v>3983</v>
      </c>
    </row>
    <row r="608" spans="1:9">
      <c r="A608" s="145" t="s">
        <v>4113</v>
      </c>
      <c r="B608" t="s">
        <v>2169</v>
      </c>
      <c r="C608" t="s">
        <v>2355</v>
      </c>
      <c r="D608" t="s">
        <v>2356</v>
      </c>
      <c r="E608" t="s">
        <v>2317</v>
      </c>
      <c r="F608" t="s">
        <v>2357</v>
      </c>
      <c r="G608" t="s">
        <v>2747</v>
      </c>
      <c r="H608" t="s">
        <v>2319</v>
      </c>
      <c r="I608" t="s">
        <v>3983</v>
      </c>
    </row>
    <row r="609" spans="1:9">
      <c r="A609" s="145" t="s">
        <v>4113</v>
      </c>
      <c r="B609" t="s">
        <v>2169</v>
      </c>
      <c r="C609" t="s">
        <v>2358</v>
      </c>
      <c r="E609" t="s">
        <v>2329</v>
      </c>
      <c r="G609" t="s">
        <v>2747</v>
      </c>
      <c r="H609" t="s">
        <v>2330</v>
      </c>
      <c r="I609" t="s">
        <v>3983</v>
      </c>
    </row>
    <row r="610" spans="1:9">
      <c r="A610" s="145" t="s">
        <v>4113</v>
      </c>
      <c r="B610" t="s">
        <v>2173</v>
      </c>
      <c r="C610" t="s">
        <v>2413</v>
      </c>
      <c r="D610" t="s">
        <v>2407</v>
      </c>
      <c r="E610" t="s">
        <v>2414</v>
      </c>
      <c r="F610" t="s">
        <v>2416</v>
      </c>
      <c r="G610" t="s">
        <v>2747</v>
      </c>
      <c r="H610" t="s">
        <v>2784</v>
      </c>
      <c r="I610" t="s">
        <v>3987</v>
      </c>
    </row>
    <row r="611" spans="1:9">
      <c r="A611" s="145" t="s">
        <v>4113</v>
      </c>
      <c r="B611" t="s">
        <v>2173</v>
      </c>
      <c r="C611" t="s">
        <v>2360</v>
      </c>
      <c r="E611" t="s">
        <v>2317</v>
      </c>
      <c r="F611" t="s">
        <v>2361</v>
      </c>
      <c r="G611" t="s">
        <v>2747</v>
      </c>
      <c r="H611" t="s">
        <v>2319</v>
      </c>
      <c r="I611" t="s">
        <v>3987</v>
      </c>
    </row>
    <row r="612" spans="1:9">
      <c r="A612" s="145" t="s">
        <v>4113</v>
      </c>
      <c r="B612" t="s">
        <v>2173</v>
      </c>
      <c r="C612" t="s">
        <v>2362</v>
      </c>
      <c r="D612" t="s">
        <v>2363</v>
      </c>
      <c r="E612" t="s">
        <v>2364</v>
      </c>
      <c r="G612" t="s">
        <v>2747</v>
      </c>
      <c r="H612" t="s">
        <v>2365</v>
      </c>
      <c r="I612" t="s">
        <v>3987</v>
      </c>
    </row>
    <row r="613" spans="1:9">
      <c r="A613" s="145" t="s">
        <v>4113</v>
      </c>
      <c r="B613" t="s">
        <v>2176</v>
      </c>
      <c r="C613" t="s">
        <v>2421</v>
      </c>
      <c r="D613" t="s">
        <v>2422</v>
      </c>
      <c r="E613" t="s">
        <v>2423</v>
      </c>
      <c r="F613" t="s">
        <v>2425</v>
      </c>
      <c r="G613" t="s">
        <v>2747</v>
      </c>
      <c r="H613" t="s">
        <v>2755</v>
      </c>
      <c r="I613" t="s">
        <v>3991</v>
      </c>
    </row>
    <row r="614" spans="1:9">
      <c r="A614" s="145" t="s">
        <v>4113</v>
      </c>
      <c r="B614" t="s">
        <v>2176</v>
      </c>
      <c r="C614" t="s">
        <v>2785</v>
      </c>
      <c r="E614" t="s">
        <v>2786</v>
      </c>
      <c r="G614" t="s">
        <v>2747</v>
      </c>
      <c r="H614" t="s">
        <v>2787</v>
      </c>
      <c r="I614" t="s">
        <v>3991</v>
      </c>
    </row>
    <row r="615" spans="1:9">
      <c r="A615" s="145" t="s">
        <v>4113</v>
      </c>
      <c r="B615" t="s">
        <v>2178</v>
      </c>
      <c r="C615" t="s">
        <v>2367</v>
      </c>
      <c r="E615" t="s">
        <v>2317</v>
      </c>
      <c r="F615" t="s">
        <v>2368</v>
      </c>
      <c r="G615" t="s">
        <v>2747</v>
      </c>
      <c r="H615" t="s">
        <v>2319</v>
      </c>
      <c r="I615" t="s">
        <v>3995</v>
      </c>
    </row>
    <row r="616" spans="1:9">
      <c r="A616" s="145" t="s">
        <v>4113</v>
      </c>
      <c r="B616" t="s">
        <v>2178</v>
      </c>
      <c r="C616" t="s">
        <v>2369</v>
      </c>
      <c r="D616" t="s">
        <v>2370</v>
      </c>
      <c r="E616" t="s">
        <v>2317</v>
      </c>
      <c r="F616" t="s">
        <v>2371</v>
      </c>
      <c r="G616" t="s">
        <v>2747</v>
      </c>
      <c r="H616" t="s">
        <v>2319</v>
      </c>
      <c r="I616" t="s">
        <v>3995</v>
      </c>
    </row>
    <row r="617" spans="1:9">
      <c r="A617" s="145" t="s">
        <v>4113</v>
      </c>
      <c r="B617" t="s">
        <v>2178</v>
      </c>
      <c r="C617" t="s">
        <v>2372</v>
      </c>
      <c r="E617" t="s">
        <v>2329</v>
      </c>
      <c r="G617" t="s">
        <v>2747</v>
      </c>
      <c r="H617" t="s">
        <v>2330</v>
      </c>
      <c r="I617" t="s">
        <v>3995</v>
      </c>
    </row>
    <row r="618" spans="1:9">
      <c r="A618" s="145" t="s">
        <v>4113</v>
      </c>
      <c r="B618" t="s">
        <v>3874</v>
      </c>
      <c r="C618" t="s">
        <v>2374</v>
      </c>
      <c r="E618" t="s">
        <v>2329</v>
      </c>
      <c r="F618" t="s">
        <v>2375</v>
      </c>
      <c r="G618" t="s">
        <v>2747</v>
      </c>
      <c r="H618" t="s">
        <v>2330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
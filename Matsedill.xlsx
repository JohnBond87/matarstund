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202" documentId="8_{9058C769-37DB-4D75-B77A-5C1D47EA4B73}" xr6:coauthVersionLast="47" xr6:coauthVersionMax="47" xr10:uidLastSave="{0D421CC4-201E-4E76-ACF8-F851CB0E34E9}"/>
  <bookViews>
    <workbookView xWindow="-110" yWindow="-110" windowWidth="19420" windowHeight="11500" tabRatio="500" firstSheet="5"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5" i="3"/>
  <c r="J226" i="3"/>
  <c r="J293" i="3"/>
  <c r="J294" i="3"/>
  <c r="J203" i="3"/>
  <c r="J20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J421" i="3"/>
  <c r="J422" i="3"/>
  <c r="J400" i="3"/>
  <c r="J399" i="3"/>
  <c r="J379" i="3"/>
  <c r="J380" i="3"/>
  <c r="J358" i="3"/>
  <c r="J357" i="3"/>
  <c r="J332" i="3"/>
  <c r="J331" i="3"/>
  <c r="J254" i="3"/>
  <c r="J255"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<sst xmlns="http://schemas.openxmlformats.org/spreadsheetml/2006/main" count="58687" uniqueCount="5478">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</sst>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0"/>
      <c r="I180" s="35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2" t="s">
        <v>1447</v>
      </c>
      <c r="B1" s="352"/>
      <c r="C1" s="352"/>
      <c r="D1" s="352"/>
      <c r="E1" s="352"/>
      <c r="F1" s="352"/>
      <c r="G1" s="352"/>
      <c r="H1" s="352"/>
      <c r="I1" s="352"/>
      <c r="J1" s="352"/>
      <c r="K1" s="352"/>
      <c r="L1" s="352"/>
      <c r="M1" s="352"/>
      <c r="N1" s="352"/>
      <c r="O1" s="352"/>
      <c r="P1" s="35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2" priority="2">
      <formula>$A3&lt;&gt;""</formula>
    </cfRule>
  </conditionalFormatting>
  <conditionalFormatting sqref="S3:S741">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8"/>
  <sheetViews>
    <sheetView zoomScaleNormal="100" workbookViewId="0">
      <pane xSplit="1" ySplit="2" topLeftCell="B3" activePane="bottomRight" state="frozen"/>
      <selection pane="bottomRight" activeCell="E324" sqref="E3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3" t="s">
        <v>1832</v>
      </c>
      <c r="B1" s="352"/>
      <c r="C1" s="352"/>
      <c r="D1" s="352"/>
      <c r="E1" s="352"/>
      <c r="F1" s="352"/>
      <c r="G1" s="352"/>
      <c r="H1" s="352"/>
      <c r="I1" s="352"/>
      <c r="J1" s="352"/>
      <c r="K1" s="352"/>
      <c r="L1" s="352"/>
      <c r="M1" s="352"/>
      <c r="N1" s="352"/>
      <c r="O1" s="352"/>
      <c r="P1" s="352"/>
      <c r="Q1" s="352"/>
      <c r="R1" s="352"/>
      <c r="S1" s="352"/>
      <c r="T1" s="354" t="s">
        <v>1456</v>
      </c>
      <c r="U1" s="354"/>
      <c r="V1" s="354"/>
      <c r="W1" s="354"/>
      <c r="X1" s="354"/>
      <c r="Y1" s="354"/>
      <c r="Z1" s="354"/>
      <c r="AA1" s="354"/>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72">
      <c r="A189" s="277"/>
      <c r="B189" s="31" t="s">
        <v>1951</v>
      </c>
      <c r="C189" s="31">
        <v>33</v>
      </c>
      <c r="D189" s="32" t="s">
        <v>1859</v>
      </c>
      <c r="E189" s="32" t="s">
        <v>962</v>
      </c>
      <c r="F189" s="32"/>
      <c r="G189" s="32" t="s">
        <v>2095</v>
      </c>
      <c r="H189" s="33"/>
      <c r="I189" s="33"/>
      <c r="J189" s="148"/>
      <c r="K189" s="21" t="s">
        <v>1502</v>
      </c>
      <c r="L189" s="21" t="s">
        <v>1503</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2095</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48">
      <c r="A191" s="277"/>
      <c r="B191" s="31" t="s">
        <v>1951</v>
      </c>
      <c r="C191" s="31">
        <v>33</v>
      </c>
      <c r="D191" s="32" t="s">
        <v>1859</v>
      </c>
      <c r="E191" s="32" t="s">
        <v>962</v>
      </c>
      <c r="F191" s="32"/>
      <c r="G191" s="32" t="s">
        <v>2096</v>
      </c>
      <c r="H191" s="33"/>
      <c r="I191" s="33"/>
      <c r="J191" s="148"/>
      <c r="K191" s="21" t="s">
        <v>1236</v>
      </c>
      <c r="L191" s="21" t="s">
        <v>121</v>
      </c>
      <c r="M191" s="21"/>
      <c r="N191" s="22"/>
      <c r="O191" s="22"/>
      <c r="P191" s="22"/>
      <c r="Q191" s="22"/>
      <c r="R191" s="22"/>
      <c r="S191" s="22"/>
      <c r="T191" s="65"/>
      <c r="U191" s="303"/>
      <c r="V191" s="303"/>
      <c r="W191" s="303"/>
      <c r="X191" s="303"/>
      <c r="Y191" s="303"/>
      <c r="Z191" s="303"/>
      <c r="AA191" s="303"/>
    </row>
    <row r="192" spans="1:27" ht="48">
      <c r="A192" s="277"/>
      <c r="B192" s="31" t="s">
        <v>1951</v>
      </c>
      <c r="C192" s="31">
        <v>33</v>
      </c>
      <c r="D192" s="32" t="s">
        <v>1859</v>
      </c>
      <c r="E192" s="32" t="s">
        <v>962</v>
      </c>
      <c r="F192" s="32" t="s">
        <v>1235</v>
      </c>
      <c r="G192" s="32" t="s">
        <v>2096</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1867</v>
      </c>
      <c r="V192" s="305" t="s">
        <v>1924</v>
      </c>
      <c r="W192" s="305">
        <v>160</v>
      </c>
      <c r="X192" s="305" t="s">
        <v>2004</v>
      </c>
      <c r="Y192" s="305">
        <v>75</v>
      </c>
      <c r="Z192" s="305" t="s">
        <v>2005</v>
      </c>
      <c r="AA192" s="305"/>
    </row>
    <row r="193" spans="1:27" ht="72">
      <c r="A193" s="277"/>
      <c r="B193" s="31" t="s">
        <v>1951</v>
      </c>
      <c r="C193" s="31">
        <v>33</v>
      </c>
      <c r="D193" s="32" t="s">
        <v>1859</v>
      </c>
      <c r="E193" s="32" t="s">
        <v>1881</v>
      </c>
      <c r="F193" s="32"/>
      <c r="G193" s="32" t="s">
        <v>2097</v>
      </c>
      <c r="H193" s="33"/>
      <c r="I193" s="33"/>
      <c r="J193" s="148" t="str">
        <f>IF($F193="","",IFERROR(IFERROR(INDEX(Réttabanki!$U:$U,MATCH($F193,Réttabanki!$A:$A,0)),INDEX(Vöruskrá!$R:$R,MATCH($F193,Vöruskrá!$B:$B,0)))*($H193+IF($I193="",$H193*(1+$AD$2),$I193))/2/1000,""))</f>
        <v/>
      </c>
      <c r="K193" s="21" t="s">
        <v>2098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row>
    <row r="194" spans="1:27" ht="72">
      <c r="A194" s="277"/>
      <c r="B194" s="31" t="s">
        <v>1951</v>
      </c>
      <c r="C194" s="31">
        <v>33</v>
      </c>
      <c r="D194" s="32" t="s">
        <v>1859</v>
      </c>
      <c r="E194" s="32" t="s">
        <v>1881</v>
      </c>
      <c r="F194" s="32" t="s">
        <v>1253</v>
      </c>
      <c r="G194" s="32" t="s">
        <v>2099</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1867</v>
      </c>
      <c r="V194" s="305" t="s">
        <v>1924</v>
      </c>
      <c r="W194" s="305">
        <v>160</v>
      </c>
      <c r="X194" s="305" t="s">
        <v>2027</v>
      </c>
      <c r="Y194" s="305">
        <v>75</v>
      </c>
      <c r="Z194" s="305" t="s">
        <v>2005</v>
      </c>
      <c r="AA194" s="305"/>
    </row>
    <row r="195" spans="1:27">
      <c r="A195" s="277"/>
      <c r="B195" s="31" t="s">
        <v>1951</v>
      </c>
      <c r="C195" s="31">
        <v>33</v>
      </c>
      <c r="D195" s="32" t="s">
        <v>1859</v>
      </c>
      <c r="E195" s="32" t="s">
        <v>1881</v>
      </c>
      <c r="F195" s="32" t="s">
        <v>1205</v>
      </c>
      <c r="G195" s="32" t="s">
        <v>2094</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row>
    <row r="196" spans="1:27">
      <c r="A196" s="277"/>
      <c r="B196" s="31" t="s">
        <v>1951</v>
      </c>
      <c r="C196" s="31">
        <v>33</v>
      </c>
      <c r="D196" s="32" t="s">
        <v>1859</v>
      </c>
      <c r="E196" s="32" t="s">
        <v>1891</v>
      </c>
      <c r="F196" s="32"/>
      <c r="G196" s="32" t="s">
        <v>2100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row>
    <row r="197" spans="1:27" ht="72">
      <c r="A197" s="277"/>
      <c r="B197" s="31" t="s">
        <v>1951</v>
      </c>
      <c r="C197" s="31">
        <v>33</v>
      </c>
      <c r="D197" s="32" t="s">
        <v>1859</v>
      </c>
      <c r="E197" s="32" t="s">
        <v>1906</v>
      </c>
      <c r="F197" s="32"/>
      <c r="G197" s="32" t="s">
        <v>2101</v>
      </c>
      <c r="H197" s="33"/>
      <c r="I197" s="33"/>
      <c r="J197" s="148" t="str">
        <f>IF($F197="","",IFERROR(IFERROR(INDEX(Réttabanki!$U:$U,MATCH($F197,Réttabanki!$A:$A,0)),INDEX(Vöruskrá!$R:$R,MATCH($F197,Vöruskrá!$B:$B,0)))*($H197+IF($I197="",$H197*(1+$AD$2),$I197))/2/1000,""))</f>
        <v/>
      </c>
      <c r="K197" s="21" t="s">
        <v>2102</v>
      </c>
      <c r="L197" s="21" t="s">
        <v>2103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row>
    <row r="198" spans="1:27" ht="48">
      <c r="A198" s="277"/>
      <c r="B198" s="31" t="s">
        <v>1951</v>
      </c>
      <c r="C198" s="31">
        <v>33</v>
      </c>
      <c r="D198" s="32" t="s">
        <v>1859</v>
      </c>
      <c r="E198" s="32" t="s">
        <v>1906</v>
      </c>
      <c r="F198" s="32" t="s">
        <v>73</v>
      </c>
      <c r="G198" s="32" t="s">
        <v>2104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row>
    <row r="199" spans="1:27" ht="24">
      <c r="A199" s="277"/>
      <c r="B199" s="31" t="s">
        <v>1951</v>
      </c>
      <c r="C199" s="31">
        <v>33</v>
      </c>
      <c r="D199" s="32" t="s">
        <v>1859</v>
      </c>
      <c r="E199" s="32" t="s">
        <v>1906</v>
      </c>
      <c r="F199" s="32" t="s">
        <v>124</v>
      </c>
      <c r="G199" s="32" t="s">
        <v>1913</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row>
    <row r="200" spans="1:27" ht="72">
      <c r="A200" s="277"/>
      <c r="B200" s="31" t="s">
        <v>1951</v>
      </c>
      <c r="C200" s="31">
        <v>33</v>
      </c>
      <c r="D200" s="32" t="s">
        <v>1859</v>
      </c>
      <c r="E200" s="32" t="s">
        <v>962</v>
      </c>
      <c r="F200" s="32"/>
      <c r="G200" s="32" t="s">
        <v>2105</v>
      </c>
      <c r="H200" s="33"/>
      <c r="I200" s="33"/>
      <c r="J200" s="148"/>
      <c r="K200" s="21" t="s">
        <v>2106</v>
      </c>
      <c r="L200" s="21" t="s">
        <v>128</v>
      </c>
      <c r="M200" s="21"/>
      <c r="N200" s="22"/>
      <c r="O200" s="22"/>
      <c r="P200" s="22"/>
      <c r="Q200" s="22"/>
      <c r="R200" s="22"/>
      <c r="S200" s="22"/>
      <c r="T200" s="65"/>
      <c r="U200" s="305"/>
      <c r="V200" s="305"/>
      <c r="W200" s="305"/>
      <c r="X200" s="305"/>
      <c r="Y200" s="305"/>
      <c r="Z200" s="305"/>
      <c r="AA200" s="305"/>
    </row>
    <row r="201" spans="1:27" ht="60">
      <c r="A201" s="277"/>
      <c r="B201" s="31" t="s">
        <v>1951</v>
      </c>
      <c r="C201" s="31">
        <v>33</v>
      </c>
      <c r="D201" s="32" t="s">
        <v>1859</v>
      </c>
      <c r="E201" s="32" t="s">
        <v>962</v>
      </c>
      <c r="F201" s="32" t="s">
        <v>1187</v>
      </c>
      <c r="G201" s="32" t="s">
        <v>1987</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row>
    <row r="202" spans="1:27" ht="24">
      <c r="A202" s="277"/>
      <c r="B202" s="31" t="s">
        <v>1951</v>
      </c>
      <c r="C202" s="31">
        <v>33</v>
      </c>
      <c r="D202" s="32" t="s">
        <v>1859</v>
      </c>
      <c r="E202" s="32" t="s">
        <v>962</v>
      </c>
      <c r="F202" s="32" t="s">
        <v>124</v>
      </c>
      <c r="G202" s="32" t="s">
        <v>1913</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row>
    <row r="203" spans="1:27">
      <c r="A203" s="278"/>
      <c r="B203" s="154" t="s">
        <v>1951</v>
      </c>
      <c r="C203" s="154">
        <v>33</v>
      </c>
      <c r="D203" s="155"/>
      <c r="E203" s="155"/>
      <c r="F203" s="155" t="s">
        <v>1918</v>
      </c>
      <c r="G203" s="155"/>
      <c r="H203" s="156"/>
      <c r="I203" s="156"/>
      <c r="J203" s="157">
        <f>SUMIFS(J181:J199,E181:E199,"&lt;&gt;Hliðarréttur",E181:E199,"&lt;&gt;Sérfæði")</f>
        <v>583.75</v>
      </c>
      <c r="K203" s="21" t="s">
        <v>1901</v>
      </c>
      <c r="L203" s="21"/>
      <c r="M203" s="21"/>
      <c r="N203" s="22"/>
      <c r="O203" s="22"/>
      <c r="P203" s="22"/>
      <c r="Q203" s="22"/>
      <c r="R203" s="22"/>
      <c r="S203" s="22"/>
      <c r="T203" s="65"/>
      <c r="U203" s="303"/>
      <c r="V203" s="303"/>
      <c r="W203" s="303"/>
      <c r="X203" s="303"/>
      <c r="Y203" s="303"/>
      <c r="Z203" s="303"/>
      <c r="AA203" s="303"/>
    </row>
    <row r="204" spans="1:27">
      <c r="A204" s="278"/>
      <c r="B204" s="154" t="s">
        <v>1951</v>
      </c>
      <c r="C204" s="154">
        <v>33</v>
      </c>
      <c r="D204" s="155"/>
      <c r="E204" s="155"/>
      <c r="F204" s="155" t="s">
        <v>1919</v>
      </c>
      <c r="G204" s="155"/>
      <c r="H204" s="156"/>
      <c r="I204" s="156"/>
      <c r="J204" s="157">
        <f>SUMIFS(J181:J199,E181:E199,"&lt;&gt;Hliðarréttur",E181:E199,"&lt;&gt;Sérfæði")</f>
        <v>583.75</v>
      </c>
      <c r="K204" s="21" t="s">
        <v>1901</v>
      </c>
      <c r="L204" s="21"/>
      <c r="M204" s="21"/>
      <c r="N204" s="22"/>
      <c r="O204" s="22"/>
      <c r="P204" s="22"/>
      <c r="Q204" s="22"/>
      <c r="R204" s="22"/>
      <c r="S204" s="22"/>
      <c r="T204" s="65"/>
      <c r="U204" s="305"/>
      <c r="V204" s="305"/>
      <c r="W204" s="305"/>
      <c r="X204" s="305"/>
      <c r="Y204" s="305"/>
      <c r="Z204" s="305"/>
      <c r="AA204" s="305"/>
    </row>
    <row r="205" spans="1:27" ht="60">
      <c r="A205" s="277">
        <v>46248</v>
      </c>
      <c r="B205" s="31" t="s">
        <v>1991</v>
      </c>
      <c r="C205" s="31">
        <v>33</v>
      </c>
      <c r="D205" s="32" t="s">
        <v>1859</v>
      </c>
      <c r="E205" s="32" t="s">
        <v>1861</v>
      </c>
      <c r="F205" s="32"/>
      <c r="G205" s="32" t="s">
        <v>2107</v>
      </c>
      <c r="H205" s="33"/>
      <c r="I205" s="33"/>
      <c r="J205" s="148" t="str">
        <f>IF($F205="","",IFERROR(IFERROR(INDEX(Réttabanki!$U:$U,MATCH($F205,Réttabanki!$A:$A,0)),INDEX(Vöruskrá!$R:$R,MATCH($F205,Vöruskrá!$B:$B,0)))*($H205+IF($I205="",$H205*(1+$AD$2),$I205))/2/1000,""))</f>
        <v/>
      </c>
      <c r="K205" s="21" t="s">
        <v>2108</v>
      </c>
      <c r="L205" s="21" t="s">
        <v>2109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row>
    <row r="206" spans="1:27" ht="60">
      <c r="A206" s="277"/>
      <c r="B206" s="31" t="s">
        <v>1991</v>
      </c>
      <c r="C206" s="31">
        <v>33</v>
      </c>
      <c r="D206" s="32" t="s">
        <v>1859</v>
      </c>
      <c r="E206" s="32" t="s">
        <v>1861</v>
      </c>
      <c r="F206" s="32" t="s">
        <v>1093</v>
      </c>
      <c r="G206" s="32" t="s">
        <v>2110</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1867</v>
      </c>
      <c r="V206" s="305" t="s">
        <v>2007</v>
      </c>
      <c r="W206" s="305">
        <v>140</v>
      </c>
      <c r="X206" s="305" t="s">
        <v>2111</v>
      </c>
      <c r="Y206" s="305">
        <v>75</v>
      </c>
      <c r="Z206" s="305" t="s">
        <v>2005</v>
      </c>
      <c r="AA206" s="305"/>
    </row>
    <row r="207" spans="1:27">
      <c r="A207" s="277"/>
      <c r="B207" s="31" t="s">
        <v>1991</v>
      </c>
      <c r="C207" s="31">
        <v>33</v>
      </c>
      <c r="D207" s="32" t="s">
        <v>1859</v>
      </c>
      <c r="E207" s="32" t="s">
        <v>1861</v>
      </c>
      <c r="F207" s="32" t="s">
        <v>1234</v>
      </c>
      <c r="G207" s="32" t="s">
        <v>2112</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1867</v>
      </c>
      <c r="V207" s="303" t="s">
        <v>1924</v>
      </c>
      <c r="W207" s="303" t="s">
        <v>2008</v>
      </c>
      <c r="X207" s="303">
        <v>8</v>
      </c>
      <c r="Y207" s="303" t="s">
        <v>2113</v>
      </c>
      <c r="Z207" s="303"/>
      <c r="AA207" s="303"/>
    </row>
    <row r="208" spans="1:27" ht="96">
      <c r="A208" s="277"/>
      <c r="B208" s="31" t="s">
        <v>1991</v>
      </c>
      <c r="C208" s="31">
        <v>33</v>
      </c>
      <c r="D208" s="32" t="s">
        <v>1859</v>
      </c>
      <c r="E208" s="32" t="s">
        <v>962</v>
      </c>
      <c r="F208" s="32"/>
      <c r="G208" s="32" t="s">
        <v>2114</v>
      </c>
      <c r="H208" s="33"/>
      <c r="I208" s="33"/>
      <c r="J208" s="148"/>
      <c r="K208" s="21" t="s">
        <v>2115</v>
      </c>
      <c r="L208" s="21" t="s">
        <v>2116</v>
      </c>
      <c r="M208" s="21"/>
      <c r="N208" s="22"/>
      <c r="O208" s="22"/>
      <c r="P208" s="22"/>
      <c r="Q208" s="22"/>
      <c r="R208" s="22"/>
      <c r="S208" s="22"/>
      <c r="T208" s="64"/>
      <c r="U208" s="305"/>
      <c r="V208" s="305"/>
      <c r="W208" s="305"/>
      <c r="X208" s="305"/>
      <c r="Y208" s="305"/>
      <c r="Z208" s="305"/>
      <c r="AA208" s="305"/>
    </row>
    <row r="209" spans="1:27" ht="84">
      <c r="A209" s="277"/>
      <c r="B209" s="31" t="s">
        <v>1991</v>
      </c>
      <c r="C209" s="31">
        <v>33</v>
      </c>
      <c r="D209" s="32" t="s">
        <v>1859</v>
      </c>
      <c r="E209" s="32" t="s">
        <v>962</v>
      </c>
      <c r="F209" s="32" t="s">
        <v>1397</v>
      </c>
      <c r="G209" s="32" t="s">
        <v>1397</v>
      </c>
      <c r="H209" s="33">
        <v>120</v>
      </c>
      <c r="I209" s="33"/>
      <c r="J209" s="148">
        <f>IF($F209="","",IFERROR(IFERROR(INDEX(Réttabanki!$U:$U,MATCH($F209,Réttabanki!$A:$A,0)),INDEX(Vöruskrá!$R:$R,MATCH($F209,Vöruskrá!$B:$B,0)))*($H209+IF($I209="",$H209*(1+$AD$2),$I209))/2/1000,""))</f>
        <v>0</v>
      </c>
      <c r="K209" s="21" t="s">
        <v>2117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1867</v>
      </c>
      <c r="V209" s="303" t="s">
        <v>2007</v>
      </c>
      <c r="W209" s="303">
        <v>140</v>
      </c>
      <c r="X209" s="303" t="s">
        <v>2042</v>
      </c>
      <c r="Y209" s="303">
        <v>75</v>
      </c>
      <c r="Z209" s="303" t="s">
        <v>2005</v>
      </c>
      <c r="AA209" s="303"/>
    </row>
    <row r="210" spans="1:27">
      <c r="A210" s="277"/>
      <c r="B210" s="31" t="s">
        <v>1991</v>
      </c>
      <c r="C210" s="31">
        <v>33</v>
      </c>
      <c r="D210" s="32" t="s">
        <v>1859</v>
      </c>
      <c r="E210" s="32" t="s">
        <v>962</v>
      </c>
      <c r="F210" s="32" t="s">
        <v>1234</v>
      </c>
      <c r="G210" s="32" t="s">
        <v>2112</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row>
    <row r="211" spans="1:27">
      <c r="A211" s="277"/>
      <c r="B211" s="31" t="s">
        <v>1991</v>
      </c>
      <c r="C211" s="31">
        <v>33</v>
      </c>
      <c r="D211" s="32" t="s">
        <v>1859</v>
      </c>
      <c r="E211" s="32" t="s">
        <v>962</v>
      </c>
      <c r="F211" s="32" t="s">
        <v>1394</v>
      </c>
      <c r="G211" s="32" t="s">
        <v>2000</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row>
    <row r="212" spans="1:27" ht="60">
      <c r="A212" s="277"/>
      <c r="B212" s="31" t="s">
        <v>1991</v>
      </c>
      <c r="C212" s="31">
        <v>33</v>
      </c>
      <c r="D212" s="32" t="s">
        <v>1859</v>
      </c>
      <c r="E212" s="32" t="s">
        <v>962</v>
      </c>
      <c r="F212" s="32"/>
      <c r="G212" s="32" t="s">
        <v>2118</v>
      </c>
      <c r="H212" s="33"/>
      <c r="I212" s="33"/>
      <c r="J212" s="148"/>
      <c r="K212" s="21" t="s">
        <v>2119</v>
      </c>
      <c r="L212" s="21" t="s">
        <v>875</v>
      </c>
      <c r="M212" s="21"/>
      <c r="N212" s="22"/>
      <c r="O212" s="22"/>
      <c r="P212" s="22"/>
      <c r="Q212" s="22"/>
      <c r="R212" s="22"/>
      <c r="S212" s="22"/>
      <c r="T212" s="65"/>
      <c r="U212" s="305"/>
      <c r="V212" s="305"/>
      <c r="W212" s="305"/>
      <c r="X212" s="305"/>
      <c r="Y212" s="305"/>
      <c r="Z212" s="305"/>
      <c r="AA212" s="305"/>
    </row>
    <row r="213" spans="1:27" ht="60">
      <c r="A213" s="277"/>
      <c r="B213" s="31" t="s">
        <v>1991</v>
      </c>
      <c r="C213" s="31">
        <v>33</v>
      </c>
      <c r="D213" s="32" t="s">
        <v>1859</v>
      </c>
      <c r="E213" s="32" t="s">
        <v>962</v>
      </c>
      <c r="F213" s="32" t="s">
        <v>1093</v>
      </c>
      <c r="G213" s="32" t="s">
        <v>2110</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row>
    <row r="214" spans="1:27">
      <c r="A214" s="277"/>
      <c r="B214" s="31" t="s">
        <v>1991</v>
      </c>
      <c r="C214" s="31">
        <v>33</v>
      </c>
      <c r="D214" s="32" t="s">
        <v>1859</v>
      </c>
      <c r="E214" s="32" t="s">
        <v>962</v>
      </c>
      <c r="F214" s="32" t="s">
        <v>1394</v>
      </c>
      <c r="G214" s="32" t="s">
        <v>2000</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row>
    <row r="215" spans="1:27" ht="96">
      <c r="A215" s="277"/>
      <c r="B215" s="31" t="s">
        <v>1991</v>
      </c>
      <c r="C215" s="31">
        <v>33</v>
      </c>
      <c r="D215" s="32" t="s">
        <v>1859</v>
      </c>
      <c r="E215" s="32" t="s">
        <v>1881</v>
      </c>
      <c r="F215" s="32"/>
      <c r="G215" s="32" t="s">
        <v>2120</v>
      </c>
      <c r="H215" s="33"/>
      <c r="I215" s="33"/>
      <c r="J215" s="148" t="str">
        <f>IF($F215="","",IFERROR(IFERROR(INDEX(Réttabanki!$U:$U,MATCH($F215,Réttabanki!$A:$A,0)),INDEX(Vöruskrá!$R:$R,MATCH($F215,Vöruskrá!$B:$B,0)))*($H215+IF($I215="",$H215*(1+$AD$2),$I215))/2/1000,""))</f>
        <v/>
      </c>
      <c r="K215" s="21" t="s">
        <v>2121</v>
      </c>
      <c r="L215" s="21" t="s">
        <v>2122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row>
    <row r="216" spans="1:27" ht="96">
      <c r="A216" s="277"/>
      <c r="B216" s="31" t="s">
        <v>1991</v>
      </c>
      <c r="C216" s="31">
        <v>33</v>
      </c>
      <c r="D216" s="32" t="s">
        <v>1859</v>
      </c>
      <c r="E216" s="32" t="s">
        <v>1881</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1867</v>
      </c>
      <c r="V216" s="305" t="s">
        <v>2007</v>
      </c>
      <c r="W216" s="305">
        <v>140</v>
      </c>
      <c r="X216" s="305" t="s">
        <v>1926</v>
      </c>
      <c r="Y216" s="305">
        <v>75</v>
      </c>
      <c r="Z216" s="305" t="s">
        <v>2005</v>
      </c>
      <c r="AA216" s="305"/>
    </row>
    <row r="217" spans="1:27">
      <c r="A217" s="277"/>
      <c r="B217" s="31" t="s">
        <v>1991</v>
      </c>
      <c r="C217" s="31">
        <v>33</v>
      </c>
      <c r="D217" s="32" t="s">
        <v>1859</v>
      </c>
      <c r="E217" s="32" t="s">
        <v>1881</v>
      </c>
      <c r="F217" s="32" t="s">
        <v>1234</v>
      </c>
      <c r="G217" s="32" t="s">
        <v>2112</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row>
    <row r="218" spans="1:27">
      <c r="A218" s="277"/>
      <c r="B218" s="31" t="s">
        <v>1991</v>
      </c>
      <c r="C218" s="31">
        <v>33</v>
      </c>
      <c r="D218" s="32" t="s">
        <v>1859</v>
      </c>
      <c r="E218" s="32" t="s">
        <v>1891</v>
      </c>
      <c r="F218" s="32"/>
      <c r="G218" s="32" t="s">
        <v>2123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row>
    <row r="219" spans="1:27" ht="48">
      <c r="A219" s="277"/>
      <c r="B219" s="31" t="s">
        <v>1991</v>
      </c>
      <c r="C219" s="31">
        <v>33</v>
      </c>
      <c r="D219" s="32" t="s">
        <v>1859</v>
      </c>
      <c r="E219" s="32" t="s">
        <v>1906</v>
      </c>
      <c r="F219" s="32"/>
      <c r="G219" s="32" t="s">
        <v>2124</v>
      </c>
      <c r="H219" s="33"/>
      <c r="I219" s="33"/>
      <c r="J219" s="148" t="str">
        <f>IF($F219="","",IFERROR(IFERROR(INDEX(Réttabanki!$U:$U,MATCH($F219,Réttabanki!$A:$A,0)),INDEX(Vöruskrá!$R:$R,MATCH($F219,Vöruskrá!$B:$B,0)))*($H219+IF($I219="",$H219*(1+$AD$2),$I219))/2/1000,""))</f>
        <v/>
      </c>
      <c r="K219" s="21" t="s">
        <v>2125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row>
    <row r="220" spans="1:27" ht="36">
      <c r="A220" s="277"/>
      <c r="B220" s="31" t="s">
        <v>1991</v>
      </c>
      <c r="C220" s="31">
        <v>33</v>
      </c>
      <c r="D220" s="32" t="s">
        <v>1859</v>
      </c>
      <c r="E220" s="32" t="s">
        <v>1906</v>
      </c>
      <c r="F220" s="32" t="s">
        <v>34</v>
      </c>
      <c r="G220" s="32" t="s">
        <v>2081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row>
    <row r="221" spans="1:27">
      <c r="A221" s="277"/>
      <c r="B221" s="31" t="s">
        <v>1991</v>
      </c>
      <c r="C221" s="31">
        <v>33</v>
      </c>
      <c r="D221" s="32" t="s">
        <v>1859</v>
      </c>
      <c r="E221" s="32" t="s">
        <v>1906</v>
      </c>
      <c r="F221" s="32" t="s">
        <v>160</v>
      </c>
      <c r="G221" s="32" t="s">
        <v>2126</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row>
    <row r="222" spans="1:27" ht="48">
      <c r="A222" s="277"/>
      <c r="B222" s="31" t="s">
        <v>1991</v>
      </c>
      <c r="C222" s="31">
        <v>33</v>
      </c>
      <c r="D222" s="32" t="s">
        <v>1859</v>
      </c>
      <c r="E222" s="32" t="s">
        <v>962</v>
      </c>
      <c r="F222" s="32"/>
      <c r="G222" s="32" t="s">
        <v>2127</v>
      </c>
      <c r="H222" s="33"/>
      <c r="I222" s="33"/>
      <c r="J222" s="148"/>
      <c r="K222" s="21" t="s">
        <v>2128</v>
      </c>
      <c r="L222" s="21" t="s">
        <v>121</v>
      </c>
      <c r="M222" s="21"/>
      <c r="N222" s="22"/>
      <c r="O222" s="22"/>
      <c r="P222" s="22"/>
      <c r="Q222" s="22"/>
      <c r="R222" s="22"/>
      <c r="S222" s="22"/>
      <c r="T222" s="65"/>
      <c r="U222" s="305"/>
      <c r="V222" s="305"/>
      <c r="W222" s="305"/>
      <c r="X222" s="305"/>
      <c r="Y222" s="305"/>
      <c r="Z222" s="305"/>
      <c r="AA222" s="305"/>
    </row>
    <row r="223" spans="1:27" ht="48">
      <c r="A223" s="277"/>
      <c r="B223" s="31" t="s">
        <v>1991</v>
      </c>
      <c r="C223" s="31">
        <v>33</v>
      </c>
      <c r="D223" s="32" t="s">
        <v>1859</v>
      </c>
      <c r="E223" s="32" t="s">
        <v>962</v>
      </c>
      <c r="F223" s="32" t="s">
        <v>1190</v>
      </c>
      <c r="G223" s="32" t="s">
        <v>2016</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row>
    <row r="224" spans="1:27">
      <c r="A224" s="277"/>
      <c r="B224" s="31" t="s">
        <v>1991</v>
      </c>
      <c r="C224" s="31">
        <v>33</v>
      </c>
      <c r="D224" s="32" t="s">
        <v>1859</v>
      </c>
      <c r="E224" s="32" t="s">
        <v>962</v>
      </c>
      <c r="F224" s="32" t="s">
        <v>160</v>
      </c>
      <c r="G224" s="32" t="s">
        <v>2126</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row>
    <row r="225" spans="1:27">
      <c r="A225" s="278"/>
      <c r="B225" s="154" t="s">
        <v>1991</v>
      </c>
      <c r="C225" s="154">
        <v>33</v>
      </c>
      <c r="D225" s="155"/>
      <c r="E225" s="155"/>
      <c r="F225" s="155" t="s">
        <v>1918</v>
      </c>
      <c r="G225" s="155"/>
      <c r="H225" s="156"/>
      <c r="I225" s="156"/>
      <c r="J225" s="157">
        <f>SUMIFS(J205:J221,E205:E221,"&lt;&gt;Hliðarréttur",E205:E221,"&lt;&gt;Sérfæði")</f>
        <v>471</v>
      </c>
      <c r="K225" s="21" t="s">
        <v>1901</v>
      </c>
      <c r="L225" s="21"/>
      <c r="M225" s="21"/>
      <c r="N225" s="22"/>
      <c r="O225" s="22"/>
      <c r="P225" s="22"/>
      <c r="Q225" s="22"/>
      <c r="R225" s="22"/>
      <c r="S225" s="22"/>
      <c r="T225" s="65"/>
      <c r="U225" s="303"/>
      <c r="V225" s="303"/>
      <c r="W225" s="303"/>
      <c r="X225" s="303"/>
      <c r="Y225" s="303"/>
      <c r="Z225" s="303"/>
      <c r="AA225" s="303"/>
    </row>
    <row r="226" spans="1:27">
      <c r="A226" s="278"/>
      <c r="B226" s="154" t="s">
        <v>1991</v>
      </c>
      <c r="C226" s="154">
        <v>33</v>
      </c>
      <c r="D226" s="155"/>
      <c r="E226" s="155"/>
      <c r="F226" s="155" t="s">
        <v>1919</v>
      </c>
      <c r="G226" s="155"/>
      <c r="H226" s="156"/>
      <c r="I226" s="156"/>
      <c r="J226" s="157">
        <f>SUMIFS(J205:J221,E205:E221,"&lt;&gt;Hliðarréttur",E205:E221,"&lt;&gt;Sérfæði")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7">
        <v>46251</v>
      </c>
      <c r="B227" s="31" t="s">
        <v>2017</v>
      </c>
      <c r="C227" s="31">
        <v>34</v>
      </c>
      <c r="D227" s="32" t="s">
        <v>1834</v>
      </c>
      <c r="E227" s="32" t="s">
        <v>1861</v>
      </c>
      <c r="F227" s="32"/>
      <c r="G227" s="32" t="s">
        <v>2129</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row>
    <row r="228" spans="1:27" ht="96">
      <c r="A228" s="277"/>
      <c r="B228" s="31" t="s">
        <v>2017</v>
      </c>
      <c r="C228" s="31">
        <v>34</v>
      </c>
      <c r="D228" s="32" t="s">
        <v>1873</v>
      </c>
      <c r="E228" s="32" t="s">
        <v>1861</v>
      </c>
      <c r="F228" s="32"/>
      <c r="G228" s="32" t="s">
        <v>2130</v>
      </c>
      <c r="H228" s="33"/>
      <c r="I228" s="33"/>
      <c r="J228" s="148"/>
      <c r="K228" s="21" t="s">
        <v>2131</v>
      </c>
      <c r="L228" s="21" t="s">
        <v>2132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row>
    <row r="229" spans="1:27" ht="60">
      <c r="A229" s="277"/>
      <c r="B229" s="31" t="s">
        <v>2017</v>
      </c>
      <c r="C229" s="31">
        <v>34</v>
      </c>
      <c r="D229" s="32" t="s">
        <v>1870</v>
      </c>
      <c r="E229" s="32" t="s">
        <v>1861</v>
      </c>
      <c r="F229" s="32" t="s">
        <v>1528</v>
      </c>
      <c r="G229" s="32" t="s">
        <v>2133</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row>
    <row r="230" spans="1:27" ht="30.75">
      <c r="A230" s="277"/>
      <c r="B230" s="31" t="s">
        <v>2017</v>
      </c>
      <c r="C230" s="31">
        <v>34</v>
      </c>
      <c r="D230" s="32" t="s">
        <v>1870</v>
      </c>
      <c r="E230" s="32" t="s">
        <v>1861</v>
      </c>
      <c r="F230" s="32" t="s">
        <v>309</v>
      </c>
      <c r="G230" s="32" t="s">
        <v>2021</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row>
    <row r="231" spans="1:27" ht="36">
      <c r="A231" s="277"/>
      <c r="B231" s="31" t="s">
        <v>2017</v>
      </c>
      <c r="C231" s="31">
        <v>34</v>
      </c>
      <c r="D231" s="32" t="s">
        <v>1873</v>
      </c>
      <c r="E231" s="32" t="s">
        <v>1861</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row>
    <row r="232" spans="1:27" ht="30.75">
      <c r="A232" s="277"/>
      <c r="B232" s="31" t="s">
        <v>2017</v>
      </c>
      <c r="C232" s="31">
        <v>34</v>
      </c>
      <c r="D232" s="32" t="s">
        <v>1873</v>
      </c>
      <c r="E232" s="32" t="s">
        <v>1861</v>
      </c>
      <c r="F232" s="32"/>
      <c r="G232" s="32" t="s">
        <v>2134</v>
      </c>
      <c r="H232" s="33"/>
      <c r="I232" s="33">
        <v>20</v>
      </c>
      <c r="J232" s="148"/>
      <c r="K232" s="21"/>
      <c r="L232" s="21" t="s">
        <v>121</v>
      </c>
      <c r="M232" s="21"/>
      <c r="N232" s="22"/>
      <c r="O232" s="22"/>
      <c r="P232" s="22"/>
      <c r="Q232" s="22"/>
      <c r="R232" s="22"/>
      <c r="S232" s="22"/>
      <c r="T232" s="64"/>
      <c r="U232" s="305"/>
      <c r="V232" s="305"/>
      <c r="W232" s="305"/>
      <c r="X232" s="305"/>
      <c r="Y232" s="305"/>
      <c r="Z232" s="305"/>
      <c r="AA232" s="305"/>
    </row>
    <row r="233" spans="1:27" ht="118.5">
      <c r="A233" s="277"/>
      <c r="B233" s="31" t="s">
        <v>2017</v>
      </c>
      <c r="C233" s="31">
        <v>34</v>
      </c>
      <c r="D233" s="32" t="s">
        <v>1859</v>
      </c>
      <c r="E233" s="32" t="s">
        <v>1861</v>
      </c>
      <c r="F233" s="32"/>
      <c r="G233" s="32" t="s">
        <v>2135</v>
      </c>
      <c r="H233" s="33"/>
      <c r="I233" s="33"/>
      <c r="J233" s="148"/>
      <c r="K233" s="21" t="s">
        <v>2136</v>
      </c>
      <c r="L233" s="21" t="s">
        <v>2137</v>
      </c>
      <c r="M233" s="21"/>
      <c r="N233" s="22"/>
      <c r="O233" s="22"/>
      <c r="P233" s="22"/>
      <c r="Q233" s="22"/>
      <c r="R233" s="22"/>
      <c r="S233" s="22"/>
      <c r="T233" s="65"/>
      <c r="U233" s="303"/>
      <c r="V233" s="303"/>
      <c r="W233" s="303"/>
      <c r="X233" s="303"/>
      <c r="Y233" s="303"/>
      <c r="Z233" s="303"/>
      <c r="AA233" s="303"/>
    </row>
    <row r="234" spans="1:27" ht="84">
      <c r="A234" s="277"/>
      <c r="B234" s="31" t="s">
        <v>2017</v>
      </c>
      <c r="C234" s="31">
        <v>34</v>
      </c>
      <c r="D234" s="32" t="s">
        <v>1859</v>
      </c>
      <c r="E234" s="32" t="s">
        <v>1861</v>
      </c>
      <c r="F234" s="32" t="s">
        <v>870</v>
      </c>
      <c r="G234" s="32" t="s">
        <v>2133</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row>
    <row r="235" spans="1:27">
      <c r="A235" s="277"/>
      <c r="B235" s="31" t="s">
        <v>2017</v>
      </c>
      <c r="C235" s="31">
        <v>34</v>
      </c>
      <c r="D235" s="32" t="s">
        <v>1859</v>
      </c>
      <c r="E235" s="32" t="s">
        <v>1861</v>
      </c>
      <c r="F235" s="32" t="s">
        <v>309</v>
      </c>
      <c r="G235" s="32" t="s">
        <v>2021</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row>
    <row r="236" spans="1:27" ht="36">
      <c r="A236" s="277"/>
      <c r="B236" s="31" t="s">
        <v>2017</v>
      </c>
      <c r="C236" s="31">
        <v>34</v>
      </c>
      <c r="D236" s="32" t="s">
        <v>1859</v>
      </c>
      <c r="E236" s="32" t="s">
        <v>1861</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row>
    <row r="237" spans="1:27" ht="84">
      <c r="A237" s="277"/>
      <c r="B237" s="31" t="s">
        <v>2017</v>
      </c>
      <c r="C237" s="31">
        <v>34</v>
      </c>
      <c r="D237" s="32" t="s">
        <v>1859</v>
      </c>
      <c r="E237" s="32" t="s">
        <v>962</v>
      </c>
      <c r="F237" s="32"/>
      <c r="G237" s="32" t="s">
        <v>2138</v>
      </c>
      <c r="H237" s="33"/>
      <c r="I237" s="33"/>
      <c r="J237" s="148"/>
      <c r="K237" s="21" t="s">
        <v>2139</v>
      </c>
      <c r="L237" s="21" t="s">
        <v>1481</v>
      </c>
      <c r="M237" s="21"/>
      <c r="N237" s="22"/>
      <c r="O237" s="22"/>
      <c r="P237" s="22"/>
      <c r="Q237" s="22"/>
      <c r="R237" s="22"/>
      <c r="S237" s="22"/>
      <c r="T237" s="64"/>
      <c r="U237" s="303"/>
      <c r="V237" s="303"/>
      <c r="W237" s="303"/>
      <c r="X237" s="303"/>
      <c r="Y237" s="303"/>
      <c r="Z237" s="303"/>
      <c r="AA237" s="303"/>
    </row>
    <row r="238" spans="1:27" ht="84">
      <c r="A238" s="277"/>
      <c r="B238" s="31" t="s">
        <v>2017</v>
      </c>
      <c r="C238" s="31">
        <v>34</v>
      </c>
      <c r="D238" s="32" t="s">
        <v>1859</v>
      </c>
      <c r="E238" s="32" t="s">
        <v>962</v>
      </c>
      <c r="F238" s="32" t="s">
        <v>870</v>
      </c>
      <c r="G238" s="32" t="s">
        <v>2133</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row>
    <row r="239" spans="1:27">
      <c r="A239" s="277"/>
      <c r="B239" s="31" t="s">
        <v>2017</v>
      </c>
      <c r="C239" s="31">
        <v>34</v>
      </c>
      <c r="D239" s="32" t="s">
        <v>1859</v>
      </c>
      <c r="E239" s="32" t="s">
        <v>962</v>
      </c>
      <c r="F239" s="32" t="s">
        <v>309</v>
      </c>
      <c r="G239" s="32" t="s">
        <v>2021</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row>
    <row r="240" spans="1:27" ht="107.25">
      <c r="A240" s="277"/>
      <c r="B240" s="31" t="s">
        <v>2017</v>
      </c>
      <c r="C240" s="31">
        <v>34</v>
      </c>
      <c r="D240" s="32" t="s">
        <v>1834</v>
      </c>
      <c r="E240" s="32" t="s">
        <v>1881</v>
      </c>
      <c r="F240" s="32"/>
      <c r="G240" s="32" t="s">
        <v>2140</v>
      </c>
      <c r="H240" s="33"/>
      <c r="I240" s="33"/>
      <c r="J240" s="148"/>
      <c r="K240" s="21" t="s">
        <v>2141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row>
    <row r="241" spans="1:27" ht="72">
      <c r="A241" s="277"/>
      <c r="B241" s="31" t="s">
        <v>2017</v>
      </c>
      <c r="C241" s="31">
        <v>34</v>
      </c>
      <c r="D241" s="32" t="s">
        <v>1834</v>
      </c>
      <c r="E241" s="32" t="s">
        <v>1881</v>
      </c>
      <c r="F241" s="32" t="s">
        <v>1253</v>
      </c>
      <c r="G241" s="32" t="s">
        <v>2142</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row>
    <row r="242" spans="1:27">
      <c r="A242" s="277"/>
      <c r="B242" s="31" t="s">
        <v>2017</v>
      </c>
      <c r="C242" s="31">
        <v>34</v>
      </c>
      <c r="D242" s="32" t="s">
        <v>1834</v>
      </c>
      <c r="E242" s="32" t="s">
        <v>1881</v>
      </c>
      <c r="F242" s="32" t="s">
        <v>309</v>
      </c>
      <c r="G242" s="32" t="s">
        <v>2021</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row>
    <row r="243" spans="1:27" ht="36">
      <c r="A243" s="277"/>
      <c r="B243" s="31" t="s">
        <v>2017</v>
      </c>
      <c r="C243" s="31">
        <v>34</v>
      </c>
      <c r="D243" s="32" t="s">
        <v>1834</v>
      </c>
      <c r="E243" s="32" t="s">
        <v>1881</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row>
    <row r="244" spans="1:27">
      <c r="A244" s="277"/>
      <c r="B244" s="31" t="s">
        <v>2017</v>
      </c>
      <c r="C244" s="31">
        <v>34</v>
      </c>
      <c r="D244" s="32" t="s">
        <v>1859</v>
      </c>
      <c r="E244" s="32" t="s">
        <v>1891</v>
      </c>
      <c r="F244" s="32"/>
      <c r="G244" s="32" t="s">
        <v>2006</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1865</v>
      </c>
      <c r="E245" s="32" t="s">
        <v>1891</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row>
    <row r="246" spans="1:27" ht="36">
      <c r="A246" s="277"/>
      <c r="B246" s="31" t="s">
        <v>2017</v>
      </c>
      <c r="C246" s="31">
        <v>34</v>
      </c>
      <c r="D246" s="32" t="s">
        <v>1859</v>
      </c>
      <c r="E246" s="32" t="s">
        <v>1906</v>
      </c>
      <c r="F246" s="32"/>
      <c r="G246" s="32" t="s">
        <v>2143</v>
      </c>
      <c r="H246" s="33"/>
      <c r="I246" s="33"/>
      <c r="J246" s="148" t="str">
        <f>IF($F246="","",IFERROR(IFERROR(INDEX(Réttabanki!$U:$U,MATCH($F246,Réttabanki!$A:$A,0)),INDEX(Vöruskrá!$R:$R,MATCH($F246,Vöruskrá!$B:$B,0)))*($H246+IF($I246="",$H246*(1+$AD$2),$I246))/2/1000,""))</f>
        <v/>
      </c>
      <c r="K246" s="21" t="s">
        <v>2144</v>
      </c>
      <c r="L246" s="21" t="s">
        <v>1946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t="s">
        <v>343</v>
      </c>
      <c r="G247" s="32" t="s">
        <v>1947</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row>
    <row r="248" spans="1:27">
      <c r="A248" s="277"/>
      <c r="B248" s="31" t="s">
        <v>2017</v>
      </c>
      <c r="C248" s="31">
        <v>34</v>
      </c>
      <c r="D248" s="32" t="s">
        <v>1859</v>
      </c>
      <c r="E248" s="32" t="s">
        <v>1906</v>
      </c>
      <c r="F248" s="32" t="s">
        <v>566</v>
      </c>
      <c r="G248" s="32" t="s">
        <v>1898</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row>
    <row r="249" spans="1:27" ht="36">
      <c r="A249" s="277"/>
      <c r="B249" s="31" t="s">
        <v>2017</v>
      </c>
      <c r="C249" s="31">
        <v>34</v>
      </c>
      <c r="D249" s="32" t="s">
        <v>1859</v>
      </c>
      <c r="E249" s="32" t="s">
        <v>962</v>
      </c>
      <c r="F249" s="32"/>
      <c r="G249" s="32" t="s">
        <v>2145</v>
      </c>
      <c r="H249" s="33"/>
      <c r="I249" s="33"/>
      <c r="J249" s="148"/>
      <c r="K249" s="21" t="s">
        <v>345</v>
      </c>
      <c r="L249" s="21" t="s">
        <v>346</v>
      </c>
      <c r="M249" s="21"/>
      <c r="N249" s="22"/>
      <c r="O249" s="22"/>
      <c r="P249" s="22"/>
      <c r="Q249" s="22"/>
      <c r="R249" s="22"/>
      <c r="S249" s="22"/>
      <c r="T249" s="65"/>
      <c r="U249" s="303"/>
      <c r="V249" s="303"/>
      <c r="W249" s="303"/>
      <c r="X249" s="303"/>
      <c r="Y249" s="303"/>
      <c r="Z249" s="303"/>
      <c r="AA249" s="303"/>
    </row>
    <row r="250" spans="1:27" ht="36">
      <c r="A250" s="277"/>
      <c r="B250" s="309" t="s">
        <v>2017</v>
      </c>
      <c r="C250" s="309">
        <v>34</v>
      </c>
      <c r="D250" s="32" t="s">
        <v>1859</v>
      </c>
      <c r="E250" s="32" t="s">
        <v>962</v>
      </c>
      <c r="F250" s="32" t="s">
        <v>343</v>
      </c>
      <c r="G250" s="32" t="s">
        <v>1947</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row>
    <row r="251" spans="1:27" ht="48">
      <c r="A251" s="277"/>
      <c r="B251" s="31" t="s">
        <v>2017</v>
      </c>
      <c r="C251" s="31">
        <v>34</v>
      </c>
      <c r="D251" s="32" t="s">
        <v>1859</v>
      </c>
      <c r="E251" s="32" t="s">
        <v>962</v>
      </c>
      <c r="F251" s="32"/>
      <c r="G251" s="32" t="s">
        <v>2146</v>
      </c>
      <c r="H251" s="33"/>
      <c r="I251" s="33"/>
      <c r="J251" s="148"/>
      <c r="K251" s="21" t="s">
        <v>2035</v>
      </c>
      <c r="L251" s="21" t="s">
        <v>108</v>
      </c>
      <c r="M251" s="21"/>
      <c r="N251" s="22"/>
      <c r="O251" s="22"/>
      <c r="P251" s="22"/>
      <c r="Q251" s="22"/>
      <c r="R251" s="22"/>
      <c r="S251" s="22"/>
      <c r="T251" s="65"/>
      <c r="U251" s="303"/>
      <c r="V251" s="303"/>
      <c r="W251" s="303"/>
      <c r="X251" s="303"/>
      <c r="Y251" s="303"/>
      <c r="Z251" s="303"/>
      <c r="AA251" s="303"/>
    </row>
    <row r="252" spans="1:27" ht="48">
      <c r="A252" s="277"/>
      <c r="B252" s="31" t="s">
        <v>2017</v>
      </c>
      <c r="C252" s="31">
        <v>34</v>
      </c>
      <c r="D252" s="32" t="s">
        <v>1859</v>
      </c>
      <c r="E252" s="32" t="s">
        <v>962</v>
      </c>
      <c r="F252" s="32" t="s">
        <v>1193</v>
      </c>
      <c r="G252" s="32" t="s">
        <v>1904</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row>
    <row r="253" spans="1:27">
      <c r="A253" s="277"/>
      <c r="B253" s="31" t="s">
        <v>2017</v>
      </c>
      <c r="C253" s="31">
        <v>34</v>
      </c>
      <c r="D253" s="32" t="s">
        <v>1859</v>
      </c>
      <c r="E253" s="32" t="s">
        <v>962</v>
      </c>
      <c r="F253" s="32" t="s">
        <v>566</v>
      </c>
      <c r="G253" s="32" t="s">
        <v>1898</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row>
    <row r="254" spans="1:27">
      <c r="A254" s="278"/>
      <c r="B254" s="154" t="s">
        <v>2017</v>
      </c>
      <c r="C254" s="154">
        <v>34</v>
      </c>
      <c r="D254" s="155"/>
      <c r="E254" s="155"/>
      <c r="F254" s="155" t="s">
        <v>1918</v>
      </c>
      <c r="G254" s="155"/>
      <c r="H254" s="156"/>
      <c r="I254" s="156"/>
      <c r="J254" s="157">
        <f>SUMIFS(J227:J248,E227:E248,"&lt;&gt;Hliðarréttur",E227:E248,"&lt;&gt;Sérfæði")</f>
        <v>709.43187999999998</v>
      </c>
      <c r="K254" s="21" t="s">
        <v>1901</v>
      </c>
      <c r="L254" s="21"/>
      <c r="M254" s="21"/>
      <c r="N254" s="22"/>
      <c r="O254" s="22"/>
      <c r="P254" s="22"/>
      <c r="Q254" s="22"/>
      <c r="R254" s="22"/>
      <c r="S254" s="22"/>
      <c r="T254" s="65"/>
      <c r="U254" s="305"/>
      <c r="V254" s="305"/>
      <c r="W254" s="305"/>
      <c r="X254" s="305"/>
      <c r="Y254" s="305"/>
      <c r="Z254" s="305"/>
      <c r="AA254" s="305"/>
    </row>
    <row r="255" spans="1:27">
      <c r="A255" s="278"/>
      <c r="B255" s="154" t="s">
        <v>2017</v>
      </c>
      <c r="C255" s="154">
        <v>34</v>
      </c>
      <c r="D255" s="155"/>
      <c r="E255" s="155"/>
      <c r="F255" s="155" t="s">
        <v>1919</v>
      </c>
      <c r="G255" s="155"/>
      <c r="H255" s="156"/>
      <c r="I255" s="156"/>
      <c r="J255" s="157">
        <f>SUMIFS(J227:J248,E227:E248,"&lt;&gt;Hliðarréttur",E227:E248,"&lt;&gt;Sérfæði")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07.25">
      <c r="A256" s="277">
        <v>46252</v>
      </c>
      <c r="B256" s="31" t="s">
        <v>1860</v>
      </c>
      <c r="C256" s="31">
        <v>34</v>
      </c>
      <c r="D256" s="32" t="s">
        <v>1865</v>
      </c>
      <c r="E256" s="32" t="s">
        <v>1861</v>
      </c>
      <c r="F256" s="32"/>
      <c r="G256" s="32" t="s">
        <v>2147</v>
      </c>
      <c r="H256" s="33"/>
      <c r="I256" s="33"/>
      <c r="J256" s="148" t="str">
        <f>IF($F256="","",IFERROR(IFERROR(INDEX(Réttabanki!$U:$U,MATCH($F256,Réttabanki!$A:$A,0)),INDEX(Vöruskrá!$R:$R,MATCH($F256,Vöruskrá!$B:$B,0)))*($H256+IF($I256="",$H256*(1+$AD$2),$I256))/2/1000,""))</f>
        <v/>
      </c>
      <c r="K256" s="21" t="s">
        <v>2148</v>
      </c>
      <c r="L256" s="21" t="s">
        <v>2149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row>
    <row r="257" spans="1:27" ht="60">
      <c r="A257" s="277"/>
      <c r="B257" s="31" t="s">
        <v>1860</v>
      </c>
      <c r="C257" s="31">
        <v>34</v>
      </c>
      <c r="D257" s="32" t="s">
        <v>1873</v>
      </c>
      <c r="E257" s="32" t="s">
        <v>1861</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row>
    <row r="258" spans="1:27" ht="30.75">
      <c r="A258" s="277"/>
      <c r="B258" s="31" t="s">
        <v>1860</v>
      </c>
      <c r="C258" s="31">
        <v>34</v>
      </c>
      <c r="D258" s="32" t="s">
        <v>1873</v>
      </c>
      <c r="E258" s="32" t="s">
        <v>1861</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row>
    <row r="259" spans="1:27" ht="36">
      <c r="A259" s="277"/>
      <c r="B259" s="31" t="s">
        <v>1860</v>
      </c>
      <c r="C259" s="31">
        <v>34</v>
      </c>
      <c r="D259" s="32" t="s">
        <v>1873</v>
      </c>
      <c r="E259" s="32" t="s">
        <v>1861</v>
      </c>
      <c r="F259" s="32" t="s">
        <v>62</v>
      </c>
      <c r="G259" s="32" t="s">
        <v>2150</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row>
    <row r="260" spans="1:27" ht="130.5">
      <c r="A260" s="277"/>
      <c r="B260" s="31" t="s">
        <v>1860</v>
      </c>
      <c r="C260" s="31">
        <v>34</v>
      </c>
      <c r="D260" s="32" t="s">
        <v>1873</v>
      </c>
      <c r="E260" s="32" t="s">
        <v>1881</v>
      </c>
      <c r="F260" s="32"/>
      <c r="G260" s="32" t="s">
        <v>2151</v>
      </c>
      <c r="H260" s="33"/>
      <c r="I260" s="33"/>
      <c r="J260" s="148"/>
      <c r="K260" s="21" t="s">
        <v>2152</v>
      </c>
      <c r="L260" s="21" t="s">
        <v>2153</v>
      </c>
      <c r="M260" s="21"/>
      <c r="N260" s="22"/>
      <c r="O260" s="22"/>
      <c r="P260" s="22"/>
      <c r="Q260" s="22"/>
      <c r="R260" s="22"/>
      <c r="S260" s="22"/>
      <c r="T260" s="65"/>
      <c r="U260" s="305"/>
      <c r="V260" s="305"/>
      <c r="W260" s="305"/>
      <c r="X260" s="305"/>
      <c r="Y260" s="305"/>
      <c r="Z260" s="305"/>
      <c r="AA260" s="305"/>
    </row>
    <row r="261" spans="1:27" ht="84">
      <c r="A261" s="277"/>
      <c r="B261" s="31" t="s">
        <v>1860</v>
      </c>
      <c r="C261" s="31">
        <v>34</v>
      </c>
      <c r="D261" s="32" t="s">
        <v>1873</v>
      </c>
      <c r="E261" s="32" t="s">
        <v>1881</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row>
    <row r="262" spans="1:27" ht="30.75">
      <c r="A262" s="277"/>
      <c r="B262" s="31" t="s">
        <v>1860</v>
      </c>
      <c r="C262" s="31">
        <v>34</v>
      </c>
      <c r="D262" s="32" t="s">
        <v>1873</v>
      </c>
      <c r="E262" s="32" t="s">
        <v>1881</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row>
    <row r="263" spans="1:27" ht="48">
      <c r="A263" s="277"/>
      <c r="B263" s="31" t="s">
        <v>1860</v>
      </c>
      <c r="C263" s="31">
        <v>34</v>
      </c>
      <c r="D263" s="32" t="s">
        <v>1873</v>
      </c>
      <c r="E263" s="32" t="s">
        <v>1881</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row>
    <row r="264" spans="1:27" ht="36">
      <c r="A264" s="277"/>
      <c r="B264" s="31" t="s">
        <v>1860</v>
      </c>
      <c r="C264" s="31">
        <v>34</v>
      </c>
      <c r="D264" s="32" t="s">
        <v>1859</v>
      </c>
      <c r="E264" s="32" t="s">
        <v>1861</v>
      </c>
      <c r="F264" s="32"/>
      <c r="G264" s="32" t="s">
        <v>1952</v>
      </c>
      <c r="H264" s="33"/>
      <c r="I264" s="33"/>
      <c r="J264" s="148" t="str">
        <f>IF($F264="","",IFERROR(IFERROR(INDEX(Réttabanki!$U:$U,MATCH($F264,Réttabanki!$A:$A,0)),INDEX(Vöruskrá!$R:$R,MATCH($F264,Vöruskrá!$B:$B,0)))*($H264+IF($I264="",$H264*(1+$AD$2),$I264))/2/1000,""))</f>
        <v/>
      </c>
      <c r="K264" s="21" t="s">
        <v>1953</v>
      </c>
      <c r="L264" s="21" t="s">
        <v>1954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row>
    <row r="265" spans="1:27">
      <c r="A265" s="277"/>
      <c r="B265" s="31" t="s">
        <v>1860</v>
      </c>
      <c r="C265" s="31">
        <v>34</v>
      </c>
      <c r="D265" s="32" t="s">
        <v>1859</v>
      </c>
      <c r="E265" s="32" t="s">
        <v>1861</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row>
    <row r="266" spans="1:27">
      <c r="A266" s="277"/>
      <c r="B266" s="31" t="s">
        <v>1860</v>
      </c>
      <c r="C266" s="31">
        <v>34</v>
      </c>
      <c r="D266" s="32" t="s">
        <v>1859</v>
      </c>
      <c r="E266" s="32" t="s">
        <v>1861</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393</v>
      </c>
      <c r="G267" s="32" t="s">
        <v>1948</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row>
    <row r="268" spans="1:27" ht="36">
      <c r="A268" s="277"/>
      <c r="B268" s="31" t="s">
        <v>1860</v>
      </c>
      <c r="C268" s="31">
        <v>34</v>
      </c>
      <c r="D268" s="32" t="s">
        <v>1859</v>
      </c>
      <c r="E268" s="32" t="s">
        <v>1861</v>
      </c>
      <c r="F268" s="32" t="s">
        <v>327</v>
      </c>
      <c r="G268" s="32" t="s">
        <v>1960</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row>
    <row r="269" spans="1:27" ht="36">
      <c r="A269" s="277"/>
      <c r="B269" s="31" t="s">
        <v>1860</v>
      </c>
      <c r="C269" s="31">
        <v>34</v>
      </c>
      <c r="D269" s="32" t="s">
        <v>1859</v>
      </c>
      <c r="E269" s="32" t="s">
        <v>962</v>
      </c>
      <c r="F269" s="32"/>
      <c r="G269" s="32" t="s">
        <v>1964</v>
      </c>
      <c r="H269" s="33"/>
      <c r="I269" s="33"/>
      <c r="J269" s="148"/>
      <c r="K269" s="21" t="s">
        <v>1965</v>
      </c>
      <c r="L269" s="21" t="s">
        <v>1966</v>
      </c>
      <c r="M269" s="21"/>
      <c r="N269" s="22"/>
      <c r="O269" s="22"/>
      <c r="P269" s="22"/>
      <c r="Q269" s="22"/>
      <c r="R269" s="22"/>
      <c r="S269" s="22"/>
      <c r="T269" s="65"/>
      <c r="U269" s="303"/>
      <c r="V269" s="303"/>
      <c r="W269" s="303"/>
      <c r="X269" s="303"/>
      <c r="Y269" s="303"/>
      <c r="Z269" s="303"/>
      <c r="AA269" s="303"/>
    </row>
    <row r="270" spans="1:27">
      <c r="A270" s="277"/>
      <c r="B270" s="31" t="s">
        <v>1860</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row>
    <row r="271" spans="1:27">
      <c r="A271" s="277"/>
      <c r="B271" s="31" t="s">
        <v>1860</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row>
    <row r="272" spans="1:27" ht="36">
      <c r="A272" s="277"/>
      <c r="B272" s="31" t="s">
        <v>1860</v>
      </c>
      <c r="C272" s="31">
        <v>34</v>
      </c>
      <c r="D272" s="32" t="s">
        <v>1859</v>
      </c>
      <c r="E272" s="32" t="s">
        <v>962</v>
      </c>
      <c r="F272" s="32" t="s">
        <v>327</v>
      </c>
      <c r="G272" s="32" t="s">
        <v>1960</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row>
    <row r="273" spans="1:27">
      <c r="A273" s="277"/>
      <c r="B273" s="31" t="s">
        <v>1860</v>
      </c>
      <c r="C273" s="31">
        <v>34</v>
      </c>
      <c r="D273" s="32" t="s">
        <v>1859</v>
      </c>
      <c r="E273" s="32" t="s">
        <v>962</v>
      </c>
      <c r="F273" s="32"/>
      <c r="G273" s="32" t="s">
        <v>2154</v>
      </c>
      <c r="H273" s="33"/>
      <c r="I273" s="33"/>
      <c r="J273" s="148"/>
      <c r="K273" s="21" t="s">
        <v>2155</v>
      </c>
      <c r="L273" s="21" t="s">
        <v>1565</v>
      </c>
      <c r="M273" s="21"/>
      <c r="N273" s="22"/>
      <c r="O273" s="22"/>
      <c r="P273" s="22"/>
      <c r="Q273" s="22"/>
      <c r="R273" s="22"/>
      <c r="S273" s="22"/>
      <c r="T273" s="65"/>
      <c r="U273" s="303"/>
      <c r="V273" s="303"/>
      <c r="W273" s="303"/>
      <c r="X273" s="303"/>
      <c r="Y273" s="303"/>
      <c r="Z273" s="303"/>
      <c r="AA273" s="303"/>
    </row>
    <row r="274" spans="1:27">
      <c r="A274" s="277"/>
      <c r="B274" s="31" t="s">
        <v>1860</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row>
    <row r="275" spans="1:27">
      <c r="A275" s="277"/>
      <c r="B275" s="31" t="s">
        <v>1860</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row>
    <row r="276" spans="1:27">
      <c r="A276" s="277"/>
      <c r="B276" s="31" t="s">
        <v>1860</v>
      </c>
      <c r="C276" s="31">
        <v>34</v>
      </c>
      <c r="D276" s="32" t="s">
        <v>1859</v>
      </c>
      <c r="E276" s="32" t="s">
        <v>962</v>
      </c>
      <c r="F276" s="32" t="s">
        <v>393</v>
      </c>
      <c r="G276" s="32" t="s">
        <v>1948</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row>
    <row r="277" spans="1:27">
      <c r="A277" s="277"/>
      <c r="B277" s="31" t="s">
        <v>1860</v>
      </c>
      <c r="C277" s="31">
        <v>34</v>
      </c>
      <c r="D277" s="32" t="s">
        <v>1859</v>
      </c>
      <c r="E277" s="32" t="s">
        <v>962</v>
      </c>
      <c r="F277" s="32" t="s">
        <v>1205</v>
      </c>
      <c r="G277" s="32" t="s">
        <v>2094</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row>
    <row r="278" spans="1:27" ht="84">
      <c r="A278" s="277"/>
      <c r="B278" s="31" t="s">
        <v>1860</v>
      </c>
      <c r="C278" s="31">
        <v>34</v>
      </c>
      <c r="D278" s="32" t="s">
        <v>1859</v>
      </c>
      <c r="E278" s="32" t="s">
        <v>962</v>
      </c>
      <c r="F278" s="32"/>
      <c r="G278" s="32" t="s">
        <v>2156</v>
      </c>
      <c r="H278" s="33"/>
      <c r="I278" s="33"/>
      <c r="J278" s="148"/>
      <c r="K278" s="21" t="s">
        <v>2157</v>
      </c>
      <c r="L278" s="21" t="s">
        <v>1617</v>
      </c>
      <c r="M278" s="21"/>
      <c r="N278" s="22"/>
      <c r="O278" s="22"/>
      <c r="P278" s="22"/>
      <c r="Q278" s="22"/>
      <c r="R278" s="22"/>
      <c r="S278" s="22"/>
      <c r="T278" s="65"/>
      <c r="U278" s="305"/>
      <c r="V278" s="305"/>
      <c r="W278" s="305"/>
      <c r="X278" s="305"/>
      <c r="Y278" s="305"/>
      <c r="Z278" s="305"/>
      <c r="AA278" s="305"/>
    </row>
    <row r="279" spans="1:27" ht="84">
      <c r="A279" s="277"/>
      <c r="B279" s="31" t="s">
        <v>1860</v>
      </c>
      <c r="C279" s="31">
        <v>34</v>
      </c>
      <c r="D279" s="32" t="s">
        <v>1859</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row>
    <row r="280" spans="1:27">
      <c r="A280" s="277"/>
      <c r="B280" s="31" t="s">
        <v>1860</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row>
    <row r="281" spans="1:27" ht="118.5">
      <c r="A281" s="277"/>
      <c r="B281" s="31" t="s">
        <v>1860</v>
      </c>
      <c r="C281" s="31">
        <v>34</v>
      </c>
      <c r="D281" s="32" t="s">
        <v>1859</v>
      </c>
      <c r="E281" s="32" t="s">
        <v>1881</v>
      </c>
      <c r="F281" s="32"/>
      <c r="G281" s="32" t="s">
        <v>1972</v>
      </c>
      <c r="H281" s="33"/>
      <c r="I281" s="33"/>
      <c r="J281" s="148" t="str">
        <f>IF($F281="","",IFERROR(IFERROR(INDEX(Réttabanki!$U:$U,MATCH($F281,Réttabanki!$A:$A,0)),INDEX(Vöruskrá!$R:$R,MATCH($F281,Vöruskrá!$B:$B,0)))*($H281+IF($I281="",$H281*(1+$AD$2),$I281))/2/1000,""))</f>
        <v/>
      </c>
      <c r="K281" s="21" t="s">
        <v>2158</v>
      </c>
      <c r="L281" s="21" t="s">
        <v>2159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row>
    <row r="282" spans="1:27" ht="60">
      <c r="A282" s="277"/>
      <c r="B282" s="31" t="s">
        <v>1860</v>
      </c>
      <c r="C282" s="31">
        <v>34</v>
      </c>
      <c r="D282" s="32" t="s">
        <v>1859</v>
      </c>
      <c r="E282" s="32" t="s">
        <v>1881</v>
      </c>
      <c r="F282" s="32" t="s">
        <v>354</v>
      </c>
      <c r="G282" s="32" t="s">
        <v>1975</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row>
    <row r="283" spans="1:27">
      <c r="A283" s="277"/>
      <c r="B283" s="31" t="s">
        <v>1860</v>
      </c>
      <c r="C283" s="31">
        <v>34</v>
      </c>
      <c r="D283" s="32" t="s">
        <v>1859</v>
      </c>
      <c r="E283" s="32" t="s">
        <v>1881</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row>
    <row r="284" spans="1:27" ht="60">
      <c r="A284" s="277"/>
      <c r="B284" s="31" t="s">
        <v>1860</v>
      </c>
      <c r="C284" s="31">
        <v>34</v>
      </c>
      <c r="D284" s="32" t="s">
        <v>1859</v>
      </c>
      <c r="E284" s="32" t="s">
        <v>1881</v>
      </c>
      <c r="F284" s="32" t="s">
        <v>260</v>
      </c>
      <c r="G284" s="32" t="s">
        <v>1977</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row>
    <row r="285" spans="1:27">
      <c r="A285" s="277"/>
      <c r="B285" s="31" t="s">
        <v>1860</v>
      </c>
      <c r="C285" s="31">
        <v>34</v>
      </c>
      <c r="D285" s="32" t="s">
        <v>1859</v>
      </c>
      <c r="E285" s="32" t="s">
        <v>1891</v>
      </c>
      <c r="F285" s="32"/>
      <c r="G285" s="32" t="s">
        <v>2160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1865</v>
      </c>
      <c r="E286" s="32" t="s">
        <v>1891</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row>
    <row r="287" spans="1:27" ht="48">
      <c r="A287" s="277"/>
      <c r="B287" s="31" t="s">
        <v>1860</v>
      </c>
      <c r="C287" s="31">
        <v>34</v>
      </c>
      <c r="D287" s="32" t="s">
        <v>1859</v>
      </c>
      <c r="E287" s="32" t="s">
        <v>1906</v>
      </c>
      <c r="F287" s="32"/>
      <c r="G287" s="32" t="s">
        <v>2161</v>
      </c>
      <c r="H287" s="33"/>
      <c r="I287" s="33"/>
      <c r="J287" s="148" t="str">
        <f>IF($F287="","",IFERROR(IFERROR(INDEX(Réttabanki!$U:$U,MATCH($F287,Réttabanki!$A:$A,0)),INDEX(Vöruskrá!$R:$R,MATCH($F287,Vöruskrá!$B:$B,0)))*($H287+IF($I287="",$H287*(1+$AD$2),$I287))/2/1000,""))</f>
        <v/>
      </c>
      <c r="K287" s="21" t="s">
        <v>2162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row>
    <row r="288" spans="1:27" ht="30.75">
      <c r="A288" s="277"/>
      <c r="B288" s="31" t="s">
        <v>1860</v>
      </c>
      <c r="C288" s="31">
        <v>34</v>
      </c>
      <c r="D288" s="32" t="s">
        <v>1859</v>
      </c>
      <c r="E288" s="32" t="s">
        <v>1906</v>
      </c>
      <c r="F288" s="32" t="s">
        <v>407</v>
      </c>
      <c r="G288" s="32" t="s">
        <v>2163</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row>
    <row r="289" spans="1:27" ht="24">
      <c r="A289" s="277"/>
      <c r="B289" s="31" t="s">
        <v>1860</v>
      </c>
      <c r="C289" s="31">
        <v>34</v>
      </c>
      <c r="D289" s="32" t="s">
        <v>1859</v>
      </c>
      <c r="E289" s="32" t="s">
        <v>1906</v>
      </c>
      <c r="F289" s="32" t="s">
        <v>379</v>
      </c>
      <c r="G289" s="32" t="s">
        <v>2013</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row>
    <row r="290" spans="1:27" ht="72">
      <c r="A290" s="277"/>
      <c r="B290" s="31" t="s">
        <v>1860</v>
      </c>
      <c r="C290" s="31">
        <v>34</v>
      </c>
      <c r="D290" s="32" t="s">
        <v>1859</v>
      </c>
      <c r="E290" s="32" t="s">
        <v>962</v>
      </c>
      <c r="F290" s="32"/>
      <c r="G290" s="32" t="s">
        <v>2164</v>
      </c>
      <c r="H290" s="33"/>
      <c r="I290" s="33"/>
      <c r="J290" s="148"/>
      <c r="K290" s="21" t="s">
        <v>2165</v>
      </c>
      <c r="L290" s="21" t="s">
        <v>121</v>
      </c>
      <c r="M290" s="21"/>
      <c r="N290" s="22"/>
      <c r="O290" s="22"/>
      <c r="P290" s="22"/>
      <c r="Q290" s="22"/>
      <c r="R290" s="22"/>
      <c r="S290" s="22"/>
      <c r="T290" s="64"/>
      <c r="U290" s="305"/>
      <c r="V290" s="305"/>
      <c r="W290" s="305"/>
      <c r="X290" s="305"/>
      <c r="Y290" s="305"/>
      <c r="Z290" s="305"/>
      <c r="AA290" s="305"/>
    </row>
    <row r="291" spans="1:27" ht="48">
      <c r="A291" s="277"/>
      <c r="B291" s="31" t="s">
        <v>1860</v>
      </c>
      <c r="C291" s="31">
        <v>34</v>
      </c>
      <c r="D291" s="32" t="s">
        <v>1859</v>
      </c>
      <c r="E291" s="32" t="s">
        <v>962</v>
      </c>
      <c r="F291" s="32" t="s">
        <v>1196</v>
      </c>
      <c r="G291" s="32" t="s">
        <v>2063</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row>
    <row r="292" spans="1:27" ht="24">
      <c r="A292" s="277"/>
      <c r="B292" s="31" t="s">
        <v>1860</v>
      </c>
      <c r="C292" s="31">
        <v>34</v>
      </c>
      <c r="D292" s="32" t="s">
        <v>1859</v>
      </c>
      <c r="E292" s="32" t="s">
        <v>962</v>
      </c>
      <c r="F292" s="32" t="s">
        <v>379</v>
      </c>
      <c r="G292" s="32" t="s">
        <v>2013</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row>
    <row r="293" spans="1:27">
      <c r="A293" s="278"/>
      <c r="B293" s="154" t="s">
        <v>1860</v>
      </c>
      <c r="C293" s="154">
        <v>34</v>
      </c>
      <c r="D293" s="155"/>
      <c r="E293" s="155"/>
      <c r="F293" s="155" t="s">
        <v>1918</v>
      </c>
      <c r="G293" s="155"/>
      <c r="H293" s="156"/>
      <c r="I293" s="156"/>
      <c r="J293" s="157">
        <f>SUMIFS(J256:J289,E256:E289,"&lt;&gt;Hliðarréttur",E256:E289,"&lt;&gt;Sérfæði")</f>
        <v>623.25</v>
      </c>
      <c r="K293" s="21" t="s">
        <v>1901</v>
      </c>
      <c r="L293" s="21"/>
      <c r="M293" s="21"/>
      <c r="N293" s="22"/>
      <c r="O293" s="22"/>
      <c r="P293" s="22"/>
      <c r="Q293" s="22"/>
      <c r="R293" s="22"/>
      <c r="S293" s="22"/>
      <c r="T293" s="64"/>
      <c r="U293" s="303"/>
      <c r="V293" s="303"/>
      <c r="W293" s="303"/>
      <c r="X293" s="303"/>
      <c r="Y293" s="303"/>
      <c r="Z293" s="303"/>
      <c r="AA293" s="303"/>
    </row>
    <row r="294" spans="1:27">
      <c r="A294" s="278"/>
      <c r="B294" s="154" t="s">
        <v>1860</v>
      </c>
      <c r="C294" s="154">
        <v>34</v>
      </c>
      <c r="D294" s="155"/>
      <c r="E294" s="155"/>
      <c r="F294" s="155" t="s">
        <v>1919</v>
      </c>
      <c r="G294" s="155"/>
      <c r="H294" s="156"/>
      <c r="I294" s="156"/>
      <c r="J294" s="157">
        <f>SUMIFS(J256:J289,E256:E289,"&lt;&gt;Hliðarréttur",E256:E289,"&lt;&gt;Sérfæði")</f>
        <v>623.25</v>
      </c>
      <c r="K294" s="21" t="s">
        <v>1901</v>
      </c>
      <c r="L294" s="21"/>
      <c r="M294" s="21"/>
      <c r="N294" s="22"/>
      <c r="O294" s="22"/>
      <c r="P294" s="22"/>
      <c r="Q294" s="22"/>
      <c r="R294" s="22"/>
      <c r="S294" s="22"/>
      <c r="T294" s="64"/>
      <c r="U294" s="305"/>
      <c r="V294" s="305"/>
      <c r="W294" s="305"/>
      <c r="X294" s="305"/>
      <c r="Y294" s="305"/>
      <c r="Z294" s="305"/>
      <c r="AA294" s="305"/>
    </row>
    <row r="295" spans="1:27" ht="72">
      <c r="A295" s="277">
        <v>46253</v>
      </c>
      <c r="B295" s="31" t="s">
        <v>1920</v>
      </c>
      <c r="C295" s="31">
        <v>34</v>
      </c>
      <c r="D295" s="32" t="s">
        <v>1873</v>
      </c>
      <c r="E295" s="32" t="s">
        <v>1861</v>
      </c>
      <c r="F295" s="32"/>
      <c r="G295" s="32" t="s">
        <v>2166</v>
      </c>
      <c r="H295" s="33"/>
      <c r="I295" s="33"/>
      <c r="J295" s="148" t="str">
        <f>IF($F295="","",IFERROR(IFERROR(INDEX(Réttabanki!$U:$U,MATCH($F295,Réttabanki!$A:$A,0)),INDEX(Vöruskrá!$R:$R,MATCH($F295,Vöruskrá!$B:$B,0)))*($H295+IF($I295="",$H295*(1+$AD$2),$I295))/2/1000,""))</f>
        <v/>
      </c>
      <c r="K295" s="21" t="s">
        <v>2167</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row>
    <row r="296" spans="1:27" ht="60">
      <c r="A296" s="277"/>
      <c r="B296" s="31" t="s">
        <v>1920</v>
      </c>
      <c r="C296" s="31">
        <v>34</v>
      </c>
      <c r="D296" s="32" t="s">
        <v>1873</v>
      </c>
      <c r="E296" s="32" t="s">
        <v>1861</v>
      </c>
      <c r="F296" s="32" t="s">
        <v>1539</v>
      </c>
      <c r="G296" s="32" t="s">
        <v>2168</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row>
    <row r="297" spans="1:27" ht="30.75">
      <c r="A297" s="277"/>
      <c r="B297" s="31" t="s">
        <v>1920</v>
      </c>
      <c r="C297" s="31">
        <v>34</v>
      </c>
      <c r="D297" s="32" t="s">
        <v>1873</v>
      </c>
      <c r="E297" s="32" t="s">
        <v>1861</v>
      </c>
      <c r="F297" s="32" t="s">
        <v>1113</v>
      </c>
      <c r="G297" s="32" t="s">
        <v>1928</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row>
    <row r="298" spans="1:27" ht="72">
      <c r="A298" s="277"/>
      <c r="B298" s="31" t="s">
        <v>1920</v>
      </c>
      <c r="C298" s="31">
        <v>34</v>
      </c>
      <c r="D298" s="32" t="s">
        <v>1873</v>
      </c>
      <c r="E298" s="32" t="s">
        <v>1881</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row>
    <row r="299" spans="1:27" ht="72">
      <c r="A299" s="277"/>
      <c r="B299" s="31" t="s">
        <v>1920</v>
      </c>
      <c r="C299" s="31">
        <v>34</v>
      </c>
      <c r="D299" s="32" t="s">
        <v>1873</v>
      </c>
      <c r="E299" s="32" t="s">
        <v>1881</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row>
    <row r="300" spans="1:27" ht="24">
      <c r="A300" s="277"/>
      <c r="B300" s="31" t="s">
        <v>1920</v>
      </c>
      <c r="C300" s="31">
        <v>34</v>
      </c>
      <c r="D300" s="32" t="s">
        <v>1859</v>
      </c>
      <c r="E300" s="32" t="s">
        <v>1861</v>
      </c>
      <c r="F300" s="32"/>
      <c r="G300" s="32" t="s">
        <v>2169</v>
      </c>
      <c r="H300" s="33"/>
      <c r="I300" s="33"/>
      <c r="J300" s="148" t="str">
        <f>IF($F300="","",IFERROR(IFERROR(INDEX(Réttabanki!$U:$U,MATCH($F300,Réttabanki!$A:$A,0)),INDEX(Vöruskrá!$R:$R,MATCH($F300,Vöruskrá!$B:$B,0)))*($H300+IF($I300="",$H300*(1+$AD$2),$I300))/2/1000,""))</f>
        <v/>
      </c>
      <c r="K300" s="21" t="s">
        <v>2170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row>
    <row r="301" spans="1:27">
      <c r="A301" s="277"/>
      <c r="B301" s="31" t="s">
        <v>1920</v>
      </c>
      <c r="C301" s="31">
        <v>34</v>
      </c>
      <c r="D301" s="32" t="s">
        <v>1859</v>
      </c>
      <c r="E301" s="32" t="s">
        <v>1861</v>
      </c>
      <c r="F301" s="32" t="s">
        <v>97</v>
      </c>
      <c r="G301" s="32" t="s">
        <v>2171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row>
    <row r="304" spans="1:27" ht="36">
      <c r="A304" s="277"/>
      <c r="B304" s="31" t="s">
        <v>1920</v>
      </c>
      <c r="C304" s="31">
        <v>34</v>
      </c>
      <c r="D304" s="32" t="s">
        <v>1859</v>
      </c>
      <c r="E304" s="32" t="s">
        <v>962</v>
      </c>
      <c r="F304" s="32"/>
      <c r="G304" s="32" t="s">
        <v>1882</v>
      </c>
      <c r="H304" s="33"/>
      <c r="I304" s="33"/>
      <c r="J304" s="148"/>
      <c r="K304" s="21" t="s">
        <v>2172</v>
      </c>
      <c r="L304" s="21" t="s">
        <v>115</v>
      </c>
      <c r="M304" s="21"/>
      <c r="N304" s="22"/>
      <c r="O304" s="22"/>
      <c r="P304" s="22"/>
      <c r="Q304" s="22"/>
      <c r="R304" s="22"/>
      <c r="S304" s="22"/>
      <c r="T304" s="65"/>
      <c r="U304" s="305"/>
      <c r="V304" s="305"/>
      <c r="W304" s="305"/>
      <c r="X304" s="305"/>
      <c r="Y304" s="305"/>
      <c r="Z304" s="305"/>
      <c r="AA304" s="305"/>
    </row>
    <row r="305" spans="1:27" ht="36">
      <c r="A305" s="277"/>
      <c r="B305" s="31" t="s">
        <v>1920</v>
      </c>
      <c r="C305" s="31">
        <v>34</v>
      </c>
      <c r="D305" s="32" t="s">
        <v>1859</v>
      </c>
      <c r="E305" s="32" t="s">
        <v>962</v>
      </c>
      <c r="F305" s="32" t="s">
        <v>1269</v>
      </c>
      <c r="G305" s="32" t="s">
        <v>1877</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row>
    <row r="306" spans="1:27">
      <c r="A306" s="277"/>
      <c r="B306" s="31" t="s">
        <v>1920</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row>
    <row r="307" spans="1:27">
      <c r="A307" s="277"/>
      <c r="B307" s="31" t="s">
        <v>1920</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row>
    <row r="308" spans="1:27" ht="24">
      <c r="A308" s="277"/>
      <c r="B308" s="31" t="s">
        <v>1920</v>
      </c>
      <c r="C308" s="31">
        <v>34</v>
      </c>
      <c r="D308" s="32" t="s">
        <v>1859</v>
      </c>
      <c r="E308" s="32" t="s">
        <v>962</v>
      </c>
      <c r="F308" s="32"/>
      <c r="G308" s="32" t="s">
        <v>2173</v>
      </c>
      <c r="H308" s="33"/>
      <c r="I308" s="33"/>
      <c r="J308" s="148"/>
      <c r="K308" s="21" t="s">
        <v>2174</v>
      </c>
      <c r="L308" s="21" t="s">
        <v>121</v>
      </c>
      <c r="M308" s="21"/>
      <c r="N308" s="22"/>
      <c r="O308" s="22"/>
      <c r="P308" s="22"/>
      <c r="Q308" s="22"/>
      <c r="R308" s="22"/>
      <c r="S308" s="22"/>
      <c r="T308" s="65"/>
      <c r="U308" s="305"/>
      <c r="V308" s="305"/>
      <c r="W308" s="305"/>
      <c r="X308" s="305"/>
      <c r="Y308" s="305"/>
      <c r="Z308" s="305"/>
      <c r="AA308" s="305"/>
    </row>
    <row r="309" spans="1:27" ht="24">
      <c r="A309" s="277"/>
      <c r="B309" s="31" t="s">
        <v>1920</v>
      </c>
      <c r="C309" s="31">
        <v>34</v>
      </c>
      <c r="D309" s="32" t="s">
        <v>1859</v>
      </c>
      <c r="E309" s="32" t="s">
        <v>962</v>
      </c>
      <c r="F309" s="32" t="s">
        <v>1407</v>
      </c>
      <c r="G309" s="32" t="s">
        <v>2175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row>
    <row r="310" spans="1:27">
      <c r="A310" s="277"/>
      <c r="B310" s="31" t="s">
        <v>1920</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row>
    <row r="311" spans="1:27">
      <c r="A311" s="277"/>
      <c r="B311" s="31" t="s">
        <v>1920</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row>
    <row r="312" spans="1:27" ht="36">
      <c r="A312" s="277"/>
      <c r="B312" s="31" t="s">
        <v>1920</v>
      </c>
      <c r="C312" s="31">
        <v>34</v>
      </c>
      <c r="D312" s="32" t="s">
        <v>1859</v>
      </c>
      <c r="E312" s="32" t="s">
        <v>1881</v>
      </c>
      <c r="F312" s="32"/>
      <c r="G312" s="32" t="s">
        <v>1882</v>
      </c>
      <c r="H312" s="33"/>
      <c r="I312" s="33"/>
      <c r="J312" s="148" t="str">
        <f>IF($F312="","",IFERROR(IFERROR(INDEX(Réttabanki!$U:$U,MATCH($F312,Réttabanki!$A:$A,0)),INDEX(Vöruskrá!$R:$R,MATCH($F312,Vöruskrá!$B:$B,0)))*($H312+IF($I312="",$H312*(1+$AD$2),$I312))/2/1000,""))</f>
        <v/>
      </c>
      <c r="K312" s="21" t="s">
        <v>2172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row>
    <row r="313" spans="1:27" ht="36">
      <c r="A313" s="277"/>
      <c r="B313" s="31" t="s">
        <v>1920</v>
      </c>
      <c r="C313" s="31">
        <v>34</v>
      </c>
      <c r="D313" s="32" t="s">
        <v>1859</v>
      </c>
      <c r="E313" s="32" t="s">
        <v>1881</v>
      </c>
      <c r="F313" s="32" t="s">
        <v>1269</v>
      </c>
      <c r="G313" s="32" t="s">
        <v>1885</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row>
    <row r="314" spans="1:27">
      <c r="A314" s="277"/>
      <c r="B314" s="31" t="s">
        <v>1920</v>
      </c>
      <c r="C314" s="31">
        <v>34</v>
      </c>
      <c r="D314" s="32" t="s">
        <v>1859</v>
      </c>
      <c r="E314" s="32" t="s">
        <v>1881</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row>
    <row r="316" spans="1:27" ht="30.75">
      <c r="A316" s="277"/>
      <c r="B316" s="31" t="s">
        <v>1920</v>
      </c>
      <c r="C316" s="31">
        <v>34</v>
      </c>
      <c r="D316" s="32" t="s">
        <v>1873</v>
      </c>
      <c r="E316" s="32" t="s">
        <v>1891</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row>
    <row r="317" spans="1:27" ht="48">
      <c r="A317" s="277"/>
      <c r="B317" s="31" t="s">
        <v>1920</v>
      </c>
      <c r="C317" s="31">
        <v>34</v>
      </c>
      <c r="D317" s="32" t="s">
        <v>1859</v>
      </c>
      <c r="E317" s="32" t="s">
        <v>1891</v>
      </c>
      <c r="F317" s="32"/>
      <c r="G317" s="32" t="s">
        <v>2176</v>
      </c>
      <c r="H317" s="33"/>
      <c r="I317" s="33"/>
      <c r="J317" s="148" t="str">
        <f>IF($F317="","",IFERROR(IFERROR(INDEX(Réttabanki!$U:$U,MATCH($F317,Réttabanki!$A:$A,0)),INDEX(Vöruskrá!$R:$R,MATCH($F317,Vöruskrá!$B:$B,0)))*($H317+IF($I317="",$H317*(1+$AD$2),$I317))/2/1000,""))</f>
        <v/>
      </c>
      <c r="K317" s="21" t="s">
        <v>2030</v>
      </c>
      <c r="L317" s="21" t="s">
        <v>2031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row>
    <row r="318" spans="1:27" ht="36">
      <c r="A318" s="277"/>
      <c r="B318" s="31" t="s">
        <v>1920</v>
      </c>
      <c r="C318" s="31">
        <v>34</v>
      </c>
      <c r="D318" s="32" t="s">
        <v>1859</v>
      </c>
      <c r="E318" s="32" t="s">
        <v>1891</v>
      </c>
      <c r="F318" s="32" t="s">
        <v>57</v>
      </c>
      <c r="G318" s="32" t="s">
        <v>2032</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row>
    <row r="319" spans="1:27">
      <c r="A319" s="277"/>
      <c r="B319" s="31" t="s">
        <v>1920</v>
      </c>
      <c r="C319" s="31">
        <v>34</v>
      </c>
      <c r="D319" s="32" t="s">
        <v>1859</v>
      </c>
      <c r="E319" s="32" t="s">
        <v>1891</v>
      </c>
      <c r="F319" s="32" t="s">
        <v>566</v>
      </c>
      <c r="G319" s="32" t="s">
        <v>1898</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row>
    <row r="320" spans="1:27" ht="36">
      <c r="A320" s="277"/>
      <c r="B320" s="31" t="s">
        <v>1920</v>
      </c>
      <c r="C320" s="31">
        <v>34</v>
      </c>
      <c r="D320" s="32" t="s">
        <v>1859</v>
      </c>
      <c r="E320" s="32" t="s">
        <v>962</v>
      </c>
      <c r="F320" s="32"/>
      <c r="G320" s="32" t="s">
        <v>2177</v>
      </c>
      <c r="H320" s="33"/>
      <c r="I320" s="33"/>
      <c r="J320" s="148"/>
      <c r="K320" s="21" t="s">
        <v>58</v>
      </c>
      <c r="L320" s="21" t="s">
        <v>59</v>
      </c>
      <c r="M320" s="21"/>
      <c r="N320" s="22"/>
      <c r="O320" s="22"/>
      <c r="P320" s="22"/>
      <c r="Q320" s="22"/>
      <c r="R320" s="22"/>
      <c r="S320" s="22"/>
      <c r="T320" s="65"/>
      <c r="U320" s="305"/>
      <c r="V320" s="305"/>
      <c r="W320" s="305"/>
      <c r="X320" s="305"/>
      <c r="Y320" s="305"/>
      <c r="Z320" s="305"/>
      <c r="AA320" s="305"/>
    </row>
    <row r="321" spans="1:27" ht="36">
      <c r="A321" s="277"/>
      <c r="B321" s="309" t="s">
        <v>1920</v>
      </c>
      <c r="C321" s="309">
        <v>34</v>
      </c>
      <c r="D321" s="32" t="s">
        <v>1859</v>
      </c>
      <c r="E321" s="32" t="s">
        <v>962</v>
      </c>
      <c r="F321" s="32" t="s">
        <v>57</v>
      </c>
      <c r="G321" s="32" t="s">
        <v>2032</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row>
    <row r="322" spans="1:27" ht="48">
      <c r="A322" s="277"/>
      <c r="B322" s="31" t="s">
        <v>1920</v>
      </c>
      <c r="C322" s="31">
        <v>34</v>
      </c>
      <c r="D322" s="32" t="s">
        <v>1859</v>
      </c>
      <c r="E322" s="32" t="s">
        <v>962</v>
      </c>
      <c r="F322" s="32"/>
      <c r="G322" s="32" t="s">
        <v>2178</v>
      </c>
      <c r="H322" s="33"/>
      <c r="I322" s="33"/>
      <c r="J322" s="148"/>
      <c r="K322" s="21" t="s">
        <v>2035</v>
      </c>
      <c r="L322" s="21" t="s">
        <v>108</v>
      </c>
      <c r="M322" s="21"/>
      <c r="N322" s="22"/>
      <c r="O322" s="22"/>
      <c r="P322" s="22"/>
      <c r="Q322" s="22"/>
      <c r="R322" s="22"/>
      <c r="S322" s="22"/>
      <c r="T322" s="65"/>
      <c r="U322" s="305"/>
      <c r="V322" s="305"/>
      <c r="W322" s="305"/>
      <c r="X322" s="305"/>
      <c r="Y322" s="305"/>
      <c r="Z322" s="305"/>
      <c r="AA322" s="305"/>
    </row>
    <row r="323" spans="1:27" ht="48">
      <c r="A323" s="277"/>
      <c r="B323" s="31" t="s">
        <v>1920</v>
      </c>
      <c r="C323" s="31">
        <v>34</v>
      </c>
      <c r="D323" s="32" t="s">
        <v>1859</v>
      </c>
      <c r="E323" s="32" t="s">
        <v>962</v>
      </c>
      <c r="F323" s="32" t="s">
        <v>1193</v>
      </c>
      <c r="G323" s="32" t="s">
        <v>1904</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row>
    <row r="324" spans="1:27">
      <c r="A324" s="277"/>
      <c r="B324" s="31" t="s">
        <v>1920</v>
      </c>
      <c r="C324" s="31">
        <v>34</v>
      </c>
      <c r="D324" s="32" t="s">
        <v>1859</v>
      </c>
      <c r="E324" s="32" t="s">
        <v>962</v>
      </c>
      <c r="F324" s="32" t="s">
        <v>566</v>
      </c>
      <c r="G324" s="32" t="s">
        <v>1898</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row>
    <row r="325" spans="1:27" ht="48">
      <c r="A325" s="277"/>
      <c r="B325" s="31" t="s">
        <v>1920</v>
      </c>
      <c r="C325" s="31">
        <v>34</v>
      </c>
      <c r="D325" s="32" t="s">
        <v>1859</v>
      </c>
      <c r="E325" s="32" t="s">
        <v>1906</v>
      </c>
      <c r="F325" s="32"/>
      <c r="G325" s="32" t="s">
        <v>2179</v>
      </c>
      <c r="H325" s="33"/>
      <c r="I325" s="33"/>
      <c r="J325" s="148" t="str">
        <f>IF($F325="","",IFERROR(IFERROR(INDEX(Réttabanki!$U:$U,MATCH($F325,Réttabanki!$A:$A,0)),INDEX(Vöruskrá!$R:$R,MATCH($F325,Vöruskrá!$B:$B,0)))*($H325+IF($I325="",$H325*(1+$AD$2),$I325))/2/1000,""))</f>
        <v/>
      </c>
      <c r="K325" s="21" t="s">
        <v>2180</v>
      </c>
      <c r="L325" s="21" t="s">
        <v>1909</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row>
    <row r="326" spans="1:27" ht="24">
      <c r="A326" s="277"/>
      <c r="B326" s="31" t="s">
        <v>1920</v>
      </c>
      <c r="C326" s="31">
        <v>34</v>
      </c>
      <c r="D326" s="32" t="s">
        <v>1859</v>
      </c>
      <c r="E326" s="32" t="s">
        <v>1906</v>
      </c>
      <c r="F326" s="32" t="s">
        <v>85</v>
      </c>
      <c r="G326" s="32" t="s">
        <v>2181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124</v>
      </c>
      <c r="G327" s="32" t="s">
        <v>1913</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row>
    <row r="328" spans="1:27" ht="72">
      <c r="A328" s="277"/>
      <c r="B328" s="31" t="s">
        <v>1920</v>
      </c>
      <c r="C328" s="31">
        <v>34</v>
      </c>
      <c r="D328" s="32" t="s">
        <v>1859</v>
      </c>
      <c r="E328" s="32" t="s">
        <v>962</v>
      </c>
      <c r="F328" s="32"/>
      <c r="G328" s="32" t="s">
        <v>2182</v>
      </c>
      <c r="H328" s="33"/>
      <c r="I328" s="33"/>
      <c r="J328" s="148"/>
      <c r="K328" s="21" t="s">
        <v>2183</v>
      </c>
      <c r="L328" s="21" t="s">
        <v>128</v>
      </c>
      <c r="M328" s="21"/>
      <c r="N328" s="22"/>
      <c r="O328" s="22"/>
      <c r="P328" s="22"/>
      <c r="Q328" s="22"/>
      <c r="R328" s="22"/>
      <c r="S328" s="22"/>
      <c r="T328" s="64"/>
      <c r="U328" s="305"/>
      <c r="V328" s="305"/>
      <c r="W328" s="305"/>
      <c r="X328" s="305"/>
      <c r="Y328" s="305"/>
      <c r="Z328" s="305"/>
      <c r="AA328" s="305"/>
    </row>
    <row r="329" spans="1:27" ht="48">
      <c r="A329" s="277"/>
      <c r="B329" s="31" t="s">
        <v>1920</v>
      </c>
      <c r="C329" s="31">
        <v>34</v>
      </c>
      <c r="D329" s="32" t="s">
        <v>1859</v>
      </c>
      <c r="E329" s="32" t="s">
        <v>962</v>
      </c>
      <c r="F329" s="32" t="s">
        <v>1183</v>
      </c>
      <c r="G329" s="32" t="s">
        <v>1904</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row>
    <row r="330" spans="1:27" ht="24">
      <c r="A330" s="277"/>
      <c r="B330" s="31" t="s">
        <v>1920</v>
      </c>
      <c r="C330" s="31">
        <v>34</v>
      </c>
      <c r="D330" s="32" t="s">
        <v>1859</v>
      </c>
      <c r="E330" s="32" t="s">
        <v>962</v>
      </c>
      <c r="F330" s="32" t="s">
        <v>124</v>
      </c>
      <c r="G330" s="32" t="s">
        <v>1913</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row>
    <row r="331" spans="1:27">
      <c r="A331" s="278"/>
      <c r="B331" s="154" t="s">
        <v>1920</v>
      </c>
      <c r="C331" s="154">
        <v>34</v>
      </c>
      <c r="D331" s="155"/>
      <c r="E331" s="155"/>
      <c r="F331" s="155" t="s">
        <v>1918</v>
      </c>
      <c r="G331" s="155"/>
      <c r="H331" s="156"/>
      <c r="I331" s="156"/>
      <c r="J331" s="157">
        <f>SUMIFS(J295:J327,E295:E327,"&lt;&gt;Hliðarréttur",E295:E327,"&lt;&gt;Sérfæði")</f>
        <v>469.91184499999997</v>
      </c>
      <c r="K331" s="21" t="s">
        <v>1901</v>
      </c>
      <c r="L331" s="21"/>
      <c r="M331" s="21"/>
      <c r="N331" s="22"/>
      <c r="O331" s="22"/>
      <c r="P331" s="22"/>
      <c r="Q331" s="22"/>
      <c r="R331" s="22"/>
      <c r="S331" s="22"/>
      <c r="T331" s="64"/>
      <c r="U331" s="303"/>
      <c r="V331" s="303"/>
      <c r="W331" s="303"/>
      <c r="X331" s="303"/>
      <c r="Y331" s="303"/>
      <c r="Z331" s="303"/>
      <c r="AA331" s="303"/>
    </row>
    <row r="332" spans="1:27">
      <c r="A332" s="278"/>
      <c r="B332" s="154" t="s">
        <v>1920</v>
      </c>
      <c r="C332" s="154">
        <v>34</v>
      </c>
      <c r="D332" s="155"/>
      <c r="E332" s="155"/>
      <c r="F332" s="155" t="s">
        <v>1919</v>
      </c>
      <c r="G332" s="155"/>
      <c r="H332" s="156"/>
      <c r="I332" s="156"/>
      <c r="J332" s="157">
        <f>SUMIFS(J295:J327,E295:E327,"&lt;&gt;Hliðarréttur",E295:E327,"&lt;&gt;Sérfæði")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60">
      <c r="A333" s="277">
        <v>46254</v>
      </c>
      <c r="B333" s="31" t="s">
        <v>1951</v>
      </c>
      <c r="C333" s="31">
        <v>34</v>
      </c>
      <c r="D333" s="32" t="s">
        <v>1873</v>
      </c>
      <c r="E333" s="32" t="s">
        <v>1861</v>
      </c>
      <c r="F333" s="32"/>
      <c r="G333" s="32" t="s">
        <v>2184</v>
      </c>
      <c r="H333" s="33"/>
      <c r="I333" s="33"/>
      <c r="J333" s="148" t="str">
        <f>IF($F333="","",IFERROR(IFERROR(INDEX(Réttabanki!$U:$U,MATCH($F333,Réttabanki!$A:$A,0)),INDEX(Vöruskrá!$R:$R,MATCH($F333,Vöruskrá!$B:$B,0)))*($H333+IF($I333="",$H333*(1+$AD$2),$I333))/2/1000,""))</f>
        <v/>
      </c>
      <c r="K333" s="21" t="s">
        <v>2185</v>
      </c>
      <c r="L333" s="21" t="s">
        <v>2186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row>
    <row r="334" spans="1:27" ht="36">
      <c r="A334" s="277"/>
      <c r="B334" s="31" t="s">
        <v>1951</v>
      </c>
      <c r="C334" s="31">
        <v>34</v>
      </c>
      <c r="D334" s="32" t="s">
        <v>1873</v>
      </c>
      <c r="E334" s="32" t="s">
        <v>1861</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row>
    <row r="335" spans="1:27" ht="30.75">
      <c r="A335" s="277"/>
      <c r="B335" s="31" t="s">
        <v>1951</v>
      </c>
      <c r="C335" s="31">
        <v>34</v>
      </c>
      <c r="D335" s="32" t="s">
        <v>1873</v>
      </c>
      <c r="E335" s="32" t="s">
        <v>1861</v>
      </c>
      <c r="F335" s="32" t="s">
        <v>1569</v>
      </c>
      <c r="G335" s="32" t="s">
        <v>2187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row>
    <row r="336" spans="1:27" ht="72">
      <c r="A336" s="277"/>
      <c r="B336" s="31" t="s">
        <v>1951</v>
      </c>
      <c r="C336" s="31">
        <v>34</v>
      </c>
      <c r="D336" s="32" t="s">
        <v>1873</v>
      </c>
      <c r="E336" s="32" t="s">
        <v>1881</v>
      </c>
      <c r="F336" s="32"/>
      <c r="G336" s="32" t="s">
        <v>2188</v>
      </c>
      <c r="H336" s="33"/>
      <c r="I336" s="33"/>
      <c r="J336" s="148"/>
      <c r="K336" s="21" t="s">
        <v>1428</v>
      </c>
      <c r="L336" s="21" t="s">
        <v>1429</v>
      </c>
      <c r="M336" s="21"/>
      <c r="N336" s="22"/>
      <c r="O336" s="22"/>
      <c r="P336" s="22"/>
      <c r="Q336" s="22"/>
      <c r="R336" s="22"/>
      <c r="S336" s="22"/>
      <c r="T336" s="65"/>
      <c r="U336" s="305"/>
      <c r="V336" s="305"/>
      <c r="W336" s="305"/>
      <c r="X336" s="305"/>
      <c r="Y336" s="305"/>
      <c r="Z336" s="305"/>
      <c r="AA336" s="305"/>
    </row>
    <row r="337" spans="1:27" ht="72">
      <c r="A337" s="277"/>
      <c r="B337" s="31" t="s">
        <v>1951</v>
      </c>
      <c r="C337" s="31">
        <v>34</v>
      </c>
      <c r="D337" s="32" t="s">
        <v>1873</v>
      </c>
      <c r="E337" s="32" t="s">
        <v>1881</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row>
    <row r="338" spans="1:27" ht="107.25">
      <c r="A338" s="277" t="s">
        <v>2189</v>
      </c>
      <c r="B338" s="31" t="s">
        <v>1951</v>
      </c>
      <c r="C338" s="31">
        <v>34</v>
      </c>
      <c r="D338" s="32" t="s">
        <v>1859</v>
      </c>
      <c r="E338" s="32" t="s">
        <v>1861</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row>
    <row r="339" spans="1:27" ht="24">
      <c r="A339" s="277"/>
      <c r="B339" s="31" t="s">
        <v>1951</v>
      </c>
      <c r="C339" s="31">
        <v>34</v>
      </c>
      <c r="D339" s="32" t="s">
        <v>1859</v>
      </c>
      <c r="E339" s="32" t="s">
        <v>1861</v>
      </c>
      <c r="F339" s="32" t="s">
        <v>827</v>
      </c>
      <c r="G339" s="32" t="s">
        <v>2193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row>
    <row r="340" spans="1:27">
      <c r="A340" s="277"/>
      <c r="B340" s="31" t="s">
        <v>1951</v>
      </c>
      <c r="C340" s="31">
        <v>34</v>
      </c>
      <c r="D340" s="32" t="s">
        <v>1859</v>
      </c>
      <c r="E340" s="32" t="s">
        <v>1861</v>
      </c>
      <c r="F340" s="32" t="s">
        <v>309</v>
      </c>
      <c r="G340" s="32" t="s">
        <v>2021</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row>
    <row r="341" spans="1:27" ht="24">
      <c r="A341" s="277"/>
      <c r="B341" s="309" t="s">
        <v>1951</v>
      </c>
      <c r="C341" s="309">
        <v>34</v>
      </c>
      <c r="D341" s="32" t="s">
        <v>1859</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row>
    <row r="342" spans="1:27">
      <c r="A342" s="277"/>
      <c r="B342" s="309" t="s">
        <v>1951</v>
      </c>
      <c r="C342" s="309">
        <v>34</v>
      </c>
      <c r="D342" s="32" t="s">
        <v>1859</v>
      </c>
      <c r="E342" s="32" t="s">
        <v>962</v>
      </c>
      <c r="F342" s="32" t="s">
        <v>309</v>
      </c>
      <c r="G342" s="32" t="s">
        <v>2021</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row>
    <row r="343" spans="1:27" ht="48">
      <c r="A343" s="277"/>
      <c r="B343" s="309" t="s">
        <v>1951</v>
      </c>
      <c r="C343" s="309">
        <v>34</v>
      </c>
      <c r="D343" s="32" t="s">
        <v>1859</v>
      </c>
      <c r="E343" s="32" t="s">
        <v>962</v>
      </c>
      <c r="F343" s="32" t="s">
        <v>670</v>
      </c>
      <c r="G343" s="32" t="s">
        <v>2194</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row>
    <row r="344" spans="1:27" ht="24">
      <c r="A344" s="277"/>
      <c r="B344" s="309" t="s">
        <v>1951</v>
      </c>
      <c r="C344" s="309">
        <v>34</v>
      </c>
      <c r="D344" s="32" t="s">
        <v>1859</v>
      </c>
      <c r="E344" s="32" t="s">
        <v>962</v>
      </c>
      <c r="F344" s="32" t="s">
        <v>608</v>
      </c>
      <c r="G344" s="32" t="s">
        <v>1923</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row>
    <row r="345" spans="1:27" ht="72">
      <c r="A345" s="277"/>
      <c r="B345" s="31" t="s">
        <v>1951</v>
      </c>
      <c r="C345" s="31">
        <v>34</v>
      </c>
      <c r="D345" s="32" t="s">
        <v>1859</v>
      </c>
      <c r="E345" s="32" t="s">
        <v>1881</v>
      </c>
      <c r="F345" s="32"/>
      <c r="G345" s="32" t="s">
        <v>2195</v>
      </c>
      <c r="H345" s="33"/>
      <c r="I345" s="33"/>
      <c r="J345" s="148"/>
      <c r="K345" s="21" t="s">
        <v>2196</v>
      </c>
      <c r="L345" s="21" t="s">
        <v>1974</v>
      </c>
      <c r="M345" s="21"/>
      <c r="N345" s="22"/>
      <c r="O345" s="22"/>
      <c r="P345" s="22"/>
      <c r="Q345" s="22"/>
      <c r="R345" s="22"/>
      <c r="S345" s="22"/>
      <c r="T345" s="64"/>
      <c r="U345" s="303"/>
      <c r="V345" s="303"/>
      <c r="W345" s="303"/>
      <c r="X345" s="303"/>
      <c r="Y345" s="303"/>
      <c r="Z345" s="303"/>
      <c r="AA345" s="303"/>
    </row>
    <row r="346" spans="1:27" ht="24">
      <c r="A346" s="277"/>
      <c r="B346" s="31" t="s">
        <v>1951</v>
      </c>
      <c r="C346" s="31">
        <v>34</v>
      </c>
      <c r="D346" s="32" t="s">
        <v>1859</v>
      </c>
      <c r="E346" s="32" t="s">
        <v>1881</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row>
    <row r="347" spans="1:27">
      <c r="A347" s="277"/>
      <c r="B347" s="31" t="s">
        <v>1951</v>
      </c>
      <c r="C347" s="31">
        <v>34</v>
      </c>
      <c r="D347" s="32" t="s">
        <v>1859</v>
      </c>
      <c r="E347" s="32" t="s">
        <v>1881</v>
      </c>
      <c r="F347" s="32" t="s">
        <v>309</v>
      </c>
      <c r="G347" s="32" t="s">
        <v>2021</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row>
    <row r="348" spans="1:27" ht="48">
      <c r="A348" s="277"/>
      <c r="B348" s="31" t="s">
        <v>1951</v>
      </c>
      <c r="C348" s="31">
        <v>34</v>
      </c>
      <c r="D348" s="32" t="s">
        <v>1859</v>
      </c>
      <c r="E348" s="32" t="s">
        <v>1881</v>
      </c>
      <c r="F348" s="32" t="s">
        <v>670</v>
      </c>
      <c r="G348" s="32" t="s">
        <v>2194</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row>
    <row r="349" spans="1:27" ht="30.75">
      <c r="A349" s="277"/>
      <c r="B349" s="31" t="s">
        <v>1951</v>
      </c>
      <c r="C349" s="31">
        <v>34</v>
      </c>
      <c r="D349" s="32" t="s">
        <v>1873</v>
      </c>
      <c r="E349" s="32" t="s">
        <v>1891</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c r="A350" s="277"/>
      <c r="B350" s="31" t="s">
        <v>1951</v>
      </c>
      <c r="C350" s="31">
        <v>34</v>
      </c>
      <c r="D350" s="32" t="s">
        <v>1859</v>
      </c>
      <c r="E350" s="32" t="s">
        <v>1891</v>
      </c>
      <c r="F350" s="32"/>
      <c r="G350" s="32" t="s">
        <v>2100</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row>
    <row r="351" spans="1:27" ht="59.25" customHeight="1">
      <c r="A351" s="277"/>
      <c r="B351" s="31" t="s">
        <v>1951</v>
      </c>
      <c r="C351" s="31">
        <v>34</v>
      </c>
      <c r="D351" s="32" t="s">
        <v>1859</v>
      </c>
      <c r="E351" s="32" t="s">
        <v>1906</v>
      </c>
      <c r="F351" s="32"/>
      <c r="G351" s="32" t="s">
        <v>2197</v>
      </c>
      <c r="H351" s="33"/>
      <c r="I351" s="33"/>
      <c r="J351" s="148" t="str">
        <f>IF($F351="","",IFERROR(IFERROR(INDEX(Réttabanki!$U:$U,MATCH($F351,Réttabanki!$A:$A,0)),INDEX(Vöruskrá!$R:$R,MATCH($F351,Vöruskrá!$B:$B,0)))*($H351+IF($I351="",$H351*(1+$AD$2),$I351))/2/1000,""))</f>
        <v/>
      </c>
      <c r="K351" s="21" t="s">
        <v>2198</v>
      </c>
      <c r="L351" s="21" t="s">
        <v>2199</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row>
    <row r="352" spans="1:27" ht="56.25" customHeight="1">
      <c r="A352" s="277"/>
      <c r="B352" s="31" t="s">
        <v>1951</v>
      </c>
      <c r="C352" s="31">
        <v>34</v>
      </c>
      <c r="D352" s="32" t="s">
        <v>1859</v>
      </c>
      <c r="E352" s="32" t="s">
        <v>1906</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row>
    <row r="353" spans="1:27" ht="36">
      <c r="A353" s="277"/>
      <c r="B353" s="31" t="s">
        <v>1951</v>
      </c>
      <c r="C353" s="31">
        <v>34</v>
      </c>
      <c r="D353" s="32" t="s">
        <v>1859</v>
      </c>
      <c r="E353" s="32" t="s">
        <v>1906</v>
      </c>
      <c r="F353" s="32" t="s">
        <v>571</v>
      </c>
      <c r="G353" s="32" t="s">
        <v>2060</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row>
    <row r="354" spans="1:27" ht="84">
      <c r="A354" s="277"/>
      <c r="B354" s="31" t="s">
        <v>1951</v>
      </c>
      <c r="C354" s="31">
        <v>34</v>
      </c>
      <c r="D354" s="32" t="s">
        <v>1859</v>
      </c>
      <c r="E354" s="32" t="s">
        <v>962</v>
      </c>
      <c r="F354" s="32"/>
      <c r="G354" s="32" t="s">
        <v>2200</v>
      </c>
      <c r="H354" s="33"/>
      <c r="I354" s="33"/>
      <c r="J354" s="148"/>
      <c r="K354" s="21" t="s">
        <v>2201</v>
      </c>
      <c r="L354" s="21" t="s">
        <v>128</v>
      </c>
      <c r="M354" s="21"/>
      <c r="N354" s="22"/>
      <c r="O354" s="22"/>
      <c r="P354" s="22"/>
      <c r="Q354" s="22"/>
      <c r="R354" s="22"/>
      <c r="S354" s="22"/>
      <c r="T354" s="65"/>
      <c r="U354" s="305"/>
      <c r="V354" s="305"/>
      <c r="W354" s="305"/>
      <c r="X354" s="305"/>
      <c r="Y354" s="305"/>
      <c r="Z354" s="305"/>
      <c r="AA354" s="305"/>
    </row>
    <row r="355" spans="1:27" ht="60">
      <c r="A355" s="277"/>
      <c r="B355" s="31" t="s">
        <v>1951</v>
      </c>
      <c r="C355" s="31">
        <v>34</v>
      </c>
      <c r="D355" s="32" t="s">
        <v>1859</v>
      </c>
      <c r="E355" s="32" t="s">
        <v>962</v>
      </c>
      <c r="F355" s="32" t="s">
        <v>1187</v>
      </c>
      <c r="G355" s="32" t="s">
        <v>1904</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row>
    <row r="356" spans="1:27" ht="36">
      <c r="A356" s="277"/>
      <c r="B356" s="31" t="s">
        <v>1951</v>
      </c>
      <c r="C356" s="31">
        <v>34</v>
      </c>
      <c r="D356" s="32" t="s">
        <v>1859</v>
      </c>
      <c r="E356" s="32" t="s">
        <v>962</v>
      </c>
      <c r="F356" s="32" t="s">
        <v>571</v>
      </c>
      <c r="G356" s="32" t="s">
        <v>2060</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row>
    <row r="357" spans="1:27">
      <c r="A357" s="278"/>
      <c r="B357" s="154" t="s">
        <v>1951</v>
      </c>
      <c r="C357" s="154">
        <v>34</v>
      </c>
      <c r="D357" s="155"/>
      <c r="E357" s="155"/>
      <c r="F357" s="155" t="s">
        <v>1918</v>
      </c>
      <c r="G357" s="155"/>
      <c r="H357" s="156"/>
      <c r="I357" s="156"/>
      <c r="J357" s="157">
        <f>SUMIFS(J333:J353,E333:E353,"&lt;&gt;Hliðarréttur",E333:E353,"&lt;&gt;Sérfæði")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c r="A358" s="278"/>
      <c r="B358" s="154" t="s">
        <v>1951</v>
      </c>
      <c r="C358" s="154">
        <v>34</v>
      </c>
      <c r="D358" s="155"/>
      <c r="E358" s="155"/>
      <c r="F358" s="155" t="s">
        <v>1919</v>
      </c>
      <c r="G358" s="155"/>
      <c r="H358" s="156"/>
      <c r="I358" s="156"/>
      <c r="J358" s="157">
        <f>SUMIFS(J333:J353,E333:E353,"&lt;&gt;Hliðarréttur",E333:E353,"&lt;&gt;Sérfæði")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ht="60">
      <c r="A359" s="277">
        <v>46255</v>
      </c>
      <c r="B359" s="31" t="s">
        <v>1991</v>
      </c>
      <c r="C359" s="31">
        <v>34</v>
      </c>
      <c r="D359" s="32" t="s">
        <v>1873</v>
      </c>
      <c r="E359" s="32" t="s">
        <v>1861</v>
      </c>
      <c r="F359" s="32"/>
      <c r="G359" s="32" t="s">
        <v>2202</v>
      </c>
      <c r="H359" s="33"/>
      <c r="I359" s="33"/>
      <c r="J359" s="148" t="str">
        <f>IF($F359="","",IFERROR(IFERROR(INDEX(Réttabanki!$U:$U,MATCH($F359,Réttabanki!$A:$A,0)),INDEX(Vöruskrá!$R:$R,MATCH($F359,Vöruskrá!$B:$B,0)))*($H359+IF($I359="",$H359*(1+$AD$2),$I359))/2/1000,""))</f>
        <v/>
      </c>
      <c r="K359" s="21" t="s">
        <v>2203</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row>
    <row r="360" spans="1:27" ht="60">
      <c r="A360" s="277"/>
      <c r="B360" s="31" t="s">
        <v>1991</v>
      </c>
      <c r="C360" s="31">
        <v>34</v>
      </c>
      <c r="D360" s="32" t="s">
        <v>1873</v>
      </c>
      <c r="E360" s="32" t="s">
        <v>1861</v>
      </c>
      <c r="F360" s="32" t="s">
        <v>1551</v>
      </c>
      <c r="G360" s="32" t="s">
        <v>2204</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row>
    <row r="361" spans="1:27" ht="30.75">
      <c r="A361" s="277"/>
      <c r="B361" s="31" t="s">
        <v>1991</v>
      </c>
      <c r="C361" s="31">
        <v>34</v>
      </c>
      <c r="D361" s="32" t="s">
        <v>1873</v>
      </c>
      <c r="E361" s="32" t="s">
        <v>1861</v>
      </c>
      <c r="F361" s="32" t="s">
        <v>245</v>
      </c>
      <c r="G361" s="32" t="s">
        <v>2205</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row>
    <row r="362" spans="1:27" ht="190.5">
      <c r="A362" s="277">
        <v>46255</v>
      </c>
      <c r="B362" s="31" t="s">
        <v>1991</v>
      </c>
      <c r="C362" s="31">
        <v>34</v>
      </c>
      <c r="D362" s="32" t="s">
        <v>1859</v>
      </c>
      <c r="E362" s="32" t="s">
        <v>1861</v>
      </c>
      <c r="F362" s="32"/>
      <c r="G362" s="32" t="s">
        <v>2206</v>
      </c>
      <c r="H362" s="33"/>
      <c r="I362" s="33"/>
      <c r="J362" s="148" t="str">
        <f>IF($F362="","",IFERROR(IFERROR(INDEX(Réttabanki!$U:$U,MATCH($F362,Réttabanki!$A:$A,0)),INDEX(Vöruskrá!$R:$R,MATCH($F362,Vöruskrá!$B:$B,0)))*($H362+IF($I362="",$H362*(1+$AD$2),$I362))/2/1000,""))</f>
        <v/>
      </c>
      <c r="K362" s="21" t="s">
        <v>2207</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row>
    <row r="363" spans="1:27" ht="72">
      <c r="A363" s="277"/>
      <c r="B363" s="31" t="s">
        <v>1991</v>
      </c>
      <c r="C363" s="31">
        <v>34</v>
      </c>
      <c r="D363" s="32" t="s">
        <v>1859</v>
      </c>
      <c r="E363" s="32" t="s">
        <v>1861</v>
      </c>
      <c r="F363" s="32" t="s">
        <v>1052</v>
      </c>
      <c r="G363" s="32" t="s">
        <v>2208</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row>
    <row r="364" spans="1:27">
      <c r="A364" s="277"/>
      <c r="B364" s="31" t="s">
        <v>1991</v>
      </c>
      <c r="C364" s="31">
        <v>34</v>
      </c>
      <c r="D364" s="32" t="s">
        <v>1859</v>
      </c>
      <c r="E364" s="32" t="s">
        <v>1861</v>
      </c>
      <c r="F364" s="32" t="s">
        <v>245</v>
      </c>
      <c r="G364" s="32" t="s">
        <v>2205</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row>
    <row r="365" spans="1:27" ht="60">
      <c r="A365" s="277"/>
      <c r="B365" s="31" t="s">
        <v>1991</v>
      </c>
      <c r="C365" s="31">
        <v>34</v>
      </c>
      <c r="D365" s="32" t="s">
        <v>1859</v>
      </c>
      <c r="E365" s="32" t="s">
        <v>1861</v>
      </c>
      <c r="F365" s="32" t="s">
        <v>260</v>
      </c>
      <c r="G365" s="32" t="s">
        <v>1977</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962</v>
      </c>
      <c r="F366" s="32" t="s">
        <v>256</v>
      </c>
      <c r="G366" s="32" t="s">
        <v>2043</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row>
    <row r="367" spans="1:27" ht="96">
      <c r="A367" s="277"/>
      <c r="B367" s="31" t="s">
        <v>1991</v>
      </c>
      <c r="C367" s="31">
        <v>34</v>
      </c>
      <c r="D367" s="32" t="s">
        <v>1859</v>
      </c>
      <c r="E367" s="32" t="s">
        <v>1881</v>
      </c>
      <c r="F367" s="32"/>
      <c r="G367" s="32" t="s">
        <v>2209</v>
      </c>
      <c r="H367" s="33"/>
      <c r="I367" s="33"/>
      <c r="J367" s="148"/>
      <c r="K367" s="21" t="s">
        <v>2210</v>
      </c>
      <c r="L367" s="21" t="s">
        <v>133</v>
      </c>
      <c r="M367" s="21"/>
      <c r="N367" s="22"/>
      <c r="O367" s="22"/>
      <c r="P367" s="22"/>
      <c r="Q367" s="22"/>
      <c r="R367" s="22"/>
      <c r="S367" s="22"/>
      <c r="T367" s="64"/>
      <c r="U367" s="303"/>
      <c r="V367" s="303"/>
      <c r="W367" s="303"/>
      <c r="X367" s="303"/>
      <c r="Y367" s="303"/>
      <c r="Z367" s="303"/>
      <c r="AA367" s="303"/>
    </row>
    <row r="368" spans="1:27" ht="36">
      <c r="A368" s="277"/>
      <c r="B368" s="31" t="s">
        <v>1991</v>
      </c>
      <c r="C368" s="31">
        <v>34</v>
      </c>
      <c r="D368" s="32" t="s">
        <v>1859</v>
      </c>
      <c r="E368" s="32" t="s">
        <v>1881</v>
      </c>
      <c r="F368" s="32" t="s">
        <v>183</v>
      </c>
      <c r="G368" s="32" t="s">
        <v>2211</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row>
    <row r="369" spans="1:27">
      <c r="A369" s="277"/>
      <c r="B369" s="31" t="s">
        <v>1991</v>
      </c>
      <c r="C369" s="31">
        <v>34</v>
      </c>
      <c r="D369" s="32" t="s">
        <v>1859</v>
      </c>
      <c r="E369" s="32" t="s">
        <v>1881</v>
      </c>
      <c r="F369" s="32" t="s">
        <v>245</v>
      </c>
      <c r="G369" s="32" t="s">
        <v>2205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row>
    <row r="370" spans="1:27" ht="60">
      <c r="A370" s="277"/>
      <c r="B370" s="31" t="s">
        <v>1991</v>
      </c>
      <c r="C370" s="31">
        <v>34</v>
      </c>
      <c r="D370" s="32" t="s">
        <v>1859</v>
      </c>
      <c r="E370" s="32" t="s">
        <v>1881</v>
      </c>
      <c r="F370" s="32" t="s">
        <v>260</v>
      </c>
      <c r="G370" s="32" t="s">
        <v>1977</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row>
    <row r="371" spans="1:27" ht="30.75">
      <c r="A371" s="277"/>
      <c r="B371" s="31" t="s">
        <v>1991</v>
      </c>
      <c r="C371" s="31">
        <v>34</v>
      </c>
      <c r="D371" s="32" t="s">
        <v>1873</v>
      </c>
      <c r="E371" s="32" t="s">
        <v>1891</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c r="A372" s="277"/>
      <c r="B372" s="31" t="s">
        <v>1991</v>
      </c>
      <c r="C372" s="31">
        <v>34</v>
      </c>
      <c r="D372" s="32" t="s">
        <v>1859</v>
      </c>
      <c r="E372" s="32" t="s">
        <v>1891</v>
      </c>
      <c r="F372" s="32"/>
      <c r="G372" s="32" t="s">
        <v>2054</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row>
    <row r="373" spans="1:27" ht="24">
      <c r="A373" s="277"/>
      <c r="B373" s="31" t="s">
        <v>1991</v>
      </c>
      <c r="C373" s="31">
        <v>34</v>
      </c>
      <c r="D373" s="32" t="s">
        <v>1859</v>
      </c>
      <c r="E373" s="32" t="s">
        <v>1906</v>
      </c>
      <c r="F373" s="32"/>
      <c r="G373" s="32" t="s">
        <v>2212</v>
      </c>
      <c r="H373" s="33"/>
      <c r="I373" s="33"/>
      <c r="J373" s="148" t="str">
        <f>IF($F373="","",IFERROR(IFERROR(INDEX(Réttabanki!$U:$U,MATCH($F373,Réttabanki!$A:$A,0)),INDEX(Vöruskrá!$R:$R,MATCH($F373,Vöruskrá!$B:$B,0)))*($H373+IF($I373="",$H373*(1+$AD$2),$I373))/2/1000,""))</f>
        <v/>
      </c>
      <c r="K373" s="21" t="s">
        <v>2213</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t="s">
        <v>52</v>
      </c>
      <c r="G374" s="32" t="s">
        <v>1896</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row>
    <row r="375" spans="1:27">
      <c r="A375" s="277"/>
      <c r="B375" s="31" t="s">
        <v>1991</v>
      </c>
      <c r="C375" s="31">
        <v>34</v>
      </c>
      <c r="D375" s="32" t="s">
        <v>1859</v>
      </c>
      <c r="E375" s="32" t="s">
        <v>1906</v>
      </c>
      <c r="F375" s="32" t="s">
        <v>160</v>
      </c>
      <c r="G375" s="32" t="s">
        <v>2126</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row>
    <row r="376" spans="1:27" ht="48">
      <c r="A376" s="277"/>
      <c r="B376" s="31" t="s">
        <v>1991</v>
      </c>
      <c r="C376" s="31">
        <v>34</v>
      </c>
      <c r="D376" s="32" t="s">
        <v>1859</v>
      </c>
      <c r="E376" s="32" t="s">
        <v>962</v>
      </c>
      <c r="F376" s="32"/>
      <c r="G376" s="32" t="s">
        <v>2214</v>
      </c>
      <c r="H376" s="33"/>
      <c r="I376" s="33"/>
      <c r="J376" s="148"/>
      <c r="K376" s="21" t="s">
        <v>2128</v>
      </c>
      <c r="L376" s="21" t="s">
        <v>121</v>
      </c>
      <c r="M376" s="21"/>
      <c r="N376" s="22"/>
      <c r="O376" s="22"/>
      <c r="P376" s="22"/>
      <c r="Q376" s="22"/>
      <c r="R376" s="22"/>
      <c r="S376" s="22"/>
      <c r="T376" s="65"/>
      <c r="U376" s="305"/>
      <c r="V376" s="305"/>
      <c r="W376" s="305"/>
      <c r="X376" s="305"/>
      <c r="Y376" s="305"/>
      <c r="Z376" s="305"/>
      <c r="AA376" s="305"/>
    </row>
    <row r="377" spans="1:27" ht="48">
      <c r="A377" s="277"/>
      <c r="B377" s="31" t="s">
        <v>1991</v>
      </c>
      <c r="C377" s="31">
        <v>34</v>
      </c>
      <c r="D377" s="32" t="s">
        <v>1859</v>
      </c>
      <c r="E377" s="32" t="s">
        <v>962</v>
      </c>
      <c r="F377" s="32" t="s">
        <v>1190</v>
      </c>
      <c r="G377" s="32" t="s">
        <v>1904</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row>
    <row r="378" spans="1:27">
      <c r="A378" s="277"/>
      <c r="B378" s="31" t="s">
        <v>1991</v>
      </c>
      <c r="C378" s="31">
        <v>34</v>
      </c>
      <c r="D378" s="32" t="s">
        <v>1859</v>
      </c>
      <c r="E378" s="32" t="s">
        <v>962</v>
      </c>
      <c r="F378" s="32" t="s">
        <v>160</v>
      </c>
      <c r="G378" s="32" t="s">
        <v>2126</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row>
    <row r="379" spans="1:27">
      <c r="A379" s="278"/>
      <c r="B379" s="154" t="s">
        <v>1991</v>
      </c>
      <c r="C379" s="154">
        <v>34</v>
      </c>
      <c r="D379" s="155"/>
      <c r="E379" s="155"/>
      <c r="F379" s="155" t="s">
        <v>1918</v>
      </c>
      <c r="G379" s="155"/>
      <c r="H379" s="156"/>
      <c r="I379" s="156"/>
      <c r="J379" s="157">
        <f>SUMIFS(J359:J375,E359:E375,"&lt;&gt;Hliðarréttur",E359:E375,"&lt;&gt;Sérfæði")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c r="A380" s="278"/>
      <c r="B380" s="154" t="s">
        <v>1991</v>
      </c>
      <c r="C380" s="154">
        <v>34</v>
      </c>
      <c r="D380" s="155"/>
      <c r="E380" s="155"/>
      <c r="F380" s="155" t="s">
        <v>1919</v>
      </c>
      <c r="G380" s="155"/>
      <c r="H380" s="156"/>
      <c r="I380" s="156"/>
      <c r="J380" s="157">
        <f>SUMIFS(J359:J375,E359:E375,"&lt;&gt;Hliðarréttur",E359:E375,"&lt;&gt;Sérfæði")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ht="72">
      <c r="A381" s="277">
        <v>46258</v>
      </c>
      <c r="B381" s="31" t="s">
        <v>2017</v>
      </c>
      <c r="C381" s="31">
        <v>35</v>
      </c>
      <c r="D381" s="32" t="s">
        <v>1873</v>
      </c>
      <c r="E381" s="32" t="s">
        <v>1861</v>
      </c>
      <c r="F381" s="32"/>
      <c r="G381" s="32" t="s">
        <v>2215</v>
      </c>
      <c r="H381" s="33"/>
      <c r="I381" s="33"/>
      <c r="J381" s="148" t="str">
        <f>IF($F381="","",IFERROR(IFERROR(INDEX(Réttabanki!$U:$U,MATCH($F381,Réttabanki!$A:$A,0)),INDEX(Vöruskrá!$R:$R,MATCH($F381,Vöruskrá!$B:$B,0)))*($H381+IF($I381="",$H381*(1+$AD$2),$I381))/2/1000,""))</f>
        <v/>
      </c>
      <c r="K381" s="21" t="s">
        <v>2216</v>
      </c>
      <c r="L381" s="21" t="s">
        <v>2217</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row>
    <row r="382" spans="1:27" ht="60">
      <c r="A382" s="277"/>
      <c r="B382" s="31" t="s">
        <v>2017</v>
      </c>
      <c r="C382" s="31">
        <v>35</v>
      </c>
      <c r="D382" s="32" t="s">
        <v>1873</v>
      </c>
      <c r="E382" s="32" t="s">
        <v>1861</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row>
    <row r="383" spans="1:27" ht="30.75">
      <c r="A383" s="277"/>
      <c r="B383" s="31" t="s">
        <v>2017</v>
      </c>
      <c r="C383" s="31">
        <v>35</v>
      </c>
      <c r="D383" s="32" t="s">
        <v>1873</v>
      </c>
      <c r="E383" s="32" t="s">
        <v>1861</v>
      </c>
      <c r="F383" s="32" t="s">
        <v>1113</v>
      </c>
      <c r="G383" s="32" t="s">
        <v>1928</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row>
    <row r="384" spans="1:27" ht="107.25">
      <c r="A384" s="277"/>
      <c r="B384" s="31" t="s">
        <v>2017</v>
      </c>
      <c r="C384" s="31">
        <v>35</v>
      </c>
      <c r="D384" s="32" t="s">
        <v>1859</v>
      </c>
      <c r="E384" s="32" t="s">
        <v>1861</v>
      </c>
      <c r="F384" s="32"/>
      <c r="G384" s="32" t="s">
        <v>2218</v>
      </c>
      <c r="H384" s="33"/>
      <c r="I384" s="33"/>
      <c r="J384" s="148" t="str">
        <f>IF($F384="","",IFERROR(IFERROR(INDEX(Réttabanki!$U:$U,MATCH($F384,Réttabanki!$A:$A,0)),INDEX(Vöruskrá!$R:$R,MATCH($F384,Vöruskrá!$B:$B,0)))*($H384+IF($I384="",$H384*(1+$AD$2),$I384))/2/1000,""))</f>
        <v/>
      </c>
      <c r="K384" s="21" t="s">
        <v>2219</v>
      </c>
      <c r="L384" s="21" t="s">
        <v>2220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row>
    <row r="385" spans="1:27" ht="96">
      <c r="A385" s="277"/>
      <c r="B385" s="31" t="s">
        <v>2017</v>
      </c>
      <c r="C385" s="31">
        <v>35</v>
      </c>
      <c r="D385" s="32" t="s">
        <v>1859</v>
      </c>
      <c r="E385" s="32" t="s">
        <v>1861</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row>
    <row r="386" spans="1:27">
      <c r="A386" s="277"/>
      <c r="B386" s="31" t="s">
        <v>2017</v>
      </c>
      <c r="C386" s="31">
        <v>35</v>
      </c>
      <c r="D386" s="32" t="s">
        <v>1859</v>
      </c>
      <c r="E386" s="32" t="s">
        <v>1861</v>
      </c>
      <c r="F386" s="32" t="s">
        <v>1113</v>
      </c>
      <c r="G386" s="32" t="s">
        <v>1928</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row>
    <row r="387" spans="1:27">
      <c r="A387" s="277"/>
      <c r="B387" s="31" t="s">
        <v>2017</v>
      </c>
      <c r="C387" s="31">
        <v>35</v>
      </c>
      <c r="D387" s="32" t="s">
        <v>1859</v>
      </c>
      <c r="E387" s="32" t="s">
        <v>962</v>
      </c>
      <c r="F387" s="32" t="s">
        <v>561</v>
      </c>
      <c r="G387" s="32" t="s">
        <v>2221</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row>
    <row r="388" spans="1:27" ht="84">
      <c r="A388" s="277"/>
      <c r="B388" s="31" t="s">
        <v>2017</v>
      </c>
      <c r="C388" s="31">
        <v>35</v>
      </c>
      <c r="D388" s="32" t="s">
        <v>1859</v>
      </c>
      <c r="E388" s="32" t="s">
        <v>1881</v>
      </c>
      <c r="F388" s="32"/>
      <c r="G388" s="32" t="s">
        <v>2222</v>
      </c>
      <c r="H388" s="33"/>
      <c r="I388" s="33"/>
      <c r="J388" s="148"/>
      <c r="K388" s="21" t="s">
        <v>2223</v>
      </c>
      <c r="L388" s="21" t="s">
        <v>2224</v>
      </c>
      <c r="M388" s="21"/>
      <c r="N388" s="22"/>
      <c r="O388" s="22"/>
      <c r="P388" s="22"/>
      <c r="Q388" s="22"/>
      <c r="R388" s="22"/>
      <c r="S388" s="22"/>
      <c r="T388" s="65"/>
      <c r="U388" s="305"/>
      <c r="V388" s="305"/>
      <c r="W388" s="305"/>
      <c r="X388" s="305"/>
      <c r="Y388" s="305"/>
      <c r="Z388" s="305"/>
      <c r="AA388" s="305"/>
    </row>
    <row r="389" spans="1:27" ht="72">
      <c r="A389" s="277"/>
      <c r="B389" s="31" t="s">
        <v>2017</v>
      </c>
      <c r="C389" s="31">
        <v>35</v>
      </c>
      <c r="D389" s="32" t="s">
        <v>1859</v>
      </c>
      <c r="E389" s="32" t="s">
        <v>1881</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row>
    <row r="390" spans="1:27">
      <c r="A390" s="277"/>
      <c r="B390" s="31" t="s">
        <v>2017</v>
      </c>
      <c r="C390" s="31">
        <v>35</v>
      </c>
      <c r="D390" s="32" t="s">
        <v>1859</v>
      </c>
      <c r="E390" s="32" t="s">
        <v>1881</v>
      </c>
      <c r="F390" s="32" t="s">
        <v>1113</v>
      </c>
      <c r="G390" s="32" t="s">
        <v>1928</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row>
    <row r="391" spans="1:27" ht="30.75">
      <c r="A391" s="277"/>
      <c r="B391" s="31" t="s">
        <v>2017</v>
      </c>
      <c r="C391" s="31">
        <v>35</v>
      </c>
      <c r="D391" s="32" t="s">
        <v>1873</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c r="A392" s="277"/>
      <c r="B392" s="31" t="s">
        <v>2017</v>
      </c>
      <c r="C392" s="31">
        <v>35</v>
      </c>
      <c r="D392" s="32" t="s">
        <v>1859</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row>
    <row r="393" spans="1:27" ht="48">
      <c r="A393" s="277"/>
      <c r="B393" s="31" t="s">
        <v>2017</v>
      </c>
      <c r="C393" s="31">
        <v>35</v>
      </c>
      <c r="D393" s="32" t="s">
        <v>1859</v>
      </c>
      <c r="E393" s="32" t="s">
        <v>1906</v>
      </c>
      <c r="F393" s="32"/>
      <c r="G393" s="32" t="s">
        <v>2029</v>
      </c>
      <c r="H393" s="33"/>
      <c r="I393" s="33"/>
      <c r="J393" s="148" t="str">
        <f>IF($F393="","",IFERROR(IFERROR(INDEX(Réttabanki!$U:$U,MATCH($F393,Réttabanki!$A:$A,0)),INDEX(Vöruskrá!$R:$R,MATCH($F393,Vöruskrá!$B:$B,0)))*($H393+IF($I393="",$H393*(1+$AD$2),$I393))/2/1000,""))</f>
        <v/>
      </c>
      <c r="K393" s="21" t="s">
        <v>2030</v>
      </c>
      <c r="L393" s="21" t="s">
        <v>2031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row>
    <row r="394" spans="1:27" ht="36">
      <c r="A394" s="277"/>
      <c r="B394" s="31" t="s">
        <v>2017</v>
      </c>
      <c r="C394" s="31">
        <v>35</v>
      </c>
      <c r="D394" s="32" t="s">
        <v>1859</v>
      </c>
      <c r="E394" s="32" t="s">
        <v>1906</v>
      </c>
      <c r="F394" s="32" t="s">
        <v>57</v>
      </c>
      <c r="G394" s="32" t="s">
        <v>2032</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row>
    <row r="395" spans="1:27">
      <c r="A395" s="277"/>
      <c r="B395" s="31" t="s">
        <v>2017</v>
      </c>
      <c r="C395" s="31">
        <v>35</v>
      </c>
      <c r="D395" s="32" t="s">
        <v>1859</v>
      </c>
      <c r="E395" s="32" t="s">
        <v>1906</v>
      </c>
      <c r="F395" s="32" t="s">
        <v>566</v>
      </c>
      <c r="G395" s="32" t="s">
        <v>1898</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row>
    <row r="396" spans="1:27" ht="48">
      <c r="A396" s="277"/>
      <c r="B396" s="31" t="s">
        <v>2017</v>
      </c>
      <c r="C396" s="31">
        <v>35</v>
      </c>
      <c r="D396" s="32" t="s">
        <v>1859</v>
      </c>
      <c r="E396" s="32" t="s">
        <v>962</v>
      </c>
      <c r="F396" s="32"/>
      <c r="G396" s="32" t="s">
        <v>2225</v>
      </c>
      <c r="H396" s="33"/>
      <c r="I396" s="33"/>
      <c r="J396" s="148"/>
      <c r="K396" s="21" t="s">
        <v>2226</v>
      </c>
      <c r="L396" s="21" t="s">
        <v>108</v>
      </c>
      <c r="M396" s="21"/>
      <c r="N396" s="22"/>
      <c r="O396" s="22"/>
      <c r="P396" s="22"/>
      <c r="Q396" s="22"/>
      <c r="R396" s="22"/>
      <c r="S396" s="22"/>
      <c r="T396" s="64"/>
      <c r="U396" s="305"/>
      <c r="V396" s="305"/>
      <c r="W396" s="305"/>
      <c r="X396" s="305"/>
      <c r="Y396" s="305"/>
      <c r="Z396" s="305"/>
      <c r="AA396" s="305"/>
    </row>
    <row r="397" spans="1:27" ht="48">
      <c r="A397" s="277"/>
      <c r="B397" s="31" t="s">
        <v>2017</v>
      </c>
      <c r="C397" s="31">
        <v>35</v>
      </c>
      <c r="D397" s="32" t="s">
        <v>1859</v>
      </c>
      <c r="E397" s="32" t="s">
        <v>962</v>
      </c>
      <c r="F397" s="32" t="s">
        <v>1190</v>
      </c>
      <c r="G397" s="32" t="s">
        <v>1904</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row>
    <row r="398" spans="1:27">
      <c r="A398" s="277"/>
      <c r="B398" s="31" t="s">
        <v>2017</v>
      </c>
      <c r="C398" s="31">
        <v>35</v>
      </c>
      <c r="D398" s="32" t="s">
        <v>1859</v>
      </c>
      <c r="E398" s="32" t="s">
        <v>962</v>
      </c>
      <c r="F398" s="32" t="s">
        <v>566</v>
      </c>
      <c r="G398" s="32" t="s">
        <v>1898</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row>
    <row r="399" spans="1:27">
      <c r="A399" s="278"/>
      <c r="B399" s="154" t="s">
        <v>2017</v>
      </c>
      <c r="C399" s="154">
        <v>35</v>
      </c>
      <c r="D399" s="155"/>
      <c r="E399" s="155"/>
      <c r="F399" s="155" t="s">
        <v>1918</v>
      </c>
      <c r="G399" s="155"/>
      <c r="H399" s="156"/>
      <c r="I399" s="156"/>
      <c r="J399" s="157">
        <f>SUMIFS(J381:J395,E381:E395,"&lt;&gt;Hliðarréttur",E381:E395,"&lt;&gt;Sérfæði")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c r="A400" s="278"/>
      <c r="B400" s="154" t="s">
        <v>2017</v>
      </c>
      <c r="C400" s="154">
        <v>35</v>
      </c>
      <c r="D400" s="155"/>
      <c r="E400" s="155"/>
      <c r="F400" s="155" t="s">
        <v>1919</v>
      </c>
      <c r="G400" s="155"/>
      <c r="H400" s="156"/>
      <c r="I400" s="156"/>
      <c r="J400" s="157">
        <f>SUMIFS(J381:J395,E381:E395,"&lt;&gt;Hliðarréttur",E381:E395,"&lt;&gt;Sérfæði")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ht="60">
      <c r="A401" s="277">
        <v>46259</v>
      </c>
      <c r="B401" s="31" t="s">
        <v>1860</v>
      </c>
      <c r="C401" s="31">
        <v>35</v>
      </c>
      <c r="D401" s="32" t="s">
        <v>1834</v>
      </c>
      <c r="E401" s="32" t="s">
        <v>1861</v>
      </c>
      <c r="F401" s="32"/>
      <c r="G401" s="32" t="s">
        <v>2089</v>
      </c>
      <c r="H401" s="33"/>
      <c r="I401" s="33"/>
      <c r="J401" s="148" t="str">
        <f>IF($F401="","",IFERROR(IFERROR(INDEX(Réttabanki!$U:$U,MATCH($F401,Réttabanki!$A:$A,0)),INDEX(Vöruskrá!$R:$R,MATCH($F401,Vöruskrá!$B:$B,0)))*($H401+IF($I401="",$H401*(1+$AD$2),$I401))/2/1000,""))</f>
        <v/>
      </c>
      <c r="K401" s="21" t="s">
        <v>2227</v>
      </c>
      <c r="L401" s="21" t="s">
        <v>1954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1860</v>
      </c>
      <c r="C402" s="31">
        <v>35</v>
      </c>
      <c r="D402" s="32" t="s">
        <v>1873</v>
      </c>
      <c r="E402" s="32" t="s">
        <v>1861</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row>
    <row r="403" spans="1:27" ht="36">
      <c r="A403" s="277"/>
      <c r="B403" s="31" t="s">
        <v>1860</v>
      </c>
      <c r="C403" s="31">
        <v>35</v>
      </c>
      <c r="D403" s="32" t="s">
        <v>1873</v>
      </c>
      <c r="E403" s="32" t="s">
        <v>1861</v>
      </c>
      <c r="F403" s="32" t="s">
        <v>327</v>
      </c>
      <c r="G403" s="32" t="s">
        <v>1960</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row>
    <row r="404" spans="1:27" ht="30.75">
      <c r="A404" s="277"/>
      <c r="B404" s="31" t="s">
        <v>1860</v>
      </c>
      <c r="C404" s="31">
        <v>35</v>
      </c>
      <c r="D404" s="32" t="s">
        <v>1873</v>
      </c>
      <c r="E404" s="32" t="s">
        <v>1861</v>
      </c>
      <c r="F404" s="32" t="s">
        <v>393</v>
      </c>
      <c r="G404" s="32" t="s">
        <v>1948</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row>
    <row r="405" spans="1:27" ht="48">
      <c r="A405" s="277"/>
      <c r="B405" s="31" t="s">
        <v>1860</v>
      </c>
      <c r="C405" s="31">
        <v>35</v>
      </c>
      <c r="D405" s="32"/>
      <c r="E405" s="32" t="s">
        <v>1881</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row>
    <row r="406" spans="1:27" ht="48">
      <c r="A406" s="277"/>
      <c r="B406" s="31" t="s">
        <v>1860</v>
      </c>
      <c r="C406" s="31">
        <v>35</v>
      </c>
      <c r="D406" s="32"/>
      <c r="E406" s="32" t="s">
        <v>1881</v>
      </c>
      <c r="F406" s="32" t="s">
        <v>1413</v>
      </c>
      <c r="G406" s="32" t="s">
        <v>2228</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row>
    <row r="407" spans="1:27" ht="178.5">
      <c r="A407" s="277"/>
      <c r="B407" s="31" t="s">
        <v>1860</v>
      </c>
      <c r="C407" s="31">
        <v>35</v>
      </c>
      <c r="D407" s="32" t="s">
        <v>1859</v>
      </c>
      <c r="E407" s="32" t="s">
        <v>1861</v>
      </c>
      <c r="F407" s="32"/>
      <c r="G407" s="32" t="s">
        <v>2089</v>
      </c>
      <c r="H407" s="33"/>
      <c r="I407" s="33"/>
      <c r="J407" s="148"/>
      <c r="K407" s="21" t="s">
        <v>2229</v>
      </c>
      <c r="L407" s="21" t="s">
        <v>2230</v>
      </c>
      <c r="M407" s="21"/>
      <c r="N407" s="22"/>
      <c r="O407" s="22"/>
      <c r="P407" s="22"/>
      <c r="Q407" s="22"/>
      <c r="R407" s="22"/>
      <c r="S407" s="22"/>
      <c r="T407" s="64"/>
      <c r="U407" s="303"/>
      <c r="V407" s="303"/>
      <c r="W407" s="303"/>
      <c r="X407" s="303"/>
      <c r="Y407" s="303"/>
      <c r="Z407" s="303"/>
      <c r="AA407" s="303"/>
    </row>
    <row r="408" spans="1:27" ht="48">
      <c r="A408" s="277"/>
      <c r="B408" s="31" t="s">
        <v>1860</v>
      </c>
      <c r="C408" s="31">
        <v>35</v>
      </c>
      <c r="D408" s="32" t="s">
        <v>1859</v>
      </c>
      <c r="E408" s="32" t="s">
        <v>1861</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row>
    <row r="409" spans="1:27" ht="36">
      <c r="A409" s="277"/>
      <c r="B409" s="309" t="s">
        <v>1860</v>
      </c>
      <c r="C409" s="309">
        <v>35</v>
      </c>
      <c r="D409" s="32" t="s">
        <v>1859</v>
      </c>
      <c r="E409" s="32" t="s">
        <v>1861</v>
      </c>
      <c r="F409" s="32" t="s">
        <v>327</v>
      </c>
      <c r="G409" s="32" t="s">
        <v>1960</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row>
    <row r="410" spans="1:27">
      <c r="A410" s="277"/>
      <c r="B410" s="309" t="s">
        <v>1860</v>
      </c>
      <c r="C410" s="309">
        <v>35</v>
      </c>
      <c r="D410" s="32" t="s">
        <v>1859</v>
      </c>
      <c r="E410" s="32" t="s">
        <v>1861</v>
      </c>
      <c r="F410" s="32" t="s">
        <v>393</v>
      </c>
      <c r="G410" s="32" t="s">
        <v>1948</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row>
    <row r="411" spans="1:27" ht="72">
      <c r="A411" s="277"/>
      <c r="B411" s="31" t="s">
        <v>1860</v>
      </c>
      <c r="C411" s="31">
        <v>35</v>
      </c>
      <c r="D411" s="32" t="s">
        <v>1859</v>
      </c>
      <c r="E411" s="32" t="s">
        <v>962</v>
      </c>
      <c r="F411" s="32" t="s">
        <v>1501</v>
      </c>
      <c r="G411" s="32" t="s">
        <v>2231</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row>
    <row r="412" spans="1:27" ht="48">
      <c r="A412" s="277"/>
      <c r="B412" s="31" t="s">
        <v>1860</v>
      </c>
      <c r="C412" s="31">
        <v>35</v>
      </c>
      <c r="D412" s="32" t="s">
        <v>1859</v>
      </c>
      <c r="E412" s="32" t="s">
        <v>962</v>
      </c>
      <c r="F412" s="32" t="s">
        <v>1235</v>
      </c>
      <c r="G412" s="32" t="s">
        <v>2096</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row>
    <row r="413" spans="1:27">
      <c r="A413" s="277"/>
      <c r="B413" s="31" t="s">
        <v>1860</v>
      </c>
      <c r="C413" s="31">
        <v>35</v>
      </c>
      <c r="D413" s="32" t="s">
        <v>1859</v>
      </c>
      <c r="E413" s="32" t="s">
        <v>1881</v>
      </c>
      <c r="F413" s="32"/>
      <c r="G413" s="32" t="s">
        <v>2232</v>
      </c>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ht="30.75">
      <c r="A416" s="277"/>
      <c r="B416" s="31" t="s">
        <v>1860</v>
      </c>
      <c r="C416" s="31">
        <v>35</v>
      </c>
      <c r="D416" s="32" t="s">
        <v>1873</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c r="A417" s="277"/>
      <c r="B417" s="31" t="s">
        <v>1860</v>
      </c>
      <c r="C417" s="31">
        <v>35</v>
      </c>
      <c r="D417" s="32" t="s">
        <v>1859</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row>
    <row r="418" spans="1:27" ht="84">
      <c r="A418" s="277"/>
      <c r="B418" s="31" t="s">
        <v>1860</v>
      </c>
      <c r="C418" s="31">
        <v>35</v>
      </c>
      <c r="D418" s="32" t="s">
        <v>1859</v>
      </c>
      <c r="E418" s="32" t="s">
        <v>1906</v>
      </c>
      <c r="F418" s="32"/>
      <c r="G418" s="32" t="s">
        <v>2233</v>
      </c>
      <c r="H418" s="33"/>
      <c r="I418" s="33"/>
      <c r="J418" s="148" t="str">
        <f>IF($F418="","",IFERROR(IFERROR(INDEX(Réttabanki!$U:$U,MATCH($F418,Réttabanki!$A:$A,0)),INDEX(Vöruskrá!$R:$R,MATCH($F418,Vöruskrá!$B:$B,0)))*($H418+IF($I418="",$H418*(1+$AD$2),$I418))/2/1000,""))</f>
        <v/>
      </c>
      <c r="K418" s="21" t="s">
        <v>2057</v>
      </c>
      <c r="L418" s="21" t="s">
        <v>2058</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row>
    <row r="419" spans="1:27" ht="48">
      <c r="A419" s="277"/>
      <c r="B419" s="31" t="s">
        <v>1860</v>
      </c>
      <c r="C419" s="31">
        <v>35</v>
      </c>
      <c r="D419" s="32" t="s">
        <v>1859</v>
      </c>
      <c r="E419" s="32" t="s">
        <v>1906</v>
      </c>
      <c r="F419" s="32" t="s">
        <v>68</v>
      </c>
      <c r="G419" s="32" t="s">
        <v>2059</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row>
    <row r="420" spans="1:27" ht="36">
      <c r="A420" s="277"/>
      <c r="B420" s="31" t="s">
        <v>1860</v>
      </c>
      <c r="C420" s="31">
        <v>35</v>
      </c>
      <c r="D420" s="32" t="s">
        <v>1859</v>
      </c>
      <c r="E420" s="32" t="s">
        <v>1906</v>
      </c>
      <c r="F420" s="32" t="s">
        <v>571</v>
      </c>
      <c r="G420" s="32" t="s">
        <v>2060</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row>
    <row r="421" spans="1:27">
      <c r="A421" s="278"/>
      <c r="B421" s="154" t="s">
        <v>1860</v>
      </c>
      <c r="C421" s="154">
        <v>35</v>
      </c>
      <c r="D421" s="155"/>
      <c r="E421" s="155"/>
      <c r="F421" s="155" t="s">
        <v>1918</v>
      </c>
      <c r="G421" s="155"/>
      <c r="H421" s="156"/>
      <c r="I421" s="156"/>
      <c r="J421" s="157">
        <f>SUMIFS(J401:J420,E401:E420,"&lt;&gt;Hliðarréttur",E401:E420,"&lt;&gt;Sérfæði")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c r="A422" s="278"/>
      <c r="B422" s="154" t="s">
        <v>1860</v>
      </c>
      <c r="C422" s="154">
        <v>35</v>
      </c>
      <c r="D422" s="155"/>
      <c r="E422" s="155"/>
      <c r="F422" s="155" t="s">
        <v>1919</v>
      </c>
      <c r="G422" s="155"/>
      <c r="H422" s="156"/>
      <c r="I422" s="156"/>
      <c r="J422" s="157">
        <f>SUMIFS(J401:J420,E401:E420,"&lt;&gt;Hliðarréttur",E401:E420,"&lt;&gt;Sérfæði")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3:AA746">
    <cfRule type="expression" dxfId="30" priority="1">
      <formula>AND($D3&lt;&gt;"",$D3&lt;&gt;"Bæði",$D3&lt;&gt;"Leikskóli",$D3&lt;&gt;"Grunnskóli")</formula>
    </cfRule>
  </conditionalFormatting>
  <conditionalFormatting sqref="A3:AA746">
    <cfRule type="expression" dxfId="29" priority="2">
      <formula>AND($A3&lt;&gt;"",OR($D3="",$D3="Bæði",$D3="Leikskóli",$D3="Grunnskóli"))</formula>
    </cfRule>
  </conditionalFormatting>
  <conditionalFormatting sqref="A3:AA746">
    <cfRule type="expression" dxfId="28" priority="3">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2240</v>
      </c>
      <c r="B4" s="75"/>
      <c r="C4" s="75"/>
      <c r="D4" s="75"/>
      <c r="E4" s="76"/>
      <c r="F4" s="75"/>
      <c r="G4" s="75"/>
    </row>
    <row r="5" spans="1:7" ht="15">
      <c r="A5" s="56" t="s">
        <v>2241</v>
      </c>
      <c r="B5" s="56" t="s">
        <v>2242</v>
      </c>
      <c r="C5" s="56" t="s">
        <v>2243</v>
      </c>
      <c r="D5" s="56" t="s">
        <v>2244</v>
      </c>
      <c r="E5" s="74" t="s">
        <v>2245</v>
      </c>
      <c r="F5" s="56" t="s">
        <v>2024</v>
      </c>
      <c r="G5" s="56" t="s">
        <v>2246</v>
      </c>
    </row>
    <row r="6" spans="1:7" ht="17.25">
      <c r="A6" s="75" t="s">
        <v>2247</v>
      </c>
      <c r="B6" s="75"/>
      <c r="C6" s="75"/>
      <c r="D6" s="75"/>
      <c r="E6" s="76"/>
      <c r="F6" s="75"/>
      <c r="G6" s="75"/>
    </row>
    <row r="7" spans="1:7" ht="15">
      <c r="A7" s="56" t="s">
        <v>2248</v>
      </c>
      <c r="B7" s="56" t="s">
        <v>2249</v>
      </c>
      <c r="C7" s="56" t="s">
        <v>2250</v>
      </c>
      <c r="D7" s="56" t="s">
        <v>2244</v>
      </c>
      <c r="E7" s="74" t="s">
        <v>2251</v>
      </c>
      <c r="F7" s="56" t="s">
        <v>2024</v>
      </c>
      <c r="G7" s="56" t="s">
        <v>2252</v>
      </c>
    </row>
    <row r="8" spans="1:7" ht="15">
      <c r="A8" s="56" t="s">
        <v>2253</v>
      </c>
      <c r="B8" s="56" t="s">
        <v>2249</v>
      </c>
      <c r="C8" s="56" t="s">
        <v>2254</v>
      </c>
      <c r="D8" s="56" t="s">
        <v>2244</v>
      </c>
      <c r="E8" s="74" t="s">
        <v>2251</v>
      </c>
      <c r="F8" s="56" t="s">
        <v>2024</v>
      </c>
      <c r="G8" s="56" t="s">
        <v>2252</v>
      </c>
    </row>
    <row r="9" spans="1:7" ht="15">
      <c r="A9" s="56" t="s">
        <v>2255</v>
      </c>
      <c r="B9" s="56" t="s">
        <v>2249</v>
      </c>
      <c r="C9" s="56" t="s">
        <v>2254</v>
      </c>
      <c r="D9" s="56" t="s">
        <v>2244</v>
      </c>
      <c r="E9" s="74" t="s">
        <v>2251</v>
      </c>
      <c r="F9" s="56" t="s">
        <v>2024</v>
      </c>
      <c r="G9" s="56" t="s">
        <v>2252</v>
      </c>
    </row>
    <row r="10" spans="1:7" ht="15">
      <c r="A10" s="56" t="s">
        <v>2256</v>
      </c>
      <c r="B10" s="56" t="s">
        <v>2257</v>
      </c>
      <c r="C10" s="56" t="s">
        <v>2254</v>
      </c>
      <c r="D10" s="56" t="s">
        <v>2244</v>
      </c>
      <c r="E10" s="74" t="s">
        <v>2251</v>
      </c>
      <c r="F10" s="56" t="s">
        <v>2024</v>
      </c>
      <c r="G10" s="56" t="s">
        <v>2252</v>
      </c>
    </row>
    <row r="11" spans="1:7" ht="15">
      <c r="A11" s="56" t="s">
        <v>2258</v>
      </c>
      <c r="B11" s="56"/>
      <c r="C11" s="56" t="s">
        <v>2254</v>
      </c>
      <c r="D11" s="56" t="s">
        <v>2244</v>
      </c>
      <c r="E11" s="74" t="s">
        <v>2251</v>
      </c>
      <c r="F11" s="56" t="s">
        <v>2024</v>
      </c>
      <c r="G11" s="56" t="s">
        <v>2252</v>
      </c>
    </row>
    <row r="12" spans="1:7" ht="15">
      <c r="A12" s="56" t="s">
        <v>2259</v>
      </c>
      <c r="B12" s="56"/>
      <c r="C12" s="56" t="s">
        <v>2254</v>
      </c>
      <c r="D12" s="56" t="s">
        <v>2244</v>
      </c>
      <c r="E12" s="74" t="s">
        <v>2251</v>
      </c>
      <c r="F12" s="56" t="s">
        <v>2024</v>
      </c>
      <c r="G12" s="56" t="s">
        <v>2252</v>
      </c>
    </row>
    <row r="13" spans="1:7" ht="15">
      <c r="A13" s="56" t="s">
        <v>2260</v>
      </c>
      <c r="B13" s="56"/>
      <c r="C13" s="56" t="s">
        <v>2254</v>
      </c>
      <c r="D13" s="56" t="s">
        <v>2244</v>
      </c>
      <c r="E13" s="74" t="s">
        <v>2251</v>
      </c>
      <c r="F13" s="56" t="s">
        <v>2024</v>
      </c>
      <c r="G13" s="56" t="s">
        <v>2252</v>
      </c>
    </row>
    <row r="14" spans="1:7" ht="17.25">
      <c r="A14" s="75" t="s">
        <v>2261</v>
      </c>
      <c r="B14" s="75"/>
      <c r="C14" s="75"/>
      <c r="D14" s="75"/>
      <c r="E14" s="76"/>
      <c r="F14" s="75"/>
      <c r="G14" s="75"/>
    </row>
    <row r="15" spans="1:7" ht="15">
      <c r="A15" s="56" t="s">
        <v>2262</v>
      </c>
      <c r="B15" s="56" t="s">
        <v>2263</v>
      </c>
      <c r="C15" s="56" t="s">
        <v>2243</v>
      </c>
      <c r="D15" s="56" t="s">
        <v>2244</v>
      </c>
      <c r="E15" s="74" t="s">
        <v>2245</v>
      </c>
      <c r="F15" s="74" t="s">
        <v>2024</v>
      </c>
      <c r="G15" s="56" t="s">
        <v>2264</v>
      </c>
    </row>
    <row r="16" spans="1:7" ht="17.25">
      <c r="A16" s="274" t="s">
        <v>2265</v>
      </c>
      <c r="B16" s="274" t="s">
        <v>2266</v>
      </c>
      <c r="C16" s="274" t="s">
        <v>2243</v>
      </c>
      <c r="D16" s="274" t="s">
        <v>2244</v>
      </c>
      <c r="E16" s="275" t="s">
        <v>2245</v>
      </c>
      <c r="F16" s="274" t="s">
        <v>2024</v>
      </c>
      <c r="G16" s="274" t="s">
        <v>2267</v>
      </c>
    </row>
    <row r="17" spans="1:7" ht="17.25">
      <c r="A17" s="75" t="s">
        <v>2268</v>
      </c>
      <c r="B17" s="75"/>
      <c r="C17" s="75"/>
      <c r="D17" s="75"/>
      <c r="E17" s="76"/>
      <c r="F17" s="75"/>
      <c r="G17" s="75"/>
    </row>
    <row r="18" spans="1:7" ht="17.25">
      <c r="A18" s="274" t="s">
        <v>2269</v>
      </c>
      <c r="B18" s="274"/>
      <c r="C18" s="274" t="s">
        <v>2243</v>
      </c>
      <c r="D18" s="274" t="s">
        <v>2244</v>
      </c>
      <c r="E18" s="275" t="s">
        <v>2245</v>
      </c>
      <c r="F18" s="274" t="s">
        <v>2024</v>
      </c>
      <c r="G18" s="274" t="s">
        <v>2270</v>
      </c>
    </row>
    <row r="19" spans="1:7" ht="15">
      <c r="A19" s="56" t="s">
        <v>2271</v>
      </c>
      <c r="B19" s="56" t="s">
        <v>2272</v>
      </c>
      <c r="C19" s="56" t="s">
        <v>2243</v>
      </c>
      <c r="D19" s="56" t="s">
        <v>2244</v>
      </c>
      <c r="E19" s="74" t="s">
        <v>2245</v>
      </c>
      <c r="F19" s="56" t="s">
        <v>2024</v>
      </c>
      <c r="G19" s="56" t="s">
        <v>2273</v>
      </c>
    </row>
    <row r="20" spans="1:7" ht="17.25">
      <c r="A20" s="274" t="s">
        <v>2274</v>
      </c>
      <c r="B20" s="274"/>
      <c r="C20" s="274" t="s">
        <v>2254</v>
      </c>
      <c r="D20" s="274" t="s">
        <v>2244</v>
      </c>
      <c r="E20" s="275" t="s">
        <v>2251</v>
      </c>
      <c r="F20" s="274" t="s">
        <v>2024</v>
      </c>
      <c r="G20" s="274" t="s">
        <v>2252</v>
      </c>
    </row>
    <row r="21" spans="1:7" ht="17.25">
      <c r="A21" s="75" t="s">
        <v>2275</v>
      </c>
      <c r="B21" s="75"/>
      <c r="C21" s="75"/>
      <c r="D21" s="75"/>
      <c r="E21" s="76"/>
      <c r="F21" s="75"/>
      <c r="G21" s="75"/>
    </row>
    <row r="22" spans="1:7" ht="15">
      <c r="A22" s="56" t="s">
        <v>2276</v>
      </c>
      <c r="B22" s="56" t="s">
        <v>2277</v>
      </c>
      <c r="C22" s="56" t="s">
        <v>1565</v>
      </c>
      <c r="D22" s="56" t="s">
        <v>2278</v>
      </c>
      <c r="E22" s="74" t="s">
        <v>552</v>
      </c>
      <c r="F22" s="56" t="s">
        <v>2044</v>
      </c>
      <c r="G22" s="56" t="s">
        <v>2279</v>
      </c>
    </row>
    <row r="23" spans="1:7" ht="17.25">
      <c r="A23" s="75" t="s">
        <v>2280</v>
      </c>
      <c r="B23" s="75"/>
      <c r="C23" s="75"/>
      <c r="D23" s="75"/>
      <c r="E23" s="76"/>
      <c r="F23" s="75"/>
      <c r="G23" s="75"/>
    </row>
    <row r="24" spans="1:7" ht="17.25">
      <c r="A24" s="274" t="s">
        <v>2281</v>
      </c>
      <c r="B24" s="274" t="s">
        <v>2282</v>
      </c>
      <c r="C24" s="274" t="s">
        <v>2283</v>
      </c>
      <c r="D24" s="274" t="s">
        <v>2278</v>
      </c>
      <c r="E24" s="275" t="s">
        <v>2284</v>
      </c>
      <c r="F24" s="274" t="s">
        <v>2048</v>
      </c>
      <c r="G24" s="274" t="s">
        <v>2252</v>
      </c>
    </row>
    <row r="25" spans="1:7" ht="17.25">
      <c r="A25" s="75" t="s">
        <v>2285</v>
      </c>
      <c r="B25" s="75"/>
      <c r="C25" s="75"/>
      <c r="D25" s="75"/>
      <c r="E25" s="76"/>
      <c r="F25" s="75"/>
      <c r="G25" s="75"/>
    </row>
    <row r="26" spans="1:7" ht="15">
      <c r="A26" s="56" t="s">
        <v>2286</v>
      </c>
      <c r="B26" s="56" t="s">
        <v>2287</v>
      </c>
      <c r="C26" s="56" t="s">
        <v>2288</v>
      </c>
      <c r="D26" s="56" t="s">
        <v>2278</v>
      </c>
      <c r="E26" s="74" t="s">
        <v>2284</v>
      </c>
      <c r="F26" s="56" t="s">
        <v>2048</v>
      </c>
      <c r="G26" s="56" t="s">
        <v>2252</v>
      </c>
    </row>
    <row r="27" spans="1:7" ht="17.25">
      <c r="A27" s="274" t="s">
        <v>2289</v>
      </c>
      <c r="B27" s="274"/>
      <c r="C27" s="274" t="s">
        <v>552</v>
      </c>
      <c r="D27" s="274" t="s">
        <v>2278</v>
      </c>
      <c r="E27" s="275" t="s">
        <v>552</v>
      </c>
      <c r="F27" s="274" t="s">
        <v>2044</v>
      </c>
      <c r="G27" s="274" t="s">
        <v>2290</v>
      </c>
    </row>
    <row r="28" spans="1:7" ht="17.25">
      <c r="A28" s="75" t="s">
        <v>2291</v>
      </c>
      <c r="B28" s="75"/>
      <c r="C28" s="75"/>
      <c r="D28" s="75"/>
      <c r="E28" s="76"/>
      <c r="F28" s="75"/>
      <c r="G28" s="75"/>
    </row>
    <row r="29" spans="1:7" ht="17.25">
      <c r="A29" s="274" t="s">
        <v>2248</v>
      </c>
      <c r="B29" s="274" t="s">
        <v>2249</v>
      </c>
      <c r="C29" s="274" t="s">
        <v>2250</v>
      </c>
      <c r="D29" s="274" t="s">
        <v>2278</v>
      </c>
      <c r="E29" s="275" t="s">
        <v>2292</v>
      </c>
      <c r="F29" s="274" t="s">
        <v>2052</v>
      </c>
      <c r="G29" s="274" t="s">
        <v>2252</v>
      </c>
    </row>
    <row r="30" spans="1:7" ht="17.25">
      <c r="A30" s="274" t="s">
        <v>2253</v>
      </c>
      <c r="B30" s="274" t="s">
        <v>2249</v>
      </c>
      <c r="C30" s="274" t="s">
        <v>2254</v>
      </c>
      <c r="D30" s="274" t="s">
        <v>2278</v>
      </c>
      <c r="E30" s="275" t="s">
        <v>2292</v>
      </c>
      <c r="F30" s="274" t="s">
        <v>2052</v>
      </c>
      <c r="G30" s="274" t="s">
        <v>2252</v>
      </c>
    </row>
    <row r="31" spans="1:7" ht="17.25">
      <c r="A31" s="274" t="s">
        <v>2255</v>
      </c>
      <c r="B31" s="274" t="s">
        <v>2249</v>
      </c>
      <c r="C31" s="274" t="s">
        <v>2254</v>
      </c>
      <c r="D31" s="274" t="s">
        <v>2278</v>
      </c>
      <c r="E31" s="275" t="s">
        <v>2292</v>
      </c>
      <c r="F31" s="274" t="s">
        <v>2052</v>
      </c>
      <c r="G31" s="274" t="s">
        <v>2252</v>
      </c>
    </row>
    <row r="32" spans="1:7" ht="17.25">
      <c r="A32" s="274" t="s">
        <v>2256</v>
      </c>
      <c r="B32" s="274" t="s">
        <v>2257</v>
      </c>
      <c r="C32" s="274" t="s">
        <v>2254</v>
      </c>
      <c r="D32" s="274" t="s">
        <v>2278</v>
      </c>
      <c r="E32" s="275" t="s">
        <v>2292</v>
      </c>
      <c r="F32" s="274" t="s">
        <v>2052</v>
      </c>
      <c r="G32" s="274" t="s">
        <v>2252</v>
      </c>
    </row>
    <row r="33" spans="1:7" ht="15">
      <c r="A33" s="56" t="s">
        <v>2258</v>
      </c>
      <c r="B33" s="56"/>
      <c r="C33" s="56" t="s">
        <v>2254</v>
      </c>
      <c r="D33" s="56" t="s">
        <v>2278</v>
      </c>
      <c r="E33" s="74" t="s">
        <v>2292</v>
      </c>
      <c r="F33" s="56" t="s">
        <v>2052</v>
      </c>
      <c r="G33" s="56" t="s">
        <v>2252</v>
      </c>
    </row>
    <row r="34" spans="1:7" ht="17.25">
      <c r="A34" s="274" t="s">
        <v>2259</v>
      </c>
      <c r="B34" s="274"/>
      <c r="C34" s="274" t="s">
        <v>2254</v>
      </c>
      <c r="D34" s="274" t="s">
        <v>2278</v>
      </c>
      <c r="E34" s="275" t="s">
        <v>2292</v>
      </c>
      <c r="F34" s="274" t="s">
        <v>2052</v>
      </c>
      <c r="G34" s="274" t="s">
        <v>2252</v>
      </c>
    </row>
    <row r="35" spans="1:7" ht="15">
      <c r="A35" s="56" t="s">
        <v>2260</v>
      </c>
      <c r="B35" s="56"/>
      <c r="C35" s="56" t="s">
        <v>2254</v>
      </c>
      <c r="D35" s="56" t="s">
        <v>2278</v>
      </c>
      <c r="E35" s="74" t="s">
        <v>2292</v>
      </c>
      <c r="F35" s="56" t="s">
        <v>2052</v>
      </c>
      <c r="G35" s="56" t="s">
        <v>2252</v>
      </c>
    </row>
    <row r="36" spans="1:7" ht="17.25">
      <c r="A36" s="75" t="s">
        <v>2293</v>
      </c>
      <c r="B36" s="75"/>
      <c r="C36" s="75"/>
      <c r="D36" s="75"/>
      <c r="E36" s="76"/>
      <c r="F36" s="75"/>
      <c r="G36" s="75"/>
    </row>
    <row r="37" spans="1:7" ht="17.25">
      <c r="A37" s="274" t="s">
        <v>2294</v>
      </c>
      <c r="B37" s="274"/>
      <c r="C37" s="274" t="s">
        <v>2295</v>
      </c>
      <c r="D37" s="274" t="s">
        <v>2278</v>
      </c>
      <c r="E37" s="275" t="s">
        <v>552</v>
      </c>
      <c r="F37" s="274" t="s">
        <v>2044</v>
      </c>
      <c r="G37" s="274" t="s">
        <v>2252</v>
      </c>
    </row>
    <row r="38" spans="1:7" ht="17.25">
      <c r="A38" s="75" t="s">
        <v>2296</v>
      </c>
      <c r="B38" s="75"/>
      <c r="C38" s="75"/>
      <c r="D38" s="75"/>
      <c r="E38" s="76"/>
      <c r="F38" s="75"/>
      <c r="G38" s="75"/>
    </row>
    <row r="39" spans="1:7" ht="15">
      <c r="A39" s="56" t="s">
        <v>2297</v>
      </c>
      <c r="B39" s="56" t="s">
        <v>2298</v>
      </c>
      <c r="C39" s="56" t="s">
        <v>552</v>
      </c>
      <c r="D39" s="56" t="s">
        <v>2278</v>
      </c>
      <c r="E39" s="74" t="s">
        <v>552</v>
      </c>
      <c r="F39" s="56" t="s">
        <v>2044</v>
      </c>
      <c r="G39" s="56" t="s">
        <v>2299</v>
      </c>
    </row>
    <row r="40" spans="1:7" ht="15">
      <c r="A40" s="56" t="s">
        <v>2300</v>
      </c>
      <c r="B40" s="56" t="s">
        <v>2301</v>
      </c>
      <c r="C40" s="56" t="s">
        <v>2302</v>
      </c>
      <c r="D40" s="56" t="s">
        <v>2278</v>
      </c>
      <c r="E40" s="74" t="s">
        <v>552</v>
      </c>
      <c r="F40" s="56" t="s">
        <v>2044</v>
      </c>
      <c r="G40" s="56" t="s">
        <v>2303</v>
      </c>
    </row>
    <row r="41" spans="1:7" ht="17.25">
      <c r="A41" s="75" t="s">
        <v>2304</v>
      </c>
      <c r="B41" s="75"/>
      <c r="C41" s="75"/>
      <c r="D41" s="75"/>
      <c r="E41" s="76"/>
      <c r="F41" s="75"/>
      <c r="G41" s="75"/>
    </row>
    <row r="42" spans="1:7" ht="17.25">
      <c r="A42" s="274" t="s">
        <v>2305</v>
      </c>
      <c r="B42" s="274"/>
      <c r="C42" s="274" t="s">
        <v>552</v>
      </c>
      <c r="D42" s="274" t="s">
        <v>2278</v>
      </c>
      <c r="E42" s="275" t="s">
        <v>552</v>
      </c>
      <c r="F42" s="274" t="s">
        <v>2044</v>
      </c>
      <c r="G42" s="274" t="s">
        <v>2252</v>
      </c>
    </row>
    <row r="43" spans="1:7" ht="17.25">
      <c r="A43" s="75" t="s">
        <v>2306</v>
      </c>
      <c r="B43" s="75"/>
      <c r="C43" s="75"/>
      <c r="D43" s="75"/>
      <c r="E43" s="76"/>
      <c r="F43" s="75"/>
      <c r="G43" s="75"/>
    </row>
    <row r="44" spans="1:7" ht="15">
      <c r="A44" s="56" t="s">
        <v>2274</v>
      </c>
      <c r="B44" s="56"/>
      <c r="C44" s="56" t="s">
        <v>2254</v>
      </c>
      <c r="D44" s="56" t="s">
        <v>2278</v>
      </c>
      <c r="E44" s="74" t="s">
        <v>2292</v>
      </c>
      <c r="F44" s="56" t="s">
        <v>2052</v>
      </c>
      <c r="G44" s="56" t="s">
        <v>2252</v>
      </c>
    </row>
    <row r="45" spans="1:7" ht="17.25">
      <c r="A45" s="75" t="s">
        <v>2307</v>
      </c>
      <c r="B45" s="75"/>
      <c r="C45" s="75"/>
      <c r="D45" s="75"/>
      <c r="E45" s="76"/>
      <c r="F45" s="75"/>
      <c r="G45" s="75"/>
    </row>
    <row r="46" spans="1:7" ht="15">
      <c r="A46" s="56" t="s">
        <v>2241</v>
      </c>
      <c r="B46" s="56" t="s">
        <v>2242</v>
      </c>
      <c r="C46" s="56" t="s">
        <v>2243</v>
      </c>
      <c r="D46" s="56" t="s">
        <v>2308</v>
      </c>
      <c r="E46" s="74" t="s">
        <v>2245</v>
      </c>
      <c r="F46" s="56" t="s">
        <v>2076</v>
      </c>
      <c r="G46" s="56" t="s">
        <v>2246</v>
      </c>
    </row>
    <row r="47" spans="1:7" ht="15">
      <c r="A47" s="56" t="s">
        <v>2276</v>
      </c>
      <c r="B47" s="56" t="s">
        <v>2277</v>
      </c>
      <c r="C47" s="56" t="s">
        <v>1565</v>
      </c>
      <c r="D47" s="56" t="s">
        <v>2308</v>
      </c>
      <c r="E47" s="74" t="s">
        <v>108</v>
      </c>
      <c r="F47" s="56" t="s">
        <v>2075</v>
      </c>
      <c r="G47" s="56" t="s">
        <v>2279</v>
      </c>
    </row>
    <row r="48" spans="1:7" ht="17.25">
      <c r="A48" s="274" t="s">
        <v>2309</v>
      </c>
      <c r="B48" s="274"/>
      <c r="C48" s="274" t="s">
        <v>2310</v>
      </c>
      <c r="D48" s="274" t="s">
        <v>2308</v>
      </c>
      <c r="E48" s="275" t="s">
        <v>2311</v>
      </c>
      <c r="F48" s="274" t="s">
        <v>2075</v>
      </c>
      <c r="G48" s="274" t="s">
        <v>2252</v>
      </c>
    </row>
    <row r="49" spans="1:7" ht="17.25">
      <c r="A49" s="274" t="s">
        <v>2312</v>
      </c>
      <c r="B49" s="274" t="s">
        <v>2242</v>
      </c>
      <c r="C49" s="274" t="s">
        <v>108</v>
      </c>
      <c r="D49" s="274" t="s">
        <v>2308</v>
      </c>
      <c r="E49" s="275" t="s">
        <v>108</v>
      </c>
      <c r="F49" s="274" t="s">
        <v>2075</v>
      </c>
      <c r="G49" s="274" t="s">
        <v>2252</v>
      </c>
    </row>
    <row r="50" spans="1:7" ht="15">
      <c r="A50" s="56" t="s">
        <v>2313</v>
      </c>
      <c r="B50" s="56" t="s">
        <v>2314</v>
      </c>
      <c r="C50" s="56" t="s">
        <v>2315</v>
      </c>
      <c r="D50" s="56" t="s">
        <v>2308</v>
      </c>
      <c r="E50" s="74" t="s">
        <v>2315</v>
      </c>
      <c r="F50" s="56" t="s">
        <v>2075</v>
      </c>
      <c r="G50" s="56" t="s">
        <v>2316</v>
      </c>
    </row>
    <row r="51" spans="1:7" ht="17.25">
      <c r="A51" s="274" t="s">
        <v>2317</v>
      </c>
      <c r="B51" s="274"/>
      <c r="C51" s="274" t="s">
        <v>108</v>
      </c>
      <c r="D51" s="274" t="s">
        <v>2308</v>
      </c>
      <c r="E51" s="275" t="s">
        <v>108</v>
      </c>
      <c r="F51" s="274" t="s">
        <v>2075</v>
      </c>
      <c r="G51" s="274" t="s">
        <v>2252</v>
      </c>
    </row>
    <row r="52" spans="1:7" ht="17.25">
      <c r="A52" s="75" t="s">
        <v>2318</v>
      </c>
      <c r="B52" s="75"/>
      <c r="C52" s="75"/>
      <c r="D52" s="75"/>
      <c r="E52" s="76"/>
      <c r="F52" s="75"/>
      <c r="G52" s="75"/>
    </row>
    <row r="53" spans="1:7" ht="17.25">
      <c r="A53" s="274" t="s">
        <v>2319</v>
      </c>
      <c r="B53" s="274" t="s">
        <v>2249</v>
      </c>
      <c r="C53" s="274" t="s">
        <v>108</v>
      </c>
      <c r="D53" s="274" t="s">
        <v>2308</v>
      </c>
      <c r="E53" s="275" t="s">
        <v>108</v>
      </c>
      <c r="F53" s="274" t="s">
        <v>2075</v>
      </c>
      <c r="G53" s="274" t="s">
        <v>2252</v>
      </c>
    </row>
    <row r="54" spans="1:7" ht="15">
      <c r="A54" s="56" t="s">
        <v>2320</v>
      </c>
      <c r="B54" s="56" t="s">
        <v>2321</v>
      </c>
      <c r="C54" s="56" t="s">
        <v>108</v>
      </c>
      <c r="D54" s="56" t="s">
        <v>2308</v>
      </c>
      <c r="E54" s="74" t="s">
        <v>108</v>
      </c>
      <c r="F54" s="56" t="s">
        <v>2075</v>
      </c>
      <c r="G54" s="56" t="s">
        <v>2322</v>
      </c>
    </row>
    <row r="55" spans="1:7" ht="17.25">
      <c r="A55" s="274" t="s">
        <v>2323</v>
      </c>
      <c r="B55" s="274" t="s">
        <v>2321</v>
      </c>
      <c r="C55" s="274" t="s">
        <v>108</v>
      </c>
      <c r="D55" s="274" t="s">
        <v>2308</v>
      </c>
      <c r="E55" s="275" t="s">
        <v>108</v>
      </c>
      <c r="F55" s="274" t="s">
        <v>2075</v>
      </c>
      <c r="G55" s="274" t="s">
        <v>2252</v>
      </c>
    </row>
    <row r="56" spans="1:7" ht="15">
      <c r="A56" s="56" t="s">
        <v>2324</v>
      </c>
      <c r="B56" s="56" t="s">
        <v>2325</v>
      </c>
      <c r="C56" s="56" t="s">
        <v>108</v>
      </c>
      <c r="D56" s="56" t="s">
        <v>2308</v>
      </c>
      <c r="E56" s="74" t="s">
        <v>108</v>
      </c>
      <c r="F56" s="56" t="s">
        <v>2075</v>
      </c>
      <c r="G56" s="56" t="s">
        <v>2326</v>
      </c>
    </row>
    <row r="57" spans="1:7" ht="17.25">
      <c r="A57" s="75" t="s">
        <v>2327</v>
      </c>
      <c r="B57" s="75"/>
      <c r="C57" s="75"/>
      <c r="D57" s="75"/>
      <c r="E57" s="76"/>
      <c r="F57" s="75"/>
      <c r="G57" s="75"/>
    </row>
    <row r="58" spans="1:7" ht="15">
      <c r="A58" s="56" t="s">
        <v>2328</v>
      </c>
      <c r="B58" s="56" t="s">
        <v>2282</v>
      </c>
      <c r="C58" s="56" t="s">
        <v>108</v>
      </c>
      <c r="D58" s="56" t="s">
        <v>2308</v>
      </c>
      <c r="E58" s="74" t="s">
        <v>108</v>
      </c>
      <c r="F58" s="56" t="s">
        <v>2075</v>
      </c>
      <c r="G58" s="56" t="s">
        <v>2252</v>
      </c>
    </row>
    <row r="59" spans="1:7" ht="17.25">
      <c r="A59" s="274" t="s">
        <v>2281</v>
      </c>
      <c r="B59" s="274" t="s">
        <v>2282</v>
      </c>
      <c r="C59" s="274" t="s">
        <v>2283</v>
      </c>
      <c r="D59" s="274" t="s">
        <v>2308</v>
      </c>
      <c r="E59" s="275" t="s">
        <v>2329</v>
      </c>
      <c r="F59" s="274" t="s">
        <v>2075</v>
      </c>
      <c r="G59" s="274" t="s">
        <v>2252</v>
      </c>
    </row>
    <row r="60" spans="1:7" ht="15">
      <c r="A60" s="56" t="s">
        <v>2330</v>
      </c>
      <c r="B60" s="56" t="s">
        <v>2282</v>
      </c>
      <c r="C60" s="56" t="s">
        <v>2331</v>
      </c>
      <c r="D60" s="56" t="s">
        <v>2308</v>
      </c>
      <c r="E60" s="74" t="s">
        <v>108</v>
      </c>
      <c r="F60" s="56" t="s">
        <v>2075</v>
      </c>
      <c r="G60" s="56" t="s">
        <v>2332</v>
      </c>
    </row>
    <row r="61" spans="1:7" ht="15">
      <c r="A61" s="56" t="s">
        <v>2333</v>
      </c>
      <c r="B61" s="56" t="s">
        <v>2282</v>
      </c>
      <c r="C61" s="56" t="s">
        <v>108</v>
      </c>
      <c r="D61" s="56" t="s">
        <v>2308</v>
      </c>
      <c r="E61" s="74" t="s">
        <v>108</v>
      </c>
      <c r="F61" s="56" t="s">
        <v>2075</v>
      </c>
      <c r="G61" s="56" t="s">
        <v>2252</v>
      </c>
    </row>
    <row r="62" spans="1:7" ht="17.25">
      <c r="A62" s="75" t="s">
        <v>2334</v>
      </c>
      <c r="B62" s="75"/>
      <c r="C62" s="75"/>
      <c r="D62" s="75"/>
      <c r="E62" s="76"/>
      <c r="F62" s="75"/>
      <c r="G62" s="75"/>
    </row>
    <row r="63" spans="1:7" ht="15">
      <c r="A63" s="56" t="s">
        <v>2335</v>
      </c>
      <c r="B63" s="56" t="s">
        <v>2336</v>
      </c>
      <c r="C63" s="56" t="s">
        <v>2337</v>
      </c>
      <c r="D63" s="56" t="s">
        <v>2308</v>
      </c>
      <c r="E63" s="74" t="s">
        <v>108</v>
      </c>
      <c r="F63" s="56" t="s">
        <v>2075</v>
      </c>
      <c r="G63" s="56" t="s">
        <v>2252</v>
      </c>
    </row>
    <row r="64" spans="1:7" ht="15">
      <c r="A64" s="56" t="s">
        <v>2338</v>
      </c>
      <c r="B64" s="56" t="s">
        <v>2336</v>
      </c>
      <c r="C64" s="56" t="s">
        <v>2339</v>
      </c>
      <c r="D64" s="56" t="s">
        <v>2308</v>
      </c>
      <c r="E64" s="74" t="s">
        <v>108</v>
      </c>
      <c r="F64" s="56" t="s">
        <v>2075</v>
      </c>
      <c r="G64" s="56" t="s">
        <v>2252</v>
      </c>
    </row>
    <row r="65" spans="1:7" ht="15">
      <c r="A65" s="56" t="s">
        <v>2340</v>
      </c>
      <c r="B65" s="56" t="s">
        <v>2341</v>
      </c>
      <c r="C65" s="56" t="s">
        <v>108</v>
      </c>
      <c r="D65" s="56" t="s">
        <v>2308</v>
      </c>
      <c r="E65" s="74" t="s">
        <v>108</v>
      </c>
      <c r="F65" s="56" t="s">
        <v>2075</v>
      </c>
      <c r="G65" s="56" t="s">
        <v>2342</v>
      </c>
    </row>
    <row r="66" spans="1:7" ht="17.25">
      <c r="A66" s="274" t="s">
        <v>2343</v>
      </c>
      <c r="B66" s="274" t="s">
        <v>2341</v>
      </c>
      <c r="C66" s="274" t="s">
        <v>108</v>
      </c>
      <c r="D66" s="274" t="s">
        <v>2308</v>
      </c>
      <c r="E66" s="275" t="s">
        <v>108</v>
      </c>
      <c r="F66" s="274" t="s">
        <v>2075</v>
      </c>
      <c r="G66" s="274" t="s">
        <v>2252</v>
      </c>
    </row>
    <row r="67" spans="1:7" ht="17.25">
      <c r="A67" s="75" t="s">
        <v>2344</v>
      </c>
      <c r="B67" s="75"/>
      <c r="C67" s="75"/>
      <c r="D67" s="75"/>
      <c r="E67" s="76"/>
      <c r="F67" s="75"/>
      <c r="G67" s="75"/>
    </row>
    <row r="68" spans="1:7" ht="15">
      <c r="A68" s="56" t="s">
        <v>2345</v>
      </c>
      <c r="B68" s="56" t="s">
        <v>2346</v>
      </c>
      <c r="C68" s="56" t="s">
        <v>108</v>
      </c>
      <c r="D68" s="56" t="s">
        <v>2308</v>
      </c>
      <c r="E68" s="74" t="s">
        <v>108</v>
      </c>
      <c r="F68" s="56" t="s">
        <v>2075</v>
      </c>
      <c r="G68" s="56" t="s">
        <v>2347</v>
      </c>
    </row>
    <row r="69" spans="1:7" ht="15">
      <c r="A69" s="56" t="s">
        <v>2248</v>
      </c>
      <c r="B69" s="56" t="s">
        <v>2249</v>
      </c>
      <c r="C69" s="56" t="s">
        <v>2250</v>
      </c>
      <c r="D69" s="56" t="s">
        <v>2308</v>
      </c>
      <c r="E69" s="74" t="s">
        <v>2348</v>
      </c>
      <c r="F69" s="56" t="s">
        <v>2076</v>
      </c>
      <c r="G69" s="56" t="s">
        <v>2252</v>
      </c>
    </row>
    <row r="70" spans="1:7" ht="15">
      <c r="A70" s="56" t="s">
        <v>2253</v>
      </c>
      <c r="B70" s="56" t="s">
        <v>2249</v>
      </c>
      <c r="C70" s="56" t="s">
        <v>2254</v>
      </c>
      <c r="D70" s="56" t="s">
        <v>2308</v>
      </c>
      <c r="E70" s="74" t="s">
        <v>2348</v>
      </c>
      <c r="F70" s="56" t="s">
        <v>2076</v>
      </c>
      <c r="G70" s="56" t="s">
        <v>2252</v>
      </c>
    </row>
    <row r="71" spans="1:7" ht="17.25">
      <c r="A71" s="274" t="s">
        <v>2255</v>
      </c>
      <c r="B71" s="274" t="s">
        <v>2249</v>
      </c>
      <c r="C71" s="274" t="s">
        <v>2254</v>
      </c>
      <c r="D71" s="274" t="s">
        <v>2308</v>
      </c>
      <c r="E71" s="275" t="s">
        <v>2348</v>
      </c>
      <c r="F71" s="274" t="s">
        <v>2076</v>
      </c>
      <c r="G71" s="274" t="s">
        <v>2252</v>
      </c>
    </row>
    <row r="72" spans="1:7" ht="17.25">
      <c r="A72" s="274" t="s">
        <v>2256</v>
      </c>
      <c r="B72" s="274" t="s">
        <v>2257</v>
      </c>
      <c r="C72" s="274" t="s">
        <v>2254</v>
      </c>
      <c r="D72" s="274" t="s">
        <v>2308</v>
      </c>
      <c r="E72" s="275" t="s">
        <v>2348</v>
      </c>
      <c r="F72" s="274" t="s">
        <v>2076</v>
      </c>
      <c r="G72" s="274" t="s">
        <v>2252</v>
      </c>
    </row>
    <row r="73" spans="1:7" ht="15">
      <c r="A73" s="56" t="s">
        <v>2258</v>
      </c>
      <c r="B73" s="56"/>
      <c r="C73" s="56" t="s">
        <v>2254</v>
      </c>
      <c r="D73" s="56" t="s">
        <v>2308</v>
      </c>
      <c r="E73" s="74" t="s">
        <v>2348</v>
      </c>
      <c r="F73" s="56" t="s">
        <v>2076</v>
      </c>
      <c r="G73" s="56" t="s">
        <v>2252</v>
      </c>
    </row>
    <row r="74" spans="1:7" ht="15">
      <c r="A74" s="56" t="s">
        <v>2259</v>
      </c>
      <c r="B74" s="56"/>
      <c r="C74" s="56" t="s">
        <v>2254</v>
      </c>
      <c r="D74" s="56" t="s">
        <v>2308</v>
      </c>
      <c r="E74" s="74" t="s">
        <v>2348</v>
      </c>
      <c r="F74" s="56" t="s">
        <v>2076</v>
      </c>
      <c r="G74" s="56" t="s">
        <v>2252</v>
      </c>
    </row>
    <row r="75" spans="1:7" ht="15">
      <c r="A75" s="56" t="s">
        <v>2260</v>
      </c>
      <c r="B75" s="56"/>
      <c r="C75" s="56" t="s">
        <v>2254</v>
      </c>
      <c r="D75" s="56" t="s">
        <v>2308</v>
      </c>
      <c r="E75" s="74" t="s">
        <v>2348</v>
      </c>
      <c r="F75" s="56" t="s">
        <v>2076</v>
      </c>
      <c r="G75" s="56" t="s">
        <v>2252</v>
      </c>
    </row>
    <row r="76" spans="1:7" ht="17.25">
      <c r="A76" s="75" t="s">
        <v>2349</v>
      </c>
      <c r="B76" s="75"/>
      <c r="C76" s="75"/>
      <c r="D76" s="75"/>
      <c r="E76" s="76"/>
      <c r="F76" s="75"/>
      <c r="G76" s="75"/>
    </row>
    <row r="77" spans="1:7" ht="17.25">
      <c r="A77" s="274" t="s">
        <v>2350</v>
      </c>
      <c r="B77" s="274" t="s">
        <v>2351</v>
      </c>
      <c r="C77" s="274" t="s">
        <v>108</v>
      </c>
      <c r="D77" s="274" t="s">
        <v>2308</v>
      </c>
      <c r="E77" s="275" t="s">
        <v>108</v>
      </c>
      <c r="F77" s="274" t="s">
        <v>2075</v>
      </c>
      <c r="G77" s="274" t="s">
        <v>2252</v>
      </c>
    </row>
    <row r="78" spans="1:7" ht="15">
      <c r="A78" s="56" t="s">
        <v>2352</v>
      </c>
      <c r="B78" s="56"/>
      <c r="C78" s="56" t="s">
        <v>2337</v>
      </c>
      <c r="D78" s="56" t="s">
        <v>2308</v>
      </c>
      <c r="E78" s="74" t="s">
        <v>108</v>
      </c>
      <c r="F78" s="56" t="s">
        <v>2075</v>
      </c>
      <c r="G78" s="56" t="s">
        <v>2252</v>
      </c>
    </row>
    <row r="79" spans="1:7" ht="15">
      <c r="A79" s="56" t="s">
        <v>2353</v>
      </c>
      <c r="B79" s="56" t="s">
        <v>2351</v>
      </c>
      <c r="C79" s="56" t="s">
        <v>2354</v>
      </c>
      <c r="D79" s="56" t="s">
        <v>2308</v>
      </c>
      <c r="E79" s="74" t="s">
        <v>108</v>
      </c>
      <c r="F79" s="56" t="s">
        <v>2075</v>
      </c>
      <c r="G79" s="56" t="s">
        <v>2355</v>
      </c>
    </row>
    <row r="80" spans="1:7" ht="17.25">
      <c r="A80" s="274" t="s">
        <v>2356</v>
      </c>
      <c r="B80" s="274" t="s">
        <v>2351</v>
      </c>
      <c r="C80" s="274" t="s">
        <v>2315</v>
      </c>
      <c r="D80" s="274" t="s">
        <v>2308</v>
      </c>
      <c r="E80" s="275" t="s">
        <v>2315</v>
      </c>
      <c r="F80" s="274" t="s">
        <v>2075</v>
      </c>
      <c r="G80" s="274" t="s">
        <v>2252</v>
      </c>
    </row>
    <row r="81" spans="1:7" ht="17.25">
      <c r="A81" s="274" t="s">
        <v>2357</v>
      </c>
      <c r="B81" s="274" t="s">
        <v>2358</v>
      </c>
      <c r="C81" s="274" t="s">
        <v>108</v>
      </c>
      <c r="D81" s="274" t="s">
        <v>2308</v>
      </c>
      <c r="E81" s="275" t="s">
        <v>108</v>
      </c>
      <c r="F81" s="274" t="s">
        <v>2075</v>
      </c>
      <c r="G81" s="274" t="s">
        <v>2252</v>
      </c>
    </row>
    <row r="82" spans="1:7" ht="17.25">
      <c r="A82" s="75" t="s">
        <v>2359</v>
      </c>
      <c r="B82" s="75"/>
      <c r="C82" s="75"/>
      <c r="D82" s="75"/>
      <c r="E82" s="76"/>
      <c r="F82" s="75"/>
      <c r="G82" s="75"/>
    </row>
    <row r="83" spans="1:7" ht="17.25">
      <c r="A83" s="274" t="s">
        <v>2360</v>
      </c>
      <c r="B83" s="274" t="s">
        <v>2351</v>
      </c>
      <c r="C83" s="274" t="s">
        <v>2361</v>
      </c>
      <c r="D83" s="274" t="s">
        <v>2308</v>
      </c>
      <c r="E83" s="275" t="s">
        <v>2071</v>
      </c>
      <c r="F83" s="274" t="s">
        <v>2074</v>
      </c>
      <c r="G83" s="274" t="s">
        <v>2252</v>
      </c>
    </row>
    <row r="84" spans="1:7" ht="15">
      <c r="A84" s="56" t="s">
        <v>2362</v>
      </c>
      <c r="B84" s="56" t="s">
        <v>2257</v>
      </c>
      <c r="C84" s="56" t="s">
        <v>2361</v>
      </c>
      <c r="D84" s="56" t="s">
        <v>2308</v>
      </c>
      <c r="E84" s="74" t="s">
        <v>2071</v>
      </c>
      <c r="F84" s="56" t="s">
        <v>2074</v>
      </c>
      <c r="G84" s="56" t="s">
        <v>2252</v>
      </c>
    </row>
    <row r="85" spans="1:7" ht="15">
      <c r="A85" s="56" t="s">
        <v>2363</v>
      </c>
      <c r="B85" s="56"/>
      <c r="C85" s="56" t="s">
        <v>2315</v>
      </c>
      <c r="D85" s="56" t="s">
        <v>2308</v>
      </c>
      <c r="E85" s="74" t="s">
        <v>2315</v>
      </c>
      <c r="F85" s="56" t="s">
        <v>2075</v>
      </c>
      <c r="G85" s="56" t="s">
        <v>2252</v>
      </c>
    </row>
    <row r="86" spans="1:7" ht="17.25">
      <c r="A86" s="274" t="s">
        <v>2294</v>
      </c>
      <c r="B86" s="274"/>
      <c r="C86" s="274" t="s">
        <v>2295</v>
      </c>
      <c r="D86" s="274" t="s">
        <v>2308</v>
      </c>
      <c r="E86" s="275" t="s">
        <v>2315</v>
      </c>
      <c r="F86" s="274" t="s">
        <v>2075</v>
      </c>
      <c r="G86" s="274" t="s">
        <v>2252</v>
      </c>
    </row>
    <row r="87" spans="1:7" ht="15">
      <c r="A87" s="56" t="s">
        <v>2364</v>
      </c>
      <c r="B87" s="56" t="s">
        <v>2351</v>
      </c>
      <c r="C87" s="56" t="s">
        <v>108</v>
      </c>
      <c r="D87" s="56" t="s">
        <v>2308</v>
      </c>
      <c r="E87" s="74" t="s">
        <v>108</v>
      </c>
      <c r="F87" s="56" t="s">
        <v>2075</v>
      </c>
      <c r="G87" s="56" t="s">
        <v>2252</v>
      </c>
    </row>
    <row r="88" spans="1:7" ht="15">
      <c r="A88" s="56" t="s">
        <v>2365</v>
      </c>
      <c r="B88" s="56" t="s">
        <v>2351</v>
      </c>
      <c r="C88" s="56" t="s">
        <v>108</v>
      </c>
      <c r="D88" s="56" t="s">
        <v>2308</v>
      </c>
      <c r="E88" s="74" t="s">
        <v>108</v>
      </c>
      <c r="F88" s="56" t="s">
        <v>2075</v>
      </c>
      <c r="G88" s="56" t="s">
        <v>2252</v>
      </c>
    </row>
    <row r="89" spans="1:7" ht="15">
      <c r="A89" s="56" t="s">
        <v>2366</v>
      </c>
      <c r="B89" s="56" t="s">
        <v>2257</v>
      </c>
      <c r="C89" s="56" t="s">
        <v>108</v>
      </c>
      <c r="D89" s="56" t="s">
        <v>2308</v>
      </c>
      <c r="E89" s="74" t="s">
        <v>108</v>
      </c>
      <c r="F89" s="74" t="s">
        <v>2075</v>
      </c>
      <c r="G89" s="56" t="s">
        <v>2252</v>
      </c>
    </row>
    <row r="90" spans="1:7" ht="15">
      <c r="A90" s="56" t="s">
        <v>2367</v>
      </c>
      <c r="B90" s="56" t="s">
        <v>2368</v>
      </c>
      <c r="C90" s="56" t="s">
        <v>2315</v>
      </c>
      <c r="D90" s="56" t="s">
        <v>2308</v>
      </c>
      <c r="E90" s="74" t="s">
        <v>2315</v>
      </c>
      <c r="F90" s="56" t="s">
        <v>2075</v>
      </c>
      <c r="G90" s="56" t="s">
        <v>2252</v>
      </c>
    </row>
    <row r="91" spans="1:7" ht="15">
      <c r="A91" s="56" t="s">
        <v>2369</v>
      </c>
      <c r="B91" s="56" t="s">
        <v>2368</v>
      </c>
      <c r="C91" s="56" t="s">
        <v>2315</v>
      </c>
      <c r="D91" s="56" t="s">
        <v>2308</v>
      </c>
      <c r="E91" s="74" t="s">
        <v>2315</v>
      </c>
      <c r="F91" s="56" t="s">
        <v>2075</v>
      </c>
      <c r="G91" s="56" t="s">
        <v>2252</v>
      </c>
    </row>
    <row r="92" spans="1:7" ht="17.25">
      <c r="A92" s="274" t="s">
        <v>2370</v>
      </c>
      <c r="B92" s="274" t="s">
        <v>2368</v>
      </c>
      <c r="C92" s="274" t="s">
        <v>108</v>
      </c>
      <c r="D92" s="274" t="s">
        <v>2308</v>
      </c>
      <c r="E92" s="275" t="s">
        <v>108</v>
      </c>
      <c r="F92" s="274" t="s">
        <v>2075</v>
      </c>
      <c r="G92" s="274" t="s">
        <v>2371</v>
      </c>
    </row>
    <row r="93" spans="1:7" ht="17.25">
      <c r="A93" s="75" t="s">
        <v>2372</v>
      </c>
      <c r="B93" s="75"/>
      <c r="C93" s="75"/>
      <c r="D93" s="75"/>
      <c r="E93" s="76"/>
      <c r="F93" s="75"/>
      <c r="G93" s="75"/>
    </row>
    <row r="94" spans="1:7" ht="17.25">
      <c r="A94" s="274" t="s">
        <v>2373</v>
      </c>
      <c r="B94" s="274" t="s">
        <v>2374</v>
      </c>
      <c r="C94" s="274" t="s">
        <v>108</v>
      </c>
      <c r="D94" s="274" t="s">
        <v>2308</v>
      </c>
      <c r="E94" s="275" t="s">
        <v>108</v>
      </c>
      <c r="F94" s="274" t="s">
        <v>2075</v>
      </c>
      <c r="G94" s="274" t="s">
        <v>2252</v>
      </c>
    </row>
    <row r="95" spans="1:7" ht="17.25">
      <c r="A95" s="274" t="s">
        <v>2375</v>
      </c>
      <c r="B95" s="274" t="s">
        <v>2376</v>
      </c>
      <c r="C95" s="274" t="s">
        <v>108</v>
      </c>
      <c r="D95" s="274" t="s">
        <v>2308</v>
      </c>
      <c r="E95" s="275" t="s">
        <v>108</v>
      </c>
      <c r="F95" s="274" t="s">
        <v>2075</v>
      </c>
      <c r="G95" s="274" t="s">
        <v>2252</v>
      </c>
    </row>
    <row r="96" spans="1:7" ht="17.25">
      <c r="A96" s="274" t="s">
        <v>2377</v>
      </c>
      <c r="B96" s="274" t="s">
        <v>2376</v>
      </c>
      <c r="C96" s="274" t="s">
        <v>108</v>
      </c>
      <c r="D96" s="274" t="s">
        <v>2308</v>
      </c>
      <c r="E96" s="275" t="s">
        <v>108</v>
      </c>
      <c r="F96" s="274" t="s">
        <v>2075</v>
      </c>
      <c r="G96" s="274" t="s">
        <v>2252</v>
      </c>
    </row>
    <row r="97" spans="1:7" ht="17.25">
      <c r="A97" s="75" t="s">
        <v>2378</v>
      </c>
      <c r="B97" s="75"/>
      <c r="C97" s="75"/>
      <c r="D97" s="75"/>
      <c r="E97" s="76"/>
      <c r="F97" s="75"/>
      <c r="G97" s="75"/>
    </row>
    <row r="98" spans="1:7" ht="15">
      <c r="A98" s="56" t="s">
        <v>2262</v>
      </c>
      <c r="B98" s="56" t="s">
        <v>2263</v>
      </c>
      <c r="C98" s="56" t="s">
        <v>2243</v>
      </c>
      <c r="D98" s="56" t="s">
        <v>2308</v>
      </c>
      <c r="E98" s="74" t="s">
        <v>2245</v>
      </c>
      <c r="F98" s="56" t="s">
        <v>2076</v>
      </c>
      <c r="G98" s="56" t="s">
        <v>2264</v>
      </c>
    </row>
    <row r="99" spans="1:7" ht="15">
      <c r="A99" s="56" t="s">
        <v>2265</v>
      </c>
      <c r="B99" s="56" t="s">
        <v>2266</v>
      </c>
      <c r="C99" s="56" t="s">
        <v>2243</v>
      </c>
      <c r="D99" s="56" t="s">
        <v>2308</v>
      </c>
      <c r="E99" s="74" t="s">
        <v>2245</v>
      </c>
      <c r="F99" s="56" t="s">
        <v>2076</v>
      </c>
      <c r="G99" s="56" t="s">
        <v>2267</v>
      </c>
    </row>
    <row r="100" spans="1:7" ht="17.25">
      <c r="A100" s="274" t="s">
        <v>2379</v>
      </c>
      <c r="B100" s="274" t="s">
        <v>2263</v>
      </c>
      <c r="C100" s="274" t="s">
        <v>2315</v>
      </c>
      <c r="D100" s="274" t="s">
        <v>2308</v>
      </c>
      <c r="E100" s="275" t="s">
        <v>2315</v>
      </c>
      <c r="F100" s="274" t="s">
        <v>2075</v>
      </c>
      <c r="G100" s="274" t="s">
        <v>2380</v>
      </c>
    </row>
    <row r="101" spans="1:7" ht="15">
      <c r="A101" s="56" t="s">
        <v>2381</v>
      </c>
      <c r="B101" s="56" t="s">
        <v>2301</v>
      </c>
      <c r="C101" s="56" t="s">
        <v>108</v>
      </c>
      <c r="D101" s="56" t="s">
        <v>2308</v>
      </c>
      <c r="E101" s="74" t="s">
        <v>108</v>
      </c>
      <c r="F101" s="56" t="s">
        <v>2075</v>
      </c>
      <c r="G101" s="56" t="s">
        <v>2382</v>
      </c>
    </row>
    <row r="102" spans="1:7" ht="17.25">
      <c r="A102" s="274" t="s">
        <v>2383</v>
      </c>
      <c r="B102" s="274" t="s">
        <v>2298</v>
      </c>
      <c r="C102" s="274" t="s">
        <v>108</v>
      </c>
      <c r="D102" s="274" t="s">
        <v>2308</v>
      </c>
      <c r="E102" s="275" t="s">
        <v>108</v>
      </c>
      <c r="F102" s="274" t="s">
        <v>2075</v>
      </c>
      <c r="G102" s="274" t="s">
        <v>2384</v>
      </c>
    </row>
    <row r="103" spans="1:7" ht="17.25">
      <c r="A103" s="274" t="s">
        <v>2385</v>
      </c>
      <c r="B103" s="274" t="s">
        <v>2386</v>
      </c>
      <c r="C103" s="274" t="s">
        <v>108</v>
      </c>
      <c r="D103" s="274" t="s">
        <v>2308</v>
      </c>
      <c r="E103" s="275" t="s">
        <v>108</v>
      </c>
      <c r="F103" s="274" t="s">
        <v>2075</v>
      </c>
      <c r="G103" s="274" t="s">
        <v>2387</v>
      </c>
    </row>
    <row r="104" spans="1:7" ht="17.25">
      <c r="A104" s="75" t="s">
        <v>2388</v>
      </c>
      <c r="B104" s="75"/>
      <c r="C104" s="75"/>
      <c r="D104" s="75"/>
      <c r="E104" s="76"/>
      <c r="F104" s="75"/>
      <c r="G104" s="75"/>
    </row>
    <row r="105" spans="1:7" ht="15">
      <c r="A105" s="56" t="s">
        <v>2389</v>
      </c>
      <c r="B105" s="56" t="s">
        <v>2301</v>
      </c>
      <c r="C105" s="56" t="s">
        <v>108</v>
      </c>
      <c r="D105" s="56" t="s">
        <v>2308</v>
      </c>
      <c r="E105" s="74" t="s">
        <v>108</v>
      </c>
      <c r="F105" s="56" t="s">
        <v>2075</v>
      </c>
      <c r="G105" s="56" t="s">
        <v>2390</v>
      </c>
    </row>
    <row r="106" spans="1:7" ht="17.25">
      <c r="A106" s="274" t="s">
        <v>2391</v>
      </c>
      <c r="B106" s="274" t="s">
        <v>2392</v>
      </c>
      <c r="C106" s="274" t="s">
        <v>108</v>
      </c>
      <c r="D106" s="274" t="s">
        <v>2308</v>
      </c>
      <c r="E106" s="275" t="s">
        <v>108</v>
      </c>
      <c r="F106" s="274" t="s">
        <v>2075</v>
      </c>
      <c r="G106" s="274" t="s">
        <v>2393</v>
      </c>
    </row>
    <row r="107" spans="1:7" ht="15">
      <c r="A107" s="56" t="s">
        <v>2394</v>
      </c>
      <c r="B107" s="56" t="s">
        <v>2395</v>
      </c>
      <c r="C107" s="56" t="s">
        <v>108</v>
      </c>
      <c r="D107" s="56" t="s">
        <v>2308</v>
      </c>
      <c r="E107" s="74" t="s">
        <v>108</v>
      </c>
      <c r="F107" s="56" t="s">
        <v>2075</v>
      </c>
      <c r="G107" s="56" t="s">
        <v>2396</v>
      </c>
    </row>
    <row r="108" spans="1:7" ht="15">
      <c r="A108" s="56" t="s">
        <v>2397</v>
      </c>
      <c r="B108" s="56" t="s">
        <v>2398</v>
      </c>
      <c r="C108" s="56" t="s">
        <v>2315</v>
      </c>
      <c r="D108" s="56" t="s">
        <v>2308</v>
      </c>
      <c r="E108" s="74" t="s">
        <v>2315</v>
      </c>
      <c r="F108" s="56" t="s">
        <v>2075</v>
      </c>
      <c r="G108" s="56" t="s">
        <v>2252</v>
      </c>
    </row>
    <row r="109" spans="1:7" ht="17.25">
      <c r="A109" s="274" t="s">
        <v>2399</v>
      </c>
      <c r="B109" s="274" t="s">
        <v>2398</v>
      </c>
      <c r="C109" s="274" t="s">
        <v>2400</v>
      </c>
      <c r="D109" s="274" t="s">
        <v>2308</v>
      </c>
      <c r="E109" s="275" t="s">
        <v>108</v>
      </c>
      <c r="F109" s="274" t="s">
        <v>2075</v>
      </c>
      <c r="G109" s="274" t="s">
        <v>2252</v>
      </c>
    </row>
    <row r="110" spans="1:7" ht="17.25">
      <c r="A110" s="75" t="s">
        <v>2401</v>
      </c>
      <c r="B110" s="75"/>
      <c r="C110" s="75"/>
      <c r="D110" s="75"/>
      <c r="E110" s="76"/>
      <c r="F110" s="75"/>
      <c r="G110" s="75"/>
    </row>
    <row r="111" spans="1:7" ht="15">
      <c r="A111" s="56" t="s">
        <v>2402</v>
      </c>
      <c r="B111" s="56" t="s">
        <v>2403</v>
      </c>
      <c r="C111" s="56" t="s">
        <v>108</v>
      </c>
      <c r="D111" s="56" t="s">
        <v>2308</v>
      </c>
      <c r="E111" s="74" t="s">
        <v>108</v>
      </c>
      <c r="F111" s="56" t="s">
        <v>2075</v>
      </c>
      <c r="G111" s="56" t="s">
        <v>2252</v>
      </c>
    </row>
    <row r="112" spans="1:7" ht="17.25">
      <c r="A112" s="274" t="s">
        <v>2404</v>
      </c>
      <c r="B112" s="274" t="s">
        <v>2403</v>
      </c>
      <c r="C112" s="274" t="s">
        <v>2315</v>
      </c>
      <c r="D112" s="274" t="s">
        <v>2308</v>
      </c>
      <c r="E112" s="275" t="s">
        <v>2315</v>
      </c>
      <c r="F112" s="274" t="s">
        <v>2075</v>
      </c>
      <c r="G112" s="274" t="s">
        <v>2405</v>
      </c>
    </row>
    <row r="113" spans="1:7" ht="15">
      <c r="A113" s="56" t="s">
        <v>2406</v>
      </c>
      <c r="B113" s="56" t="s">
        <v>2407</v>
      </c>
      <c r="C113" s="56" t="s">
        <v>2408</v>
      </c>
      <c r="D113" s="56" t="s">
        <v>2308</v>
      </c>
      <c r="E113" s="74" t="s">
        <v>2409</v>
      </c>
      <c r="F113" s="56" t="s">
        <v>2072</v>
      </c>
      <c r="G113" s="56" t="s">
        <v>2410</v>
      </c>
    </row>
    <row r="114" spans="1:7" ht="15">
      <c r="A114" s="56" t="s">
        <v>2411</v>
      </c>
      <c r="B114" s="56" t="s">
        <v>2407</v>
      </c>
      <c r="C114" s="56" t="s">
        <v>2331</v>
      </c>
      <c r="D114" s="56" t="s">
        <v>2308</v>
      </c>
      <c r="E114" s="74" t="s">
        <v>108</v>
      </c>
      <c r="F114" s="56" t="s">
        <v>2075</v>
      </c>
      <c r="G114" s="56" t="s">
        <v>2412</v>
      </c>
    </row>
    <row r="115" spans="1:7" ht="15">
      <c r="A115" s="56" t="s">
        <v>2413</v>
      </c>
      <c r="B115" s="56" t="s">
        <v>2403</v>
      </c>
      <c r="C115" s="56" t="s">
        <v>2414</v>
      </c>
      <c r="D115" s="56" t="s">
        <v>2308</v>
      </c>
      <c r="E115" s="74" t="s">
        <v>108</v>
      </c>
      <c r="F115" s="56" t="s">
        <v>2075</v>
      </c>
      <c r="G115" s="56" t="s">
        <v>2252</v>
      </c>
    </row>
    <row r="116" spans="1:7" ht="17.25">
      <c r="A116" s="274" t="s">
        <v>2415</v>
      </c>
      <c r="B116" s="274" t="s">
        <v>2403</v>
      </c>
      <c r="C116" s="274" t="s">
        <v>2416</v>
      </c>
      <c r="D116" s="274" t="s">
        <v>2308</v>
      </c>
      <c r="E116" s="275" t="s">
        <v>108</v>
      </c>
      <c r="F116" s="274" t="s">
        <v>2075</v>
      </c>
      <c r="G116" s="274" t="s">
        <v>2417</v>
      </c>
    </row>
    <row r="117" spans="1:7" ht="17.25">
      <c r="A117" s="75" t="s">
        <v>2418</v>
      </c>
      <c r="B117" s="75"/>
      <c r="C117" s="75"/>
      <c r="D117" s="75"/>
      <c r="E117" s="76"/>
      <c r="F117" s="75"/>
      <c r="G117" s="75"/>
    </row>
    <row r="118" spans="1:7" ht="15">
      <c r="A118" s="56" t="s">
        <v>2269</v>
      </c>
      <c r="B118" s="56"/>
      <c r="C118" s="56" t="s">
        <v>2243</v>
      </c>
      <c r="D118" s="56" t="s">
        <v>2308</v>
      </c>
      <c r="E118" s="74" t="s">
        <v>2245</v>
      </c>
      <c r="F118" s="56" t="s">
        <v>2076</v>
      </c>
      <c r="G118" s="56" t="s">
        <v>2270</v>
      </c>
    </row>
    <row r="119" spans="1:7" ht="15">
      <c r="A119" s="56" t="s">
        <v>2419</v>
      </c>
      <c r="B119" s="56" t="s">
        <v>2287</v>
      </c>
      <c r="C119" s="56" t="s">
        <v>2420</v>
      </c>
      <c r="D119" s="56" t="s">
        <v>2308</v>
      </c>
      <c r="E119" s="74" t="s">
        <v>108</v>
      </c>
      <c r="F119" s="56" t="s">
        <v>2075</v>
      </c>
      <c r="G119" s="56" t="s">
        <v>2421</v>
      </c>
    </row>
    <row r="120" spans="1:7" ht="15">
      <c r="A120" s="56" t="s">
        <v>2422</v>
      </c>
      <c r="B120" s="56" t="s">
        <v>2423</v>
      </c>
      <c r="C120" s="56" t="s">
        <v>2424</v>
      </c>
      <c r="D120" s="56" t="s">
        <v>2308</v>
      </c>
      <c r="E120" s="74" t="s">
        <v>108</v>
      </c>
      <c r="F120" s="56" t="s">
        <v>2075</v>
      </c>
      <c r="G120" s="56" t="s">
        <v>2425</v>
      </c>
    </row>
    <row r="121" spans="1:7" ht="15">
      <c r="A121" s="56" t="s">
        <v>2271</v>
      </c>
      <c r="B121" s="56" t="s">
        <v>2272</v>
      </c>
      <c r="C121" s="56" t="s">
        <v>2243</v>
      </c>
      <c r="D121" s="56" t="s">
        <v>2308</v>
      </c>
      <c r="E121" s="74" t="s">
        <v>2245</v>
      </c>
      <c r="F121" s="56" t="s">
        <v>2076</v>
      </c>
      <c r="G121" s="56" t="s">
        <v>2273</v>
      </c>
    </row>
    <row r="122" spans="1:7" ht="17.25">
      <c r="A122" s="274" t="s">
        <v>2274</v>
      </c>
      <c r="B122" s="274"/>
      <c r="C122" s="274" t="s">
        <v>2254</v>
      </c>
      <c r="D122" s="274" t="s">
        <v>2308</v>
      </c>
      <c r="E122" s="275" t="s">
        <v>2348</v>
      </c>
      <c r="F122" s="274" t="s">
        <v>2076</v>
      </c>
      <c r="G122" s="274" t="s">
        <v>2252</v>
      </c>
    </row>
    <row r="123" spans="1:7" ht="17.25">
      <c r="A123" s="274" t="s">
        <v>2426</v>
      </c>
      <c r="B123" s="274" t="s">
        <v>2272</v>
      </c>
      <c r="C123" s="274" t="s">
        <v>2427</v>
      </c>
      <c r="D123" s="274" t="s">
        <v>2308</v>
      </c>
      <c r="E123" s="275" t="s">
        <v>2427</v>
      </c>
      <c r="F123" s="274" t="s">
        <v>2075</v>
      </c>
      <c r="G123" s="274" t="s">
        <v>2428</v>
      </c>
    </row>
    <row r="124" spans="1:7" ht="17.25">
      <c r="A124" s="75" t="s">
        <v>2429</v>
      </c>
      <c r="B124" s="75"/>
      <c r="C124" s="75"/>
      <c r="D124" s="75"/>
      <c r="E124" s="76"/>
      <c r="F124" s="75"/>
      <c r="G124" s="75"/>
    </row>
    <row r="125" spans="1:7" ht="15">
      <c r="A125" s="56" t="s">
        <v>2276</v>
      </c>
      <c r="B125" s="56" t="s">
        <v>2277</v>
      </c>
      <c r="C125" s="56" t="s">
        <v>1565</v>
      </c>
      <c r="D125" s="56" t="s">
        <v>2430</v>
      </c>
      <c r="E125" s="74" t="s">
        <v>1565</v>
      </c>
      <c r="F125" s="56" t="s">
        <v>2096</v>
      </c>
      <c r="G125" s="56" t="s">
        <v>2279</v>
      </c>
    </row>
    <row r="126" spans="1:7" ht="15">
      <c r="A126" s="56" t="s">
        <v>2309</v>
      </c>
      <c r="B126" s="56"/>
      <c r="C126" s="56" t="s">
        <v>2310</v>
      </c>
      <c r="D126" s="56" t="s">
        <v>2430</v>
      </c>
      <c r="E126" s="74" t="s">
        <v>2311</v>
      </c>
      <c r="F126" s="56" t="s">
        <v>2095</v>
      </c>
      <c r="G126" s="56" t="s">
        <v>2252</v>
      </c>
    </row>
    <row r="127" spans="1:7" ht="15">
      <c r="A127" s="56" t="s">
        <v>2312</v>
      </c>
      <c r="B127" s="56" t="s">
        <v>2242</v>
      </c>
      <c r="C127" s="56" t="s">
        <v>108</v>
      </c>
      <c r="D127" s="56" t="s">
        <v>2430</v>
      </c>
      <c r="E127" s="74" t="s">
        <v>108</v>
      </c>
      <c r="F127" s="56" t="s">
        <v>2095</v>
      </c>
      <c r="G127" s="56" t="s">
        <v>2252</v>
      </c>
    </row>
    <row r="128" spans="1:7" ht="15">
      <c r="A128" s="56" t="s">
        <v>2313</v>
      </c>
      <c r="B128" s="56" t="s">
        <v>2314</v>
      </c>
      <c r="C128" s="56" t="s">
        <v>2315</v>
      </c>
      <c r="D128" s="56" t="s">
        <v>2430</v>
      </c>
      <c r="E128" s="74" t="s">
        <v>2315</v>
      </c>
      <c r="F128" s="56" t="s">
        <v>2095</v>
      </c>
      <c r="G128" s="56" t="s">
        <v>2316</v>
      </c>
    </row>
    <row r="129" spans="1:7" ht="17.25">
      <c r="A129" s="274" t="s">
        <v>2317</v>
      </c>
      <c r="B129" s="274"/>
      <c r="C129" s="274" t="s">
        <v>108</v>
      </c>
      <c r="D129" s="274" t="s">
        <v>2430</v>
      </c>
      <c r="E129" s="275" t="s">
        <v>108</v>
      </c>
      <c r="F129" s="274" t="s">
        <v>2095</v>
      </c>
      <c r="G129" s="274" t="s">
        <v>2252</v>
      </c>
    </row>
    <row r="130" spans="1:7" ht="17.25">
      <c r="A130" s="75" t="s">
        <v>2431</v>
      </c>
      <c r="B130" s="75"/>
      <c r="C130" s="75"/>
      <c r="D130" s="75"/>
      <c r="E130" s="76"/>
      <c r="F130" s="75"/>
      <c r="G130" s="75"/>
    </row>
    <row r="131" spans="1:7" ht="15">
      <c r="A131" s="56" t="s">
        <v>2319</v>
      </c>
      <c r="B131" s="56" t="s">
        <v>2249</v>
      </c>
      <c r="C131" s="56" t="s">
        <v>108</v>
      </c>
      <c r="D131" s="56" t="s">
        <v>2430</v>
      </c>
      <c r="E131" s="74" t="s">
        <v>108</v>
      </c>
      <c r="F131" s="56" t="s">
        <v>2095</v>
      </c>
      <c r="G131" s="56" t="s">
        <v>2252</v>
      </c>
    </row>
    <row r="132" spans="1:7" ht="15">
      <c r="A132" s="56" t="s">
        <v>2320</v>
      </c>
      <c r="B132" s="56" t="s">
        <v>2321</v>
      </c>
      <c r="C132" s="56" t="s">
        <v>108</v>
      </c>
      <c r="D132" s="56" t="s">
        <v>2430</v>
      </c>
      <c r="E132" s="74" t="s">
        <v>108</v>
      </c>
      <c r="F132" s="56" t="s">
        <v>2095</v>
      </c>
      <c r="G132" s="56" t="s">
        <v>2322</v>
      </c>
    </row>
    <row r="133" spans="1:7" ht="17.25">
      <c r="A133" s="274" t="s">
        <v>2323</v>
      </c>
      <c r="B133" s="274" t="s">
        <v>2321</v>
      </c>
      <c r="C133" s="274" t="s">
        <v>108</v>
      </c>
      <c r="D133" s="274" t="s">
        <v>2430</v>
      </c>
      <c r="E133" s="275" t="s">
        <v>108</v>
      </c>
      <c r="F133" s="274" t="s">
        <v>2095</v>
      </c>
      <c r="G133" s="274" t="s">
        <v>2252</v>
      </c>
    </row>
    <row r="134" spans="1:7" ht="17.25">
      <c r="A134" s="274" t="s">
        <v>2324</v>
      </c>
      <c r="B134" s="274" t="s">
        <v>2325</v>
      </c>
      <c r="C134" s="274" t="s">
        <v>108</v>
      </c>
      <c r="D134" s="274" t="s">
        <v>2430</v>
      </c>
      <c r="E134" s="275" t="s">
        <v>108</v>
      </c>
      <c r="F134" s="274" t="s">
        <v>2095</v>
      </c>
      <c r="G134" s="274" t="s">
        <v>2326</v>
      </c>
    </row>
    <row r="135" spans="1:7" ht="17.25">
      <c r="A135" s="75" t="s">
        <v>2432</v>
      </c>
      <c r="B135" s="75"/>
      <c r="C135" s="75"/>
      <c r="D135" s="75"/>
      <c r="E135" s="76"/>
      <c r="F135" s="75"/>
      <c r="G135" s="75"/>
    </row>
    <row r="136" spans="1:7" ht="15">
      <c r="A136" s="56" t="s">
        <v>2328</v>
      </c>
      <c r="B136" s="56" t="s">
        <v>2282</v>
      </c>
      <c r="C136" s="56" t="s">
        <v>108</v>
      </c>
      <c r="D136" s="56" t="s">
        <v>2430</v>
      </c>
      <c r="E136" s="74" t="s">
        <v>108</v>
      </c>
      <c r="F136" s="56" t="s">
        <v>2095</v>
      </c>
      <c r="G136" s="56" t="s">
        <v>2252</v>
      </c>
    </row>
    <row r="137" spans="1:7" ht="17.25">
      <c r="A137" s="274" t="s">
        <v>2281</v>
      </c>
      <c r="B137" s="274" t="s">
        <v>2282</v>
      </c>
      <c r="C137" s="274" t="s">
        <v>2283</v>
      </c>
      <c r="D137" s="274" t="s">
        <v>2430</v>
      </c>
      <c r="E137" s="275" t="s">
        <v>108</v>
      </c>
      <c r="F137" s="274" t="s">
        <v>2095</v>
      </c>
      <c r="G137" s="274" t="s">
        <v>2252</v>
      </c>
    </row>
    <row r="138" spans="1:7" ht="17.25">
      <c r="A138" s="274" t="s">
        <v>2330</v>
      </c>
      <c r="B138" s="274" t="s">
        <v>2282</v>
      </c>
      <c r="C138" s="274" t="s">
        <v>2331</v>
      </c>
      <c r="D138" s="274" t="s">
        <v>2430</v>
      </c>
      <c r="E138" s="275" t="s">
        <v>108</v>
      </c>
      <c r="F138" s="274" t="s">
        <v>2095</v>
      </c>
      <c r="G138" s="274" t="s">
        <v>2332</v>
      </c>
    </row>
    <row r="139" spans="1:7" ht="17.25">
      <c r="A139" s="274" t="s">
        <v>2333</v>
      </c>
      <c r="B139" s="274" t="s">
        <v>2282</v>
      </c>
      <c r="C139" s="274" t="s">
        <v>108</v>
      </c>
      <c r="D139" s="274" t="s">
        <v>2430</v>
      </c>
      <c r="E139" s="275" t="s">
        <v>108</v>
      </c>
      <c r="F139" s="274" t="s">
        <v>2095</v>
      </c>
      <c r="G139" s="274" t="s">
        <v>2252</v>
      </c>
    </row>
    <row r="140" spans="1:7" ht="17.25">
      <c r="A140" s="75" t="s">
        <v>2433</v>
      </c>
      <c r="B140" s="75"/>
      <c r="C140" s="75"/>
      <c r="D140" s="75"/>
      <c r="E140" s="76"/>
      <c r="F140" s="75"/>
      <c r="G140" s="75"/>
    </row>
    <row r="141" spans="1:7" ht="15">
      <c r="A141" s="56" t="s">
        <v>2335</v>
      </c>
      <c r="B141" s="56" t="s">
        <v>2336</v>
      </c>
      <c r="C141" s="56" t="s">
        <v>2337</v>
      </c>
      <c r="D141" s="56" t="s">
        <v>2430</v>
      </c>
      <c r="E141" s="74" t="s">
        <v>108</v>
      </c>
      <c r="F141" s="56" t="s">
        <v>2095</v>
      </c>
      <c r="G141" s="56" t="s">
        <v>2252</v>
      </c>
    </row>
    <row r="142" spans="1:7" ht="15">
      <c r="A142" s="56" t="s">
        <v>2289</v>
      </c>
      <c r="B142" s="56"/>
      <c r="C142" s="56" t="s">
        <v>552</v>
      </c>
      <c r="D142" s="56" t="s">
        <v>2430</v>
      </c>
      <c r="E142" s="74" t="s">
        <v>552</v>
      </c>
      <c r="F142" s="56" t="s">
        <v>2096</v>
      </c>
      <c r="G142" s="56" t="s">
        <v>2290</v>
      </c>
    </row>
    <row r="143" spans="1:7" ht="15">
      <c r="A143" s="56" t="s">
        <v>2338</v>
      </c>
      <c r="B143" s="56" t="s">
        <v>2336</v>
      </c>
      <c r="C143" s="56" t="s">
        <v>2339</v>
      </c>
      <c r="D143" s="56" t="s">
        <v>2430</v>
      </c>
      <c r="E143" s="74" t="s">
        <v>108</v>
      </c>
      <c r="F143" s="56" t="s">
        <v>2095</v>
      </c>
      <c r="G143" s="56" t="s">
        <v>2252</v>
      </c>
    </row>
    <row r="144" spans="1:7" ht="17.25">
      <c r="A144" s="274" t="s">
        <v>2340</v>
      </c>
      <c r="B144" s="274" t="s">
        <v>2341</v>
      </c>
      <c r="C144" s="274" t="s">
        <v>108</v>
      </c>
      <c r="D144" s="274" t="s">
        <v>2430</v>
      </c>
      <c r="E144" s="275" t="s">
        <v>108</v>
      </c>
      <c r="F144" s="274" t="s">
        <v>2095</v>
      </c>
      <c r="G144" s="274" t="s">
        <v>2342</v>
      </c>
    </row>
    <row r="145" spans="1:7" ht="17.25">
      <c r="A145" s="274" t="s">
        <v>2343</v>
      </c>
      <c r="B145" s="274" t="s">
        <v>2341</v>
      </c>
      <c r="C145" s="274" t="s">
        <v>108</v>
      </c>
      <c r="D145" s="274" t="s">
        <v>2430</v>
      </c>
      <c r="E145" s="275" t="s">
        <v>108</v>
      </c>
      <c r="F145" s="274" t="s">
        <v>2095</v>
      </c>
      <c r="G145" s="274" t="s">
        <v>2252</v>
      </c>
    </row>
    <row r="146" spans="1:7" ht="17.25">
      <c r="A146" s="75" t="s">
        <v>2434</v>
      </c>
      <c r="B146" s="75"/>
      <c r="C146" s="75"/>
      <c r="D146" s="75"/>
      <c r="E146" s="76"/>
      <c r="F146" s="75"/>
      <c r="G146" s="75"/>
    </row>
    <row r="147" spans="1:7" ht="15">
      <c r="A147" s="56" t="s">
        <v>2345</v>
      </c>
      <c r="B147" s="56" t="s">
        <v>2346</v>
      </c>
      <c r="C147" s="56" t="s">
        <v>108</v>
      </c>
      <c r="D147" s="56" t="s">
        <v>2430</v>
      </c>
      <c r="E147" s="74" t="s">
        <v>108</v>
      </c>
      <c r="F147" s="56" t="s">
        <v>2095</v>
      </c>
      <c r="G147" s="56" t="s">
        <v>2347</v>
      </c>
    </row>
    <row r="148" spans="1:7" ht="15">
      <c r="A148" s="56" t="s">
        <v>2248</v>
      </c>
      <c r="B148" s="56" t="s">
        <v>2249</v>
      </c>
      <c r="C148" s="56" t="s">
        <v>2250</v>
      </c>
      <c r="D148" s="56" t="s">
        <v>2430</v>
      </c>
      <c r="E148" s="74" t="s">
        <v>2435</v>
      </c>
      <c r="F148" s="56" t="s">
        <v>2097</v>
      </c>
      <c r="G148" s="56" t="s">
        <v>2252</v>
      </c>
    </row>
    <row r="149" spans="1:7" ht="17.25">
      <c r="A149" s="274" t="s">
        <v>2253</v>
      </c>
      <c r="B149" s="274" t="s">
        <v>2249</v>
      </c>
      <c r="C149" s="274" t="s">
        <v>2254</v>
      </c>
      <c r="D149" s="274" t="s">
        <v>2430</v>
      </c>
      <c r="E149" s="275" t="s">
        <v>2435</v>
      </c>
      <c r="F149" s="274" t="s">
        <v>2097</v>
      </c>
      <c r="G149" s="274" t="s">
        <v>2252</v>
      </c>
    </row>
    <row r="150" spans="1:7" ht="15">
      <c r="A150" s="56" t="s">
        <v>2255</v>
      </c>
      <c r="B150" s="56" t="s">
        <v>2249</v>
      </c>
      <c r="C150" s="56" t="s">
        <v>2254</v>
      </c>
      <c r="D150" s="56" t="s">
        <v>2430</v>
      </c>
      <c r="E150" s="74" t="s">
        <v>2435</v>
      </c>
      <c r="F150" s="56" t="s">
        <v>2097</v>
      </c>
      <c r="G150" s="56" t="s">
        <v>2252</v>
      </c>
    </row>
    <row r="151" spans="1:7" ht="17.25">
      <c r="A151" s="274" t="s">
        <v>2256</v>
      </c>
      <c r="B151" s="274" t="s">
        <v>2257</v>
      </c>
      <c r="C151" s="274" t="s">
        <v>2254</v>
      </c>
      <c r="D151" s="274" t="s">
        <v>2430</v>
      </c>
      <c r="E151" s="275" t="s">
        <v>2435</v>
      </c>
      <c r="F151" s="274" t="s">
        <v>2097</v>
      </c>
      <c r="G151" s="274" t="s">
        <v>2252</v>
      </c>
    </row>
    <row r="152" spans="1:7" ht="15">
      <c r="A152" s="56" t="s">
        <v>2258</v>
      </c>
      <c r="B152" s="56"/>
      <c r="C152" s="56" t="s">
        <v>2254</v>
      </c>
      <c r="D152" s="56" t="s">
        <v>2430</v>
      </c>
      <c r="E152" s="74" t="s">
        <v>2435</v>
      </c>
      <c r="F152" s="56" t="s">
        <v>2097</v>
      </c>
      <c r="G152" s="56" t="s">
        <v>2252</v>
      </c>
    </row>
    <row r="153" spans="1:7" ht="15">
      <c r="A153" s="56" t="s">
        <v>2259</v>
      </c>
      <c r="B153" s="56"/>
      <c r="C153" s="56" t="s">
        <v>2254</v>
      </c>
      <c r="D153" s="56" t="s">
        <v>2430</v>
      </c>
      <c r="E153" s="74" t="s">
        <v>2435</v>
      </c>
      <c r="F153" s="56" t="s">
        <v>2097</v>
      </c>
      <c r="G153" s="56" t="s">
        <v>2252</v>
      </c>
    </row>
    <row r="154" spans="1:7" ht="17.25">
      <c r="A154" s="274" t="s">
        <v>2260</v>
      </c>
      <c r="B154" s="274"/>
      <c r="C154" s="274" t="s">
        <v>2254</v>
      </c>
      <c r="D154" s="274" t="s">
        <v>2430</v>
      </c>
      <c r="E154" s="275" t="s">
        <v>2435</v>
      </c>
      <c r="F154" s="274" t="s">
        <v>2097</v>
      </c>
      <c r="G154" s="274" t="s">
        <v>2252</v>
      </c>
    </row>
    <row r="155" spans="1:7" ht="17.25">
      <c r="A155" s="75" t="s">
        <v>2436</v>
      </c>
      <c r="B155" s="75"/>
      <c r="C155" s="75"/>
      <c r="D155" s="75"/>
      <c r="E155" s="76"/>
      <c r="F155" s="75"/>
      <c r="G155" s="75"/>
    </row>
    <row r="156" spans="1:7" ht="17.25">
      <c r="A156" s="274" t="s">
        <v>2350</v>
      </c>
      <c r="B156" s="274" t="s">
        <v>2351</v>
      </c>
      <c r="C156" s="274" t="s">
        <v>108</v>
      </c>
      <c r="D156" s="274" t="s">
        <v>2430</v>
      </c>
      <c r="E156" s="275" t="s">
        <v>108</v>
      </c>
      <c r="F156" s="274" t="s">
        <v>2095</v>
      </c>
      <c r="G156" s="274" t="s">
        <v>2252</v>
      </c>
    </row>
    <row r="157" spans="1:7" ht="17.25">
      <c r="A157" s="274" t="s">
        <v>2352</v>
      </c>
      <c r="B157" s="274"/>
      <c r="C157" s="274" t="s">
        <v>2337</v>
      </c>
      <c r="D157" s="274" t="s">
        <v>2430</v>
      </c>
      <c r="E157" s="275" t="s">
        <v>108</v>
      </c>
      <c r="F157" s="274" t="s">
        <v>2095</v>
      </c>
      <c r="G157" s="274" t="s">
        <v>2252</v>
      </c>
    </row>
    <row r="158" spans="1:7" ht="15">
      <c r="A158" s="56" t="s">
        <v>2353</v>
      </c>
      <c r="B158" s="56" t="s">
        <v>2351</v>
      </c>
      <c r="C158" s="56" t="s">
        <v>2354</v>
      </c>
      <c r="D158" s="56" t="s">
        <v>2430</v>
      </c>
      <c r="E158" s="74" t="s">
        <v>108</v>
      </c>
      <c r="F158" s="56" t="s">
        <v>2095</v>
      </c>
      <c r="G158" s="56" t="s">
        <v>2355</v>
      </c>
    </row>
    <row r="159" spans="1:7" ht="17.25">
      <c r="A159" s="274" t="s">
        <v>2356</v>
      </c>
      <c r="B159" s="274" t="s">
        <v>2351</v>
      </c>
      <c r="C159" s="274" t="s">
        <v>2315</v>
      </c>
      <c r="D159" s="274" t="s">
        <v>2430</v>
      </c>
      <c r="E159" s="275" t="s">
        <v>2315</v>
      </c>
      <c r="F159" s="274" t="s">
        <v>2095</v>
      </c>
      <c r="G159" s="274" t="s">
        <v>2252</v>
      </c>
    </row>
    <row r="160" spans="1:7" ht="17.25">
      <c r="A160" s="274" t="s">
        <v>2357</v>
      </c>
      <c r="B160" s="274" t="s">
        <v>2358</v>
      </c>
      <c r="C160" s="274" t="s">
        <v>108</v>
      </c>
      <c r="D160" s="274" t="s">
        <v>2430</v>
      </c>
      <c r="E160" s="275" t="s">
        <v>108</v>
      </c>
      <c r="F160" s="274" t="s">
        <v>2095</v>
      </c>
      <c r="G160" s="274" t="s">
        <v>2252</v>
      </c>
    </row>
    <row r="161" spans="1:7" ht="17.25">
      <c r="A161" s="75" t="s">
        <v>2437</v>
      </c>
      <c r="B161" s="75"/>
      <c r="C161" s="75"/>
      <c r="D161" s="75"/>
      <c r="E161" s="76"/>
      <c r="F161" s="75"/>
      <c r="G161" s="75"/>
    </row>
    <row r="162" spans="1:7" ht="17.25">
      <c r="A162" s="274" t="s">
        <v>2363</v>
      </c>
      <c r="B162" s="274"/>
      <c r="C162" s="274" t="s">
        <v>2315</v>
      </c>
      <c r="D162" s="274" t="s">
        <v>2430</v>
      </c>
      <c r="E162" s="275" t="s">
        <v>2315</v>
      </c>
      <c r="F162" s="274" t="s">
        <v>2095</v>
      </c>
      <c r="G162" s="274" t="s">
        <v>2252</v>
      </c>
    </row>
    <row r="163" spans="1:7" ht="15">
      <c r="A163" s="56" t="s">
        <v>2294</v>
      </c>
      <c r="B163" s="56"/>
      <c r="C163" s="56" t="s">
        <v>2295</v>
      </c>
      <c r="D163" s="56" t="s">
        <v>2430</v>
      </c>
      <c r="E163" s="74" t="s">
        <v>2295</v>
      </c>
      <c r="F163" s="56" t="s">
        <v>2096</v>
      </c>
      <c r="G163" s="56" t="s">
        <v>2252</v>
      </c>
    </row>
    <row r="164" spans="1:7" ht="15">
      <c r="A164" s="56" t="s">
        <v>2364</v>
      </c>
      <c r="B164" s="56" t="s">
        <v>2351</v>
      </c>
      <c r="C164" s="56" t="s">
        <v>108</v>
      </c>
      <c r="D164" s="56" t="s">
        <v>2430</v>
      </c>
      <c r="E164" s="74" t="s">
        <v>108</v>
      </c>
      <c r="F164" s="56" t="s">
        <v>2095</v>
      </c>
      <c r="G164" s="56" t="s">
        <v>2252</v>
      </c>
    </row>
    <row r="165" spans="1:7" ht="15">
      <c r="A165" s="56" t="s">
        <v>2365</v>
      </c>
      <c r="B165" s="56" t="s">
        <v>2351</v>
      </c>
      <c r="C165" s="56" t="s">
        <v>108</v>
      </c>
      <c r="D165" s="56" t="s">
        <v>2430</v>
      </c>
      <c r="E165" s="74" t="s">
        <v>108</v>
      </c>
      <c r="F165" s="56" t="s">
        <v>2095</v>
      </c>
      <c r="G165" s="56" t="s">
        <v>2252</v>
      </c>
    </row>
    <row r="166" spans="1:7" ht="15">
      <c r="A166" s="56" t="s">
        <v>2366</v>
      </c>
      <c r="B166" s="56" t="s">
        <v>2257</v>
      </c>
      <c r="C166" s="56" t="s">
        <v>108</v>
      </c>
      <c r="D166" s="56" t="s">
        <v>2430</v>
      </c>
      <c r="E166" s="74" t="s">
        <v>108</v>
      </c>
      <c r="F166" s="56" t="s">
        <v>2095</v>
      </c>
      <c r="G166" s="56" t="s">
        <v>2252</v>
      </c>
    </row>
    <row r="167" spans="1:7" ht="15">
      <c r="A167" s="56" t="s">
        <v>2367</v>
      </c>
      <c r="B167" s="56" t="s">
        <v>2368</v>
      </c>
      <c r="C167" s="56" t="s">
        <v>2315</v>
      </c>
      <c r="D167" s="56" t="s">
        <v>2430</v>
      </c>
      <c r="E167" s="74" t="s">
        <v>2315</v>
      </c>
      <c r="F167" s="56" t="s">
        <v>2095</v>
      </c>
      <c r="G167" s="56" t="s">
        <v>2252</v>
      </c>
    </row>
    <row r="168" spans="1:7" ht="17.25">
      <c r="A168" s="274" t="s">
        <v>2369</v>
      </c>
      <c r="B168" s="274" t="s">
        <v>2368</v>
      </c>
      <c r="C168" s="274" t="s">
        <v>2315</v>
      </c>
      <c r="D168" s="274" t="s">
        <v>2430</v>
      </c>
      <c r="E168" s="275" t="s">
        <v>2315</v>
      </c>
      <c r="F168" s="274" t="s">
        <v>2095</v>
      </c>
      <c r="G168" s="274" t="s">
        <v>2252</v>
      </c>
    </row>
    <row r="169" spans="1:7" ht="17.25">
      <c r="A169" s="274" t="s">
        <v>2370</v>
      </c>
      <c r="B169" s="274" t="s">
        <v>2368</v>
      </c>
      <c r="C169" s="274" t="s">
        <v>108</v>
      </c>
      <c r="D169" s="274" t="s">
        <v>2430</v>
      </c>
      <c r="E169" s="275" t="s">
        <v>108</v>
      </c>
      <c r="F169" s="274" t="s">
        <v>2095</v>
      </c>
      <c r="G169" s="274" t="s">
        <v>2371</v>
      </c>
    </row>
    <row r="170" spans="1:7" ht="17.25">
      <c r="A170" s="75" t="s">
        <v>2438</v>
      </c>
      <c r="B170" s="75"/>
      <c r="C170" s="75"/>
      <c r="D170" s="75"/>
      <c r="E170" s="76"/>
      <c r="F170" s="75"/>
      <c r="G170" s="75"/>
    </row>
    <row r="171" spans="1:7" ht="15">
      <c r="A171" s="56" t="s">
        <v>2373</v>
      </c>
      <c r="B171" s="56" t="s">
        <v>2374</v>
      </c>
      <c r="C171" s="56" t="s">
        <v>108</v>
      </c>
      <c r="D171" s="56" t="s">
        <v>2430</v>
      </c>
      <c r="E171" s="74" t="s">
        <v>108</v>
      </c>
      <c r="F171" s="56" t="s">
        <v>2095</v>
      </c>
      <c r="G171" s="56" t="s">
        <v>2252</v>
      </c>
    </row>
    <row r="172" spans="1:7" ht="17.25">
      <c r="A172" s="274" t="s">
        <v>2375</v>
      </c>
      <c r="B172" s="274" t="s">
        <v>2376</v>
      </c>
      <c r="C172" s="274" t="s">
        <v>108</v>
      </c>
      <c r="D172" s="274" t="s">
        <v>2430</v>
      </c>
      <c r="E172" s="275" t="s">
        <v>108</v>
      </c>
      <c r="F172" s="274" t="s">
        <v>2095</v>
      </c>
      <c r="G172" s="274" t="s">
        <v>2252</v>
      </c>
    </row>
    <row r="173" spans="1:7" ht="15">
      <c r="A173" s="56" t="s">
        <v>2377</v>
      </c>
      <c r="B173" s="56" t="s">
        <v>2376</v>
      </c>
      <c r="C173" s="56" t="s">
        <v>108</v>
      </c>
      <c r="D173" s="56" t="s">
        <v>2430</v>
      </c>
      <c r="E173" s="74" t="s">
        <v>108</v>
      </c>
      <c r="F173" s="56" t="s">
        <v>2095</v>
      </c>
      <c r="G173" s="56" t="s">
        <v>2252</v>
      </c>
    </row>
    <row r="174" spans="1:7" ht="17.25">
      <c r="A174" s="75" t="s">
        <v>2439</v>
      </c>
      <c r="B174" s="75"/>
      <c r="C174" s="75"/>
      <c r="D174" s="75"/>
      <c r="E174" s="76"/>
      <c r="F174" s="75"/>
      <c r="G174" s="75"/>
    </row>
    <row r="175" spans="1:7" ht="15">
      <c r="A175" s="56" t="s">
        <v>2297</v>
      </c>
      <c r="B175" s="56" t="s">
        <v>2298</v>
      </c>
      <c r="C175" s="56" t="s">
        <v>552</v>
      </c>
      <c r="D175" s="56" t="s">
        <v>2430</v>
      </c>
      <c r="E175" s="74" t="s">
        <v>552</v>
      </c>
      <c r="F175" s="56" t="s">
        <v>2096</v>
      </c>
      <c r="G175" s="56" t="s">
        <v>2299</v>
      </c>
    </row>
    <row r="176" spans="1:7" ht="15">
      <c r="A176" s="56" t="s">
        <v>2300</v>
      </c>
      <c r="B176" s="56" t="s">
        <v>2301</v>
      </c>
      <c r="C176" s="56" t="s">
        <v>2302</v>
      </c>
      <c r="D176" s="56" t="s">
        <v>2430</v>
      </c>
      <c r="E176" s="74" t="s">
        <v>552</v>
      </c>
      <c r="F176" s="56" t="s">
        <v>2096</v>
      </c>
      <c r="G176" s="56" t="s">
        <v>2303</v>
      </c>
    </row>
    <row r="177" spans="1:7" ht="17.25">
      <c r="A177" s="274" t="s">
        <v>2379</v>
      </c>
      <c r="B177" s="274" t="s">
        <v>2263</v>
      </c>
      <c r="C177" s="274" t="s">
        <v>2315</v>
      </c>
      <c r="D177" s="274" t="s">
        <v>2430</v>
      </c>
      <c r="E177" s="275" t="s">
        <v>2315</v>
      </c>
      <c r="F177" s="274" t="s">
        <v>2095</v>
      </c>
      <c r="G177" s="274" t="s">
        <v>2380</v>
      </c>
    </row>
    <row r="178" spans="1:7" ht="17.25">
      <c r="A178" s="274" t="s">
        <v>2381</v>
      </c>
      <c r="B178" s="274" t="s">
        <v>2301</v>
      </c>
      <c r="C178" s="274" t="s">
        <v>108</v>
      </c>
      <c r="D178" s="274" t="s">
        <v>2430</v>
      </c>
      <c r="E178" s="275" t="s">
        <v>108</v>
      </c>
      <c r="F178" s="274" t="s">
        <v>2095</v>
      </c>
      <c r="G178" s="274" t="s">
        <v>2382</v>
      </c>
    </row>
    <row r="179" spans="1:7" ht="17.25">
      <c r="A179" s="274" t="s">
        <v>2383</v>
      </c>
      <c r="B179" s="274" t="s">
        <v>2298</v>
      </c>
      <c r="C179" s="274" t="s">
        <v>108</v>
      </c>
      <c r="D179" s="274" t="s">
        <v>2430</v>
      </c>
      <c r="E179" s="275" t="s">
        <v>108</v>
      </c>
      <c r="F179" s="274" t="s">
        <v>2095</v>
      </c>
      <c r="G179" s="274" t="s">
        <v>2384</v>
      </c>
    </row>
    <row r="180" spans="1:7" ht="15">
      <c r="A180" s="56" t="s">
        <v>2385</v>
      </c>
      <c r="B180" s="56" t="s">
        <v>2386</v>
      </c>
      <c r="C180" s="56" t="s">
        <v>108</v>
      </c>
      <c r="D180" s="56" t="s">
        <v>2430</v>
      </c>
      <c r="E180" s="74" t="s">
        <v>108</v>
      </c>
      <c r="F180" s="56" t="s">
        <v>2095</v>
      </c>
      <c r="G180" s="56" t="s">
        <v>2387</v>
      </c>
    </row>
    <row r="181" spans="1:7" ht="17.25">
      <c r="A181" s="75" t="s">
        <v>2440</v>
      </c>
      <c r="B181" s="75"/>
      <c r="C181" s="75"/>
      <c r="D181" s="75"/>
      <c r="E181" s="76"/>
      <c r="F181" s="75"/>
      <c r="G181" s="75"/>
    </row>
    <row r="182" spans="1:7" ht="15">
      <c r="A182" s="56" t="s">
        <v>2389</v>
      </c>
      <c r="B182" s="56" t="s">
        <v>2301</v>
      </c>
      <c r="C182" s="56" t="s">
        <v>108</v>
      </c>
      <c r="D182" s="56" t="s">
        <v>2430</v>
      </c>
      <c r="E182" s="74" t="s">
        <v>108</v>
      </c>
      <c r="F182" s="56" t="s">
        <v>2095</v>
      </c>
      <c r="G182" s="56" t="s">
        <v>2390</v>
      </c>
    </row>
    <row r="183" spans="1:7" ht="15">
      <c r="A183" s="56" t="s">
        <v>2391</v>
      </c>
      <c r="B183" s="56" t="s">
        <v>2392</v>
      </c>
      <c r="C183" s="56" t="s">
        <v>108</v>
      </c>
      <c r="D183" s="56" t="s">
        <v>2430</v>
      </c>
      <c r="E183" s="74" t="s">
        <v>108</v>
      </c>
      <c r="F183" s="56" t="s">
        <v>2095</v>
      </c>
      <c r="G183" s="56" t="s">
        <v>2393</v>
      </c>
    </row>
    <row r="184" spans="1:7" ht="15">
      <c r="A184" s="56" t="s">
        <v>2394</v>
      </c>
      <c r="B184" s="56" t="s">
        <v>2395</v>
      </c>
      <c r="C184" s="56" t="s">
        <v>108</v>
      </c>
      <c r="D184" s="56" t="s">
        <v>2430</v>
      </c>
      <c r="E184" s="74" t="s">
        <v>108</v>
      </c>
      <c r="F184" s="56" t="s">
        <v>2095</v>
      </c>
      <c r="G184" s="56" t="s">
        <v>2396</v>
      </c>
    </row>
    <row r="185" spans="1:7" ht="17.25">
      <c r="A185" s="274" t="s">
        <v>2397</v>
      </c>
      <c r="B185" s="274" t="s">
        <v>2398</v>
      </c>
      <c r="C185" s="274" t="s">
        <v>2315</v>
      </c>
      <c r="D185" s="274" t="s">
        <v>2430</v>
      </c>
      <c r="E185" s="275" t="s">
        <v>2315</v>
      </c>
      <c r="F185" s="274" t="s">
        <v>2095</v>
      </c>
      <c r="G185" s="274" t="s">
        <v>2252</v>
      </c>
    </row>
    <row r="186" spans="1:7" ht="17.25">
      <c r="A186" s="274" t="s">
        <v>2399</v>
      </c>
      <c r="B186" s="274" t="s">
        <v>2398</v>
      </c>
      <c r="C186" s="274" t="s">
        <v>2400</v>
      </c>
      <c r="D186" s="274" t="s">
        <v>2430</v>
      </c>
      <c r="E186" s="275" t="s">
        <v>108</v>
      </c>
      <c r="F186" s="274" t="s">
        <v>2095</v>
      </c>
      <c r="G186" s="274" t="s">
        <v>2252</v>
      </c>
    </row>
    <row r="187" spans="1:7" ht="17.25">
      <c r="A187" s="75" t="s">
        <v>2441</v>
      </c>
      <c r="B187" s="75"/>
      <c r="C187" s="75"/>
      <c r="D187" s="75"/>
      <c r="E187" s="76"/>
      <c r="F187" s="75"/>
      <c r="G187" s="75"/>
    </row>
    <row r="188" spans="1:7" ht="15">
      <c r="A188" s="56" t="s">
        <v>2305</v>
      </c>
      <c r="B188" s="56"/>
      <c r="C188" s="56" t="s">
        <v>552</v>
      </c>
      <c r="D188" s="56" t="s">
        <v>2430</v>
      </c>
      <c r="E188" s="74" t="s">
        <v>552</v>
      </c>
      <c r="F188" s="56" t="s">
        <v>2096</v>
      </c>
      <c r="G188" s="56" t="s">
        <v>2252</v>
      </c>
    </row>
    <row r="189" spans="1:7" ht="15">
      <c r="A189" s="56" t="s">
        <v>2402</v>
      </c>
      <c r="B189" s="56" t="s">
        <v>2403</v>
      </c>
      <c r="C189" s="56" t="s">
        <v>108</v>
      </c>
      <c r="D189" s="56" t="s">
        <v>2430</v>
      </c>
      <c r="E189" s="74" t="s">
        <v>108</v>
      </c>
      <c r="F189" s="56" t="s">
        <v>2095</v>
      </c>
      <c r="G189" s="56" t="s">
        <v>2252</v>
      </c>
    </row>
    <row r="190" spans="1:7" ht="15">
      <c r="A190" s="56" t="s">
        <v>2404</v>
      </c>
      <c r="B190" s="56" t="s">
        <v>2403</v>
      </c>
      <c r="C190" s="56" t="s">
        <v>2315</v>
      </c>
      <c r="D190" s="56" t="s">
        <v>2430</v>
      </c>
      <c r="E190" s="74" t="s">
        <v>2315</v>
      </c>
      <c r="F190" s="56" t="s">
        <v>2095</v>
      </c>
      <c r="G190" s="56" t="s">
        <v>2405</v>
      </c>
    </row>
    <row r="191" spans="1:7" ht="17.25">
      <c r="A191" s="274" t="s">
        <v>2406</v>
      </c>
      <c r="B191" s="274" t="s">
        <v>2407</v>
      </c>
      <c r="C191" s="274" t="s">
        <v>2408</v>
      </c>
      <c r="D191" s="274" t="s">
        <v>2430</v>
      </c>
      <c r="E191" s="275" t="s">
        <v>2442</v>
      </c>
      <c r="F191" s="274" t="s">
        <v>2092</v>
      </c>
      <c r="G191" s="274" t="s">
        <v>2410</v>
      </c>
    </row>
    <row r="192" spans="1:7" ht="15">
      <c r="A192" s="56" t="s">
        <v>2411</v>
      </c>
      <c r="B192" s="56" t="s">
        <v>2407</v>
      </c>
      <c r="C192" s="56" t="s">
        <v>2331</v>
      </c>
      <c r="D192" s="56" t="s">
        <v>2430</v>
      </c>
      <c r="E192" s="74" t="s">
        <v>108</v>
      </c>
      <c r="F192" s="56" t="s">
        <v>2095</v>
      </c>
      <c r="G192" s="56" t="s">
        <v>2412</v>
      </c>
    </row>
    <row r="193" spans="1:7" ht="17.25">
      <c r="A193" s="274" t="s">
        <v>2413</v>
      </c>
      <c r="B193" s="274" t="s">
        <v>2403</v>
      </c>
      <c r="C193" s="274" t="s">
        <v>2414</v>
      </c>
      <c r="D193" s="274" t="s">
        <v>2430</v>
      </c>
      <c r="E193" s="275" t="s">
        <v>108</v>
      </c>
      <c r="F193" s="274" t="s">
        <v>2095</v>
      </c>
      <c r="G193" s="274" t="s">
        <v>2252</v>
      </c>
    </row>
    <row r="194" spans="1:7" ht="15">
      <c r="A194" s="56" t="s">
        <v>2415</v>
      </c>
      <c r="B194" s="56" t="s">
        <v>2403</v>
      </c>
      <c r="C194" s="56" t="s">
        <v>2416</v>
      </c>
      <c r="D194" s="56" t="s">
        <v>2430</v>
      </c>
      <c r="E194" s="74" t="s">
        <v>108</v>
      </c>
      <c r="F194" s="56" t="s">
        <v>2095</v>
      </c>
      <c r="G194" s="56" t="s">
        <v>2417</v>
      </c>
    </row>
    <row r="195" spans="1:7" ht="17.25">
      <c r="A195" s="75" t="s">
        <v>2443</v>
      </c>
      <c r="B195" s="75"/>
      <c r="C195" s="75"/>
      <c r="D195" s="75"/>
      <c r="E195" s="76"/>
      <c r="F195" s="75"/>
      <c r="G195" s="75"/>
    </row>
    <row r="196" spans="1:7" ht="17.25">
      <c r="A196" s="274" t="s">
        <v>2419</v>
      </c>
      <c r="B196" s="274" t="s">
        <v>2287</v>
      </c>
      <c r="C196" s="274" t="s">
        <v>2420</v>
      </c>
      <c r="D196" s="274" t="s">
        <v>2430</v>
      </c>
      <c r="E196" s="275" t="s">
        <v>108</v>
      </c>
      <c r="F196" s="274" t="s">
        <v>2095</v>
      </c>
      <c r="G196" s="274" t="s">
        <v>2421</v>
      </c>
    </row>
    <row r="197" spans="1:7" ht="17.25">
      <c r="A197" s="274" t="s">
        <v>2422</v>
      </c>
      <c r="B197" s="274" t="s">
        <v>2423</v>
      </c>
      <c r="C197" s="274" t="s">
        <v>2424</v>
      </c>
      <c r="D197" s="274" t="s">
        <v>2430</v>
      </c>
      <c r="E197" s="275" t="s">
        <v>108</v>
      </c>
      <c r="F197" s="274" t="s">
        <v>2095</v>
      </c>
      <c r="G197" s="274" t="s">
        <v>2425</v>
      </c>
    </row>
    <row r="198" spans="1:7" ht="17.25">
      <c r="A198" s="274" t="s">
        <v>2274</v>
      </c>
      <c r="B198" s="274"/>
      <c r="C198" s="274" t="s">
        <v>2254</v>
      </c>
      <c r="D198" s="274" t="s">
        <v>2430</v>
      </c>
      <c r="E198" s="275" t="s">
        <v>2435</v>
      </c>
      <c r="F198" s="274" t="s">
        <v>2097</v>
      </c>
      <c r="G198" s="274" t="s">
        <v>2252</v>
      </c>
    </row>
    <row r="199" spans="1:7" ht="15">
      <c r="A199" s="56" t="s">
        <v>2426</v>
      </c>
      <c r="B199" s="56" t="s">
        <v>2272</v>
      </c>
      <c r="C199" s="56" t="s">
        <v>2427</v>
      </c>
      <c r="D199" s="56" t="s">
        <v>2430</v>
      </c>
      <c r="E199" s="74" t="s">
        <v>2427</v>
      </c>
      <c r="F199" s="74" t="s">
        <v>2095</v>
      </c>
      <c r="G199" s="56" t="s">
        <v>2428</v>
      </c>
    </row>
    <row r="200" spans="1:7" ht="17.25">
      <c r="A200" s="75" t="s">
        <v>2444</v>
      </c>
      <c r="B200" s="75"/>
      <c r="C200" s="75"/>
      <c r="D200" s="75"/>
      <c r="E200" s="76"/>
      <c r="F200" s="75"/>
      <c r="G200" s="75"/>
    </row>
    <row r="201" spans="1:7" ht="17.25">
      <c r="A201" s="272" t="s">
        <v>2241</v>
      </c>
      <c r="B201" s="272" t="s">
        <v>2242</v>
      </c>
      <c r="C201" s="272" t="s">
        <v>2243</v>
      </c>
      <c r="D201" s="272" t="s">
        <v>2445</v>
      </c>
      <c r="E201" s="273" t="s">
        <v>2245</v>
      </c>
      <c r="F201" s="273" t="s">
        <v>2446</v>
      </c>
      <c r="G201" s="272" t="s">
        <v>2246</v>
      </c>
    </row>
    <row r="202" spans="1:7" ht="15">
      <c r="A202" s="56" t="s">
        <v>2276</v>
      </c>
      <c r="B202" s="56" t="s">
        <v>2277</v>
      </c>
      <c r="C202" s="56" t="s">
        <v>1565</v>
      </c>
      <c r="D202" s="56" t="s">
        <v>2445</v>
      </c>
      <c r="E202" s="74" t="s">
        <v>108</v>
      </c>
      <c r="F202" s="56" t="s">
        <v>2114</v>
      </c>
      <c r="G202" s="56" t="s">
        <v>2279</v>
      </c>
    </row>
    <row r="203" spans="1:7" ht="15">
      <c r="A203" s="57" t="s">
        <v>2309</v>
      </c>
      <c r="B203" s="57"/>
      <c r="C203" s="57" t="s">
        <v>2310</v>
      </c>
      <c r="D203" s="57" t="s">
        <v>2445</v>
      </c>
      <c r="E203" s="58" t="s">
        <v>2311</v>
      </c>
      <c r="F203" s="58" t="s">
        <v>2446</v>
      </c>
      <c r="G203" s="57" t="s">
        <v>2252</v>
      </c>
    </row>
    <row r="204" spans="1:7" ht="17.25">
      <c r="A204" s="274" t="s">
        <v>2312</v>
      </c>
      <c r="B204" s="274" t="s">
        <v>2242</v>
      </c>
      <c r="C204" s="274" t="s">
        <v>108</v>
      </c>
      <c r="D204" s="274" t="s">
        <v>2445</v>
      </c>
      <c r="E204" s="275" t="s">
        <v>108</v>
      </c>
      <c r="F204" s="274" t="s">
        <v>2114</v>
      </c>
      <c r="G204" s="274" t="s">
        <v>2252</v>
      </c>
    </row>
    <row r="205" spans="1:7" ht="17.25">
      <c r="A205" s="274" t="s">
        <v>2313</v>
      </c>
      <c r="B205" s="274" t="s">
        <v>2314</v>
      </c>
      <c r="C205" s="274" t="s">
        <v>2315</v>
      </c>
      <c r="D205" s="274" t="s">
        <v>2445</v>
      </c>
      <c r="E205" s="275" t="s">
        <v>2315</v>
      </c>
      <c r="F205" s="274" t="s">
        <v>2114</v>
      </c>
      <c r="G205" s="274" t="s">
        <v>2316</v>
      </c>
    </row>
    <row r="206" spans="1:7" ht="15">
      <c r="A206" s="56" t="s">
        <v>2317</v>
      </c>
      <c r="B206" s="56"/>
      <c r="C206" s="56" t="s">
        <v>108</v>
      </c>
      <c r="D206" s="56" t="s">
        <v>2445</v>
      </c>
      <c r="E206" s="74" t="s">
        <v>108</v>
      </c>
      <c r="F206" s="56" t="s">
        <v>2114</v>
      </c>
      <c r="G206" s="56" t="s">
        <v>2252</v>
      </c>
    </row>
    <row r="207" spans="1:7" ht="17.25">
      <c r="A207" s="75" t="s">
        <v>2447</v>
      </c>
      <c r="B207" s="75"/>
      <c r="C207" s="75"/>
      <c r="D207" s="75"/>
      <c r="E207" s="76"/>
      <c r="F207" s="75"/>
      <c r="G207" s="75"/>
    </row>
    <row r="208" spans="1:7" ht="17.25">
      <c r="A208" s="274" t="s">
        <v>2319</v>
      </c>
      <c r="B208" s="274" t="s">
        <v>2249</v>
      </c>
      <c r="C208" s="274" t="s">
        <v>108</v>
      </c>
      <c r="D208" s="274" t="s">
        <v>2445</v>
      </c>
      <c r="E208" s="275" t="s">
        <v>108</v>
      </c>
      <c r="F208" s="274" t="s">
        <v>2114</v>
      </c>
      <c r="G208" s="274" t="s">
        <v>2252</v>
      </c>
    </row>
    <row r="209" spans="1:7" ht="17.25">
      <c r="A209" s="274" t="s">
        <v>2320</v>
      </c>
      <c r="B209" s="274" t="s">
        <v>2321</v>
      </c>
      <c r="C209" s="274" t="s">
        <v>108</v>
      </c>
      <c r="D209" s="274" t="s">
        <v>2445</v>
      </c>
      <c r="E209" s="275" t="s">
        <v>108</v>
      </c>
      <c r="F209" s="274" t="s">
        <v>2114</v>
      </c>
      <c r="G209" s="274" t="s">
        <v>2322</v>
      </c>
    </row>
    <row r="210" spans="1:7" ht="17.25">
      <c r="A210" s="274" t="s">
        <v>2323</v>
      </c>
      <c r="B210" s="274" t="s">
        <v>2321</v>
      </c>
      <c r="C210" s="274" t="s">
        <v>108</v>
      </c>
      <c r="D210" s="274" t="s">
        <v>2445</v>
      </c>
      <c r="E210" s="275" t="s">
        <v>108</v>
      </c>
      <c r="F210" s="274" t="s">
        <v>2114</v>
      </c>
      <c r="G210" s="274" t="s">
        <v>2252</v>
      </c>
    </row>
    <row r="211" spans="1:7" ht="15">
      <c r="A211" s="56" t="s">
        <v>2324</v>
      </c>
      <c r="B211" s="56" t="s">
        <v>2325</v>
      </c>
      <c r="C211" s="56" t="s">
        <v>108</v>
      </c>
      <c r="D211" s="56" t="s">
        <v>2445</v>
      </c>
      <c r="E211" s="74" t="s">
        <v>108</v>
      </c>
      <c r="F211" s="56" t="s">
        <v>2114</v>
      </c>
      <c r="G211" s="56" t="s">
        <v>2326</v>
      </c>
    </row>
    <row r="212" spans="1:7" ht="17.25">
      <c r="A212" s="75" t="s">
        <v>2448</v>
      </c>
      <c r="B212" s="75"/>
      <c r="C212" s="75"/>
      <c r="D212" s="75"/>
      <c r="E212" s="76"/>
      <c r="F212" s="75"/>
      <c r="G212" s="75"/>
    </row>
    <row r="213" spans="1:7" ht="15">
      <c r="A213" s="56" t="s">
        <v>2328</v>
      </c>
      <c r="B213" s="56" t="s">
        <v>2282</v>
      </c>
      <c r="C213" s="56" t="s">
        <v>108</v>
      </c>
      <c r="D213" s="56" t="s">
        <v>2445</v>
      </c>
      <c r="E213" s="74" t="s">
        <v>108</v>
      </c>
      <c r="F213" s="56" t="s">
        <v>2114</v>
      </c>
      <c r="G213" s="56" t="s">
        <v>2252</v>
      </c>
    </row>
    <row r="214" spans="1:7" ht="15">
      <c r="A214" s="56" t="s">
        <v>2281</v>
      </c>
      <c r="B214" s="56" t="s">
        <v>2282</v>
      </c>
      <c r="C214" s="56" t="s">
        <v>2283</v>
      </c>
      <c r="D214" s="56" t="s">
        <v>2445</v>
      </c>
      <c r="E214" s="74" t="s">
        <v>108</v>
      </c>
      <c r="F214" s="56" t="s">
        <v>2114</v>
      </c>
      <c r="G214" s="56" t="s">
        <v>2252</v>
      </c>
    </row>
    <row r="215" spans="1:7" ht="17.25">
      <c r="A215" s="274" t="s">
        <v>2330</v>
      </c>
      <c r="B215" s="274" t="s">
        <v>2282</v>
      </c>
      <c r="C215" s="274" t="s">
        <v>2331</v>
      </c>
      <c r="D215" s="274" t="s">
        <v>2445</v>
      </c>
      <c r="E215" s="275" t="s">
        <v>108</v>
      </c>
      <c r="F215" s="274" t="s">
        <v>2114</v>
      </c>
      <c r="G215" s="274" t="s">
        <v>2332</v>
      </c>
    </row>
    <row r="216" spans="1:7" ht="17.25">
      <c r="A216" s="274" t="s">
        <v>2333</v>
      </c>
      <c r="B216" s="274" t="s">
        <v>2282</v>
      </c>
      <c r="C216" s="274" t="s">
        <v>108</v>
      </c>
      <c r="D216" s="274" t="s">
        <v>2445</v>
      </c>
      <c r="E216" s="275" t="s">
        <v>108</v>
      </c>
      <c r="F216" s="274" t="s">
        <v>2114</v>
      </c>
      <c r="G216" s="274" t="s">
        <v>2252</v>
      </c>
    </row>
    <row r="217" spans="1:7" ht="17.25">
      <c r="A217" s="75" t="s">
        <v>2449</v>
      </c>
      <c r="B217" s="75"/>
      <c r="C217" s="75"/>
      <c r="D217" s="75"/>
      <c r="E217" s="76"/>
      <c r="F217" s="75"/>
      <c r="G217" s="75"/>
    </row>
    <row r="218" spans="1:7" ht="17.25">
      <c r="A218" s="274" t="s">
        <v>2335</v>
      </c>
      <c r="B218" s="274" t="s">
        <v>2336</v>
      </c>
      <c r="C218" s="274" t="s">
        <v>2337</v>
      </c>
      <c r="D218" s="274" t="s">
        <v>2445</v>
      </c>
      <c r="E218" s="275" t="s">
        <v>108</v>
      </c>
      <c r="F218" s="274" t="s">
        <v>2114</v>
      </c>
      <c r="G218" s="274" t="s">
        <v>2252</v>
      </c>
    </row>
    <row r="219" spans="1:7" ht="15">
      <c r="A219" s="56" t="s">
        <v>2338</v>
      </c>
      <c r="B219" s="56" t="s">
        <v>2336</v>
      </c>
      <c r="C219" s="56" t="s">
        <v>2339</v>
      </c>
      <c r="D219" s="56" t="s">
        <v>2445</v>
      </c>
      <c r="E219" s="74" t="s">
        <v>108</v>
      </c>
      <c r="F219" s="74" t="s">
        <v>2114</v>
      </c>
      <c r="G219" s="56" t="s">
        <v>2252</v>
      </c>
    </row>
    <row r="220" spans="1:7" ht="17.25">
      <c r="A220" s="274" t="s">
        <v>2340</v>
      </c>
      <c r="B220" s="274" t="s">
        <v>2341</v>
      </c>
      <c r="C220" s="274" t="s">
        <v>108</v>
      </c>
      <c r="D220" s="274" t="s">
        <v>2445</v>
      </c>
      <c r="E220" s="275" t="s">
        <v>108</v>
      </c>
      <c r="F220" s="274" t="s">
        <v>2114</v>
      </c>
      <c r="G220" s="274" t="s">
        <v>2342</v>
      </c>
    </row>
    <row r="221" spans="1:7" ht="15">
      <c r="A221" s="56" t="s">
        <v>2343</v>
      </c>
      <c r="B221" s="56" t="s">
        <v>2341</v>
      </c>
      <c r="C221" s="56" t="s">
        <v>108</v>
      </c>
      <c r="D221" s="56" t="s">
        <v>2445</v>
      </c>
      <c r="E221" s="74" t="s">
        <v>108</v>
      </c>
      <c r="F221" s="74" t="s">
        <v>2114</v>
      </c>
      <c r="G221" s="56" t="s">
        <v>2252</v>
      </c>
    </row>
    <row r="222" spans="1:7" ht="17.25">
      <c r="A222" s="75" t="s">
        <v>2450</v>
      </c>
      <c r="B222" s="75"/>
      <c r="C222" s="75"/>
      <c r="D222" s="75"/>
      <c r="E222" s="76"/>
      <c r="F222" s="75"/>
      <c r="G222" s="75"/>
    </row>
    <row r="223" spans="1:7" ht="17.25">
      <c r="A223" s="274" t="s">
        <v>2345</v>
      </c>
      <c r="B223" s="274" t="s">
        <v>2346</v>
      </c>
      <c r="C223" s="274" t="s">
        <v>108</v>
      </c>
      <c r="D223" s="274" t="s">
        <v>2445</v>
      </c>
      <c r="E223" s="275" t="s">
        <v>108</v>
      </c>
      <c r="F223" s="275" t="s">
        <v>2114</v>
      </c>
      <c r="G223" s="274" t="s">
        <v>2347</v>
      </c>
    </row>
    <row r="224" spans="1:7" ht="15">
      <c r="A224" s="57" t="s">
        <v>2248</v>
      </c>
      <c r="B224" s="57" t="s">
        <v>2249</v>
      </c>
      <c r="C224" s="57" t="s">
        <v>2250</v>
      </c>
      <c r="D224" s="57" t="s">
        <v>2445</v>
      </c>
      <c r="E224" s="58" t="s">
        <v>2451</v>
      </c>
      <c r="F224" s="58" t="s">
        <v>2446</v>
      </c>
      <c r="G224" s="57" t="s">
        <v>2252</v>
      </c>
    </row>
    <row r="225" spans="1:7" ht="17.25">
      <c r="A225" s="272" t="s">
        <v>2253</v>
      </c>
      <c r="B225" s="272" t="s">
        <v>2249</v>
      </c>
      <c r="C225" s="272" t="s">
        <v>2254</v>
      </c>
      <c r="D225" s="272" t="s">
        <v>2445</v>
      </c>
      <c r="E225" s="273" t="s">
        <v>2451</v>
      </c>
      <c r="F225" s="273" t="s">
        <v>2446</v>
      </c>
      <c r="G225" s="272" t="s">
        <v>2252</v>
      </c>
    </row>
    <row r="226" spans="1:7" ht="15">
      <c r="A226" s="57" t="s">
        <v>2255</v>
      </c>
      <c r="B226" s="57" t="s">
        <v>2249</v>
      </c>
      <c r="C226" s="57" t="s">
        <v>2254</v>
      </c>
      <c r="D226" s="57" t="s">
        <v>2445</v>
      </c>
      <c r="E226" s="58" t="s">
        <v>2451</v>
      </c>
      <c r="F226" s="58" t="s">
        <v>2446</v>
      </c>
      <c r="G226" s="57" t="s">
        <v>2252</v>
      </c>
    </row>
    <row r="227" spans="1:7" ht="15">
      <c r="A227" s="57" t="s">
        <v>2256</v>
      </c>
      <c r="B227" s="57" t="s">
        <v>2257</v>
      </c>
      <c r="C227" s="57" t="s">
        <v>2254</v>
      </c>
      <c r="D227" s="57" t="s">
        <v>2445</v>
      </c>
      <c r="E227" s="58" t="s">
        <v>2451</v>
      </c>
      <c r="F227" s="58" t="s">
        <v>2446</v>
      </c>
      <c r="G227" s="57" t="s">
        <v>2252</v>
      </c>
    </row>
    <row r="228" spans="1:7" ht="15">
      <c r="A228" s="57" t="s">
        <v>2258</v>
      </c>
      <c r="B228" s="57"/>
      <c r="C228" s="57" t="s">
        <v>2254</v>
      </c>
      <c r="D228" s="57" t="s">
        <v>2445</v>
      </c>
      <c r="E228" s="58" t="s">
        <v>2451</v>
      </c>
      <c r="F228" s="58" t="s">
        <v>2446</v>
      </c>
      <c r="G228" s="57" t="s">
        <v>2252</v>
      </c>
    </row>
    <row r="229" spans="1:7" ht="17.25">
      <c r="A229" s="272" t="s">
        <v>2259</v>
      </c>
      <c r="B229" s="272"/>
      <c r="C229" s="272" t="s">
        <v>2254</v>
      </c>
      <c r="D229" s="272" t="s">
        <v>2445</v>
      </c>
      <c r="E229" s="273" t="s">
        <v>2451</v>
      </c>
      <c r="F229" s="273" t="s">
        <v>2446</v>
      </c>
      <c r="G229" s="272" t="s">
        <v>2252</v>
      </c>
    </row>
    <row r="230" spans="1:7" ht="17.25">
      <c r="A230" s="272" t="s">
        <v>2260</v>
      </c>
      <c r="B230" s="272"/>
      <c r="C230" s="272" t="s">
        <v>2254</v>
      </c>
      <c r="D230" s="272" t="s">
        <v>2445</v>
      </c>
      <c r="E230" s="273" t="s">
        <v>2451</v>
      </c>
      <c r="F230" s="273" t="s">
        <v>2446</v>
      </c>
      <c r="G230" s="272" t="s">
        <v>2252</v>
      </c>
    </row>
    <row r="231" spans="1:7" ht="17.25">
      <c r="A231" s="75" t="s">
        <v>2452</v>
      </c>
      <c r="B231" s="75"/>
      <c r="C231" s="75"/>
      <c r="D231" s="75"/>
      <c r="E231" s="76"/>
      <c r="F231" s="75"/>
      <c r="G231" s="75"/>
    </row>
    <row r="232" spans="1:7" ht="15">
      <c r="A232" s="56" t="s">
        <v>2350</v>
      </c>
      <c r="B232" s="56" t="s">
        <v>2351</v>
      </c>
      <c r="C232" s="56" t="s">
        <v>108</v>
      </c>
      <c r="D232" s="56" t="s">
        <v>2445</v>
      </c>
      <c r="E232" s="74" t="s">
        <v>108</v>
      </c>
      <c r="F232" s="74" t="s">
        <v>2114</v>
      </c>
      <c r="G232" s="56" t="s">
        <v>2252</v>
      </c>
    </row>
    <row r="233" spans="1:7" ht="15">
      <c r="A233" s="56" t="s">
        <v>2352</v>
      </c>
      <c r="B233" s="56"/>
      <c r="C233" s="56" t="s">
        <v>2337</v>
      </c>
      <c r="D233" s="56" t="s">
        <v>2445</v>
      </c>
      <c r="E233" s="74" t="s">
        <v>108</v>
      </c>
      <c r="F233" s="74" t="s">
        <v>2114</v>
      </c>
      <c r="G233" s="56" t="s">
        <v>2252</v>
      </c>
    </row>
    <row r="234" spans="1:7" ht="17.25">
      <c r="A234" s="274" t="s">
        <v>2353</v>
      </c>
      <c r="B234" s="274" t="s">
        <v>2351</v>
      </c>
      <c r="C234" s="274" t="s">
        <v>2354</v>
      </c>
      <c r="D234" s="274" t="s">
        <v>2445</v>
      </c>
      <c r="E234" s="275" t="s">
        <v>108</v>
      </c>
      <c r="F234" s="274" t="s">
        <v>2114</v>
      </c>
      <c r="G234" s="274" t="s">
        <v>2355</v>
      </c>
    </row>
    <row r="235" spans="1:7" ht="17.25">
      <c r="A235" s="274" t="s">
        <v>2356</v>
      </c>
      <c r="B235" s="274" t="s">
        <v>2351</v>
      </c>
      <c r="C235" s="274" t="s">
        <v>2315</v>
      </c>
      <c r="D235" s="274" t="s">
        <v>2445</v>
      </c>
      <c r="E235" s="275" t="s">
        <v>2315</v>
      </c>
      <c r="F235" s="274" t="s">
        <v>2114</v>
      </c>
      <c r="G235" s="274" t="s">
        <v>2252</v>
      </c>
    </row>
    <row r="236" spans="1:7" ht="17.25">
      <c r="A236" s="274" t="s">
        <v>2357</v>
      </c>
      <c r="B236" s="274" t="s">
        <v>2358</v>
      </c>
      <c r="C236" s="274" t="s">
        <v>108</v>
      </c>
      <c r="D236" s="274" t="s">
        <v>2445</v>
      </c>
      <c r="E236" s="275" t="s">
        <v>108</v>
      </c>
      <c r="F236" s="274" t="s">
        <v>2114</v>
      </c>
      <c r="G236" s="274" t="s">
        <v>2252</v>
      </c>
    </row>
    <row r="237" spans="1:7" ht="17.25">
      <c r="A237" s="75" t="s">
        <v>2453</v>
      </c>
      <c r="B237" s="75"/>
      <c r="C237" s="75"/>
      <c r="D237" s="75"/>
      <c r="E237" s="76"/>
      <c r="F237" s="75"/>
      <c r="G237" s="75"/>
    </row>
    <row r="238" spans="1:7" ht="15">
      <c r="A238" s="56" t="s">
        <v>2363</v>
      </c>
      <c r="B238" s="56"/>
      <c r="C238" s="56" t="s">
        <v>2315</v>
      </c>
      <c r="D238" s="56" t="s">
        <v>2445</v>
      </c>
      <c r="E238" s="74" t="s">
        <v>2315</v>
      </c>
      <c r="F238" s="56" t="s">
        <v>2114</v>
      </c>
      <c r="G238" s="56" t="s">
        <v>2252</v>
      </c>
    </row>
    <row r="239" spans="1:7" ht="15">
      <c r="A239" s="56" t="s">
        <v>2294</v>
      </c>
      <c r="B239" s="56"/>
      <c r="C239" s="56" t="s">
        <v>2295</v>
      </c>
      <c r="D239" s="56" t="s">
        <v>2445</v>
      </c>
      <c r="E239" s="74" t="s">
        <v>2315</v>
      </c>
      <c r="F239" s="56" t="s">
        <v>2114</v>
      </c>
      <c r="G239" s="56" t="s">
        <v>2252</v>
      </c>
    </row>
    <row r="240" spans="1:7" ht="17.25">
      <c r="A240" s="274" t="s">
        <v>2364</v>
      </c>
      <c r="B240" s="274" t="s">
        <v>2351</v>
      </c>
      <c r="C240" s="274" t="s">
        <v>108</v>
      </c>
      <c r="D240" s="274" t="s">
        <v>2445</v>
      </c>
      <c r="E240" s="275" t="s">
        <v>108</v>
      </c>
      <c r="F240" s="274" t="s">
        <v>2114</v>
      </c>
      <c r="G240" s="274" t="s">
        <v>2252</v>
      </c>
    </row>
    <row r="241" spans="1:7" ht="17.25">
      <c r="A241" s="274" t="s">
        <v>2365</v>
      </c>
      <c r="B241" s="274" t="s">
        <v>2351</v>
      </c>
      <c r="C241" s="274" t="s">
        <v>108</v>
      </c>
      <c r="D241" s="274" t="s">
        <v>2445</v>
      </c>
      <c r="E241" s="275" t="s">
        <v>108</v>
      </c>
      <c r="F241" s="274" t="s">
        <v>2114</v>
      </c>
      <c r="G241" s="274" t="s">
        <v>2252</v>
      </c>
    </row>
    <row r="242" spans="1:7" ht="15">
      <c r="A242" s="56" t="s">
        <v>2366</v>
      </c>
      <c r="B242" s="56" t="s">
        <v>2257</v>
      </c>
      <c r="C242" s="56" t="s">
        <v>108</v>
      </c>
      <c r="D242" s="56" t="s">
        <v>2445</v>
      </c>
      <c r="E242" s="74" t="s">
        <v>108</v>
      </c>
      <c r="F242" s="74" t="s">
        <v>2114</v>
      </c>
      <c r="G242" s="56" t="s">
        <v>2252</v>
      </c>
    </row>
    <row r="243" spans="1:7" ht="17.25">
      <c r="A243" s="274" t="s">
        <v>2367</v>
      </c>
      <c r="B243" s="274" t="s">
        <v>2368</v>
      </c>
      <c r="C243" s="274" t="s">
        <v>2315</v>
      </c>
      <c r="D243" s="274" t="s">
        <v>2445</v>
      </c>
      <c r="E243" s="275" t="s">
        <v>2315</v>
      </c>
      <c r="F243" s="274" t="s">
        <v>2114</v>
      </c>
      <c r="G243" s="274" t="s">
        <v>2252</v>
      </c>
    </row>
    <row r="244" spans="1:7" ht="15">
      <c r="A244" s="56" t="s">
        <v>2369</v>
      </c>
      <c r="B244" s="56" t="s">
        <v>2368</v>
      </c>
      <c r="C244" s="56" t="s">
        <v>2315</v>
      </c>
      <c r="D244" s="56" t="s">
        <v>2445</v>
      </c>
      <c r="E244" s="74" t="s">
        <v>2315</v>
      </c>
      <c r="F244" s="74" t="s">
        <v>2114</v>
      </c>
      <c r="G244" s="56" t="s">
        <v>2252</v>
      </c>
    </row>
    <row r="245" spans="1:7" ht="15">
      <c r="A245" s="56" t="s">
        <v>2370</v>
      </c>
      <c r="B245" s="56" t="s">
        <v>2368</v>
      </c>
      <c r="C245" s="56" t="s">
        <v>108</v>
      </c>
      <c r="D245" s="56" t="s">
        <v>2445</v>
      </c>
      <c r="E245" s="74" t="s">
        <v>108</v>
      </c>
      <c r="F245" s="74" t="s">
        <v>2114</v>
      </c>
      <c r="G245" s="56" t="s">
        <v>2371</v>
      </c>
    </row>
    <row r="246" spans="1:7" ht="17.25">
      <c r="A246" s="75" t="s">
        <v>2454</v>
      </c>
      <c r="B246" s="75"/>
      <c r="C246" s="75"/>
      <c r="D246" s="75"/>
      <c r="E246" s="76"/>
      <c r="F246" s="75"/>
      <c r="G246" s="75"/>
    </row>
    <row r="247" spans="1:7" ht="17.25">
      <c r="A247" s="274" t="s">
        <v>2373</v>
      </c>
      <c r="B247" s="274" t="s">
        <v>2374</v>
      </c>
      <c r="C247" s="274" t="s">
        <v>108</v>
      </c>
      <c r="D247" s="274" t="s">
        <v>2445</v>
      </c>
      <c r="E247" s="275" t="s">
        <v>108</v>
      </c>
      <c r="F247" s="274" t="s">
        <v>2114</v>
      </c>
      <c r="G247" s="274" t="s">
        <v>2252</v>
      </c>
    </row>
    <row r="248" spans="1:7" ht="17.25">
      <c r="A248" s="274" t="s">
        <v>2375</v>
      </c>
      <c r="B248" s="274" t="s">
        <v>2376</v>
      </c>
      <c r="C248" s="274" t="s">
        <v>108</v>
      </c>
      <c r="D248" s="274" t="s">
        <v>2445</v>
      </c>
      <c r="E248" s="275" t="s">
        <v>108</v>
      </c>
      <c r="F248" s="275" t="s">
        <v>2114</v>
      </c>
      <c r="G248" s="274" t="s">
        <v>2252</v>
      </c>
    </row>
    <row r="249" spans="1:7" ht="17.25">
      <c r="A249" s="274" t="s">
        <v>2377</v>
      </c>
      <c r="B249" s="274" t="s">
        <v>2376</v>
      </c>
      <c r="C249" s="274" t="s">
        <v>108</v>
      </c>
      <c r="D249" s="274" t="s">
        <v>2445</v>
      </c>
      <c r="E249" s="275" t="s">
        <v>108</v>
      </c>
      <c r="F249" s="275" t="s">
        <v>2114</v>
      </c>
      <c r="G249" s="274" t="s">
        <v>2252</v>
      </c>
    </row>
    <row r="250" spans="1:7" ht="17.25">
      <c r="A250" s="75" t="s">
        <v>2455</v>
      </c>
      <c r="B250" s="75"/>
      <c r="C250" s="75"/>
      <c r="D250" s="75"/>
      <c r="E250" s="76"/>
      <c r="F250" s="75"/>
      <c r="G250" s="75"/>
    </row>
    <row r="251" spans="1:7" ht="15">
      <c r="A251" s="57" t="s">
        <v>2262</v>
      </c>
      <c r="B251" s="57" t="s">
        <v>2263</v>
      </c>
      <c r="C251" s="57" t="s">
        <v>2243</v>
      </c>
      <c r="D251" s="57" t="s">
        <v>2445</v>
      </c>
      <c r="E251" s="58" t="s">
        <v>2245</v>
      </c>
      <c r="F251" s="58" t="s">
        <v>2446</v>
      </c>
      <c r="G251" s="57" t="s">
        <v>2264</v>
      </c>
    </row>
    <row r="252" spans="1:7" ht="15">
      <c r="A252" s="57" t="s">
        <v>2265</v>
      </c>
      <c r="B252" s="57" t="s">
        <v>2266</v>
      </c>
      <c r="C252" s="57" t="s">
        <v>2243</v>
      </c>
      <c r="D252" s="57" t="s">
        <v>2445</v>
      </c>
      <c r="E252" s="58" t="s">
        <v>2245</v>
      </c>
      <c r="F252" s="58" t="s">
        <v>2446</v>
      </c>
      <c r="G252" s="57" t="s">
        <v>2267</v>
      </c>
    </row>
    <row r="253" spans="1:7" ht="17.25">
      <c r="A253" s="274" t="s">
        <v>2379</v>
      </c>
      <c r="B253" s="274" t="s">
        <v>2263</v>
      </c>
      <c r="C253" s="274" t="s">
        <v>2315</v>
      </c>
      <c r="D253" s="274" t="s">
        <v>2445</v>
      </c>
      <c r="E253" s="275" t="s">
        <v>2315</v>
      </c>
      <c r="F253" s="275" t="s">
        <v>2114</v>
      </c>
      <c r="G253" s="274" t="s">
        <v>2380</v>
      </c>
    </row>
    <row r="254" spans="1:7" ht="17.25">
      <c r="A254" s="274" t="s">
        <v>2381</v>
      </c>
      <c r="B254" s="274" t="s">
        <v>2301</v>
      </c>
      <c r="C254" s="274" t="s">
        <v>108</v>
      </c>
      <c r="D254" s="274" t="s">
        <v>2445</v>
      </c>
      <c r="E254" s="275" t="s">
        <v>108</v>
      </c>
      <c r="F254" s="274" t="s">
        <v>2114</v>
      </c>
      <c r="G254" s="274" t="s">
        <v>2382</v>
      </c>
    </row>
    <row r="255" spans="1:7" ht="15">
      <c r="A255" s="56" t="s">
        <v>2383</v>
      </c>
      <c r="B255" s="56" t="s">
        <v>2298</v>
      </c>
      <c r="C255" s="56" t="s">
        <v>108</v>
      </c>
      <c r="D255" s="56" t="s">
        <v>2445</v>
      </c>
      <c r="E255" s="74" t="s">
        <v>108</v>
      </c>
      <c r="F255" s="74" t="s">
        <v>2114</v>
      </c>
      <c r="G255" s="56" t="s">
        <v>2384</v>
      </c>
    </row>
    <row r="256" spans="1:7" ht="15">
      <c r="A256" s="56" t="s">
        <v>2385</v>
      </c>
      <c r="B256" s="56" t="s">
        <v>2386</v>
      </c>
      <c r="C256" s="56" t="s">
        <v>108</v>
      </c>
      <c r="D256" s="56" t="s">
        <v>2445</v>
      </c>
      <c r="E256" s="74" t="s">
        <v>108</v>
      </c>
      <c r="F256" s="74" t="s">
        <v>2114</v>
      </c>
      <c r="G256" s="56" t="s">
        <v>2387</v>
      </c>
    </row>
    <row r="257" spans="1:7" ht="17.25">
      <c r="A257" s="75" t="s">
        <v>2456</v>
      </c>
      <c r="B257" s="75"/>
      <c r="C257" s="75"/>
      <c r="D257" s="75"/>
      <c r="E257" s="76"/>
      <c r="F257" s="75"/>
      <c r="G257" s="75"/>
    </row>
    <row r="258" spans="1:7" ht="15">
      <c r="A258" s="56" t="s">
        <v>2389</v>
      </c>
      <c r="B258" s="56" t="s">
        <v>2301</v>
      </c>
      <c r="C258" s="56" t="s">
        <v>108</v>
      </c>
      <c r="D258" s="56" t="s">
        <v>2445</v>
      </c>
      <c r="E258" s="74" t="s">
        <v>108</v>
      </c>
      <c r="F258" s="74" t="s">
        <v>2114</v>
      </c>
      <c r="G258" s="56" t="s">
        <v>2390</v>
      </c>
    </row>
    <row r="259" spans="1:7" ht="15">
      <c r="A259" s="56" t="s">
        <v>2391</v>
      </c>
      <c r="B259" s="56" t="s">
        <v>2392</v>
      </c>
      <c r="C259" s="56" t="s">
        <v>108</v>
      </c>
      <c r="D259" s="56" t="s">
        <v>2445</v>
      </c>
      <c r="E259" s="74" t="s">
        <v>108</v>
      </c>
      <c r="F259" s="74" t="s">
        <v>2114</v>
      </c>
      <c r="G259" s="56" t="s">
        <v>2393</v>
      </c>
    </row>
    <row r="260" spans="1:7" ht="17.25">
      <c r="A260" s="274" t="s">
        <v>2394</v>
      </c>
      <c r="B260" s="274" t="s">
        <v>2395</v>
      </c>
      <c r="C260" s="274" t="s">
        <v>108</v>
      </c>
      <c r="D260" s="274" t="s">
        <v>2445</v>
      </c>
      <c r="E260" s="275" t="s">
        <v>108</v>
      </c>
      <c r="F260" s="274" t="s">
        <v>2114</v>
      </c>
      <c r="G260" s="274" t="s">
        <v>2396</v>
      </c>
    </row>
    <row r="261" spans="1:7" ht="15">
      <c r="A261" s="56" t="s">
        <v>2397</v>
      </c>
      <c r="B261" s="56" t="s">
        <v>2398</v>
      </c>
      <c r="C261" s="56" t="s">
        <v>2315</v>
      </c>
      <c r="D261" s="56" t="s">
        <v>2445</v>
      </c>
      <c r="E261" s="74" t="s">
        <v>2315</v>
      </c>
      <c r="F261" s="74" t="s">
        <v>2114</v>
      </c>
      <c r="G261" s="56" t="s">
        <v>2252</v>
      </c>
    </row>
    <row r="262" spans="1:7" ht="17.25">
      <c r="A262" s="274" t="s">
        <v>2399</v>
      </c>
      <c r="B262" s="274" t="s">
        <v>2398</v>
      </c>
      <c r="C262" s="274" t="s">
        <v>2400</v>
      </c>
      <c r="D262" s="274" t="s">
        <v>2445</v>
      </c>
      <c r="E262" s="275" t="s">
        <v>108</v>
      </c>
      <c r="F262" s="274" t="s">
        <v>2114</v>
      </c>
      <c r="G262" s="274" t="s">
        <v>2252</v>
      </c>
    </row>
    <row r="263" spans="1:7" ht="17.25">
      <c r="A263" s="75" t="s">
        <v>2457</v>
      </c>
      <c r="B263" s="75"/>
      <c r="C263" s="75"/>
      <c r="D263" s="75"/>
      <c r="E263" s="76"/>
      <c r="F263" s="75"/>
      <c r="G263" s="75"/>
    </row>
    <row r="264" spans="1:7" ht="15">
      <c r="A264" s="56" t="s">
        <v>2402</v>
      </c>
      <c r="B264" s="56" t="s">
        <v>2403</v>
      </c>
      <c r="C264" s="56" t="s">
        <v>108</v>
      </c>
      <c r="D264" s="56" t="s">
        <v>2445</v>
      </c>
      <c r="E264" s="74" t="s">
        <v>108</v>
      </c>
      <c r="F264" s="56" t="s">
        <v>2114</v>
      </c>
      <c r="G264" s="56" t="s">
        <v>2252</v>
      </c>
    </row>
    <row r="265" spans="1:7" ht="15">
      <c r="A265" s="56" t="s">
        <v>2404</v>
      </c>
      <c r="B265" s="56" t="s">
        <v>2403</v>
      </c>
      <c r="C265" s="56" t="s">
        <v>2315</v>
      </c>
      <c r="D265" s="56" t="s">
        <v>2445</v>
      </c>
      <c r="E265" s="74" t="s">
        <v>2315</v>
      </c>
      <c r="F265" s="74" t="s">
        <v>2114</v>
      </c>
      <c r="G265" s="56" t="s">
        <v>2405</v>
      </c>
    </row>
    <row r="266" spans="1:7" ht="17.25">
      <c r="A266" s="274" t="s">
        <v>2406</v>
      </c>
      <c r="B266" s="274" t="s">
        <v>2407</v>
      </c>
      <c r="C266" s="274" t="s">
        <v>2408</v>
      </c>
      <c r="D266" s="274" t="s">
        <v>2445</v>
      </c>
      <c r="E266" s="275" t="s">
        <v>2458</v>
      </c>
      <c r="F266" s="275" t="s">
        <v>2459</v>
      </c>
      <c r="G266" s="274" t="s">
        <v>2410</v>
      </c>
    </row>
    <row r="267" spans="1:7" ht="17.25">
      <c r="A267" s="274" t="s">
        <v>2411</v>
      </c>
      <c r="B267" s="274" t="s">
        <v>2407</v>
      </c>
      <c r="C267" s="274" t="s">
        <v>2331</v>
      </c>
      <c r="D267" s="274" t="s">
        <v>2445</v>
      </c>
      <c r="E267" s="275" t="s">
        <v>108</v>
      </c>
      <c r="F267" s="274" t="s">
        <v>2114</v>
      </c>
      <c r="G267" s="274" t="s">
        <v>2412</v>
      </c>
    </row>
    <row r="268" spans="1:7" ht="15">
      <c r="A268" s="56" t="s">
        <v>2413</v>
      </c>
      <c r="B268" s="56" t="s">
        <v>2403</v>
      </c>
      <c r="C268" s="56" t="s">
        <v>2414</v>
      </c>
      <c r="D268" s="56" t="s">
        <v>2445</v>
      </c>
      <c r="E268" s="74" t="s">
        <v>108</v>
      </c>
      <c r="F268" s="74" t="s">
        <v>2114</v>
      </c>
      <c r="G268" s="56" t="s">
        <v>2252</v>
      </c>
    </row>
    <row r="269" spans="1:7" ht="15">
      <c r="A269" s="56" t="s">
        <v>2415</v>
      </c>
      <c r="B269" s="56" t="s">
        <v>2403</v>
      </c>
      <c r="C269" s="56" t="s">
        <v>2416</v>
      </c>
      <c r="D269" s="56" t="s">
        <v>2445</v>
      </c>
      <c r="E269" s="74" t="s">
        <v>108</v>
      </c>
      <c r="F269" s="56" t="s">
        <v>2114</v>
      </c>
      <c r="G269" s="56" t="s">
        <v>2417</v>
      </c>
    </row>
    <row r="270" spans="1:7" ht="17.25">
      <c r="A270" s="75" t="s">
        <v>2460</v>
      </c>
      <c r="B270" s="75"/>
      <c r="C270" s="75"/>
      <c r="D270" s="75"/>
      <c r="E270" s="76"/>
      <c r="F270" s="75"/>
      <c r="G270" s="75"/>
    </row>
    <row r="271" spans="1:7" ht="17.25">
      <c r="A271" s="272" t="s">
        <v>2269</v>
      </c>
      <c r="B271" s="272"/>
      <c r="C271" s="272" t="s">
        <v>2243</v>
      </c>
      <c r="D271" s="272" t="s">
        <v>2445</v>
      </c>
      <c r="E271" s="273" t="s">
        <v>2245</v>
      </c>
      <c r="F271" s="273" t="s">
        <v>2446</v>
      </c>
      <c r="G271" s="272" t="s">
        <v>2270</v>
      </c>
    </row>
    <row r="272" spans="1:7" ht="15">
      <c r="A272" s="56" t="s">
        <v>2419</v>
      </c>
      <c r="B272" s="56" t="s">
        <v>2287</v>
      </c>
      <c r="C272" s="56" t="s">
        <v>2420</v>
      </c>
      <c r="D272" s="56" t="s">
        <v>2445</v>
      </c>
      <c r="E272" s="74" t="s">
        <v>108</v>
      </c>
      <c r="F272" s="74" t="s">
        <v>2114</v>
      </c>
      <c r="G272" s="56" t="s">
        <v>2421</v>
      </c>
    </row>
    <row r="273" spans="1:7" ht="15">
      <c r="A273" s="56" t="s">
        <v>2422</v>
      </c>
      <c r="B273" s="56" t="s">
        <v>2423</v>
      </c>
      <c r="C273" s="56" t="s">
        <v>2424</v>
      </c>
      <c r="D273" s="56" t="s">
        <v>2445</v>
      </c>
      <c r="E273" s="74" t="s">
        <v>108</v>
      </c>
      <c r="F273" s="74" t="s">
        <v>2114</v>
      </c>
      <c r="G273" s="56" t="s">
        <v>2425</v>
      </c>
    </row>
    <row r="274" spans="1:7" ht="17.25">
      <c r="A274" s="272" t="s">
        <v>2271</v>
      </c>
      <c r="B274" s="272" t="s">
        <v>2272</v>
      </c>
      <c r="C274" s="272" t="s">
        <v>2243</v>
      </c>
      <c r="D274" s="272" t="s">
        <v>2445</v>
      </c>
      <c r="E274" s="273" t="s">
        <v>2245</v>
      </c>
      <c r="F274" s="273" t="s">
        <v>2446</v>
      </c>
      <c r="G274" s="272" t="s">
        <v>2273</v>
      </c>
    </row>
    <row r="275" spans="1:7" ht="15">
      <c r="A275" s="57" t="s">
        <v>2274</v>
      </c>
      <c r="B275" s="57"/>
      <c r="C275" s="57" t="s">
        <v>2254</v>
      </c>
      <c r="D275" s="57" t="s">
        <v>2445</v>
      </c>
      <c r="E275" s="58" t="s">
        <v>2451</v>
      </c>
      <c r="F275" s="58" t="s">
        <v>2446</v>
      </c>
      <c r="G275" s="57" t="s">
        <v>2252</v>
      </c>
    </row>
    <row r="276" spans="1:7" ht="15">
      <c r="A276" s="56" t="s">
        <v>2426</v>
      </c>
      <c r="B276" s="56" t="s">
        <v>2272</v>
      </c>
      <c r="C276" s="56" t="s">
        <v>2427</v>
      </c>
      <c r="D276" s="56" t="s">
        <v>2445</v>
      </c>
      <c r="E276" s="74" t="s">
        <v>2427</v>
      </c>
      <c r="F276" s="56" t="s">
        <v>2114</v>
      </c>
      <c r="G276" s="56" t="s">
        <v>2428</v>
      </c>
    </row>
    <row r="277" spans="1:7" ht="17.25">
      <c r="A277" s="75" t="s">
        <v>2461</v>
      </c>
      <c r="B277" s="75"/>
      <c r="C277" s="75"/>
      <c r="D277" s="75"/>
      <c r="E277" s="76"/>
      <c r="F277" s="75"/>
      <c r="G277" s="75"/>
    </row>
    <row r="278" spans="1:7" ht="17.25">
      <c r="A278" s="274" t="s">
        <v>2241</v>
      </c>
      <c r="B278" s="274" t="s">
        <v>2242</v>
      </c>
      <c r="C278" s="274" t="s">
        <v>2243</v>
      </c>
      <c r="D278" s="274" t="s">
        <v>2462</v>
      </c>
      <c r="E278" s="275" t="s">
        <v>2245</v>
      </c>
      <c r="F278" s="274" t="s">
        <v>2140</v>
      </c>
      <c r="G278" s="274" t="s">
        <v>2246</v>
      </c>
    </row>
    <row r="279" spans="1:7" ht="17.25">
      <c r="A279" s="274" t="s">
        <v>2309</v>
      </c>
      <c r="B279" s="274"/>
      <c r="C279" s="274" t="s">
        <v>2310</v>
      </c>
      <c r="D279" s="274" t="s">
        <v>2462</v>
      </c>
      <c r="E279" s="275" t="s">
        <v>1215</v>
      </c>
      <c r="F279" s="274" t="s">
        <v>2138</v>
      </c>
      <c r="G279" s="274" t="s">
        <v>2252</v>
      </c>
    </row>
    <row r="280" spans="1:7" ht="17.25">
      <c r="A280" s="75" t="s">
        <v>2463</v>
      </c>
      <c r="B280" s="75"/>
      <c r="C280" s="75"/>
      <c r="D280" s="75"/>
      <c r="E280" s="76"/>
      <c r="F280" s="75"/>
      <c r="G280" s="75"/>
    </row>
    <row r="281" spans="1:7" ht="15">
      <c r="A281" s="56" t="s">
        <v>2464</v>
      </c>
      <c r="B281" s="56" t="s">
        <v>2465</v>
      </c>
      <c r="C281" s="56" t="s">
        <v>2254</v>
      </c>
      <c r="D281" s="56" t="s">
        <v>2466</v>
      </c>
      <c r="E281" s="74" t="s">
        <v>2451</v>
      </c>
      <c r="F281" s="56" t="s">
        <v>2140</v>
      </c>
      <c r="G281" s="56" t="s">
        <v>2252</v>
      </c>
    </row>
    <row r="282" spans="1:7" ht="17.25">
      <c r="A282" s="75" t="s">
        <v>2467</v>
      </c>
      <c r="B282" s="75"/>
      <c r="C282" s="75"/>
      <c r="D282" s="75"/>
      <c r="E282" s="76"/>
      <c r="F282" s="75"/>
      <c r="G282" s="75"/>
    </row>
    <row r="283" spans="1:7" ht="15">
      <c r="A283" s="56" t="s">
        <v>2248</v>
      </c>
      <c r="B283" s="56" t="s">
        <v>2249</v>
      </c>
      <c r="C283" s="56" t="s">
        <v>2250</v>
      </c>
      <c r="D283" s="56" t="s">
        <v>2462</v>
      </c>
      <c r="E283" s="74" t="s">
        <v>2251</v>
      </c>
      <c r="F283" s="56" t="s">
        <v>2140</v>
      </c>
      <c r="G283" s="56" t="s">
        <v>2252</v>
      </c>
    </row>
    <row r="284" spans="1:7" ht="17.25">
      <c r="A284" s="274" t="s">
        <v>2253</v>
      </c>
      <c r="B284" s="274" t="s">
        <v>2249</v>
      </c>
      <c r="C284" s="274" t="s">
        <v>2254</v>
      </c>
      <c r="D284" s="274" t="s">
        <v>2462</v>
      </c>
      <c r="E284" s="275" t="s">
        <v>2251</v>
      </c>
      <c r="F284" s="274" t="s">
        <v>2140</v>
      </c>
      <c r="G284" s="274" t="s">
        <v>2252</v>
      </c>
    </row>
    <row r="285" spans="1:7" ht="15">
      <c r="A285" s="56" t="s">
        <v>2255</v>
      </c>
      <c r="B285" s="56" t="s">
        <v>2249</v>
      </c>
      <c r="C285" s="56" t="s">
        <v>2254</v>
      </c>
      <c r="D285" s="56" t="s">
        <v>2462</v>
      </c>
      <c r="E285" s="74" t="s">
        <v>2251</v>
      </c>
      <c r="F285" s="74" t="s">
        <v>2140</v>
      </c>
      <c r="G285" s="56" t="s">
        <v>2252</v>
      </c>
    </row>
    <row r="286" spans="1:7" ht="15">
      <c r="A286" s="56" t="s">
        <v>2256</v>
      </c>
      <c r="B286" s="56" t="s">
        <v>2257</v>
      </c>
      <c r="C286" s="56" t="s">
        <v>2254</v>
      </c>
      <c r="D286" s="56" t="s">
        <v>2462</v>
      </c>
      <c r="E286" s="74" t="s">
        <v>2251</v>
      </c>
      <c r="F286" s="74" t="s">
        <v>2140</v>
      </c>
      <c r="G286" s="56" t="s">
        <v>2252</v>
      </c>
    </row>
    <row r="287" spans="1:7" ht="17.25">
      <c r="A287" s="274" t="s">
        <v>2258</v>
      </c>
      <c r="B287" s="274"/>
      <c r="C287" s="274" t="s">
        <v>2254</v>
      </c>
      <c r="D287" s="274" t="s">
        <v>2462</v>
      </c>
      <c r="E287" s="275" t="s">
        <v>2251</v>
      </c>
      <c r="F287" s="274" t="s">
        <v>2140</v>
      </c>
      <c r="G287" s="274" t="s">
        <v>2252</v>
      </c>
    </row>
    <row r="288" spans="1:7" ht="17.25">
      <c r="A288" s="274" t="s">
        <v>2259</v>
      </c>
      <c r="B288" s="274"/>
      <c r="C288" s="274" t="s">
        <v>2254</v>
      </c>
      <c r="D288" s="274" t="s">
        <v>2462</v>
      </c>
      <c r="E288" s="275" t="s">
        <v>2251</v>
      </c>
      <c r="F288" s="275" t="s">
        <v>2140</v>
      </c>
      <c r="G288" s="274" t="s">
        <v>2252</v>
      </c>
    </row>
    <row r="289" spans="1:7" ht="15">
      <c r="A289" s="56" t="s">
        <v>2260</v>
      </c>
      <c r="B289" s="56"/>
      <c r="C289" s="56" t="s">
        <v>2254</v>
      </c>
      <c r="D289" s="56" t="s">
        <v>2462</v>
      </c>
      <c r="E289" s="74" t="s">
        <v>2251</v>
      </c>
      <c r="F289" s="56" t="s">
        <v>2140</v>
      </c>
      <c r="G289" s="56" t="s">
        <v>2252</v>
      </c>
    </row>
    <row r="290" spans="1:7" ht="17.25">
      <c r="A290" s="75" t="s">
        <v>2468</v>
      </c>
      <c r="B290" s="75"/>
      <c r="C290" s="75"/>
      <c r="D290" s="75"/>
      <c r="E290" s="76"/>
      <c r="F290" s="75"/>
      <c r="G290" s="75"/>
    </row>
    <row r="291" spans="1:7" ht="17.25">
      <c r="A291" s="272" t="s">
        <v>2469</v>
      </c>
      <c r="B291" s="272" t="s">
        <v>2465</v>
      </c>
      <c r="C291" s="272" t="s">
        <v>2470</v>
      </c>
      <c r="D291" s="272" t="s">
        <v>2466</v>
      </c>
      <c r="E291" s="273" t="s">
        <v>2470</v>
      </c>
      <c r="F291" s="273" t="s">
        <v>2446</v>
      </c>
      <c r="G291" s="272" t="s">
        <v>2252</v>
      </c>
    </row>
    <row r="292" spans="1:7" ht="17.25">
      <c r="A292" s="274" t="s">
        <v>2471</v>
      </c>
      <c r="B292" s="274" t="s">
        <v>2465</v>
      </c>
      <c r="C292" s="274" t="s">
        <v>2254</v>
      </c>
      <c r="D292" s="274" t="s">
        <v>2466</v>
      </c>
      <c r="E292" s="275" t="s">
        <v>2451</v>
      </c>
      <c r="F292" s="275" t="s">
        <v>2140</v>
      </c>
      <c r="G292" s="274" t="s">
        <v>2252</v>
      </c>
    </row>
    <row r="293" spans="1:7" ht="17.25">
      <c r="A293" s="274" t="s">
        <v>2472</v>
      </c>
      <c r="B293" s="274" t="s">
        <v>2465</v>
      </c>
      <c r="C293" s="274" t="s">
        <v>2254</v>
      </c>
      <c r="D293" s="274" t="s">
        <v>2466</v>
      </c>
      <c r="E293" s="275" t="s">
        <v>2451</v>
      </c>
      <c r="F293" s="274" t="s">
        <v>2140</v>
      </c>
      <c r="G293" s="274" t="s">
        <v>2252</v>
      </c>
    </row>
    <row r="294" spans="1:7" ht="17.25">
      <c r="A294" s="75" t="s">
        <v>2473</v>
      </c>
      <c r="B294" s="75"/>
      <c r="C294" s="75"/>
      <c r="D294" s="75"/>
      <c r="E294" s="76"/>
      <c r="F294" s="75"/>
      <c r="G294" s="75"/>
    </row>
    <row r="295" spans="1:7" ht="15">
      <c r="A295" s="56" t="s">
        <v>2474</v>
      </c>
      <c r="B295" s="56" t="s">
        <v>2465</v>
      </c>
      <c r="C295" s="56" t="s">
        <v>2254</v>
      </c>
      <c r="D295" s="56" t="s">
        <v>2466</v>
      </c>
      <c r="E295" s="74" t="s">
        <v>2451</v>
      </c>
      <c r="F295" s="74" t="s">
        <v>2140</v>
      </c>
      <c r="G295" s="56" t="s">
        <v>2252</v>
      </c>
    </row>
    <row r="296" spans="1:7" ht="17.25">
      <c r="A296" s="75" t="s">
        <v>2475</v>
      </c>
      <c r="B296" s="75"/>
      <c r="C296" s="75"/>
      <c r="D296" s="75"/>
      <c r="E296" s="76"/>
      <c r="F296" s="75"/>
      <c r="G296" s="75"/>
    </row>
    <row r="297" spans="1:7" ht="15">
      <c r="A297" s="56" t="s">
        <v>2262</v>
      </c>
      <c r="B297" s="56" t="s">
        <v>2263</v>
      </c>
      <c r="C297" s="56" t="s">
        <v>2243</v>
      </c>
      <c r="D297" s="56" t="s">
        <v>2462</v>
      </c>
      <c r="E297" s="74" t="s">
        <v>2245</v>
      </c>
      <c r="F297" s="56" t="s">
        <v>2140</v>
      </c>
      <c r="G297" s="56" t="s">
        <v>2264</v>
      </c>
    </row>
    <row r="298" spans="1:7" ht="17.25">
      <c r="A298" s="274" t="s">
        <v>2265</v>
      </c>
      <c r="B298" s="274" t="s">
        <v>2266</v>
      </c>
      <c r="C298" s="274" t="s">
        <v>2243</v>
      </c>
      <c r="D298" s="274" t="s">
        <v>2462</v>
      </c>
      <c r="E298" s="275" t="s">
        <v>2245</v>
      </c>
      <c r="F298" s="274" t="s">
        <v>2140</v>
      </c>
      <c r="G298" s="274" t="s">
        <v>2267</v>
      </c>
    </row>
    <row r="299" spans="1:7" ht="17.25">
      <c r="A299" s="75" t="s">
        <v>2476</v>
      </c>
      <c r="B299" s="75"/>
      <c r="C299" s="75"/>
      <c r="D299" s="75"/>
      <c r="E299" s="76"/>
      <c r="F299" s="75"/>
      <c r="G299" s="75"/>
    </row>
    <row r="300" spans="1:7" ht="15">
      <c r="A300" s="56" t="s">
        <v>2477</v>
      </c>
      <c r="B300" s="56" t="s">
        <v>2465</v>
      </c>
      <c r="C300" s="56" t="s">
        <v>2243</v>
      </c>
      <c r="D300" s="56" t="s">
        <v>2466</v>
      </c>
      <c r="E300" s="74" t="s">
        <v>2245</v>
      </c>
      <c r="F300" s="56" t="s">
        <v>2140</v>
      </c>
      <c r="G300" s="56" t="s">
        <v>2252</v>
      </c>
    </row>
    <row r="301" spans="1:7" ht="17.25">
      <c r="A301" s="274" t="s">
        <v>2478</v>
      </c>
      <c r="B301" s="274" t="s">
        <v>2465</v>
      </c>
      <c r="C301" s="274" t="s">
        <v>2479</v>
      </c>
      <c r="D301" s="274" t="s">
        <v>2466</v>
      </c>
      <c r="E301" s="275" t="s">
        <v>2480</v>
      </c>
      <c r="F301" s="274" t="s">
        <v>2140</v>
      </c>
      <c r="G301" s="274" t="s">
        <v>2481</v>
      </c>
    </row>
    <row r="302" spans="1:7" ht="17.25">
      <c r="A302" s="75" t="s">
        <v>2482</v>
      </c>
      <c r="B302" s="75"/>
      <c r="C302" s="75"/>
      <c r="D302" s="75"/>
      <c r="E302" s="76"/>
      <c r="F302" s="75"/>
      <c r="G302" s="75"/>
    </row>
    <row r="303" spans="1:7" ht="15">
      <c r="A303" s="56" t="s">
        <v>2406</v>
      </c>
      <c r="B303" s="56" t="s">
        <v>2407</v>
      </c>
      <c r="C303" s="56" t="s">
        <v>2408</v>
      </c>
      <c r="D303" s="56" t="s">
        <v>2462</v>
      </c>
      <c r="E303" s="74" t="s">
        <v>2458</v>
      </c>
      <c r="F303" s="56" t="s">
        <v>2138</v>
      </c>
      <c r="G303" s="56" t="s">
        <v>2410</v>
      </c>
    </row>
    <row r="304" spans="1:7" ht="17.25">
      <c r="A304" s="75" t="s">
        <v>2483</v>
      </c>
      <c r="B304" s="75"/>
      <c r="C304" s="75"/>
      <c r="D304" s="75"/>
      <c r="E304" s="76"/>
      <c r="F304" s="75"/>
      <c r="G304" s="75"/>
    </row>
    <row r="305" spans="1:7" ht="17.25">
      <c r="A305" s="274" t="s">
        <v>2269</v>
      </c>
      <c r="B305" s="274"/>
      <c r="C305" s="274" t="s">
        <v>2243</v>
      </c>
      <c r="D305" s="274" t="s">
        <v>2462</v>
      </c>
      <c r="E305" s="275" t="s">
        <v>2245</v>
      </c>
      <c r="F305" s="275" t="s">
        <v>2140</v>
      </c>
      <c r="G305" s="274" t="s">
        <v>2270</v>
      </c>
    </row>
    <row r="306" spans="1:7" ht="17.25">
      <c r="A306" s="274" t="s">
        <v>2271</v>
      </c>
      <c r="B306" s="274" t="s">
        <v>2272</v>
      </c>
      <c r="C306" s="274" t="s">
        <v>2243</v>
      </c>
      <c r="D306" s="274" t="s">
        <v>2462</v>
      </c>
      <c r="E306" s="275" t="s">
        <v>2245</v>
      </c>
      <c r="F306" s="274" t="s">
        <v>2140</v>
      </c>
      <c r="G306" s="274" t="s">
        <v>2273</v>
      </c>
    </row>
    <row r="307" spans="1:7" ht="17.25">
      <c r="A307" s="274" t="s">
        <v>2274</v>
      </c>
      <c r="B307" s="274"/>
      <c r="C307" s="274" t="s">
        <v>2254</v>
      </c>
      <c r="D307" s="274" t="s">
        <v>2462</v>
      </c>
      <c r="E307" s="275" t="s">
        <v>2251</v>
      </c>
      <c r="F307" s="274" t="s">
        <v>2140</v>
      </c>
      <c r="G307" s="274" t="s">
        <v>2252</v>
      </c>
    </row>
    <row r="308" spans="1:7" ht="17.25">
      <c r="A308" s="272" t="s">
        <v>2484</v>
      </c>
      <c r="B308" s="272" t="s">
        <v>2465</v>
      </c>
      <c r="C308" s="272" t="s">
        <v>108</v>
      </c>
      <c r="D308" s="272" t="s">
        <v>2466</v>
      </c>
      <c r="E308" s="273" t="s">
        <v>108</v>
      </c>
      <c r="F308" s="273" t="s">
        <v>2446</v>
      </c>
      <c r="G308" s="272" t="s">
        <v>2252</v>
      </c>
    </row>
    <row r="309" spans="1:7" ht="17.25">
      <c r="A309" s="75" t="s">
        <v>2485</v>
      </c>
      <c r="B309" s="75"/>
      <c r="C309" s="75"/>
      <c r="D309" s="75"/>
      <c r="E309" s="76"/>
      <c r="F309" s="75"/>
      <c r="G309" s="75"/>
    </row>
    <row r="310" spans="1:7" ht="17.25">
      <c r="A310" s="274" t="s">
        <v>2465</v>
      </c>
      <c r="B310" s="274" t="s">
        <v>2465</v>
      </c>
      <c r="C310" s="274" t="s">
        <v>2254</v>
      </c>
      <c r="D310" s="274" t="s">
        <v>2486</v>
      </c>
      <c r="E310" s="275" t="s">
        <v>2451</v>
      </c>
      <c r="F310" s="274" t="s">
        <v>2151</v>
      </c>
      <c r="G310" s="274" t="s">
        <v>2487</v>
      </c>
    </row>
    <row r="311" spans="1:7" ht="17.25">
      <c r="A311" s="75" t="s">
        <v>2488</v>
      </c>
      <c r="B311" s="75"/>
      <c r="C311" s="75"/>
      <c r="D311" s="75"/>
      <c r="E311" s="76"/>
      <c r="F311" s="75"/>
      <c r="G311" s="75"/>
    </row>
    <row r="312" spans="1:7" ht="17.25">
      <c r="A312" s="274" t="s">
        <v>2465</v>
      </c>
      <c r="B312" s="274" t="s">
        <v>2465</v>
      </c>
      <c r="C312" s="274" t="s">
        <v>2254</v>
      </c>
      <c r="D312" s="274" t="s">
        <v>2486</v>
      </c>
      <c r="E312" s="275" t="s">
        <v>2451</v>
      </c>
      <c r="F312" s="274" t="s">
        <v>2151</v>
      </c>
      <c r="G312" s="274" t="s">
        <v>2489</v>
      </c>
    </row>
    <row r="313" spans="1:7" ht="17.25">
      <c r="A313" s="75" t="s">
        <v>2490</v>
      </c>
      <c r="B313" s="75"/>
      <c r="C313" s="75"/>
      <c r="D313" s="75"/>
      <c r="E313" s="76"/>
      <c r="F313" s="75"/>
      <c r="G313" s="75"/>
    </row>
    <row r="314" spans="1:7" ht="17.25">
      <c r="A314" s="274" t="s">
        <v>2465</v>
      </c>
      <c r="B314" s="274" t="s">
        <v>2465</v>
      </c>
      <c r="C314" s="274" t="s">
        <v>2254</v>
      </c>
      <c r="D314" s="274" t="s">
        <v>2486</v>
      </c>
      <c r="E314" s="275" t="s">
        <v>2451</v>
      </c>
      <c r="F314" s="274" t="s">
        <v>2151</v>
      </c>
      <c r="G314" s="274" t="s">
        <v>2487</v>
      </c>
    </row>
    <row r="315" spans="1:7" ht="17.25">
      <c r="A315" s="75" t="s">
        <v>2491</v>
      </c>
      <c r="B315" s="75"/>
      <c r="C315" s="75"/>
      <c r="D315" s="75"/>
      <c r="E315" s="76"/>
      <c r="F315" s="75"/>
      <c r="G315" s="75"/>
    </row>
    <row r="316" spans="1:7" ht="17.25">
      <c r="A316" s="274" t="s">
        <v>2465</v>
      </c>
      <c r="B316" s="274" t="s">
        <v>2465</v>
      </c>
      <c r="C316" s="274" t="s">
        <v>2254</v>
      </c>
      <c r="D316" s="274" t="s">
        <v>2486</v>
      </c>
      <c r="E316" s="275" t="s">
        <v>2451</v>
      </c>
      <c r="F316" s="274" t="s">
        <v>2151</v>
      </c>
      <c r="G316" s="274" t="s">
        <v>2492</v>
      </c>
    </row>
    <row r="317" spans="1:7" ht="17.25">
      <c r="A317" s="75" t="s">
        <v>2493</v>
      </c>
      <c r="B317" s="75"/>
      <c r="C317" s="75"/>
      <c r="D317" s="75"/>
      <c r="E317" s="76"/>
      <c r="F317" s="75"/>
      <c r="G317" s="75"/>
    </row>
    <row r="318" spans="1:7" ht="17.25">
      <c r="A318" s="274" t="s">
        <v>2465</v>
      </c>
      <c r="B318" s="274" t="s">
        <v>2465</v>
      </c>
      <c r="C318" s="274" t="s">
        <v>2254</v>
      </c>
      <c r="D318" s="274" t="s">
        <v>2486</v>
      </c>
      <c r="E318" s="275" t="s">
        <v>2451</v>
      </c>
      <c r="F318" s="274" t="s">
        <v>2151</v>
      </c>
      <c r="G318" s="274" t="s">
        <v>2489</v>
      </c>
    </row>
    <row r="319" spans="1:7" ht="17.25">
      <c r="A319" s="75" t="s">
        <v>2494</v>
      </c>
      <c r="B319" s="75"/>
      <c r="C319" s="75"/>
      <c r="D319" s="75"/>
      <c r="E319" s="76"/>
      <c r="F319" s="75"/>
      <c r="G319" s="75"/>
    </row>
    <row r="320" spans="1:7" ht="17.25">
      <c r="A320" s="274" t="s">
        <v>2465</v>
      </c>
      <c r="B320" s="274" t="s">
        <v>2465</v>
      </c>
      <c r="C320" s="274" t="s">
        <v>2254</v>
      </c>
      <c r="D320" s="274" t="s">
        <v>2486</v>
      </c>
      <c r="E320" s="275" t="s">
        <v>2451</v>
      </c>
      <c r="F320" s="274" t="s">
        <v>2151</v>
      </c>
      <c r="G320" s="274" t="s">
        <v>2489</v>
      </c>
    </row>
    <row r="321" spans="1:7" ht="17.25">
      <c r="A321" s="75" t="s">
        <v>2495</v>
      </c>
      <c r="B321" s="75"/>
      <c r="C321" s="75"/>
      <c r="D321" s="75"/>
      <c r="E321" s="76"/>
      <c r="F321" s="75"/>
      <c r="G321" s="75"/>
    </row>
    <row r="322" spans="1:7" ht="17.25">
      <c r="A322" s="274" t="s">
        <v>2465</v>
      </c>
      <c r="B322" s="274" t="s">
        <v>2465</v>
      </c>
      <c r="C322" s="274" t="s">
        <v>2254</v>
      </c>
      <c r="D322" s="274" t="s">
        <v>2486</v>
      </c>
      <c r="E322" s="275" t="s">
        <v>2451</v>
      </c>
      <c r="F322" s="274" t="s">
        <v>2151</v>
      </c>
      <c r="G322" s="274" t="s">
        <v>2489</v>
      </c>
    </row>
    <row r="323" spans="1:7" ht="17.25">
      <c r="A323" s="75" t="s">
        <v>2496</v>
      </c>
      <c r="B323" s="75"/>
      <c r="C323" s="75"/>
      <c r="D323" s="75"/>
      <c r="E323" s="76"/>
      <c r="F323" s="75"/>
      <c r="G323" s="75"/>
    </row>
    <row r="324" spans="1:7" ht="15">
      <c r="A324" s="56" t="s">
        <v>2465</v>
      </c>
      <c r="B324" s="56" t="s">
        <v>2465</v>
      </c>
      <c r="C324" s="56" t="s">
        <v>2254</v>
      </c>
      <c r="D324" s="56" t="s">
        <v>2486</v>
      </c>
      <c r="E324" s="74" t="s">
        <v>2451</v>
      </c>
      <c r="F324" s="56" t="s">
        <v>2151</v>
      </c>
      <c r="G324" s="56" t="s">
        <v>2489</v>
      </c>
    </row>
    <row r="325" spans="1:7" ht="17.25">
      <c r="A325" s="75" t="s">
        <v>2497</v>
      </c>
      <c r="B325" s="75"/>
      <c r="C325" s="75"/>
      <c r="D325" s="75"/>
      <c r="E325" s="76"/>
      <c r="F325" s="75"/>
      <c r="G325" s="75"/>
    </row>
    <row r="326" spans="1:7" ht="15">
      <c r="A326" s="56" t="s">
        <v>2276</v>
      </c>
      <c r="B326" s="56" t="s">
        <v>2277</v>
      </c>
      <c r="C326" s="56" t="s">
        <v>1565</v>
      </c>
      <c r="D326" s="56" t="s">
        <v>2498</v>
      </c>
      <c r="E326" s="74" t="s">
        <v>1565</v>
      </c>
      <c r="F326" s="74" t="s">
        <v>2156</v>
      </c>
      <c r="G326" s="56" t="s">
        <v>2279</v>
      </c>
    </row>
    <row r="327" spans="1:7" ht="17.25">
      <c r="A327" s="274" t="s">
        <v>2309</v>
      </c>
      <c r="B327" s="274"/>
      <c r="C327" s="274" t="s">
        <v>2310</v>
      </c>
      <c r="D327" s="274" t="s">
        <v>2498</v>
      </c>
      <c r="E327" s="275" t="s">
        <v>2311</v>
      </c>
      <c r="F327" s="274" t="s">
        <v>2156</v>
      </c>
      <c r="G327" s="274" t="s">
        <v>2252</v>
      </c>
    </row>
    <row r="328" spans="1:7" ht="17.25">
      <c r="A328" s="274" t="s">
        <v>2312</v>
      </c>
      <c r="B328" s="274" t="s">
        <v>2242</v>
      </c>
      <c r="C328" s="274" t="s">
        <v>108</v>
      </c>
      <c r="D328" s="274" t="s">
        <v>2498</v>
      </c>
      <c r="E328" s="275" t="s">
        <v>108</v>
      </c>
      <c r="F328" s="274" t="s">
        <v>1964</v>
      </c>
      <c r="G328" s="274" t="s">
        <v>2252</v>
      </c>
    </row>
    <row r="329" spans="1:7" ht="17.25">
      <c r="A329" s="274" t="s">
        <v>2313</v>
      </c>
      <c r="B329" s="274" t="s">
        <v>2314</v>
      </c>
      <c r="C329" s="274" t="s">
        <v>2315</v>
      </c>
      <c r="D329" s="274" t="s">
        <v>2498</v>
      </c>
      <c r="E329" s="275" t="s">
        <v>2315</v>
      </c>
      <c r="F329" s="274" t="s">
        <v>1964</v>
      </c>
      <c r="G329" s="274" t="s">
        <v>2316</v>
      </c>
    </row>
    <row r="330" spans="1:7" ht="15">
      <c r="A330" s="56" t="s">
        <v>2317</v>
      </c>
      <c r="B330" s="56"/>
      <c r="C330" s="56" t="s">
        <v>108</v>
      </c>
      <c r="D330" s="56" t="s">
        <v>2498</v>
      </c>
      <c r="E330" s="74" t="s">
        <v>108</v>
      </c>
      <c r="F330" s="56" t="s">
        <v>1964</v>
      </c>
      <c r="G330" s="56" t="s">
        <v>2252</v>
      </c>
    </row>
    <row r="331" spans="1:7" ht="17.25">
      <c r="A331" s="75" t="s">
        <v>2499</v>
      </c>
      <c r="B331" s="75"/>
      <c r="C331" s="75"/>
      <c r="D331" s="75"/>
      <c r="E331" s="76"/>
      <c r="F331" s="75"/>
      <c r="G331" s="75"/>
    </row>
    <row r="332" spans="1:7" ht="17.25">
      <c r="A332" s="274" t="s">
        <v>2319</v>
      </c>
      <c r="B332" s="274" t="s">
        <v>2249</v>
      </c>
      <c r="C332" s="274" t="s">
        <v>108</v>
      </c>
      <c r="D332" s="274" t="s">
        <v>2498</v>
      </c>
      <c r="E332" s="275" t="s">
        <v>108</v>
      </c>
      <c r="F332" s="274" t="s">
        <v>1964</v>
      </c>
      <c r="G332" s="274" t="s">
        <v>2252</v>
      </c>
    </row>
    <row r="333" spans="1:7" ht="17.25">
      <c r="A333" s="274" t="s">
        <v>2320</v>
      </c>
      <c r="B333" s="274" t="s">
        <v>2321</v>
      </c>
      <c r="C333" s="274" t="s">
        <v>108</v>
      </c>
      <c r="D333" s="274" t="s">
        <v>2498</v>
      </c>
      <c r="E333" s="275" t="s">
        <v>108</v>
      </c>
      <c r="F333" s="274" t="s">
        <v>1964</v>
      </c>
      <c r="G333" s="274" t="s">
        <v>2322</v>
      </c>
    </row>
    <row r="334" spans="1:7" ht="15">
      <c r="A334" s="56" t="s">
        <v>2323</v>
      </c>
      <c r="B334" s="56" t="s">
        <v>2321</v>
      </c>
      <c r="C334" s="56" t="s">
        <v>108</v>
      </c>
      <c r="D334" s="56" t="s">
        <v>2498</v>
      </c>
      <c r="E334" s="74" t="s">
        <v>108</v>
      </c>
      <c r="F334" s="56" t="s">
        <v>1964</v>
      </c>
      <c r="G334" s="56" t="s">
        <v>2252</v>
      </c>
    </row>
    <row r="335" spans="1:7" ht="17.25">
      <c r="A335" s="274" t="s">
        <v>2324</v>
      </c>
      <c r="B335" s="274" t="s">
        <v>2325</v>
      </c>
      <c r="C335" s="274" t="s">
        <v>108</v>
      </c>
      <c r="D335" s="274" t="s">
        <v>2498</v>
      </c>
      <c r="E335" s="275" t="s">
        <v>108</v>
      </c>
      <c r="F335" s="274" t="s">
        <v>1964</v>
      </c>
      <c r="G335" s="274" t="s">
        <v>2326</v>
      </c>
    </row>
    <row r="336" spans="1:7" ht="17.25">
      <c r="A336" s="75" t="s">
        <v>2500</v>
      </c>
      <c r="B336" s="75"/>
      <c r="C336" s="75"/>
      <c r="D336" s="75"/>
      <c r="E336" s="76"/>
      <c r="F336" s="75"/>
      <c r="G336" s="75"/>
    </row>
    <row r="337" spans="1:7" ht="17.25">
      <c r="A337" s="274" t="s">
        <v>2328</v>
      </c>
      <c r="B337" s="274" t="s">
        <v>2282</v>
      </c>
      <c r="C337" s="274" t="s">
        <v>108</v>
      </c>
      <c r="D337" s="274" t="s">
        <v>2498</v>
      </c>
      <c r="E337" s="275" t="s">
        <v>108</v>
      </c>
      <c r="F337" s="274" t="s">
        <v>1964</v>
      </c>
      <c r="G337" s="274" t="s">
        <v>2252</v>
      </c>
    </row>
    <row r="338" spans="1:7" ht="17.25">
      <c r="A338" s="274" t="s">
        <v>2281</v>
      </c>
      <c r="B338" s="274" t="s">
        <v>2282</v>
      </c>
      <c r="C338" s="274" t="s">
        <v>2283</v>
      </c>
      <c r="D338" s="274" t="s">
        <v>2498</v>
      </c>
      <c r="E338" s="275" t="s">
        <v>108</v>
      </c>
      <c r="F338" s="274" t="s">
        <v>1964</v>
      </c>
      <c r="G338" s="274" t="s">
        <v>2252</v>
      </c>
    </row>
    <row r="339" spans="1:7" ht="17.25">
      <c r="A339" s="274" t="s">
        <v>2330</v>
      </c>
      <c r="B339" s="274" t="s">
        <v>2282</v>
      </c>
      <c r="C339" s="274" t="s">
        <v>2331</v>
      </c>
      <c r="D339" s="274" t="s">
        <v>2498</v>
      </c>
      <c r="E339" s="275" t="s">
        <v>108</v>
      </c>
      <c r="F339" s="274" t="s">
        <v>1964</v>
      </c>
      <c r="G339" s="274" t="s">
        <v>2332</v>
      </c>
    </row>
    <row r="340" spans="1:7" ht="17.25">
      <c r="A340" s="274" t="s">
        <v>2333</v>
      </c>
      <c r="B340" s="274" t="s">
        <v>2282</v>
      </c>
      <c r="C340" s="274" t="s">
        <v>108</v>
      </c>
      <c r="D340" s="274" t="s">
        <v>2498</v>
      </c>
      <c r="E340" s="275" t="s">
        <v>108</v>
      </c>
      <c r="F340" s="274" t="s">
        <v>1964</v>
      </c>
      <c r="G340" s="274" t="s">
        <v>2252</v>
      </c>
    </row>
    <row r="341" spans="1:7" ht="17.25">
      <c r="A341" s="75" t="s">
        <v>2501</v>
      </c>
      <c r="B341" s="75"/>
      <c r="C341" s="75"/>
      <c r="D341" s="75"/>
      <c r="E341" s="76"/>
      <c r="F341" s="75"/>
      <c r="G341" s="75"/>
    </row>
    <row r="342" spans="1:7" ht="15">
      <c r="A342" s="56" t="s">
        <v>2335</v>
      </c>
      <c r="B342" s="56" t="s">
        <v>2336</v>
      </c>
      <c r="C342" s="56" t="s">
        <v>2337</v>
      </c>
      <c r="D342" s="56" t="s">
        <v>2498</v>
      </c>
      <c r="E342" s="74" t="s">
        <v>108</v>
      </c>
      <c r="F342" s="56" t="s">
        <v>1964</v>
      </c>
      <c r="G342" s="56" t="s">
        <v>2252</v>
      </c>
    </row>
    <row r="343" spans="1:7" ht="17.25">
      <c r="A343" s="274" t="s">
        <v>2289</v>
      </c>
      <c r="B343" s="274"/>
      <c r="C343" s="274" t="s">
        <v>552</v>
      </c>
      <c r="D343" s="274" t="s">
        <v>2498</v>
      </c>
      <c r="E343" s="275" t="s">
        <v>552</v>
      </c>
      <c r="F343" s="274" t="s">
        <v>2156</v>
      </c>
      <c r="G343" s="274" t="s">
        <v>2290</v>
      </c>
    </row>
    <row r="344" spans="1:7" ht="17.25">
      <c r="A344" s="274" t="s">
        <v>2338</v>
      </c>
      <c r="B344" s="274" t="s">
        <v>2336</v>
      </c>
      <c r="C344" s="274" t="s">
        <v>2339</v>
      </c>
      <c r="D344" s="274" t="s">
        <v>2498</v>
      </c>
      <c r="E344" s="275" t="s">
        <v>108</v>
      </c>
      <c r="F344" s="274" t="s">
        <v>1964</v>
      </c>
      <c r="G344" s="274" t="s">
        <v>2252</v>
      </c>
    </row>
    <row r="345" spans="1:7" ht="17.25">
      <c r="A345" s="274" t="s">
        <v>2340</v>
      </c>
      <c r="B345" s="274" t="s">
        <v>2341</v>
      </c>
      <c r="C345" s="274" t="s">
        <v>108</v>
      </c>
      <c r="D345" s="274" t="s">
        <v>2498</v>
      </c>
      <c r="E345" s="275" t="s">
        <v>108</v>
      </c>
      <c r="F345" s="274" t="s">
        <v>1964</v>
      </c>
      <c r="G345" s="274" t="s">
        <v>2342</v>
      </c>
    </row>
    <row r="346" spans="1:7" ht="17.25">
      <c r="A346" s="274" t="s">
        <v>2343</v>
      </c>
      <c r="B346" s="274" t="s">
        <v>2341</v>
      </c>
      <c r="C346" s="274" t="s">
        <v>108</v>
      </c>
      <c r="D346" s="274" t="s">
        <v>2498</v>
      </c>
      <c r="E346" s="275" t="s">
        <v>108</v>
      </c>
      <c r="F346" s="274" t="s">
        <v>1964</v>
      </c>
      <c r="G346" s="274" t="s">
        <v>2252</v>
      </c>
    </row>
    <row r="347" spans="1:7" ht="17.25">
      <c r="A347" s="75" t="s">
        <v>2502</v>
      </c>
      <c r="B347" s="75"/>
      <c r="C347" s="75"/>
      <c r="D347" s="75"/>
      <c r="E347" s="76"/>
      <c r="F347" s="75"/>
      <c r="G347" s="75"/>
    </row>
    <row r="348" spans="1:7" ht="17.25">
      <c r="A348" s="274" t="s">
        <v>2345</v>
      </c>
      <c r="B348" s="274" t="s">
        <v>2346</v>
      </c>
      <c r="C348" s="274" t="s">
        <v>108</v>
      </c>
      <c r="D348" s="274" t="s">
        <v>2498</v>
      </c>
      <c r="E348" s="275" t="s">
        <v>108</v>
      </c>
      <c r="F348" s="274" t="s">
        <v>1964</v>
      </c>
      <c r="G348" s="274" t="s">
        <v>2347</v>
      </c>
    </row>
    <row r="349" spans="1:7" ht="15">
      <c r="A349" s="56" t="s">
        <v>2248</v>
      </c>
      <c r="B349" s="56" t="s">
        <v>2249</v>
      </c>
      <c r="C349" s="56" t="s">
        <v>2250</v>
      </c>
      <c r="D349" s="56" t="s">
        <v>2498</v>
      </c>
      <c r="E349" s="74" t="s">
        <v>2435</v>
      </c>
      <c r="F349" s="56" t="s">
        <v>2151</v>
      </c>
      <c r="G349" s="56" t="s">
        <v>2252</v>
      </c>
    </row>
    <row r="350" spans="1:7" ht="17.25">
      <c r="A350" s="274" t="s">
        <v>2253</v>
      </c>
      <c r="B350" s="274" t="s">
        <v>2249</v>
      </c>
      <c r="C350" s="274" t="s">
        <v>2254</v>
      </c>
      <c r="D350" s="274" t="s">
        <v>2498</v>
      </c>
      <c r="E350" s="275" t="s">
        <v>2435</v>
      </c>
      <c r="F350" s="274" t="s">
        <v>2151</v>
      </c>
      <c r="G350" s="274" t="s">
        <v>2252</v>
      </c>
    </row>
    <row r="351" spans="1:7" ht="17.25">
      <c r="A351" s="274" t="s">
        <v>2255</v>
      </c>
      <c r="B351" s="274" t="s">
        <v>2249</v>
      </c>
      <c r="C351" s="274" t="s">
        <v>2254</v>
      </c>
      <c r="D351" s="274" t="s">
        <v>2498</v>
      </c>
      <c r="E351" s="275" t="s">
        <v>2435</v>
      </c>
      <c r="F351" s="274" t="s">
        <v>2151</v>
      </c>
      <c r="G351" s="274" t="s">
        <v>2252</v>
      </c>
    </row>
    <row r="352" spans="1:7" ht="17.25">
      <c r="A352" s="274" t="s">
        <v>2256</v>
      </c>
      <c r="B352" s="274" t="s">
        <v>2257</v>
      </c>
      <c r="C352" s="274" t="s">
        <v>2254</v>
      </c>
      <c r="D352" s="274" t="s">
        <v>2498</v>
      </c>
      <c r="E352" s="275" t="s">
        <v>2435</v>
      </c>
      <c r="F352" s="274" t="s">
        <v>2151</v>
      </c>
      <c r="G352" s="274" t="s">
        <v>2252</v>
      </c>
    </row>
    <row r="353" spans="1:7" ht="17.25">
      <c r="A353" s="274" t="s">
        <v>2258</v>
      </c>
      <c r="B353" s="274"/>
      <c r="C353" s="274" t="s">
        <v>2254</v>
      </c>
      <c r="D353" s="274" t="s">
        <v>2498</v>
      </c>
      <c r="E353" s="275" t="s">
        <v>2435</v>
      </c>
      <c r="F353" s="274" t="s">
        <v>2151</v>
      </c>
      <c r="G353" s="274" t="s">
        <v>2252</v>
      </c>
    </row>
    <row r="354" spans="1:7" ht="17.25">
      <c r="A354" s="274" t="s">
        <v>2259</v>
      </c>
      <c r="B354" s="274"/>
      <c r="C354" s="274" t="s">
        <v>2254</v>
      </c>
      <c r="D354" s="274" t="s">
        <v>2498</v>
      </c>
      <c r="E354" s="275" t="s">
        <v>2435</v>
      </c>
      <c r="F354" s="274" t="s">
        <v>2151</v>
      </c>
      <c r="G354" s="274" t="s">
        <v>2252</v>
      </c>
    </row>
    <row r="355" spans="1:7" ht="15">
      <c r="A355" s="56" t="s">
        <v>2260</v>
      </c>
      <c r="B355" s="56"/>
      <c r="C355" s="56" t="s">
        <v>2254</v>
      </c>
      <c r="D355" s="56" t="s">
        <v>2498</v>
      </c>
      <c r="E355" s="74" t="s">
        <v>2435</v>
      </c>
      <c r="F355" s="56" t="s">
        <v>2151</v>
      </c>
      <c r="G355" s="56" t="s">
        <v>2252</v>
      </c>
    </row>
    <row r="356" spans="1:7" ht="17.25">
      <c r="A356" s="75" t="s">
        <v>2503</v>
      </c>
      <c r="B356" s="75"/>
      <c r="C356" s="75"/>
      <c r="D356" s="75"/>
      <c r="E356" s="76"/>
      <c r="F356" s="75"/>
      <c r="G356" s="75"/>
    </row>
    <row r="357" spans="1:7" ht="17.25">
      <c r="A357" s="274" t="s">
        <v>2350</v>
      </c>
      <c r="B357" s="274" t="s">
        <v>2351</v>
      </c>
      <c r="C357" s="274" t="s">
        <v>108</v>
      </c>
      <c r="D357" s="274" t="s">
        <v>2498</v>
      </c>
      <c r="E357" s="275" t="s">
        <v>108</v>
      </c>
      <c r="F357" s="274" t="s">
        <v>1964</v>
      </c>
      <c r="G357" s="274" t="s">
        <v>2252</v>
      </c>
    </row>
    <row r="358" spans="1:7" ht="17.25">
      <c r="A358" s="274" t="s">
        <v>2352</v>
      </c>
      <c r="B358" s="274"/>
      <c r="C358" s="274" t="s">
        <v>2337</v>
      </c>
      <c r="D358" s="274" t="s">
        <v>2498</v>
      </c>
      <c r="E358" s="275" t="s">
        <v>108</v>
      </c>
      <c r="F358" s="274" t="s">
        <v>1964</v>
      </c>
      <c r="G358" s="274" t="s">
        <v>2252</v>
      </c>
    </row>
    <row r="359" spans="1:7" ht="15">
      <c r="A359" s="56" t="s">
        <v>2353</v>
      </c>
      <c r="B359" s="56" t="s">
        <v>2351</v>
      </c>
      <c r="C359" s="56" t="s">
        <v>2354</v>
      </c>
      <c r="D359" s="56" t="s">
        <v>2498</v>
      </c>
      <c r="E359" s="74" t="s">
        <v>108</v>
      </c>
      <c r="F359" s="56" t="s">
        <v>1964</v>
      </c>
      <c r="G359" s="56" t="s">
        <v>2355</v>
      </c>
    </row>
    <row r="360" spans="1:7" ht="17.25">
      <c r="A360" s="274" t="s">
        <v>2356</v>
      </c>
      <c r="B360" s="274" t="s">
        <v>2351</v>
      </c>
      <c r="C360" s="274" t="s">
        <v>2315</v>
      </c>
      <c r="D360" s="274" t="s">
        <v>2498</v>
      </c>
      <c r="E360" s="275" t="s">
        <v>2315</v>
      </c>
      <c r="F360" s="274" t="s">
        <v>1964</v>
      </c>
      <c r="G360" s="274" t="s">
        <v>2252</v>
      </c>
    </row>
    <row r="361" spans="1:7" ht="17.25">
      <c r="A361" s="274" t="s">
        <v>2357</v>
      </c>
      <c r="B361" s="274" t="s">
        <v>2358</v>
      </c>
      <c r="C361" s="274" t="s">
        <v>108</v>
      </c>
      <c r="D361" s="274" t="s">
        <v>2498</v>
      </c>
      <c r="E361" s="275" t="s">
        <v>108</v>
      </c>
      <c r="F361" s="274" t="s">
        <v>1964</v>
      </c>
      <c r="G361" s="274" t="s">
        <v>2252</v>
      </c>
    </row>
    <row r="362" spans="1:7" ht="17.25">
      <c r="A362" s="75" t="s">
        <v>2504</v>
      </c>
      <c r="B362" s="75"/>
      <c r="C362" s="75"/>
      <c r="D362" s="75"/>
      <c r="E362" s="76"/>
      <c r="F362" s="75"/>
      <c r="G362" s="75"/>
    </row>
    <row r="363" spans="1:7" ht="17.25">
      <c r="A363" s="274" t="s">
        <v>2363</v>
      </c>
      <c r="B363" s="274"/>
      <c r="C363" s="274" t="s">
        <v>2315</v>
      </c>
      <c r="D363" s="274" t="s">
        <v>2498</v>
      </c>
      <c r="E363" s="275" t="s">
        <v>2315</v>
      </c>
      <c r="F363" s="274" t="s">
        <v>1964</v>
      </c>
      <c r="G363" s="274" t="s">
        <v>2252</v>
      </c>
    </row>
    <row r="364" spans="1:7" ht="15">
      <c r="A364" s="56" t="s">
        <v>2294</v>
      </c>
      <c r="B364" s="56"/>
      <c r="C364" s="56" t="s">
        <v>2295</v>
      </c>
      <c r="D364" s="56" t="s">
        <v>2498</v>
      </c>
      <c r="E364" s="74" t="s">
        <v>2505</v>
      </c>
      <c r="F364" s="56" t="s">
        <v>2156</v>
      </c>
      <c r="G364" s="56" t="s">
        <v>2252</v>
      </c>
    </row>
    <row r="365" spans="1:7" ht="15">
      <c r="A365" s="56" t="s">
        <v>2364</v>
      </c>
      <c r="B365" s="56" t="s">
        <v>2351</v>
      </c>
      <c r="C365" s="56" t="s">
        <v>108</v>
      </c>
      <c r="D365" s="56" t="s">
        <v>2498</v>
      </c>
      <c r="E365" s="74" t="s">
        <v>108</v>
      </c>
      <c r="F365" s="56" t="s">
        <v>1964</v>
      </c>
      <c r="G365" s="56" t="s">
        <v>2252</v>
      </c>
    </row>
    <row r="366" spans="1:7" ht="17.25">
      <c r="A366" s="274" t="s">
        <v>2365</v>
      </c>
      <c r="B366" s="274" t="s">
        <v>2351</v>
      </c>
      <c r="C366" s="274" t="s">
        <v>108</v>
      </c>
      <c r="D366" s="274" t="s">
        <v>2498</v>
      </c>
      <c r="E366" s="275" t="s">
        <v>108</v>
      </c>
      <c r="F366" s="274" t="s">
        <v>1964</v>
      </c>
      <c r="G366" s="274" t="s">
        <v>2252</v>
      </c>
    </row>
    <row r="367" spans="1:7" ht="17.25">
      <c r="A367" s="274" t="s">
        <v>2366</v>
      </c>
      <c r="B367" s="274" t="s">
        <v>2257</v>
      </c>
      <c r="C367" s="274" t="s">
        <v>108</v>
      </c>
      <c r="D367" s="274" t="s">
        <v>2498</v>
      </c>
      <c r="E367" s="275" t="s">
        <v>108</v>
      </c>
      <c r="F367" s="274" t="s">
        <v>1964</v>
      </c>
      <c r="G367" s="274" t="s">
        <v>2252</v>
      </c>
    </row>
    <row r="368" spans="1:7" ht="15">
      <c r="A368" s="56" t="s">
        <v>2367</v>
      </c>
      <c r="B368" s="56" t="s">
        <v>2368</v>
      </c>
      <c r="C368" s="56" t="s">
        <v>2315</v>
      </c>
      <c r="D368" s="56" t="s">
        <v>2498</v>
      </c>
      <c r="E368" s="74" t="s">
        <v>2315</v>
      </c>
      <c r="F368" s="56" t="s">
        <v>1964</v>
      </c>
      <c r="G368" s="56" t="s">
        <v>2252</v>
      </c>
    </row>
    <row r="369" spans="1:7" ht="15">
      <c r="A369" s="56" t="s">
        <v>2369</v>
      </c>
      <c r="B369" s="56" t="s">
        <v>2368</v>
      </c>
      <c r="C369" s="56" t="s">
        <v>2315</v>
      </c>
      <c r="D369" s="56" t="s">
        <v>2498</v>
      </c>
      <c r="E369" s="74" t="s">
        <v>2315</v>
      </c>
      <c r="F369" s="56" t="s">
        <v>1964</v>
      </c>
      <c r="G369" s="56" t="s">
        <v>2252</v>
      </c>
    </row>
    <row r="370" spans="1:7" ht="17.25">
      <c r="A370" s="274" t="s">
        <v>2370</v>
      </c>
      <c r="B370" s="274" t="s">
        <v>2368</v>
      </c>
      <c r="C370" s="274" t="s">
        <v>108</v>
      </c>
      <c r="D370" s="274" t="s">
        <v>2498</v>
      </c>
      <c r="E370" s="275" t="s">
        <v>108</v>
      </c>
      <c r="F370" s="274" t="s">
        <v>1964</v>
      </c>
      <c r="G370" s="274" t="s">
        <v>2371</v>
      </c>
    </row>
    <row r="371" spans="1:7" ht="17.25">
      <c r="A371" s="75" t="s">
        <v>2506</v>
      </c>
      <c r="B371" s="75"/>
      <c r="C371" s="75"/>
      <c r="D371" s="75"/>
      <c r="E371" s="76"/>
      <c r="F371" s="75"/>
      <c r="G371" s="75"/>
    </row>
    <row r="372" spans="1:7" ht="15">
      <c r="A372" s="56" t="s">
        <v>2373</v>
      </c>
      <c r="B372" s="56" t="s">
        <v>2374</v>
      </c>
      <c r="C372" s="56" t="s">
        <v>108</v>
      </c>
      <c r="D372" s="56" t="s">
        <v>2498</v>
      </c>
      <c r="E372" s="74" t="s">
        <v>108</v>
      </c>
      <c r="F372" s="56" t="s">
        <v>1964</v>
      </c>
      <c r="G372" s="56" t="s">
        <v>2252</v>
      </c>
    </row>
    <row r="373" spans="1:7" ht="15">
      <c r="A373" s="56" t="s">
        <v>2375</v>
      </c>
      <c r="B373" s="56" t="s">
        <v>2376</v>
      </c>
      <c r="C373" s="56" t="s">
        <v>108</v>
      </c>
      <c r="D373" s="56" t="s">
        <v>2498</v>
      </c>
      <c r="E373" s="74" t="s">
        <v>108</v>
      </c>
      <c r="F373" s="56" t="s">
        <v>1964</v>
      </c>
      <c r="G373" s="56" t="s">
        <v>2252</v>
      </c>
    </row>
    <row r="374" spans="1:7" ht="17.25">
      <c r="A374" s="274" t="s">
        <v>2377</v>
      </c>
      <c r="B374" s="274" t="s">
        <v>2376</v>
      </c>
      <c r="C374" s="274" t="s">
        <v>108</v>
      </c>
      <c r="D374" s="274" t="s">
        <v>2498</v>
      </c>
      <c r="E374" s="275" t="s">
        <v>108</v>
      </c>
      <c r="F374" s="274" t="s">
        <v>1964</v>
      </c>
      <c r="G374" s="274" t="s">
        <v>2252</v>
      </c>
    </row>
    <row r="375" spans="1:7" ht="17.25">
      <c r="A375" s="75" t="s">
        <v>2507</v>
      </c>
      <c r="B375" s="75"/>
      <c r="C375" s="75"/>
      <c r="D375" s="75"/>
      <c r="E375" s="76"/>
      <c r="F375" s="75"/>
      <c r="G375" s="75"/>
    </row>
    <row r="376" spans="1:7" ht="17.25">
      <c r="A376" s="274" t="s">
        <v>2297</v>
      </c>
      <c r="B376" s="274" t="s">
        <v>2298</v>
      </c>
      <c r="C376" s="274" t="s">
        <v>552</v>
      </c>
      <c r="D376" s="274" t="s">
        <v>2498</v>
      </c>
      <c r="E376" s="275" t="s">
        <v>552</v>
      </c>
      <c r="F376" s="274" t="s">
        <v>2156</v>
      </c>
      <c r="G376" s="274" t="s">
        <v>2299</v>
      </c>
    </row>
    <row r="377" spans="1:7" ht="17.25">
      <c r="A377" s="274" t="s">
        <v>2300</v>
      </c>
      <c r="B377" s="274" t="s">
        <v>2301</v>
      </c>
      <c r="C377" s="274" t="s">
        <v>2302</v>
      </c>
      <c r="D377" s="274" t="s">
        <v>2498</v>
      </c>
      <c r="E377" s="275" t="s">
        <v>552</v>
      </c>
      <c r="F377" s="274" t="s">
        <v>2156</v>
      </c>
      <c r="G377" s="274" t="s">
        <v>2303</v>
      </c>
    </row>
    <row r="378" spans="1:7" ht="17.25">
      <c r="A378" s="274" t="s">
        <v>2379</v>
      </c>
      <c r="B378" s="274" t="s">
        <v>2263</v>
      </c>
      <c r="C378" s="274" t="s">
        <v>2315</v>
      </c>
      <c r="D378" s="274" t="s">
        <v>2498</v>
      </c>
      <c r="E378" s="275" t="s">
        <v>2315</v>
      </c>
      <c r="F378" s="274" t="s">
        <v>1964</v>
      </c>
      <c r="G378" s="274" t="s">
        <v>2380</v>
      </c>
    </row>
    <row r="379" spans="1:7" ht="15">
      <c r="A379" s="56" t="s">
        <v>2381</v>
      </c>
      <c r="B379" s="56" t="s">
        <v>2301</v>
      </c>
      <c r="C379" s="56" t="s">
        <v>108</v>
      </c>
      <c r="D379" s="56" t="s">
        <v>2498</v>
      </c>
      <c r="E379" s="74" t="s">
        <v>108</v>
      </c>
      <c r="F379" s="56" t="s">
        <v>1964</v>
      </c>
      <c r="G379" s="56" t="s">
        <v>2382</v>
      </c>
    </row>
    <row r="380" spans="1:7" ht="15">
      <c r="A380" s="56" t="s">
        <v>2383</v>
      </c>
      <c r="B380" s="56" t="s">
        <v>2298</v>
      </c>
      <c r="C380" s="56" t="s">
        <v>108</v>
      </c>
      <c r="D380" s="56" t="s">
        <v>2498</v>
      </c>
      <c r="E380" s="74" t="s">
        <v>108</v>
      </c>
      <c r="F380" s="56" t="s">
        <v>1964</v>
      </c>
      <c r="G380" s="56" t="s">
        <v>2384</v>
      </c>
    </row>
    <row r="381" spans="1:7" ht="17.25">
      <c r="A381" s="274" t="s">
        <v>2385</v>
      </c>
      <c r="B381" s="274" t="s">
        <v>2386</v>
      </c>
      <c r="C381" s="274" t="s">
        <v>108</v>
      </c>
      <c r="D381" s="274" t="s">
        <v>2498</v>
      </c>
      <c r="E381" s="275" t="s">
        <v>108</v>
      </c>
      <c r="F381" s="274" t="s">
        <v>1964</v>
      </c>
      <c r="G381" s="274" t="s">
        <v>2387</v>
      </c>
    </row>
    <row r="382" spans="1:7" ht="17.25">
      <c r="A382" s="75" t="s">
        <v>2508</v>
      </c>
      <c r="B382" s="75"/>
      <c r="C382" s="75"/>
      <c r="D382" s="75"/>
      <c r="E382" s="76"/>
      <c r="F382" s="75"/>
      <c r="G382" s="75"/>
    </row>
    <row r="383" spans="1:7" ht="17.25">
      <c r="A383" s="274" t="s">
        <v>2389</v>
      </c>
      <c r="B383" s="274" t="s">
        <v>2301</v>
      </c>
      <c r="C383" s="274" t="s">
        <v>108</v>
      </c>
      <c r="D383" s="274" t="s">
        <v>2498</v>
      </c>
      <c r="E383" s="275" t="s">
        <v>108</v>
      </c>
      <c r="F383" s="274" t="s">
        <v>1964</v>
      </c>
      <c r="G383" s="274" t="s">
        <v>2390</v>
      </c>
    </row>
    <row r="384" spans="1:7" ht="17.25">
      <c r="A384" s="274" t="s">
        <v>2391</v>
      </c>
      <c r="B384" s="274" t="s">
        <v>2392</v>
      </c>
      <c r="C384" s="274" t="s">
        <v>108</v>
      </c>
      <c r="D384" s="274" t="s">
        <v>2498</v>
      </c>
      <c r="E384" s="275" t="s">
        <v>108</v>
      </c>
      <c r="F384" s="274" t="s">
        <v>1964</v>
      </c>
      <c r="G384" s="274" t="s">
        <v>2393</v>
      </c>
    </row>
    <row r="385" spans="1:7" ht="17.25">
      <c r="A385" s="274" t="s">
        <v>2394</v>
      </c>
      <c r="B385" s="274" t="s">
        <v>2395</v>
      </c>
      <c r="C385" s="274" t="s">
        <v>108</v>
      </c>
      <c r="D385" s="274" t="s">
        <v>2498</v>
      </c>
      <c r="E385" s="275" t="s">
        <v>108</v>
      </c>
      <c r="F385" s="274" t="s">
        <v>1964</v>
      </c>
      <c r="G385" s="274" t="s">
        <v>2396</v>
      </c>
    </row>
    <row r="386" spans="1:7" ht="15">
      <c r="A386" s="56" t="s">
        <v>2397</v>
      </c>
      <c r="B386" s="56" t="s">
        <v>2398</v>
      </c>
      <c r="C386" s="56" t="s">
        <v>2315</v>
      </c>
      <c r="D386" s="56" t="s">
        <v>2498</v>
      </c>
      <c r="E386" s="74" t="s">
        <v>2315</v>
      </c>
      <c r="F386" s="56" t="s">
        <v>1964</v>
      </c>
      <c r="G386" s="56" t="s">
        <v>2252</v>
      </c>
    </row>
    <row r="387" spans="1:7" ht="17.25">
      <c r="A387" s="274" t="s">
        <v>2399</v>
      </c>
      <c r="B387" s="274" t="s">
        <v>2398</v>
      </c>
      <c r="C387" s="274" t="s">
        <v>2400</v>
      </c>
      <c r="D387" s="274" t="s">
        <v>2498</v>
      </c>
      <c r="E387" s="275" t="s">
        <v>108</v>
      </c>
      <c r="F387" s="274" t="s">
        <v>1964</v>
      </c>
      <c r="G387" s="274" t="s">
        <v>2252</v>
      </c>
    </row>
    <row r="388" spans="1:7" ht="17.25">
      <c r="A388" s="75" t="s">
        <v>2509</v>
      </c>
      <c r="B388" s="75"/>
      <c r="C388" s="75"/>
      <c r="D388" s="75"/>
      <c r="E388" s="76"/>
      <c r="F388" s="75"/>
      <c r="G388" s="75"/>
    </row>
    <row r="389" spans="1:7" ht="17.25">
      <c r="A389" s="274" t="s">
        <v>2305</v>
      </c>
      <c r="B389" s="274"/>
      <c r="C389" s="274" t="s">
        <v>552</v>
      </c>
      <c r="D389" s="274" t="s">
        <v>2498</v>
      </c>
      <c r="E389" s="275" t="s">
        <v>552</v>
      </c>
      <c r="F389" s="274" t="s">
        <v>2156</v>
      </c>
      <c r="G389" s="274" t="s">
        <v>2252</v>
      </c>
    </row>
    <row r="390" spans="1:7" ht="15">
      <c r="A390" s="56" t="s">
        <v>2402</v>
      </c>
      <c r="B390" s="56" t="s">
        <v>2403</v>
      </c>
      <c r="C390" s="56" t="s">
        <v>108</v>
      </c>
      <c r="D390" s="56" t="s">
        <v>2498</v>
      </c>
      <c r="E390" s="74" t="s">
        <v>108</v>
      </c>
      <c r="F390" s="56" t="s">
        <v>1964</v>
      </c>
      <c r="G390" s="56" t="s">
        <v>2252</v>
      </c>
    </row>
    <row r="391" spans="1:7" ht="17.25">
      <c r="A391" s="274" t="s">
        <v>2404</v>
      </c>
      <c r="B391" s="274" t="s">
        <v>2403</v>
      </c>
      <c r="C391" s="274" t="s">
        <v>2315</v>
      </c>
      <c r="D391" s="274" t="s">
        <v>2498</v>
      </c>
      <c r="E391" s="275" t="s">
        <v>2315</v>
      </c>
      <c r="F391" s="274" t="s">
        <v>1964</v>
      </c>
      <c r="G391" s="274" t="s">
        <v>2405</v>
      </c>
    </row>
    <row r="392" spans="1:7" ht="17.25">
      <c r="A392" s="274" t="s">
        <v>2406</v>
      </c>
      <c r="B392" s="274" t="s">
        <v>2407</v>
      </c>
      <c r="C392" s="274" t="s">
        <v>2408</v>
      </c>
      <c r="D392" s="274" t="s">
        <v>2498</v>
      </c>
      <c r="E392" s="275" t="s">
        <v>2442</v>
      </c>
      <c r="F392" s="274" t="s">
        <v>2154</v>
      </c>
      <c r="G392" s="274" t="s">
        <v>2410</v>
      </c>
    </row>
    <row r="393" spans="1:7" ht="15">
      <c r="A393" s="56" t="s">
        <v>2411</v>
      </c>
      <c r="B393" s="56" t="s">
        <v>2407</v>
      </c>
      <c r="C393" s="56" t="s">
        <v>2331</v>
      </c>
      <c r="D393" s="56" t="s">
        <v>2498</v>
      </c>
      <c r="E393" s="74" t="s">
        <v>108</v>
      </c>
      <c r="F393" s="56" t="s">
        <v>1964</v>
      </c>
      <c r="G393" s="56" t="s">
        <v>2412</v>
      </c>
    </row>
    <row r="394" spans="1:7" ht="17.25">
      <c r="A394" s="274" t="s">
        <v>2413</v>
      </c>
      <c r="B394" s="274" t="s">
        <v>2403</v>
      </c>
      <c r="C394" s="274" t="s">
        <v>2414</v>
      </c>
      <c r="D394" s="274" t="s">
        <v>2498</v>
      </c>
      <c r="E394" s="275" t="s">
        <v>108</v>
      </c>
      <c r="F394" s="274" t="s">
        <v>1964</v>
      </c>
      <c r="G394" s="274" t="s">
        <v>2252</v>
      </c>
    </row>
    <row r="395" spans="1:7" ht="15">
      <c r="A395" s="56" t="s">
        <v>2415</v>
      </c>
      <c r="B395" s="56" t="s">
        <v>2403</v>
      </c>
      <c r="C395" s="56" t="s">
        <v>2416</v>
      </c>
      <c r="D395" s="56" t="s">
        <v>2498</v>
      </c>
      <c r="E395" s="74" t="s">
        <v>108</v>
      </c>
      <c r="F395" s="56" t="s">
        <v>1964</v>
      </c>
      <c r="G395" s="56" t="s">
        <v>2417</v>
      </c>
    </row>
    <row r="396" spans="1:7" ht="17.25">
      <c r="A396" s="75" t="s">
        <v>2510</v>
      </c>
      <c r="B396" s="75"/>
      <c r="C396" s="75"/>
      <c r="D396" s="75"/>
      <c r="E396" s="76"/>
      <c r="F396" s="75"/>
      <c r="G396" s="75"/>
    </row>
    <row r="397" spans="1:7" ht="17.25">
      <c r="A397" s="274" t="s">
        <v>2419</v>
      </c>
      <c r="B397" s="274" t="s">
        <v>2287</v>
      </c>
      <c r="C397" s="274" t="s">
        <v>2420</v>
      </c>
      <c r="D397" s="274" t="s">
        <v>2498</v>
      </c>
      <c r="E397" s="275" t="s">
        <v>108</v>
      </c>
      <c r="F397" s="274" t="s">
        <v>1964</v>
      </c>
      <c r="G397" s="274" t="s">
        <v>2421</v>
      </c>
    </row>
    <row r="398" spans="1:7" ht="17.25">
      <c r="A398" s="274" t="s">
        <v>2422</v>
      </c>
      <c r="B398" s="274" t="s">
        <v>2423</v>
      </c>
      <c r="C398" s="274" t="s">
        <v>2424</v>
      </c>
      <c r="D398" s="274" t="s">
        <v>2498</v>
      </c>
      <c r="E398" s="275" t="s">
        <v>108</v>
      </c>
      <c r="F398" s="274" t="s">
        <v>1964</v>
      </c>
      <c r="G398" s="274" t="s">
        <v>2425</v>
      </c>
    </row>
    <row r="399" spans="1:7" ht="17.25">
      <c r="A399" s="274" t="s">
        <v>2274</v>
      </c>
      <c r="B399" s="274"/>
      <c r="C399" s="274" t="s">
        <v>2254</v>
      </c>
      <c r="D399" s="274" t="s">
        <v>2498</v>
      </c>
      <c r="E399" s="275" t="s">
        <v>2435</v>
      </c>
      <c r="F399" s="274" t="s">
        <v>2151</v>
      </c>
      <c r="G399" s="274" t="s">
        <v>2252</v>
      </c>
    </row>
    <row r="400" spans="1:7" ht="17.25">
      <c r="A400" s="274" t="s">
        <v>2426</v>
      </c>
      <c r="B400" s="274" t="s">
        <v>2272</v>
      </c>
      <c r="C400" s="274" t="s">
        <v>2427</v>
      </c>
      <c r="D400" s="274" t="s">
        <v>2498</v>
      </c>
      <c r="E400" s="275" t="s">
        <v>2427</v>
      </c>
      <c r="F400" s="274" t="s">
        <v>1964</v>
      </c>
      <c r="G400" s="274" t="s">
        <v>2428</v>
      </c>
    </row>
    <row r="401" spans="1:7" ht="17.25">
      <c r="A401" s="75" t="s">
        <v>2511</v>
      </c>
      <c r="B401" s="75"/>
      <c r="C401" s="75"/>
      <c r="D401" s="75"/>
      <c r="E401" s="76"/>
      <c r="F401" s="75"/>
      <c r="G401" s="75"/>
    </row>
    <row r="402" spans="1:7" ht="17.25">
      <c r="A402" s="274" t="s">
        <v>2465</v>
      </c>
      <c r="B402" s="274" t="s">
        <v>2465</v>
      </c>
      <c r="C402" s="274" t="s">
        <v>2254</v>
      </c>
      <c r="D402" s="274" t="s">
        <v>2512</v>
      </c>
      <c r="E402" s="275" t="s">
        <v>2451</v>
      </c>
      <c r="F402" s="274" t="s">
        <v>1434</v>
      </c>
      <c r="G402" s="274" t="s">
        <v>2487</v>
      </c>
    </row>
    <row r="403" spans="1:7" ht="17.25">
      <c r="A403" s="75" t="s">
        <v>2513</v>
      </c>
      <c r="B403" s="75"/>
      <c r="C403" s="75"/>
      <c r="D403" s="75"/>
      <c r="E403" s="76"/>
      <c r="F403" s="75"/>
      <c r="G403" s="75"/>
    </row>
    <row r="404" spans="1:7" ht="17.25">
      <c r="A404" s="274" t="s">
        <v>2465</v>
      </c>
      <c r="B404" s="274" t="s">
        <v>2465</v>
      </c>
      <c r="C404" s="274" t="s">
        <v>2254</v>
      </c>
      <c r="D404" s="274" t="s">
        <v>2512</v>
      </c>
      <c r="E404" s="275" t="s">
        <v>2451</v>
      </c>
      <c r="F404" s="274" t="s">
        <v>1434</v>
      </c>
      <c r="G404" s="274" t="s">
        <v>2489</v>
      </c>
    </row>
    <row r="405" spans="1:7" ht="17.25">
      <c r="A405" s="75" t="s">
        <v>2514</v>
      </c>
      <c r="B405" s="75"/>
      <c r="C405" s="75"/>
      <c r="D405" s="75"/>
      <c r="E405" s="76"/>
      <c r="F405" s="75"/>
      <c r="G405" s="75"/>
    </row>
    <row r="406" spans="1:7" ht="17.25">
      <c r="A406" s="274" t="s">
        <v>2465</v>
      </c>
      <c r="B406" s="274" t="s">
        <v>2465</v>
      </c>
      <c r="C406" s="274" t="s">
        <v>2254</v>
      </c>
      <c r="D406" s="274" t="s">
        <v>2512</v>
      </c>
      <c r="E406" s="275" t="s">
        <v>2451</v>
      </c>
      <c r="F406" s="274" t="s">
        <v>1434</v>
      </c>
      <c r="G406" s="274" t="s">
        <v>2487</v>
      </c>
    </row>
    <row r="407" spans="1:7" ht="17.25">
      <c r="A407" s="75" t="s">
        <v>2515</v>
      </c>
      <c r="B407" s="75"/>
      <c r="C407" s="75"/>
      <c r="D407" s="75"/>
      <c r="E407" s="76"/>
      <c r="F407" s="75"/>
      <c r="G407" s="75"/>
    </row>
    <row r="408" spans="1:7" ht="17.25">
      <c r="A408" s="274" t="s">
        <v>2465</v>
      </c>
      <c r="B408" s="274" t="s">
        <v>2465</v>
      </c>
      <c r="C408" s="274" t="s">
        <v>2254</v>
      </c>
      <c r="D408" s="274" t="s">
        <v>2512</v>
      </c>
      <c r="E408" s="275" t="s">
        <v>2451</v>
      </c>
      <c r="F408" s="274" t="s">
        <v>1434</v>
      </c>
      <c r="G408" s="274" t="s">
        <v>2492</v>
      </c>
    </row>
    <row r="409" spans="1:7" ht="17.25">
      <c r="A409" s="75" t="s">
        <v>2516</v>
      </c>
      <c r="B409" s="75"/>
      <c r="C409" s="75"/>
      <c r="D409" s="75"/>
      <c r="E409" s="76"/>
      <c r="F409" s="75"/>
      <c r="G409" s="75"/>
    </row>
    <row r="410" spans="1:7" ht="17.25">
      <c r="A410" s="274" t="s">
        <v>2465</v>
      </c>
      <c r="B410" s="274" t="s">
        <v>2465</v>
      </c>
      <c r="C410" s="274" t="s">
        <v>2254</v>
      </c>
      <c r="D410" s="274" t="s">
        <v>2512</v>
      </c>
      <c r="E410" s="275" t="s">
        <v>2451</v>
      </c>
      <c r="F410" s="274" t="s">
        <v>1434</v>
      </c>
      <c r="G410" s="274" t="s">
        <v>2489</v>
      </c>
    </row>
    <row r="411" spans="1:7" ht="17.25">
      <c r="A411" s="75" t="s">
        <v>2517</v>
      </c>
      <c r="B411" s="75"/>
      <c r="C411" s="75"/>
      <c r="D411" s="75"/>
      <c r="E411" s="76"/>
      <c r="F411" s="75"/>
      <c r="G411" s="75"/>
    </row>
    <row r="412" spans="1:7" ht="17.25">
      <c r="A412" s="274" t="s">
        <v>2465</v>
      </c>
      <c r="B412" s="274" t="s">
        <v>2465</v>
      </c>
      <c r="C412" s="274" t="s">
        <v>2254</v>
      </c>
      <c r="D412" s="274" t="s">
        <v>2512</v>
      </c>
      <c r="E412" s="275" t="s">
        <v>2451</v>
      </c>
      <c r="F412" s="274" t="s">
        <v>1434</v>
      </c>
      <c r="G412" s="274" t="s">
        <v>2489</v>
      </c>
    </row>
    <row r="413" spans="1:7" ht="17.25">
      <c r="A413" s="75" t="s">
        <v>2518</v>
      </c>
      <c r="B413" s="75"/>
      <c r="C413" s="75"/>
      <c r="D413" s="75"/>
      <c r="E413" s="76"/>
      <c r="F413" s="75"/>
      <c r="G413" s="75"/>
    </row>
    <row r="414" spans="1:7" ht="15">
      <c r="A414" s="56" t="s">
        <v>2465</v>
      </c>
      <c r="B414" s="56" t="s">
        <v>2465</v>
      </c>
      <c r="C414" s="56" t="s">
        <v>2254</v>
      </c>
      <c r="D414" s="56" t="s">
        <v>2512</v>
      </c>
      <c r="E414" s="74" t="s">
        <v>2451</v>
      </c>
      <c r="F414" s="56" t="s">
        <v>1434</v>
      </c>
      <c r="G414" s="56" t="s">
        <v>2489</v>
      </c>
    </row>
    <row r="415" spans="1:7" ht="17.25">
      <c r="A415" s="75" t="s">
        <v>2519</v>
      </c>
      <c r="B415" s="75"/>
      <c r="C415" s="75"/>
      <c r="D415" s="75"/>
      <c r="E415" s="76"/>
      <c r="F415" s="75"/>
      <c r="G415" s="75"/>
    </row>
    <row r="416" spans="1:7" ht="17.25">
      <c r="A416" s="274" t="s">
        <v>2465</v>
      </c>
      <c r="B416" s="274" t="s">
        <v>2465</v>
      </c>
      <c r="C416" s="274" t="s">
        <v>2254</v>
      </c>
      <c r="D416" s="274" t="s">
        <v>2512</v>
      </c>
      <c r="E416" s="275" t="s">
        <v>2451</v>
      </c>
      <c r="F416" s="274" t="s">
        <v>1434</v>
      </c>
      <c r="G416" s="274" t="s">
        <v>2489</v>
      </c>
    </row>
    <row r="417" spans="1:7" ht="17.25">
      <c r="A417" s="75" t="s">
        <v>2520</v>
      </c>
      <c r="B417" s="75"/>
      <c r="C417" s="75"/>
      <c r="D417" s="75"/>
      <c r="E417" s="76"/>
      <c r="F417" s="75"/>
      <c r="G417" s="75"/>
    </row>
    <row r="418" spans="1:7" ht="17.25">
      <c r="A418" s="274" t="s">
        <v>2276</v>
      </c>
      <c r="B418" s="274" t="s">
        <v>2277</v>
      </c>
      <c r="C418" s="274" t="s">
        <v>1565</v>
      </c>
      <c r="D418" s="274" t="s">
        <v>2521</v>
      </c>
      <c r="E418" s="275" t="s">
        <v>108</v>
      </c>
      <c r="F418" s="274" t="s">
        <v>1882</v>
      </c>
      <c r="G418" s="274" t="s">
        <v>2279</v>
      </c>
    </row>
    <row r="419" spans="1:7" ht="17.25">
      <c r="A419" s="274" t="s">
        <v>2309</v>
      </c>
      <c r="B419" s="274"/>
      <c r="C419" s="274" t="s">
        <v>2310</v>
      </c>
      <c r="D419" s="274" t="s">
        <v>2521</v>
      </c>
      <c r="E419" s="275" t="s">
        <v>108</v>
      </c>
      <c r="F419" s="274" t="s">
        <v>2173</v>
      </c>
      <c r="G419" s="274" t="s">
        <v>2252</v>
      </c>
    </row>
    <row r="420" spans="1:7" ht="15">
      <c r="A420" s="56" t="s">
        <v>2312</v>
      </c>
      <c r="B420" s="56" t="s">
        <v>2242</v>
      </c>
      <c r="C420" s="56" t="s">
        <v>108</v>
      </c>
      <c r="D420" s="56" t="s">
        <v>2521</v>
      </c>
      <c r="E420" s="74" t="s">
        <v>108</v>
      </c>
      <c r="F420" s="56" t="s">
        <v>1882</v>
      </c>
      <c r="G420" s="56" t="s">
        <v>2252</v>
      </c>
    </row>
    <row r="421" spans="1:7" ht="15">
      <c r="A421" s="56" t="s">
        <v>2313</v>
      </c>
      <c r="B421" s="56" t="s">
        <v>2314</v>
      </c>
      <c r="C421" s="56" t="s">
        <v>2315</v>
      </c>
      <c r="D421" s="56" t="s">
        <v>2521</v>
      </c>
      <c r="E421" s="74" t="s">
        <v>2315</v>
      </c>
      <c r="F421" s="56" t="s">
        <v>1882</v>
      </c>
      <c r="G421" s="56" t="s">
        <v>2316</v>
      </c>
    </row>
    <row r="422" spans="1:7" ht="15">
      <c r="A422" s="56" t="s">
        <v>2317</v>
      </c>
      <c r="B422" s="56"/>
      <c r="C422" s="56" t="s">
        <v>108</v>
      </c>
      <c r="D422" s="56" t="s">
        <v>2521</v>
      </c>
      <c r="E422" s="74" t="s">
        <v>108</v>
      </c>
      <c r="F422" s="56" t="s">
        <v>1882</v>
      </c>
      <c r="G422" s="56" t="s">
        <v>2252</v>
      </c>
    </row>
    <row r="423" spans="1:7" ht="17.25">
      <c r="A423" s="75" t="s">
        <v>2522</v>
      </c>
      <c r="B423" s="75"/>
      <c r="C423" s="75"/>
      <c r="D423" s="75"/>
      <c r="E423" s="76"/>
      <c r="F423" s="75"/>
      <c r="G423" s="75"/>
    </row>
    <row r="424" spans="1:7" ht="17.25">
      <c r="A424" s="274" t="s">
        <v>2319</v>
      </c>
      <c r="B424" s="274" t="s">
        <v>2249</v>
      </c>
      <c r="C424" s="274" t="s">
        <v>108</v>
      </c>
      <c r="D424" s="274" t="s">
        <v>2521</v>
      </c>
      <c r="E424" s="275" t="s">
        <v>108</v>
      </c>
      <c r="F424" s="274" t="s">
        <v>1882</v>
      </c>
      <c r="G424" s="274" t="s">
        <v>2252</v>
      </c>
    </row>
    <row r="425" spans="1:7" ht="17.25">
      <c r="A425" s="274" t="s">
        <v>2320</v>
      </c>
      <c r="B425" s="274" t="s">
        <v>2321</v>
      </c>
      <c r="C425" s="274" t="s">
        <v>108</v>
      </c>
      <c r="D425" s="274" t="s">
        <v>2521</v>
      </c>
      <c r="E425" s="275" t="s">
        <v>108</v>
      </c>
      <c r="F425" s="274" t="s">
        <v>1882</v>
      </c>
      <c r="G425" s="274" t="s">
        <v>2322</v>
      </c>
    </row>
    <row r="426" spans="1:7" ht="15">
      <c r="A426" s="56" t="s">
        <v>2323</v>
      </c>
      <c r="B426" s="56" t="s">
        <v>2321</v>
      </c>
      <c r="C426" s="56" t="s">
        <v>108</v>
      </c>
      <c r="D426" s="56" t="s">
        <v>2521</v>
      </c>
      <c r="E426" s="74" t="s">
        <v>108</v>
      </c>
      <c r="F426" s="56" t="s">
        <v>1882</v>
      </c>
      <c r="G426" s="56" t="s">
        <v>2252</v>
      </c>
    </row>
    <row r="427" spans="1:7" ht="17.25">
      <c r="A427" s="274" t="s">
        <v>2324</v>
      </c>
      <c r="B427" s="274" t="s">
        <v>2325</v>
      </c>
      <c r="C427" s="274" t="s">
        <v>108</v>
      </c>
      <c r="D427" s="274" t="s">
        <v>2521</v>
      </c>
      <c r="E427" s="275" t="s">
        <v>108</v>
      </c>
      <c r="F427" s="274" t="s">
        <v>1882</v>
      </c>
      <c r="G427" s="274" t="s">
        <v>2326</v>
      </c>
    </row>
    <row r="428" spans="1:7" ht="17.25">
      <c r="A428" s="75" t="s">
        <v>2523</v>
      </c>
      <c r="B428" s="75"/>
      <c r="C428" s="75"/>
      <c r="D428" s="75"/>
      <c r="E428" s="76"/>
      <c r="F428" s="75"/>
      <c r="G428" s="75"/>
    </row>
    <row r="429" spans="1:7" ht="17.25">
      <c r="A429" s="274" t="s">
        <v>2328</v>
      </c>
      <c r="B429" s="274" t="s">
        <v>2282</v>
      </c>
      <c r="C429" s="274" t="s">
        <v>108</v>
      </c>
      <c r="D429" s="274" t="s">
        <v>2521</v>
      </c>
      <c r="E429" s="275" t="s">
        <v>108</v>
      </c>
      <c r="F429" s="274" t="s">
        <v>1882</v>
      </c>
      <c r="G429" s="274" t="s">
        <v>2252</v>
      </c>
    </row>
    <row r="430" spans="1:7" ht="17.25">
      <c r="A430" s="274" t="s">
        <v>2281</v>
      </c>
      <c r="B430" s="274" t="s">
        <v>2282</v>
      </c>
      <c r="C430" s="274" t="s">
        <v>2283</v>
      </c>
      <c r="D430" s="274" t="s">
        <v>2521</v>
      </c>
      <c r="E430" s="275" t="s">
        <v>108</v>
      </c>
      <c r="F430" s="274" t="s">
        <v>2173</v>
      </c>
      <c r="G430" s="274" t="s">
        <v>2252</v>
      </c>
    </row>
    <row r="431" spans="1:7" ht="17.25">
      <c r="A431" s="274" t="s">
        <v>2330</v>
      </c>
      <c r="B431" s="274" t="s">
        <v>2282</v>
      </c>
      <c r="C431" s="274" t="s">
        <v>2331</v>
      </c>
      <c r="D431" s="274" t="s">
        <v>2521</v>
      </c>
      <c r="E431" s="275" t="s">
        <v>108</v>
      </c>
      <c r="F431" s="274" t="s">
        <v>1882</v>
      </c>
      <c r="G431" s="274" t="s">
        <v>2332</v>
      </c>
    </row>
    <row r="432" spans="1:7" ht="15">
      <c r="A432" s="56" t="s">
        <v>2333</v>
      </c>
      <c r="B432" s="56" t="s">
        <v>2282</v>
      </c>
      <c r="C432" s="56" t="s">
        <v>108</v>
      </c>
      <c r="D432" s="56" t="s">
        <v>2521</v>
      </c>
      <c r="E432" s="74" t="s">
        <v>108</v>
      </c>
      <c r="F432" s="56" t="s">
        <v>1882</v>
      </c>
      <c r="G432" s="56" t="s">
        <v>2252</v>
      </c>
    </row>
    <row r="433" spans="1:7" ht="17.25">
      <c r="A433" s="75" t="s">
        <v>2524</v>
      </c>
      <c r="B433" s="75"/>
      <c r="C433" s="75"/>
      <c r="D433" s="75"/>
      <c r="E433" s="76"/>
      <c r="F433" s="75"/>
      <c r="G433" s="75"/>
    </row>
    <row r="434" spans="1:7" ht="17.25">
      <c r="A434" s="274" t="s">
        <v>2335</v>
      </c>
      <c r="B434" s="274" t="s">
        <v>2336</v>
      </c>
      <c r="C434" s="274" t="s">
        <v>2337</v>
      </c>
      <c r="D434" s="274" t="s">
        <v>2521</v>
      </c>
      <c r="E434" s="275" t="s">
        <v>108</v>
      </c>
      <c r="F434" s="274" t="s">
        <v>1882</v>
      </c>
      <c r="G434" s="274" t="s">
        <v>2252</v>
      </c>
    </row>
    <row r="435" spans="1:7" ht="17.25">
      <c r="A435" s="274" t="s">
        <v>2338</v>
      </c>
      <c r="B435" s="274" t="s">
        <v>2336</v>
      </c>
      <c r="C435" s="274" t="s">
        <v>2339</v>
      </c>
      <c r="D435" s="274" t="s">
        <v>2521</v>
      </c>
      <c r="E435" s="275" t="s">
        <v>108</v>
      </c>
      <c r="F435" s="274" t="s">
        <v>1882</v>
      </c>
      <c r="G435" s="274" t="s">
        <v>2252</v>
      </c>
    </row>
    <row r="436" spans="1:7" ht="15">
      <c r="A436" s="56" t="s">
        <v>2340</v>
      </c>
      <c r="B436" s="56" t="s">
        <v>2341</v>
      </c>
      <c r="C436" s="56" t="s">
        <v>108</v>
      </c>
      <c r="D436" s="56" t="s">
        <v>2521</v>
      </c>
      <c r="E436" s="74" t="s">
        <v>108</v>
      </c>
      <c r="F436" s="56" t="s">
        <v>1882</v>
      </c>
      <c r="G436" s="56" t="s">
        <v>2342</v>
      </c>
    </row>
    <row r="437" spans="1:7" ht="17.25">
      <c r="A437" s="274" t="s">
        <v>2343</v>
      </c>
      <c r="B437" s="274" t="s">
        <v>2341</v>
      </c>
      <c r="C437" s="274" t="s">
        <v>108</v>
      </c>
      <c r="D437" s="274" t="s">
        <v>2521</v>
      </c>
      <c r="E437" s="275" t="s">
        <v>108</v>
      </c>
      <c r="F437" s="274" t="s">
        <v>1882</v>
      </c>
      <c r="G437" s="274" t="s">
        <v>2252</v>
      </c>
    </row>
    <row r="438" spans="1:7" ht="17.25">
      <c r="A438" s="75" t="s">
        <v>2525</v>
      </c>
      <c r="B438" s="75"/>
      <c r="C438" s="75"/>
      <c r="D438" s="75"/>
      <c r="E438" s="76"/>
      <c r="F438" s="75"/>
      <c r="G438" s="75"/>
    </row>
    <row r="439" spans="1:7" ht="17.25">
      <c r="A439" s="274" t="s">
        <v>2345</v>
      </c>
      <c r="B439" s="274" t="s">
        <v>2346</v>
      </c>
      <c r="C439" s="274" t="s">
        <v>108</v>
      </c>
      <c r="D439" s="274" t="s">
        <v>2521</v>
      </c>
      <c r="E439" s="275" t="s">
        <v>108</v>
      </c>
      <c r="F439" s="274" t="s">
        <v>1882</v>
      </c>
      <c r="G439" s="274" t="s">
        <v>2347</v>
      </c>
    </row>
    <row r="440" spans="1:7" ht="15">
      <c r="A440" s="56" t="s">
        <v>2248</v>
      </c>
      <c r="B440" s="56" t="s">
        <v>2249</v>
      </c>
      <c r="C440" s="56" t="s">
        <v>2250</v>
      </c>
      <c r="D440" s="56" t="s">
        <v>2521</v>
      </c>
      <c r="E440" s="74" t="s">
        <v>2526</v>
      </c>
      <c r="F440" s="56" t="s">
        <v>1434</v>
      </c>
      <c r="G440" s="56" t="s">
        <v>2252</v>
      </c>
    </row>
    <row r="441" spans="1:7" ht="17.25">
      <c r="A441" s="274" t="s">
        <v>2253</v>
      </c>
      <c r="B441" s="274" t="s">
        <v>2249</v>
      </c>
      <c r="C441" s="274" t="s">
        <v>2254</v>
      </c>
      <c r="D441" s="274" t="s">
        <v>2521</v>
      </c>
      <c r="E441" s="275" t="s">
        <v>2526</v>
      </c>
      <c r="F441" s="274" t="s">
        <v>1434</v>
      </c>
      <c r="G441" s="274" t="s">
        <v>2252</v>
      </c>
    </row>
    <row r="442" spans="1:7" ht="17.25">
      <c r="A442" s="274" t="s">
        <v>2255</v>
      </c>
      <c r="B442" s="274" t="s">
        <v>2249</v>
      </c>
      <c r="C442" s="274" t="s">
        <v>2254</v>
      </c>
      <c r="D442" s="274" t="s">
        <v>2521</v>
      </c>
      <c r="E442" s="275" t="s">
        <v>2526</v>
      </c>
      <c r="F442" s="274" t="s">
        <v>1434</v>
      </c>
      <c r="G442" s="274" t="s">
        <v>2252</v>
      </c>
    </row>
    <row r="443" spans="1:7" ht="17.25">
      <c r="A443" s="274" t="s">
        <v>2256</v>
      </c>
      <c r="B443" s="274" t="s">
        <v>2257</v>
      </c>
      <c r="C443" s="274" t="s">
        <v>2254</v>
      </c>
      <c r="D443" s="274" t="s">
        <v>2521</v>
      </c>
      <c r="E443" s="275" t="s">
        <v>2526</v>
      </c>
      <c r="F443" s="274" t="s">
        <v>1434</v>
      </c>
      <c r="G443" s="274" t="s">
        <v>2252</v>
      </c>
    </row>
    <row r="444" spans="1:7" ht="17.25">
      <c r="A444" s="274" t="s">
        <v>2258</v>
      </c>
      <c r="B444" s="274"/>
      <c r="C444" s="274" t="s">
        <v>2254</v>
      </c>
      <c r="D444" s="274" t="s">
        <v>2521</v>
      </c>
      <c r="E444" s="275" t="s">
        <v>2526</v>
      </c>
      <c r="F444" s="274" t="s">
        <v>1434</v>
      </c>
      <c r="G444" s="274" t="s">
        <v>2252</v>
      </c>
    </row>
    <row r="445" spans="1:7" ht="17.25">
      <c r="A445" s="274" t="s">
        <v>2259</v>
      </c>
      <c r="B445" s="274"/>
      <c r="C445" s="274" t="s">
        <v>2254</v>
      </c>
      <c r="D445" s="274" t="s">
        <v>2521</v>
      </c>
      <c r="E445" s="275" t="s">
        <v>2526</v>
      </c>
      <c r="F445" s="274" t="s">
        <v>1434</v>
      </c>
      <c r="G445" s="274" t="s">
        <v>2252</v>
      </c>
    </row>
    <row r="446" spans="1:7" ht="17.25">
      <c r="A446" s="274" t="s">
        <v>2260</v>
      </c>
      <c r="B446" s="274"/>
      <c r="C446" s="274" t="s">
        <v>2254</v>
      </c>
      <c r="D446" s="274" t="s">
        <v>2521</v>
      </c>
      <c r="E446" s="275" t="s">
        <v>2526</v>
      </c>
      <c r="F446" s="274" t="s">
        <v>1434</v>
      </c>
      <c r="G446" s="274" t="s">
        <v>2252</v>
      </c>
    </row>
    <row r="447" spans="1:7" ht="17.25">
      <c r="A447" s="75" t="s">
        <v>2527</v>
      </c>
      <c r="B447" s="75"/>
      <c r="C447" s="75"/>
      <c r="D447" s="75"/>
      <c r="E447" s="76"/>
      <c r="F447" s="75"/>
      <c r="G447" s="75"/>
    </row>
    <row r="448" spans="1:7" ht="17.25">
      <c r="A448" s="274" t="s">
        <v>2350</v>
      </c>
      <c r="B448" s="274" t="s">
        <v>2351</v>
      </c>
      <c r="C448" s="274" t="s">
        <v>108</v>
      </c>
      <c r="D448" s="274" t="s">
        <v>2521</v>
      </c>
      <c r="E448" s="275" t="s">
        <v>108</v>
      </c>
      <c r="F448" s="274" t="s">
        <v>1882</v>
      </c>
      <c r="G448" s="274" t="s">
        <v>2252</v>
      </c>
    </row>
    <row r="449" spans="1:7" ht="17.25">
      <c r="A449" s="274" t="s">
        <v>2352</v>
      </c>
      <c r="B449" s="274"/>
      <c r="C449" s="274" t="s">
        <v>2337</v>
      </c>
      <c r="D449" s="274" t="s">
        <v>2521</v>
      </c>
      <c r="E449" s="275" t="s">
        <v>108</v>
      </c>
      <c r="F449" s="274" t="s">
        <v>1882</v>
      </c>
      <c r="G449" s="274" t="s">
        <v>2252</v>
      </c>
    </row>
    <row r="450" spans="1:7" ht="17.25">
      <c r="A450" s="274" t="s">
        <v>2353</v>
      </c>
      <c r="B450" s="274" t="s">
        <v>2351</v>
      </c>
      <c r="C450" s="274" t="s">
        <v>2354</v>
      </c>
      <c r="D450" s="274" t="s">
        <v>2521</v>
      </c>
      <c r="E450" s="275" t="s">
        <v>108</v>
      </c>
      <c r="F450" s="274" t="s">
        <v>1882</v>
      </c>
      <c r="G450" s="274" t="s">
        <v>2355</v>
      </c>
    </row>
    <row r="451" spans="1:7" ht="15">
      <c r="A451" s="56" t="s">
        <v>2356</v>
      </c>
      <c r="B451" s="56" t="s">
        <v>2351</v>
      </c>
      <c r="C451" s="56" t="s">
        <v>2315</v>
      </c>
      <c r="D451" s="56" t="s">
        <v>2521</v>
      </c>
      <c r="E451" s="74" t="s">
        <v>2315</v>
      </c>
      <c r="F451" s="56" t="s">
        <v>1882</v>
      </c>
      <c r="G451" s="56" t="s">
        <v>2252</v>
      </c>
    </row>
    <row r="452" spans="1:7" ht="17.25">
      <c r="A452" s="274" t="s">
        <v>2357</v>
      </c>
      <c r="B452" s="274" t="s">
        <v>2358</v>
      </c>
      <c r="C452" s="274" t="s">
        <v>108</v>
      </c>
      <c r="D452" s="274" t="s">
        <v>2521</v>
      </c>
      <c r="E452" s="275" t="s">
        <v>108</v>
      </c>
      <c r="F452" s="274" t="s">
        <v>1882</v>
      </c>
      <c r="G452" s="274" t="s">
        <v>2252</v>
      </c>
    </row>
    <row r="453" spans="1:7" ht="17.25">
      <c r="A453" s="75" t="s">
        <v>2528</v>
      </c>
      <c r="B453" s="75"/>
      <c r="C453" s="75"/>
      <c r="D453" s="75"/>
      <c r="E453" s="76"/>
      <c r="F453" s="75"/>
      <c r="G453" s="75"/>
    </row>
    <row r="454" spans="1:7" ht="17.25">
      <c r="A454" s="274" t="s">
        <v>2363</v>
      </c>
      <c r="B454" s="274"/>
      <c r="C454" s="274" t="s">
        <v>2315</v>
      </c>
      <c r="D454" s="274" t="s">
        <v>2521</v>
      </c>
      <c r="E454" s="275" t="s">
        <v>2315</v>
      </c>
      <c r="F454" s="274" t="s">
        <v>1882</v>
      </c>
      <c r="G454" s="274" t="s">
        <v>2252</v>
      </c>
    </row>
    <row r="455" spans="1:7" ht="15">
      <c r="A455" s="56" t="s">
        <v>2294</v>
      </c>
      <c r="B455" s="56"/>
      <c r="C455" s="56" t="s">
        <v>2295</v>
      </c>
      <c r="D455" s="56" t="s">
        <v>2521</v>
      </c>
      <c r="E455" s="74" t="s">
        <v>2315</v>
      </c>
      <c r="F455" s="56" t="s">
        <v>1882</v>
      </c>
      <c r="G455" s="56" t="s">
        <v>2252</v>
      </c>
    </row>
    <row r="456" spans="1:7" ht="17.25">
      <c r="A456" s="274" t="s">
        <v>2364</v>
      </c>
      <c r="B456" s="274" t="s">
        <v>2351</v>
      </c>
      <c r="C456" s="274" t="s">
        <v>108</v>
      </c>
      <c r="D456" s="274" t="s">
        <v>2521</v>
      </c>
      <c r="E456" s="275" t="s">
        <v>108</v>
      </c>
      <c r="F456" s="274" t="s">
        <v>1882</v>
      </c>
      <c r="G456" s="274" t="s">
        <v>2252</v>
      </c>
    </row>
    <row r="457" spans="1:7" ht="17.25">
      <c r="A457" s="274" t="s">
        <v>2365</v>
      </c>
      <c r="B457" s="274" t="s">
        <v>2351</v>
      </c>
      <c r="C457" s="274" t="s">
        <v>108</v>
      </c>
      <c r="D457" s="274" t="s">
        <v>2521</v>
      </c>
      <c r="E457" s="275" t="s">
        <v>108</v>
      </c>
      <c r="F457" s="274" t="s">
        <v>1882</v>
      </c>
      <c r="G457" s="274" t="s">
        <v>2252</v>
      </c>
    </row>
    <row r="458" spans="1:7" ht="17.25">
      <c r="A458" s="274" t="s">
        <v>2366</v>
      </c>
      <c r="B458" s="274" t="s">
        <v>2257</v>
      </c>
      <c r="C458" s="274" t="s">
        <v>108</v>
      </c>
      <c r="D458" s="274" t="s">
        <v>2521</v>
      </c>
      <c r="E458" s="275" t="s">
        <v>108</v>
      </c>
      <c r="F458" s="274" t="s">
        <v>1882</v>
      </c>
      <c r="G458" s="274" t="s">
        <v>2252</v>
      </c>
    </row>
    <row r="459" spans="1:7" ht="15">
      <c r="A459" s="56" t="s">
        <v>2367</v>
      </c>
      <c r="B459" s="56" t="s">
        <v>2368</v>
      </c>
      <c r="C459" s="56" t="s">
        <v>2315</v>
      </c>
      <c r="D459" s="56" t="s">
        <v>2521</v>
      </c>
      <c r="E459" s="74" t="s">
        <v>2315</v>
      </c>
      <c r="F459" s="56" t="s">
        <v>1882</v>
      </c>
      <c r="G459" s="56" t="s">
        <v>2252</v>
      </c>
    </row>
    <row r="460" spans="1:7" ht="17.25">
      <c r="A460" s="274" t="s">
        <v>2369</v>
      </c>
      <c r="B460" s="274" t="s">
        <v>2368</v>
      </c>
      <c r="C460" s="274" t="s">
        <v>2315</v>
      </c>
      <c r="D460" s="274" t="s">
        <v>2521</v>
      </c>
      <c r="E460" s="275" t="s">
        <v>2315</v>
      </c>
      <c r="F460" s="274" t="s">
        <v>1882</v>
      </c>
      <c r="G460" s="274" t="s">
        <v>2252</v>
      </c>
    </row>
    <row r="461" spans="1:7" ht="17.25">
      <c r="A461" s="274" t="s">
        <v>2370</v>
      </c>
      <c r="B461" s="274" t="s">
        <v>2368</v>
      </c>
      <c r="C461" s="274" t="s">
        <v>108</v>
      </c>
      <c r="D461" s="274" t="s">
        <v>2521</v>
      </c>
      <c r="E461" s="275" t="s">
        <v>108</v>
      </c>
      <c r="F461" s="274" t="s">
        <v>1882</v>
      </c>
      <c r="G461" s="274" t="s">
        <v>2371</v>
      </c>
    </row>
    <row r="462" spans="1:7" ht="17.25">
      <c r="A462" s="75" t="s">
        <v>2529</v>
      </c>
      <c r="B462" s="75"/>
      <c r="C462" s="75"/>
      <c r="D462" s="75"/>
      <c r="E462" s="76"/>
      <c r="F462" s="75"/>
      <c r="G462" s="75"/>
    </row>
    <row r="463" spans="1:7" ht="15">
      <c r="A463" s="56" t="s">
        <v>2373</v>
      </c>
      <c r="B463" s="56" t="s">
        <v>2374</v>
      </c>
      <c r="C463" s="56" t="s">
        <v>108</v>
      </c>
      <c r="D463" s="56" t="s">
        <v>2521</v>
      </c>
      <c r="E463" s="74" t="s">
        <v>108</v>
      </c>
      <c r="F463" s="56" t="s">
        <v>1882</v>
      </c>
      <c r="G463" s="56" t="s">
        <v>2252</v>
      </c>
    </row>
    <row r="464" spans="1:7" ht="15">
      <c r="A464" s="56" t="s">
        <v>2375</v>
      </c>
      <c r="B464" s="56" t="s">
        <v>2376</v>
      </c>
      <c r="C464" s="56" t="s">
        <v>108</v>
      </c>
      <c r="D464" s="56" t="s">
        <v>2521</v>
      </c>
      <c r="E464" s="74" t="s">
        <v>108</v>
      </c>
      <c r="F464" s="56" t="s">
        <v>1882</v>
      </c>
      <c r="G464" s="56" t="s">
        <v>2252</v>
      </c>
    </row>
    <row r="465" spans="1:7" ht="17.25">
      <c r="A465" s="274" t="s">
        <v>2377</v>
      </c>
      <c r="B465" s="274" t="s">
        <v>2376</v>
      </c>
      <c r="C465" s="274" t="s">
        <v>108</v>
      </c>
      <c r="D465" s="274" t="s">
        <v>2521</v>
      </c>
      <c r="E465" s="275" t="s">
        <v>108</v>
      </c>
      <c r="F465" s="274" t="s">
        <v>1882</v>
      </c>
      <c r="G465" s="274" t="s">
        <v>2252</v>
      </c>
    </row>
    <row r="466" spans="1:7" ht="17.25">
      <c r="A466" s="75" t="s">
        <v>2530</v>
      </c>
      <c r="B466" s="75"/>
      <c r="C466" s="75"/>
      <c r="D466" s="75"/>
      <c r="E466" s="76"/>
      <c r="F466" s="75"/>
      <c r="G466" s="75"/>
    </row>
    <row r="467" spans="1:7" ht="15">
      <c r="A467" s="56" t="s">
        <v>2379</v>
      </c>
      <c r="B467" s="56" t="s">
        <v>2263</v>
      </c>
      <c r="C467" s="56" t="s">
        <v>2315</v>
      </c>
      <c r="D467" s="56" t="s">
        <v>2521</v>
      </c>
      <c r="E467" s="74" t="s">
        <v>2315</v>
      </c>
      <c r="F467" s="56" t="s">
        <v>1882</v>
      </c>
      <c r="G467" s="56" t="s">
        <v>2380</v>
      </c>
    </row>
    <row r="468" spans="1:7" ht="15">
      <c r="A468" s="56" t="s">
        <v>2381</v>
      </c>
      <c r="B468" s="56" t="s">
        <v>2301</v>
      </c>
      <c r="C468" s="56" t="s">
        <v>108</v>
      </c>
      <c r="D468" s="56" t="s">
        <v>2521</v>
      </c>
      <c r="E468" s="74" t="s">
        <v>108</v>
      </c>
      <c r="F468" s="56" t="s">
        <v>1882</v>
      </c>
      <c r="G468" s="56" t="s">
        <v>2382</v>
      </c>
    </row>
    <row r="469" spans="1:7" ht="15">
      <c r="A469" s="56" t="s">
        <v>2383</v>
      </c>
      <c r="B469" s="56" t="s">
        <v>2298</v>
      </c>
      <c r="C469" s="56" t="s">
        <v>108</v>
      </c>
      <c r="D469" s="56" t="s">
        <v>2521</v>
      </c>
      <c r="E469" s="74" t="s">
        <v>108</v>
      </c>
      <c r="F469" s="56" t="s">
        <v>1882</v>
      </c>
      <c r="G469" s="56" t="s">
        <v>2384</v>
      </c>
    </row>
    <row r="470" spans="1:7" ht="15">
      <c r="A470" s="56" t="s">
        <v>2385</v>
      </c>
      <c r="B470" s="56" t="s">
        <v>2386</v>
      </c>
      <c r="C470" s="56" t="s">
        <v>108</v>
      </c>
      <c r="D470" s="56" t="s">
        <v>2521</v>
      </c>
      <c r="E470" s="74" t="s">
        <v>108</v>
      </c>
      <c r="F470" s="56" t="s">
        <v>1882</v>
      </c>
      <c r="G470" s="56" t="s">
        <v>2387</v>
      </c>
    </row>
    <row r="471" spans="1:7" ht="17.25">
      <c r="A471" s="75" t="s">
        <v>2531</v>
      </c>
      <c r="B471" s="75"/>
      <c r="C471" s="75"/>
      <c r="D471" s="75"/>
      <c r="E471" s="76"/>
      <c r="F471" s="75"/>
      <c r="G471" s="75"/>
    </row>
    <row r="472" spans="1:7" ht="17.25">
      <c r="A472" s="274" t="s">
        <v>2389</v>
      </c>
      <c r="B472" s="274" t="s">
        <v>2301</v>
      </c>
      <c r="C472" s="274" t="s">
        <v>108</v>
      </c>
      <c r="D472" s="274" t="s">
        <v>2521</v>
      </c>
      <c r="E472" s="275" t="s">
        <v>108</v>
      </c>
      <c r="F472" s="274" t="s">
        <v>1882</v>
      </c>
      <c r="G472" s="274" t="s">
        <v>2390</v>
      </c>
    </row>
    <row r="473" spans="1:7" ht="17.25">
      <c r="A473" s="274" t="s">
        <v>2391</v>
      </c>
      <c r="B473" s="274" t="s">
        <v>2392</v>
      </c>
      <c r="C473" s="274" t="s">
        <v>108</v>
      </c>
      <c r="D473" s="274" t="s">
        <v>2521</v>
      </c>
      <c r="E473" s="275" t="s">
        <v>108</v>
      </c>
      <c r="F473" s="274" t="s">
        <v>1882</v>
      </c>
      <c r="G473" s="274" t="s">
        <v>2393</v>
      </c>
    </row>
    <row r="474" spans="1:7" ht="15">
      <c r="A474" s="56" t="s">
        <v>2394</v>
      </c>
      <c r="B474" s="56" t="s">
        <v>2395</v>
      </c>
      <c r="C474" s="56" t="s">
        <v>108</v>
      </c>
      <c r="D474" s="56" t="s">
        <v>2521</v>
      </c>
      <c r="E474" s="74" t="s">
        <v>108</v>
      </c>
      <c r="F474" s="56" t="s">
        <v>1882</v>
      </c>
      <c r="G474" s="56" t="s">
        <v>2396</v>
      </c>
    </row>
    <row r="475" spans="1:7" ht="15">
      <c r="A475" s="56" t="s">
        <v>2397</v>
      </c>
      <c r="B475" s="56" t="s">
        <v>2398</v>
      </c>
      <c r="C475" s="56" t="s">
        <v>2315</v>
      </c>
      <c r="D475" s="56" t="s">
        <v>2521</v>
      </c>
      <c r="E475" s="74" t="s">
        <v>2315</v>
      </c>
      <c r="F475" s="56" t="s">
        <v>1882</v>
      </c>
      <c r="G475" s="56" t="s">
        <v>2252</v>
      </c>
    </row>
    <row r="476" spans="1:7" ht="17.25">
      <c r="A476" s="274" t="s">
        <v>2399</v>
      </c>
      <c r="B476" s="274" t="s">
        <v>2398</v>
      </c>
      <c r="C476" s="274" t="s">
        <v>2400</v>
      </c>
      <c r="D476" s="274" t="s">
        <v>2521</v>
      </c>
      <c r="E476" s="275" t="s">
        <v>108</v>
      </c>
      <c r="F476" s="274" t="s">
        <v>1882</v>
      </c>
      <c r="G476" s="274" t="s">
        <v>2252</v>
      </c>
    </row>
    <row r="477" spans="1:7" ht="17.25">
      <c r="A477" s="75" t="s">
        <v>2532</v>
      </c>
      <c r="B477" s="75"/>
      <c r="C477" s="75"/>
      <c r="D477" s="75"/>
      <c r="E477" s="76"/>
      <c r="F477" s="75"/>
      <c r="G477" s="75"/>
    </row>
    <row r="478" spans="1:7" ht="17.25">
      <c r="A478" s="274" t="s">
        <v>2402</v>
      </c>
      <c r="B478" s="274" t="s">
        <v>2403</v>
      </c>
      <c r="C478" s="274" t="s">
        <v>108</v>
      </c>
      <c r="D478" s="274" t="s">
        <v>2521</v>
      </c>
      <c r="E478" s="275" t="s">
        <v>108</v>
      </c>
      <c r="F478" s="274" t="s">
        <v>1882</v>
      </c>
      <c r="G478" s="274" t="s">
        <v>2252</v>
      </c>
    </row>
    <row r="479" spans="1:7" ht="17.25">
      <c r="A479" s="274" t="s">
        <v>2404</v>
      </c>
      <c r="B479" s="274" t="s">
        <v>2403</v>
      </c>
      <c r="C479" s="274" t="s">
        <v>2315</v>
      </c>
      <c r="D479" s="274" t="s">
        <v>2521</v>
      </c>
      <c r="E479" s="275" t="s">
        <v>2315</v>
      </c>
      <c r="F479" s="274" t="s">
        <v>1882</v>
      </c>
      <c r="G479" s="274" t="s">
        <v>2405</v>
      </c>
    </row>
    <row r="480" spans="1:7" ht="15">
      <c r="A480" s="56" t="s">
        <v>2411</v>
      </c>
      <c r="B480" s="56" t="s">
        <v>2407</v>
      </c>
      <c r="C480" s="56" t="s">
        <v>2331</v>
      </c>
      <c r="D480" s="56" t="s">
        <v>2521</v>
      </c>
      <c r="E480" s="74" t="s">
        <v>108</v>
      </c>
      <c r="F480" s="56" t="s">
        <v>1882</v>
      </c>
      <c r="G480" s="56" t="s">
        <v>2412</v>
      </c>
    </row>
    <row r="481" spans="1:7" ht="17.25">
      <c r="A481" s="274" t="s">
        <v>2413</v>
      </c>
      <c r="B481" s="274" t="s">
        <v>2403</v>
      </c>
      <c r="C481" s="274" t="s">
        <v>2414</v>
      </c>
      <c r="D481" s="274" t="s">
        <v>2521</v>
      </c>
      <c r="E481" s="275" t="s">
        <v>108</v>
      </c>
      <c r="F481" s="274" t="s">
        <v>1882</v>
      </c>
      <c r="G481" s="274" t="s">
        <v>2252</v>
      </c>
    </row>
    <row r="482" spans="1:7" ht="17.25">
      <c r="A482" s="274" t="s">
        <v>2415</v>
      </c>
      <c r="B482" s="274" t="s">
        <v>2403</v>
      </c>
      <c r="C482" s="274" t="s">
        <v>2416</v>
      </c>
      <c r="D482" s="274" t="s">
        <v>2521</v>
      </c>
      <c r="E482" s="275" t="s">
        <v>108</v>
      </c>
      <c r="F482" s="274" t="s">
        <v>1882</v>
      </c>
      <c r="G482" s="274" t="s">
        <v>2417</v>
      </c>
    </row>
    <row r="483" spans="1:7" ht="17.25">
      <c r="A483" s="75" t="s">
        <v>2533</v>
      </c>
      <c r="B483" s="75"/>
      <c r="C483" s="75"/>
      <c r="D483" s="75"/>
      <c r="E483" s="76"/>
      <c r="F483" s="75"/>
      <c r="G483" s="75"/>
    </row>
    <row r="484" spans="1:7" ht="17.25">
      <c r="A484" s="274" t="s">
        <v>2419</v>
      </c>
      <c r="B484" s="274" t="s">
        <v>2287</v>
      </c>
      <c r="C484" s="274" t="s">
        <v>2420</v>
      </c>
      <c r="D484" s="274" t="s">
        <v>2521</v>
      </c>
      <c r="E484" s="275" t="s">
        <v>108</v>
      </c>
      <c r="F484" s="274" t="s">
        <v>1882</v>
      </c>
      <c r="G484" s="274" t="s">
        <v>2421</v>
      </c>
    </row>
    <row r="485" spans="1:7" ht="17.25">
      <c r="A485" s="274" t="s">
        <v>2422</v>
      </c>
      <c r="B485" s="274" t="s">
        <v>2423</v>
      </c>
      <c r="C485" s="274" t="s">
        <v>2424</v>
      </c>
      <c r="D485" s="274" t="s">
        <v>2521</v>
      </c>
      <c r="E485" s="275" t="s">
        <v>108</v>
      </c>
      <c r="F485" s="274" t="s">
        <v>1882</v>
      </c>
      <c r="G485" s="274" t="s">
        <v>2425</v>
      </c>
    </row>
    <row r="486" spans="1:7" ht="17.25">
      <c r="A486" s="274" t="s">
        <v>2274</v>
      </c>
      <c r="B486" s="274"/>
      <c r="C486" s="274" t="s">
        <v>2254</v>
      </c>
      <c r="D486" s="274" t="s">
        <v>2521</v>
      </c>
      <c r="E486" s="275" t="s">
        <v>2526</v>
      </c>
      <c r="F486" s="274" t="s">
        <v>1434</v>
      </c>
      <c r="G486" s="274" t="s">
        <v>2252</v>
      </c>
    </row>
    <row r="487" spans="1:7" ht="17.25">
      <c r="A487" s="274" t="s">
        <v>2426</v>
      </c>
      <c r="B487" s="274" t="s">
        <v>2272</v>
      </c>
      <c r="C487" s="274" t="s">
        <v>2427</v>
      </c>
      <c r="D487" s="274" t="s">
        <v>2521</v>
      </c>
      <c r="E487" s="275" t="s">
        <v>2427</v>
      </c>
      <c r="F487" s="274" t="s">
        <v>1882</v>
      </c>
      <c r="G487" s="274" t="s">
        <v>2428</v>
      </c>
    </row>
    <row r="488" spans="1:7" ht="17.25">
      <c r="A488" s="75" t="s">
        <v>2534</v>
      </c>
      <c r="B488" s="75"/>
      <c r="C488" s="75"/>
      <c r="D488" s="75"/>
      <c r="E488" s="76"/>
      <c r="F488" s="75"/>
      <c r="G488" s="75"/>
    </row>
    <row r="489" spans="1:7" ht="17.25">
      <c r="A489" s="274" t="s">
        <v>2465</v>
      </c>
      <c r="B489" s="274" t="s">
        <v>2465</v>
      </c>
      <c r="C489" s="274" t="s">
        <v>2254</v>
      </c>
      <c r="D489" s="274" t="s">
        <v>2535</v>
      </c>
      <c r="E489" s="275" t="s">
        <v>2435</v>
      </c>
      <c r="F489" s="274" t="s">
        <v>2188</v>
      </c>
      <c r="G489" s="274" t="s">
        <v>2487</v>
      </c>
    </row>
    <row r="490" spans="1:7" ht="17.25">
      <c r="A490" s="75" t="s">
        <v>2536</v>
      </c>
      <c r="B490" s="75"/>
      <c r="C490" s="75"/>
      <c r="D490" s="75"/>
      <c r="E490" s="76"/>
      <c r="F490" s="75"/>
      <c r="G490" s="75"/>
    </row>
    <row r="491" spans="1:7" ht="17.25">
      <c r="A491" s="274" t="s">
        <v>2465</v>
      </c>
      <c r="B491" s="274" t="s">
        <v>2465</v>
      </c>
      <c r="C491" s="274" t="s">
        <v>2254</v>
      </c>
      <c r="D491" s="274" t="s">
        <v>2535</v>
      </c>
      <c r="E491" s="275" t="s">
        <v>2435</v>
      </c>
      <c r="F491" s="274" t="s">
        <v>2188</v>
      </c>
      <c r="G491" s="274" t="s">
        <v>2489</v>
      </c>
    </row>
    <row r="492" spans="1:7" ht="17.25">
      <c r="A492" s="75" t="s">
        <v>2537</v>
      </c>
      <c r="B492" s="75"/>
      <c r="C492" s="75"/>
      <c r="D492" s="75"/>
      <c r="E492" s="76"/>
      <c r="F492" s="75"/>
      <c r="G492" s="75"/>
    </row>
    <row r="493" spans="1:7" ht="17.25">
      <c r="A493" s="274" t="s">
        <v>2465</v>
      </c>
      <c r="B493" s="274" t="s">
        <v>2465</v>
      </c>
      <c r="C493" s="274" t="s">
        <v>2254</v>
      </c>
      <c r="D493" s="274" t="s">
        <v>2535</v>
      </c>
      <c r="E493" s="275" t="s">
        <v>2435</v>
      </c>
      <c r="F493" s="274" t="s">
        <v>2188</v>
      </c>
      <c r="G493" s="274" t="s">
        <v>2487</v>
      </c>
    </row>
    <row r="494" spans="1:7" ht="17.25">
      <c r="A494" s="75" t="s">
        <v>2538</v>
      </c>
      <c r="B494" s="75"/>
      <c r="C494" s="75"/>
      <c r="D494" s="75"/>
      <c r="E494" s="76"/>
      <c r="F494" s="75"/>
      <c r="G494" s="75"/>
    </row>
    <row r="495" spans="1:7" ht="17.25">
      <c r="A495" s="274" t="s">
        <v>2465</v>
      </c>
      <c r="B495" s="274" t="s">
        <v>2465</v>
      </c>
      <c r="C495" s="274" t="s">
        <v>2254</v>
      </c>
      <c r="D495" s="274" t="s">
        <v>2535</v>
      </c>
      <c r="E495" s="275" t="s">
        <v>2435</v>
      </c>
      <c r="F495" s="274" t="s">
        <v>2188</v>
      </c>
      <c r="G495" s="274" t="s">
        <v>2492</v>
      </c>
    </row>
    <row r="496" spans="1:7" ht="17.25">
      <c r="A496" s="75" t="s">
        <v>2539</v>
      </c>
      <c r="B496" s="75"/>
      <c r="C496" s="75"/>
      <c r="D496" s="75"/>
      <c r="E496" s="76"/>
      <c r="F496" s="75"/>
      <c r="G496" s="75"/>
    </row>
    <row r="497" spans="1:7" ht="17.25">
      <c r="A497" s="274" t="s">
        <v>2465</v>
      </c>
      <c r="B497" s="274" t="s">
        <v>2465</v>
      </c>
      <c r="C497" s="274" t="s">
        <v>2254</v>
      </c>
      <c r="D497" s="274" t="s">
        <v>2535</v>
      </c>
      <c r="E497" s="275" t="s">
        <v>2435</v>
      </c>
      <c r="F497" s="274" t="s">
        <v>2188</v>
      </c>
      <c r="G497" s="274" t="s">
        <v>2489</v>
      </c>
    </row>
    <row r="498" spans="1:7" ht="17.25">
      <c r="A498" s="75" t="s">
        <v>2540</v>
      </c>
      <c r="B498" s="75"/>
      <c r="C498" s="75"/>
      <c r="D498" s="75"/>
      <c r="E498" s="76"/>
      <c r="F498" s="75"/>
      <c r="G498" s="75"/>
    </row>
    <row r="499" spans="1:7" ht="17.25">
      <c r="A499" s="274" t="s">
        <v>2465</v>
      </c>
      <c r="B499" s="274" t="s">
        <v>2465</v>
      </c>
      <c r="C499" s="274" t="s">
        <v>2254</v>
      </c>
      <c r="D499" s="274" t="s">
        <v>2535</v>
      </c>
      <c r="E499" s="275" t="s">
        <v>2435</v>
      </c>
      <c r="F499" s="274" t="s">
        <v>2188</v>
      </c>
      <c r="G499" s="274" t="s">
        <v>2489</v>
      </c>
    </row>
    <row r="500" spans="1:7" ht="17.25">
      <c r="A500" s="75" t="s">
        <v>2541</v>
      </c>
      <c r="B500" s="75"/>
      <c r="C500" s="75"/>
      <c r="D500" s="75"/>
      <c r="E500" s="76"/>
      <c r="F500" s="75"/>
      <c r="G500" s="75"/>
    </row>
    <row r="501" spans="1:7" ht="17.25">
      <c r="A501" s="274" t="s">
        <v>2465</v>
      </c>
      <c r="B501" s="274" t="s">
        <v>2465</v>
      </c>
      <c r="C501" s="274" t="s">
        <v>2254</v>
      </c>
      <c r="D501" s="274" t="s">
        <v>2535</v>
      </c>
      <c r="E501" s="275" t="s">
        <v>2435</v>
      </c>
      <c r="F501" s="274" t="s">
        <v>2188</v>
      </c>
      <c r="G501" s="274" t="s">
        <v>2489</v>
      </c>
    </row>
    <row r="502" spans="1:7" ht="17.25">
      <c r="A502" s="75" t="s">
        <v>2542</v>
      </c>
      <c r="B502" s="75"/>
      <c r="C502" s="75"/>
      <c r="D502" s="75"/>
      <c r="E502" s="76"/>
      <c r="F502" s="75"/>
      <c r="G502" s="75"/>
    </row>
    <row r="503" spans="1:7" ht="17.25">
      <c r="A503" s="274" t="s">
        <v>2465</v>
      </c>
      <c r="B503" s="274" t="s">
        <v>2465</v>
      </c>
      <c r="C503" s="274" t="s">
        <v>2254</v>
      </c>
      <c r="D503" s="274" t="s">
        <v>2535</v>
      </c>
      <c r="E503" s="275" t="s">
        <v>2435</v>
      </c>
      <c r="F503" s="274" t="s">
        <v>2188</v>
      </c>
      <c r="G503" s="274" t="s">
        <v>2489</v>
      </c>
    </row>
    <row r="504" spans="1:7" ht="17.25">
      <c r="A504" s="75" t="s">
        <v>2543</v>
      </c>
      <c r="B504" s="75"/>
      <c r="C504" s="75"/>
      <c r="D504" s="75"/>
      <c r="E504" s="76"/>
      <c r="F504" s="75"/>
      <c r="G504" s="75"/>
    </row>
    <row r="505" spans="1:7" ht="15">
      <c r="A505" s="56" t="s">
        <v>2276</v>
      </c>
      <c r="B505" s="56" t="s">
        <v>2277</v>
      </c>
      <c r="C505" s="56" t="s">
        <v>1565</v>
      </c>
      <c r="D505" s="56" t="s">
        <v>2544</v>
      </c>
      <c r="E505" s="74" t="s">
        <v>552</v>
      </c>
      <c r="F505" s="56" t="s">
        <v>503</v>
      </c>
      <c r="G505" s="56" t="s">
        <v>2279</v>
      </c>
    </row>
    <row r="506" spans="1:7" ht="17.25">
      <c r="A506" s="75" t="s">
        <v>2545</v>
      </c>
      <c r="B506" s="75"/>
      <c r="C506" s="75"/>
      <c r="D506" s="75"/>
      <c r="E506" s="76"/>
      <c r="F506" s="75"/>
      <c r="G506" s="75"/>
    </row>
    <row r="507" spans="1:7" ht="15">
      <c r="A507" s="56" t="s">
        <v>2289</v>
      </c>
      <c r="B507" s="56"/>
      <c r="C507" s="56" t="s">
        <v>552</v>
      </c>
      <c r="D507" s="56" t="s">
        <v>2544</v>
      </c>
      <c r="E507" s="74" t="s">
        <v>552</v>
      </c>
      <c r="F507" s="56" t="s">
        <v>503</v>
      </c>
      <c r="G507" s="56" t="s">
        <v>2290</v>
      </c>
    </row>
    <row r="508" spans="1:7" ht="17.25">
      <c r="A508" s="75" t="s">
        <v>2546</v>
      </c>
      <c r="B508" s="75"/>
      <c r="C508" s="75"/>
      <c r="D508" s="75"/>
      <c r="E508" s="76"/>
      <c r="F508" s="75"/>
      <c r="G508" s="75"/>
    </row>
    <row r="509" spans="1:7" ht="15">
      <c r="A509" s="56" t="s">
        <v>2248</v>
      </c>
      <c r="B509" s="56" t="s">
        <v>2249</v>
      </c>
      <c r="C509" s="56" t="s">
        <v>2250</v>
      </c>
      <c r="D509" s="56" t="s">
        <v>2544</v>
      </c>
      <c r="E509" s="74" t="s">
        <v>2292</v>
      </c>
      <c r="F509" s="56" t="s">
        <v>2195</v>
      </c>
      <c r="G509" s="56" t="s">
        <v>2252</v>
      </c>
    </row>
    <row r="510" spans="1:7" ht="17.25">
      <c r="A510" s="274" t="s">
        <v>2253</v>
      </c>
      <c r="B510" s="274" t="s">
        <v>2249</v>
      </c>
      <c r="C510" s="274" t="s">
        <v>2254</v>
      </c>
      <c r="D510" s="274" t="s">
        <v>2544</v>
      </c>
      <c r="E510" s="275" t="s">
        <v>2292</v>
      </c>
      <c r="F510" s="274" t="s">
        <v>2195</v>
      </c>
      <c r="G510" s="274" t="s">
        <v>2252</v>
      </c>
    </row>
    <row r="511" spans="1:7" ht="17.25">
      <c r="A511" s="274" t="s">
        <v>2255</v>
      </c>
      <c r="B511" s="274" t="s">
        <v>2249</v>
      </c>
      <c r="C511" s="274" t="s">
        <v>2254</v>
      </c>
      <c r="D511" s="274" t="s">
        <v>2544</v>
      </c>
      <c r="E511" s="275" t="s">
        <v>2292</v>
      </c>
      <c r="F511" s="274" t="s">
        <v>2195</v>
      </c>
      <c r="G511" s="274" t="s">
        <v>2252</v>
      </c>
    </row>
    <row r="512" spans="1:7" ht="17.25">
      <c r="A512" s="274" t="s">
        <v>2256</v>
      </c>
      <c r="B512" s="274" t="s">
        <v>2257</v>
      </c>
      <c r="C512" s="274" t="s">
        <v>2254</v>
      </c>
      <c r="D512" s="274" t="s">
        <v>2544</v>
      </c>
      <c r="E512" s="275" t="s">
        <v>2292</v>
      </c>
      <c r="F512" s="274" t="s">
        <v>2195</v>
      </c>
      <c r="G512" s="274" t="s">
        <v>2252</v>
      </c>
    </row>
    <row r="513" spans="1:7" ht="17.25">
      <c r="A513" s="274" t="s">
        <v>2258</v>
      </c>
      <c r="B513" s="274"/>
      <c r="C513" s="274" t="s">
        <v>2254</v>
      </c>
      <c r="D513" s="274" t="s">
        <v>2544</v>
      </c>
      <c r="E513" s="275" t="s">
        <v>2292</v>
      </c>
      <c r="F513" s="274" t="s">
        <v>2195</v>
      </c>
      <c r="G513" s="274" t="s">
        <v>2252</v>
      </c>
    </row>
    <row r="514" spans="1:7" ht="17.25">
      <c r="A514" s="274" t="s">
        <v>2259</v>
      </c>
      <c r="B514" s="274"/>
      <c r="C514" s="274" t="s">
        <v>2254</v>
      </c>
      <c r="D514" s="274" t="s">
        <v>2544</v>
      </c>
      <c r="E514" s="275" t="s">
        <v>2292</v>
      </c>
      <c r="F514" s="274" t="s">
        <v>2195</v>
      </c>
      <c r="G514" s="274" t="s">
        <v>2252</v>
      </c>
    </row>
    <row r="515" spans="1:7" ht="17.25">
      <c r="A515" s="274" t="s">
        <v>2260</v>
      </c>
      <c r="B515" s="274"/>
      <c r="C515" s="274" t="s">
        <v>2254</v>
      </c>
      <c r="D515" s="274" t="s">
        <v>2544</v>
      </c>
      <c r="E515" s="275" t="s">
        <v>2292</v>
      </c>
      <c r="F515" s="274" t="s">
        <v>2195</v>
      </c>
      <c r="G515" s="274" t="s">
        <v>2252</v>
      </c>
    </row>
    <row r="516" spans="1:7" ht="17.25">
      <c r="A516" s="75" t="s">
        <v>2547</v>
      </c>
      <c r="B516" s="75"/>
      <c r="C516" s="75"/>
      <c r="D516" s="75"/>
      <c r="E516" s="76"/>
      <c r="F516" s="75"/>
      <c r="G516" s="75"/>
    </row>
    <row r="517" spans="1:7" ht="17.25">
      <c r="A517" s="274" t="s">
        <v>2294</v>
      </c>
      <c r="B517" s="274"/>
      <c r="C517" s="274" t="s">
        <v>2295</v>
      </c>
      <c r="D517" s="274" t="s">
        <v>2544</v>
      </c>
      <c r="E517" s="275" t="s">
        <v>552</v>
      </c>
      <c r="F517" s="274" t="s">
        <v>503</v>
      </c>
      <c r="G517" s="274" t="s">
        <v>2252</v>
      </c>
    </row>
    <row r="518" spans="1:7" ht="17.25">
      <c r="A518" s="75" t="s">
        <v>2548</v>
      </c>
      <c r="B518" s="75"/>
      <c r="C518" s="75"/>
      <c r="D518" s="75"/>
      <c r="E518" s="76"/>
      <c r="F518" s="75"/>
      <c r="G518" s="75"/>
    </row>
    <row r="519" spans="1:7" ht="17.25">
      <c r="A519" s="274" t="s">
        <v>2297</v>
      </c>
      <c r="B519" s="274" t="s">
        <v>2298</v>
      </c>
      <c r="C519" s="274" t="s">
        <v>552</v>
      </c>
      <c r="D519" s="274" t="s">
        <v>2544</v>
      </c>
      <c r="E519" s="275" t="s">
        <v>552</v>
      </c>
      <c r="F519" s="274" t="s">
        <v>503</v>
      </c>
      <c r="G519" s="274" t="s">
        <v>2299</v>
      </c>
    </row>
    <row r="520" spans="1:7" ht="17.25">
      <c r="A520" s="274" t="s">
        <v>2300</v>
      </c>
      <c r="B520" s="274" t="s">
        <v>2301</v>
      </c>
      <c r="C520" s="274" t="s">
        <v>2302</v>
      </c>
      <c r="D520" s="274" t="s">
        <v>2544</v>
      </c>
      <c r="E520" s="275" t="s">
        <v>552</v>
      </c>
      <c r="F520" s="274" t="s">
        <v>2021</v>
      </c>
      <c r="G520" s="274" t="s">
        <v>2303</v>
      </c>
    </row>
    <row r="521" spans="1:7" ht="17.25">
      <c r="A521" s="75" t="s">
        <v>2549</v>
      </c>
      <c r="B521" s="75"/>
      <c r="C521" s="75"/>
      <c r="D521" s="75"/>
      <c r="E521" s="76"/>
      <c r="F521" s="75"/>
      <c r="G521" s="75"/>
    </row>
    <row r="522" spans="1:7" ht="17.25">
      <c r="A522" s="274" t="s">
        <v>2305</v>
      </c>
      <c r="B522" s="274"/>
      <c r="C522" s="274" t="s">
        <v>552</v>
      </c>
      <c r="D522" s="274" t="s">
        <v>2544</v>
      </c>
      <c r="E522" s="275" t="s">
        <v>552</v>
      </c>
      <c r="F522" s="274" t="s">
        <v>503</v>
      </c>
      <c r="G522" s="274" t="s">
        <v>2252</v>
      </c>
    </row>
    <row r="523" spans="1:7" ht="17.25">
      <c r="A523" s="75" t="s">
        <v>2550</v>
      </c>
      <c r="B523" s="75"/>
      <c r="C523" s="75"/>
      <c r="D523" s="75"/>
      <c r="E523" s="76"/>
      <c r="F523" s="75"/>
      <c r="G523" s="75"/>
    </row>
    <row r="524" spans="1:7" ht="17.25">
      <c r="A524" s="274" t="s">
        <v>2274</v>
      </c>
      <c r="B524" s="274"/>
      <c r="C524" s="274" t="s">
        <v>2254</v>
      </c>
      <c r="D524" s="274" t="s">
        <v>2544</v>
      </c>
      <c r="E524" s="275" t="s">
        <v>2292</v>
      </c>
      <c r="F524" s="274" t="s">
        <v>2195</v>
      </c>
      <c r="G524" s="274" t="s">
        <v>2252</v>
      </c>
    </row>
    <row r="525" spans="1:7" ht="17.25">
      <c r="A525" s="75" t="s">
        <v>2551</v>
      </c>
      <c r="B525" s="75"/>
      <c r="C525" s="75"/>
      <c r="D525" s="75"/>
      <c r="E525" s="76"/>
      <c r="F525" s="75"/>
      <c r="G525" s="75"/>
    </row>
    <row r="526" spans="1:7" ht="17.25">
      <c r="A526" s="274" t="s">
        <v>2465</v>
      </c>
      <c r="B526" s="274" t="s">
        <v>2465</v>
      </c>
      <c r="C526" s="274" t="s">
        <v>2254</v>
      </c>
      <c r="D526" s="274" t="s">
        <v>2552</v>
      </c>
      <c r="E526" s="275" t="s">
        <v>2251</v>
      </c>
      <c r="F526" s="274" t="s">
        <v>2209</v>
      </c>
      <c r="G526" s="274" t="s">
        <v>2487</v>
      </c>
    </row>
    <row r="527" spans="1:7" ht="17.25">
      <c r="A527" s="75" t="s">
        <v>2553</v>
      </c>
      <c r="B527" s="75"/>
      <c r="C527" s="75"/>
      <c r="D527" s="75"/>
      <c r="E527" s="76"/>
      <c r="F527" s="75"/>
      <c r="G527" s="75"/>
    </row>
    <row r="528" spans="1:7" ht="17.25">
      <c r="A528" s="274" t="s">
        <v>2465</v>
      </c>
      <c r="B528" s="274" t="s">
        <v>2465</v>
      </c>
      <c r="C528" s="274" t="s">
        <v>2254</v>
      </c>
      <c r="D528" s="274" t="s">
        <v>2552</v>
      </c>
      <c r="E528" s="275" t="s">
        <v>2251</v>
      </c>
      <c r="F528" s="274" t="s">
        <v>2209</v>
      </c>
      <c r="G528" s="274" t="s">
        <v>2489</v>
      </c>
    </row>
    <row r="529" spans="1:7" ht="17.25">
      <c r="A529" s="75" t="s">
        <v>2554</v>
      </c>
      <c r="B529" s="75"/>
      <c r="C529" s="75"/>
      <c r="D529" s="75"/>
      <c r="E529" s="76"/>
      <c r="F529" s="75"/>
      <c r="G529" s="75"/>
    </row>
    <row r="530" spans="1:7" ht="17.25">
      <c r="A530" s="274" t="s">
        <v>2465</v>
      </c>
      <c r="B530" s="274" t="s">
        <v>2465</v>
      </c>
      <c r="C530" s="274" t="s">
        <v>2254</v>
      </c>
      <c r="D530" s="274" t="s">
        <v>2552</v>
      </c>
      <c r="E530" s="275" t="s">
        <v>2251</v>
      </c>
      <c r="F530" s="274" t="s">
        <v>2209</v>
      </c>
      <c r="G530" s="274" t="s">
        <v>2487</v>
      </c>
    </row>
    <row r="531" spans="1:7" ht="17.25">
      <c r="A531" s="75" t="s">
        <v>2555</v>
      </c>
      <c r="B531" s="75"/>
      <c r="C531" s="75"/>
      <c r="D531" s="75"/>
      <c r="E531" s="76"/>
      <c r="F531" s="75"/>
      <c r="G531" s="75"/>
    </row>
    <row r="532" spans="1:7" ht="17.25">
      <c r="A532" s="274" t="s">
        <v>2465</v>
      </c>
      <c r="B532" s="274" t="s">
        <v>2465</v>
      </c>
      <c r="C532" s="274" t="s">
        <v>2254</v>
      </c>
      <c r="D532" s="274" t="s">
        <v>2552</v>
      </c>
      <c r="E532" s="275" t="s">
        <v>2251</v>
      </c>
      <c r="F532" s="274" t="s">
        <v>2209</v>
      </c>
      <c r="G532" s="274" t="s">
        <v>2492</v>
      </c>
    </row>
    <row r="533" spans="1:7" ht="17.25">
      <c r="A533" s="75" t="s">
        <v>2556</v>
      </c>
      <c r="B533" s="75"/>
      <c r="C533" s="75"/>
      <c r="D533" s="75"/>
      <c r="E533" s="76"/>
      <c r="F533" s="75"/>
      <c r="G533" s="75"/>
    </row>
    <row r="534" spans="1:7" ht="17.25">
      <c r="A534" s="274" t="s">
        <v>2465</v>
      </c>
      <c r="B534" s="274" t="s">
        <v>2465</v>
      </c>
      <c r="C534" s="274" t="s">
        <v>2254</v>
      </c>
      <c r="D534" s="274" t="s">
        <v>2552</v>
      </c>
      <c r="E534" s="275" t="s">
        <v>2251</v>
      </c>
      <c r="F534" s="274" t="s">
        <v>2209</v>
      </c>
      <c r="G534" s="274" t="s">
        <v>2489</v>
      </c>
    </row>
    <row r="535" spans="1:7" ht="17.25">
      <c r="A535" s="75" t="s">
        <v>2557</v>
      </c>
      <c r="B535" s="75"/>
      <c r="C535" s="75"/>
      <c r="D535" s="75"/>
      <c r="E535" s="76"/>
      <c r="F535" s="75"/>
      <c r="G535" s="75"/>
    </row>
    <row r="536" spans="1:7" ht="17.25">
      <c r="A536" s="274" t="s">
        <v>2465</v>
      </c>
      <c r="B536" s="274" t="s">
        <v>2465</v>
      </c>
      <c r="C536" s="274" t="s">
        <v>2254</v>
      </c>
      <c r="D536" s="274" t="s">
        <v>2552</v>
      </c>
      <c r="E536" s="275" t="s">
        <v>2251</v>
      </c>
      <c r="F536" s="274" t="s">
        <v>2209</v>
      </c>
      <c r="G536" s="274" t="s">
        <v>2489</v>
      </c>
    </row>
    <row r="537" spans="1:7" ht="17.25">
      <c r="A537" s="75" t="s">
        <v>2558</v>
      </c>
      <c r="B537" s="75"/>
      <c r="C537" s="75"/>
      <c r="D537" s="75"/>
      <c r="E537" s="76"/>
      <c r="F537" s="75"/>
      <c r="G537" s="75"/>
    </row>
    <row r="538" spans="1:7" ht="17.25">
      <c r="A538" s="274" t="s">
        <v>2465</v>
      </c>
      <c r="B538" s="274" t="s">
        <v>2465</v>
      </c>
      <c r="C538" s="274" t="s">
        <v>2254</v>
      </c>
      <c r="D538" s="274" t="s">
        <v>2552</v>
      </c>
      <c r="E538" s="275" t="s">
        <v>2251</v>
      </c>
      <c r="F538" s="274" t="s">
        <v>2209</v>
      </c>
      <c r="G538" s="274" t="s">
        <v>2489</v>
      </c>
    </row>
    <row r="539" spans="1:7" ht="17.25">
      <c r="A539" s="75" t="s">
        <v>2559</v>
      </c>
      <c r="B539" s="75"/>
      <c r="C539" s="75"/>
      <c r="D539" s="75"/>
      <c r="E539" s="76"/>
      <c r="F539" s="75"/>
      <c r="G539" s="75"/>
    </row>
    <row r="540" spans="1:7" ht="17.25">
      <c r="A540" s="274" t="s">
        <v>2465</v>
      </c>
      <c r="B540" s="274" t="s">
        <v>2465</v>
      </c>
      <c r="C540" s="274" t="s">
        <v>2254</v>
      </c>
      <c r="D540" s="274" t="s">
        <v>2552</v>
      </c>
      <c r="E540" s="275" t="s">
        <v>2251</v>
      </c>
      <c r="F540" s="274" t="s">
        <v>2209</v>
      </c>
      <c r="G540" s="274" t="s">
        <v>2489</v>
      </c>
    </row>
    <row r="541" spans="1:7" ht="17.25">
      <c r="A541" s="75" t="s">
        <v>2560</v>
      </c>
      <c r="B541" s="75"/>
      <c r="C541" s="75"/>
      <c r="D541" s="75"/>
      <c r="E541" s="76"/>
      <c r="F541" s="75"/>
      <c r="G541" s="75"/>
    </row>
    <row r="542" spans="1:7" ht="17.25">
      <c r="A542" s="274" t="s">
        <v>2241</v>
      </c>
      <c r="B542" s="274" t="s">
        <v>2242</v>
      </c>
      <c r="C542" s="274" t="s">
        <v>2243</v>
      </c>
      <c r="D542" s="274" t="s">
        <v>2561</v>
      </c>
      <c r="E542" s="275" t="s">
        <v>2245</v>
      </c>
      <c r="F542" s="274" t="s">
        <v>2209</v>
      </c>
      <c r="G542" s="274" t="s">
        <v>2246</v>
      </c>
    </row>
    <row r="543" spans="1:7" ht="17.25">
      <c r="A543" s="75" t="s">
        <v>2562</v>
      </c>
      <c r="B543" s="75"/>
      <c r="C543" s="75"/>
      <c r="D543" s="75"/>
      <c r="E543" s="76"/>
      <c r="F543" s="75"/>
      <c r="G543" s="75"/>
    </row>
    <row r="544" spans="1:7" ht="17.25">
      <c r="A544" s="274" t="s">
        <v>2248</v>
      </c>
      <c r="B544" s="274" t="s">
        <v>2249</v>
      </c>
      <c r="C544" s="274" t="s">
        <v>2250</v>
      </c>
      <c r="D544" s="274" t="s">
        <v>2561</v>
      </c>
      <c r="E544" s="275" t="s">
        <v>2251</v>
      </c>
      <c r="F544" s="274" t="s">
        <v>2209</v>
      </c>
      <c r="G544" s="274" t="s">
        <v>2252</v>
      </c>
    </row>
    <row r="545" spans="1:7" ht="17.25">
      <c r="A545" s="274" t="s">
        <v>2253</v>
      </c>
      <c r="B545" s="274" t="s">
        <v>2249</v>
      </c>
      <c r="C545" s="274" t="s">
        <v>2254</v>
      </c>
      <c r="D545" s="274" t="s">
        <v>2561</v>
      </c>
      <c r="E545" s="275" t="s">
        <v>2251</v>
      </c>
      <c r="F545" s="274" t="s">
        <v>2209</v>
      </c>
      <c r="G545" s="274" t="s">
        <v>2252</v>
      </c>
    </row>
    <row r="546" spans="1:7" ht="17.25">
      <c r="A546" s="274" t="s">
        <v>2255</v>
      </c>
      <c r="B546" s="274" t="s">
        <v>2249</v>
      </c>
      <c r="C546" s="274" t="s">
        <v>2254</v>
      </c>
      <c r="D546" s="274" t="s">
        <v>2561</v>
      </c>
      <c r="E546" s="275" t="s">
        <v>2251</v>
      </c>
      <c r="F546" s="274" t="s">
        <v>2209</v>
      </c>
      <c r="G546" s="274" t="s">
        <v>2252</v>
      </c>
    </row>
    <row r="547" spans="1:7" ht="17.25">
      <c r="A547" s="274" t="s">
        <v>2256</v>
      </c>
      <c r="B547" s="274" t="s">
        <v>2257</v>
      </c>
      <c r="C547" s="274" t="s">
        <v>2254</v>
      </c>
      <c r="D547" s="274" t="s">
        <v>2561</v>
      </c>
      <c r="E547" s="275" t="s">
        <v>2251</v>
      </c>
      <c r="F547" s="274" t="s">
        <v>2209</v>
      </c>
      <c r="G547" s="274" t="s">
        <v>2252</v>
      </c>
    </row>
    <row r="548" spans="1:7" ht="17.25">
      <c r="A548" s="274" t="s">
        <v>2258</v>
      </c>
      <c r="B548" s="274"/>
      <c r="C548" s="274" t="s">
        <v>2254</v>
      </c>
      <c r="D548" s="274" t="s">
        <v>2561</v>
      </c>
      <c r="E548" s="275" t="s">
        <v>2251</v>
      </c>
      <c r="F548" s="274" t="s">
        <v>2209</v>
      </c>
      <c r="G548" s="274" t="s">
        <v>2252</v>
      </c>
    </row>
    <row r="549" spans="1:7" ht="17.25">
      <c r="A549" s="274" t="s">
        <v>2259</v>
      </c>
      <c r="B549" s="274"/>
      <c r="C549" s="274" t="s">
        <v>2254</v>
      </c>
      <c r="D549" s="274" t="s">
        <v>2561</v>
      </c>
      <c r="E549" s="275" t="s">
        <v>2251</v>
      </c>
      <c r="F549" s="274" t="s">
        <v>2209</v>
      </c>
      <c r="G549" s="274" t="s">
        <v>2252</v>
      </c>
    </row>
    <row r="550" spans="1:7" ht="17.25">
      <c r="A550" s="274" t="s">
        <v>2260</v>
      </c>
      <c r="B550" s="274"/>
      <c r="C550" s="274" t="s">
        <v>2254</v>
      </c>
      <c r="D550" s="274" t="s">
        <v>2561</v>
      </c>
      <c r="E550" s="275" t="s">
        <v>2251</v>
      </c>
      <c r="F550" s="274" t="s">
        <v>2209</v>
      </c>
      <c r="G550" s="274" t="s">
        <v>2252</v>
      </c>
    </row>
    <row r="551" spans="1:7" ht="17.25">
      <c r="A551" s="75" t="s">
        <v>2563</v>
      </c>
      <c r="B551" s="75"/>
      <c r="C551" s="75"/>
      <c r="D551" s="75"/>
      <c r="E551" s="76"/>
      <c r="F551" s="75"/>
      <c r="G551" s="75"/>
    </row>
    <row r="552" spans="1:7" ht="17.25">
      <c r="A552" s="274" t="s">
        <v>2300</v>
      </c>
      <c r="B552" s="274" t="s">
        <v>2301</v>
      </c>
      <c r="C552" s="274" t="s">
        <v>2302</v>
      </c>
      <c r="D552" s="274" t="s">
        <v>2561</v>
      </c>
      <c r="E552" s="275" t="s">
        <v>2564</v>
      </c>
      <c r="F552" s="274" t="s">
        <v>2043</v>
      </c>
      <c r="G552" s="274" t="s">
        <v>2303</v>
      </c>
    </row>
    <row r="553" spans="1:7" ht="17.25">
      <c r="A553" s="274" t="s">
        <v>2262</v>
      </c>
      <c r="B553" s="274" t="s">
        <v>2263</v>
      </c>
      <c r="C553" s="274" t="s">
        <v>2243</v>
      </c>
      <c r="D553" s="274" t="s">
        <v>2561</v>
      </c>
      <c r="E553" s="275" t="s">
        <v>2245</v>
      </c>
      <c r="F553" s="274" t="s">
        <v>2209</v>
      </c>
      <c r="G553" s="274" t="s">
        <v>2264</v>
      </c>
    </row>
    <row r="554" spans="1:7" ht="17.25">
      <c r="A554" s="274" t="s">
        <v>2265</v>
      </c>
      <c r="B554" s="274" t="s">
        <v>2266</v>
      </c>
      <c r="C554" s="274" t="s">
        <v>2243</v>
      </c>
      <c r="D554" s="274" t="s">
        <v>2561</v>
      </c>
      <c r="E554" s="275" t="s">
        <v>2245</v>
      </c>
      <c r="F554" s="274" t="s">
        <v>2209</v>
      </c>
      <c r="G554" s="274" t="s">
        <v>2267</v>
      </c>
    </row>
    <row r="555" spans="1:7" ht="17.25">
      <c r="A555" s="75" t="s">
        <v>2565</v>
      </c>
      <c r="B555" s="75"/>
      <c r="C555" s="75"/>
      <c r="D555" s="75"/>
      <c r="E555" s="76"/>
      <c r="F555" s="75"/>
      <c r="G555" s="75"/>
    </row>
    <row r="556" spans="1:7" ht="17.25">
      <c r="A556" s="274" t="s">
        <v>2269</v>
      </c>
      <c r="B556" s="274"/>
      <c r="C556" s="274" t="s">
        <v>2243</v>
      </c>
      <c r="D556" s="274" t="s">
        <v>2561</v>
      </c>
      <c r="E556" s="275" t="s">
        <v>2245</v>
      </c>
      <c r="F556" s="274" t="s">
        <v>2209</v>
      </c>
      <c r="G556" s="274" t="s">
        <v>2270</v>
      </c>
    </row>
    <row r="557" spans="1:7" ht="17.25">
      <c r="A557" s="274" t="s">
        <v>2271</v>
      </c>
      <c r="B557" s="274" t="s">
        <v>2272</v>
      </c>
      <c r="C557" s="274" t="s">
        <v>2243</v>
      </c>
      <c r="D557" s="274" t="s">
        <v>2561</v>
      </c>
      <c r="E557" s="275" t="s">
        <v>2245</v>
      </c>
      <c r="F557" s="274" t="s">
        <v>2209</v>
      </c>
      <c r="G557" s="274" t="s">
        <v>2273</v>
      </c>
    </row>
    <row r="558" spans="1:7" ht="17.25">
      <c r="A558" s="274" t="s">
        <v>2274</v>
      </c>
      <c r="B558" s="274"/>
      <c r="C558" s="274" t="s">
        <v>2254</v>
      </c>
      <c r="D558" s="274" t="s">
        <v>2561</v>
      </c>
      <c r="E558" s="275" t="s">
        <v>2251</v>
      </c>
      <c r="F558" s="274" t="s">
        <v>2209</v>
      </c>
      <c r="G558" s="274" t="s">
        <v>2252</v>
      </c>
    </row>
    <row r="559" spans="1:7" ht="17.25">
      <c r="A559" s="75" t="s">
        <v>2566</v>
      </c>
      <c r="B559" s="75"/>
      <c r="C559" s="75"/>
      <c r="D559" s="75"/>
      <c r="E559" s="76"/>
      <c r="F559" s="75"/>
      <c r="G559" s="75"/>
    </row>
    <row r="560" spans="1:7" ht="17.25">
      <c r="A560" s="274" t="s">
        <v>2465</v>
      </c>
      <c r="B560" s="274" t="s">
        <v>2465</v>
      </c>
      <c r="C560" s="274" t="s">
        <v>2254</v>
      </c>
      <c r="D560" s="274" t="s">
        <v>2567</v>
      </c>
      <c r="E560" s="275" t="s">
        <v>2251</v>
      </c>
      <c r="F560" s="274" t="s">
        <v>2222</v>
      </c>
      <c r="G560" s="274" t="s">
        <v>2487</v>
      </c>
    </row>
    <row r="561" spans="1:7" ht="17.25">
      <c r="A561" s="75" t="s">
        <v>2568</v>
      </c>
      <c r="B561" s="75"/>
      <c r="C561" s="75"/>
      <c r="D561" s="75"/>
      <c r="E561" s="76"/>
      <c r="F561" s="75"/>
      <c r="G561" s="75"/>
    </row>
    <row r="562" spans="1:7" ht="17.25">
      <c r="A562" s="274" t="s">
        <v>2465</v>
      </c>
      <c r="B562" s="274" t="s">
        <v>2465</v>
      </c>
      <c r="C562" s="274" t="s">
        <v>2254</v>
      </c>
      <c r="D562" s="274" t="s">
        <v>2567</v>
      </c>
      <c r="E562" s="275" t="s">
        <v>2251</v>
      </c>
      <c r="F562" s="274" t="s">
        <v>2222</v>
      </c>
      <c r="G562" s="274" t="s">
        <v>2489</v>
      </c>
    </row>
    <row r="563" spans="1:7" ht="17.25">
      <c r="A563" s="75" t="s">
        <v>2569</v>
      </c>
      <c r="B563" s="75"/>
      <c r="C563" s="75"/>
      <c r="D563" s="75"/>
      <c r="E563" s="76"/>
      <c r="F563" s="75"/>
      <c r="G563" s="75"/>
    </row>
    <row r="564" spans="1:7" ht="17.25">
      <c r="A564" s="274" t="s">
        <v>2465</v>
      </c>
      <c r="B564" s="274" t="s">
        <v>2465</v>
      </c>
      <c r="C564" s="274" t="s">
        <v>2254</v>
      </c>
      <c r="D564" s="274" t="s">
        <v>2567</v>
      </c>
      <c r="E564" s="275" t="s">
        <v>2251</v>
      </c>
      <c r="F564" s="274" t="s">
        <v>2222</v>
      </c>
      <c r="G564" s="274" t="s">
        <v>2487</v>
      </c>
    </row>
    <row r="565" spans="1:7" ht="17.25">
      <c r="A565" s="75" t="s">
        <v>2570</v>
      </c>
      <c r="B565" s="75"/>
      <c r="C565" s="75"/>
      <c r="D565" s="75"/>
      <c r="E565" s="76"/>
      <c r="F565" s="75"/>
      <c r="G565" s="75"/>
    </row>
    <row r="566" spans="1:7" ht="17.25">
      <c r="A566" s="274" t="s">
        <v>2465</v>
      </c>
      <c r="B566" s="274" t="s">
        <v>2465</v>
      </c>
      <c r="C566" s="274" t="s">
        <v>2254</v>
      </c>
      <c r="D566" s="274" t="s">
        <v>2567</v>
      </c>
      <c r="E566" s="275" t="s">
        <v>2251</v>
      </c>
      <c r="F566" s="274" t="s">
        <v>2222</v>
      </c>
      <c r="G566" s="274" t="s">
        <v>2492</v>
      </c>
    </row>
    <row r="567" spans="1:7" ht="17.25">
      <c r="A567" s="75" t="s">
        <v>2571</v>
      </c>
      <c r="B567" s="75"/>
      <c r="C567" s="75"/>
      <c r="D567" s="75"/>
      <c r="E567" s="76"/>
      <c r="F567" s="75"/>
      <c r="G567" s="75"/>
    </row>
    <row r="568" spans="1:7" ht="17.25">
      <c r="A568" s="274" t="s">
        <v>2465</v>
      </c>
      <c r="B568" s="274" t="s">
        <v>2465</v>
      </c>
      <c r="C568" s="274" t="s">
        <v>2254</v>
      </c>
      <c r="D568" s="274" t="s">
        <v>2567</v>
      </c>
      <c r="E568" s="275" t="s">
        <v>2251</v>
      </c>
      <c r="F568" s="274" t="s">
        <v>2222</v>
      </c>
      <c r="G568" s="274" t="s">
        <v>2489</v>
      </c>
    </row>
    <row r="569" spans="1:7" ht="17.25">
      <c r="A569" s="75" t="s">
        <v>2572</v>
      </c>
      <c r="B569" s="75"/>
      <c r="C569" s="75"/>
      <c r="D569" s="75"/>
      <c r="E569" s="76"/>
      <c r="F569" s="75"/>
      <c r="G569" s="75"/>
    </row>
    <row r="570" spans="1:7" ht="17.25">
      <c r="A570" s="274" t="s">
        <v>2465</v>
      </c>
      <c r="B570" s="274" t="s">
        <v>2465</v>
      </c>
      <c r="C570" s="274" t="s">
        <v>2254</v>
      </c>
      <c r="D570" s="274" t="s">
        <v>2567</v>
      </c>
      <c r="E570" s="275" t="s">
        <v>2251</v>
      </c>
      <c r="F570" s="274" t="s">
        <v>2222</v>
      </c>
      <c r="G570" s="274" t="s">
        <v>2489</v>
      </c>
    </row>
    <row r="571" spans="1:7" ht="17.25">
      <c r="A571" s="75" t="s">
        <v>2573</v>
      </c>
      <c r="B571" s="75"/>
      <c r="C571" s="75"/>
      <c r="D571" s="75"/>
      <c r="E571" s="76"/>
      <c r="F571" s="75"/>
      <c r="G571" s="75"/>
    </row>
    <row r="572" spans="1:7" ht="15">
      <c r="A572" s="56" t="s">
        <v>2465</v>
      </c>
      <c r="B572" s="56" t="s">
        <v>2465</v>
      </c>
      <c r="C572" s="56" t="s">
        <v>2254</v>
      </c>
      <c r="D572" s="56" t="s">
        <v>2567</v>
      </c>
      <c r="E572" s="74" t="s">
        <v>2251</v>
      </c>
      <c r="F572" s="56" t="s">
        <v>2222</v>
      </c>
      <c r="G572" s="56" t="s">
        <v>2489</v>
      </c>
    </row>
    <row r="573" spans="1:7" ht="17.25">
      <c r="A573" s="75" t="s">
        <v>2574</v>
      </c>
      <c r="B573" s="75"/>
      <c r="C573" s="75"/>
      <c r="D573" s="75"/>
      <c r="E573" s="76"/>
      <c r="F573" s="75"/>
      <c r="G573" s="75"/>
    </row>
    <row r="574" spans="1:7" ht="17.25">
      <c r="A574" s="274" t="s">
        <v>2465</v>
      </c>
      <c r="B574" s="274" t="s">
        <v>2465</v>
      </c>
      <c r="C574" s="274" t="s">
        <v>2254</v>
      </c>
      <c r="D574" s="274" t="s">
        <v>2567</v>
      </c>
      <c r="E574" s="275" t="s">
        <v>2251</v>
      </c>
      <c r="F574" s="274" t="s">
        <v>2222</v>
      </c>
      <c r="G574" s="274" t="s">
        <v>2489</v>
      </c>
    </row>
    <row r="575" spans="1:7" ht="17.25">
      <c r="A575" s="75" t="s">
        <v>2575</v>
      </c>
      <c r="B575" s="75"/>
      <c r="C575" s="75"/>
      <c r="D575" s="75"/>
      <c r="E575" s="76"/>
      <c r="F575" s="75"/>
      <c r="G575" s="75"/>
    </row>
    <row r="576" spans="1:7" ht="17.25">
      <c r="A576" s="274" t="s">
        <v>2241</v>
      </c>
      <c r="B576" s="274" t="s">
        <v>2242</v>
      </c>
      <c r="C576" s="274" t="s">
        <v>2243</v>
      </c>
      <c r="D576" s="274" t="s">
        <v>2567</v>
      </c>
      <c r="E576" s="275" t="s">
        <v>2245</v>
      </c>
      <c r="F576" s="274" t="s">
        <v>2222</v>
      </c>
      <c r="G576" s="274" t="s">
        <v>2246</v>
      </c>
    </row>
    <row r="577" spans="1:7" ht="17.25">
      <c r="A577" s="274" t="s">
        <v>2276</v>
      </c>
      <c r="B577" s="274" t="s">
        <v>2277</v>
      </c>
      <c r="C577" s="274" t="s">
        <v>1565</v>
      </c>
      <c r="D577" s="274" t="s">
        <v>2567</v>
      </c>
      <c r="E577" s="275" t="s">
        <v>108</v>
      </c>
      <c r="F577" s="274" t="s">
        <v>2221</v>
      </c>
      <c r="G577" s="274" t="s">
        <v>2279</v>
      </c>
    </row>
    <row r="578" spans="1:7" ht="17.25">
      <c r="A578" s="274" t="s">
        <v>2309</v>
      </c>
      <c r="B578" s="274"/>
      <c r="C578" s="274" t="s">
        <v>2310</v>
      </c>
      <c r="D578" s="274" t="s">
        <v>2567</v>
      </c>
      <c r="E578" s="275" t="s">
        <v>108</v>
      </c>
      <c r="F578" s="274" t="s">
        <v>2221</v>
      </c>
      <c r="G578" s="274" t="s">
        <v>2252</v>
      </c>
    </row>
    <row r="579" spans="1:7" ht="15">
      <c r="A579" s="56" t="s">
        <v>2312</v>
      </c>
      <c r="B579" s="56" t="s">
        <v>2242</v>
      </c>
      <c r="C579" s="56" t="s">
        <v>108</v>
      </c>
      <c r="D579" s="56" t="s">
        <v>2567</v>
      </c>
      <c r="E579" s="74" t="s">
        <v>108</v>
      </c>
      <c r="F579" s="56" t="s">
        <v>2221</v>
      </c>
      <c r="G579" s="56" t="s">
        <v>2252</v>
      </c>
    </row>
    <row r="580" spans="1:7" ht="17.25">
      <c r="A580" s="274" t="s">
        <v>2313</v>
      </c>
      <c r="B580" s="274" t="s">
        <v>2314</v>
      </c>
      <c r="C580" s="274" t="s">
        <v>2315</v>
      </c>
      <c r="D580" s="274" t="s">
        <v>2567</v>
      </c>
      <c r="E580" s="275" t="s">
        <v>2315</v>
      </c>
      <c r="F580" s="274" t="s">
        <v>2221</v>
      </c>
      <c r="G580" s="274" t="s">
        <v>2316</v>
      </c>
    </row>
    <row r="581" spans="1:7" ht="17.25">
      <c r="A581" s="274" t="s">
        <v>2317</v>
      </c>
      <c r="B581" s="274"/>
      <c r="C581" s="274" t="s">
        <v>108</v>
      </c>
      <c r="D581" s="274" t="s">
        <v>2567</v>
      </c>
      <c r="E581" s="275" t="s">
        <v>108</v>
      </c>
      <c r="F581" s="274" t="s">
        <v>2221</v>
      </c>
      <c r="G581" s="274" t="s">
        <v>2252</v>
      </c>
    </row>
    <row r="582" spans="1:7" ht="17.25">
      <c r="A582" s="75" t="s">
        <v>2576</v>
      </c>
      <c r="B582" s="75"/>
      <c r="C582" s="75"/>
      <c r="D582" s="75"/>
      <c r="E582" s="76"/>
      <c r="F582" s="75"/>
      <c r="G582" s="75"/>
    </row>
    <row r="583" spans="1:7" ht="17.25">
      <c r="A583" s="274" t="s">
        <v>2319</v>
      </c>
      <c r="B583" s="274" t="s">
        <v>2249</v>
      </c>
      <c r="C583" s="274" t="s">
        <v>108</v>
      </c>
      <c r="D583" s="274" t="s">
        <v>2567</v>
      </c>
      <c r="E583" s="275" t="s">
        <v>108</v>
      </c>
      <c r="F583" s="274" t="s">
        <v>2221</v>
      </c>
      <c r="G583" s="274" t="s">
        <v>2252</v>
      </c>
    </row>
    <row r="584" spans="1:7" ht="17.25">
      <c r="A584" s="274" t="s">
        <v>2320</v>
      </c>
      <c r="B584" s="274" t="s">
        <v>2321</v>
      </c>
      <c r="C584" s="274" t="s">
        <v>108</v>
      </c>
      <c r="D584" s="274" t="s">
        <v>2567</v>
      </c>
      <c r="E584" s="275" t="s">
        <v>108</v>
      </c>
      <c r="F584" s="274" t="s">
        <v>2221</v>
      </c>
      <c r="G584" s="274" t="s">
        <v>2322</v>
      </c>
    </row>
    <row r="585" spans="1:7" ht="15">
      <c r="A585" s="56" t="s">
        <v>2323</v>
      </c>
      <c r="B585" s="56" t="s">
        <v>2321</v>
      </c>
      <c r="C585" s="56" t="s">
        <v>108</v>
      </c>
      <c r="D585" s="56" t="s">
        <v>2567</v>
      </c>
      <c r="E585" s="74" t="s">
        <v>108</v>
      </c>
      <c r="F585" s="56" t="s">
        <v>2221</v>
      </c>
      <c r="G585" s="56" t="s">
        <v>2252</v>
      </c>
    </row>
    <row r="586" spans="1:7" ht="17.25">
      <c r="A586" s="274" t="s">
        <v>2324</v>
      </c>
      <c r="B586" s="274" t="s">
        <v>2325</v>
      </c>
      <c r="C586" s="274" t="s">
        <v>108</v>
      </c>
      <c r="D586" s="274" t="s">
        <v>2567</v>
      </c>
      <c r="E586" s="275" t="s">
        <v>108</v>
      </c>
      <c r="F586" s="274" t="s">
        <v>2221</v>
      </c>
      <c r="G586" s="274" t="s">
        <v>2326</v>
      </c>
    </row>
    <row r="587" spans="1:7" ht="17.25">
      <c r="A587" s="75" t="s">
        <v>2577</v>
      </c>
      <c r="B587" s="75"/>
      <c r="C587" s="75"/>
      <c r="D587" s="75"/>
      <c r="E587" s="76"/>
      <c r="F587" s="75"/>
      <c r="G587" s="75"/>
    </row>
    <row r="588" spans="1:7" ht="17.25">
      <c r="A588" s="274" t="s">
        <v>2328</v>
      </c>
      <c r="B588" s="274" t="s">
        <v>2282</v>
      </c>
      <c r="C588" s="274" t="s">
        <v>108</v>
      </c>
      <c r="D588" s="274" t="s">
        <v>2567</v>
      </c>
      <c r="E588" s="275" t="s">
        <v>108</v>
      </c>
      <c r="F588" s="274" t="s">
        <v>2221</v>
      </c>
      <c r="G588" s="274" t="s">
        <v>2252</v>
      </c>
    </row>
    <row r="589" spans="1:7" ht="17.25">
      <c r="A589" s="274" t="s">
        <v>2281</v>
      </c>
      <c r="B589" s="274" t="s">
        <v>2282</v>
      </c>
      <c r="C589" s="274" t="s">
        <v>2283</v>
      </c>
      <c r="D589" s="274" t="s">
        <v>2567</v>
      </c>
      <c r="E589" s="275" t="s">
        <v>108</v>
      </c>
      <c r="F589" s="274" t="s">
        <v>2221</v>
      </c>
      <c r="G589" s="274" t="s">
        <v>2252</v>
      </c>
    </row>
    <row r="590" spans="1:7" ht="17.25">
      <c r="A590" s="274" t="s">
        <v>2330</v>
      </c>
      <c r="B590" s="274" t="s">
        <v>2282</v>
      </c>
      <c r="C590" s="274" t="s">
        <v>2331</v>
      </c>
      <c r="D590" s="274" t="s">
        <v>2567</v>
      </c>
      <c r="E590" s="275" t="s">
        <v>108</v>
      </c>
      <c r="F590" s="274" t="s">
        <v>2221</v>
      </c>
      <c r="G590" s="274" t="s">
        <v>2332</v>
      </c>
    </row>
    <row r="591" spans="1:7" ht="17.25">
      <c r="A591" s="274" t="s">
        <v>2333</v>
      </c>
      <c r="B591" s="274" t="s">
        <v>2282</v>
      </c>
      <c r="C591" s="274" t="s">
        <v>108</v>
      </c>
      <c r="D591" s="274" t="s">
        <v>2567</v>
      </c>
      <c r="E591" s="275" t="s">
        <v>108</v>
      </c>
      <c r="F591" s="274" t="s">
        <v>2221</v>
      </c>
      <c r="G591" s="274" t="s">
        <v>2252</v>
      </c>
    </row>
    <row r="592" spans="1:7" ht="17.25">
      <c r="A592" s="75" t="s">
        <v>2578</v>
      </c>
      <c r="B592" s="75"/>
      <c r="C592" s="75"/>
      <c r="D592" s="75"/>
      <c r="E592" s="76"/>
      <c r="F592" s="75"/>
      <c r="G592" s="75"/>
    </row>
    <row r="593" spans="1:7" ht="15">
      <c r="A593" s="56" t="s">
        <v>2335</v>
      </c>
      <c r="B593" s="56" t="s">
        <v>2336</v>
      </c>
      <c r="C593" s="56" t="s">
        <v>2337</v>
      </c>
      <c r="D593" s="56" t="s">
        <v>2567</v>
      </c>
      <c r="E593" s="74" t="s">
        <v>108</v>
      </c>
      <c r="F593" s="56" t="s">
        <v>2221</v>
      </c>
      <c r="G593" s="56" t="s">
        <v>2252</v>
      </c>
    </row>
    <row r="594" spans="1:7" ht="17.25">
      <c r="A594" s="274" t="s">
        <v>2338</v>
      </c>
      <c r="B594" s="274" t="s">
        <v>2336</v>
      </c>
      <c r="C594" s="274" t="s">
        <v>2339</v>
      </c>
      <c r="D594" s="274" t="s">
        <v>2567</v>
      </c>
      <c r="E594" s="275" t="s">
        <v>108</v>
      </c>
      <c r="F594" s="274" t="s">
        <v>2221</v>
      </c>
      <c r="G594" s="274" t="s">
        <v>2252</v>
      </c>
    </row>
    <row r="595" spans="1:7" ht="15">
      <c r="A595" s="56" t="s">
        <v>2340</v>
      </c>
      <c r="B595" s="56" t="s">
        <v>2341</v>
      </c>
      <c r="C595" s="56" t="s">
        <v>108</v>
      </c>
      <c r="D595" s="56" t="s">
        <v>2567</v>
      </c>
      <c r="E595" s="74" t="s">
        <v>108</v>
      </c>
      <c r="F595" s="56" t="s">
        <v>2221</v>
      </c>
      <c r="G595" s="56" t="s">
        <v>2342</v>
      </c>
    </row>
    <row r="596" spans="1:7" ht="17.25">
      <c r="A596" s="274" t="s">
        <v>2343</v>
      </c>
      <c r="B596" s="274" t="s">
        <v>2341</v>
      </c>
      <c r="C596" s="274" t="s">
        <v>108</v>
      </c>
      <c r="D596" s="274" t="s">
        <v>2567</v>
      </c>
      <c r="E596" s="275" t="s">
        <v>108</v>
      </c>
      <c r="F596" s="274" t="s">
        <v>2221</v>
      </c>
      <c r="G596" s="274" t="s">
        <v>2252</v>
      </c>
    </row>
    <row r="597" spans="1:7" ht="17.25">
      <c r="A597" s="75" t="s">
        <v>2579</v>
      </c>
      <c r="B597" s="75"/>
      <c r="C597" s="75"/>
      <c r="D597" s="75"/>
      <c r="E597" s="76"/>
      <c r="F597" s="75"/>
      <c r="G597" s="75"/>
    </row>
    <row r="598" spans="1:7" ht="17.25">
      <c r="A598" s="274" t="s">
        <v>2345</v>
      </c>
      <c r="B598" s="274" t="s">
        <v>2346</v>
      </c>
      <c r="C598" s="274" t="s">
        <v>108</v>
      </c>
      <c r="D598" s="274" t="s">
        <v>2567</v>
      </c>
      <c r="E598" s="275" t="s">
        <v>108</v>
      </c>
      <c r="F598" s="274" t="s">
        <v>2221</v>
      </c>
      <c r="G598" s="274" t="s">
        <v>2347</v>
      </c>
    </row>
    <row r="599" spans="1:7" ht="15">
      <c r="A599" s="56" t="s">
        <v>2248</v>
      </c>
      <c r="B599" s="56" t="s">
        <v>2249</v>
      </c>
      <c r="C599" s="56" t="s">
        <v>2250</v>
      </c>
      <c r="D599" s="56" t="s">
        <v>2567</v>
      </c>
      <c r="E599" s="74" t="s">
        <v>2251</v>
      </c>
      <c r="F599" s="56" t="s">
        <v>2222</v>
      </c>
      <c r="G599" s="56" t="s">
        <v>2252</v>
      </c>
    </row>
    <row r="600" spans="1:7" ht="17.25">
      <c r="A600" s="274" t="s">
        <v>2253</v>
      </c>
      <c r="B600" s="274" t="s">
        <v>2249</v>
      </c>
      <c r="C600" s="274" t="s">
        <v>2254</v>
      </c>
      <c r="D600" s="274" t="s">
        <v>2567</v>
      </c>
      <c r="E600" s="275" t="s">
        <v>2251</v>
      </c>
      <c r="F600" s="274" t="s">
        <v>2222</v>
      </c>
      <c r="G600" s="274" t="s">
        <v>2252</v>
      </c>
    </row>
    <row r="601" spans="1:7" ht="17.25">
      <c r="A601" s="274" t="s">
        <v>2255</v>
      </c>
      <c r="B601" s="274" t="s">
        <v>2249</v>
      </c>
      <c r="C601" s="274" t="s">
        <v>2254</v>
      </c>
      <c r="D601" s="274" t="s">
        <v>2567</v>
      </c>
      <c r="E601" s="275" t="s">
        <v>2251</v>
      </c>
      <c r="F601" s="274" t="s">
        <v>2222</v>
      </c>
      <c r="G601" s="274" t="s">
        <v>2252</v>
      </c>
    </row>
    <row r="602" spans="1:7" ht="17.25">
      <c r="A602" s="274" t="s">
        <v>2256</v>
      </c>
      <c r="B602" s="274" t="s">
        <v>2257</v>
      </c>
      <c r="C602" s="274" t="s">
        <v>2254</v>
      </c>
      <c r="D602" s="274" t="s">
        <v>2567</v>
      </c>
      <c r="E602" s="275" t="s">
        <v>2251</v>
      </c>
      <c r="F602" s="274" t="s">
        <v>2222</v>
      </c>
      <c r="G602" s="274" t="s">
        <v>2252</v>
      </c>
    </row>
    <row r="603" spans="1:7" ht="15">
      <c r="A603" s="56" t="s">
        <v>2258</v>
      </c>
      <c r="B603" s="56"/>
      <c r="C603" s="56" t="s">
        <v>2254</v>
      </c>
      <c r="D603" s="56" t="s">
        <v>2567</v>
      </c>
      <c r="E603" s="74" t="s">
        <v>2251</v>
      </c>
      <c r="F603" s="56" t="s">
        <v>2222</v>
      </c>
      <c r="G603" s="56" t="s">
        <v>2252</v>
      </c>
    </row>
    <row r="604" spans="1:7" ht="17.25">
      <c r="A604" s="274" t="s">
        <v>2259</v>
      </c>
      <c r="B604" s="274"/>
      <c r="C604" s="274" t="s">
        <v>2254</v>
      </c>
      <c r="D604" s="274" t="s">
        <v>2567</v>
      </c>
      <c r="E604" s="275" t="s">
        <v>2251</v>
      </c>
      <c r="F604" s="274" t="s">
        <v>2222</v>
      </c>
      <c r="G604" s="274" t="s">
        <v>2252</v>
      </c>
    </row>
    <row r="605" spans="1:7" ht="17.25">
      <c r="A605" s="274" t="s">
        <v>2260</v>
      </c>
      <c r="B605" s="274"/>
      <c r="C605" s="274" t="s">
        <v>2254</v>
      </c>
      <c r="D605" s="274" t="s">
        <v>2567</v>
      </c>
      <c r="E605" s="275" t="s">
        <v>2251</v>
      </c>
      <c r="F605" s="274" t="s">
        <v>2222</v>
      </c>
      <c r="G605" s="274" t="s">
        <v>2252</v>
      </c>
    </row>
    <row r="606" spans="1:7" ht="17.25">
      <c r="A606" s="75" t="s">
        <v>2580</v>
      </c>
      <c r="B606" s="75"/>
      <c r="C606" s="75"/>
      <c r="D606" s="75"/>
      <c r="E606" s="76"/>
      <c r="F606" s="75"/>
      <c r="G606" s="75"/>
    </row>
    <row r="607" spans="1:7" ht="15">
      <c r="A607" s="56" t="s">
        <v>2350</v>
      </c>
      <c r="B607" s="56" t="s">
        <v>2351</v>
      </c>
      <c r="C607" s="56" t="s">
        <v>108</v>
      </c>
      <c r="D607" s="56" t="s">
        <v>2567</v>
      </c>
      <c r="E607" s="74" t="s">
        <v>108</v>
      </c>
      <c r="F607" s="56" t="s">
        <v>2221</v>
      </c>
      <c r="G607" s="56" t="s">
        <v>2252</v>
      </c>
    </row>
    <row r="608" spans="1:7" ht="17.25">
      <c r="A608" s="274" t="s">
        <v>2581</v>
      </c>
      <c r="B608" s="274"/>
      <c r="C608" s="274" t="s">
        <v>2582</v>
      </c>
      <c r="D608" s="274" t="s">
        <v>2567</v>
      </c>
      <c r="E608" s="275" t="s">
        <v>2583</v>
      </c>
      <c r="F608" s="274" t="s">
        <v>2221</v>
      </c>
      <c r="G608" s="274" t="s">
        <v>2252</v>
      </c>
    </row>
    <row r="609" spans="1:7" ht="15">
      <c r="A609" s="56" t="s">
        <v>2352</v>
      </c>
      <c r="B609" s="56"/>
      <c r="C609" s="56" t="s">
        <v>2337</v>
      </c>
      <c r="D609" s="56" t="s">
        <v>2567</v>
      </c>
      <c r="E609" s="74" t="s">
        <v>108</v>
      </c>
      <c r="F609" s="56" t="s">
        <v>2221</v>
      </c>
      <c r="G609" s="56" t="s">
        <v>2252</v>
      </c>
    </row>
    <row r="610" spans="1:7" ht="17.25">
      <c r="A610" s="274" t="s">
        <v>2353</v>
      </c>
      <c r="B610" s="274" t="s">
        <v>2351</v>
      </c>
      <c r="C610" s="274" t="s">
        <v>2354</v>
      </c>
      <c r="D610" s="274" t="s">
        <v>2567</v>
      </c>
      <c r="E610" s="275" t="s">
        <v>108</v>
      </c>
      <c r="F610" s="274" t="s">
        <v>2221</v>
      </c>
      <c r="G610" s="274" t="s">
        <v>2355</v>
      </c>
    </row>
    <row r="611" spans="1:7" ht="17.25">
      <c r="A611" s="274" t="s">
        <v>2356</v>
      </c>
      <c r="B611" s="274" t="s">
        <v>2351</v>
      </c>
      <c r="C611" s="274" t="s">
        <v>2315</v>
      </c>
      <c r="D611" s="274" t="s">
        <v>2567</v>
      </c>
      <c r="E611" s="275" t="s">
        <v>2315</v>
      </c>
      <c r="F611" s="274" t="s">
        <v>2221</v>
      </c>
      <c r="G611" s="274" t="s">
        <v>2252</v>
      </c>
    </row>
    <row r="612" spans="1:7" ht="17.25">
      <c r="A612" s="274" t="s">
        <v>2357</v>
      </c>
      <c r="B612" s="274" t="s">
        <v>2358</v>
      </c>
      <c r="C612" s="274" t="s">
        <v>108</v>
      </c>
      <c r="D612" s="274" t="s">
        <v>2567</v>
      </c>
      <c r="E612" s="275" t="s">
        <v>108</v>
      </c>
      <c r="F612" s="274" t="s">
        <v>2221</v>
      </c>
      <c r="G612" s="274" t="s">
        <v>2252</v>
      </c>
    </row>
    <row r="613" spans="1:7" ht="17.25">
      <c r="A613" s="75" t="s">
        <v>2584</v>
      </c>
      <c r="B613" s="75"/>
      <c r="C613" s="75"/>
      <c r="D613" s="75"/>
      <c r="E613" s="76"/>
      <c r="F613" s="75"/>
      <c r="G613" s="75"/>
    </row>
    <row r="614" spans="1:7" ht="17.25">
      <c r="A614" s="274" t="s">
        <v>2363</v>
      </c>
      <c r="B614" s="274"/>
      <c r="C614" s="274" t="s">
        <v>2315</v>
      </c>
      <c r="D614" s="274" t="s">
        <v>2567</v>
      </c>
      <c r="E614" s="275" t="s">
        <v>2315</v>
      </c>
      <c r="F614" s="274" t="s">
        <v>2221</v>
      </c>
      <c r="G614" s="274" t="s">
        <v>2252</v>
      </c>
    </row>
    <row r="615" spans="1:7" ht="17.25">
      <c r="A615" s="274" t="s">
        <v>2294</v>
      </c>
      <c r="B615" s="274"/>
      <c r="C615" s="274" t="s">
        <v>2295</v>
      </c>
      <c r="D615" s="274" t="s">
        <v>2567</v>
      </c>
      <c r="E615" s="275" t="s">
        <v>2315</v>
      </c>
      <c r="F615" s="274" t="s">
        <v>2221</v>
      </c>
      <c r="G615" s="274" t="s">
        <v>2252</v>
      </c>
    </row>
    <row r="616" spans="1:7" ht="15">
      <c r="A616" s="56" t="s">
        <v>2364</v>
      </c>
      <c r="B616" s="56" t="s">
        <v>2351</v>
      </c>
      <c r="C616" s="56" t="s">
        <v>108</v>
      </c>
      <c r="D616" s="56" t="s">
        <v>2567</v>
      </c>
      <c r="E616" s="74" t="s">
        <v>108</v>
      </c>
      <c r="F616" s="56" t="s">
        <v>2221</v>
      </c>
      <c r="G616" s="56" t="s">
        <v>2252</v>
      </c>
    </row>
    <row r="617" spans="1:7" ht="15">
      <c r="A617" s="56" t="s">
        <v>2365</v>
      </c>
      <c r="B617" s="56" t="s">
        <v>2351</v>
      </c>
      <c r="C617" s="56" t="s">
        <v>108</v>
      </c>
      <c r="D617" s="56" t="s">
        <v>2567</v>
      </c>
      <c r="E617" s="74" t="s">
        <v>108</v>
      </c>
      <c r="F617" s="56" t="s">
        <v>2221</v>
      </c>
      <c r="G617" s="56" t="s">
        <v>2252</v>
      </c>
    </row>
    <row r="618" spans="1:7" ht="17.25">
      <c r="A618" s="274" t="s">
        <v>2366</v>
      </c>
      <c r="B618" s="274" t="s">
        <v>2257</v>
      </c>
      <c r="C618" s="274" t="s">
        <v>108</v>
      </c>
      <c r="D618" s="274" t="s">
        <v>2567</v>
      </c>
      <c r="E618" s="275" t="s">
        <v>108</v>
      </c>
      <c r="F618" s="274" t="s">
        <v>2221</v>
      </c>
      <c r="G618" s="274" t="s">
        <v>2252</v>
      </c>
    </row>
    <row r="619" spans="1:7" ht="17.25">
      <c r="A619" s="274" t="s">
        <v>2367</v>
      </c>
      <c r="B619" s="274" t="s">
        <v>2368</v>
      </c>
      <c r="C619" s="274" t="s">
        <v>2315</v>
      </c>
      <c r="D619" s="274" t="s">
        <v>2567</v>
      </c>
      <c r="E619" s="275" t="s">
        <v>2315</v>
      </c>
      <c r="F619" s="274" t="s">
        <v>2221</v>
      </c>
      <c r="G619" s="274" t="s">
        <v>2252</v>
      </c>
    </row>
    <row r="620" spans="1:7" ht="15">
      <c r="A620" s="56" t="s">
        <v>2369</v>
      </c>
      <c r="B620" s="56" t="s">
        <v>2368</v>
      </c>
      <c r="C620" s="56" t="s">
        <v>2315</v>
      </c>
      <c r="D620" s="56" t="s">
        <v>2567</v>
      </c>
      <c r="E620" s="74" t="s">
        <v>2315</v>
      </c>
      <c r="F620" s="56" t="s">
        <v>2221</v>
      </c>
      <c r="G620" s="56" t="s">
        <v>2252</v>
      </c>
    </row>
    <row r="621" spans="1:7" ht="15">
      <c r="A621" s="56" t="s">
        <v>2370</v>
      </c>
      <c r="B621" s="56" t="s">
        <v>2368</v>
      </c>
      <c r="C621" s="56" t="s">
        <v>108</v>
      </c>
      <c r="D621" s="56" t="s">
        <v>2567</v>
      </c>
      <c r="E621" s="74" t="s">
        <v>108</v>
      </c>
      <c r="F621" s="56" t="s">
        <v>2221</v>
      </c>
      <c r="G621" s="56" t="s">
        <v>2371</v>
      </c>
    </row>
    <row r="622" spans="1:7" ht="17.25">
      <c r="A622" s="75" t="s">
        <v>2585</v>
      </c>
      <c r="B622" s="75"/>
      <c r="C622" s="75"/>
      <c r="D622" s="75"/>
      <c r="E622" s="76"/>
      <c r="F622" s="75"/>
      <c r="G622" s="75"/>
    </row>
    <row r="623" spans="1:7" ht="17.25">
      <c r="A623" s="274" t="s">
        <v>2373</v>
      </c>
      <c r="B623" s="274" t="s">
        <v>2374</v>
      </c>
      <c r="C623" s="274" t="s">
        <v>108</v>
      </c>
      <c r="D623" s="274" t="s">
        <v>2567</v>
      </c>
      <c r="E623" s="275" t="s">
        <v>108</v>
      </c>
      <c r="F623" s="274" t="s">
        <v>2221</v>
      </c>
      <c r="G623" s="274" t="s">
        <v>2252</v>
      </c>
    </row>
    <row r="624" spans="1:7" ht="17.25">
      <c r="A624" s="274" t="s">
        <v>2375</v>
      </c>
      <c r="B624" s="274" t="s">
        <v>2376</v>
      </c>
      <c r="C624" s="274" t="s">
        <v>108</v>
      </c>
      <c r="D624" s="274" t="s">
        <v>2567</v>
      </c>
      <c r="E624" s="275" t="s">
        <v>108</v>
      </c>
      <c r="F624" s="274" t="s">
        <v>2221</v>
      </c>
      <c r="G624" s="274" t="s">
        <v>2252</v>
      </c>
    </row>
    <row r="625" spans="1:7" ht="17.25">
      <c r="A625" s="274" t="s">
        <v>2377</v>
      </c>
      <c r="B625" s="274" t="s">
        <v>2376</v>
      </c>
      <c r="C625" s="274" t="s">
        <v>108</v>
      </c>
      <c r="D625" s="274" t="s">
        <v>2567</v>
      </c>
      <c r="E625" s="275" t="s">
        <v>108</v>
      </c>
      <c r="F625" s="274" t="s">
        <v>2221</v>
      </c>
      <c r="G625" s="274" t="s">
        <v>2252</v>
      </c>
    </row>
    <row r="626" spans="1:7" ht="17.25">
      <c r="A626" s="75" t="s">
        <v>2586</v>
      </c>
      <c r="B626" s="75"/>
      <c r="C626" s="75"/>
      <c r="D626" s="75"/>
      <c r="E626" s="76"/>
      <c r="F626" s="75"/>
      <c r="G626" s="75"/>
    </row>
    <row r="627" spans="1:7" ht="17.25">
      <c r="A627" s="274" t="s">
        <v>2262</v>
      </c>
      <c r="B627" s="274" t="s">
        <v>2263</v>
      </c>
      <c r="C627" s="274" t="s">
        <v>2243</v>
      </c>
      <c r="D627" s="274" t="s">
        <v>2567</v>
      </c>
      <c r="E627" s="275" t="s">
        <v>2245</v>
      </c>
      <c r="F627" s="274" t="s">
        <v>2222</v>
      </c>
      <c r="G627" s="274" t="s">
        <v>2264</v>
      </c>
    </row>
    <row r="628" spans="1:7" ht="17.25">
      <c r="A628" s="274" t="s">
        <v>2265</v>
      </c>
      <c r="B628" s="274" t="s">
        <v>2266</v>
      </c>
      <c r="C628" s="274" t="s">
        <v>2243</v>
      </c>
      <c r="D628" s="274" t="s">
        <v>2567</v>
      </c>
      <c r="E628" s="275" t="s">
        <v>2245</v>
      </c>
      <c r="F628" s="274" t="s">
        <v>2222</v>
      </c>
      <c r="G628" s="274" t="s">
        <v>2267</v>
      </c>
    </row>
    <row r="629" spans="1:7" ht="17.25">
      <c r="A629" s="274" t="s">
        <v>2379</v>
      </c>
      <c r="B629" s="274" t="s">
        <v>2263</v>
      </c>
      <c r="C629" s="274" t="s">
        <v>2315</v>
      </c>
      <c r="D629" s="274" t="s">
        <v>2567</v>
      </c>
      <c r="E629" s="275" t="s">
        <v>2315</v>
      </c>
      <c r="F629" s="274" t="s">
        <v>2221</v>
      </c>
      <c r="G629" s="274" t="s">
        <v>2380</v>
      </c>
    </row>
    <row r="630" spans="1:7" ht="17.25">
      <c r="A630" s="274" t="s">
        <v>2381</v>
      </c>
      <c r="B630" s="274" t="s">
        <v>2301</v>
      </c>
      <c r="C630" s="274" t="s">
        <v>108</v>
      </c>
      <c r="D630" s="274" t="s">
        <v>2567</v>
      </c>
      <c r="E630" s="275" t="s">
        <v>108</v>
      </c>
      <c r="F630" s="274" t="s">
        <v>2221</v>
      </c>
      <c r="G630" s="274" t="s">
        <v>2382</v>
      </c>
    </row>
    <row r="631" spans="1:7" ht="17.25">
      <c r="A631" s="274" t="s">
        <v>2383</v>
      </c>
      <c r="B631" s="274" t="s">
        <v>2298</v>
      </c>
      <c r="C631" s="274" t="s">
        <v>108</v>
      </c>
      <c r="D631" s="274" t="s">
        <v>2567</v>
      </c>
      <c r="E631" s="275" t="s">
        <v>108</v>
      </c>
      <c r="F631" s="274" t="s">
        <v>2221</v>
      </c>
      <c r="G631" s="274" t="s">
        <v>2384</v>
      </c>
    </row>
    <row r="632" spans="1:7" ht="17.25">
      <c r="A632" s="274" t="s">
        <v>2385</v>
      </c>
      <c r="B632" s="274" t="s">
        <v>2386</v>
      </c>
      <c r="C632" s="274" t="s">
        <v>108</v>
      </c>
      <c r="D632" s="274" t="s">
        <v>2567</v>
      </c>
      <c r="E632" s="275" t="s">
        <v>108</v>
      </c>
      <c r="F632" s="274" t="s">
        <v>2221</v>
      </c>
      <c r="G632" s="274" t="s">
        <v>2387</v>
      </c>
    </row>
    <row r="633" spans="1:7" ht="17.25">
      <c r="A633" s="75" t="s">
        <v>2587</v>
      </c>
      <c r="B633" s="75"/>
      <c r="C633" s="75"/>
      <c r="D633" s="75"/>
      <c r="E633" s="76"/>
      <c r="F633" s="75"/>
      <c r="G633" s="75"/>
    </row>
    <row r="634" spans="1:7" ht="17.25">
      <c r="A634" s="274" t="s">
        <v>2389</v>
      </c>
      <c r="B634" s="274" t="s">
        <v>2301</v>
      </c>
      <c r="C634" s="274" t="s">
        <v>108</v>
      </c>
      <c r="D634" s="274" t="s">
        <v>2567</v>
      </c>
      <c r="E634" s="275" t="s">
        <v>108</v>
      </c>
      <c r="F634" s="274" t="s">
        <v>2221</v>
      </c>
      <c r="G634" s="274" t="s">
        <v>2390</v>
      </c>
    </row>
    <row r="635" spans="1:7" ht="17.25">
      <c r="A635" s="274" t="s">
        <v>2391</v>
      </c>
      <c r="B635" s="274" t="s">
        <v>2392</v>
      </c>
      <c r="C635" s="274" t="s">
        <v>108</v>
      </c>
      <c r="D635" s="274" t="s">
        <v>2567</v>
      </c>
      <c r="E635" s="275" t="s">
        <v>108</v>
      </c>
      <c r="F635" s="274" t="s">
        <v>2221</v>
      </c>
      <c r="G635" s="274" t="s">
        <v>2393</v>
      </c>
    </row>
    <row r="636" spans="1:7" ht="17.25">
      <c r="A636" s="274" t="s">
        <v>2394</v>
      </c>
      <c r="B636" s="274" t="s">
        <v>2395</v>
      </c>
      <c r="C636" s="274" t="s">
        <v>108</v>
      </c>
      <c r="D636" s="274" t="s">
        <v>2567</v>
      </c>
      <c r="E636" s="275" t="s">
        <v>108</v>
      </c>
      <c r="F636" s="274" t="s">
        <v>2221</v>
      </c>
      <c r="G636" s="274" t="s">
        <v>2396</v>
      </c>
    </row>
    <row r="637" spans="1:7" ht="17.25">
      <c r="A637" s="274" t="s">
        <v>2397</v>
      </c>
      <c r="B637" s="274" t="s">
        <v>2398</v>
      </c>
      <c r="C637" s="274" t="s">
        <v>2315</v>
      </c>
      <c r="D637" s="274" t="s">
        <v>2567</v>
      </c>
      <c r="E637" s="275" t="s">
        <v>2315</v>
      </c>
      <c r="F637" s="274" t="s">
        <v>2221</v>
      </c>
      <c r="G637" s="274" t="s">
        <v>2252</v>
      </c>
    </row>
    <row r="638" spans="1:7" ht="17.25">
      <c r="A638" s="274" t="s">
        <v>2399</v>
      </c>
      <c r="B638" s="274" t="s">
        <v>2398</v>
      </c>
      <c r="C638" s="274" t="s">
        <v>2400</v>
      </c>
      <c r="D638" s="274" t="s">
        <v>2567</v>
      </c>
      <c r="E638" s="275" t="s">
        <v>108</v>
      </c>
      <c r="F638" s="274" t="s">
        <v>2221</v>
      </c>
      <c r="G638" s="274" t="s">
        <v>2252</v>
      </c>
    </row>
    <row r="639" spans="1:7" ht="17.25">
      <c r="A639" s="75" t="s">
        <v>2588</v>
      </c>
      <c r="B639" s="75"/>
      <c r="C639" s="75"/>
      <c r="D639" s="75"/>
      <c r="E639" s="76"/>
      <c r="F639" s="75"/>
      <c r="G639" s="75"/>
    </row>
    <row r="640" spans="1:7" ht="15">
      <c r="A640" s="56" t="s">
        <v>2402</v>
      </c>
      <c r="B640" s="56" t="s">
        <v>2403</v>
      </c>
      <c r="C640" s="56" t="s">
        <v>108</v>
      </c>
      <c r="D640" s="56" t="s">
        <v>2567</v>
      </c>
      <c r="E640" s="74" t="s">
        <v>108</v>
      </c>
      <c r="F640" s="56" t="s">
        <v>2221</v>
      </c>
      <c r="G640" s="56" t="s">
        <v>2252</v>
      </c>
    </row>
    <row r="641" spans="1:7" ht="15">
      <c r="A641" s="56" t="s">
        <v>2404</v>
      </c>
      <c r="B641" s="56" t="s">
        <v>2403</v>
      </c>
      <c r="C641" s="56" t="s">
        <v>2315</v>
      </c>
      <c r="D641" s="56" t="s">
        <v>2567</v>
      </c>
      <c r="E641" s="74" t="s">
        <v>2315</v>
      </c>
      <c r="F641" s="56" t="s">
        <v>2221</v>
      </c>
      <c r="G641" s="56" t="s">
        <v>2405</v>
      </c>
    </row>
    <row r="642" spans="1:7" ht="15">
      <c r="A642" s="56" t="s">
        <v>2411</v>
      </c>
      <c r="B642" s="56" t="s">
        <v>2407</v>
      </c>
      <c r="C642" s="56" t="s">
        <v>2331</v>
      </c>
      <c r="D642" s="56" t="s">
        <v>2567</v>
      </c>
      <c r="E642" s="74" t="s">
        <v>108</v>
      </c>
      <c r="F642" s="56" t="s">
        <v>2221</v>
      </c>
      <c r="G642" s="56" t="s">
        <v>2412</v>
      </c>
    </row>
    <row r="643" spans="1:7" ht="17.25">
      <c r="A643" s="274" t="s">
        <v>2413</v>
      </c>
      <c r="B643" s="274" t="s">
        <v>2403</v>
      </c>
      <c r="C643" s="274" t="s">
        <v>2414</v>
      </c>
      <c r="D643" s="274" t="s">
        <v>2567</v>
      </c>
      <c r="E643" s="275" t="s">
        <v>108</v>
      </c>
      <c r="F643" s="274" t="s">
        <v>2221</v>
      </c>
      <c r="G643" s="274" t="s">
        <v>2252</v>
      </c>
    </row>
    <row r="644" spans="1:7" ht="17.25">
      <c r="A644" s="274" t="s">
        <v>2415</v>
      </c>
      <c r="B644" s="274" t="s">
        <v>2403</v>
      </c>
      <c r="C644" s="274" t="s">
        <v>2416</v>
      </c>
      <c r="D644" s="274" t="s">
        <v>2567</v>
      </c>
      <c r="E644" s="275" t="s">
        <v>108</v>
      </c>
      <c r="F644" s="274" t="s">
        <v>2221</v>
      </c>
      <c r="G644" s="274" t="s">
        <v>2417</v>
      </c>
    </row>
    <row r="645" spans="1:7" ht="17.25">
      <c r="A645" s="75" t="s">
        <v>2589</v>
      </c>
      <c r="B645" s="75"/>
      <c r="C645" s="75"/>
      <c r="D645" s="75"/>
      <c r="E645" s="76"/>
      <c r="F645" s="75"/>
      <c r="G645" s="75"/>
    </row>
    <row r="646" spans="1:7" ht="17.25">
      <c r="A646" s="274" t="s">
        <v>2269</v>
      </c>
      <c r="B646" s="274"/>
      <c r="C646" s="274" t="s">
        <v>2243</v>
      </c>
      <c r="D646" s="274" t="s">
        <v>2567</v>
      </c>
      <c r="E646" s="275" t="s">
        <v>2245</v>
      </c>
      <c r="F646" s="274" t="s">
        <v>2222</v>
      </c>
      <c r="G646" s="274" t="s">
        <v>2270</v>
      </c>
    </row>
    <row r="647" spans="1:7" ht="17.25">
      <c r="A647" s="274" t="s">
        <v>2419</v>
      </c>
      <c r="B647" s="274" t="s">
        <v>2287</v>
      </c>
      <c r="C647" s="274" t="s">
        <v>2420</v>
      </c>
      <c r="D647" s="274" t="s">
        <v>2567</v>
      </c>
      <c r="E647" s="275" t="s">
        <v>108</v>
      </c>
      <c r="F647" s="274" t="s">
        <v>2221</v>
      </c>
      <c r="G647" s="274" t="s">
        <v>2421</v>
      </c>
    </row>
    <row r="648" spans="1:7" ht="17.25">
      <c r="A648" s="274" t="s">
        <v>2422</v>
      </c>
      <c r="B648" s="274" t="s">
        <v>2423</v>
      </c>
      <c r="C648" s="274" t="s">
        <v>2424</v>
      </c>
      <c r="D648" s="274" t="s">
        <v>2567</v>
      </c>
      <c r="E648" s="275" t="s">
        <v>108</v>
      </c>
      <c r="F648" s="274" t="s">
        <v>2221</v>
      </c>
      <c r="G648" s="274" t="s">
        <v>2425</v>
      </c>
    </row>
    <row r="649" spans="1:7" ht="17.25">
      <c r="A649" s="274" t="s">
        <v>2271</v>
      </c>
      <c r="B649" s="274" t="s">
        <v>2272</v>
      </c>
      <c r="C649" s="274" t="s">
        <v>2243</v>
      </c>
      <c r="D649" s="274" t="s">
        <v>2567</v>
      </c>
      <c r="E649" s="275" t="s">
        <v>2245</v>
      </c>
      <c r="F649" s="274" t="s">
        <v>2222</v>
      </c>
      <c r="G649" s="274" t="s">
        <v>2273</v>
      </c>
    </row>
    <row r="650" spans="1:7" ht="17.25">
      <c r="A650" s="274" t="s">
        <v>2274</v>
      </c>
      <c r="B650" s="274"/>
      <c r="C650" s="274" t="s">
        <v>2254</v>
      </c>
      <c r="D650" s="274" t="s">
        <v>2567</v>
      </c>
      <c r="E650" s="275" t="s">
        <v>2251</v>
      </c>
      <c r="F650" s="274" t="s">
        <v>2222</v>
      </c>
      <c r="G650" s="274" t="s">
        <v>2252</v>
      </c>
    </row>
    <row r="651" spans="1:7" ht="17.25">
      <c r="A651" s="274" t="s">
        <v>2426</v>
      </c>
      <c r="B651" s="274" t="s">
        <v>2272</v>
      </c>
      <c r="C651" s="274" t="s">
        <v>2427</v>
      </c>
      <c r="D651" s="274" t="s">
        <v>2567</v>
      </c>
      <c r="E651" s="275" t="s">
        <v>2427</v>
      </c>
      <c r="F651" s="274" t="s">
        <v>2221</v>
      </c>
      <c r="G651" s="274" t="s">
        <v>2428</v>
      </c>
    </row>
    <row r="652" spans="1:7" ht="17.25">
      <c r="A652" s="75" t="s">
        <v>2590</v>
      </c>
      <c r="B652" s="75"/>
      <c r="C652" s="75"/>
      <c r="D652" s="75"/>
      <c r="E652" s="76"/>
      <c r="F652" s="75"/>
      <c r="G652" s="75"/>
    </row>
    <row r="653" spans="1:7" ht="17.25">
      <c r="A653" s="274" t="s">
        <v>2465</v>
      </c>
      <c r="B653" s="274" t="s">
        <v>2465</v>
      </c>
      <c r="C653" s="274" t="s">
        <v>2254</v>
      </c>
      <c r="D653" s="274" t="s">
        <v>2430</v>
      </c>
      <c r="E653" s="275" t="s">
        <v>2435</v>
      </c>
      <c r="F653" s="274" t="s">
        <v>2228</v>
      </c>
      <c r="G653" s="274" t="s">
        <v>2487</v>
      </c>
    </row>
    <row r="654" spans="1:7" ht="17.25">
      <c r="A654" s="75" t="s">
        <v>2591</v>
      </c>
      <c r="B654" s="75"/>
      <c r="C654" s="75"/>
      <c r="D654" s="75"/>
      <c r="E654" s="76"/>
      <c r="F654" s="75"/>
      <c r="G654" s="75"/>
    </row>
    <row r="655" spans="1:7" ht="17.25">
      <c r="A655" s="274" t="s">
        <v>2465</v>
      </c>
      <c r="B655" s="274" t="s">
        <v>2465</v>
      </c>
      <c r="C655" s="274" t="s">
        <v>2254</v>
      </c>
      <c r="D655" s="274" t="s">
        <v>2430</v>
      </c>
      <c r="E655" s="275" t="s">
        <v>2435</v>
      </c>
      <c r="F655" s="274" t="s">
        <v>2228</v>
      </c>
      <c r="G655" s="274" t="s">
        <v>2489</v>
      </c>
    </row>
    <row r="656" spans="1:7" ht="17.25">
      <c r="A656" s="75" t="s">
        <v>2592</v>
      </c>
      <c r="B656" s="75"/>
      <c r="C656" s="75"/>
      <c r="D656" s="75"/>
      <c r="E656" s="76"/>
      <c r="F656" s="75"/>
      <c r="G656" s="75"/>
    </row>
    <row r="657" spans="1:7" ht="17.25">
      <c r="A657" s="274" t="s">
        <v>2465</v>
      </c>
      <c r="B657" s="274" t="s">
        <v>2465</v>
      </c>
      <c r="C657" s="274" t="s">
        <v>2254</v>
      </c>
      <c r="D657" s="274" t="s">
        <v>2430</v>
      </c>
      <c r="E657" s="275" t="s">
        <v>2435</v>
      </c>
      <c r="F657" s="274" t="s">
        <v>2228</v>
      </c>
      <c r="G657" s="274" t="s">
        <v>2487</v>
      </c>
    </row>
    <row r="658" spans="1:7" ht="17.25">
      <c r="A658" s="75" t="s">
        <v>2593</v>
      </c>
      <c r="B658" s="75"/>
      <c r="C658" s="75"/>
      <c r="D658" s="75"/>
      <c r="E658" s="76"/>
      <c r="F658" s="75"/>
      <c r="G658" s="75"/>
    </row>
    <row r="659" spans="1:7" ht="17.25">
      <c r="A659" s="274" t="s">
        <v>2465</v>
      </c>
      <c r="B659" s="274" t="s">
        <v>2465</v>
      </c>
      <c r="C659" s="274" t="s">
        <v>2254</v>
      </c>
      <c r="D659" s="274" t="s">
        <v>2430</v>
      </c>
      <c r="E659" s="275" t="s">
        <v>2435</v>
      </c>
      <c r="F659" s="274" t="s">
        <v>2228</v>
      </c>
      <c r="G659" s="274" t="s">
        <v>2492</v>
      </c>
    </row>
    <row r="660" spans="1:7" ht="17.25">
      <c r="A660" s="75" t="s">
        <v>2594</v>
      </c>
      <c r="B660" s="75"/>
      <c r="C660" s="75"/>
      <c r="D660" s="75"/>
      <c r="E660" s="76"/>
      <c r="F660" s="75"/>
      <c r="G660" s="75"/>
    </row>
    <row r="661" spans="1:7" ht="17.25">
      <c r="A661" s="274" t="s">
        <v>2465</v>
      </c>
      <c r="B661" s="274" t="s">
        <v>2465</v>
      </c>
      <c r="C661" s="274" t="s">
        <v>2254</v>
      </c>
      <c r="D661" s="274" t="s">
        <v>2430</v>
      </c>
      <c r="E661" s="275" t="s">
        <v>2435</v>
      </c>
      <c r="F661" s="274" t="s">
        <v>2228</v>
      </c>
      <c r="G661" s="274" t="s">
        <v>2489</v>
      </c>
    </row>
    <row r="662" spans="1:7" ht="17.25">
      <c r="A662" s="75" t="s">
        <v>2595</v>
      </c>
      <c r="B662" s="75"/>
      <c r="C662" s="75"/>
      <c r="D662" s="75"/>
      <c r="E662" s="76"/>
      <c r="F662" s="75"/>
      <c r="G662" s="75"/>
    </row>
    <row r="663" spans="1:7" ht="15">
      <c r="A663" s="56" t="s">
        <v>2465</v>
      </c>
      <c r="B663" s="56" t="s">
        <v>2465</v>
      </c>
      <c r="C663" s="56" t="s">
        <v>2254</v>
      </c>
      <c r="D663" s="56" t="s">
        <v>2430</v>
      </c>
      <c r="E663" s="74" t="s">
        <v>2435</v>
      </c>
      <c r="F663" s="56" t="s">
        <v>2228</v>
      </c>
      <c r="G663" s="56" t="s">
        <v>2489</v>
      </c>
    </row>
    <row r="664" spans="1:7" ht="17.25">
      <c r="A664" s="75" t="s">
        <v>2596</v>
      </c>
      <c r="B664" s="75"/>
      <c r="C664" s="75"/>
      <c r="D664" s="75"/>
      <c r="E664" s="76"/>
      <c r="F664" s="75"/>
      <c r="G664" s="75"/>
    </row>
    <row r="665" spans="1:7" ht="17.25">
      <c r="A665" s="274" t="s">
        <v>2465</v>
      </c>
      <c r="B665" s="274" t="s">
        <v>2465</v>
      </c>
      <c r="C665" s="274" t="s">
        <v>2254</v>
      </c>
      <c r="D665" s="274" t="s">
        <v>2430</v>
      </c>
      <c r="E665" s="275" t="s">
        <v>2435</v>
      </c>
      <c r="F665" s="274" t="s">
        <v>2228</v>
      </c>
      <c r="G665" s="274" t="s">
        <v>2489</v>
      </c>
    </row>
    <row r="666" spans="1:7" ht="17.25">
      <c r="A666" s="75" t="s">
        <v>2597</v>
      </c>
      <c r="B666" s="75"/>
      <c r="C666" s="75"/>
      <c r="D666" s="75"/>
      <c r="E666" s="76"/>
      <c r="F666" s="75"/>
      <c r="G666" s="75"/>
    </row>
    <row r="667" spans="1:7" ht="17.25">
      <c r="A667" s="274" t="s">
        <v>2465</v>
      </c>
      <c r="B667" s="274" t="s">
        <v>2465</v>
      </c>
      <c r="C667" s="274" t="s">
        <v>2254</v>
      </c>
      <c r="D667" s="274" t="s">
        <v>2430</v>
      </c>
      <c r="E667" s="275" t="s">
        <v>2435</v>
      </c>
      <c r="F667" s="274" t="s">
        <v>2228</v>
      </c>
      <c r="G667" s="274" t="s">
        <v>2489</v>
      </c>
    </row>
    <row r="668" spans="1:7" ht="17.25">
      <c r="A668" s="75" t="s">
        <v>2598</v>
      </c>
      <c r="B668" s="75"/>
      <c r="C668" s="75"/>
      <c r="D668" s="75"/>
      <c r="E668" s="76"/>
      <c r="F668" s="75"/>
      <c r="G668" s="75"/>
    </row>
    <row r="669" spans="1:7" ht="15">
      <c r="A669" s="56" t="s">
        <v>2276</v>
      </c>
      <c r="B669" s="56" t="s">
        <v>2277</v>
      </c>
      <c r="C669" s="56" t="s">
        <v>1565</v>
      </c>
      <c r="D669" s="56" t="s">
        <v>2430</v>
      </c>
      <c r="E669" s="74" t="s">
        <v>1565</v>
      </c>
      <c r="F669" s="56" t="s">
        <v>2096</v>
      </c>
      <c r="G669" s="56" t="s">
        <v>2279</v>
      </c>
    </row>
    <row r="670" spans="1:7" ht="15">
      <c r="A670" s="56" t="s">
        <v>2309</v>
      </c>
      <c r="B670" s="56"/>
      <c r="C670" s="56" t="s">
        <v>2310</v>
      </c>
      <c r="D670" s="56" t="s">
        <v>2430</v>
      </c>
      <c r="E670" s="74" t="s">
        <v>2311</v>
      </c>
      <c r="F670" s="56" t="s">
        <v>2231</v>
      </c>
      <c r="G670" s="56" t="s">
        <v>2252</v>
      </c>
    </row>
    <row r="671" spans="1:7" ht="17.25">
      <c r="A671" s="274" t="s">
        <v>2312</v>
      </c>
      <c r="B671" s="274" t="s">
        <v>2242</v>
      </c>
      <c r="C671" s="274" t="s">
        <v>108</v>
      </c>
      <c r="D671" s="274" t="s">
        <v>2430</v>
      </c>
      <c r="E671" s="275" t="s">
        <v>108</v>
      </c>
      <c r="F671" s="274" t="s">
        <v>2231</v>
      </c>
      <c r="G671" s="274" t="s">
        <v>2252</v>
      </c>
    </row>
    <row r="672" spans="1:7" ht="17.25">
      <c r="A672" s="274" t="s">
        <v>2313</v>
      </c>
      <c r="B672" s="274" t="s">
        <v>2314</v>
      </c>
      <c r="C672" s="274" t="s">
        <v>2315</v>
      </c>
      <c r="D672" s="274" t="s">
        <v>2430</v>
      </c>
      <c r="E672" s="275" t="s">
        <v>2315</v>
      </c>
      <c r="F672" s="274" t="s">
        <v>2231</v>
      </c>
      <c r="G672" s="274" t="s">
        <v>2316</v>
      </c>
    </row>
    <row r="673" spans="1:7" ht="15">
      <c r="A673" s="56" t="s">
        <v>2317</v>
      </c>
      <c r="B673" s="56"/>
      <c r="C673" s="56" t="s">
        <v>108</v>
      </c>
      <c r="D673" s="56" t="s">
        <v>2430</v>
      </c>
      <c r="E673" s="74" t="s">
        <v>108</v>
      </c>
      <c r="F673" s="74" t="s">
        <v>2231</v>
      </c>
      <c r="G673" s="56" t="s">
        <v>2252</v>
      </c>
    </row>
    <row r="674" spans="1:7" ht="17.25">
      <c r="A674" s="75" t="s">
        <v>2599</v>
      </c>
      <c r="B674" s="75"/>
      <c r="C674" s="75"/>
      <c r="D674" s="75"/>
      <c r="E674" s="76"/>
      <c r="F674" s="75"/>
      <c r="G674" s="75"/>
    </row>
    <row r="675" spans="1:7" ht="15">
      <c r="A675" s="56" t="s">
        <v>2319</v>
      </c>
      <c r="B675" s="56" t="s">
        <v>2249</v>
      </c>
      <c r="C675" s="56" t="s">
        <v>108</v>
      </c>
      <c r="D675" s="56" t="s">
        <v>2430</v>
      </c>
      <c r="E675" s="74" t="s">
        <v>108</v>
      </c>
      <c r="F675" s="56" t="s">
        <v>2231</v>
      </c>
      <c r="G675" s="56" t="s">
        <v>2252</v>
      </c>
    </row>
    <row r="676" spans="1:7" ht="17.25">
      <c r="A676" s="274" t="s">
        <v>2320</v>
      </c>
      <c r="B676" s="274" t="s">
        <v>2321</v>
      </c>
      <c r="C676" s="274" t="s">
        <v>108</v>
      </c>
      <c r="D676" s="274" t="s">
        <v>2430</v>
      </c>
      <c r="E676" s="275" t="s">
        <v>108</v>
      </c>
      <c r="F676" s="274" t="s">
        <v>2231</v>
      </c>
      <c r="G676" s="274" t="s">
        <v>2322</v>
      </c>
    </row>
    <row r="677" spans="1:7" ht="17.25">
      <c r="A677" s="274" t="s">
        <v>2323</v>
      </c>
      <c r="B677" s="274" t="s">
        <v>2321</v>
      </c>
      <c r="C677" s="274" t="s">
        <v>108</v>
      </c>
      <c r="D677" s="274" t="s">
        <v>2430</v>
      </c>
      <c r="E677" s="275" t="s">
        <v>108</v>
      </c>
      <c r="F677" s="274" t="s">
        <v>2231</v>
      </c>
      <c r="G677" s="274" t="s">
        <v>2252</v>
      </c>
    </row>
    <row r="678" spans="1:7" ht="17.25">
      <c r="A678" s="274" t="s">
        <v>2324</v>
      </c>
      <c r="B678" s="274" t="s">
        <v>2325</v>
      </c>
      <c r="C678" s="274" t="s">
        <v>108</v>
      </c>
      <c r="D678" s="274" t="s">
        <v>2430</v>
      </c>
      <c r="E678" s="275" t="s">
        <v>108</v>
      </c>
      <c r="F678" s="274" t="s">
        <v>2231</v>
      </c>
      <c r="G678" s="274" t="s">
        <v>2326</v>
      </c>
    </row>
    <row r="679" spans="1:7" ht="17.25">
      <c r="A679" s="75" t="s">
        <v>2600</v>
      </c>
      <c r="B679" s="75"/>
      <c r="C679" s="75"/>
      <c r="D679" s="75"/>
      <c r="E679" s="76"/>
      <c r="F679" s="75"/>
      <c r="G679" s="75"/>
    </row>
    <row r="680" spans="1:7" ht="15">
      <c r="A680" s="56" t="s">
        <v>2328</v>
      </c>
      <c r="B680" s="56" t="s">
        <v>2282</v>
      </c>
      <c r="C680" s="56" t="s">
        <v>108</v>
      </c>
      <c r="D680" s="56" t="s">
        <v>2430</v>
      </c>
      <c r="E680" s="74" t="s">
        <v>108</v>
      </c>
      <c r="F680" s="56" t="s">
        <v>2231</v>
      </c>
      <c r="G680" s="56" t="s">
        <v>2252</v>
      </c>
    </row>
    <row r="681" spans="1:7" ht="15">
      <c r="A681" s="56" t="s">
        <v>2281</v>
      </c>
      <c r="B681" s="56" t="s">
        <v>2282</v>
      </c>
      <c r="C681" s="56" t="s">
        <v>2283</v>
      </c>
      <c r="D681" s="56" t="s">
        <v>2430</v>
      </c>
      <c r="E681" s="74" t="s">
        <v>108</v>
      </c>
      <c r="F681" s="56" t="s">
        <v>2231</v>
      </c>
      <c r="G681" s="56" t="s">
        <v>2252</v>
      </c>
    </row>
    <row r="682" spans="1:7" ht="17.25">
      <c r="A682" s="274" t="s">
        <v>2330</v>
      </c>
      <c r="B682" s="274" t="s">
        <v>2282</v>
      </c>
      <c r="C682" s="274" t="s">
        <v>2331</v>
      </c>
      <c r="D682" s="274" t="s">
        <v>2430</v>
      </c>
      <c r="E682" s="275" t="s">
        <v>108</v>
      </c>
      <c r="F682" s="274" t="s">
        <v>2231</v>
      </c>
      <c r="G682" s="274" t="s">
        <v>2332</v>
      </c>
    </row>
    <row r="683" spans="1:7" ht="17.25">
      <c r="A683" s="274" t="s">
        <v>2333</v>
      </c>
      <c r="B683" s="274" t="s">
        <v>2282</v>
      </c>
      <c r="C683" s="274" t="s">
        <v>108</v>
      </c>
      <c r="D683" s="274" t="s">
        <v>2430</v>
      </c>
      <c r="E683" s="275" t="s">
        <v>108</v>
      </c>
      <c r="F683" s="274" t="s">
        <v>2231</v>
      </c>
      <c r="G683" s="274" t="s">
        <v>2252</v>
      </c>
    </row>
    <row r="684" spans="1:7" ht="17.25">
      <c r="A684" s="75" t="s">
        <v>2601</v>
      </c>
      <c r="B684" s="75"/>
      <c r="C684" s="75"/>
      <c r="D684" s="75"/>
      <c r="E684" s="76"/>
      <c r="F684" s="75"/>
      <c r="G684" s="75"/>
    </row>
    <row r="685" spans="1:7" ht="17.25">
      <c r="A685" s="274" t="s">
        <v>2335</v>
      </c>
      <c r="B685" s="274" t="s">
        <v>2336</v>
      </c>
      <c r="C685" s="274" t="s">
        <v>2337</v>
      </c>
      <c r="D685" s="274" t="s">
        <v>2430</v>
      </c>
      <c r="E685" s="275" t="s">
        <v>108</v>
      </c>
      <c r="F685" s="274" t="s">
        <v>2231</v>
      </c>
      <c r="G685" s="274" t="s">
        <v>2252</v>
      </c>
    </row>
    <row r="686" spans="1:7" ht="15">
      <c r="A686" s="56" t="s">
        <v>2289</v>
      </c>
      <c r="B686" s="56"/>
      <c r="C686" s="56" t="s">
        <v>552</v>
      </c>
      <c r="D686" s="56" t="s">
        <v>2430</v>
      </c>
      <c r="E686" s="74" t="s">
        <v>552</v>
      </c>
      <c r="F686" s="56" t="s">
        <v>2096</v>
      </c>
      <c r="G686" s="56" t="s">
        <v>2290</v>
      </c>
    </row>
    <row r="687" spans="1:7" ht="17.25">
      <c r="A687" s="274" t="s">
        <v>2338</v>
      </c>
      <c r="B687" s="274" t="s">
        <v>2336</v>
      </c>
      <c r="C687" s="274" t="s">
        <v>2339</v>
      </c>
      <c r="D687" s="274" t="s">
        <v>2430</v>
      </c>
      <c r="E687" s="275" t="s">
        <v>108</v>
      </c>
      <c r="F687" s="274" t="s">
        <v>2231</v>
      </c>
      <c r="G687" s="274" t="s">
        <v>2252</v>
      </c>
    </row>
    <row r="688" spans="1:7" ht="15">
      <c r="A688" s="56" t="s">
        <v>2340</v>
      </c>
      <c r="B688" s="56" t="s">
        <v>2341</v>
      </c>
      <c r="C688" s="56" t="s">
        <v>108</v>
      </c>
      <c r="D688" s="56" t="s">
        <v>2430</v>
      </c>
      <c r="E688" s="74" t="s">
        <v>108</v>
      </c>
      <c r="F688" s="56" t="s">
        <v>2231</v>
      </c>
      <c r="G688" s="56" t="s">
        <v>2342</v>
      </c>
    </row>
    <row r="689" spans="1:7" ht="17.25">
      <c r="A689" s="274" t="s">
        <v>2343</v>
      </c>
      <c r="B689" s="274" t="s">
        <v>2341</v>
      </c>
      <c r="C689" s="274" t="s">
        <v>108</v>
      </c>
      <c r="D689" s="274" t="s">
        <v>2430</v>
      </c>
      <c r="E689" s="275" t="s">
        <v>108</v>
      </c>
      <c r="F689" s="274" t="s">
        <v>2231</v>
      </c>
      <c r="G689" s="274" t="s">
        <v>2252</v>
      </c>
    </row>
    <row r="690" spans="1:7" ht="17.25">
      <c r="A690" s="75" t="s">
        <v>2602</v>
      </c>
      <c r="B690" s="75"/>
      <c r="C690" s="75"/>
      <c r="D690" s="75"/>
      <c r="E690" s="76"/>
      <c r="F690" s="75"/>
      <c r="G690" s="75"/>
    </row>
    <row r="691" spans="1:7" ht="17.25">
      <c r="A691" s="274" t="s">
        <v>2345</v>
      </c>
      <c r="B691" s="274" t="s">
        <v>2346</v>
      </c>
      <c r="C691" s="274" t="s">
        <v>108</v>
      </c>
      <c r="D691" s="274" t="s">
        <v>2430</v>
      </c>
      <c r="E691" s="275" t="s">
        <v>108</v>
      </c>
      <c r="F691" s="274" t="s">
        <v>2231</v>
      </c>
      <c r="G691" s="274" t="s">
        <v>2347</v>
      </c>
    </row>
    <row r="692" spans="1:7" ht="17.25">
      <c r="A692" s="274" t="s">
        <v>2248</v>
      </c>
      <c r="B692" s="274" t="s">
        <v>2249</v>
      </c>
      <c r="C692" s="274" t="s">
        <v>2250</v>
      </c>
      <c r="D692" s="274" t="s">
        <v>2430</v>
      </c>
      <c r="E692" s="275" t="s">
        <v>2435</v>
      </c>
      <c r="F692" s="274" t="s">
        <v>2228</v>
      </c>
      <c r="G692" s="274" t="s">
        <v>2252</v>
      </c>
    </row>
    <row r="693" spans="1:7" ht="17.25">
      <c r="A693" s="274" t="s">
        <v>2253</v>
      </c>
      <c r="B693" s="274" t="s">
        <v>2249</v>
      </c>
      <c r="C693" s="274" t="s">
        <v>2254</v>
      </c>
      <c r="D693" s="274" t="s">
        <v>2430</v>
      </c>
      <c r="E693" s="275" t="s">
        <v>2435</v>
      </c>
      <c r="F693" s="274" t="s">
        <v>2228</v>
      </c>
      <c r="G693" s="274" t="s">
        <v>2252</v>
      </c>
    </row>
    <row r="694" spans="1:7" ht="17.25">
      <c r="A694" s="274" t="s">
        <v>2255</v>
      </c>
      <c r="B694" s="274" t="s">
        <v>2249</v>
      </c>
      <c r="C694" s="274" t="s">
        <v>2254</v>
      </c>
      <c r="D694" s="274" t="s">
        <v>2430</v>
      </c>
      <c r="E694" s="275" t="s">
        <v>2435</v>
      </c>
      <c r="F694" s="274" t="s">
        <v>2228</v>
      </c>
      <c r="G694" s="274" t="s">
        <v>2252</v>
      </c>
    </row>
    <row r="695" spans="1:7" ht="15">
      <c r="A695" s="56" t="s">
        <v>2256</v>
      </c>
      <c r="B695" s="56" t="s">
        <v>2257</v>
      </c>
      <c r="C695" s="56" t="s">
        <v>2254</v>
      </c>
      <c r="D695" s="56" t="s">
        <v>2430</v>
      </c>
      <c r="E695" s="74" t="s">
        <v>2435</v>
      </c>
      <c r="F695" s="56" t="s">
        <v>2228</v>
      </c>
      <c r="G695" s="56" t="s">
        <v>2252</v>
      </c>
    </row>
    <row r="696" spans="1:7" ht="17.25">
      <c r="A696" s="274" t="s">
        <v>2258</v>
      </c>
      <c r="B696" s="274"/>
      <c r="C696" s="274" t="s">
        <v>2254</v>
      </c>
      <c r="D696" s="274" t="s">
        <v>2430</v>
      </c>
      <c r="E696" s="275" t="s">
        <v>2435</v>
      </c>
      <c r="F696" s="274" t="s">
        <v>2228</v>
      </c>
      <c r="G696" s="274" t="s">
        <v>2252</v>
      </c>
    </row>
    <row r="697" spans="1:7" ht="17.25">
      <c r="A697" s="274" t="s">
        <v>2259</v>
      </c>
      <c r="B697" s="274"/>
      <c r="C697" s="274" t="s">
        <v>2254</v>
      </c>
      <c r="D697" s="274" t="s">
        <v>2430</v>
      </c>
      <c r="E697" s="275" t="s">
        <v>2435</v>
      </c>
      <c r="F697" s="274" t="s">
        <v>2228</v>
      </c>
      <c r="G697" s="274" t="s">
        <v>2252</v>
      </c>
    </row>
    <row r="698" spans="1:7" ht="17.25">
      <c r="A698" s="274" t="s">
        <v>2260</v>
      </c>
      <c r="B698" s="274"/>
      <c r="C698" s="274" t="s">
        <v>2254</v>
      </c>
      <c r="D698" s="274" t="s">
        <v>2430</v>
      </c>
      <c r="E698" s="275" t="s">
        <v>2435</v>
      </c>
      <c r="F698" s="274" t="s">
        <v>2228</v>
      </c>
      <c r="G698" s="274" t="s">
        <v>2252</v>
      </c>
    </row>
    <row r="699" spans="1:7" ht="17.25">
      <c r="A699" s="75" t="s">
        <v>2603</v>
      </c>
      <c r="B699" s="75"/>
      <c r="C699" s="75"/>
      <c r="D699" s="75"/>
      <c r="E699" s="76"/>
      <c r="F699" s="75"/>
      <c r="G699" s="75"/>
    </row>
    <row r="700" spans="1:7" ht="17.25">
      <c r="A700" s="274" t="s">
        <v>2350</v>
      </c>
      <c r="B700" s="274" t="s">
        <v>2351</v>
      </c>
      <c r="C700" s="274" t="s">
        <v>108</v>
      </c>
      <c r="D700" s="274" t="s">
        <v>2430</v>
      </c>
      <c r="E700" s="275" t="s">
        <v>108</v>
      </c>
      <c r="F700" s="274" t="s">
        <v>2231</v>
      </c>
      <c r="G700" s="274" t="s">
        <v>2252</v>
      </c>
    </row>
    <row r="701" spans="1:7" ht="17.25">
      <c r="A701" s="274" t="s">
        <v>2352</v>
      </c>
      <c r="B701" s="274"/>
      <c r="C701" s="274" t="s">
        <v>2337</v>
      </c>
      <c r="D701" s="274" t="s">
        <v>2430</v>
      </c>
      <c r="E701" s="275" t="s">
        <v>108</v>
      </c>
      <c r="F701" s="274" t="s">
        <v>2231</v>
      </c>
      <c r="G701" s="274" t="s">
        <v>2252</v>
      </c>
    </row>
    <row r="702" spans="1:7" ht="17.25">
      <c r="A702" s="274" t="s">
        <v>2353</v>
      </c>
      <c r="B702" s="274" t="s">
        <v>2351</v>
      </c>
      <c r="C702" s="274" t="s">
        <v>2354</v>
      </c>
      <c r="D702" s="274" t="s">
        <v>2430</v>
      </c>
      <c r="E702" s="275" t="s">
        <v>108</v>
      </c>
      <c r="F702" s="274" t="s">
        <v>2231</v>
      </c>
      <c r="G702" s="274" t="s">
        <v>2355</v>
      </c>
    </row>
    <row r="703" spans="1:7" ht="15">
      <c r="A703" s="56" t="s">
        <v>2356</v>
      </c>
      <c r="B703" s="56" t="s">
        <v>2351</v>
      </c>
      <c r="C703" s="56" t="s">
        <v>2315</v>
      </c>
      <c r="D703" s="56" t="s">
        <v>2430</v>
      </c>
      <c r="E703" s="74" t="s">
        <v>2315</v>
      </c>
      <c r="F703" s="56" t="s">
        <v>2231</v>
      </c>
      <c r="G703" s="56" t="s">
        <v>2252</v>
      </c>
    </row>
    <row r="704" spans="1:7" ht="17.25">
      <c r="A704" s="274" t="s">
        <v>2357</v>
      </c>
      <c r="B704" s="274" t="s">
        <v>2358</v>
      </c>
      <c r="C704" s="274" t="s">
        <v>108</v>
      </c>
      <c r="D704" s="274" t="s">
        <v>2430</v>
      </c>
      <c r="E704" s="275" t="s">
        <v>108</v>
      </c>
      <c r="F704" s="274" t="s">
        <v>2231</v>
      </c>
      <c r="G704" s="274" t="s">
        <v>2252</v>
      </c>
    </row>
    <row r="705" spans="1:7" ht="17.25">
      <c r="A705" s="75" t="s">
        <v>2604</v>
      </c>
      <c r="B705" s="75"/>
      <c r="C705" s="75"/>
      <c r="D705" s="75"/>
      <c r="E705" s="76"/>
      <c r="F705" s="75"/>
      <c r="G705" s="75"/>
    </row>
    <row r="706" spans="1:7" ht="17.25">
      <c r="A706" s="274" t="s">
        <v>2363</v>
      </c>
      <c r="B706" s="274"/>
      <c r="C706" s="274" t="s">
        <v>2315</v>
      </c>
      <c r="D706" s="274" t="s">
        <v>2430</v>
      </c>
      <c r="E706" s="275" t="s">
        <v>2315</v>
      </c>
      <c r="F706" s="274" t="s">
        <v>2231</v>
      </c>
      <c r="G706" s="274" t="s">
        <v>2252</v>
      </c>
    </row>
    <row r="707" spans="1:7" ht="17.25">
      <c r="A707" s="274" t="s">
        <v>2294</v>
      </c>
      <c r="B707" s="274"/>
      <c r="C707" s="274" t="s">
        <v>2295</v>
      </c>
      <c r="D707" s="274" t="s">
        <v>2430</v>
      </c>
      <c r="E707" s="275" t="s">
        <v>2295</v>
      </c>
      <c r="F707" s="274" t="s">
        <v>2096</v>
      </c>
      <c r="G707" s="274" t="s">
        <v>2252</v>
      </c>
    </row>
    <row r="708" spans="1:7" ht="17.25">
      <c r="A708" s="274" t="s">
        <v>2364</v>
      </c>
      <c r="B708" s="274" t="s">
        <v>2351</v>
      </c>
      <c r="C708" s="274" t="s">
        <v>108</v>
      </c>
      <c r="D708" s="274" t="s">
        <v>2430</v>
      </c>
      <c r="E708" s="275" t="s">
        <v>108</v>
      </c>
      <c r="F708" s="274" t="s">
        <v>2231</v>
      </c>
      <c r="G708" s="274" t="s">
        <v>2252</v>
      </c>
    </row>
    <row r="709" spans="1:7" ht="17.25">
      <c r="A709" s="274" t="s">
        <v>2365</v>
      </c>
      <c r="B709" s="274" t="s">
        <v>2351</v>
      </c>
      <c r="C709" s="274" t="s">
        <v>108</v>
      </c>
      <c r="D709" s="274" t="s">
        <v>2430</v>
      </c>
      <c r="E709" s="275" t="s">
        <v>108</v>
      </c>
      <c r="F709" s="274" t="s">
        <v>2231</v>
      </c>
      <c r="G709" s="274" t="s">
        <v>2252</v>
      </c>
    </row>
    <row r="710" spans="1:7" ht="17.25">
      <c r="A710" s="274" t="s">
        <v>2366</v>
      </c>
      <c r="B710" s="274" t="s">
        <v>2257</v>
      </c>
      <c r="C710" s="274" t="s">
        <v>108</v>
      </c>
      <c r="D710" s="274" t="s">
        <v>2430</v>
      </c>
      <c r="E710" s="275" t="s">
        <v>108</v>
      </c>
      <c r="F710" s="274" t="s">
        <v>2231</v>
      </c>
      <c r="G710" s="274" t="s">
        <v>2252</v>
      </c>
    </row>
    <row r="711" spans="1:7" ht="15">
      <c r="A711" s="56" t="s">
        <v>2367</v>
      </c>
      <c r="B711" s="56" t="s">
        <v>2368</v>
      </c>
      <c r="C711" s="56" t="s">
        <v>2315</v>
      </c>
      <c r="D711" s="56" t="s">
        <v>2430</v>
      </c>
      <c r="E711" s="74" t="s">
        <v>2315</v>
      </c>
      <c r="F711" s="56" t="s">
        <v>2231</v>
      </c>
      <c r="G711" s="56" t="s">
        <v>2252</v>
      </c>
    </row>
    <row r="712" spans="1:7" ht="15">
      <c r="A712" s="56" t="s">
        <v>2369</v>
      </c>
      <c r="B712" s="56" t="s">
        <v>2368</v>
      </c>
      <c r="C712" s="56" t="s">
        <v>2315</v>
      </c>
      <c r="D712" s="56" t="s">
        <v>2430</v>
      </c>
      <c r="E712" s="74" t="s">
        <v>2315</v>
      </c>
      <c r="F712" s="56" t="s">
        <v>2231</v>
      </c>
      <c r="G712" s="56" t="s">
        <v>2252</v>
      </c>
    </row>
    <row r="713" spans="1:7" ht="17.25">
      <c r="A713" s="274" t="s">
        <v>2370</v>
      </c>
      <c r="B713" s="274" t="s">
        <v>2368</v>
      </c>
      <c r="C713" s="274" t="s">
        <v>108</v>
      </c>
      <c r="D713" s="274" t="s">
        <v>2430</v>
      </c>
      <c r="E713" s="275" t="s">
        <v>108</v>
      </c>
      <c r="F713" s="274" t="s">
        <v>2231</v>
      </c>
      <c r="G713" s="274" t="s">
        <v>2371</v>
      </c>
    </row>
    <row r="714" spans="1:7" ht="17.25">
      <c r="A714" s="75" t="s">
        <v>2605</v>
      </c>
      <c r="B714" s="75"/>
      <c r="C714" s="75"/>
      <c r="D714" s="75"/>
      <c r="E714" s="76"/>
      <c r="F714" s="75"/>
      <c r="G714" s="75"/>
    </row>
    <row r="715" spans="1:7" ht="15">
      <c r="A715" s="56" t="s">
        <v>2373</v>
      </c>
      <c r="B715" s="56" t="s">
        <v>2374</v>
      </c>
      <c r="C715" s="56" t="s">
        <v>108</v>
      </c>
      <c r="D715" s="56" t="s">
        <v>2430</v>
      </c>
      <c r="E715" s="74" t="s">
        <v>108</v>
      </c>
      <c r="F715" s="56" t="s">
        <v>2231</v>
      </c>
      <c r="G715" s="56" t="s">
        <v>2252</v>
      </c>
    </row>
    <row r="716" spans="1:7" ht="17.25">
      <c r="A716" s="274" t="s">
        <v>2375</v>
      </c>
      <c r="B716" s="274" t="s">
        <v>2376</v>
      </c>
      <c r="C716" s="274" t="s">
        <v>108</v>
      </c>
      <c r="D716" s="274" t="s">
        <v>2430</v>
      </c>
      <c r="E716" s="275" t="s">
        <v>108</v>
      </c>
      <c r="F716" s="274" t="s">
        <v>2231</v>
      </c>
      <c r="G716" s="274" t="s">
        <v>2252</v>
      </c>
    </row>
    <row r="717" spans="1:7" ht="17.25">
      <c r="A717" s="274" t="s">
        <v>2377</v>
      </c>
      <c r="B717" s="274" t="s">
        <v>2376</v>
      </c>
      <c r="C717" s="274" t="s">
        <v>108</v>
      </c>
      <c r="D717" s="274" t="s">
        <v>2430</v>
      </c>
      <c r="E717" s="275" t="s">
        <v>108</v>
      </c>
      <c r="F717" s="274" t="s">
        <v>2231</v>
      </c>
      <c r="G717" s="274" t="s">
        <v>2252</v>
      </c>
    </row>
    <row r="718" spans="1:7" ht="17.25">
      <c r="A718" s="75" t="s">
        <v>2606</v>
      </c>
      <c r="B718" s="75"/>
      <c r="C718" s="75"/>
      <c r="D718" s="75"/>
      <c r="E718" s="76"/>
      <c r="F718" s="75"/>
      <c r="G718" s="75"/>
    </row>
    <row r="719" spans="1:7" ht="17.25">
      <c r="A719" s="274" t="s">
        <v>2297</v>
      </c>
      <c r="B719" s="274" t="s">
        <v>2298</v>
      </c>
      <c r="C719" s="274" t="s">
        <v>552</v>
      </c>
      <c r="D719" s="274" t="s">
        <v>2430</v>
      </c>
      <c r="E719" s="275" t="s">
        <v>552</v>
      </c>
      <c r="F719" s="274" t="s">
        <v>2096</v>
      </c>
      <c r="G719" s="274" t="s">
        <v>2299</v>
      </c>
    </row>
    <row r="720" spans="1:7" ht="15">
      <c r="A720" s="56" t="s">
        <v>2300</v>
      </c>
      <c r="B720" s="56" t="s">
        <v>2301</v>
      </c>
      <c r="C720" s="56" t="s">
        <v>2302</v>
      </c>
      <c r="D720" s="56" t="s">
        <v>2430</v>
      </c>
      <c r="E720" s="74" t="s">
        <v>552</v>
      </c>
      <c r="F720" s="56" t="s">
        <v>2096</v>
      </c>
      <c r="G720" s="56" t="s">
        <v>2303</v>
      </c>
    </row>
    <row r="721" spans="1:7" ht="17.25">
      <c r="A721" s="274" t="s">
        <v>2379</v>
      </c>
      <c r="B721" s="274" t="s">
        <v>2263</v>
      </c>
      <c r="C721" s="274" t="s">
        <v>2315</v>
      </c>
      <c r="D721" s="274" t="s">
        <v>2430</v>
      </c>
      <c r="E721" s="275" t="s">
        <v>2315</v>
      </c>
      <c r="F721" s="274" t="s">
        <v>2231</v>
      </c>
      <c r="G721" s="274" t="s">
        <v>2380</v>
      </c>
    </row>
    <row r="722" spans="1:7" ht="17.25">
      <c r="A722" s="274" t="s">
        <v>2381</v>
      </c>
      <c r="B722" s="274" t="s">
        <v>2301</v>
      </c>
      <c r="C722" s="274" t="s">
        <v>108</v>
      </c>
      <c r="D722" s="274" t="s">
        <v>2430</v>
      </c>
      <c r="E722" s="275" t="s">
        <v>108</v>
      </c>
      <c r="F722" s="274" t="s">
        <v>2231</v>
      </c>
      <c r="G722" s="274" t="s">
        <v>2382</v>
      </c>
    </row>
    <row r="723" spans="1:7" ht="17.25">
      <c r="A723" s="274" t="s">
        <v>2383</v>
      </c>
      <c r="B723" s="274" t="s">
        <v>2298</v>
      </c>
      <c r="C723" s="274" t="s">
        <v>108</v>
      </c>
      <c r="D723" s="274" t="s">
        <v>2430</v>
      </c>
      <c r="E723" s="275" t="s">
        <v>108</v>
      </c>
      <c r="F723" s="274" t="s">
        <v>2231</v>
      </c>
      <c r="G723" s="274" t="s">
        <v>2384</v>
      </c>
    </row>
    <row r="724" spans="1:7" ht="17.25">
      <c r="A724" s="274" t="s">
        <v>2385</v>
      </c>
      <c r="B724" s="274" t="s">
        <v>2386</v>
      </c>
      <c r="C724" s="274" t="s">
        <v>108</v>
      </c>
      <c r="D724" s="274" t="s">
        <v>2430</v>
      </c>
      <c r="E724" s="275" t="s">
        <v>108</v>
      </c>
      <c r="F724" s="274" t="s">
        <v>2231</v>
      </c>
      <c r="G724" s="274" t="s">
        <v>2387</v>
      </c>
    </row>
    <row r="725" spans="1:7" ht="17.25">
      <c r="A725" s="75" t="s">
        <v>2607</v>
      </c>
      <c r="B725" s="75"/>
      <c r="C725" s="75"/>
      <c r="D725" s="75"/>
      <c r="E725" s="76"/>
      <c r="F725" s="75"/>
      <c r="G725" s="75"/>
    </row>
    <row r="726" spans="1:7" ht="15">
      <c r="A726" s="56" t="s">
        <v>2389</v>
      </c>
      <c r="B726" s="56" t="s">
        <v>2301</v>
      </c>
      <c r="C726" s="56" t="s">
        <v>108</v>
      </c>
      <c r="D726" s="56" t="s">
        <v>2430</v>
      </c>
      <c r="E726" s="74" t="s">
        <v>108</v>
      </c>
      <c r="F726" s="56" t="s">
        <v>2231</v>
      </c>
      <c r="G726" s="56" t="s">
        <v>2390</v>
      </c>
    </row>
    <row r="727" spans="1:7" ht="17.25">
      <c r="A727" s="274" t="s">
        <v>2391</v>
      </c>
      <c r="B727" s="274" t="s">
        <v>2392</v>
      </c>
      <c r="C727" s="274" t="s">
        <v>108</v>
      </c>
      <c r="D727" s="274" t="s">
        <v>2430</v>
      </c>
      <c r="E727" s="275" t="s">
        <v>108</v>
      </c>
      <c r="F727" s="274" t="s">
        <v>2231</v>
      </c>
      <c r="G727" s="274" t="s">
        <v>2393</v>
      </c>
    </row>
    <row r="728" spans="1:7" ht="15">
      <c r="A728" s="56" t="s">
        <v>2394</v>
      </c>
      <c r="B728" s="56" t="s">
        <v>2395</v>
      </c>
      <c r="C728" s="56" t="s">
        <v>108</v>
      </c>
      <c r="D728" s="56" t="s">
        <v>2430</v>
      </c>
      <c r="E728" s="74" t="s">
        <v>108</v>
      </c>
      <c r="F728" s="56" t="s">
        <v>2231</v>
      </c>
      <c r="G728" s="56" t="s">
        <v>2396</v>
      </c>
    </row>
    <row r="729" spans="1:7" ht="17.25">
      <c r="A729" s="274" t="s">
        <v>2397</v>
      </c>
      <c r="B729" s="274" t="s">
        <v>2398</v>
      </c>
      <c r="C729" s="274" t="s">
        <v>2315</v>
      </c>
      <c r="D729" s="274" t="s">
        <v>2430</v>
      </c>
      <c r="E729" s="275" t="s">
        <v>2315</v>
      </c>
      <c r="F729" s="274" t="s">
        <v>2231</v>
      </c>
      <c r="G729" s="274" t="s">
        <v>2252</v>
      </c>
    </row>
    <row r="730" spans="1:7" ht="17.25">
      <c r="A730" s="274" t="s">
        <v>2399</v>
      </c>
      <c r="B730" s="274" t="s">
        <v>2398</v>
      </c>
      <c r="C730" s="274" t="s">
        <v>2400</v>
      </c>
      <c r="D730" s="274" t="s">
        <v>2430</v>
      </c>
      <c r="E730" s="275" t="s">
        <v>108</v>
      </c>
      <c r="F730" s="274" t="s">
        <v>2231</v>
      </c>
      <c r="G730" s="274" t="s">
        <v>2252</v>
      </c>
    </row>
    <row r="731" spans="1:7" ht="17.25">
      <c r="A731" s="75" t="s">
        <v>2608</v>
      </c>
      <c r="B731" s="75"/>
      <c r="C731" s="75"/>
      <c r="D731" s="75"/>
      <c r="E731" s="76"/>
      <c r="F731" s="75"/>
      <c r="G731" s="75"/>
    </row>
    <row r="732" spans="1:7" ht="15">
      <c r="A732" s="56" t="s">
        <v>2305</v>
      </c>
      <c r="B732" s="56"/>
      <c r="C732" s="56" t="s">
        <v>552</v>
      </c>
      <c r="D732" s="56" t="s">
        <v>2430</v>
      </c>
      <c r="E732" s="74" t="s">
        <v>552</v>
      </c>
      <c r="F732" s="56" t="s">
        <v>2096</v>
      </c>
      <c r="G732" s="56" t="s">
        <v>2252</v>
      </c>
    </row>
    <row r="733" spans="1:7" ht="17.25">
      <c r="A733" s="274" t="s">
        <v>2402</v>
      </c>
      <c r="B733" s="274" t="s">
        <v>2403</v>
      </c>
      <c r="C733" s="274" t="s">
        <v>108</v>
      </c>
      <c r="D733" s="274" t="s">
        <v>2430</v>
      </c>
      <c r="E733" s="275" t="s">
        <v>108</v>
      </c>
      <c r="F733" s="274" t="s">
        <v>2231</v>
      </c>
      <c r="G733" s="274" t="s">
        <v>2252</v>
      </c>
    </row>
    <row r="734" spans="1:7" ht="15">
      <c r="A734" s="56" t="s">
        <v>2404</v>
      </c>
      <c r="B734" s="56" t="s">
        <v>2403</v>
      </c>
      <c r="C734" s="56" t="s">
        <v>2315</v>
      </c>
      <c r="D734" s="56" t="s">
        <v>2430</v>
      </c>
      <c r="E734" s="74" t="s">
        <v>2315</v>
      </c>
      <c r="F734" s="56" t="s">
        <v>2231</v>
      </c>
      <c r="G734" s="56" t="s">
        <v>2405</v>
      </c>
    </row>
    <row r="735" spans="1:7" ht="17.25">
      <c r="A735" s="274" t="s">
        <v>2406</v>
      </c>
      <c r="B735" s="274" t="s">
        <v>2407</v>
      </c>
      <c r="C735" s="274" t="s">
        <v>2408</v>
      </c>
      <c r="D735" s="274" t="s">
        <v>2430</v>
      </c>
      <c r="E735" s="275" t="s">
        <v>2442</v>
      </c>
      <c r="F735" s="274" t="s">
        <v>2231</v>
      </c>
      <c r="G735" s="274" t="s">
        <v>2410</v>
      </c>
    </row>
    <row r="736" spans="1:7" ht="15">
      <c r="A736" s="56" t="s">
        <v>2411</v>
      </c>
      <c r="B736" s="56" t="s">
        <v>2407</v>
      </c>
      <c r="C736" s="56" t="s">
        <v>2331</v>
      </c>
      <c r="D736" s="56" t="s">
        <v>2430</v>
      </c>
      <c r="E736" s="74" t="s">
        <v>108</v>
      </c>
      <c r="F736" s="56" t="s">
        <v>2231</v>
      </c>
      <c r="G736" s="56" t="s">
        <v>2412</v>
      </c>
    </row>
    <row r="737" spans="1:7" ht="17.25">
      <c r="A737" s="274" t="s">
        <v>2413</v>
      </c>
      <c r="B737" s="274" t="s">
        <v>2403</v>
      </c>
      <c r="C737" s="274" t="s">
        <v>2414</v>
      </c>
      <c r="D737" s="274" t="s">
        <v>2430</v>
      </c>
      <c r="E737" s="275" t="s">
        <v>108</v>
      </c>
      <c r="F737" s="274" t="s">
        <v>2231</v>
      </c>
      <c r="G737" s="274" t="s">
        <v>2252</v>
      </c>
    </row>
    <row r="738" spans="1:7" ht="15">
      <c r="A738" s="56" t="s">
        <v>2415</v>
      </c>
      <c r="B738" s="56" t="s">
        <v>2403</v>
      </c>
      <c r="C738" s="56" t="s">
        <v>2416</v>
      </c>
      <c r="D738" s="56" t="s">
        <v>2430</v>
      </c>
      <c r="E738" s="74" t="s">
        <v>108</v>
      </c>
      <c r="F738" s="56" t="s">
        <v>2231</v>
      </c>
      <c r="G738" s="56" t="s">
        <v>2417</v>
      </c>
    </row>
    <row r="739" spans="1:7" ht="17.25">
      <c r="A739" s="75" t="s">
        <v>2609</v>
      </c>
      <c r="B739" s="75"/>
      <c r="C739" s="75"/>
      <c r="D739" s="75"/>
      <c r="E739" s="76"/>
      <c r="F739" s="75"/>
      <c r="G739" s="75"/>
    </row>
    <row r="740" spans="1:7" ht="15">
      <c r="A740" s="56" t="s">
        <v>2419</v>
      </c>
      <c r="B740" s="56" t="s">
        <v>2287</v>
      </c>
      <c r="C740" s="56" t="s">
        <v>2420</v>
      </c>
      <c r="D740" s="56" t="s">
        <v>2430</v>
      </c>
      <c r="E740" s="74" t="s">
        <v>108</v>
      </c>
      <c r="F740" s="56" t="s">
        <v>2231</v>
      </c>
      <c r="G740" s="56" t="s">
        <v>2421</v>
      </c>
    </row>
    <row r="741" spans="1:7" ht="15">
      <c r="A741" s="56" t="s">
        <v>2422</v>
      </c>
      <c r="B741" s="56" t="s">
        <v>2423</v>
      </c>
      <c r="C741" s="56" t="s">
        <v>2424</v>
      </c>
      <c r="D741" s="56" t="s">
        <v>2430</v>
      </c>
      <c r="E741" s="74" t="s">
        <v>108</v>
      </c>
      <c r="F741" s="56" t="s">
        <v>2231</v>
      </c>
      <c r="G741" s="56" t="s">
        <v>2425</v>
      </c>
    </row>
    <row r="742" spans="1:7" ht="15">
      <c r="A742" s="56" t="s">
        <v>2274</v>
      </c>
      <c r="B742" s="56"/>
      <c r="C742" s="56" t="s">
        <v>2254</v>
      </c>
      <c r="D742" s="56" t="s">
        <v>2430</v>
      </c>
      <c r="E742" s="74" t="s">
        <v>2435</v>
      </c>
      <c r="F742" s="56" t="s">
        <v>2228</v>
      </c>
      <c r="G742" s="56" t="s">
        <v>2252</v>
      </c>
    </row>
    <row r="743" spans="1:7" ht="17.25">
      <c r="A743" s="274" t="s">
        <v>2426</v>
      </c>
      <c r="B743" s="274" t="s">
        <v>2272</v>
      </c>
      <c r="C743" s="274" t="s">
        <v>2427</v>
      </c>
      <c r="D743" s="274" t="s">
        <v>2430</v>
      </c>
      <c r="E743" s="275" t="s">
        <v>2427</v>
      </c>
      <c r="F743" s="274" t="s">
        <v>2231</v>
      </c>
      <c r="G743" s="274" t="s">
        <v>2428</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2610</v>
      </c>
      <c r="B1004" s="56" t="s">
        <v>2611</v>
      </c>
      <c r="C1004" s="56" t="s">
        <v>2612</v>
      </c>
      <c r="D1004" s="56" t="s">
        <v>2613</v>
      </c>
      <c r="E1004" s="74" t="s">
        <v>2614</v>
      </c>
      <c r="F1004" s="56" t="s">
        <v>2096</v>
      </c>
      <c r="G1004" s="56" t="s">
        <v>2615</v>
      </c>
    </row>
    <row r="1005" spans="1:7">
      <c r="A1005" s="56" t="s">
        <v>2340</v>
      </c>
      <c r="B1005" s="56" t="s">
        <v>2341</v>
      </c>
      <c r="C1005" s="56" t="s">
        <v>108</v>
      </c>
      <c r="D1005" s="56" t="s">
        <v>2613</v>
      </c>
      <c r="E1005" s="74" t="s">
        <v>108</v>
      </c>
      <c r="F1005" s="56" t="s">
        <v>2231</v>
      </c>
      <c r="G1005" s="56" t="s">
        <v>2342</v>
      </c>
    </row>
    <row r="1006" spans="1:7">
      <c r="A1006" s="56" t="s">
        <v>2343</v>
      </c>
      <c r="B1006" s="56" t="s">
        <v>2341</v>
      </c>
      <c r="C1006" s="56" t="s">
        <v>108</v>
      </c>
      <c r="D1006" s="56" t="s">
        <v>2613</v>
      </c>
      <c r="E1006" s="74" t="s">
        <v>108</v>
      </c>
      <c r="F1006" s="56" t="s">
        <v>2231</v>
      </c>
      <c r="G1006" s="56" t="s">
        <v>2252</v>
      </c>
    </row>
    <row r="1007" spans="1:7" ht="17.100000000000001">
      <c r="A1007" s="75" t="s">
        <v>2602</v>
      </c>
      <c r="B1007" s="75"/>
      <c r="C1007" s="75"/>
      <c r="D1007" s="75"/>
      <c r="E1007" s="76"/>
      <c r="F1007" s="75"/>
      <c r="G1007" s="75"/>
    </row>
    <row r="1008" spans="1:7">
      <c r="A1008" s="56" t="s">
        <v>2345</v>
      </c>
      <c r="B1008" s="56" t="s">
        <v>2346</v>
      </c>
      <c r="C1008" s="56" t="s">
        <v>108</v>
      </c>
      <c r="D1008" s="56" t="s">
        <v>2613</v>
      </c>
      <c r="E1008" s="74" t="s">
        <v>108</v>
      </c>
      <c r="F1008" s="56" t="s">
        <v>2231</v>
      </c>
      <c r="G1008" s="56" t="s">
        <v>2347</v>
      </c>
    </row>
    <row r="1009" spans="1:7">
      <c r="A1009" s="56" t="s">
        <v>2248</v>
      </c>
      <c r="B1009" s="56" t="s">
        <v>2249</v>
      </c>
      <c r="C1009" s="56" t="s">
        <v>2250</v>
      </c>
      <c r="D1009" s="56" t="s">
        <v>2613</v>
      </c>
      <c r="E1009" s="74" t="s">
        <v>2435</v>
      </c>
      <c r="F1009" s="56" t="s">
        <v>2228</v>
      </c>
      <c r="G1009" s="56" t="s">
        <v>2252</v>
      </c>
    </row>
    <row r="1010" spans="1:7">
      <c r="A1010" s="56" t="s">
        <v>2253</v>
      </c>
      <c r="B1010" s="56" t="s">
        <v>2249</v>
      </c>
      <c r="C1010" s="56" t="s">
        <v>2254</v>
      </c>
      <c r="D1010" s="56" t="s">
        <v>2613</v>
      </c>
      <c r="E1010" s="74" t="s">
        <v>2435</v>
      </c>
      <c r="F1010" s="56" t="s">
        <v>2228</v>
      </c>
      <c r="G1010" s="56" t="s">
        <v>2252</v>
      </c>
    </row>
    <row r="1011" spans="1:7">
      <c r="A1011" s="56" t="s">
        <v>2255</v>
      </c>
      <c r="B1011" s="56" t="s">
        <v>2249</v>
      </c>
      <c r="C1011" s="56" t="s">
        <v>2254</v>
      </c>
      <c r="D1011" s="56" t="s">
        <v>2613</v>
      </c>
      <c r="E1011" s="74" t="s">
        <v>2435</v>
      </c>
      <c r="F1011" s="56" t="s">
        <v>2228</v>
      </c>
      <c r="G1011" s="56" t="s">
        <v>2252</v>
      </c>
    </row>
    <row r="1012" spans="1:7">
      <c r="A1012" s="56" t="s">
        <v>2256</v>
      </c>
      <c r="B1012" s="56" t="s">
        <v>2257</v>
      </c>
      <c r="C1012" s="56" t="s">
        <v>2254</v>
      </c>
      <c r="D1012" s="56" t="s">
        <v>2613</v>
      </c>
      <c r="E1012" s="74" t="s">
        <v>2435</v>
      </c>
      <c r="F1012" s="56" t="s">
        <v>2228</v>
      </c>
      <c r="G1012" s="56" t="s">
        <v>2252</v>
      </c>
    </row>
    <row r="1013" spans="1:7">
      <c r="A1013" s="56" t="s">
        <v>2258</v>
      </c>
      <c r="B1013" s="56"/>
      <c r="C1013" s="56" t="s">
        <v>2254</v>
      </c>
      <c r="D1013" s="56" t="s">
        <v>2613</v>
      </c>
      <c r="E1013" s="74" t="s">
        <v>2435</v>
      </c>
      <c r="F1013" s="56" t="s">
        <v>2228</v>
      </c>
      <c r="G1013" s="56" t="s">
        <v>2252</v>
      </c>
    </row>
    <row r="1014" spans="1:7">
      <c r="A1014" s="56" t="s">
        <v>2259</v>
      </c>
      <c r="B1014" s="56"/>
      <c r="C1014" s="56" t="s">
        <v>2254</v>
      </c>
      <c r="D1014" s="56" t="s">
        <v>2613</v>
      </c>
      <c r="E1014" s="74" t="s">
        <v>2435</v>
      </c>
      <c r="F1014" s="56" t="s">
        <v>2228</v>
      </c>
      <c r="G1014" s="56" t="s">
        <v>2252</v>
      </c>
    </row>
    <row r="1015" spans="1:7">
      <c r="A1015" s="56" t="s">
        <v>2260</v>
      </c>
      <c r="B1015" s="56"/>
      <c r="C1015" s="56" t="s">
        <v>2254</v>
      </c>
      <c r="D1015" s="56" t="s">
        <v>2613</v>
      </c>
      <c r="E1015" s="74" t="s">
        <v>2435</v>
      </c>
      <c r="F1015" s="56" t="s">
        <v>2228</v>
      </c>
      <c r="G1015" s="56" t="s">
        <v>2252</v>
      </c>
    </row>
    <row r="1016" spans="1:7" ht="17.100000000000001">
      <c r="A1016" s="75" t="s">
        <v>2603</v>
      </c>
      <c r="B1016" s="75"/>
      <c r="C1016" s="75"/>
      <c r="D1016" s="75"/>
      <c r="E1016" s="76"/>
      <c r="F1016" s="75"/>
      <c r="G1016" s="75"/>
    </row>
    <row r="1017" spans="1:7">
      <c r="A1017" s="56" t="s">
        <v>2350</v>
      </c>
      <c r="B1017" s="56" t="s">
        <v>2351</v>
      </c>
      <c r="C1017" s="56" t="s">
        <v>108</v>
      </c>
      <c r="D1017" s="56" t="s">
        <v>2613</v>
      </c>
      <c r="E1017" s="74" t="s">
        <v>108</v>
      </c>
      <c r="F1017" s="56" t="s">
        <v>2231</v>
      </c>
      <c r="G1017" s="56" t="s">
        <v>2252</v>
      </c>
    </row>
    <row r="1018" spans="1:7">
      <c r="A1018" s="56" t="s">
        <v>2353</v>
      </c>
      <c r="B1018" s="56" t="s">
        <v>2351</v>
      </c>
      <c r="C1018" s="56" t="s">
        <v>2354</v>
      </c>
      <c r="D1018" s="56" t="s">
        <v>2613</v>
      </c>
      <c r="E1018" s="74" t="s">
        <v>108</v>
      </c>
      <c r="F1018" s="56" t="s">
        <v>2231</v>
      </c>
      <c r="G1018" s="56" t="s">
        <v>2355</v>
      </c>
    </row>
    <row r="1019" spans="1:7">
      <c r="A1019" s="56" t="s">
        <v>2469</v>
      </c>
      <c r="B1019" s="56"/>
      <c r="C1019" s="56" t="s">
        <v>2470</v>
      </c>
      <c r="D1019" s="56" t="s">
        <v>2613</v>
      </c>
      <c r="E1019" s="74" t="s">
        <v>108</v>
      </c>
      <c r="F1019" s="56" t="s">
        <v>2231</v>
      </c>
      <c r="G1019" s="56" t="s">
        <v>2252</v>
      </c>
    </row>
    <row r="1020" spans="1:7">
      <c r="A1020" s="56" t="s">
        <v>2471</v>
      </c>
      <c r="B1020" s="56"/>
      <c r="C1020" s="56" t="s">
        <v>2254</v>
      </c>
      <c r="D1020" s="56" t="s">
        <v>2613</v>
      </c>
      <c r="E1020" s="74" t="s">
        <v>2435</v>
      </c>
      <c r="F1020" s="56" t="s">
        <v>2228</v>
      </c>
      <c r="G1020" s="56" t="s">
        <v>2252</v>
      </c>
    </row>
    <row r="1021" spans="1:7">
      <c r="A1021" s="56" t="s">
        <v>2472</v>
      </c>
      <c r="B1021" s="56"/>
      <c r="C1021" s="56" t="s">
        <v>2254</v>
      </c>
      <c r="D1021" s="56" t="s">
        <v>2613</v>
      </c>
      <c r="E1021" s="74" t="s">
        <v>2435</v>
      </c>
      <c r="F1021" s="56" t="s">
        <v>2228</v>
      </c>
      <c r="G1021" s="56" t="s">
        <v>2252</v>
      </c>
    </row>
    <row r="1022" spans="1:7">
      <c r="A1022" s="56" t="s">
        <v>2356</v>
      </c>
      <c r="B1022" s="56" t="s">
        <v>2351</v>
      </c>
      <c r="C1022" s="56" t="s">
        <v>2315</v>
      </c>
      <c r="D1022" s="56" t="s">
        <v>2613</v>
      </c>
      <c r="E1022" s="74" t="s">
        <v>2315</v>
      </c>
      <c r="F1022" s="56" t="s">
        <v>2231</v>
      </c>
      <c r="G1022" s="56" t="s">
        <v>2252</v>
      </c>
    </row>
    <row r="1023" spans="1:7">
      <c r="A1023" s="56" t="s">
        <v>2357</v>
      </c>
      <c r="B1023" s="56" t="s">
        <v>2358</v>
      </c>
      <c r="C1023" s="56" t="s">
        <v>108</v>
      </c>
      <c r="D1023" s="56" t="s">
        <v>2613</v>
      </c>
      <c r="E1023" s="74" t="s">
        <v>108</v>
      </c>
      <c r="F1023" s="56" t="s">
        <v>2231</v>
      </c>
      <c r="G1023" s="56" t="s">
        <v>2252</v>
      </c>
    </row>
    <row r="1024" spans="1:7" ht="17.100000000000001">
      <c r="A1024" s="75" t="s">
        <v>2604</v>
      </c>
      <c r="B1024" s="75"/>
      <c r="C1024" s="75"/>
      <c r="D1024" s="75"/>
      <c r="E1024" s="76"/>
      <c r="F1024" s="75"/>
      <c r="G1024" s="75"/>
    </row>
    <row r="1025" spans="1:7">
      <c r="A1025" s="56" t="s">
        <v>2363</v>
      </c>
      <c r="B1025" s="56"/>
      <c r="C1025" s="56" t="s">
        <v>2315</v>
      </c>
      <c r="D1025" s="56" t="s">
        <v>2613</v>
      </c>
      <c r="E1025" s="74" t="s">
        <v>2315</v>
      </c>
      <c r="F1025" s="56" t="s">
        <v>2231</v>
      </c>
      <c r="G1025" s="56" t="s">
        <v>2252</v>
      </c>
    </row>
    <row r="1026" spans="1:7">
      <c r="A1026" s="56" t="s">
        <v>2294</v>
      </c>
      <c r="B1026" s="56"/>
      <c r="C1026" s="56" t="s">
        <v>2295</v>
      </c>
      <c r="D1026" s="56" t="s">
        <v>2613</v>
      </c>
      <c r="E1026" s="74" t="s">
        <v>2295</v>
      </c>
      <c r="F1026" s="56" t="s">
        <v>2096</v>
      </c>
      <c r="G1026" s="56" t="s">
        <v>2252</v>
      </c>
    </row>
    <row r="1027" spans="1:7">
      <c r="A1027" s="56" t="s">
        <v>2364</v>
      </c>
      <c r="B1027" s="56" t="s">
        <v>2351</v>
      </c>
      <c r="C1027" s="56" t="s">
        <v>108</v>
      </c>
      <c r="D1027" s="56" t="s">
        <v>2613</v>
      </c>
      <c r="E1027" s="74" t="s">
        <v>108</v>
      </c>
      <c r="F1027" s="56" t="s">
        <v>2231</v>
      </c>
      <c r="G1027" s="56" t="s">
        <v>2252</v>
      </c>
    </row>
    <row r="1028" spans="1:7">
      <c r="A1028" s="56" t="s">
        <v>2365</v>
      </c>
      <c r="B1028" s="56" t="s">
        <v>2351</v>
      </c>
      <c r="C1028" s="56" t="s">
        <v>108</v>
      </c>
      <c r="D1028" s="56" t="s">
        <v>2613</v>
      </c>
      <c r="E1028" s="74" t="s">
        <v>108</v>
      </c>
      <c r="F1028" s="56" t="s">
        <v>2231</v>
      </c>
      <c r="G1028" s="56" t="s">
        <v>2252</v>
      </c>
    </row>
    <row r="1029" spans="1:7">
      <c r="A1029" s="56" t="s">
        <v>2366</v>
      </c>
      <c r="B1029" s="56" t="s">
        <v>2257</v>
      </c>
      <c r="C1029" s="56" t="s">
        <v>108</v>
      </c>
      <c r="D1029" s="56" t="s">
        <v>2613</v>
      </c>
      <c r="E1029" s="74" t="s">
        <v>108</v>
      </c>
      <c r="F1029" s="56" t="s">
        <v>2231</v>
      </c>
      <c r="G1029" s="56" t="s">
        <v>2252</v>
      </c>
    </row>
    <row r="1030" spans="1:7">
      <c r="A1030" s="56" t="s">
        <v>2367</v>
      </c>
      <c r="B1030" s="56" t="s">
        <v>2368</v>
      </c>
      <c r="C1030" s="56" t="s">
        <v>2315</v>
      </c>
      <c r="D1030" s="56" t="s">
        <v>2613</v>
      </c>
      <c r="E1030" s="74" t="s">
        <v>2315</v>
      </c>
      <c r="F1030" s="56" t="s">
        <v>2231</v>
      </c>
      <c r="G1030" s="56" t="s">
        <v>2252</v>
      </c>
    </row>
    <row r="1031" spans="1:7">
      <c r="A1031" s="56" t="s">
        <v>2369</v>
      </c>
      <c r="B1031" s="56" t="s">
        <v>2368</v>
      </c>
      <c r="C1031" s="56" t="s">
        <v>2315</v>
      </c>
      <c r="D1031" s="56" t="s">
        <v>2613</v>
      </c>
      <c r="E1031" s="74" t="s">
        <v>2315</v>
      </c>
      <c r="F1031" s="56" t="s">
        <v>2231</v>
      </c>
      <c r="G1031" s="56" t="s">
        <v>2252</v>
      </c>
    </row>
    <row r="1032" spans="1:7">
      <c r="A1032" s="56" t="s">
        <v>2474</v>
      </c>
      <c r="B1032" s="56"/>
      <c r="C1032" s="56" t="s">
        <v>2254</v>
      </c>
      <c r="D1032" s="56" t="s">
        <v>2613</v>
      </c>
      <c r="E1032" s="74" t="s">
        <v>2435</v>
      </c>
      <c r="F1032" s="56" t="s">
        <v>2228</v>
      </c>
      <c r="G1032" s="56" t="s">
        <v>2252</v>
      </c>
    </row>
    <row r="1033" spans="1:7">
      <c r="A1033" s="56" t="s">
        <v>2370</v>
      </c>
      <c r="B1033" s="56" t="s">
        <v>2368</v>
      </c>
      <c r="C1033" s="56" t="s">
        <v>108</v>
      </c>
      <c r="D1033" s="56" t="s">
        <v>2613</v>
      </c>
      <c r="E1033" s="74" t="s">
        <v>108</v>
      </c>
      <c r="F1033" s="56" t="s">
        <v>2231</v>
      </c>
      <c r="G1033" s="56" t="s">
        <v>2371</v>
      </c>
    </row>
    <row r="1034" spans="1:7" ht="17.100000000000001">
      <c r="A1034" s="75" t="s">
        <v>2605</v>
      </c>
      <c r="B1034" s="75"/>
      <c r="C1034" s="75"/>
      <c r="D1034" s="75"/>
      <c r="E1034" s="76"/>
      <c r="F1034" s="75"/>
      <c r="G1034" s="75"/>
    </row>
    <row r="1035" spans="1:7">
      <c r="A1035" s="56" t="s">
        <v>2373</v>
      </c>
      <c r="B1035" s="56" t="s">
        <v>2374</v>
      </c>
      <c r="C1035" s="56" t="s">
        <v>108</v>
      </c>
      <c r="D1035" s="56" t="s">
        <v>2613</v>
      </c>
      <c r="E1035" s="74" t="s">
        <v>108</v>
      </c>
      <c r="F1035" s="56" t="s">
        <v>2231</v>
      </c>
      <c r="G1035" s="56" t="s">
        <v>2252</v>
      </c>
    </row>
    <row r="1036" spans="1:7">
      <c r="A1036" s="56" t="s">
        <v>2375</v>
      </c>
      <c r="B1036" s="56" t="s">
        <v>2376</v>
      </c>
      <c r="C1036" s="56" t="s">
        <v>108</v>
      </c>
      <c r="D1036" s="56" t="s">
        <v>2613</v>
      </c>
      <c r="E1036" s="74" t="s">
        <v>108</v>
      </c>
      <c r="F1036" s="56" t="s">
        <v>2231</v>
      </c>
      <c r="G1036" s="56" t="s">
        <v>2252</v>
      </c>
    </row>
    <row r="1037" spans="1:7">
      <c r="A1037" s="56" t="s">
        <v>2377</v>
      </c>
      <c r="B1037" s="56" t="s">
        <v>2376</v>
      </c>
      <c r="C1037" s="56" t="s">
        <v>108</v>
      </c>
      <c r="D1037" s="56" t="s">
        <v>2613</v>
      </c>
      <c r="E1037" s="74" t="s">
        <v>108</v>
      </c>
      <c r="F1037" s="56" t="s">
        <v>2231</v>
      </c>
      <c r="G1037" s="56" t="s">
        <v>2252</v>
      </c>
    </row>
    <row r="1038" spans="1:7" ht="17.100000000000001">
      <c r="A1038" s="75" t="s">
        <v>2606</v>
      </c>
      <c r="B1038" s="75"/>
      <c r="C1038" s="75"/>
      <c r="D1038" s="75"/>
      <c r="E1038" s="76"/>
      <c r="F1038" s="75"/>
      <c r="G1038" s="75"/>
    </row>
    <row r="1039" spans="1:7">
      <c r="A1039" s="56" t="s">
        <v>2297</v>
      </c>
      <c r="B1039" s="56" t="s">
        <v>2298</v>
      </c>
      <c r="C1039" s="56" t="s">
        <v>552</v>
      </c>
      <c r="D1039" s="56" t="s">
        <v>2613</v>
      </c>
      <c r="E1039" s="74" t="s">
        <v>552</v>
      </c>
      <c r="F1039" s="56" t="s">
        <v>2096</v>
      </c>
      <c r="G1039" s="56" t="s">
        <v>2299</v>
      </c>
    </row>
    <row r="1040" spans="1:7">
      <c r="A1040" s="56" t="s">
        <v>2300</v>
      </c>
      <c r="B1040" s="56" t="s">
        <v>2301</v>
      </c>
      <c r="C1040" s="56" t="s">
        <v>2302</v>
      </c>
      <c r="D1040" s="56" t="s">
        <v>2613</v>
      </c>
      <c r="E1040" s="74" t="s">
        <v>552</v>
      </c>
      <c r="F1040" s="56" t="s">
        <v>2096</v>
      </c>
      <c r="G1040" s="56" t="s">
        <v>2303</v>
      </c>
    </row>
    <row r="1041" spans="1:7">
      <c r="A1041" s="56" t="s">
        <v>2379</v>
      </c>
      <c r="B1041" s="56" t="s">
        <v>2263</v>
      </c>
      <c r="C1041" s="56" t="s">
        <v>2315</v>
      </c>
      <c r="D1041" s="56" t="s">
        <v>2613</v>
      </c>
      <c r="E1041" s="74" t="s">
        <v>2315</v>
      </c>
      <c r="F1041" s="56" t="s">
        <v>2231</v>
      </c>
      <c r="G1041" s="56" t="s">
        <v>2380</v>
      </c>
    </row>
    <row r="1042" spans="1:7">
      <c r="A1042" s="56" t="s">
        <v>2381</v>
      </c>
      <c r="B1042" s="56" t="s">
        <v>2301</v>
      </c>
      <c r="C1042" s="56" t="s">
        <v>108</v>
      </c>
      <c r="D1042" s="56" t="s">
        <v>2613</v>
      </c>
      <c r="E1042" s="74" t="s">
        <v>108</v>
      </c>
      <c r="F1042" s="56" t="s">
        <v>2231</v>
      </c>
      <c r="G1042" s="56" t="s">
        <v>2382</v>
      </c>
    </row>
    <row r="1043" spans="1:7">
      <c r="A1043" s="56" t="s">
        <v>2383</v>
      </c>
      <c r="B1043" s="56" t="s">
        <v>2298</v>
      </c>
      <c r="C1043" s="56" t="s">
        <v>108</v>
      </c>
      <c r="D1043" s="56" t="s">
        <v>2613</v>
      </c>
      <c r="E1043" s="74" t="s">
        <v>108</v>
      </c>
      <c r="F1043" s="56" t="s">
        <v>2231</v>
      </c>
      <c r="G1043" s="56" t="s">
        <v>2384</v>
      </c>
    </row>
    <row r="1044" spans="1:7">
      <c r="A1044" s="56" t="s">
        <v>2385</v>
      </c>
      <c r="B1044" s="56" t="s">
        <v>2616</v>
      </c>
      <c r="C1044" s="56" t="s">
        <v>108</v>
      </c>
      <c r="D1044" s="56" t="s">
        <v>2613</v>
      </c>
      <c r="E1044" s="74" t="s">
        <v>108</v>
      </c>
      <c r="F1044" s="56" t="s">
        <v>2231</v>
      </c>
      <c r="G1044" s="56" t="s">
        <v>2387</v>
      </c>
    </row>
    <row r="1045" spans="1:7">
      <c r="A1045" s="56" t="s">
        <v>2617</v>
      </c>
      <c r="B1045" s="56"/>
      <c r="C1045" s="56" t="s">
        <v>2254</v>
      </c>
      <c r="D1045" s="56" t="s">
        <v>2613</v>
      </c>
      <c r="E1045" s="74" t="s">
        <v>2435</v>
      </c>
      <c r="F1045" s="56" t="s">
        <v>2228</v>
      </c>
      <c r="G1045" s="56" t="s">
        <v>2252</v>
      </c>
    </row>
    <row r="1046" spans="1:7" ht="17.100000000000001">
      <c r="A1046" s="75" t="s">
        <v>2607</v>
      </c>
      <c r="B1046" s="75"/>
      <c r="C1046" s="75"/>
      <c r="D1046" s="75"/>
      <c r="E1046" s="76"/>
      <c r="F1046" s="75"/>
      <c r="G1046" s="75"/>
    </row>
    <row r="1047" spans="1:7">
      <c r="A1047" s="56" t="s">
        <v>2389</v>
      </c>
      <c r="B1047" s="56" t="s">
        <v>2301</v>
      </c>
      <c r="C1047" s="56" t="s">
        <v>108</v>
      </c>
      <c r="D1047" s="56" t="s">
        <v>2613</v>
      </c>
      <c r="E1047" s="74" t="s">
        <v>108</v>
      </c>
      <c r="F1047" s="56" t="s">
        <v>2231</v>
      </c>
      <c r="G1047" s="56" t="s">
        <v>2390</v>
      </c>
    </row>
    <row r="1048" spans="1:7">
      <c r="A1048" s="56" t="s">
        <v>2478</v>
      </c>
      <c r="B1048" s="56" t="s">
        <v>2465</v>
      </c>
      <c r="C1048" s="56" t="s">
        <v>2479</v>
      </c>
      <c r="D1048" s="56" t="s">
        <v>2613</v>
      </c>
      <c r="E1048" s="74" t="s">
        <v>2618</v>
      </c>
      <c r="F1048" s="56" t="s">
        <v>2228</v>
      </c>
      <c r="G1048" s="56" t="s">
        <v>2481</v>
      </c>
    </row>
    <row r="1049" spans="1:7">
      <c r="A1049" s="56" t="s">
        <v>2619</v>
      </c>
      <c r="B1049" s="56" t="s">
        <v>2465</v>
      </c>
      <c r="C1049" s="56" t="s">
        <v>552</v>
      </c>
      <c r="D1049" s="56" t="s">
        <v>2613</v>
      </c>
      <c r="E1049" s="74" t="s">
        <v>552</v>
      </c>
      <c r="F1049" s="56" t="s">
        <v>2096</v>
      </c>
      <c r="G1049" s="56" t="s">
        <v>2620</v>
      </c>
    </row>
    <row r="1050" spans="1:7">
      <c r="A1050" s="56" t="s">
        <v>2391</v>
      </c>
      <c r="B1050" s="56" t="s">
        <v>2392</v>
      </c>
      <c r="C1050" s="56" t="s">
        <v>108</v>
      </c>
      <c r="D1050" s="56" t="s">
        <v>2613</v>
      </c>
      <c r="E1050" s="74" t="s">
        <v>108</v>
      </c>
      <c r="F1050" s="56" t="s">
        <v>2231</v>
      </c>
      <c r="G1050" s="56" t="s">
        <v>2393</v>
      </c>
    </row>
    <row r="1051" spans="1:7">
      <c r="A1051" s="56" t="s">
        <v>2394</v>
      </c>
      <c r="B1051" s="56" t="s">
        <v>2395</v>
      </c>
      <c r="C1051" s="56" t="s">
        <v>108</v>
      </c>
      <c r="D1051" s="56" t="s">
        <v>2613</v>
      </c>
      <c r="E1051" s="74" t="s">
        <v>108</v>
      </c>
      <c r="F1051" s="56" t="s">
        <v>2231</v>
      </c>
      <c r="G1051" s="56" t="s">
        <v>2396</v>
      </c>
    </row>
    <row r="1052" spans="1:7">
      <c r="A1052" s="56" t="s">
        <v>2397</v>
      </c>
      <c r="B1052" s="56" t="s">
        <v>2398</v>
      </c>
      <c r="C1052" s="56" t="s">
        <v>2315</v>
      </c>
      <c r="D1052" s="56" t="s">
        <v>2613</v>
      </c>
      <c r="E1052" s="74" t="s">
        <v>2315</v>
      </c>
      <c r="F1052" s="56" t="s">
        <v>2231</v>
      </c>
      <c r="G1052" s="56" t="s">
        <v>2252</v>
      </c>
    </row>
    <row r="1053" spans="1:7">
      <c r="A1053" s="56" t="s">
        <v>2399</v>
      </c>
      <c r="B1053" s="56" t="s">
        <v>2398</v>
      </c>
      <c r="C1053" s="56" t="s">
        <v>2400</v>
      </c>
      <c r="D1053" s="56" t="s">
        <v>2613</v>
      </c>
      <c r="E1053" s="74" t="s">
        <v>108</v>
      </c>
      <c r="F1053" s="56" t="s">
        <v>2231</v>
      </c>
      <c r="G1053" s="56" t="s">
        <v>2252</v>
      </c>
    </row>
    <row r="1054" spans="1:7">
      <c r="A1054" s="56" t="s">
        <v>2621</v>
      </c>
      <c r="B1054" s="56" t="s">
        <v>2465</v>
      </c>
      <c r="C1054" s="56" t="s">
        <v>552</v>
      </c>
      <c r="D1054" s="56" t="s">
        <v>2613</v>
      </c>
      <c r="E1054" s="74" t="s">
        <v>552</v>
      </c>
      <c r="F1054" s="56" t="s">
        <v>2096</v>
      </c>
      <c r="G1054" s="56" t="s">
        <v>2622</v>
      </c>
    </row>
    <row r="1055" spans="1:7" ht="17.100000000000001">
      <c r="A1055" s="75" t="s">
        <v>2608</v>
      </c>
      <c r="B1055" s="75"/>
      <c r="C1055" s="75"/>
      <c r="D1055" s="75"/>
      <c r="E1055" s="76"/>
      <c r="F1055" s="75"/>
      <c r="G1055" s="75"/>
    </row>
    <row r="1056" spans="1:7">
      <c r="A1056" s="56" t="s">
        <v>2305</v>
      </c>
      <c r="B1056" s="56"/>
      <c r="C1056" s="56" t="s">
        <v>552</v>
      </c>
      <c r="D1056" s="56" t="s">
        <v>2613</v>
      </c>
      <c r="E1056" s="74" t="s">
        <v>552</v>
      </c>
      <c r="F1056" s="56" t="s">
        <v>2096</v>
      </c>
      <c r="G1056" s="56" t="s">
        <v>2252</v>
      </c>
    </row>
    <row r="1057" spans="1:7">
      <c r="A1057" s="56" t="s">
        <v>2402</v>
      </c>
      <c r="B1057" s="56" t="s">
        <v>2403</v>
      </c>
      <c r="C1057" s="56" t="s">
        <v>108</v>
      </c>
      <c r="D1057" s="56" t="s">
        <v>2613</v>
      </c>
      <c r="E1057" s="74" t="s">
        <v>108</v>
      </c>
      <c r="F1057" s="56" t="s">
        <v>2231</v>
      </c>
      <c r="G1057" s="56" t="s">
        <v>2252</v>
      </c>
    </row>
    <row r="1058" spans="1:7">
      <c r="A1058" s="56" t="s">
        <v>2404</v>
      </c>
      <c r="B1058" s="56" t="s">
        <v>2403</v>
      </c>
      <c r="C1058" s="56" t="s">
        <v>2315</v>
      </c>
      <c r="D1058" s="56" t="s">
        <v>2613</v>
      </c>
      <c r="E1058" s="74" t="s">
        <v>2315</v>
      </c>
      <c r="F1058" s="56" t="s">
        <v>2231</v>
      </c>
      <c r="G1058" s="56" t="s">
        <v>2405</v>
      </c>
    </row>
    <row r="1059" spans="1:7">
      <c r="A1059" s="56" t="s">
        <v>2406</v>
      </c>
      <c r="B1059" s="56" t="s">
        <v>2407</v>
      </c>
      <c r="C1059" s="56" t="s">
        <v>2408</v>
      </c>
      <c r="D1059" s="56" t="s">
        <v>2613</v>
      </c>
      <c r="E1059" s="74" t="s">
        <v>2442</v>
      </c>
      <c r="F1059" s="56" t="s">
        <v>2231</v>
      </c>
      <c r="G1059" s="56" t="s">
        <v>2410</v>
      </c>
    </row>
    <row r="1060" spans="1:7">
      <c r="A1060" s="56" t="s">
        <v>2411</v>
      </c>
      <c r="B1060" s="56" t="s">
        <v>2407</v>
      </c>
      <c r="C1060" s="56" t="s">
        <v>2331</v>
      </c>
      <c r="D1060" s="56" t="s">
        <v>2613</v>
      </c>
      <c r="E1060" s="74" t="s">
        <v>108</v>
      </c>
      <c r="F1060" s="56" t="s">
        <v>2231</v>
      </c>
      <c r="G1060" s="56" t="s">
        <v>2412</v>
      </c>
    </row>
    <row r="1061" spans="1:7">
      <c r="A1061" s="56" t="s">
        <v>2413</v>
      </c>
      <c r="B1061" s="56" t="s">
        <v>2403</v>
      </c>
      <c r="C1061" s="56" t="s">
        <v>2414</v>
      </c>
      <c r="D1061" s="56" t="s">
        <v>2613</v>
      </c>
      <c r="E1061" s="74" t="s">
        <v>108</v>
      </c>
      <c r="F1061" s="56" t="s">
        <v>2231</v>
      </c>
      <c r="G1061" s="56" t="s">
        <v>2252</v>
      </c>
    </row>
    <row r="1062" spans="1:7">
      <c r="A1062" s="56" t="s">
        <v>2415</v>
      </c>
      <c r="B1062" s="56" t="s">
        <v>2403</v>
      </c>
      <c r="C1062" s="56" t="s">
        <v>2416</v>
      </c>
      <c r="D1062" s="56" t="s">
        <v>2613</v>
      </c>
      <c r="E1062" s="74" t="s">
        <v>108</v>
      </c>
      <c r="F1062" s="56" t="s">
        <v>2231</v>
      </c>
      <c r="G1062" s="56" t="s">
        <v>2417</v>
      </c>
    </row>
    <row r="1063" spans="1:7" ht="17.100000000000001">
      <c r="A1063" s="75" t="s">
        <v>2609</v>
      </c>
      <c r="B1063" s="75"/>
      <c r="C1063" s="75"/>
      <c r="D1063" s="75"/>
      <c r="E1063" s="76"/>
      <c r="F1063" s="75"/>
      <c r="G1063" s="75"/>
    </row>
    <row r="1064" spans="1:7">
      <c r="A1064" s="56" t="s">
        <v>2419</v>
      </c>
      <c r="B1064" s="56" t="s">
        <v>2287</v>
      </c>
      <c r="C1064" s="56" t="s">
        <v>2420</v>
      </c>
      <c r="D1064" s="56" t="s">
        <v>2613</v>
      </c>
      <c r="E1064" s="74" t="s">
        <v>108</v>
      </c>
      <c r="F1064" s="56" t="s">
        <v>2231</v>
      </c>
      <c r="G1064" s="56" t="s">
        <v>2421</v>
      </c>
    </row>
    <row r="1065" spans="1:7">
      <c r="A1065" s="56" t="s">
        <v>2422</v>
      </c>
      <c r="B1065" s="56" t="s">
        <v>2423</v>
      </c>
      <c r="C1065" s="56" t="s">
        <v>2424</v>
      </c>
      <c r="D1065" s="56" t="s">
        <v>2613</v>
      </c>
      <c r="E1065" s="74" t="s">
        <v>108</v>
      </c>
      <c r="F1065" s="56" t="s">
        <v>2231</v>
      </c>
      <c r="G1065" s="56" t="s">
        <v>2425</v>
      </c>
    </row>
    <row r="1066" spans="1:7">
      <c r="A1066" s="56" t="s">
        <v>2274</v>
      </c>
      <c r="B1066" s="56"/>
      <c r="C1066" s="56" t="s">
        <v>2254</v>
      </c>
      <c r="D1066" s="56" t="s">
        <v>2613</v>
      </c>
      <c r="E1066" s="74" t="s">
        <v>2435</v>
      </c>
      <c r="F1066" s="56" t="s">
        <v>2228</v>
      </c>
      <c r="G1066" s="56" t="s">
        <v>2252</v>
      </c>
    </row>
    <row r="1067" spans="1:7">
      <c r="A1067" s="56" t="s">
        <v>2484</v>
      </c>
      <c r="B1067" s="56"/>
      <c r="C1067" s="56" t="s">
        <v>108</v>
      </c>
      <c r="D1067" s="56" t="s">
        <v>2613</v>
      </c>
      <c r="E1067" s="74" t="s">
        <v>108</v>
      </c>
      <c r="F1067" s="56" t="s">
        <v>2231</v>
      </c>
      <c r="G1067" s="56" t="s">
        <v>2252</v>
      </c>
    </row>
    <row r="1068" spans="1:7">
      <c r="A1068" s="56" t="s">
        <v>2426</v>
      </c>
      <c r="B1068" s="56" t="s">
        <v>2272</v>
      </c>
      <c r="C1068" s="56" t="s">
        <v>2427</v>
      </c>
      <c r="D1068" s="56" t="s">
        <v>2613</v>
      </c>
      <c r="E1068" s="74" t="s">
        <v>2427</v>
      </c>
      <c r="F1068" s="56" t="s">
        <v>2231</v>
      </c>
      <c r="G1068" s="56" t="s">
        <v>2428</v>
      </c>
    </row>
    <row r="2484" spans="1:7">
      <c r="A2484" s="57" t="s">
        <v>2623</v>
      </c>
      <c r="B2484" s="57" t="s">
        <v>2376</v>
      </c>
      <c r="C2484" s="57" t="s">
        <v>2624</v>
      </c>
      <c r="D2484" s="57" t="s">
        <v>2613</v>
      </c>
      <c r="E2484" s="58" t="s">
        <v>2624</v>
      </c>
      <c r="F2484" s="58" t="s">
        <v>2446</v>
      </c>
      <c r="G2484" s="57" t="s">
        <v>2625</v>
      </c>
    </row>
    <row r="2485" spans="1:7">
      <c r="A2485" s="57" t="s">
        <v>2623</v>
      </c>
      <c r="B2485" s="57" t="s">
        <v>2376</v>
      </c>
      <c r="C2485" s="57" t="s">
        <v>2624</v>
      </c>
      <c r="D2485" s="57" t="s">
        <v>2613</v>
      </c>
      <c r="E2485" s="58" t="s">
        <v>2624</v>
      </c>
      <c r="F2485" s="58" t="s">
        <v>2446</v>
      </c>
      <c r="G2485" s="57" t="s">
        <v>2625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2280</v>
      </c>
      <c r="B4" s="75"/>
      <c r="C4" s="75"/>
      <c r="D4" s="75"/>
      <c r="E4" s="76"/>
      <c r="F4" s="75"/>
      <c r="G4" s="75"/>
    </row>
    <row r="5" spans="1:7" ht="15">
      <c r="A5" s="57" t="s">
        <v>2281</v>
      </c>
      <c r="B5" s="57" t="s">
        <v>2282</v>
      </c>
      <c r="C5" s="57" t="s">
        <v>2283</v>
      </c>
      <c r="D5" s="57" t="s">
        <v>2626</v>
      </c>
      <c r="E5" s="58" t="s">
        <v>2627</v>
      </c>
      <c r="F5" s="58" t="s">
        <v>2446</v>
      </c>
      <c r="G5" s="57" t="s">
        <v>2252</v>
      </c>
    </row>
    <row r="6" spans="1:7" ht="17.25">
      <c r="A6" s="75" t="s">
        <v>2307</v>
      </c>
      <c r="B6" s="75"/>
      <c r="C6" s="75"/>
      <c r="D6" s="75"/>
      <c r="E6" s="76"/>
      <c r="F6" s="75"/>
      <c r="G6" s="75"/>
    </row>
    <row r="7" spans="1:7" ht="15">
      <c r="A7" s="56" t="s">
        <v>2276</v>
      </c>
      <c r="B7" s="56" t="s">
        <v>2277</v>
      </c>
      <c r="C7" s="56" t="s">
        <v>1565</v>
      </c>
      <c r="D7" s="56" t="s">
        <v>2628</v>
      </c>
      <c r="E7" s="74" t="s">
        <v>108</v>
      </c>
      <c r="F7" s="74" t="s">
        <v>2083</v>
      </c>
      <c r="G7" s="56" t="s">
        <v>2279</v>
      </c>
    </row>
    <row r="8" spans="1:7" ht="15">
      <c r="A8" s="57" t="s">
        <v>2309</v>
      </c>
      <c r="B8" s="57"/>
      <c r="C8" s="57" t="s">
        <v>2310</v>
      </c>
      <c r="D8" s="57" t="s">
        <v>2628</v>
      </c>
      <c r="E8" s="58" t="s">
        <v>2310</v>
      </c>
      <c r="F8" s="58" t="s">
        <v>2446</v>
      </c>
      <c r="G8" s="57" t="s">
        <v>2252</v>
      </c>
    </row>
    <row r="9" spans="1:7" ht="15">
      <c r="A9" s="56" t="s">
        <v>2312</v>
      </c>
      <c r="B9" s="56" t="s">
        <v>2242</v>
      </c>
      <c r="C9" s="56" t="s">
        <v>108</v>
      </c>
      <c r="D9" s="56" t="s">
        <v>2628</v>
      </c>
      <c r="E9" s="74" t="s">
        <v>108</v>
      </c>
      <c r="F9" s="74" t="s">
        <v>2083</v>
      </c>
      <c r="G9" s="56" t="s">
        <v>2252</v>
      </c>
    </row>
    <row r="10" spans="1:7" ht="15">
      <c r="A10" s="56" t="s">
        <v>2313</v>
      </c>
      <c r="B10" s="56" t="s">
        <v>2314</v>
      </c>
      <c r="C10" s="56" t="s">
        <v>2315</v>
      </c>
      <c r="D10" s="56" t="s">
        <v>2628</v>
      </c>
      <c r="E10" s="74" t="s">
        <v>2315</v>
      </c>
      <c r="F10" s="74" t="s">
        <v>2083</v>
      </c>
      <c r="G10" s="56" t="s">
        <v>2316</v>
      </c>
    </row>
    <row r="11" spans="1:7" ht="17.25">
      <c r="A11" s="274" t="s">
        <v>2317</v>
      </c>
      <c r="B11" s="274"/>
      <c r="C11" s="274" t="s">
        <v>108</v>
      </c>
      <c r="D11" s="274" t="s">
        <v>2628</v>
      </c>
      <c r="E11" s="275" t="s">
        <v>108</v>
      </c>
      <c r="F11" s="275" t="s">
        <v>2083</v>
      </c>
      <c r="G11" s="274" t="s">
        <v>2252</v>
      </c>
    </row>
    <row r="12" spans="1:7" ht="17.25">
      <c r="A12" s="75" t="s">
        <v>2318</v>
      </c>
      <c r="B12" s="75"/>
      <c r="C12" s="75"/>
      <c r="D12" s="75"/>
      <c r="E12" s="76"/>
      <c r="F12" s="75"/>
      <c r="G12" s="75"/>
    </row>
    <row r="13" spans="1:7" ht="15">
      <c r="A13" s="56" t="s">
        <v>2319</v>
      </c>
      <c r="B13" s="56" t="s">
        <v>2249</v>
      </c>
      <c r="C13" s="56" t="s">
        <v>108</v>
      </c>
      <c r="D13" s="56" t="s">
        <v>2628</v>
      </c>
      <c r="E13" s="74" t="s">
        <v>108</v>
      </c>
      <c r="F13" s="74" t="s">
        <v>2083</v>
      </c>
      <c r="G13" s="56" t="s">
        <v>2252</v>
      </c>
    </row>
    <row r="14" spans="1:7" ht="15">
      <c r="A14" s="56" t="s">
        <v>2320</v>
      </c>
      <c r="B14" s="56" t="s">
        <v>2321</v>
      </c>
      <c r="C14" s="56" t="s">
        <v>108</v>
      </c>
      <c r="D14" s="56" t="s">
        <v>2628</v>
      </c>
      <c r="E14" s="74" t="s">
        <v>108</v>
      </c>
      <c r="F14" s="74" t="s">
        <v>2083</v>
      </c>
      <c r="G14" s="56" t="s">
        <v>2322</v>
      </c>
    </row>
    <row r="15" spans="1:7" ht="15">
      <c r="A15" s="56" t="s">
        <v>2323</v>
      </c>
      <c r="B15" s="56" t="s">
        <v>2321</v>
      </c>
      <c r="C15" s="56" t="s">
        <v>108</v>
      </c>
      <c r="D15" s="56" t="s">
        <v>2628</v>
      </c>
      <c r="E15" s="74" t="s">
        <v>108</v>
      </c>
      <c r="F15" s="74" t="s">
        <v>2083</v>
      </c>
      <c r="G15" s="56" t="s">
        <v>2252</v>
      </c>
    </row>
    <row r="16" spans="1:7" ht="17.25">
      <c r="A16" s="274" t="s">
        <v>2324</v>
      </c>
      <c r="B16" s="274" t="s">
        <v>2325</v>
      </c>
      <c r="C16" s="274" t="s">
        <v>108</v>
      </c>
      <c r="D16" s="274" t="s">
        <v>2628</v>
      </c>
      <c r="E16" s="275" t="s">
        <v>108</v>
      </c>
      <c r="F16" s="275" t="s">
        <v>2083</v>
      </c>
      <c r="G16" s="274" t="s">
        <v>2326</v>
      </c>
    </row>
    <row r="17" spans="1:7" ht="17.25">
      <c r="A17" s="75" t="s">
        <v>2327</v>
      </c>
      <c r="B17" s="75"/>
      <c r="C17" s="75"/>
      <c r="D17" s="75"/>
      <c r="E17" s="76"/>
      <c r="F17" s="75"/>
      <c r="G17" s="75"/>
    </row>
    <row r="18" spans="1:7" ht="15">
      <c r="A18" s="56" t="s">
        <v>2328</v>
      </c>
      <c r="B18" s="56" t="s">
        <v>2282</v>
      </c>
      <c r="C18" s="56" t="s">
        <v>108</v>
      </c>
      <c r="D18" s="56" t="s">
        <v>2628</v>
      </c>
      <c r="E18" s="74" t="s">
        <v>108</v>
      </c>
      <c r="F18" s="74" t="s">
        <v>2083</v>
      </c>
      <c r="G18" s="56" t="s">
        <v>2252</v>
      </c>
    </row>
    <row r="19" spans="1:7" ht="15">
      <c r="A19" s="56" t="s">
        <v>2281</v>
      </c>
      <c r="B19" s="56" t="s">
        <v>2282</v>
      </c>
      <c r="C19" s="56" t="s">
        <v>2283</v>
      </c>
      <c r="D19" s="56" t="s">
        <v>2628</v>
      </c>
      <c r="E19" s="74" t="s">
        <v>108</v>
      </c>
      <c r="F19" s="74" t="s">
        <v>2083</v>
      </c>
      <c r="G19" s="56" t="s">
        <v>2252</v>
      </c>
    </row>
    <row r="20" spans="1:7" ht="15">
      <c r="A20" s="56" t="s">
        <v>2330</v>
      </c>
      <c r="B20" s="56" t="s">
        <v>2282</v>
      </c>
      <c r="C20" s="56" t="s">
        <v>2331</v>
      </c>
      <c r="D20" s="56" t="s">
        <v>2628</v>
      </c>
      <c r="E20" s="74" t="s">
        <v>108</v>
      </c>
      <c r="F20" s="74" t="s">
        <v>2083</v>
      </c>
      <c r="G20" s="56" t="s">
        <v>2332</v>
      </c>
    </row>
    <row r="21" spans="1:7" ht="17.25">
      <c r="A21" s="274" t="s">
        <v>2333</v>
      </c>
      <c r="B21" s="274" t="s">
        <v>2282</v>
      </c>
      <c r="C21" s="274" t="s">
        <v>108</v>
      </c>
      <c r="D21" s="274" t="s">
        <v>2628</v>
      </c>
      <c r="E21" s="275" t="s">
        <v>108</v>
      </c>
      <c r="F21" s="275" t="s">
        <v>2083</v>
      </c>
      <c r="G21" s="274" t="s">
        <v>2252</v>
      </c>
    </row>
    <row r="22" spans="1:7" ht="17.25">
      <c r="A22" s="75" t="s">
        <v>2334</v>
      </c>
      <c r="B22" s="75"/>
      <c r="C22" s="75"/>
      <c r="D22" s="75"/>
      <c r="E22" s="76"/>
      <c r="F22" s="75"/>
      <c r="G22" s="75"/>
    </row>
    <row r="23" spans="1:7" ht="15">
      <c r="A23" s="56" t="s">
        <v>2335</v>
      </c>
      <c r="B23" s="56" t="s">
        <v>2336</v>
      </c>
      <c r="C23" s="56" t="s">
        <v>2337</v>
      </c>
      <c r="D23" s="56" t="s">
        <v>2628</v>
      </c>
      <c r="E23" s="74" t="s">
        <v>108</v>
      </c>
      <c r="F23" s="74" t="s">
        <v>2083</v>
      </c>
      <c r="G23" s="56" t="s">
        <v>2252</v>
      </c>
    </row>
    <row r="24" spans="1:7" ht="15">
      <c r="A24" s="56" t="s">
        <v>2338</v>
      </c>
      <c r="B24" s="56" t="s">
        <v>2336</v>
      </c>
      <c r="C24" s="56" t="s">
        <v>2339</v>
      </c>
      <c r="D24" s="56" t="s">
        <v>2628</v>
      </c>
      <c r="E24" s="74" t="s">
        <v>108</v>
      </c>
      <c r="F24" s="74" t="s">
        <v>2083</v>
      </c>
      <c r="G24" s="56" t="s">
        <v>2252</v>
      </c>
    </row>
    <row r="25" spans="1:7" ht="15">
      <c r="A25" s="56" t="s">
        <v>2340</v>
      </c>
      <c r="B25" s="56" t="s">
        <v>2341</v>
      </c>
      <c r="C25" s="56" t="s">
        <v>108</v>
      </c>
      <c r="D25" s="56" t="s">
        <v>2628</v>
      </c>
      <c r="E25" s="74" t="s">
        <v>108</v>
      </c>
      <c r="F25" s="74" t="s">
        <v>2083</v>
      </c>
      <c r="G25" s="56" t="s">
        <v>2342</v>
      </c>
    </row>
    <row r="26" spans="1:7" ht="15">
      <c r="A26" s="56" t="s">
        <v>2343</v>
      </c>
      <c r="B26" s="56" t="s">
        <v>2341</v>
      </c>
      <c r="C26" s="56" t="s">
        <v>108</v>
      </c>
      <c r="D26" s="56" t="s">
        <v>2628</v>
      </c>
      <c r="E26" s="74" t="s">
        <v>108</v>
      </c>
      <c r="F26" s="74" t="s">
        <v>2083</v>
      </c>
      <c r="G26" s="56" t="s">
        <v>2252</v>
      </c>
    </row>
    <row r="27" spans="1:7" ht="17.25">
      <c r="A27" s="75" t="s">
        <v>2344</v>
      </c>
      <c r="B27" s="75"/>
      <c r="C27" s="75"/>
      <c r="D27" s="75"/>
      <c r="E27" s="76"/>
      <c r="F27" s="75"/>
      <c r="G27" s="75"/>
    </row>
    <row r="28" spans="1:7" ht="17.25">
      <c r="A28" s="274" t="s">
        <v>2345</v>
      </c>
      <c r="B28" s="274" t="s">
        <v>2346</v>
      </c>
      <c r="C28" s="274" t="s">
        <v>108</v>
      </c>
      <c r="D28" s="274" t="s">
        <v>2628</v>
      </c>
      <c r="E28" s="275" t="s">
        <v>108</v>
      </c>
      <c r="F28" s="275" t="s">
        <v>2083</v>
      </c>
      <c r="G28" s="274" t="s">
        <v>2347</v>
      </c>
    </row>
    <row r="29" spans="1:7" ht="17.25">
      <c r="A29" s="274" t="s">
        <v>2248</v>
      </c>
      <c r="B29" s="274" t="s">
        <v>2249</v>
      </c>
      <c r="C29" s="274" t="s">
        <v>2250</v>
      </c>
      <c r="D29" s="274" t="s">
        <v>2628</v>
      </c>
      <c r="E29" s="275" t="s">
        <v>2526</v>
      </c>
      <c r="F29" s="275" t="s">
        <v>2083</v>
      </c>
      <c r="G29" s="274" t="s">
        <v>2252</v>
      </c>
    </row>
    <row r="30" spans="1:7" ht="15">
      <c r="A30" s="56" t="s">
        <v>2253</v>
      </c>
      <c r="B30" s="56" t="s">
        <v>2249</v>
      </c>
      <c r="C30" s="56" t="s">
        <v>2254</v>
      </c>
      <c r="D30" s="56" t="s">
        <v>2628</v>
      </c>
      <c r="E30" s="74" t="s">
        <v>2526</v>
      </c>
      <c r="F30" s="74" t="s">
        <v>2083</v>
      </c>
      <c r="G30" s="56" t="s">
        <v>2252</v>
      </c>
    </row>
    <row r="31" spans="1:7" ht="15">
      <c r="A31" s="56" t="s">
        <v>2255</v>
      </c>
      <c r="B31" s="56" t="s">
        <v>2249</v>
      </c>
      <c r="C31" s="56" t="s">
        <v>2254</v>
      </c>
      <c r="D31" s="56" t="s">
        <v>2628</v>
      </c>
      <c r="E31" s="74" t="s">
        <v>2526</v>
      </c>
      <c r="F31" s="74" t="s">
        <v>2083</v>
      </c>
      <c r="G31" s="56" t="s">
        <v>2252</v>
      </c>
    </row>
    <row r="32" spans="1:7" ht="15">
      <c r="A32" s="56" t="s">
        <v>2256</v>
      </c>
      <c r="B32" s="56" t="s">
        <v>2257</v>
      </c>
      <c r="C32" s="56" t="s">
        <v>2254</v>
      </c>
      <c r="D32" s="56" t="s">
        <v>2628</v>
      </c>
      <c r="E32" s="74" t="s">
        <v>2526</v>
      </c>
      <c r="F32" s="74" t="s">
        <v>2083</v>
      </c>
      <c r="G32" s="56" t="s">
        <v>2252</v>
      </c>
    </row>
    <row r="33" spans="1:7" ht="15">
      <c r="A33" s="56" t="s">
        <v>2258</v>
      </c>
      <c r="B33" s="56"/>
      <c r="C33" s="56" t="s">
        <v>2254</v>
      </c>
      <c r="D33" s="56" t="s">
        <v>2628</v>
      </c>
      <c r="E33" s="74" t="s">
        <v>2526</v>
      </c>
      <c r="F33" s="74" t="s">
        <v>2083</v>
      </c>
      <c r="G33" s="56" t="s">
        <v>2252</v>
      </c>
    </row>
    <row r="34" spans="1:7" ht="15">
      <c r="A34" s="56" t="s">
        <v>2259</v>
      </c>
      <c r="B34" s="56"/>
      <c r="C34" s="56" t="s">
        <v>2254</v>
      </c>
      <c r="D34" s="56" t="s">
        <v>2628</v>
      </c>
      <c r="E34" s="74" t="s">
        <v>2526</v>
      </c>
      <c r="F34" s="74" t="s">
        <v>2083</v>
      </c>
      <c r="G34" s="56" t="s">
        <v>2252</v>
      </c>
    </row>
    <row r="35" spans="1:7" ht="15">
      <c r="A35" s="56" t="s">
        <v>2260</v>
      </c>
      <c r="B35" s="56"/>
      <c r="C35" s="56" t="s">
        <v>2254</v>
      </c>
      <c r="D35" s="56" t="s">
        <v>2628</v>
      </c>
      <c r="E35" s="74" t="s">
        <v>2526</v>
      </c>
      <c r="F35" s="74" t="s">
        <v>2083</v>
      </c>
      <c r="G35" s="56" t="s">
        <v>2252</v>
      </c>
    </row>
    <row r="36" spans="1:7" ht="17.25">
      <c r="A36" s="75" t="s">
        <v>2349</v>
      </c>
      <c r="B36" s="75"/>
      <c r="C36" s="75"/>
      <c r="D36" s="75"/>
      <c r="E36" s="76"/>
      <c r="F36" s="75"/>
      <c r="G36" s="75"/>
    </row>
    <row r="37" spans="1:7" ht="17.25">
      <c r="A37" s="274" t="s">
        <v>2350</v>
      </c>
      <c r="B37" s="274" t="s">
        <v>2351</v>
      </c>
      <c r="C37" s="274" t="s">
        <v>108</v>
      </c>
      <c r="D37" s="274" t="s">
        <v>2628</v>
      </c>
      <c r="E37" s="275" t="s">
        <v>108</v>
      </c>
      <c r="F37" s="275" t="s">
        <v>2083</v>
      </c>
      <c r="G37" s="274" t="s">
        <v>2252</v>
      </c>
    </row>
    <row r="38" spans="1:7" ht="17.25">
      <c r="A38" s="274" t="s">
        <v>2352</v>
      </c>
      <c r="B38" s="274"/>
      <c r="C38" s="274" t="s">
        <v>2337</v>
      </c>
      <c r="D38" s="274" t="s">
        <v>2628</v>
      </c>
      <c r="E38" s="275" t="s">
        <v>108</v>
      </c>
      <c r="F38" s="275" t="s">
        <v>2083</v>
      </c>
      <c r="G38" s="274" t="s">
        <v>2252</v>
      </c>
    </row>
    <row r="39" spans="1:7" ht="15">
      <c r="A39" s="56" t="s">
        <v>2353</v>
      </c>
      <c r="B39" s="56" t="s">
        <v>2351</v>
      </c>
      <c r="C39" s="56" t="s">
        <v>2354</v>
      </c>
      <c r="D39" s="56" t="s">
        <v>2628</v>
      </c>
      <c r="E39" s="74" t="s">
        <v>108</v>
      </c>
      <c r="F39" s="74" t="s">
        <v>2083</v>
      </c>
      <c r="G39" s="56" t="s">
        <v>2355</v>
      </c>
    </row>
    <row r="40" spans="1:7" ht="15">
      <c r="A40" s="56" t="s">
        <v>2356</v>
      </c>
      <c r="B40" s="56" t="s">
        <v>2351</v>
      </c>
      <c r="C40" s="56" t="s">
        <v>2315</v>
      </c>
      <c r="D40" s="56" t="s">
        <v>2628</v>
      </c>
      <c r="E40" s="74" t="s">
        <v>2315</v>
      </c>
      <c r="F40" s="74" t="s">
        <v>2083</v>
      </c>
      <c r="G40" s="56" t="s">
        <v>2252</v>
      </c>
    </row>
    <row r="41" spans="1:7" ht="17.25">
      <c r="A41" s="274" t="s">
        <v>2357</v>
      </c>
      <c r="B41" s="274" t="s">
        <v>2358</v>
      </c>
      <c r="C41" s="274" t="s">
        <v>108</v>
      </c>
      <c r="D41" s="274" t="s">
        <v>2628</v>
      </c>
      <c r="E41" s="275" t="s">
        <v>108</v>
      </c>
      <c r="F41" s="274" t="s">
        <v>2083</v>
      </c>
      <c r="G41" s="274" t="s">
        <v>2252</v>
      </c>
    </row>
    <row r="42" spans="1:7" ht="17.25">
      <c r="A42" s="75" t="s">
        <v>2359</v>
      </c>
      <c r="B42" s="75"/>
      <c r="C42" s="75"/>
      <c r="D42" s="75"/>
      <c r="E42" s="76"/>
      <c r="F42" s="75"/>
      <c r="G42" s="75"/>
    </row>
    <row r="43" spans="1:7" ht="15">
      <c r="A43" s="56" t="s">
        <v>2363</v>
      </c>
      <c r="B43" s="56"/>
      <c r="C43" s="56" t="s">
        <v>2315</v>
      </c>
      <c r="D43" s="56" t="s">
        <v>2628</v>
      </c>
      <c r="E43" s="74" t="s">
        <v>2315</v>
      </c>
      <c r="F43" s="74" t="s">
        <v>2083</v>
      </c>
      <c r="G43" s="56" t="s">
        <v>2252</v>
      </c>
    </row>
    <row r="44" spans="1:7" ht="17.25">
      <c r="A44" s="274" t="s">
        <v>2294</v>
      </c>
      <c r="B44" s="274"/>
      <c r="C44" s="274" t="s">
        <v>2295</v>
      </c>
      <c r="D44" s="274" t="s">
        <v>2628</v>
      </c>
      <c r="E44" s="275" t="s">
        <v>2315</v>
      </c>
      <c r="F44" s="274" t="s">
        <v>2083</v>
      </c>
      <c r="G44" s="274" t="s">
        <v>2252</v>
      </c>
    </row>
    <row r="45" spans="1:7" ht="17.25">
      <c r="A45" s="274" t="s">
        <v>2364</v>
      </c>
      <c r="B45" s="274" t="s">
        <v>2351</v>
      </c>
      <c r="C45" s="274" t="s">
        <v>108</v>
      </c>
      <c r="D45" s="274" t="s">
        <v>2628</v>
      </c>
      <c r="E45" s="275" t="s">
        <v>108</v>
      </c>
      <c r="F45" s="275" t="s">
        <v>2083</v>
      </c>
      <c r="G45" s="274" t="s">
        <v>2252</v>
      </c>
    </row>
    <row r="46" spans="1:7" ht="17.25">
      <c r="A46" s="274" t="s">
        <v>2365</v>
      </c>
      <c r="B46" s="274" t="s">
        <v>2351</v>
      </c>
      <c r="C46" s="274" t="s">
        <v>108</v>
      </c>
      <c r="D46" s="274" t="s">
        <v>2628</v>
      </c>
      <c r="E46" s="275" t="s">
        <v>108</v>
      </c>
      <c r="F46" s="275" t="s">
        <v>2083</v>
      </c>
      <c r="G46" s="274" t="s">
        <v>2252</v>
      </c>
    </row>
    <row r="47" spans="1:7" ht="15">
      <c r="A47" s="56" t="s">
        <v>2366</v>
      </c>
      <c r="B47" s="56" t="s">
        <v>2257</v>
      </c>
      <c r="C47" s="56" t="s">
        <v>108</v>
      </c>
      <c r="D47" s="56" t="s">
        <v>2628</v>
      </c>
      <c r="E47" s="74" t="s">
        <v>108</v>
      </c>
      <c r="F47" s="74" t="s">
        <v>2083</v>
      </c>
      <c r="G47" s="56" t="s">
        <v>2252</v>
      </c>
    </row>
    <row r="48" spans="1:7" ht="17.25">
      <c r="A48" s="274" t="s">
        <v>2367</v>
      </c>
      <c r="B48" s="274" t="s">
        <v>2368</v>
      </c>
      <c r="C48" s="274" t="s">
        <v>2315</v>
      </c>
      <c r="D48" s="274" t="s">
        <v>2628</v>
      </c>
      <c r="E48" s="275" t="s">
        <v>2315</v>
      </c>
      <c r="F48" s="275" t="s">
        <v>2083</v>
      </c>
      <c r="G48" s="274" t="s">
        <v>2252</v>
      </c>
    </row>
    <row r="49" spans="1:7" ht="15">
      <c r="A49" s="56" t="s">
        <v>2369</v>
      </c>
      <c r="B49" s="56" t="s">
        <v>2368</v>
      </c>
      <c r="C49" s="56" t="s">
        <v>2315</v>
      </c>
      <c r="D49" s="56" t="s">
        <v>2628</v>
      </c>
      <c r="E49" s="74" t="s">
        <v>2315</v>
      </c>
      <c r="F49" s="74" t="s">
        <v>2083</v>
      </c>
      <c r="G49" s="56" t="s">
        <v>2252</v>
      </c>
    </row>
    <row r="50" spans="1:7" ht="17.25">
      <c r="A50" s="274" t="s">
        <v>2370</v>
      </c>
      <c r="B50" s="274" t="s">
        <v>2368</v>
      </c>
      <c r="C50" s="274" t="s">
        <v>108</v>
      </c>
      <c r="D50" s="274" t="s">
        <v>2628</v>
      </c>
      <c r="E50" s="275" t="s">
        <v>108</v>
      </c>
      <c r="F50" s="274" t="s">
        <v>2083</v>
      </c>
      <c r="G50" s="274" t="s">
        <v>2371</v>
      </c>
    </row>
    <row r="51" spans="1:7" ht="17.25">
      <c r="A51" s="75" t="s">
        <v>2372</v>
      </c>
      <c r="B51" s="75"/>
      <c r="C51" s="75"/>
      <c r="D51" s="75"/>
      <c r="E51" s="76"/>
      <c r="F51" s="75"/>
      <c r="G51" s="75"/>
    </row>
    <row r="52" spans="1:7" ht="15">
      <c r="A52" s="56" t="s">
        <v>2373</v>
      </c>
      <c r="B52" s="56" t="s">
        <v>2374</v>
      </c>
      <c r="C52" s="56" t="s">
        <v>108</v>
      </c>
      <c r="D52" s="56" t="s">
        <v>2628</v>
      </c>
      <c r="E52" s="74" t="s">
        <v>108</v>
      </c>
      <c r="F52" s="74" t="s">
        <v>2083</v>
      </c>
      <c r="G52" s="56" t="s">
        <v>2252</v>
      </c>
    </row>
    <row r="53" spans="1:7" ht="15">
      <c r="A53" s="56" t="s">
        <v>2375</v>
      </c>
      <c r="B53" s="56" t="s">
        <v>2376</v>
      </c>
      <c r="C53" s="56" t="s">
        <v>108</v>
      </c>
      <c r="D53" s="56" t="s">
        <v>2628</v>
      </c>
      <c r="E53" s="74" t="s">
        <v>108</v>
      </c>
      <c r="F53" s="74" t="s">
        <v>2083</v>
      </c>
      <c r="G53" s="56" t="s">
        <v>2252</v>
      </c>
    </row>
    <row r="54" spans="1:7" ht="17.25">
      <c r="A54" s="274" t="s">
        <v>2377</v>
      </c>
      <c r="B54" s="274" t="s">
        <v>2376</v>
      </c>
      <c r="C54" s="274" t="s">
        <v>108</v>
      </c>
      <c r="D54" s="274" t="s">
        <v>2628</v>
      </c>
      <c r="E54" s="275" t="s">
        <v>108</v>
      </c>
      <c r="F54" s="274" t="s">
        <v>2083</v>
      </c>
      <c r="G54" s="274" t="s">
        <v>2252</v>
      </c>
    </row>
    <row r="55" spans="1:7" ht="17.25">
      <c r="A55" s="75" t="s">
        <v>2378</v>
      </c>
      <c r="B55" s="75"/>
      <c r="C55" s="75"/>
      <c r="D55" s="75"/>
      <c r="E55" s="76"/>
      <c r="F55" s="75"/>
      <c r="G55" s="75"/>
    </row>
    <row r="56" spans="1:7" ht="17.25">
      <c r="A56" s="274" t="s">
        <v>2379</v>
      </c>
      <c r="B56" s="274" t="s">
        <v>2263</v>
      </c>
      <c r="C56" s="274" t="s">
        <v>2315</v>
      </c>
      <c r="D56" s="274" t="s">
        <v>2628</v>
      </c>
      <c r="E56" s="275" t="s">
        <v>2315</v>
      </c>
      <c r="F56" s="275" t="s">
        <v>2083</v>
      </c>
      <c r="G56" s="274" t="s">
        <v>2380</v>
      </c>
    </row>
    <row r="57" spans="1:7" ht="15">
      <c r="A57" s="56" t="s">
        <v>2381</v>
      </c>
      <c r="B57" s="56" t="s">
        <v>2301</v>
      </c>
      <c r="C57" s="56" t="s">
        <v>108</v>
      </c>
      <c r="D57" s="56" t="s">
        <v>2628</v>
      </c>
      <c r="E57" s="74" t="s">
        <v>108</v>
      </c>
      <c r="F57" s="74" t="s">
        <v>2083</v>
      </c>
      <c r="G57" s="56" t="s">
        <v>2382</v>
      </c>
    </row>
    <row r="58" spans="1:7" ht="17.25">
      <c r="A58" s="274" t="s">
        <v>2383</v>
      </c>
      <c r="B58" s="274" t="s">
        <v>2298</v>
      </c>
      <c r="C58" s="274" t="s">
        <v>108</v>
      </c>
      <c r="D58" s="274" t="s">
        <v>2628</v>
      </c>
      <c r="E58" s="275" t="s">
        <v>108</v>
      </c>
      <c r="F58" s="274" t="s">
        <v>2083</v>
      </c>
      <c r="G58" s="274" t="s">
        <v>2384</v>
      </c>
    </row>
    <row r="59" spans="1:7" ht="17.25">
      <c r="A59" s="274" t="s">
        <v>2385</v>
      </c>
      <c r="B59" s="274" t="s">
        <v>2386</v>
      </c>
      <c r="C59" s="274" t="s">
        <v>108</v>
      </c>
      <c r="D59" s="274" t="s">
        <v>2628</v>
      </c>
      <c r="E59" s="275" t="s">
        <v>108</v>
      </c>
      <c r="F59" s="274" t="s">
        <v>2083</v>
      </c>
      <c r="G59" s="274" t="s">
        <v>2387</v>
      </c>
    </row>
    <row r="60" spans="1:7" ht="17.25">
      <c r="A60" s="75" t="s">
        <v>2388</v>
      </c>
      <c r="B60" s="75"/>
      <c r="C60" s="75"/>
      <c r="D60" s="75"/>
      <c r="E60" s="76"/>
      <c r="F60" s="75"/>
      <c r="G60" s="75"/>
    </row>
    <row r="61" spans="1:7" ht="15">
      <c r="A61" s="56" t="s">
        <v>2389</v>
      </c>
      <c r="B61" s="56" t="s">
        <v>2301</v>
      </c>
      <c r="C61" s="56" t="s">
        <v>108</v>
      </c>
      <c r="D61" s="56" t="s">
        <v>2628</v>
      </c>
      <c r="E61" s="74" t="s">
        <v>108</v>
      </c>
      <c r="F61" s="74" t="s">
        <v>2083</v>
      </c>
      <c r="G61" s="56" t="s">
        <v>2390</v>
      </c>
    </row>
    <row r="62" spans="1:7" ht="15">
      <c r="A62" s="56" t="s">
        <v>2391</v>
      </c>
      <c r="B62" s="56" t="s">
        <v>2392</v>
      </c>
      <c r="C62" s="56" t="s">
        <v>108</v>
      </c>
      <c r="D62" s="56" t="s">
        <v>2628</v>
      </c>
      <c r="E62" s="74" t="s">
        <v>108</v>
      </c>
      <c r="F62" s="74" t="s">
        <v>2083</v>
      </c>
      <c r="G62" s="56" t="s">
        <v>2393</v>
      </c>
    </row>
    <row r="63" spans="1:7" ht="17.25">
      <c r="A63" s="274" t="s">
        <v>2394</v>
      </c>
      <c r="B63" s="274" t="s">
        <v>2395</v>
      </c>
      <c r="C63" s="274" t="s">
        <v>108</v>
      </c>
      <c r="D63" s="274" t="s">
        <v>2628</v>
      </c>
      <c r="E63" s="275" t="s">
        <v>108</v>
      </c>
      <c r="F63" s="274" t="s">
        <v>2083</v>
      </c>
      <c r="G63" s="274" t="s">
        <v>2396</v>
      </c>
    </row>
    <row r="64" spans="1:7" ht="15">
      <c r="A64" s="56" t="s">
        <v>2397</v>
      </c>
      <c r="B64" s="56" t="s">
        <v>2398</v>
      </c>
      <c r="C64" s="56" t="s">
        <v>2315</v>
      </c>
      <c r="D64" s="56" t="s">
        <v>2628</v>
      </c>
      <c r="E64" s="74" t="s">
        <v>2315</v>
      </c>
      <c r="F64" s="74" t="s">
        <v>2083</v>
      </c>
      <c r="G64" s="56" t="s">
        <v>2252</v>
      </c>
    </row>
    <row r="65" spans="1:7" ht="17.25">
      <c r="A65" s="274" t="s">
        <v>2399</v>
      </c>
      <c r="B65" s="274" t="s">
        <v>2398</v>
      </c>
      <c r="C65" s="274" t="s">
        <v>2400</v>
      </c>
      <c r="D65" s="274" t="s">
        <v>2628</v>
      </c>
      <c r="E65" s="275" t="s">
        <v>108</v>
      </c>
      <c r="F65" s="274" t="s">
        <v>2083</v>
      </c>
      <c r="G65" s="274" t="s">
        <v>2252</v>
      </c>
    </row>
    <row r="66" spans="1:7" ht="17.25">
      <c r="A66" s="75" t="s">
        <v>2401</v>
      </c>
      <c r="B66" s="75"/>
      <c r="C66" s="75"/>
      <c r="D66" s="75"/>
      <c r="E66" s="76"/>
      <c r="F66" s="75"/>
      <c r="G66" s="75"/>
    </row>
    <row r="67" spans="1:7" ht="15">
      <c r="A67" s="56" t="s">
        <v>2402</v>
      </c>
      <c r="B67" s="56" t="s">
        <v>2403</v>
      </c>
      <c r="C67" s="56" t="s">
        <v>108</v>
      </c>
      <c r="D67" s="56" t="s">
        <v>2628</v>
      </c>
      <c r="E67" s="74" t="s">
        <v>108</v>
      </c>
      <c r="F67" s="74" t="s">
        <v>2083</v>
      </c>
      <c r="G67" s="56" t="s">
        <v>2252</v>
      </c>
    </row>
    <row r="68" spans="1:7" ht="15">
      <c r="A68" s="56" t="s">
        <v>2404</v>
      </c>
      <c r="B68" s="56" t="s">
        <v>2403</v>
      </c>
      <c r="C68" s="56" t="s">
        <v>2315</v>
      </c>
      <c r="D68" s="56" t="s">
        <v>2628</v>
      </c>
      <c r="E68" s="74" t="s">
        <v>2315</v>
      </c>
      <c r="F68" s="74" t="s">
        <v>2083</v>
      </c>
      <c r="G68" s="56" t="s">
        <v>2405</v>
      </c>
    </row>
    <row r="69" spans="1:7" ht="17.25">
      <c r="A69" s="274" t="s">
        <v>2406</v>
      </c>
      <c r="B69" s="274" t="s">
        <v>2407</v>
      </c>
      <c r="C69" s="274" t="s">
        <v>2408</v>
      </c>
      <c r="D69" s="274" t="s">
        <v>2628</v>
      </c>
      <c r="E69" s="275" t="s">
        <v>2442</v>
      </c>
      <c r="F69" s="274" t="s">
        <v>2082</v>
      </c>
      <c r="G69" s="274" t="s">
        <v>2410</v>
      </c>
    </row>
    <row r="70" spans="1:7" ht="15">
      <c r="A70" s="56" t="s">
        <v>2411</v>
      </c>
      <c r="B70" s="56" t="s">
        <v>2407</v>
      </c>
      <c r="C70" s="56" t="s">
        <v>2331</v>
      </c>
      <c r="D70" s="56" t="s">
        <v>2628</v>
      </c>
      <c r="E70" s="74" t="s">
        <v>108</v>
      </c>
      <c r="F70" s="74" t="s">
        <v>2083</v>
      </c>
      <c r="G70" s="56" t="s">
        <v>2412</v>
      </c>
    </row>
    <row r="71" spans="1:7" ht="17.25">
      <c r="A71" s="274" t="s">
        <v>2413</v>
      </c>
      <c r="B71" s="274" t="s">
        <v>2403</v>
      </c>
      <c r="C71" s="274" t="s">
        <v>2414</v>
      </c>
      <c r="D71" s="274" t="s">
        <v>2628</v>
      </c>
      <c r="E71" s="275" t="s">
        <v>108</v>
      </c>
      <c r="F71" s="275" t="s">
        <v>2083</v>
      </c>
      <c r="G71" s="274" t="s">
        <v>2252</v>
      </c>
    </row>
    <row r="72" spans="1:7" ht="17.25">
      <c r="A72" s="274" t="s">
        <v>2415</v>
      </c>
      <c r="B72" s="274" t="s">
        <v>2403</v>
      </c>
      <c r="C72" s="274" t="s">
        <v>2416</v>
      </c>
      <c r="D72" s="274" t="s">
        <v>2628</v>
      </c>
      <c r="E72" s="275" t="s">
        <v>108</v>
      </c>
      <c r="F72" s="274" t="s">
        <v>2083</v>
      </c>
      <c r="G72" s="274" t="s">
        <v>2417</v>
      </c>
    </row>
    <row r="73" spans="1:7" ht="17.25">
      <c r="A73" s="75" t="s">
        <v>2418</v>
      </c>
      <c r="B73" s="75"/>
      <c r="C73" s="75"/>
      <c r="D73" s="75"/>
      <c r="E73" s="76"/>
      <c r="F73" s="75"/>
      <c r="G73" s="75"/>
    </row>
    <row r="74" spans="1:7" ht="15">
      <c r="A74" s="56" t="s">
        <v>2419</v>
      </c>
      <c r="B74" s="56" t="s">
        <v>2287</v>
      </c>
      <c r="C74" s="56" t="s">
        <v>2420</v>
      </c>
      <c r="D74" s="56" t="s">
        <v>2628</v>
      </c>
      <c r="E74" s="74" t="s">
        <v>108</v>
      </c>
      <c r="F74" s="74" t="s">
        <v>2083</v>
      </c>
      <c r="G74" s="56" t="s">
        <v>2421</v>
      </c>
    </row>
    <row r="75" spans="1:7" ht="17.25">
      <c r="A75" s="274" t="s">
        <v>2422</v>
      </c>
      <c r="B75" s="274" t="s">
        <v>2423</v>
      </c>
      <c r="C75" s="274" t="s">
        <v>2424</v>
      </c>
      <c r="D75" s="274" t="s">
        <v>2628</v>
      </c>
      <c r="E75" s="275" t="s">
        <v>108</v>
      </c>
      <c r="F75" s="275" t="s">
        <v>2083</v>
      </c>
      <c r="G75" s="274" t="s">
        <v>2425</v>
      </c>
    </row>
    <row r="76" spans="1:7" ht="17.25">
      <c r="A76" s="274" t="s">
        <v>2274</v>
      </c>
      <c r="B76" s="274"/>
      <c r="C76" s="274" t="s">
        <v>2254</v>
      </c>
      <c r="D76" s="274" t="s">
        <v>2628</v>
      </c>
      <c r="E76" s="275" t="s">
        <v>2526</v>
      </c>
      <c r="F76" s="274" t="s">
        <v>2083</v>
      </c>
      <c r="G76" s="274" t="s">
        <v>2252</v>
      </c>
    </row>
    <row r="77" spans="1:7" ht="17.25">
      <c r="A77" s="274" t="s">
        <v>2426</v>
      </c>
      <c r="B77" s="274" t="s">
        <v>2272</v>
      </c>
      <c r="C77" s="274" t="s">
        <v>2427</v>
      </c>
      <c r="D77" s="274" t="s">
        <v>2628</v>
      </c>
      <c r="E77" s="275" t="s">
        <v>2427</v>
      </c>
      <c r="F77" s="274" t="s">
        <v>2083</v>
      </c>
      <c r="G77" s="274" t="s">
        <v>2428</v>
      </c>
    </row>
    <row r="78" spans="1:7" ht="17.25">
      <c r="A78" s="75" t="s">
        <v>2520</v>
      </c>
      <c r="B78" s="75"/>
      <c r="C78" s="75"/>
      <c r="D78" s="75"/>
      <c r="E78" s="76"/>
      <c r="F78" s="75"/>
      <c r="G78" s="75"/>
    </row>
    <row r="79" spans="1:7" ht="17.25">
      <c r="A79" s="274" t="s">
        <v>2276</v>
      </c>
      <c r="B79" s="274" t="s">
        <v>2277</v>
      </c>
      <c r="C79" s="274" t="s">
        <v>1565</v>
      </c>
      <c r="D79" s="274" t="s">
        <v>2629</v>
      </c>
      <c r="E79" s="275" t="s">
        <v>108</v>
      </c>
      <c r="F79" s="275" t="s">
        <v>2177</v>
      </c>
      <c r="G79" s="274" t="s">
        <v>2279</v>
      </c>
    </row>
    <row r="80" spans="1:7" ht="17.25">
      <c r="A80" s="272" t="s">
        <v>2309</v>
      </c>
      <c r="B80" s="272"/>
      <c r="C80" s="272" t="s">
        <v>2310</v>
      </c>
      <c r="D80" s="272" t="s">
        <v>2629</v>
      </c>
      <c r="E80" s="273" t="s">
        <v>2310</v>
      </c>
      <c r="F80" s="273" t="s">
        <v>2446</v>
      </c>
      <c r="G80" s="272" t="s">
        <v>2252</v>
      </c>
    </row>
    <row r="81" spans="1:7" ht="17.25">
      <c r="A81" s="274" t="s">
        <v>2312</v>
      </c>
      <c r="B81" s="274" t="s">
        <v>2242</v>
      </c>
      <c r="C81" s="274" t="s">
        <v>108</v>
      </c>
      <c r="D81" s="274" t="s">
        <v>2629</v>
      </c>
      <c r="E81" s="275" t="s">
        <v>108</v>
      </c>
      <c r="F81" s="275" t="s">
        <v>2177</v>
      </c>
      <c r="G81" s="274" t="s">
        <v>2252</v>
      </c>
    </row>
    <row r="82" spans="1:7" ht="17.25">
      <c r="A82" s="274" t="s">
        <v>2313</v>
      </c>
      <c r="B82" s="274" t="s">
        <v>2314</v>
      </c>
      <c r="C82" s="274" t="s">
        <v>2315</v>
      </c>
      <c r="D82" s="274" t="s">
        <v>2629</v>
      </c>
      <c r="E82" s="275" t="s">
        <v>2315</v>
      </c>
      <c r="F82" s="275" t="s">
        <v>2177</v>
      </c>
      <c r="G82" s="274" t="s">
        <v>2316</v>
      </c>
    </row>
    <row r="83" spans="1:7" ht="17.25">
      <c r="A83" s="274" t="s">
        <v>2317</v>
      </c>
      <c r="B83" s="274"/>
      <c r="C83" s="274" t="s">
        <v>108</v>
      </c>
      <c r="D83" s="274" t="s">
        <v>2629</v>
      </c>
      <c r="E83" s="275" t="s">
        <v>108</v>
      </c>
      <c r="F83" s="274" t="s">
        <v>2177</v>
      </c>
      <c r="G83" s="274" t="s">
        <v>2252</v>
      </c>
    </row>
    <row r="84" spans="1:7" ht="17.25">
      <c r="A84" s="75" t="s">
        <v>2522</v>
      </c>
      <c r="B84" s="75"/>
      <c r="C84" s="75"/>
      <c r="D84" s="75"/>
      <c r="E84" s="76"/>
      <c r="F84" s="75"/>
      <c r="G84" s="75"/>
    </row>
    <row r="85" spans="1:7" ht="15">
      <c r="A85" s="56" t="s">
        <v>2319</v>
      </c>
      <c r="B85" s="56" t="s">
        <v>2249</v>
      </c>
      <c r="C85" s="56" t="s">
        <v>108</v>
      </c>
      <c r="D85" s="56" t="s">
        <v>2629</v>
      </c>
      <c r="E85" s="74" t="s">
        <v>108</v>
      </c>
      <c r="F85" s="74" t="s">
        <v>2177</v>
      </c>
      <c r="G85" s="56" t="s">
        <v>2252</v>
      </c>
    </row>
    <row r="86" spans="1:7" ht="17.25">
      <c r="A86" s="274" t="s">
        <v>2320</v>
      </c>
      <c r="B86" s="274" t="s">
        <v>2321</v>
      </c>
      <c r="C86" s="274" t="s">
        <v>108</v>
      </c>
      <c r="D86" s="274" t="s">
        <v>2629</v>
      </c>
      <c r="E86" s="275" t="s">
        <v>108</v>
      </c>
      <c r="F86" s="275" t="s">
        <v>2177</v>
      </c>
      <c r="G86" s="274" t="s">
        <v>2322</v>
      </c>
    </row>
    <row r="87" spans="1:7" ht="17.25">
      <c r="A87" s="274" t="s">
        <v>2323</v>
      </c>
      <c r="B87" s="274" t="s">
        <v>2321</v>
      </c>
      <c r="C87" s="274" t="s">
        <v>108</v>
      </c>
      <c r="D87" s="274" t="s">
        <v>2629</v>
      </c>
      <c r="E87" s="275" t="s">
        <v>108</v>
      </c>
      <c r="F87" s="275" t="s">
        <v>2177</v>
      </c>
      <c r="G87" s="274" t="s">
        <v>2252</v>
      </c>
    </row>
    <row r="88" spans="1:7" ht="17.25">
      <c r="A88" s="274" t="s">
        <v>2324</v>
      </c>
      <c r="B88" s="274" t="s">
        <v>2325</v>
      </c>
      <c r="C88" s="274" t="s">
        <v>108</v>
      </c>
      <c r="D88" s="274" t="s">
        <v>2629</v>
      </c>
      <c r="E88" s="275" t="s">
        <v>108</v>
      </c>
      <c r="F88" s="274" t="s">
        <v>2177</v>
      </c>
      <c r="G88" s="274" t="s">
        <v>2326</v>
      </c>
    </row>
    <row r="89" spans="1:7" ht="17.25">
      <c r="A89" s="75" t="s">
        <v>2523</v>
      </c>
      <c r="B89" s="75"/>
      <c r="C89" s="75"/>
      <c r="D89" s="75"/>
      <c r="E89" s="76"/>
      <c r="F89" s="75"/>
      <c r="G89" s="75"/>
    </row>
    <row r="90" spans="1:7" ht="17.25">
      <c r="A90" s="274" t="s">
        <v>2328</v>
      </c>
      <c r="B90" s="274" t="s">
        <v>2282</v>
      </c>
      <c r="C90" s="274" t="s">
        <v>108</v>
      </c>
      <c r="D90" s="274" t="s">
        <v>2629</v>
      </c>
      <c r="E90" s="275" t="s">
        <v>108</v>
      </c>
      <c r="F90" s="275" t="s">
        <v>2177</v>
      </c>
      <c r="G90" s="274" t="s">
        <v>2252</v>
      </c>
    </row>
    <row r="91" spans="1:7" ht="15">
      <c r="A91" s="57" t="s">
        <v>2281</v>
      </c>
      <c r="B91" s="57" t="s">
        <v>2282</v>
      </c>
      <c r="C91" s="57" t="s">
        <v>2283</v>
      </c>
      <c r="D91" s="57" t="s">
        <v>2629</v>
      </c>
      <c r="E91" s="58" t="s">
        <v>2630</v>
      </c>
      <c r="F91" s="58" t="s">
        <v>2446</v>
      </c>
      <c r="G91" s="57" t="s">
        <v>2252</v>
      </c>
    </row>
    <row r="92" spans="1:7" ht="17.25">
      <c r="A92" s="274" t="s">
        <v>2330</v>
      </c>
      <c r="B92" s="274" t="s">
        <v>2282</v>
      </c>
      <c r="C92" s="274" t="s">
        <v>2331</v>
      </c>
      <c r="D92" s="274" t="s">
        <v>2629</v>
      </c>
      <c r="E92" s="275" t="s">
        <v>108</v>
      </c>
      <c r="F92" s="275" t="s">
        <v>2177</v>
      </c>
      <c r="G92" s="274" t="s">
        <v>2332</v>
      </c>
    </row>
    <row r="93" spans="1:7" ht="17.25">
      <c r="A93" s="274" t="s">
        <v>2333</v>
      </c>
      <c r="B93" s="274" t="s">
        <v>2282</v>
      </c>
      <c r="C93" s="274" t="s">
        <v>108</v>
      </c>
      <c r="D93" s="274" t="s">
        <v>2629</v>
      </c>
      <c r="E93" s="275" t="s">
        <v>108</v>
      </c>
      <c r="F93" s="274" t="s">
        <v>2177</v>
      </c>
      <c r="G93" s="274" t="s">
        <v>2252</v>
      </c>
    </row>
    <row r="94" spans="1:7" ht="17.25">
      <c r="A94" s="75" t="s">
        <v>2524</v>
      </c>
      <c r="B94" s="75"/>
      <c r="C94" s="75"/>
      <c r="D94" s="75"/>
      <c r="E94" s="76"/>
      <c r="F94" s="75"/>
      <c r="G94" s="75"/>
    </row>
    <row r="95" spans="1:7" ht="17.25">
      <c r="A95" s="274" t="s">
        <v>2335</v>
      </c>
      <c r="B95" s="274" t="s">
        <v>2336</v>
      </c>
      <c r="C95" s="274" t="s">
        <v>2337</v>
      </c>
      <c r="D95" s="274" t="s">
        <v>2629</v>
      </c>
      <c r="E95" s="275" t="s">
        <v>108</v>
      </c>
      <c r="F95" s="275" t="s">
        <v>2177</v>
      </c>
      <c r="G95" s="274" t="s">
        <v>2252</v>
      </c>
    </row>
    <row r="96" spans="1:7" ht="17.25">
      <c r="A96" s="274" t="s">
        <v>2338</v>
      </c>
      <c r="B96" s="274" t="s">
        <v>2336</v>
      </c>
      <c r="C96" s="274" t="s">
        <v>2339</v>
      </c>
      <c r="D96" s="274" t="s">
        <v>2629</v>
      </c>
      <c r="E96" s="275" t="s">
        <v>108</v>
      </c>
      <c r="F96" s="275" t="s">
        <v>2177</v>
      </c>
      <c r="G96" s="274" t="s">
        <v>2252</v>
      </c>
    </row>
    <row r="97" spans="1:7" ht="15">
      <c r="A97" s="56" t="s">
        <v>2340</v>
      </c>
      <c r="B97" s="56" t="s">
        <v>2341</v>
      </c>
      <c r="C97" s="56" t="s">
        <v>108</v>
      </c>
      <c r="D97" s="56" t="s">
        <v>2629</v>
      </c>
      <c r="E97" s="74" t="s">
        <v>108</v>
      </c>
      <c r="F97" s="74" t="s">
        <v>2177</v>
      </c>
      <c r="G97" s="56" t="s">
        <v>2342</v>
      </c>
    </row>
    <row r="98" spans="1:7" ht="17.25">
      <c r="A98" s="274" t="s">
        <v>2343</v>
      </c>
      <c r="B98" s="274" t="s">
        <v>2341</v>
      </c>
      <c r="C98" s="274" t="s">
        <v>108</v>
      </c>
      <c r="D98" s="274" t="s">
        <v>2629</v>
      </c>
      <c r="E98" s="275" t="s">
        <v>108</v>
      </c>
      <c r="F98" s="274" t="s">
        <v>2177</v>
      </c>
      <c r="G98" s="274" t="s">
        <v>2252</v>
      </c>
    </row>
    <row r="99" spans="1:7" ht="17.25">
      <c r="A99" s="75" t="s">
        <v>2525</v>
      </c>
      <c r="B99" s="75"/>
      <c r="C99" s="75"/>
      <c r="D99" s="75"/>
      <c r="E99" s="76"/>
      <c r="F99" s="75"/>
      <c r="G99" s="75"/>
    </row>
    <row r="100" spans="1:7" ht="17.25">
      <c r="A100" s="274" t="s">
        <v>2345</v>
      </c>
      <c r="B100" s="274" t="s">
        <v>2346</v>
      </c>
      <c r="C100" s="274" t="s">
        <v>108</v>
      </c>
      <c r="D100" s="274" t="s">
        <v>2629</v>
      </c>
      <c r="E100" s="275" t="s">
        <v>108</v>
      </c>
      <c r="F100" s="275" t="s">
        <v>2177</v>
      </c>
      <c r="G100" s="274" t="s">
        <v>2347</v>
      </c>
    </row>
    <row r="101" spans="1:7" ht="17.25">
      <c r="A101" s="274" t="s">
        <v>2248</v>
      </c>
      <c r="B101" s="274" t="s">
        <v>2249</v>
      </c>
      <c r="C101" s="274" t="s">
        <v>2250</v>
      </c>
      <c r="D101" s="274" t="s">
        <v>2629</v>
      </c>
      <c r="E101" s="275" t="s">
        <v>2526</v>
      </c>
      <c r="F101" s="275" t="s">
        <v>2177</v>
      </c>
      <c r="G101" s="274" t="s">
        <v>2252</v>
      </c>
    </row>
    <row r="102" spans="1:7" ht="17.25">
      <c r="A102" s="274" t="s">
        <v>2253</v>
      </c>
      <c r="B102" s="274" t="s">
        <v>2249</v>
      </c>
      <c r="C102" s="274" t="s">
        <v>2254</v>
      </c>
      <c r="D102" s="274" t="s">
        <v>2629</v>
      </c>
      <c r="E102" s="275" t="s">
        <v>2526</v>
      </c>
      <c r="F102" s="275" t="s">
        <v>2177</v>
      </c>
      <c r="G102" s="274" t="s">
        <v>2252</v>
      </c>
    </row>
    <row r="103" spans="1:7" ht="17.25">
      <c r="A103" s="274" t="s">
        <v>2255</v>
      </c>
      <c r="B103" s="274" t="s">
        <v>2249</v>
      </c>
      <c r="C103" s="274" t="s">
        <v>2254</v>
      </c>
      <c r="D103" s="274" t="s">
        <v>2629</v>
      </c>
      <c r="E103" s="275" t="s">
        <v>2526</v>
      </c>
      <c r="F103" s="275" t="s">
        <v>2177</v>
      </c>
      <c r="G103" s="274" t="s">
        <v>2252</v>
      </c>
    </row>
    <row r="104" spans="1:7" ht="15">
      <c r="A104" s="56" t="s">
        <v>2256</v>
      </c>
      <c r="B104" s="56" t="s">
        <v>2257</v>
      </c>
      <c r="C104" s="56" t="s">
        <v>2254</v>
      </c>
      <c r="D104" s="56" t="s">
        <v>2629</v>
      </c>
      <c r="E104" s="74" t="s">
        <v>2526</v>
      </c>
      <c r="F104" s="74" t="s">
        <v>2177</v>
      </c>
      <c r="G104" s="56" t="s">
        <v>2252</v>
      </c>
    </row>
    <row r="105" spans="1:7" ht="17.25">
      <c r="A105" s="274" t="s">
        <v>2258</v>
      </c>
      <c r="B105" s="274"/>
      <c r="C105" s="274" t="s">
        <v>2254</v>
      </c>
      <c r="D105" s="274" t="s">
        <v>2629</v>
      </c>
      <c r="E105" s="275" t="s">
        <v>2526</v>
      </c>
      <c r="F105" s="275" t="s">
        <v>2177</v>
      </c>
      <c r="G105" s="274" t="s">
        <v>2252</v>
      </c>
    </row>
    <row r="106" spans="1:7" ht="17.25">
      <c r="A106" s="274" t="s">
        <v>2259</v>
      </c>
      <c r="B106" s="274"/>
      <c r="C106" s="274" t="s">
        <v>2254</v>
      </c>
      <c r="D106" s="274" t="s">
        <v>2629</v>
      </c>
      <c r="E106" s="275" t="s">
        <v>2526</v>
      </c>
      <c r="F106" s="275" t="s">
        <v>2177</v>
      </c>
      <c r="G106" s="274" t="s">
        <v>2252</v>
      </c>
    </row>
    <row r="107" spans="1:7" ht="17.25">
      <c r="A107" s="274" t="s">
        <v>2260</v>
      </c>
      <c r="B107" s="274"/>
      <c r="C107" s="274" t="s">
        <v>2254</v>
      </c>
      <c r="D107" s="274" t="s">
        <v>2629</v>
      </c>
      <c r="E107" s="275" t="s">
        <v>2526</v>
      </c>
      <c r="F107" s="274" t="s">
        <v>2177</v>
      </c>
      <c r="G107" s="274" t="s">
        <v>2252</v>
      </c>
    </row>
    <row r="108" spans="1:7" ht="17.25">
      <c r="A108" s="75" t="s">
        <v>2527</v>
      </c>
      <c r="B108" s="75"/>
      <c r="C108" s="75"/>
      <c r="D108" s="75"/>
      <c r="E108" s="76"/>
      <c r="F108" s="75"/>
      <c r="G108" s="75"/>
    </row>
    <row r="109" spans="1:7" ht="15">
      <c r="A109" s="56" t="s">
        <v>2350</v>
      </c>
      <c r="B109" s="56" t="s">
        <v>2351</v>
      </c>
      <c r="C109" s="56" t="s">
        <v>108</v>
      </c>
      <c r="D109" s="56" t="s">
        <v>2629</v>
      </c>
      <c r="E109" s="74" t="s">
        <v>108</v>
      </c>
      <c r="F109" s="74" t="s">
        <v>2177</v>
      </c>
      <c r="G109" s="56" t="s">
        <v>2252</v>
      </c>
    </row>
    <row r="110" spans="1:7" ht="17.25">
      <c r="A110" s="274" t="s">
        <v>2352</v>
      </c>
      <c r="B110" s="274"/>
      <c r="C110" s="274" t="s">
        <v>2337</v>
      </c>
      <c r="D110" s="274" t="s">
        <v>2629</v>
      </c>
      <c r="E110" s="275" t="s">
        <v>108</v>
      </c>
      <c r="F110" s="275" t="s">
        <v>2177</v>
      </c>
      <c r="G110" s="274" t="s">
        <v>2252</v>
      </c>
    </row>
    <row r="111" spans="1:7" ht="15">
      <c r="A111" s="56" t="s">
        <v>2353</v>
      </c>
      <c r="B111" s="56" t="s">
        <v>2351</v>
      </c>
      <c r="C111" s="56" t="s">
        <v>2354</v>
      </c>
      <c r="D111" s="56" t="s">
        <v>2629</v>
      </c>
      <c r="E111" s="74" t="s">
        <v>108</v>
      </c>
      <c r="F111" s="74" t="s">
        <v>2177</v>
      </c>
      <c r="G111" s="56" t="s">
        <v>2355</v>
      </c>
    </row>
    <row r="112" spans="1:7" ht="17.25">
      <c r="A112" s="274" t="s">
        <v>2356</v>
      </c>
      <c r="B112" s="274" t="s">
        <v>2351</v>
      </c>
      <c r="C112" s="274" t="s">
        <v>2315</v>
      </c>
      <c r="D112" s="274" t="s">
        <v>2629</v>
      </c>
      <c r="E112" s="275" t="s">
        <v>2315</v>
      </c>
      <c r="F112" s="274" t="s">
        <v>2177</v>
      </c>
      <c r="G112" s="274" t="s">
        <v>2252</v>
      </c>
    </row>
    <row r="113" spans="1:7" ht="17.25">
      <c r="A113" s="274" t="s">
        <v>2357</v>
      </c>
      <c r="B113" s="274" t="s">
        <v>2358</v>
      </c>
      <c r="C113" s="274" t="s">
        <v>108</v>
      </c>
      <c r="D113" s="274" t="s">
        <v>2629</v>
      </c>
      <c r="E113" s="275" t="s">
        <v>108</v>
      </c>
      <c r="F113" s="275" t="s">
        <v>2177</v>
      </c>
      <c r="G113" s="274" t="s">
        <v>2252</v>
      </c>
    </row>
    <row r="114" spans="1:7" ht="17.25">
      <c r="A114" s="75" t="s">
        <v>2528</v>
      </c>
      <c r="B114" s="75"/>
      <c r="C114" s="75"/>
      <c r="D114" s="75"/>
      <c r="E114" s="76"/>
      <c r="F114" s="75"/>
      <c r="G114" s="75"/>
    </row>
    <row r="115" spans="1:7" ht="15">
      <c r="A115" s="56" t="s">
        <v>2363</v>
      </c>
      <c r="B115" s="56"/>
      <c r="C115" s="56" t="s">
        <v>2315</v>
      </c>
      <c r="D115" s="56" t="s">
        <v>2629</v>
      </c>
      <c r="E115" s="74" t="s">
        <v>2315</v>
      </c>
      <c r="F115" s="74" t="s">
        <v>2177</v>
      </c>
      <c r="G115" s="56" t="s">
        <v>2252</v>
      </c>
    </row>
    <row r="116" spans="1:7" ht="15">
      <c r="A116" s="56" t="s">
        <v>2294</v>
      </c>
      <c r="B116" s="56"/>
      <c r="C116" s="56" t="s">
        <v>2295</v>
      </c>
      <c r="D116" s="56" t="s">
        <v>2629</v>
      </c>
      <c r="E116" s="74" t="s">
        <v>2315</v>
      </c>
      <c r="F116" s="74" t="s">
        <v>2177</v>
      </c>
      <c r="G116" s="56" t="s">
        <v>2252</v>
      </c>
    </row>
    <row r="117" spans="1:7" ht="17.25">
      <c r="A117" s="274" t="s">
        <v>2364</v>
      </c>
      <c r="B117" s="274" t="s">
        <v>2351</v>
      </c>
      <c r="C117" s="274" t="s">
        <v>108</v>
      </c>
      <c r="D117" s="274" t="s">
        <v>2629</v>
      </c>
      <c r="E117" s="275" t="s">
        <v>108</v>
      </c>
      <c r="F117" s="275" t="s">
        <v>2177</v>
      </c>
      <c r="G117" s="274" t="s">
        <v>2252</v>
      </c>
    </row>
    <row r="118" spans="1:7" ht="17.25">
      <c r="A118" s="274" t="s">
        <v>2365</v>
      </c>
      <c r="B118" s="274" t="s">
        <v>2351</v>
      </c>
      <c r="C118" s="274" t="s">
        <v>108</v>
      </c>
      <c r="D118" s="274" t="s">
        <v>2629</v>
      </c>
      <c r="E118" s="275" t="s">
        <v>108</v>
      </c>
      <c r="F118" s="275" t="s">
        <v>2177</v>
      </c>
      <c r="G118" s="274" t="s">
        <v>2252</v>
      </c>
    </row>
    <row r="119" spans="1:7" ht="17.25">
      <c r="A119" s="274" t="s">
        <v>2366</v>
      </c>
      <c r="B119" s="274" t="s">
        <v>2257</v>
      </c>
      <c r="C119" s="274" t="s">
        <v>108</v>
      </c>
      <c r="D119" s="274" t="s">
        <v>2629</v>
      </c>
      <c r="E119" s="275" t="s">
        <v>108</v>
      </c>
      <c r="F119" s="275" t="s">
        <v>2177</v>
      </c>
      <c r="G119" s="274" t="s">
        <v>2252</v>
      </c>
    </row>
    <row r="120" spans="1:7" ht="17.25">
      <c r="A120" s="274" t="s">
        <v>2367</v>
      </c>
      <c r="B120" s="274" t="s">
        <v>2368</v>
      </c>
      <c r="C120" s="274" t="s">
        <v>2315</v>
      </c>
      <c r="D120" s="274" t="s">
        <v>2629</v>
      </c>
      <c r="E120" s="275" t="s">
        <v>2315</v>
      </c>
      <c r="F120" s="275" t="s">
        <v>2177</v>
      </c>
      <c r="G120" s="274" t="s">
        <v>2252</v>
      </c>
    </row>
    <row r="121" spans="1:7" ht="17.25">
      <c r="A121" s="274" t="s">
        <v>2369</v>
      </c>
      <c r="B121" s="274" t="s">
        <v>2368</v>
      </c>
      <c r="C121" s="274" t="s">
        <v>2315</v>
      </c>
      <c r="D121" s="274" t="s">
        <v>2629</v>
      </c>
      <c r="E121" s="275" t="s">
        <v>2315</v>
      </c>
      <c r="F121" s="274" t="s">
        <v>2177</v>
      </c>
      <c r="G121" s="274" t="s">
        <v>2252</v>
      </c>
    </row>
    <row r="122" spans="1:7" ht="17.25">
      <c r="A122" s="274" t="s">
        <v>2370</v>
      </c>
      <c r="B122" s="274" t="s">
        <v>2368</v>
      </c>
      <c r="C122" s="274" t="s">
        <v>108</v>
      </c>
      <c r="D122" s="274" t="s">
        <v>2629</v>
      </c>
      <c r="E122" s="275" t="s">
        <v>108</v>
      </c>
      <c r="F122" s="275" t="s">
        <v>2177</v>
      </c>
      <c r="G122" s="274" t="s">
        <v>2371</v>
      </c>
    </row>
    <row r="123" spans="1:7" ht="17.25">
      <c r="A123" s="75" t="s">
        <v>2529</v>
      </c>
      <c r="B123" s="75"/>
      <c r="C123" s="75"/>
      <c r="D123" s="75"/>
      <c r="E123" s="76"/>
      <c r="F123" s="75"/>
      <c r="G123" s="75"/>
    </row>
    <row r="124" spans="1:7" ht="15">
      <c r="A124" s="56" t="s">
        <v>2373</v>
      </c>
      <c r="B124" s="56" t="s">
        <v>2374</v>
      </c>
      <c r="C124" s="56" t="s">
        <v>108</v>
      </c>
      <c r="D124" s="56" t="s">
        <v>2629</v>
      </c>
      <c r="E124" s="74" t="s">
        <v>108</v>
      </c>
      <c r="F124" s="74" t="s">
        <v>2177</v>
      </c>
      <c r="G124" s="56" t="s">
        <v>2252</v>
      </c>
    </row>
    <row r="125" spans="1:7" ht="17.25">
      <c r="A125" s="274" t="s">
        <v>2375</v>
      </c>
      <c r="B125" s="274" t="s">
        <v>2376</v>
      </c>
      <c r="C125" s="274" t="s">
        <v>108</v>
      </c>
      <c r="D125" s="274" t="s">
        <v>2629</v>
      </c>
      <c r="E125" s="275" t="s">
        <v>108</v>
      </c>
      <c r="F125" s="274" t="s">
        <v>2177</v>
      </c>
      <c r="G125" s="274" t="s">
        <v>2252</v>
      </c>
    </row>
    <row r="126" spans="1:7" ht="17.25">
      <c r="A126" s="274" t="s">
        <v>2377</v>
      </c>
      <c r="B126" s="274" t="s">
        <v>2376</v>
      </c>
      <c r="C126" s="274" t="s">
        <v>108</v>
      </c>
      <c r="D126" s="274" t="s">
        <v>2629</v>
      </c>
      <c r="E126" s="275" t="s">
        <v>108</v>
      </c>
      <c r="F126" s="275" t="s">
        <v>2177</v>
      </c>
      <c r="G126" s="274" t="s">
        <v>2252</v>
      </c>
    </row>
    <row r="127" spans="1:7" ht="17.25">
      <c r="A127" s="75" t="s">
        <v>2530</v>
      </c>
      <c r="B127" s="75"/>
      <c r="C127" s="75"/>
      <c r="D127" s="75"/>
      <c r="E127" s="76"/>
      <c r="F127" s="75"/>
      <c r="G127" s="75"/>
    </row>
    <row r="128" spans="1:7" ht="17.25">
      <c r="A128" s="274" t="s">
        <v>2379</v>
      </c>
      <c r="B128" s="274" t="s">
        <v>2263</v>
      </c>
      <c r="C128" s="274" t="s">
        <v>2315</v>
      </c>
      <c r="D128" s="274" t="s">
        <v>2629</v>
      </c>
      <c r="E128" s="275" t="s">
        <v>2315</v>
      </c>
      <c r="F128" s="275" t="s">
        <v>2177</v>
      </c>
      <c r="G128" s="274" t="s">
        <v>2380</v>
      </c>
    </row>
    <row r="129" spans="1:7" ht="17.25">
      <c r="A129" s="274" t="s">
        <v>2381</v>
      </c>
      <c r="B129" s="274" t="s">
        <v>2301</v>
      </c>
      <c r="C129" s="274" t="s">
        <v>108</v>
      </c>
      <c r="D129" s="274" t="s">
        <v>2629</v>
      </c>
      <c r="E129" s="275" t="s">
        <v>108</v>
      </c>
      <c r="F129" s="275" t="s">
        <v>2177</v>
      </c>
      <c r="G129" s="274" t="s">
        <v>2382</v>
      </c>
    </row>
    <row r="130" spans="1:7" ht="17.25">
      <c r="A130" s="274" t="s">
        <v>2383</v>
      </c>
      <c r="B130" s="274" t="s">
        <v>2298</v>
      </c>
      <c r="C130" s="274" t="s">
        <v>108</v>
      </c>
      <c r="D130" s="274" t="s">
        <v>2629</v>
      </c>
      <c r="E130" s="275" t="s">
        <v>108</v>
      </c>
      <c r="F130" s="274" t="s">
        <v>2177</v>
      </c>
      <c r="G130" s="274" t="s">
        <v>2384</v>
      </c>
    </row>
    <row r="131" spans="1:7" ht="17.25">
      <c r="A131" s="274" t="s">
        <v>2385</v>
      </c>
      <c r="B131" s="274" t="s">
        <v>2386</v>
      </c>
      <c r="C131" s="274" t="s">
        <v>108</v>
      </c>
      <c r="D131" s="274" t="s">
        <v>2629</v>
      </c>
      <c r="E131" s="275" t="s">
        <v>108</v>
      </c>
      <c r="F131" s="275" t="s">
        <v>2177</v>
      </c>
      <c r="G131" s="274" t="s">
        <v>2387</v>
      </c>
    </row>
    <row r="132" spans="1:7" ht="17.25">
      <c r="A132" s="75" t="s">
        <v>2531</v>
      </c>
      <c r="B132" s="75"/>
      <c r="C132" s="75"/>
      <c r="D132" s="75"/>
      <c r="E132" s="76"/>
      <c r="F132" s="75"/>
      <c r="G132" s="75"/>
    </row>
    <row r="133" spans="1:7" ht="15">
      <c r="A133" s="56" t="s">
        <v>2389</v>
      </c>
      <c r="B133" s="56" t="s">
        <v>2301</v>
      </c>
      <c r="C133" s="56" t="s">
        <v>108</v>
      </c>
      <c r="D133" s="56" t="s">
        <v>2629</v>
      </c>
      <c r="E133" s="74" t="s">
        <v>108</v>
      </c>
      <c r="F133" s="74" t="s">
        <v>2177</v>
      </c>
      <c r="G133" s="56" t="s">
        <v>2390</v>
      </c>
    </row>
    <row r="134" spans="1:7" ht="17.25">
      <c r="A134" s="274" t="s">
        <v>2391</v>
      </c>
      <c r="B134" s="274" t="s">
        <v>2392</v>
      </c>
      <c r="C134" s="274" t="s">
        <v>108</v>
      </c>
      <c r="D134" s="274" t="s">
        <v>2629</v>
      </c>
      <c r="E134" s="275" t="s">
        <v>108</v>
      </c>
      <c r="F134" s="275" t="s">
        <v>2177</v>
      </c>
      <c r="G134" s="274" t="s">
        <v>2393</v>
      </c>
    </row>
    <row r="135" spans="1:7" ht="17.25">
      <c r="A135" s="274" t="s">
        <v>2394</v>
      </c>
      <c r="B135" s="274" t="s">
        <v>2395</v>
      </c>
      <c r="C135" s="274" t="s">
        <v>108</v>
      </c>
      <c r="D135" s="274" t="s">
        <v>2629</v>
      </c>
      <c r="E135" s="275" t="s">
        <v>108</v>
      </c>
      <c r="F135" s="275" t="s">
        <v>2177</v>
      </c>
      <c r="G135" s="274" t="s">
        <v>2396</v>
      </c>
    </row>
    <row r="136" spans="1:7" ht="17.25">
      <c r="A136" s="274" t="s">
        <v>2397</v>
      </c>
      <c r="B136" s="274" t="s">
        <v>2398</v>
      </c>
      <c r="C136" s="274" t="s">
        <v>2315</v>
      </c>
      <c r="D136" s="274" t="s">
        <v>2629</v>
      </c>
      <c r="E136" s="275" t="s">
        <v>2315</v>
      </c>
      <c r="F136" s="274" t="s">
        <v>2177</v>
      </c>
      <c r="G136" s="274" t="s">
        <v>2252</v>
      </c>
    </row>
    <row r="137" spans="1:7" ht="17.25">
      <c r="A137" s="274" t="s">
        <v>2399</v>
      </c>
      <c r="B137" s="274" t="s">
        <v>2398</v>
      </c>
      <c r="C137" s="274" t="s">
        <v>2400</v>
      </c>
      <c r="D137" s="274" t="s">
        <v>2629</v>
      </c>
      <c r="E137" s="275" t="s">
        <v>108</v>
      </c>
      <c r="F137" s="275" t="s">
        <v>2177</v>
      </c>
      <c r="G137" s="274" t="s">
        <v>2252</v>
      </c>
    </row>
    <row r="138" spans="1:7" ht="17.25">
      <c r="A138" s="75" t="s">
        <v>2532</v>
      </c>
      <c r="B138" s="75"/>
      <c r="C138" s="75"/>
      <c r="D138" s="75"/>
      <c r="E138" s="76"/>
      <c r="F138" s="75"/>
      <c r="G138" s="75"/>
    </row>
    <row r="139" spans="1:7" ht="17.25">
      <c r="A139" s="274" t="s">
        <v>2402</v>
      </c>
      <c r="B139" s="274" t="s">
        <v>2403</v>
      </c>
      <c r="C139" s="274" t="s">
        <v>108</v>
      </c>
      <c r="D139" s="274" t="s">
        <v>2629</v>
      </c>
      <c r="E139" s="275" t="s">
        <v>108</v>
      </c>
      <c r="F139" s="274" t="s">
        <v>2177</v>
      </c>
      <c r="G139" s="274" t="s">
        <v>2252</v>
      </c>
    </row>
    <row r="140" spans="1:7" ht="15">
      <c r="A140" s="56" t="s">
        <v>2404</v>
      </c>
      <c r="B140" s="56" t="s">
        <v>2403</v>
      </c>
      <c r="C140" s="56" t="s">
        <v>2315</v>
      </c>
      <c r="D140" s="56" t="s">
        <v>2629</v>
      </c>
      <c r="E140" s="74" t="s">
        <v>2315</v>
      </c>
      <c r="F140" s="74" t="s">
        <v>2177</v>
      </c>
      <c r="G140" s="56" t="s">
        <v>2405</v>
      </c>
    </row>
    <row r="141" spans="1:7" ht="17.25">
      <c r="A141" s="274" t="s">
        <v>2406</v>
      </c>
      <c r="B141" s="274" t="s">
        <v>2407</v>
      </c>
      <c r="C141" s="274" t="s">
        <v>2408</v>
      </c>
      <c r="D141" s="274" t="s">
        <v>2629</v>
      </c>
      <c r="E141" s="275" t="s">
        <v>2631</v>
      </c>
      <c r="F141" s="275" t="s">
        <v>2178</v>
      </c>
      <c r="G141" s="274" t="s">
        <v>2410</v>
      </c>
    </row>
    <row r="142" spans="1:7" ht="15">
      <c r="A142" s="56" t="s">
        <v>2411</v>
      </c>
      <c r="B142" s="56" t="s">
        <v>2407</v>
      </c>
      <c r="C142" s="56" t="s">
        <v>2331</v>
      </c>
      <c r="D142" s="56" t="s">
        <v>2629</v>
      </c>
      <c r="E142" s="74" t="s">
        <v>108</v>
      </c>
      <c r="F142" s="74" t="s">
        <v>2177</v>
      </c>
      <c r="G142" s="56" t="s">
        <v>2412</v>
      </c>
    </row>
    <row r="143" spans="1:7" ht="17.25">
      <c r="A143" s="274" t="s">
        <v>2413</v>
      </c>
      <c r="B143" s="274" t="s">
        <v>2403</v>
      </c>
      <c r="C143" s="274" t="s">
        <v>2414</v>
      </c>
      <c r="D143" s="274" t="s">
        <v>2629</v>
      </c>
      <c r="E143" s="275" t="s">
        <v>108</v>
      </c>
      <c r="F143" s="274" t="s">
        <v>2177</v>
      </c>
      <c r="G143" s="274" t="s">
        <v>2252</v>
      </c>
    </row>
    <row r="144" spans="1:7" ht="17.25">
      <c r="A144" s="274" t="s">
        <v>2415</v>
      </c>
      <c r="B144" s="274" t="s">
        <v>2403</v>
      </c>
      <c r="C144" s="274" t="s">
        <v>2416</v>
      </c>
      <c r="D144" s="274" t="s">
        <v>2629</v>
      </c>
      <c r="E144" s="275" t="s">
        <v>108</v>
      </c>
      <c r="F144" s="275" t="s">
        <v>2177</v>
      </c>
      <c r="G144" s="274" t="s">
        <v>2417</v>
      </c>
    </row>
    <row r="145" spans="1:7" ht="17.25">
      <c r="A145" s="75" t="s">
        <v>2533</v>
      </c>
      <c r="B145" s="75"/>
      <c r="C145" s="75"/>
      <c r="D145" s="75"/>
      <c r="E145" s="76"/>
      <c r="F145" s="75"/>
      <c r="G145" s="75"/>
    </row>
    <row r="146" spans="1:7" ht="17.25">
      <c r="A146" s="274" t="s">
        <v>2419</v>
      </c>
      <c r="B146" s="274" t="s">
        <v>2287</v>
      </c>
      <c r="C146" s="274" t="s">
        <v>2420</v>
      </c>
      <c r="D146" s="274" t="s">
        <v>2629</v>
      </c>
      <c r="E146" s="275" t="s">
        <v>108</v>
      </c>
      <c r="F146" s="275" t="s">
        <v>2177</v>
      </c>
      <c r="G146" s="274" t="s">
        <v>2421</v>
      </c>
    </row>
    <row r="147" spans="1:7" ht="17.25">
      <c r="A147" s="274" t="s">
        <v>2422</v>
      </c>
      <c r="B147" s="274" t="s">
        <v>2423</v>
      </c>
      <c r="C147" s="274" t="s">
        <v>2424</v>
      </c>
      <c r="D147" s="274" t="s">
        <v>2629</v>
      </c>
      <c r="E147" s="275" t="s">
        <v>108</v>
      </c>
      <c r="F147" s="275" t="s">
        <v>2177</v>
      </c>
      <c r="G147" s="274" t="s">
        <v>2425</v>
      </c>
    </row>
    <row r="148" spans="1:7" ht="15">
      <c r="A148" s="56" t="s">
        <v>2274</v>
      </c>
      <c r="B148" s="56"/>
      <c r="C148" s="56" t="s">
        <v>2254</v>
      </c>
      <c r="D148" s="56" t="s">
        <v>2629</v>
      </c>
      <c r="E148" s="74" t="s">
        <v>2526</v>
      </c>
      <c r="F148" s="74" t="s">
        <v>2177</v>
      </c>
      <c r="G148" s="56" t="s">
        <v>2252</v>
      </c>
    </row>
    <row r="149" spans="1:7" ht="17.25">
      <c r="A149" s="274" t="s">
        <v>2426</v>
      </c>
      <c r="B149" s="274" t="s">
        <v>2272</v>
      </c>
      <c r="C149" s="274" t="s">
        <v>2427</v>
      </c>
      <c r="D149" s="274" t="s">
        <v>2629</v>
      </c>
      <c r="E149" s="275" t="s">
        <v>2427</v>
      </c>
      <c r="F149" s="275" t="s">
        <v>2177</v>
      </c>
      <c r="G149" s="274" t="s">
        <v>2428</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7" t="s">
        <v>2632</v>
      </c>
      <c r="B1" s="347"/>
      <c r="C1" s="347"/>
      <c r="D1" s="347"/>
      <c r="E1" s="347"/>
      <c r="F1" s="347"/>
      <c r="G1" s="347"/>
      <c r="H1" s="347"/>
      <c r="I1" s="347"/>
    </row>
    <row r="2" spans="1:9" ht="47.25" customHeight="1">
      <c r="A2" s="348" t="s">
        <v>2633</v>
      </c>
      <c r="B2" s="348"/>
      <c r="C2" s="348"/>
      <c r="D2" s="348"/>
      <c r="E2" s="348"/>
      <c r="F2" s="348"/>
      <c r="G2" s="348"/>
      <c r="H2" s="348"/>
      <c r="I2" s="348"/>
    </row>
    <row r="3" spans="1:9" ht="15" customHeight="1">
      <c r="A3" s="61" t="s">
        <v>2234</v>
      </c>
      <c r="B3" s="59" t="s">
        <v>2235</v>
      </c>
      <c r="C3" s="59" t="s">
        <v>2236</v>
      </c>
      <c r="D3" s="59" t="s">
        <v>2237</v>
      </c>
      <c r="E3" s="59" t="s">
        <v>2238</v>
      </c>
      <c r="F3" s="59" t="s">
        <v>2239</v>
      </c>
      <c r="G3" s="59" t="s">
        <v>1455</v>
      </c>
      <c r="H3" s="59"/>
      <c r="I3" s="59"/>
    </row>
    <row r="4" spans="1:9" ht="15" customHeight="1">
      <c r="A4" s="75" t="s">
        <v>2240</v>
      </c>
      <c r="B4" s="75"/>
      <c r="C4" s="75"/>
      <c r="D4" s="75"/>
      <c r="E4" s="76"/>
      <c r="F4" s="75"/>
      <c r="G4" s="75"/>
    </row>
    <row r="5" spans="1:9" ht="15" customHeight="1">
      <c r="A5" s="57" t="s">
        <v>2276</v>
      </c>
      <c r="B5" s="57" t="s">
        <v>2277</v>
      </c>
      <c r="C5" s="57" t="s">
        <v>1565</v>
      </c>
      <c r="D5" s="57" t="s">
        <v>2634</v>
      </c>
      <c r="E5" s="58" t="s">
        <v>108</v>
      </c>
      <c r="F5" s="58" t="s">
        <v>2635</v>
      </c>
      <c r="G5" s="57" t="s">
        <v>2279</v>
      </c>
    </row>
    <row r="6" spans="1:9" ht="15" customHeight="1">
      <c r="A6" s="57" t="s">
        <v>2309</v>
      </c>
      <c r="B6" s="57"/>
      <c r="C6" s="57" t="s">
        <v>2310</v>
      </c>
      <c r="D6" s="57" t="s">
        <v>2634</v>
      </c>
      <c r="E6" s="58" t="s">
        <v>2310</v>
      </c>
      <c r="F6" s="58" t="s">
        <v>2635</v>
      </c>
      <c r="G6" s="57" t="s">
        <v>2252</v>
      </c>
    </row>
    <row r="7" spans="1:9" ht="15" customHeight="1">
      <c r="A7" s="272" t="s">
        <v>2312</v>
      </c>
      <c r="B7" s="272" t="s">
        <v>2242</v>
      </c>
      <c r="C7" s="272" t="s">
        <v>108</v>
      </c>
      <c r="D7" s="272" t="s">
        <v>2634</v>
      </c>
      <c r="E7" s="273" t="s">
        <v>108</v>
      </c>
      <c r="F7" s="273" t="s">
        <v>2635</v>
      </c>
      <c r="G7" s="272" t="s">
        <v>2252</v>
      </c>
    </row>
    <row r="8" spans="1:9" ht="15" customHeight="1">
      <c r="A8" s="57" t="s">
        <v>2313</v>
      </c>
      <c r="B8" s="57" t="s">
        <v>2314</v>
      </c>
      <c r="C8" s="57" t="s">
        <v>2315</v>
      </c>
      <c r="D8" s="57" t="s">
        <v>2634</v>
      </c>
      <c r="E8" s="58" t="s">
        <v>2315</v>
      </c>
      <c r="F8" s="58" t="s">
        <v>2635</v>
      </c>
      <c r="G8" s="57" t="s">
        <v>2316</v>
      </c>
    </row>
    <row r="9" spans="1:9" ht="15" customHeight="1">
      <c r="A9" s="272" t="s">
        <v>2317</v>
      </c>
      <c r="B9" s="272"/>
      <c r="C9" s="272" t="s">
        <v>108</v>
      </c>
      <c r="D9" s="272" t="s">
        <v>2634</v>
      </c>
      <c r="E9" s="273" t="s">
        <v>108</v>
      </c>
      <c r="F9" s="273" t="s">
        <v>2635</v>
      </c>
      <c r="G9" s="272" t="s">
        <v>2252</v>
      </c>
    </row>
    <row r="10" spans="1:9" ht="15" customHeight="1">
      <c r="A10" s="75" t="s">
        <v>2636</v>
      </c>
      <c r="B10" s="75"/>
      <c r="C10" s="75"/>
      <c r="D10" s="75"/>
      <c r="E10" s="76"/>
      <c r="F10" s="75"/>
      <c r="G10" s="75"/>
    </row>
    <row r="11" spans="1:9" ht="15" customHeight="1">
      <c r="A11" s="57" t="s">
        <v>2319</v>
      </c>
      <c r="B11" s="57" t="s">
        <v>2249</v>
      </c>
      <c r="C11" s="57" t="s">
        <v>108</v>
      </c>
      <c r="D11" s="57" t="s">
        <v>2634</v>
      </c>
      <c r="E11" s="58" t="s">
        <v>108</v>
      </c>
      <c r="F11" s="58" t="s">
        <v>2635</v>
      </c>
      <c r="G11" s="57" t="s">
        <v>2252</v>
      </c>
    </row>
    <row r="12" spans="1:9" ht="15" customHeight="1">
      <c r="A12" s="272" t="s">
        <v>2320</v>
      </c>
      <c r="B12" s="272" t="s">
        <v>2321</v>
      </c>
      <c r="C12" s="272" t="s">
        <v>108</v>
      </c>
      <c r="D12" s="272" t="s">
        <v>2634</v>
      </c>
      <c r="E12" s="273" t="s">
        <v>108</v>
      </c>
      <c r="F12" s="273" t="s">
        <v>2635</v>
      </c>
      <c r="G12" s="272" t="s">
        <v>2322</v>
      </c>
    </row>
    <row r="13" spans="1:9" ht="15" customHeight="1">
      <c r="A13" s="57" t="s">
        <v>2323</v>
      </c>
      <c r="B13" s="57" t="s">
        <v>2321</v>
      </c>
      <c r="C13" s="57" t="s">
        <v>108</v>
      </c>
      <c r="D13" s="57" t="s">
        <v>2634</v>
      </c>
      <c r="E13" s="58" t="s">
        <v>108</v>
      </c>
      <c r="F13" s="58" t="s">
        <v>2635</v>
      </c>
      <c r="G13" s="57" t="s">
        <v>2252</v>
      </c>
    </row>
    <row r="14" spans="1:9" ht="15" customHeight="1">
      <c r="A14" s="272" t="s">
        <v>2324</v>
      </c>
      <c r="B14" s="272" t="s">
        <v>2325</v>
      </c>
      <c r="C14" s="272" t="s">
        <v>108</v>
      </c>
      <c r="D14" s="272" t="s">
        <v>2634</v>
      </c>
      <c r="E14" s="273" t="s">
        <v>108</v>
      </c>
      <c r="F14" s="273" t="s">
        <v>2635</v>
      </c>
      <c r="G14" s="272" t="s">
        <v>2326</v>
      </c>
    </row>
    <row r="15" spans="1:9" ht="15" customHeight="1">
      <c r="A15" s="75" t="s">
        <v>2637</v>
      </c>
      <c r="B15" s="75"/>
      <c r="C15" s="75"/>
      <c r="D15" s="75"/>
      <c r="E15" s="76"/>
      <c r="F15" s="75"/>
      <c r="G15" s="75"/>
    </row>
    <row r="16" spans="1:9" ht="15" customHeight="1">
      <c r="A16" s="57" t="s">
        <v>2328</v>
      </c>
      <c r="B16" s="57" t="s">
        <v>2282</v>
      </c>
      <c r="C16" s="57" t="s">
        <v>108</v>
      </c>
      <c r="D16" s="57" t="s">
        <v>2634</v>
      </c>
      <c r="E16" s="58" t="s">
        <v>108</v>
      </c>
      <c r="F16" s="58" t="s">
        <v>2635</v>
      </c>
      <c r="G16" s="57" t="s">
        <v>2252</v>
      </c>
    </row>
    <row r="17" spans="1:7" ht="15" customHeight="1">
      <c r="A17" s="57" t="s">
        <v>2281</v>
      </c>
      <c r="B17" s="57" t="s">
        <v>2282</v>
      </c>
      <c r="C17" s="57" t="s">
        <v>2283</v>
      </c>
      <c r="D17" s="57" t="s">
        <v>2634</v>
      </c>
      <c r="E17" s="58" t="s">
        <v>2630</v>
      </c>
      <c r="F17" s="58" t="s">
        <v>2635</v>
      </c>
      <c r="G17" s="57" t="s">
        <v>2252</v>
      </c>
    </row>
    <row r="18" spans="1:7" ht="15" customHeight="1">
      <c r="A18" s="57" t="s">
        <v>2330</v>
      </c>
      <c r="B18" s="57" t="s">
        <v>2282</v>
      </c>
      <c r="C18" s="57" t="s">
        <v>2331</v>
      </c>
      <c r="D18" s="57" t="s">
        <v>2634</v>
      </c>
      <c r="E18" s="58" t="s">
        <v>108</v>
      </c>
      <c r="F18" s="58" t="s">
        <v>2635</v>
      </c>
      <c r="G18" s="57" t="s">
        <v>2332</v>
      </c>
    </row>
    <row r="19" spans="1:7" ht="15" customHeight="1">
      <c r="A19" s="57" t="s">
        <v>2333</v>
      </c>
      <c r="B19" s="57" t="s">
        <v>2282</v>
      </c>
      <c r="C19" s="57" t="s">
        <v>108</v>
      </c>
      <c r="D19" s="57" t="s">
        <v>2634</v>
      </c>
      <c r="E19" s="58" t="s">
        <v>108</v>
      </c>
      <c r="F19" s="58" t="s">
        <v>2635</v>
      </c>
      <c r="G19" s="57" t="s">
        <v>2252</v>
      </c>
    </row>
    <row r="20" spans="1:7" ht="15" customHeight="1">
      <c r="A20" s="75" t="s">
        <v>2638</v>
      </c>
      <c r="B20" s="75"/>
      <c r="C20" s="75"/>
      <c r="D20" s="75"/>
      <c r="E20" s="76"/>
      <c r="F20" s="75"/>
      <c r="G20" s="75"/>
    </row>
    <row r="21" spans="1:7" ht="15" customHeight="1">
      <c r="A21" s="272" t="s">
        <v>2335</v>
      </c>
      <c r="B21" s="272" t="s">
        <v>2336</v>
      </c>
      <c r="C21" s="272" t="s">
        <v>2337</v>
      </c>
      <c r="D21" s="272" t="s">
        <v>2634</v>
      </c>
      <c r="E21" s="273" t="s">
        <v>108</v>
      </c>
      <c r="F21" s="273" t="s">
        <v>2635</v>
      </c>
      <c r="G21" s="272" t="s">
        <v>2252</v>
      </c>
    </row>
    <row r="22" spans="1:7" ht="15" customHeight="1">
      <c r="A22" s="57" t="s">
        <v>2338</v>
      </c>
      <c r="B22" s="57" t="s">
        <v>2336</v>
      </c>
      <c r="C22" s="57" t="s">
        <v>2339</v>
      </c>
      <c r="D22" s="57" t="s">
        <v>2634</v>
      </c>
      <c r="E22" s="58" t="s">
        <v>108</v>
      </c>
      <c r="F22" s="58" t="s">
        <v>2635</v>
      </c>
      <c r="G22" s="57" t="s">
        <v>2252</v>
      </c>
    </row>
    <row r="23" spans="1:7" ht="15" customHeight="1">
      <c r="A23" s="57" t="s">
        <v>2340</v>
      </c>
      <c r="B23" s="57" t="s">
        <v>2341</v>
      </c>
      <c r="C23" s="57" t="s">
        <v>108</v>
      </c>
      <c r="D23" s="57" t="s">
        <v>2634</v>
      </c>
      <c r="E23" s="58" t="s">
        <v>108</v>
      </c>
      <c r="F23" s="58" t="s">
        <v>2635</v>
      </c>
      <c r="G23" s="57" t="s">
        <v>2342</v>
      </c>
    </row>
    <row r="24" spans="1:7" ht="15" customHeight="1">
      <c r="A24" s="57" t="s">
        <v>2343</v>
      </c>
      <c r="B24" s="57" t="s">
        <v>2341</v>
      </c>
      <c r="C24" s="57" t="s">
        <v>108</v>
      </c>
      <c r="D24" s="57" t="s">
        <v>2634</v>
      </c>
      <c r="E24" s="58" t="s">
        <v>108</v>
      </c>
      <c r="F24" s="58" t="s">
        <v>2635</v>
      </c>
      <c r="G24" s="57" t="s">
        <v>2252</v>
      </c>
    </row>
    <row r="25" spans="1:7" ht="15" customHeight="1">
      <c r="A25" s="75" t="s">
        <v>2247</v>
      </c>
      <c r="B25" s="75"/>
      <c r="C25" s="75"/>
      <c r="D25" s="75"/>
      <c r="E25" s="76"/>
      <c r="F25" s="75"/>
      <c r="G25" s="75"/>
    </row>
    <row r="26" spans="1:7" ht="15" customHeight="1">
      <c r="A26" s="57" t="s">
        <v>2345</v>
      </c>
      <c r="B26" s="57" t="s">
        <v>2346</v>
      </c>
      <c r="C26" s="57" t="s">
        <v>108</v>
      </c>
      <c r="D26" s="57" t="s">
        <v>2634</v>
      </c>
      <c r="E26" s="58" t="s">
        <v>108</v>
      </c>
      <c r="F26" s="58" t="s">
        <v>2635</v>
      </c>
      <c r="G26" s="57" t="s">
        <v>2347</v>
      </c>
    </row>
    <row r="27" spans="1:7" ht="15" customHeight="1">
      <c r="A27" s="272" t="s">
        <v>2248</v>
      </c>
      <c r="B27" s="272" t="s">
        <v>2249</v>
      </c>
      <c r="C27" s="272" t="s">
        <v>2250</v>
      </c>
      <c r="D27" s="272" t="s">
        <v>2634</v>
      </c>
      <c r="E27" s="273" t="s">
        <v>2526</v>
      </c>
      <c r="F27" s="273" t="s">
        <v>2635</v>
      </c>
      <c r="G27" s="272" t="s">
        <v>2252</v>
      </c>
    </row>
    <row r="28" spans="1:7" ht="15" customHeight="1">
      <c r="A28" s="57" t="s">
        <v>2253</v>
      </c>
      <c r="B28" s="57" t="s">
        <v>2249</v>
      </c>
      <c r="C28" s="57" t="s">
        <v>2254</v>
      </c>
      <c r="D28" s="57" t="s">
        <v>2634</v>
      </c>
      <c r="E28" s="58" t="s">
        <v>2526</v>
      </c>
      <c r="F28" s="58" t="s">
        <v>2635</v>
      </c>
      <c r="G28" s="57" t="s">
        <v>2252</v>
      </c>
    </row>
    <row r="29" spans="1:7" ht="15" customHeight="1">
      <c r="A29" s="57" t="s">
        <v>2255</v>
      </c>
      <c r="B29" s="57" t="s">
        <v>2249</v>
      </c>
      <c r="C29" s="57" t="s">
        <v>2254</v>
      </c>
      <c r="D29" s="57" t="s">
        <v>2634</v>
      </c>
      <c r="E29" s="58" t="s">
        <v>2526</v>
      </c>
      <c r="F29" s="58" t="s">
        <v>2635</v>
      </c>
      <c r="G29" s="57" t="s">
        <v>2252</v>
      </c>
    </row>
    <row r="30" spans="1:7" ht="15" customHeight="1">
      <c r="A30" s="57" t="s">
        <v>2256</v>
      </c>
      <c r="B30" s="57" t="s">
        <v>2257</v>
      </c>
      <c r="C30" s="57" t="s">
        <v>2254</v>
      </c>
      <c r="D30" s="57" t="s">
        <v>2634</v>
      </c>
      <c r="E30" s="58" t="s">
        <v>2526</v>
      </c>
      <c r="F30" s="58" t="s">
        <v>2635</v>
      </c>
      <c r="G30" s="57" t="s">
        <v>2252</v>
      </c>
    </row>
    <row r="31" spans="1:7" ht="15" customHeight="1">
      <c r="A31" s="57" t="s">
        <v>2258</v>
      </c>
      <c r="B31" s="57"/>
      <c r="C31" s="57" t="s">
        <v>2254</v>
      </c>
      <c r="D31" s="57" t="s">
        <v>2634</v>
      </c>
      <c r="E31" s="58" t="s">
        <v>2526</v>
      </c>
      <c r="F31" s="58" t="s">
        <v>2635</v>
      </c>
      <c r="G31" s="57" t="s">
        <v>2252</v>
      </c>
    </row>
    <row r="32" spans="1:7" ht="15" customHeight="1">
      <c r="A32" s="272" t="s">
        <v>2259</v>
      </c>
      <c r="B32" s="272"/>
      <c r="C32" s="272" t="s">
        <v>2254</v>
      </c>
      <c r="D32" s="272" t="s">
        <v>2634</v>
      </c>
      <c r="E32" s="273" t="s">
        <v>2526</v>
      </c>
      <c r="F32" s="273" t="s">
        <v>2635</v>
      </c>
      <c r="G32" s="272" t="s">
        <v>2252</v>
      </c>
    </row>
    <row r="33" spans="1:7" ht="15" customHeight="1">
      <c r="A33" s="57" t="s">
        <v>2260</v>
      </c>
      <c r="B33" s="57"/>
      <c r="C33" s="57" t="s">
        <v>2254</v>
      </c>
      <c r="D33" s="57" t="s">
        <v>2634</v>
      </c>
      <c r="E33" s="58" t="s">
        <v>2526</v>
      </c>
      <c r="F33" s="58" t="s">
        <v>2635</v>
      </c>
      <c r="G33" s="57" t="s">
        <v>2252</v>
      </c>
    </row>
    <row r="34" spans="1:7" ht="15" customHeight="1">
      <c r="A34" s="75" t="s">
        <v>2639</v>
      </c>
      <c r="B34" s="75"/>
      <c r="C34" s="75"/>
      <c r="D34" s="75"/>
      <c r="E34" s="76"/>
      <c r="F34" s="75"/>
      <c r="G34" s="75"/>
    </row>
    <row r="35" spans="1:7" ht="15" customHeight="1">
      <c r="A35" s="57" t="s">
        <v>2350</v>
      </c>
      <c r="B35" s="57" t="s">
        <v>2351</v>
      </c>
      <c r="C35" s="57" t="s">
        <v>108</v>
      </c>
      <c r="D35" s="57" t="s">
        <v>2634</v>
      </c>
      <c r="E35" s="58" t="s">
        <v>108</v>
      </c>
      <c r="F35" s="58" t="s">
        <v>2635</v>
      </c>
      <c r="G35" s="57" t="s">
        <v>2252</v>
      </c>
    </row>
    <row r="36" spans="1:7" ht="15" customHeight="1">
      <c r="A36" s="272" t="s">
        <v>2352</v>
      </c>
      <c r="B36" s="272"/>
      <c r="C36" s="272" t="s">
        <v>2337</v>
      </c>
      <c r="D36" s="272" t="s">
        <v>2634</v>
      </c>
      <c r="E36" s="273" t="s">
        <v>108</v>
      </c>
      <c r="F36" s="273" t="s">
        <v>2635</v>
      </c>
      <c r="G36" s="272" t="s">
        <v>2252</v>
      </c>
    </row>
    <row r="37" spans="1:7" ht="15" customHeight="1">
      <c r="A37" s="57" t="s">
        <v>2353</v>
      </c>
      <c r="B37" s="57" t="s">
        <v>2351</v>
      </c>
      <c r="C37" s="57" t="s">
        <v>2354</v>
      </c>
      <c r="D37" s="57" t="s">
        <v>2634</v>
      </c>
      <c r="E37" s="58" t="s">
        <v>108</v>
      </c>
      <c r="F37" s="58" t="s">
        <v>2635</v>
      </c>
      <c r="G37" s="57" t="s">
        <v>2355</v>
      </c>
    </row>
    <row r="38" spans="1:7" ht="15" customHeight="1">
      <c r="A38" s="57" t="s">
        <v>2356</v>
      </c>
      <c r="B38" s="57" t="s">
        <v>2351</v>
      </c>
      <c r="C38" s="57" t="s">
        <v>2315</v>
      </c>
      <c r="D38" s="57" t="s">
        <v>2634</v>
      </c>
      <c r="E38" s="58" t="s">
        <v>2315</v>
      </c>
      <c r="F38" s="58" t="s">
        <v>2635</v>
      </c>
      <c r="G38" s="57" t="s">
        <v>2252</v>
      </c>
    </row>
    <row r="39" spans="1:7" ht="15" customHeight="1">
      <c r="A39" s="272" t="s">
        <v>2357</v>
      </c>
      <c r="B39" s="272" t="s">
        <v>2358</v>
      </c>
      <c r="C39" s="272" t="s">
        <v>108</v>
      </c>
      <c r="D39" s="272" t="s">
        <v>2634</v>
      </c>
      <c r="E39" s="273" t="s">
        <v>108</v>
      </c>
      <c r="F39" s="273" t="s">
        <v>2635</v>
      </c>
      <c r="G39" s="272" t="s">
        <v>2252</v>
      </c>
    </row>
    <row r="40" spans="1:7" ht="15" customHeight="1">
      <c r="A40" s="75" t="s">
        <v>2640</v>
      </c>
      <c r="B40" s="75"/>
      <c r="C40" s="75"/>
      <c r="D40" s="75"/>
      <c r="E40" s="76"/>
      <c r="F40" s="75"/>
      <c r="G40" s="75"/>
    </row>
    <row r="41" spans="1:7" ht="15" customHeight="1">
      <c r="A41" s="57" t="s">
        <v>2363</v>
      </c>
      <c r="B41" s="57"/>
      <c r="C41" s="57" t="s">
        <v>2315</v>
      </c>
      <c r="D41" s="57" t="s">
        <v>2634</v>
      </c>
      <c r="E41" s="58" t="s">
        <v>2315</v>
      </c>
      <c r="F41" s="58" t="s">
        <v>2635</v>
      </c>
      <c r="G41" s="57" t="s">
        <v>2252</v>
      </c>
    </row>
    <row r="42" spans="1:7" ht="15" customHeight="1">
      <c r="A42" s="272" t="s">
        <v>2294</v>
      </c>
      <c r="B42" s="272"/>
      <c r="C42" s="272" t="s">
        <v>2295</v>
      </c>
      <c r="D42" s="272" t="s">
        <v>2634</v>
      </c>
      <c r="E42" s="273" t="s">
        <v>2315</v>
      </c>
      <c r="F42" s="273" t="s">
        <v>2635</v>
      </c>
      <c r="G42" s="272" t="s">
        <v>2252</v>
      </c>
    </row>
    <row r="43" spans="1:7" ht="15" customHeight="1">
      <c r="A43" s="57" t="s">
        <v>2364</v>
      </c>
      <c r="B43" s="57" t="s">
        <v>2351</v>
      </c>
      <c r="C43" s="57" t="s">
        <v>108</v>
      </c>
      <c r="D43" s="57" t="s">
        <v>2634</v>
      </c>
      <c r="E43" s="58" t="s">
        <v>108</v>
      </c>
      <c r="F43" s="58" t="s">
        <v>2635</v>
      </c>
      <c r="G43" s="57" t="s">
        <v>2252</v>
      </c>
    </row>
    <row r="44" spans="1:7" ht="15" customHeight="1">
      <c r="A44" s="272" t="s">
        <v>2365</v>
      </c>
      <c r="B44" s="272" t="s">
        <v>2351</v>
      </c>
      <c r="C44" s="272" t="s">
        <v>108</v>
      </c>
      <c r="D44" s="272" t="s">
        <v>2634</v>
      </c>
      <c r="E44" s="273" t="s">
        <v>108</v>
      </c>
      <c r="F44" s="273" t="s">
        <v>2635</v>
      </c>
      <c r="G44" s="272" t="s">
        <v>2252</v>
      </c>
    </row>
    <row r="45" spans="1:7" ht="15" customHeight="1">
      <c r="A45" s="57" t="s">
        <v>2366</v>
      </c>
      <c r="B45" s="57" t="s">
        <v>2257</v>
      </c>
      <c r="C45" s="57" t="s">
        <v>108</v>
      </c>
      <c r="D45" s="57" t="s">
        <v>2634</v>
      </c>
      <c r="E45" s="58" t="s">
        <v>108</v>
      </c>
      <c r="F45" s="58" t="s">
        <v>2635</v>
      </c>
      <c r="G45" s="57" t="s">
        <v>2252</v>
      </c>
    </row>
    <row r="46" spans="1:7" ht="15" customHeight="1">
      <c r="A46" s="57" t="s">
        <v>2367</v>
      </c>
      <c r="B46" s="57" t="s">
        <v>2368</v>
      </c>
      <c r="C46" s="57" t="s">
        <v>2315</v>
      </c>
      <c r="D46" s="57" t="s">
        <v>2634</v>
      </c>
      <c r="E46" s="58" t="s">
        <v>2315</v>
      </c>
      <c r="F46" s="58" t="s">
        <v>2635</v>
      </c>
      <c r="G46" s="57" t="s">
        <v>2252</v>
      </c>
    </row>
    <row r="47" spans="1:7" ht="15" customHeight="1">
      <c r="A47" s="57" t="s">
        <v>2369</v>
      </c>
      <c r="B47" s="57" t="s">
        <v>2368</v>
      </c>
      <c r="C47" s="57" t="s">
        <v>2315</v>
      </c>
      <c r="D47" s="57" t="s">
        <v>2634</v>
      </c>
      <c r="E47" s="58" t="s">
        <v>2315</v>
      </c>
      <c r="F47" s="58" t="s">
        <v>2635</v>
      </c>
      <c r="G47" s="57" t="s">
        <v>2252</v>
      </c>
    </row>
    <row r="48" spans="1:7" ht="15" customHeight="1">
      <c r="A48" s="272" t="s">
        <v>2370</v>
      </c>
      <c r="B48" s="272" t="s">
        <v>2368</v>
      </c>
      <c r="C48" s="272" t="s">
        <v>108</v>
      </c>
      <c r="D48" s="272" t="s">
        <v>2634</v>
      </c>
      <c r="E48" s="273" t="s">
        <v>108</v>
      </c>
      <c r="F48" s="273" t="s">
        <v>2635</v>
      </c>
      <c r="G48" s="272" t="s">
        <v>2371</v>
      </c>
    </row>
    <row r="49" spans="1:7" ht="15" customHeight="1">
      <c r="A49" s="75" t="s">
        <v>2641</v>
      </c>
      <c r="B49" s="75"/>
      <c r="C49" s="75"/>
      <c r="D49" s="75"/>
      <c r="E49" s="76"/>
      <c r="F49" s="75"/>
      <c r="G49" s="75"/>
    </row>
    <row r="50" spans="1:7" ht="15" customHeight="1">
      <c r="A50" s="57" t="s">
        <v>2373</v>
      </c>
      <c r="B50" s="57" t="s">
        <v>2374</v>
      </c>
      <c r="C50" s="57" t="s">
        <v>108</v>
      </c>
      <c r="D50" s="57" t="s">
        <v>2634</v>
      </c>
      <c r="E50" s="58" t="s">
        <v>108</v>
      </c>
      <c r="F50" s="58" t="s">
        <v>2635</v>
      </c>
      <c r="G50" s="57" t="s">
        <v>2252</v>
      </c>
    </row>
    <row r="51" spans="1:7" ht="15" customHeight="1">
      <c r="A51" s="57" t="s">
        <v>2375</v>
      </c>
      <c r="B51" s="57" t="s">
        <v>2376</v>
      </c>
      <c r="C51" s="57" t="s">
        <v>108</v>
      </c>
      <c r="D51" s="57" t="s">
        <v>2634</v>
      </c>
      <c r="E51" s="58" t="s">
        <v>108</v>
      </c>
      <c r="F51" s="58" t="s">
        <v>2635</v>
      </c>
      <c r="G51" s="57" t="s">
        <v>2252</v>
      </c>
    </row>
    <row r="52" spans="1:7" ht="15" customHeight="1">
      <c r="A52" s="272" t="s">
        <v>2377</v>
      </c>
      <c r="B52" s="272" t="s">
        <v>2376</v>
      </c>
      <c r="C52" s="272" t="s">
        <v>108</v>
      </c>
      <c r="D52" s="272" t="s">
        <v>2634</v>
      </c>
      <c r="E52" s="273" t="s">
        <v>108</v>
      </c>
      <c r="F52" s="273" t="s">
        <v>2635</v>
      </c>
      <c r="G52" s="272" t="s">
        <v>2252</v>
      </c>
    </row>
    <row r="53" spans="1:7" ht="15" customHeight="1">
      <c r="A53" s="75" t="s">
        <v>2261</v>
      </c>
      <c r="B53" s="75"/>
      <c r="C53" s="75"/>
      <c r="D53" s="75"/>
      <c r="E53" s="76"/>
      <c r="F53" s="75"/>
      <c r="G53" s="75"/>
    </row>
    <row r="54" spans="1:7" ht="15" customHeight="1">
      <c r="A54" s="272" t="s">
        <v>2379</v>
      </c>
      <c r="B54" s="272" t="s">
        <v>2263</v>
      </c>
      <c r="C54" s="272" t="s">
        <v>2315</v>
      </c>
      <c r="D54" s="272" t="s">
        <v>2634</v>
      </c>
      <c r="E54" s="273" t="s">
        <v>2315</v>
      </c>
      <c r="F54" s="273" t="s">
        <v>2635</v>
      </c>
      <c r="G54" s="272" t="s">
        <v>2380</v>
      </c>
    </row>
    <row r="55" spans="1:7" ht="15" customHeight="1">
      <c r="A55" s="57" t="s">
        <v>2381</v>
      </c>
      <c r="B55" s="57" t="s">
        <v>2301</v>
      </c>
      <c r="C55" s="57" t="s">
        <v>108</v>
      </c>
      <c r="D55" s="57" t="s">
        <v>2634</v>
      </c>
      <c r="E55" s="58" t="s">
        <v>108</v>
      </c>
      <c r="F55" s="58" t="s">
        <v>2635</v>
      </c>
      <c r="G55" s="57" t="s">
        <v>2382</v>
      </c>
    </row>
    <row r="56" spans="1:7" ht="15" customHeight="1">
      <c r="A56" s="272" t="s">
        <v>2383</v>
      </c>
      <c r="B56" s="272" t="s">
        <v>2298</v>
      </c>
      <c r="C56" s="272" t="s">
        <v>108</v>
      </c>
      <c r="D56" s="272" t="s">
        <v>2634</v>
      </c>
      <c r="E56" s="273" t="s">
        <v>108</v>
      </c>
      <c r="F56" s="273" t="s">
        <v>2635</v>
      </c>
      <c r="G56" s="272" t="s">
        <v>2384</v>
      </c>
    </row>
    <row r="57" spans="1:7" ht="15" customHeight="1">
      <c r="A57" s="272" t="s">
        <v>2385</v>
      </c>
      <c r="B57" s="272" t="s">
        <v>2386</v>
      </c>
      <c r="C57" s="272" t="s">
        <v>108</v>
      </c>
      <c r="D57" s="272" t="s">
        <v>2634</v>
      </c>
      <c r="E57" s="273" t="s">
        <v>108</v>
      </c>
      <c r="F57" s="273" t="s">
        <v>2635</v>
      </c>
      <c r="G57" s="272" t="s">
        <v>2387</v>
      </c>
    </row>
    <row r="58" spans="1:7" ht="15" customHeight="1">
      <c r="A58" s="75" t="s">
        <v>2642</v>
      </c>
      <c r="B58" s="75"/>
      <c r="C58" s="75"/>
      <c r="D58" s="75"/>
      <c r="E58" s="76"/>
      <c r="F58" s="75"/>
      <c r="G58" s="75"/>
    </row>
    <row r="59" spans="1:7" ht="15" customHeight="1">
      <c r="A59" s="57" t="s">
        <v>2389</v>
      </c>
      <c r="B59" s="57" t="s">
        <v>2301</v>
      </c>
      <c r="C59" s="57" t="s">
        <v>108</v>
      </c>
      <c r="D59" s="57" t="s">
        <v>2634</v>
      </c>
      <c r="E59" s="58" t="s">
        <v>108</v>
      </c>
      <c r="F59" s="58" t="s">
        <v>2635</v>
      </c>
      <c r="G59" s="57" t="s">
        <v>2390</v>
      </c>
    </row>
    <row r="60" spans="1:7" ht="15" customHeight="1">
      <c r="A60" s="57" t="s">
        <v>2391</v>
      </c>
      <c r="B60" s="57" t="s">
        <v>2392</v>
      </c>
      <c r="C60" s="57" t="s">
        <v>108</v>
      </c>
      <c r="D60" s="57" t="s">
        <v>2634</v>
      </c>
      <c r="E60" s="58" t="s">
        <v>108</v>
      </c>
      <c r="F60" s="58" t="s">
        <v>2635</v>
      </c>
      <c r="G60" s="57" t="s">
        <v>2393</v>
      </c>
    </row>
    <row r="61" spans="1:7" ht="15" customHeight="1">
      <c r="A61" s="272" t="s">
        <v>2394</v>
      </c>
      <c r="B61" s="272" t="s">
        <v>2395</v>
      </c>
      <c r="C61" s="272" t="s">
        <v>108</v>
      </c>
      <c r="D61" s="272" t="s">
        <v>2634</v>
      </c>
      <c r="E61" s="273" t="s">
        <v>108</v>
      </c>
      <c r="F61" s="273" t="s">
        <v>2635</v>
      </c>
      <c r="G61" s="272" t="s">
        <v>2396</v>
      </c>
    </row>
    <row r="62" spans="1:7" ht="15" customHeight="1">
      <c r="A62" s="57" t="s">
        <v>2397</v>
      </c>
      <c r="B62" s="57" t="s">
        <v>2398</v>
      </c>
      <c r="C62" s="57" t="s">
        <v>2315</v>
      </c>
      <c r="D62" s="57" t="s">
        <v>2634</v>
      </c>
      <c r="E62" s="58" t="s">
        <v>2315</v>
      </c>
      <c r="F62" s="58" t="s">
        <v>2635</v>
      </c>
      <c r="G62" s="57" t="s">
        <v>2252</v>
      </c>
    </row>
    <row r="63" spans="1:7" ht="15" customHeight="1">
      <c r="A63" s="272" t="s">
        <v>2399</v>
      </c>
      <c r="B63" s="272" t="s">
        <v>2398</v>
      </c>
      <c r="C63" s="272" t="s">
        <v>2400</v>
      </c>
      <c r="D63" s="272" t="s">
        <v>2634</v>
      </c>
      <c r="E63" s="273" t="s">
        <v>108</v>
      </c>
      <c r="F63" s="273" t="s">
        <v>2635</v>
      </c>
      <c r="G63" s="272" t="s">
        <v>2252</v>
      </c>
    </row>
    <row r="64" spans="1:7" ht="15" customHeight="1">
      <c r="A64" s="75" t="s">
        <v>2643</v>
      </c>
      <c r="B64" s="75"/>
      <c r="C64" s="75"/>
      <c r="D64" s="75"/>
      <c r="E64" s="76"/>
      <c r="F64" s="75"/>
      <c r="G64" s="75"/>
    </row>
    <row r="65" spans="1:7" ht="15" customHeight="1">
      <c r="A65" s="57" t="s">
        <v>2402</v>
      </c>
      <c r="B65" s="57" t="s">
        <v>2403</v>
      </c>
      <c r="C65" s="57" t="s">
        <v>108</v>
      </c>
      <c r="D65" s="57" t="s">
        <v>2634</v>
      </c>
      <c r="E65" s="58" t="s">
        <v>108</v>
      </c>
      <c r="F65" s="58" t="s">
        <v>2635</v>
      </c>
      <c r="G65" s="57" t="s">
        <v>2252</v>
      </c>
    </row>
    <row r="66" spans="1:7" ht="15" customHeight="1">
      <c r="A66" s="272" t="s">
        <v>2404</v>
      </c>
      <c r="B66" s="272" t="s">
        <v>2403</v>
      </c>
      <c r="C66" s="272" t="s">
        <v>2315</v>
      </c>
      <c r="D66" s="272" t="s">
        <v>2634</v>
      </c>
      <c r="E66" s="273" t="s">
        <v>2315</v>
      </c>
      <c r="F66" s="273" t="s">
        <v>2635</v>
      </c>
      <c r="G66" s="272" t="s">
        <v>2405</v>
      </c>
    </row>
    <row r="67" spans="1:7" ht="15" customHeight="1">
      <c r="A67" s="274" t="s">
        <v>2406</v>
      </c>
      <c r="B67" s="274" t="s">
        <v>2407</v>
      </c>
      <c r="C67" s="274" t="s">
        <v>2408</v>
      </c>
      <c r="D67" s="274" t="s">
        <v>2634</v>
      </c>
      <c r="E67" s="275" t="s">
        <v>2631</v>
      </c>
      <c r="F67" s="275" t="s">
        <v>2034</v>
      </c>
      <c r="G67" s="274" t="s">
        <v>2410</v>
      </c>
    </row>
    <row r="68" spans="1:7" ht="15" customHeight="1">
      <c r="A68" s="57" t="s">
        <v>2411</v>
      </c>
      <c r="B68" s="57" t="s">
        <v>2407</v>
      </c>
      <c r="C68" s="57" t="s">
        <v>2331</v>
      </c>
      <c r="D68" s="57" t="s">
        <v>2634</v>
      </c>
      <c r="E68" s="58" t="s">
        <v>108</v>
      </c>
      <c r="F68" s="58" t="s">
        <v>2635</v>
      </c>
      <c r="G68" s="57" t="s">
        <v>2412</v>
      </c>
    </row>
    <row r="69" spans="1:7" ht="15" customHeight="1">
      <c r="A69" s="57" t="s">
        <v>2413</v>
      </c>
      <c r="B69" s="57" t="s">
        <v>2403</v>
      </c>
      <c r="C69" s="57" t="s">
        <v>2414</v>
      </c>
      <c r="D69" s="57" t="s">
        <v>2634</v>
      </c>
      <c r="E69" s="58" t="s">
        <v>108</v>
      </c>
      <c r="F69" s="58" t="s">
        <v>2635</v>
      </c>
      <c r="G69" s="57" t="s">
        <v>2252</v>
      </c>
    </row>
    <row r="70" spans="1:7" ht="15" customHeight="1">
      <c r="A70" s="272" t="s">
        <v>2415</v>
      </c>
      <c r="B70" s="272" t="s">
        <v>2403</v>
      </c>
      <c r="C70" s="272" t="s">
        <v>2416</v>
      </c>
      <c r="D70" s="272" t="s">
        <v>2634</v>
      </c>
      <c r="E70" s="273" t="s">
        <v>108</v>
      </c>
      <c r="F70" s="273" t="s">
        <v>2635</v>
      </c>
      <c r="G70" s="272" t="s">
        <v>2417</v>
      </c>
    </row>
    <row r="71" spans="1:7" ht="15" customHeight="1">
      <c r="A71" s="75" t="s">
        <v>2268</v>
      </c>
      <c r="B71" s="75"/>
      <c r="C71" s="75"/>
      <c r="D71" s="75"/>
      <c r="E71" s="76"/>
      <c r="F71" s="75"/>
      <c r="G71" s="75"/>
    </row>
    <row r="72" spans="1:7" ht="15" customHeight="1">
      <c r="A72" s="57" t="s">
        <v>2419</v>
      </c>
      <c r="B72" s="57" t="s">
        <v>2287</v>
      </c>
      <c r="C72" s="57" t="s">
        <v>2420</v>
      </c>
      <c r="D72" s="57" t="s">
        <v>2634</v>
      </c>
      <c r="E72" s="58" t="s">
        <v>108</v>
      </c>
      <c r="F72" s="58" t="s">
        <v>2635</v>
      </c>
      <c r="G72" s="57" t="s">
        <v>2421</v>
      </c>
    </row>
    <row r="73" spans="1:7" ht="15" customHeight="1">
      <c r="A73" s="57" t="s">
        <v>2422</v>
      </c>
      <c r="B73" s="57" t="s">
        <v>2423</v>
      </c>
      <c r="C73" s="57" t="s">
        <v>2424</v>
      </c>
      <c r="D73" s="57" t="s">
        <v>2634</v>
      </c>
      <c r="E73" s="58" t="s">
        <v>108</v>
      </c>
      <c r="F73" s="58" t="s">
        <v>2635</v>
      </c>
      <c r="G73" s="57" t="s">
        <v>2425</v>
      </c>
    </row>
    <row r="74" spans="1:7" ht="15" customHeight="1">
      <c r="A74" s="272" t="s">
        <v>2274</v>
      </c>
      <c r="B74" s="272"/>
      <c r="C74" s="272" t="s">
        <v>2254</v>
      </c>
      <c r="D74" s="272" t="s">
        <v>2634</v>
      </c>
      <c r="E74" s="273" t="s">
        <v>2526</v>
      </c>
      <c r="F74" s="273" t="s">
        <v>2635</v>
      </c>
      <c r="G74" s="272" t="s">
        <v>2252</v>
      </c>
    </row>
    <row r="75" spans="1:7" ht="15" customHeight="1">
      <c r="A75" s="272" t="s">
        <v>2426</v>
      </c>
      <c r="B75" s="272" t="s">
        <v>2272</v>
      </c>
      <c r="C75" s="272" t="s">
        <v>2427</v>
      </c>
      <c r="D75" s="272" t="s">
        <v>2634</v>
      </c>
      <c r="E75" s="273" t="s">
        <v>2427</v>
      </c>
      <c r="F75" s="273" t="s">
        <v>2635</v>
      </c>
      <c r="G75" s="272" t="s">
        <v>2428</v>
      </c>
    </row>
    <row r="76" spans="1:7" ht="15" customHeight="1">
      <c r="A76" s="75" t="s">
        <v>2275</v>
      </c>
      <c r="B76" s="75"/>
      <c r="C76" s="75"/>
      <c r="D76" s="75"/>
      <c r="E76" s="76"/>
      <c r="F76" s="75"/>
      <c r="G76" s="75"/>
    </row>
    <row r="77" spans="1:7" ht="15" customHeight="1">
      <c r="A77" s="272" t="s">
        <v>2241</v>
      </c>
      <c r="B77" s="272" t="s">
        <v>2242</v>
      </c>
      <c r="C77" s="272" t="s">
        <v>2243</v>
      </c>
      <c r="D77" s="272" t="s">
        <v>2644</v>
      </c>
      <c r="E77" s="273" t="s">
        <v>2245</v>
      </c>
      <c r="F77" s="273" t="s">
        <v>2635</v>
      </c>
      <c r="G77" s="272" t="s">
        <v>2246</v>
      </c>
    </row>
    <row r="78" spans="1:7" ht="15" customHeight="1">
      <c r="A78" s="274" t="s">
        <v>2309</v>
      </c>
      <c r="B78" s="274"/>
      <c r="C78" s="274" t="s">
        <v>2310</v>
      </c>
      <c r="D78" s="274" t="s">
        <v>2644</v>
      </c>
      <c r="E78" s="275" t="s">
        <v>1215</v>
      </c>
      <c r="F78" s="274" t="s">
        <v>2061</v>
      </c>
      <c r="G78" s="274" t="s">
        <v>2252</v>
      </c>
    </row>
    <row r="79" spans="1:7" ht="15" customHeight="1">
      <c r="A79" s="75" t="s">
        <v>2280</v>
      </c>
      <c r="B79" s="75"/>
      <c r="C79" s="75"/>
      <c r="D79" s="75"/>
      <c r="E79" s="76"/>
      <c r="F79" s="75"/>
      <c r="G79" s="75"/>
    </row>
    <row r="80" spans="1:7" ht="15" customHeight="1">
      <c r="A80" s="272" t="s">
        <v>2281</v>
      </c>
      <c r="B80" s="272" t="s">
        <v>2282</v>
      </c>
      <c r="C80" s="272" t="s">
        <v>2283</v>
      </c>
      <c r="D80" s="272" t="s">
        <v>2644</v>
      </c>
      <c r="E80" s="273" t="s">
        <v>2645</v>
      </c>
      <c r="F80" s="273" t="s">
        <v>2635</v>
      </c>
      <c r="G80" s="272" t="s">
        <v>2252</v>
      </c>
    </row>
    <row r="81" spans="1:7" ht="15" customHeight="1">
      <c r="A81" s="75" t="s">
        <v>2285</v>
      </c>
      <c r="B81" s="75"/>
      <c r="C81" s="75"/>
      <c r="D81" s="75"/>
      <c r="E81" s="76"/>
      <c r="F81" s="75"/>
      <c r="G81" s="75"/>
    </row>
    <row r="82" spans="1:7" ht="15" customHeight="1">
      <c r="A82" s="272" t="s">
        <v>2286</v>
      </c>
      <c r="B82" s="272" t="s">
        <v>2287</v>
      </c>
      <c r="C82" s="272" t="s">
        <v>2288</v>
      </c>
      <c r="D82" s="272" t="s">
        <v>2644</v>
      </c>
      <c r="E82" s="273" t="s">
        <v>2284</v>
      </c>
      <c r="F82" s="273" t="s">
        <v>2635</v>
      </c>
      <c r="G82" s="272" t="s">
        <v>2252</v>
      </c>
    </row>
    <row r="83" spans="1:7" ht="15" customHeight="1">
      <c r="A83" s="75" t="s">
        <v>2291</v>
      </c>
      <c r="B83" s="75"/>
      <c r="C83" s="75"/>
      <c r="D83" s="75"/>
      <c r="E83" s="76"/>
      <c r="F83" s="75"/>
      <c r="G83" s="75"/>
    </row>
    <row r="84" spans="1:7" ht="15" customHeight="1">
      <c r="A84" s="57" t="s">
        <v>2248</v>
      </c>
      <c r="B84" s="57" t="s">
        <v>2249</v>
      </c>
      <c r="C84" s="57" t="s">
        <v>2250</v>
      </c>
      <c r="D84" s="57" t="s">
        <v>2644</v>
      </c>
      <c r="E84" s="58" t="s">
        <v>2251</v>
      </c>
      <c r="F84" s="58" t="s">
        <v>2635</v>
      </c>
      <c r="G84" s="57" t="s">
        <v>2252</v>
      </c>
    </row>
    <row r="85" spans="1:7" ht="15" customHeight="1">
      <c r="A85" s="272" t="s">
        <v>2253</v>
      </c>
      <c r="B85" s="272" t="s">
        <v>2249</v>
      </c>
      <c r="C85" s="272" t="s">
        <v>2254</v>
      </c>
      <c r="D85" s="272" t="s">
        <v>2644</v>
      </c>
      <c r="E85" s="273" t="s">
        <v>2251</v>
      </c>
      <c r="F85" s="273" t="s">
        <v>2635</v>
      </c>
      <c r="G85" s="272" t="s">
        <v>2252</v>
      </c>
    </row>
    <row r="86" spans="1:7" ht="15" customHeight="1">
      <c r="A86" s="272" t="s">
        <v>2255</v>
      </c>
      <c r="B86" s="272" t="s">
        <v>2249</v>
      </c>
      <c r="C86" s="272" t="s">
        <v>2254</v>
      </c>
      <c r="D86" s="272" t="s">
        <v>2644</v>
      </c>
      <c r="E86" s="273" t="s">
        <v>2251</v>
      </c>
      <c r="F86" s="273" t="s">
        <v>2635</v>
      </c>
      <c r="G86" s="272" t="s">
        <v>2252</v>
      </c>
    </row>
    <row r="87" spans="1:7" ht="15" customHeight="1">
      <c r="A87" s="272" t="s">
        <v>2256</v>
      </c>
      <c r="B87" s="272" t="s">
        <v>2257</v>
      </c>
      <c r="C87" s="272" t="s">
        <v>2254</v>
      </c>
      <c r="D87" s="272" t="s">
        <v>2644</v>
      </c>
      <c r="E87" s="273" t="s">
        <v>2251</v>
      </c>
      <c r="F87" s="273" t="s">
        <v>2635</v>
      </c>
      <c r="G87" s="272" t="s">
        <v>2252</v>
      </c>
    </row>
    <row r="88" spans="1:7" ht="15" customHeight="1">
      <c r="A88" s="272" t="s">
        <v>2258</v>
      </c>
      <c r="B88" s="272"/>
      <c r="C88" s="272" t="s">
        <v>2254</v>
      </c>
      <c r="D88" s="272" t="s">
        <v>2644</v>
      </c>
      <c r="E88" s="273" t="s">
        <v>2251</v>
      </c>
      <c r="F88" s="273" t="s">
        <v>2635</v>
      </c>
      <c r="G88" s="272" t="s">
        <v>2252</v>
      </c>
    </row>
    <row r="89" spans="1:7" ht="15" customHeight="1">
      <c r="A89" s="272" t="s">
        <v>2259</v>
      </c>
      <c r="B89" s="272"/>
      <c r="C89" s="272" t="s">
        <v>2254</v>
      </c>
      <c r="D89" s="272" t="s">
        <v>2644</v>
      </c>
      <c r="E89" s="273" t="s">
        <v>2251</v>
      </c>
      <c r="F89" s="273" t="s">
        <v>2635</v>
      </c>
      <c r="G89" s="272" t="s">
        <v>2252</v>
      </c>
    </row>
    <row r="90" spans="1:7" ht="15" customHeight="1">
      <c r="A90" s="272" t="s">
        <v>2260</v>
      </c>
      <c r="B90" s="272"/>
      <c r="C90" s="272" t="s">
        <v>2254</v>
      </c>
      <c r="D90" s="272" t="s">
        <v>2644</v>
      </c>
      <c r="E90" s="273" t="s">
        <v>2251</v>
      </c>
      <c r="F90" s="273" t="s">
        <v>2635</v>
      </c>
      <c r="G90" s="272" t="s">
        <v>2252</v>
      </c>
    </row>
    <row r="91" spans="1:7" ht="15" customHeight="1">
      <c r="A91" s="75" t="s">
        <v>2296</v>
      </c>
      <c r="B91" s="75"/>
      <c r="C91" s="75"/>
      <c r="D91" s="75"/>
      <c r="E91" s="76"/>
      <c r="F91" s="75"/>
      <c r="G91" s="75"/>
    </row>
    <row r="92" spans="1:7" ht="15" customHeight="1">
      <c r="A92" s="57" t="s">
        <v>2262</v>
      </c>
      <c r="B92" s="57" t="s">
        <v>2263</v>
      </c>
      <c r="C92" s="57" t="s">
        <v>2243</v>
      </c>
      <c r="D92" s="57" t="s">
        <v>2644</v>
      </c>
      <c r="E92" s="58" t="s">
        <v>2245</v>
      </c>
      <c r="F92" s="58" t="s">
        <v>2635</v>
      </c>
      <c r="G92" s="57" t="s">
        <v>2264</v>
      </c>
    </row>
    <row r="93" spans="1:7" ht="15" customHeight="1">
      <c r="A93" s="272" t="s">
        <v>2265</v>
      </c>
      <c r="B93" s="272" t="s">
        <v>2266</v>
      </c>
      <c r="C93" s="272" t="s">
        <v>2243</v>
      </c>
      <c r="D93" s="272" t="s">
        <v>2644</v>
      </c>
      <c r="E93" s="273" t="s">
        <v>2245</v>
      </c>
      <c r="F93" s="273" t="s">
        <v>2635</v>
      </c>
      <c r="G93" s="272" t="s">
        <v>2267</v>
      </c>
    </row>
    <row r="94" spans="1:7" ht="15" customHeight="1">
      <c r="A94" s="75" t="s">
        <v>2304</v>
      </c>
      <c r="B94" s="75"/>
      <c r="C94" s="75"/>
      <c r="D94" s="75"/>
      <c r="E94" s="76"/>
      <c r="F94" s="75"/>
      <c r="G94" s="75"/>
    </row>
    <row r="95" spans="1:7" ht="15" customHeight="1">
      <c r="A95" s="274" t="s">
        <v>2406</v>
      </c>
      <c r="B95" s="274" t="s">
        <v>2407</v>
      </c>
      <c r="C95" s="274" t="s">
        <v>2408</v>
      </c>
      <c r="D95" s="274" t="s">
        <v>2644</v>
      </c>
      <c r="E95" s="275" t="s">
        <v>2631</v>
      </c>
      <c r="F95" s="274" t="s">
        <v>2061</v>
      </c>
      <c r="G95" s="274" t="s">
        <v>2410</v>
      </c>
    </row>
    <row r="96" spans="1:7" ht="15" customHeight="1">
      <c r="A96" s="75" t="s">
        <v>2306</v>
      </c>
      <c r="B96" s="75"/>
      <c r="C96" s="75"/>
      <c r="D96" s="75"/>
      <c r="E96" s="76"/>
      <c r="F96" s="75"/>
      <c r="G96" s="75"/>
    </row>
    <row r="97" spans="1:7" ht="15" customHeight="1">
      <c r="A97" s="57" t="s">
        <v>2269</v>
      </c>
      <c r="B97" s="57"/>
      <c r="C97" s="57" t="s">
        <v>2243</v>
      </c>
      <c r="D97" s="57" t="s">
        <v>2644</v>
      </c>
      <c r="E97" s="58" t="s">
        <v>2245</v>
      </c>
      <c r="F97" s="58" t="s">
        <v>2635</v>
      </c>
      <c r="G97" s="57" t="s">
        <v>2270</v>
      </c>
    </row>
    <row r="98" spans="1:7" ht="15" customHeight="1">
      <c r="A98" s="272" t="s">
        <v>2271</v>
      </c>
      <c r="B98" s="272" t="s">
        <v>2272</v>
      </c>
      <c r="C98" s="272" t="s">
        <v>2243</v>
      </c>
      <c r="D98" s="272" t="s">
        <v>2644</v>
      </c>
      <c r="E98" s="273" t="s">
        <v>2245</v>
      </c>
      <c r="F98" s="273" t="s">
        <v>2635</v>
      </c>
      <c r="G98" s="272" t="s">
        <v>2273</v>
      </c>
    </row>
    <row r="99" spans="1:7" ht="15" customHeight="1">
      <c r="A99" s="272" t="s">
        <v>2274</v>
      </c>
      <c r="B99" s="272"/>
      <c r="C99" s="272" t="s">
        <v>2254</v>
      </c>
      <c r="D99" s="272" t="s">
        <v>2644</v>
      </c>
      <c r="E99" s="273" t="s">
        <v>2251</v>
      </c>
      <c r="F99" s="273" t="s">
        <v>2635</v>
      </c>
      <c r="G99" s="272" t="s">
        <v>2252</v>
      </c>
    </row>
    <row r="100" spans="1:7" ht="15" customHeight="1">
      <c r="A100" s="75" t="s">
        <v>2307</v>
      </c>
      <c r="B100" s="75"/>
      <c r="C100" s="75"/>
      <c r="D100" s="75"/>
      <c r="E100" s="76"/>
      <c r="F100" s="75"/>
      <c r="G100" s="75"/>
    </row>
    <row r="101" spans="1:7" ht="15" customHeight="1">
      <c r="A101" s="57" t="s">
        <v>2241</v>
      </c>
      <c r="B101" s="57" t="s">
        <v>2242</v>
      </c>
      <c r="C101" s="57" t="s">
        <v>2243</v>
      </c>
      <c r="D101" s="57" t="s">
        <v>2646</v>
      </c>
      <c r="E101" s="58" t="s">
        <v>2245</v>
      </c>
      <c r="F101" s="58" t="s">
        <v>2635</v>
      </c>
      <c r="G101" s="57" t="s">
        <v>2246</v>
      </c>
    </row>
    <row r="102" spans="1:7" ht="15" customHeight="1">
      <c r="A102" s="274" t="s">
        <v>2309</v>
      </c>
      <c r="B102" s="274"/>
      <c r="C102" s="274" t="s">
        <v>2310</v>
      </c>
      <c r="D102" s="274" t="s">
        <v>2646</v>
      </c>
      <c r="E102" s="275" t="s">
        <v>1215</v>
      </c>
      <c r="F102" s="274" t="s">
        <v>2087</v>
      </c>
      <c r="G102" s="274" t="s">
        <v>2252</v>
      </c>
    </row>
    <row r="103" spans="1:7" ht="15" customHeight="1">
      <c r="A103" s="75" t="s">
        <v>2344</v>
      </c>
      <c r="B103" s="75"/>
      <c r="C103" s="75"/>
      <c r="D103" s="75"/>
      <c r="E103" s="76"/>
      <c r="F103" s="75"/>
      <c r="G103" s="75"/>
    </row>
    <row r="104" spans="1:7" ht="15" customHeight="1">
      <c r="A104" s="272" t="s">
        <v>2248</v>
      </c>
      <c r="B104" s="272" t="s">
        <v>2249</v>
      </c>
      <c r="C104" s="272" t="s">
        <v>2250</v>
      </c>
      <c r="D104" s="272" t="s">
        <v>2646</v>
      </c>
      <c r="E104" s="273" t="s">
        <v>2251</v>
      </c>
      <c r="F104" s="273" t="s">
        <v>2635</v>
      </c>
      <c r="G104" s="272" t="s">
        <v>2252</v>
      </c>
    </row>
    <row r="105" spans="1:7" ht="15" customHeight="1">
      <c r="A105" s="272" t="s">
        <v>2253</v>
      </c>
      <c r="B105" s="272" t="s">
        <v>2249</v>
      </c>
      <c r="C105" s="272" t="s">
        <v>2254</v>
      </c>
      <c r="D105" s="272" t="s">
        <v>2646</v>
      </c>
      <c r="E105" s="273" t="s">
        <v>2251</v>
      </c>
      <c r="F105" s="273" t="s">
        <v>2635</v>
      </c>
      <c r="G105" s="272" t="s">
        <v>2252</v>
      </c>
    </row>
    <row r="106" spans="1:7" ht="15" customHeight="1">
      <c r="A106" s="57" t="s">
        <v>2255</v>
      </c>
      <c r="B106" s="57" t="s">
        <v>2249</v>
      </c>
      <c r="C106" s="57" t="s">
        <v>2254</v>
      </c>
      <c r="D106" s="57" t="s">
        <v>2646</v>
      </c>
      <c r="E106" s="58" t="s">
        <v>2251</v>
      </c>
      <c r="F106" s="58" t="s">
        <v>2635</v>
      </c>
      <c r="G106" s="57" t="s">
        <v>2252</v>
      </c>
    </row>
    <row r="107" spans="1:7" ht="15" customHeight="1">
      <c r="A107" s="57" t="s">
        <v>2256</v>
      </c>
      <c r="B107" s="57" t="s">
        <v>2257</v>
      </c>
      <c r="C107" s="57" t="s">
        <v>2254</v>
      </c>
      <c r="D107" s="57" t="s">
        <v>2646</v>
      </c>
      <c r="E107" s="58" t="s">
        <v>2251</v>
      </c>
      <c r="F107" s="58" t="s">
        <v>2635</v>
      </c>
      <c r="G107" s="57" t="s">
        <v>2252</v>
      </c>
    </row>
    <row r="108" spans="1:7" ht="15" customHeight="1">
      <c r="A108" s="272" t="s">
        <v>2258</v>
      </c>
      <c r="B108" s="272"/>
      <c r="C108" s="272" t="s">
        <v>2254</v>
      </c>
      <c r="D108" s="272" t="s">
        <v>2646</v>
      </c>
      <c r="E108" s="273" t="s">
        <v>2251</v>
      </c>
      <c r="F108" s="273" t="s">
        <v>2635</v>
      </c>
      <c r="G108" s="272" t="s">
        <v>2252</v>
      </c>
    </row>
    <row r="109" spans="1:7" ht="15" customHeight="1">
      <c r="A109" s="272" t="s">
        <v>2259</v>
      </c>
      <c r="B109" s="272"/>
      <c r="C109" s="272" t="s">
        <v>2254</v>
      </c>
      <c r="D109" s="272" t="s">
        <v>2646</v>
      </c>
      <c r="E109" s="273" t="s">
        <v>2251</v>
      </c>
      <c r="F109" s="273" t="s">
        <v>2635</v>
      </c>
      <c r="G109" s="272" t="s">
        <v>2252</v>
      </c>
    </row>
    <row r="110" spans="1:7" ht="15" customHeight="1">
      <c r="A110" s="272" t="s">
        <v>2260</v>
      </c>
      <c r="B110" s="272"/>
      <c r="C110" s="272" t="s">
        <v>2254</v>
      </c>
      <c r="D110" s="272" t="s">
        <v>2646</v>
      </c>
      <c r="E110" s="273" t="s">
        <v>2251</v>
      </c>
      <c r="F110" s="273" t="s">
        <v>2635</v>
      </c>
      <c r="G110" s="272" t="s">
        <v>2252</v>
      </c>
    </row>
    <row r="111" spans="1:7" ht="15" customHeight="1">
      <c r="A111" s="75" t="s">
        <v>2378</v>
      </c>
      <c r="B111" s="75"/>
      <c r="C111" s="75"/>
      <c r="D111" s="75"/>
      <c r="E111" s="76"/>
      <c r="F111" s="75"/>
      <c r="G111" s="75"/>
    </row>
    <row r="112" spans="1:7" ht="15" customHeight="1">
      <c r="A112" s="272" t="s">
        <v>2262</v>
      </c>
      <c r="B112" s="272" t="s">
        <v>2263</v>
      </c>
      <c r="C112" s="272" t="s">
        <v>2243</v>
      </c>
      <c r="D112" s="272" t="s">
        <v>2646</v>
      </c>
      <c r="E112" s="273" t="s">
        <v>2245</v>
      </c>
      <c r="F112" s="273" t="s">
        <v>2635</v>
      </c>
      <c r="G112" s="272" t="s">
        <v>2264</v>
      </c>
    </row>
    <row r="113" spans="1:7" ht="15" customHeight="1">
      <c r="A113" s="272" t="s">
        <v>2265</v>
      </c>
      <c r="B113" s="272" t="s">
        <v>2266</v>
      </c>
      <c r="C113" s="272" t="s">
        <v>2243</v>
      </c>
      <c r="D113" s="272" t="s">
        <v>2646</v>
      </c>
      <c r="E113" s="273" t="s">
        <v>2245</v>
      </c>
      <c r="F113" s="273" t="s">
        <v>2635</v>
      </c>
      <c r="G113" s="272" t="s">
        <v>2267</v>
      </c>
    </row>
    <row r="114" spans="1:7" ht="15" customHeight="1">
      <c r="A114" s="75" t="s">
        <v>2401</v>
      </c>
      <c r="B114" s="75"/>
      <c r="C114" s="75"/>
      <c r="D114" s="75"/>
      <c r="E114" s="76"/>
      <c r="F114" s="75"/>
      <c r="G114" s="75"/>
    </row>
    <row r="115" spans="1:7" ht="15" customHeight="1">
      <c r="A115" s="274" t="s">
        <v>2406</v>
      </c>
      <c r="B115" s="274" t="s">
        <v>2407</v>
      </c>
      <c r="C115" s="274" t="s">
        <v>2408</v>
      </c>
      <c r="D115" s="274" t="s">
        <v>2646</v>
      </c>
      <c r="E115" s="275" t="s">
        <v>2647</v>
      </c>
      <c r="F115" s="274" t="s">
        <v>2087</v>
      </c>
      <c r="G115" s="274" t="s">
        <v>2410</v>
      </c>
    </row>
    <row r="116" spans="1:7" ht="15" customHeight="1">
      <c r="A116" s="75" t="s">
        <v>2418</v>
      </c>
      <c r="B116" s="75"/>
      <c r="C116" s="75"/>
      <c r="D116" s="75"/>
      <c r="E116" s="76"/>
      <c r="F116" s="75"/>
      <c r="G116" s="75"/>
    </row>
    <row r="117" spans="1:7" ht="15" customHeight="1">
      <c r="A117" s="272" t="s">
        <v>2269</v>
      </c>
      <c r="B117" s="272"/>
      <c r="C117" s="272" t="s">
        <v>2243</v>
      </c>
      <c r="D117" s="272" t="s">
        <v>2646</v>
      </c>
      <c r="E117" s="273" t="s">
        <v>2245</v>
      </c>
      <c r="F117" s="273" t="s">
        <v>2635</v>
      </c>
      <c r="G117" s="272" t="s">
        <v>2270</v>
      </c>
    </row>
    <row r="118" spans="1:7" ht="15" customHeight="1">
      <c r="A118" s="57" t="s">
        <v>2271</v>
      </c>
      <c r="B118" s="57" t="s">
        <v>2272</v>
      </c>
      <c r="C118" s="57" t="s">
        <v>2243</v>
      </c>
      <c r="D118" s="57" t="s">
        <v>2646</v>
      </c>
      <c r="E118" s="58" t="s">
        <v>2245</v>
      </c>
      <c r="F118" s="58" t="s">
        <v>2635</v>
      </c>
      <c r="G118" s="57" t="s">
        <v>2273</v>
      </c>
    </row>
    <row r="119" spans="1:7" ht="15" customHeight="1">
      <c r="A119" s="272" t="s">
        <v>2274</v>
      </c>
      <c r="B119" s="272"/>
      <c r="C119" s="272" t="s">
        <v>2254</v>
      </c>
      <c r="D119" s="272" t="s">
        <v>2646</v>
      </c>
      <c r="E119" s="273" t="s">
        <v>2251</v>
      </c>
      <c r="F119" s="273" t="s">
        <v>2635</v>
      </c>
      <c r="G119" s="272" t="s">
        <v>2252</v>
      </c>
    </row>
    <row r="120" spans="1:7" ht="15" customHeight="1">
      <c r="A120" s="75" t="s">
        <v>2429</v>
      </c>
      <c r="B120" s="75"/>
      <c r="C120" s="75"/>
      <c r="D120" s="75"/>
      <c r="E120" s="76"/>
      <c r="F120" s="75"/>
      <c r="G120" s="75"/>
    </row>
    <row r="121" spans="1:7" ht="15" customHeight="1">
      <c r="A121" s="57" t="s">
        <v>2241</v>
      </c>
      <c r="B121" s="57" t="s">
        <v>2242</v>
      </c>
      <c r="C121" s="57" t="s">
        <v>2243</v>
      </c>
      <c r="D121" s="57" t="s">
        <v>2648</v>
      </c>
      <c r="E121" s="58" t="s">
        <v>2245</v>
      </c>
      <c r="F121" s="58" t="s">
        <v>2635</v>
      </c>
      <c r="G121" s="57" t="s">
        <v>2246</v>
      </c>
    </row>
    <row r="122" spans="1:7" ht="15" customHeight="1">
      <c r="A122" s="274" t="s">
        <v>2309</v>
      </c>
      <c r="B122" s="274"/>
      <c r="C122" s="274" t="s">
        <v>2310</v>
      </c>
      <c r="D122" s="274" t="s">
        <v>2648</v>
      </c>
      <c r="E122" s="275" t="s">
        <v>1215</v>
      </c>
      <c r="F122" s="274" t="s">
        <v>2105</v>
      </c>
      <c r="G122" s="274" t="s">
        <v>2252</v>
      </c>
    </row>
    <row r="123" spans="1:7" ht="15" customHeight="1">
      <c r="A123" s="75" t="s">
        <v>2432</v>
      </c>
      <c r="B123" s="75"/>
      <c r="C123" s="75"/>
      <c r="D123" s="75"/>
      <c r="E123" s="76"/>
      <c r="F123" s="75"/>
      <c r="G123" s="75"/>
    </row>
    <row r="124" spans="1:7" ht="15" customHeight="1">
      <c r="A124" s="272" t="s">
        <v>2281</v>
      </c>
      <c r="B124" s="272" t="s">
        <v>2282</v>
      </c>
      <c r="C124" s="272" t="s">
        <v>2283</v>
      </c>
      <c r="D124" s="272" t="s">
        <v>2648</v>
      </c>
      <c r="E124" s="273" t="s">
        <v>2645</v>
      </c>
      <c r="F124" s="273" t="s">
        <v>2635</v>
      </c>
      <c r="G124" s="272" t="s">
        <v>2252</v>
      </c>
    </row>
    <row r="125" spans="1:7" ht="15" customHeight="1">
      <c r="A125" s="75" t="s">
        <v>2433</v>
      </c>
      <c r="B125" s="75"/>
      <c r="C125" s="75"/>
      <c r="D125" s="75"/>
      <c r="E125" s="76"/>
      <c r="F125" s="75"/>
      <c r="G125" s="75"/>
    </row>
    <row r="126" spans="1:7" ht="15" customHeight="1">
      <c r="A126" s="272" t="s">
        <v>2286</v>
      </c>
      <c r="B126" s="272" t="s">
        <v>2287</v>
      </c>
      <c r="C126" s="272" t="s">
        <v>2288</v>
      </c>
      <c r="D126" s="272" t="s">
        <v>2648</v>
      </c>
      <c r="E126" s="273" t="s">
        <v>2284</v>
      </c>
      <c r="F126" s="273" t="s">
        <v>2635</v>
      </c>
      <c r="G126" s="272" t="s">
        <v>2252</v>
      </c>
    </row>
    <row r="127" spans="1:7" ht="15" customHeight="1">
      <c r="A127" s="75" t="s">
        <v>2434</v>
      </c>
      <c r="B127" s="75"/>
      <c r="C127" s="75"/>
      <c r="D127" s="75"/>
      <c r="E127" s="76"/>
      <c r="F127" s="75"/>
      <c r="G127" s="75"/>
    </row>
    <row r="128" spans="1:7" ht="15" customHeight="1">
      <c r="A128" s="272" t="s">
        <v>2248</v>
      </c>
      <c r="B128" s="272" t="s">
        <v>2249</v>
      </c>
      <c r="C128" s="272" t="s">
        <v>2250</v>
      </c>
      <c r="D128" s="272" t="s">
        <v>2648</v>
      </c>
      <c r="E128" s="273" t="s">
        <v>2251</v>
      </c>
      <c r="F128" s="273" t="s">
        <v>2635</v>
      </c>
      <c r="G128" s="272" t="s">
        <v>2252</v>
      </c>
    </row>
    <row r="129" spans="1:7" ht="15" customHeight="1">
      <c r="A129" s="272" t="s">
        <v>2253</v>
      </c>
      <c r="B129" s="272" t="s">
        <v>2249</v>
      </c>
      <c r="C129" s="272" t="s">
        <v>2254</v>
      </c>
      <c r="D129" s="272" t="s">
        <v>2648</v>
      </c>
      <c r="E129" s="273" t="s">
        <v>2251</v>
      </c>
      <c r="F129" s="273" t="s">
        <v>2635</v>
      </c>
      <c r="G129" s="272" t="s">
        <v>2252</v>
      </c>
    </row>
    <row r="130" spans="1:7" ht="15" customHeight="1">
      <c r="A130" s="272" t="s">
        <v>2255</v>
      </c>
      <c r="B130" s="272" t="s">
        <v>2249</v>
      </c>
      <c r="C130" s="272" t="s">
        <v>2254</v>
      </c>
      <c r="D130" s="272" t="s">
        <v>2648</v>
      </c>
      <c r="E130" s="273" t="s">
        <v>2251</v>
      </c>
      <c r="F130" s="273" t="s">
        <v>2635</v>
      </c>
      <c r="G130" s="272" t="s">
        <v>2252</v>
      </c>
    </row>
    <row r="131" spans="1:7" ht="15" customHeight="1">
      <c r="A131" s="57" t="s">
        <v>2256</v>
      </c>
      <c r="B131" s="57" t="s">
        <v>2257</v>
      </c>
      <c r="C131" s="57" t="s">
        <v>2254</v>
      </c>
      <c r="D131" s="57" t="s">
        <v>2648</v>
      </c>
      <c r="E131" s="58" t="s">
        <v>2251</v>
      </c>
      <c r="F131" s="58" t="s">
        <v>2635</v>
      </c>
      <c r="G131" s="57" t="s">
        <v>2252</v>
      </c>
    </row>
    <row r="132" spans="1:7" ht="15" customHeight="1">
      <c r="A132" s="57" t="s">
        <v>2258</v>
      </c>
      <c r="B132" s="57"/>
      <c r="C132" s="57" t="s">
        <v>2254</v>
      </c>
      <c r="D132" s="57" t="s">
        <v>2648</v>
      </c>
      <c r="E132" s="58" t="s">
        <v>2251</v>
      </c>
      <c r="F132" s="58" t="s">
        <v>2635</v>
      </c>
      <c r="G132" s="57" t="s">
        <v>2252</v>
      </c>
    </row>
    <row r="133" spans="1:7" ht="15" customHeight="1">
      <c r="A133" s="57" t="s">
        <v>2259</v>
      </c>
      <c r="B133" s="57"/>
      <c r="C133" s="57" t="s">
        <v>2254</v>
      </c>
      <c r="D133" s="57" t="s">
        <v>2648</v>
      </c>
      <c r="E133" s="58" t="s">
        <v>2251</v>
      </c>
      <c r="F133" s="58" t="s">
        <v>2635</v>
      </c>
      <c r="G133" s="57" t="s">
        <v>2252</v>
      </c>
    </row>
    <row r="134" spans="1:7" ht="15" customHeight="1">
      <c r="A134" s="272" t="s">
        <v>2260</v>
      </c>
      <c r="B134" s="272"/>
      <c r="C134" s="272" t="s">
        <v>2254</v>
      </c>
      <c r="D134" s="272" t="s">
        <v>2648</v>
      </c>
      <c r="E134" s="273" t="s">
        <v>2251</v>
      </c>
      <c r="F134" s="273" t="s">
        <v>2635</v>
      </c>
      <c r="G134" s="272" t="s">
        <v>2252</v>
      </c>
    </row>
    <row r="135" spans="1:7" ht="15" customHeight="1">
      <c r="A135" s="75" t="s">
        <v>2439</v>
      </c>
      <c r="B135" s="75"/>
      <c r="C135" s="75"/>
      <c r="D135" s="75"/>
      <c r="E135" s="76"/>
      <c r="F135" s="75"/>
      <c r="G135" s="75"/>
    </row>
    <row r="136" spans="1:7" ht="15" customHeight="1">
      <c r="A136" s="272" t="s">
        <v>2262</v>
      </c>
      <c r="B136" s="272" t="s">
        <v>2263</v>
      </c>
      <c r="C136" s="272" t="s">
        <v>2243</v>
      </c>
      <c r="D136" s="272" t="s">
        <v>2648</v>
      </c>
      <c r="E136" s="273" t="s">
        <v>2245</v>
      </c>
      <c r="F136" s="273" t="s">
        <v>2635</v>
      </c>
      <c r="G136" s="272" t="s">
        <v>2264</v>
      </c>
    </row>
    <row r="137" spans="1:7" ht="15" customHeight="1">
      <c r="A137" s="272" t="s">
        <v>2265</v>
      </c>
      <c r="B137" s="272" t="s">
        <v>2266</v>
      </c>
      <c r="C137" s="272" t="s">
        <v>2243</v>
      </c>
      <c r="D137" s="272" t="s">
        <v>2648</v>
      </c>
      <c r="E137" s="273" t="s">
        <v>2245</v>
      </c>
      <c r="F137" s="273" t="s">
        <v>2635</v>
      </c>
      <c r="G137" s="272" t="s">
        <v>2267</v>
      </c>
    </row>
    <row r="138" spans="1:7" ht="15" customHeight="1">
      <c r="A138" s="75" t="s">
        <v>2441</v>
      </c>
      <c r="B138" s="75"/>
      <c r="C138" s="75"/>
      <c r="D138" s="75"/>
      <c r="E138" s="76"/>
      <c r="F138" s="75"/>
      <c r="G138" s="75"/>
    </row>
    <row r="139" spans="1:7" ht="15" customHeight="1">
      <c r="A139" s="274" t="s">
        <v>2406</v>
      </c>
      <c r="B139" s="274" t="s">
        <v>2407</v>
      </c>
      <c r="C139" s="274" t="s">
        <v>2408</v>
      </c>
      <c r="D139" s="274" t="s">
        <v>2648</v>
      </c>
      <c r="E139" s="275" t="s">
        <v>2631</v>
      </c>
      <c r="F139" s="274" t="s">
        <v>2105</v>
      </c>
      <c r="G139" s="274" t="s">
        <v>2410</v>
      </c>
    </row>
    <row r="140" spans="1:7" ht="15" customHeight="1">
      <c r="A140" s="75" t="s">
        <v>2443</v>
      </c>
      <c r="B140" s="75"/>
      <c r="C140" s="75"/>
      <c r="D140" s="75"/>
      <c r="E140" s="76"/>
      <c r="F140" s="75"/>
      <c r="G140" s="75"/>
    </row>
    <row r="141" spans="1:7" ht="15" customHeight="1">
      <c r="A141" s="272" t="s">
        <v>2269</v>
      </c>
      <c r="B141" s="272"/>
      <c r="C141" s="272" t="s">
        <v>2243</v>
      </c>
      <c r="D141" s="272" t="s">
        <v>2648</v>
      </c>
      <c r="E141" s="273" t="s">
        <v>2245</v>
      </c>
      <c r="F141" s="273" t="s">
        <v>2635</v>
      </c>
      <c r="G141" s="272" t="s">
        <v>2270</v>
      </c>
    </row>
    <row r="142" spans="1:7" ht="15" customHeight="1">
      <c r="A142" s="57" t="s">
        <v>2271</v>
      </c>
      <c r="B142" s="57" t="s">
        <v>2272</v>
      </c>
      <c r="C142" s="57" t="s">
        <v>2243</v>
      </c>
      <c r="D142" s="57" t="s">
        <v>2648</v>
      </c>
      <c r="E142" s="58" t="s">
        <v>2245</v>
      </c>
      <c r="F142" s="58" t="s">
        <v>2635</v>
      </c>
      <c r="G142" s="57" t="s">
        <v>2273</v>
      </c>
    </row>
    <row r="143" spans="1:7" ht="15" customHeight="1">
      <c r="A143" s="272" t="s">
        <v>2274</v>
      </c>
      <c r="B143" s="272"/>
      <c r="C143" s="272" t="s">
        <v>2254</v>
      </c>
      <c r="D143" s="272" t="s">
        <v>2648</v>
      </c>
      <c r="E143" s="273" t="s">
        <v>2251</v>
      </c>
      <c r="F143" s="273" t="s">
        <v>2635</v>
      </c>
      <c r="G143" s="272" t="s">
        <v>2252</v>
      </c>
    </row>
    <row r="144" spans="1:7" ht="15" customHeight="1">
      <c r="A144" s="75" t="s">
        <v>2444</v>
      </c>
      <c r="B144" s="75"/>
      <c r="C144" s="75"/>
      <c r="D144" s="75"/>
      <c r="E144" s="76"/>
      <c r="F144" s="75"/>
      <c r="G144" s="75"/>
    </row>
    <row r="145" spans="1:7" ht="15" customHeight="1">
      <c r="A145" s="272" t="s">
        <v>2241</v>
      </c>
      <c r="B145" s="272" t="s">
        <v>2242</v>
      </c>
      <c r="C145" s="272" t="s">
        <v>2243</v>
      </c>
      <c r="D145" s="272" t="s">
        <v>2649</v>
      </c>
      <c r="E145" s="273" t="s">
        <v>2245</v>
      </c>
      <c r="F145" s="273" t="s">
        <v>2635</v>
      </c>
      <c r="G145" s="272" t="s">
        <v>2246</v>
      </c>
    </row>
    <row r="146" spans="1:7" ht="15" customHeight="1">
      <c r="A146" s="274" t="s">
        <v>2309</v>
      </c>
      <c r="B146" s="274"/>
      <c r="C146" s="274" t="s">
        <v>2310</v>
      </c>
      <c r="D146" s="274" t="s">
        <v>2649</v>
      </c>
      <c r="E146" s="275" t="s">
        <v>1215</v>
      </c>
      <c r="F146" s="274" t="s">
        <v>2127</v>
      </c>
      <c r="G146" s="274" t="s">
        <v>2252</v>
      </c>
    </row>
    <row r="147" spans="1:7" ht="15" customHeight="1">
      <c r="A147" s="75" t="s">
        <v>2450</v>
      </c>
      <c r="B147" s="75"/>
      <c r="C147" s="75"/>
      <c r="D147" s="75"/>
      <c r="E147" s="76"/>
      <c r="F147" s="75"/>
      <c r="G147" s="75"/>
    </row>
    <row r="148" spans="1:7" ht="15" customHeight="1">
      <c r="A148" s="272" t="s">
        <v>2248</v>
      </c>
      <c r="B148" s="272" t="s">
        <v>2249</v>
      </c>
      <c r="C148" s="272" t="s">
        <v>2250</v>
      </c>
      <c r="D148" s="272" t="s">
        <v>2649</v>
      </c>
      <c r="E148" s="273" t="s">
        <v>2251</v>
      </c>
      <c r="F148" s="273" t="s">
        <v>2635</v>
      </c>
      <c r="G148" s="272" t="s">
        <v>2252</v>
      </c>
    </row>
    <row r="149" spans="1:7" ht="15" customHeight="1">
      <c r="A149" s="272" t="s">
        <v>2253</v>
      </c>
      <c r="B149" s="272" t="s">
        <v>2249</v>
      </c>
      <c r="C149" s="272" t="s">
        <v>2254</v>
      </c>
      <c r="D149" s="272" t="s">
        <v>2649</v>
      </c>
      <c r="E149" s="273" t="s">
        <v>2251</v>
      </c>
      <c r="F149" s="273" t="s">
        <v>2635</v>
      </c>
      <c r="G149" s="272" t="s">
        <v>2252</v>
      </c>
    </row>
    <row r="150" spans="1:7" ht="15" customHeight="1">
      <c r="A150" s="57" t="s">
        <v>2255</v>
      </c>
      <c r="B150" s="57" t="s">
        <v>2249</v>
      </c>
      <c r="C150" s="57" t="s">
        <v>2254</v>
      </c>
      <c r="D150" s="57" t="s">
        <v>2649</v>
      </c>
      <c r="E150" s="58" t="s">
        <v>2251</v>
      </c>
      <c r="F150" s="58" t="s">
        <v>2635</v>
      </c>
      <c r="G150" s="57" t="s">
        <v>2252</v>
      </c>
    </row>
    <row r="151" spans="1:7" ht="15" customHeight="1">
      <c r="A151" s="272" t="s">
        <v>2256</v>
      </c>
      <c r="B151" s="272" t="s">
        <v>2257</v>
      </c>
      <c r="C151" s="272" t="s">
        <v>2254</v>
      </c>
      <c r="D151" s="272" t="s">
        <v>2649</v>
      </c>
      <c r="E151" s="273" t="s">
        <v>2251</v>
      </c>
      <c r="F151" s="273" t="s">
        <v>2635</v>
      </c>
      <c r="G151" s="272" t="s">
        <v>2252</v>
      </c>
    </row>
    <row r="152" spans="1:7" ht="15" customHeight="1">
      <c r="A152" s="272" t="s">
        <v>2258</v>
      </c>
      <c r="B152" s="272"/>
      <c r="C152" s="272" t="s">
        <v>2254</v>
      </c>
      <c r="D152" s="272" t="s">
        <v>2649</v>
      </c>
      <c r="E152" s="273" t="s">
        <v>2251</v>
      </c>
      <c r="F152" s="273" t="s">
        <v>2635</v>
      </c>
      <c r="G152" s="272" t="s">
        <v>2252</v>
      </c>
    </row>
    <row r="153" spans="1:7" ht="15" customHeight="1">
      <c r="A153" s="57" t="s">
        <v>2259</v>
      </c>
      <c r="B153" s="57"/>
      <c r="C153" s="57" t="s">
        <v>2254</v>
      </c>
      <c r="D153" s="57" t="s">
        <v>2649</v>
      </c>
      <c r="E153" s="58" t="s">
        <v>2251</v>
      </c>
      <c r="F153" s="58" t="s">
        <v>2635</v>
      </c>
      <c r="G153" s="57" t="s">
        <v>2252</v>
      </c>
    </row>
    <row r="154" spans="1:7" ht="15" customHeight="1">
      <c r="A154" s="272" t="s">
        <v>2260</v>
      </c>
      <c r="B154" s="272"/>
      <c r="C154" s="272" t="s">
        <v>2254</v>
      </c>
      <c r="D154" s="272" t="s">
        <v>2649</v>
      </c>
      <c r="E154" s="273" t="s">
        <v>2251</v>
      </c>
      <c r="F154" s="273" t="s">
        <v>2635</v>
      </c>
      <c r="G154" s="272" t="s">
        <v>2252</v>
      </c>
    </row>
    <row r="155" spans="1:7" ht="15" customHeight="1">
      <c r="A155" s="75" t="s">
        <v>2455</v>
      </c>
      <c r="B155" s="75"/>
      <c r="C155" s="75"/>
      <c r="D155" s="75"/>
      <c r="E155" s="76"/>
      <c r="F155" s="75"/>
      <c r="G155" s="75"/>
    </row>
    <row r="156" spans="1:7" ht="15" customHeight="1">
      <c r="A156" s="272" t="s">
        <v>2262</v>
      </c>
      <c r="B156" s="272" t="s">
        <v>2263</v>
      </c>
      <c r="C156" s="272" t="s">
        <v>2243</v>
      </c>
      <c r="D156" s="272" t="s">
        <v>2649</v>
      </c>
      <c r="E156" s="273" t="s">
        <v>2245</v>
      </c>
      <c r="F156" s="273" t="s">
        <v>2635</v>
      </c>
      <c r="G156" s="272" t="s">
        <v>2264</v>
      </c>
    </row>
    <row r="157" spans="1:7" ht="15" customHeight="1">
      <c r="A157" s="272" t="s">
        <v>2265</v>
      </c>
      <c r="B157" s="272" t="s">
        <v>2266</v>
      </c>
      <c r="C157" s="272" t="s">
        <v>2243</v>
      </c>
      <c r="D157" s="272" t="s">
        <v>2649</v>
      </c>
      <c r="E157" s="273" t="s">
        <v>2245</v>
      </c>
      <c r="F157" s="273" t="s">
        <v>2635</v>
      </c>
      <c r="G157" s="272" t="s">
        <v>2267</v>
      </c>
    </row>
    <row r="158" spans="1:7" ht="15" customHeight="1">
      <c r="A158" s="75" t="s">
        <v>2457</v>
      </c>
      <c r="B158" s="75"/>
      <c r="C158" s="75"/>
      <c r="D158" s="75"/>
      <c r="E158" s="76"/>
      <c r="F158" s="75"/>
      <c r="G158" s="75"/>
    </row>
    <row r="159" spans="1:7" ht="15" customHeight="1">
      <c r="A159" s="274" t="s">
        <v>2406</v>
      </c>
      <c r="B159" s="274" t="s">
        <v>2407</v>
      </c>
      <c r="C159" s="274" t="s">
        <v>2408</v>
      </c>
      <c r="D159" s="274" t="s">
        <v>2649</v>
      </c>
      <c r="E159" s="275" t="s">
        <v>2442</v>
      </c>
      <c r="F159" s="275" t="s">
        <v>2127</v>
      </c>
      <c r="G159" s="274" t="s">
        <v>2410</v>
      </c>
    </row>
    <row r="160" spans="1:7" ht="15" customHeight="1">
      <c r="A160" s="272" t="s">
        <v>2650</v>
      </c>
      <c r="B160" s="272"/>
      <c r="C160" s="272" t="s">
        <v>2651</v>
      </c>
      <c r="D160" s="272" t="s">
        <v>2649</v>
      </c>
      <c r="E160" s="273" t="s">
        <v>2652</v>
      </c>
      <c r="F160" s="273" t="s">
        <v>2635</v>
      </c>
      <c r="G160" s="272" t="s">
        <v>2252</v>
      </c>
    </row>
    <row r="161" spans="1:7" ht="15" customHeight="1">
      <c r="A161" s="75" t="s">
        <v>2460</v>
      </c>
      <c r="B161" s="75"/>
      <c r="C161" s="75"/>
      <c r="D161" s="75"/>
      <c r="E161" s="76"/>
      <c r="F161" s="75"/>
      <c r="G161" s="75"/>
    </row>
    <row r="162" spans="1:7" ht="15" customHeight="1">
      <c r="A162" s="57" t="s">
        <v>2269</v>
      </c>
      <c r="B162" s="57"/>
      <c r="C162" s="57" t="s">
        <v>2243</v>
      </c>
      <c r="D162" s="57" t="s">
        <v>2649</v>
      </c>
      <c r="E162" s="58" t="s">
        <v>2245</v>
      </c>
      <c r="F162" s="58" t="s">
        <v>2635</v>
      </c>
      <c r="G162" s="57" t="s">
        <v>2270</v>
      </c>
    </row>
    <row r="163" spans="1:7" ht="15" customHeight="1">
      <c r="A163" s="272" t="s">
        <v>2271</v>
      </c>
      <c r="B163" s="272" t="s">
        <v>2272</v>
      </c>
      <c r="C163" s="272" t="s">
        <v>2243</v>
      </c>
      <c r="D163" s="272" t="s">
        <v>2649</v>
      </c>
      <c r="E163" s="273" t="s">
        <v>2245</v>
      </c>
      <c r="F163" s="273" t="s">
        <v>2635</v>
      </c>
      <c r="G163" s="272" t="s">
        <v>2273</v>
      </c>
    </row>
    <row r="164" spans="1:7" ht="15" customHeight="1">
      <c r="A164" s="272" t="s">
        <v>2274</v>
      </c>
      <c r="B164" s="272"/>
      <c r="C164" s="272" t="s">
        <v>2254</v>
      </c>
      <c r="D164" s="272" t="s">
        <v>2649</v>
      </c>
      <c r="E164" s="273" t="s">
        <v>2251</v>
      </c>
      <c r="F164" s="273" t="s">
        <v>2635</v>
      </c>
      <c r="G164" s="272" t="s">
        <v>2252</v>
      </c>
    </row>
    <row r="165" spans="1:7" ht="15" customHeight="1">
      <c r="A165" s="75" t="s">
        <v>2461</v>
      </c>
      <c r="B165" s="75"/>
      <c r="C165" s="75"/>
      <c r="D165" s="75"/>
      <c r="E165" s="76"/>
      <c r="F165" s="75"/>
      <c r="G165" s="75"/>
    </row>
    <row r="166" spans="1:7" ht="15" customHeight="1">
      <c r="A166" s="274" t="s">
        <v>2276</v>
      </c>
      <c r="B166" s="274" t="s">
        <v>2277</v>
      </c>
      <c r="C166" s="274" t="s">
        <v>1565</v>
      </c>
      <c r="D166" s="274" t="s">
        <v>2653</v>
      </c>
      <c r="E166" s="275" t="s">
        <v>108</v>
      </c>
      <c r="F166" s="275" t="s">
        <v>2145</v>
      </c>
      <c r="G166" s="274" t="s">
        <v>2279</v>
      </c>
    </row>
    <row r="167" spans="1:7" ht="15" customHeight="1">
      <c r="A167" s="272" t="s">
        <v>2309</v>
      </c>
      <c r="B167" s="272"/>
      <c r="C167" s="272" t="s">
        <v>2310</v>
      </c>
      <c r="D167" s="272" t="s">
        <v>2653</v>
      </c>
      <c r="E167" s="273" t="s">
        <v>2310</v>
      </c>
      <c r="F167" s="273" t="s">
        <v>2635</v>
      </c>
      <c r="G167" s="272" t="s">
        <v>2252</v>
      </c>
    </row>
    <row r="168" spans="1:7" ht="15" customHeight="1">
      <c r="A168" s="56" t="s">
        <v>2312</v>
      </c>
      <c r="B168" s="56" t="s">
        <v>2242</v>
      </c>
      <c r="C168" s="56" t="s">
        <v>108</v>
      </c>
      <c r="D168" s="56" t="s">
        <v>2653</v>
      </c>
      <c r="E168" s="74" t="s">
        <v>108</v>
      </c>
      <c r="F168" s="74" t="s">
        <v>2145</v>
      </c>
      <c r="G168" s="56" t="s">
        <v>2252</v>
      </c>
    </row>
    <row r="169" spans="1:7" ht="15" customHeight="1">
      <c r="A169" s="56" t="s">
        <v>2313</v>
      </c>
      <c r="B169" s="56" t="s">
        <v>2314</v>
      </c>
      <c r="C169" s="56" t="s">
        <v>2315</v>
      </c>
      <c r="D169" s="56" t="s">
        <v>2653</v>
      </c>
      <c r="E169" s="74" t="s">
        <v>2315</v>
      </c>
      <c r="F169" s="74" t="s">
        <v>2145</v>
      </c>
      <c r="G169" s="56" t="s">
        <v>2316</v>
      </c>
    </row>
    <row r="170" spans="1:7" ht="15" customHeight="1">
      <c r="A170" s="274" t="s">
        <v>2317</v>
      </c>
      <c r="B170" s="274"/>
      <c r="C170" s="274" t="s">
        <v>108</v>
      </c>
      <c r="D170" s="274" t="s">
        <v>2653</v>
      </c>
      <c r="E170" s="275" t="s">
        <v>108</v>
      </c>
      <c r="F170" s="274" t="s">
        <v>2145</v>
      </c>
      <c r="G170" s="274" t="s">
        <v>2252</v>
      </c>
    </row>
    <row r="171" spans="1:7" ht="15" customHeight="1">
      <c r="A171" s="75" t="s">
        <v>2463</v>
      </c>
      <c r="B171" s="75"/>
      <c r="C171" s="75"/>
      <c r="D171" s="75"/>
      <c r="E171" s="76"/>
      <c r="F171" s="75"/>
      <c r="G171" s="75"/>
    </row>
    <row r="172" spans="1:7" ht="15" customHeight="1">
      <c r="A172" s="56" t="s">
        <v>2319</v>
      </c>
      <c r="B172" s="56" t="s">
        <v>2249</v>
      </c>
      <c r="C172" s="56" t="s">
        <v>108</v>
      </c>
      <c r="D172" s="56" t="s">
        <v>2653</v>
      </c>
      <c r="E172" s="74" t="s">
        <v>108</v>
      </c>
      <c r="F172" s="74" t="s">
        <v>2145</v>
      </c>
      <c r="G172" s="56" t="s">
        <v>2252</v>
      </c>
    </row>
    <row r="173" spans="1:7" ht="15" customHeight="1">
      <c r="A173" s="56" t="s">
        <v>2320</v>
      </c>
      <c r="B173" s="56" t="s">
        <v>2321</v>
      </c>
      <c r="C173" s="56" t="s">
        <v>108</v>
      </c>
      <c r="D173" s="56" t="s">
        <v>2653</v>
      </c>
      <c r="E173" s="74" t="s">
        <v>108</v>
      </c>
      <c r="F173" s="74" t="s">
        <v>2145</v>
      </c>
      <c r="G173" s="56" t="s">
        <v>2322</v>
      </c>
    </row>
    <row r="174" spans="1:7" ht="15" customHeight="1">
      <c r="A174" s="274" t="s">
        <v>2323</v>
      </c>
      <c r="B174" s="274" t="s">
        <v>2321</v>
      </c>
      <c r="C174" s="274" t="s">
        <v>108</v>
      </c>
      <c r="D174" s="274" t="s">
        <v>2653</v>
      </c>
      <c r="E174" s="275" t="s">
        <v>108</v>
      </c>
      <c r="F174" s="274" t="s">
        <v>2145</v>
      </c>
      <c r="G174" s="274" t="s">
        <v>2252</v>
      </c>
    </row>
    <row r="175" spans="1:7" ht="15" customHeight="1">
      <c r="A175" s="274" t="s">
        <v>2324</v>
      </c>
      <c r="B175" s="274" t="s">
        <v>2325</v>
      </c>
      <c r="C175" s="274" t="s">
        <v>108</v>
      </c>
      <c r="D175" s="274" t="s">
        <v>2653</v>
      </c>
      <c r="E175" s="275" t="s">
        <v>108</v>
      </c>
      <c r="F175" s="274" t="s">
        <v>2145</v>
      </c>
      <c r="G175" s="274" t="s">
        <v>2326</v>
      </c>
    </row>
    <row r="176" spans="1:7" ht="15" customHeight="1">
      <c r="A176" s="75" t="s">
        <v>2654</v>
      </c>
      <c r="B176" s="75"/>
      <c r="C176" s="75"/>
      <c r="D176" s="75"/>
      <c r="E176" s="76"/>
      <c r="F176" s="75"/>
      <c r="G176" s="75"/>
    </row>
    <row r="177" spans="1:7" ht="15" customHeight="1">
      <c r="A177" s="274" t="s">
        <v>2328</v>
      </c>
      <c r="B177" s="274" t="s">
        <v>2282</v>
      </c>
      <c r="C177" s="274" t="s">
        <v>108</v>
      </c>
      <c r="D177" s="274" t="s">
        <v>2653</v>
      </c>
      <c r="E177" s="275" t="s">
        <v>108</v>
      </c>
      <c r="F177" s="274" t="s">
        <v>2145</v>
      </c>
      <c r="G177" s="274" t="s">
        <v>2252</v>
      </c>
    </row>
    <row r="178" spans="1:7" ht="15" customHeight="1">
      <c r="A178" s="56" t="s">
        <v>2281</v>
      </c>
      <c r="B178" s="56" t="s">
        <v>2282</v>
      </c>
      <c r="C178" s="56" t="s">
        <v>2283</v>
      </c>
      <c r="D178" s="56" t="s">
        <v>2653</v>
      </c>
      <c r="E178" s="74" t="s">
        <v>108</v>
      </c>
      <c r="F178" s="74" t="s">
        <v>2145</v>
      </c>
      <c r="G178" s="56" t="s">
        <v>2252</v>
      </c>
    </row>
    <row r="179" spans="1:7" ht="15" customHeight="1">
      <c r="A179" s="274" t="s">
        <v>2330</v>
      </c>
      <c r="B179" s="274" t="s">
        <v>2282</v>
      </c>
      <c r="C179" s="274" t="s">
        <v>2331</v>
      </c>
      <c r="D179" s="274" t="s">
        <v>2653</v>
      </c>
      <c r="E179" s="275" t="s">
        <v>108</v>
      </c>
      <c r="F179" s="274" t="s">
        <v>2145</v>
      </c>
      <c r="G179" s="274" t="s">
        <v>2332</v>
      </c>
    </row>
    <row r="180" spans="1:7" ht="15" customHeight="1">
      <c r="A180" s="274" t="s">
        <v>2333</v>
      </c>
      <c r="B180" s="274" t="s">
        <v>2282</v>
      </c>
      <c r="C180" s="274" t="s">
        <v>108</v>
      </c>
      <c r="D180" s="274" t="s">
        <v>2653</v>
      </c>
      <c r="E180" s="275" t="s">
        <v>108</v>
      </c>
      <c r="F180" s="274" t="s">
        <v>2145</v>
      </c>
      <c r="G180" s="274" t="s">
        <v>2252</v>
      </c>
    </row>
    <row r="181" spans="1:7" ht="15" customHeight="1">
      <c r="A181" s="75" t="s">
        <v>2655</v>
      </c>
      <c r="B181" s="75"/>
      <c r="C181" s="75"/>
      <c r="D181" s="75"/>
      <c r="E181" s="76"/>
      <c r="F181" s="75"/>
      <c r="G181" s="75"/>
    </row>
    <row r="182" spans="1:7" ht="15" customHeight="1">
      <c r="A182" s="274" t="s">
        <v>2335</v>
      </c>
      <c r="B182" s="274" t="s">
        <v>2336</v>
      </c>
      <c r="C182" s="274" t="s">
        <v>2337</v>
      </c>
      <c r="D182" s="274" t="s">
        <v>2653</v>
      </c>
      <c r="E182" s="275" t="s">
        <v>108</v>
      </c>
      <c r="F182" s="274" t="s">
        <v>2145</v>
      </c>
      <c r="G182" s="274" t="s">
        <v>2252</v>
      </c>
    </row>
    <row r="183" spans="1:7" ht="15" customHeight="1">
      <c r="A183" s="56" t="s">
        <v>2338</v>
      </c>
      <c r="B183" s="56" t="s">
        <v>2336</v>
      </c>
      <c r="C183" s="56" t="s">
        <v>2339</v>
      </c>
      <c r="D183" s="56" t="s">
        <v>2653</v>
      </c>
      <c r="E183" s="74" t="s">
        <v>108</v>
      </c>
      <c r="F183" s="74" t="s">
        <v>2145</v>
      </c>
      <c r="G183" s="56" t="s">
        <v>2252</v>
      </c>
    </row>
    <row r="184" spans="1:7" ht="15" customHeight="1">
      <c r="A184" s="56" t="s">
        <v>2340</v>
      </c>
      <c r="B184" s="56" t="s">
        <v>2341</v>
      </c>
      <c r="C184" s="56" t="s">
        <v>108</v>
      </c>
      <c r="D184" s="56" t="s">
        <v>2653</v>
      </c>
      <c r="E184" s="74" t="s">
        <v>108</v>
      </c>
      <c r="F184" s="74" t="s">
        <v>2145</v>
      </c>
      <c r="G184" s="56" t="s">
        <v>2342</v>
      </c>
    </row>
    <row r="185" spans="1:7" ht="15" customHeight="1">
      <c r="A185" s="274" t="s">
        <v>2343</v>
      </c>
      <c r="B185" s="274" t="s">
        <v>2341</v>
      </c>
      <c r="C185" s="274" t="s">
        <v>108</v>
      </c>
      <c r="D185" s="274" t="s">
        <v>2653</v>
      </c>
      <c r="E185" s="275" t="s">
        <v>108</v>
      </c>
      <c r="F185" s="274" t="s">
        <v>2145</v>
      </c>
      <c r="G185" s="274" t="s">
        <v>2252</v>
      </c>
    </row>
    <row r="186" spans="1:7" ht="15" customHeight="1">
      <c r="A186" s="75" t="s">
        <v>2467</v>
      </c>
      <c r="B186" s="75"/>
      <c r="C186" s="75"/>
      <c r="D186" s="75"/>
      <c r="E186" s="76"/>
      <c r="F186" s="75"/>
      <c r="G186" s="75"/>
    </row>
    <row r="187" spans="1:7" ht="15" customHeight="1">
      <c r="A187" s="274" t="s">
        <v>2345</v>
      </c>
      <c r="B187" s="274" t="s">
        <v>2346</v>
      </c>
      <c r="C187" s="274" t="s">
        <v>108</v>
      </c>
      <c r="D187" s="274" t="s">
        <v>2653</v>
      </c>
      <c r="E187" s="275" t="s">
        <v>108</v>
      </c>
      <c r="F187" s="275" t="s">
        <v>2145</v>
      </c>
      <c r="G187" s="274" t="s">
        <v>2347</v>
      </c>
    </row>
    <row r="188" spans="1:7" ht="15" customHeight="1">
      <c r="A188" s="274" t="s">
        <v>2248</v>
      </c>
      <c r="B188" s="274" t="s">
        <v>2249</v>
      </c>
      <c r="C188" s="274" t="s">
        <v>2250</v>
      </c>
      <c r="D188" s="274" t="s">
        <v>2653</v>
      </c>
      <c r="E188" s="275" t="s">
        <v>2526</v>
      </c>
      <c r="F188" s="275" t="s">
        <v>2145</v>
      </c>
      <c r="G188" s="274" t="s">
        <v>2252</v>
      </c>
    </row>
    <row r="189" spans="1:7" ht="15" customHeight="1">
      <c r="A189" s="274" t="s">
        <v>2253</v>
      </c>
      <c r="B189" s="274" t="s">
        <v>2249</v>
      </c>
      <c r="C189" s="274" t="s">
        <v>2254</v>
      </c>
      <c r="D189" s="274" t="s">
        <v>2653</v>
      </c>
      <c r="E189" s="275" t="s">
        <v>2526</v>
      </c>
      <c r="F189" s="274" t="s">
        <v>2145</v>
      </c>
      <c r="G189" s="274" t="s">
        <v>2252</v>
      </c>
    </row>
    <row r="190" spans="1:7" ht="15" customHeight="1">
      <c r="A190" s="56" t="s">
        <v>2255</v>
      </c>
      <c r="B190" s="56" t="s">
        <v>2249</v>
      </c>
      <c r="C190" s="56" t="s">
        <v>2254</v>
      </c>
      <c r="D190" s="56" t="s">
        <v>2653</v>
      </c>
      <c r="E190" s="74" t="s">
        <v>2526</v>
      </c>
      <c r="F190" s="74" t="s">
        <v>2145</v>
      </c>
      <c r="G190" s="56" t="s">
        <v>2252</v>
      </c>
    </row>
    <row r="191" spans="1:7" ht="15" customHeight="1">
      <c r="A191" s="274" t="s">
        <v>2256</v>
      </c>
      <c r="B191" s="274" t="s">
        <v>2257</v>
      </c>
      <c r="C191" s="274" t="s">
        <v>2254</v>
      </c>
      <c r="D191" s="274" t="s">
        <v>2653</v>
      </c>
      <c r="E191" s="275" t="s">
        <v>2526</v>
      </c>
      <c r="F191" s="275" t="s">
        <v>2145</v>
      </c>
      <c r="G191" s="274" t="s">
        <v>2252</v>
      </c>
    </row>
    <row r="192" spans="1:7" ht="15" customHeight="1">
      <c r="A192" s="56" t="s">
        <v>2258</v>
      </c>
      <c r="B192" s="56"/>
      <c r="C192" s="56" t="s">
        <v>2254</v>
      </c>
      <c r="D192" s="56" t="s">
        <v>2653</v>
      </c>
      <c r="E192" s="74" t="s">
        <v>2526</v>
      </c>
      <c r="F192" s="74" t="s">
        <v>2145</v>
      </c>
      <c r="G192" s="56" t="s">
        <v>2252</v>
      </c>
    </row>
    <row r="193" spans="1:7" ht="15" customHeight="1">
      <c r="A193" s="56" t="s">
        <v>2259</v>
      </c>
      <c r="B193" s="56"/>
      <c r="C193" s="56" t="s">
        <v>2254</v>
      </c>
      <c r="D193" s="56" t="s">
        <v>2653</v>
      </c>
      <c r="E193" s="74" t="s">
        <v>2526</v>
      </c>
      <c r="F193" s="74" t="s">
        <v>2145</v>
      </c>
      <c r="G193" s="56" t="s">
        <v>2252</v>
      </c>
    </row>
    <row r="194" spans="1:7" ht="15" customHeight="1">
      <c r="A194" s="274" t="s">
        <v>2260</v>
      </c>
      <c r="B194" s="274"/>
      <c r="C194" s="274" t="s">
        <v>2254</v>
      </c>
      <c r="D194" s="274" t="s">
        <v>2653</v>
      </c>
      <c r="E194" s="275" t="s">
        <v>2526</v>
      </c>
      <c r="F194" s="274" t="s">
        <v>2145</v>
      </c>
      <c r="G194" s="274" t="s">
        <v>2252</v>
      </c>
    </row>
    <row r="195" spans="1:7" ht="15" customHeight="1">
      <c r="A195" s="75" t="s">
        <v>2468</v>
      </c>
      <c r="B195" s="75"/>
      <c r="C195" s="75"/>
      <c r="D195" s="75"/>
      <c r="E195" s="76"/>
      <c r="F195" s="75"/>
      <c r="G195" s="75"/>
    </row>
    <row r="196" spans="1:7" ht="15" customHeight="1">
      <c r="A196" s="56" t="s">
        <v>2350</v>
      </c>
      <c r="B196" s="56" t="s">
        <v>2351</v>
      </c>
      <c r="C196" s="56" t="s">
        <v>108</v>
      </c>
      <c r="D196" s="56" t="s">
        <v>2653</v>
      </c>
      <c r="E196" s="74" t="s">
        <v>108</v>
      </c>
      <c r="F196" s="74" t="s">
        <v>2145</v>
      </c>
      <c r="G196" s="56" t="s">
        <v>2252</v>
      </c>
    </row>
    <row r="197" spans="1:7" ht="15" customHeight="1">
      <c r="A197" s="56" t="s">
        <v>2352</v>
      </c>
      <c r="B197" s="56"/>
      <c r="C197" s="56" t="s">
        <v>2337</v>
      </c>
      <c r="D197" s="56" t="s">
        <v>2653</v>
      </c>
      <c r="E197" s="74" t="s">
        <v>108</v>
      </c>
      <c r="F197" s="74" t="s">
        <v>2145</v>
      </c>
      <c r="G197" s="56" t="s">
        <v>2252</v>
      </c>
    </row>
    <row r="198" spans="1:7" ht="15" customHeight="1">
      <c r="A198" s="274" t="s">
        <v>2353</v>
      </c>
      <c r="B198" s="274" t="s">
        <v>2351</v>
      </c>
      <c r="C198" s="274" t="s">
        <v>2354</v>
      </c>
      <c r="D198" s="274" t="s">
        <v>2653</v>
      </c>
      <c r="E198" s="275" t="s">
        <v>108</v>
      </c>
      <c r="F198" s="274" t="s">
        <v>2145</v>
      </c>
      <c r="G198" s="274" t="s">
        <v>2355</v>
      </c>
    </row>
    <row r="199" spans="1:7" ht="15" customHeight="1">
      <c r="A199" s="274" t="s">
        <v>2356</v>
      </c>
      <c r="B199" s="274" t="s">
        <v>2351</v>
      </c>
      <c r="C199" s="274" t="s">
        <v>2315</v>
      </c>
      <c r="D199" s="274" t="s">
        <v>2653</v>
      </c>
      <c r="E199" s="275" t="s">
        <v>2315</v>
      </c>
      <c r="F199" s="274" t="s">
        <v>2145</v>
      </c>
      <c r="G199" s="274" t="s">
        <v>2252</v>
      </c>
    </row>
    <row r="200" spans="1:7" ht="15" customHeight="1">
      <c r="A200" s="274" t="s">
        <v>2357</v>
      </c>
      <c r="B200" s="274" t="s">
        <v>2358</v>
      </c>
      <c r="C200" s="274" t="s">
        <v>108</v>
      </c>
      <c r="D200" s="274" t="s">
        <v>2653</v>
      </c>
      <c r="E200" s="275" t="s">
        <v>108</v>
      </c>
      <c r="F200" s="274" t="s">
        <v>2145</v>
      </c>
      <c r="G200" s="274" t="s">
        <v>2252</v>
      </c>
    </row>
    <row r="201" spans="1:7" ht="15" customHeight="1">
      <c r="A201" s="75" t="s">
        <v>2473</v>
      </c>
      <c r="B201" s="75"/>
      <c r="C201" s="75"/>
      <c r="D201" s="75"/>
      <c r="E201" s="76"/>
      <c r="F201" s="75"/>
      <c r="G201" s="75"/>
    </row>
    <row r="202" spans="1:7" ht="15" customHeight="1">
      <c r="A202" s="56" t="s">
        <v>2363</v>
      </c>
      <c r="B202" s="56"/>
      <c r="C202" s="56" t="s">
        <v>2315</v>
      </c>
      <c r="D202" s="56" t="s">
        <v>2653</v>
      </c>
      <c r="E202" s="74" t="s">
        <v>2315</v>
      </c>
      <c r="F202" s="74" t="s">
        <v>2145</v>
      </c>
      <c r="G202" s="56" t="s">
        <v>2252</v>
      </c>
    </row>
    <row r="203" spans="1:7" ht="15" customHeight="1">
      <c r="A203" s="56" t="s">
        <v>2294</v>
      </c>
      <c r="B203" s="56"/>
      <c r="C203" s="56" t="s">
        <v>2295</v>
      </c>
      <c r="D203" s="56" t="s">
        <v>2653</v>
      </c>
      <c r="E203" s="74" t="s">
        <v>2315</v>
      </c>
      <c r="F203" s="74" t="s">
        <v>2145</v>
      </c>
      <c r="G203" s="56" t="s">
        <v>2252</v>
      </c>
    </row>
    <row r="204" spans="1:7" ht="15" customHeight="1">
      <c r="A204" s="274" t="s">
        <v>2364</v>
      </c>
      <c r="B204" s="274" t="s">
        <v>2351</v>
      </c>
      <c r="C204" s="274" t="s">
        <v>108</v>
      </c>
      <c r="D204" s="274" t="s">
        <v>2653</v>
      </c>
      <c r="E204" s="275" t="s">
        <v>108</v>
      </c>
      <c r="F204" s="274" t="s">
        <v>2145</v>
      </c>
      <c r="G204" s="274" t="s">
        <v>2252</v>
      </c>
    </row>
    <row r="205" spans="1:7" ht="15" customHeight="1">
      <c r="A205" s="274" t="s">
        <v>2365</v>
      </c>
      <c r="B205" s="274" t="s">
        <v>2351</v>
      </c>
      <c r="C205" s="274" t="s">
        <v>108</v>
      </c>
      <c r="D205" s="274" t="s">
        <v>2653</v>
      </c>
      <c r="E205" s="275" t="s">
        <v>108</v>
      </c>
      <c r="F205" s="274" t="s">
        <v>2145</v>
      </c>
      <c r="G205" s="274" t="s">
        <v>2252</v>
      </c>
    </row>
    <row r="206" spans="1:7" ht="15" customHeight="1">
      <c r="A206" s="274" t="s">
        <v>2366</v>
      </c>
      <c r="B206" s="274" t="s">
        <v>2257</v>
      </c>
      <c r="C206" s="274" t="s">
        <v>108</v>
      </c>
      <c r="D206" s="274" t="s">
        <v>2653</v>
      </c>
      <c r="E206" s="275" t="s">
        <v>108</v>
      </c>
      <c r="F206" s="275" t="s">
        <v>2145</v>
      </c>
      <c r="G206" s="274" t="s">
        <v>2252</v>
      </c>
    </row>
    <row r="207" spans="1:7" ht="15" customHeight="1">
      <c r="A207" s="56" t="s">
        <v>2367</v>
      </c>
      <c r="B207" s="56" t="s">
        <v>2368</v>
      </c>
      <c r="C207" s="56" t="s">
        <v>2315</v>
      </c>
      <c r="D207" s="56" t="s">
        <v>2653</v>
      </c>
      <c r="E207" s="74" t="s">
        <v>2315</v>
      </c>
      <c r="F207" s="74" t="s">
        <v>2145</v>
      </c>
      <c r="G207" s="56" t="s">
        <v>2252</v>
      </c>
    </row>
    <row r="208" spans="1:7" ht="15" customHeight="1">
      <c r="A208" s="274" t="s">
        <v>2369</v>
      </c>
      <c r="B208" s="274" t="s">
        <v>2368</v>
      </c>
      <c r="C208" s="274" t="s">
        <v>2315</v>
      </c>
      <c r="D208" s="274" t="s">
        <v>2653</v>
      </c>
      <c r="E208" s="275" t="s">
        <v>2315</v>
      </c>
      <c r="F208" s="274" t="s">
        <v>2145</v>
      </c>
      <c r="G208" s="274" t="s">
        <v>2252</v>
      </c>
    </row>
    <row r="209" spans="1:7" ht="15" customHeight="1">
      <c r="A209" s="274" t="s">
        <v>2370</v>
      </c>
      <c r="B209" s="274" t="s">
        <v>2368</v>
      </c>
      <c r="C209" s="274" t="s">
        <v>108</v>
      </c>
      <c r="D209" s="274" t="s">
        <v>2653</v>
      </c>
      <c r="E209" s="275" t="s">
        <v>108</v>
      </c>
      <c r="F209" s="274" t="s">
        <v>2145</v>
      </c>
      <c r="G209" s="274" t="s">
        <v>2371</v>
      </c>
    </row>
    <row r="210" spans="1:7" ht="15" customHeight="1">
      <c r="A210" s="75" t="s">
        <v>2656</v>
      </c>
      <c r="B210" s="75"/>
      <c r="C210" s="75"/>
      <c r="D210" s="75"/>
      <c r="E210" s="76"/>
      <c r="F210" s="75"/>
      <c r="G210" s="75"/>
    </row>
    <row r="211" spans="1:7" ht="15" customHeight="1">
      <c r="A211" s="56" t="s">
        <v>2373</v>
      </c>
      <c r="B211" s="56" t="s">
        <v>2374</v>
      </c>
      <c r="C211" s="56" t="s">
        <v>108</v>
      </c>
      <c r="D211" s="56" t="s">
        <v>2653</v>
      </c>
      <c r="E211" s="74" t="s">
        <v>108</v>
      </c>
      <c r="F211" s="74" t="s">
        <v>2145</v>
      </c>
      <c r="G211" s="56" t="s">
        <v>2252</v>
      </c>
    </row>
    <row r="212" spans="1:7" ht="15" customHeight="1">
      <c r="A212" s="274" t="s">
        <v>2375</v>
      </c>
      <c r="B212" s="274" t="s">
        <v>2376</v>
      </c>
      <c r="C212" s="274" t="s">
        <v>108</v>
      </c>
      <c r="D212" s="274" t="s">
        <v>2653</v>
      </c>
      <c r="E212" s="275" t="s">
        <v>108</v>
      </c>
      <c r="F212" s="274" t="s">
        <v>2145</v>
      </c>
      <c r="G212" s="274" t="s">
        <v>2252</v>
      </c>
    </row>
    <row r="213" spans="1:7" ht="15" customHeight="1">
      <c r="A213" s="56" t="s">
        <v>2377</v>
      </c>
      <c r="B213" s="56" t="s">
        <v>2376</v>
      </c>
      <c r="C213" s="56" t="s">
        <v>108</v>
      </c>
      <c r="D213" s="56" t="s">
        <v>2653</v>
      </c>
      <c r="E213" s="74" t="s">
        <v>108</v>
      </c>
      <c r="F213" s="74" t="s">
        <v>2145</v>
      </c>
      <c r="G213" s="56" t="s">
        <v>2252</v>
      </c>
    </row>
    <row r="214" spans="1:7" ht="15" customHeight="1">
      <c r="A214" s="75" t="s">
        <v>2475</v>
      </c>
      <c r="B214" s="75"/>
      <c r="C214" s="75"/>
      <c r="D214" s="75"/>
      <c r="E214" s="76"/>
      <c r="F214" s="75"/>
      <c r="G214" s="75"/>
    </row>
    <row r="215" spans="1:7" ht="15" customHeight="1">
      <c r="A215" s="274" t="s">
        <v>2379</v>
      </c>
      <c r="B215" s="274" t="s">
        <v>2263</v>
      </c>
      <c r="C215" s="274" t="s">
        <v>2315</v>
      </c>
      <c r="D215" s="274" t="s">
        <v>2653</v>
      </c>
      <c r="E215" s="275" t="s">
        <v>2315</v>
      </c>
      <c r="F215" s="275" t="s">
        <v>2145</v>
      </c>
      <c r="G215" s="274" t="s">
        <v>2380</v>
      </c>
    </row>
    <row r="216" spans="1:7" ht="15" customHeight="1">
      <c r="A216" s="56" t="s">
        <v>2381</v>
      </c>
      <c r="B216" s="56" t="s">
        <v>2301</v>
      </c>
      <c r="C216" s="56" t="s">
        <v>108</v>
      </c>
      <c r="D216" s="56" t="s">
        <v>2653</v>
      </c>
      <c r="E216" s="74" t="s">
        <v>108</v>
      </c>
      <c r="F216" s="74" t="s">
        <v>2145</v>
      </c>
      <c r="G216" s="56" t="s">
        <v>2382</v>
      </c>
    </row>
    <row r="217" spans="1:7" ht="15" customHeight="1">
      <c r="A217" s="274" t="s">
        <v>2383</v>
      </c>
      <c r="B217" s="274" t="s">
        <v>2298</v>
      </c>
      <c r="C217" s="274" t="s">
        <v>108</v>
      </c>
      <c r="D217" s="274" t="s">
        <v>2653</v>
      </c>
      <c r="E217" s="275" t="s">
        <v>108</v>
      </c>
      <c r="F217" s="274" t="s">
        <v>2145</v>
      </c>
      <c r="G217" s="274" t="s">
        <v>2384</v>
      </c>
    </row>
    <row r="218" spans="1:7" ht="15" customHeight="1">
      <c r="A218" s="56" t="s">
        <v>2385</v>
      </c>
      <c r="B218" s="56" t="s">
        <v>2386</v>
      </c>
      <c r="C218" s="56" t="s">
        <v>108</v>
      </c>
      <c r="D218" s="56" t="s">
        <v>2653</v>
      </c>
      <c r="E218" s="74" t="s">
        <v>108</v>
      </c>
      <c r="F218" s="74" t="s">
        <v>2145</v>
      </c>
      <c r="G218" s="56" t="s">
        <v>2387</v>
      </c>
    </row>
    <row r="219" spans="1:7" ht="15" customHeight="1">
      <c r="A219" s="75" t="s">
        <v>2476</v>
      </c>
      <c r="B219" s="75"/>
      <c r="C219" s="75"/>
      <c r="D219" s="75"/>
      <c r="E219" s="76"/>
      <c r="F219" s="75"/>
      <c r="G219" s="75"/>
    </row>
    <row r="220" spans="1:7" ht="15" customHeight="1">
      <c r="A220" s="56" t="s">
        <v>2389</v>
      </c>
      <c r="B220" s="56" t="s">
        <v>2301</v>
      </c>
      <c r="C220" s="56" t="s">
        <v>108</v>
      </c>
      <c r="D220" s="56" t="s">
        <v>2653</v>
      </c>
      <c r="E220" s="74" t="s">
        <v>108</v>
      </c>
      <c r="F220" s="74" t="s">
        <v>2145</v>
      </c>
      <c r="G220" s="56" t="s">
        <v>2390</v>
      </c>
    </row>
    <row r="221" spans="1:7" ht="15" customHeight="1">
      <c r="A221" s="274" t="s">
        <v>2391</v>
      </c>
      <c r="B221" s="274" t="s">
        <v>2392</v>
      </c>
      <c r="C221" s="274" t="s">
        <v>108</v>
      </c>
      <c r="D221" s="274" t="s">
        <v>2653</v>
      </c>
      <c r="E221" s="275" t="s">
        <v>108</v>
      </c>
      <c r="F221" s="274" t="s">
        <v>2145</v>
      </c>
      <c r="G221" s="274" t="s">
        <v>2393</v>
      </c>
    </row>
    <row r="222" spans="1:7" ht="15" customHeight="1">
      <c r="A222" s="56" t="s">
        <v>2394</v>
      </c>
      <c r="B222" s="56" t="s">
        <v>2395</v>
      </c>
      <c r="C222" s="56" t="s">
        <v>108</v>
      </c>
      <c r="D222" s="56" t="s">
        <v>2653</v>
      </c>
      <c r="E222" s="74" t="s">
        <v>108</v>
      </c>
      <c r="F222" s="74" t="s">
        <v>2145</v>
      </c>
      <c r="G222" s="56" t="s">
        <v>2396</v>
      </c>
    </row>
    <row r="223" spans="1:7" ht="15" customHeight="1">
      <c r="A223" s="274" t="s">
        <v>2397</v>
      </c>
      <c r="B223" s="274" t="s">
        <v>2398</v>
      </c>
      <c r="C223" s="274" t="s">
        <v>2315</v>
      </c>
      <c r="D223" s="274" t="s">
        <v>2653</v>
      </c>
      <c r="E223" s="275" t="s">
        <v>2315</v>
      </c>
      <c r="F223" s="274" t="s">
        <v>2145</v>
      </c>
      <c r="G223" s="274" t="s">
        <v>2252</v>
      </c>
    </row>
    <row r="224" spans="1:7" ht="15" customHeight="1">
      <c r="A224" s="56" t="s">
        <v>2399</v>
      </c>
      <c r="B224" s="56" t="s">
        <v>2398</v>
      </c>
      <c r="C224" s="56" t="s">
        <v>2400</v>
      </c>
      <c r="D224" s="56" t="s">
        <v>2653</v>
      </c>
      <c r="E224" s="74" t="s">
        <v>108</v>
      </c>
      <c r="F224" s="74" t="s">
        <v>2145</v>
      </c>
      <c r="G224" s="56" t="s">
        <v>2252</v>
      </c>
    </row>
    <row r="225" spans="1:7" ht="15" customHeight="1">
      <c r="A225" s="75" t="s">
        <v>2482</v>
      </c>
      <c r="B225" s="75"/>
      <c r="C225" s="75"/>
      <c r="D225" s="75"/>
      <c r="E225" s="76"/>
      <c r="F225" s="75"/>
      <c r="G225" s="75"/>
    </row>
    <row r="226" spans="1:7" ht="15" customHeight="1">
      <c r="A226" s="56" t="s">
        <v>2402</v>
      </c>
      <c r="B226" s="56" t="s">
        <v>2403</v>
      </c>
      <c r="C226" s="56" t="s">
        <v>108</v>
      </c>
      <c r="D226" s="56" t="s">
        <v>2653</v>
      </c>
      <c r="E226" s="74" t="s">
        <v>108</v>
      </c>
      <c r="F226" s="74" t="s">
        <v>2145</v>
      </c>
      <c r="G226" s="56" t="s">
        <v>2252</v>
      </c>
    </row>
    <row r="227" spans="1:7" ht="15" customHeight="1">
      <c r="A227" s="274" t="s">
        <v>2404</v>
      </c>
      <c r="B227" s="274" t="s">
        <v>2403</v>
      </c>
      <c r="C227" s="274" t="s">
        <v>2315</v>
      </c>
      <c r="D227" s="274" t="s">
        <v>2653</v>
      </c>
      <c r="E227" s="275" t="s">
        <v>2315</v>
      </c>
      <c r="F227" s="274" t="s">
        <v>2145</v>
      </c>
      <c r="G227" s="274" t="s">
        <v>2405</v>
      </c>
    </row>
    <row r="228" spans="1:7" ht="15" customHeight="1">
      <c r="A228" s="56" t="s">
        <v>2406</v>
      </c>
      <c r="B228" s="56" t="s">
        <v>2407</v>
      </c>
      <c r="C228" s="56" t="s">
        <v>2408</v>
      </c>
      <c r="D228" s="56" t="s">
        <v>2653</v>
      </c>
      <c r="E228" s="74" t="s">
        <v>2442</v>
      </c>
      <c r="F228" s="74" t="s">
        <v>2146</v>
      </c>
      <c r="G228" s="56" t="s">
        <v>2410</v>
      </c>
    </row>
    <row r="229" spans="1:7" ht="15" customHeight="1">
      <c r="A229" s="56" t="s">
        <v>2411</v>
      </c>
      <c r="B229" s="56" t="s">
        <v>2407</v>
      </c>
      <c r="C229" s="56" t="s">
        <v>2331</v>
      </c>
      <c r="D229" s="56" t="s">
        <v>2653</v>
      </c>
      <c r="E229" s="74" t="s">
        <v>108</v>
      </c>
      <c r="F229" s="74" t="s">
        <v>2145</v>
      </c>
      <c r="G229" s="56" t="s">
        <v>2412</v>
      </c>
    </row>
    <row r="230" spans="1:7" ht="15" customHeight="1">
      <c r="A230" s="274" t="s">
        <v>2413</v>
      </c>
      <c r="B230" s="274" t="s">
        <v>2403</v>
      </c>
      <c r="C230" s="274" t="s">
        <v>2414</v>
      </c>
      <c r="D230" s="274" t="s">
        <v>2653</v>
      </c>
      <c r="E230" s="275" t="s">
        <v>108</v>
      </c>
      <c r="F230" s="274" t="s">
        <v>2145</v>
      </c>
      <c r="G230" s="274" t="s">
        <v>2252</v>
      </c>
    </row>
    <row r="231" spans="1:7" ht="15" customHeight="1">
      <c r="A231" s="56" t="s">
        <v>2415</v>
      </c>
      <c r="B231" s="56" t="s">
        <v>2403</v>
      </c>
      <c r="C231" s="56" t="s">
        <v>2416</v>
      </c>
      <c r="D231" s="56" t="s">
        <v>2653</v>
      </c>
      <c r="E231" s="74" t="s">
        <v>108</v>
      </c>
      <c r="F231" s="74" t="s">
        <v>2145</v>
      </c>
      <c r="G231" s="56" t="s">
        <v>2417</v>
      </c>
    </row>
    <row r="232" spans="1:7" ht="15" customHeight="1">
      <c r="A232" s="75" t="s">
        <v>2483</v>
      </c>
      <c r="B232" s="75"/>
      <c r="C232" s="75"/>
      <c r="D232" s="75"/>
      <c r="E232" s="76"/>
      <c r="F232" s="75"/>
      <c r="G232" s="75"/>
    </row>
    <row r="233" spans="1:7" ht="15" customHeight="1">
      <c r="A233" s="274" t="s">
        <v>2419</v>
      </c>
      <c r="B233" s="274" t="s">
        <v>2287</v>
      </c>
      <c r="C233" s="274" t="s">
        <v>2420</v>
      </c>
      <c r="D233" s="274" t="s">
        <v>2653</v>
      </c>
      <c r="E233" s="275" t="s">
        <v>108</v>
      </c>
      <c r="F233" s="275" t="s">
        <v>2145</v>
      </c>
      <c r="G233" s="274" t="s">
        <v>2421</v>
      </c>
    </row>
    <row r="234" spans="1:7" ht="15" customHeight="1">
      <c r="A234" s="56" t="s">
        <v>2422</v>
      </c>
      <c r="B234" s="56" t="s">
        <v>2423</v>
      </c>
      <c r="C234" s="56" t="s">
        <v>2424</v>
      </c>
      <c r="D234" s="56" t="s">
        <v>2653</v>
      </c>
      <c r="E234" s="74" t="s">
        <v>108</v>
      </c>
      <c r="F234" s="74" t="s">
        <v>2145</v>
      </c>
      <c r="G234" s="56" t="s">
        <v>2425</v>
      </c>
    </row>
    <row r="235" spans="1:7" ht="17.25">
      <c r="A235" s="274" t="s">
        <v>2274</v>
      </c>
      <c r="B235" s="274"/>
      <c r="C235" s="274" t="s">
        <v>2254</v>
      </c>
      <c r="D235" s="274" t="s">
        <v>2653</v>
      </c>
      <c r="E235" s="275" t="s">
        <v>2526</v>
      </c>
      <c r="F235" s="274" t="s">
        <v>2145</v>
      </c>
      <c r="G235" s="274" t="s">
        <v>2252</v>
      </c>
    </row>
    <row r="236" spans="1:7" ht="15">
      <c r="A236" s="56" t="s">
        <v>2426</v>
      </c>
      <c r="B236" s="56" t="s">
        <v>2272</v>
      </c>
      <c r="C236" s="56" t="s">
        <v>2427</v>
      </c>
      <c r="D236" s="56" t="s">
        <v>2653</v>
      </c>
      <c r="E236" s="74" t="s">
        <v>2427</v>
      </c>
      <c r="F236" s="74" t="s">
        <v>2145</v>
      </c>
      <c r="G236" s="56" t="s">
        <v>2428</v>
      </c>
    </row>
    <row r="237" spans="1:7" ht="17.25">
      <c r="A237" s="75" t="s">
        <v>2497</v>
      </c>
      <c r="B237" s="75"/>
      <c r="C237" s="75"/>
      <c r="D237" s="75"/>
      <c r="E237" s="76"/>
      <c r="F237" s="75"/>
      <c r="G237" s="75"/>
    </row>
    <row r="238" spans="1:7" ht="17.25">
      <c r="A238" s="272" t="s">
        <v>2241</v>
      </c>
      <c r="B238" s="272" t="s">
        <v>2242</v>
      </c>
      <c r="C238" s="272" t="s">
        <v>2243</v>
      </c>
      <c r="D238" s="272" t="s">
        <v>2657</v>
      </c>
      <c r="E238" s="273" t="s">
        <v>2245</v>
      </c>
      <c r="F238" s="273" t="s">
        <v>2635</v>
      </c>
      <c r="G238" s="272" t="s">
        <v>2246</v>
      </c>
    </row>
    <row r="239" spans="1:7" ht="15">
      <c r="A239" s="56" t="s">
        <v>2309</v>
      </c>
      <c r="B239" s="56"/>
      <c r="C239" s="56" t="s">
        <v>2310</v>
      </c>
      <c r="D239" s="56" t="s">
        <v>2657</v>
      </c>
      <c r="E239" s="74" t="s">
        <v>1215</v>
      </c>
      <c r="F239" s="74" t="s">
        <v>2164</v>
      </c>
      <c r="G239" s="56" t="s">
        <v>2252</v>
      </c>
    </row>
    <row r="240" spans="1:7" ht="17.25">
      <c r="A240" s="75" t="s">
        <v>2502</v>
      </c>
      <c r="B240" s="75"/>
      <c r="C240" s="75"/>
      <c r="D240" s="75"/>
      <c r="E240" s="76"/>
      <c r="F240" s="75"/>
      <c r="G240" s="75"/>
    </row>
    <row r="241" spans="1:7" ht="17.25">
      <c r="A241" s="272" t="s">
        <v>2248</v>
      </c>
      <c r="B241" s="272" t="s">
        <v>2249</v>
      </c>
      <c r="C241" s="272" t="s">
        <v>2250</v>
      </c>
      <c r="D241" s="272" t="s">
        <v>2657</v>
      </c>
      <c r="E241" s="273" t="s">
        <v>2251</v>
      </c>
      <c r="F241" s="273" t="s">
        <v>2635</v>
      </c>
      <c r="G241" s="272" t="s">
        <v>2252</v>
      </c>
    </row>
    <row r="242" spans="1:7" ht="15">
      <c r="A242" s="57" t="s">
        <v>2253</v>
      </c>
      <c r="B242" s="57" t="s">
        <v>2249</v>
      </c>
      <c r="C242" s="57" t="s">
        <v>2254</v>
      </c>
      <c r="D242" s="57" t="s">
        <v>2657</v>
      </c>
      <c r="E242" s="58" t="s">
        <v>2251</v>
      </c>
      <c r="F242" s="58" t="s">
        <v>2635</v>
      </c>
      <c r="G242" s="57" t="s">
        <v>2252</v>
      </c>
    </row>
    <row r="243" spans="1:7" ht="17.25">
      <c r="A243" s="272" t="s">
        <v>2255</v>
      </c>
      <c r="B243" s="272" t="s">
        <v>2249</v>
      </c>
      <c r="C243" s="272" t="s">
        <v>2254</v>
      </c>
      <c r="D243" s="272" t="s">
        <v>2657</v>
      </c>
      <c r="E243" s="273" t="s">
        <v>2251</v>
      </c>
      <c r="F243" s="273" t="s">
        <v>2635</v>
      </c>
      <c r="G243" s="272" t="s">
        <v>2252</v>
      </c>
    </row>
    <row r="244" spans="1:7" ht="15">
      <c r="A244" s="57" t="s">
        <v>2256</v>
      </c>
      <c r="B244" s="57" t="s">
        <v>2257</v>
      </c>
      <c r="C244" s="57" t="s">
        <v>2254</v>
      </c>
      <c r="D244" s="57" t="s">
        <v>2657</v>
      </c>
      <c r="E244" s="58" t="s">
        <v>2251</v>
      </c>
      <c r="F244" s="58" t="s">
        <v>2635</v>
      </c>
      <c r="G244" s="57" t="s">
        <v>2252</v>
      </c>
    </row>
    <row r="245" spans="1:7" ht="15">
      <c r="A245" s="57" t="s">
        <v>2258</v>
      </c>
      <c r="B245" s="57"/>
      <c r="C245" s="57" t="s">
        <v>2254</v>
      </c>
      <c r="D245" s="57" t="s">
        <v>2657</v>
      </c>
      <c r="E245" s="58" t="s">
        <v>2251</v>
      </c>
      <c r="F245" s="58" t="s">
        <v>2635</v>
      </c>
      <c r="G245" s="57" t="s">
        <v>2252</v>
      </c>
    </row>
    <row r="246" spans="1:7" ht="17.25">
      <c r="A246" s="272" t="s">
        <v>2259</v>
      </c>
      <c r="B246" s="272"/>
      <c r="C246" s="272" t="s">
        <v>2254</v>
      </c>
      <c r="D246" s="272" t="s">
        <v>2657</v>
      </c>
      <c r="E246" s="273" t="s">
        <v>2251</v>
      </c>
      <c r="F246" s="273" t="s">
        <v>2635</v>
      </c>
      <c r="G246" s="272" t="s">
        <v>2252</v>
      </c>
    </row>
    <row r="247" spans="1:7" ht="15">
      <c r="A247" s="57" t="s">
        <v>2260</v>
      </c>
      <c r="B247" s="57"/>
      <c r="C247" s="57" t="s">
        <v>2254</v>
      </c>
      <c r="D247" s="57" t="s">
        <v>2657</v>
      </c>
      <c r="E247" s="58" t="s">
        <v>2251</v>
      </c>
      <c r="F247" s="58" t="s">
        <v>2635</v>
      </c>
      <c r="G247" s="57" t="s">
        <v>2252</v>
      </c>
    </row>
    <row r="248" spans="1:7" ht="17.25">
      <c r="A248" s="75" t="s">
        <v>2507</v>
      </c>
      <c r="B248" s="75"/>
      <c r="C248" s="75"/>
      <c r="D248" s="75"/>
      <c r="E248" s="76"/>
      <c r="F248" s="75"/>
      <c r="G248" s="75"/>
    </row>
    <row r="249" spans="1:7" ht="17.25">
      <c r="A249" s="272" t="s">
        <v>2262</v>
      </c>
      <c r="B249" s="272" t="s">
        <v>2263</v>
      </c>
      <c r="C249" s="272" t="s">
        <v>2243</v>
      </c>
      <c r="D249" s="272" t="s">
        <v>2657</v>
      </c>
      <c r="E249" s="273" t="s">
        <v>2245</v>
      </c>
      <c r="F249" s="273" t="s">
        <v>2635</v>
      </c>
      <c r="G249" s="272" t="s">
        <v>2264</v>
      </c>
    </row>
    <row r="250" spans="1:7" ht="15">
      <c r="A250" s="57" t="s">
        <v>2265</v>
      </c>
      <c r="B250" s="57" t="s">
        <v>2266</v>
      </c>
      <c r="C250" s="57" t="s">
        <v>2243</v>
      </c>
      <c r="D250" s="57" t="s">
        <v>2657</v>
      </c>
      <c r="E250" s="58" t="s">
        <v>2245</v>
      </c>
      <c r="F250" s="58" t="s">
        <v>2635</v>
      </c>
      <c r="G250" s="57" t="s">
        <v>2267</v>
      </c>
    </row>
    <row r="251" spans="1:7" ht="17.25">
      <c r="A251" s="75" t="s">
        <v>2509</v>
      </c>
      <c r="B251" s="75"/>
      <c r="C251" s="75"/>
      <c r="D251" s="75"/>
      <c r="E251" s="76"/>
      <c r="F251" s="75"/>
      <c r="G251" s="75"/>
    </row>
    <row r="252" spans="1:7" ht="17.25">
      <c r="A252" s="274" t="s">
        <v>2406</v>
      </c>
      <c r="B252" s="274" t="s">
        <v>2407</v>
      </c>
      <c r="C252" s="274" t="s">
        <v>2408</v>
      </c>
      <c r="D252" s="274" t="s">
        <v>2657</v>
      </c>
      <c r="E252" s="275" t="s">
        <v>2442</v>
      </c>
      <c r="F252" s="275" t="s">
        <v>2164</v>
      </c>
      <c r="G252" s="274" t="s">
        <v>2410</v>
      </c>
    </row>
    <row r="253" spans="1:7" ht="17.25">
      <c r="A253" s="75" t="s">
        <v>2510</v>
      </c>
      <c r="B253" s="75"/>
      <c r="C253" s="75"/>
      <c r="D253" s="75"/>
      <c r="E253" s="76"/>
      <c r="F253" s="75"/>
      <c r="G253" s="75"/>
    </row>
    <row r="254" spans="1:7" ht="15">
      <c r="A254" s="57" t="s">
        <v>2269</v>
      </c>
      <c r="B254" s="57"/>
      <c r="C254" s="57" t="s">
        <v>2243</v>
      </c>
      <c r="D254" s="57" t="s">
        <v>2657</v>
      </c>
      <c r="E254" s="58" t="s">
        <v>2245</v>
      </c>
      <c r="F254" s="58" t="s">
        <v>2635</v>
      </c>
      <c r="G254" s="57" t="s">
        <v>2270</v>
      </c>
    </row>
    <row r="255" spans="1:7" ht="17.25">
      <c r="A255" s="272" t="s">
        <v>2271</v>
      </c>
      <c r="B255" s="272" t="s">
        <v>2272</v>
      </c>
      <c r="C255" s="272" t="s">
        <v>2243</v>
      </c>
      <c r="D255" s="272" t="s">
        <v>2657</v>
      </c>
      <c r="E255" s="273" t="s">
        <v>2245</v>
      </c>
      <c r="F255" s="273" t="s">
        <v>2635</v>
      </c>
      <c r="G255" s="272" t="s">
        <v>2273</v>
      </c>
    </row>
    <row r="256" spans="1:7" ht="17.25">
      <c r="A256" s="272" t="s">
        <v>2274</v>
      </c>
      <c r="B256" s="272"/>
      <c r="C256" s="272" t="s">
        <v>2254</v>
      </c>
      <c r="D256" s="272" t="s">
        <v>2657</v>
      </c>
      <c r="E256" s="273" t="s">
        <v>2251</v>
      </c>
      <c r="F256" s="273" t="s">
        <v>2635</v>
      </c>
      <c r="G256" s="272" t="s">
        <v>2252</v>
      </c>
    </row>
    <row r="257" spans="1:7" ht="17.25">
      <c r="A257" s="75" t="s">
        <v>2520</v>
      </c>
      <c r="B257" s="75"/>
      <c r="C257" s="75"/>
      <c r="D257" s="75"/>
      <c r="E257" s="76"/>
      <c r="F257" s="75"/>
      <c r="G257" s="75"/>
    </row>
    <row r="258" spans="1:7" ht="17.25">
      <c r="A258" s="272" t="s">
        <v>2241</v>
      </c>
      <c r="B258" s="272" t="s">
        <v>2242</v>
      </c>
      <c r="C258" s="272" t="s">
        <v>2243</v>
      </c>
      <c r="D258" s="272" t="s">
        <v>2658</v>
      </c>
      <c r="E258" s="273" t="s">
        <v>2245</v>
      </c>
      <c r="F258" s="273" t="s">
        <v>2635</v>
      </c>
      <c r="G258" s="272" t="s">
        <v>2246</v>
      </c>
    </row>
    <row r="259" spans="1:7" ht="17.25">
      <c r="A259" s="274" t="s">
        <v>2309</v>
      </c>
      <c r="B259" s="274"/>
      <c r="C259" s="274" t="s">
        <v>2310</v>
      </c>
      <c r="D259" s="274" t="s">
        <v>2658</v>
      </c>
      <c r="E259" s="275" t="s">
        <v>1215</v>
      </c>
      <c r="F259" s="275" t="s">
        <v>2182</v>
      </c>
      <c r="G259" s="274" t="s">
        <v>2252</v>
      </c>
    </row>
    <row r="260" spans="1:7" ht="17.25">
      <c r="A260" s="75" t="s">
        <v>2523</v>
      </c>
      <c r="B260" s="75"/>
      <c r="C260" s="75"/>
      <c r="D260" s="75"/>
      <c r="E260" s="76"/>
      <c r="F260" s="75"/>
      <c r="G260" s="75"/>
    </row>
    <row r="261" spans="1:7" ht="15">
      <c r="A261" s="57" t="s">
        <v>2281</v>
      </c>
      <c r="B261" s="57" t="s">
        <v>2282</v>
      </c>
      <c r="C261" s="57" t="s">
        <v>2283</v>
      </c>
      <c r="D261" s="57" t="s">
        <v>2658</v>
      </c>
      <c r="E261" s="58" t="s">
        <v>2284</v>
      </c>
      <c r="F261" s="58" t="s">
        <v>2635</v>
      </c>
      <c r="G261" s="57" t="s">
        <v>2252</v>
      </c>
    </row>
    <row r="262" spans="1:7" ht="17.25">
      <c r="A262" s="75" t="s">
        <v>2524</v>
      </c>
      <c r="B262" s="75"/>
      <c r="C262" s="75"/>
      <c r="D262" s="75"/>
      <c r="E262" s="76"/>
      <c r="F262" s="75"/>
      <c r="G262" s="75"/>
    </row>
    <row r="263" spans="1:7" ht="15">
      <c r="A263" s="57" t="s">
        <v>2286</v>
      </c>
      <c r="B263" s="57" t="s">
        <v>2287</v>
      </c>
      <c r="C263" s="57" t="s">
        <v>2288</v>
      </c>
      <c r="D263" s="57" t="s">
        <v>2658</v>
      </c>
      <c r="E263" s="58" t="s">
        <v>2284</v>
      </c>
      <c r="F263" s="58" t="s">
        <v>2635</v>
      </c>
      <c r="G263" s="57" t="s">
        <v>2252</v>
      </c>
    </row>
    <row r="264" spans="1:7" ht="17.25">
      <c r="A264" s="75" t="s">
        <v>2525</v>
      </c>
      <c r="B264" s="75"/>
      <c r="C264" s="75"/>
      <c r="D264" s="75"/>
      <c r="E264" s="76"/>
      <c r="F264" s="75"/>
      <c r="G264" s="75"/>
    </row>
    <row r="265" spans="1:7" ht="17.25">
      <c r="A265" s="272" t="s">
        <v>2248</v>
      </c>
      <c r="B265" s="272" t="s">
        <v>2249</v>
      </c>
      <c r="C265" s="272" t="s">
        <v>2250</v>
      </c>
      <c r="D265" s="272" t="s">
        <v>2658</v>
      </c>
      <c r="E265" s="273" t="s">
        <v>2251</v>
      </c>
      <c r="F265" s="273" t="s">
        <v>2635</v>
      </c>
      <c r="G265" s="272" t="s">
        <v>2252</v>
      </c>
    </row>
    <row r="266" spans="1:7" ht="17.25">
      <c r="A266" s="272" t="s">
        <v>2253</v>
      </c>
      <c r="B266" s="272" t="s">
        <v>2249</v>
      </c>
      <c r="C266" s="272" t="s">
        <v>2254</v>
      </c>
      <c r="D266" s="272" t="s">
        <v>2658</v>
      </c>
      <c r="E266" s="273" t="s">
        <v>2251</v>
      </c>
      <c r="F266" s="273" t="s">
        <v>2635</v>
      </c>
      <c r="G266" s="272" t="s">
        <v>2252</v>
      </c>
    </row>
    <row r="267" spans="1:7" ht="15">
      <c r="A267" s="57" t="s">
        <v>2255</v>
      </c>
      <c r="B267" s="57" t="s">
        <v>2249</v>
      </c>
      <c r="C267" s="57" t="s">
        <v>2254</v>
      </c>
      <c r="D267" s="57" t="s">
        <v>2658</v>
      </c>
      <c r="E267" s="58" t="s">
        <v>2251</v>
      </c>
      <c r="F267" s="58" t="s">
        <v>2635</v>
      </c>
      <c r="G267" s="57" t="s">
        <v>2252</v>
      </c>
    </row>
    <row r="268" spans="1:7" ht="17.25">
      <c r="A268" s="272" t="s">
        <v>2256</v>
      </c>
      <c r="B268" s="272" t="s">
        <v>2257</v>
      </c>
      <c r="C268" s="272" t="s">
        <v>2254</v>
      </c>
      <c r="D268" s="272" t="s">
        <v>2658</v>
      </c>
      <c r="E268" s="273" t="s">
        <v>2251</v>
      </c>
      <c r="F268" s="273" t="s">
        <v>2635</v>
      </c>
      <c r="G268" s="272" t="s">
        <v>2252</v>
      </c>
    </row>
    <row r="269" spans="1:7" ht="15">
      <c r="A269" s="57" t="s">
        <v>2258</v>
      </c>
      <c r="B269" s="57"/>
      <c r="C269" s="57" t="s">
        <v>2254</v>
      </c>
      <c r="D269" s="57" t="s">
        <v>2658</v>
      </c>
      <c r="E269" s="58" t="s">
        <v>2251</v>
      </c>
      <c r="F269" s="58" t="s">
        <v>2635</v>
      </c>
      <c r="G269" s="57" t="s">
        <v>2252</v>
      </c>
    </row>
    <row r="270" spans="1:7" ht="17.25">
      <c r="A270" s="272" t="s">
        <v>2259</v>
      </c>
      <c r="B270" s="272"/>
      <c r="C270" s="272" t="s">
        <v>2254</v>
      </c>
      <c r="D270" s="272" t="s">
        <v>2658</v>
      </c>
      <c r="E270" s="273" t="s">
        <v>2251</v>
      </c>
      <c r="F270" s="273" t="s">
        <v>2635</v>
      </c>
      <c r="G270" s="272" t="s">
        <v>2252</v>
      </c>
    </row>
    <row r="271" spans="1:7" ht="17.25">
      <c r="A271" s="272" t="s">
        <v>2260</v>
      </c>
      <c r="B271" s="272"/>
      <c r="C271" s="272" t="s">
        <v>2254</v>
      </c>
      <c r="D271" s="272" t="s">
        <v>2658</v>
      </c>
      <c r="E271" s="273" t="s">
        <v>2251</v>
      </c>
      <c r="F271" s="273" t="s">
        <v>2635</v>
      </c>
      <c r="G271" s="272" t="s">
        <v>2252</v>
      </c>
    </row>
    <row r="272" spans="1:7" ht="17.25">
      <c r="A272" s="75" t="s">
        <v>2530</v>
      </c>
      <c r="B272" s="75"/>
      <c r="C272" s="75"/>
      <c r="D272" s="75"/>
      <c r="E272" s="76"/>
      <c r="F272" s="75"/>
      <c r="G272" s="75"/>
    </row>
    <row r="273" spans="1:7" ht="17.25">
      <c r="A273" s="272" t="s">
        <v>2262</v>
      </c>
      <c r="B273" s="272" t="s">
        <v>2263</v>
      </c>
      <c r="C273" s="272" t="s">
        <v>2243</v>
      </c>
      <c r="D273" s="272" t="s">
        <v>2658</v>
      </c>
      <c r="E273" s="273" t="s">
        <v>2245</v>
      </c>
      <c r="F273" s="273" t="s">
        <v>2635</v>
      </c>
      <c r="G273" s="272" t="s">
        <v>2264</v>
      </c>
    </row>
    <row r="274" spans="1:7" ht="15">
      <c r="A274" s="57" t="s">
        <v>2265</v>
      </c>
      <c r="B274" s="57" t="s">
        <v>2266</v>
      </c>
      <c r="C274" s="57" t="s">
        <v>2243</v>
      </c>
      <c r="D274" s="57" t="s">
        <v>2658</v>
      </c>
      <c r="E274" s="58" t="s">
        <v>2245</v>
      </c>
      <c r="F274" s="58" t="s">
        <v>2635</v>
      </c>
      <c r="G274" s="57" t="s">
        <v>2267</v>
      </c>
    </row>
    <row r="275" spans="1:7" ht="17.25">
      <c r="A275" s="75" t="s">
        <v>2532</v>
      </c>
      <c r="B275" s="75"/>
      <c r="C275" s="75"/>
      <c r="D275" s="75"/>
      <c r="E275" s="76"/>
      <c r="F275" s="75"/>
      <c r="G275" s="75"/>
    </row>
    <row r="276" spans="1:7" ht="17.25">
      <c r="A276" s="274" t="s">
        <v>2406</v>
      </c>
      <c r="B276" s="274" t="s">
        <v>2407</v>
      </c>
      <c r="C276" s="274" t="s">
        <v>2408</v>
      </c>
      <c r="D276" s="274" t="s">
        <v>2658</v>
      </c>
      <c r="E276" s="275" t="s">
        <v>2458</v>
      </c>
      <c r="F276" s="275" t="s">
        <v>2182</v>
      </c>
      <c r="G276" s="274" t="s">
        <v>2410</v>
      </c>
    </row>
    <row r="277" spans="1:7" ht="17.25">
      <c r="A277" s="75" t="s">
        <v>2533</v>
      </c>
      <c r="B277" s="75"/>
      <c r="C277" s="75"/>
      <c r="D277" s="75"/>
      <c r="E277" s="76"/>
      <c r="F277" s="75"/>
      <c r="G277" s="75"/>
    </row>
    <row r="278" spans="1:7" ht="15">
      <c r="A278" s="57" t="s">
        <v>2269</v>
      </c>
      <c r="B278" s="57"/>
      <c r="C278" s="57" t="s">
        <v>2243</v>
      </c>
      <c r="D278" s="57" t="s">
        <v>2658</v>
      </c>
      <c r="E278" s="58" t="s">
        <v>2245</v>
      </c>
      <c r="F278" s="58" t="s">
        <v>2635</v>
      </c>
      <c r="G278" s="57" t="s">
        <v>2270</v>
      </c>
    </row>
    <row r="279" spans="1:7" ht="17.25">
      <c r="A279" s="272" t="s">
        <v>2271</v>
      </c>
      <c r="B279" s="272" t="s">
        <v>2272</v>
      </c>
      <c r="C279" s="272" t="s">
        <v>2243</v>
      </c>
      <c r="D279" s="272" t="s">
        <v>2658</v>
      </c>
      <c r="E279" s="273" t="s">
        <v>2245</v>
      </c>
      <c r="F279" s="273" t="s">
        <v>2635</v>
      </c>
      <c r="G279" s="272" t="s">
        <v>2273</v>
      </c>
    </row>
    <row r="280" spans="1:7" ht="17.25">
      <c r="A280" s="272" t="s">
        <v>2274</v>
      </c>
      <c r="B280" s="272"/>
      <c r="C280" s="272" t="s">
        <v>2254</v>
      </c>
      <c r="D280" s="272" t="s">
        <v>2658</v>
      </c>
      <c r="E280" s="273" t="s">
        <v>2251</v>
      </c>
      <c r="F280" s="273" t="s">
        <v>2635</v>
      </c>
      <c r="G280" s="272" t="s">
        <v>2252</v>
      </c>
    </row>
    <row r="281" spans="1:7" ht="17.25">
      <c r="A281" s="75" t="s">
        <v>2543</v>
      </c>
      <c r="B281" s="75"/>
      <c r="C281" s="75"/>
      <c r="D281" s="75"/>
      <c r="E281" s="76"/>
      <c r="F281" s="75"/>
      <c r="G281" s="75"/>
    </row>
    <row r="282" spans="1:7" ht="17.25">
      <c r="A282" s="272" t="s">
        <v>2241</v>
      </c>
      <c r="B282" s="272" t="s">
        <v>2242</v>
      </c>
      <c r="C282" s="272" t="s">
        <v>2243</v>
      </c>
      <c r="D282" s="272" t="s">
        <v>2659</v>
      </c>
      <c r="E282" s="273" t="s">
        <v>2245</v>
      </c>
      <c r="F282" s="273" t="s">
        <v>2635</v>
      </c>
      <c r="G282" s="272" t="s">
        <v>2246</v>
      </c>
    </row>
    <row r="283" spans="1:7" ht="15">
      <c r="A283" s="56" t="s">
        <v>2309</v>
      </c>
      <c r="B283" s="56"/>
      <c r="C283" s="56" t="s">
        <v>2310</v>
      </c>
      <c r="D283" s="56" t="s">
        <v>2659</v>
      </c>
      <c r="E283" s="74" t="s">
        <v>1215</v>
      </c>
      <c r="F283" s="74" t="s">
        <v>2200</v>
      </c>
      <c r="G283" s="56" t="s">
        <v>2252</v>
      </c>
    </row>
    <row r="284" spans="1:7" ht="17.25">
      <c r="A284" s="75" t="s">
        <v>2660</v>
      </c>
      <c r="B284" s="75"/>
      <c r="C284" s="75"/>
      <c r="D284" s="75"/>
      <c r="E284" s="76"/>
      <c r="F284" s="75"/>
      <c r="G284" s="75"/>
    </row>
    <row r="285" spans="1:7" ht="15">
      <c r="A285" s="57" t="s">
        <v>2281</v>
      </c>
      <c r="B285" s="57" t="s">
        <v>2282</v>
      </c>
      <c r="C285" s="57" t="s">
        <v>2283</v>
      </c>
      <c r="D285" s="57" t="s">
        <v>2659</v>
      </c>
      <c r="E285" s="58" t="s">
        <v>2284</v>
      </c>
      <c r="F285" s="58" t="s">
        <v>2635</v>
      </c>
      <c r="G285" s="57" t="s">
        <v>2252</v>
      </c>
    </row>
    <row r="286" spans="1:7" ht="17.25">
      <c r="A286" s="75" t="s">
        <v>2545</v>
      </c>
      <c r="B286" s="75"/>
      <c r="C286" s="75"/>
      <c r="D286" s="75"/>
      <c r="E286" s="76"/>
      <c r="F286" s="75"/>
      <c r="G286" s="75"/>
    </row>
    <row r="287" spans="1:7" ht="17.25">
      <c r="A287" s="272" t="s">
        <v>2286</v>
      </c>
      <c r="B287" s="272" t="s">
        <v>2287</v>
      </c>
      <c r="C287" s="272" t="s">
        <v>2288</v>
      </c>
      <c r="D287" s="272" t="s">
        <v>2659</v>
      </c>
      <c r="E287" s="273" t="s">
        <v>2284</v>
      </c>
      <c r="F287" s="273" t="s">
        <v>2635</v>
      </c>
      <c r="G287" s="272" t="s">
        <v>2252</v>
      </c>
    </row>
    <row r="288" spans="1:7" ht="17.25">
      <c r="A288" s="274" t="s">
        <v>2338</v>
      </c>
      <c r="B288" s="274" t="s">
        <v>2336</v>
      </c>
      <c r="C288" s="274" t="s">
        <v>2339</v>
      </c>
      <c r="D288" s="274" t="s">
        <v>2659</v>
      </c>
      <c r="E288" s="275" t="s">
        <v>2661</v>
      </c>
      <c r="F288" s="275" t="s">
        <v>2200</v>
      </c>
      <c r="G288" s="274" t="s">
        <v>2252</v>
      </c>
    </row>
    <row r="289" spans="1:7" ht="17.25">
      <c r="A289" s="75" t="s">
        <v>2546</v>
      </c>
      <c r="B289" s="75"/>
      <c r="C289" s="75"/>
      <c r="D289" s="75"/>
      <c r="E289" s="76"/>
      <c r="F289" s="75"/>
      <c r="G289" s="75"/>
    </row>
    <row r="290" spans="1:7" ht="17.25">
      <c r="A290" s="272" t="s">
        <v>2248</v>
      </c>
      <c r="B290" s="272" t="s">
        <v>2249</v>
      </c>
      <c r="C290" s="272" t="s">
        <v>2250</v>
      </c>
      <c r="D290" s="272" t="s">
        <v>2659</v>
      </c>
      <c r="E290" s="273" t="s">
        <v>2251</v>
      </c>
      <c r="F290" s="273" t="s">
        <v>2635</v>
      </c>
      <c r="G290" s="272" t="s">
        <v>2252</v>
      </c>
    </row>
    <row r="291" spans="1:7" ht="17.25">
      <c r="A291" s="272" t="s">
        <v>2253</v>
      </c>
      <c r="B291" s="272" t="s">
        <v>2249</v>
      </c>
      <c r="C291" s="272" t="s">
        <v>2254</v>
      </c>
      <c r="D291" s="272" t="s">
        <v>2659</v>
      </c>
      <c r="E291" s="273" t="s">
        <v>2251</v>
      </c>
      <c r="F291" s="273" t="s">
        <v>2635</v>
      </c>
      <c r="G291" s="272" t="s">
        <v>2252</v>
      </c>
    </row>
    <row r="292" spans="1:7" ht="15">
      <c r="A292" s="57" t="s">
        <v>2255</v>
      </c>
      <c r="B292" s="57" t="s">
        <v>2249</v>
      </c>
      <c r="C292" s="57" t="s">
        <v>2254</v>
      </c>
      <c r="D292" s="57" t="s">
        <v>2659</v>
      </c>
      <c r="E292" s="58" t="s">
        <v>2251</v>
      </c>
      <c r="F292" s="58" t="s">
        <v>2635</v>
      </c>
      <c r="G292" s="57" t="s">
        <v>2252</v>
      </c>
    </row>
    <row r="293" spans="1:7" ht="17.25">
      <c r="A293" s="272" t="s">
        <v>2256</v>
      </c>
      <c r="B293" s="272" t="s">
        <v>2257</v>
      </c>
      <c r="C293" s="272" t="s">
        <v>2254</v>
      </c>
      <c r="D293" s="272" t="s">
        <v>2659</v>
      </c>
      <c r="E293" s="273" t="s">
        <v>2251</v>
      </c>
      <c r="F293" s="273" t="s">
        <v>2635</v>
      </c>
      <c r="G293" s="272" t="s">
        <v>2252</v>
      </c>
    </row>
    <row r="294" spans="1:7" ht="15">
      <c r="A294" s="57" t="s">
        <v>2258</v>
      </c>
      <c r="B294" s="57"/>
      <c r="C294" s="57" t="s">
        <v>2254</v>
      </c>
      <c r="D294" s="57" t="s">
        <v>2659</v>
      </c>
      <c r="E294" s="58" t="s">
        <v>2251</v>
      </c>
      <c r="F294" s="58" t="s">
        <v>2635</v>
      </c>
      <c r="G294" s="57" t="s">
        <v>2252</v>
      </c>
    </row>
    <row r="295" spans="1:7" ht="17.25">
      <c r="A295" s="272" t="s">
        <v>2259</v>
      </c>
      <c r="B295" s="272"/>
      <c r="C295" s="272" t="s">
        <v>2254</v>
      </c>
      <c r="D295" s="272" t="s">
        <v>2659</v>
      </c>
      <c r="E295" s="273" t="s">
        <v>2251</v>
      </c>
      <c r="F295" s="273" t="s">
        <v>2635</v>
      </c>
      <c r="G295" s="272" t="s">
        <v>2252</v>
      </c>
    </row>
    <row r="296" spans="1:7" ht="15">
      <c r="A296" s="57" t="s">
        <v>2260</v>
      </c>
      <c r="B296" s="57"/>
      <c r="C296" s="57" t="s">
        <v>2254</v>
      </c>
      <c r="D296" s="57" t="s">
        <v>2659</v>
      </c>
      <c r="E296" s="58" t="s">
        <v>2251</v>
      </c>
      <c r="F296" s="58" t="s">
        <v>2635</v>
      </c>
      <c r="G296" s="57" t="s">
        <v>2252</v>
      </c>
    </row>
    <row r="297" spans="1:7" ht="17.25">
      <c r="A297" s="75" t="s">
        <v>2548</v>
      </c>
      <c r="B297" s="75"/>
      <c r="C297" s="75"/>
      <c r="D297" s="75"/>
      <c r="E297" s="76"/>
      <c r="F297" s="75"/>
      <c r="G297" s="75"/>
    </row>
    <row r="298" spans="1:7" ht="15">
      <c r="A298" s="56" t="s">
        <v>2300</v>
      </c>
      <c r="B298" s="56" t="s">
        <v>2301</v>
      </c>
      <c r="C298" s="56" t="s">
        <v>2302</v>
      </c>
      <c r="D298" s="56" t="s">
        <v>2659</v>
      </c>
      <c r="E298" s="74" t="s">
        <v>2661</v>
      </c>
      <c r="F298" s="74" t="s">
        <v>2200</v>
      </c>
      <c r="G298" s="56" t="s">
        <v>2303</v>
      </c>
    </row>
    <row r="299" spans="1:7" ht="17.25">
      <c r="A299" s="272" t="s">
        <v>2262</v>
      </c>
      <c r="B299" s="272" t="s">
        <v>2263</v>
      </c>
      <c r="C299" s="272" t="s">
        <v>2243</v>
      </c>
      <c r="D299" s="272" t="s">
        <v>2659</v>
      </c>
      <c r="E299" s="273" t="s">
        <v>2245</v>
      </c>
      <c r="F299" s="273" t="s">
        <v>2635</v>
      </c>
      <c r="G299" s="272" t="s">
        <v>2264</v>
      </c>
    </row>
    <row r="300" spans="1:7" ht="15">
      <c r="A300" s="57" t="s">
        <v>2265</v>
      </c>
      <c r="B300" s="57" t="s">
        <v>2266</v>
      </c>
      <c r="C300" s="57" t="s">
        <v>2243</v>
      </c>
      <c r="D300" s="57" t="s">
        <v>2659</v>
      </c>
      <c r="E300" s="58" t="s">
        <v>2245</v>
      </c>
      <c r="F300" s="58" t="s">
        <v>2635</v>
      </c>
      <c r="G300" s="57" t="s">
        <v>2267</v>
      </c>
    </row>
    <row r="301" spans="1:7" ht="17.25">
      <c r="A301" s="75" t="s">
        <v>2549</v>
      </c>
      <c r="B301" s="75"/>
      <c r="C301" s="75"/>
      <c r="D301" s="75"/>
      <c r="E301" s="76"/>
      <c r="F301" s="75"/>
      <c r="G301" s="75"/>
    </row>
    <row r="302" spans="1:7" ht="17.25">
      <c r="A302" s="274" t="s">
        <v>2406</v>
      </c>
      <c r="B302" s="274" t="s">
        <v>2407</v>
      </c>
      <c r="C302" s="274" t="s">
        <v>2408</v>
      </c>
      <c r="D302" s="274" t="s">
        <v>2659</v>
      </c>
      <c r="E302" s="275" t="s">
        <v>2662</v>
      </c>
      <c r="F302" s="274" t="s">
        <v>2200</v>
      </c>
      <c r="G302" s="274" t="s">
        <v>2410</v>
      </c>
    </row>
    <row r="303" spans="1:7" ht="17.25">
      <c r="A303" s="274" t="s">
        <v>2663</v>
      </c>
      <c r="B303" s="274" t="s">
        <v>2403</v>
      </c>
      <c r="C303" s="274" t="s">
        <v>2661</v>
      </c>
      <c r="D303" s="274" t="s">
        <v>2659</v>
      </c>
      <c r="E303" s="275" t="s">
        <v>2661</v>
      </c>
      <c r="F303" s="275" t="s">
        <v>2200</v>
      </c>
      <c r="G303" s="274" t="s">
        <v>2252</v>
      </c>
    </row>
    <row r="304" spans="1:7" ht="17.25">
      <c r="A304" s="75" t="s">
        <v>2550</v>
      </c>
      <c r="B304" s="75"/>
      <c r="C304" s="75"/>
      <c r="D304" s="75"/>
      <c r="E304" s="76"/>
      <c r="F304" s="75"/>
      <c r="G304" s="75"/>
    </row>
    <row r="305" spans="1:7" ht="17.25">
      <c r="A305" s="272" t="s">
        <v>2269</v>
      </c>
      <c r="B305" s="272"/>
      <c r="C305" s="272" t="s">
        <v>2243</v>
      </c>
      <c r="D305" s="272" t="s">
        <v>2659</v>
      </c>
      <c r="E305" s="273" t="s">
        <v>2245</v>
      </c>
      <c r="F305" s="273" t="s">
        <v>2635</v>
      </c>
      <c r="G305" s="272" t="s">
        <v>2270</v>
      </c>
    </row>
    <row r="306" spans="1:7" ht="17.25">
      <c r="A306" s="272" t="s">
        <v>2271</v>
      </c>
      <c r="B306" s="272" t="s">
        <v>2272</v>
      </c>
      <c r="C306" s="272" t="s">
        <v>2243</v>
      </c>
      <c r="D306" s="272" t="s">
        <v>2659</v>
      </c>
      <c r="E306" s="273" t="s">
        <v>2245</v>
      </c>
      <c r="F306" s="273" t="s">
        <v>2635</v>
      </c>
      <c r="G306" s="272" t="s">
        <v>2273</v>
      </c>
    </row>
    <row r="307" spans="1:7" ht="17.25">
      <c r="A307" s="272" t="s">
        <v>2274</v>
      </c>
      <c r="B307" s="272"/>
      <c r="C307" s="272" t="s">
        <v>2254</v>
      </c>
      <c r="D307" s="272" t="s">
        <v>2659</v>
      </c>
      <c r="E307" s="273" t="s">
        <v>2251</v>
      </c>
      <c r="F307" s="273" t="s">
        <v>2635</v>
      </c>
      <c r="G307" s="272" t="s">
        <v>2252</v>
      </c>
    </row>
    <row r="308" spans="1:7" ht="17.25">
      <c r="A308" s="75" t="s">
        <v>2560</v>
      </c>
      <c r="B308" s="75"/>
      <c r="C308" s="75"/>
      <c r="D308" s="75"/>
      <c r="E308" s="76"/>
      <c r="F308" s="75"/>
      <c r="G308" s="75"/>
    </row>
    <row r="309" spans="1:7" ht="17.25">
      <c r="A309" s="272" t="s">
        <v>2241</v>
      </c>
      <c r="B309" s="272" t="s">
        <v>2242</v>
      </c>
      <c r="C309" s="272" t="s">
        <v>2243</v>
      </c>
      <c r="D309" s="272" t="s">
        <v>2664</v>
      </c>
      <c r="E309" s="273" t="s">
        <v>2245</v>
      </c>
      <c r="F309" s="273" t="s">
        <v>2635</v>
      </c>
      <c r="G309" s="272" t="s">
        <v>2246</v>
      </c>
    </row>
    <row r="310" spans="1:7" ht="17.25">
      <c r="A310" s="274" t="s">
        <v>2309</v>
      </c>
      <c r="B310" s="274"/>
      <c r="C310" s="274" t="s">
        <v>2310</v>
      </c>
      <c r="D310" s="274" t="s">
        <v>2664</v>
      </c>
      <c r="E310" s="275" t="s">
        <v>1215</v>
      </c>
      <c r="F310" s="275" t="s">
        <v>2214</v>
      </c>
      <c r="G310" s="274" t="s">
        <v>2252</v>
      </c>
    </row>
    <row r="311" spans="1:7" ht="17.25">
      <c r="A311" s="75" t="s">
        <v>2562</v>
      </c>
      <c r="B311" s="75"/>
      <c r="C311" s="75"/>
      <c r="D311" s="75"/>
      <c r="E311" s="76"/>
      <c r="F311" s="75"/>
      <c r="G311" s="75"/>
    </row>
    <row r="312" spans="1:7" ht="17.25">
      <c r="A312" s="272" t="s">
        <v>2248</v>
      </c>
      <c r="B312" s="272" t="s">
        <v>2249</v>
      </c>
      <c r="C312" s="272" t="s">
        <v>2250</v>
      </c>
      <c r="D312" s="272" t="s">
        <v>2664</v>
      </c>
      <c r="E312" s="273" t="s">
        <v>2251</v>
      </c>
      <c r="F312" s="273" t="s">
        <v>2635</v>
      </c>
      <c r="G312" s="272" t="s">
        <v>2252</v>
      </c>
    </row>
    <row r="313" spans="1:7" ht="17.25">
      <c r="A313" s="272" t="s">
        <v>2253</v>
      </c>
      <c r="B313" s="272" t="s">
        <v>2249</v>
      </c>
      <c r="C313" s="272" t="s">
        <v>2254</v>
      </c>
      <c r="D313" s="272" t="s">
        <v>2664</v>
      </c>
      <c r="E313" s="273" t="s">
        <v>2251</v>
      </c>
      <c r="F313" s="273" t="s">
        <v>2635</v>
      </c>
      <c r="G313" s="272" t="s">
        <v>2252</v>
      </c>
    </row>
    <row r="314" spans="1:7" ht="17.25">
      <c r="A314" s="272" t="s">
        <v>2255</v>
      </c>
      <c r="B314" s="272" t="s">
        <v>2249</v>
      </c>
      <c r="C314" s="272" t="s">
        <v>2254</v>
      </c>
      <c r="D314" s="272" t="s">
        <v>2664</v>
      </c>
      <c r="E314" s="273" t="s">
        <v>2251</v>
      </c>
      <c r="F314" s="273" t="s">
        <v>2635</v>
      </c>
      <c r="G314" s="272" t="s">
        <v>2252</v>
      </c>
    </row>
    <row r="315" spans="1:7" ht="17.25">
      <c r="A315" s="272" t="s">
        <v>2256</v>
      </c>
      <c r="B315" s="272" t="s">
        <v>2257</v>
      </c>
      <c r="C315" s="272" t="s">
        <v>2254</v>
      </c>
      <c r="D315" s="272" t="s">
        <v>2664</v>
      </c>
      <c r="E315" s="273" t="s">
        <v>2251</v>
      </c>
      <c r="F315" s="273" t="s">
        <v>2635</v>
      </c>
      <c r="G315" s="272" t="s">
        <v>2252</v>
      </c>
    </row>
    <row r="316" spans="1:7" ht="15">
      <c r="A316" s="57" t="s">
        <v>2258</v>
      </c>
      <c r="B316" s="57"/>
      <c r="C316" s="57" t="s">
        <v>2254</v>
      </c>
      <c r="D316" s="57" t="s">
        <v>2664</v>
      </c>
      <c r="E316" s="58" t="s">
        <v>2251</v>
      </c>
      <c r="F316" s="58" t="s">
        <v>2635</v>
      </c>
      <c r="G316" s="57" t="s">
        <v>2252</v>
      </c>
    </row>
    <row r="317" spans="1:7" ht="17.25">
      <c r="A317" s="272" t="s">
        <v>2259</v>
      </c>
      <c r="B317" s="272"/>
      <c r="C317" s="272" t="s">
        <v>2254</v>
      </c>
      <c r="D317" s="272" t="s">
        <v>2664</v>
      </c>
      <c r="E317" s="273" t="s">
        <v>2251</v>
      </c>
      <c r="F317" s="273" t="s">
        <v>2635</v>
      </c>
      <c r="G317" s="272" t="s">
        <v>2252</v>
      </c>
    </row>
    <row r="318" spans="1:7" ht="17.25">
      <c r="A318" s="272" t="s">
        <v>2260</v>
      </c>
      <c r="B318" s="272"/>
      <c r="C318" s="272" t="s">
        <v>2254</v>
      </c>
      <c r="D318" s="272" t="s">
        <v>2664</v>
      </c>
      <c r="E318" s="273" t="s">
        <v>2251</v>
      </c>
      <c r="F318" s="273" t="s">
        <v>2635</v>
      </c>
      <c r="G318" s="272" t="s">
        <v>2252</v>
      </c>
    </row>
    <row r="319" spans="1:7" ht="17.25">
      <c r="A319" s="75" t="s">
        <v>2563</v>
      </c>
      <c r="B319" s="75"/>
      <c r="C319" s="75"/>
      <c r="D319" s="75"/>
      <c r="E319" s="76"/>
      <c r="F319" s="75"/>
      <c r="G319" s="75"/>
    </row>
    <row r="320" spans="1:7" ht="17.25">
      <c r="A320" s="272" t="s">
        <v>2262</v>
      </c>
      <c r="B320" s="272" t="s">
        <v>2263</v>
      </c>
      <c r="C320" s="272" t="s">
        <v>2243</v>
      </c>
      <c r="D320" s="272" t="s">
        <v>2664</v>
      </c>
      <c r="E320" s="273" t="s">
        <v>2245</v>
      </c>
      <c r="F320" s="273" t="s">
        <v>2635</v>
      </c>
      <c r="G320" s="272" t="s">
        <v>2264</v>
      </c>
    </row>
    <row r="321" spans="1:7" ht="15">
      <c r="A321" s="57" t="s">
        <v>2265</v>
      </c>
      <c r="B321" s="57" t="s">
        <v>2266</v>
      </c>
      <c r="C321" s="57" t="s">
        <v>2243</v>
      </c>
      <c r="D321" s="57" t="s">
        <v>2664</v>
      </c>
      <c r="E321" s="58" t="s">
        <v>2245</v>
      </c>
      <c r="F321" s="58" t="s">
        <v>2635</v>
      </c>
      <c r="G321" s="57" t="s">
        <v>2267</v>
      </c>
    </row>
    <row r="322" spans="1:7" ht="17.25">
      <c r="A322" s="75" t="s">
        <v>2665</v>
      </c>
      <c r="B322" s="75"/>
      <c r="C322" s="75"/>
      <c r="D322" s="75"/>
      <c r="E322" s="76"/>
      <c r="F322" s="75"/>
      <c r="G322" s="75"/>
    </row>
    <row r="323" spans="1:7" ht="17.25">
      <c r="A323" s="274" t="s">
        <v>2406</v>
      </c>
      <c r="B323" s="274" t="s">
        <v>2407</v>
      </c>
      <c r="C323" s="274" t="s">
        <v>2408</v>
      </c>
      <c r="D323" s="274" t="s">
        <v>2664</v>
      </c>
      <c r="E323" s="275" t="s">
        <v>2458</v>
      </c>
      <c r="F323" s="274" t="s">
        <v>2214</v>
      </c>
      <c r="G323" s="274" t="s">
        <v>2410</v>
      </c>
    </row>
    <row r="324" spans="1:7" ht="17.25">
      <c r="A324" s="272" t="s">
        <v>2650</v>
      </c>
      <c r="B324" s="272"/>
      <c r="C324" s="272" t="s">
        <v>2651</v>
      </c>
      <c r="D324" s="272" t="s">
        <v>2664</v>
      </c>
      <c r="E324" s="273" t="s">
        <v>2652</v>
      </c>
      <c r="F324" s="273" t="s">
        <v>2635</v>
      </c>
      <c r="G324" s="272" t="s">
        <v>2252</v>
      </c>
    </row>
    <row r="325" spans="1:7" ht="17.25">
      <c r="A325" s="75" t="s">
        <v>2565</v>
      </c>
      <c r="B325" s="75"/>
      <c r="C325" s="75"/>
      <c r="D325" s="75"/>
      <c r="E325" s="76"/>
      <c r="F325" s="75"/>
      <c r="G325" s="75"/>
    </row>
    <row r="326" spans="1:7" ht="15">
      <c r="A326" s="57" t="s">
        <v>2269</v>
      </c>
      <c r="B326" s="57"/>
      <c r="C326" s="57" t="s">
        <v>2243</v>
      </c>
      <c r="D326" s="57" t="s">
        <v>2664</v>
      </c>
      <c r="E326" s="58" t="s">
        <v>2245</v>
      </c>
      <c r="F326" s="58" t="s">
        <v>2635</v>
      </c>
      <c r="G326" s="57" t="s">
        <v>2270</v>
      </c>
    </row>
    <row r="327" spans="1:7" ht="17.25">
      <c r="A327" s="272" t="s">
        <v>2271</v>
      </c>
      <c r="B327" s="272" t="s">
        <v>2272</v>
      </c>
      <c r="C327" s="272" t="s">
        <v>2243</v>
      </c>
      <c r="D327" s="272" t="s">
        <v>2664</v>
      </c>
      <c r="E327" s="273" t="s">
        <v>2245</v>
      </c>
      <c r="F327" s="273" t="s">
        <v>2635</v>
      </c>
      <c r="G327" s="272" t="s">
        <v>2273</v>
      </c>
    </row>
    <row r="328" spans="1:7" ht="17.25">
      <c r="A328" s="272" t="s">
        <v>2274</v>
      </c>
      <c r="B328" s="272"/>
      <c r="C328" s="272" t="s">
        <v>2254</v>
      </c>
      <c r="D328" s="272" t="s">
        <v>2664</v>
      </c>
      <c r="E328" s="273" t="s">
        <v>2251</v>
      </c>
      <c r="F328" s="273" t="s">
        <v>2635</v>
      </c>
      <c r="G328" s="272" t="s">
        <v>2252</v>
      </c>
    </row>
    <row r="329" spans="1:7" ht="17.25">
      <c r="A329" s="75" t="s">
        <v>2575</v>
      </c>
      <c r="B329" s="75"/>
      <c r="C329" s="75"/>
      <c r="D329" s="75"/>
      <c r="E329" s="76"/>
      <c r="F329" s="75"/>
      <c r="G329" s="75"/>
    </row>
    <row r="330" spans="1:7" ht="17.25">
      <c r="A330" s="272" t="s">
        <v>2276</v>
      </c>
      <c r="B330" s="272" t="s">
        <v>2277</v>
      </c>
      <c r="C330" s="272" t="s">
        <v>1565</v>
      </c>
      <c r="D330" s="272" t="s">
        <v>2666</v>
      </c>
      <c r="E330" s="273" t="s">
        <v>108</v>
      </c>
      <c r="F330" s="273" t="s">
        <v>2635</v>
      </c>
      <c r="G330" s="272" t="s">
        <v>2279</v>
      </c>
    </row>
    <row r="331" spans="1:7" ht="17.25">
      <c r="A331" s="272" t="s">
        <v>2309</v>
      </c>
      <c r="B331" s="272"/>
      <c r="C331" s="272" t="s">
        <v>2310</v>
      </c>
      <c r="D331" s="272" t="s">
        <v>2666</v>
      </c>
      <c r="E331" s="273" t="s">
        <v>2310</v>
      </c>
      <c r="F331" s="273" t="s">
        <v>2635</v>
      </c>
      <c r="G331" s="272" t="s">
        <v>2252</v>
      </c>
    </row>
    <row r="332" spans="1:7" ht="15">
      <c r="A332" s="57" t="s">
        <v>2312</v>
      </c>
      <c r="B332" s="57" t="s">
        <v>2242</v>
      </c>
      <c r="C332" s="57" t="s">
        <v>108</v>
      </c>
      <c r="D332" s="57" t="s">
        <v>2666</v>
      </c>
      <c r="E332" s="58" t="s">
        <v>108</v>
      </c>
      <c r="F332" s="58" t="s">
        <v>2635</v>
      </c>
      <c r="G332" s="57" t="s">
        <v>2252</v>
      </c>
    </row>
    <row r="333" spans="1:7" ht="17.25">
      <c r="A333" s="272" t="s">
        <v>2313</v>
      </c>
      <c r="B333" s="272" t="s">
        <v>2314</v>
      </c>
      <c r="C333" s="272" t="s">
        <v>2315</v>
      </c>
      <c r="D333" s="272" t="s">
        <v>2666</v>
      </c>
      <c r="E333" s="273" t="s">
        <v>2315</v>
      </c>
      <c r="F333" s="273" t="s">
        <v>2635</v>
      </c>
      <c r="G333" s="272" t="s">
        <v>2316</v>
      </c>
    </row>
    <row r="334" spans="1:7" ht="17.25">
      <c r="A334" s="272" t="s">
        <v>2317</v>
      </c>
      <c r="B334" s="272"/>
      <c r="C334" s="272" t="s">
        <v>108</v>
      </c>
      <c r="D334" s="272" t="s">
        <v>2666</v>
      </c>
      <c r="E334" s="273" t="s">
        <v>108</v>
      </c>
      <c r="F334" s="273" t="s">
        <v>2635</v>
      </c>
      <c r="G334" s="272" t="s">
        <v>2252</v>
      </c>
    </row>
    <row r="335" spans="1:7" ht="17.25">
      <c r="A335" s="75" t="s">
        <v>2576</v>
      </c>
      <c r="B335" s="75"/>
      <c r="C335" s="75"/>
      <c r="D335" s="75"/>
      <c r="E335" s="76"/>
      <c r="F335" s="75"/>
      <c r="G335" s="75"/>
    </row>
    <row r="336" spans="1:7" ht="15">
      <c r="A336" s="57" t="s">
        <v>2319</v>
      </c>
      <c r="B336" s="57" t="s">
        <v>2249</v>
      </c>
      <c r="C336" s="57" t="s">
        <v>108</v>
      </c>
      <c r="D336" s="57" t="s">
        <v>2666</v>
      </c>
      <c r="E336" s="58" t="s">
        <v>108</v>
      </c>
      <c r="F336" s="58" t="s">
        <v>2635</v>
      </c>
      <c r="G336" s="57" t="s">
        <v>2252</v>
      </c>
    </row>
    <row r="337" spans="1:7" ht="17.25">
      <c r="A337" s="272" t="s">
        <v>2320</v>
      </c>
      <c r="B337" s="272" t="s">
        <v>2321</v>
      </c>
      <c r="C337" s="272" t="s">
        <v>108</v>
      </c>
      <c r="D337" s="272" t="s">
        <v>2666</v>
      </c>
      <c r="E337" s="273" t="s">
        <v>108</v>
      </c>
      <c r="F337" s="273" t="s">
        <v>2635</v>
      </c>
      <c r="G337" s="272" t="s">
        <v>2322</v>
      </c>
    </row>
    <row r="338" spans="1:7" ht="17.25">
      <c r="A338" s="272" t="s">
        <v>2323</v>
      </c>
      <c r="B338" s="272" t="s">
        <v>2321</v>
      </c>
      <c r="C338" s="272" t="s">
        <v>108</v>
      </c>
      <c r="D338" s="272" t="s">
        <v>2666</v>
      </c>
      <c r="E338" s="273" t="s">
        <v>108</v>
      </c>
      <c r="F338" s="273" t="s">
        <v>2635</v>
      </c>
      <c r="G338" s="272" t="s">
        <v>2252</v>
      </c>
    </row>
    <row r="339" spans="1:7" ht="17.25">
      <c r="A339" s="272" t="s">
        <v>2324</v>
      </c>
      <c r="B339" s="272" t="s">
        <v>2325</v>
      </c>
      <c r="C339" s="272" t="s">
        <v>108</v>
      </c>
      <c r="D339" s="272" t="s">
        <v>2666</v>
      </c>
      <c r="E339" s="273" t="s">
        <v>108</v>
      </c>
      <c r="F339" s="273" t="s">
        <v>2635</v>
      </c>
      <c r="G339" s="272" t="s">
        <v>2326</v>
      </c>
    </row>
    <row r="340" spans="1:7" ht="17.25">
      <c r="A340" s="75" t="s">
        <v>2577</v>
      </c>
      <c r="B340" s="75"/>
      <c r="C340" s="75"/>
      <c r="D340" s="75"/>
      <c r="E340" s="76"/>
      <c r="F340" s="75"/>
      <c r="G340" s="75"/>
    </row>
    <row r="341" spans="1:7" ht="15">
      <c r="A341" s="57" t="s">
        <v>2328</v>
      </c>
      <c r="B341" s="57" t="s">
        <v>2282</v>
      </c>
      <c r="C341" s="57" t="s">
        <v>108</v>
      </c>
      <c r="D341" s="57" t="s">
        <v>2666</v>
      </c>
      <c r="E341" s="58" t="s">
        <v>108</v>
      </c>
      <c r="F341" s="58" t="s">
        <v>2635</v>
      </c>
      <c r="G341" s="57" t="s">
        <v>2252</v>
      </c>
    </row>
    <row r="342" spans="1:7" ht="15">
      <c r="A342" s="57" t="s">
        <v>2281</v>
      </c>
      <c r="B342" s="57" t="s">
        <v>2282</v>
      </c>
      <c r="C342" s="57" t="s">
        <v>2283</v>
      </c>
      <c r="D342" s="57" t="s">
        <v>2666</v>
      </c>
      <c r="E342" s="58" t="s">
        <v>2630</v>
      </c>
      <c r="F342" s="58" t="s">
        <v>2635</v>
      </c>
      <c r="G342" s="57" t="s">
        <v>2252</v>
      </c>
    </row>
    <row r="343" spans="1:7" ht="17.25">
      <c r="A343" s="272" t="s">
        <v>2330</v>
      </c>
      <c r="B343" s="272" t="s">
        <v>2282</v>
      </c>
      <c r="C343" s="272" t="s">
        <v>2331</v>
      </c>
      <c r="D343" s="272" t="s">
        <v>2666</v>
      </c>
      <c r="E343" s="273" t="s">
        <v>108</v>
      </c>
      <c r="F343" s="273" t="s">
        <v>2635</v>
      </c>
      <c r="G343" s="272" t="s">
        <v>2332</v>
      </c>
    </row>
    <row r="344" spans="1:7" ht="17.25">
      <c r="A344" s="272" t="s">
        <v>2333</v>
      </c>
      <c r="B344" s="272" t="s">
        <v>2282</v>
      </c>
      <c r="C344" s="272" t="s">
        <v>108</v>
      </c>
      <c r="D344" s="272" t="s">
        <v>2666</v>
      </c>
      <c r="E344" s="273" t="s">
        <v>108</v>
      </c>
      <c r="F344" s="273" t="s">
        <v>2635</v>
      </c>
      <c r="G344" s="272" t="s">
        <v>2252</v>
      </c>
    </row>
    <row r="345" spans="1:7" ht="17.25">
      <c r="A345" s="75" t="s">
        <v>2578</v>
      </c>
      <c r="B345" s="75"/>
      <c r="C345" s="75"/>
      <c r="D345" s="75"/>
      <c r="E345" s="76"/>
      <c r="F345" s="75"/>
      <c r="G345" s="75"/>
    </row>
    <row r="346" spans="1:7" ht="15">
      <c r="A346" s="57" t="s">
        <v>2335</v>
      </c>
      <c r="B346" s="57" t="s">
        <v>2336</v>
      </c>
      <c r="C346" s="57" t="s">
        <v>2337</v>
      </c>
      <c r="D346" s="57" t="s">
        <v>2666</v>
      </c>
      <c r="E346" s="58" t="s">
        <v>108</v>
      </c>
      <c r="F346" s="58" t="s">
        <v>2635</v>
      </c>
      <c r="G346" s="57" t="s">
        <v>2252</v>
      </c>
    </row>
    <row r="347" spans="1:7" ht="17.25">
      <c r="A347" s="272" t="s">
        <v>2338</v>
      </c>
      <c r="B347" s="272" t="s">
        <v>2336</v>
      </c>
      <c r="C347" s="272" t="s">
        <v>2339</v>
      </c>
      <c r="D347" s="272" t="s">
        <v>2666</v>
      </c>
      <c r="E347" s="273" t="s">
        <v>108</v>
      </c>
      <c r="F347" s="273" t="s">
        <v>2635</v>
      </c>
      <c r="G347" s="272" t="s">
        <v>2252</v>
      </c>
    </row>
    <row r="348" spans="1:7" ht="17.25">
      <c r="A348" s="272" t="s">
        <v>2340</v>
      </c>
      <c r="B348" s="272" t="s">
        <v>2341</v>
      </c>
      <c r="C348" s="272" t="s">
        <v>108</v>
      </c>
      <c r="D348" s="272" t="s">
        <v>2666</v>
      </c>
      <c r="E348" s="273" t="s">
        <v>108</v>
      </c>
      <c r="F348" s="273" t="s">
        <v>2635</v>
      </c>
      <c r="G348" s="272" t="s">
        <v>2342</v>
      </c>
    </row>
    <row r="349" spans="1:7" ht="15">
      <c r="A349" s="57" t="s">
        <v>2343</v>
      </c>
      <c r="B349" s="57" t="s">
        <v>2341</v>
      </c>
      <c r="C349" s="57" t="s">
        <v>108</v>
      </c>
      <c r="D349" s="57" t="s">
        <v>2666</v>
      </c>
      <c r="E349" s="58" t="s">
        <v>108</v>
      </c>
      <c r="F349" s="58" t="s">
        <v>2635</v>
      </c>
      <c r="G349" s="57" t="s">
        <v>2252</v>
      </c>
    </row>
    <row r="350" spans="1:7" ht="17.25">
      <c r="A350" s="75" t="s">
        <v>2579</v>
      </c>
      <c r="B350" s="75"/>
      <c r="C350" s="75"/>
      <c r="D350" s="75"/>
      <c r="E350" s="76"/>
      <c r="F350" s="75"/>
      <c r="G350" s="75"/>
    </row>
    <row r="351" spans="1:7" ht="17.25">
      <c r="A351" s="272" t="s">
        <v>2345</v>
      </c>
      <c r="B351" s="272" t="s">
        <v>2346</v>
      </c>
      <c r="C351" s="272" t="s">
        <v>108</v>
      </c>
      <c r="D351" s="272" t="s">
        <v>2666</v>
      </c>
      <c r="E351" s="273" t="s">
        <v>108</v>
      </c>
      <c r="F351" s="273" t="s">
        <v>2635</v>
      </c>
      <c r="G351" s="272" t="s">
        <v>2347</v>
      </c>
    </row>
    <row r="352" spans="1:7" ht="15">
      <c r="A352" s="57" t="s">
        <v>2248</v>
      </c>
      <c r="B352" s="57" t="s">
        <v>2249</v>
      </c>
      <c r="C352" s="57" t="s">
        <v>2250</v>
      </c>
      <c r="D352" s="57" t="s">
        <v>2666</v>
      </c>
      <c r="E352" s="58" t="s">
        <v>2526</v>
      </c>
      <c r="F352" s="58" t="s">
        <v>2635</v>
      </c>
      <c r="G352" s="57" t="s">
        <v>2252</v>
      </c>
    </row>
    <row r="353" spans="1:7" ht="15">
      <c r="A353" s="57" t="s">
        <v>2253</v>
      </c>
      <c r="B353" s="57" t="s">
        <v>2249</v>
      </c>
      <c r="C353" s="57" t="s">
        <v>2254</v>
      </c>
      <c r="D353" s="57" t="s">
        <v>2666</v>
      </c>
      <c r="E353" s="58" t="s">
        <v>2526</v>
      </c>
      <c r="F353" s="58" t="s">
        <v>2635</v>
      </c>
      <c r="G353" s="57" t="s">
        <v>2252</v>
      </c>
    </row>
    <row r="354" spans="1:7" ht="17.25">
      <c r="A354" s="272" t="s">
        <v>2255</v>
      </c>
      <c r="B354" s="272" t="s">
        <v>2249</v>
      </c>
      <c r="C354" s="272" t="s">
        <v>2254</v>
      </c>
      <c r="D354" s="272" t="s">
        <v>2666</v>
      </c>
      <c r="E354" s="273" t="s">
        <v>2526</v>
      </c>
      <c r="F354" s="273" t="s">
        <v>2635</v>
      </c>
      <c r="G354" s="272" t="s">
        <v>2252</v>
      </c>
    </row>
    <row r="355" spans="1:7" ht="15">
      <c r="A355" s="57" t="s">
        <v>2256</v>
      </c>
      <c r="B355" s="57" t="s">
        <v>2257</v>
      </c>
      <c r="C355" s="57" t="s">
        <v>2254</v>
      </c>
      <c r="D355" s="57" t="s">
        <v>2666</v>
      </c>
      <c r="E355" s="58" t="s">
        <v>2526</v>
      </c>
      <c r="F355" s="58" t="s">
        <v>2635</v>
      </c>
      <c r="G355" s="57" t="s">
        <v>2252</v>
      </c>
    </row>
    <row r="356" spans="1:7" ht="17.25">
      <c r="A356" s="272" t="s">
        <v>2258</v>
      </c>
      <c r="B356" s="272"/>
      <c r="C356" s="272" t="s">
        <v>2254</v>
      </c>
      <c r="D356" s="272" t="s">
        <v>2666</v>
      </c>
      <c r="E356" s="273" t="s">
        <v>2526</v>
      </c>
      <c r="F356" s="273" t="s">
        <v>2635</v>
      </c>
      <c r="G356" s="272" t="s">
        <v>2252</v>
      </c>
    </row>
    <row r="357" spans="1:7" ht="17.25">
      <c r="A357" s="272" t="s">
        <v>2259</v>
      </c>
      <c r="B357" s="272"/>
      <c r="C357" s="272" t="s">
        <v>2254</v>
      </c>
      <c r="D357" s="272" t="s">
        <v>2666</v>
      </c>
      <c r="E357" s="273" t="s">
        <v>2526</v>
      </c>
      <c r="F357" s="273" t="s">
        <v>2635</v>
      </c>
      <c r="G357" s="272" t="s">
        <v>2252</v>
      </c>
    </row>
    <row r="358" spans="1:7" ht="15">
      <c r="A358" s="57" t="s">
        <v>2260</v>
      </c>
      <c r="B358" s="57"/>
      <c r="C358" s="57" t="s">
        <v>2254</v>
      </c>
      <c r="D358" s="57" t="s">
        <v>2666</v>
      </c>
      <c r="E358" s="58" t="s">
        <v>2526</v>
      </c>
      <c r="F358" s="58" t="s">
        <v>2635</v>
      </c>
      <c r="G358" s="57" t="s">
        <v>2252</v>
      </c>
    </row>
    <row r="359" spans="1:7" ht="17.25">
      <c r="A359" s="75" t="s">
        <v>2580</v>
      </c>
      <c r="B359" s="75"/>
      <c r="C359" s="75"/>
      <c r="D359" s="75"/>
      <c r="E359" s="76"/>
      <c r="F359" s="75"/>
      <c r="G359" s="75"/>
    </row>
    <row r="360" spans="1:7" ht="17.25">
      <c r="A360" s="272" t="s">
        <v>2350</v>
      </c>
      <c r="B360" s="272" t="s">
        <v>2351</v>
      </c>
      <c r="C360" s="272" t="s">
        <v>108</v>
      </c>
      <c r="D360" s="272" t="s">
        <v>2666</v>
      </c>
      <c r="E360" s="273" t="s">
        <v>108</v>
      </c>
      <c r="F360" s="273" t="s">
        <v>2635</v>
      </c>
      <c r="G360" s="272" t="s">
        <v>2252</v>
      </c>
    </row>
    <row r="361" spans="1:7" ht="17.25">
      <c r="A361" s="272" t="s">
        <v>2352</v>
      </c>
      <c r="B361" s="272"/>
      <c r="C361" s="272" t="s">
        <v>2337</v>
      </c>
      <c r="D361" s="272" t="s">
        <v>2666</v>
      </c>
      <c r="E361" s="273" t="s">
        <v>108</v>
      </c>
      <c r="F361" s="273" t="s">
        <v>2635</v>
      </c>
      <c r="G361" s="272" t="s">
        <v>2252</v>
      </c>
    </row>
    <row r="362" spans="1:7" ht="17.25">
      <c r="A362" s="272" t="s">
        <v>2353</v>
      </c>
      <c r="B362" s="272" t="s">
        <v>2351</v>
      </c>
      <c r="C362" s="272" t="s">
        <v>2354</v>
      </c>
      <c r="D362" s="272" t="s">
        <v>2666</v>
      </c>
      <c r="E362" s="273" t="s">
        <v>108</v>
      </c>
      <c r="F362" s="273" t="s">
        <v>2635</v>
      </c>
      <c r="G362" s="272" t="s">
        <v>2355</v>
      </c>
    </row>
    <row r="363" spans="1:7" ht="15">
      <c r="A363" s="57" t="s">
        <v>2356</v>
      </c>
      <c r="B363" s="57" t="s">
        <v>2351</v>
      </c>
      <c r="C363" s="57" t="s">
        <v>2315</v>
      </c>
      <c r="D363" s="57" t="s">
        <v>2666</v>
      </c>
      <c r="E363" s="58" t="s">
        <v>2315</v>
      </c>
      <c r="F363" s="58" t="s">
        <v>2635</v>
      </c>
      <c r="G363" s="57" t="s">
        <v>2252</v>
      </c>
    </row>
    <row r="364" spans="1:7" ht="17.25">
      <c r="A364" s="272" t="s">
        <v>2357</v>
      </c>
      <c r="B364" s="272" t="s">
        <v>2358</v>
      </c>
      <c r="C364" s="272" t="s">
        <v>108</v>
      </c>
      <c r="D364" s="272" t="s">
        <v>2666</v>
      </c>
      <c r="E364" s="273" t="s">
        <v>108</v>
      </c>
      <c r="F364" s="273" t="s">
        <v>2635</v>
      </c>
      <c r="G364" s="272" t="s">
        <v>2252</v>
      </c>
    </row>
    <row r="365" spans="1:7" ht="17.25">
      <c r="A365" s="75" t="s">
        <v>2584</v>
      </c>
      <c r="B365" s="75"/>
      <c r="C365" s="75"/>
      <c r="D365" s="75"/>
      <c r="E365" s="76"/>
      <c r="F365" s="75"/>
      <c r="G365" s="75"/>
    </row>
    <row r="366" spans="1:7" ht="15">
      <c r="A366" s="57" t="s">
        <v>2363</v>
      </c>
      <c r="B366" s="57"/>
      <c r="C366" s="57" t="s">
        <v>2315</v>
      </c>
      <c r="D366" s="57" t="s">
        <v>2666</v>
      </c>
      <c r="E366" s="58" t="s">
        <v>2315</v>
      </c>
      <c r="F366" s="58" t="s">
        <v>2635</v>
      </c>
      <c r="G366" s="57" t="s">
        <v>2252</v>
      </c>
    </row>
    <row r="367" spans="1:7" ht="17.25">
      <c r="A367" s="272" t="s">
        <v>2294</v>
      </c>
      <c r="B367" s="272"/>
      <c r="C367" s="272" t="s">
        <v>2295</v>
      </c>
      <c r="D367" s="272" t="s">
        <v>2666</v>
      </c>
      <c r="E367" s="273" t="s">
        <v>2315</v>
      </c>
      <c r="F367" s="273" t="s">
        <v>2635</v>
      </c>
      <c r="G367" s="272" t="s">
        <v>2252</v>
      </c>
    </row>
    <row r="368" spans="1:7" ht="17.25">
      <c r="A368" s="272" t="s">
        <v>2364</v>
      </c>
      <c r="B368" s="272" t="s">
        <v>2351</v>
      </c>
      <c r="C368" s="272" t="s">
        <v>108</v>
      </c>
      <c r="D368" s="272" t="s">
        <v>2666</v>
      </c>
      <c r="E368" s="273" t="s">
        <v>108</v>
      </c>
      <c r="F368" s="273" t="s">
        <v>2635</v>
      </c>
      <c r="G368" s="272" t="s">
        <v>2252</v>
      </c>
    </row>
    <row r="369" spans="1:7" ht="15">
      <c r="A369" s="57" t="s">
        <v>2365</v>
      </c>
      <c r="B369" s="57" t="s">
        <v>2351</v>
      </c>
      <c r="C369" s="57" t="s">
        <v>108</v>
      </c>
      <c r="D369" s="57" t="s">
        <v>2666</v>
      </c>
      <c r="E369" s="58" t="s">
        <v>108</v>
      </c>
      <c r="F369" s="58" t="s">
        <v>2635</v>
      </c>
      <c r="G369" s="57" t="s">
        <v>2252</v>
      </c>
    </row>
    <row r="370" spans="1:7" ht="17.25">
      <c r="A370" s="272" t="s">
        <v>2366</v>
      </c>
      <c r="B370" s="272" t="s">
        <v>2257</v>
      </c>
      <c r="C370" s="272" t="s">
        <v>108</v>
      </c>
      <c r="D370" s="272" t="s">
        <v>2666</v>
      </c>
      <c r="E370" s="273" t="s">
        <v>108</v>
      </c>
      <c r="F370" s="273" t="s">
        <v>2635</v>
      </c>
      <c r="G370" s="272" t="s">
        <v>2252</v>
      </c>
    </row>
    <row r="371" spans="1:7" ht="17.25">
      <c r="A371" s="272" t="s">
        <v>2367</v>
      </c>
      <c r="B371" s="272" t="s">
        <v>2368</v>
      </c>
      <c r="C371" s="272" t="s">
        <v>2315</v>
      </c>
      <c r="D371" s="272" t="s">
        <v>2666</v>
      </c>
      <c r="E371" s="273" t="s">
        <v>2315</v>
      </c>
      <c r="F371" s="273" t="s">
        <v>2635</v>
      </c>
      <c r="G371" s="272" t="s">
        <v>2252</v>
      </c>
    </row>
    <row r="372" spans="1:7" ht="17.25">
      <c r="A372" s="272" t="s">
        <v>2369</v>
      </c>
      <c r="B372" s="272" t="s">
        <v>2368</v>
      </c>
      <c r="C372" s="272" t="s">
        <v>2315</v>
      </c>
      <c r="D372" s="272" t="s">
        <v>2666</v>
      </c>
      <c r="E372" s="273" t="s">
        <v>2315</v>
      </c>
      <c r="F372" s="273" t="s">
        <v>2635</v>
      </c>
      <c r="G372" s="272" t="s">
        <v>2252</v>
      </c>
    </row>
    <row r="373" spans="1:7" ht="17.25">
      <c r="A373" s="272" t="s">
        <v>2370</v>
      </c>
      <c r="B373" s="272" t="s">
        <v>2368</v>
      </c>
      <c r="C373" s="272" t="s">
        <v>108</v>
      </c>
      <c r="D373" s="272" t="s">
        <v>2666</v>
      </c>
      <c r="E373" s="273" t="s">
        <v>108</v>
      </c>
      <c r="F373" s="273" t="s">
        <v>2635</v>
      </c>
      <c r="G373" s="272" t="s">
        <v>2371</v>
      </c>
    </row>
    <row r="374" spans="1:7" ht="17.25">
      <c r="A374" s="75" t="s">
        <v>2585</v>
      </c>
      <c r="B374" s="75"/>
      <c r="C374" s="75"/>
      <c r="D374" s="75"/>
      <c r="E374" s="76"/>
      <c r="F374" s="75"/>
      <c r="G374" s="75"/>
    </row>
    <row r="375" spans="1:7" ht="17.25">
      <c r="A375" s="272" t="s">
        <v>2373</v>
      </c>
      <c r="B375" s="272" t="s">
        <v>2374</v>
      </c>
      <c r="C375" s="272" t="s">
        <v>108</v>
      </c>
      <c r="D375" s="272" t="s">
        <v>2666</v>
      </c>
      <c r="E375" s="273" t="s">
        <v>108</v>
      </c>
      <c r="F375" s="273" t="s">
        <v>2635</v>
      </c>
      <c r="G375" s="272" t="s">
        <v>2252</v>
      </c>
    </row>
    <row r="376" spans="1:7" ht="15">
      <c r="A376" s="57" t="s">
        <v>2375</v>
      </c>
      <c r="B376" s="57" t="s">
        <v>2376</v>
      </c>
      <c r="C376" s="57" t="s">
        <v>108</v>
      </c>
      <c r="D376" s="57" t="s">
        <v>2666</v>
      </c>
      <c r="E376" s="58" t="s">
        <v>108</v>
      </c>
      <c r="F376" s="58" t="s">
        <v>2635</v>
      </c>
      <c r="G376" s="57" t="s">
        <v>2252</v>
      </c>
    </row>
    <row r="377" spans="1:7" ht="17.25">
      <c r="A377" s="272" t="s">
        <v>2377</v>
      </c>
      <c r="B377" s="272" t="s">
        <v>2376</v>
      </c>
      <c r="C377" s="272" t="s">
        <v>108</v>
      </c>
      <c r="D377" s="272" t="s">
        <v>2666</v>
      </c>
      <c r="E377" s="273" t="s">
        <v>108</v>
      </c>
      <c r="F377" s="273" t="s">
        <v>2635</v>
      </c>
      <c r="G377" s="272" t="s">
        <v>2252</v>
      </c>
    </row>
    <row r="378" spans="1:7" ht="17.25">
      <c r="A378" s="75" t="s">
        <v>2586</v>
      </c>
      <c r="B378" s="75"/>
      <c r="C378" s="75"/>
      <c r="D378" s="75"/>
      <c r="E378" s="76"/>
      <c r="F378" s="75"/>
      <c r="G378" s="75"/>
    </row>
    <row r="379" spans="1:7" ht="17.25">
      <c r="A379" s="272" t="s">
        <v>2379</v>
      </c>
      <c r="B379" s="272" t="s">
        <v>2263</v>
      </c>
      <c r="C379" s="272" t="s">
        <v>2315</v>
      </c>
      <c r="D379" s="272" t="s">
        <v>2666</v>
      </c>
      <c r="E379" s="273" t="s">
        <v>2315</v>
      </c>
      <c r="F379" s="273" t="s">
        <v>2635</v>
      </c>
      <c r="G379" s="272" t="s">
        <v>2380</v>
      </c>
    </row>
    <row r="380" spans="1:7" ht="17.25">
      <c r="A380" s="272" t="s">
        <v>2381</v>
      </c>
      <c r="B380" s="272" t="s">
        <v>2301</v>
      </c>
      <c r="C380" s="272" t="s">
        <v>108</v>
      </c>
      <c r="D380" s="272" t="s">
        <v>2666</v>
      </c>
      <c r="E380" s="273" t="s">
        <v>108</v>
      </c>
      <c r="F380" s="273" t="s">
        <v>2635</v>
      </c>
      <c r="G380" s="272" t="s">
        <v>2382</v>
      </c>
    </row>
    <row r="381" spans="1:7" ht="17.25">
      <c r="A381" s="272" t="s">
        <v>2383</v>
      </c>
      <c r="B381" s="272" t="s">
        <v>2298</v>
      </c>
      <c r="C381" s="272" t="s">
        <v>108</v>
      </c>
      <c r="D381" s="272" t="s">
        <v>2666</v>
      </c>
      <c r="E381" s="273" t="s">
        <v>108</v>
      </c>
      <c r="F381" s="273" t="s">
        <v>2635</v>
      </c>
      <c r="G381" s="272" t="s">
        <v>2384</v>
      </c>
    </row>
    <row r="382" spans="1:7" ht="17.25">
      <c r="A382" s="272" t="s">
        <v>2385</v>
      </c>
      <c r="B382" s="272" t="s">
        <v>2386</v>
      </c>
      <c r="C382" s="272" t="s">
        <v>108</v>
      </c>
      <c r="D382" s="272" t="s">
        <v>2666</v>
      </c>
      <c r="E382" s="273" t="s">
        <v>108</v>
      </c>
      <c r="F382" s="273" t="s">
        <v>2635</v>
      </c>
      <c r="G382" s="272" t="s">
        <v>2387</v>
      </c>
    </row>
    <row r="383" spans="1:7" ht="17.25">
      <c r="A383" s="75" t="s">
        <v>2587</v>
      </c>
      <c r="B383" s="75"/>
      <c r="C383" s="75"/>
      <c r="D383" s="75"/>
      <c r="E383" s="76"/>
      <c r="F383" s="75"/>
      <c r="G383" s="75"/>
    </row>
    <row r="384" spans="1:7" ht="17.25">
      <c r="A384" s="272" t="s">
        <v>2389</v>
      </c>
      <c r="B384" s="272" t="s">
        <v>2301</v>
      </c>
      <c r="C384" s="272" t="s">
        <v>108</v>
      </c>
      <c r="D384" s="272" t="s">
        <v>2666</v>
      </c>
      <c r="E384" s="273" t="s">
        <v>108</v>
      </c>
      <c r="F384" s="273" t="s">
        <v>2635</v>
      </c>
      <c r="G384" s="272" t="s">
        <v>2390</v>
      </c>
    </row>
    <row r="385" spans="1:7" ht="15">
      <c r="A385" s="57" t="s">
        <v>2391</v>
      </c>
      <c r="B385" s="57" t="s">
        <v>2392</v>
      </c>
      <c r="C385" s="57" t="s">
        <v>108</v>
      </c>
      <c r="D385" s="57" t="s">
        <v>2666</v>
      </c>
      <c r="E385" s="58" t="s">
        <v>108</v>
      </c>
      <c r="F385" s="58" t="s">
        <v>2635</v>
      </c>
      <c r="G385" s="57" t="s">
        <v>2393</v>
      </c>
    </row>
    <row r="386" spans="1:7" ht="17.25">
      <c r="A386" s="272" t="s">
        <v>2394</v>
      </c>
      <c r="B386" s="272" t="s">
        <v>2395</v>
      </c>
      <c r="C386" s="272" t="s">
        <v>108</v>
      </c>
      <c r="D386" s="272" t="s">
        <v>2666</v>
      </c>
      <c r="E386" s="273" t="s">
        <v>108</v>
      </c>
      <c r="F386" s="273" t="s">
        <v>2635</v>
      </c>
      <c r="G386" s="272" t="s">
        <v>2396</v>
      </c>
    </row>
    <row r="387" spans="1:7" ht="15">
      <c r="A387" s="57" t="s">
        <v>2397</v>
      </c>
      <c r="B387" s="57" t="s">
        <v>2398</v>
      </c>
      <c r="C387" s="57" t="s">
        <v>2315</v>
      </c>
      <c r="D387" s="57" t="s">
        <v>2666</v>
      </c>
      <c r="E387" s="58" t="s">
        <v>2315</v>
      </c>
      <c r="F387" s="58" t="s">
        <v>2635</v>
      </c>
      <c r="G387" s="57" t="s">
        <v>2252</v>
      </c>
    </row>
    <row r="388" spans="1:7" ht="17.25">
      <c r="A388" s="272" t="s">
        <v>2399</v>
      </c>
      <c r="B388" s="272" t="s">
        <v>2398</v>
      </c>
      <c r="C388" s="272" t="s">
        <v>2400</v>
      </c>
      <c r="D388" s="272" t="s">
        <v>2666</v>
      </c>
      <c r="E388" s="273" t="s">
        <v>108</v>
      </c>
      <c r="F388" s="273" t="s">
        <v>2635</v>
      </c>
      <c r="G388" s="272" t="s">
        <v>2252</v>
      </c>
    </row>
    <row r="389" spans="1:7" ht="17.25">
      <c r="A389" s="75" t="s">
        <v>2588</v>
      </c>
      <c r="B389" s="75"/>
      <c r="C389" s="75"/>
      <c r="D389" s="75"/>
      <c r="E389" s="76"/>
      <c r="F389" s="75"/>
      <c r="G389" s="75"/>
    </row>
    <row r="390" spans="1:7" ht="15">
      <c r="A390" s="57" t="s">
        <v>2402</v>
      </c>
      <c r="B390" s="57" t="s">
        <v>2403</v>
      </c>
      <c r="C390" s="57" t="s">
        <v>108</v>
      </c>
      <c r="D390" s="57" t="s">
        <v>2666</v>
      </c>
      <c r="E390" s="58" t="s">
        <v>108</v>
      </c>
      <c r="F390" s="58" t="s">
        <v>2635</v>
      </c>
      <c r="G390" s="57" t="s">
        <v>2252</v>
      </c>
    </row>
    <row r="391" spans="1:7" ht="17.25">
      <c r="A391" s="272" t="s">
        <v>2404</v>
      </c>
      <c r="B391" s="272" t="s">
        <v>2403</v>
      </c>
      <c r="C391" s="272" t="s">
        <v>2315</v>
      </c>
      <c r="D391" s="272" t="s">
        <v>2666</v>
      </c>
      <c r="E391" s="273" t="s">
        <v>2315</v>
      </c>
      <c r="F391" s="273" t="s">
        <v>2635</v>
      </c>
      <c r="G391" s="272" t="s">
        <v>2405</v>
      </c>
    </row>
    <row r="392" spans="1:7" ht="15">
      <c r="A392" s="56" t="s">
        <v>2406</v>
      </c>
      <c r="B392" s="56" t="s">
        <v>2407</v>
      </c>
      <c r="C392" s="56" t="s">
        <v>2408</v>
      </c>
      <c r="D392" s="56" t="s">
        <v>2666</v>
      </c>
      <c r="E392" s="74" t="s">
        <v>2631</v>
      </c>
      <c r="F392" s="74" t="s">
        <v>2225</v>
      </c>
      <c r="G392" s="56" t="s">
        <v>2410</v>
      </c>
    </row>
    <row r="393" spans="1:7" ht="17.25">
      <c r="A393" s="272" t="s">
        <v>2411</v>
      </c>
      <c r="B393" s="272" t="s">
        <v>2407</v>
      </c>
      <c r="C393" s="272" t="s">
        <v>2331</v>
      </c>
      <c r="D393" s="272" t="s">
        <v>2666</v>
      </c>
      <c r="E393" s="273" t="s">
        <v>108</v>
      </c>
      <c r="F393" s="273" t="s">
        <v>2635</v>
      </c>
      <c r="G393" s="272" t="s">
        <v>2412</v>
      </c>
    </row>
    <row r="394" spans="1:7" ht="15">
      <c r="A394" s="57" t="s">
        <v>2413</v>
      </c>
      <c r="B394" s="57" t="s">
        <v>2403</v>
      </c>
      <c r="C394" s="57" t="s">
        <v>2414</v>
      </c>
      <c r="D394" s="57" t="s">
        <v>2666</v>
      </c>
      <c r="E394" s="58" t="s">
        <v>108</v>
      </c>
      <c r="F394" s="58" t="s">
        <v>2635</v>
      </c>
      <c r="G394" s="57" t="s">
        <v>2252</v>
      </c>
    </row>
    <row r="395" spans="1:7" ht="17.25">
      <c r="A395" s="272" t="s">
        <v>2415</v>
      </c>
      <c r="B395" s="272" t="s">
        <v>2403</v>
      </c>
      <c r="C395" s="272" t="s">
        <v>2416</v>
      </c>
      <c r="D395" s="272" t="s">
        <v>2666</v>
      </c>
      <c r="E395" s="273" t="s">
        <v>108</v>
      </c>
      <c r="F395" s="273" t="s">
        <v>2635</v>
      </c>
      <c r="G395" s="272" t="s">
        <v>2417</v>
      </c>
    </row>
    <row r="396" spans="1:7" ht="17.25">
      <c r="A396" s="75" t="s">
        <v>2589</v>
      </c>
      <c r="B396" s="75"/>
      <c r="C396" s="75"/>
      <c r="D396" s="75"/>
      <c r="E396" s="76"/>
      <c r="F396" s="75"/>
      <c r="G396" s="75"/>
    </row>
    <row r="397" spans="1:7" ht="15">
      <c r="A397" s="57" t="s">
        <v>2419</v>
      </c>
      <c r="B397" s="57" t="s">
        <v>2287</v>
      </c>
      <c r="C397" s="57" t="s">
        <v>2420</v>
      </c>
      <c r="D397" s="57" t="s">
        <v>2666</v>
      </c>
      <c r="E397" s="58" t="s">
        <v>108</v>
      </c>
      <c r="F397" s="58" t="s">
        <v>2635</v>
      </c>
      <c r="G397" s="57" t="s">
        <v>2421</v>
      </c>
    </row>
    <row r="398" spans="1:7" ht="17.25">
      <c r="A398" s="272" t="s">
        <v>2422</v>
      </c>
      <c r="B398" s="272" t="s">
        <v>2423</v>
      </c>
      <c r="C398" s="272" t="s">
        <v>2424</v>
      </c>
      <c r="D398" s="272" t="s">
        <v>2666</v>
      </c>
      <c r="E398" s="273" t="s">
        <v>108</v>
      </c>
      <c r="F398" s="273" t="s">
        <v>2635</v>
      </c>
      <c r="G398" s="272" t="s">
        <v>2425</v>
      </c>
    </row>
    <row r="399" spans="1:7" ht="17.25">
      <c r="A399" s="272" t="s">
        <v>2274</v>
      </c>
      <c r="B399" s="272"/>
      <c r="C399" s="272" t="s">
        <v>2254</v>
      </c>
      <c r="D399" s="272" t="s">
        <v>2666</v>
      </c>
      <c r="E399" s="273" t="s">
        <v>2526</v>
      </c>
      <c r="F399" s="273" t="s">
        <v>2635</v>
      </c>
      <c r="G399" s="272" t="s">
        <v>2252</v>
      </c>
    </row>
    <row r="400" spans="1:7" ht="15">
      <c r="A400" s="57" t="s">
        <v>2426</v>
      </c>
      <c r="B400" s="57" t="s">
        <v>2272</v>
      </c>
      <c r="C400" s="57" t="s">
        <v>2427</v>
      </c>
      <c r="D400" s="57" t="s">
        <v>2666</v>
      </c>
      <c r="E400" s="58" t="s">
        <v>2427</v>
      </c>
      <c r="F400" s="58" t="s">
        <v>2635</v>
      </c>
      <c r="G400" s="57" t="s">
        <v>2428</v>
      </c>
    </row>
    <row r="401" spans="1:7" ht="17.25">
      <c r="A401" s="75" t="s">
        <v>2598</v>
      </c>
      <c r="B401" s="75"/>
      <c r="C401" s="75"/>
      <c r="D401" s="75"/>
      <c r="E401" s="76"/>
      <c r="F401" s="75"/>
      <c r="G401" s="75"/>
    </row>
    <row r="402" spans="1:7" ht="15">
      <c r="A402" s="57" t="s">
        <v>2241</v>
      </c>
      <c r="B402" s="57" t="s">
        <v>2242</v>
      </c>
      <c r="C402" s="57" t="s">
        <v>2243</v>
      </c>
      <c r="D402" s="57" t="s">
        <v>2667</v>
      </c>
      <c r="E402" s="58" t="s">
        <v>2245</v>
      </c>
      <c r="F402" s="58" t="s">
        <v>2635</v>
      </c>
      <c r="G402" s="57" t="s">
        <v>2246</v>
      </c>
    </row>
    <row r="403" spans="1:7" ht="17.25">
      <c r="A403" s="272" t="s">
        <v>2309</v>
      </c>
      <c r="B403" s="272"/>
      <c r="C403" s="272" t="s">
        <v>2310</v>
      </c>
      <c r="D403" s="272" t="s">
        <v>2667</v>
      </c>
      <c r="E403" s="273" t="s">
        <v>1215</v>
      </c>
      <c r="F403" s="273" t="s">
        <v>2635</v>
      </c>
      <c r="G403" s="272" t="s">
        <v>2252</v>
      </c>
    </row>
    <row r="404" spans="1:7" ht="17.25">
      <c r="A404" s="75" t="s">
        <v>2600</v>
      </c>
      <c r="B404" s="75"/>
      <c r="C404" s="75"/>
      <c r="D404" s="75"/>
      <c r="E404" s="76"/>
      <c r="F404" s="75"/>
      <c r="G404" s="75"/>
    </row>
    <row r="405" spans="1:7" ht="17.25">
      <c r="A405" s="272" t="s">
        <v>2281</v>
      </c>
      <c r="B405" s="272" t="s">
        <v>2282</v>
      </c>
      <c r="C405" s="272" t="s">
        <v>2283</v>
      </c>
      <c r="D405" s="272" t="s">
        <v>2667</v>
      </c>
      <c r="E405" s="273" t="s">
        <v>2645</v>
      </c>
      <c r="F405" s="273" t="s">
        <v>2635</v>
      </c>
      <c r="G405" s="272" t="s">
        <v>2252</v>
      </c>
    </row>
    <row r="406" spans="1:7" ht="17.25">
      <c r="A406" s="75" t="s">
        <v>2601</v>
      </c>
      <c r="B406" s="75"/>
      <c r="C406" s="75"/>
      <c r="D406" s="75"/>
      <c r="E406" s="76"/>
      <c r="F406" s="75"/>
      <c r="G406" s="75"/>
    </row>
    <row r="407" spans="1:7" ht="17.25">
      <c r="A407" s="272" t="s">
        <v>2286</v>
      </c>
      <c r="B407" s="272" t="s">
        <v>2287</v>
      </c>
      <c r="C407" s="272" t="s">
        <v>2288</v>
      </c>
      <c r="D407" s="272" t="s">
        <v>2667</v>
      </c>
      <c r="E407" s="273" t="s">
        <v>2284</v>
      </c>
      <c r="F407" s="273" t="s">
        <v>2635</v>
      </c>
      <c r="G407" s="272" t="s">
        <v>2252</v>
      </c>
    </row>
    <row r="408" spans="1:7" ht="17.25">
      <c r="A408" s="75" t="s">
        <v>2602</v>
      </c>
      <c r="B408" s="75"/>
      <c r="C408" s="75"/>
      <c r="D408" s="75"/>
      <c r="E408" s="76"/>
      <c r="F408" s="75"/>
      <c r="G408" s="75"/>
    </row>
    <row r="409" spans="1:7" ht="17.25">
      <c r="A409" s="272" t="s">
        <v>2248</v>
      </c>
      <c r="B409" s="272" t="s">
        <v>2249</v>
      </c>
      <c r="C409" s="272" t="s">
        <v>2250</v>
      </c>
      <c r="D409" s="272" t="s">
        <v>2667</v>
      </c>
      <c r="E409" s="273" t="s">
        <v>2251</v>
      </c>
      <c r="F409" s="273" t="s">
        <v>2635</v>
      </c>
      <c r="G409" s="272" t="s">
        <v>2252</v>
      </c>
    </row>
    <row r="410" spans="1:7" ht="15">
      <c r="A410" s="57" t="s">
        <v>2253</v>
      </c>
      <c r="B410" s="57" t="s">
        <v>2249</v>
      </c>
      <c r="C410" s="57" t="s">
        <v>2254</v>
      </c>
      <c r="D410" s="57" t="s">
        <v>2667</v>
      </c>
      <c r="E410" s="58" t="s">
        <v>2251</v>
      </c>
      <c r="F410" s="58" t="s">
        <v>2635</v>
      </c>
      <c r="G410" s="57" t="s">
        <v>2252</v>
      </c>
    </row>
    <row r="411" spans="1:7" ht="17.25">
      <c r="A411" s="272" t="s">
        <v>2255</v>
      </c>
      <c r="B411" s="272" t="s">
        <v>2249</v>
      </c>
      <c r="C411" s="272" t="s">
        <v>2254</v>
      </c>
      <c r="D411" s="272" t="s">
        <v>2667</v>
      </c>
      <c r="E411" s="273" t="s">
        <v>2251</v>
      </c>
      <c r="F411" s="273" t="s">
        <v>2635</v>
      </c>
      <c r="G411" s="272" t="s">
        <v>2252</v>
      </c>
    </row>
    <row r="412" spans="1:7" ht="15">
      <c r="A412" s="57" t="s">
        <v>2256</v>
      </c>
      <c r="B412" s="57" t="s">
        <v>2257</v>
      </c>
      <c r="C412" s="57" t="s">
        <v>2254</v>
      </c>
      <c r="D412" s="57" t="s">
        <v>2667</v>
      </c>
      <c r="E412" s="58" t="s">
        <v>2251</v>
      </c>
      <c r="F412" s="58" t="s">
        <v>2635</v>
      </c>
      <c r="G412" s="57" t="s">
        <v>2252</v>
      </c>
    </row>
    <row r="413" spans="1:7" ht="17.25">
      <c r="A413" s="272" t="s">
        <v>2258</v>
      </c>
      <c r="B413" s="272"/>
      <c r="C413" s="272" t="s">
        <v>2254</v>
      </c>
      <c r="D413" s="272" t="s">
        <v>2667</v>
      </c>
      <c r="E413" s="273" t="s">
        <v>2251</v>
      </c>
      <c r="F413" s="273" t="s">
        <v>2635</v>
      </c>
      <c r="G413" s="272" t="s">
        <v>2252</v>
      </c>
    </row>
    <row r="414" spans="1:7" ht="15">
      <c r="A414" s="57" t="s">
        <v>2259</v>
      </c>
      <c r="B414" s="57"/>
      <c r="C414" s="57" t="s">
        <v>2254</v>
      </c>
      <c r="D414" s="57" t="s">
        <v>2667</v>
      </c>
      <c r="E414" s="58" t="s">
        <v>2251</v>
      </c>
      <c r="F414" s="58" t="s">
        <v>2635</v>
      </c>
      <c r="G414" s="57" t="s">
        <v>2252</v>
      </c>
    </row>
    <row r="415" spans="1:7" ht="17.25">
      <c r="A415" s="272" t="s">
        <v>2260</v>
      </c>
      <c r="B415" s="272"/>
      <c r="C415" s="272" t="s">
        <v>2254</v>
      </c>
      <c r="D415" s="272" t="s">
        <v>2667</v>
      </c>
      <c r="E415" s="273" t="s">
        <v>2251</v>
      </c>
      <c r="F415" s="273" t="s">
        <v>2635</v>
      </c>
      <c r="G415" s="272" t="s">
        <v>2252</v>
      </c>
    </row>
    <row r="416" spans="1:7" ht="17.25">
      <c r="A416" s="75" t="s">
        <v>2606</v>
      </c>
      <c r="B416" s="75"/>
      <c r="C416" s="75"/>
      <c r="D416" s="75"/>
      <c r="E416" s="76"/>
      <c r="F416" s="75"/>
      <c r="G416" s="75"/>
    </row>
    <row r="417" spans="1:7" ht="15">
      <c r="A417" s="57" t="s">
        <v>2262</v>
      </c>
      <c r="B417" s="57" t="s">
        <v>2263</v>
      </c>
      <c r="C417" s="57" t="s">
        <v>2243</v>
      </c>
      <c r="D417" s="57" t="s">
        <v>2667</v>
      </c>
      <c r="E417" s="58" t="s">
        <v>2245</v>
      </c>
      <c r="F417" s="58" t="s">
        <v>2635</v>
      </c>
      <c r="G417" s="57" t="s">
        <v>2264</v>
      </c>
    </row>
    <row r="418" spans="1:7" ht="17.25">
      <c r="A418" s="272" t="s">
        <v>2265</v>
      </c>
      <c r="B418" s="272" t="s">
        <v>2266</v>
      </c>
      <c r="C418" s="272" t="s">
        <v>2243</v>
      </c>
      <c r="D418" s="272" t="s">
        <v>2667</v>
      </c>
      <c r="E418" s="273" t="s">
        <v>2245</v>
      </c>
      <c r="F418" s="273" t="s">
        <v>2635</v>
      </c>
      <c r="G418" s="272" t="s">
        <v>2267</v>
      </c>
    </row>
    <row r="419" spans="1:7" ht="17.25">
      <c r="A419" s="75" t="s">
        <v>2608</v>
      </c>
      <c r="B419" s="75"/>
      <c r="C419" s="75"/>
      <c r="D419" s="75"/>
      <c r="E419" s="76"/>
      <c r="F419" s="75"/>
      <c r="G419" s="75"/>
    </row>
    <row r="420" spans="1:7" ht="15">
      <c r="A420" s="57" t="s">
        <v>2406</v>
      </c>
      <c r="B420" s="57" t="s">
        <v>2407</v>
      </c>
      <c r="C420" s="57" t="s">
        <v>2408</v>
      </c>
      <c r="D420" s="57" t="s">
        <v>2667</v>
      </c>
      <c r="E420" s="58" t="s">
        <v>2631</v>
      </c>
      <c r="F420" s="58" t="s">
        <v>2635</v>
      </c>
      <c r="G420" s="57" t="s">
        <v>2410</v>
      </c>
    </row>
    <row r="421" spans="1:7" ht="17.25">
      <c r="A421" s="75" t="s">
        <v>2609</v>
      </c>
      <c r="B421" s="75"/>
      <c r="C421" s="75"/>
      <c r="D421" s="75"/>
      <c r="E421" s="76"/>
      <c r="F421" s="75"/>
      <c r="G421" s="75"/>
    </row>
    <row r="422" spans="1:7" ht="17.25">
      <c r="A422" s="272" t="s">
        <v>2269</v>
      </c>
      <c r="B422" s="272"/>
      <c r="C422" s="272" t="s">
        <v>2243</v>
      </c>
      <c r="D422" s="272" t="s">
        <v>2667</v>
      </c>
      <c r="E422" s="273" t="s">
        <v>2245</v>
      </c>
      <c r="F422" s="273" t="s">
        <v>2635</v>
      </c>
      <c r="G422" s="272" t="s">
        <v>2270</v>
      </c>
    </row>
    <row r="423" spans="1:7" ht="15">
      <c r="A423" s="57" t="s">
        <v>2271</v>
      </c>
      <c r="B423" s="57" t="s">
        <v>2272</v>
      </c>
      <c r="C423" s="57" t="s">
        <v>2243</v>
      </c>
      <c r="D423" s="57" t="s">
        <v>2667</v>
      </c>
      <c r="E423" s="58" t="s">
        <v>2245</v>
      </c>
      <c r="F423" s="58" t="s">
        <v>2635</v>
      </c>
      <c r="G423" s="57" t="s">
        <v>2273</v>
      </c>
    </row>
    <row r="424" spans="1:7" ht="15">
      <c r="A424" s="57" t="s">
        <v>2274</v>
      </c>
      <c r="B424" s="57"/>
      <c r="C424" s="57" t="s">
        <v>2254</v>
      </c>
      <c r="D424" s="57" t="s">
        <v>2667</v>
      </c>
      <c r="E424" s="58" t="s">
        <v>2251</v>
      </c>
      <c r="F424" s="58" t="s">
        <v>2635</v>
      </c>
      <c r="G424" s="57" t="s">
        <v>2252</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1869</v>
      </c>
      <c r="B2" s="72" t="s">
        <v>2737</v>
      </c>
      <c r="C2" s="72" t="s">
        <v>2738</v>
      </c>
      <c r="D2" s="72" t="s">
        <v>2739</v>
      </c>
      <c r="E2" s="72" t="s">
        <v>2739</v>
      </c>
      <c r="F2" s="72" t="s">
        <v>2739</v>
      </c>
      <c r="G2" s="72" t="s">
        <v>2740</v>
      </c>
      <c r="H2" s="72" t="s">
        <v>2739</v>
      </c>
      <c r="I2" s="72" t="s">
        <v>552</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1869</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1869</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552</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1869</v>
      </c>
      <c r="B5" s="72" t="s">
        <v>2755</v>
      </c>
      <c r="C5" s="72" t="s">
        <v>2738</v>
      </c>
      <c r="D5" s="72" t="s">
        <v>2739</v>
      </c>
      <c r="E5" s="72" t="s">
        <v>2739</v>
      </c>
      <c r="F5" s="72" t="s">
        <v>2739</v>
      </c>
      <c r="G5" s="72" t="s">
        <v>2740</v>
      </c>
      <c r="H5" s="72" t="s">
        <v>2739</v>
      </c>
      <c r="I5" s="72" t="s">
        <v>2284</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1869</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1869</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1869</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1869</v>
      </c>
      <c r="B9" s="72" t="s">
        <v>2767</v>
      </c>
      <c r="C9" s="72" t="s">
        <v>2751</v>
      </c>
      <c r="D9" s="72" t="s">
        <v>2739</v>
      </c>
      <c r="E9" s="72" t="s">
        <v>2739</v>
      </c>
      <c r="F9" s="72" t="s">
        <v>2739</v>
      </c>
      <c r="G9" s="72" t="s">
        <v>2740</v>
      </c>
      <c r="H9" s="72" t="s">
        <v>2739</v>
      </c>
      <c r="I9" s="72" t="s">
        <v>2315</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1869</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1869</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1869</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1869</v>
      </c>
      <c r="B13" s="72" t="s">
        <v>2780</v>
      </c>
      <c r="C13" s="72" t="s">
        <v>2764</v>
      </c>
      <c r="D13" s="72" t="s">
        <v>2739</v>
      </c>
      <c r="E13" s="72" t="s">
        <v>2739</v>
      </c>
      <c r="F13" s="72" t="s">
        <v>2739</v>
      </c>
      <c r="G13" s="72" t="s">
        <v>2740</v>
      </c>
      <c r="H13" s="72" t="s">
        <v>2739</v>
      </c>
      <c r="I13" s="72" t="s">
        <v>2315</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1869</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1869</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1869</v>
      </c>
      <c r="B16" s="72" t="s">
        <v>2465</v>
      </c>
      <c r="C16" s="72" t="s">
        <v>2465</v>
      </c>
      <c r="D16" s="72" t="s">
        <v>2739</v>
      </c>
      <c r="E16" s="72" t="s">
        <v>2739</v>
      </c>
      <c r="F16" s="72" t="s">
        <v>2739</v>
      </c>
      <c r="G16" s="72" t="s">
        <v>2740</v>
      </c>
      <c r="H16" s="72" t="s">
        <v>2739</v>
      </c>
      <c r="I16" s="72" t="s">
        <v>2254</v>
      </c>
      <c r="J16" s="72" t="s">
        <v>2487</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1869</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1869</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1869</v>
      </c>
      <c r="B19" s="72" t="s">
        <v>2795</v>
      </c>
      <c r="C19" s="72" t="s">
        <v>2744</v>
      </c>
      <c r="D19" s="72" t="s">
        <v>2739</v>
      </c>
      <c r="E19" s="72" t="s">
        <v>2739</v>
      </c>
      <c r="F19" s="72" t="s">
        <v>2739</v>
      </c>
      <c r="G19" s="72" t="s">
        <v>2740</v>
      </c>
      <c r="H19" s="72" t="s">
        <v>2739</v>
      </c>
      <c r="I19" s="72" t="s">
        <v>552</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1869</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1869</v>
      </c>
      <c r="B21" s="72" t="s">
        <v>2801</v>
      </c>
      <c r="C21" s="72" t="s">
        <v>2802</v>
      </c>
      <c r="D21" s="72" t="s">
        <v>2739</v>
      </c>
      <c r="E21" s="72" t="s">
        <v>2739</v>
      </c>
      <c r="F21" s="72" t="s">
        <v>2739</v>
      </c>
      <c r="G21" s="72" t="s">
        <v>2740</v>
      </c>
      <c r="H21" s="72" t="s">
        <v>2739</v>
      </c>
      <c r="I21" s="72" t="s">
        <v>552</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1869</v>
      </c>
      <c r="B22" s="72" t="s">
        <v>2805</v>
      </c>
      <c r="C22" s="72" t="s">
        <v>2764</v>
      </c>
      <c r="D22" s="72" t="s">
        <v>2739</v>
      </c>
      <c r="E22" s="72" t="s">
        <v>2739</v>
      </c>
      <c r="F22" s="72" t="s">
        <v>2739</v>
      </c>
      <c r="G22" s="72" t="s">
        <v>2740</v>
      </c>
      <c r="H22" s="72" t="s">
        <v>2739</v>
      </c>
      <c r="I22" s="72" t="s">
        <v>815</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1872</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1872</v>
      </c>
      <c r="B24" s="72" t="s">
        <v>2811</v>
      </c>
      <c r="C24" s="72" t="s">
        <v>2751</v>
      </c>
      <c r="D24" s="72" t="s">
        <v>2739</v>
      </c>
      <c r="E24" s="72" t="s">
        <v>2739</v>
      </c>
      <c r="F24" s="72" t="s">
        <v>2739</v>
      </c>
      <c r="G24" s="72" t="s">
        <v>2740</v>
      </c>
      <c r="H24" s="72" t="s">
        <v>2739</v>
      </c>
      <c r="I24" s="72" t="s">
        <v>108</v>
      </c>
      <c r="J24" s="72" t="s">
        <v>2812</v>
      </c>
      <c r="K24" s="72" t="s">
        <v>2740</v>
      </c>
      <c r="L24" s="72" t="s">
        <v>2315</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1872</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1872</v>
      </c>
      <c r="B26" s="72" t="s">
        <v>2817</v>
      </c>
      <c r="C26" s="72" t="s">
        <v>2751</v>
      </c>
      <c r="D26" s="72" t="s">
        <v>2739</v>
      </c>
      <c r="E26" s="72" t="s">
        <v>2739</v>
      </c>
      <c r="F26" s="72" t="s">
        <v>2739</v>
      </c>
      <c r="G26" s="72" t="s">
        <v>2740</v>
      </c>
      <c r="H26" s="72" t="s">
        <v>2739</v>
      </c>
      <c r="I26" s="72" t="s">
        <v>2254</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1872</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1872</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1872</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1872</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1872</v>
      </c>
      <c r="B31" s="72" t="s">
        <v>2831</v>
      </c>
      <c r="C31" s="72" t="s">
        <v>2802</v>
      </c>
      <c r="D31" s="72" t="s">
        <v>2739</v>
      </c>
      <c r="E31" s="72" t="s">
        <v>2739</v>
      </c>
      <c r="F31" s="72" t="s">
        <v>2739</v>
      </c>
      <c r="G31" s="72" t="s">
        <v>2740</v>
      </c>
      <c r="H31" s="72" t="s">
        <v>2739</v>
      </c>
      <c r="I31" s="72" t="s">
        <v>2254</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1872</v>
      </c>
      <c r="B32" s="72" t="s">
        <v>2834</v>
      </c>
      <c r="C32" s="72" t="s">
        <v>2751</v>
      </c>
      <c r="D32" s="72" t="s">
        <v>2739</v>
      </c>
      <c r="E32" s="72" t="s">
        <v>2739</v>
      </c>
      <c r="F32" s="72" t="s">
        <v>2739</v>
      </c>
      <c r="G32" s="72" t="s">
        <v>2740</v>
      </c>
      <c r="H32" s="72" t="s">
        <v>2739</v>
      </c>
      <c r="I32" s="72" t="s">
        <v>2771</v>
      </c>
      <c r="J32" s="72" t="s">
        <v>2835</v>
      </c>
      <c r="K32" s="72" t="s">
        <v>2740</v>
      </c>
      <c r="L32" s="72" t="s">
        <v>552</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1872</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1872</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1872</v>
      </c>
      <c r="B35" s="72" t="s">
        <v>2843</v>
      </c>
      <c r="C35" s="72" t="s">
        <v>2738</v>
      </c>
      <c r="D35" s="72" t="s">
        <v>2739</v>
      </c>
      <c r="E35" s="72" t="s">
        <v>2739</v>
      </c>
      <c r="F35" s="72" t="s">
        <v>2739</v>
      </c>
      <c r="G35" s="72" t="s">
        <v>2740</v>
      </c>
      <c r="H35" s="72" t="s">
        <v>2739</v>
      </c>
      <c r="I35" s="72" t="s">
        <v>108</v>
      </c>
      <c r="J35" s="72" t="s">
        <v>2844</v>
      </c>
      <c r="K35" s="72" t="s">
        <v>2740</v>
      </c>
      <c r="L35" s="72" t="s">
        <v>2315</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1872</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1872</v>
      </c>
      <c r="B37" s="72" t="s">
        <v>2848</v>
      </c>
      <c r="C37" s="72" t="s">
        <v>2849</v>
      </c>
      <c r="D37" s="72" t="s">
        <v>2739</v>
      </c>
      <c r="E37" s="72" t="s">
        <v>2739</v>
      </c>
      <c r="F37" s="72" t="s">
        <v>2739</v>
      </c>
      <c r="G37" s="72" t="s">
        <v>2740</v>
      </c>
      <c r="H37" s="72" t="s">
        <v>2739</v>
      </c>
      <c r="I37" s="72" t="s">
        <v>552</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1872</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1872</v>
      </c>
      <c r="B39" s="72" t="s">
        <v>2855</v>
      </c>
      <c r="C39" s="72" t="s">
        <v>2852</v>
      </c>
      <c r="D39" s="72" t="s">
        <v>2739</v>
      </c>
      <c r="E39" s="72" t="s">
        <v>2739</v>
      </c>
      <c r="F39" s="72" t="s">
        <v>2739</v>
      </c>
      <c r="G39" s="72" t="s">
        <v>2740</v>
      </c>
      <c r="H39" s="72" t="s">
        <v>2739</v>
      </c>
      <c r="I39" s="72" t="s">
        <v>108</v>
      </c>
      <c r="J39" s="72" t="s">
        <v>2856</v>
      </c>
      <c r="K39" s="72" t="s">
        <v>2740</v>
      </c>
      <c r="L39" s="72" t="s">
        <v>2315</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1872</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1872</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1872</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1872</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1872</v>
      </c>
      <c r="B44" s="72" t="s">
        <v>2870</v>
      </c>
      <c r="C44" s="72" t="s">
        <v>2849</v>
      </c>
      <c r="D44" s="72" t="s">
        <v>2739</v>
      </c>
      <c r="E44" s="72" t="s">
        <v>2739</v>
      </c>
      <c r="F44" s="72" t="s">
        <v>2739</v>
      </c>
      <c r="G44" s="72" t="s">
        <v>2740</v>
      </c>
      <c r="H44" s="72" t="s">
        <v>2739</v>
      </c>
      <c r="I44" s="72" t="s">
        <v>2745</v>
      </c>
      <c r="J44" s="72" t="s">
        <v>2871</v>
      </c>
      <c r="K44" s="72" t="s">
        <v>2740</v>
      </c>
      <c r="L44" s="72" t="s">
        <v>1215</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1872</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1872</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1872</v>
      </c>
      <c r="B47" s="72" t="s">
        <v>2877</v>
      </c>
      <c r="C47" s="72" t="s">
        <v>2764</v>
      </c>
      <c r="D47" s="72" t="s">
        <v>2739</v>
      </c>
      <c r="E47" s="72" t="s">
        <v>2739</v>
      </c>
      <c r="F47" s="72" t="s">
        <v>2739</v>
      </c>
      <c r="G47" s="72" t="s">
        <v>2740</v>
      </c>
      <c r="H47" s="72" t="s">
        <v>2739</v>
      </c>
      <c r="I47" s="72" t="s">
        <v>108</v>
      </c>
      <c r="J47" s="72" t="s">
        <v>2878</v>
      </c>
      <c r="K47" s="72" t="s">
        <v>2740</v>
      </c>
      <c r="L47" s="72" t="s">
        <v>2243</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1872</v>
      </c>
      <c r="B48" s="72" t="s">
        <v>2880</v>
      </c>
      <c r="C48" s="72" t="s">
        <v>2881</v>
      </c>
      <c r="D48" s="72" t="s">
        <v>2739</v>
      </c>
      <c r="E48" s="72" t="s">
        <v>2739</v>
      </c>
      <c r="F48" s="72" t="s">
        <v>2739</v>
      </c>
      <c r="G48" s="72" t="s">
        <v>2740</v>
      </c>
      <c r="H48" s="72" t="s">
        <v>2739</v>
      </c>
      <c r="I48" s="72" t="s">
        <v>2254</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1872</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1872</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1872</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1872</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1872</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1872</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1872</v>
      </c>
      <c r="B55" s="72" t="s">
        <v>2895</v>
      </c>
      <c r="C55" s="72" t="s">
        <v>2881</v>
      </c>
      <c r="D55" s="72" t="s">
        <v>2739</v>
      </c>
      <c r="E55" s="72" t="s">
        <v>2739</v>
      </c>
      <c r="F55" s="72" t="s">
        <v>2739</v>
      </c>
      <c r="G55" s="72" t="s">
        <v>2740</v>
      </c>
      <c r="H55" s="72" t="s">
        <v>2739</v>
      </c>
      <c r="I55" s="72" t="s">
        <v>2243</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1872</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1872</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1872</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1872</v>
      </c>
      <c r="B59" s="72" t="s">
        <v>2904</v>
      </c>
      <c r="C59" s="72" t="s">
        <v>2849</v>
      </c>
      <c r="D59" s="72" t="s">
        <v>2739</v>
      </c>
      <c r="E59" s="72" t="s">
        <v>2739</v>
      </c>
      <c r="F59" s="72" t="s">
        <v>2739</v>
      </c>
      <c r="G59" s="72" t="s">
        <v>2740</v>
      </c>
      <c r="H59" s="72" t="s">
        <v>2739</v>
      </c>
      <c r="I59" s="72" t="s">
        <v>2243</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1872</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1872</v>
      </c>
      <c r="B61" s="72" t="s">
        <v>2908</v>
      </c>
      <c r="C61" s="72" t="s">
        <v>2738</v>
      </c>
      <c r="D61" s="72" t="s">
        <v>2739</v>
      </c>
      <c r="E61" s="72" t="s">
        <v>2739</v>
      </c>
      <c r="F61" s="72" t="s">
        <v>2739</v>
      </c>
      <c r="G61" s="72" t="s">
        <v>2740</v>
      </c>
      <c r="H61" s="72" t="s">
        <v>2739</v>
      </c>
      <c r="I61" s="72" t="s">
        <v>2254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1872</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1872</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1872</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1872</v>
      </c>
      <c r="B65" s="72" t="s">
        <v>2917</v>
      </c>
      <c r="C65" s="72" t="s">
        <v>2867</v>
      </c>
      <c r="D65" s="72" t="s">
        <v>2739</v>
      </c>
      <c r="E65" s="72" t="s">
        <v>2739</v>
      </c>
      <c r="F65" s="72" t="s">
        <v>2739</v>
      </c>
      <c r="G65" s="72" t="s">
        <v>2740</v>
      </c>
      <c r="H65" s="72" t="s">
        <v>2739</v>
      </c>
      <c r="I65" s="72" t="s">
        <v>2745</v>
      </c>
      <c r="J65" s="72" t="s">
        <v>2871</v>
      </c>
      <c r="K65" s="72" t="s">
        <v>2740</v>
      </c>
      <c r="L65" s="72" t="s">
        <v>1215</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1872</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1872</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1872</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1872</v>
      </c>
      <c r="B69" s="72" t="s">
        <v>2465</v>
      </c>
      <c r="C69" s="72" t="s">
        <v>2465</v>
      </c>
      <c r="D69" s="72" t="s">
        <v>2739</v>
      </c>
      <c r="E69" s="72" t="s">
        <v>2739</v>
      </c>
      <c r="F69" s="72" t="s">
        <v>2739</v>
      </c>
      <c r="G69" s="72" t="s">
        <v>2740</v>
      </c>
      <c r="H69" s="72" t="s">
        <v>2739</v>
      </c>
      <c r="I69" s="72" t="s">
        <v>2254</v>
      </c>
      <c r="J69" s="72" t="s">
        <v>2489</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1872</v>
      </c>
      <c r="B70" s="72" t="s">
        <v>2926</v>
      </c>
      <c r="C70" s="72" t="s">
        <v>2759</v>
      </c>
      <c r="D70" s="72" t="s">
        <v>2739</v>
      </c>
      <c r="E70" s="72" t="s">
        <v>2739</v>
      </c>
      <c r="F70" s="72" t="s">
        <v>2739</v>
      </c>
      <c r="G70" s="72" t="s">
        <v>2740</v>
      </c>
      <c r="H70" s="72" t="s">
        <v>2739</v>
      </c>
      <c r="I70" s="72" t="s">
        <v>2254</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1872</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1872</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1872</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1872</v>
      </c>
      <c r="B74" s="72" t="s">
        <v>2939</v>
      </c>
      <c r="C74" s="72" t="s">
        <v>2802</v>
      </c>
      <c r="D74" s="72" t="s">
        <v>2739</v>
      </c>
      <c r="E74" s="72" t="s">
        <v>2739</v>
      </c>
      <c r="F74" s="72" t="s">
        <v>2739</v>
      </c>
      <c r="G74" s="72" t="s">
        <v>2740</v>
      </c>
      <c r="H74" s="72" t="s">
        <v>2739</v>
      </c>
      <c r="I74" s="72" t="s">
        <v>552</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1872</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1215</v>
      </c>
      <c r="P75" s="72" t="s">
        <v>2943</v>
      </c>
      <c r="Q75" s="72" t="s">
        <v>2740</v>
      </c>
      <c r="R75" s="72" t="s">
        <v>552</v>
      </c>
      <c r="S75" s="72" t="s">
        <v>2943</v>
      </c>
      <c r="T75" s="72" t="s">
        <v>2740</v>
      </c>
      <c r="U75" s="72" t="s">
        <v>2771</v>
      </c>
      <c r="V75" s="72" t="s">
        <v>2943</v>
      </c>
      <c r="W75" s="72" t="s">
        <v>2740</v>
      </c>
      <c r="X75" s="72" t="s">
        <v>817</v>
      </c>
      <c r="Y75" s="72" t="s">
        <v>2943</v>
      </c>
      <c r="Z75" s="72" t="s">
        <v>2740</v>
      </c>
      <c r="AA75" s="72" t="s">
        <v>2944</v>
      </c>
      <c r="AB75" s="72" t="s">
        <v>2943</v>
      </c>
      <c r="AC75" s="72" t="s">
        <v>2740</v>
      </c>
      <c r="AD75" s="72" t="s">
        <v>2652</v>
      </c>
      <c r="AE75" s="72" t="s">
        <v>2943</v>
      </c>
      <c r="AF75" s="72" t="s">
        <v>2740</v>
      </c>
      <c r="AG75" s="72" t="s">
        <v>2284</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1872</v>
      </c>
      <c r="B76" s="72" t="s">
        <v>2946</v>
      </c>
      <c r="C76" s="72" t="s">
        <v>2802</v>
      </c>
      <c r="D76" s="72" t="s">
        <v>2739</v>
      </c>
      <c r="E76" s="72" t="s">
        <v>2739</v>
      </c>
      <c r="F76" s="72" t="s">
        <v>2739</v>
      </c>
      <c r="G76" s="72" t="s">
        <v>2740</v>
      </c>
      <c r="H76" s="72" t="s">
        <v>2739</v>
      </c>
      <c r="I76" s="72" t="s">
        <v>108</v>
      </c>
      <c r="J76" s="72" t="s">
        <v>2947</v>
      </c>
      <c r="K76" s="72" t="s">
        <v>2747</v>
      </c>
      <c r="L76" s="72" t="s">
        <v>2315</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1872</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1872</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1872</v>
      </c>
      <c r="B79" s="72" t="s">
        <v>2955</v>
      </c>
      <c r="C79" s="72" t="s">
        <v>2802</v>
      </c>
      <c r="D79" s="72" t="s">
        <v>2739</v>
      </c>
      <c r="E79" s="72" t="s">
        <v>2739</v>
      </c>
      <c r="F79" s="72" t="s">
        <v>2739</v>
      </c>
      <c r="G79" s="72" t="s">
        <v>2740</v>
      </c>
      <c r="H79" s="72" t="s">
        <v>2739</v>
      </c>
      <c r="I79" s="72" t="s">
        <v>552</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1875</v>
      </c>
      <c r="B80" s="72" t="s">
        <v>2465</v>
      </c>
      <c r="C80" s="72" t="s">
        <v>2465</v>
      </c>
      <c r="D80" s="72" t="s">
        <v>2739</v>
      </c>
      <c r="E80" s="72" t="s">
        <v>2739</v>
      </c>
      <c r="F80" s="72" t="s">
        <v>2739</v>
      </c>
      <c r="G80" s="72" t="s">
        <v>2740</v>
      </c>
      <c r="H80" s="72" t="s">
        <v>2739</v>
      </c>
      <c r="I80" s="72" t="s">
        <v>2254</v>
      </c>
      <c r="J80" s="72" t="s">
        <v>2487</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1875</v>
      </c>
      <c r="B81" s="72" t="s">
        <v>2960</v>
      </c>
      <c r="C81" s="72" t="s">
        <v>2744</v>
      </c>
      <c r="D81" s="72" t="s">
        <v>2739</v>
      </c>
      <c r="E81" s="72" t="s">
        <v>2739</v>
      </c>
      <c r="F81" s="72" t="s">
        <v>2739</v>
      </c>
      <c r="G81" s="72" t="s">
        <v>2740</v>
      </c>
      <c r="H81" s="72" t="s">
        <v>2739</v>
      </c>
      <c r="I81" s="72" t="s">
        <v>108</v>
      </c>
      <c r="J81" s="72" t="s">
        <v>2961</v>
      </c>
      <c r="K81" s="72" t="s">
        <v>2740</v>
      </c>
      <c r="L81" s="72" t="s">
        <v>2315</v>
      </c>
      <c r="M81" s="72" t="s">
        <v>2961</v>
      </c>
      <c r="N81" s="72" t="s">
        <v>2740</v>
      </c>
      <c r="O81" s="72" t="s">
        <v>2284</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1875</v>
      </c>
      <c r="B82" s="72" t="s">
        <v>2964</v>
      </c>
      <c r="C82" s="72" t="s">
        <v>2764</v>
      </c>
      <c r="D82" s="72" t="s">
        <v>2739</v>
      </c>
      <c r="E82" s="72" t="s">
        <v>2739</v>
      </c>
      <c r="F82" s="72" t="s">
        <v>2739</v>
      </c>
      <c r="G82" s="72" t="s">
        <v>2740</v>
      </c>
      <c r="H82" s="72" t="s">
        <v>2739</v>
      </c>
      <c r="I82" s="72" t="s">
        <v>552</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1875</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1875</v>
      </c>
      <c r="B84" s="72" t="s">
        <v>2970</v>
      </c>
      <c r="C84" s="72" t="s">
        <v>2738</v>
      </c>
      <c r="D84" s="72" t="s">
        <v>2739</v>
      </c>
      <c r="E84" s="72" t="s">
        <v>2739</v>
      </c>
      <c r="F84" s="72" t="s">
        <v>2739</v>
      </c>
      <c r="G84" s="72" t="s">
        <v>2740</v>
      </c>
      <c r="H84" s="72" t="s">
        <v>2739</v>
      </c>
      <c r="I84" s="72" t="s">
        <v>108</v>
      </c>
      <c r="J84" s="72" t="s">
        <v>2971</v>
      </c>
      <c r="K84" s="72" t="s">
        <v>2740</v>
      </c>
      <c r="L84" s="72" t="s">
        <v>2315</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1875</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1875</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1875</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1875</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1875</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1875</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1875</v>
      </c>
      <c r="B91" s="72" t="s">
        <v>2990</v>
      </c>
      <c r="C91" s="72" t="s">
        <v>2852</v>
      </c>
      <c r="D91" s="72" t="s">
        <v>2739</v>
      </c>
      <c r="E91" s="72" t="s">
        <v>2739</v>
      </c>
      <c r="F91" s="72" t="s">
        <v>2739</v>
      </c>
      <c r="G91" s="72" t="s">
        <v>2740</v>
      </c>
      <c r="H91" s="72" t="s">
        <v>2739</v>
      </c>
      <c r="I91" s="72" t="s">
        <v>108</v>
      </c>
      <c r="J91" s="72" t="s">
        <v>2991</v>
      </c>
      <c r="K91" s="72" t="s">
        <v>2740</v>
      </c>
      <c r="L91" s="72" t="s">
        <v>2315</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1875</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1875</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1875</v>
      </c>
      <c r="B94" s="72" t="s">
        <v>3000</v>
      </c>
      <c r="C94" s="72" t="s">
        <v>2802</v>
      </c>
      <c r="D94" s="72" t="s">
        <v>2739</v>
      </c>
      <c r="E94" s="72" t="s">
        <v>2739</v>
      </c>
      <c r="F94" s="72" t="s">
        <v>2739</v>
      </c>
      <c r="G94" s="72" t="s">
        <v>2740</v>
      </c>
      <c r="H94" s="72" t="s">
        <v>2739</v>
      </c>
      <c r="I94" s="72" t="s">
        <v>2284</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1875</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1875</v>
      </c>
      <c r="B96" s="72" t="s">
        <v>3005</v>
      </c>
      <c r="C96" s="72" t="s">
        <v>2738</v>
      </c>
      <c r="D96" s="72" t="s">
        <v>2739</v>
      </c>
      <c r="E96" s="72" t="s">
        <v>2739</v>
      </c>
      <c r="F96" s="72" t="s">
        <v>2739</v>
      </c>
      <c r="G96" s="72" t="s">
        <v>2740</v>
      </c>
      <c r="H96" s="72" t="s">
        <v>2739</v>
      </c>
      <c r="I96" s="72" t="s">
        <v>108</v>
      </c>
      <c r="J96" s="72" t="s">
        <v>3006</v>
      </c>
      <c r="K96" s="72" t="s">
        <v>2740</v>
      </c>
      <c r="L96" s="72" t="s">
        <v>2315</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1875</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1875</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3012</v>
      </c>
      <c r="P98" s="72" t="s">
        <v>3011</v>
      </c>
      <c r="Q98" s="72" t="s">
        <v>2747</v>
      </c>
      <c r="R98" s="72" t="s">
        <v>3013</v>
      </c>
      <c r="S98" s="72" t="s">
        <v>3011</v>
      </c>
      <c r="T98" s="72" t="s">
        <v>2747</v>
      </c>
      <c r="U98" s="72" t="s">
        <v>3014</v>
      </c>
      <c r="V98" s="72" t="s">
        <v>3011</v>
      </c>
      <c r="W98" s="72" t="s">
        <v>2747</v>
      </c>
      <c r="X98" s="72" t="s">
        <v>2315</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3015</v>
      </c>
      <c r="BR98" s="72" t="s">
        <v>2749</v>
      </c>
    </row>
    <row r="99" spans="1:70">
      <c r="A99" s="72" t="s">
        <v>1875</v>
      </c>
      <c r="B99" s="72" t="s">
        <v>3016</v>
      </c>
      <c r="C99" s="72" t="s">
        <v>2744</v>
      </c>
      <c r="D99" s="72" t="s">
        <v>2739</v>
      </c>
      <c r="E99" s="72" t="s">
        <v>2739</v>
      </c>
      <c r="F99" s="72" t="s">
        <v>2739</v>
      </c>
      <c r="G99" s="72" t="s">
        <v>2740</v>
      </c>
      <c r="H99" s="72" t="s">
        <v>2739</v>
      </c>
      <c r="I99" s="72" t="s">
        <v>3017</v>
      </c>
      <c r="J99" s="72" t="s">
        <v>3018</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3019</v>
      </c>
      <c r="BR99" s="72" t="s">
        <v>2739</v>
      </c>
    </row>
    <row r="100" spans="1:70">
      <c r="A100" s="72" t="s">
        <v>1875</v>
      </c>
      <c r="B100" s="72" t="s">
        <v>3020</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3021</v>
      </c>
      <c r="BR100" s="72" t="s">
        <v>2739</v>
      </c>
    </row>
    <row r="101" spans="1:70">
      <c r="A101" s="72" t="s">
        <v>1875</v>
      </c>
      <c r="B101" s="72" t="s">
        <v>3022</v>
      </c>
      <c r="C101" s="72" t="s">
        <v>2849</v>
      </c>
      <c r="D101" s="72" t="s">
        <v>2739</v>
      </c>
      <c r="E101" s="72" t="s">
        <v>2739</v>
      </c>
      <c r="F101" s="72" t="s">
        <v>2739</v>
      </c>
      <c r="G101" s="72" t="s">
        <v>2740</v>
      </c>
      <c r="H101" s="72" t="s">
        <v>2739</v>
      </c>
      <c r="I101" s="72" t="s">
        <v>108</v>
      </c>
      <c r="J101" s="72" t="s">
        <v>3023</v>
      </c>
      <c r="K101" s="72" t="s">
        <v>2740</v>
      </c>
      <c r="L101" s="72" t="s">
        <v>2315</v>
      </c>
      <c r="M101" s="72" t="s">
        <v>3023</v>
      </c>
      <c r="N101" s="72" t="s">
        <v>2740</v>
      </c>
      <c r="O101" s="72" t="s">
        <v>3024</v>
      </c>
      <c r="P101" s="72" t="s">
        <v>3023</v>
      </c>
      <c r="Q101" s="72" t="s">
        <v>2740</v>
      </c>
      <c r="R101" s="72" t="s">
        <v>3025</v>
      </c>
      <c r="S101" s="72" t="s">
        <v>3023</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3026</v>
      </c>
      <c r="BR101" s="72" t="s">
        <v>2739</v>
      </c>
    </row>
    <row r="102" spans="1:70">
      <c r="A102" s="72" t="s">
        <v>1875</v>
      </c>
      <c r="B102" s="72" t="s">
        <v>3027</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3028</v>
      </c>
      <c r="BR102" s="72" t="s">
        <v>2739</v>
      </c>
    </row>
    <row r="103" spans="1:70">
      <c r="A103" s="72" t="s">
        <v>1875</v>
      </c>
      <c r="B103" s="72" t="s">
        <v>3029</v>
      </c>
      <c r="C103" s="72" t="s">
        <v>2764</v>
      </c>
      <c r="D103" s="72" t="s">
        <v>2739</v>
      </c>
      <c r="E103" s="72" t="s">
        <v>2739</v>
      </c>
      <c r="F103" s="72" t="s">
        <v>2739</v>
      </c>
      <c r="G103" s="72" t="s">
        <v>2740</v>
      </c>
      <c r="H103" s="72" t="s">
        <v>2739</v>
      </c>
      <c r="I103" s="72" t="s">
        <v>552</v>
      </c>
      <c r="J103" s="72" t="s">
        <v>3030</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3031</v>
      </c>
      <c r="BR103" s="72" t="s">
        <v>2739</v>
      </c>
    </row>
    <row r="104" spans="1:70">
      <c r="A104" s="72" t="s">
        <v>1875</v>
      </c>
      <c r="B104" s="72" t="s">
        <v>3032</v>
      </c>
      <c r="C104" s="72" t="s">
        <v>2764</v>
      </c>
      <c r="D104" s="72" t="s">
        <v>2739</v>
      </c>
      <c r="E104" s="72" t="s">
        <v>2739</v>
      </c>
      <c r="F104" s="72" t="s">
        <v>2739</v>
      </c>
      <c r="G104" s="72" t="s">
        <v>2740</v>
      </c>
      <c r="H104" s="72" t="s">
        <v>2739</v>
      </c>
      <c r="I104" s="72" t="s">
        <v>108</v>
      </c>
      <c r="J104" s="72" t="s">
        <v>3033</v>
      </c>
      <c r="K104" s="72" t="s">
        <v>2740</v>
      </c>
      <c r="L104" s="72" t="s">
        <v>2315</v>
      </c>
      <c r="M104" s="72" t="s">
        <v>3033</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3034</v>
      </c>
      <c r="BR104" s="72" t="s">
        <v>2739</v>
      </c>
    </row>
    <row r="105" spans="1:70">
      <c r="A105" s="72" t="s">
        <v>1878</v>
      </c>
      <c r="B105" s="72" t="s">
        <v>2465</v>
      </c>
      <c r="C105" s="72" t="s">
        <v>2465</v>
      </c>
      <c r="D105" s="72" t="s">
        <v>2739</v>
      </c>
      <c r="E105" s="72" t="s">
        <v>2739</v>
      </c>
      <c r="F105" s="72" t="s">
        <v>2739</v>
      </c>
      <c r="G105" s="72" t="s">
        <v>2740</v>
      </c>
      <c r="H105" s="72" t="s">
        <v>2739</v>
      </c>
      <c r="I105" s="72" t="s">
        <v>2254</v>
      </c>
      <c r="J105" s="72" t="s">
        <v>2492</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3035</v>
      </c>
      <c r="BR105" s="72" t="s">
        <v>2749</v>
      </c>
    </row>
    <row r="106" spans="1:70">
      <c r="A106" s="72" t="s">
        <v>1878</v>
      </c>
      <c r="B106" s="72" t="s">
        <v>3036</v>
      </c>
      <c r="C106" s="72" t="s">
        <v>2751</v>
      </c>
      <c r="D106" s="72" t="s">
        <v>2739</v>
      </c>
      <c r="E106" s="72" t="s">
        <v>2739</v>
      </c>
      <c r="F106" s="72" t="s">
        <v>2739</v>
      </c>
      <c r="G106" s="72" t="s">
        <v>2740</v>
      </c>
      <c r="H106" s="72" t="s">
        <v>2739</v>
      </c>
      <c r="I106" s="72" t="s">
        <v>2771</v>
      </c>
      <c r="J106" s="72" t="s">
        <v>3037</v>
      </c>
      <c r="K106" s="72" t="s">
        <v>2740</v>
      </c>
      <c r="L106" s="72" t="s">
        <v>108</v>
      </c>
      <c r="M106" s="72" t="s">
        <v>3037</v>
      </c>
      <c r="N106" s="72" t="s">
        <v>2740</v>
      </c>
      <c r="O106" s="72" t="s">
        <v>2315</v>
      </c>
      <c r="P106" s="72" t="s">
        <v>3037</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3038</v>
      </c>
      <c r="BR106" s="72" t="s">
        <v>2739</v>
      </c>
    </row>
    <row r="107" spans="1:70">
      <c r="A107" s="72" t="s">
        <v>1878</v>
      </c>
      <c r="B107" s="72" t="s">
        <v>3039</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3040</v>
      </c>
      <c r="BR107" s="72" t="s">
        <v>2739</v>
      </c>
    </row>
    <row r="108" spans="1:70">
      <c r="A108" s="72" t="s">
        <v>1878</v>
      </c>
      <c r="B108" s="72" t="s">
        <v>3041</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3042</v>
      </c>
      <c r="BR108" s="72" t="s">
        <v>2739</v>
      </c>
    </row>
    <row r="109" spans="1:70">
      <c r="A109" s="72" t="s">
        <v>1878</v>
      </c>
      <c r="B109" s="72" t="s">
        <v>3043</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3044</v>
      </c>
      <c r="BR109" s="72" t="s">
        <v>2739</v>
      </c>
    </row>
    <row r="110" spans="1:70">
      <c r="A110" s="72" t="s">
        <v>1878</v>
      </c>
      <c r="B110" s="72" t="s">
        <v>3045</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3046</v>
      </c>
      <c r="BR110" s="72" t="s">
        <v>2739</v>
      </c>
    </row>
    <row r="111" spans="1:70">
      <c r="A111" s="72" t="s">
        <v>1878</v>
      </c>
      <c r="B111" s="72" t="s">
        <v>3047</v>
      </c>
      <c r="C111" s="72" t="s">
        <v>3048</v>
      </c>
      <c r="D111" s="72" t="s">
        <v>2739</v>
      </c>
      <c r="E111" s="72" t="s">
        <v>2739</v>
      </c>
      <c r="F111" s="72" t="s">
        <v>2739</v>
      </c>
      <c r="G111" s="72" t="s">
        <v>2740</v>
      </c>
      <c r="H111" s="72" t="s">
        <v>2739</v>
      </c>
      <c r="I111" s="72" t="s">
        <v>2254</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3049</v>
      </c>
      <c r="BR111" s="72" t="s">
        <v>2739</v>
      </c>
    </row>
    <row r="112" spans="1:70">
      <c r="A112" s="72" t="s">
        <v>1878</v>
      </c>
      <c r="B112" s="72" t="s">
        <v>3050</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3051</v>
      </c>
      <c r="BR112" s="72" t="s">
        <v>2739</v>
      </c>
    </row>
    <row r="113" spans="1:70">
      <c r="A113" s="72" t="s">
        <v>1878</v>
      </c>
      <c r="B113" s="72" t="s">
        <v>3052</v>
      </c>
      <c r="C113" s="72" t="s">
        <v>2802</v>
      </c>
      <c r="D113" s="72" t="s">
        <v>2739</v>
      </c>
      <c r="E113" s="72" t="s">
        <v>2739</v>
      </c>
      <c r="F113" s="72" t="s">
        <v>2739</v>
      </c>
      <c r="G113" s="72" t="s">
        <v>2740</v>
      </c>
      <c r="H113" s="72" t="s">
        <v>2739</v>
      </c>
      <c r="I113" s="72" t="s">
        <v>108</v>
      </c>
      <c r="J113" s="72" t="s">
        <v>3053</v>
      </c>
      <c r="K113" s="72" t="s">
        <v>2740</v>
      </c>
      <c r="L113" s="72" t="s">
        <v>2315</v>
      </c>
      <c r="M113" s="72" t="s">
        <v>3053</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3054</v>
      </c>
      <c r="BR113" s="72" t="s">
        <v>2739</v>
      </c>
    </row>
    <row r="114" spans="1:70">
      <c r="A114" s="72" t="s">
        <v>1878</v>
      </c>
      <c r="B114" s="72" t="s">
        <v>3055</v>
      </c>
      <c r="C114" s="72" t="s">
        <v>2759</v>
      </c>
      <c r="D114" s="72" t="s">
        <v>2739</v>
      </c>
      <c r="E114" s="72" t="s">
        <v>2739</v>
      </c>
      <c r="F114" s="72" t="s">
        <v>2739</v>
      </c>
      <c r="G114" s="72" t="s">
        <v>2740</v>
      </c>
      <c r="H114" s="72" t="s">
        <v>2739</v>
      </c>
      <c r="I114" s="72" t="s">
        <v>2254</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3056</v>
      </c>
      <c r="BR114" s="72" t="s">
        <v>2739</v>
      </c>
    </row>
    <row r="115" spans="1:70">
      <c r="A115" s="72" t="s">
        <v>1878</v>
      </c>
      <c r="B115" s="72" t="s">
        <v>3057</v>
      </c>
      <c r="C115" s="72" t="s">
        <v>2867</v>
      </c>
      <c r="D115" s="72" t="s">
        <v>2739</v>
      </c>
      <c r="E115" s="72" t="s">
        <v>2739</v>
      </c>
      <c r="F115" s="72" t="s">
        <v>2739</v>
      </c>
      <c r="G115" s="72" t="s">
        <v>2740</v>
      </c>
      <c r="H115" s="72" t="s">
        <v>2739</v>
      </c>
      <c r="I115" s="72" t="s">
        <v>2745</v>
      </c>
      <c r="J115" s="72" t="s">
        <v>3058</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3059</v>
      </c>
      <c r="BR115" s="72" t="s">
        <v>2739</v>
      </c>
    </row>
    <row r="116" spans="1:70">
      <c r="A116" s="72" t="s">
        <v>1878</v>
      </c>
      <c r="B116" s="72" t="s">
        <v>3060</v>
      </c>
      <c r="C116" s="72" t="s">
        <v>2751</v>
      </c>
      <c r="D116" s="72" t="s">
        <v>2739</v>
      </c>
      <c r="E116" s="72" t="s">
        <v>2739</v>
      </c>
      <c r="F116" s="72" t="s">
        <v>2739</v>
      </c>
      <c r="G116" s="72" t="s">
        <v>2740</v>
      </c>
      <c r="H116" s="72" t="s">
        <v>2739</v>
      </c>
      <c r="I116" s="72" t="s">
        <v>2745</v>
      </c>
      <c r="J116" s="72" t="s">
        <v>3061</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3062</v>
      </c>
      <c r="BR116" s="72" t="s">
        <v>2739</v>
      </c>
    </row>
    <row r="117" spans="1:70">
      <c r="A117" s="72" t="s">
        <v>1878</v>
      </c>
      <c r="B117" s="72" t="s">
        <v>3063</v>
      </c>
      <c r="C117" s="72" t="s">
        <v>2881</v>
      </c>
      <c r="D117" s="72" t="s">
        <v>2739</v>
      </c>
      <c r="E117" s="72" t="s">
        <v>2739</v>
      </c>
      <c r="F117" s="72" t="s">
        <v>2739</v>
      </c>
      <c r="G117" s="72" t="s">
        <v>2740</v>
      </c>
      <c r="H117" s="72" t="s">
        <v>2739</v>
      </c>
      <c r="I117" s="72" t="s">
        <v>552</v>
      </c>
      <c r="J117" s="72" t="s">
        <v>3064</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3065</v>
      </c>
      <c r="BR117" s="72" t="s">
        <v>2739</v>
      </c>
    </row>
    <row r="118" spans="1:70">
      <c r="A118" s="72" t="s">
        <v>1878</v>
      </c>
      <c r="B118" s="72" t="s">
        <v>3066</v>
      </c>
      <c r="C118" s="72" t="s">
        <v>2738</v>
      </c>
      <c r="D118" s="72" t="s">
        <v>2739</v>
      </c>
      <c r="E118" s="72" t="s">
        <v>2739</v>
      </c>
      <c r="F118" s="72" t="s">
        <v>2739</v>
      </c>
      <c r="G118" s="72" t="s">
        <v>2740</v>
      </c>
      <c r="H118" s="72" t="s">
        <v>2739</v>
      </c>
      <c r="I118" s="72" t="s">
        <v>108</v>
      </c>
      <c r="J118" s="72" t="s">
        <v>3067</v>
      </c>
      <c r="K118" s="72" t="s">
        <v>2747</v>
      </c>
      <c r="L118" s="72" t="s">
        <v>2315</v>
      </c>
      <c r="M118" s="72" t="s">
        <v>3067</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3068</v>
      </c>
      <c r="BR118" s="72" t="s">
        <v>2749</v>
      </c>
    </row>
    <row r="119" spans="1:70">
      <c r="A119" s="72" t="s">
        <v>1878</v>
      </c>
      <c r="B119" s="72" t="s">
        <v>3069</v>
      </c>
      <c r="C119" s="72" t="s">
        <v>2759</v>
      </c>
      <c r="D119" s="72" t="s">
        <v>2739</v>
      </c>
      <c r="E119" s="72" t="s">
        <v>2739</v>
      </c>
      <c r="F119" s="72" t="s">
        <v>2739</v>
      </c>
      <c r="G119" s="72" t="s">
        <v>2740</v>
      </c>
      <c r="H119" s="72" t="s">
        <v>2739</v>
      </c>
      <c r="I119" s="72" t="s">
        <v>552</v>
      </c>
      <c r="J119" s="72" t="s">
        <v>3070</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3071</v>
      </c>
      <c r="BR119" s="72" t="s">
        <v>2739</v>
      </c>
    </row>
    <row r="120" spans="1:70">
      <c r="A120" s="72" t="s">
        <v>1878</v>
      </c>
      <c r="B120" s="72" t="s">
        <v>3072</v>
      </c>
      <c r="C120" s="72" t="s">
        <v>2849</v>
      </c>
      <c r="D120" s="72" t="s">
        <v>2739</v>
      </c>
      <c r="E120" s="72" t="s">
        <v>2739</v>
      </c>
      <c r="F120" s="72" t="s">
        <v>2739</v>
      </c>
      <c r="G120" s="72" t="s">
        <v>2740</v>
      </c>
      <c r="H120" s="72" t="s">
        <v>2739</v>
      </c>
      <c r="I120" s="72" t="s">
        <v>2857</v>
      </c>
      <c r="J120" s="72" t="s">
        <v>3073</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3074</v>
      </c>
      <c r="BR120" s="72" t="s">
        <v>2739</v>
      </c>
    </row>
    <row r="121" spans="1:70">
      <c r="A121" s="72" t="s">
        <v>1878</v>
      </c>
      <c r="B121" s="72" t="s">
        <v>3075</v>
      </c>
      <c r="C121" s="72" t="s">
        <v>2738</v>
      </c>
      <c r="D121" s="72" t="s">
        <v>2739</v>
      </c>
      <c r="E121" s="72" t="s">
        <v>2739</v>
      </c>
      <c r="F121" s="72" t="s">
        <v>2739</v>
      </c>
      <c r="G121" s="72" t="s">
        <v>2740</v>
      </c>
      <c r="H121" s="72" t="s">
        <v>2739</v>
      </c>
      <c r="I121" s="72" t="s">
        <v>108</v>
      </c>
      <c r="J121" s="72" t="s">
        <v>2739</v>
      </c>
      <c r="K121" s="72" t="s">
        <v>2739</v>
      </c>
      <c r="L121" s="72" t="s">
        <v>2315</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3076</v>
      </c>
      <c r="BR121" s="72" t="s">
        <v>2739</v>
      </c>
    </row>
    <row r="122" spans="1:70">
      <c r="A122" s="72" t="s">
        <v>1878</v>
      </c>
      <c r="B122" s="72" t="s">
        <v>3077</v>
      </c>
      <c r="C122" s="72" t="s">
        <v>2867</v>
      </c>
      <c r="D122" s="72" t="s">
        <v>2739</v>
      </c>
      <c r="E122" s="72" t="s">
        <v>2739</v>
      </c>
      <c r="F122" s="72" t="s">
        <v>2739</v>
      </c>
      <c r="G122" s="72" t="s">
        <v>2740</v>
      </c>
      <c r="H122" s="72" t="s">
        <v>2739</v>
      </c>
      <c r="I122" s="72" t="s">
        <v>1215</v>
      </c>
      <c r="J122" s="72" t="s">
        <v>3078</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3079</v>
      </c>
      <c r="BR122" s="72" t="s">
        <v>2739</v>
      </c>
    </row>
    <row r="123" spans="1:70">
      <c r="A123" s="72" t="s">
        <v>1878</v>
      </c>
      <c r="B123" s="72" t="s">
        <v>3080</v>
      </c>
      <c r="C123" s="72" t="s">
        <v>2738</v>
      </c>
      <c r="D123" s="72" t="s">
        <v>2739</v>
      </c>
      <c r="E123" s="72" t="s">
        <v>2739</v>
      </c>
      <c r="F123" s="72" t="s">
        <v>2739</v>
      </c>
      <c r="G123" s="72" t="s">
        <v>2740</v>
      </c>
      <c r="H123" s="72" t="s">
        <v>2739</v>
      </c>
      <c r="I123" s="72" t="s">
        <v>108</v>
      </c>
      <c r="J123" s="72" t="s">
        <v>3081</v>
      </c>
      <c r="K123" s="72" t="s">
        <v>2740</v>
      </c>
      <c r="L123" s="72" t="s">
        <v>2315</v>
      </c>
      <c r="M123" s="72" t="s">
        <v>3081</v>
      </c>
      <c r="N123" s="72" t="s">
        <v>2740</v>
      </c>
      <c r="O123" s="72" t="s">
        <v>1215</v>
      </c>
      <c r="P123" s="72" t="s">
        <v>3081</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3082</v>
      </c>
      <c r="BR123" s="72" t="s">
        <v>2739</v>
      </c>
    </row>
    <row r="124" spans="1:70">
      <c r="A124" s="72" t="s">
        <v>1878</v>
      </c>
      <c r="B124" s="72" t="s">
        <v>3083</v>
      </c>
      <c r="C124" s="72" t="s">
        <v>2751</v>
      </c>
      <c r="D124" s="72" t="s">
        <v>2739</v>
      </c>
      <c r="E124" s="72" t="s">
        <v>2739</v>
      </c>
      <c r="F124" s="72" t="s">
        <v>2739</v>
      </c>
      <c r="G124" s="72" t="s">
        <v>2740</v>
      </c>
      <c r="H124" s="72" t="s">
        <v>2739</v>
      </c>
      <c r="I124" s="72" t="s">
        <v>2254</v>
      </c>
      <c r="J124" s="72" t="s">
        <v>3084</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3085</v>
      </c>
      <c r="BR124" s="72" t="s">
        <v>2739</v>
      </c>
    </row>
    <row r="125" spans="1:70">
      <c r="A125" s="72" t="s">
        <v>1878</v>
      </c>
      <c r="B125" s="72" t="s">
        <v>3086</v>
      </c>
      <c r="C125" s="72" t="s">
        <v>2881</v>
      </c>
      <c r="D125" s="72" t="s">
        <v>2739</v>
      </c>
      <c r="E125" s="72" t="s">
        <v>2739</v>
      </c>
      <c r="F125" s="72" t="s">
        <v>2739</v>
      </c>
      <c r="G125" s="72" t="s">
        <v>2740</v>
      </c>
      <c r="H125" s="72" t="s">
        <v>2739</v>
      </c>
      <c r="I125" s="72" t="s">
        <v>2254</v>
      </c>
      <c r="J125" s="72" t="s">
        <v>3084</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3087</v>
      </c>
      <c r="BR125" s="72" t="s">
        <v>2739</v>
      </c>
    </row>
    <row r="126" spans="1:70">
      <c r="A126" s="72" t="s">
        <v>1878</v>
      </c>
      <c r="B126" s="72" t="s">
        <v>3088</v>
      </c>
      <c r="C126" s="72" t="s">
        <v>2849</v>
      </c>
      <c r="D126" s="72" t="s">
        <v>2739</v>
      </c>
      <c r="E126" s="72" t="s">
        <v>2739</v>
      </c>
      <c r="F126" s="72" t="s">
        <v>2739</v>
      </c>
      <c r="G126" s="72" t="s">
        <v>2740</v>
      </c>
      <c r="H126" s="72" t="s">
        <v>2739</v>
      </c>
      <c r="I126" s="72" t="s">
        <v>108</v>
      </c>
      <c r="J126" s="72" t="s">
        <v>3089</v>
      </c>
      <c r="K126" s="72" t="s">
        <v>2740</v>
      </c>
      <c r="L126" s="72" t="s">
        <v>2315</v>
      </c>
      <c r="M126" s="72" t="s">
        <v>3089</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3090</v>
      </c>
      <c r="BR126" s="72" t="s">
        <v>2739</v>
      </c>
    </row>
    <row r="127" spans="1:70">
      <c r="A127" s="72" t="s">
        <v>1878</v>
      </c>
      <c r="B127" s="72" t="s">
        <v>3091</v>
      </c>
      <c r="C127" s="72" t="s">
        <v>2738</v>
      </c>
      <c r="D127" s="72" t="s">
        <v>2739</v>
      </c>
      <c r="E127" s="72" t="s">
        <v>2739</v>
      </c>
      <c r="F127" s="72" t="s">
        <v>2739</v>
      </c>
      <c r="G127" s="72" t="s">
        <v>2740</v>
      </c>
      <c r="H127" s="72" t="s">
        <v>2739</v>
      </c>
      <c r="I127" s="72" t="s">
        <v>552</v>
      </c>
      <c r="J127" s="72" t="s">
        <v>3092</v>
      </c>
      <c r="K127" s="72" t="s">
        <v>2740</v>
      </c>
      <c r="L127" s="72" t="s">
        <v>2932</v>
      </c>
      <c r="M127" s="72" t="s">
        <v>3093</v>
      </c>
      <c r="N127" s="72" t="s">
        <v>2747</v>
      </c>
      <c r="O127" s="72" t="s">
        <v>2934</v>
      </c>
      <c r="P127" s="72" t="s">
        <v>3093</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3094</v>
      </c>
      <c r="BR127" s="72" t="s">
        <v>2749</v>
      </c>
    </row>
    <row r="128" spans="1:70">
      <c r="A128" s="72" t="s">
        <v>1878</v>
      </c>
      <c r="B128" s="72" t="s">
        <v>3095</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3096</v>
      </c>
      <c r="BR128" s="72" t="s">
        <v>2749</v>
      </c>
    </row>
    <row r="129" spans="1:70">
      <c r="A129" s="72" t="s">
        <v>1878</v>
      </c>
      <c r="B129" s="72" t="s">
        <v>3097</v>
      </c>
      <c r="C129" s="72" t="s">
        <v>2744</v>
      </c>
      <c r="D129" s="72" t="s">
        <v>2739</v>
      </c>
      <c r="E129" s="72" t="s">
        <v>2739</v>
      </c>
      <c r="F129" s="72" t="s">
        <v>2739</v>
      </c>
      <c r="G129" s="72" t="s">
        <v>2740</v>
      </c>
      <c r="H129" s="72" t="s">
        <v>2739</v>
      </c>
      <c r="I129" s="72" t="s">
        <v>552</v>
      </c>
      <c r="J129" s="72" t="s">
        <v>3098</v>
      </c>
      <c r="K129" s="72" t="s">
        <v>2740</v>
      </c>
      <c r="L129" s="72" t="s">
        <v>2771</v>
      </c>
      <c r="M129" s="72" t="s">
        <v>3099</v>
      </c>
      <c r="N129" s="72" t="s">
        <v>2740</v>
      </c>
      <c r="O129" s="72" t="s">
        <v>2661</v>
      </c>
      <c r="P129" s="72" t="s">
        <v>3099</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3100</v>
      </c>
      <c r="BR129" s="72" t="s">
        <v>2739</v>
      </c>
    </row>
    <row r="130" spans="1:70">
      <c r="A130" s="72" t="s">
        <v>1878</v>
      </c>
      <c r="B130" s="72" t="s">
        <v>3101</v>
      </c>
      <c r="C130" s="72" t="s">
        <v>2738</v>
      </c>
      <c r="D130" s="72" t="s">
        <v>2739</v>
      </c>
      <c r="E130" s="72" t="s">
        <v>2739</v>
      </c>
      <c r="F130" s="72" t="s">
        <v>2739</v>
      </c>
      <c r="G130" s="72" t="s">
        <v>2740</v>
      </c>
      <c r="H130" s="72" t="s">
        <v>2739</v>
      </c>
      <c r="I130" s="72" t="s">
        <v>552</v>
      </c>
      <c r="J130" s="72" t="s">
        <v>3102</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3103</v>
      </c>
      <c r="BR130" s="72" t="s">
        <v>2739</v>
      </c>
    </row>
    <row r="131" spans="1:70">
      <c r="A131" s="72" t="s">
        <v>1878</v>
      </c>
      <c r="B131" s="72" t="s">
        <v>3104</v>
      </c>
      <c r="C131" s="72" t="s">
        <v>2759</v>
      </c>
      <c r="D131" s="72" t="s">
        <v>2739</v>
      </c>
      <c r="E131" s="72" t="s">
        <v>2739</v>
      </c>
      <c r="F131" s="72" t="s">
        <v>2739</v>
      </c>
      <c r="G131" s="72" t="s">
        <v>2740</v>
      </c>
      <c r="H131" s="72" t="s">
        <v>2739</v>
      </c>
      <c r="I131" s="72" t="s">
        <v>2254</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3105</v>
      </c>
      <c r="BR131" s="72" t="s">
        <v>2739</v>
      </c>
    </row>
    <row r="132" spans="1:70">
      <c r="A132" s="72" t="s">
        <v>1878</v>
      </c>
      <c r="B132" s="72" t="s">
        <v>3106</v>
      </c>
      <c r="C132" s="72" t="s">
        <v>3048</v>
      </c>
      <c r="D132" s="72" t="s">
        <v>2739</v>
      </c>
      <c r="E132" s="72" t="s">
        <v>2739</v>
      </c>
      <c r="F132" s="72" t="s">
        <v>2739</v>
      </c>
      <c r="G132" s="72" t="s">
        <v>2740</v>
      </c>
      <c r="H132" s="72" t="s">
        <v>2739</v>
      </c>
      <c r="I132" s="72" t="s">
        <v>2479</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3107</v>
      </c>
      <c r="BR132" s="72" t="s">
        <v>2739</v>
      </c>
    </row>
    <row r="133" spans="1:70">
      <c r="A133" s="72" t="s">
        <v>1878</v>
      </c>
      <c r="B133" s="72" t="s">
        <v>3108</v>
      </c>
      <c r="C133" s="72" t="s">
        <v>2751</v>
      </c>
      <c r="D133" s="72" t="s">
        <v>2739</v>
      </c>
      <c r="E133" s="72" t="s">
        <v>2739</v>
      </c>
      <c r="F133" s="72" t="s">
        <v>2739</v>
      </c>
      <c r="G133" s="72" t="s">
        <v>2740</v>
      </c>
      <c r="H133" s="72" t="s">
        <v>2739</v>
      </c>
      <c r="I133" s="72" t="s">
        <v>2479</v>
      </c>
      <c r="J133" s="72" t="s">
        <v>3109</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3110</v>
      </c>
      <c r="BR133" s="72" t="s">
        <v>2739</v>
      </c>
    </row>
    <row r="134" spans="1:70">
      <c r="A134" s="72" t="s">
        <v>1878</v>
      </c>
      <c r="B134" s="72" t="s">
        <v>3111</v>
      </c>
      <c r="C134" s="72" t="s">
        <v>3048</v>
      </c>
      <c r="D134" s="72" t="s">
        <v>2739</v>
      </c>
      <c r="E134" s="72" t="s">
        <v>2739</v>
      </c>
      <c r="F134" s="72" t="s">
        <v>2739</v>
      </c>
      <c r="G134" s="72" t="s">
        <v>2740</v>
      </c>
      <c r="H134" s="72" t="s">
        <v>2739</v>
      </c>
      <c r="I134" s="72" t="s">
        <v>2243</v>
      </c>
      <c r="J134" s="72" t="s">
        <v>3112</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3113</v>
      </c>
      <c r="BR134" s="72" t="s">
        <v>2739</v>
      </c>
    </row>
    <row r="135" spans="1:70">
      <c r="A135" s="72" t="s">
        <v>1880</v>
      </c>
      <c r="B135" s="72" t="s">
        <v>2465</v>
      </c>
      <c r="C135" s="72" t="s">
        <v>2465</v>
      </c>
      <c r="D135" s="72" t="s">
        <v>2739</v>
      </c>
      <c r="E135" s="72" t="s">
        <v>2739</v>
      </c>
      <c r="F135" s="72" t="s">
        <v>2739</v>
      </c>
      <c r="G135" s="72" t="s">
        <v>2740</v>
      </c>
      <c r="H135" s="72" t="s">
        <v>2739</v>
      </c>
      <c r="I135" s="72" t="s">
        <v>2254</v>
      </c>
      <c r="J135" s="72" t="s">
        <v>2489</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3114</v>
      </c>
      <c r="BR135" s="72" t="s">
        <v>2749</v>
      </c>
    </row>
    <row r="136" spans="1:70">
      <c r="A136" s="72" t="s">
        <v>1880</v>
      </c>
      <c r="B136" s="72" t="s">
        <v>3115</v>
      </c>
      <c r="C136" s="72" t="s">
        <v>3048</v>
      </c>
      <c r="D136" s="72" t="s">
        <v>2739</v>
      </c>
      <c r="E136" s="72" t="s">
        <v>2739</v>
      </c>
      <c r="F136" s="72" t="s">
        <v>2739</v>
      </c>
      <c r="G136" s="72" t="s">
        <v>2740</v>
      </c>
      <c r="H136" s="72" t="s">
        <v>2739</v>
      </c>
      <c r="I136" s="72" t="s">
        <v>2932</v>
      </c>
      <c r="J136" s="72" t="s">
        <v>3116</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3117</v>
      </c>
      <c r="BR136" s="72" t="s">
        <v>2739</v>
      </c>
    </row>
    <row r="137" spans="1:70">
      <c r="A137" s="72" t="s">
        <v>1880</v>
      </c>
      <c r="B137" s="72" t="s">
        <v>3118</v>
      </c>
      <c r="C137" s="72" t="s">
        <v>2867</v>
      </c>
      <c r="D137" s="72" t="s">
        <v>2739</v>
      </c>
      <c r="E137" s="72" t="s">
        <v>2739</v>
      </c>
      <c r="F137" s="72" t="s">
        <v>2739</v>
      </c>
      <c r="G137" s="72" t="s">
        <v>2740</v>
      </c>
      <c r="H137" s="72" t="s">
        <v>2739</v>
      </c>
      <c r="I137" s="72" t="s">
        <v>108</v>
      </c>
      <c r="J137" s="72" t="s">
        <v>3119</v>
      </c>
      <c r="K137" s="72" t="s">
        <v>2740</v>
      </c>
      <c r="L137" s="72" t="s">
        <v>2315</v>
      </c>
      <c r="M137" s="72" t="s">
        <v>3119</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3120</v>
      </c>
      <c r="BR137" s="72" t="s">
        <v>2739</v>
      </c>
    </row>
    <row r="138" spans="1:70">
      <c r="A138" s="72" t="s">
        <v>1880</v>
      </c>
      <c r="B138" s="72" t="s">
        <v>3121</v>
      </c>
      <c r="C138" s="72" t="s">
        <v>2751</v>
      </c>
      <c r="D138" s="72" t="s">
        <v>2739</v>
      </c>
      <c r="E138" s="72" t="s">
        <v>2739</v>
      </c>
      <c r="F138" s="72" t="s">
        <v>2739</v>
      </c>
      <c r="G138" s="72" t="s">
        <v>2740</v>
      </c>
      <c r="H138" s="72" t="s">
        <v>2739</v>
      </c>
      <c r="I138" s="72" t="s">
        <v>108</v>
      </c>
      <c r="J138" s="72" t="s">
        <v>3122</v>
      </c>
      <c r="K138" s="72" t="s">
        <v>2740</v>
      </c>
      <c r="L138" s="72" t="s">
        <v>2315</v>
      </c>
      <c r="M138" s="72" t="s">
        <v>3122</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3123</v>
      </c>
      <c r="BR138" s="72" t="s">
        <v>2739</v>
      </c>
    </row>
    <row r="139" spans="1:70">
      <c r="A139" s="72" t="s">
        <v>1880</v>
      </c>
      <c r="B139" s="72" t="s">
        <v>3124</v>
      </c>
      <c r="C139" s="72" t="s">
        <v>2744</v>
      </c>
      <c r="D139" s="72" t="s">
        <v>2739</v>
      </c>
      <c r="E139" s="72" t="s">
        <v>2739</v>
      </c>
      <c r="F139" s="72" t="s">
        <v>2739</v>
      </c>
      <c r="G139" s="72" t="s">
        <v>2740</v>
      </c>
      <c r="H139" s="72" t="s">
        <v>2739</v>
      </c>
      <c r="I139" s="72" t="s">
        <v>2254</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3125</v>
      </c>
      <c r="BR139" s="72" t="s">
        <v>2739</v>
      </c>
    </row>
    <row r="140" spans="1:70">
      <c r="A140" s="72" t="s">
        <v>1880</v>
      </c>
      <c r="B140" s="72" t="s">
        <v>3126</v>
      </c>
      <c r="C140" s="72" t="s">
        <v>2744</v>
      </c>
      <c r="D140" s="72" t="s">
        <v>2739</v>
      </c>
      <c r="E140" s="72" t="s">
        <v>2739</v>
      </c>
      <c r="F140" s="72" t="s">
        <v>2739</v>
      </c>
      <c r="G140" s="72" t="s">
        <v>2740</v>
      </c>
      <c r="H140" s="72" t="s">
        <v>2739</v>
      </c>
      <c r="I140" s="72" t="s">
        <v>108</v>
      </c>
      <c r="J140" s="72" t="s">
        <v>3127</v>
      </c>
      <c r="K140" s="72" t="s">
        <v>2740</v>
      </c>
      <c r="L140" s="72" t="s">
        <v>2315</v>
      </c>
      <c r="M140" s="72" t="s">
        <v>3127</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3128</v>
      </c>
      <c r="BR140" s="72" t="s">
        <v>2739</v>
      </c>
    </row>
    <row r="141" spans="1:70">
      <c r="A141" s="72" t="s">
        <v>1880</v>
      </c>
      <c r="B141" s="72" t="s">
        <v>3129</v>
      </c>
      <c r="C141" s="72" t="s">
        <v>2881</v>
      </c>
      <c r="D141" s="72" t="s">
        <v>2739</v>
      </c>
      <c r="E141" s="72" t="s">
        <v>2739</v>
      </c>
      <c r="F141" s="72" t="s">
        <v>2739</v>
      </c>
      <c r="G141" s="72" t="s">
        <v>2740</v>
      </c>
      <c r="H141" s="72" t="s">
        <v>2739</v>
      </c>
      <c r="I141" s="72" t="s">
        <v>2857</v>
      </c>
      <c r="J141" s="72" t="s">
        <v>3130</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3131</v>
      </c>
      <c r="BR141" s="72" t="s">
        <v>2739</v>
      </c>
    </row>
    <row r="142" spans="1:70">
      <c r="A142" s="72" t="s">
        <v>1880</v>
      </c>
      <c r="B142" s="72" t="s">
        <v>3132</v>
      </c>
      <c r="C142" s="72" t="s">
        <v>2802</v>
      </c>
      <c r="D142" s="72" t="s">
        <v>2739</v>
      </c>
      <c r="E142" s="72" t="s">
        <v>2739</v>
      </c>
      <c r="F142" s="72" t="s">
        <v>2739</v>
      </c>
      <c r="G142" s="72" t="s">
        <v>2740</v>
      </c>
      <c r="H142" s="72" t="s">
        <v>2739</v>
      </c>
      <c r="I142" s="72" t="s">
        <v>2771</v>
      </c>
      <c r="J142" s="72" t="s">
        <v>3133</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3134</v>
      </c>
      <c r="BR142" s="72" t="s">
        <v>2739</v>
      </c>
    </row>
    <row r="143" spans="1:70">
      <c r="A143" s="72" t="s">
        <v>1880</v>
      </c>
      <c r="B143" s="72" t="s">
        <v>3135</v>
      </c>
      <c r="C143" s="72" t="s">
        <v>2881</v>
      </c>
      <c r="D143" s="72" t="s">
        <v>2739</v>
      </c>
      <c r="E143" s="72" t="s">
        <v>2739</v>
      </c>
      <c r="F143" s="72" t="s">
        <v>2739</v>
      </c>
      <c r="G143" s="72" t="s">
        <v>2740</v>
      </c>
      <c r="H143" s="72" t="s">
        <v>2739</v>
      </c>
      <c r="I143" s="72" t="s">
        <v>108</v>
      </c>
      <c r="J143" s="72" t="s">
        <v>3136</v>
      </c>
      <c r="K143" s="72" t="s">
        <v>2740</v>
      </c>
      <c r="L143" s="72" t="s">
        <v>2315</v>
      </c>
      <c r="M143" s="72" t="s">
        <v>3136</v>
      </c>
      <c r="N143" s="72" t="s">
        <v>2740</v>
      </c>
      <c r="O143" s="72" t="s">
        <v>2932</v>
      </c>
      <c r="P143" s="72" t="s">
        <v>3137</v>
      </c>
      <c r="Q143" s="72" t="s">
        <v>2747</v>
      </c>
      <c r="R143" s="72" t="s">
        <v>2934</v>
      </c>
      <c r="S143" s="72" t="s">
        <v>3138</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3139</v>
      </c>
      <c r="BR143" s="72" t="s">
        <v>2749</v>
      </c>
    </row>
    <row r="144" spans="1:70">
      <c r="A144" s="72" t="s">
        <v>1880</v>
      </c>
      <c r="B144" s="72" t="s">
        <v>3140</v>
      </c>
      <c r="C144" s="72" t="s">
        <v>2744</v>
      </c>
      <c r="D144" s="72" t="s">
        <v>2739</v>
      </c>
      <c r="E144" s="72" t="s">
        <v>2739</v>
      </c>
      <c r="F144" s="72" t="s">
        <v>2739</v>
      </c>
      <c r="G144" s="72" t="s">
        <v>2740</v>
      </c>
      <c r="H144" s="72" t="s">
        <v>2739</v>
      </c>
      <c r="I144" s="72" t="s">
        <v>552</v>
      </c>
      <c r="J144" s="72" t="s">
        <v>3141</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3142</v>
      </c>
      <c r="BR144" s="72" t="s">
        <v>2739</v>
      </c>
    </row>
    <row r="145" spans="1:70">
      <c r="A145" s="72" t="s">
        <v>1880</v>
      </c>
      <c r="B145" s="72" t="s">
        <v>3143</v>
      </c>
      <c r="C145" s="72" t="s">
        <v>2738</v>
      </c>
      <c r="D145" s="72" t="s">
        <v>2739</v>
      </c>
      <c r="E145" s="72" t="s">
        <v>2739</v>
      </c>
      <c r="F145" s="72" t="s">
        <v>2739</v>
      </c>
      <c r="G145" s="72" t="s">
        <v>2740</v>
      </c>
      <c r="H145" s="72" t="s">
        <v>2739</v>
      </c>
      <c r="I145" s="72" t="s">
        <v>108</v>
      </c>
      <c r="J145" s="72" t="s">
        <v>3144</v>
      </c>
      <c r="K145" s="72" t="s">
        <v>2747</v>
      </c>
      <c r="L145" s="72" t="s">
        <v>2315</v>
      </c>
      <c r="M145" s="72" t="s">
        <v>3144</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3145</v>
      </c>
      <c r="BR145" s="72" t="s">
        <v>2749</v>
      </c>
    </row>
    <row r="146" spans="1:70">
      <c r="A146" s="72" t="s">
        <v>1880</v>
      </c>
      <c r="B146" s="72" t="s">
        <v>3146</v>
      </c>
      <c r="C146" s="72" t="s">
        <v>2738</v>
      </c>
      <c r="D146" s="72" t="s">
        <v>2739</v>
      </c>
      <c r="E146" s="72" t="s">
        <v>2739</v>
      </c>
      <c r="F146" s="72" t="s">
        <v>2739</v>
      </c>
      <c r="G146" s="72" t="s">
        <v>2740</v>
      </c>
      <c r="H146" s="72" t="s">
        <v>2739</v>
      </c>
      <c r="I146" s="72" t="s">
        <v>2783</v>
      </c>
      <c r="J146" s="72" t="s">
        <v>3147</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3148</v>
      </c>
      <c r="BR146" s="72" t="s">
        <v>2739</v>
      </c>
    </row>
    <row r="147" spans="1:70">
      <c r="A147" s="72" t="s">
        <v>1880</v>
      </c>
      <c r="B147" s="72" t="s">
        <v>3149</v>
      </c>
      <c r="C147" s="72" t="s">
        <v>2764</v>
      </c>
      <c r="D147" s="72" t="s">
        <v>2739</v>
      </c>
      <c r="E147" s="72" t="s">
        <v>2739</v>
      </c>
      <c r="F147" s="72" t="s">
        <v>2739</v>
      </c>
      <c r="G147" s="72" t="s">
        <v>2740</v>
      </c>
      <c r="H147" s="72" t="s">
        <v>2739</v>
      </c>
      <c r="I147" s="72" t="s">
        <v>2857</v>
      </c>
      <c r="J147" s="72" t="s">
        <v>3150</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3151</v>
      </c>
      <c r="BR147" s="72" t="s">
        <v>2739</v>
      </c>
    </row>
    <row r="148" spans="1:70">
      <c r="A148" s="72" t="s">
        <v>1880</v>
      </c>
      <c r="B148" s="72" t="s">
        <v>3152</v>
      </c>
      <c r="C148" s="72" t="s">
        <v>2881</v>
      </c>
      <c r="D148" s="72" t="s">
        <v>2739</v>
      </c>
      <c r="E148" s="72" t="s">
        <v>2739</v>
      </c>
      <c r="F148" s="72" t="s">
        <v>2739</v>
      </c>
      <c r="G148" s="72" t="s">
        <v>2740</v>
      </c>
      <c r="H148" s="72" t="s">
        <v>2739</v>
      </c>
      <c r="I148" s="72" t="s">
        <v>108</v>
      </c>
      <c r="J148" s="72" t="s">
        <v>3153</v>
      </c>
      <c r="K148" s="72" t="s">
        <v>2747</v>
      </c>
      <c r="L148" s="72" t="s">
        <v>2315</v>
      </c>
      <c r="M148" s="72" t="s">
        <v>3153</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3154</v>
      </c>
      <c r="BR148" s="72" t="s">
        <v>2749</v>
      </c>
    </row>
    <row r="149" spans="1:70">
      <c r="A149" s="72" t="s">
        <v>1880</v>
      </c>
      <c r="B149" s="72" t="s">
        <v>3155</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3156</v>
      </c>
      <c r="BR149" s="72" t="s">
        <v>2739</v>
      </c>
    </row>
    <row r="150" spans="1:70">
      <c r="A150" s="72" t="s">
        <v>1880</v>
      </c>
      <c r="B150" s="72" t="s">
        <v>3157</v>
      </c>
      <c r="C150" s="72" t="s">
        <v>2738</v>
      </c>
      <c r="D150" s="72" t="s">
        <v>2739</v>
      </c>
      <c r="E150" s="72" t="s">
        <v>2739</v>
      </c>
      <c r="F150" s="72" t="s">
        <v>2739</v>
      </c>
      <c r="G150" s="72" t="s">
        <v>2740</v>
      </c>
      <c r="H150" s="72" t="s">
        <v>2739</v>
      </c>
      <c r="I150" s="72" t="s">
        <v>108</v>
      </c>
      <c r="J150" s="72" t="s">
        <v>3158</v>
      </c>
      <c r="K150" s="72" t="s">
        <v>2740</v>
      </c>
      <c r="L150" s="72" t="s">
        <v>2315</v>
      </c>
      <c r="M150" s="72" t="s">
        <v>3158</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3159</v>
      </c>
      <c r="BR150" s="72" t="s">
        <v>2739</v>
      </c>
    </row>
    <row r="151" spans="1:70">
      <c r="A151" s="72" t="s">
        <v>1880</v>
      </c>
      <c r="B151" s="72" t="s">
        <v>3160</v>
      </c>
      <c r="C151" s="72" t="s">
        <v>2852</v>
      </c>
      <c r="D151" s="72" t="s">
        <v>2739</v>
      </c>
      <c r="E151" s="72" t="s">
        <v>2739</v>
      </c>
      <c r="F151" s="72" t="s">
        <v>2739</v>
      </c>
      <c r="G151" s="72" t="s">
        <v>2740</v>
      </c>
      <c r="H151" s="72" t="s">
        <v>2739</v>
      </c>
      <c r="I151" s="72" t="s">
        <v>108</v>
      </c>
      <c r="J151" s="72" t="s">
        <v>3161</v>
      </c>
      <c r="K151" s="72" t="s">
        <v>2740</v>
      </c>
      <c r="L151" s="72" t="s">
        <v>2315</v>
      </c>
      <c r="M151" s="72" t="s">
        <v>3161</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3162</v>
      </c>
      <c r="BR151" s="72" t="s">
        <v>2739</v>
      </c>
    </row>
    <row r="152" spans="1:70">
      <c r="A152" s="72" t="s">
        <v>1880</v>
      </c>
      <c r="B152" s="72" t="s">
        <v>3163</v>
      </c>
      <c r="C152" s="72" t="s">
        <v>2852</v>
      </c>
      <c r="D152" s="72" t="s">
        <v>2739</v>
      </c>
      <c r="E152" s="72" t="s">
        <v>2739</v>
      </c>
      <c r="F152" s="72" t="s">
        <v>2739</v>
      </c>
      <c r="G152" s="72" t="s">
        <v>2740</v>
      </c>
      <c r="H152" s="72" t="s">
        <v>2739</v>
      </c>
      <c r="I152" s="72" t="s">
        <v>2254</v>
      </c>
      <c r="J152" s="72" t="s">
        <v>3164</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3165</v>
      </c>
      <c r="BR152" s="72" t="s">
        <v>2739</v>
      </c>
    </row>
    <row r="153" spans="1:70">
      <c r="A153" s="72" t="s">
        <v>1880</v>
      </c>
      <c r="B153" s="72" t="s">
        <v>3166</v>
      </c>
      <c r="C153" s="72" t="s">
        <v>2852</v>
      </c>
      <c r="D153" s="72" t="s">
        <v>2739</v>
      </c>
      <c r="E153" s="72" t="s">
        <v>2739</v>
      </c>
      <c r="F153" s="72" t="s">
        <v>2739</v>
      </c>
      <c r="G153" s="72" t="s">
        <v>2740</v>
      </c>
      <c r="H153" s="72" t="s">
        <v>2739</v>
      </c>
      <c r="I153" s="72" t="s">
        <v>108</v>
      </c>
      <c r="J153" s="72" t="s">
        <v>3167</v>
      </c>
      <c r="K153" s="72" t="s">
        <v>2740</v>
      </c>
      <c r="L153" s="72" t="s">
        <v>2315</v>
      </c>
      <c r="M153" s="72" t="s">
        <v>3167</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3168</v>
      </c>
      <c r="BR153" s="72" t="s">
        <v>2739</v>
      </c>
    </row>
    <row r="154" spans="1:70">
      <c r="A154" s="72" t="s">
        <v>1880</v>
      </c>
      <c r="B154" s="72" t="s">
        <v>3169</v>
      </c>
      <c r="C154" s="72" t="s">
        <v>2849</v>
      </c>
      <c r="D154" s="72" t="s">
        <v>2739</v>
      </c>
      <c r="E154" s="72" t="s">
        <v>2739</v>
      </c>
      <c r="F154" s="72" t="s">
        <v>2739</v>
      </c>
      <c r="G154" s="72" t="s">
        <v>2740</v>
      </c>
      <c r="H154" s="72" t="s">
        <v>2739</v>
      </c>
      <c r="I154" s="72" t="s">
        <v>108</v>
      </c>
      <c r="J154" s="72" t="s">
        <v>3170</v>
      </c>
      <c r="K154" s="72" t="s">
        <v>2740</v>
      </c>
      <c r="L154" s="72" t="s">
        <v>2315</v>
      </c>
      <c r="M154" s="72" t="s">
        <v>3170</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3171</v>
      </c>
      <c r="BR154" s="72" t="s">
        <v>2739</v>
      </c>
    </row>
    <row r="155" spans="1:70">
      <c r="A155" s="72" t="s">
        <v>1880</v>
      </c>
      <c r="B155" s="72" t="s">
        <v>3172</v>
      </c>
      <c r="C155" s="72" t="s">
        <v>2881</v>
      </c>
      <c r="D155" s="72" t="s">
        <v>2739</v>
      </c>
      <c r="E155" s="72" t="s">
        <v>2739</v>
      </c>
      <c r="F155" s="72" t="s">
        <v>2739</v>
      </c>
      <c r="G155" s="72" t="s">
        <v>2740</v>
      </c>
      <c r="H155" s="72" t="s">
        <v>2739</v>
      </c>
      <c r="I155" s="72" t="s">
        <v>2771</v>
      </c>
      <c r="J155" s="72" t="s">
        <v>3173</v>
      </c>
      <c r="K155" s="72" t="s">
        <v>2747</v>
      </c>
      <c r="L155" s="72" t="s">
        <v>2315</v>
      </c>
      <c r="M155" s="72" t="s">
        <v>3174</v>
      </c>
      <c r="N155" s="72" t="s">
        <v>2747</v>
      </c>
      <c r="O155" s="72" t="s">
        <v>108</v>
      </c>
      <c r="P155" s="72" t="s">
        <v>3174</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3175</v>
      </c>
      <c r="BR155" s="72" t="s">
        <v>2749</v>
      </c>
    </row>
    <row r="156" spans="1:70">
      <c r="A156" s="72" t="s">
        <v>1880</v>
      </c>
      <c r="B156" s="72" t="s">
        <v>3176</v>
      </c>
      <c r="C156" s="72" t="s">
        <v>2744</v>
      </c>
      <c r="D156" s="72" t="s">
        <v>2739</v>
      </c>
      <c r="E156" s="72" t="s">
        <v>2739</v>
      </c>
      <c r="F156" s="72" t="s">
        <v>2739</v>
      </c>
      <c r="G156" s="72" t="s">
        <v>2740</v>
      </c>
      <c r="H156" s="72" t="s">
        <v>2739</v>
      </c>
      <c r="I156" s="72" t="s">
        <v>108</v>
      </c>
      <c r="J156" s="72" t="s">
        <v>3177</v>
      </c>
      <c r="K156" s="72" t="s">
        <v>2740</v>
      </c>
      <c r="L156" s="72" t="s">
        <v>2315</v>
      </c>
      <c r="M156" s="72" t="s">
        <v>3177</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3178</v>
      </c>
      <c r="BR156" s="72" t="s">
        <v>2739</v>
      </c>
    </row>
    <row r="157" spans="1:70">
      <c r="A157" s="72" t="s">
        <v>1880</v>
      </c>
      <c r="B157" s="72" t="s">
        <v>3179</v>
      </c>
      <c r="C157" s="72" t="s">
        <v>2849</v>
      </c>
      <c r="D157" s="72" t="s">
        <v>2739</v>
      </c>
      <c r="E157" s="72" t="s">
        <v>2739</v>
      </c>
      <c r="F157" s="72" t="s">
        <v>2739</v>
      </c>
      <c r="G157" s="72" t="s">
        <v>2740</v>
      </c>
      <c r="H157" s="72" t="s">
        <v>2739</v>
      </c>
      <c r="I157" s="72" t="s">
        <v>552</v>
      </c>
      <c r="J157" s="72" t="s">
        <v>3180</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3181</v>
      </c>
      <c r="BR157" s="72" t="s">
        <v>2739</v>
      </c>
    </row>
    <row r="158" spans="1:70">
      <c r="A158" s="72" t="s">
        <v>1880</v>
      </c>
      <c r="B158" s="72" t="s">
        <v>3182</v>
      </c>
      <c r="C158" s="72" t="s">
        <v>2751</v>
      </c>
      <c r="D158" s="72" t="s">
        <v>2739</v>
      </c>
      <c r="E158" s="72" t="s">
        <v>2739</v>
      </c>
      <c r="F158" s="72" t="s">
        <v>2739</v>
      </c>
      <c r="G158" s="72" t="s">
        <v>2740</v>
      </c>
      <c r="H158" s="72" t="s">
        <v>2739</v>
      </c>
      <c r="I158" s="72" t="s">
        <v>2479</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3183</v>
      </c>
      <c r="BR158" s="72" t="s">
        <v>2739</v>
      </c>
    </row>
    <row r="159" spans="1:70">
      <c r="A159" s="72" t="s">
        <v>1880</v>
      </c>
      <c r="B159" s="72" t="s">
        <v>3184</v>
      </c>
      <c r="C159" s="72" t="s">
        <v>2738</v>
      </c>
      <c r="D159" s="72" t="s">
        <v>2739</v>
      </c>
      <c r="E159" s="72" t="s">
        <v>2739</v>
      </c>
      <c r="F159" s="72" t="s">
        <v>2739</v>
      </c>
      <c r="G159" s="72" t="s">
        <v>2740</v>
      </c>
      <c r="H159" s="72" t="s">
        <v>2739</v>
      </c>
      <c r="I159" s="72" t="s">
        <v>1215</v>
      </c>
      <c r="J159" s="72" t="s">
        <v>3185</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3186</v>
      </c>
      <c r="BR159" s="72" t="s">
        <v>2739</v>
      </c>
    </row>
    <row r="160" spans="1:70">
      <c r="A160" s="72" t="s">
        <v>1884</v>
      </c>
      <c r="B160" s="72" t="s">
        <v>2465</v>
      </c>
      <c r="C160" s="72" t="s">
        <v>2465</v>
      </c>
      <c r="D160" s="72" t="s">
        <v>2739</v>
      </c>
      <c r="E160" s="72" t="s">
        <v>2739</v>
      </c>
      <c r="F160" s="72" t="s">
        <v>2739</v>
      </c>
      <c r="G160" s="72" t="s">
        <v>2740</v>
      </c>
      <c r="H160" s="72" t="s">
        <v>2739</v>
      </c>
      <c r="I160" s="72" t="s">
        <v>2254</v>
      </c>
      <c r="J160" s="72" t="s">
        <v>2489</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3187</v>
      </c>
      <c r="BR160" s="72" t="s">
        <v>2749</v>
      </c>
    </row>
    <row r="161" spans="1:70">
      <c r="A161" s="72" t="s">
        <v>1884</v>
      </c>
      <c r="B161" s="72" t="s">
        <v>3188</v>
      </c>
      <c r="C161" s="72" t="s">
        <v>3048</v>
      </c>
      <c r="D161" s="72" t="s">
        <v>2739</v>
      </c>
      <c r="E161" s="72" t="s">
        <v>2739</v>
      </c>
      <c r="F161" s="72" t="s">
        <v>2739</v>
      </c>
      <c r="G161" s="72" t="s">
        <v>2740</v>
      </c>
      <c r="H161" s="72" t="s">
        <v>2739</v>
      </c>
      <c r="I161" s="72" t="s">
        <v>2284</v>
      </c>
      <c r="J161" s="72" t="s">
        <v>3189</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3190</v>
      </c>
      <c r="BR161" s="72" t="s">
        <v>2739</v>
      </c>
    </row>
    <row r="162" spans="1:70">
      <c r="A162" s="72" t="s">
        <v>1884</v>
      </c>
      <c r="B162" s="72" t="s">
        <v>3191</v>
      </c>
      <c r="C162" s="72" t="s">
        <v>2738</v>
      </c>
      <c r="D162" s="72" t="s">
        <v>2739</v>
      </c>
      <c r="E162" s="72" t="s">
        <v>2739</v>
      </c>
      <c r="F162" s="72" t="s">
        <v>2739</v>
      </c>
      <c r="G162" s="72" t="s">
        <v>2740</v>
      </c>
      <c r="H162" s="72" t="s">
        <v>2739</v>
      </c>
      <c r="I162" s="72" t="s">
        <v>108</v>
      </c>
      <c r="J162" s="72" t="s">
        <v>3192</v>
      </c>
      <c r="K162" s="72" t="s">
        <v>2740</v>
      </c>
      <c r="L162" s="72" t="s">
        <v>2315</v>
      </c>
      <c r="M162" s="72" t="s">
        <v>3192</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3193</v>
      </c>
      <c r="BR162" s="72" t="s">
        <v>2739</v>
      </c>
    </row>
    <row r="163" spans="1:70">
      <c r="A163" s="72" t="s">
        <v>1884</v>
      </c>
      <c r="B163" s="72" t="s">
        <v>3194</v>
      </c>
      <c r="C163" s="72" t="s">
        <v>2751</v>
      </c>
      <c r="D163" s="72" t="s">
        <v>2739</v>
      </c>
      <c r="E163" s="72" t="s">
        <v>2739</v>
      </c>
      <c r="F163" s="72" t="s">
        <v>2739</v>
      </c>
      <c r="G163" s="72" t="s">
        <v>2740</v>
      </c>
      <c r="H163" s="72" t="s">
        <v>2739</v>
      </c>
      <c r="I163" s="72" t="s">
        <v>552</v>
      </c>
      <c r="J163" s="72" t="s">
        <v>3195</v>
      </c>
      <c r="K163" s="72" t="s">
        <v>2740</v>
      </c>
      <c r="L163" s="72" t="s">
        <v>2745</v>
      </c>
      <c r="M163" s="72" t="s">
        <v>3195</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3196</v>
      </c>
      <c r="BR163" s="72" t="s">
        <v>2739</v>
      </c>
    </row>
    <row r="164" spans="1:70">
      <c r="A164" s="72" t="s">
        <v>1884</v>
      </c>
      <c r="B164" s="72" t="s">
        <v>3197</v>
      </c>
      <c r="C164" s="72" t="s">
        <v>2802</v>
      </c>
      <c r="D164" s="72" t="s">
        <v>2739</v>
      </c>
      <c r="E164" s="72" t="s">
        <v>2739</v>
      </c>
      <c r="F164" s="72" t="s">
        <v>2739</v>
      </c>
      <c r="G164" s="72" t="s">
        <v>2740</v>
      </c>
      <c r="H164" s="72" t="s">
        <v>2739</v>
      </c>
      <c r="I164" s="72" t="s">
        <v>552</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3198</v>
      </c>
      <c r="BR164" s="72" t="s">
        <v>2739</v>
      </c>
    </row>
    <row r="165" spans="1:70">
      <c r="A165" s="72" t="s">
        <v>1884</v>
      </c>
      <c r="B165" s="72" t="s">
        <v>3199</v>
      </c>
      <c r="C165" s="72" t="s">
        <v>2751</v>
      </c>
      <c r="D165" s="72" t="s">
        <v>2739</v>
      </c>
      <c r="E165" s="72" t="s">
        <v>2739</v>
      </c>
      <c r="F165" s="72" t="s">
        <v>2739</v>
      </c>
      <c r="G165" s="72" t="s">
        <v>2740</v>
      </c>
      <c r="H165" s="72" t="s">
        <v>2739</v>
      </c>
      <c r="I165" s="72" t="s">
        <v>108</v>
      </c>
      <c r="J165" s="72" t="s">
        <v>3200</v>
      </c>
      <c r="K165" s="72" t="s">
        <v>2740</v>
      </c>
      <c r="L165" s="72" t="s">
        <v>2315</v>
      </c>
      <c r="M165" s="72" t="s">
        <v>3200</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3201</v>
      </c>
      <c r="BR165" s="72" t="s">
        <v>2739</v>
      </c>
    </row>
    <row r="166" spans="1:70">
      <c r="A166" s="72" t="s">
        <v>1884</v>
      </c>
      <c r="B166" s="72" t="s">
        <v>3202</v>
      </c>
      <c r="C166" s="72" t="s">
        <v>2849</v>
      </c>
      <c r="D166" s="72" t="s">
        <v>2739</v>
      </c>
      <c r="E166" s="72" t="s">
        <v>2739</v>
      </c>
      <c r="F166" s="72" t="s">
        <v>2739</v>
      </c>
      <c r="G166" s="72" t="s">
        <v>2740</v>
      </c>
      <c r="H166" s="72" t="s">
        <v>2739</v>
      </c>
      <c r="I166" s="72" t="s">
        <v>108</v>
      </c>
      <c r="J166" s="72" t="s">
        <v>3203</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3204</v>
      </c>
      <c r="BR166" s="72" t="s">
        <v>2739</v>
      </c>
    </row>
    <row r="167" spans="1:70">
      <c r="A167" s="72" t="s">
        <v>1884</v>
      </c>
      <c r="B167" s="72" t="s">
        <v>3205</v>
      </c>
      <c r="C167" s="72" t="s">
        <v>2849</v>
      </c>
      <c r="D167" s="72" t="s">
        <v>2739</v>
      </c>
      <c r="E167" s="72" t="s">
        <v>2739</v>
      </c>
      <c r="F167" s="72" t="s">
        <v>2739</v>
      </c>
      <c r="G167" s="72" t="s">
        <v>2740</v>
      </c>
      <c r="H167" s="72" t="s">
        <v>2739</v>
      </c>
      <c r="I167" s="72" t="s">
        <v>2771</v>
      </c>
      <c r="J167" s="72" t="s">
        <v>3206</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3207</v>
      </c>
      <c r="BR167" s="72" t="s">
        <v>2739</v>
      </c>
    </row>
    <row r="168" spans="1:70">
      <c r="A168" s="72" t="s">
        <v>1884</v>
      </c>
      <c r="B168" s="72" t="s">
        <v>3208</v>
      </c>
      <c r="C168" s="72" t="s">
        <v>2802</v>
      </c>
      <c r="D168" s="72" t="s">
        <v>2739</v>
      </c>
      <c r="E168" s="72" t="s">
        <v>2739</v>
      </c>
      <c r="F168" s="72" t="s">
        <v>2739</v>
      </c>
      <c r="G168" s="72" t="s">
        <v>2740</v>
      </c>
      <c r="H168" s="72" t="s">
        <v>2739</v>
      </c>
      <c r="I168" s="72" t="s">
        <v>3209</v>
      </c>
      <c r="J168" s="72" t="s">
        <v>3210</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3211</v>
      </c>
      <c r="BR168" s="72" t="s">
        <v>2749</v>
      </c>
    </row>
    <row r="169" spans="1:70">
      <c r="A169" s="72" t="s">
        <v>1884</v>
      </c>
      <c r="B169" s="72" t="s">
        <v>3212</v>
      </c>
      <c r="C169" s="72" t="s">
        <v>2751</v>
      </c>
      <c r="D169" s="72" t="s">
        <v>2739</v>
      </c>
      <c r="E169" s="72" t="s">
        <v>2739</v>
      </c>
      <c r="F169" s="72" t="s">
        <v>2739</v>
      </c>
      <c r="G169" s="72" t="s">
        <v>2740</v>
      </c>
      <c r="H169" s="72" t="s">
        <v>2739</v>
      </c>
      <c r="I169" s="72" t="s">
        <v>2254</v>
      </c>
      <c r="J169" s="72" t="s">
        <v>3213</v>
      </c>
      <c r="K169" s="72" t="s">
        <v>2747</v>
      </c>
      <c r="L169" s="72" t="s">
        <v>108</v>
      </c>
      <c r="M169" s="72" t="s">
        <v>3213</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3214</v>
      </c>
      <c r="BR169" s="72" t="s">
        <v>2749</v>
      </c>
    </row>
    <row r="170" spans="1:70">
      <c r="A170" s="72" t="s">
        <v>1884</v>
      </c>
      <c r="B170" s="72" t="s">
        <v>3215</v>
      </c>
      <c r="C170" s="72" t="s">
        <v>2802</v>
      </c>
      <c r="D170" s="72" t="s">
        <v>2739</v>
      </c>
      <c r="E170" s="72" t="s">
        <v>2739</v>
      </c>
      <c r="F170" s="72" t="s">
        <v>2739</v>
      </c>
      <c r="G170" s="72" t="s">
        <v>2740</v>
      </c>
      <c r="H170" s="72" t="s">
        <v>2739</v>
      </c>
      <c r="I170" s="72" t="s">
        <v>108</v>
      </c>
      <c r="J170" s="72" t="s">
        <v>3216</v>
      </c>
      <c r="K170" s="72" t="s">
        <v>2740</v>
      </c>
      <c r="L170" s="72" t="s">
        <v>2315</v>
      </c>
      <c r="M170" s="72" t="s">
        <v>3216</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3217</v>
      </c>
      <c r="BR170" s="72" t="s">
        <v>2739</v>
      </c>
    </row>
    <row r="171" spans="1:70">
      <c r="A171" s="72" t="s">
        <v>1884</v>
      </c>
      <c r="B171" s="72" t="s">
        <v>3218</v>
      </c>
      <c r="C171" s="72" t="s">
        <v>2802</v>
      </c>
      <c r="D171" s="72" t="s">
        <v>2739</v>
      </c>
      <c r="E171" s="72" t="s">
        <v>2739</v>
      </c>
      <c r="F171" s="72" t="s">
        <v>2739</v>
      </c>
      <c r="G171" s="72" t="s">
        <v>2740</v>
      </c>
      <c r="H171" s="72" t="s">
        <v>2739</v>
      </c>
      <c r="I171" s="72" t="s">
        <v>552</v>
      </c>
      <c r="J171" s="72" t="s">
        <v>3219</v>
      </c>
      <c r="K171" s="72" t="s">
        <v>2740</v>
      </c>
      <c r="L171" s="72" t="s">
        <v>2932</v>
      </c>
      <c r="M171" s="72" t="s">
        <v>3219</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3220</v>
      </c>
      <c r="BR171" s="72" t="s">
        <v>2739</v>
      </c>
    </row>
    <row r="172" spans="1:70">
      <c r="A172" s="72" t="s">
        <v>1884</v>
      </c>
      <c r="B172" s="72" t="s">
        <v>3221</v>
      </c>
      <c r="C172" s="72" t="s">
        <v>2802</v>
      </c>
      <c r="D172" s="72" t="s">
        <v>2739</v>
      </c>
      <c r="E172" s="72" t="s">
        <v>2739</v>
      </c>
      <c r="F172" s="72" t="s">
        <v>2739</v>
      </c>
      <c r="G172" s="72" t="s">
        <v>2740</v>
      </c>
      <c r="H172" s="72" t="s">
        <v>2739</v>
      </c>
      <c r="I172" s="72" t="s">
        <v>108</v>
      </c>
      <c r="J172" s="72" t="s">
        <v>3222</v>
      </c>
      <c r="K172" s="72" t="s">
        <v>2747</v>
      </c>
      <c r="L172" s="72" t="s">
        <v>2315</v>
      </c>
      <c r="M172" s="72" t="s">
        <v>3222</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3223</v>
      </c>
      <c r="BR172" s="72" t="s">
        <v>2749</v>
      </c>
    </row>
    <row r="173" spans="1:70">
      <c r="A173" s="72" t="s">
        <v>1884</v>
      </c>
      <c r="B173" s="72" t="s">
        <v>3224</v>
      </c>
      <c r="C173" s="72" t="s">
        <v>2751</v>
      </c>
      <c r="D173" s="72" t="s">
        <v>2739</v>
      </c>
      <c r="E173" s="72" t="s">
        <v>2739</v>
      </c>
      <c r="F173" s="72" t="s">
        <v>2739</v>
      </c>
      <c r="G173" s="72" t="s">
        <v>2740</v>
      </c>
      <c r="H173" s="72" t="s">
        <v>2739</v>
      </c>
      <c r="I173" s="72" t="s">
        <v>552</v>
      </c>
      <c r="J173" s="72" t="s">
        <v>3225</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3226</v>
      </c>
      <c r="BR173" s="72" t="s">
        <v>2739</v>
      </c>
    </row>
    <row r="174" spans="1:70">
      <c r="A174" s="72" t="s">
        <v>1884</v>
      </c>
      <c r="B174" s="72" t="s">
        <v>3227</v>
      </c>
      <c r="C174" s="72" t="s">
        <v>2738</v>
      </c>
      <c r="D174" s="72" t="s">
        <v>2739</v>
      </c>
      <c r="E174" s="72" t="s">
        <v>2739</v>
      </c>
      <c r="F174" s="72" t="s">
        <v>2739</v>
      </c>
      <c r="G174" s="72" t="s">
        <v>2740</v>
      </c>
      <c r="H174" s="72" t="s">
        <v>2739</v>
      </c>
      <c r="I174" s="72" t="s">
        <v>2254</v>
      </c>
      <c r="J174" s="72" t="s">
        <v>3228</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3229</v>
      </c>
      <c r="BR174" s="72" t="s">
        <v>2739</v>
      </c>
    </row>
    <row r="175" spans="1:70">
      <c r="A175" s="72" t="s">
        <v>1884</v>
      </c>
      <c r="B175" s="72" t="s">
        <v>3230</v>
      </c>
      <c r="C175" s="72" t="s">
        <v>2744</v>
      </c>
      <c r="D175" s="72" t="s">
        <v>2739</v>
      </c>
      <c r="E175" s="72" t="s">
        <v>2739</v>
      </c>
      <c r="F175" s="72" t="s">
        <v>2739</v>
      </c>
      <c r="G175" s="72" t="s">
        <v>2740</v>
      </c>
      <c r="H175" s="72" t="s">
        <v>2739</v>
      </c>
      <c r="I175" s="72" t="s">
        <v>2745</v>
      </c>
      <c r="J175" s="72" t="s">
        <v>3231</v>
      </c>
      <c r="K175" s="72" t="s">
        <v>2740</v>
      </c>
      <c r="L175" s="72" t="s">
        <v>552</v>
      </c>
      <c r="M175" s="72" t="s">
        <v>3231</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3232</v>
      </c>
      <c r="BR175" s="72" t="s">
        <v>2739</v>
      </c>
    </row>
    <row r="176" spans="1:70">
      <c r="A176" s="72" t="s">
        <v>1884</v>
      </c>
      <c r="B176" s="72" t="s">
        <v>3233</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3234</v>
      </c>
      <c r="BR176" s="72" t="s">
        <v>2739</v>
      </c>
    </row>
    <row r="177" spans="1:70">
      <c r="A177" s="72" t="s">
        <v>1884</v>
      </c>
      <c r="B177" s="72" t="s">
        <v>3235</v>
      </c>
      <c r="C177" s="72" t="s">
        <v>2738</v>
      </c>
      <c r="D177" s="72" t="s">
        <v>2739</v>
      </c>
      <c r="E177" s="72" t="s">
        <v>2739</v>
      </c>
      <c r="F177" s="72" t="s">
        <v>2739</v>
      </c>
      <c r="G177" s="72" t="s">
        <v>2740</v>
      </c>
      <c r="H177" s="72" t="s">
        <v>2739</v>
      </c>
      <c r="I177" s="72" t="s">
        <v>108</v>
      </c>
      <c r="J177" s="72" t="s">
        <v>3236</v>
      </c>
      <c r="K177" s="72" t="s">
        <v>2747</v>
      </c>
      <c r="L177" s="72" t="s">
        <v>2315</v>
      </c>
      <c r="M177" s="72" t="s">
        <v>3236</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3237</v>
      </c>
      <c r="BR177" s="72" t="s">
        <v>2749</v>
      </c>
    </row>
    <row r="178" spans="1:70">
      <c r="A178" s="72" t="s">
        <v>1884</v>
      </c>
      <c r="B178" s="72" t="s">
        <v>3238</v>
      </c>
      <c r="C178" s="72" t="s">
        <v>2738</v>
      </c>
      <c r="D178" s="72" t="s">
        <v>2739</v>
      </c>
      <c r="E178" s="72" t="s">
        <v>2739</v>
      </c>
      <c r="F178" s="72" t="s">
        <v>2739</v>
      </c>
      <c r="G178" s="72" t="s">
        <v>2740</v>
      </c>
      <c r="H178" s="72" t="s">
        <v>2739</v>
      </c>
      <c r="I178" s="72" t="s">
        <v>2857</v>
      </c>
      <c r="J178" s="72" t="s">
        <v>3239</v>
      </c>
      <c r="K178" s="72" t="s">
        <v>2740</v>
      </c>
      <c r="L178" s="72" t="s">
        <v>2771</v>
      </c>
      <c r="M178" s="72" t="s">
        <v>3240</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3241</v>
      </c>
      <c r="BR178" s="72" t="s">
        <v>2739</v>
      </c>
    </row>
    <row r="179" spans="1:70">
      <c r="A179" s="72" t="s">
        <v>1884</v>
      </c>
      <c r="B179" s="72" t="s">
        <v>3242</v>
      </c>
      <c r="C179" s="72" t="s">
        <v>2744</v>
      </c>
      <c r="D179" s="72" t="s">
        <v>2739</v>
      </c>
      <c r="E179" s="72" t="s">
        <v>2739</v>
      </c>
      <c r="F179" s="72" t="s">
        <v>2739</v>
      </c>
      <c r="G179" s="72" t="s">
        <v>2740</v>
      </c>
      <c r="H179" s="72" t="s">
        <v>2739</v>
      </c>
      <c r="I179" s="72" t="s">
        <v>108</v>
      </c>
      <c r="J179" s="72" t="s">
        <v>3243</v>
      </c>
      <c r="K179" s="72" t="s">
        <v>2747</v>
      </c>
      <c r="L179" s="72" t="s">
        <v>2315</v>
      </c>
      <c r="M179" s="72" t="s">
        <v>3243</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3244</v>
      </c>
      <c r="BR179" s="72" t="s">
        <v>2749</v>
      </c>
    </row>
    <row r="180" spans="1:70">
      <c r="A180" s="72" t="s">
        <v>1884</v>
      </c>
      <c r="B180" s="72" t="s">
        <v>3245</v>
      </c>
      <c r="C180" s="72" t="s">
        <v>2759</v>
      </c>
      <c r="D180" s="72" t="s">
        <v>2739</v>
      </c>
      <c r="E180" s="72" t="s">
        <v>2739</v>
      </c>
      <c r="F180" s="72" t="s">
        <v>2739</v>
      </c>
      <c r="G180" s="72" t="s">
        <v>2740</v>
      </c>
      <c r="H180" s="72" t="s">
        <v>2739</v>
      </c>
      <c r="I180" s="72" t="s">
        <v>552</v>
      </c>
      <c r="J180" s="72" t="s">
        <v>3246</v>
      </c>
      <c r="K180" s="72" t="s">
        <v>2740</v>
      </c>
      <c r="L180" s="72" t="s">
        <v>2315</v>
      </c>
      <c r="M180" s="72" t="s">
        <v>3246</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3247</v>
      </c>
      <c r="BR180" s="72" t="s">
        <v>2739</v>
      </c>
    </row>
    <row r="181" spans="1:70">
      <c r="A181" s="72" t="s">
        <v>1884</v>
      </c>
      <c r="B181" s="72" t="s">
        <v>3248</v>
      </c>
      <c r="C181" s="72" t="s">
        <v>3048</v>
      </c>
      <c r="D181" s="72" t="s">
        <v>2739</v>
      </c>
      <c r="E181" s="72" t="s">
        <v>2739</v>
      </c>
      <c r="F181" s="72" t="s">
        <v>2739</v>
      </c>
      <c r="G181" s="72" t="s">
        <v>2740</v>
      </c>
      <c r="H181" s="72" t="s">
        <v>2739</v>
      </c>
      <c r="I181" s="72" t="s">
        <v>2783</v>
      </c>
      <c r="J181" s="72" t="s">
        <v>3249</v>
      </c>
      <c r="K181" s="72" t="s">
        <v>2740</v>
      </c>
      <c r="L181" s="72" t="s">
        <v>2771</v>
      </c>
      <c r="M181" s="72" t="s">
        <v>3249</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3250</v>
      </c>
      <c r="BR181" s="72" t="s">
        <v>2739</v>
      </c>
    </row>
    <row r="182" spans="1:70">
      <c r="A182" s="72" t="s">
        <v>1884</v>
      </c>
      <c r="B182" s="72" t="s">
        <v>3251</v>
      </c>
      <c r="C182" s="72" t="s">
        <v>2881</v>
      </c>
      <c r="D182" s="72" t="s">
        <v>2739</v>
      </c>
      <c r="E182" s="72" t="s">
        <v>2739</v>
      </c>
      <c r="F182" s="72" t="s">
        <v>2739</v>
      </c>
      <c r="G182" s="72" t="s">
        <v>2740</v>
      </c>
      <c r="H182" s="72" t="s">
        <v>2739</v>
      </c>
      <c r="I182" s="72" t="s">
        <v>108</v>
      </c>
      <c r="J182" s="72" t="s">
        <v>3252</v>
      </c>
      <c r="K182" s="72" t="s">
        <v>2740</v>
      </c>
      <c r="L182" s="72" t="s">
        <v>2315</v>
      </c>
      <c r="M182" s="72" t="s">
        <v>3252</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3253</v>
      </c>
      <c r="BR182" s="72" t="s">
        <v>2739</v>
      </c>
    </row>
    <row r="183" spans="1:70">
      <c r="A183" s="72" t="s">
        <v>1884</v>
      </c>
      <c r="B183" s="72" t="s">
        <v>3254</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3255</v>
      </c>
      <c r="BR183" s="72" t="s">
        <v>2739</v>
      </c>
    </row>
    <row r="184" spans="1:70">
      <c r="A184" s="72" t="s">
        <v>1884</v>
      </c>
      <c r="B184" s="72" t="s">
        <v>3256</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3257</v>
      </c>
      <c r="BR184" s="72" t="s">
        <v>2739</v>
      </c>
    </row>
    <row r="185" spans="1:70">
      <c r="A185" s="72" t="s">
        <v>1884</v>
      </c>
      <c r="B185" s="72" t="s">
        <v>3258</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3259</v>
      </c>
      <c r="BR185" s="72" t="s">
        <v>2739</v>
      </c>
    </row>
    <row r="186" spans="1:70">
      <c r="A186" s="72" t="s">
        <v>1884</v>
      </c>
      <c r="B186" s="72" t="s">
        <v>3260</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3261</v>
      </c>
      <c r="BR186" s="72" t="s">
        <v>2739</v>
      </c>
    </row>
    <row r="187" spans="1:70">
      <c r="A187" s="72" t="s">
        <v>1884</v>
      </c>
      <c r="B187" s="72" t="s">
        <v>3262</v>
      </c>
      <c r="C187" s="72" t="s">
        <v>3048</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3263</v>
      </c>
      <c r="BR187" s="72" t="s">
        <v>2739</v>
      </c>
    </row>
    <row r="188" spans="1:70">
      <c r="A188" s="72" t="s">
        <v>1884</v>
      </c>
      <c r="B188" s="72" t="s">
        <v>3264</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3265</v>
      </c>
      <c r="BR188" s="72" t="s">
        <v>2739</v>
      </c>
    </row>
    <row r="189" spans="1:70">
      <c r="A189" s="72" t="s">
        <v>1884</v>
      </c>
      <c r="B189" s="72" t="s">
        <v>3266</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3267</v>
      </c>
      <c r="BR189" s="72" t="s">
        <v>2749</v>
      </c>
    </row>
    <row r="190" spans="1:70">
      <c r="A190" s="72" t="s">
        <v>1884</v>
      </c>
      <c r="B190" s="72" t="s">
        <v>3268</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3269</v>
      </c>
      <c r="BR190" s="72" t="s">
        <v>2749</v>
      </c>
    </row>
    <row r="191" spans="1:70">
      <c r="A191" s="72" t="s">
        <v>1884</v>
      </c>
      <c r="B191" s="72" t="s">
        <v>3270</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3271</v>
      </c>
      <c r="BR191" s="72" t="s">
        <v>2749</v>
      </c>
    </row>
    <row r="192" spans="1:70">
      <c r="A192" s="72" t="s">
        <v>1884</v>
      </c>
      <c r="B192" s="72" t="s">
        <v>3272</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3273</v>
      </c>
      <c r="BR192" s="72" t="s">
        <v>2749</v>
      </c>
    </row>
    <row r="193" spans="1:70">
      <c r="A193" s="72" t="s">
        <v>1884</v>
      </c>
      <c r="B193" s="72" t="s">
        <v>3274</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3275</v>
      </c>
      <c r="BR193" s="72" t="s">
        <v>2749</v>
      </c>
    </row>
    <row r="194" spans="1:70">
      <c r="A194" s="72" t="s">
        <v>1884</v>
      </c>
      <c r="B194" s="72" t="s">
        <v>3276</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3277</v>
      </c>
      <c r="BR194" s="72" t="s">
        <v>2749</v>
      </c>
    </row>
    <row r="195" spans="1:70">
      <c r="A195" s="72" t="s">
        <v>1884</v>
      </c>
      <c r="B195" s="72" t="s">
        <v>3278</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3279</v>
      </c>
      <c r="BR195" s="72" t="s">
        <v>2749</v>
      </c>
    </row>
    <row r="196" spans="1:70">
      <c r="A196" s="72" t="s">
        <v>1884</v>
      </c>
      <c r="B196" s="72" t="s">
        <v>3280</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3281</v>
      </c>
      <c r="BR196" s="72" t="s">
        <v>2749</v>
      </c>
    </row>
    <row r="197" spans="1:70">
      <c r="A197" s="72" t="s">
        <v>1884</v>
      </c>
      <c r="B197" s="72" t="s">
        <v>3282</v>
      </c>
      <c r="C197" s="72" t="s">
        <v>2852</v>
      </c>
      <c r="D197" s="72" t="s">
        <v>2739</v>
      </c>
      <c r="E197" s="72" t="s">
        <v>2739</v>
      </c>
      <c r="F197" s="72" t="s">
        <v>2739</v>
      </c>
      <c r="G197" s="72" t="s">
        <v>2740</v>
      </c>
      <c r="H197" s="72" t="s">
        <v>2739</v>
      </c>
      <c r="I197" s="72" t="s">
        <v>2315</v>
      </c>
      <c r="J197" s="72" t="s">
        <v>3283</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3284</v>
      </c>
      <c r="BR197" s="72" t="s">
        <v>2749</v>
      </c>
    </row>
    <row r="198" spans="1:70">
      <c r="A198" s="72" t="s">
        <v>1884</v>
      </c>
      <c r="B198" s="72" t="s">
        <v>3285</v>
      </c>
      <c r="C198" s="72" t="s">
        <v>2802</v>
      </c>
      <c r="D198" s="72" t="s">
        <v>2739</v>
      </c>
      <c r="E198" s="72" t="s">
        <v>2739</v>
      </c>
      <c r="F198" s="72" t="s">
        <v>2739</v>
      </c>
      <c r="G198" s="72" t="s">
        <v>2740</v>
      </c>
      <c r="H198" s="72" t="s">
        <v>2739</v>
      </c>
      <c r="I198" s="72" t="s">
        <v>2315</v>
      </c>
      <c r="J198" s="72" t="s">
        <v>3286</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3287</v>
      </c>
      <c r="BR198" s="72" t="s">
        <v>2739</v>
      </c>
    </row>
    <row r="199" spans="1:70">
      <c r="A199" s="72" t="s">
        <v>1884</v>
      </c>
      <c r="B199" s="72" t="s">
        <v>3288</v>
      </c>
      <c r="C199" s="72" t="s">
        <v>2744</v>
      </c>
      <c r="D199" s="72" t="s">
        <v>2739</v>
      </c>
      <c r="E199" s="72" t="s">
        <v>2739</v>
      </c>
      <c r="F199" s="72" t="s">
        <v>2739</v>
      </c>
      <c r="G199" s="72" t="s">
        <v>2740</v>
      </c>
      <c r="H199" s="72" t="s">
        <v>2739</v>
      </c>
      <c r="I199" s="72" t="s">
        <v>552</v>
      </c>
      <c r="J199" s="72" t="s">
        <v>3289</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3290</v>
      </c>
      <c r="BR199" s="72" t="s">
        <v>2739</v>
      </c>
    </row>
    <row r="200" spans="1:70">
      <c r="A200" s="72" t="s">
        <v>1884</v>
      </c>
      <c r="B200" s="72" t="s">
        <v>3291</v>
      </c>
      <c r="C200" s="72" t="s">
        <v>2802</v>
      </c>
      <c r="D200" s="72" t="s">
        <v>2739</v>
      </c>
      <c r="E200" s="72" t="s">
        <v>2739</v>
      </c>
      <c r="F200" s="72" t="s">
        <v>2739</v>
      </c>
      <c r="G200" s="72" t="s">
        <v>2740</v>
      </c>
      <c r="H200" s="72" t="s">
        <v>2739</v>
      </c>
      <c r="I200" s="72" t="s">
        <v>2479</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3292</v>
      </c>
      <c r="BR200" s="72" t="s">
        <v>2739</v>
      </c>
    </row>
    <row r="201" spans="1:70">
      <c r="A201" s="72" t="s">
        <v>1884</v>
      </c>
      <c r="B201" s="72" t="s">
        <v>3293</v>
      </c>
      <c r="C201" s="72" t="s">
        <v>2744</v>
      </c>
      <c r="D201" s="72" t="s">
        <v>2739</v>
      </c>
      <c r="E201" s="72" t="s">
        <v>2739</v>
      </c>
      <c r="F201" s="72" t="s">
        <v>2739</v>
      </c>
      <c r="G201" s="72" t="s">
        <v>2740</v>
      </c>
      <c r="H201" s="72" t="s">
        <v>2739</v>
      </c>
      <c r="I201" s="72" t="s">
        <v>108</v>
      </c>
      <c r="J201" s="72" t="s">
        <v>3294</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3295</v>
      </c>
      <c r="BR201" s="72" t="s">
        <v>2739</v>
      </c>
    </row>
    <row r="202" spans="1:70">
      <c r="A202" s="72" t="s">
        <v>1886</v>
      </c>
      <c r="B202" s="72" t="s">
        <v>2465</v>
      </c>
      <c r="C202" s="72" t="s">
        <v>2465</v>
      </c>
      <c r="D202" s="72" t="s">
        <v>2739</v>
      </c>
      <c r="E202" s="72" t="s">
        <v>2739</v>
      </c>
      <c r="F202" s="72" t="s">
        <v>2739</v>
      </c>
      <c r="G202" s="72" t="s">
        <v>2740</v>
      </c>
      <c r="H202" s="72" t="s">
        <v>2739</v>
      </c>
      <c r="I202" s="72" t="s">
        <v>2254</v>
      </c>
      <c r="J202" s="72" t="s">
        <v>2489</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3296</v>
      </c>
      <c r="BR202" s="72" t="s">
        <v>2749</v>
      </c>
    </row>
    <row r="203" spans="1:70">
      <c r="A203" s="72" t="s">
        <v>1886</v>
      </c>
      <c r="B203" s="72" t="s">
        <v>3297</v>
      </c>
      <c r="C203" s="72" t="s">
        <v>2764</v>
      </c>
      <c r="D203" s="72" t="s">
        <v>2739</v>
      </c>
      <c r="E203" s="72" t="s">
        <v>2739</v>
      </c>
      <c r="F203" s="72" t="s">
        <v>2739</v>
      </c>
      <c r="G203" s="72" t="s">
        <v>2740</v>
      </c>
      <c r="H203" s="72" t="s">
        <v>2739</v>
      </c>
      <c r="I203" s="72" t="s">
        <v>2932</v>
      </c>
      <c r="J203" s="72" t="s">
        <v>3298</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3299</v>
      </c>
      <c r="BR203" s="72" t="s">
        <v>2739</v>
      </c>
    </row>
    <row r="204" spans="1:70">
      <c r="A204" s="72" t="s">
        <v>1886</v>
      </c>
      <c r="B204" s="72" t="s">
        <v>3300</v>
      </c>
      <c r="C204" s="72" t="s">
        <v>2759</v>
      </c>
      <c r="D204" s="72" t="s">
        <v>2739</v>
      </c>
      <c r="E204" s="72" t="s">
        <v>2739</v>
      </c>
      <c r="F204" s="72" t="s">
        <v>2739</v>
      </c>
      <c r="G204" s="72" t="s">
        <v>2740</v>
      </c>
      <c r="H204" s="72" t="s">
        <v>2739</v>
      </c>
      <c r="I204" s="72" t="s">
        <v>2315</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3301</v>
      </c>
      <c r="BR204" s="72" t="s">
        <v>2739</v>
      </c>
    </row>
    <row r="205" spans="1:70">
      <c r="A205" s="72" t="s">
        <v>1886</v>
      </c>
      <c r="B205" s="72" t="s">
        <v>3302</v>
      </c>
      <c r="C205" s="72" t="s">
        <v>2867</v>
      </c>
      <c r="D205" s="72" t="s">
        <v>2739</v>
      </c>
      <c r="E205" s="72" t="s">
        <v>2739</v>
      </c>
      <c r="F205" s="72" t="s">
        <v>2739</v>
      </c>
      <c r="G205" s="72" t="s">
        <v>2740</v>
      </c>
      <c r="H205" s="72" t="s">
        <v>2739</v>
      </c>
      <c r="I205" s="72" t="s">
        <v>108</v>
      </c>
      <c r="J205" s="72" t="s">
        <v>3303</v>
      </c>
      <c r="K205" s="72" t="s">
        <v>2740</v>
      </c>
      <c r="L205" s="72" t="s">
        <v>2315</v>
      </c>
      <c r="M205" s="72" t="s">
        <v>3303</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3304</v>
      </c>
      <c r="BR205" s="72" t="s">
        <v>2739</v>
      </c>
    </row>
    <row r="206" spans="1:70">
      <c r="A206" s="72" t="s">
        <v>1886</v>
      </c>
      <c r="B206" s="72" t="s">
        <v>3305</v>
      </c>
      <c r="C206" s="72" t="s">
        <v>2738</v>
      </c>
      <c r="D206" s="72" t="s">
        <v>2739</v>
      </c>
      <c r="E206" s="72" t="s">
        <v>2739</v>
      </c>
      <c r="F206" s="72" t="s">
        <v>2739</v>
      </c>
      <c r="G206" s="72" t="s">
        <v>2740</v>
      </c>
      <c r="H206" s="72" t="s">
        <v>2739</v>
      </c>
      <c r="I206" s="72" t="s">
        <v>2752</v>
      </c>
      <c r="J206" s="72" t="s">
        <v>3306</v>
      </c>
      <c r="K206" s="72" t="s">
        <v>2740</v>
      </c>
      <c r="L206" s="72" t="s">
        <v>3307</v>
      </c>
      <c r="M206" s="72" t="s">
        <v>3306</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3308</v>
      </c>
      <c r="BR206" s="72" t="s">
        <v>2739</v>
      </c>
    </row>
    <row r="207" spans="1:70">
      <c r="A207" s="72" t="s">
        <v>1886</v>
      </c>
      <c r="B207" s="72" t="s">
        <v>3309</v>
      </c>
      <c r="C207" s="72" t="s">
        <v>2744</v>
      </c>
      <c r="D207" s="72" t="s">
        <v>2739</v>
      </c>
      <c r="E207" s="72" t="s">
        <v>2739</v>
      </c>
      <c r="F207" s="72" t="s">
        <v>2739</v>
      </c>
      <c r="G207" s="72" t="s">
        <v>2740</v>
      </c>
      <c r="H207" s="72" t="s">
        <v>2739</v>
      </c>
      <c r="I207" s="72" t="s">
        <v>108</v>
      </c>
      <c r="J207" s="72" t="s">
        <v>3310</v>
      </c>
      <c r="K207" s="72" t="s">
        <v>2740</v>
      </c>
      <c r="L207" s="72" t="s">
        <v>2315</v>
      </c>
      <c r="M207" s="72" t="s">
        <v>3310</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3311</v>
      </c>
      <c r="BR207" s="72" t="s">
        <v>2739</v>
      </c>
    </row>
    <row r="208" spans="1:70">
      <c r="A208" s="72" t="s">
        <v>1886</v>
      </c>
      <c r="B208" s="72" t="s">
        <v>3312</v>
      </c>
      <c r="C208" s="72" t="s">
        <v>2881</v>
      </c>
      <c r="D208" s="72" t="s">
        <v>2739</v>
      </c>
      <c r="E208" s="72" t="s">
        <v>2739</v>
      </c>
      <c r="F208" s="72" t="s">
        <v>2739</v>
      </c>
      <c r="G208" s="72" t="s">
        <v>2740</v>
      </c>
      <c r="H208" s="72" t="s">
        <v>2739</v>
      </c>
      <c r="I208" s="72" t="s">
        <v>108</v>
      </c>
      <c r="J208" s="72" t="s">
        <v>3313</v>
      </c>
      <c r="K208" s="72" t="s">
        <v>2740</v>
      </c>
      <c r="L208" s="72" t="s">
        <v>2315</v>
      </c>
      <c r="M208" s="72" t="s">
        <v>3313</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3314</v>
      </c>
      <c r="BR208" s="72" t="s">
        <v>2739</v>
      </c>
    </row>
    <row r="209" spans="1:70">
      <c r="A209" s="72" t="s">
        <v>1886</v>
      </c>
      <c r="B209" s="72" t="s">
        <v>3315</v>
      </c>
      <c r="C209" s="72" t="s">
        <v>2852</v>
      </c>
      <c r="D209" s="72" t="s">
        <v>2739</v>
      </c>
      <c r="E209" s="72" t="s">
        <v>2739</v>
      </c>
      <c r="F209" s="72" t="s">
        <v>2739</v>
      </c>
      <c r="G209" s="72" t="s">
        <v>2740</v>
      </c>
      <c r="H209" s="72" t="s">
        <v>2739</v>
      </c>
      <c r="I209" s="72" t="s">
        <v>2783</v>
      </c>
      <c r="J209" s="72" t="s">
        <v>3316</v>
      </c>
      <c r="K209" s="72" t="s">
        <v>2740</v>
      </c>
      <c r="L209" s="72" t="s">
        <v>2857</v>
      </c>
      <c r="M209" s="72" t="s">
        <v>3317</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3318</v>
      </c>
      <c r="BR209" s="72" t="s">
        <v>2739</v>
      </c>
    </row>
    <row r="210" spans="1:70">
      <c r="A210" s="72" t="s">
        <v>1886</v>
      </c>
      <c r="B210" s="72" t="s">
        <v>3319</v>
      </c>
      <c r="C210" s="72" t="s">
        <v>2849</v>
      </c>
      <c r="D210" s="72" t="s">
        <v>2739</v>
      </c>
      <c r="E210" s="72" t="s">
        <v>2739</v>
      </c>
      <c r="F210" s="72" t="s">
        <v>2739</v>
      </c>
      <c r="G210" s="72" t="s">
        <v>2740</v>
      </c>
      <c r="H210" s="72" t="s">
        <v>2739</v>
      </c>
      <c r="I210" s="72" t="s">
        <v>2771</v>
      </c>
      <c r="J210" s="72" t="s">
        <v>3320</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3321</v>
      </c>
      <c r="BR210" s="72" t="s">
        <v>2739</v>
      </c>
    </row>
    <row r="211" spans="1:70">
      <c r="A211" s="72" t="s">
        <v>1886</v>
      </c>
      <c r="B211" s="72" t="s">
        <v>3322</v>
      </c>
      <c r="C211" s="72" t="s">
        <v>2759</v>
      </c>
      <c r="D211" s="72" t="s">
        <v>2739</v>
      </c>
      <c r="E211" s="72" t="s">
        <v>2739</v>
      </c>
      <c r="F211" s="72" t="s">
        <v>2739</v>
      </c>
      <c r="G211" s="72" t="s">
        <v>2740</v>
      </c>
      <c r="H211" s="72" t="s">
        <v>2739</v>
      </c>
      <c r="I211" s="72" t="s">
        <v>230</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3323</v>
      </c>
      <c r="BR211" s="72" t="s">
        <v>2739</v>
      </c>
    </row>
    <row r="212" spans="1:70">
      <c r="A212" s="72" t="s">
        <v>1886</v>
      </c>
      <c r="B212" s="72" t="s">
        <v>3324</v>
      </c>
      <c r="C212" s="72" t="s">
        <v>2852</v>
      </c>
      <c r="D212" s="72" t="s">
        <v>2739</v>
      </c>
      <c r="E212" s="72" t="s">
        <v>2739</v>
      </c>
      <c r="F212" s="72" t="s">
        <v>2739</v>
      </c>
      <c r="G212" s="72" t="s">
        <v>2740</v>
      </c>
      <c r="H212" s="72" t="s">
        <v>2739</v>
      </c>
      <c r="I212" s="72" t="s">
        <v>108</v>
      </c>
      <c r="J212" s="72" t="s">
        <v>3325</v>
      </c>
      <c r="K212" s="72" t="s">
        <v>2740</v>
      </c>
      <c r="L212" s="72" t="s">
        <v>2315</v>
      </c>
      <c r="M212" s="72" t="s">
        <v>3325</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3326</v>
      </c>
      <c r="BR212" s="72" t="s">
        <v>2739</v>
      </c>
    </row>
    <row r="213" spans="1:70">
      <c r="A213" s="72" t="s">
        <v>1886</v>
      </c>
      <c r="B213" s="72" t="s">
        <v>3327</v>
      </c>
      <c r="C213" s="72" t="s">
        <v>2852</v>
      </c>
      <c r="D213" s="72" t="s">
        <v>2739</v>
      </c>
      <c r="E213" s="72" t="s">
        <v>2739</v>
      </c>
      <c r="F213" s="72" t="s">
        <v>2739</v>
      </c>
      <c r="G213" s="72" t="s">
        <v>2740</v>
      </c>
      <c r="H213" s="72" t="s">
        <v>2739</v>
      </c>
      <c r="I213" s="72" t="s">
        <v>108</v>
      </c>
      <c r="J213" s="72" t="s">
        <v>3328</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3329</v>
      </c>
      <c r="BR213" s="72" t="s">
        <v>2739</v>
      </c>
    </row>
    <row r="214" spans="1:70">
      <c r="A214" s="72" t="s">
        <v>1886</v>
      </c>
      <c r="B214" s="72" t="s">
        <v>3330</v>
      </c>
      <c r="C214" s="72" t="s">
        <v>3048</v>
      </c>
      <c r="D214" s="72" t="s">
        <v>2739</v>
      </c>
      <c r="E214" s="72" t="s">
        <v>2739</v>
      </c>
      <c r="F214" s="72" t="s">
        <v>2739</v>
      </c>
      <c r="G214" s="72" t="s">
        <v>2740</v>
      </c>
      <c r="H214" s="72" t="s">
        <v>2739</v>
      </c>
      <c r="I214" s="72" t="s">
        <v>2745</v>
      </c>
      <c r="J214" s="72" t="s">
        <v>3331</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3332</v>
      </c>
      <c r="BR214" s="72" t="s">
        <v>2739</v>
      </c>
    </row>
    <row r="215" spans="1:70">
      <c r="A215" s="72" t="s">
        <v>1886</v>
      </c>
      <c r="B215" s="72" t="s">
        <v>3333</v>
      </c>
      <c r="C215" s="72" t="s">
        <v>2802</v>
      </c>
      <c r="D215" s="72" t="s">
        <v>2739</v>
      </c>
      <c r="E215" s="72" t="s">
        <v>2739</v>
      </c>
      <c r="F215" s="72" t="s">
        <v>2739</v>
      </c>
      <c r="G215" s="72" t="s">
        <v>2740</v>
      </c>
      <c r="H215" s="72" t="s">
        <v>2739</v>
      </c>
      <c r="I215" s="72" t="s">
        <v>2745</v>
      </c>
      <c r="J215" s="72" t="s">
        <v>3331</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3334</v>
      </c>
      <c r="BR215" s="72" t="s">
        <v>2739</v>
      </c>
    </row>
    <row r="216" spans="1:70">
      <c r="A216" s="72" t="s">
        <v>1886</v>
      </c>
      <c r="B216" s="72" t="s">
        <v>3335</v>
      </c>
      <c r="C216" s="72" t="s">
        <v>2744</v>
      </c>
      <c r="D216" s="72" t="s">
        <v>2739</v>
      </c>
      <c r="E216" s="72" t="s">
        <v>2739</v>
      </c>
      <c r="F216" s="72" t="s">
        <v>2739</v>
      </c>
      <c r="G216" s="72" t="s">
        <v>2740</v>
      </c>
      <c r="H216" s="72" t="s">
        <v>2739</v>
      </c>
      <c r="I216" s="72" t="s">
        <v>108</v>
      </c>
      <c r="J216" s="72" t="s">
        <v>3313</v>
      </c>
      <c r="K216" s="72" t="s">
        <v>2740</v>
      </c>
      <c r="L216" s="72" t="s">
        <v>2315</v>
      </c>
      <c r="M216" s="72" t="s">
        <v>3313</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3336</v>
      </c>
      <c r="BR216" s="72" t="s">
        <v>2739</v>
      </c>
    </row>
    <row r="217" spans="1:70">
      <c r="A217" s="72" t="s">
        <v>1886</v>
      </c>
      <c r="B217" s="72" t="s">
        <v>3337</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3338</v>
      </c>
      <c r="BR217" s="72" t="s">
        <v>2739</v>
      </c>
    </row>
    <row r="218" spans="1:70">
      <c r="A218" s="72" t="s">
        <v>1886</v>
      </c>
      <c r="B218" s="72" t="s">
        <v>3339</v>
      </c>
      <c r="C218" s="72" t="s">
        <v>2738</v>
      </c>
      <c r="D218" s="72" t="s">
        <v>2739</v>
      </c>
      <c r="E218" s="72" t="s">
        <v>2739</v>
      </c>
      <c r="F218" s="72" t="s">
        <v>2739</v>
      </c>
      <c r="G218" s="72" t="s">
        <v>2740</v>
      </c>
      <c r="H218" s="72" t="s">
        <v>3340</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3341</v>
      </c>
      <c r="BR218" s="72" t="s">
        <v>2749</v>
      </c>
    </row>
    <row r="219" spans="1:70">
      <c r="A219" s="72" t="s">
        <v>1886</v>
      </c>
      <c r="B219" s="72" t="s">
        <v>3342</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3343</v>
      </c>
      <c r="BR219" s="72" t="s">
        <v>2739</v>
      </c>
    </row>
    <row r="220" spans="1:70">
      <c r="A220" s="72" t="s">
        <v>1886</v>
      </c>
      <c r="B220" s="72" t="s">
        <v>3344</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3345</v>
      </c>
      <c r="BR220" s="72" t="s">
        <v>2739</v>
      </c>
    </row>
    <row r="221" spans="1:70">
      <c r="A221" s="72" t="s">
        <v>1886</v>
      </c>
      <c r="B221" s="72" t="s">
        <v>3346</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3347</v>
      </c>
      <c r="BR221" s="72" t="s">
        <v>2739</v>
      </c>
    </row>
    <row r="222" spans="1:70">
      <c r="A222" s="72" t="s">
        <v>1886</v>
      </c>
      <c r="B222" s="72" t="s">
        <v>3348</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3349</v>
      </c>
      <c r="BR222" s="72" t="s">
        <v>2739</v>
      </c>
    </row>
    <row r="223" spans="1:70">
      <c r="A223" s="72" t="s">
        <v>1886</v>
      </c>
      <c r="B223" s="72" t="s">
        <v>3350</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3351</v>
      </c>
      <c r="BR223" s="72" t="s">
        <v>2739</v>
      </c>
    </row>
    <row r="224" spans="1:70">
      <c r="A224" s="72" t="s">
        <v>1886</v>
      </c>
      <c r="B224" s="72" t="s">
        <v>3352</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3353</v>
      </c>
      <c r="BR224" s="72" t="s">
        <v>2739</v>
      </c>
    </row>
    <row r="225" spans="1:70">
      <c r="A225" s="72" t="s">
        <v>1886</v>
      </c>
      <c r="B225" s="72" t="s">
        <v>3354</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3355</v>
      </c>
      <c r="BR225" s="72" t="s">
        <v>2739</v>
      </c>
    </row>
    <row r="226" spans="1:70">
      <c r="A226" s="72" t="s">
        <v>1886</v>
      </c>
      <c r="B226" s="72" t="s">
        <v>3356</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3357</v>
      </c>
      <c r="BR226" s="72" t="s">
        <v>2739</v>
      </c>
    </row>
    <row r="227" spans="1:70">
      <c r="A227" s="72" t="s">
        <v>1886</v>
      </c>
      <c r="B227" s="72" t="s">
        <v>3358</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3359</v>
      </c>
      <c r="BR227" s="72" t="s">
        <v>2739</v>
      </c>
    </row>
    <row r="228" spans="1:70">
      <c r="A228" s="72" t="s">
        <v>1886</v>
      </c>
      <c r="B228" s="72" t="s">
        <v>3360</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3361</v>
      </c>
      <c r="BR228" s="72" t="s">
        <v>2739</v>
      </c>
    </row>
    <row r="229" spans="1:70">
      <c r="A229" s="72" t="s">
        <v>1886</v>
      </c>
      <c r="B229" s="72" t="s">
        <v>3362</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3363</v>
      </c>
      <c r="BR229" s="72" t="s">
        <v>2739</v>
      </c>
    </row>
    <row r="230" spans="1:70">
      <c r="A230" s="72" t="s">
        <v>1886</v>
      </c>
      <c r="B230" s="72" t="s">
        <v>3364</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3365</v>
      </c>
      <c r="BR230" s="72" t="s">
        <v>2739</v>
      </c>
    </row>
    <row r="231" spans="1:70">
      <c r="A231" s="72" t="s">
        <v>1886</v>
      </c>
      <c r="B231" s="72" t="s">
        <v>3366</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3367</v>
      </c>
      <c r="BR231" s="72" t="s">
        <v>2739</v>
      </c>
    </row>
    <row r="232" spans="1:70">
      <c r="A232" s="72" t="s">
        <v>1886</v>
      </c>
      <c r="B232" s="72" t="s">
        <v>3368</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3369</v>
      </c>
      <c r="BR232" s="72" t="s">
        <v>2739</v>
      </c>
    </row>
    <row r="233" spans="1:70">
      <c r="A233" s="72" t="s">
        <v>1886</v>
      </c>
      <c r="B233" s="72" t="s">
        <v>3370</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3371</v>
      </c>
      <c r="BR233" s="72" t="s">
        <v>2739</v>
      </c>
    </row>
    <row r="234" spans="1:70">
      <c r="A234" s="72" t="s">
        <v>1886</v>
      </c>
      <c r="B234" s="72" t="s">
        <v>3372</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3373</v>
      </c>
      <c r="BR234" s="72" t="s">
        <v>2739</v>
      </c>
    </row>
    <row r="235" spans="1:70">
      <c r="A235" s="72" t="s">
        <v>1886</v>
      </c>
      <c r="B235" s="72" t="s">
        <v>3374</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3375</v>
      </c>
      <c r="BR235" s="72" t="s">
        <v>2739</v>
      </c>
    </row>
    <row r="236" spans="1:70">
      <c r="A236" s="72" t="s">
        <v>1886</v>
      </c>
      <c r="B236" s="72" t="s">
        <v>3376</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3377</v>
      </c>
      <c r="BR236" s="72" t="s">
        <v>2739</v>
      </c>
    </row>
    <row r="237" spans="1:70">
      <c r="A237" s="72" t="s">
        <v>1886</v>
      </c>
      <c r="B237" s="72" t="s">
        <v>3378</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3379</v>
      </c>
      <c r="BR237" s="72" t="s">
        <v>2739</v>
      </c>
    </row>
    <row r="238" spans="1:70">
      <c r="A238" s="72" t="s">
        <v>1886</v>
      </c>
      <c r="B238" s="72" t="s">
        <v>3380</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3381</v>
      </c>
      <c r="BR238" s="72" t="s">
        <v>2739</v>
      </c>
    </row>
    <row r="239" spans="1:70">
      <c r="A239" s="72" t="s">
        <v>1886</v>
      </c>
      <c r="B239" s="72" t="s">
        <v>3382</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3383</v>
      </c>
      <c r="BR239" s="72" t="s">
        <v>2739</v>
      </c>
    </row>
    <row r="240" spans="1:70">
      <c r="A240" s="72" t="s">
        <v>1886</v>
      </c>
      <c r="B240" s="72" t="s">
        <v>3384</v>
      </c>
      <c r="C240" s="72" t="s">
        <v>2738</v>
      </c>
      <c r="D240" s="72" t="s">
        <v>2739</v>
      </c>
      <c r="E240" s="72" t="s">
        <v>2739</v>
      </c>
      <c r="F240" s="72" t="s">
        <v>2739</v>
      </c>
      <c r="G240" s="72" t="s">
        <v>2740</v>
      </c>
      <c r="H240" s="72" t="s">
        <v>2739</v>
      </c>
      <c r="I240" s="72" t="s">
        <v>133</v>
      </c>
      <c r="J240" s="72" t="s">
        <v>3385</v>
      </c>
      <c r="K240" s="72" t="s">
        <v>2747</v>
      </c>
      <c r="L240" s="72" t="s">
        <v>3209</v>
      </c>
      <c r="M240" s="72" t="s">
        <v>3385</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3386</v>
      </c>
      <c r="BR240" s="72" t="s">
        <v>2749</v>
      </c>
    </row>
    <row r="241" spans="1:70">
      <c r="A241" s="72" t="s">
        <v>1886</v>
      </c>
      <c r="B241" s="72" t="s">
        <v>3387</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3388</v>
      </c>
      <c r="BR241" s="72" t="s">
        <v>2749</v>
      </c>
    </row>
    <row r="242" spans="1:70">
      <c r="A242" s="72" t="s">
        <v>1886</v>
      </c>
      <c r="B242" s="72" t="s">
        <v>3389</v>
      </c>
      <c r="C242" s="72" t="s">
        <v>2759</v>
      </c>
      <c r="D242" s="72" t="s">
        <v>2739</v>
      </c>
      <c r="E242" s="72" t="s">
        <v>2739</v>
      </c>
      <c r="F242" s="72" t="s">
        <v>2739</v>
      </c>
      <c r="G242" s="72" t="s">
        <v>2740</v>
      </c>
      <c r="H242" s="72" t="s">
        <v>2739</v>
      </c>
      <c r="I242" s="72" t="s">
        <v>2315</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3390</v>
      </c>
      <c r="BR242" s="72" t="s">
        <v>2739</v>
      </c>
    </row>
    <row r="243" spans="1:70">
      <c r="A243" s="72" t="s">
        <v>1886</v>
      </c>
      <c r="B243" s="72" t="s">
        <v>3391</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3392</v>
      </c>
      <c r="BR243" s="72" t="s">
        <v>2739</v>
      </c>
    </row>
    <row r="244" spans="1:70">
      <c r="A244" s="72" t="s">
        <v>1886</v>
      </c>
      <c r="B244" s="72" t="s">
        <v>3393</v>
      </c>
      <c r="C244" s="72" t="s">
        <v>2744</v>
      </c>
      <c r="D244" s="72" t="s">
        <v>2739</v>
      </c>
      <c r="E244" s="72" t="s">
        <v>2739</v>
      </c>
      <c r="F244" s="72" t="s">
        <v>2739</v>
      </c>
      <c r="G244" s="72" t="s">
        <v>2740</v>
      </c>
      <c r="H244" s="72" t="s">
        <v>2739</v>
      </c>
      <c r="I244" s="72" t="s">
        <v>108</v>
      </c>
      <c r="J244" s="72" t="s">
        <v>3394</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3395</v>
      </c>
      <c r="BR244" s="72" t="s">
        <v>2749</v>
      </c>
    </row>
    <row r="245" spans="1:70">
      <c r="A245" s="72" t="s">
        <v>1886</v>
      </c>
      <c r="B245" s="72" t="s">
        <v>3396</v>
      </c>
      <c r="C245" s="72" t="s">
        <v>2764</v>
      </c>
      <c r="D245" s="72" t="s">
        <v>2739</v>
      </c>
      <c r="E245" s="72" t="s">
        <v>2739</v>
      </c>
      <c r="F245" s="72" t="s">
        <v>2739</v>
      </c>
      <c r="G245" s="72" t="s">
        <v>2740</v>
      </c>
      <c r="H245" s="72" t="s">
        <v>2739</v>
      </c>
      <c r="I245" s="72" t="s">
        <v>108</v>
      </c>
      <c r="J245" s="72" t="s">
        <v>3397</v>
      </c>
      <c r="K245" s="72" t="s">
        <v>2747</v>
      </c>
      <c r="L245" s="72" t="s">
        <v>2315</v>
      </c>
      <c r="M245" s="72" t="s">
        <v>3397</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3398</v>
      </c>
      <c r="BR245" s="72" t="s">
        <v>2749</v>
      </c>
    </row>
    <row r="246" spans="1:70">
      <c r="A246" s="72" t="s">
        <v>1886</v>
      </c>
      <c r="B246" s="72" t="s">
        <v>3399</v>
      </c>
      <c r="C246" s="72" t="s">
        <v>2849</v>
      </c>
      <c r="D246" s="72" t="s">
        <v>2739</v>
      </c>
      <c r="E246" s="72" t="s">
        <v>2739</v>
      </c>
      <c r="F246" s="72" t="s">
        <v>2739</v>
      </c>
      <c r="G246" s="72" t="s">
        <v>2740</v>
      </c>
      <c r="H246" s="72" t="s">
        <v>2739</v>
      </c>
      <c r="I246" s="72" t="s">
        <v>552</v>
      </c>
      <c r="J246" s="72" t="s">
        <v>3400</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3401</v>
      </c>
      <c r="BR246" s="72" t="s">
        <v>2739</v>
      </c>
    </row>
    <row r="247" spans="1:70">
      <c r="A247" s="72" t="s">
        <v>1886</v>
      </c>
      <c r="B247" s="72" t="s">
        <v>3402</v>
      </c>
      <c r="C247" s="72" t="s">
        <v>2764</v>
      </c>
      <c r="D247" s="72" t="s">
        <v>2739</v>
      </c>
      <c r="E247" s="72" t="s">
        <v>2739</v>
      </c>
      <c r="F247" s="72" t="s">
        <v>2739</v>
      </c>
      <c r="G247" s="72" t="s">
        <v>2740</v>
      </c>
      <c r="H247" s="72" t="s">
        <v>2739</v>
      </c>
      <c r="I247" s="72" t="s">
        <v>2771</v>
      </c>
      <c r="J247" s="72" t="s">
        <v>3403</v>
      </c>
      <c r="K247" s="72" t="s">
        <v>2740</v>
      </c>
      <c r="L247" s="72" t="s">
        <v>108</v>
      </c>
      <c r="M247" s="72" t="s">
        <v>3404</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3405</v>
      </c>
      <c r="BR247" s="72" t="s">
        <v>2739</v>
      </c>
    </row>
    <row r="248" spans="1:70">
      <c r="A248" s="72" t="s">
        <v>1886</v>
      </c>
      <c r="B248" s="72" t="s">
        <v>3406</v>
      </c>
      <c r="C248" s="72" t="s">
        <v>2744</v>
      </c>
      <c r="D248" s="72" t="s">
        <v>2739</v>
      </c>
      <c r="E248" s="72" t="s">
        <v>2739</v>
      </c>
      <c r="F248" s="72" t="s">
        <v>2739</v>
      </c>
      <c r="G248" s="72" t="s">
        <v>2740</v>
      </c>
      <c r="H248" s="72" t="s">
        <v>2739</v>
      </c>
      <c r="I248" s="72" t="s">
        <v>108</v>
      </c>
      <c r="J248" s="72" t="s">
        <v>3407</v>
      </c>
      <c r="K248" s="72" t="s">
        <v>2740</v>
      </c>
      <c r="L248" s="72" t="s">
        <v>2315</v>
      </c>
      <c r="M248" s="72" t="s">
        <v>3407</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3408</v>
      </c>
      <c r="BR248" s="72" t="s">
        <v>2739</v>
      </c>
    </row>
    <row r="249" spans="1:70">
      <c r="A249" s="72" t="s">
        <v>1886</v>
      </c>
      <c r="B249" s="72" t="s">
        <v>3409</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3410</v>
      </c>
      <c r="BR249" s="72" t="s">
        <v>2739</v>
      </c>
    </row>
    <row r="250" spans="1:70">
      <c r="A250" s="72" t="s">
        <v>1887</v>
      </c>
      <c r="B250" s="72" t="s">
        <v>2465</v>
      </c>
      <c r="C250" s="72" t="s">
        <v>2465</v>
      </c>
      <c r="D250" s="72" t="s">
        <v>2739</v>
      </c>
      <c r="E250" s="72" t="s">
        <v>2739</v>
      </c>
      <c r="F250" s="72" t="s">
        <v>2739</v>
      </c>
      <c r="G250" s="72" t="s">
        <v>2740</v>
      </c>
      <c r="H250" s="72" t="s">
        <v>2739</v>
      </c>
      <c r="I250" s="72" t="s">
        <v>2254</v>
      </c>
      <c r="J250" s="72" t="s">
        <v>2489</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3411</v>
      </c>
      <c r="BR250" s="72" t="s">
        <v>2749</v>
      </c>
    </row>
    <row r="251" spans="1:70">
      <c r="A251" s="72" t="s">
        <v>1887</v>
      </c>
      <c r="B251" s="72" t="s">
        <v>3412</v>
      </c>
      <c r="C251" s="72" t="s">
        <v>2867</v>
      </c>
      <c r="D251" s="72" t="s">
        <v>2739</v>
      </c>
      <c r="E251" s="72" t="s">
        <v>2739</v>
      </c>
      <c r="F251" s="72" t="s">
        <v>2739</v>
      </c>
      <c r="G251" s="72" t="s">
        <v>2740</v>
      </c>
      <c r="H251" s="72" t="s">
        <v>2739</v>
      </c>
      <c r="I251" s="72" t="s">
        <v>108</v>
      </c>
      <c r="J251" s="72" t="s">
        <v>3413</v>
      </c>
      <c r="K251" s="72" t="s">
        <v>2740</v>
      </c>
      <c r="L251" s="72" t="s">
        <v>2315</v>
      </c>
      <c r="M251" s="72" t="s">
        <v>3413</v>
      </c>
      <c r="N251" s="72" t="s">
        <v>2740</v>
      </c>
      <c r="O251" s="72" t="s">
        <v>2243</v>
      </c>
      <c r="P251" s="72" t="s">
        <v>3413</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3414</v>
      </c>
      <c r="BR251" s="72" t="s">
        <v>2739</v>
      </c>
    </row>
    <row r="252" spans="1:70">
      <c r="A252" s="72" t="s">
        <v>1887</v>
      </c>
      <c r="B252" s="72" t="s">
        <v>3415</v>
      </c>
      <c r="C252" s="72" t="s">
        <v>2852</v>
      </c>
      <c r="D252" s="72" t="s">
        <v>2739</v>
      </c>
      <c r="E252" s="72" t="s">
        <v>2739</v>
      </c>
      <c r="F252" s="72" t="s">
        <v>2739</v>
      </c>
      <c r="G252" s="72" t="s">
        <v>2740</v>
      </c>
      <c r="H252" s="72" t="s">
        <v>2739</v>
      </c>
      <c r="I252" s="72" t="s">
        <v>2857</v>
      </c>
      <c r="J252" s="72" t="s">
        <v>3416</v>
      </c>
      <c r="K252" s="72" t="s">
        <v>2747</v>
      </c>
      <c r="L252" s="72" t="s">
        <v>108</v>
      </c>
      <c r="M252" s="72" t="s">
        <v>3417</v>
      </c>
      <c r="N252" s="72" t="s">
        <v>2747</v>
      </c>
      <c r="O252" s="72" t="s">
        <v>2783</v>
      </c>
      <c r="P252" s="72" t="s">
        <v>3417</v>
      </c>
      <c r="Q252" s="72" t="s">
        <v>2747</v>
      </c>
      <c r="R252" s="72" t="s">
        <v>552</v>
      </c>
      <c r="S252" s="72" t="s">
        <v>3417</v>
      </c>
      <c r="T252" s="72" t="s">
        <v>2747</v>
      </c>
      <c r="U252" s="72" t="s">
        <v>3418</v>
      </c>
      <c r="V252" s="72" t="s">
        <v>3417</v>
      </c>
      <c r="W252" s="72" t="s">
        <v>2747</v>
      </c>
      <c r="X252" s="72" t="s">
        <v>2979</v>
      </c>
      <c r="Y252" s="72" t="s">
        <v>3417</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3419</v>
      </c>
      <c r="BR252" s="72" t="s">
        <v>2749</v>
      </c>
    </row>
    <row r="253" spans="1:70">
      <c r="A253" s="72" t="s">
        <v>1887</v>
      </c>
      <c r="B253" s="72" t="s">
        <v>3420</v>
      </c>
      <c r="C253" s="72" t="s">
        <v>2881</v>
      </c>
      <c r="D253" s="72" t="s">
        <v>2739</v>
      </c>
      <c r="E253" s="72" t="s">
        <v>2739</v>
      </c>
      <c r="F253" s="72" t="s">
        <v>2739</v>
      </c>
      <c r="G253" s="72" t="s">
        <v>2740</v>
      </c>
      <c r="H253" s="72" t="s">
        <v>2739</v>
      </c>
      <c r="I253" s="72" t="s">
        <v>2783</v>
      </c>
      <c r="J253" s="72" t="s">
        <v>3421</v>
      </c>
      <c r="K253" s="72" t="s">
        <v>2740</v>
      </c>
      <c r="L253" s="72" t="s">
        <v>108</v>
      </c>
      <c r="M253" s="72" t="s">
        <v>3422</v>
      </c>
      <c r="N253" s="72" t="s">
        <v>2740</v>
      </c>
      <c r="O253" s="72" t="s">
        <v>2315</v>
      </c>
      <c r="P253" s="72" t="s">
        <v>3422</v>
      </c>
      <c r="Q253" s="72" t="s">
        <v>2740</v>
      </c>
      <c r="R253" s="72" t="s">
        <v>2771</v>
      </c>
      <c r="S253" s="72" t="s">
        <v>3422</v>
      </c>
      <c r="T253" s="72" t="s">
        <v>2740</v>
      </c>
      <c r="U253" s="72" t="s">
        <v>2857</v>
      </c>
      <c r="V253" s="72" t="s">
        <v>3422</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3423</v>
      </c>
      <c r="BR253" s="72" t="s">
        <v>2739</v>
      </c>
    </row>
    <row r="254" spans="1:70">
      <c r="A254" s="72" t="s">
        <v>1887</v>
      </c>
      <c r="B254" s="72" t="s">
        <v>3424</v>
      </c>
      <c r="C254" s="72" t="s">
        <v>2881</v>
      </c>
      <c r="D254" s="72" t="s">
        <v>2739</v>
      </c>
      <c r="E254" s="72" t="s">
        <v>2739</v>
      </c>
      <c r="F254" s="72" t="s">
        <v>2739</v>
      </c>
      <c r="G254" s="72" t="s">
        <v>2740</v>
      </c>
      <c r="H254" s="72" t="s">
        <v>2739</v>
      </c>
      <c r="I254" s="72" t="s">
        <v>2783</v>
      </c>
      <c r="J254" s="72" t="s">
        <v>3421</v>
      </c>
      <c r="K254" s="72" t="s">
        <v>2740</v>
      </c>
      <c r="L254" s="72" t="s">
        <v>108</v>
      </c>
      <c r="M254" s="72" t="s">
        <v>3422</v>
      </c>
      <c r="N254" s="72" t="s">
        <v>2740</v>
      </c>
      <c r="O254" s="72" t="s">
        <v>2315</v>
      </c>
      <c r="P254" s="72" t="s">
        <v>3422</v>
      </c>
      <c r="Q254" s="72" t="s">
        <v>2740</v>
      </c>
      <c r="R254" s="72" t="s">
        <v>2771</v>
      </c>
      <c r="S254" s="72" t="s">
        <v>3422</v>
      </c>
      <c r="T254" s="72" t="s">
        <v>2740</v>
      </c>
      <c r="U254" s="72" t="s">
        <v>2857</v>
      </c>
      <c r="V254" s="72" t="s">
        <v>3422</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3425</v>
      </c>
      <c r="BR254" s="72" t="s">
        <v>2739</v>
      </c>
    </row>
    <row r="255" spans="1:70">
      <c r="A255" s="72" t="s">
        <v>1887</v>
      </c>
      <c r="B255" s="72" t="s">
        <v>3426</v>
      </c>
      <c r="C255" s="72" t="s">
        <v>2738</v>
      </c>
      <c r="D255" s="72" t="s">
        <v>2739</v>
      </c>
      <c r="E255" s="72" t="s">
        <v>2739</v>
      </c>
      <c r="F255" s="72" t="s">
        <v>2739</v>
      </c>
      <c r="G255" s="72" t="s">
        <v>2740</v>
      </c>
      <c r="H255" s="72" t="s">
        <v>2739</v>
      </c>
      <c r="I255" s="72" t="s">
        <v>108</v>
      </c>
      <c r="J255" s="72" t="s">
        <v>3427</v>
      </c>
      <c r="K255" s="72" t="s">
        <v>2740</v>
      </c>
      <c r="L255" s="72" t="s">
        <v>2315</v>
      </c>
      <c r="M255" s="72" t="s">
        <v>3427</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3428</v>
      </c>
      <c r="BR255" s="72" t="s">
        <v>2739</v>
      </c>
    </row>
    <row r="256" spans="1:70">
      <c r="A256" s="72" t="s">
        <v>1887</v>
      </c>
      <c r="B256" s="72" t="s">
        <v>3429</v>
      </c>
      <c r="C256" s="72" t="s">
        <v>2867</v>
      </c>
      <c r="D256" s="72" t="s">
        <v>2739</v>
      </c>
      <c r="E256" s="72" t="s">
        <v>2739</v>
      </c>
      <c r="F256" s="72" t="s">
        <v>2739</v>
      </c>
      <c r="G256" s="72" t="s">
        <v>2740</v>
      </c>
      <c r="H256" s="72" t="s">
        <v>2739</v>
      </c>
      <c r="I256" s="72" t="s">
        <v>108</v>
      </c>
      <c r="J256" s="72" t="s">
        <v>3430</v>
      </c>
      <c r="K256" s="72" t="s">
        <v>2740</v>
      </c>
      <c r="L256" s="72" t="s">
        <v>2315</v>
      </c>
      <c r="M256" s="72" t="s">
        <v>3430</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3431</v>
      </c>
      <c r="BR256" s="72" t="s">
        <v>2739</v>
      </c>
    </row>
    <row r="257" spans="1:70">
      <c r="A257" s="72" t="s">
        <v>1887</v>
      </c>
      <c r="B257" s="72" t="s">
        <v>3432</v>
      </c>
      <c r="C257" s="72" t="s">
        <v>2881</v>
      </c>
      <c r="D257" s="72" t="s">
        <v>2739</v>
      </c>
      <c r="E257" s="72" t="s">
        <v>2739</v>
      </c>
      <c r="F257" s="72" t="s">
        <v>2739</v>
      </c>
      <c r="G257" s="72" t="s">
        <v>2740</v>
      </c>
      <c r="H257" s="72" t="s">
        <v>2739</v>
      </c>
      <c r="I257" s="72" t="s">
        <v>108</v>
      </c>
      <c r="J257" s="72" t="s">
        <v>3433</v>
      </c>
      <c r="K257" s="72" t="s">
        <v>2740</v>
      </c>
      <c r="L257" s="72" t="s">
        <v>2315</v>
      </c>
      <c r="M257" s="72" t="s">
        <v>3433</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3434</v>
      </c>
      <c r="BR257" s="72" t="s">
        <v>2739</v>
      </c>
    </row>
    <row r="258" spans="1:70">
      <c r="A258" s="72" t="s">
        <v>1887</v>
      </c>
      <c r="B258" s="72" t="s">
        <v>3435</v>
      </c>
      <c r="C258" s="72" t="s">
        <v>2751</v>
      </c>
      <c r="D258" s="72" t="s">
        <v>2739</v>
      </c>
      <c r="E258" s="72" t="s">
        <v>2739</v>
      </c>
      <c r="F258" s="72" t="s">
        <v>2739</v>
      </c>
      <c r="G258" s="72" t="s">
        <v>2740</v>
      </c>
      <c r="H258" s="72" t="s">
        <v>2739</v>
      </c>
      <c r="I258" s="72" t="s">
        <v>108</v>
      </c>
      <c r="J258" s="72" t="s">
        <v>3436</v>
      </c>
      <c r="K258" s="72" t="s">
        <v>2747</v>
      </c>
      <c r="L258" s="72" t="s">
        <v>2315</v>
      </c>
      <c r="M258" s="72" t="s">
        <v>3436</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3437</v>
      </c>
      <c r="BR258" s="72" t="s">
        <v>2749</v>
      </c>
    </row>
    <row r="259" spans="1:70">
      <c r="A259" s="72" t="s">
        <v>1887</v>
      </c>
      <c r="B259" s="72" t="s">
        <v>3438</v>
      </c>
      <c r="C259" s="72" t="s">
        <v>2867</v>
      </c>
      <c r="D259" s="72" t="s">
        <v>2739</v>
      </c>
      <c r="E259" s="72" t="s">
        <v>2739</v>
      </c>
      <c r="F259" s="72" t="s">
        <v>2739</v>
      </c>
      <c r="G259" s="72" t="s">
        <v>2740</v>
      </c>
      <c r="H259" s="72" t="s">
        <v>2739</v>
      </c>
      <c r="I259" s="72" t="s">
        <v>108</v>
      </c>
      <c r="J259" s="72" t="s">
        <v>3439</v>
      </c>
      <c r="K259" s="72" t="s">
        <v>2747</v>
      </c>
      <c r="L259" s="72" t="s">
        <v>2315</v>
      </c>
      <c r="M259" s="72" t="s">
        <v>3439</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3440</v>
      </c>
      <c r="BR259" s="72" t="s">
        <v>2749</v>
      </c>
    </row>
    <row r="260" spans="1:70">
      <c r="A260" s="72" t="s">
        <v>1887</v>
      </c>
      <c r="B260" s="72" t="s">
        <v>3441</v>
      </c>
      <c r="C260" s="72" t="s">
        <v>3048</v>
      </c>
      <c r="D260" s="72" t="s">
        <v>2739</v>
      </c>
      <c r="E260" s="72" t="s">
        <v>2739</v>
      </c>
      <c r="F260" s="72" t="s">
        <v>2739</v>
      </c>
      <c r="G260" s="72" t="s">
        <v>2740</v>
      </c>
      <c r="H260" s="72" t="s">
        <v>2739</v>
      </c>
      <c r="I260" s="72" t="s">
        <v>108</v>
      </c>
      <c r="J260" s="72" t="s">
        <v>3442</v>
      </c>
      <c r="K260" s="72" t="s">
        <v>2747</v>
      </c>
      <c r="L260" s="72" t="s">
        <v>2315</v>
      </c>
      <c r="M260" s="72" t="s">
        <v>3442</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3443</v>
      </c>
      <c r="BR260" s="72" t="s">
        <v>2749</v>
      </c>
    </row>
    <row r="261" spans="1:70">
      <c r="A261" s="72" t="s">
        <v>1887</v>
      </c>
      <c r="B261" s="72" t="s">
        <v>3444</v>
      </c>
      <c r="C261" s="72" t="s">
        <v>2751</v>
      </c>
      <c r="D261" s="72" t="s">
        <v>2739</v>
      </c>
      <c r="E261" s="72" t="s">
        <v>2739</v>
      </c>
      <c r="F261" s="72" t="s">
        <v>2739</v>
      </c>
      <c r="G261" s="72" t="s">
        <v>2740</v>
      </c>
      <c r="H261" s="72" t="s">
        <v>2739</v>
      </c>
      <c r="I261" s="72" t="s">
        <v>108</v>
      </c>
      <c r="J261" s="72" t="s">
        <v>3445</v>
      </c>
      <c r="K261" s="72" t="s">
        <v>2747</v>
      </c>
      <c r="L261" s="72" t="s">
        <v>2315</v>
      </c>
      <c r="M261" s="72" t="s">
        <v>3445</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3446</v>
      </c>
      <c r="BR261" s="72" t="s">
        <v>2749</v>
      </c>
    </row>
    <row r="262" spans="1:70">
      <c r="A262" s="72" t="s">
        <v>1887</v>
      </c>
      <c r="B262" s="72" t="s">
        <v>3447</v>
      </c>
      <c r="C262" s="72" t="s">
        <v>2849</v>
      </c>
      <c r="D262" s="72" t="s">
        <v>2739</v>
      </c>
      <c r="E262" s="72" t="s">
        <v>2739</v>
      </c>
      <c r="F262" s="72" t="s">
        <v>2739</v>
      </c>
      <c r="G262" s="72" t="s">
        <v>2740</v>
      </c>
      <c r="H262" s="72" t="s">
        <v>2739</v>
      </c>
      <c r="I262" s="72" t="s">
        <v>2932</v>
      </c>
      <c r="J262" s="72" t="s">
        <v>3448</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3449</v>
      </c>
      <c r="BR262" s="72" t="s">
        <v>2739</v>
      </c>
    </row>
    <row r="263" spans="1:70">
      <c r="A263" s="72" t="s">
        <v>1887</v>
      </c>
      <c r="B263" s="72" t="s">
        <v>3450</v>
      </c>
      <c r="C263" s="72" t="s">
        <v>2738</v>
      </c>
      <c r="D263" s="72" t="s">
        <v>2739</v>
      </c>
      <c r="E263" s="72" t="s">
        <v>2739</v>
      </c>
      <c r="F263" s="72" t="s">
        <v>2739</v>
      </c>
      <c r="G263" s="72" t="s">
        <v>2740</v>
      </c>
      <c r="H263" s="72" t="s">
        <v>2739</v>
      </c>
      <c r="I263" s="72" t="s">
        <v>2771</v>
      </c>
      <c r="J263" s="72" t="s">
        <v>3451</v>
      </c>
      <c r="K263" s="72" t="s">
        <v>2740</v>
      </c>
      <c r="L263" s="72" t="s">
        <v>2857</v>
      </c>
      <c r="M263" s="72" t="s">
        <v>3452</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3453</v>
      </c>
      <c r="BR263" s="72" t="s">
        <v>2739</v>
      </c>
    </row>
    <row r="264" spans="1:70">
      <c r="A264" s="72" t="s">
        <v>1887</v>
      </c>
      <c r="B264" s="72" t="s">
        <v>3454</v>
      </c>
      <c r="C264" s="72" t="s">
        <v>2759</v>
      </c>
      <c r="D264" s="72" t="s">
        <v>2739</v>
      </c>
      <c r="E264" s="72" t="s">
        <v>2739</v>
      </c>
      <c r="F264" s="72" t="s">
        <v>2739</v>
      </c>
      <c r="G264" s="72" t="s">
        <v>2740</v>
      </c>
      <c r="H264" s="72" t="s">
        <v>2739</v>
      </c>
      <c r="I264" s="72" t="s">
        <v>108</v>
      </c>
      <c r="J264" s="72" t="s">
        <v>3455</v>
      </c>
      <c r="K264" s="72" t="s">
        <v>2740</v>
      </c>
      <c r="L264" s="72" t="s">
        <v>2857</v>
      </c>
      <c r="M264" s="72" t="s">
        <v>3455</v>
      </c>
      <c r="N264" s="72" t="s">
        <v>2740</v>
      </c>
      <c r="O264" s="72" t="s">
        <v>2783</v>
      </c>
      <c r="P264" s="72" t="s">
        <v>3455</v>
      </c>
      <c r="Q264" s="72" t="s">
        <v>2740</v>
      </c>
      <c r="R264" s="72" t="s">
        <v>552</v>
      </c>
      <c r="S264" s="72" t="s">
        <v>3455</v>
      </c>
      <c r="T264" s="72" t="s">
        <v>2740</v>
      </c>
      <c r="U264" s="72" t="s">
        <v>3418</v>
      </c>
      <c r="V264" s="72" t="s">
        <v>3455</v>
      </c>
      <c r="W264" s="72" t="s">
        <v>2740</v>
      </c>
      <c r="X264" s="72" t="s">
        <v>2979</v>
      </c>
      <c r="Y264" s="72" t="s">
        <v>3455</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3456</v>
      </c>
      <c r="BR264" s="72" t="s">
        <v>2739</v>
      </c>
    </row>
    <row r="265" spans="1:70">
      <c r="A265" s="72" t="s">
        <v>1887</v>
      </c>
      <c r="B265" s="72" t="s">
        <v>3457</v>
      </c>
      <c r="C265" s="72" t="s">
        <v>2744</v>
      </c>
      <c r="D265" s="72" t="s">
        <v>2739</v>
      </c>
      <c r="E265" s="72" t="s">
        <v>2739</v>
      </c>
      <c r="F265" s="72" t="s">
        <v>2739</v>
      </c>
      <c r="G265" s="72" t="s">
        <v>2740</v>
      </c>
      <c r="H265" s="72" t="s">
        <v>2739</v>
      </c>
      <c r="I265" s="72" t="s">
        <v>2745</v>
      </c>
      <c r="J265" s="72" t="s">
        <v>3448</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3458</v>
      </c>
      <c r="BR265" s="72" t="s">
        <v>2739</v>
      </c>
    </row>
    <row r="266" spans="1:70">
      <c r="A266" s="72" t="s">
        <v>1887</v>
      </c>
      <c r="B266" s="72" t="s">
        <v>3459</v>
      </c>
      <c r="C266" s="72" t="s">
        <v>3048</v>
      </c>
      <c r="D266" s="72" t="s">
        <v>2739</v>
      </c>
      <c r="E266" s="72" t="s">
        <v>2739</v>
      </c>
      <c r="F266" s="72" t="s">
        <v>2739</v>
      </c>
      <c r="G266" s="72" t="s">
        <v>2740</v>
      </c>
      <c r="H266" s="72" t="s">
        <v>2739</v>
      </c>
      <c r="I266" s="72" t="s">
        <v>2745</v>
      </c>
      <c r="J266" s="72" t="s">
        <v>3448</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3460</v>
      </c>
      <c r="BR266" s="72" t="s">
        <v>2739</v>
      </c>
    </row>
    <row r="267" spans="1:70">
      <c r="A267" s="72" t="s">
        <v>1887</v>
      </c>
      <c r="B267" s="72" t="s">
        <v>3461</v>
      </c>
      <c r="C267" s="72" t="s">
        <v>2744</v>
      </c>
      <c r="D267" s="72" t="s">
        <v>2739</v>
      </c>
      <c r="E267" s="72" t="s">
        <v>2739</v>
      </c>
      <c r="F267" s="72" t="s">
        <v>2739</v>
      </c>
      <c r="G267" s="72" t="s">
        <v>2740</v>
      </c>
      <c r="H267" s="72" t="s">
        <v>2739</v>
      </c>
      <c r="I267" s="72" t="s">
        <v>2564</v>
      </c>
      <c r="J267" s="72" t="s">
        <v>3462</v>
      </c>
      <c r="K267" s="72" t="s">
        <v>2740</v>
      </c>
      <c r="L267" s="72" t="s">
        <v>2284</v>
      </c>
      <c r="M267" s="72" t="s">
        <v>3462</v>
      </c>
      <c r="N267" s="72" t="s">
        <v>2740</v>
      </c>
      <c r="O267" s="72" t="s">
        <v>2771</v>
      </c>
      <c r="P267" s="72" t="s">
        <v>3463</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3464</v>
      </c>
      <c r="BR267" s="72" t="s">
        <v>2739</v>
      </c>
    </row>
    <row r="268" spans="1:70">
      <c r="A268" s="72" t="s">
        <v>1887</v>
      </c>
      <c r="B268" s="72" t="s">
        <v>3465</v>
      </c>
      <c r="C268" s="72" t="s">
        <v>2764</v>
      </c>
      <c r="D268" s="72" t="s">
        <v>2739</v>
      </c>
      <c r="E268" s="72" t="s">
        <v>2739</v>
      </c>
      <c r="F268" s="72" t="s">
        <v>2739</v>
      </c>
      <c r="G268" s="72" t="s">
        <v>2740</v>
      </c>
      <c r="H268" s="72" t="s">
        <v>2739</v>
      </c>
      <c r="I268" s="72" t="s">
        <v>2745</v>
      </c>
      <c r="J268" s="72" t="s">
        <v>3448</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3466</v>
      </c>
      <c r="BR268" s="72" t="s">
        <v>2739</v>
      </c>
    </row>
    <row r="269" spans="1:70">
      <c r="A269" s="72" t="s">
        <v>1887</v>
      </c>
      <c r="B269" s="72" t="s">
        <v>3467</v>
      </c>
      <c r="C269" s="72" t="s">
        <v>2744</v>
      </c>
      <c r="D269" s="72" t="s">
        <v>2739</v>
      </c>
      <c r="E269" s="72" t="s">
        <v>2739</v>
      </c>
      <c r="F269" s="72" t="s">
        <v>2739</v>
      </c>
      <c r="G269" s="72" t="s">
        <v>2740</v>
      </c>
      <c r="H269" s="72" t="s">
        <v>2739</v>
      </c>
      <c r="I269" s="72" t="s">
        <v>2745</v>
      </c>
      <c r="J269" s="72" t="s">
        <v>3448</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3468</v>
      </c>
      <c r="BR269" s="72" t="s">
        <v>2739</v>
      </c>
    </row>
    <row r="270" spans="1:70">
      <c r="A270" s="72" t="s">
        <v>1887</v>
      </c>
      <c r="B270" s="72" t="s">
        <v>3469</v>
      </c>
      <c r="C270" s="72" t="s">
        <v>2802</v>
      </c>
      <c r="D270" s="72" t="s">
        <v>2739</v>
      </c>
      <c r="E270" s="72" t="s">
        <v>2739</v>
      </c>
      <c r="F270" s="72" t="s">
        <v>2739</v>
      </c>
      <c r="G270" s="72" t="s">
        <v>2740</v>
      </c>
      <c r="H270" s="72" t="s">
        <v>2739</v>
      </c>
      <c r="I270" s="72" t="s">
        <v>2745</v>
      </c>
      <c r="J270" s="72" t="s">
        <v>3448</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3470</v>
      </c>
      <c r="BR270" s="72" t="s">
        <v>2739</v>
      </c>
    </row>
    <row r="271" spans="1:70">
      <c r="A271" s="72" t="s">
        <v>1887</v>
      </c>
      <c r="B271" s="72" t="s">
        <v>3471</v>
      </c>
      <c r="C271" s="72" t="s">
        <v>2764</v>
      </c>
      <c r="D271" s="72" t="s">
        <v>2739</v>
      </c>
      <c r="E271" s="72" t="s">
        <v>2739</v>
      </c>
      <c r="F271" s="72" t="s">
        <v>2739</v>
      </c>
      <c r="G271" s="72" t="s">
        <v>2740</v>
      </c>
      <c r="H271" s="72" t="s">
        <v>2739</v>
      </c>
      <c r="I271" s="72" t="s">
        <v>2745</v>
      </c>
      <c r="J271" s="72" t="s">
        <v>3448</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3472</v>
      </c>
      <c r="BR271" s="72" t="s">
        <v>2739</v>
      </c>
    </row>
    <row r="272" spans="1:70">
      <c r="A272" s="72" t="s">
        <v>1887</v>
      </c>
      <c r="B272" s="72" t="s">
        <v>3473</v>
      </c>
      <c r="C272" s="72" t="s">
        <v>2764</v>
      </c>
      <c r="D272" s="72" t="s">
        <v>2739</v>
      </c>
      <c r="E272" s="72" t="s">
        <v>2739</v>
      </c>
      <c r="F272" s="72" t="s">
        <v>2739</v>
      </c>
      <c r="G272" s="72" t="s">
        <v>2740</v>
      </c>
      <c r="H272" s="72" t="s">
        <v>2739</v>
      </c>
      <c r="I272" s="72" t="s">
        <v>2745</v>
      </c>
      <c r="J272" s="72" t="s">
        <v>3448</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3474</v>
      </c>
      <c r="BR272" s="72" t="s">
        <v>2739</v>
      </c>
    </row>
    <row r="273" spans="1:70">
      <c r="A273" s="72" t="s">
        <v>1887</v>
      </c>
      <c r="B273" s="72" t="s">
        <v>3475</v>
      </c>
      <c r="C273" s="72" t="s">
        <v>2867</v>
      </c>
      <c r="D273" s="72" t="s">
        <v>2739</v>
      </c>
      <c r="E273" s="72" t="s">
        <v>2739</v>
      </c>
      <c r="F273" s="72" t="s">
        <v>2739</v>
      </c>
      <c r="G273" s="72" t="s">
        <v>2740</v>
      </c>
      <c r="H273" s="72" t="s">
        <v>2739</v>
      </c>
      <c r="I273" s="72" t="s">
        <v>2745</v>
      </c>
      <c r="J273" s="72" t="s">
        <v>3448</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3476</v>
      </c>
      <c r="BR273" s="72" t="s">
        <v>2739</v>
      </c>
    </row>
    <row r="274" spans="1:70">
      <c r="A274" s="72" t="s">
        <v>1887</v>
      </c>
      <c r="B274" s="72" t="s">
        <v>3477</v>
      </c>
      <c r="C274" s="72" t="s">
        <v>2751</v>
      </c>
      <c r="D274" s="72" t="s">
        <v>2739</v>
      </c>
      <c r="E274" s="72" t="s">
        <v>2739</v>
      </c>
      <c r="F274" s="72" t="s">
        <v>2739</v>
      </c>
      <c r="G274" s="72" t="s">
        <v>2740</v>
      </c>
      <c r="H274" s="72" t="s">
        <v>2739</v>
      </c>
      <c r="I274" s="72" t="s">
        <v>2745</v>
      </c>
      <c r="J274" s="72" t="s">
        <v>3448</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3478</v>
      </c>
      <c r="BR274" s="72" t="s">
        <v>2739</v>
      </c>
    </row>
    <row r="275" spans="1:70">
      <c r="A275" s="72" t="s">
        <v>1887</v>
      </c>
      <c r="B275" s="72" t="s">
        <v>3479</v>
      </c>
      <c r="C275" s="72" t="s">
        <v>2881</v>
      </c>
      <c r="D275" s="72" t="s">
        <v>2739</v>
      </c>
      <c r="E275" s="72" t="s">
        <v>2739</v>
      </c>
      <c r="F275" s="72" t="s">
        <v>2739</v>
      </c>
      <c r="G275" s="72" t="s">
        <v>2740</v>
      </c>
      <c r="H275" s="72" t="s">
        <v>2739</v>
      </c>
      <c r="I275" s="72" t="s">
        <v>2745</v>
      </c>
      <c r="J275" s="72" t="s">
        <v>3448</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3480</v>
      </c>
      <c r="BR275" s="72" t="s">
        <v>2739</v>
      </c>
    </row>
    <row r="276" spans="1:70">
      <c r="A276" s="72" t="s">
        <v>1887</v>
      </c>
      <c r="B276" s="72" t="s">
        <v>3481</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3482</v>
      </c>
      <c r="BR276" s="72" t="s">
        <v>2739</v>
      </c>
    </row>
    <row r="277" spans="1:70">
      <c r="A277" s="72" t="s">
        <v>1887</v>
      </c>
      <c r="B277" s="72" t="s">
        <v>3483</v>
      </c>
      <c r="C277" s="72" t="s">
        <v>2759</v>
      </c>
      <c r="D277" s="72" t="s">
        <v>2739</v>
      </c>
      <c r="E277" s="72" t="s">
        <v>2739</v>
      </c>
      <c r="F277" s="72" t="s">
        <v>2739</v>
      </c>
      <c r="G277" s="72" t="s">
        <v>2740</v>
      </c>
      <c r="H277" s="72" t="s">
        <v>2739</v>
      </c>
      <c r="I277" s="72" t="s">
        <v>1215</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3484</v>
      </c>
      <c r="BR277" s="72" t="s">
        <v>2739</v>
      </c>
    </row>
    <row r="278" spans="1:70">
      <c r="A278" s="72" t="s">
        <v>1887</v>
      </c>
      <c r="B278" s="72" t="s">
        <v>3485</v>
      </c>
      <c r="C278" s="72" t="s">
        <v>2759</v>
      </c>
      <c r="D278" s="72" t="s">
        <v>2739</v>
      </c>
      <c r="E278" s="72" t="s">
        <v>2739</v>
      </c>
      <c r="F278" s="72" t="s">
        <v>2739</v>
      </c>
      <c r="G278" s="72" t="s">
        <v>2740</v>
      </c>
      <c r="H278" s="72" t="s">
        <v>2739</v>
      </c>
      <c r="I278" s="72" t="s">
        <v>2284</v>
      </c>
      <c r="J278" s="72" t="s">
        <v>3486</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3487</v>
      </c>
      <c r="BR278" s="72" t="s">
        <v>2739</v>
      </c>
    </row>
    <row r="279" spans="1:70">
      <c r="A279" s="72" t="s">
        <v>1887</v>
      </c>
      <c r="B279" s="72" t="s">
        <v>3488</v>
      </c>
      <c r="C279" s="72" t="s">
        <v>2849</v>
      </c>
      <c r="D279" s="72" t="s">
        <v>2739</v>
      </c>
      <c r="E279" s="72" t="s">
        <v>2739</v>
      </c>
      <c r="F279" s="72" t="s">
        <v>2739</v>
      </c>
      <c r="G279" s="72" t="s">
        <v>2740</v>
      </c>
      <c r="H279" s="72" t="s">
        <v>2739</v>
      </c>
      <c r="I279" s="72" t="s">
        <v>108</v>
      </c>
      <c r="J279" s="72" t="s">
        <v>3303</v>
      </c>
      <c r="K279" s="72" t="s">
        <v>2740</v>
      </c>
      <c r="L279" s="72" t="s">
        <v>2315</v>
      </c>
      <c r="M279" s="72" t="s">
        <v>3303</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3489</v>
      </c>
      <c r="BR279" s="72" t="s">
        <v>2739</v>
      </c>
    </row>
    <row r="280" spans="1:70">
      <c r="A280" s="72" t="s">
        <v>1887</v>
      </c>
      <c r="B280" s="72" t="s">
        <v>3490</v>
      </c>
      <c r="C280" s="72" t="s">
        <v>2764</v>
      </c>
      <c r="D280" s="72" t="s">
        <v>2739</v>
      </c>
      <c r="E280" s="72" t="s">
        <v>2739</v>
      </c>
      <c r="F280" s="72" t="s">
        <v>2739</v>
      </c>
      <c r="G280" s="72" t="s">
        <v>2740</v>
      </c>
      <c r="H280" s="72" t="s">
        <v>2739</v>
      </c>
      <c r="I280" s="72" t="s">
        <v>2745</v>
      </c>
      <c r="J280" s="72" t="s">
        <v>3448</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3491</v>
      </c>
      <c r="BR280" s="72" t="s">
        <v>2739</v>
      </c>
    </row>
    <row r="281" spans="1:70">
      <c r="A281" s="72" t="s">
        <v>1887</v>
      </c>
      <c r="B281" s="72" t="s">
        <v>3492</v>
      </c>
      <c r="C281" s="72" t="s">
        <v>2764</v>
      </c>
      <c r="D281" s="72" t="s">
        <v>2739</v>
      </c>
      <c r="E281" s="72" t="s">
        <v>2739</v>
      </c>
      <c r="F281" s="72" t="s">
        <v>2739</v>
      </c>
      <c r="G281" s="72" t="s">
        <v>3493</v>
      </c>
      <c r="H281" s="72" t="s">
        <v>2739</v>
      </c>
      <c r="I281" s="72" t="s">
        <v>3494</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AU2:AU382 AR2:AR382 AO2:AO382 AL2:AL382 AI2:AI382 AF2:AF382 AC2:AC382 Z2:Z382 W2:W382 T2:T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I2:I382 L2:L382 O2:O382 R2:R382 U2:U382 X2:X382 AA2:AA382 AD2:AD382 AG2:AG382 AJ2:AJ382 AM2:AM382 AP2:AP382 AS2:AS382 AV2:AV382 AY2:AY382 BB2:BB382 BE2:BE382 BH2:BH382 BK2:BK382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I43" sqref="I4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1888</v>
      </c>
      <c r="B2" s="72" t="s">
        <v>2241</v>
      </c>
      <c r="C2" s="72" t="s">
        <v>2242</v>
      </c>
      <c r="D2" s="72" t="s">
        <v>2739</v>
      </c>
      <c r="E2" s="72" t="s">
        <v>2739</v>
      </c>
      <c r="F2" s="72" t="s">
        <v>2739</v>
      </c>
      <c r="G2" s="72" t="s">
        <v>2740</v>
      </c>
      <c r="H2" s="72" t="s">
        <v>2739</v>
      </c>
      <c r="I2" s="72" t="s">
        <v>2243</v>
      </c>
      <c r="J2" s="72" t="s">
        <v>2246</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3495</v>
      </c>
      <c r="BR2" s="72" t="s">
        <v>2749</v>
      </c>
    </row>
    <row r="3" spans="1:70">
      <c r="A3" s="72" t="s">
        <v>1888</v>
      </c>
      <c r="B3" s="72" t="s">
        <v>2276</v>
      </c>
      <c r="C3" s="72" t="s">
        <v>2277</v>
      </c>
      <c r="D3" s="72" t="s">
        <v>2739</v>
      </c>
      <c r="E3" s="72" t="s">
        <v>2739</v>
      </c>
      <c r="F3" s="72" t="s">
        <v>2739</v>
      </c>
      <c r="G3" s="72" t="s">
        <v>2740</v>
      </c>
      <c r="H3" s="72" t="s">
        <v>2739</v>
      </c>
      <c r="I3" s="72" t="s">
        <v>552</v>
      </c>
      <c r="J3" s="72" t="s">
        <v>2279</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3496</v>
      </c>
      <c r="BR3" s="72" t="s">
        <v>2739</v>
      </c>
    </row>
    <row r="4" spans="1:70">
      <c r="A4" s="72" t="s">
        <v>1888</v>
      </c>
      <c r="B4" s="72" t="s">
        <v>3497</v>
      </c>
      <c r="C4" s="72" t="s">
        <v>2465</v>
      </c>
      <c r="D4" s="72" t="s">
        <v>2739</v>
      </c>
      <c r="E4" s="72" t="s">
        <v>2739</v>
      </c>
      <c r="F4" s="72" t="s">
        <v>2739</v>
      </c>
      <c r="G4" s="72" t="s">
        <v>2740</v>
      </c>
      <c r="H4" s="72" t="s">
        <v>2739</v>
      </c>
      <c r="I4" s="72" t="s">
        <v>1215</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3498</v>
      </c>
      <c r="BR4" s="72" t="s">
        <v>2739</v>
      </c>
    </row>
    <row r="5" spans="1:70">
      <c r="A5" s="72" t="s">
        <v>1888</v>
      </c>
      <c r="B5" s="72" t="s">
        <v>2309</v>
      </c>
      <c r="C5" s="72" t="s">
        <v>2739</v>
      </c>
      <c r="D5" s="72" t="s">
        <v>2739</v>
      </c>
      <c r="E5" s="72" t="s">
        <v>2739</v>
      </c>
      <c r="F5" s="72" t="s">
        <v>2739</v>
      </c>
      <c r="G5" s="72" t="s">
        <v>2740</v>
      </c>
      <c r="H5" s="72" t="s">
        <v>2739</v>
      </c>
      <c r="I5" s="72" t="s">
        <v>1215</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3499</v>
      </c>
      <c r="BR5" s="72" t="s">
        <v>2739</v>
      </c>
    </row>
    <row r="6" spans="1:70">
      <c r="A6" s="72" t="s">
        <v>1888</v>
      </c>
      <c r="B6" s="72" t="s">
        <v>2312</v>
      </c>
      <c r="C6" s="72" t="s">
        <v>2242</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3500</v>
      </c>
      <c r="BR6" s="72" t="s">
        <v>2739</v>
      </c>
    </row>
    <row r="7" spans="1:70">
      <c r="A7" s="72" t="s">
        <v>1888</v>
      </c>
      <c r="B7" s="72" t="s">
        <v>2313</v>
      </c>
      <c r="C7" s="72" t="s">
        <v>2314</v>
      </c>
      <c r="D7" s="72" t="s">
        <v>2739</v>
      </c>
      <c r="E7" s="72" t="s">
        <v>2739</v>
      </c>
      <c r="F7" s="72" t="s">
        <v>2739</v>
      </c>
      <c r="G7" s="72" t="s">
        <v>2740</v>
      </c>
      <c r="H7" s="72" t="s">
        <v>2739</v>
      </c>
      <c r="I7" s="72" t="s">
        <v>2315</v>
      </c>
      <c r="J7" s="72" t="s">
        <v>2316</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3501</v>
      </c>
      <c r="BR7" s="72" t="s">
        <v>2749</v>
      </c>
    </row>
    <row r="8" spans="1:70">
      <c r="A8" s="72" t="s">
        <v>1888</v>
      </c>
      <c r="B8" s="72" t="s">
        <v>2317</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3502</v>
      </c>
      <c r="BR8" s="72" t="s">
        <v>2739</v>
      </c>
    </row>
    <row r="9" spans="1:70">
      <c r="A9" s="72" t="s">
        <v>1888</v>
      </c>
      <c r="B9" s="72" t="s">
        <v>3503</v>
      </c>
      <c r="C9" s="72" t="s">
        <v>2314</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3504</v>
      </c>
      <c r="BR9" s="72" t="s">
        <v>2739</v>
      </c>
    </row>
    <row r="10" spans="1:70">
      <c r="A10" s="72" t="s">
        <v>1888</v>
      </c>
      <c r="B10" s="72" t="s">
        <v>3505</v>
      </c>
      <c r="C10" s="72" t="s">
        <v>3506</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3507</v>
      </c>
      <c r="BR10" s="72" t="s">
        <v>2739</v>
      </c>
    </row>
    <row r="11" spans="1:70">
      <c r="A11" s="72" t="s">
        <v>1889</v>
      </c>
      <c r="B11" s="72" t="s">
        <v>3508</v>
      </c>
      <c r="C11" s="72" t="s">
        <v>3509</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3510</v>
      </c>
      <c r="BR11" s="72" t="s">
        <v>2739</v>
      </c>
    </row>
    <row r="12" spans="1:70">
      <c r="A12" s="72" t="s">
        <v>1889</v>
      </c>
      <c r="B12" s="72" t="s">
        <v>2319</v>
      </c>
      <c r="C12" s="72" t="s">
        <v>2249</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3511</v>
      </c>
      <c r="BR12" s="72" t="s">
        <v>2739</v>
      </c>
    </row>
    <row r="13" spans="1:70">
      <c r="A13" s="72" t="s">
        <v>1889</v>
      </c>
      <c r="B13" s="72" t="s">
        <v>2320</v>
      </c>
      <c r="C13" s="72" t="s">
        <v>2321</v>
      </c>
      <c r="D13" s="72" t="s">
        <v>2739</v>
      </c>
      <c r="E13" s="72" t="s">
        <v>2739</v>
      </c>
      <c r="F13" s="72" t="s">
        <v>2739</v>
      </c>
      <c r="G13" s="72" t="s">
        <v>2740</v>
      </c>
      <c r="H13" s="72" t="s">
        <v>2739</v>
      </c>
      <c r="I13" s="72" t="s">
        <v>108</v>
      </c>
      <c r="J13" s="72" t="s">
        <v>2322</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3512</v>
      </c>
      <c r="BR13" s="72" t="s">
        <v>2739</v>
      </c>
    </row>
    <row r="14" spans="1:70">
      <c r="A14" s="72" t="s">
        <v>1889</v>
      </c>
      <c r="B14" s="72" t="s">
        <v>2323</v>
      </c>
      <c r="C14" s="72" t="s">
        <v>2321</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3513</v>
      </c>
      <c r="BR14" s="72" t="s">
        <v>2739</v>
      </c>
    </row>
    <row r="15" spans="1:70">
      <c r="A15" s="72" t="s">
        <v>1889</v>
      </c>
      <c r="B15" s="72" t="s">
        <v>2464</v>
      </c>
      <c r="C15" s="72" t="s">
        <v>2465</v>
      </c>
      <c r="G15" s="72" t="s">
        <v>2740</v>
      </c>
      <c r="I15" s="72" t="s">
        <v>2254</v>
      </c>
    </row>
    <row r="16" spans="1:70">
      <c r="A16" s="72" t="s">
        <v>1889</v>
      </c>
      <c r="B16" s="72" t="s">
        <v>2324</v>
      </c>
      <c r="C16" s="72" t="s">
        <v>2325</v>
      </c>
      <c r="D16" s="72" t="s">
        <v>2739</v>
      </c>
      <c r="E16" s="72" t="s">
        <v>2739</v>
      </c>
      <c r="F16" s="72" t="s">
        <v>2739</v>
      </c>
      <c r="G16" s="72" t="s">
        <v>2740</v>
      </c>
      <c r="H16" s="72" t="s">
        <v>2739</v>
      </c>
      <c r="I16" s="72" t="s">
        <v>108</v>
      </c>
      <c r="J16" s="72" t="s">
        <v>2326</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3514</v>
      </c>
      <c r="BR16" s="72" t="s">
        <v>2739</v>
      </c>
    </row>
    <row r="17" spans="1:70">
      <c r="A17" s="72" t="s">
        <v>3515</v>
      </c>
      <c r="B17" s="72" t="s">
        <v>3516</v>
      </c>
      <c r="C17" s="72" t="s">
        <v>2282</v>
      </c>
      <c r="D17" s="72" t="s">
        <v>2739</v>
      </c>
      <c r="E17" s="72" t="s">
        <v>2739</v>
      </c>
      <c r="F17" s="72" t="s">
        <v>2739</v>
      </c>
      <c r="G17" s="72" t="s">
        <v>2740</v>
      </c>
      <c r="H17" s="72" t="s">
        <v>2739</v>
      </c>
      <c r="I17" s="72" t="s">
        <v>2783</v>
      </c>
      <c r="J17" s="72" t="s">
        <v>3517</v>
      </c>
      <c r="K17" s="72" t="s">
        <v>2747</v>
      </c>
      <c r="L17" s="72" t="s">
        <v>2771</v>
      </c>
      <c r="M17" s="72" t="s">
        <v>3517</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3518</v>
      </c>
      <c r="BR17" s="72" t="s">
        <v>2749</v>
      </c>
    </row>
    <row r="18" spans="1:70">
      <c r="A18" s="72" t="s">
        <v>3515</v>
      </c>
      <c r="B18" s="72" t="s">
        <v>2328</v>
      </c>
      <c r="C18" s="72" t="s">
        <v>2282</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3519</v>
      </c>
      <c r="BR18" s="72" t="s">
        <v>2739</v>
      </c>
    </row>
    <row r="19" spans="1:70">
      <c r="A19" s="72" t="s">
        <v>3515</v>
      </c>
      <c r="B19" s="72" t="s">
        <v>2281</v>
      </c>
      <c r="C19" s="72" t="s">
        <v>2282</v>
      </c>
      <c r="D19" s="72" t="s">
        <v>2739</v>
      </c>
      <c r="E19" s="72" t="s">
        <v>2739</v>
      </c>
      <c r="F19" s="72" t="s">
        <v>2739</v>
      </c>
      <c r="G19" s="72" t="s">
        <v>2740</v>
      </c>
      <c r="H19" s="72" t="s">
        <v>2739</v>
      </c>
      <c r="I19" s="72" t="s">
        <v>108</v>
      </c>
      <c r="J19" s="72" t="s">
        <v>2739</v>
      </c>
      <c r="K19" s="72" t="s">
        <v>2739</v>
      </c>
      <c r="L19" s="72" t="s">
        <v>2752</v>
      </c>
      <c r="M19" s="72" t="s">
        <v>2739</v>
      </c>
      <c r="N19" s="72" t="s">
        <v>2739</v>
      </c>
      <c r="O19" s="72" t="s">
        <v>2284</v>
      </c>
      <c r="P19" s="72" t="s">
        <v>2739</v>
      </c>
      <c r="Q19" s="72" t="s">
        <v>2739</v>
      </c>
      <c r="R19" s="72" t="s">
        <v>2627</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3520</v>
      </c>
      <c r="BR19" s="72" t="s">
        <v>2739</v>
      </c>
    </row>
    <row r="20" spans="1:70">
      <c r="A20" s="72" t="s">
        <v>3515</v>
      </c>
      <c r="B20" s="72" t="s">
        <v>2330</v>
      </c>
      <c r="C20" s="72" t="s">
        <v>2282</v>
      </c>
      <c r="D20" s="72" t="s">
        <v>2739</v>
      </c>
      <c r="E20" s="72" t="s">
        <v>2739</v>
      </c>
      <c r="F20" s="72" t="s">
        <v>2739</v>
      </c>
      <c r="G20" s="72" t="s">
        <v>2740</v>
      </c>
      <c r="H20" s="72" t="s">
        <v>2739</v>
      </c>
      <c r="I20" s="72" t="s">
        <v>108</v>
      </c>
      <c r="J20" s="72" t="s">
        <v>3521</v>
      </c>
      <c r="K20" s="72" t="s">
        <v>2740</v>
      </c>
      <c r="L20" s="72" t="s">
        <v>2771</v>
      </c>
      <c r="M20" s="72" t="s">
        <v>3521</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3522</v>
      </c>
      <c r="BR20" s="72" t="s">
        <v>2739</v>
      </c>
    </row>
    <row r="21" spans="1:70">
      <c r="A21" s="72" t="s">
        <v>3515</v>
      </c>
      <c r="B21" s="72" t="s">
        <v>3523</v>
      </c>
      <c r="C21" s="72" t="s">
        <v>2282</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3524</v>
      </c>
      <c r="BR21" s="72" t="s">
        <v>2739</v>
      </c>
    </row>
    <row r="22" spans="1:70">
      <c r="A22" s="72" t="s">
        <v>3515</v>
      </c>
      <c r="B22" s="72" t="s">
        <v>3525</v>
      </c>
      <c r="C22" s="72" t="s">
        <v>2282</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3526</v>
      </c>
      <c r="BR22" s="72" t="s">
        <v>2739</v>
      </c>
    </row>
    <row r="23" spans="1:70">
      <c r="A23" s="72" t="s">
        <v>3515</v>
      </c>
      <c r="B23" s="72" t="s">
        <v>2333</v>
      </c>
      <c r="C23" s="72" t="s">
        <v>2282</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3527</v>
      </c>
      <c r="BR23" s="72" t="s">
        <v>2739</v>
      </c>
    </row>
    <row r="24" spans="1:70">
      <c r="A24" s="72" t="s">
        <v>1895</v>
      </c>
      <c r="B24" s="72" t="s">
        <v>2286</v>
      </c>
      <c r="C24" s="72" t="s">
        <v>2287</v>
      </c>
      <c r="D24" s="72" t="s">
        <v>2739</v>
      </c>
      <c r="E24" s="72" t="s">
        <v>2739</v>
      </c>
      <c r="F24" s="72" t="s">
        <v>2739</v>
      </c>
      <c r="G24" s="72" t="s">
        <v>2740</v>
      </c>
      <c r="H24" s="72" t="s">
        <v>2739</v>
      </c>
      <c r="I24" s="72" t="s">
        <v>2783</v>
      </c>
      <c r="J24" s="72" t="s">
        <v>2739</v>
      </c>
      <c r="K24" s="72" t="s">
        <v>2739</v>
      </c>
      <c r="L24" s="72" t="s">
        <v>2284</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3528</v>
      </c>
      <c r="BR24" s="72" t="s">
        <v>2739</v>
      </c>
    </row>
    <row r="25" spans="1:70">
      <c r="A25" s="72" t="s">
        <v>1895</v>
      </c>
      <c r="B25" s="72" t="s">
        <v>3529</v>
      </c>
      <c r="C25" s="72" t="s">
        <v>2287</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3530</v>
      </c>
      <c r="BR25" s="72" t="s">
        <v>2739</v>
      </c>
    </row>
    <row r="26" spans="1:70">
      <c r="A26" s="72" t="s">
        <v>1895</v>
      </c>
      <c r="B26" s="72" t="s">
        <v>2335</v>
      </c>
      <c r="C26" s="72" t="s">
        <v>2336</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3531</v>
      </c>
      <c r="BR26" s="72" t="s">
        <v>2739</v>
      </c>
    </row>
    <row r="27" spans="1:70">
      <c r="A27" s="72" t="s">
        <v>1895</v>
      </c>
      <c r="B27" s="72" t="s">
        <v>2289</v>
      </c>
      <c r="C27" s="72" t="s">
        <v>2739</v>
      </c>
      <c r="D27" s="72" t="s">
        <v>2739</v>
      </c>
      <c r="E27" s="72" t="s">
        <v>2739</v>
      </c>
      <c r="F27" s="72" t="s">
        <v>2739</v>
      </c>
      <c r="G27" s="72" t="s">
        <v>2740</v>
      </c>
      <c r="H27" s="72" t="s">
        <v>2739</v>
      </c>
      <c r="I27" s="72" t="s">
        <v>552</v>
      </c>
      <c r="J27" s="72" t="s">
        <v>2290</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3532</v>
      </c>
      <c r="BR27" s="72" t="s">
        <v>2739</v>
      </c>
    </row>
    <row r="28" spans="1:70">
      <c r="A28" s="72" t="s">
        <v>1895</v>
      </c>
      <c r="B28" s="72" t="s">
        <v>2338</v>
      </c>
      <c r="C28" s="72" t="s">
        <v>2336</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3533</v>
      </c>
      <c r="BR28" s="72" t="s">
        <v>2739</v>
      </c>
    </row>
    <row r="29" spans="1:70">
      <c r="A29" s="72" t="s">
        <v>1895</v>
      </c>
      <c r="B29" s="72" t="s">
        <v>2340</v>
      </c>
      <c r="C29" s="72" t="s">
        <v>2341</v>
      </c>
      <c r="D29" s="72" t="s">
        <v>2739</v>
      </c>
      <c r="E29" s="72" t="s">
        <v>2739</v>
      </c>
      <c r="F29" s="72" t="s">
        <v>2739</v>
      </c>
      <c r="G29" s="72" t="s">
        <v>2740</v>
      </c>
      <c r="H29" s="72" t="s">
        <v>2739</v>
      </c>
      <c r="I29" s="72" t="s">
        <v>108</v>
      </c>
      <c r="J29" s="72" t="s">
        <v>2342</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3534</v>
      </c>
      <c r="BR29" s="72" t="s">
        <v>2749</v>
      </c>
    </row>
    <row r="30" spans="1:70">
      <c r="A30" s="72" t="s">
        <v>1895</v>
      </c>
      <c r="B30" s="72" t="s">
        <v>2343</v>
      </c>
      <c r="C30" s="72" t="s">
        <v>2341</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3535</v>
      </c>
      <c r="BR30" s="72" t="s">
        <v>2739</v>
      </c>
    </row>
    <row r="31" spans="1:70">
      <c r="A31" s="72" t="s">
        <v>1897</v>
      </c>
      <c r="B31" s="72" t="s">
        <v>2345</v>
      </c>
      <c r="C31" s="72" t="s">
        <v>2346</v>
      </c>
      <c r="D31" s="72" t="s">
        <v>2739</v>
      </c>
      <c r="E31" s="72" t="s">
        <v>2739</v>
      </c>
      <c r="F31" s="72" t="s">
        <v>2739</v>
      </c>
      <c r="G31" s="72" t="s">
        <v>2740</v>
      </c>
      <c r="H31" s="72" t="s">
        <v>2739</v>
      </c>
      <c r="I31" s="72" t="s">
        <v>108</v>
      </c>
      <c r="J31" s="72" t="s">
        <v>2347</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3536</v>
      </c>
      <c r="BR31" s="72" t="s">
        <v>2739</v>
      </c>
    </row>
    <row r="32" spans="1:70">
      <c r="A32" s="72" t="s">
        <v>1897</v>
      </c>
      <c r="B32" s="72" t="s">
        <v>2248</v>
      </c>
      <c r="C32" s="72" t="s">
        <v>2249</v>
      </c>
      <c r="D32" s="72" t="s">
        <v>2739</v>
      </c>
      <c r="E32" s="72" t="s">
        <v>2739</v>
      </c>
      <c r="F32" s="72" t="s">
        <v>2739</v>
      </c>
      <c r="G32" s="72" t="s">
        <v>2740</v>
      </c>
      <c r="H32" s="72" t="s">
        <v>2739</v>
      </c>
      <c r="I32" s="72" t="s">
        <v>2254</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3537</v>
      </c>
      <c r="BR32" s="72" t="s">
        <v>2739</v>
      </c>
    </row>
    <row r="33" spans="1:70">
      <c r="A33" s="72" t="s">
        <v>1897</v>
      </c>
      <c r="B33" s="72" t="s">
        <v>2253</v>
      </c>
      <c r="C33" s="72" t="s">
        <v>2249</v>
      </c>
      <c r="D33" s="72" t="s">
        <v>2739</v>
      </c>
      <c r="E33" s="72" t="s">
        <v>2739</v>
      </c>
      <c r="F33" s="72" t="s">
        <v>2739</v>
      </c>
      <c r="G33" s="72" t="s">
        <v>2740</v>
      </c>
      <c r="H33" s="72" t="s">
        <v>2739</v>
      </c>
      <c r="I33" s="72" t="s">
        <v>2254</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3538</v>
      </c>
      <c r="BR33" s="72" t="s">
        <v>2739</v>
      </c>
    </row>
    <row r="34" spans="1:70">
      <c r="A34" s="72" t="s">
        <v>1897</v>
      </c>
      <c r="B34" s="72" t="s">
        <v>2255</v>
      </c>
      <c r="C34" s="72" t="s">
        <v>2249</v>
      </c>
      <c r="D34" s="72" t="s">
        <v>2739</v>
      </c>
      <c r="E34" s="72" t="s">
        <v>2739</v>
      </c>
      <c r="F34" s="72" t="s">
        <v>2739</v>
      </c>
      <c r="G34" s="72" t="s">
        <v>2740</v>
      </c>
      <c r="H34" s="72" t="s">
        <v>2739</v>
      </c>
      <c r="I34" s="72" t="s">
        <v>2254</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3539</v>
      </c>
      <c r="BR34" s="72" t="s">
        <v>2739</v>
      </c>
    </row>
    <row r="35" spans="1:70">
      <c r="A35" s="72" t="s">
        <v>1897</v>
      </c>
      <c r="B35" s="72" t="s">
        <v>2256</v>
      </c>
      <c r="C35" s="72" t="s">
        <v>2257</v>
      </c>
      <c r="D35" s="72" t="s">
        <v>2739</v>
      </c>
      <c r="E35" s="72" t="s">
        <v>2739</v>
      </c>
      <c r="F35" s="72" t="s">
        <v>2739</v>
      </c>
      <c r="G35" s="72" t="s">
        <v>2740</v>
      </c>
      <c r="H35" s="72" t="s">
        <v>2739</v>
      </c>
      <c r="I35" s="72" t="s">
        <v>2254</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3540</v>
      </c>
      <c r="BR35" s="72" t="s">
        <v>2739</v>
      </c>
    </row>
    <row r="36" spans="1:70">
      <c r="A36" s="72" t="s">
        <v>1897</v>
      </c>
      <c r="B36" s="72" t="s">
        <v>2258</v>
      </c>
      <c r="C36" s="72" t="s">
        <v>2739</v>
      </c>
      <c r="D36" s="72" t="s">
        <v>2739</v>
      </c>
      <c r="E36" s="72" t="s">
        <v>2739</v>
      </c>
      <c r="F36" s="72" t="s">
        <v>2739</v>
      </c>
      <c r="G36" s="72" t="s">
        <v>2740</v>
      </c>
      <c r="H36" s="72" t="s">
        <v>2739</v>
      </c>
      <c r="I36" s="72" t="s">
        <v>2254</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3541</v>
      </c>
      <c r="BR36" s="72" t="s">
        <v>2739</v>
      </c>
    </row>
    <row r="37" spans="1:70">
      <c r="A37" s="72" t="s">
        <v>1897</v>
      </c>
      <c r="B37" s="72" t="s">
        <v>2259</v>
      </c>
      <c r="C37" s="72" t="s">
        <v>2739</v>
      </c>
      <c r="D37" s="72" t="s">
        <v>2739</v>
      </c>
      <c r="E37" s="72" t="s">
        <v>2739</v>
      </c>
      <c r="F37" s="72" t="s">
        <v>2739</v>
      </c>
      <c r="G37" s="72" t="s">
        <v>2740</v>
      </c>
      <c r="H37" s="72" t="s">
        <v>2739</v>
      </c>
      <c r="I37" s="72" t="s">
        <v>2254</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3542</v>
      </c>
      <c r="BR37" s="72" t="s">
        <v>2739</v>
      </c>
    </row>
    <row r="38" spans="1:70">
      <c r="A38" s="72" t="s">
        <v>1897</v>
      </c>
      <c r="B38" s="72" t="s">
        <v>2260</v>
      </c>
      <c r="C38" s="72" t="s">
        <v>2739</v>
      </c>
      <c r="D38" s="72" t="s">
        <v>2739</v>
      </c>
      <c r="E38" s="72" t="s">
        <v>2739</v>
      </c>
      <c r="F38" s="72" t="s">
        <v>2739</v>
      </c>
      <c r="G38" s="72" t="s">
        <v>2740</v>
      </c>
      <c r="H38" s="72" t="s">
        <v>2739</v>
      </c>
      <c r="I38" s="72" t="s">
        <v>2254</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3543</v>
      </c>
      <c r="BR38" s="72" t="s">
        <v>2739</v>
      </c>
    </row>
    <row r="39" spans="1:70">
      <c r="A39" s="72" t="s">
        <v>1899</v>
      </c>
      <c r="B39" s="72" t="s">
        <v>3544</v>
      </c>
      <c r="C39" s="72" t="s">
        <v>2351</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3545</v>
      </c>
      <c r="BR39" s="72" t="s">
        <v>2739</v>
      </c>
    </row>
    <row r="40" spans="1:70">
      <c r="A40" s="72" t="s">
        <v>1899</v>
      </c>
      <c r="B40" s="72" t="s">
        <v>2350</v>
      </c>
      <c r="C40" s="72" t="s">
        <v>2351</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3546</v>
      </c>
      <c r="BR40" s="72" t="s">
        <v>2739</v>
      </c>
    </row>
    <row r="41" spans="1:70">
      <c r="A41" s="72" t="s">
        <v>1899</v>
      </c>
      <c r="B41" s="72" t="s">
        <v>2581</v>
      </c>
      <c r="G41" s="72" t="s">
        <v>2740</v>
      </c>
      <c r="I41" s="72" t="s">
        <v>2583</v>
      </c>
      <c r="L41" s="72" t="s">
        <v>3547</v>
      </c>
    </row>
    <row r="42" spans="1:70">
      <c r="A42" s="72" t="s">
        <v>1899</v>
      </c>
      <c r="B42" s="72" t="s">
        <v>2352</v>
      </c>
      <c r="G42" s="72" t="s">
        <v>2740</v>
      </c>
      <c r="I42" s="72" t="s">
        <v>2783</v>
      </c>
      <c r="L42" s="72" t="s">
        <v>108</v>
      </c>
      <c r="O42" s="72" t="s">
        <v>2771</v>
      </c>
    </row>
    <row r="43" spans="1:70">
      <c r="A43" s="72" t="s">
        <v>1899</v>
      </c>
      <c r="B43" s="72" t="s">
        <v>3548</v>
      </c>
      <c r="G43" s="72" t="s">
        <v>2740</v>
      </c>
      <c r="I43" s="72" t="s">
        <v>2783</v>
      </c>
    </row>
    <row r="44" spans="1:70">
      <c r="A44" s="72" t="s">
        <v>1899</v>
      </c>
      <c r="B44" s="72" t="s">
        <v>2353</v>
      </c>
      <c r="C44" s="72" t="s">
        <v>2351</v>
      </c>
      <c r="D44" s="72" t="s">
        <v>2739</v>
      </c>
      <c r="E44" s="72" t="s">
        <v>2739</v>
      </c>
      <c r="F44" s="72" t="s">
        <v>2739</v>
      </c>
      <c r="G44" s="72" t="s">
        <v>2740</v>
      </c>
      <c r="H44" s="72" t="s">
        <v>2739</v>
      </c>
      <c r="I44" s="72" t="s">
        <v>108</v>
      </c>
      <c r="J44" s="72" t="s">
        <v>3549</v>
      </c>
      <c r="K44" s="72" t="s">
        <v>2747</v>
      </c>
      <c r="L44" s="72" t="s">
        <v>817</v>
      </c>
      <c r="M44" s="72" t="s">
        <v>3549</v>
      </c>
      <c r="N44" s="72" t="s">
        <v>2747</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3550</v>
      </c>
      <c r="BR44" s="72" t="s">
        <v>2749</v>
      </c>
    </row>
    <row r="45" spans="1:70">
      <c r="A45" s="72" t="s">
        <v>1899</v>
      </c>
      <c r="B45" s="72" t="s">
        <v>2469</v>
      </c>
      <c r="C45" s="72" t="s">
        <v>2465</v>
      </c>
      <c r="D45" s="72" t="s">
        <v>2739</v>
      </c>
      <c r="E45" s="72" t="s">
        <v>2739</v>
      </c>
      <c r="F45" s="72" t="s">
        <v>2739</v>
      </c>
      <c r="G45" s="72" t="s">
        <v>2740</v>
      </c>
      <c r="H45" s="72" t="s">
        <v>2739</v>
      </c>
      <c r="I45" s="72" t="s">
        <v>108</v>
      </c>
      <c r="J45" s="72" t="s">
        <v>2739</v>
      </c>
      <c r="K45" s="72" t="s">
        <v>2739</v>
      </c>
      <c r="L45" s="72" t="s">
        <v>3012</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3551</v>
      </c>
      <c r="BR45" s="72" t="s">
        <v>2739</v>
      </c>
    </row>
    <row r="46" spans="1:70">
      <c r="A46" s="72" t="s">
        <v>1899</v>
      </c>
      <c r="B46" s="72" t="s">
        <v>3552</v>
      </c>
      <c r="C46" s="72" t="s">
        <v>3553</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3554</v>
      </c>
      <c r="BR46" s="72" t="s">
        <v>2739</v>
      </c>
    </row>
    <row r="47" spans="1:70">
      <c r="A47" s="72" t="s">
        <v>1899</v>
      </c>
      <c r="B47" s="72" t="s">
        <v>3555</v>
      </c>
      <c r="C47" s="72" t="s">
        <v>3553</v>
      </c>
      <c r="D47" s="72" t="s">
        <v>2739</v>
      </c>
      <c r="E47" s="72" t="s">
        <v>2739</v>
      </c>
      <c r="F47" s="72" t="s">
        <v>2739</v>
      </c>
      <c r="G47" s="72" t="s">
        <v>2740</v>
      </c>
      <c r="H47" s="72" t="s">
        <v>2739</v>
      </c>
      <c r="I47" s="72" t="s">
        <v>2745</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3556</v>
      </c>
      <c r="BR47" s="72" t="s">
        <v>2739</v>
      </c>
    </row>
    <row r="48" spans="1:70">
      <c r="A48" s="72" t="s">
        <v>1899</v>
      </c>
      <c r="B48" s="72" t="s">
        <v>3557</v>
      </c>
      <c r="C48" s="72" t="s">
        <v>2351</v>
      </c>
      <c r="D48" s="72" t="s">
        <v>2739</v>
      </c>
      <c r="E48" s="72" t="s">
        <v>2739</v>
      </c>
      <c r="F48" s="72" t="s">
        <v>2739</v>
      </c>
      <c r="G48" s="72" t="s">
        <v>2740</v>
      </c>
      <c r="H48" s="72" t="s">
        <v>2739</v>
      </c>
      <c r="I48" s="72" t="s">
        <v>2745</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3558</v>
      </c>
      <c r="BR48" s="72" t="s">
        <v>2739</v>
      </c>
    </row>
    <row r="49" spans="1:70">
      <c r="A49" s="72" t="s">
        <v>1899</v>
      </c>
      <c r="B49" s="72" t="s">
        <v>3559</v>
      </c>
      <c r="C49" s="72" t="s">
        <v>2351</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1899</v>
      </c>
      <c r="B50" s="72" t="s">
        <v>2471</v>
      </c>
      <c r="C50" s="72" t="s">
        <v>2465</v>
      </c>
      <c r="D50" s="72" t="s">
        <v>2739</v>
      </c>
      <c r="E50" s="72" t="s">
        <v>2739</v>
      </c>
      <c r="F50" s="72" t="s">
        <v>2739</v>
      </c>
      <c r="G50" s="72" t="s">
        <v>2740</v>
      </c>
      <c r="H50" s="72" t="s">
        <v>2739</v>
      </c>
      <c r="I50" s="72" t="s">
        <v>2254</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2472</v>
      </c>
      <c r="C51" s="72" t="s">
        <v>2465</v>
      </c>
      <c r="D51" s="72" t="s">
        <v>2739</v>
      </c>
      <c r="E51" s="72" t="s">
        <v>2739</v>
      </c>
      <c r="F51" s="72" t="s">
        <v>2739</v>
      </c>
      <c r="G51" s="72" t="s">
        <v>2740</v>
      </c>
      <c r="H51" s="72" t="s">
        <v>2739</v>
      </c>
      <c r="I51" s="72" t="s">
        <v>2254</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3562</v>
      </c>
      <c r="BR51" s="72" t="s">
        <v>2739</v>
      </c>
    </row>
    <row r="52" spans="1:70">
      <c r="A52" s="72" t="s">
        <v>1899</v>
      </c>
      <c r="B52" s="72" t="s">
        <v>2356</v>
      </c>
      <c r="C52" s="72" t="s">
        <v>2351</v>
      </c>
      <c r="D52" s="72" t="s">
        <v>2739</v>
      </c>
      <c r="E52" s="72" t="s">
        <v>2739</v>
      </c>
      <c r="F52" s="72" t="s">
        <v>2739</v>
      </c>
      <c r="G52" s="72" t="s">
        <v>2740</v>
      </c>
      <c r="H52" s="72" t="s">
        <v>2739</v>
      </c>
      <c r="I52" s="72" t="s">
        <v>2315</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3563</v>
      </c>
      <c r="BR52" s="72" t="s">
        <v>2739</v>
      </c>
    </row>
    <row r="53" spans="1:70">
      <c r="A53" s="72" t="s">
        <v>1899</v>
      </c>
      <c r="B53" s="72" t="s">
        <v>2357</v>
      </c>
      <c r="C53" s="72" t="s">
        <v>2358</v>
      </c>
      <c r="D53" s="72" t="s">
        <v>2739</v>
      </c>
      <c r="E53" s="72" t="s">
        <v>2739</v>
      </c>
      <c r="F53" s="72" t="s">
        <v>2739</v>
      </c>
      <c r="G53" s="72" t="s">
        <v>2740</v>
      </c>
      <c r="H53" s="72" t="s">
        <v>2739</v>
      </c>
      <c r="I53" s="72" t="s">
        <v>108</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3564</v>
      </c>
      <c r="BR53" s="72" t="s">
        <v>2739</v>
      </c>
    </row>
    <row r="54" spans="1:70">
      <c r="A54" s="72" t="s">
        <v>1902</v>
      </c>
      <c r="B54" s="72" t="s">
        <v>3565</v>
      </c>
      <c r="C54" s="72" t="s">
        <v>2346</v>
      </c>
      <c r="D54" s="72" t="s">
        <v>2739</v>
      </c>
      <c r="E54" s="72" t="s">
        <v>2739</v>
      </c>
      <c r="F54" s="72" t="s">
        <v>2739</v>
      </c>
      <c r="G54" s="72" t="s">
        <v>2740</v>
      </c>
      <c r="H54" s="72" t="s">
        <v>2739</v>
      </c>
      <c r="I54" s="72" t="s">
        <v>2783</v>
      </c>
      <c r="J54" s="72" t="s">
        <v>3566</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3567</v>
      </c>
      <c r="BR54" s="72" t="s">
        <v>2739</v>
      </c>
    </row>
    <row r="55" spans="1:70">
      <c r="A55" s="72" t="s">
        <v>1902</v>
      </c>
      <c r="B55" s="72" t="s">
        <v>3568</v>
      </c>
      <c r="C55" s="72" t="s">
        <v>2287</v>
      </c>
      <c r="D55" s="72" t="s">
        <v>2739</v>
      </c>
      <c r="E55" s="72" t="s">
        <v>2739</v>
      </c>
      <c r="F55" s="72" t="s">
        <v>2739</v>
      </c>
      <c r="G55" s="72" t="s">
        <v>2740</v>
      </c>
      <c r="H55" s="72" t="s">
        <v>2739</v>
      </c>
      <c r="I55" s="72" t="s">
        <v>2783</v>
      </c>
      <c r="J55" s="72" t="s">
        <v>3569</v>
      </c>
      <c r="K55" s="72" t="s">
        <v>2747</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2749</v>
      </c>
    </row>
    <row r="56" spans="1:70">
      <c r="A56" s="72" t="s">
        <v>1902</v>
      </c>
      <c r="B56" s="72" t="s">
        <v>2360</v>
      </c>
      <c r="C56" s="72" t="s">
        <v>2351</v>
      </c>
      <c r="D56" s="72" t="s">
        <v>2739</v>
      </c>
      <c r="E56" s="72" t="s">
        <v>2739</v>
      </c>
      <c r="F56" s="72" t="s">
        <v>2739</v>
      </c>
      <c r="G56" s="72" t="s">
        <v>2740</v>
      </c>
      <c r="H56" s="72" t="s">
        <v>2739</v>
      </c>
      <c r="I56" s="72" t="s">
        <v>2771</v>
      </c>
      <c r="J56" s="72" t="s">
        <v>2739</v>
      </c>
      <c r="K56" s="72" t="s">
        <v>2739</v>
      </c>
      <c r="L56" s="72" t="s">
        <v>2071</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1902</v>
      </c>
      <c r="B57" s="72" t="s">
        <v>2362</v>
      </c>
      <c r="C57" s="72" t="s">
        <v>2257</v>
      </c>
      <c r="D57" s="72" t="s">
        <v>2739</v>
      </c>
      <c r="E57" s="72" t="s">
        <v>2739</v>
      </c>
      <c r="F57" s="72" t="s">
        <v>2739</v>
      </c>
      <c r="G57" s="72" t="s">
        <v>2740</v>
      </c>
      <c r="H57" s="72" t="s">
        <v>2739</v>
      </c>
      <c r="I57" s="72" t="s">
        <v>2771</v>
      </c>
      <c r="J57" s="72" t="s">
        <v>2739</v>
      </c>
      <c r="K57" s="72" t="s">
        <v>2739</v>
      </c>
      <c r="L57" s="72" t="s">
        <v>2071</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1902</v>
      </c>
      <c r="B58" s="72" t="s">
        <v>2363</v>
      </c>
      <c r="C58" s="72" t="s">
        <v>2739</v>
      </c>
      <c r="D58" s="72" t="s">
        <v>2739</v>
      </c>
      <c r="E58" s="72" t="s">
        <v>2739</v>
      </c>
      <c r="F58" s="72" t="s">
        <v>2739</v>
      </c>
      <c r="G58" s="72" t="s">
        <v>2740</v>
      </c>
      <c r="H58" s="72" t="s">
        <v>2739</v>
      </c>
      <c r="I58" s="72" t="s">
        <v>2315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1902</v>
      </c>
      <c r="B59" s="72" t="s">
        <v>2294</v>
      </c>
      <c r="C59" s="72" t="s">
        <v>2739</v>
      </c>
      <c r="D59" s="72" t="s">
        <v>2739</v>
      </c>
      <c r="E59" s="72" t="s">
        <v>2739</v>
      </c>
      <c r="F59" s="72" t="s">
        <v>2739</v>
      </c>
      <c r="G59" s="72" t="s">
        <v>2740</v>
      </c>
      <c r="H59" s="72" t="s">
        <v>2739</v>
      </c>
      <c r="I59" s="72" t="s">
        <v>2315</v>
      </c>
      <c r="J59" s="72" t="s">
        <v>2739</v>
      </c>
      <c r="K59" s="72" t="s">
        <v>2739</v>
      </c>
      <c r="L59" s="72" t="s">
        <v>552</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1902</v>
      </c>
      <c r="B60" s="72" t="s">
        <v>2364</v>
      </c>
      <c r="C60" s="72" t="s">
        <v>2351</v>
      </c>
      <c r="D60" s="72" t="s">
        <v>2739</v>
      </c>
      <c r="E60" s="72" t="s">
        <v>2739</v>
      </c>
      <c r="F60" s="72" t="s">
        <v>2739</v>
      </c>
      <c r="G60" s="72" t="s">
        <v>2740</v>
      </c>
      <c r="H60" s="72" t="s">
        <v>2739</v>
      </c>
      <c r="I60" s="72" t="s">
        <v>108</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1902</v>
      </c>
      <c r="B61" s="72" t="s">
        <v>2365</v>
      </c>
      <c r="C61" s="72" t="s">
        <v>2351</v>
      </c>
      <c r="D61" s="72" t="s">
        <v>2739</v>
      </c>
      <c r="E61" s="72" t="s">
        <v>2739</v>
      </c>
      <c r="F61" s="72" t="s">
        <v>2739</v>
      </c>
      <c r="G61" s="72" t="s">
        <v>2740</v>
      </c>
      <c r="H61" s="72" t="s">
        <v>2739</v>
      </c>
      <c r="I61" s="72" t="s">
        <v>108</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1902</v>
      </c>
      <c r="B62" s="72" t="s">
        <v>2366</v>
      </c>
      <c r="C62" s="72" t="s">
        <v>2257</v>
      </c>
      <c r="D62" s="72" t="s">
        <v>2739</v>
      </c>
      <c r="E62" s="72" t="s">
        <v>2739</v>
      </c>
      <c r="F62" s="72" t="s">
        <v>2739</v>
      </c>
      <c r="G62" s="72" t="s">
        <v>2740</v>
      </c>
      <c r="H62" s="72" t="s">
        <v>2739</v>
      </c>
      <c r="I62" s="72" t="s">
        <v>108</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3577</v>
      </c>
      <c r="BR62" s="72" t="s">
        <v>2739</v>
      </c>
    </row>
    <row r="63" spans="1:70">
      <c r="A63" s="72" t="s">
        <v>1902</v>
      </c>
      <c r="B63" s="72" t="s">
        <v>2367</v>
      </c>
      <c r="C63" s="72" t="s">
        <v>2368</v>
      </c>
      <c r="D63" s="72" t="s">
        <v>2739</v>
      </c>
      <c r="E63" s="72" t="s">
        <v>2739</v>
      </c>
      <c r="F63" s="72" t="s">
        <v>2739</v>
      </c>
      <c r="G63" s="72" t="s">
        <v>2740</v>
      </c>
      <c r="H63" s="72" t="s">
        <v>2739</v>
      </c>
      <c r="I63" s="72" t="s">
        <v>2315</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3578</v>
      </c>
      <c r="BR63" s="72" t="s">
        <v>2739</v>
      </c>
    </row>
    <row r="64" spans="1:70">
      <c r="A64" s="72" t="s">
        <v>1902</v>
      </c>
      <c r="B64" s="72" t="s">
        <v>2369</v>
      </c>
      <c r="C64" s="72" t="s">
        <v>2368</v>
      </c>
      <c r="D64" s="72" t="s">
        <v>2739</v>
      </c>
      <c r="E64" s="72" t="s">
        <v>2739</v>
      </c>
      <c r="F64" s="72" t="s">
        <v>2739</v>
      </c>
      <c r="G64" s="72" t="s">
        <v>2740</v>
      </c>
      <c r="H64" s="72" t="s">
        <v>2739</v>
      </c>
      <c r="I64" s="72" t="s">
        <v>2315</v>
      </c>
      <c r="J64" s="72" t="s">
        <v>2739</v>
      </c>
      <c r="K64" s="72" t="s">
        <v>2739</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3579</v>
      </c>
      <c r="BR64" s="72" t="s">
        <v>2739</v>
      </c>
    </row>
    <row r="65" spans="1:70">
      <c r="A65" s="72" t="s">
        <v>1902</v>
      </c>
      <c r="B65" s="72" t="s">
        <v>3580</v>
      </c>
      <c r="C65" s="72" t="s">
        <v>2346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3581</v>
      </c>
      <c r="BR65" s="72" t="s">
        <v>2739</v>
      </c>
    </row>
    <row r="66" spans="1:70">
      <c r="A66" s="72" t="s">
        <v>1902</v>
      </c>
      <c r="B66" s="72" t="s">
        <v>2474</v>
      </c>
      <c r="C66" s="72" t="s">
        <v>2465</v>
      </c>
      <c r="D66" s="72" t="s">
        <v>2739</v>
      </c>
      <c r="E66" s="72" t="s">
        <v>2739</v>
      </c>
      <c r="F66" s="72" t="s">
        <v>2739</v>
      </c>
      <c r="G66" s="72" t="s">
        <v>2740</v>
      </c>
      <c r="H66" s="72" t="s">
        <v>2739</v>
      </c>
      <c r="I66" s="72" t="s">
        <v>2254</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3582</v>
      </c>
      <c r="BR66" s="72" t="s">
        <v>2739</v>
      </c>
    </row>
    <row r="67" spans="1:70">
      <c r="A67" s="72" t="s">
        <v>1902</v>
      </c>
      <c r="B67" s="72" t="s">
        <v>2370</v>
      </c>
      <c r="C67" s="72" t="s">
        <v>2368</v>
      </c>
      <c r="D67" s="72" t="s">
        <v>2739</v>
      </c>
      <c r="E67" s="72" t="s">
        <v>2739</v>
      </c>
      <c r="F67" s="72" t="s">
        <v>2739</v>
      </c>
      <c r="G67" s="72" t="s">
        <v>2740</v>
      </c>
      <c r="H67" s="72" t="s">
        <v>2739</v>
      </c>
      <c r="I67" s="72" t="s">
        <v>108</v>
      </c>
      <c r="J67" s="72" t="s">
        <v>2371</v>
      </c>
      <c r="K67" s="72" t="s">
        <v>2740</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3583</v>
      </c>
      <c r="BR67" s="72" t="s">
        <v>2739</v>
      </c>
    </row>
    <row r="68" spans="1:70">
      <c r="A68" s="72" t="s">
        <v>1902</v>
      </c>
      <c r="B68" s="72" t="s">
        <v>3584</v>
      </c>
      <c r="C68" s="72" t="s">
        <v>2368</v>
      </c>
      <c r="D68" s="72" t="s">
        <v>2739</v>
      </c>
      <c r="E68" s="72" t="s">
        <v>2739</v>
      </c>
      <c r="F68" s="72" t="s">
        <v>2739</v>
      </c>
      <c r="G68" s="72" t="s">
        <v>2740</v>
      </c>
      <c r="H68" s="72" t="s">
        <v>2739</v>
      </c>
      <c r="I68" s="72" t="s">
        <v>2745</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3585</v>
      </c>
      <c r="BR68" s="72" t="s">
        <v>2739</v>
      </c>
    </row>
    <row r="69" spans="1:70">
      <c r="A69" s="72" t="s">
        <v>1903</v>
      </c>
      <c r="B69" s="72" t="s">
        <v>3586</v>
      </c>
      <c r="C69" s="72" t="s">
        <v>2298</v>
      </c>
      <c r="D69" s="72" t="s">
        <v>2739</v>
      </c>
      <c r="E69" s="72" t="s">
        <v>2739</v>
      </c>
      <c r="F69" s="72" t="s">
        <v>2739</v>
      </c>
      <c r="G69" s="72" t="s">
        <v>2740</v>
      </c>
      <c r="H69" s="72" t="s">
        <v>2739</v>
      </c>
      <c r="I69" s="72" t="s">
        <v>2783</v>
      </c>
      <c r="J69" s="72" t="s">
        <v>3587</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1903</v>
      </c>
      <c r="B70" s="72" t="s">
        <v>2373</v>
      </c>
      <c r="C70" s="72" t="s">
        <v>2374</v>
      </c>
      <c r="D70" s="72" t="s">
        <v>2739</v>
      </c>
      <c r="E70" s="72" t="s">
        <v>2739</v>
      </c>
      <c r="F70" s="72" t="s">
        <v>2739</v>
      </c>
      <c r="G70" s="72" t="s">
        <v>2740</v>
      </c>
      <c r="H70" s="72" t="s">
        <v>2739</v>
      </c>
      <c r="I70" s="72" t="s">
        <v>108</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3589</v>
      </c>
      <c r="BR70" s="72" t="s">
        <v>2739</v>
      </c>
    </row>
    <row r="71" spans="1:70">
      <c r="A71" s="72" t="s">
        <v>1903</v>
      </c>
      <c r="B71" s="72" t="s">
        <v>2375</v>
      </c>
      <c r="C71" s="72" t="s">
        <v>2376</v>
      </c>
      <c r="D71" s="72" t="s">
        <v>2739</v>
      </c>
      <c r="E71" s="72" t="s">
        <v>2739</v>
      </c>
      <c r="F71" s="72" t="s">
        <v>2739</v>
      </c>
      <c r="G71" s="72" t="s">
        <v>2740</v>
      </c>
      <c r="H71" s="72" t="s">
        <v>2739</v>
      </c>
      <c r="I71" s="72" t="s">
        <v>108</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3590</v>
      </c>
      <c r="BR71" s="72" t="s">
        <v>2739</v>
      </c>
    </row>
    <row r="72" spans="1:70">
      <c r="A72" s="72" t="s">
        <v>1903</v>
      </c>
      <c r="B72" s="72" t="s">
        <v>2377</v>
      </c>
      <c r="C72" s="72" t="s">
        <v>2376</v>
      </c>
      <c r="D72" s="72" t="s">
        <v>2739</v>
      </c>
      <c r="E72" s="72" t="s">
        <v>2739</v>
      </c>
      <c r="F72" s="72" t="s">
        <v>2739</v>
      </c>
      <c r="G72" s="72" t="s">
        <v>2740</v>
      </c>
      <c r="H72" s="72" t="s">
        <v>2739</v>
      </c>
      <c r="I72" s="72" t="s">
        <v>108</v>
      </c>
      <c r="J72" s="72" t="s">
        <v>2739</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3591</v>
      </c>
      <c r="BR72" s="72" t="s">
        <v>2739</v>
      </c>
    </row>
    <row r="73" spans="1:70">
      <c r="A73" s="72" t="s">
        <v>1903</v>
      </c>
      <c r="B73" s="72" t="s">
        <v>3592</v>
      </c>
      <c r="C73" s="72" t="s">
        <v>2374</v>
      </c>
      <c r="D73" s="72" t="s">
        <v>2739</v>
      </c>
      <c r="E73" s="72" t="s">
        <v>2739</v>
      </c>
      <c r="F73" s="72" t="s">
        <v>2739</v>
      </c>
      <c r="G73" s="72" t="s">
        <v>2740</v>
      </c>
      <c r="H73" s="72" t="s">
        <v>2739</v>
      </c>
      <c r="I73" s="72" t="s">
        <v>2745</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3593</v>
      </c>
      <c r="BR73" s="72" t="s">
        <v>2739</v>
      </c>
    </row>
    <row r="74" spans="1:70">
      <c r="A74" s="72" t="s">
        <v>1903</v>
      </c>
      <c r="B74" s="72" t="s">
        <v>3594</v>
      </c>
      <c r="C74" s="72" t="s">
        <v>2298</v>
      </c>
      <c r="D74" s="72" t="s">
        <v>2739</v>
      </c>
      <c r="E74" s="72" t="s">
        <v>2739</v>
      </c>
      <c r="F74" s="72" t="s">
        <v>2739</v>
      </c>
      <c r="G74" s="72" t="s">
        <v>2740</v>
      </c>
      <c r="H74" s="72" t="s">
        <v>2739</v>
      </c>
      <c r="I74" s="72" t="s">
        <v>2745</v>
      </c>
      <c r="J74" s="72" t="s">
        <v>2739</v>
      </c>
      <c r="K74" s="72" t="s">
        <v>2739</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3595</v>
      </c>
      <c r="BR74" s="72" t="s">
        <v>2739</v>
      </c>
    </row>
    <row r="75" spans="1:70">
      <c r="A75" s="72" t="s">
        <v>1903</v>
      </c>
      <c r="B75" s="72" t="s">
        <v>3596</v>
      </c>
      <c r="C75" s="72" t="s">
        <v>2298</v>
      </c>
      <c r="D75" s="72" t="s">
        <v>2739</v>
      </c>
      <c r="E75" s="72" t="s">
        <v>2739</v>
      </c>
      <c r="F75" s="72" t="s">
        <v>2739</v>
      </c>
      <c r="G75" s="72" t="s">
        <v>2740</v>
      </c>
      <c r="H75" s="72" t="s">
        <v>2739</v>
      </c>
      <c r="I75" s="72" t="s">
        <v>2771</v>
      </c>
      <c r="J75" s="72" t="s">
        <v>3597</v>
      </c>
      <c r="K75" s="72" t="s">
        <v>2739</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3598</v>
      </c>
      <c r="BR75" s="72" t="s">
        <v>2739</v>
      </c>
    </row>
    <row r="76" spans="1:70">
      <c r="A76" s="72" t="s">
        <v>1905</v>
      </c>
      <c r="B76" s="72" t="s">
        <v>3599</v>
      </c>
      <c r="C76" s="72" t="s">
        <v>2263</v>
      </c>
      <c r="D76" s="72" t="s">
        <v>2739</v>
      </c>
      <c r="E76" s="72" t="s">
        <v>2739</v>
      </c>
      <c r="F76" s="72" t="s">
        <v>2739</v>
      </c>
      <c r="G76" s="72" t="s">
        <v>2740</v>
      </c>
      <c r="H76" s="72" t="s">
        <v>2739</v>
      </c>
      <c r="I76" s="72" t="s">
        <v>2783</v>
      </c>
      <c r="J76" s="72" t="s">
        <v>2739</v>
      </c>
      <c r="K76" s="72" t="s">
        <v>2739</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3600</v>
      </c>
      <c r="BR76" s="72" t="s">
        <v>2739</v>
      </c>
    </row>
    <row r="77" spans="1:70">
      <c r="A77" s="72" t="s">
        <v>1905</v>
      </c>
      <c r="B77" s="72" t="s">
        <v>3601</v>
      </c>
      <c r="C77" s="72" t="s">
        <v>2301</v>
      </c>
      <c r="D77" s="72" t="s">
        <v>2739</v>
      </c>
      <c r="E77" s="72" t="s">
        <v>2739</v>
      </c>
      <c r="F77" s="72" t="s">
        <v>2739</v>
      </c>
      <c r="G77" s="72" t="s">
        <v>2740</v>
      </c>
      <c r="H77" s="72" t="s">
        <v>2739</v>
      </c>
      <c r="I77" s="72" t="s">
        <v>2783</v>
      </c>
      <c r="J77" s="72" t="s">
        <v>3203</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3602</v>
      </c>
      <c r="BR77" s="72" t="s">
        <v>2739</v>
      </c>
    </row>
    <row r="78" spans="1:70">
      <c r="A78" s="72" t="s">
        <v>1905</v>
      </c>
      <c r="B78" s="72" t="s">
        <v>3603</v>
      </c>
      <c r="C78" s="72" t="s">
        <v>3604</v>
      </c>
      <c r="D78" s="72" t="s">
        <v>2739</v>
      </c>
      <c r="E78" s="72" t="s">
        <v>2739</v>
      </c>
      <c r="F78" s="72" t="s">
        <v>2739</v>
      </c>
      <c r="G78" s="72" t="s">
        <v>2740</v>
      </c>
      <c r="H78" s="72" t="s">
        <v>2739</v>
      </c>
      <c r="I78" s="72" t="s">
        <v>2783</v>
      </c>
      <c r="J78" s="72" t="s">
        <v>3605</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3606</v>
      </c>
      <c r="BR78" s="72" t="s">
        <v>2739</v>
      </c>
    </row>
    <row r="79" spans="1:70">
      <c r="A79" s="72" t="s">
        <v>1905</v>
      </c>
      <c r="B79" s="72" t="s">
        <v>3607</v>
      </c>
      <c r="C79" s="72" t="s">
        <v>2298</v>
      </c>
      <c r="D79" s="72" t="s">
        <v>2739</v>
      </c>
      <c r="E79" s="72" t="s">
        <v>2739</v>
      </c>
      <c r="F79" s="72" t="s">
        <v>2739</v>
      </c>
      <c r="G79" s="72" t="s">
        <v>2740</v>
      </c>
      <c r="H79" s="72" t="s">
        <v>2739</v>
      </c>
      <c r="I79" s="72" t="s">
        <v>2783</v>
      </c>
      <c r="J79" s="72" t="s">
        <v>3608</v>
      </c>
      <c r="K79" s="72" t="s">
        <v>2747</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3609</v>
      </c>
      <c r="BR79" s="72" t="s">
        <v>2749</v>
      </c>
    </row>
    <row r="80" spans="1:70">
      <c r="A80" s="72" t="s">
        <v>1905</v>
      </c>
      <c r="B80" s="72" t="s">
        <v>3610</v>
      </c>
      <c r="C80" s="72" t="s">
        <v>2263</v>
      </c>
      <c r="D80" s="72" t="s">
        <v>2739</v>
      </c>
      <c r="E80" s="72" t="s">
        <v>2739</v>
      </c>
      <c r="F80" s="72" t="s">
        <v>2739</v>
      </c>
      <c r="G80" s="72" t="s">
        <v>2740</v>
      </c>
      <c r="H80" s="72" t="s">
        <v>2739</v>
      </c>
      <c r="I80" s="72" t="s">
        <v>2783</v>
      </c>
      <c r="J80" s="72" t="s">
        <v>3611</v>
      </c>
      <c r="K80" s="72" t="s">
        <v>2740</v>
      </c>
      <c r="L80" s="72" t="s">
        <v>2771</v>
      </c>
      <c r="M80" s="72" t="s">
        <v>3612</v>
      </c>
      <c r="N80" s="72" t="s">
        <v>2740</v>
      </c>
      <c r="O80" s="72" t="s">
        <v>2857</v>
      </c>
      <c r="P80" s="72" t="s">
        <v>3611</v>
      </c>
      <c r="Q80" s="72" t="s">
        <v>2740</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3613</v>
      </c>
      <c r="BR80" s="72" t="s">
        <v>2739</v>
      </c>
    </row>
    <row r="81" spans="1:70">
      <c r="A81" s="72" t="s">
        <v>1905</v>
      </c>
      <c r="B81" s="72" t="s">
        <v>2297</v>
      </c>
      <c r="C81" s="72" t="s">
        <v>2298</v>
      </c>
      <c r="D81" s="72" t="s">
        <v>2739</v>
      </c>
      <c r="E81" s="72" t="s">
        <v>2739</v>
      </c>
      <c r="F81" s="72" t="s">
        <v>2739</v>
      </c>
      <c r="G81" s="72" t="s">
        <v>2740</v>
      </c>
      <c r="H81" s="72" t="s">
        <v>2739</v>
      </c>
      <c r="I81" s="72" t="s">
        <v>552</v>
      </c>
      <c r="J81" s="72" t="s">
        <v>2299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3614</v>
      </c>
      <c r="BR81" s="72" t="s">
        <v>2739</v>
      </c>
    </row>
    <row r="82" spans="1:70">
      <c r="A82" s="72" t="s">
        <v>1905</v>
      </c>
      <c r="B82" s="72" t="s">
        <v>3615</v>
      </c>
      <c r="C82" s="72" t="s">
        <v>2263</v>
      </c>
      <c r="D82" s="72" t="s">
        <v>2739</v>
      </c>
      <c r="E82" s="72" t="s">
        <v>2739</v>
      </c>
      <c r="F82" s="72" t="s">
        <v>2739</v>
      </c>
      <c r="G82" s="72" t="s">
        <v>2740</v>
      </c>
      <c r="H82" s="72" t="s">
        <v>2739</v>
      </c>
      <c r="I82" s="72" t="s">
        <v>2771</v>
      </c>
      <c r="J82" s="72" t="s">
        <v>2739</v>
      </c>
      <c r="K82" s="72" t="s">
        <v>2739</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3616</v>
      </c>
      <c r="BR82" s="72" t="s">
        <v>2739</v>
      </c>
    </row>
    <row r="83" spans="1:70">
      <c r="A83" s="72" t="s">
        <v>1905</v>
      </c>
      <c r="B83" s="72" t="s">
        <v>2300</v>
      </c>
      <c r="C83" s="72" t="s">
        <v>2301</v>
      </c>
      <c r="D83" s="72" t="s">
        <v>2739</v>
      </c>
      <c r="E83" s="72" t="s">
        <v>2739</v>
      </c>
      <c r="F83" s="72" t="s">
        <v>2739</v>
      </c>
      <c r="G83" s="72" t="s">
        <v>2740</v>
      </c>
      <c r="H83" s="72" t="s">
        <v>2739</v>
      </c>
      <c r="I83" s="72" t="s">
        <v>2783</v>
      </c>
      <c r="J83" s="72" t="s">
        <v>3617</v>
      </c>
      <c r="K83" s="72" t="s">
        <v>2747</v>
      </c>
      <c r="L83" s="72" t="s">
        <v>552</v>
      </c>
      <c r="M83" s="72" t="s">
        <v>3617</v>
      </c>
      <c r="N83" s="72" t="s">
        <v>2747</v>
      </c>
      <c r="O83" s="72" t="s">
        <v>2564</v>
      </c>
      <c r="P83" s="72" t="s">
        <v>3617</v>
      </c>
      <c r="Q83" s="72" t="s">
        <v>2747</v>
      </c>
      <c r="R83" s="72" t="s">
        <v>2661</v>
      </c>
      <c r="S83" s="72" t="s">
        <v>3617</v>
      </c>
      <c r="T83" s="72" t="s">
        <v>2747</v>
      </c>
      <c r="U83" s="72" t="s">
        <v>2771</v>
      </c>
      <c r="V83" s="72" t="s">
        <v>3618</v>
      </c>
      <c r="W83" s="72" t="s">
        <v>2747</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3619</v>
      </c>
      <c r="BR83" s="72" t="s">
        <v>2749</v>
      </c>
    </row>
    <row r="84" spans="1:70">
      <c r="A84" s="72" t="s">
        <v>1905</v>
      </c>
      <c r="B84" s="72" t="s">
        <v>3620</v>
      </c>
      <c r="C84" s="72" t="s">
        <v>3621</v>
      </c>
      <c r="D84" s="72" t="s">
        <v>2739</v>
      </c>
      <c r="E84" s="72" t="s">
        <v>2739</v>
      </c>
      <c r="F84" s="72" t="s">
        <v>2739</v>
      </c>
      <c r="G84" s="72" t="s">
        <v>2740</v>
      </c>
      <c r="H84" s="72" t="s">
        <v>2739</v>
      </c>
      <c r="I84" s="72" t="s">
        <v>2857</v>
      </c>
      <c r="J84" s="72" t="s">
        <v>3622</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1905</v>
      </c>
      <c r="B85" s="72" t="s">
        <v>2262</v>
      </c>
      <c r="C85" s="72" t="s">
        <v>2263</v>
      </c>
      <c r="D85" s="72" t="s">
        <v>2739</v>
      </c>
      <c r="E85" s="72" t="s">
        <v>2739</v>
      </c>
      <c r="F85" s="72" t="s">
        <v>2739</v>
      </c>
      <c r="G85" s="72" t="s">
        <v>2740</v>
      </c>
      <c r="H85" s="72" t="s">
        <v>2739</v>
      </c>
      <c r="I85" s="72" t="s">
        <v>2243</v>
      </c>
      <c r="J85" s="72" t="s">
        <v>2264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2739</v>
      </c>
    </row>
    <row r="86" spans="1:70">
      <c r="A86" s="72" t="s">
        <v>1905</v>
      </c>
      <c r="B86" s="72" t="s">
        <v>2265</v>
      </c>
      <c r="C86" s="72" t="s">
        <v>2266</v>
      </c>
      <c r="D86" s="72" t="s">
        <v>2739</v>
      </c>
      <c r="E86" s="72" t="s">
        <v>2739</v>
      </c>
      <c r="F86" s="72" t="s">
        <v>2739</v>
      </c>
      <c r="G86" s="72" t="s">
        <v>2740</v>
      </c>
      <c r="H86" s="72" t="s">
        <v>2739</v>
      </c>
      <c r="I86" s="72" t="s">
        <v>2243</v>
      </c>
      <c r="J86" s="72" t="s">
        <v>2267</v>
      </c>
      <c r="K86" s="72" t="s">
        <v>2747</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2749</v>
      </c>
    </row>
    <row r="87" spans="1:70">
      <c r="A87" s="72" t="s">
        <v>1905</v>
      </c>
      <c r="B87" s="72" t="s">
        <v>2379</v>
      </c>
      <c r="C87" s="72" t="s">
        <v>2263</v>
      </c>
      <c r="D87" s="72" t="s">
        <v>2739</v>
      </c>
      <c r="E87" s="72" t="s">
        <v>2739</v>
      </c>
      <c r="F87" s="72" t="s">
        <v>2739</v>
      </c>
      <c r="G87" s="72" t="s">
        <v>2740</v>
      </c>
      <c r="H87" s="72" t="s">
        <v>2739</v>
      </c>
      <c r="I87" s="72" t="s">
        <v>2315</v>
      </c>
      <c r="J87" s="72" t="s">
        <v>2380</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3626</v>
      </c>
      <c r="BR87" s="72" t="s">
        <v>2739</v>
      </c>
    </row>
    <row r="88" spans="1:70">
      <c r="A88" s="72" t="s">
        <v>1905</v>
      </c>
      <c r="B88" s="72" t="s">
        <v>2381</v>
      </c>
      <c r="C88" s="72" t="s">
        <v>2301</v>
      </c>
      <c r="D88" s="72" t="s">
        <v>2739</v>
      </c>
      <c r="E88" s="72" t="s">
        <v>2739</v>
      </c>
      <c r="F88" s="72" t="s">
        <v>2739</v>
      </c>
      <c r="G88" s="72" t="s">
        <v>2740</v>
      </c>
      <c r="H88" s="72" t="s">
        <v>2739</v>
      </c>
      <c r="I88" s="72" t="s">
        <v>108</v>
      </c>
      <c r="J88" s="72" t="s">
        <v>2382</v>
      </c>
      <c r="K88" s="72" t="s">
        <v>2747</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3627</v>
      </c>
      <c r="BR88" s="72" t="s">
        <v>2749</v>
      </c>
    </row>
    <row r="89" spans="1:70">
      <c r="A89" s="72" t="s">
        <v>1905</v>
      </c>
      <c r="B89" s="72" t="s">
        <v>2383</v>
      </c>
      <c r="C89" s="72" t="s">
        <v>2298</v>
      </c>
      <c r="D89" s="72" t="s">
        <v>2739</v>
      </c>
      <c r="E89" s="72" t="s">
        <v>2739</v>
      </c>
      <c r="F89" s="72" t="s">
        <v>2739</v>
      </c>
      <c r="G89" s="72" t="s">
        <v>2740</v>
      </c>
      <c r="H89" s="72" t="s">
        <v>2739</v>
      </c>
      <c r="I89" s="72" t="s">
        <v>108</v>
      </c>
      <c r="J89" s="72" t="s">
        <v>2384</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3628</v>
      </c>
      <c r="BR89" s="72" t="s">
        <v>2739</v>
      </c>
    </row>
    <row r="90" spans="1:70">
      <c r="A90" s="72" t="s">
        <v>1905</v>
      </c>
      <c r="B90" s="72" t="s">
        <v>3629</v>
      </c>
      <c r="C90" s="72" t="s">
        <v>2266</v>
      </c>
      <c r="D90" s="72" t="s">
        <v>2739</v>
      </c>
      <c r="E90" s="72" t="s">
        <v>2739</v>
      </c>
      <c r="F90" s="72" t="s">
        <v>2739</v>
      </c>
      <c r="G90" s="72" t="s">
        <v>2740</v>
      </c>
      <c r="H90" s="72" t="s">
        <v>2739</v>
      </c>
      <c r="I90" s="72" t="s">
        <v>2857</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3630</v>
      </c>
      <c r="BR90" s="72" t="s">
        <v>2739</v>
      </c>
    </row>
    <row r="91" spans="1:70">
      <c r="A91" s="72" t="s">
        <v>1905</v>
      </c>
      <c r="B91" s="72" t="s">
        <v>2385</v>
      </c>
      <c r="C91" s="72" t="s">
        <v>2386</v>
      </c>
      <c r="D91" s="72" t="s">
        <v>2739</v>
      </c>
      <c r="E91" s="72" t="s">
        <v>2739</v>
      </c>
      <c r="F91" s="72" t="s">
        <v>2739</v>
      </c>
      <c r="G91" s="72" t="s">
        <v>2740</v>
      </c>
      <c r="H91" s="72" t="s">
        <v>2739</v>
      </c>
      <c r="I91" s="72" t="s">
        <v>108</v>
      </c>
      <c r="J91" s="72" t="s">
        <v>2387</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3631</v>
      </c>
      <c r="BR91" s="72" t="s">
        <v>2739</v>
      </c>
    </row>
    <row r="92" spans="1:70">
      <c r="A92" s="72" t="s">
        <v>1905</v>
      </c>
      <c r="B92" s="72" t="s">
        <v>3632</v>
      </c>
      <c r="C92" s="72" t="s">
        <v>2287</v>
      </c>
      <c r="D92" s="72" t="s">
        <v>2739</v>
      </c>
      <c r="E92" s="72" t="s">
        <v>2739</v>
      </c>
      <c r="F92" s="72" t="s">
        <v>2739</v>
      </c>
      <c r="G92" s="72" t="s">
        <v>2740</v>
      </c>
      <c r="H92" s="72" t="s">
        <v>2739</v>
      </c>
      <c r="I92" s="72" t="s">
        <v>2745</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3633</v>
      </c>
      <c r="BR92" s="72" t="s">
        <v>2739</v>
      </c>
    </row>
    <row r="93" spans="1:70">
      <c r="A93" s="72" t="s">
        <v>1905</v>
      </c>
      <c r="B93" s="72" t="s">
        <v>3634</v>
      </c>
      <c r="C93" s="72" t="s">
        <v>2287</v>
      </c>
      <c r="D93" s="72" t="s">
        <v>2739</v>
      </c>
      <c r="E93" s="72" t="s">
        <v>2739</v>
      </c>
      <c r="F93" s="72" t="s">
        <v>2739</v>
      </c>
      <c r="G93" s="72" t="s">
        <v>2740</v>
      </c>
      <c r="H93" s="72" t="s">
        <v>2739</v>
      </c>
      <c r="I93" s="72" t="s">
        <v>2783</v>
      </c>
      <c r="J93" s="72" t="s">
        <v>2739</v>
      </c>
      <c r="K93" s="72" t="s">
        <v>2739</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3635</v>
      </c>
      <c r="BR93" s="72" t="s">
        <v>2739</v>
      </c>
    </row>
    <row r="94" spans="1:70">
      <c r="A94" s="72" t="s">
        <v>1905</v>
      </c>
      <c r="B94" s="72" t="s">
        <v>3636</v>
      </c>
      <c r="C94" s="72" t="s">
        <v>2287</v>
      </c>
      <c r="D94" s="72" t="s">
        <v>2739</v>
      </c>
      <c r="E94" s="72" t="s">
        <v>2739</v>
      </c>
      <c r="F94" s="72" t="s">
        <v>2739</v>
      </c>
      <c r="G94" s="72" t="s">
        <v>2740</v>
      </c>
      <c r="H94" s="72" t="s">
        <v>3637</v>
      </c>
      <c r="I94" s="72" t="s">
        <v>2739</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3638</v>
      </c>
      <c r="BR94" s="72" t="s">
        <v>2749</v>
      </c>
    </row>
    <row r="95" spans="1:70">
      <c r="A95" s="72" t="s">
        <v>1905</v>
      </c>
      <c r="B95" s="72" t="s">
        <v>3639</v>
      </c>
      <c r="C95" s="72" t="s">
        <v>2287</v>
      </c>
      <c r="D95" s="72" t="s">
        <v>2739</v>
      </c>
      <c r="E95" s="72" t="s">
        <v>2739</v>
      </c>
      <c r="F95" s="72" t="s">
        <v>2739</v>
      </c>
      <c r="G95" s="72" t="s">
        <v>2740</v>
      </c>
      <c r="H95" s="72" t="s">
        <v>3637</v>
      </c>
      <c r="I95" s="72" t="s">
        <v>2739</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3640</v>
      </c>
      <c r="BR95" s="72" t="s">
        <v>2749</v>
      </c>
    </row>
    <row r="96" spans="1:70">
      <c r="A96" s="72" t="s">
        <v>1905</v>
      </c>
      <c r="B96" s="72" t="s">
        <v>3641</v>
      </c>
      <c r="C96" s="72" t="s">
        <v>2287</v>
      </c>
      <c r="D96" s="72" t="s">
        <v>2739</v>
      </c>
      <c r="E96" s="72" t="s">
        <v>2739</v>
      </c>
      <c r="F96" s="72" t="s">
        <v>2739</v>
      </c>
      <c r="G96" s="72" t="s">
        <v>2740</v>
      </c>
      <c r="H96" s="72" t="s">
        <v>3642</v>
      </c>
      <c r="I96" s="72" t="s">
        <v>3209</v>
      </c>
      <c r="J96" s="72" t="s">
        <v>3643</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3644</v>
      </c>
      <c r="BR96" s="72" t="s">
        <v>2749</v>
      </c>
    </row>
    <row r="97" spans="1:70">
      <c r="A97" s="72" t="s">
        <v>1910</v>
      </c>
      <c r="B97" s="72" t="s">
        <v>3645</v>
      </c>
      <c r="C97" s="72" t="s">
        <v>2395</v>
      </c>
      <c r="D97" s="72" t="s">
        <v>2739</v>
      </c>
      <c r="E97" s="72" t="s">
        <v>2739</v>
      </c>
      <c r="F97" s="72" t="s">
        <v>2739</v>
      </c>
      <c r="G97" s="72" t="s">
        <v>2740</v>
      </c>
      <c r="H97" s="72" t="s">
        <v>2739</v>
      </c>
      <c r="I97" s="72" t="s">
        <v>2783</v>
      </c>
      <c r="J97" s="72" t="s">
        <v>3646</v>
      </c>
      <c r="K97" s="72" t="s">
        <v>2747</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3647</v>
      </c>
      <c r="BR97" s="72" t="s">
        <v>2749</v>
      </c>
    </row>
    <row r="98" spans="1:70">
      <c r="A98" s="72" t="s">
        <v>1910</v>
      </c>
      <c r="B98" s="72" t="s">
        <v>3648</v>
      </c>
      <c r="C98" s="72" t="s">
        <v>3649</v>
      </c>
      <c r="D98" s="72" t="s">
        <v>2739</v>
      </c>
      <c r="E98" s="72" t="s">
        <v>2739</v>
      </c>
      <c r="F98" s="72" t="s">
        <v>2739</v>
      </c>
      <c r="G98" s="72" t="s">
        <v>2740</v>
      </c>
      <c r="H98" s="72" t="s">
        <v>2739</v>
      </c>
      <c r="I98" s="72" t="s">
        <v>2771</v>
      </c>
      <c r="J98" s="72" t="s">
        <v>2739</v>
      </c>
      <c r="K98" s="72" t="s">
        <v>2739</v>
      </c>
      <c r="L98" s="72" t="s">
        <v>2739</v>
      </c>
      <c r="M98" s="72" t="s">
        <v>2739</v>
      </c>
      <c r="N98" s="72" t="s">
        <v>2739</v>
      </c>
      <c r="O98" s="72" t="s">
        <v>2739</v>
      </c>
      <c r="P98" s="72" t="s">
        <v>2739</v>
      </c>
      <c r="Q98" s="72" t="s">
        <v>2739</v>
      </c>
      <c r="R98" s="72" t="s">
        <v>2739</v>
      </c>
      <c r="S98" s="72" t="s">
        <v>2739</v>
      </c>
      <c r="T98" s="72" t="s">
        <v>2739</v>
      </c>
      <c r="U98" s="72" t="s">
        <v>2739</v>
      </c>
      <c r="V98" s="72" t="s">
        <v>2739</v>
      </c>
      <c r="W98" s="72" t="s">
        <v>2739</v>
      </c>
      <c r="X98" s="72" t="s">
        <v>2739</v>
      </c>
      <c r="Y98" s="72" t="s">
        <v>2739</v>
      </c>
      <c r="Z98" s="72" t="s">
        <v>2739</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3650</v>
      </c>
      <c r="BR98" s="72" t="s">
        <v>2739</v>
      </c>
    </row>
    <row r="99" spans="1:70">
      <c r="A99" s="72" t="s">
        <v>1910</v>
      </c>
      <c r="B99" s="72" t="s">
        <v>2389</v>
      </c>
      <c r="C99" s="72" t="s">
        <v>2301</v>
      </c>
      <c r="D99" s="72" t="s">
        <v>2739</v>
      </c>
      <c r="E99" s="72" t="s">
        <v>2739</v>
      </c>
      <c r="F99" s="72" t="s">
        <v>2739</v>
      </c>
      <c r="G99" s="72" t="s">
        <v>2740</v>
      </c>
      <c r="H99" s="72" t="s">
        <v>2739</v>
      </c>
      <c r="I99" s="72" t="s">
        <v>108</v>
      </c>
      <c r="J99" s="72" t="s">
        <v>2390</v>
      </c>
      <c r="K99" s="72" t="s">
        <v>2747</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3651</v>
      </c>
      <c r="BR99" s="72" t="s">
        <v>2749</v>
      </c>
    </row>
    <row r="100" spans="1:70">
      <c r="A100" s="72" t="s">
        <v>1910</v>
      </c>
      <c r="B100" s="72" t="s">
        <v>2477</v>
      </c>
      <c r="C100" s="72" t="s">
        <v>2465</v>
      </c>
      <c r="G100" s="72" t="s">
        <v>2740</v>
      </c>
      <c r="I100" s="72" t="s">
        <v>2243</v>
      </c>
    </row>
    <row r="101" spans="1:70">
      <c r="A101" s="72" t="s">
        <v>1910</v>
      </c>
      <c r="B101" s="72" t="s">
        <v>2478</v>
      </c>
      <c r="C101" s="72" t="s">
        <v>2465</v>
      </c>
      <c r="G101" s="72" t="s">
        <v>2740</v>
      </c>
      <c r="H101" s="72" t="s">
        <v>2481</v>
      </c>
      <c r="I101" s="72" t="s">
        <v>2479</v>
      </c>
      <c r="J101" s="72" t="s">
        <v>2481</v>
      </c>
    </row>
    <row r="102" spans="1:70">
      <c r="A102" s="72" t="s">
        <v>1910</v>
      </c>
      <c r="B102" s="72" t="s">
        <v>2619</v>
      </c>
      <c r="C102" s="72" t="s">
        <v>2465</v>
      </c>
      <c r="G102" s="72" t="s">
        <v>2740</v>
      </c>
      <c r="H102" s="72" t="s">
        <v>2620</v>
      </c>
      <c r="I102" s="72" t="s">
        <v>552</v>
      </c>
      <c r="J102" s="72" t="s">
        <v>2620</v>
      </c>
    </row>
    <row r="103" spans="1:70">
      <c r="A103" s="72" t="s">
        <v>1910</v>
      </c>
      <c r="B103" s="72" t="s">
        <v>2391</v>
      </c>
      <c r="C103" s="72" t="s">
        <v>2392</v>
      </c>
      <c r="D103" s="72" t="s">
        <v>2739</v>
      </c>
      <c r="E103" s="72" t="s">
        <v>2739</v>
      </c>
      <c r="F103" s="72" t="s">
        <v>2739</v>
      </c>
      <c r="G103" s="72" t="s">
        <v>2740</v>
      </c>
      <c r="H103" s="72" t="s">
        <v>2739</v>
      </c>
      <c r="I103" s="72" t="s">
        <v>108</v>
      </c>
      <c r="J103" s="72" t="s">
        <v>2393</v>
      </c>
      <c r="K103" s="72" t="s">
        <v>2747</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2749</v>
      </c>
    </row>
    <row r="104" spans="1:70">
      <c r="A104" s="72" t="s">
        <v>1910</v>
      </c>
      <c r="B104" s="72" t="s">
        <v>2394</v>
      </c>
      <c r="C104" s="72" t="s">
        <v>2395</v>
      </c>
      <c r="D104" s="72" t="s">
        <v>2739</v>
      </c>
      <c r="E104" s="72" t="s">
        <v>2739</v>
      </c>
      <c r="F104" s="72" t="s">
        <v>2739</v>
      </c>
      <c r="G104" s="72" t="s">
        <v>2740</v>
      </c>
      <c r="H104" s="72" t="s">
        <v>2739</v>
      </c>
      <c r="I104" s="72" t="s">
        <v>108</v>
      </c>
      <c r="J104" s="72" t="s">
        <v>2396</v>
      </c>
      <c r="K104" s="72" t="s">
        <v>2747</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3653</v>
      </c>
      <c r="BR104" s="72" t="s">
        <v>2749</v>
      </c>
    </row>
    <row r="105" spans="1:70">
      <c r="A105" s="72" t="s">
        <v>1910</v>
      </c>
      <c r="B105" s="72" t="s">
        <v>2397</v>
      </c>
      <c r="C105" s="72" t="s">
        <v>2398</v>
      </c>
      <c r="D105" s="72" t="s">
        <v>2739</v>
      </c>
      <c r="E105" s="72" t="s">
        <v>2739</v>
      </c>
      <c r="F105" s="72" t="s">
        <v>2739</v>
      </c>
      <c r="G105" s="72" t="s">
        <v>2740</v>
      </c>
      <c r="H105" s="72" t="s">
        <v>2739</v>
      </c>
      <c r="I105" s="72" t="s">
        <v>2315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3654</v>
      </c>
      <c r="BR105" s="72" t="s">
        <v>2739</v>
      </c>
    </row>
    <row r="106" spans="1:70">
      <c r="A106" s="72" t="s">
        <v>1910</v>
      </c>
      <c r="B106" s="72" t="s">
        <v>2399</v>
      </c>
      <c r="C106" s="72" t="s">
        <v>2398</v>
      </c>
      <c r="D106" s="72" t="s">
        <v>2739</v>
      </c>
      <c r="E106" s="72" t="s">
        <v>2739</v>
      </c>
      <c r="F106" s="72" t="s">
        <v>2739</v>
      </c>
      <c r="G106" s="72" t="s">
        <v>2740</v>
      </c>
      <c r="H106" s="72" t="s">
        <v>2739</v>
      </c>
      <c r="I106" s="72" t="s">
        <v>108</v>
      </c>
      <c r="J106" s="72" t="s">
        <v>2739</v>
      </c>
      <c r="K106" s="72" t="s">
        <v>2739</v>
      </c>
      <c r="L106" s="72" t="s">
        <v>2771</v>
      </c>
      <c r="M106" s="72" t="s">
        <v>2739</v>
      </c>
      <c r="N106" s="72" t="s">
        <v>2739</v>
      </c>
      <c r="O106" s="72" t="s">
        <v>2783</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3655</v>
      </c>
      <c r="BR106" s="72" t="s">
        <v>2739</v>
      </c>
    </row>
    <row r="107" spans="1:70">
      <c r="A107" s="72" t="s">
        <v>1910</v>
      </c>
      <c r="B107" s="72" t="s">
        <v>3656</v>
      </c>
      <c r="C107" s="72" t="s">
        <v>2465</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3657</v>
      </c>
      <c r="BR107" s="72" t="s">
        <v>2739</v>
      </c>
    </row>
    <row r="108" spans="1:70">
      <c r="A108" s="72" t="s">
        <v>1910</v>
      </c>
      <c r="B108" s="72" t="s">
        <v>3658</v>
      </c>
      <c r="C108" s="72" t="s">
        <v>3649</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3659</v>
      </c>
      <c r="BR108" s="72" t="s">
        <v>2739</v>
      </c>
    </row>
    <row r="109" spans="1:70">
      <c r="A109" s="72" t="s">
        <v>1910</v>
      </c>
      <c r="B109" s="72" t="s">
        <v>2621</v>
      </c>
      <c r="C109" s="72" t="s">
        <v>2465</v>
      </c>
      <c r="D109" s="72" t="s">
        <v>2739</v>
      </c>
      <c r="E109" s="72" t="s">
        <v>2739</v>
      </c>
      <c r="F109" s="72" t="s">
        <v>2739</v>
      </c>
      <c r="G109" s="72" t="s">
        <v>2740</v>
      </c>
      <c r="H109" s="72" t="s">
        <v>2739</v>
      </c>
      <c r="I109" s="72" t="s">
        <v>552</v>
      </c>
      <c r="J109" s="72" t="s">
        <v>2622</v>
      </c>
      <c r="K109" s="72" t="s">
        <v>2747</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3660</v>
      </c>
      <c r="BR109" s="72" t="s">
        <v>2749</v>
      </c>
    </row>
    <row r="110" spans="1:70">
      <c r="A110" s="72" t="s">
        <v>1912</v>
      </c>
      <c r="B110" s="72" t="s">
        <v>2305</v>
      </c>
      <c r="C110" s="72" t="s">
        <v>2739</v>
      </c>
      <c r="D110" s="72" t="s">
        <v>2739</v>
      </c>
      <c r="E110" s="72" t="s">
        <v>2739</v>
      </c>
      <c r="F110" s="72" t="s">
        <v>2739</v>
      </c>
      <c r="G110" s="72" t="s">
        <v>2740</v>
      </c>
      <c r="H110" s="72" t="s">
        <v>2739</v>
      </c>
      <c r="I110" s="72" t="s">
        <v>552</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3661</v>
      </c>
      <c r="BR110" s="72" t="s">
        <v>2739</v>
      </c>
    </row>
    <row r="111" spans="1:70">
      <c r="A111" s="72" t="s">
        <v>1912</v>
      </c>
      <c r="B111" s="72" t="s">
        <v>3662</v>
      </c>
      <c r="C111" s="72" t="s">
        <v>2403</v>
      </c>
      <c r="D111" s="72" t="s">
        <v>2739</v>
      </c>
      <c r="E111" s="72" t="s">
        <v>2739</v>
      </c>
      <c r="F111" s="72" t="s">
        <v>2739</v>
      </c>
      <c r="G111" s="72" t="s">
        <v>2740</v>
      </c>
      <c r="H111" s="72" t="s">
        <v>2739</v>
      </c>
      <c r="I111" s="72" t="s">
        <v>2771</v>
      </c>
      <c r="J111" s="72" t="s">
        <v>3663</v>
      </c>
      <c r="K111" s="72" t="s">
        <v>2740</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3664</v>
      </c>
      <c r="BR111" s="72" t="s">
        <v>2739</v>
      </c>
    </row>
    <row r="112" spans="1:70">
      <c r="A112" s="72" t="s">
        <v>1912</v>
      </c>
      <c r="B112" s="72" t="s">
        <v>2402</v>
      </c>
      <c r="C112" s="72" t="s">
        <v>2403</v>
      </c>
      <c r="D112" s="72" t="s">
        <v>2739</v>
      </c>
      <c r="E112" s="72" t="s">
        <v>2739</v>
      </c>
      <c r="F112" s="72" t="s">
        <v>2739</v>
      </c>
      <c r="G112" s="72" t="s">
        <v>2740</v>
      </c>
      <c r="H112" s="72" t="s">
        <v>2739</v>
      </c>
      <c r="I112" s="72" t="s">
        <v>108</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3665</v>
      </c>
      <c r="BR112" s="72" t="s">
        <v>2739</v>
      </c>
    </row>
    <row r="113" spans="1:70">
      <c r="A113" s="72" t="s">
        <v>1912</v>
      </c>
      <c r="B113" s="72" t="s">
        <v>2404</v>
      </c>
      <c r="C113" s="72" t="s">
        <v>2403</v>
      </c>
      <c r="D113" s="72" t="s">
        <v>2739</v>
      </c>
      <c r="E113" s="72" t="s">
        <v>2739</v>
      </c>
      <c r="F113" s="72" t="s">
        <v>2739</v>
      </c>
      <c r="G113" s="72" t="s">
        <v>2740</v>
      </c>
      <c r="H113" s="72" t="s">
        <v>2739</v>
      </c>
      <c r="I113" s="72" t="s">
        <v>2315</v>
      </c>
      <c r="J113" s="72" t="s">
        <v>2405</v>
      </c>
      <c r="K113" s="72" t="s">
        <v>2747</v>
      </c>
      <c r="L113" s="72" t="s">
        <v>2739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299" t="s">
        <v>3666</v>
      </c>
      <c r="BR113" s="72" t="s">
        <v>2749</v>
      </c>
    </row>
    <row r="114" spans="1:70">
      <c r="A114" s="72" t="s">
        <v>1912</v>
      </c>
      <c r="B114" s="72" t="s">
        <v>2406</v>
      </c>
      <c r="C114" s="72" t="s">
        <v>2407</v>
      </c>
      <c r="D114" s="72" t="s">
        <v>2739</v>
      </c>
      <c r="E114" s="72" t="s">
        <v>2739</v>
      </c>
      <c r="F114" s="72" t="s">
        <v>2739</v>
      </c>
      <c r="G114" s="72" t="s">
        <v>2740</v>
      </c>
      <c r="H114" s="72" t="s">
        <v>2739</v>
      </c>
      <c r="L114" s="72" t="s">
        <v>2783</v>
      </c>
      <c r="M114" s="72" t="s">
        <v>3667</v>
      </c>
      <c r="N114" s="72" t="s">
        <v>2740</v>
      </c>
      <c r="O114" s="72" t="s">
        <v>3668</v>
      </c>
      <c r="P114" s="72" t="s">
        <v>3667</v>
      </c>
      <c r="Q114" s="72" t="s">
        <v>2740</v>
      </c>
      <c r="R114" s="72" t="s">
        <v>2752</v>
      </c>
      <c r="S114" s="72" t="s">
        <v>3667</v>
      </c>
      <c r="T114" s="72" t="s">
        <v>2740</v>
      </c>
      <c r="U114" s="72" t="s">
        <v>2771</v>
      </c>
      <c r="V114" s="72" t="s">
        <v>3667</v>
      </c>
      <c r="W114" s="72" t="s">
        <v>2740</v>
      </c>
      <c r="X114" s="72" t="s">
        <v>2661</v>
      </c>
      <c r="Y114" s="72" t="s">
        <v>3667</v>
      </c>
      <c r="Z114" s="72" t="s">
        <v>2740</v>
      </c>
      <c r="AA114" s="72" t="s">
        <v>1215</v>
      </c>
      <c r="AB114" s="72" t="s">
        <v>3667</v>
      </c>
      <c r="AC114" s="72" t="s">
        <v>2740</v>
      </c>
      <c r="AD114" s="72" t="s">
        <v>3669</v>
      </c>
      <c r="AE114" s="72" t="s">
        <v>3667</v>
      </c>
      <c r="AF114" s="72" t="s">
        <v>2740</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299" t="s">
        <v>3670</v>
      </c>
      <c r="BR114" s="72" t="s">
        <v>2739</v>
      </c>
    </row>
    <row r="115" spans="1:70">
      <c r="A115" s="72" t="s">
        <v>1912</v>
      </c>
      <c r="B115" s="72" t="s">
        <v>2411</v>
      </c>
      <c r="C115" s="72" t="s">
        <v>2407</v>
      </c>
      <c r="D115" s="72" t="s">
        <v>2739</v>
      </c>
      <c r="E115" s="72" t="s">
        <v>2739</v>
      </c>
      <c r="F115" s="72" t="s">
        <v>2739</v>
      </c>
      <c r="G115" s="72" t="s">
        <v>2740</v>
      </c>
      <c r="H115" s="72" t="s">
        <v>2739</v>
      </c>
      <c r="I115" s="72" t="s">
        <v>108</v>
      </c>
      <c r="J115" s="72" t="s">
        <v>2739</v>
      </c>
      <c r="K115" s="72" t="s">
        <v>2739</v>
      </c>
      <c r="L115" s="72" t="s">
        <v>2771</v>
      </c>
      <c r="M115" s="72" t="s">
        <v>2412</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3671</v>
      </c>
      <c r="BR115" s="72" t="s">
        <v>2739</v>
      </c>
    </row>
    <row r="116" spans="1:70">
      <c r="A116" s="72" t="s">
        <v>1912</v>
      </c>
      <c r="B116" s="72" t="s">
        <v>2413</v>
      </c>
      <c r="C116" s="72" t="s">
        <v>2403</v>
      </c>
      <c r="D116" s="72" t="s">
        <v>2739</v>
      </c>
      <c r="E116" s="72" t="s">
        <v>2739</v>
      </c>
      <c r="F116" s="72" t="s">
        <v>2739</v>
      </c>
      <c r="G116" s="72" t="s">
        <v>2740</v>
      </c>
      <c r="H116" s="72" t="s">
        <v>2739</v>
      </c>
      <c r="I116" s="72" t="s">
        <v>108</v>
      </c>
      <c r="J116" s="72" t="s">
        <v>2739</v>
      </c>
      <c r="K116" s="72" t="s">
        <v>2739</v>
      </c>
      <c r="L116" s="72" t="s">
        <v>3672</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3673</v>
      </c>
      <c r="BR116" s="72" t="s">
        <v>2739</v>
      </c>
    </row>
    <row r="117" spans="1:70">
      <c r="A117" s="72" t="s">
        <v>1912</v>
      </c>
      <c r="B117" s="72" t="s">
        <v>2663</v>
      </c>
      <c r="C117" s="72" t="s">
        <v>2403</v>
      </c>
      <c r="D117" s="72" t="s">
        <v>2739</v>
      </c>
      <c r="E117" s="72" t="s">
        <v>2739</v>
      </c>
      <c r="F117" s="72" t="s">
        <v>2739</v>
      </c>
      <c r="G117" s="72" t="s">
        <v>2740</v>
      </c>
      <c r="H117" s="72" t="s">
        <v>2739</v>
      </c>
      <c r="I117" s="72" t="s">
        <v>2661</v>
      </c>
      <c r="J117" s="72" t="s">
        <v>2739</v>
      </c>
      <c r="K117" s="72" t="s">
        <v>2739</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3674</v>
      </c>
      <c r="BR117" s="72" t="s">
        <v>2739</v>
      </c>
    </row>
    <row r="118" spans="1:70">
      <c r="A118" s="72" t="s">
        <v>1912</v>
      </c>
      <c r="B118" s="72" t="s">
        <v>3675</v>
      </c>
      <c r="C118" s="72" t="s">
        <v>2403</v>
      </c>
      <c r="D118" s="72" t="s">
        <v>2739</v>
      </c>
      <c r="E118" s="72" t="s">
        <v>2739</v>
      </c>
      <c r="F118" s="72" t="s">
        <v>2739</v>
      </c>
      <c r="G118" s="72" t="s">
        <v>2740</v>
      </c>
      <c r="H118" s="72" t="s">
        <v>2739</v>
      </c>
      <c r="I118" s="72" t="s">
        <v>2745</v>
      </c>
      <c r="J118" s="72" t="s">
        <v>2739</v>
      </c>
      <c r="K118" s="72" t="s">
        <v>2739</v>
      </c>
      <c r="L118" s="72" t="s">
        <v>2739</v>
      </c>
      <c r="M118" s="72" t="s">
        <v>2739</v>
      </c>
      <c r="N118" s="72" t="s">
        <v>2739</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3676</v>
      </c>
      <c r="BR118" s="72" t="s">
        <v>2739</v>
      </c>
    </row>
    <row r="119" spans="1:70">
      <c r="A119" s="72" t="s">
        <v>1912</v>
      </c>
      <c r="B119" s="72" t="s">
        <v>3677</v>
      </c>
      <c r="C119" s="72" t="s">
        <v>3678</v>
      </c>
      <c r="D119" s="72" t="s">
        <v>2739</v>
      </c>
      <c r="E119" s="72" t="s">
        <v>2739</v>
      </c>
      <c r="F119" s="72" t="s">
        <v>2739</v>
      </c>
      <c r="G119" s="72" t="s">
        <v>2740</v>
      </c>
      <c r="H119" s="72" t="s">
        <v>2739</v>
      </c>
      <c r="I119" s="72" t="s">
        <v>2745</v>
      </c>
      <c r="J119" s="72" t="s">
        <v>2739</v>
      </c>
      <c r="K119" s="72" t="s">
        <v>2739</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3679</v>
      </c>
      <c r="BR119" s="72" t="s">
        <v>2739</v>
      </c>
    </row>
    <row r="120" spans="1:70">
      <c r="A120" s="72" t="s">
        <v>1912</v>
      </c>
      <c r="B120" s="72" t="s">
        <v>2650</v>
      </c>
      <c r="C120" s="72" t="s">
        <v>2739</v>
      </c>
      <c r="D120" s="72" t="s">
        <v>2739</v>
      </c>
      <c r="E120" s="72" t="s">
        <v>2739</v>
      </c>
      <c r="F120" s="72" t="s">
        <v>2739</v>
      </c>
      <c r="G120" s="72" t="s">
        <v>2740</v>
      </c>
      <c r="H120" s="72" t="s">
        <v>2739</v>
      </c>
      <c r="I120" s="72" t="s">
        <v>2745</v>
      </c>
      <c r="J120" s="72" t="s">
        <v>2739</v>
      </c>
      <c r="K120" s="72" t="s">
        <v>2739</v>
      </c>
      <c r="L120" s="72" t="s">
        <v>2652</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3680</v>
      </c>
      <c r="BR120" s="72" t="s">
        <v>2739</v>
      </c>
    </row>
    <row r="121" spans="1:70">
      <c r="A121" s="72" t="s">
        <v>1912</v>
      </c>
      <c r="B121" s="72" t="s">
        <v>2415</v>
      </c>
      <c r="C121" s="72" t="s">
        <v>2403</v>
      </c>
      <c r="D121" s="72" t="s">
        <v>2739</v>
      </c>
      <c r="E121" s="72" t="s">
        <v>2739</v>
      </c>
      <c r="F121" s="72" t="s">
        <v>2739</v>
      </c>
      <c r="G121" s="72" t="s">
        <v>2740</v>
      </c>
      <c r="H121" s="72" t="s">
        <v>2739</v>
      </c>
      <c r="I121" s="72" t="s">
        <v>108</v>
      </c>
      <c r="J121" s="72" t="s">
        <v>3681</v>
      </c>
      <c r="K121" s="72" t="s">
        <v>2740</v>
      </c>
      <c r="L121" s="72" t="s">
        <v>3682</v>
      </c>
      <c r="M121" s="72" t="s">
        <v>3681</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3683</v>
      </c>
      <c r="BR121" s="72" t="s">
        <v>2739</v>
      </c>
    </row>
    <row r="122" spans="1:70">
      <c r="A122" s="72" t="s">
        <v>1914</v>
      </c>
      <c r="B122" s="72" t="s">
        <v>2269</v>
      </c>
      <c r="C122" s="72" t="s">
        <v>2739</v>
      </c>
      <c r="D122" s="72" t="s">
        <v>2739</v>
      </c>
      <c r="E122" s="72" t="s">
        <v>2739</v>
      </c>
      <c r="F122" s="72" t="s">
        <v>2739</v>
      </c>
      <c r="G122" s="72" t="s">
        <v>2740</v>
      </c>
      <c r="H122" s="72" t="s">
        <v>2739</v>
      </c>
      <c r="I122" s="72" t="s">
        <v>2243</v>
      </c>
      <c r="J122" s="72" t="s">
        <v>2270</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3684</v>
      </c>
      <c r="BR122" s="72" t="s">
        <v>2739</v>
      </c>
    </row>
    <row r="123" spans="1:70">
      <c r="A123" s="72" t="s">
        <v>1914</v>
      </c>
      <c r="B123" s="72" t="s">
        <v>2419</v>
      </c>
      <c r="C123" s="72" t="s">
        <v>2287</v>
      </c>
      <c r="D123" s="72" t="s">
        <v>2739</v>
      </c>
      <c r="E123" s="72" t="s">
        <v>2739</v>
      </c>
      <c r="F123" s="72" t="s">
        <v>2739</v>
      </c>
      <c r="G123" s="72" t="s">
        <v>2740</v>
      </c>
      <c r="H123" s="72" t="s">
        <v>2739</v>
      </c>
      <c r="I123" s="72" t="s">
        <v>2783</v>
      </c>
      <c r="J123" s="72" t="s">
        <v>3685</v>
      </c>
      <c r="K123" s="72" t="s">
        <v>2740</v>
      </c>
      <c r="L123" s="72" t="s">
        <v>108</v>
      </c>
      <c r="M123" s="72" t="s">
        <v>3686</v>
      </c>
      <c r="N123" s="72" t="s">
        <v>2740</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3687</v>
      </c>
      <c r="BR123" s="72" t="s">
        <v>2739</v>
      </c>
    </row>
    <row r="124" spans="1:70">
      <c r="A124" s="72" t="s">
        <v>1914</v>
      </c>
      <c r="B124" s="72" t="s">
        <v>2422</v>
      </c>
      <c r="C124" s="72" t="s">
        <v>2423</v>
      </c>
      <c r="D124" s="72" t="s">
        <v>2739</v>
      </c>
      <c r="E124" s="72" t="s">
        <v>2739</v>
      </c>
      <c r="F124" s="72" t="s">
        <v>2739</v>
      </c>
      <c r="G124" s="72" t="s">
        <v>2740</v>
      </c>
      <c r="H124" s="72" t="s">
        <v>2791</v>
      </c>
      <c r="I124" s="72" t="s">
        <v>108</v>
      </c>
      <c r="J124" s="72" t="s">
        <v>3688</v>
      </c>
      <c r="K124" s="72" t="s">
        <v>2740</v>
      </c>
      <c r="L124" s="72" t="s">
        <v>821</v>
      </c>
      <c r="M124" s="72" t="s">
        <v>3688</v>
      </c>
      <c r="N124" s="72" t="s">
        <v>2740</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3689</v>
      </c>
      <c r="BR124" s="72" t="s">
        <v>2749</v>
      </c>
    </row>
    <row r="125" spans="1:70">
      <c r="A125" s="72" t="s">
        <v>1914</v>
      </c>
      <c r="B125" s="72" t="s">
        <v>2271</v>
      </c>
      <c r="C125" s="72" t="s">
        <v>2272</v>
      </c>
      <c r="D125" s="72" t="s">
        <v>2739</v>
      </c>
      <c r="E125" s="72" t="s">
        <v>2739</v>
      </c>
      <c r="F125" s="72" t="s">
        <v>2739</v>
      </c>
      <c r="G125" s="72" t="s">
        <v>2740</v>
      </c>
      <c r="H125" s="72" t="s">
        <v>2739</v>
      </c>
      <c r="I125" s="72" t="s">
        <v>2243</v>
      </c>
      <c r="J125" s="72" t="s">
        <v>2273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3690</v>
      </c>
      <c r="BR125" s="72" t="s">
        <v>2739</v>
      </c>
    </row>
    <row r="126" spans="1:70">
      <c r="A126" s="72" t="s">
        <v>1914</v>
      </c>
      <c r="B126" s="72" t="s">
        <v>3691</v>
      </c>
      <c r="C126" s="72" t="s">
        <v>2423</v>
      </c>
      <c r="D126" s="72" t="s">
        <v>2739</v>
      </c>
      <c r="E126" s="72" t="s">
        <v>2739</v>
      </c>
      <c r="F126" s="72" t="s">
        <v>2739</v>
      </c>
      <c r="G126" s="72" t="s">
        <v>2740</v>
      </c>
      <c r="H126" s="72" t="s">
        <v>2739</v>
      </c>
      <c r="I126" s="72" t="s">
        <v>2745</v>
      </c>
      <c r="J126" s="72" t="s">
        <v>2739</v>
      </c>
      <c r="K126" s="72" t="s">
        <v>2739</v>
      </c>
      <c r="L126" s="72" t="s">
        <v>2739</v>
      </c>
      <c r="M126" s="72" t="s">
        <v>2739</v>
      </c>
      <c r="N126" s="72" t="s">
        <v>2739</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3692</v>
      </c>
      <c r="BR126" s="72" t="s">
        <v>2739</v>
      </c>
    </row>
    <row r="127" spans="1:70">
      <c r="A127" s="72" t="s">
        <v>1914</v>
      </c>
      <c r="B127" s="72" t="s">
        <v>2274</v>
      </c>
      <c r="C127" s="72" t="s">
        <v>2739</v>
      </c>
      <c r="D127" s="72" t="s">
        <v>2739</v>
      </c>
      <c r="E127" s="72" t="s">
        <v>2739</v>
      </c>
      <c r="F127" s="72" t="s">
        <v>2739</v>
      </c>
      <c r="G127" s="72" t="s">
        <v>2740</v>
      </c>
      <c r="H127" s="72" t="s">
        <v>2739</v>
      </c>
      <c r="I127" s="72" t="s">
        <v>2254</v>
      </c>
      <c r="J127" s="72" t="s">
        <v>2739</v>
      </c>
      <c r="K127" s="72" t="s">
        <v>2739</v>
      </c>
      <c r="L127" s="72" t="s">
        <v>2739</v>
      </c>
      <c r="M127" s="72" t="s">
        <v>2739</v>
      </c>
      <c r="N127" s="72" t="s">
        <v>2739</v>
      </c>
      <c r="O127" s="72" t="s">
        <v>2739</v>
      </c>
      <c r="P127" s="72" t="s">
        <v>2739</v>
      </c>
      <c r="Q127" s="72" t="s">
        <v>2739</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7" t="s">
        <v>3693</v>
      </c>
      <c r="BR127" s="72" t="s">
        <v>2739</v>
      </c>
    </row>
    <row r="128" spans="1:70">
      <c r="A128" s="72" t="s">
        <v>1914</v>
      </c>
      <c r="B128" s="72" t="s">
        <v>2484</v>
      </c>
      <c r="C128" s="72" t="s">
        <v>2465</v>
      </c>
      <c r="D128" s="72" t="s">
        <v>2739</v>
      </c>
      <c r="E128" s="72" t="s">
        <v>2739</v>
      </c>
      <c r="F128" s="72" t="s">
        <v>2739</v>
      </c>
      <c r="G128" s="72" t="s">
        <v>2740</v>
      </c>
      <c r="H128" s="72" t="s">
        <v>2739</v>
      </c>
      <c r="I128" s="72" t="s">
        <v>108</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3694</v>
      </c>
      <c r="BR128" s="72" t="s">
        <v>2739</v>
      </c>
    </row>
    <row r="129" spans="1:70">
      <c r="A129" s="72" t="s">
        <v>1914</v>
      </c>
      <c r="B129" s="72" t="s">
        <v>2426</v>
      </c>
      <c r="C129" s="72" t="s">
        <v>2272</v>
      </c>
      <c r="D129" s="72" t="s">
        <v>2739</v>
      </c>
      <c r="E129" s="72" t="s">
        <v>2739</v>
      </c>
      <c r="F129" s="72" t="s">
        <v>2739</v>
      </c>
      <c r="G129" s="72" t="s">
        <v>2740</v>
      </c>
      <c r="H129" s="72" t="s">
        <v>2739</v>
      </c>
      <c r="I129" s="72" t="s">
        <v>108</v>
      </c>
      <c r="J129" s="72" t="s">
        <v>3695</v>
      </c>
      <c r="K129" s="72" t="s">
        <v>2740</v>
      </c>
      <c r="L129" s="72" t="s">
        <v>2315</v>
      </c>
      <c r="M129" s="72" t="s">
        <v>3695</v>
      </c>
      <c r="N129" s="72" t="s">
        <v>2740</v>
      </c>
      <c r="O129" s="72" t="s">
        <v>2739</v>
      </c>
      <c r="P129" s="72" t="s">
        <v>2739</v>
      </c>
      <c r="Q129" s="72" t="s">
        <v>2739</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3696</v>
      </c>
      <c r="BR129" s="72" t="s">
        <v>2739</v>
      </c>
    </row>
  </sheetData>
  <conditionalFormatting sqref="A2:BR129">
    <cfRule type="expression" priority="1"/>
  </conditionalFormatting>
  <dataValidations count="2">
    <dataValidation type="list" allowBlank="1" showInputMessage="1" showErrorMessage="1" sqref="A305:A2000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3 AC2:AC303 Z2:Z303 W2:W303 K2:K303 G2:G303 F2:F303 D2:D303 BM2:BM303 BJ2:BJ303 BG2:BG303 E2:E303 T2:T303 Q2:Q303 N2:N303 AI2:AI303 AL2:AL303 AO2:AO303 AR2:AR303 AU2:AU303 AX2:AX303 D305:D2000 BA2:BA303 E305:E2000 BD2:BD303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BP2:BP303"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I2:I303 L2:L303 O2:O303 R2:R303 U2:U303 X2:X303 AA2:AA303 AD2:AD303 AG2:AG303 AJ2:AJ303 AM2:AM303 AP2:AP303 AS2:AS303 AV2:AV303 AY2:AY303 BB2:BB303 BE2:BE303 BH2:BH303 BK2:BK303 BN2:BN303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14" activeCellId="3" sqref="H13:XFD13 A13:E13 F14 G1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2747</v>
      </c>
      <c r="F3" s="45" t="s">
        <v>3707</v>
      </c>
      <c r="G3" s="78" t="s">
        <v>3708</v>
      </c>
      <c r="H3" s="46" t="s">
        <v>3709</v>
      </c>
    </row>
    <row r="4" spans="1:8" ht="15" customHeight="1">
      <c r="A4" s="5" t="s">
        <v>1872</v>
      </c>
      <c r="B4" s="5" t="s">
        <v>1865</v>
      </c>
      <c r="C4" s="5" t="s">
        <v>3710</v>
      </c>
      <c r="D4" s="5"/>
      <c r="E4" s="5" t="s">
        <v>2747</v>
      </c>
      <c r="F4" s="45" t="s">
        <v>3711</v>
      </c>
      <c r="G4" s="78" t="s">
        <v>3712</v>
      </c>
      <c r="H4" s="46" t="s">
        <v>3713</v>
      </c>
    </row>
    <row r="5" spans="1:8" ht="15" customHeight="1">
      <c r="A5" s="37" t="s">
        <v>1875</v>
      </c>
      <c r="B5" s="37" t="s">
        <v>1865</v>
      </c>
      <c r="C5" s="37" t="s">
        <v>3714</v>
      </c>
      <c r="D5" s="37"/>
      <c r="E5" s="37" t="s">
        <v>2747</v>
      </c>
      <c r="F5" s="45" t="s">
        <v>3715</v>
      </c>
      <c r="G5" s="78" t="s">
        <v>3716</v>
      </c>
      <c r="H5" s="46" t="s">
        <v>3717</v>
      </c>
    </row>
    <row r="6" spans="1:8" ht="15" customHeight="1">
      <c r="A6" s="5" t="s">
        <v>1878</v>
      </c>
      <c r="B6" s="5" t="s">
        <v>1865</v>
      </c>
      <c r="C6" s="5" t="s">
        <v>3718</v>
      </c>
      <c r="D6" s="5"/>
      <c r="E6" s="5" t="s">
        <v>2747</v>
      </c>
      <c r="F6" s="45" t="s">
        <v>3719</v>
      </c>
      <c r="G6" s="78" t="s">
        <v>3720</v>
      </c>
      <c r="H6" s="46" t="s">
        <v>3721</v>
      </c>
    </row>
    <row r="7" spans="1:8" ht="15" customHeight="1">
      <c r="A7" s="37" t="s">
        <v>1880</v>
      </c>
      <c r="B7" s="37" t="s">
        <v>1865</v>
      </c>
      <c r="C7" s="37" t="s">
        <v>3722</v>
      </c>
      <c r="D7" s="37"/>
      <c r="E7" s="37" t="s">
        <v>2747</v>
      </c>
      <c r="F7" s="45" t="s">
        <v>3723</v>
      </c>
      <c r="G7" s="78" t="s">
        <v>3724</v>
      </c>
      <c r="H7" s="46" t="s">
        <v>3725</v>
      </c>
    </row>
    <row r="8" spans="1:8" ht="15" customHeight="1">
      <c r="A8" s="5" t="s">
        <v>1884</v>
      </c>
      <c r="B8" s="5" t="s">
        <v>1865</v>
      </c>
      <c r="C8" s="5" t="s">
        <v>3726</v>
      </c>
      <c r="D8" s="5"/>
      <c r="E8" s="5" t="s">
        <v>2747</v>
      </c>
      <c r="F8" s="45" t="s">
        <v>3727</v>
      </c>
      <c r="G8" s="78" t="s">
        <v>3728</v>
      </c>
      <c r="H8" s="46" t="s">
        <v>3729</v>
      </c>
    </row>
    <row r="9" spans="1:8" ht="15" customHeight="1">
      <c r="A9" s="37" t="s">
        <v>1886</v>
      </c>
      <c r="B9" s="37" t="s">
        <v>1865</v>
      </c>
      <c r="C9" s="37" t="s">
        <v>3730</v>
      </c>
      <c r="D9" s="37"/>
      <c r="E9" s="37" t="s">
        <v>2747</v>
      </c>
      <c r="F9" s="45" t="s">
        <v>3731</v>
      </c>
      <c r="G9" s="78" t="s">
        <v>3732</v>
      </c>
      <c r="H9" s="46" t="s">
        <v>3733</v>
      </c>
    </row>
    <row r="10" spans="1:8" ht="15" customHeight="1">
      <c r="A10" s="5" t="s">
        <v>1887</v>
      </c>
      <c r="B10" s="5" t="s">
        <v>1865</v>
      </c>
      <c r="C10" s="5" t="s">
        <v>3734</v>
      </c>
      <c r="D10" s="5"/>
      <c r="E10" s="5" t="s">
        <v>2747</v>
      </c>
      <c r="F10" s="45" t="s">
        <v>3735</v>
      </c>
      <c r="G10" s="78" t="s">
        <v>3736</v>
      </c>
      <c r="H10" s="46" t="s">
        <v>3737</v>
      </c>
    </row>
    <row r="11" spans="1:8" ht="15" customHeight="1">
      <c r="A11" s="37" t="s">
        <v>1888</v>
      </c>
      <c r="B11" s="37" t="s">
        <v>1859</v>
      </c>
      <c r="C11" s="37" t="s">
        <v>3738</v>
      </c>
      <c r="D11" s="37" t="s">
        <v>1869</v>
      </c>
      <c r="E11" s="37" t="s">
        <v>2747</v>
      </c>
      <c r="F11" s="78" t="s">
        <v>3739</v>
      </c>
      <c r="G11" s="78" t="s">
        <v>3708</v>
      </c>
      <c r="H11" s="46" t="s">
        <v>3740</v>
      </c>
    </row>
    <row r="12" spans="1:8" ht="15" customHeight="1">
      <c r="A12" s="5" t="s">
        <v>1889</v>
      </c>
      <c r="B12" s="5" t="s">
        <v>1859</v>
      </c>
      <c r="C12" s="5" t="s">
        <v>3741</v>
      </c>
      <c r="D12" s="5"/>
      <c r="E12" s="5" t="s">
        <v>2747</v>
      </c>
      <c r="F12" s="78" t="s">
        <v>3742</v>
      </c>
      <c r="G12" s="78" t="s">
        <v>3743</v>
      </c>
      <c r="H12" s="46" t="s">
        <v>3744</v>
      </c>
    </row>
    <row r="13" spans="1:8" ht="15" customHeight="1">
      <c r="A13" s="37" t="s">
        <v>1890</v>
      </c>
      <c r="B13" s="37" t="s">
        <v>1859</v>
      </c>
      <c r="C13" s="37" t="s">
        <v>3745</v>
      </c>
      <c r="D13" s="37"/>
      <c r="E13" s="37" t="s">
        <v>2747</v>
      </c>
      <c r="F13" s="78" t="s">
        <v>3746</v>
      </c>
      <c r="G13" s="78" t="s">
        <v>3747</v>
      </c>
      <c r="H13" s="46" t="s">
        <v>3748</v>
      </c>
    </row>
    <row r="14" spans="1:8" ht="15" customHeight="1">
      <c r="A14" s="5" t="s">
        <v>1895</v>
      </c>
      <c r="B14" s="5" t="s">
        <v>1859</v>
      </c>
      <c r="C14" s="5" t="s">
        <v>3749</v>
      </c>
      <c r="D14" s="5"/>
      <c r="E14" s="5" t="s">
        <v>2747</v>
      </c>
      <c r="F14" s="78" t="s">
        <v>3750</v>
      </c>
      <c r="G14" s="78" t="s">
        <v>3751</v>
      </c>
      <c r="H14" s="46" t="s">
        <v>3752</v>
      </c>
    </row>
    <row r="15" spans="1:8" ht="15" customHeight="1">
      <c r="A15" s="37" t="s">
        <v>1897</v>
      </c>
      <c r="B15" s="37" t="s">
        <v>1859</v>
      </c>
      <c r="C15" s="37" t="s">
        <v>3753</v>
      </c>
      <c r="D15" s="37"/>
      <c r="E15" s="37" t="s">
        <v>2747</v>
      </c>
      <c r="F15" s="78" t="s">
        <v>3754</v>
      </c>
      <c r="G15" s="78" t="s">
        <v>3755</v>
      </c>
      <c r="H15" s="46" t="s">
        <v>3756</v>
      </c>
    </row>
    <row r="16" spans="1:8" ht="15" customHeight="1">
      <c r="A16" s="5" t="s">
        <v>1899</v>
      </c>
      <c r="B16" s="5" t="s">
        <v>1859</v>
      </c>
      <c r="C16" s="5" t="s">
        <v>3710</v>
      </c>
      <c r="D16" s="5" t="s">
        <v>1872</v>
      </c>
      <c r="E16" s="5" t="s">
        <v>2747</v>
      </c>
      <c r="F16" s="78" t="s">
        <v>3757</v>
      </c>
      <c r="G16" s="78" t="s">
        <v>3712</v>
      </c>
      <c r="H16" s="46" t="s">
        <v>3758</v>
      </c>
    </row>
    <row r="17" spans="1:8" ht="15" customHeight="1">
      <c r="A17" s="37" t="s">
        <v>1902</v>
      </c>
      <c r="B17" s="37" t="s">
        <v>1859</v>
      </c>
      <c r="C17" s="37" t="s">
        <v>3730</v>
      </c>
      <c r="D17" s="37" t="s">
        <v>1886</v>
      </c>
      <c r="E17" s="37" t="s">
        <v>2747</v>
      </c>
      <c r="F17" s="78" t="s">
        <v>3759</v>
      </c>
      <c r="G17" s="78" t="s">
        <v>3732</v>
      </c>
      <c r="H17" s="46" t="s">
        <v>3760</v>
      </c>
    </row>
    <row r="18" spans="1:8" ht="15" customHeight="1">
      <c r="A18" s="5" t="s">
        <v>1903</v>
      </c>
      <c r="B18" s="5" t="s">
        <v>1859</v>
      </c>
      <c r="C18" s="5" t="s">
        <v>3761</v>
      </c>
      <c r="D18" s="5"/>
      <c r="E18" s="5" t="s">
        <v>2747</v>
      </c>
      <c r="F18" s="78" t="s">
        <v>3762</v>
      </c>
      <c r="G18" s="78" t="s">
        <v>3763</v>
      </c>
      <c r="H18" s="46" t="s">
        <v>3764</v>
      </c>
    </row>
    <row r="19" spans="1:8" ht="15" customHeight="1">
      <c r="A19" s="37" t="s">
        <v>1905</v>
      </c>
      <c r="B19" s="37" t="s">
        <v>1859</v>
      </c>
      <c r="C19" s="37" t="s">
        <v>3765</v>
      </c>
      <c r="D19" s="37"/>
      <c r="E19" s="37" t="s">
        <v>2747</v>
      </c>
      <c r="F19" s="78" t="s">
        <v>3766</v>
      </c>
      <c r="G19" s="78" t="s">
        <v>3767</v>
      </c>
      <c r="H19" s="46" t="s">
        <v>3768</v>
      </c>
    </row>
    <row r="20" spans="1:8" ht="15" customHeight="1">
      <c r="A20" s="5" t="s">
        <v>1910</v>
      </c>
      <c r="B20" s="5" t="s">
        <v>1859</v>
      </c>
      <c r="C20" s="5" t="s">
        <v>3769</v>
      </c>
      <c r="D20" s="5"/>
      <c r="E20" s="5" t="s">
        <v>2747</v>
      </c>
      <c r="F20" s="78" t="s">
        <v>3770</v>
      </c>
      <c r="G20" s="78" t="s">
        <v>3771</v>
      </c>
      <c r="H20" s="46" t="s">
        <v>3772</v>
      </c>
    </row>
    <row r="21" spans="1:8" ht="15" customHeight="1">
      <c r="A21" s="37" t="s">
        <v>1912</v>
      </c>
      <c r="B21" s="37" t="s">
        <v>1859</v>
      </c>
      <c r="C21" s="37" t="s">
        <v>3773</v>
      </c>
      <c r="D21" s="37"/>
      <c r="E21" s="37" t="s">
        <v>2747</v>
      </c>
      <c r="F21" s="78" t="s">
        <v>3774</v>
      </c>
      <c r="G21" s="78" t="s">
        <v>3775</v>
      </c>
      <c r="H21" s="46" t="s">
        <v>3776</v>
      </c>
    </row>
    <row r="22" spans="1:8" ht="15" customHeight="1">
      <c r="A22" s="5" t="s">
        <v>1914</v>
      </c>
      <c r="B22" s="5" t="s">
        <v>1859</v>
      </c>
      <c r="C22" s="5" t="s">
        <v>3777</v>
      </c>
      <c r="D22" s="5"/>
      <c r="E22" s="5" t="s">
        <v>2747</v>
      </c>
      <c r="F22" s="78" t="s">
        <v>3778</v>
      </c>
      <c r="G22" s="78" t="s">
        <v>3779</v>
      </c>
      <c r="H22" s="46" t="s">
        <v>3780</v>
      </c>
    </row>
    <row r="23" spans="1:8" ht="15" customHeight="1">
      <c r="A23" s="37" t="s">
        <v>3781</v>
      </c>
      <c r="B23" s="37" t="s">
        <v>3782</v>
      </c>
      <c r="C23" s="37" t="s">
        <v>3706</v>
      </c>
      <c r="D23" s="37" t="s">
        <v>1869</v>
      </c>
      <c r="E23" s="37" t="s">
        <v>2747</v>
      </c>
      <c r="F23" s="78" t="s">
        <v>3783</v>
      </c>
      <c r="G23" s="45" t="s">
        <v>3708</v>
      </c>
      <c r="H23" s="46" t="s">
        <v>3709</v>
      </c>
    </row>
    <row r="24" spans="1:8" ht="15" customHeight="1">
      <c r="A24" s="5" t="s">
        <v>3784</v>
      </c>
      <c r="B24" s="5" t="s">
        <v>3782</v>
      </c>
      <c r="C24" s="5" t="s">
        <v>3710</v>
      </c>
      <c r="D24" s="5" t="s">
        <v>1872</v>
      </c>
      <c r="E24" s="5" t="s">
        <v>2747</v>
      </c>
      <c r="F24" s="78" t="s">
        <v>3785</v>
      </c>
      <c r="G24" s="45" t="s">
        <v>3712</v>
      </c>
      <c r="H24" s="46" t="s">
        <v>3713</v>
      </c>
    </row>
    <row r="25" spans="1:8" ht="15" customHeight="1">
      <c r="A25" s="37" t="s">
        <v>3786</v>
      </c>
      <c r="B25" s="37" t="s">
        <v>3782</v>
      </c>
      <c r="C25" s="37" t="s">
        <v>3714</v>
      </c>
      <c r="D25" s="37" t="s">
        <v>1875</v>
      </c>
      <c r="E25" s="37" t="s">
        <v>2747</v>
      </c>
      <c r="F25" s="78" t="s">
        <v>3787</v>
      </c>
      <c r="G25" s="45" t="s">
        <v>3716</v>
      </c>
      <c r="H25" s="46" t="s">
        <v>3717</v>
      </c>
    </row>
    <row r="26" spans="1:8" ht="15" customHeight="1">
      <c r="A26" s="5" t="s">
        <v>3788</v>
      </c>
      <c r="B26" s="5" t="s">
        <v>3782</v>
      </c>
      <c r="C26" s="5" t="s">
        <v>3718</v>
      </c>
      <c r="D26" s="5" t="s">
        <v>1878</v>
      </c>
      <c r="E26" s="5" t="s">
        <v>2747</v>
      </c>
      <c r="F26" s="78" t="s">
        <v>3789</v>
      </c>
      <c r="G26" s="45" t="s">
        <v>3720</v>
      </c>
      <c r="H26" s="46" t="s">
        <v>3721</v>
      </c>
    </row>
    <row r="27" spans="1:8" ht="15" customHeight="1">
      <c r="A27" s="37" t="s">
        <v>3790</v>
      </c>
      <c r="B27" s="37" t="s">
        <v>3782</v>
      </c>
      <c r="C27" s="37" t="s">
        <v>3722</v>
      </c>
      <c r="D27" s="37" t="s">
        <v>1880</v>
      </c>
      <c r="E27" s="37" t="s">
        <v>2747</v>
      </c>
      <c r="F27" s="78" t="s">
        <v>3791</v>
      </c>
      <c r="G27" s="45" t="s">
        <v>3724</v>
      </c>
      <c r="H27" s="46" t="s">
        <v>3725</v>
      </c>
    </row>
    <row r="28" spans="1:8" ht="15" customHeight="1">
      <c r="A28" s="5" t="s">
        <v>3792</v>
      </c>
      <c r="B28" s="5" t="s">
        <v>3782</v>
      </c>
      <c r="C28" s="5" t="s">
        <v>3793</v>
      </c>
      <c r="D28" s="5" t="s">
        <v>1884</v>
      </c>
      <c r="E28" s="5" t="s">
        <v>2747</v>
      </c>
      <c r="F28" s="78" t="s">
        <v>3794</v>
      </c>
      <c r="G28" s="45" t="s">
        <v>3728</v>
      </c>
      <c r="H28" s="46" t="s">
        <v>3729</v>
      </c>
    </row>
    <row r="29" spans="1:8" ht="15" customHeight="1">
      <c r="A29" s="37" t="s">
        <v>3795</v>
      </c>
      <c r="B29" s="37" t="s">
        <v>3782</v>
      </c>
      <c r="C29" s="37" t="s">
        <v>3730</v>
      </c>
      <c r="D29" s="37" t="s">
        <v>1886</v>
      </c>
      <c r="E29" s="37" t="s">
        <v>2747</v>
      </c>
      <c r="F29" s="78" t="s">
        <v>3796</v>
      </c>
      <c r="G29" s="45" t="s">
        <v>3732</v>
      </c>
      <c r="H29" s="46" t="s">
        <v>3733</v>
      </c>
    </row>
    <row r="30" spans="1:8" ht="15" customHeight="1">
      <c r="A30" s="5" t="s">
        <v>3797</v>
      </c>
      <c r="B30" s="5" t="s">
        <v>3782</v>
      </c>
      <c r="C30" s="5" t="s">
        <v>3734</v>
      </c>
      <c r="D30" s="5" t="s">
        <v>1887</v>
      </c>
      <c r="E30" s="5" t="s">
        <v>2747</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3799</v>
      </c>
    </row>
    <row r="2" spans="1:16" ht="15" customHeight="1">
      <c r="A2" t="s">
        <v>1869</v>
      </c>
      <c r="B2" t="s">
        <v>2764</v>
      </c>
      <c r="C2" t="s">
        <v>2802</v>
      </c>
      <c r="D2" t="s">
        <v>2849</v>
      </c>
      <c r="E2" t="s">
        <v>2744</v>
      </c>
      <c r="F2" t="s">
        <v>2751</v>
      </c>
      <c r="G2" t="s">
        <v>2738</v>
      </c>
      <c r="H2" t="s">
        <v>2881</v>
      </c>
      <c r="I2" t="s">
        <v>2852</v>
      </c>
      <c r="J2" t="s">
        <v>2867</v>
      </c>
      <c r="K2" t="s">
        <v>3048</v>
      </c>
      <c r="L2" t="s">
        <v>2824</v>
      </c>
      <c r="M2" t="s">
        <v>3800</v>
      </c>
      <c r="N2" t="s">
        <v>3782</v>
      </c>
      <c r="O2" t="s">
        <v>2465</v>
      </c>
      <c r="P2" t="s">
        <v>2759</v>
      </c>
    </row>
    <row r="3" spans="1:16" ht="15" customHeight="1">
      <c r="A3" t="s">
        <v>1872</v>
      </c>
      <c r="B3" t="s">
        <v>2764</v>
      </c>
      <c r="C3" t="s">
        <v>2802</v>
      </c>
      <c r="D3" t="s">
        <v>2849</v>
      </c>
      <c r="E3" t="s">
        <v>2744</v>
      </c>
      <c r="F3" t="s">
        <v>2751</v>
      </c>
      <c r="G3" t="s">
        <v>2738</v>
      </c>
      <c r="H3" t="s">
        <v>2881</v>
      </c>
      <c r="I3" t="s">
        <v>2852</v>
      </c>
      <c r="J3" t="s">
        <v>2867</v>
      </c>
      <c r="K3" t="s">
        <v>3048</v>
      </c>
      <c r="L3" t="s">
        <v>2824</v>
      </c>
      <c r="M3" t="s">
        <v>3800</v>
      </c>
      <c r="N3" t="s">
        <v>3782</v>
      </c>
      <c r="O3" t="s">
        <v>2465</v>
      </c>
      <c r="P3" t="s">
        <v>2759</v>
      </c>
    </row>
    <row r="4" spans="1:16" ht="15" customHeight="1">
      <c r="A4" t="s">
        <v>1875</v>
      </c>
      <c r="B4" t="s">
        <v>2764</v>
      </c>
      <c r="C4" t="s">
        <v>2802</v>
      </c>
      <c r="D4" t="s">
        <v>2849</v>
      </c>
      <c r="E4" t="s">
        <v>2744</v>
      </c>
      <c r="F4" t="s">
        <v>2751</v>
      </c>
      <c r="G4" t="s">
        <v>2738</v>
      </c>
      <c r="H4" t="s">
        <v>2881</v>
      </c>
      <c r="I4" t="s">
        <v>2852</v>
      </c>
      <c r="J4" t="s">
        <v>2867</v>
      </c>
      <c r="K4" t="s">
        <v>3048</v>
      </c>
      <c r="L4" t="s">
        <v>2824</v>
      </c>
      <c r="M4" t="s">
        <v>3800</v>
      </c>
      <c r="N4" t="s">
        <v>3782</v>
      </c>
      <c r="O4" t="s">
        <v>2465</v>
      </c>
      <c r="P4" t="s">
        <v>2759</v>
      </c>
    </row>
    <row r="5" spans="1:16" ht="15" customHeight="1">
      <c r="A5" t="s">
        <v>1878</v>
      </c>
      <c r="B5" t="s">
        <v>2764</v>
      </c>
      <c r="C5" t="s">
        <v>2802</v>
      </c>
      <c r="D5" t="s">
        <v>2849</v>
      </c>
      <c r="E5" t="s">
        <v>2744</v>
      </c>
      <c r="F5" t="s">
        <v>2751</v>
      </c>
      <c r="G5" t="s">
        <v>2738</v>
      </c>
      <c r="H5" t="s">
        <v>2881</v>
      </c>
      <c r="I5" t="s">
        <v>2852</v>
      </c>
      <c r="J5" t="s">
        <v>2867</v>
      </c>
      <c r="K5" t="s">
        <v>3048</v>
      </c>
      <c r="L5" t="s">
        <v>2824</v>
      </c>
      <c r="M5" t="s">
        <v>3800</v>
      </c>
      <c r="N5" t="s">
        <v>3782</v>
      </c>
      <c r="O5" t="s">
        <v>2465</v>
      </c>
      <c r="P5" t="s">
        <v>2759</v>
      </c>
    </row>
    <row r="6" spans="1:16" ht="15" customHeight="1">
      <c r="A6" t="s">
        <v>1880</v>
      </c>
      <c r="B6" t="s">
        <v>2764</v>
      </c>
      <c r="C6" t="s">
        <v>2802</v>
      </c>
      <c r="D6" t="s">
        <v>2849</v>
      </c>
      <c r="E6" t="s">
        <v>2744</v>
      </c>
      <c r="F6" t="s">
        <v>2751</v>
      </c>
      <c r="G6" t="s">
        <v>2738</v>
      </c>
      <c r="H6" t="s">
        <v>2881</v>
      </c>
      <c r="I6" t="s">
        <v>2852</v>
      </c>
      <c r="J6" t="s">
        <v>2867</v>
      </c>
      <c r="K6" t="s">
        <v>3048</v>
      </c>
      <c r="L6" t="s">
        <v>2824</v>
      </c>
      <c r="M6" t="s">
        <v>3800</v>
      </c>
      <c r="N6" t="s">
        <v>3782</v>
      </c>
      <c r="O6" t="s">
        <v>2465</v>
      </c>
      <c r="P6" t="s">
        <v>2759</v>
      </c>
    </row>
    <row r="7" spans="1:16" ht="15" customHeight="1">
      <c r="A7" t="s">
        <v>1884</v>
      </c>
      <c r="B7" t="s">
        <v>2764</v>
      </c>
      <c r="C7" t="s">
        <v>2802</v>
      </c>
      <c r="D7" t="s">
        <v>2849</v>
      </c>
      <c r="E7" t="s">
        <v>2744</v>
      </c>
      <c r="F7" t="s">
        <v>2751</v>
      </c>
      <c r="G7" t="s">
        <v>2738</v>
      </c>
      <c r="H7" t="s">
        <v>2881</v>
      </c>
      <c r="I7" t="s">
        <v>2852</v>
      </c>
      <c r="J7" t="s">
        <v>2867</v>
      </c>
      <c r="K7" t="s">
        <v>3048</v>
      </c>
      <c r="L7" t="s">
        <v>2824</v>
      </c>
      <c r="M7" t="s">
        <v>3800</v>
      </c>
      <c r="N7" t="s">
        <v>3782</v>
      </c>
      <c r="O7" t="s">
        <v>2465</v>
      </c>
      <c r="P7" t="s">
        <v>2759</v>
      </c>
    </row>
    <row r="8" spans="1:16" ht="15" customHeight="1">
      <c r="A8" t="s">
        <v>1886</v>
      </c>
      <c r="B8" t="s">
        <v>2764</v>
      </c>
      <c r="C8" t="s">
        <v>2802</v>
      </c>
      <c r="D8" t="s">
        <v>2849</v>
      </c>
      <c r="E8" t="s">
        <v>2744</v>
      </c>
      <c r="F8" t="s">
        <v>2751</v>
      </c>
      <c r="G8" t="s">
        <v>2738</v>
      </c>
      <c r="H8" t="s">
        <v>2881</v>
      </c>
      <c r="I8" t="s">
        <v>2852</v>
      </c>
      <c r="J8" t="s">
        <v>2867</v>
      </c>
      <c r="K8" t="s">
        <v>3048</v>
      </c>
      <c r="L8" t="s">
        <v>2824</v>
      </c>
      <c r="M8" t="s">
        <v>3800</v>
      </c>
      <c r="N8" t="s">
        <v>3782</v>
      </c>
      <c r="O8" t="s">
        <v>2465</v>
      </c>
      <c r="P8" t="s">
        <v>2759</v>
      </c>
    </row>
    <row r="9" spans="1:16" ht="15" customHeight="1">
      <c r="A9" t="s">
        <v>1887</v>
      </c>
      <c r="B9" t="s">
        <v>2764</v>
      </c>
      <c r="C9" t="s">
        <v>2802</v>
      </c>
      <c r="D9" t="s">
        <v>2849</v>
      </c>
      <c r="E9" t="s">
        <v>2744</v>
      </c>
      <c r="F9" t="s">
        <v>2751</v>
      </c>
      <c r="G9" t="s">
        <v>2738</v>
      </c>
      <c r="H9" t="s">
        <v>2881</v>
      </c>
      <c r="I9" t="s">
        <v>2852</v>
      </c>
      <c r="J9" t="s">
        <v>2867</v>
      </c>
      <c r="K9" t="s">
        <v>3048</v>
      </c>
      <c r="L9" t="s">
        <v>2824</v>
      </c>
      <c r="M9" t="s">
        <v>3800</v>
      </c>
      <c r="N9" t="s">
        <v>3782</v>
      </c>
      <c r="O9" t="s">
        <v>2465</v>
      </c>
      <c r="P9" t="s">
        <v>2759</v>
      </c>
    </row>
    <row r="10" spans="1:16" ht="15" customHeight="1">
      <c r="A10" t="s">
        <v>1888</v>
      </c>
      <c r="B10" t="s">
        <v>3506</v>
      </c>
      <c r="C10" t="s">
        <v>2277</v>
      </c>
      <c r="D10" t="s">
        <v>3801</v>
      </c>
      <c r="E10" t="s">
        <v>2242</v>
      </c>
      <c r="F10" t="s">
        <v>2314</v>
      </c>
      <c r="G10" t="s">
        <v>2465</v>
      </c>
    </row>
    <row r="11" spans="1:16" ht="15" customHeight="1">
      <c r="A11" t="s">
        <v>1889</v>
      </c>
      <c r="B11" t="s">
        <v>2249</v>
      </c>
      <c r="C11" t="s">
        <v>3509</v>
      </c>
      <c r="D11" t="s">
        <v>2325</v>
      </c>
      <c r="E11" t="s">
        <v>2321</v>
      </c>
      <c r="F11" t="s">
        <v>2465</v>
      </c>
    </row>
    <row r="12" spans="1:16" ht="15" customHeight="1">
      <c r="A12" t="s">
        <v>1890</v>
      </c>
      <c r="B12" t="s">
        <v>2282</v>
      </c>
      <c r="C12" t="s">
        <v>2465</v>
      </c>
    </row>
    <row r="13" spans="1:16" ht="15" customHeight="1">
      <c r="A13" t="s">
        <v>1895</v>
      </c>
      <c r="B13" t="s">
        <v>2341</v>
      </c>
      <c r="C13" t="s">
        <v>2336</v>
      </c>
      <c r="D13" t="s">
        <v>2611</v>
      </c>
      <c r="E13" t="s">
        <v>2465</v>
      </c>
    </row>
    <row r="14" spans="1:16" ht="15" customHeight="1">
      <c r="A14" t="s">
        <v>1897</v>
      </c>
      <c r="B14" t="s">
        <v>2249</v>
      </c>
      <c r="C14" t="s">
        <v>2257</v>
      </c>
      <c r="D14" t="s">
        <v>2346</v>
      </c>
      <c r="E14" t="s">
        <v>2465</v>
      </c>
    </row>
    <row r="15" spans="1:16" ht="15" customHeight="1">
      <c r="A15" t="s">
        <v>1899</v>
      </c>
      <c r="B15" t="s">
        <v>3553</v>
      </c>
      <c r="C15" t="s">
        <v>2358</v>
      </c>
      <c r="D15" t="s">
        <v>2351</v>
      </c>
      <c r="E15" t="s">
        <v>3802</v>
      </c>
      <c r="F15" t="s">
        <v>2465</v>
      </c>
    </row>
    <row r="16" spans="1:16" ht="15" customHeight="1">
      <c r="A16" t="s">
        <v>1902</v>
      </c>
      <c r="B16" t="s">
        <v>2257</v>
      </c>
      <c r="C16" t="s">
        <v>2351</v>
      </c>
      <c r="D16" t="s">
        <v>2346</v>
      </c>
      <c r="E16" t="s">
        <v>2368</v>
      </c>
      <c r="F16" t="s">
        <v>2465</v>
      </c>
    </row>
    <row r="17" spans="1:9" ht="15" customHeight="1">
      <c r="A17" t="s">
        <v>1903</v>
      </c>
      <c r="B17" t="s">
        <v>2374</v>
      </c>
      <c r="C17" t="s">
        <v>2376</v>
      </c>
      <c r="D17" t="s">
        <v>2298</v>
      </c>
      <c r="E17" t="s">
        <v>2465</v>
      </c>
    </row>
    <row r="18" spans="1:9" ht="15" customHeight="1">
      <c r="A18" t="s">
        <v>1905</v>
      </c>
      <c r="B18" t="s">
        <v>2263</v>
      </c>
      <c r="C18" t="s">
        <v>2266</v>
      </c>
      <c r="D18" t="s">
        <v>2301</v>
      </c>
      <c r="E18" t="s">
        <v>2616</v>
      </c>
      <c r="F18" t="s">
        <v>3621</v>
      </c>
      <c r="G18" t="s">
        <v>3604</v>
      </c>
      <c r="H18" t="s">
        <v>2298</v>
      </c>
      <c r="I18" t="s">
        <v>2465</v>
      </c>
    </row>
    <row r="19" spans="1:9" ht="15" customHeight="1">
      <c r="A19" t="s">
        <v>1910</v>
      </c>
      <c r="B19" t="s">
        <v>2301</v>
      </c>
      <c r="C19" t="s">
        <v>2395</v>
      </c>
      <c r="D19" t="s">
        <v>2398</v>
      </c>
      <c r="E19" t="s">
        <v>3649</v>
      </c>
      <c r="F19" t="s">
        <v>2465</v>
      </c>
    </row>
    <row r="20" spans="1:9" ht="15" customHeight="1">
      <c r="A20" t="s">
        <v>1912</v>
      </c>
      <c r="B20" t="s">
        <v>2403</v>
      </c>
      <c r="C20" t="s">
        <v>2407</v>
      </c>
      <c r="D20" t="s">
        <v>3803</v>
      </c>
      <c r="E20" t="s">
        <v>3804</v>
      </c>
      <c r="F20" t="s">
        <v>2465</v>
      </c>
    </row>
    <row r="21" spans="1:9" ht="15" customHeight="1">
      <c r="A21" t="s">
        <v>1914</v>
      </c>
      <c r="B21" t="s">
        <v>2423</v>
      </c>
      <c r="C21" t="s">
        <v>2272</v>
      </c>
      <c r="D21" t="s">
        <v>2465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3805</v>
      </c>
      <c r="B1" s="356"/>
      <c r="C1" s="356"/>
      <c r="D1" s="356"/>
      <c r="E1" s="356"/>
    </row>
    <row r="2" spans="1:5" ht="43.5" customHeight="1">
      <c r="A2" s="36" t="s">
        <v>3806</v>
      </c>
      <c r="B2" s="36" t="s">
        <v>3807</v>
      </c>
      <c r="C2" s="36" t="s">
        <v>3808</v>
      </c>
      <c r="D2" s="36" t="s">
        <v>3809</v>
      </c>
      <c r="E2" s="36" t="s">
        <v>1455</v>
      </c>
    </row>
    <row r="3" spans="1:5" ht="15" customHeight="1">
      <c r="A3" s="37" t="s">
        <v>3810</v>
      </c>
      <c r="B3" s="38">
        <v>45901</v>
      </c>
      <c r="C3" s="38">
        <v>46215</v>
      </c>
      <c r="D3" s="37"/>
      <c r="E3" s="37" t="s">
        <v>3811</v>
      </c>
    </row>
    <row r="4" spans="1:5" ht="15" customHeight="1">
      <c r="A4" s="5" t="s">
        <v>3812</v>
      </c>
      <c r="B4" s="35">
        <v>45901</v>
      </c>
      <c r="C4" s="35">
        <v>46186</v>
      </c>
      <c r="D4" s="5"/>
      <c r="E4" s="5" t="s">
        <v>3813</v>
      </c>
    </row>
    <row r="5" spans="1:5" ht="15" customHeight="1">
      <c r="A5" s="37" t="s">
        <v>3810</v>
      </c>
      <c r="B5" s="38">
        <v>46216</v>
      </c>
      <c r="C5" s="38">
        <v>46237</v>
      </c>
      <c r="D5" s="37" t="s">
        <v>3814</v>
      </c>
      <c r="E5" s="37" t="s">
        <v>3815</v>
      </c>
    </row>
    <row r="6" spans="1:5" ht="26.25" customHeight="1">
      <c r="A6" s="5" t="s">
        <v>3812</v>
      </c>
      <c r="B6" s="35">
        <v>46187</v>
      </c>
      <c r="C6" s="35">
        <v>46259</v>
      </c>
      <c r="D6" s="5" t="s">
        <v>3816</v>
      </c>
      <c r="E6" s="5" t="s">
        <v>3817</v>
      </c>
    </row>
    <row r="7" spans="1:5" ht="15" customHeight="1">
      <c r="A7" s="37" t="s">
        <v>3810</v>
      </c>
      <c r="B7" s="38">
        <v>46238</v>
      </c>
      <c r="C7" s="38">
        <v>46568</v>
      </c>
      <c r="D7" s="37"/>
      <c r="E7" s="37" t="s">
        <v>3818</v>
      </c>
    </row>
    <row r="8" spans="1:5" ht="15" customHeight="1">
      <c r="A8" s="5" t="s">
        <v>3812</v>
      </c>
      <c r="B8" s="35">
        <v>46260</v>
      </c>
      <c r="C8" s="35">
        <v>46550</v>
      </c>
      <c r="D8" s="5"/>
      <c r="E8" s="5" t="s">
        <v>3819</v>
      </c>
    </row>
    <row r="9" spans="1:5" ht="15" customHeight="1">
      <c r="A9" s="37" t="s">
        <v>1834</v>
      </c>
      <c r="B9" s="38">
        <v>46013</v>
      </c>
      <c r="C9" s="38">
        <v>46026</v>
      </c>
      <c r="D9" s="37" t="s">
        <v>3820</v>
      </c>
      <c r="E9" s="37" t="s">
        <v>3821</v>
      </c>
    </row>
    <row r="10" spans="1:5" ht="15" customHeight="1">
      <c r="A10" s="5" t="s">
        <v>1834</v>
      </c>
      <c r="B10" s="35">
        <v>46113</v>
      </c>
      <c r="C10" s="35">
        <v>46117</v>
      </c>
      <c r="D10" s="5" t="s">
        <v>3822</v>
      </c>
      <c r="E10" s="5" t="s">
        <v>3823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3824</v>
      </c>
      <c r="B1" s="290" t="s">
        <v>1836</v>
      </c>
      <c r="C1" s="290" t="s">
        <v>2668</v>
      </c>
      <c r="D1" s="290" t="s">
        <v>3825</v>
      </c>
      <c r="E1" s="290" t="s">
        <v>3826</v>
      </c>
      <c r="F1" s="290" t="s">
        <v>1455</v>
      </c>
      <c r="G1" s="290" t="s">
        <v>3827</v>
      </c>
      <c r="H1" s="290" t="s">
        <v>3828</v>
      </c>
      <c r="I1" s="290" t="s">
        <v>3829</v>
      </c>
      <c r="J1" s="290" t="s">
        <v>3830</v>
      </c>
    </row>
    <row r="2" spans="1:10">
      <c r="A2" s="291" t="s">
        <v>3831</v>
      </c>
      <c r="B2" s="291" t="s">
        <v>3832</v>
      </c>
      <c r="C2" s="291" t="s">
        <v>1887</v>
      </c>
      <c r="D2" s="291" t="s">
        <v>3833</v>
      </c>
      <c r="E2" s="291"/>
      <c r="F2" s="291" t="s">
        <v>3834</v>
      </c>
      <c r="G2" s="291" t="s">
        <v>3835</v>
      </c>
      <c r="H2" s="291"/>
      <c r="I2" s="291" t="s">
        <v>3836</v>
      </c>
      <c r="J2" s="291" t="s">
        <v>3837</v>
      </c>
    </row>
    <row r="3" spans="1:10">
      <c r="A3" s="291" t="s">
        <v>3838</v>
      </c>
      <c r="B3" s="291" t="s">
        <v>3832</v>
      </c>
      <c r="C3" s="291" t="s">
        <v>1869</v>
      </c>
      <c r="D3" s="291" t="s">
        <v>3833</v>
      </c>
      <c r="E3" s="291"/>
      <c r="F3" s="291" t="s">
        <v>3834</v>
      </c>
      <c r="G3" s="291" t="s">
        <v>3835</v>
      </c>
      <c r="H3" s="291"/>
      <c r="I3" s="291" t="s">
        <v>3836</v>
      </c>
      <c r="J3" s="291" t="s">
        <v>3837</v>
      </c>
    </row>
    <row r="4" spans="1:10">
      <c r="A4" s="291" t="s">
        <v>3839</v>
      </c>
      <c r="B4" s="291" t="s">
        <v>3832</v>
      </c>
      <c r="C4" s="291" t="s">
        <v>1872</v>
      </c>
      <c r="D4" s="291" t="s">
        <v>3833</v>
      </c>
      <c r="E4" s="291"/>
      <c r="F4" s="291" t="s">
        <v>3834</v>
      </c>
      <c r="G4" s="291" t="s">
        <v>3835</v>
      </c>
      <c r="H4" s="291"/>
      <c r="I4" s="291" t="s">
        <v>3836</v>
      </c>
      <c r="J4" s="291" t="s">
        <v>3837</v>
      </c>
    </row>
    <row r="5" spans="1:10">
      <c r="A5" s="291" t="s">
        <v>3840</v>
      </c>
      <c r="B5" s="291" t="s">
        <v>3832</v>
      </c>
      <c r="C5" s="291" t="s">
        <v>1875</v>
      </c>
      <c r="D5" s="291" t="s">
        <v>3833</v>
      </c>
      <c r="E5" s="291"/>
      <c r="F5" s="291" t="s">
        <v>3841</v>
      </c>
      <c r="G5" s="291" t="s">
        <v>3835</v>
      </c>
      <c r="H5" s="291"/>
      <c r="I5" s="291" t="s">
        <v>3836</v>
      </c>
      <c r="J5" s="291" t="s">
        <v>3842</v>
      </c>
    </row>
    <row r="6" spans="1:10">
      <c r="A6" s="291" t="s">
        <v>3843</v>
      </c>
      <c r="B6" s="291" t="s">
        <v>3832</v>
      </c>
      <c r="C6" s="291" t="s">
        <v>1878</v>
      </c>
      <c r="D6" s="291" t="s">
        <v>3833</v>
      </c>
      <c r="E6" s="291"/>
      <c r="F6" s="291" t="s">
        <v>3834</v>
      </c>
      <c r="G6" s="291" t="s">
        <v>3835</v>
      </c>
      <c r="H6" s="291"/>
      <c r="I6" s="291" t="s">
        <v>3836</v>
      </c>
      <c r="J6" s="291" t="s">
        <v>3837</v>
      </c>
    </row>
    <row r="7" spans="1:10">
      <c r="A7" s="291" t="s">
        <v>3844</v>
      </c>
      <c r="B7" s="291" t="s">
        <v>3832</v>
      </c>
      <c r="C7" s="291" t="s">
        <v>1884</v>
      </c>
      <c r="D7" s="291" t="s">
        <v>3833</v>
      </c>
      <c r="E7" s="291"/>
      <c r="F7" s="291" t="s">
        <v>3834</v>
      </c>
      <c r="G7" s="291" t="s">
        <v>3835</v>
      </c>
      <c r="H7" s="291"/>
      <c r="I7" s="291" t="s">
        <v>3836</v>
      </c>
      <c r="J7" s="291" t="s">
        <v>3837</v>
      </c>
    </row>
    <row r="8" spans="1:10">
      <c r="A8" s="291" t="s">
        <v>3845</v>
      </c>
      <c r="B8" s="291" t="s">
        <v>3832</v>
      </c>
      <c r="C8" s="291" t="s">
        <v>1886</v>
      </c>
      <c r="D8" s="291" t="s">
        <v>3833</v>
      </c>
      <c r="E8" s="291"/>
      <c r="F8" s="291" t="s">
        <v>3834</v>
      </c>
      <c r="G8" s="291" t="s">
        <v>3835</v>
      </c>
      <c r="H8" s="291"/>
      <c r="I8" s="291" t="s">
        <v>3836</v>
      </c>
      <c r="J8" s="291" t="s">
        <v>3837</v>
      </c>
    </row>
    <row r="9" spans="1:10">
      <c r="A9" s="291" t="s">
        <v>3846</v>
      </c>
      <c r="B9" s="291" t="s">
        <v>3832</v>
      </c>
      <c r="C9" s="291" t="s">
        <v>1880</v>
      </c>
      <c r="D9" s="291" t="s">
        <v>3833</v>
      </c>
      <c r="E9" s="291"/>
      <c r="F9" s="291" t="s">
        <v>3833</v>
      </c>
      <c r="G9" s="291" t="s">
        <v>3835</v>
      </c>
      <c r="H9" s="291"/>
      <c r="I9" s="291" t="s">
        <v>3836</v>
      </c>
      <c r="J9" s="291" t="s">
        <v>3847</v>
      </c>
    </row>
    <row r="10" spans="1:10">
      <c r="A10" s="291" t="s">
        <v>3848</v>
      </c>
      <c r="B10" s="291" t="s">
        <v>3849</v>
      </c>
      <c r="C10" s="291" t="s">
        <v>1887</v>
      </c>
      <c r="D10" s="291" t="s">
        <v>3833</v>
      </c>
      <c r="E10" s="291"/>
      <c r="F10" s="291" t="s">
        <v>3834</v>
      </c>
      <c r="G10" s="291" t="s">
        <v>3835</v>
      </c>
      <c r="H10" s="291"/>
      <c r="I10" s="291" t="s">
        <v>3836</v>
      </c>
      <c r="J10" s="291" t="s">
        <v>3837</v>
      </c>
    </row>
    <row r="11" spans="1:10">
      <c r="A11" s="291" t="s">
        <v>3850</v>
      </c>
      <c r="B11" s="291" t="s">
        <v>3849</v>
      </c>
      <c r="C11" s="291" t="s">
        <v>1869</v>
      </c>
      <c r="D11" s="291" t="s">
        <v>3833</v>
      </c>
      <c r="E11" s="291"/>
      <c r="F11" s="291" t="s">
        <v>3834</v>
      </c>
      <c r="G11" s="291" t="s">
        <v>3835</v>
      </c>
      <c r="H11" s="291"/>
      <c r="I11" s="291" t="s">
        <v>3836</v>
      </c>
      <c r="J11" s="291" t="s">
        <v>3837</v>
      </c>
    </row>
    <row r="12" spans="1:10">
      <c r="A12" s="291" t="s">
        <v>3851</v>
      </c>
      <c r="B12" s="291" t="s">
        <v>3849</v>
      </c>
      <c r="C12" s="291" t="s">
        <v>1872</v>
      </c>
      <c r="D12" s="291" t="s">
        <v>3833</v>
      </c>
      <c r="E12" s="291"/>
      <c r="F12" s="291" t="s">
        <v>3834</v>
      </c>
      <c r="G12" s="291" t="s">
        <v>3835</v>
      </c>
      <c r="H12" s="291"/>
      <c r="I12" s="291" t="s">
        <v>3836</v>
      </c>
      <c r="J12" s="291" t="s">
        <v>3837</v>
      </c>
    </row>
    <row r="13" spans="1:10">
      <c r="A13" s="291" t="s">
        <v>3852</v>
      </c>
      <c r="B13" s="291" t="s">
        <v>3849</v>
      </c>
      <c r="C13" s="291" t="s">
        <v>1875</v>
      </c>
      <c r="D13" s="291" t="s">
        <v>3833</v>
      </c>
      <c r="E13" s="291"/>
      <c r="F13" s="291" t="s">
        <v>3841</v>
      </c>
      <c r="G13" s="291" t="s">
        <v>3835</v>
      </c>
      <c r="H13" s="291"/>
      <c r="I13" s="291" t="s">
        <v>3836</v>
      </c>
      <c r="J13" s="291" t="s">
        <v>3842</v>
      </c>
    </row>
    <row r="14" spans="1:10">
      <c r="A14" s="291" t="s">
        <v>3853</v>
      </c>
      <c r="B14" s="291" t="s">
        <v>3849</v>
      </c>
      <c r="C14" s="291" t="s">
        <v>1878</v>
      </c>
      <c r="D14" s="291" t="s">
        <v>3833</v>
      </c>
      <c r="E14" s="291"/>
      <c r="F14" s="291" t="s">
        <v>3834</v>
      </c>
      <c r="G14" s="291" t="s">
        <v>3835</v>
      </c>
      <c r="H14" s="291"/>
      <c r="I14" s="291" t="s">
        <v>3836</v>
      </c>
      <c r="J14" s="291" t="s">
        <v>3837</v>
      </c>
    </row>
    <row r="15" spans="1:10">
      <c r="A15" s="291" t="s">
        <v>3854</v>
      </c>
      <c r="B15" s="291" t="s">
        <v>3849</v>
      </c>
      <c r="C15" s="291" t="s">
        <v>1884</v>
      </c>
      <c r="D15" s="291" t="s">
        <v>3833</v>
      </c>
      <c r="E15" s="291"/>
      <c r="F15" s="291" t="s">
        <v>3834</v>
      </c>
      <c r="G15" s="291" t="s">
        <v>3835</v>
      </c>
      <c r="H15" s="291"/>
      <c r="I15" s="291" t="s">
        <v>3836</v>
      </c>
      <c r="J15" s="291" t="s">
        <v>3837</v>
      </c>
    </row>
    <row r="16" spans="1:10">
      <c r="A16" s="291" t="s">
        <v>3855</v>
      </c>
      <c r="B16" s="291" t="s">
        <v>3849</v>
      </c>
      <c r="C16" s="291" t="s">
        <v>1886</v>
      </c>
      <c r="D16" s="291" t="s">
        <v>3833</v>
      </c>
      <c r="E16" s="291"/>
      <c r="F16" s="291" t="s">
        <v>3834</v>
      </c>
      <c r="G16" s="291" t="s">
        <v>3835</v>
      </c>
      <c r="H16" s="291"/>
      <c r="I16" s="291" t="s">
        <v>3836</v>
      </c>
      <c r="J16" s="291" t="s">
        <v>3837</v>
      </c>
    </row>
    <row r="17" spans="1:10">
      <c r="A17" s="291" t="s">
        <v>3856</v>
      </c>
      <c r="B17" s="291" t="s">
        <v>3849</v>
      </c>
      <c r="C17" s="291" t="s">
        <v>1880</v>
      </c>
      <c r="D17" s="291" t="s">
        <v>3833</v>
      </c>
      <c r="E17" s="291"/>
      <c r="F17" s="291" t="s">
        <v>3833</v>
      </c>
      <c r="G17" s="291" t="s">
        <v>3835</v>
      </c>
      <c r="H17" s="291"/>
      <c r="I17" s="291" t="s">
        <v>3836</v>
      </c>
      <c r="J17" s="291" t="s">
        <v>3847</v>
      </c>
    </row>
    <row r="18" spans="1:10">
      <c r="A18" s="291" t="s">
        <v>3857</v>
      </c>
      <c r="B18" s="291" t="s">
        <v>3858</v>
      </c>
      <c r="C18" s="291" t="s">
        <v>1887</v>
      </c>
      <c r="D18" s="291" t="s">
        <v>3833</v>
      </c>
      <c r="E18" s="291"/>
      <c r="F18" s="291" t="s">
        <v>3834</v>
      </c>
      <c r="G18" s="291" t="s">
        <v>3835</v>
      </c>
      <c r="H18" s="291"/>
      <c r="I18" s="291" t="s">
        <v>3836</v>
      </c>
      <c r="J18" s="291" t="s">
        <v>3837</v>
      </c>
    </row>
    <row r="19" spans="1:10">
      <c r="A19" s="291" t="s">
        <v>3859</v>
      </c>
      <c r="B19" s="291" t="s">
        <v>3858</v>
      </c>
      <c r="C19" s="291" t="s">
        <v>1869</v>
      </c>
      <c r="D19" s="291" t="s">
        <v>3833</v>
      </c>
      <c r="E19" s="291"/>
      <c r="F19" s="291" t="s">
        <v>3834</v>
      </c>
      <c r="G19" s="291" t="s">
        <v>3835</v>
      </c>
      <c r="H19" s="291"/>
      <c r="I19" s="291" t="s">
        <v>3836</v>
      </c>
      <c r="J19" s="291" t="s">
        <v>3837</v>
      </c>
    </row>
    <row r="20" spans="1:10">
      <c r="A20" s="291" t="s">
        <v>3860</v>
      </c>
      <c r="B20" s="291" t="s">
        <v>3858</v>
      </c>
      <c r="C20" s="291" t="s">
        <v>1872</v>
      </c>
      <c r="D20" s="291" t="s">
        <v>3833</v>
      </c>
      <c r="E20" s="291"/>
      <c r="F20" s="291" t="s">
        <v>3834</v>
      </c>
      <c r="G20" s="291" t="s">
        <v>3835</v>
      </c>
      <c r="H20" s="291"/>
      <c r="I20" s="291" t="s">
        <v>3836</v>
      </c>
      <c r="J20" s="291" t="s">
        <v>3837</v>
      </c>
    </row>
    <row r="21" spans="1:10">
      <c r="A21" s="291" t="s">
        <v>3861</v>
      </c>
      <c r="B21" s="291" t="s">
        <v>3858</v>
      </c>
      <c r="C21" s="291" t="s">
        <v>1875</v>
      </c>
      <c r="D21" s="291" t="s">
        <v>3833</v>
      </c>
      <c r="E21" s="291"/>
      <c r="F21" s="291" t="s">
        <v>3841</v>
      </c>
      <c r="G21" s="291" t="s">
        <v>3835</v>
      </c>
      <c r="H21" s="291"/>
      <c r="I21" s="291" t="s">
        <v>3836</v>
      </c>
      <c r="J21" s="291" t="s">
        <v>3842</v>
      </c>
    </row>
    <row r="22" spans="1:10">
      <c r="A22" s="291" t="s">
        <v>3862</v>
      </c>
      <c r="B22" s="291" t="s">
        <v>3858</v>
      </c>
      <c r="C22" s="291" t="s">
        <v>1878</v>
      </c>
      <c r="D22" s="291" t="s">
        <v>3833</v>
      </c>
      <c r="E22" s="291"/>
      <c r="F22" s="291" t="s">
        <v>3834</v>
      </c>
      <c r="G22" s="291" t="s">
        <v>3835</v>
      </c>
      <c r="H22" s="291"/>
      <c r="I22" s="291" t="s">
        <v>3836</v>
      </c>
      <c r="J22" s="291" t="s">
        <v>3837</v>
      </c>
    </row>
    <row r="23" spans="1:10">
      <c r="A23" s="291" t="s">
        <v>3863</v>
      </c>
      <c r="B23" s="291" t="s">
        <v>3858</v>
      </c>
      <c r="C23" s="291" t="s">
        <v>1884</v>
      </c>
      <c r="D23" s="291" t="s">
        <v>3833</v>
      </c>
      <c r="E23" s="291"/>
      <c r="F23" s="291" t="s">
        <v>3834</v>
      </c>
      <c r="G23" s="291" t="s">
        <v>3835</v>
      </c>
      <c r="H23" s="291"/>
      <c r="I23" s="291" t="s">
        <v>3836</v>
      </c>
      <c r="J23" s="291" t="s">
        <v>3837</v>
      </c>
    </row>
    <row r="24" spans="1:10">
      <c r="A24" s="291" t="s">
        <v>3864</v>
      </c>
      <c r="B24" s="291" t="s">
        <v>3858</v>
      </c>
      <c r="C24" s="291" t="s">
        <v>1886</v>
      </c>
      <c r="D24" s="291" t="s">
        <v>3833</v>
      </c>
      <c r="E24" s="291"/>
      <c r="F24" s="291" t="s">
        <v>3834</v>
      </c>
      <c r="G24" s="291" t="s">
        <v>3835</v>
      </c>
      <c r="H24" s="291"/>
      <c r="I24" s="291" t="s">
        <v>3836</v>
      </c>
      <c r="J24" s="291" t="s">
        <v>3837</v>
      </c>
    </row>
    <row r="25" spans="1:10">
      <c r="A25" s="291" t="s">
        <v>3865</v>
      </c>
      <c r="B25" s="291" t="s">
        <v>3858</v>
      </c>
      <c r="C25" s="291" t="s">
        <v>1880</v>
      </c>
      <c r="D25" s="291" t="s">
        <v>3833</v>
      </c>
      <c r="E25" s="291"/>
      <c r="F25" s="291" t="s">
        <v>3833</v>
      </c>
      <c r="G25" s="291" t="s">
        <v>3835</v>
      </c>
      <c r="H25" s="291"/>
      <c r="I25" s="291" t="s">
        <v>3836</v>
      </c>
      <c r="J25" s="291" t="s">
        <v>3847</v>
      </c>
    </row>
    <row r="26" spans="1:10">
      <c r="A26" s="291" t="s">
        <v>3866</v>
      </c>
      <c r="B26" s="291" t="s">
        <v>3867</v>
      </c>
      <c r="C26" s="291" t="s">
        <v>1887</v>
      </c>
      <c r="D26" s="291" t="s">
        <v>3833</v>
      </c>
      <c r="E26" s="291"/>
      <c r="F26" s="291" t="s">
        <v>3834</v>
      </c>
      <c r="G26" s="291" t="s">
        <v>3835</v>
      </c>
      <c r="H26" s="291"/>
      <c r="I26" s="291" t="s">
        <v>3836</v>
      </c>
      <c r="J26" s="291" t="s">
        <v>3837</v>
      </c>
    </row>
    <row r="27" spans="1:10">
      <c r="A27" s="291" t="s">
        <v>3868</v>
      </c>
      <c r="B27" s="291" t="s">
        <v>3867</v>
      </c>
      <c r="C27" s="291" t="s">
        <v>1869</v>
      </c>
      <c r="D27" s="291" t="s">
        <v>3833</v>
      </c>
      <c r="E27" s="291"/>
      <c r="F27" s="291" t="s">
        <v>3834</v>
      </c>
      <c r="G27" s="291" t="s">
        <v>3835</v>
      </c>
      <c r="H27" s="291"/>
      <c r="I27" s="291" t="s">
        <v>3836</v>
      </c>
      <c r="J27" s="291" t="s">
        <v>3837</v>
      </c>
    </row>
    <row r="28" spans="1:10">
      <c r="A28" s="291" t="s">
        <v>3869</v>
      </c>
      <c r="B28" s="291" t="s">
        <v>3867</v>
      </c>
      <c r="C28" s="291" t="s">
        <v>1872</v>
      </c>
      <c r="D28" s="291" t="s">
        <v>3833</v>
      </c>
      <c r="E28" s="291"/>
      <c r="F28" s="291" t="s">
        <v>3834</v>
      </c>
      <c r="G28" s="291" t="s">
        <v>3835</v>
      </c>
      <c r="H28" s="291"/>
      <c r="I28" s="291" t="s">
        <v>3836</v>
      </c>
      <c r="J28" s="291" t="s">
        <v>3837</v>
      </c>
    </row>
    <row r="29" spans="1:10">
      <c r="A29" s="291" t="s">
        <v>3870</v>
      </c>
      <c r="B29" s="291" t="s">
        <v>3867</v>
      </c>
      <c r="C29" s="291" t="s">
        <v>1875</v>
      </c>
      <c r="D29" s="291" t="s">
        <v>3833</v>
      </c>
      <c r="E29" s="291"/>
      <c r="F29" s="291" t="s">
        <v>3841</v>
      </c>
      <c r="G29" s="291" t="s">
        <v>3835</v>
      </c>
      <c r="H29" s="291"/>
      <c r="I29" s="291" t="s">
        <v>3836</v>
      </c>
      <c r="J29" s="291" t="s">
        <v>3842</v>
      </c>
    </row>
    <row r="30" spans="1:10">
      <c r="A30" s="291" t="s">
        <v>3871</v>
      </c>
      <c r="B30" s="291" t="s">
        <v>3867</v>
      </c>
      <c r="C30" s="291" t="s">
        <v>1878</v>
      </c>
      <c r="D30" s="291" t="s">
        <v>3833</v>
      </c>
      <c r="E30" s="291"/>
      <c r="F30" s="291" t="s">
        <v>3834</v>
      </c>
      <c r="G30" s="291" t="s">
        <v>3835</v>
      </c>
      <c r="H30" s="291"/>
      <c r="I30" s="291" t="s">
        <v>3836</v>
      </c>
      <c r="J30" s="291" t="s">
        <v>3837</v>
      </c>
    </row>
    <row r="31" spans="1:10">
      <c r="A31" s="291" t="s">
        <v>3872</v>
      </c>
      <c r="B31" s="291" t="s">
        <v>3867</v>
      </c>
      <c r="C31" s="291" t="s">
        <v>1884</v>
      </c>
      <c r="D31" s="291" t="s">
        <v>3833</v>
      </c>
      <c r="E31" s="291"/>
      <c r="F31" s="291" t="s">
        <v>3834</v>
      </c>
      <c r="G31" s="291" t="s">
        <v>3835</v>
      </c>
      <c r="H31" s="291"/>
      <c r="I31" s="291" t="s">
        <v>3836</v>
      </c>
      <c r="J31" s="291" t="s">
        <v>3837</v>
      </c>
    </row>
    <row r="32" spans="1:10">
      <c r="A32" s="291" t="s">
        <v>3873</v>
      </c>
      <c r="B32" s="291" t="s">
        <v>3867</v>
      </c>
      <c r="C32" s="291" t="s">
        <v>1886</v>
      </c>
      <c r="D32" s="291" t="s">
        <v>3833</v>
      </c>
      <c r="E32" s="291"/>
      <c r="F32" s="291" t="s">
        <v>3834</v>
      </c>
      <c r="G32" s="291" t="s">
        <v>3835</v>
      </c>
      <c r="H32" s="291"/>
      <c r="I32" s="291" t="s">
        <v>3836</v>
      </c>
      <c r="J32" s="291" t="s">
        <v>3837</v>
      </c>
    </row>
    <row r="33" spans="1:10">
      <c r="A33" s="291" t="s">
        <v>3874</v>
      </c>
      <c r="B33" s="291" t="s">
        <v>3867</v>
      </c>
      <c r="C33" s="291" t="s">
        <v>1880</v>
      </c>
      <c r="D33" s="291" t="s">
        <v>3833</v>
      </c>
      <c r="E33" s="291"/>
      <c r="F33" s="291" t="s">
        <v>3833</v>
      </c>
      <c r="G33" s="291" t="s">
        <v>3835</v>
      </c>
      <c r="H33" s="291"/>
      <c r="I33" s="291" t="s">
        <v>3836</v>
      </c>
      <c r="J33" s="291" t="s">
        <v>3847</v>
      </c>
    </row>
    <row r="34" spans="1:10">
      <c r="A34" s="291" t="s">
        <v>3875</v>
      </c>
      <c r="B34" s="291" t="s">
        <v>3876</v>
      </c>
      <c r="C34" s="291" t="s">
        <v>1887</v>
      </c>
      <c r="D34" s="291" t="s">
        <v>3833</v>
      </c>
      <c r="E34" s="291"/>
      <c r="F34" s="291" t="s">
        <v>3834</v>
      </c>
      <c r="G34" s="291" t="s">
        <v>3835</v>
      </c>
      <c r="H34" s="291"/>
      <c r="I34" s="291" t="s">
        <v>3836</v>
      </c>
      <c r="J34" s="291" t="s">
        <v>3837</v>
      </c>
    </row>
    <row r="35" spans="1:10">
      <c r="A35" s="291" t="s">
        <v>3877</v>
      </c>
      <c r="B35" s="291" t="s">
        <v>3876</v>
      </c>
      <c r="C35" s="291" t="s">
        <v>1869</v>
      </c>
      <c r="D35" s="291" t="s">
        <v>3833</v>
      </c>
      <c r="E35" s="291"/>
      <c r="F35" s="291" t="s">
        <v>3834</v>
      </c>
      <c r="G35" s="291" t="s">
        <v>3835</v>
      </c>
      <c r="H35" s="291"/>
      <c r="I35" s="291" t="s">
        <v>3836</v>
      </c>
      <c r="J35" s="291" t="s">
        <v>3837</v>
      </c>
    </row>
    <row r="36" spans="1:10">
      <c r="A36" s="291" t="s">
        <v>3878</v>
      </c>
      <c r="B36" s="291" t="s">
        <v>3876</v>
      </c>
      <c r="C36" s="291" t="s">
        <v>1872</v>
      </c>
      <c r="D36" s="291" t="s">
        <v>3833</v>
      </c>
      <c r="E36" s="291"/>
      <c r="F36" s="291" t="s">
        <v>3834</v>
      </c>
      <c r="G36" s="291" t="s">
        <v>3835</v>
      </c>
      <c r="H36" s="291"/>
      <c r="I36" s="291" t="s">
        <v>3836</v>
      </c>
      <c r="J36" s="291" t="s">
        <v>3837</v>
      </c>
    </row>
    <row r="37" spans="1:10">
      <c r="A37" s="291" t="s">
        <v>3879</v>
      </c>
      <c r="B37" s="291" t="s">
        <v>3876</v>
      </c>
      <c r="C37" s="291" t="s">
        <v>1875</v>
      </c>
      <c r="D37" s="291" t="s">
        <v>3833</v>
      </c>
      <c r="E37" s="291"/>
      <c r="F37" s="291" t="s">
        <v>3841</v>
      </c>
      <c r="G37" s="291" t="s">
        <v>3835</v>
      </c>
      <c r="H37" s="291"/>
      <c r="I37" s="291" t="s">
        <v>3836</v>
      </c>
      <c r="J37" s="291" t="s">
        <v>3842</v>
      </c>
    </row>
    <row r="38" spans="1:10">
      <c r="A38" s="291" t="s">
        <v>3880</v>
      </c>
      <c r="B38" s="291" t="s">
        <v>3876</v>
      </c>
      <c r="C38" s="291" t="s">
        <v>1878</v>
      </c>
      <c r="D38" s="291" t="s">
        <v>3833</v>
      </c>
      <c r="E38" s="291"/>
      <c r="F38" s="291" t="s">
        <v>3834</v>
      </c>
      <c r="G38" s="291" t="s">
        <v>3835</v>
      </c>
      <c r="H38" s="291"/>
      <c r="I38" s="291" t="s">
        <v>3836</v>
      </c>
      <c r="J38" s="291" t="s">
        <v>3837</v>
      </c>
    </row>
    <row r="39" spans="1:10">
      <c r="A39" s="291" t="s">
        <v>3881</v>
      </c>
      <c r="B39" s="291" t="s">
        <v>3876</v>
      </c>
      <c r="C39" s="291" t="s">
        <v>1884</v>
      </c>
      <c r="D39" s="291" t="s">
        <v>3833</v>
      </c>
      <c r="E39" s="291"/>
      <c r="F39" s="291" t="s">
        <v>3834</v>
      </c>
      <c r="G39" s="291" t="s">
        <v>3835</v>
      </c>
      <c r="H39" s="291"/>
      <c r="I39" s="291" t="s">
        <v>3836</v>
      </c>
      <c r="J39" s="291" t="s">
        <v>3837</v>
      </c>
    </row>
    <row r="40" spans="1:10">
      <c r="A40" s="291" t="s">
        <v>3882</v>
      </c>
      <c r="B40" s="291" t="s">
        <v>3876</v>
      </c>
      <c r="C40" s="291" t="s">
        <v>1886</v>
      </c>
      <c r="D40" s="291" t="s">
        <v>3833</v>
      </c>
      <c r="E40" s="291"/>
      <c r="F40" s="291" t="s">
        <v>3834</v>
      </c>
      <c r="G40" s="291" t="s">
        <v>3835</v>
      </c>
      <c r="H40" s="291"/>
      <c r="I40" s="291" t="s">
        <v>3836</v>
      </c>
      <c r="J40" s="291" t="s">
        <v>3837</v>
      </c>
    </row>
    <row r="41" spans="1:10">
      <c r="A41" s="291" t="s">
        <v>3883</v>
      </c>
      <c r="B41" s="291" t="s">
        <v>3876</v>
      </c>
      <c r="C41" s="291" t="s">
        <v>1880</v>
      </c>
      <c r="D41" s="291" t="s">
        <v>3833</v>
      </c>
      <c r="E41" s="291"/>
      <c r="F41" s="291" t="s">
        <v>3833</v>
      </c>
      <c r="G41" s="291" t="s">
        <v>3835</v>
      </c>
      <c r="H41" s="291"/>
      <c r="I41" s="291" t="s">
        <v>3836</v>
      </c>
      <c r="J41" s="291" t="s">
        <v>3847</v>
      </c>
    </row>
    <row r="42" spans="1:10">
      <c r="A42" s="291" t="s">
        <v>3884</v>
      </c>
      <c r="B42" s="291" t="s">
        <v>3885</v>
      </c>
      <c r="C42" s="291" t="s">
        <v>1887</v>
      </c>
      <c r="D42" s="291" t="s">
        <v>3833</v>
      </c>
      <c r="E42" s="291"/>
      <c r="F42" s="291" t="s">
        <v>3834</v>
      </c>
      <c r="G42" s="291" t="s">
        <v>3835</v>
      </c>
      <c r="H42" s="291"/>
      <c r="I42" s="291" t="s">
        <v>3836</v>
      </c>
      <c r="J42" s="291" t="s">
        <v>3837</v>
      </c>
    </row>
    <row r="43" spans="1:10">
      <c r="A43" s="291" t="s">
        <v>3886</v>
      </c>
      <c r="B43" s="291" t="s">
        <v>3885</v>
      </c>
      <c r="C43" s="291" t="s">
        <v>1869</v>
      </c>
      <c r="D43" s="291" t="s">
        <v>3833</v>
      </c>
      <c r="E43" s="291"/>
      <c r="F43" s="291" t="s">
        <v>3834</v>
      </c>
      <c r="G43" s="291" t="s">
        <v>3835</v>
      </c>
      <c r="H43" s="291"/>
      <c r="I43" s="291" t="s">
        <v>3836</v>
      </c>
      <c r="J43" s="291" t="s">
        <v>3837</v>
      </c>
    </row>
    <row r="44" spans="1:10">
      <c r="A44" s="291" t="s">
        <v>3887</v>
      </c>
      <c r="B44" s="291" t="s">
        <v>3885</v>
      </c>
      <c r="C44" s="291" t="s">
        <v>1872</v>
      </c>
      <c r="D44" s="291" t="s">
        <v>3833</v>
      </c>
      <c r="E44" s="291"/>
      <c r="F44" s="291" t="s">
        <v>3834</v>
      </c>
      <c r="G44" s="291" t="s">
        <v>3835</v>
      </c>
      <c r="H44" s="291"/>
      <c r="I44" s="291" t="s">
        <v>3836</v>
      </c>
      <c r="J44" s="291" t="s">
        <v>3837</v>
      </c>
    </row>
    <row r="45" spans="1:10">
      <c r="A45" s="291" t="s">
        <v>3888</v>
      </c>
      <c r="B45" s="291" t="s">
        <v>3885</v>
      </c>
      <c r="C45" s="291" t="s">
        <v>1875</v>
      </c>
      <c r="D45" s="291" t="s">
        <v>3833</v>
      </c>
      <c r="E45" s="291"/>
      <c r="F45" s="291" t="s">
        <v>3841</v>
      </c>
      <c r="G45" s="291" t="s">
        <v>3835</v>
      </c>
      <c r="H45" s="291"/>
      <c r="I45" s="291" t="s">
        <v>3836</v>
      </c>
      <c r="J45" s="291" t="s">
        <v>3842</v>
      </c>
    </row>
    <row r="46" spans="1:10">
      <c r="A46" s="291" t="s">
        <v>3889</v>
      </c>
      <c r="B46" s="291" t="s">
        <v>3885</v>
      </c>
      <c r="C46" s="291" t="s">
        <v>1878</v>
      </c>
      <c r="D46" s="291" t="s">
        <v>3833</v>
      </c>
      <c r="E46" s="291"/>
      <c r="F46" s="291" t="s">
        <v>3834</v>
      </c>
      <c r="G46" s="291" t="s">
        <v>3835</v>
      </c>
      <c r="H46" s="291"/>
      <c r="I46" s="291" t="s">
        <v>3836</v>
      </c>
      <c r="J46" s="291" t="s">
        <v>3837</v>
      </c>
    </row>
    <row r="47" spans="1:10">
      <c r="A47" s="291" t="s">
        <v>3890</v>
      </c>
      <c r="B47" s="291" t="s">
        <v>3885</v>
      </c>
      <c r="C47" s="291" t="s">
        <v>1884</v>
      </c>
      <c r="D47" s="291" t="s">
        <v>3833</v>
      </c>
      <c r="E47" s="291"/>
      <c r="F47" s="291" t="s">
        <v>3834</v>
      </c>
      <c r="G47" s="291" t="s">
        <v>3835</v>
      </c>
      <c r="H47" s="291"/>
      <c r="I47" s="291" t="s">
        <v>3836</v>
      </c>
      <c r="J47" s="291" t="s">
        <v>3837</v>
      </c>
    </row>
    <row r="48" spans="1:10">
      <c r="A48" s="291" t="s">
        <v>3891</v>
      </c>
      <c r="B48" s="291" t="s">
        <v>3885</v>
      </c>
      <c r="C48" s="291" t="s">
        <v>1886</v>
      </c>
      <c r="D48" s="291" t="s">
        <v>3833</v>
      </c>
      <c r="E48" s="291"/>
      <c r="F48" s="291" t="s">
        <v>3834</v>
      </c>
      <c r="G48" s="291" t="s">
        <v>3835</v>
      </c>
      <c r="H48" s="291"/>
      <c r="I48" s="291" t="s">
        <v>3836</v>
      </c>
      <c r="J48" s="291" t="s">
        <v>3837</v>
      </c>
    </row>
    <row r="49" spans="1:10">
      <c r="A49" s="291" t="s">
        <v>3892</v>
      </c>
      <c r="B49" s="291" t="s">
        <v>3885</v>
      </c>
      <c r="C49" s="291" t="s">
        <v>1880</v>
      </c>
      <c r="D49" s="291" t="s">
        <v>3833</v>
      </c>
      <c r="E49" s="291"/>
      <c r="F49" s="291" t="s">
        <v>3833</v>
      </c>
      <c r="G49" s="291" t="s">
        <v>3835</v>
      </c>
      <c r="H49" s="291"/>
      <c r="I49" s="291" t="s">
        <v>3836</v>
      </c>
      <c r="J49" s="291" t="s">
        <v>3847</v>
      </c>
    </row>
    <row r="50" spans="1:10">
      <c r="A50" s="291" t="s">
        <v>3893</v>
      </c>
      <c r="B50" s="291" t="s">
        <v>3894</v>
      </c>
      <c r="C50" s="291" t="s">
        <v>1887</v>
      </c>
      <c r="D50" s="291" t="s">
        <v>3895</v>
      </c>
      <c r="E50" s="291"/>
      <c r="F50" s="291" t="s">
        <v>3896</v>
      </c>
      <c r="G50" s="291" t="s">
        <v>3835</v>
      </c>
      <c r="H50" s="291"/>
      <c r="I50" s="291" t="s">
        <v>3836</v>
      </c>
      <c r="J50" s="291" t="s">
        <v>3897</v>
      </c>
    </row>
    <row r="51" spans="1:10">
      <c r="A51" s="291" t="s">
        <v>3898</v>
      </c>
      <c r="B51" s="291" t="s">
        <v>3894</v>
      </c>
      <c r="C51" s="291" t="s">
        <v>1869</v>
      </c>
      <c r="D51" s="291" t="s">
        <v>3895</v>
      </c>
      <c r="E51" s="291"/>
      <c r="F51" s="291" t="s">
        <v>3899</v>
      </c>
      <c r="G51" s="291" t="s">
        <v>3835</v>
      </c>
      <c r="H51" s="291"/>
      <c r="I51" s="291" t="s">
        <v>3836</v>
      </c>
      <c r="J51" s="291" t="s">
        <v>3900</v>
      </c>
    </row>
    <row r="52" spans="1:10">
      <c r="A52" s="291" t="s">
        <v>3901</v>
      </c>
      <c r="B52" s="291" t="s">
        <v>3894</v>
      </c>
      <c r="C52" s="291" t="s">
        <v>1872</v>
      </c>
      <c r="D52" s="291" t="s">
        <v>3895</v>
      </c>
      <c r="E52" s="291"/>
      <c r="F52" s="291" t="s">
        <v>3896</v>
      </c>
      <c r="G52" s="291" t="s">
        <v>3835</v>
      </c>
      <c r="H52" s="291"/>
      <c r="I52" s="291" t="s">
        <v>3836</v>
      </c>
      <c r="J52" s="291" t="s">
        <v>3897</v>
      </c>
    </row>
    <row r="53" spans="1:10">
      <c r="A53" s="291" t="s">
        <v>3902</v>
      </c>
      <c r="B53" s="291" t="s">
        <v>3894</v>
      </c>
      <c r="C53" s="291" t="s">
        <v>1875</v>
      </c>
      <c r="D53" s="291" t="s">
        <v>3895</v>
      </c>
      <c r="E53" s="291"/>
      <c r="F53" s="291" t="s">
        <v>3896</v>
      </c>
      <c r="G53" s="291" t="s">
        <v>3835</v>
      </c>
      <c r="H53" s="291"/>
      <c r="I53" s="291" t="s">
        <v>3836</v>
      </c>
      <c r="J53" s="291" t="s">
        <v>3897</v>
      </c>
    </row>
    <row r="54" spans="1:10">
      <c r="A54" s="291" t="s">
        <v>3903</v>
      </c>
      <c r="B54" s="291" t="s">
        <v>3894</v>
      </c>
      <c r="C54" s="291" t="s">
        <v>1878</v>
      </c>
      <c r="D54" s="291" t="s">
        <v>3895</v>
      </c>
      <c r="E54" s="291"/>
      <c r="F54" s="291" t="s">
        <v>3896</v>
      </c>
      <c r="G54" s="291" t="s">
        <v>3835</v>
      </c>
      <c r="H54" s="291"/>
      <c r="I54" s="291" t="s">
        <v>3836</v>
      </c>
      <c r="J54" s="291" t="s">
        <v>3897</v>
      </c>
    </row>
    <row r="55" spans="1:10">
      <c r="A55" s="291" t="s">
        <v>3904</v>
      </c>
      <c r="B55" s="291" t="s">
        <v>3894</v>
      </c>
      <c r="C55" s="291" t="s">
        <v>1884</v>
      </c>
      <c r="D55" s="291" t="s">
        <v>3895</v>
      </c>
      <c r="E55" s="291"/>
      <c r="F55" s="291" t="s">
        <v>3896</v>
      </c>
      <c r="G55" s="291" t="s">
        <v>3835</v>
      </c>
      <c r="H55" s="291"/>
      <c r="I55" s="291" t="s">
        <v>3836</v>
      </c>
      <c r="J55" s="291" t="s">
        <v>3897</v>
      </c>
    </row>
    <row r="56" spans="1:10">
      <c r="A56" s="291" t="s">
        <v>3905</v>
      </c>
      <c r="B56" s="291" t="s">
        <v>3894</v>
      </c>
      <c r="C56" s="291" t="s">
        <v>1886</v>
      </c>
      <c r="D56" s="291" t="s">
        <v>3895</v>
      </c>
      <c r="E56" s="291"/>
      <c r="F56" s="291" t="s">
        <v>3896</v>
      </c>
      <c r="G56" s="291" t="s">
        <v>3835</v>
      </c>
      <c r="H56" s="291"/>
      <c r="I56" s="291" t="s">
        <v>3836</v>
      </c>
      <c r="J56" s="291" t="s">
        <v>3897</v>
      </c>
    </row>
    <row r="57" spans="1:10">
      <c r="A57" s="291" t="s">
        <v>3906</v>
      </c>
      <c r="B57" s="291" t="s">
        <v>3894</v>
      </c>
      <c r="C57" s="291" t="s">
        <v>1880</v>
      </c>
      <c r="D57" s="291" t="s">
        <v>3895</v>
      </c>
      <c r="E57" s="291"/>
      <c r="F57" s="291" t="s">
        <v>3907</v>
      </c>
      <c r="G57" s="291" t="s">
        <v>3835</v>
      </c>
      <c r="H57" s="291"/>
      <c r="I57" s="291" t="s">
        <v>3836</v>
      </c>
      <c r="J57" s="291" t="s">
        <v>3908</v>
      </c>
    </row>
    <row r="58" spans="1:10">
      <c r="A58" s="291" t="s">
        <v>3909</v>
      </c>
      <c r="B58" s="291" t="s">
        <v>3910</v>
      </c>
      <c r="C58" s="291" t="s">
        <v>1902</v>
      </c>
      <c r="D58" s="291" t="s">
        <v>3833</v>
      </c>
      <c r="E58" s="291"/>
      <c r="F58" s="291"/>
      <c r="G58" s="291" t="s">
        <v>3911</v>
      </c>
      <c r="H58" s="291" t="s">
        <v>3912</v>
      </c>
      <c r="I58" s="291" t="s">
        <v>3913</v>
      </c>
      <c r="J58" s="291" t="s">
        <v>3914</v>
      </c>
    </row>
    <row r="59" spans="1:10">
      <c r="A59" s="291" t="s">
        <v>3915</v>
      </c>
      <c r="B59" s="291" t="s">
        <v>3916</v>
      </c>
      <c r="C59" s="291" t="s">
        <v>1869</v>
      </c>
      <c r="D59" s="291" t="s">
        <v>3833</v>
      </c>
      <c r="E59" s="291"/>
      <c r="F59" s="291" t="s">
        <v>3833</v>
      </c>
      <c r="G59" s="291" t="s">
        <v>3835</v>
      </c>
      <c r="H59" s="291"/>
      <c r="I59" s="291" t="s">
        <v>3836</v>
      </c>
      <c r="J59" s="291" t="s">
        <v>3847</v>
      </c>
    </row>
    <row r="60" spans="1:10">
      <c r="A60" s="291" t="s">
        <v>3917</v>
      </c>
      <c r="B60" s="291" t="s">
        <v>3916</v>
      </c>
      <c r="C60" s="291" t="s">
        <v>1872</v>
      </c>
      <c r="D60" s="291" t="s">
        <v>3833</v>
      </c>
      <c r="E60" s="291"/>
      <c r="F60" s="291" t="s">
        <v>3918</v>
      </c>
      <c r="G60" s="291" t="s">
        <v>3835</v>
      </c>
      <c r="H60" s="291"/>
      <c r="I60" s="291" t="s">
        <v>3836</v>
      </c>
      <c r="J60" s="291" t="s">
        <v>3919</v>
      </c>
    </row>
    <row r="61" spans="1:10">
      <c r="A61" s="291" t="s">
        <v>3920</v>
      </c>
      <c r="B61" s="291" t="s">
        <v>3916</v>
      </c>
      <c r="C61" s="291" t="s">
        <v>1905</v>
      </c>
      <c r="D61" s="291" t="s">
        <v>3833</v>
      </c>
      <c r="E61" s="291"/>
      <c r="F61" s="291"/>
      <c r="G61" s="291" t="s">
        <v>3921</v>
      </c>
      <c r="H61" s="291" t="s">
        <v>3922</v>
      </c>
      <c r="I61" s="291" t="s">
        <v>3913</v>
      </c>
      <c r="J61" s="291" t="s">
        <v>3923</v>
      </c>
    </row>
    <row r="62" spans="1:10">
      <c r="A62" s="291" t="s">
        <v>3924</v>
      </c>
      <c r="B62" s="291" t="s">
        <v>3925</v>
      </c>
      <c r="C62" s="291" t="s">
        <v>1869</v>
      </c>
      <c r="D62" s="291" t="s">
        <v>3895</v>
      </c>
      <c r="E62" s="291"/>
      <c r="F62" s="291" t="s">
        <v>3895</v>
      </c>
      <c r="G62" s="291" t="s">
        <v>3835</v>
      </c>
      <c r="H62" s="291"/>
      <c r="I62" s="291" t="s">
        <v>3836</v>
      </c>
      <c r="J62" s="291" t="s">
        <v>3926</v>
      </c>
    </row>
    <row r="63" spans="1:10">
      <c r="A63" s="291" t="s">
        <v>3927</v>
      </c>
      <c r="B63" s="291" t="s">
        <v>3925</v>
      </c>
      <c r="C63" s="291" t="s">
        <v>1872</v>
      </c>
      <c r="D63" s="291" t="s">
        <v>3895</v>
      </c>
      <c r="E63" s="291"/>
      <c r="F63" s="291" t="s">
        <v>3895</v>
      </c>
      <c r="G63" s="291" t="s">
        <v>3835</v>
      </c>
      <c r="H63" s="291"/>
      <c r="I63" s="291" t="s">
        <v>3836</v>
      </c>
      <c r="J63" s="291" t="s">
        <v>3926</v>
      </c>
    </row>
    <row r="64" spans="1:10">
      <c r="A64" s="291" t="s">
        <v>3928</v>
      </c>
      <c r="B64" s="291" t="s">
        <v>3925</v>
      </c>
      <c r="C64" s="291" t="s">
        <v>1875</v>
      </c>
      <c r="D64" s="291" t="s">
        <v>3895</v>
      </c>
      <c r="E64" s="291"/>
      <c r="F64" s="291" t="s">
        <v>3929</v>
      </c>
      <c r="G64" s="291" t="s">
        <v>3835</v>
      </c>
      <c r="H64" s="291"/>
      <c r="I64" s="291" t="s">
        <v>3836</v>
      </c>
      <c r="J64" s="291" t="s">
        <v>3930</v>
      </c>
    </row>
    <row r="65" spans="1:10">
      <c r="A65" s="291" t="s">
        <v>3931</v>
      </c>
      <c r="B65" s="291" t="s">
        <v>3925</v>
      </c>
      <c r="C65" s="291" t="s">
        <v>1878</v>
      </c>
      <c r="D65" s="291" t="s">
        <v>3895</v>
      </c>
      <c r="E65" s="291"/>
      <c r="F65" s="291" t="s">
        <v>3932</v>
      </c>
      <c r="G65" s="291" t="s">
        <v>3835</v>
      </c>
      <c r="H65" s="291"/>
      <c r="I65" s="291" t="s">
        <v>3836</v>
      </c>
      <c r="J65" s="291" t="s">
        <v>3933</v>
      </c>
    </row>
    <row r="66" spans="1:10">
      <c r="A66" s="291" t="s">
        <v>3934</v>
      </c>
      <c r="B66" s="291" t="s">
        <v>3925</v>
      </c>
      <c r="C66" s="291" t="s">
        <v>1886</v>
      </c>
      <c r="D66" s="291" t="s">
        <v>3833</v>
      </c>
      <c r="E66" s="291"/>
      <c r="F66" s="291" t="s">
        <v>3833</v>
      </c>
      <c r="G66" s="291" t="s">
        <v>3835</v>
      </c>
      <c r="H66" s="291"/>
      <c r="I66" s="291" t="s">
        <v>3836</v>
      </c>
      <c r="J66" s="291" t="s">
        <v>3847</v>
      </c>
    </row>
    <row r="67" spans="1:10">
      <c r="A67" s="291" t="s">
        <v>3935</v>
      </c>
      <c r="B67" s="291" t="s">
        <v>3936</v>
      </c>
      <c r="C67" s="291" t="s">
        <v>1875</v>
      </c>
      <c r="D67" s="291" t="s">
        <v>3895</v>
      </c>
      <c r="E67" s="291"/>
      <c r="F67" s="291" t="s">
        <v>3937</v>
      </c>
      <c r="G67" s="291" t="s">
        <v>3835</v>
      </c>
      <c r="H67" s="291"/>
      <c r="I67" s="291" t="s">
        <v>3836</v>
      </c>
      <c r="J67" s="291" t="s">
        <v>3938</v>
      </c>
    </row>
    <row r="68" spans="1:10">
      <c r="A68" s="291" t="s">
        <v>3939</v>
      </c>
      <c r="B68" s="291" t="s">
        <v>3940</v>
      </c>
      <c r="C68" s="291" t="s">
        <v>1878</v>
      </c>
      <c r="D68" s="291" t="s">
        <v>3895</v>
      </c>
      <c r="E68" s="291"/>
      <c r="F68" s="291" t="s">
        <v>3941</v>
      </c>
      <c r="G68" s="291" t="s">
        <v>3835</v>
      </c>
      <c r="H68" s="291"/>
      <c r="I68" s="291" t="s">
        <v>3836</v>
      </c>
      <c r="J68" s="291" t="s">
        <v>3942</v>
      </c>
    </row>
    <row r="69" spans="1:10">
      <c r="A69" s="291" t="s">
        <v>3943</v>
      </c>
      <c r="B69" s="291" t="s">
        <v>3944</v>
      </c>
      <c r="C69" s="291" t="s">
        <v>1887</v>
      </c>
      <c r="D69" s="291" t="s">
        <v>3895</v>
      </c>
      <c r="E69" s="291"/>
      <c r="F69" s="291" t="s">
        <v>3945</v>
      </c>
      <c r="G69" s="291" t="s">
        <v>3835</v>
      </c>
      <c r="H69" s="291"/>
      <c r="I69" s="291" t="s">
        <v>3836</v>
      </c>
      <c r="J69" s="291" t="s">
        <v>3946</v>
      </c>
    </row>
    <row r="70" spans="1:10">
      <c r="A70" s="291" t="s">
        <v>3947</v>
      </c>
      <c r="B70" s="291" t="s">
        <v>3944</v>
      </c>
      <c r="C70" s="291" t="s">
        <v>1886</v>
      </c>
      <c r="D70" s="291" t="s">
        <v>3895</v>
      </c>
      <c r="E70" s="291"/>
      <c r="F70" s="291" t="s">
        <v>3941</v>
      </c>
      <c r="G70" s="291" t="s">
        <v>3835</v>
      </c>
      <c r="H70" s="291"/>
      <c r="I70" s="291" t="s">
        <v>3836</v>
      </c>
      <c r="J70" s="291" t="s">
        <v>3942</v>
      </c>
    </row>
    <row r="71" spans="1:10">
      <c r="A71" s="291" t="s">
        <v>3948</v>
      </c>
      <c r="B71" s="291" t="s">
        <v>3949</v>
      </c>
      <c r="C71" s="291" t="s">
        <v>1872</v>
      </c>
      <c r="D71" s="291" t="s">
        <v>3895</v>
      </c>
      <c r="E71" s="291"/>
      <c r="F71" s="291" t="s">
        <v>3941</v>
      </c>
      <c r="G71" s="291" t="s">
        <v>3835</v>
      </c>
      <c r="H71" s="291"/>
      <c r="I71" s="291" t="s">
        <v>3836</v>
      </c>
      <c r="J71" s="291" t="s">
        <v>3942</v>
      </c>
    </row>
    <row r="72" spans="1:10">
      <c r="A72" s="291" t="s">
        <v>3950</v>
      </c>
      <c r="B72" s="291" t="s">
        <v>3951</v>
      </c>
      <c r="C72" s="291" t="s">
        <v>1884</v>
      </c>
      <c r="D72" s="291" t="s">
        <v>3833</v>
      </c>
      <c r="E72" s="291"/>
      <c r="F72" s="291" t="s">
        <v>3833</v>
      </c>
      <c r="G72" s="291" t="s">
        <v>3835</v>
      </c>
      <c r="H72" s="291"/>
      <c r="I72" s="291" t="s">
        <v>3836</v>
      </c>
      <c r="J72" s="291" t="s">
        <v>3847</v>
      </c>
    </row>
    <row r="73" spans="1:10">
      <c r="A73" s="291" t="s">
        <v>3952</v>
      </c>
      <c r="B73" s="291" t="s">
        <v>3953</v>
      </c>
      <c r="C73" s="291" t="s">
        <v>1875</v>
      </c>
      <c r="D73" s="291" t="s">
        <v>3895</v>
      </c>
      <c r="E73" s="291"/>
      <c r="F73" s="291" t="s">
        <v>3954</v>
      </c>
      <c r="G73" s="291" t="s">
        <v>3835</v>
      </c>
      <c r="H73" s="291"/>
      <c r="I73" s="291" t="s">
        <v>3836</v>
      </c>
      <c r="J73" s="291" t="s">
        <v>3955</v>
      </c>
    </row>
    <row r="74" spans="1:10">
      <c r="A74" s="291" t="s">
        <v>3956</v>
      </c>
      <c r="B74" s="291" t="s">
        <v>3953</v>
      </c>
      <c r="C74" s="291" t="s">
        <v>1884</v>
      </c>
      <c r="D74" s="291" t="s">
        <v>3895</v>
      </c>
      <c r="E74" s="291"/>
      <c r="F74" s="291" t="s">
        <v>3941</v>
      </c>
      <c r="G74" s="291" t="s">
        <v>3835</v>
      </c>
      <c r="H74" s="291"/>
      <c r="I74" s="291" t="s">
        <v>3836</v>
      </c>
      <c r="J74" s="291" t="s">
        <v>3942</v>
      </c>
    </row>
    <row r="75" spans="1:10">
      <c r="A75" s="291" t="s">
        <v>3957</v>
      </c>
      <c r="B75" s="291" t="s">
        <v>3953</v>
      </c>
      <c r="C75" s="291" t="s">
        <v>1880</v>
      </c>
      <c r="D75" s="291" t="s">
        <v>3895</v>
      </c>
      <c r="E75" s="291"/>
      <c r="F75" s="291" t="s">
        <v>3941</v>
      </c>
      <c r="G75" s="291" t="s">
        <v>3835</v>
      </c>
      <c r="H75" s="291"/>
      <c r="I75" s="291" t="s">
        <v>3836</v>
      </c>
      <c r="J75" s="291" t="s">
        <v>3942</v>
      </c>
    </row>
    <row r="76" spans="1:10">
      <c r="A76" s="291" t="s">
        <v>3958</v>
      </c>
      <c r="B76" s="291" t="s">
        <v>3959</v>
      </c>
      <c r="C76" s="291" t="s">
        <v>1887</v>
      </c>
      <c r="D76" s="291" t="s">
        <v>3895</v>
      </c>
      <c r="E76" s="291"/>
      <c r="F76" s="291" t="s">
        <v>3960</v>
      </c>
      <c r="G76" s="291" t="s">
        <v>3835</v>
      </c>
      <c r="H76" s="291"/>
      <c r="I76" s="291" t="s">
        <v>3836</v>
      </c>
      <c r="J76" s="291" t="s">
        <v>3961</v>
      </c>
    </row>
    <row r="77" spans="1:10">
      <c r="A77" s="291" t="s">
        <v>3962</v>
      </c>
      <c r="B77" s="291" t="s">
        <v>3959</v>
      </c>
      <c r="C77" s="291" t="s">
        <v>1875</v>
      </c>
      <c r="D77" s="291" t="s">
        <v>3833</v>
      </c>
      <c r="E77" s="291"/>
      <c r="F77" s="291" t="s">
        <v>3833</v>
      </c>
      <c r="G77" s="291" t="s">
        <v>3835</v>
      </c>
      <c r="H77" s="291"/>
      <c r="I77" s="291" t="s">
        <v>3836</v>
      </c>
      <c r="J77" s="291" t="s">
        <v>3847</v>
      </c>
    </row>
    <row r="78" spans="1:10">
      <c r="A78" s="291" t="s">
        <v>3963</v>
      </c>
      <c r="B78" s="291" t="s">
        <v>3959</v>
      </c>
      <c r="C78" s="291" t="s">
        <v>1878</v>
      </c>
      <c r="D78" s="291" t="s">
        <v>3833</v>
      </c>
      <c r="E78" s="291"/>
      <c r="F78" s="291" t="s">
        <v>3833</v>
      </c>
      <c r="G78" s="291" t="s">
        <v>3835</v>
      </c>
      <c r="H78" s="291"/>
      <c r="I78" s="291" t="s">
        <v>3836</v>
      </c>
      <c r="J78" s="291" t="s">
        <v>3847</v>
      </c>
    </row>
    <row r="79" spans="1:10">
      <c r="A79" s="291" t="s">
        <v>3964</v>
      </c>
      <c r="B79" s="291" t="s">
        <v>3965</v>
      </c>
      <c r="C79" s="291" t="s">
        <v>1869</v>
      </c>
      <c r="D79" s="291" t="s">
        <v>3895</v>
      </c>
      <c r="E79" s="291"/>
      <c r="F79" s="291" t="s">
        <v>3966</v>
      </c>
      <c r="G79" s="291" t="s">
        <v>3835</v>
      </c>
      <c r="H79" s="291"/>
      <c r="I79" s="291" t="s">
        <v>3836</v>
      </c>
      <c r="J79" s="291" t="s">
        <v>3967</v>
      </c>
    </row>
    <row r="80" spans="1:10">
      <c r="A80" s="291" t="s">
        <v>3968</v>
      </c>
      <c r="B80" s="291" t="s">
        <v>3969</v>
      </c>
      <c r="C80" s="291" t="s">
        <v>1887</v>
      </c>
      <c r="D80" s="291" t="s">
        <v>3895</v>
      </c>
      <c r="E80" s="291"/>
      <c r="F80" s="291" t="s">
        <v>3970</v>
      </c>
      <c r="G80" s="291" t="s">
        <v>3835</v>
      </c>
      <c r="H80" s="291"/>
      <c r="I80" s="291" t="s">
        <v>3836</v>
      </c>
      <c r="J80" s="291" t="s">
        <v>3971</v>
      </c>
    </row>
    <row r="81" spans="1:10">
      <c r="A81" s="291" t="s">
        <v>3972</v>
      </c>
      <c r="B81" s="291" t="s">
        <v>3969</v>
      </c>
      <c r="C81" s="291" t="s">
        <v>1872</v>
      </c>
      <c r="D81" s="291" t="s">
        <v>3895</v>
      </c>
      <c r="E81" s="291"/>
      <c r="F81" s="291" t="s">
        <v>3973</v>
      </c>
      <c r="G81" s="291" t="s">
        <v>3835</v>
      </c>
      <c r="H81" s="291"/>
      <c r="I81" s="291" t="s">
        <v>3836</v>
      </c>
      <c r="J81" s="291" t="s">
        <v>3974</v>
      </c>
    </row>
    <row r="82" spans="1:10">
      <c r="A82" s="291" t="s">
        <v>3975</v>
      </c>
      <c r="B82" s="291" t="s">
        <v>3969</v>
      </c>
      <c r="C82" s="291" t="s">
        <v>1880</v>
      </c>
      <c r="D82" s="291" t="s">
        <v>3895</v>
      </c>
      <c r="E82" s="291"/>
      <c r="F82" s="291" t="s">
        <v>3976</v>
      </c>
      <c r="G82" s="291" t="s">
        <v>3835</v>
      </c>
      <c r="H82" s="291"/>
      <c r="I82" s="291" t="s">
        <v>3836</v>
      </c>
      <c r="J82" s="291" t="s">
        <v>3977</v>
      </c>
    </row>
    <row r="83" spans="1:10">
      <c r="A83" s="291" t="s">
        <v>3978</v>
      </c>
      <c r="B83" s="291" t="s">
        <v>3979</v>
      </c>
      <c r="C83" s="291" t="s">
        <v>1886</v>
      </c>
      <c r="D83" s="291" t="s">
        <v>3895</v>
      </c>
      <c r="E83" s="291"/>
      <c r="F83" s="291" t="s">
        <v>3976</v>
      </c>
      <c r="G83" s="291" t="s">
        <v>3835</v>
      </c>
      <c r="H83" s="291"/>
      <c r="I83" s="291" t="s">
        <v>3836</v>
      </c>
      <c r="J83" s="291" t="s">
        <v>3977</v>
      </c>
    </row>
    <row r="84" spans="1:10">
      <c r="A84" s="291" t="s">
        <v>3980</v>
      </c>
      <c r="B84" s="291" t="s">
        <v>3981</v>
      </c>
      <c r="C84" s="291" t="s">
        <v>1887</v>
      </c>
      <c r="D84" s="291" t="s">
        <v>3833</v>
      </c>
      <c r="E84" s="291"/>
      <c r="F84" s="291" t="s">
        <v>3982</v>
      </c>
      <c r="G84" s="291" t="s">
        <v>3835</v>
      </c>
      <c r="H84" s="291"/>
      <c r="I84" s="291" t="s">
        <v>3836</v>
      </c>
      <c r="J84" s="291" t="s">
        <v>3983</v>
      </c>
    </row>
    <row r="85" spans="1:10">
      <c r="A85" s="291" t="s">
        <v>3984</v>
      </c>
      <c r="B85" s="291" t="s">
        <v>3981</v>
      </c>
      <c r="C85" s="291" t="s">
        <v>1869</v>
      </c>
      <c r="D85" s="291" t="s">
        <v>3833</v>
      </c>
      <c r="E85" s="291"/>
      <c r="F85" s="291" t="s">
        <v>3982</v>
      </c>
      <c r="G85" s="291" t="s">
        <v>3835</v>
      </c>
      <c r="H85" s="291"/>
      <c r="I85" s="291" t="s">
        <v>3836</v>
      </c>
      <c r="J85" s="291" t="s">
        <v>3983</v>
      </c>
    </row>
    <row r="86" spans="1:10">
      <c r="A86" s="291" t="s">
        <v>3985</v>
      </c>
      <c r="B86" s="291" t="s">
        <v>3981</v>
      </c>
      <c r="C86" s="291" t="s">
        <v>1872</v>
      </c>
      <c r="D86" s="291" t="s">
        <v>3833</v>
      </c>
      <c r="E86" s="291"/>
      <c r="F86" s="291" t="s">
        <v>3986</v>
      </c>
      <c r="G86" s="291" t="s">
        <v>3835</v>
      </c>
      <c r="H86" s="291"/>
      <c r="I86" s="291" t="s">
        <v>3836</v>
      </c>
      <c r="J86" s="291" t="s">
        <v>3987</v>
      </c>
    </row>
    <row r="87" spans="1:10">
      <c r="A87" s="291" t="s">
        <v>3988</v>
      </c>
      <c r="B87" s="291" t="s">
        <v>3981</v>
      </c>
      <c r="C87" s="291" t="s">
        <v>1875</v>
      </c>
      <c r="D87" s="291" t="s">
        <v>3833</v>
      </c>
      <c r="E87" s="291"/>
      <c r="F87" s="291" t="s">
        <v>3989</v>
      </c>
      <c r="G87" s="291" t="s">
        <v>3835</v>
      </c>
      <c r="H87" s="291"/>
      <c r="I87" s="291" t="s">
        <v>3836</v>
      </c>
      <c r="J87" s="291" t="s">
        <v>3990</v>
      </c>
    </row>
    <row r="88" spans="1:10">
      <c r="A88" s="291" t="s">
        <v>3991</v>
      </c>
      <c r="B88" s="291" t="s">
        <v>3981</v>
      </c>
      <c r="C88" s="291" t="s">
        <v>1878</v>
      </c>
      <c r="D88" s="291" t="s">
        <v>3833</v>
      </c>
      <c r="E88" s="291"/>
      <c r="F88" s="291" t="s">
        <v>3982</v>
      </c>
      <c r="G88" s="291" t="s">
        <v>3835</v>
      </c>
      <c r="H88" s="291"/>
      <c r="I88" s="291" t="s">
        <v>3836</v>
      </c>
      <c r="J88" s="291" t="s">
        <v>3983</v>
      </c>
    </row>
    <row r="89" spans="1:10">
      <c r="A89" s="291" t="s">
        <v>3992</v>
      </c>
      <c r="B89" s="291" t="s">
        <v>3981</v>
      </c>
      <c r="C89" s="291" t="s">
        <v>1884</v>
      </c>
      <c r="D89" s="291" t="s">
        <v>3833</v>
      </c>
      <c r="E89" s="291"/>
      <c r="F89" s="291" t="s">
        <v>3982</v>
      </c>
      <c r="G89" s="291" t="s">
        <v>3835</v>
      </c>
      <c r="H89" s="291"/>
      <c r="I89" s="291" t="s">
        <v>3836</v>
      </c>
      <c r="J89" s="291" t="s">
        <v>3983</v>
      </c>
    </row>
    <row r="90" spans="1:10">
      <c r="A90" s="291" t="s">
        <v>3993</v>
      </c>
      <c r="B90" s="291" t="s">
        <v>3981</v>
      </c>
      <c r="C90" s="291" t="s">
        <v>1886</v>
      </c>
      <c r="D90" s="291" t="s">
        <v>3833</v>
      </c>
      <c r="E90" s="291"/>
      <c r="F90" s="291" t="s">
        <v>3982</v>
      </c>
      <c r="G90" s="291" t="s">
        <v>3835</v>
      </c>
      <c r="H90" s="291"/>
      <c r="I90" s="291" t="s">
        <v>3836</v>
      </c>
      <c r="J90" s="291" t="s">
        <v>3983</v>
      </c>
    </row>
    <row r="91" spans="1:10">
      <c r="A91" s="291" t="s">
        <v>3994</v>
      </c>
      <c r="B91" s="291" t="s">
        <v>3981</v>
      </c>
      <c r="C91" s="291" t="s">
        <v>1880</v>
      </c>
      <c r="D91" s="291" t="s">
        <v>3833</v>
      </c>
      <c r="E91" s="291"/>
      <c r="F91" s="291" t="s">
        <v>3995</v>
      </c>
      <c r="G91" s="291" t="s">
        <v>3835</v>
      </c>
      <c r="H91" s="291"/>
      <c r="I91" s="291" t="s">
        <v>3836</v>
      </c>
      <c r="J91" s="291" t="s">
        <v>3996</v>
      </c>
    </row>
    <row r="92" spans="1:10">
      <c r="A92" s="291" t="s">
        <v>3997</v>
      </c>
      <c r="B92" s="291" t="s">
        <v>3981</v>
      </c>
      <c r="C92" s="291" t="s">
        <v>1889</v>
      </c>
      <c r="D92" s="291" t="s">
        <v>3833</v>
      </c>
      <c r="E92" s="291"/>
      <c r="F92" s="291" t="s">
        <v>3998</v>
      </c>
      <c r="G92" s="291" t="s">
        <v>3835</v>
      </c>
      <c r="H92" s="291"/>
      <c r="I92" s="291" t="s">
        <v>3836</v>
      </c>
      <c r="J92" s="291" t="s">
        <v>3999</v>
      </c>
    </row>
    <row r="93" spans="1:10">
      <c r="A93" s="291" t="s">
        <v>4000</v>
      </c>
      <c r="B93" s="291" t="s">
        <v>3981</v>
      </c>
      <c r="C93" s="291" t="s">
        <v>1890</v>
      </c>
      <c r="D93" s="291" t="s">
        <v>3833</v>
      </c>
      <c r="E93" s="291"/>
      <c r="F93" s="291" t="s">
        <v>3998</v>
      </c>
      <c r="G93" s="291" t="s">
        <v>3835</v>
      </c>
      <c r="H93" s="291"/>
      <c r="I93" s="291" t="s">
        <v>3836</v>
      </c>
      <c r="J93" s="291" t="s">
        <v>3999</v>
      </c>
    </row>
    <row r="94" spans="1:10">
      <c r="A94" s="291" t="s">
        <v>4001</v>
      </c>
      <c r="B94" s="291" t="s">
        <v>3981</v>
      </c>
      <c r="C94" s="291" t="s">
        <v>1895</v>
      </c>
      <c r="D94" s="291" t="s">
        <v>3833</v>
      </c>
      <c r="E94" s="291"/>
      <c r="F94" s="291" t="s">
        <v>3998</v>
      </c>
      <c r="G94" s="291" t="s">
        <v>3835</v>
      </c>
      <c r="H94" s="291"/>
      <c r="I94" s="291" t="s">
        <v>3836</v>
      </c>
      <c r="J94" s="291" t="s">
        <v>3999</v>
      </c>
    </row>
    <row r="95" spans="1:10">
      <c r="A95" s="291" t="s">
        <v>4002</v>
      </c>
      <c r="B95" s="291" t="s">
        <v>3981</v>
      </c>
      <c r="C95" s="291" t="s">
        <v>1897</v>
      </c>
      <c r="D95" s="291" t="s">
        <v>3833</v>
      </c>
      <c r="E95" s="291"/>
      <c r="F95" s="291" t="s">
        <v>3998</v>
      </c>
      <c r="G95" s="291" t="s">
        <v>3835</v>
      </c>
      <c r="H95" s="291"/>
      <c r="I95" s="291" t="s">
        <v>3836</v>
      </c>
      <c r="J95" s="291" t="s">
        <v>3999</v>
      </c>
    </row>
    <row r="96" spans="1:10">
      <c r="A96" s="291" t="s">
        <v>4003</v>
      </c>
      <c r="B96" s="291" t="s">
        <v>3981</v>
      </c>
      <c r="C96" s="291" t="s">
        <v>1899</v>
      </c>
      <c r="D96" s="291" t="s">
        <v>3833</v>
      </c>
      <c r="E96" s="291"/>
      <c r="F96" s="291" t="s">
        <v>3998</v>
      </c>
      <c r="G96" s="291" t="s">
        <v>3835</v>
      </c>
      <c r="H96" s="291"/>
      <c r="I96" s="291" t="s">
        <v>3836</v>
      </c>
      <c r="J96" s="291" t="s">
        <v>3999</v>
      </c>
    </row>
    <row r="97" spans="1:10">
      <c r="A97" s="291" t="s">
        <v>4004</v>
      </c>
      <c r="B97" s="291" t="s">
        <v>3981</v>
      </c>
      <c r="C97" s="291" t="s">
        <v>1903</v>
      </c>
      <c r="D97" s="291" t="s">
        <v>3833</v>
      </c>
      <c r="E97" s="291"/>
      <c r="F97" s="291" t="s">
        <v>3998</v>
      </c>
      <c r="G97" s="291" t="s">
        <v>3835</v>
      </c>
      <c r="H97" s="291"/>
      <c r="I97" s="291" t="s">
        <v>3836</v>
      </c>
      <c r="J97" s="291" t="s">
        <v>3999</v>
      </c>
    </row>
    <row r="98" spans="1:10">
      <c r="A98" s="291" t="s">
        <v>4005</v>
      </c>
      <c r="B98" s="291" t="s">
        <v>3981</v>
      </c>
      <c r="C98" s="291" t="s">
        <v>1905</v>
      </c>
      <c r="D98" s="291" t="s">
        <v>3833</v>
      </c>
      <c r="E98" s="291"/>
      <c r="F98" s="291" t="s">
        <v>3998</v>
      </c>
      <c r="G98" s="291" t="s">
        <v>3835</v>
      </c>
      <c r="H98" s="291"/>
      <c r="I98" s="291" t="s">
        <v>3836</v>
      </c>
      <c r="J98" s="291" t="s">
        <v>3999</v>
      </c>
    </row>
    <row r="99" spans="1:10">
      <c r="A99" s="291" t="s">
        <v>4006</v>
      </c>
      <c r="B99" s="291" t="s">
        <v>3981</v>
      </c>
      <c r="C99" s="291" t="s">
        <v>1910</v>
      </c>
      <c r="D99" s="291" t="s">
        <v>3833</v>
      </c>
      <c r="E99" s="291"/>
      <c r="F99" s="291" t="s">
        <v>3998</v>
      </c>
      <c r="G99" s="291" t="s">
        <v>3835</v>
      </c>
      <c r="H99" s="291"/>
      <c r="I99" s="291" t="s">
        <v>3836</v>
      </c>
      <c r="J99" s="291" t="s">
        <v>3999</v>
      </c>
    </row>
    <row r="100" spans="1:10">
      <c r="A100" s="291" t="s">
        <v>4007</v>
      </c>
      <c r="B100" s="291" t="s">
        <v>3981</v>
      </c>
      <c r="C100" s="291" t="s">
        <v>1912</v>
      </c>
      <c r="D100" s="291" t="s">
        <v>3833</v>
      </c>
      <c r="E100" s="291"/>
      <c r="F100" s="291" t="s">
        <v>3998</v>
      </c>
      <c r="G100" s="291" t="s">
        <v>3835</v>
      </c>
      <c r="H100" s="291"/>
      <c r="I100" s="291" t="s">
        <v>3836</v>
      </c>
      <c r="J100" s="291" t="s">
        <v>3999</v>
      </c>
    </row>
    <row r="101" spans="1:10">
      <c r="A101" s="291" t="s">
        <v>4008</v>
      </c>
      <c r="B101" s="291" t="s">
        <v>3981</v>
      </c>
      <c r="C101" s="291" t="s">
        <v>1914</v>
      </c>
      <c r="D101" s="291" t="s">
        <v>3833</v>
      </c>
      <c r="E101" s="291"/>
      <c r="F101" s="291" t="s">
        <v>3998</v>
      </c>
      <c r="G101" s="291" t="s">
        <v>3835</v>
      </c>
      <c r="H101" s="291"/>
      <c r="I101" s="291" t="s">
        <v>3836</v>
      </c>
      <c r="J101" s="291" t="s">
        <v>3999</v>
      </c>
    </row>
    <row r="102" spans="1:10">
      <c r="A102" s="291" t="s">
        <v>4009</v>
      </c>
      <c r="B102" s="291" t="s">
        <v>3981</v>
      </c>
      <c r="C102" s="291" t="s">
        <v>1888</v>
      </c>
      <c r="D102" s="291" t="s">
        <v>3833</v>
      </c>
      <c r="E102" s="291"/>
      <c r="F102" s="291" t="s">
        <v>3998</v>
      </c>
      <c r="G102" s="291" t="s">
        <v>3835</v>
      </c>
      <c r="H102" s="291"/>
      <c r="I102" s="291" t="s">
        <v>3836</v>
      </c>
      <c r="J102" s="291" t="s">
        <v>3999</v>
      </c>
    </row>
    <row r="103" spans="1:10">
      <c r="A103" s="291" t="s">
        <v>4010</v>
      </c>
      <c r="B103" s="291" t="s">
        <v>4011</v>
      </c>
      <c r="C103" s="291" t="s">
        <v>1887</v>
      </c>
      <c r="D103" s="291" t="s">
        <v>3895</v>
      </c>
      <c r="E103" s="291"/>
      <c r="F103" s="291" t="s">
        <v>4012</v>
      </c>
      <c r="G103" s="291" t="s">
        <v>3835</v>
      </c>
      <c r="H103" s="291"/>
      <c r="I103" s="291" t="s">
        <v>3836</v>
      </c>
      <c r="J103" s="291" t="s">
        <v>4013</v>
      </c>
    </row>
    <row r="104" spans="1:10">
      <c r="A104" s="291" t="s">
        <v>4014</v>
      </c>
      <c r="B104" s="291" t="s">
        <v>4011</v>
      </c>
      <c r="C104" s="291" t="s">
        <v>1869</v>
      </c>
      <c r="D104" s="291" t="s">
        <v>3895</v>
      </c>
      <c r="E104" s="291"/>
      <c r="F104" s="291" t="s">
        <v>4012</v>
      </c>
      <c r="G104" s="291" t="s">
        <v>3835</v>
      </c>
      <c r="H104" s="291"/>
      <c r="I104" s="291" t="s">
        <v>3836</v>
      </c>
      <c r="J104" s="291" t="s">
        <v>4013</v>
      </c>
    </row>
    <row r="105" spans="1:10">
      <c r="A105" s="291" t="s">
        <v>4015</v>
      </c>
      <c r="B105" s="291" t="s">
        <v>4011</v>
      </c>
      <c r="C105" s="291" t="s">
        <v>1872</v>
      </c>
      <c r="D105" s="291" t="s">
        <v>3895</v>
      </c>
      <c r="E105" s="291"/>
      <c r="F105" s="291" t="s">
        <v>4016</v>
      </c>
      <c r="G105" s="291" t="s">
        <v>3835</v>
      </c>
      <c r="H105" s="291"/>
      <c r="I105" s="291" t="s">
        <v>3836</v>
      </c>
      <c r="J105" s="291" t="s">
        <v>4017</v>
      </c>
    </row>
    <row r="106" spans="1:10">
      <c r="A106" s="291" t="s">
        <v>4018</v>
      </c>
      <c r="B106" s="291" t="s">
        <v>4011</v>
      </c>
      <c r="C106" s="291" t="s">
        <v>1875</v>
      </c>
      <c r="D106" s="291" t="s">
        <v>3895</v>
      </c>
      <c r="E106" s="291"/>
      <c r="F106" s="291" t="s">
        <v>4012</v>
      </c>
      <c r="G106" s="291" t="s">
        <v>3835</v>
      </c>
      <c r="H106" s="291"/>
      <c r="I106" s="291" t="s">
        <v>3836</v>
      </c>
      <c r="J106" s="291" t="s">
        <v>4013</v>
      </c>
    </row>
    <row r="107" spans="1:10">
      <c r="A107" s="291" t="s">
        <v>4019</v>
      </c>
      <c r="B107" s="291" t="s">
        <v>4011</v>
      </c>
      <c r="C107" s="291" t="s">
        <v>1878</v>
      </c>
      <c r="D107" s="291" t="s">
        <v>3895</v>
      </c>
      <c r="E107" s="291"/>
      <c r="F107" s="291" t="s">
        <v>4012</v>
      </c>
      <c r="G107" s="291" t="s">
        <v>3835</v>
      </c>
      <c r="H107" s="291"/>
      <c r="I107" s="291" t="s">
        <v>3836</v>
      </c>
      <c r="J107" s="291" t="s">
        <v>4013</v>
      </c>
    </row>
    <row r="108" spans="1:10">
      <c r="A108" s="291" t="s">
        <v>4020</v>
      </c>
      <c r="B108" s="291" t="s">
        <v>4011</v>
      </c>
      <c r="C108" s="291" t="s">
        <v>1884</v>
      </c>
      <c r="D108" s="291" t="s">
        <v>3895</v>
      </c>
      <c r="E108" s="291"/>
      <c r="F108" s="291" t="s">
        <v>4012</v>
      </c>
      <c r="G108" s="291" t="s">
        <v>3835</v>
      </c>
      <c r="H108" s="291"/>
      <c r="I108" s="291" t="s">
        <v>3836</v>
      </c>
      <c r="J108" s="291" t="s">
        <v>4013</v>
      </c>
    </row>
    <row r="109" spans="1:10">
      <c r="A109" s="291" t="s">
        <v>4021</v>
      </c>
      <c r="B109" s="291" t="s">
        <v>4011</v>
      </c>
      <c r="C109" s="291" t="s">
        <v>1886</v>
      </c>
      <c r="D109" s="291" t="s">
        <v>3895</v>
      </c>
      <c r="E109" s="291"/>
      <c r="F109" s="291" t="s">
        <v>4012</v>
      </c>
      <c r="G109" s="291" t="s">
        <v>3835</v>
      </c>
      <c r="H109" s="291"/>
      <c r="I109" s="291" t="s">
        <v>3836</v>
      </c>
      <c r="J109" s="291" t="s">
        <v>4013</v>
      </c>
    </row>
    <row r="110" spans="1:10">
      <c r="A110" s="291" t="s">
        <v>4022</v>
      </c>
      <c r="B110" s="291" t="s">
        <v>4011</v>
      </c>
      <c r="C110" s="291" t="s">
        <v>1880</v>
      </c>
      <c r="D110" s="291" t="s">
        <v>3895</v>
      </c>
      <c r="E110" s="291"/>
      <c r="F110" s="291" t="s">
        <v>4012</v>
      </c>
      <c r="G110" s="291" t="s">
        <v>3835</v>
      </c>
      <c r="H110" s="291"/>
      <c r="I110" s="291" t="s">
        <v>3836</v>
      </c>
      <c r="J110" s="291" t="s">
        <v>4013</v>
      </c>
    </row>
    <row r="111" spans="1:10">
      <c r="A111" s="291" t="s">
        <v>4023</v>
      </c>
      <c r="B111" s="291" t="s">
        <v>4024</v>
      </c>
      <c r="C111" s="291" t="s">
        <v>1875</v>
      </c>
      <c r="D111" s="291" t="s">
        <v>3833</v>
      </c>
      <c r="E111" s="291"/>
      <c r="F111" s="291" t="s">
        <v>3833</v>
      </c>
      <c r="G111" s="291" t="s">
        <v>3835</v>
      </c>
      <c r="H111" s="291"/>
      <c r="I111" s="291" t="s">
        <v>3836</v>
      </c>
      <c r="J111" s="291" t="s">
        <v>3847</v>
      </c>
    </row>
    <row r="112" spans="1:10">
      <c r="A112" s="291" t="s">
        <v>4025</v>
      </c>
      <c r="B112" s="291" t="s">
        <v>4024</v>
      </c>
      <c r="C112" s="291" t="s">
        <v>1880</v>
      </c>
      <c r="D112" s="291" t="s">
        <v>3833</v>
      </c>
      <c r="E112" s="291"/>
      <c r="F112" s="291" t="s">
        <v>3833</v>
      </c>
      <c r="G112" s="291" t="s">
        <v>3835</v>
      </c>
      <c r="H112" s="291"/>
      <c r="I112" s="291" t="s">
        <v>3836</v>
      </c>
      <c r="J112" s="291" t="s">
        <v>3847</v>
      </c>
    </row>
    <row r="113" spans="1:10">
      <c r="A113" s="291" t="s">
        <v>4026</v>
      </c>
      <c r="B113" s="291" t="s">
        <v>4027</v>
      </c>
      <c r="C113" s="291" t="s">
        <v>1872</v>
      </c>
      <c r="D113" s="291" t="s">
        <v>3833</v>
      </c>
      <c r="E113" s="291"/>
      <c r="F113" s="291" t="s">
        <v>3833</v>
      </c>
      <c r="G113" s="291" t="s">
        <v>3835</v>
      </c>
      <c r="H113" s="291"/>
      <c r="I113" s="291" t="s">
        <v>3836</v>
      </c>
      <c r="J113" s="291" t="s">
        <v>3847</v>
      </c>
    </row>
    <row r="114" spans="1:10">
      <c r="A114" s="291" t="s">
        <v>4028</v>
      </c>
      <c r="B114" s="291" t="s">
        <v>4029</v>
      </c>
      <c r="C114" s="291" t="s">
        <v>1878</v>
      </c>
      <c r="D114" s="291" t="s">
        <v>3833</v>
      </c>
      <c r="E114" s="291"/>
      <c r="F114" s="291" t="s">
        <v>3833</v>
      </c>
      <c r="G114" s="291" t="s">
        <v>3835</v>
      </c>
      <c r="H114" s="291"/>
      <c r="I114" s="291" t="s">
        <v>3836</v>
      </c>
      <c r="J114" s="291" t="s">
        <v>3847</v>
      </c>
    </row>
    <row r="115" spans="1:10">
      <c r="A115" s="291" t="s">
        <v>4030</v>
      </c>
      <c r="B115" s="291" t="s">
        <v>4031</v>
      </c>
      <c r="C115" s="291" t="s">
        <v>1872</v>
      </c>
      <c r="D115" s="291" t="s">
        <v>3895</v>
      </c>
      <c r="E115" s="291"/>
      <c r="F115" s="291" t="s">
        <v>3941</v>
      </c>
      <c r="G115" s="291" t="s">
        <v>3835</v>
      </c>
      <c r="H115" s="291"/>
      <c r="I115" s="291" t="s">
        <v>3836</v>
      </c>
      <c r="J115" s="291" t="s">
        <v>3942</v>
      </c>
    </row>
    <row r="116" spans="1:10">
      <c r="A116" s="291" t="s">
        <v>4032</v>
      </c>
      <c r="B116" s="291" t="s">
        <v>4031</v>
      </c>
      <c r="C116" s="291" t="s">
        <v>1886</v>
      </c>
      <c r="D116" s="291" t="s">
        <v>3833</v>
      </c>
      <c r="E116" s="291"/>
      <c r="F116" s="291" t="s">
        <v>3833</v>
      </c>
      <c r="G116" s="291" t="s">
        <v>3835</v>
      </c>
      <c r="H116" s="291"/>
      <c r="I116" s="291" t="s">
        <v>3836</v>
      </c>
      <c r="J116" s="291" t="s">
        <v>3847</v>
      </c>
    </row>
    <row r="117" spans="1:10">
      <c r="A117" s="291" t="s">
        <v>4033</v>
      </c>
      <c r="B117" s="291" t="s">
        <v>4034</v>
      </c>
      <c r="C117" s="291" t="s">
        <v>1887</v>
      </c>
      <c r="D117" s="291" t="s">
        <v>3833</v>
      </c>
      <c r="E117" s="291"/>
      <c r="F117" s="291" t="s">
        <v>3833</v>
      </c>
      <c r="G117" s="291" t="s">
        <v>3835</v>
      </c>
      <c r="H117" s="291"/>
      <c r="I117" s="291" t="s">
        <v>3836</v>
      </c>
      <c r="J117" s="291" t="s">
        <v>3847</v>
      </c>
    </row>
    <row r="118" spans="1:10">
      <c r="A118" s="291" t="s">
        <v>4035</v>
      </c>
      <c r="B118" s="291" t="s">
        <v>4036</v>
      </c>
      <c r="C118" s="291" t="s">
        <v>1869</v>
      </c>
      <c r="D118" s="291" t="s">
        <v>3895</v>
      </c>
      <c r="E118" s="291"/>
      <c r="F118" s="291" t="s">
        <v>4037</v>
      </c>
      <c r="G118" s="291" t="s">
        <v>3835</v>
      </c>
      <c r="H118" s="291"/>
      <c r="I118" s="291" t="s">
        <v>3836</v>
      </c>
      <c r="J118" s="291" t="s">
        <v>4038</v>
      </c>
    </row>
    <row r="119" spans="1:10">
      <c r="A119" s="291" t="s">
        <v>4039</v>
      </c>
      <c r="B119" s="291" t="s">
        <v>4036</v>
      </c>
      <c r="C119" s="291" t="s">
        <v>1880</v>
      </c>
      <c r="D119" s="291" t="s">
        <v>3895</v>
      </c>
      <c r="E119" s="291"/>
      <c r="F119" s="291" t="s">
        <v>3941</v>
      </c>
      <c r="G119" s="291" t="s">
        <v>3835</v>
      </c>
      <c r="H119" s="291"/>
      <c r="I119" s="291" t="s">
        <v>3836</v>
      </c>
      <c r="J119" s="291" t="s">
        <v>3942</v>
      </c>
    </row>
    <row r="120" spans="1:10">
      <c r="A120" s="291" t="s">
        <v>4040</v>
      </c>
      <c r="B120" s="291" t="s">
        <v>4041</v>
      </c>
      <c r="C120" s="291" t="s">
        <v>1878</v>
      </c>
      <c r="D120" s="291" t="s">
        <v>3895</v>
      </c>
      <c r="E120" s="291"/>
      <c r="F120" s="291" t="s">
        <v>3941</v>
      </c>
      <c r="G120" s="291" t="s">
        <v>3835</v>
      </c>
      <c r="H120" s="291"/>
      <c r="I120" s="291" t="s">
        <v>3836</v>
      </c>
      <c r="J120" s="291" t="s">
        <v>3942</v>
      </c>
    </row>
    <row r="121" spans="1:10">
      <c r="A121" s="291" t="s">
        <v>4042</v>
      </c>
      <c r="B121" s="291" t="s">
        <v>4043</v>
      </c>
      <c r="C121" s="291" t="s">
        <v>1875</v>
      </c>
      <c r="D121" s="291" t="s">
        <v>3895</v>
      </c>
      <c r="E121" s="291"/>
      <c r="F121" s="291" t="s">
        <v>3954</v>
      </c>
      <c r="G121" s="291" t="s">
        <v>3835</v>
      </c>
      <c r="H121" s="291"/>
      <c r="I121" s="291" t="s">
        <v>3836</v>
      </c>
      <c r="J121" s="291" t="s">
        <v>3955</v>
      </c>
    </row>
    <row r="122" spans="1:10">
      <c r="A122" s="291" t="s">
        <v>4044</v>
      </c>
      <c r="B122" s="291" t="s">
        <v>4043</v>
      </c>
      <c r="C122" s="291" t="s">
        <v>1884</v>
      </c>
      <c r="D122" s="291" t="s">
        <v>3895</v>
      </c>
      <c r="E122" s="291"/>
      <c r="F122" s="291" t="s">
        <v>3941</v>
      </c>
      <c r="G122" s="291" t="s">
        <v>3835</v>
      </c>
      <c r="H122" s="291"/>
      <c r="I122" s="291" t="s">
        <v>3836</v>
      </c>
      <c r="J122" s="291" t="s">
        <v>3942</v>
      </c>
    </row>
    <row r="123" spans="1:10">
      <c r="A123" s="291" t="s">
        <v>4045</v>
      </c>
      <c r="B123" s="291" t="s">
        <v>4046</v>
      </c>
      <c r="C123" s="291" t="s">
        <v>1887</v>
      </c>
      <c r="D123" s="291" t="s">
        <v>3895</v>
      </c>
      <c r="E123" s="291"/>
      <c r="F123" s="291" t="s">
        <v>3945</v>
      </c>
      <c r="G123" s="291" t="s">
        <v>3835</v>
      </c>
      <c r="H123" s="291"/>
      <c r="I123" s="291" t="s">
        <v>3836</v>
      </c>
      <c r="J123" s="291" t="s">
        <v>3946</v>
      </c>
    </row>
    <row r="124" spans="1:10">
      <c r="A124" s="291" t="s">
        <v>4047</v>
      </c>
      <c r="B124" s="291" t="s">
        <v>4048</v>
      </c>
      <c r="C124" s="291" t="s">
        <v>1886</v>
      </c>
      <c r="D124" s="291" t="s">
        <v>3895</v>
      </c>
      <c r="E124" s="291"/>
      <c r="F124" s="291" t="s">
        <v>3941</v>
      </c>
      <c r="G124" s="291" t="s">
        <v>3835</v>
      </c>
      <c r="H124" s="291"/>
      <c r="I124" s="291" t="s">
        <v>3836</v>
      </c>
      <c r="J124" s="291" t="s">
        <v>3942</v>
      </c>
    </row>
    <row r="125" spans="1:10">
      <c r="A125" s="291" t="s">
        <v>4049</v>
      </c>
      <c r="B125" s="291" t="s">
        <v>4050</v>
      </c>
      <c r="C125" s="291" t="s">
        <v>1887</v>
      </c>
      <c r="D125" s="291" t="s">
        <v>3895</v>
      </c>
      <c r="E125" s="291"/>
      <c r="F125" s="291" t="s">
        <v>4051</v>
      </c>
      <c r="G125" s="291" t="s">
        <v>3835</v>
      </c>
      <c r="H125" s="291"/>
      <c r="I125" s="291" t="s">
        <v>3836</v>
      </c>
      <c r="J125" s="291" t="s">
        <v>4052</v>
      </c>
    </row>
    <row r="126" spans="1:10">
      <c r="A126" s="291" t="s">
        <v>4053</v>
      </c>
      <c r="B126" s="291" t="s">
        <v>4050</v>
      </c>
      <c r="C126" s="291" t="s">
        <v>1869</v>
      </c>
      <c r="D126" s="291" t="s">
        <v>3895</v>
      </c>
      <c r="E126" s="291"/>
      <c r="F126" s="291" t="s">
        <v>4051</v>
      </c>
      <c r="G126" s="291" t="s">
        <v>3835</v>
      </c>
      <c r="H126" s="291"/>
      <c r="I126" s="291" t="s">
        <v>3836</v>
      </c>
      <c r="J126" s="291" t="s">
        <v>4052</v>
      </c>
    </row>
    <row r="127" spans="1:10">
      <c r="A127" s="291" t="s">
        <v>4054</v>
      </c>
      <c r="B127" s="291" t="s">
        <v>4050</v>
      </c>
      <c r="C127" s="291" t="s">
        <v>1872</v>
      </c>
      <c r="D127" s="291" t="s">
        <v>3895</v>
      </c>
      <c r="E127" s="291"/>
      <c r="F127" s="291" t="s">
        <v>4051</v>
      </c>
      <c r="G127" s="291" t="s">
        <v>3835</v>
      </c>
      <c r="H127" s="291"/>
      <c r="I127" s="291" t="s">
        <v>3836</v>
      </c>
      <c r="J127" s="291" t="s">
        <v>4052</v>
      </c>
    </row>
    <row r="128" spans="1:10">
      <c r="A128" s="291" t="s">
        <v>4055</v>
      </c>
      <c r="B128" s="291" t="s">
        <v>4050</v>
      </c>
      <c r="C128" s="291" t="s">
        <v>1875</v>
      </c>
      <c r="D128" s="291" t="s">
        <v>3895</v>
      </c>
      <c r="E128" s="291"/>
      <c r="F128" s="291" t="s">
        <v>4051</v>
      </c>
      <c r="G128" s="291" t="s">
        <v>3835</v>
      </c>
      <c r="H128" s="291"/>
      <c r="I128" s="291" t="s">
        <v>3836</v>
      </c>
      <c r="J128" s="291" t="s">
        <v>4052</v>
      </c>
    </row>
    <row r="129" spans="1:10">
      <c r="A129" s="291" t="s">
        <v>4056</v>
      </c>
      <c r="B129" s="291" t="s">
        <v>4050</v>
      </c>
      <c r="C129" s="291" t="s">
        <v>1878</v>
      </c>
      <c r="D129" s="291" t="s">
        <v>3895</v>
      </c>
      <c r="E129" s="291"/>
      <c r="F129" s="291" t="s">
        <v>4051</v>
      </c>
      <c r="G129" s="291" t="s">
        <v>3835</v>
      </c>
      <c r="H129" s="291"/>
      <c r="I129" s="291" t="s">
        <v>3836</v>
      </c>
      <c r="J129" s="291" t="s">
        <v>4052</v>
      </c>
    </row>
    <row r="130" spans="1:10">
      <c r="A130" s="291" t="s">
        <v>4057</v>
      </c>
      <c r="B130" s="291" t="s">
        <v>4050</v>
      </c>
      <c r="C130" s="291" t="s">
        <v>1884</v>
      </c>
      <c r="D130" s="291" t="s">
        <v>3895</v>
      </c>
      <c r="E130" s="291"/>
      <c r="F130" s="291" t="s">
        <v>4051</v>
      </c>
      <c r="G130" s="291" t="s">
        <v>3835</v>
      </c>
      <c r="H130" s="291"/>
      <c r="I130" s="291" t="s">
        <v>3836</v>
      </c>
      <c r="J130" s="291" t="s">
        <v>4052</v>
      </c>
    </row>
    <row r="131" spans="1:10">
      <c r="A131" s="291" t="s">
        <v>4058</v>
      </c>
      <c r="B131" s="291" t="s">
        <v>4050</v>
      </c>
      <c r="C131" s="291" t="s">
        <v>1886</v>
      </c>
      <c r="D131" s="291" t="s">
        <v>3895</v>
      </c>
      <c r="E131" s="291"/>
      <c r="F131" s="291" t="s">
        <v>4051</v>
      </c>
      <c r="G131" s="291" t="s">
        <v>3835</v>
      </c>
      <c r="H131" s="291"/>
      <c r="I131" s="291" t="s">
        <v>3836</v>
      </c>
      <c r="J131" s="291" t="s">
        <v>4052</v>
      </c>
    </row>
    <row r="132" spans="1:10">
      <c r="A132" s="291" t="s">
        <v>4059</v>
      </c>
      <c r="B132" s="291" t="s">
        <v>4050</v>
      </c>
      <c r="C132" s="291" t="s">
        <v>1880</v>
      </c>
      <c r="D132" s="291" t="s">
        <v>3895</v>
      </c>
      <c r="E132" s="291"/>
      <c r="F132" s="291" t="s">
        <v>4051</v>
      </c>
      <c r="G132" s="291" t="s">
        <v>3835</v>
      </c>
      <c r="H132" s="291"/>
      <c r="I132" s="291" t="s">
        <v>3836</v>
      </c>
      <c r="J132" s="291" t="s">
        <v>4052</v>
      </c>
    </row>
    <row r="133" spans="1:10">
      <c r="A133" s="291" t="s">
        <v>4060</v>
      </c>
      <c r="B133" s="291" t="s">
        <v>4061</v>
      </c>
      <c r="C133" s="291" t="s">
        <v>1887</v>
      </c>
      <c r="D133" s="291" t="s">
        <v>3895</v>
      </c>
      <c r="E133" s="291"/>
      <c r="F133" s="291" t="s">
        <v>3960</v>
      </c>
      <c r="G133" s="291" t="s">
        <v>3835</v>
      </c>
      <c r="H133" s="291"/>
      <c r="I133" s="291" t="s">
        <v>3836</v>
      </c>
      <c r="J133" s="291" t="s">
        <v>3961</v>
      </c>
    </row>
    <row r="134" spans="1:10">
      <c r="A134" s="291" t="s">
        <v>4062</v>
      </c>
      <c r="B134" s="291" t="s">
        <v>4061</v>
      </c>
      <c r="C134" s="291" t="s">
        <v>1872</v>
      </c>
      <c r="D134" s="291" t="s">
        <v>3895</v>
      </c>
      <c r="E134" s="291"/>
      <c r="F134" s="291" t="s">
        <v>3895</v>
      </c>
      <c r="G134" s="291" t="s">
        <v>3835</v>
      </c>
      <c r="H134" s="291"/>
      <c r="I134" s="291" t="s">
        <v>3836</v>
      </c>
      <c r="J134" s="291" t="s">
        <v>3926</v>
      </c>
    </row>
    <row r="135" spans="1:10">
      <c r="A135" s="291" t="s">
        <v>4063</v>
      </c>
      <c r="B135" s="291" t="s">
        <v>4061</v>
      </c>
      <c r="C135" s="291" t="s">
        <v>1886</v>
      </c>
      <c r="D135" s="291" t="s">
        <v>3895</v>
      </c>
      <c r="E135" s="291"/>
      <c r="F135" s="291" t="s">
        <v>3895</v>
      </c>
      <c r="G135" s="291" t="s">
        <v>3835</v>
      </c>
      <c r="H135" s="291"/>
      <c r="I135" s="291" t="s">
        <v>3836</v>
      </c>
      <c r="J135" s="291" t="s">
        <v>3926</v>
      </c>
    </row>
    <row r="136" spans="1:10">
      <c r="A136" s="291" t="s">
        <v>4064</v>
      </c>
      <c r="B136" s="291" t="s">
        <v>4065</v>
      </c>
      <c r="C136" s="291" t="s">
        <v>1887</v>
      </c>
      <c r="D136" s="291" t="s">
        <v>3833</v>
      </c>
      <c r="E136" s="291"/>
      <c r="F136" s="291" t="s">
        <v>4066</v>
      </c>
      <c r="G136" s="291" t="s">
        <v>3835</v>
      </c>
      <c r="H136" s="291"/>
      <c r="I136" s="291" t="s">
        <v>3836</v>
      </c>
      <c r="J136" s="291" t="s">
        <v>4067</v>
      </c>
    </row>
    <row r="137" spans="1:10">
      <c r="A137" s="291" t="s">
        <v>4068</v>
      </c>
      <c r="B137" s="291" t="s">
        <v>4065</v>
      </c>
      <c r="C137" s="291" t="s">
        <v>1869</v>
      </c>
      <c r="D137" s="291" t="s">
        <v>3833</v>
      </c>
      <c r="E137" s="291"/>
      <c r="F137" s="291" t="s">
        <v>4066</v>
      </c>
      <c r="G137" s="291" t="s">
        <v>3835</v>
      </c>
      <c r="H137" s="291"/>
      <c r="I137" s="291" t="s">
        <v>3836</v>
      </c>
      <c r="J137" s="291" t="s">
        <v>4067</v>
      </c>
    </row>
    <row r="138" spans="1:10">
      <c r="A138" s="291" t="s">
        <v>4069</v>
      </c>
      <c r="B138" s="291" t="s">
        <v>4065</v>
      </c>
      <c r="C138" s="291" t="s">
        <v>1872</v>
      </c>
      <c r="D138" s="291" t="s">
        <v>3833</v>
      </c>
      <c r="E138" s="291"/>
      <c r="F138" s="291" t="s">
        <v>3986</v>
      </c>
      <c r="G138" s="291" t="s">
        <v>3835</v>
      </c>
      <c r="H138" s="291"/>
      <c r="I138" s="291" t="s">
        <v>3836</v>
      </c>
      <c r="J138" s="291" t="s">
        <v>3987</v>
      </c>
    </row>
    <row r="139" spans="1:10">
      <c r="A139" s="291" t="s">
        <v>4070</v>
      </c>
      <c r="B139" s="291" t="s">
        <v>4065</v>
      </c>
      <c r="C139" s="291" t="s">
        <v>1875</v>
      </c>
      <c r="D139" s="291" t="s">
        <v>3833</v>
      </c>
      <c r="E139" s="291"/>
      <c r="F139" s="291" t="s">
        <v>3989</v>
      </c>
      <c r="G139" s="291" t="s">
        <v>3835</v>
      </c>
      <c r="H139" s="291"/>
      <c r="I139" s="291" t="s">
        <v>3836</v>
      </c>
      <c r="J139" s="291" t="s">
        <v>3990</v>
      </c>
    </row>
    <row r="140" spans="1:10">
      <c r="A140" s="291" t="s">
        <v>4071</v>
      </c>
      <c r="B140" s="291" t="s">
        <v>4065</v>
      </c>
      <c r="C140" s="291" t="s">
        <v>1878</v>
      </c>
      <c r="D140" s="291" t="s">
        <v>3833</v>
      </c>
      <c r="E140" s="291"/>
      <c r="F140" s="291" t="s">
        <v>4066</v>
      </c>
      <c r="G140" s="291" t="s">
        <v>3835</v>
      </c>
      <c r="H140" s="291"/>
      <c r="I140" s="291" t="s">
        <v>3836</v>
      </c>
      <c r="J140" s="291" t="s">
        <v>4067</v>
      </c>
    </row>
    <row r="141" spans="1:10">
      <c r="A141" s="291" t="s">
        <v>4072</v>
      </c>
      <c r="B141" s="291" t="s">
        <v>4065</v>
      </c>
      <c r="C141" s="291" t="s">
        <v>1884</v>
      </c>
      <c r="D141" s="291" t="s">
        <v>3833</v>
      </c>
      <c r="E141" s="291"/>
      <c r="F141" s="291" t="s">
        <v>4073</v>
      </c>
      <c r="G141" s="291" t="s">
        <v>3835</v>
      </c>
      <c r="H141" s="291"/>
      <c r="I141" s="291" t="s">
        <v>3836</v>
      </c>
      <c r="J141" s="291" t="s">
        <v>4074</v>
      </c>
    </row>
    <row r="142" spans="1:10">
      <c r="A142" s="291" t="s">
        <v>4075</v>
      </c>
      <c r="B142" s="291" t="s">
        <v>4065</v>
      </c>
      <c r="C142" s="291" t="s">
        <v>1886</v>
      </c>
      <c r="D142" s="291" t="s">
        <v>3833</v>
      </c>
      <c r="E142" s="291"/>
      <c r="F142" s="291" t="s">
        <v>4066</v>
      </c>
      <c r="G142" s="291" t="s">
        <v>3835</v>
      </c>
      <c r="H142" s="291"/>
      <c r="I142" s="291" t="s">
        <v>3836</v>
      </c>
      <c r="J142" s="291" t="s">
        <v>4067</v>
      </c>
    </row>
    <row r="143" spans="1:10">
      <c r="A143" s="291" t="s">
        <v>4076</v>
      </c>
      <c r="B143" s="291" t="s">
        <v>4065</v>
      </c>
      <c r="C143" s="291" t="s">
        <v>1880</v>
      </c>
      <c r="D143" s="291" t="s">
        <v>3833</v>
      </c>
      <c r="E143" s="291"/>
      <c r="F143" s="291" t="s">
        <v>4077</v>
      </c>
      <c r="G143" s="291" t="s">
        <v>3835</v>
      </c>
      <c r="H143" s="291"/>
      <c r="I143" s="291" t="s">
        <v>3836</v>
      </c>
      <c r="J143" s="291" t="s">
        <v>4078</v>
      </c>
    </row>
    <row r="144" spans="1:10">
      <c r="A144" s="291" t="s">
        <v>4079</v>
      </c>
      <c r="B144" s="291" t="s">
        <v>4065</v>
      </c>
      <c r="C144" s="291" t="s">
        <v>1889</v>
      </c>
      <c r="D144" s="291" t="s">
        <v>3833</v>
      </c>
      <c r="E144" s="291"/>
      <c r="F144" s="291" t="s">
        <v>3998</v>
      </c>
      <c r="G144" s="291" t="s">
        <v>3835</v>
      </c>
      <c r="H144" s="291"/>
      <c r="I144" s="291" t="s">
        <v>3836</v>
      </c>
      <c r="J144" s="291" t="s">
        <v>3999</v>
      </c>
    </row>
    <row r="145" spans="1:10">
      <c r="A145" s="291" t="s">
        <v>4080</v>
      </c>
      <c r="B145" s="291" t="s">
        <v>4065</v>
      </c>
      <c r="C145" s="291" t="s">
        <v>1890</v>
      </c>
      <c r="D145" s="291" t="s">
        <v>3833</v>
      </c>
      <c r="E145" s="291"/>
      <c r="F145" s="291" t="s">
        <v>3998</v>
      </c>
      <c r="G145" s="291" t="s">
        <v>3835</v>
      </c>
      <c r="H145" s="291"/>
      <c r="I145" s="291" t="s">
        <v>3836</v>
      </c>
      <c r="J145" s="291" t="s">
        <v>3999</v>
      </c>
    </row>
    <row r="146" spans="1:10">
      <c r="A146" s="291" t="s">
        <v>4081</v>
      </c>
      <c r="B146" s="291" t="s">
        <v>4065</v>
      </c>
      <c r="C146" s="291" t="s">
        <v>1895</v>
      </c>
      <c r="D146" s="291" t="s">
        <v>3833</v>
      </c>
      <c r="E146" s="291"/>
      <c r="F146" s="291" t="s">
        <v>3998</v>
      </c>
      <c r="G146" s="291" t="s">
        <v>3835</v>
      </c>
      <c r="H146" s="291"/>
      <c r="I146" s="291" t="s">
        <v>3836</v>
      </c>
      <c r="J146" s="291" t="s">
        <v>3999</v>
      </c>
    </row>
    <row r="147" spans="1:10">
      <c r="A147" s="291" t="s">
        <v>4082</v>
      </c>
      <c r="B147" s="291" t="s">
        <v>4065</v>
      </c>
      <c r="C147" s="291" t="s">
        <v>1897</v>
      </c>
      <c r="D147" s="291" t="s">
        <v>3833</v>
      </c>
      <c r="E147" s="291"/>
      <c r="F147" s="291" t="s">
        <v>3998</v>
      </c>
      <c r="G147" s="291" t="s">
        <v>3835</v>
      </c>
      <c r="H147" s="291"/>
      <c r="I147" s="291" t="s">
        <v>3836</v>
      </c>
      <c r="J147" s="291" t="s">
        <v>3999</v>
      </c>
    </row>
    <row r="148" spans="1:10">
      <c r="A148" s="291" t="s">
        <v>4083</v>
      </c>
      <c r="B148" s="291" t="s">
        <v>4065</v>
      </c>
      <c r="C148" s="291" t="s">
        <v>1899</v>
      </c>
      <c r="D148" s="291" t="s">
        <v>3833</v>
      </c>
      <c r="E148" s="291"/>
      <c r="F148" s="291" t="s">
        <v>3998</v>
      </c>
      <c r="G148" s="291" t="s">
        <v>3835</v>
      </c>
      <c r="H148" s="291"/>
      <c r="I148" s="291" t="s">
        <v>3836</v>
      </c>
      <c r="J148" s="291" t="s">
        <v>3999</v>
      </c>
    </row>
    <row r="149" spans="1:10">
      <c r="A149" s="291" t="s">
        <v>4084</v>
      </c>
      <c r="B149" s="291" t="s">
        <v>4065</v>
      </c>
      <c r="C149" s="291" t="s">
        <v>1902</v>
      </c>
      <c r="D149" s="291" t="s">
        <v>3833</v>
      </c>
      <c r="E149" s="291"/>
      <c r="F149" s="291" t="s">
        <v>3998</v>
      </c>
      <c r="G149" s="291" t="s">
        <v>3835</v>
      </c>
      <c r="H149" s="291"/>
      <c r="I149" s="291" t="s">
        <v>3836</v>
      </c>
      <c r="J149" s="291" t="s">
        <v>3999</v>
      </c>
    </row>
    <row r="150" spans="1:10">
      <c r="A150" s="291" t="s">
        <v>4085</v>
      </c>
      <c r="B150" s="291" t="s">
        <v>4065</v>
      </c>
      <c r="C150" s="291" t="s">
        <v>1903</v>
      </c>
      <c r="D150" s="291" t="s">
        <v>3833</v>
      </c>
      <c r="E150" s="291"/>
      <c r="F150" s="291" t="s">
        <v>3998</v>
      </c>
      <c r="G150" s="291" t="s">
        <v>3835</v>
      </c>
      <c r="H150" s="291"/>
      <c r="I150" s="291" t="s">
        <v>3836</v>
      </c>
      <c r="J150" s="291" t="s">
        <v>3999</v>
      </c>
    </row>
    <row r="151" spans="1:10">
      <c r="A151" s="291" t="s">
        <v>4086</v>
      </c>
      <c r="B151" s="291" t="s">
        <v>4065</v>
      </c>
      <c r="C151" s="291" t="s">
        <v>1905</v>
      </c>
      <c r="D151" s="291" t="s">
        <v>3833</v>
      </c>
      <c r="E151" s="291"/>
      <c r="F151" s="291" t="s">
        <v>3998</v>
      </c>
      <c r="G151" s="291" t="s">
        <v>3835</v>
      </c>
      <c r="H151" s="291"/>
      <c r="I151" s="291" t="s">
        <v>3836</v>
      </c>
      <c r="J151" s="291" t="s">
        <v>3999</v>
      </c>
    </row>
    <row r="152" spans="1:10">
      <c r="A152" s="291" t="s">
        <v>4087</v>
      </c>
      <c r="B152" s="291" t="s">
        <v>4065</v>
      </c>
      <c r="C152" s="291" t="s">
        <v>1910</v>
      </c>
      <c r="D152" s="291" t="s">
        <v>3833</v>
      </c>
      <c r="E152" s="291"/>
      <c r="F152" s="291" t="s">
        <v>3998</v>
      </c>
      <c r="G152" s="291" t="s">
        <v>3835</v>
      </c>
      <c r="H152" s="291"/>
      <c r="I152" s="291" t="s">
        <v>3836</v>
      </c>
      <c r="J152" s="291" t="s">
        <v>3999</v>
      </c>
    </row>
    <row r="153" spans="1:10">
      <c r="A153" s="291" t="s">
        <v>4088</v>
      </c>
      <c r="B153" s="291" t="s">
        <v>4065</v>
      </c>
      <c r="C153" s="291" t="s">
        <v>1912</v>
      </c>
      <c r="D153" s="291" t="s">
        <v>3833</v>
      </c>
      <c r="E153" s="291"/>
      <c r="F153" s="291" t="s">
        <v>3998</v>
      </c>
      <c r="G153" s="291" t="s">
        <v>3835</v>
      </c>
      <c r="H153" s="291"/>
      <c r="I153" s="291" t="s">
        <v>3836</v>
      </c>
      <c r="J153" s="291" t="s">
        <v>3999</v>
      </c>
    </row>
    <row r="154" spans="1:10">
      <c r="A154" s="291" t="s">
        <v>4089</v>
      </c>
      <c r="B154" s="291" t="s">
        <v>4065</v>
      </c>
      <c r="C154" s="291" t="s">
        <v>1914</v>
      </c>
      <c r="D154" s="291" t="s">
        <v>3833</v>
      </c>
      <c r="E154" s="291"/>
      <c r="F154" s="291" t="s">
        <v>3998</v>
      </c>
      <c r="G154" s="291" t="s">
        <v>3835</v>
      </c>
      <c r="H154" s="291"/>
      <c r="I154" s="291" t="s">
        <v>3836</v>
      </c>
      <c r="J154" s="291" t="s">
        <v>3999</v>
      </c>
    </row>
    <row r="155" spans="1:10">
      <c r="A155" s="291" t="s">
        <v>4090</v>
      </c>
      <c r="B155" s="291" t="s">
        <v>4065</v>
      </c>
      <c r="C155" s="291" t="s">
        <v>1888</v>
      </c>
      <c r="D155" s="291" t="s">
        <v>3833</v>
      </c>
      <c r="E155" s="291"/>
      <c r="F155" s="291" t="s">
        <v>3998</v>
      </c>
      <c r="G155" s="291" t="s">
        <v>3835</v>
      </c>
      <c r="H155" s="291"/>
      <c r="I155" s="291" t="s">
        <v>3836</v>
      </c>
      <c r="J155" s="291" t="s">
        <v>3999</v>
      </c>
    </row>
    <row r="156" spans="1:10">
      <c r="A156" s="291" t="s">
        <v>4091</v>
      </c>
      <c r="B156" s="291" t="s">
        <v>4092</v>
      </c>
      <c r="C156" s="291" t="s">
        <v>1872</v>
      </c>
      <c r="D156" s="291" t="s">
        <v>3895</v>
      </c>
      <c r="E156" s="291"/>
      <c r="F156" s="291" t="s">
        <v>4093</v>
      </c>
      <c r="G156" s="291" t="s">
        <v>3835</v>
      </c>
      <c r="H156" s="291"/>
      <c r="I156" s="291" t="s">
        <v>3836</v>
      </c>
      <c r="J156" s="291" t="s">
        <v>4094</v>
      </c>
    </row>
    <row r="157" spans="1:10">
      <c r="A157" s="291" t="s">
        <v>4095</v>
      </c>
      <c r="B157" s="291" t="s">
        <v>4096</v>
      </c>
      <c r="C157" s="291" t="s">
        <v>1878</v>
      </c>
      <c r="D157" s="291" t="s">
        <v>3895</v>
      </c>
      <c r="E157" s="291"/>
      <c r="F157" s="291" t="s">
        <v>4097</v>
      </c>
      <c r="G157" s="291" t="s">
        <v>3835</v>
      </c>
      <c r="H157" s="291"/>
      <c r="I157" s="291" t="s">
        <v>3836</v>
      </c>
      <c r="J157" s="291" t="s">
        <v>4098</v>
      </c>
    </row>
    <row r="158" spans="1:10">
      <c r="A158" s="291" t="s">
        <v>4099</v>
      </c>
      <c r="B158" s="291" t="s">
        <v>4100</v>
      </c>
      <c r="C158" s="291" t="s">
        <v>1878</v>
      </c>
      <c r="D158" s="291" t="s">
        <v>3895</v>
      </c>
      <c r="E158" s="291"/>
      <c r="F158" s="291" t="s">
        <v>4097</v>
      </c>
      <c r="G158" s="291" t="s">
        <v>3835</v>
      </c>
      <c r="H158" s="291"/>
      <c r="I158" s="291" t="s">
        <v>3836</v>
      </c>
      <c r="J158" s="291" t="s">
        <v>4098</v>
      </c>
    </row>
    <row r="159" spans="1:10">
      <c r="A159" s="291" t="s">
        <v>4101</v>
      </c>
      <c r="B159" s="291" t="s">
        <v>4102</v>
      </c>
      <c r="C159" s="291" t="s">
        <v>1872</v>
      </c>
      <c r="D159" s="291" t="s">
        <v>3895</v>
      </c>
      <c r="E159" s="291"/>
      <c r="F159" s="291" t="s">
        <v>4103</v>
      </c>
      <c r="G159" s="291" t="s">
        <v>3835</v>
      </c>
      <c r="H159" s="291"/>
      <c r="I159" s="291" t="s">
        <v>3836</v>
      </c>
      <c r="J159" s="291" t="s">
        <v>4104</v>
      </c>
    </row>
    <row r="160" spans="1:10">
      <c r="A160" s="291" t="s">
        <v>4105</v>
      </c>
      <c r="B160" s="291" t="s">
        <v>4102</v>
      </c>
      <c r="C160" s="291" t="s">
        <v>1875</v>
      </c>
      <c r="D160" s="291" t="s">
        <v>3895</v>
      </c>
      <c r="E160" s="291"/>
      <c r="F160" s="291" t="s">
        <v>4106</v>
      </c>
      <c r="G160" s="291" t="s">
        <v>3835</v>
      </c>
      <c r="H160" s="291"/>
      <c r="I160" s="291" t="s">
        <v>3836</v>
      </c>
      <c r="J160" s="291" t="s">
        <v>4107</v>
      </c>
    </row>
    <row r="161" spans="1:10">
      <c r="A161" s="291" t="s">
        <v>4108</v>
      </c>
      <c r="B161" s="291" t="s">
        <v>4102</v>
      </c>
      <c r="C161" s="291" t="s">
        <v>1878</v>
      </c>
      <c r="D161" s="291" t="s">
        <v>3895</v>
      </c>
      <c r="E161" s="291"/>
      <c r="F161" s="291" t="s">
        <v>4097</v>
      </c>
      <c r="G161" s="291" t="s">
        <v>3835</v>
      </c>
      <c r="H161" s="291"/>
      <c r="I161" s="291" t="s">
        <v>3836</v>
      </c>
      <c r="J161" s="291" t="s">
        <v>4098</v>
      </c>
    </row>
    <row r="162" spans="1:10">
      <c r="A162" s="291" t="s">
        <v>4109</v>
      </c>
      <c r="B162" s="291" t="s">
        <v>4102</v>
      </c>
      <c r="C162" s="291" t="s">
        <v>1880</v>
      </c>
      <c r="D162" s="291" t="s">
        <v>3895</v>
      </c>
      <c r="E162" s="291"/>
      <c r="F162" s="291" t="s">
        <v>4110</v>
      </c>
      <c r="G162" s="291" t="s">
        <v>3835</v>
      </c>
      <c r="H162" s="291"/>
      <c r="I162" s="291" t="s">
        <v>3836</v>
      </c>
      <c r="J162" s="291" t="s">
        <v>4111</v>
      </c>
    </row>
    <row r="163" spans="1:10">
      <c r="A163" s="291" t="s">
        <v>4112</v>
      </c>
      <c r="B163" s="291" t="s">
        <v>4113</v>
      </c>
      <c r="C163" s="291" t="s">
        <v>1884</v>
      </c>
      <c r="D163" s="291" t="s">
        <v>3833</v>
      </c>
      <c r="E163" s="291"/>
      <c r="F163" s="291" t="s">
        <v>4066</v>
      </c>
      <c r="G163" s="291" t="s">
        <v>3835</v>
      </c>
      <c r="H163" s="291"/>
      <c r="I163" s="291" t="s">
        <v>3836</v>
      </c>
      <c r="J163" s="291" t="s">
        <v>4067</v>
      </c>
    </row>
    <row r="164" spans="1:10">
      <c r="A164" s="291" t="s">
        <v>4114</v>
      </c>
      <c r="B164" s="291" t="s">
        <v>4115</v>
      </c>
      <c r="C164" s="291" t="s">
        <v>1869</v>
      </c>
      <c r="D164" s="291" t="s">
        <v>3895</v>
      </c>
      <c r="E164" s="291"/>
      <c r="F164" s="291" t="s">
        <v>4116</v>
      </c>
      <c r="G164" s="291" t="s">
        <v>3835</v>
      </c>
      <c r="H164" s="291"/>
      <c r="I164" s="291" t="s">
        <v>3836</v>
      </c>
      <c r="J164" s="291" t="s">
        <v>4117</v>
      </c>
    </row>
    <row r="165" spans="1:10">
      <c r="A165" s="291" t="s">
        <v>4118</v>
      </c>
      <c r="B165" s="291" t="s">
        <v>4119</v>
      </c>
      <c r="C165" s="291" t="s">
        <v>1884</v>
      </c>
      <c r="D165" s="291" t="s">
        <v>3895</v>
      </c>
      <c r="E165" s="291"/>
      <c r="F165" s="291" t="s">
        <v>4110</v>
      </c>
      <c r="G165" s="291" t="s">
        <v>3835</v>
      </c>
      <c r="H165" s="291"/>
      <c r="I165" s="291" t="s">
        <v>3836</v>
      </c>
      <c r="J165" s="291" t="s">
        <v>4111</v>
      </c>
    </row>
    <row r="166" spans="1:10">
      <c r="A166" s="291" t="s">
        <v>4120</v>
      </c>
      <c r="B166" s="291" t="s">
        <v>4119</v>
      </c>
      <c r="C166" s="291" t="s">
        <v>1886</v>
      </c>
      <c r="D166" s="291" t="s">
        <v>3895</v>
      </c>
      <c r="E166" s="291"/>
      <c r="F166" s="291" t="s">
        <v>4121</v>
      </c>
      <c r="G166" s="291" t="s">
        <v>3835</v>
      </c>
      <c r="H166" s="291"/>
      <c r="I166" s="291" t="s">
        <v>3836</v>
      </c>
      <c r="J166" s="291" t="s">
        <v>4122</v>
      </c>
    </row>
    <row r="167" spans="1:10">
      <c r="A167" s="291" t="s">
        <v>4123</v>
      </c>
      <c r="B167" s="291" t="s">
        <v>4124</v>
      </c>
      <c r="C167" s="291" t="s">
        <v>1887</v>
      </c>
      <c r="D167" s="291" t="s">
        <v>3833</v>
      </c>
      <c r="E167" s="291"/>
      <c r="F167" s="291" t="s">
        <v>4066</v>
      </c>
      <c r="G167" s="291" t="s">
        <v>3835</v>
      </c>
      <c r="H167" s="291"/>
      <c r="I167" s="291" t="s">
        <v>3836</v>
      </c>
      <c r="J167" s="291" t="s">
        <v>4067</v>
      </c>
    </row>
    <row r="168" spans="1:10">
      <c r="A168" s="291" t="s">
        <v>4125</v>
      </c>
      <c r="B168" s="291" t="s">
        <v>4124</v>
      </c>
      <c r="C168" s="291" t="s">
        <v>1869</v>
      </c>
      <c r="D168" s="291" t="s">
        <v>3833</v>
      </c>
      <c r="E168" s="291"/>
      <c r="F168" s="291" t="s">
        <v>4066</v>
      </c>
      <c r="G168" s="291" t="s">
        <v>3835</v>
      </c>
      <c r="H168" s="291"/>
      <c r="I168" s="291" t="s">
        <v>3836</v>
      </c>
      <c r="J168" s="291" t="s">
        <v>4067</v>
      </c>
    </row>
    <row r="169" spans="1:10">
      <c r="A169" s="291" t="s">
        <v>4126</v>
      </c>
      <c r="B169" s="291" t="s">
        <v>4124</v>
      </c>
      <c r="C169" s="291" t="s">
        <v>1872</v>
      </c>
      <c r="D169" s="291" t="s">
        <v>3833</v>
      </c>
      <c r="E169" s="291"/>
      <c r="F169" s="291" t="s">
        <v>3986</v>
      </c>
      <c r="G169" s="291" t="s">
        <v>3835</v>
      </c>
      <c r="H169" s="291"/>
      <c r="I169" s="291" t="s">
        <v>3836</v>
      </c>
      <c r="J169" s="291" t="s">
        <v>3987</v>
      </c>
    </row>
    <row r="170" spans="1:10">
      <c r="A170" s="291" t="s">
        <v>4127</v>
      </c>
      <c r="B170" s="291" t="s">
        <v>4124</v>
      </c>
      <c r="C170" s="291" t="s">
        <v>1875</v>
      </c>
      <c r="D170" s="291" t="s">
        <v>3833</v>
      </c>
      <c r="E170" s="291"/>
      <c r="F170" s="291" t="s">
        <v>3989</v>
      </c>
      <c r="G170" s="291" t="s">
        <v>3835</v>
      </c>
      <c r="H170" s="291"/>
      <c r="I170" s="291" t="s">
        <v>3836</v>
      </c>
      <c r="J170" s="291" t="s">
        <v>3990</v>
      </c>
    </row>
    <row r="171" spans="1:10">
      <c r="A171" s="291" t="s">
        <v>4128</v>
      </c>
      <c r="B171" s="291" t="s">
        <v>4124</v>
      </c>
      <c r="C171" s="291" t="s">
        <v>1878</v>
      </c>
      <c r="D171" s="291" t="s">
        <v>3833</v>
      </c>
      <c r="E171" s="291"/>
      <c r="F171" s="291" t="s">
        <v>4066</v>
      </c>
      <c r="G171" s="291" t="s">
        <v>3835</v>
      </c>
      <c r="H171" s="291"/>
      <c r="I171" s="291" t="s">
        <v>3836</v>
      </c>
      <c r="J171" s="291" t="s">
        <v>4067</v>
      </c>
    </row>
    <row r="172" spans="1:10">
      <c r="A172" s="291" t="s">
        <v>4129</v>
      </c>
      <c r="B172" s="291" t="s">
        <v>4124</v>
      </c>
      <c r="C172" s="291" t="s">
        <v>1886</v>
      </c>
      <c r="D172" s="291" t="s">
        <v>3833</v>
      </c>
      <c r="E172" s="291"/>
      <c r="F172" s="291" t="s">
        <v>4066</v>
      </c>
      <c r="G172" s="291" t="s">
        <v>3835</v>
      </c>
      <c r="H172" s="291"/>
      <c r="I172" s="291" t="s">
        <v>3836</v>
      </c>
      <c r="J172" s="291" t="s">
        <v>4067</v>
      </c>
    </row>
    <row r="173" spans="1:10">
      <c r="A173" s="291" t="s">
        <v>4130</v>
      </c>
      <c r="B173" s="291" t="s">
        <v>4124</v>
      </c>
      <c r="C173" s="291" t="s">
        <v>1880</v>
      </c>
      <c r="D173" s="291" t="s">
        <v>3833</v>
      </c>
      <c r="E173" s="291"/>
      <c r="F173" s="291" t="s">
        <v>4077</v>
      </c>
      <c r="G173" s="291" t="s">
        <v>3835</v>
      </c>
      <c r="H173" s="291"/>
      <c r="I173" s="291" t="s">
        <v>3836</v>
      </c>
      <c r="J173" s="291" t="s">
        <v>4078</v>
      </c>
    </row>
    <row r="174" spans="1:10">
      <c r="A174" s="291" t="s">
        <v>4131</v>
      </c>
      <c r="B174" s="291" t="s">
        <v>4124</v>
      </c>
      <c r="C174" s="291" t="s">
        <v>1889</v>
      </c>
      <c r="D174" s="291" t="s">
        <v>3833</v>
      </c>
      <c r="E174" s="291"/>
      <c r="F174" s="291" t="s">
        <v>3998</v>
      </c>
      <c r="G174" s="291" t="s">
        <v>3835</v>
      </c>
      <c r="H174" s="291"/>
      <c r="I174" s="291" t="s">
        <v>3836</v>
      </c>
      <c r="J174" s="291" t="s">
        <v>3999</v>
      </c>
    </row>
    <row r="175" spans="1:10">
      <c r="A175" s="291" t="s">
        <v>4132</v>
      </c>
      <c r="B175" s="291" t="s">
        <v>4124</v>
      </c>
      <c r="C175" s="291" t="s">
        <v>1890</v>
      </c>
      <c r="D175" s="291" t="s">
        <v>3833</v>
      </c>
      <c r="E175" s="291"/>
      <c r="F175" s="291" t="s">
        <v>3998</v>
      </c>
      <c r="G175" s="291" t="s">
        <v>3835</v>
      </c>
      <c r="H175" s="291"/>
      <c r="I175" s="291" t="s">
        <v>3836</v>
      </c>
      <c r="J175" s="291" t="s">
        <v>3999</v>
      </c>
    </row>
    <row r="176" spans="1:10">
      <c r="A176" s="291" t="s">
        <v>4133</v>
      </c>
      <c r="B176" s="291" t="s">
        <v>4124</v>
      </c>
      <c r="C176" s="291" t="s">
        <v>1895</v>
      </c>
      <c r="D176" s="291" t="s">
        <v>3833</v>
      </c>
      <c r="E176" s="291"/>
      <c r="F176" s="291" t="s">
        <v>3998</v>
      </c>
      <c r="G176" s="291" t="s">
        <v>3835</v>
      </c>
      <c r="H176" s="291"/>
      <c r="I176" s="291" t="s">
        <v>3836</v>
      </c>
      <c r="J176" s="291" t="s">
        <v>3999</v>
      </c>
    </row>
    <row r="177" spans="1:10">
      <c r="A177" s="291" t="s">
        <v>4134</v>
      </c>
      <c r="B177" s="291" t="s">
        <v>4124</v>
      </c>
      <c r="C177" s="291" t="s">
        <v>1897</v>
      </c>
      <c r="D177" s="291" t="s">
        <v>3833</v>
      </c>
      <c r="E177" s="291"/>
      <c r="F177" s="291" t="s">
        <v>3998</v>
      </c>
      <c r="G177" s="291" t="s">
        <v>3835</v>
      </c>
      <c r="H177" s="291"/>
      <c r="I177" s="291" t="s">
        <v>3836</v>
      </c>
      <c r="J177" s="291" t="s">
        <v>3999</v>
      </c>
    </row>
    <row r="178" spans="1:10">
      <c r="A178" s="291" t="s">
        <v>4135</v>
      </c>
      <c r="B178" s="291" t="s">
        <v>4124</v>
      </c>
      <c r="C178" s="291" t="s">
        <v>1899</v>
      </c>
      <c r="D178" s="291" t="s">
        <v>3833</v>
      </c>
      <c r="E178" s="291"/>
      <c r="F178" s="291" t="s">
        <v>3998</v>
      </c>
      <c r="G178" s="291" t="s">
        <v>3835</v>
      </c>
      <c r="H178" s="291"/>
      <c r="I178" s="291" t="s">
        <v>3836</v>
      </c>
      <c r="J178" s="291" t="s">
        <v>3999</v>
      </c>
    </row>
    <row r="179" spans="1:10">
      <c r="A179" s="291" t="s">
        <v>4136</v>
      </c>
      <c r="B179" s="291" t="s">
        <v>4124</v>
      </c>
      <c r="C179" s="291" t="s">
        <v>1902</v>
      </c>
      <c r="D179" s="291" t="s">
        <v>3833</v>
      </c>
      <c r="E179" s="291"/>
      <c r="F179" s="291" t="s">
        <v>3998</v>
      </c>
      <c r="G179" s="291" t="s">
        <v>3835</v>
      </c>
      <c r="H179" s="291"/>
      <c r="I179" s="291" t="s">
        <v>3836</v>
      </c>
      <c r="J179" s="291" t="s">
        <v>3999</v>
      </c>
    </row>
    <row r="180" spans="1:10">
      <c r="A180" s="291" t="s">
        <v>4137</v>
      </c>
      <c r="B180" s="291" t="s">
        <v>4124</v>
      </c>
      <c r="C180" s="291" t="s">
        <v>1903</v>
      </c>
      <c r="D180" s="291" t="s">
        <v>3833</v>
      </c>
      <c r="E180" s="291"/>
      <c r="F180" s="291" t="s">
        <v>3998</v>
      </c>
      <c r="G180" s="291" t="s">
        <v>3835</v>
      </c>
      <c r="H180" s="291"/>
      <c r="I180" s="291" t="s">
        <v>3836</v>
      </c>
      <c r="J180" s="291" t="s">
        <v>3999</v>
      </c>
    </row>
    <row r="181" spans="1:10">
      <c r="A181" s="291" t="s">
        <v>4138</v>
      </c>
      <c r="B181" s="291" t="s">
        <v>4124</v>
      </c>
      <c r="C181" s="291" t="s">
        <v>1905</v>
      </c>
      <c r="D181" s="291" t="s">
        <v>3833</v>
      </c>
      <c r="E181" s="291"/>
      <c r="F181" s="291" t="s">
        <v>3998</v>
      </c>
      <c r="G181" s="291" t="s">
        <v>3835</v>
      </c>
      <c r="H181" s="291"/>
      <c r="I181" s="291" t="s">
        <v>3836</v>
      </c>
      <c r="J181" s="291" t="s">
        <v>3999</v>
      </c>
    </row>
    <row r="182" spans="1:10">
      <c r="A182" s="291" t="s">
        <v>4139</v>
      </c>
      <c r="B182" s="291" t="s">
        <v>4124</v>
      </c>
      <c r="C182" s="291" t="s">
        <v>1910</v>
      </c>
      <c r="D182" s="291" t="s">
        <v>3833</v>
      </c>
      <c r="E182" s="291"/>
      <c r="F182" s="291" t="s">
        <v>3998</v>
      </c>
      <c r="G182" s="291" t="s">
        <v>3835</v>
      </c>
      <c r="H182" s="291"/>
      <c r="I182" s="291" t="s">
        <v>3836</v>
      </c>
      <c r="J182" s="291" t="s">
        <v>3999</v>
      </c>
    </row>
    <row r="183" spans="1:10">
      <c r="A183" s="291" t="s">
        <v>4140</v>
      </c>
      <c r="B183" s="291" t="s">
        <v>4124</v>
      </c>
      <c r="C183" s="291" t="s">
        <v>1912</v>
      </c>
      <c r="D183" s="291" t="s">
        <v>3833</v>
      </c>
      <c r="E183" s="291"/>
      <c r="F183" s="291" t="s">
        <v>3998</v>
      </c>
      <c r="G183" s="291" t="s">
        <v>3835</v>
      </c>
      <c r="H183" s="291"/>
      <c r="I183" s="291" t="s">
        <v>3836</v>
      </c>
      <c r="J183" s="291" t="s">
        <v>3999</v>
      </c>
    </row>
    <row r="184" spans="1:10">
      <c r="A184" s="291" t="s">
        <v>4141</v>
      </c>
      <c r="B184" s="291" t="s">
        <v>4124</v>
      </c>
      <c r="C184" s="291" t="s">
        <v>1914</v>
      </c>
      <c r="D184" s="291" t="s">
        <v>3833</v>
      </c>
      <c r="E184" s="291"/>
      <c r="F184" s="291" t="s">
        <v>3998</v>
      </c>
      <c r="G184" s="291" t="s">
        <v>3835</v>
      </c>
      <c r="H184" s="291"/>
      <c r="I184" s="291" t="s">
        <v>3836</v>
      </c>
      <c r="J184" s="291" t="s">
        <v>3999</v>
      </c>
    </row>
    <row r="185" spans="1:10">
      <c r="A185" s="291" t="s">
        <v>4142</v>
      </c>
      <c r="B185" s="291" t="s">
        <v>4124</v>
      </c>
      <c r="C185" s="291" t="s">
        <v>1888</v>
      </c>
      <c r="D185" s="291" t="s">
        <v>3833</v>
      </c>
      <c r="E185" s="291"/>
      <c r="F185" s="291" t="s">
        <v>3998</v>
      </c>
      <c r="G185" s="291" t="s">
        <v>3835</v>
      </c>
      <c r="H185" s="291"/>
      <c r="I185" s="291" t="s">
        <v>3836</v>
      </c>
      <c r="J185" s="291" t="s">
        <v>3999</v>
      </c>
    </row>
    <row r="186" spans="1:10">
      <c r="A186" s="291" t="s">
        <v>4143</v>
      </c>
      <c r="B186" s="291" t="s">
        <v>4144</v>
      </c>
      <c r="C186" s="291" t="s">
        <v>1869</v>
      </c>
      <c r="D186" s="291" t="s">
        <v>3833</v>
      </c>
      <c r="E186" s="291"/>
      <c r="F186" s="291" t="s">
        <v>3833</v>
      </c>
      <c r="G186" s="291" t="s">
        <v>3835</v>
      </c>
      <c r="H186" s="291"/>
      <c r="I186" s="291" t="s">
        <v>3836</v>
      </c>
      <c r="J186" s="291" t="s">
        <v>3847</v>
      </c>
    </row>
    <row r="187" spans="1:10">
      <c r="A187" s="291" t="s">
        <v>4145</v>
      </c>
      <c r="B187" s="291" t="s">
        <v>4146</v>
      </c>
      <c r="C187" s="291" t="s">
        <v>1884</v>
      </c>
      <c r="D187" s="291" t="s">
        <v>3833</v>
      </c>
      <c r="E187" s="291"/>
      <c r="F187" s="291" t="s">
        <v>3833</v>
      </c>
      <c r="G187" s="291" t="s">
        <v>3835</v>
      </c>
      <c r="H187" s="291"/>
      <c r="I187" s="291" t="s">
        <v>3836</v>
      </c>
      <c r="J187" s="291" t="s">
        <v>3847</v>
      </c>
    </row>
    <row r="188" spans="1:10">
      <c r="A188" s="291" t="s">
        <v>4147</v>
      </c>
      <c r="B188" s="291" t="s">
        <v>4148</v>
      </c>
      <c r="C188" s="291" t="s">
        <v>1887</v>
      </c>
      <c r="D188" s="291" t="s">
        <v>3833</v>
      </c>
      <c r="E188" s="291"/>
      <c r="F188" s="291" t="s">
        <v>3833</v>
      </c>
      <c r="G188" s="291" t="s">
        <v>3835</v>
      </c>
      <c r="H188" s="291"/>
      <c r="I188" s="291" t="s">
        <v>3836</v>
      </c>
      <c r="J188" s="291" t="s">
        <v>3847</v>
      </c>
    </row>
    <row r="189" spans="1:10">
      <c r="A189" s="291" t="s">
        <v>4149</v>
      </c>
      <c r="B189" s="291" t="s">
        <v>4148</v>
      </c>
      <c r="C189" s="291" t="s">
        <v>1880</v>
      </c>
      <c r="D189" s="291" t="s">
        <v>3833</v>
      </c>
      <c r="E189" s="291"/>
      <c r="F189" s="291" t="s">
        <v>3833</v>
      </c>
      <c r="G189" s="291" t="s">
        <v>3835</v>
      </c>
      <c r="H189" s="291"/>
      <c r="I189" s="291" t="s">
        <v>3836</v>
      </c>
      <c r="J189" s="291" t="s">
        <v>3847</v>
      </c>
    </row>
    <row r="190" spans="1:10">
      <c r="A190" s="291" t="s">
        <v>4150</v>
      </c>
      <c r="B190" s="291" t="s">
        <v>4151</v>
      </c>
      <c r="C190" s="291" t="s">
        <v>1872</v>
      </c>
      <c r="D190" s="291" t="s">
        <v>3895</v>
      </c>
      <c r="E190" s="291"/>
      <c r="F190" s="291" t="s">
        <v>4152</v>
      </c>
      <c r="G190" s="291" t="s">
        <v>3835</v>
      </c>
      <c r="H190" s="291"/>
      <c r="I190" s="291" t="s">
        <v>3836</v>
      </c>
      <c r="J190" s="291" t="s">
        <v>4153</v>
      </c>
    </row>
    <row r="191" spans="1:10">
      <c r="A191" s="291" t="s">
        <v>4154</v>
      </c>
      <c r="B191" s="291" t="s">
        <v>4151</v>
      </c>
      <c r="C191" s="291" t="s">
        <v>1875</v>
      </c>
      <c r="D191" s="291" t="s">
        <v>3895</v>
      </c>
      <c r="E191" s="291"/>
      <c r="F191" s="291" t="s">
        <v>4152</v>
      </c>
      <c r="G191" s="291" t="s">
        <v>3835</v>
      </c>
      <c r="H191" s="291"/>
      <c r="I191" s="291" t="s">
        <v>3836</v>
      </c>
      <c r="J191" s="291" t="s">
        <v>4153</v>
      </c>
    </row>
    <row r="192" spans="1:10">
      <c r="A192" s="291" t="s">
        <v>4155</v>
      </c>
      <c r="B192" s="291" t="s">
        <v>4156</v>
      </c>
      <c r="C192" s="291" t="s">
        <v>1872</v>
      </c>
      <c r="D192" s="291" t="s">
        <v>3833</v>
      </c>
      <c r="E192" s="291"/>
      <c r="F192" s="291" t="s">
        <v>4157</v>
      </c>
      <c r="G192" s="291" t="s">
        <v>3835</v>
      </c>
      <c r="H192" s="291"/>
      <c r="I192" s="291" t="s">
        <v>3836</v>
      </c>
      <c r="J192" s="291" t="s">
        <v>4158</v>
      </c>
    </row>
    <row r="193" spans="1:10">
      <c r="A193" s="291" t="s">
        <v>4159</v>
      </c>
      <c r="B193" s="291" t="s">
        <v>4156</v>
      </c>
      <c r="C193" s="291" t="s">
        <v>1875</v>
      </c>
      <c r="D193" s="291" t="s">
        <v>3833</v>
      </c>
      <c r="E193" s="291"/>
      <c r="F193" s="291" t="s">
        <v>4157</v>
      </c>
      <c r="G193" s="291" t="s">
        <v>3835</v>
      </c>
      <c r="H193" s="291"/>
      <c r="I193" s="291" t="s">
        <v>3836</v>
      </c>
      <c r="J193" s="291" t="s">
        <v>4158</v>
      </c>
    </row>
    <row r="194" spans="1:10">
      <c r="A194" s="291" t="s">
        <v>4160</v>
      </c>
      <c r="B194" s="291" t="s">
        <v>4156</v>
      </c>
      <c r="C194" s="291" t="s">
        <v>1880</v>
      </c>
      <c r="D194" s="291" t="s">
        <v>3833</v>
      </c>
      <c r="E194" s="291"/>
      <c r="F194" s="291" t="s">
        <v>3833</v>
      </c>
      <c r="G194" s="291" t="s">
        <v>3835</v>
      </c>
      <c r="H194" s="291"/>
      <c r="I194" s="291" t="s">
        <v>3836</v>
      </c>
      <c r="J194" s="291" t="s">
        <v>3847</v>
      </c>
    </row>
    <row r="195" spans="1:10">
      <c r="A195" s="291" t="s">
        <v>4161</v>
      </c>
      <c r="B195" s="291" t="s">
        <v>4162</v>
      </c>
      <c r="C195" s="291" t="s">
        <v>1872</v>
      </c>
      <c r="D195" s="291" t="s">
        <v>3833</v>
      </c>
      <c r="E195" s="291"/>
      <c r="F195" s="291" t="s">
        <v>4157</v>
      </c>
      <c r="G195" s="291" t="s">
        <v>3835</v>
      </c>
      <c r="H195" s="291"/>
      <c r="I195" s="291" t="s">
        <v>3836</v>
      </c>
      <c r="J195" s="291" t="s">
        <v>4158</v>
      </c>
    </row>
    <row r="196" spans="1:10">
      <c r="A196" s="291" t="s">
        <v>4163</v>
      </c>
      <c r="B196" s="291" t="s">
        <v>4162</v>
      </c>
      <c r="C196" s="291" t="s">
        <v>1875</v>
      </c>
      <c r="D196" s="291" t="s">
        <v>3833</v>
      </c>
      <c r="E196" s="291"/>
      <c r="F196" s="291" t="s">
        <v>4157</v>
      </c>
      <c r="G196" s="291" t="s">
        <v>3835</v>
      </c>
      <c r="H196" s="291"/>
      <c r="I196" s="291" t="s">
        <v>3836</v>
      </c>
      <c r="J196" s="291" t="s">
        <v>4158</v>
      </c>
    </row>
    <row r="197" spans="1:10">
      <c r="A197" s="291" t="s">
        <v>4164</v>
      </c>
      <c r="B197" s="291" t="s">
        <v>4162</v>
      </c>
      <c r="C197" s="291" t="s">
        <v>1880</v>
      </c>
      <c r="D197" s="291" t="s">
        <v>3833</v>
      </c>
      <c r="E197" s="291"/>
      <c r="F197" s="291" t="s">
        <v>3833</v>
      </c>
      <c r="G197" s="291" t="s">
        <v>3835</v>
      </c>
      <c r="H197" s="291"/>
      <c r="I197" s="291" t="s">
        <v>3836</v>
      </c>
      <c r="J197" s="291" t="s">
        <v>3847</v>
      </c>
    </row>
    <row r="198" spans="1:10">
      <c r="A198" s="291" t="s">
        <v>4165</v>
      </c>
      <c r="B198" s="291" t="s">
        <v>4166</v>
      </c>
      <c r="C198" s="291" t="s">
        <v>1869</v>
      </c>
      <c r="D198" s="291" t="s">
        <v>3833</v>
      </c>
      <c r="E198" s="291"/>
      <c r="F198" s="291" t="s">
        <v>4066</v>
      </c>
      <c r="G198" s="291" t="s">
        <v>3835</v>
      </c>
      <c r="H198" s="291"/>
      <c r="I198" s="291" t="s">
        <v>3836</v>
      </c>
      <c r="J198" s="291" t="s">
        <v>4067</v>
      </c>
    </row>
    <row r="199" spans="1:10">
      <c r="A199" s="291" t="s">
        <v>4167</v>
      </c>
      <c r="B199" s="291" t="s">
        <v>4166</v>
      </c>
      <c r="C199" s="291" t="s">
        <v>1878</v>
      </c>
      <c r="D199" s="291" t="s">
        <v>3833</v>
      </c>
      <c r="E199" s="291"/>
      <c r="F199" s="291" t="s">
        <v>4066</v>
      </c>
      <c r="G199" s="291" t="s">
        <v>3835</v>
      </c>
      <c r="H199" s="291"/>
      <c r="I199" s="291" t="s">
        <v>3836</v>
      </c>
      <c r="J199" s="291" t="s">
        <v>4067</v>
      </c>
    </row>
    <row r="200" spans="1:10">
      <c r="A200" s="291" t="s">
        <v>4168</v>
      </c>
      <c r="B200" s="291" t="s">
        <v>4166</v>
      </c>
      <c r="C200" s="291" t="s">
        <v>1884</v>
      </c>
      <c r="D200" s="291" t="s">
        <v>3833</v>
      </c>
      <c r="E200" s="291"/>
      <c r="F200" s="291" t="s">
        <v>4066</v>
      </c>
      <c r="G200" s="291" t="s">
        <v>3835</v>
      </c>
      <c r="H200" s="291"/>
      <c r="I200" s="291" t="s">
        <v>3836</v>
      </c>
      <c r="J200" s="291" t="s">
        <v>4067</v>
      </c>
    </row>
    <row r="201" spans="1:10">
      <c r="A201" s="291" t="s">
        <v>4169</v>
      </c>
      <c r="B201" s="291" t="s">
        <v>4119</v>
      </c>
      <c r="C201" s="291" t="s">
        <v>1875</v>
      </c>
      <c r="D201" s="291" t="s">
        <v>3895</v>
      </c>
      <c r="E201" s="291"/>
      <c r="F201" s="291" t="s">
        <v>4097</v>
      </c>
      <c r="G201" s="291" t="s">
        <v>3835</v>
      </c>
      <c r="H201" s="291"/>
      <c r="I201" s="291" t="s">
        <v>3836</v>
      </c>
      <c r="J201" s="291" t="s">
        <v>4098</v>
      </c>
    </row>
    <row r="202" spans="1:10">
      <c r="A202" s="291" t="s">
        <v>4170</v>
      </c>
      <c r="B202" s="291" t="s">
        <v>3981</v>
      </c>
      <c r="C202" s="291" t="s">
        <v>1902</v>
      </c>
      <c r="D202" s="291" t="s">
        <v>3833</v>
      </c>
      <c r="E202" s="291"/>
      <c r="F202" s="291" t="s">
        <v>4171</v>
      </c>
      <c r="G202" s="291" t="s">
        <v>3911</v>
      </c>
      <c r="H202" s="291" t="s">
        <v>4172</v>
      </c>
      <c r="I202" s="291" t="s">
        <v>3913</v>
      </c>
      <c r="J202" s="291" t="s">
        <v>4173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4174</v>
      </c>
    </row>
    <row r="2" spans="1:13" ht="51.95">
      <c r="A2" s="290" t="s">
        <v>2234</v>
      </c>
      <c r="B2" s="290" t="s">
        <v>4175</v>
      </c>
      <c r="C2" s="290" t="s">
        <v>6</v>
      </c>
      <c r="D2" s="290" t="s">
        <v>4176</v>
      </c>
      <c r="E2" s="290" t="s">
        <v>4177</v>
      </c>
      <c r="F2" s="290" t="s">
        <v>4178</v>
      </c>
      <c r="G2" s="290" t="s">
        <v>4179</v>
      </c>
      <c r="H2" s="290" t="s">
        <v>4180</v>
      </c>
      <c r="I2" s="290" t="s">
        <v>4181</v>
      </c>
      <c r="J2" s="290" t="s">
        <v>4182</v>
      </c>
      <c r="K2" s="290" t="s">
        <v>4183</v>
      </c>
      <c r="L2" s="290" t="s">
        <v>4184</v>
      </c>
      <c r="M2" s="290" t="s">
        <v>4185</v>
      </c>
    </row>
    <row r="3" spans="1:13">
      <c r="A3" s="291" t="s">
        <v>4186</v>
      </c>
      <c r="B3" s="291" t="s">
        <v>4187</v>
      </c>
      <c r="C3" s="291"/>
      <c r="D3" s="291"/>
      <c r="E3" s="291"/>
      <c r="F3" s="291"/>
      <c r="G3" s="291"/>
      <c r="H3" s="291"/>
      <c r="I3" s="291"/>
      <c r="J3" s="291" t="s">
        <v>4188</v>
      </c>
      <c r="K3" s="291" t="s">
        <v>4189</v>
      </c>
      <c r="L3" s="291" t="s">
        <v>2747</v>
      </c>
      <c r="M3" s="291" t="s">
        <v>4190</v>
      </c>
    </row>
    <row r="4" spans="1:13">
      <c r="A4" s="291" t="s">
        <v>4191</v>
      </c>
      <c r="B4" s="291" t="s">
        <v>4192</v>
      </c>
      <c r="C4" s="291"/>
      <c r="D4" s="291"/>
      <c r="E4" s="291"/>
      <c r="F4" s="291"/>
      <c r="G4" s="291"/>
      <c r="H4" s="291"/>
      <c r="I4" s="291"/>
      <c r="J4" s="291" t="s">
        <v>4188</v>
      </c>
      <c r="K4" s="291" t="s">
        <v>4189</v>
      </c>
      <c r="L4" s="291" t="s">
        <v>2747</v>
      </c>
      <c r="M4" s="291" t="s">
        <v>4190</v>
      </c>
    </row>
    <row r="5" spans="1:13">
      <c r="A5" s="291" t="s">
        <v>4193</v>
      </c>
      <c r="B5" s="291" t="s">
        <v>4194</v>
      </c>
      <c r="C5" s="291"/>
      <c r="D5" s="291"/>
      <c r="E5" s="291"/>
      <c r="F5" s="291"/>
      <c r="G5" s="291"/>
      <c r="H5" s="291"/>
      <c r="I5" s="291"/>
      <c r="J5" s="291" t="s">
        <v>4188</v>
      </c>
      <c r="K5" s="291" t="s">
        <v>4189</v>
      </c>
      <c r="L5" s="291" t="s">
        <v>2747</v>
      </c>
      <c r="M5" s="291"/>
    </row>
    <row r="6" spans="1:13">
      <c r="A6" s="291" t="s">
        <v>4195</v>
      </c>
      <c r="B6" s="291" t="s">
        <v>4196</v>
      </c>
      <c r="C6" s="291"/>
      <c r="D6" s="291"/>
      <c r="E6" s="291"/>
      <c r="F6" s="291"/>
      <c r="G6" s="291"/>
      <c r="H6" s="291"/>
      <c r="I6" s="291"/>
      <c r="J6" s="291" t="s">
        <v>4188</v>
      </c>
      <c r="K6" s="291" t="s">
        <v>4189</v>
      </c>
      <c r="L6" s="291" t="s">
        <v>2747</v>
      </c>
      <c r="M6" s="291"/>
    </row>
    <row r="7" spans="1:13">
      <c r="A7" s="291" t="s">
        <v>4197</v>
      </c>
      <c r="B7" s="291" t="s">
        <v>4198</v>
      </c>
      <c r="C7" s="291"/>
      <c r="D7" s="291"/>
      <c r="E7" s="291"/>
      <c r="F7" s="291"/>
      <c r="G7" s="291"/>
      <c r="H7" s="291"/>
      <c r="I7" s="291"/>
      <c r="J7" s="291" t="s">
        <v>4199</v>
      </c>
      <c r="K7" s="291" t="s">
        <v>4200</v>
      </c>
      <c r="L7" s="291" t="s">
        <v>2747</v>
      </c>
    </row>
    <row r="8" spans="1:13">
      <c r="A8" s="291" t="s">
        <v>4201</v>
      </c>
      <c r="B8" s="291" t="s">
        <v>4202</v>
      </c>
      <c r="C8" s="291"/>
      <c r="D8" s="291"/>
      <c r="E8" s="291"/>
      <c r="F8" s="291"/>
      <c r="G8" s="291"/>
      <c r="H8" s="291"/>
      <c r="I8" s="291"/>
      <c r="J8" s="291" t="s">
        <v>4199</v>
      </c>
      <c r="K8" s="291" t="s">
        <v>4200</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23" zoomScaleNormal="100" workbookViewId="0">
      <selection activeCell="B58" sqref="B58"/>
    </sheetView>
  </sheetViews>
  <sheetFormatPr defaultColWidth="8.7109375" defaultRowHeight="14.45"/>
  <cols>
    <col min="1" max="1" width="16.42578125" bestFit="1" customWidth="1"/>
    <col min="2" max="2" width="66.85546875" bestFit="1" customWidth="1"/>
  </cols>
  <sheetData>
    <row r="1" spans="1:2" ht="15" customHeight="1">
      <c r="A1" s="68" t="s">
        <v>7</v>
      </c>
      <c r="B1" s="68" t="s">
        <v>4203</v>
      </c>
    </row>
    <row r="2" spans="1:2" ht="15" customHeight="1">
      <c r="A2" s="69" t="s">
        <v>1215</v>
      </c>
      <c r="B2" s="69" t="s">
        <v>4204</v>
      </c>
    </row>
    <row r="3" spans="1:2" ht="15" customHeight="1">
      <c r="A3" s="69" t="s">
        <v>2932</v>
      </c>
      <c r="B3" s="69" t="s">
        <v>4205</v>
      </c>
    </row>
    <row r="4" spans="1:2" ht="15" customHeight="1">
      <c r="A4" s="69" t="s">
        <v>2783</v>
      </c>
      <c r="B4" s="69"/>
    </row>
    <row r="5" spans="1:2" ht="15" customHeight="1">
      <c r="A5" s="69" t="s">
        <v>552</v>
      </c>
      <c r="B5" s="69"/>
    </row>
    <row r="6" spans="1:2" ht="15" customHeight="1">
      <c r="A6" s="69" t="s">
        <v>2857</v>
      </c>
      <c r="B6" s="69" t="s">
        <v>4206</v>
      </c>
    </row>
    <row r="7" spans="1:2" ht="15" customHeight="1">
      <c r="A7" s="69" t="s">
        <v>2284</v>
      </c>
      <c r="B7" s="69"/>
    </row>
    <row r="8" spans="1:2" ht="15" customHeight="1">
      <c r="A8" s="69" t="s">
        <v>108</v>
      </c>
      <c r="B8" s="69" t="s">
        <v>4207</v>
      </c>
    </row>
    <row r="9" spans="1:2" ht="15" customHeight="1">
      <c r="A9" s="69" t="s">
        <v>2771</v>
      </c>
      <c r="B9" s="69" t="s">
        <v>4208</v>
      </c>
    </row>
    <row r="10" spans="1:2" ht="15" customHeight="1">
      <c r="A10" s="69" t="s">
        <v>230</v>
      </c>
      <c r="B10" s="69"/>
    </row>
    <row r="11" spans="1:2" ht="15" customHeight="1">
      <c r="A11" s="69" t="s">
        <v>133</v>
      </c>
      <c r="B11" s="69"/>
    </row>
    <row r="12" spans="1:2" ht="15" customHeight="1">
      <c r="A12" s="69" t="s">
        <v>2661</v>
      </c>
      <c r="B12" s="69"/>
    </row>
    <row r="13" spans="1:2" ht="15" customHeight="1">
      <c r="A13" s="69" t="s">
        <v>511</v>
      </c>
      <c r="B13" s="69" t="s">
        <v>4209</v>
      </c>
    </row>
    <row r="14" spans="1:2" ht="15" customHeight="1">
      <c r="A14" s="69" t="s">
        <v>4210</v>
      </c>
      <c r="B14" s="69"/>
    </row>
    <row r="15" spans="1:2" ht="15" customHeight="1">
      <c r="A15" s="71" t="s">
        <v>2934</v>
      </c>
      <c r="B15" s="71" t="s">
        <v>4211</v>
      </c>
    </row>
    <row r="16" spans="1:2" ht="15" customHeight="1">
      <c r="A16" s="70" t="s">
        <v>3668</v>
      </c>
      <c r="B16" s="70"/>
    </row>
    <row r="17" spans="1:2" ht="15" customHeight="1">
      <c r="A17" s="70" t="s">
        <v>3669</v>
      </c>
      <c r="B17" s="70"/>
    </row>
    <row r="18" spans="1:2" ht="15" customHeight="1">
      <c r="A18" s="70" t="s">
        <v>2752</v>
      </c>
      <c r="B18" s="70"/>
    </row>
    <row r="19" spans="1:2" ht="15" customHeight="1">
      <c r="A19" s="70" t="s">
        <v>4212</v>
      </c>
      <c r="B19" s="70"/>
    </row>
    <row r="20" spans="1:2" ht="15" customHeight="1">
      <c r="A20" s="70" t="s">
        <v>4213</v>
      </c>
      <c r="B20" s="70"/>
    </row>
    <row r="21" spans="1:2" ht="15" customHeight="1">
      <c r="A21" s="70" t="s">
        <v>4214</v>
      </c>
      <c r="B21" s="70"/>
    </row>
    <row r="22" spans="1:2" ht="15" customHeight="1">
      <c r="A22" s="70" t="s">
        <v>2315</v>
      </c>
      <c r="B22" s="70" t="s">
        <v>4215</v>
      </c>
    </row>
    <row r="23" spans="1:2" ht="15" customHeight="1">
      <c r="A23" s="70" t="s">
        <v>2745</v>
      </c>
      <c r="B23" s="70"/>
    </row>
    <row r="24" spans="1:2" ht="15" customHeight="1">
      <c r="A24" s="70" t="s">
        <v>4216</v>
      </c>
      <c r="B24" s="70"/>
    </row>
    <row r="25" spans="1:2" ht="15" customHeight="1">
      <c r="A25" s="70" t="s">
        <v>2652</v>
      </c>
      <c r="B25" s="70"/>
    </row>
    <row r="26" spans="1:2" ht="15" customHeight="1">
      <c r="A26" s="70" t="s">
        <v>2254</v>
      </c>
      <c r="B26" s="70" t="s">
        <v>4217</v>
      </c>
    </row>
    <row r="27" spans="1:2" ht="15" customHeight="1">
      <c r="A27" s="70" t="s">
        <v>2479</v>
      </c>
      <c r="B27" s="70" t="s">
        <v>4218</v>
      </c>
    </row>
    <row r="28" spans="1:2">
      <c r="A28" s="70" t="s">
        <v>2243</v>
      </c>
      <c r="B28" s="70" t="s">
        <v>4219</v>
      </c>
    </row>
    <row r="29" spans="1:2">
      <c r="A29" s="70" t="s">
        <v>2627</v>
      </c>
      <c r="B29" s="70"/>
    </row>
    <row r="30" spans="1:2">
      <c r="A30" s="70" t="s">
        <v>821</v>
      </c>
      <c r="B30" s="70"/>
    </row>
    <row r="31" spans="1:2">
      <c r="A31" s="70" t="s">
        <v>817</v>
      </c>
      <c r="B31" s="70"/>
    </row>
    <row r="32" spans="1:2">
      <c r="A32" s="70" t="s">
        <v>815</v>
      </c>
      <c r="B32" s="70"/>
    </row>
    <row r="33" spans="1:2">
      <c r="A33" s="70" t="s">
        <v>3682</v>
      </c>
      <c r="B33" s="70"/>
    </row>
    <row r="34" spans="1:2">
      <c r="A34" s="70" t="s">
        <v>2979</v>
      </c>
      <c r="B34" s="70"/>
    </row>
    <row r="35" spans="1:2">
      <c r="A35" s="70" t="s">
        <v>3418</v>
      </c>
      <c r="B35" s="70"/>
    </row>
    <row r="36" spans="1:2">
      <c r="A36" s="70" t="s">
        <v>3672</v>
      </c>
      <c r="B36" s="70"/>
    </row>
    <row r="37" spans="1:2">
      <c r="A37" s="70" t="s">
        <v>439</v>
      </c>
      <c r="B37" s="70"/>
    </row>
    <row r="38" spans="1:2">
      <c r="A38" s="70" t="s">
        <v>3307</v>
      </c>
      <c r="B38" s="70"/>
    </row>
    <row r="39" spans="1:2">
      <c r="A39" s="70" t="s">
        <v>2564</v>
      </c>
      <c r="B39" s="70"/>
    </row>
    <row r="40" spans="1:2">
      <c r="A40" s="70" t="s">
        <v>2944</v>
      </c>
      <c r="B40" s="70"/>
    </row>
    <row r="41" spans="1:2">
      <c r="A41" s="70" t="s">
        <v>563</v>
      </c>
      <c r="B41" s="70" t="s">
        <v>4220</v>
      </c>
    </row>
    <row r="42" spans="1:2">
      <c r="A42" s="70" t="s">
        <v>4221</v>
      </c>
      <c r="B42" s="70" t="s">
        <v>4222</v>
      </c>
    </row>
    <row r="43" spans="1:2">
      <c r="A43" s="70" t="s">
        <v>3012</v>
      </c>
      <c r="B43" s="70"/>
    </row>
    <row r="44" spans="1:2">
      <c r="A44" s="70" t="s">
        <v>3017</v>
      </c>
      <c r="B44" s="70"/>
    </row>
    <row r="45" spans="1:2">
      <c r="A45" s="70" t="s">
        <v>2071</v>
      </c>
      <c r="B45" s="70"/>
    </row>
    <row r="46" spans="1:2">
      <c r="A46" s="70" t="s">
        <v>3013</v>
      </c>
      <c r="B46" s="70"/>
    </row>
    <row r="47" spans="1:2">
      <c r="A47" s="70" t="s">
        <v>3014</v>
      </c>
      <c r="B47" s="70"/>
    </row>
    <row r="48" spans="1:2">
      <c r="A48" s="70" t="s">
        <v>4223</v>
      </c>
      <c r="B48" s="70"/>
    </row>
    <row r="49" spans="1:2">
      <c r="A49" s="70" t="s">
        <v>3025</v>
      </c>
      <c r="B49" s="70"/>
    </row>
    <row r="50" spans="1:2">
      <c r="A50" s="70" t="s">
        <v>3024</v>
      </c>
      <c r="B50" s="70"/>
    </row>
    <row r="51" spans="1:2">
      <c r="A51" s="70" t="s">
        <v>2583</v>
      </c>
      <c r="B51" s="70"/>
    </row>
    <row r="52" spans="1:2">
      <c r="A52" s="70" t="s">
        <v>3547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4224</v>
      </c>
      <c r="B1" s="358"/>
    </row>
    <row r="2" spans="1:2" ht="30" customHeight="1">
      <c r="A2" s="359" t="s">
        <v>4225</v>
      </c>
      <c r="B2" s="359"/>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60" t="s">
        <v>4238</v>
      </c>
      <c r="B10" s="360"/>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61" t="s">
        <v>4249</v>
      </c>
      <c r="B17" s="361"/>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57" t="s">
        <v>4260</v>
      </c>
      <c r="B24" s="357"/>
    </row>
    <row r="25" spans="1:2" ht="279.75" customHeight="1">
      <c r="A25" s="54" t="s">
        <v>4261</v>
      </c>
      <c r="B25" s="55" t="s">
        <v>4262</v>
      </c>
    </row>
    <row r="27" spans="1:2" ht="30" customHeight="1">
      <c r="A27" s="357" t="s">
        <v>4263</v>
      </c>
      <c r="B27" s="357"/>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4274</v>
      </c>
      <c r="B1" t="s">
        <v>3699</v>
      </c>
    </row>
    <row r="2" spans="1:2" ht="15" customHeight="1">
      <c r="A2" t="s">
        <v>1462</v>
      </c>
      <c r="B2" t="s">
        <v>4275</v>
      </c>
    </row>
    <row r="3" spans="1:2" ht="15" customHeight="1">
      <c r="A3" t="s">
        <v>866</v>
      </c>
      <c r="B3" t="s">
        <v>4275</v>
      </c>
    </row>
    <row r="4" spans="1:2" ht="15" customHeight="1">
      <c r="A4" t="s">
        <v>868</v>
      </c>
      <c r="B4" t="s">
        <v>4275</v>
      </c>
    </row>
    <row r="5" spans="1:2" ht="15" customHeight="1">
      <c r="A5" t="s">
        <v>870</v>
      </c>
      <c r="B5" t="s">
        <v>4275</v>
      </c>
    </row>
    <row r="6" spans="1:2" ht="15" customHeight="1">
      <c r="A6" t="s">
        <v>1066</v>
      </c>
      <c r="B6" t="s">
        <v>4275</v>
      </c>
    </row>
    <row r="7" spans="1:2" ht="15" customHeight="1">
      <c r="A7" t="s">
        <v>1490</v>
      </c>
      <c r="B7" t="s">
        <v>4275</v>
      </c>
    </row>
    <row r="8" spans="1:2" ht="15" customHeight="1">
      <c r="A8" t="s">
        <v>1496</v>
      </c>
      <c r="B8" t="s">
        <v>4275</v>
      </c>
    </row>
    <row r="9" spans="1:2" ht="15" customHeight="1">
      <c r="A9" t="s">
        <v>1501</v>
      </c>
      <c r="B9" t="s">
        <v>4275</v>
      </c>
    </row>
    <row r="10" spans="1:2" ht="15" customHeight="1">
      <c r="A10" t="s">
        <v>854</v>
      </c>
      <c r="B10" t="s">
        <v>4275</v>
      </c>
    </row>
    <row r="11" spans="1:2" ht="15" customHeight="1">
      <c r="A11" t="s">
        <v>859</v>
      </c>
      <c r="B11" t="s">
        <v>4275</v>
      </c>
    </row>
    <row r="12" spans="1:2" ht="15" customHeight="1">
      <c r="A12" t="s">
        <v>1517</v>
      </c>
      <c r="B12" t="s">
        <v>4275</v>
      </c>
    </row>
    <row r="13" spans="1:2" ht="15" customHeight="1">
      <c r="A13" t="s">
        <v>1523</v>
      </c>
      <c r="B13" t="s">
        <v>4275</v>
      </c>
    </row>
    <row r="14" spans="1:2" ht="15" customHeight="1">
      <c r="A14" t="s">
        <v>1528</v>
      </c>
      <c r="B14" t="s">
        <v>4275</v>
      </c>
    </row>
    <row r="15" spans="1:2" ht="15" customHeight="1">
      <c r="A15" t="s">
        <v>1534</v>
      </c>
      <c r="B15" t="s">
        <v>4275</v>
      </c>
    </row>
    <row r="16" spans="1:2" ht="15" customHeight="1">
      <c r="A16" t="s">
        <v>1539</v>
      </c>
      <c r="B16" t="s">
        <v>4275</v>
      </c>
    </row>
    <row r="17" spans="1:2" ht="15" customHeight="1">
      <c r="A17" t="s">
        <v>1545</v>
      </c>
      <c r="B17" t="s">
        <v>4275</v>
      </c>
    </row>
    <row r="18" spans="1:2" ht="15" customHeight="1">
      <c r="A18" t="s">
        <v>1551</v>
      </c>
      <c r="B18" t="s">
        <v>4275</v>
      </c>
    </row>
    <row r="19" spans="1:2" ht="15" customHeight="1">
      <c r="A19" t="s">
        <v>1557</v>
      </c>
      <c r="B19" t="s">
        <v>4275</v>
      </c>
    </row>
    <row r="20" spans="1:2" ht="15" customHeight="1">
      <c r="A20" t="s">
        <v>1563</v>
      </c>
      <c r="B20" t="s">
        <v>4275</v>
      </c>
    </row>
    <row r="21" spans="1:2" ht="15" customHeight="1">
      <c r="A21" t="s">
        <v>1569</v>
      </c>
      <c r="B21" t="s">
        <v>4275</v>
      </c>
    </row>
    <row r="22" spans="1:2" ht="15" customHeight="1">
      <c r="A22" t="s">
        <v>1575</v>
      </c>
      <c r="B22" t="s">
        <v>4275</v>
      </c>
    </row>
    <row r="23" spans="1:2" ht="15" customHeight="1">
      <c r="A23" t="s">
        <v>1580</v>
      </c>
      <c r="B23" t="s">
        <v>4275</v>
      </c>
    </row>
    <row r="24" spans="1:2" ht="15" customHeight="1">
      <c r="A24" t="s">
        <v>1585</v>
      </c>
      <c r="B24" t="s">
        <v>4275</v>
      </c>
    </row>
    <row r="25" spans="1:2" ht="15" customHeight="1">
      <c r="A25" t="s">
        <v>1590</v>
      </c>
      <c r="B25" t="s">
        <v>4275</v>
      </c>
    </row>
    <row r="26" spans="1:2" ht="15" customHeight="1">
      <c r="A26" t="s">
        <v>1141</v>
      </c>
      <c r="B26" t="s">
        <v>4275</v>
      </c>
    </row>
    <row r="27" spans="1:2" ht="15" customHeight="1">
      <c r="A27" t="s">
        <v>1599</v>
      </c>
      <c r="B27" t="s">
        <v>4275</v>
      </c>
    </row>
    <row r="28" spans="1:2" ht="15" customHeight="1">
      <c r="A28" t="s">
        <v>1604</v>
      </c>
      <c r="B28" t="s">
        <v>4275</v>
      </c>
    </row>
    <row r="29" spans="1:2" ht="15" customHeight="1">
      <c r="A29" t="s">
        <v>1609</v>
      </c>
      <c r="B29" t="s">
        <v>4275</v>
      </c>
    </row>
    <row r="30" spans="1:2" ht="15" customHeight="1">
      <c r="A30" t="s">
        <v>1615</v>
      </c>
      <c r="B30" t="s">
        <v>4275</v>
      </c>
    </row>
    <row r="31" spans="1:2" ht="15" customHeight="1">
      <c r="A31" t="s">
        <v>1621</v>
      </c>
      <c r="B31" t="s">
        <v>4275</v>
      </c>
    </row>
    <row r="32" spans="1:2" ht="15" customHeight="1">
      <c r="A32" t="s">
        <v>1627</v>
      </c>
      <c r="B32" t="s">
        <v>4275</v>
      </c>
    </row>
    <row r="33" spans="1:2" ht="15" customHeight="1">
      <c r="A33" t="s">
        <v>1633</v>
      </c>
      <c r="B33" t="s">
        <v>4275</v>
      </c>
    </row>
    <row r="34" spans="1:2" ht="15" customHeight="1">
      <c r="A34" t="s">
        <v>1638</v>
      </c>
      <c r="B34" t="s">
        <v>4275</v>
      </c>
    </row>
    <row r="35" spans="1:2" ht="15" customHeight="1">
      <c r="A35" t="s">
        <v>1644</v>
      </c>
      <c r="B35" t="s">
        <v>4275</v>
      </c>
    </row>
    <row r="36" spans="1:2" ht="15" customHeight="1">
      <c r="A36" t="s">
        <v>1654</v>
      </c>
      <c r="B36" t="s">
        <v>4275</v>
      </c>
    </row>
    <row r="37" spans="1:2" ht="15" customHeight="1">
      <c r="A37" t="s">
        <v>1659</v>
      </c>
      <c r="B37" t="s">
        <v>4275</v>
      </c>
    </row>
    <row r="38" spans="1:2" ht="15" customHeight="1">
      <c r="A38" t="s">
        <v>1664</v>
      </c>
      <c r="B38" t="s">
        <v>4275</v>
      </c>
    </row>
    <row r="39" spans="1:2" ht="15" customHeight="1">
      <c r="A39" t="s">
        <v>1670</v>
      </c>
      <c r="B39" t="s">
        <v>4275</v>
      </c>
    </row>
    <row r="40" spans="1:2" ht="15" customHeight="1">
      <c r="A40" t="s">
        <v>1675</v>
      </c>
      <c r="B40" t="s">
        <v>4275</v>
      </c>
    </row>
    <row r="41" spans="1:2" ht="15" customHeight="1">
      <c r="A41" t="s">
        <v>1680</v>
      </c>
      <c r="B41" t="s">
        <v>4275</v>
      </c>
    </row>
    <row r="42" spans="1:2" ht="15" customHeight="1">
      <c r="A42" t="s">
        <v>1685</v>
      </c>
      <c r="B42" t="s">
        <v>4275</v>
      </c>
    </row>
    <row r="43" spans="1:2" ht="15" customHeight="1">
      <c r="A43" t="s">
        <v>1690</v>
      </c>
      <c r="B43" t="s">
        <v>4275</v>
      </c>
    </row>
    <row r="44" spans="1:2" ht="15" customHeight="1">
      <c r="A44" t="s">
        <v>1695</v>
      </c>
      <c r="B44" t="s">
        <v>4275</v>
      </c>
    </row>
    <row r="45" spans="1:2" ht="15" customHeight="1">
      <c r="A45" t="s">
        <v>1701</v>
      </c>
      <c r="B45" t="s">
        <v>4275</v>
      </c>
    </row>
    <row r="46" spans="1:2" ht="15" customHeight="1">
      <c r="A46" t="s">
        <v>1706</v>
      </c>
      <c r="B46" t="s">
        <v>4275</v>
      </c>
    </row>
    <row r="47" spans="1:2" ht="15" customHeight="1">
      <c r="A47" t="s">
        <v>1712</v>
      </c>
      <c r="B47" t="s">
        <v>4275</v>
      </c>
    </row>
    <row r="48" spans="1:2" ht="15" customHeight="1">
      <c r="A48" t="s">
        <v>1718</v>
      </c>
      <c r="B48" t="s">
        <v>4275</v>
      </c>
    </row>
    <row r="49" spans="1:2" ht="15" customHeight="1">
      <c r="A49" t="s">
        <v>1723</v>
      </c>
      <c r="B49" t="s">
        <v>4275</v>
      </c>
    </row>
    <row r="50" spans="1:2" ht="15" customHeight="1">
      <c r="A50" t="s">
        <v>1728</v>
      </c>
      <c r="B50" t="s">
        <v>4275</v>
      </c>
    </row>
    <row r="51" spans="1:2" ht="15" customHeight="1">
      <c r="A51" t="s">
        <v>1734</v>
      </c>
      <c r="B51" t="s">
        <v>4275</v>
      </c>
    </row>
    <row r="52" spans="1:2" ht="15" customHeight="1">
      <c r="A52" t="s">
        <v>1740</v>
      </c>
      <c r="B52" t="s">
        <v>4275</v>
      </c>
    </row>
    <row r="53" spans="1:2" ht="15" customHeight="1">
      <c r="A53" t="s">
        <v>1745</v>
      </c>
      <c r="B53" t="s">
        <v>4275</v>
      </c>
    </row>
    <row r="54" spans="1:2" ht="15" customHeight="1">
      <c r="A54" t="s">
        <v>1750</v>
      </c>
      <c r="B54" t="s">
        <v>4275</v>
      </c>
    </row>
    <row r="55" spans="1:2" ht="15" customHeight="1">
      <c r="A55" t="s">
        <v>1755</v>
      </c>
      <c r="B55" t="s">
        <v>4275</v>
      </c>
    </row>
    <row r="56" spans="1:2" ht="15" customHeight="1">
      <c r="A56" t="s">
        <v>1760</v>
      </c>
      <c r="B56" t="s">
        <v>4275</v>
      </c>
    </row>
    <row r="57" spans="1:2" ht="15" customHeight="1">
      <c r="A57" t="s">
        <v>1765</v>
      </c>
      <c r="B57" t="s">
        <v>4275</v>
      </c>
    </row>
    <row r="58" spans="1:2" ht="15" customHeight="1">
      <c r="A58" t="s">
        <v>1770</v>
      </c>
      <c r="B58" t="s">
        <v>4275</v>
      </c>
    </row>
    <row r="59" spans="1:2" ht="15" customHeight="1">
      <c r="A59" t="s">
        <v>1775</v>
      </c>
      <c r="B59" t="s">
        <v>4275</v>
      </c>
    </row>
    <row r="60" spans="1:2" ht="15" customHeight="1">
      <c r="A60" t="s">
        <v>1780</v>
      </c>
      <c r="B60" t="s">
        <v>4275</v>
      </c>
    </row>
    <row r="61" spans="1:2" ht="15" customHeight="1">
      <c r="A61" t="s">
        <v>1785</v>
      </c>
      <c r="B61" t="s">
        <v>4275</v>
      </c>
    </row>
    <row r="62" spans="1:2" ht="15" customHeight="1">
      <c r="A62" t="s">
        <v>1790</v>
      </c>
      <c r="B62" t="s">
        <v>4275</v>
      </c>
    </row>
    <row r="63" spans="1:2" ht="15" customHeight="1">
      <c r="A63" t="s">
        <v>1795</v>
      </c>
      <c r="B63" t="s">
        <v>4275</v>
      </c>
    </row>
    <row r="64" spans="1:2" ht="15" customHeight="1">
      <c r="A64" t="s">
        <v>1800</v>
      </c>
      <c r="B64" t="s">
        <v>4275</v>
      </c>
    </row>
    <row r="65" spans="1:2" ht="15" customHeight="1">
      <c r="A65" t="s">
        <v>1805</v>
      </c>
      <c r="B65" t="s">
        <v>4275</v>
      </c>
    </row>
    <row r="66" spans="1:2" ht="15" customHeight="1">
      <c r="A66" t="s">
        <v>1811</v>
      </c>
      <c r="B66" t="s">
        <v>4275</v>
      </c>
    </row>
    <row r="67" spans="1:2" ht="15" customHeight="1">
      <c r="A67" t="s">
        <v>1817</v>
      </c>
      <c r="B67" t="s">
        <v>4275</v>
      </c>
    </row>
    <row r="68" spans="1:2" ht="15" customHeight="1">
      <c r="A68" t="s">
        <v>985</v>
      </c>
      <c r="B68" t="s">
        <v>4275</v>
      </c>
    </row>
    <row r="69" spans="1:2" ht="15" customHeight="1">
      <c r="A69" t="s">
        <v>1828</v>
      </c>
      <c r="B69" t="s">
        <v>4275</v>
      </c>
    </row>
    <row r="70" spans="1:2" ht="15" customHeight="1">
      <c r="A70" t="s">
        <v>104</v>
      </c>
      <c r="B70" t="s">
        <v>4275</v>
      </c>
    </row>
    <row r="71" spans="1:2" ht="15" customHeight="1">
      <c r="A71" t="s">
        <v>20</v>
      </c>
      <c r="B71" t="s">
        <v>4276</v>
      </c>
    </row>
    <row r="72" spans="1:2" ht="15" customHeight="1">
      <c r="A72" t="s">
        <v>28</v>
      </c>
      <c r="B72" t="s">
        <v>4276</v>
      </c>
    </row>
    <row r="73" spans="1:2" ht="15" customHeight="1">
      <c r="A73" t="s">
        <v>34</v>
      </c>
      <c r="B73" t="s">
        <v>4276</v>
      </c>
    </row>
    <row r="74" spans="1:2" ht="15" customHeight="1">
      <c r="A74" t="s">
        <v>40</v>
      </c>
      <c r="B74" t="s">
        <v>4276</v>
      </c>
    </row>
    <row r="75" spans="1:2" ht="15" customHeight="1">
      <c r="A75" t="s">
        <v>47</v>
      </c>
      <c r="B75" t="s">
        <v>4276</v>
      </c>
    </row>
    <row r="76" spans="1:2" ht="15" customHeight="1">
      <c r="A76" t="s">
        <v>52</v>
      </c>
      <c r="B76" t="s">
        <v>4276</v>
      </c>
    </row>
    <row r="77" spans="1:2" ht="15" customHeight="1">
      <c r="A77" t="s">
        <v>57</v>
      </c>
      <c r="B77" t="s">
        <v>4276</v>
      </c>
    </row>
    <row r="78" spans="1:2" ht="15" customHeight="1">
      <c r="A78" t="s">
        <v>62</v>
      </c>
      <c r="B78" t="s">
        <v>4276</v>
      </c>
    </row>
    <row r="79" spans="1:2" ht="15" customHeight="1">
      <c r="A79" t="s">
        <v>68</v>
      </c>
      <c r="B79" t="s">
        <v>4276</v>
      </c>
    </row>
    <row r="80" spans="1:2" ht="15" customHeight="1">
      <c r="A80" t="s">
        <v>73</v>
      </c>
      <c r="B80" t="s">
        <v>4276</v>
      </c>
    </row>
    <row r="81" spans="1:2" ht="15" customHeight="1">
      <c r="A81" t="s">
        <v>78</v>
      </c>
      <c r="B81" t="s">
        <v>4276</v>
      </c>
    </row>
    <row r="82" spans="1:2" ht="15" customHeight="1">
      <c r="A82" t="s">
        <v>85</v>
      </c>
      <c r="B82" t="s">
        <v>4276</v>
      </c>
    </row>
    <row r="83" spans="1:2" ht="15" customHeight="1">
      <c r="A83" t="s">
        <v>91</v>
      </c>
      <c r="B83" t="s">
        <v>4276</v>
      </c>
    </row>
    <row r="84" spans="1:2" ht="15" customHeight="1">
      <c r="A84" t="s">
        <v>97</v>
      </c>
      <c r="B84" t="s">
        <v>4276</v>
      </c>
    </row>
    <row r="85" spans="1:2" ht="15" customHeight="1">
      <c r="A85" t="s">
        <v>104</v>
      </c>
      <c r="B85" t="s">
        <v>4276</v>
      </c>
    </row>
    <row r="86" spans="1:2" ht="15" customHeight="1">
      <c r="A86" t="s">
        <v>111</v>
      </c>
      <c r="B86" t="s">
        <v>4276</v>
      </c>
    </row>
    <row r="87" spans="1:2" ht="15" customHeight="1">
      <c r="A87" t="s">
        <v>118</v>
      </c>
      <c r="B87" t="s">
        <v>4276</v>
      </c>
    </row>
    <row r="88" spans="1:2" ht="15" customHeight="1">
      <c r="A88" t="s">
        <v>124</v>
      </c>
      <c r="B88" t="s">
        <v>4276</v>
      </c>
    </row>
    <row r="89" spans="1:2" ht="15" customHeight="1">
      <c r="A89" t="s">
        <v>131</v>
      </c>
      <c r="B89" t="s">
        <v>4276</v>
      </c>
    </row>
    <row r="90" spans="1:2" ht="15" customHeight="1">
      <c r="A90" t="s">
        <v>136</v>
      </c>
      <c r="B90" t="s">
        <v>4276</v>
      </c>
    </row>
    <row r="91" spans="1:2" ht="15" customHeight="1">
      <c r="A91" t="s">
        <v>142</v>
      </c>
      <c r="B91" t="s">
        <v>4276</v>
      </c>
    </row>
    <row r="92" spans="1:2" ht="15" customHeight="1">
      <c r="A92" t="s">
        <v>147</v>
      </c>
      <c r="B92" t="s">
        <v>4276</v>
      </c>
    </row>
    <row r="93" spans="1:2" ht="15" customHeight="1">
      <c r="A93" t="s">
        <v>152</v>
      </c>
      <c r="B93" t="s">
        <v>4276</v>
      </c>
    </row>
    <row r="94" spans="1:2" ht="15" customHeight="1">
      <c r="A94" t="s">
        <v>155</v>
      </c>
      <c r="B94" t="s">
        <v>4276</v>
      </c>
    </row>
    <row r="95" spans="1:2" ht="15" customHeight="1">
      <c r="A95" t="s">
        <v>160</v>
      </c>
      <c r="B95" t="s">
        <v>4276</v>
      </c>
    </row>
    <row r="96" spans="1:2" ht="15" customHeight="1">
      <c r="A96" t="s">
        <v>165</v>
      </c>
      <c r="B96" t="s">
        <v>4276</v>
      </c>
    </row>
    <row r="97" spans="1:2" ht="15" customHeight="1">
      <c r="A97" t="s">
        <v>170</v>
      </c>
      <c r="B97" t="s">
        <v>4276</v>
      </c>
    </row>
    <row r="98" spans="1:2" ht="15" customHeight="1">
      <c r="A98" t="s">
        <v>177</v>
      </c>
      <c r="B98" t="s">
        <v>4276</v>
      </c>
    </row>
    <row r="99" spans="1:2" ht="15" customHeight="1">
      <c r="A99" t="s">
        <v>183</v>
      </c>
      <c r="B99" t="s">
        <v>4276</v>
      </c>
    </row>
    <row r="100" spans="1:2" ht="15" customHeight="1">
      <c r="A100" t="s">
        <v>189</v>
      </c>
      <c r="B100" t="s">
        <v>4276</v>
      </c>
    </row>
    <row r="101" spans="1:2" ht="15" customHeight="1">
      <c r="A101" t="s">
        <v>195</v>
      </c>
      <c r="B101" t="s">
        <v>4276</v>
      </c>
    </row>
    <row r="102" spans="1:2" ht="15" customHeight="1">
      <c r="A102" t="s">
        <v>200</v>
      </c>
      <c r="B102" t="s">
        <v>4276</v>
      </c>
    </row>
    <row r="103" spans="1:2" ht="15" customHeight="1">
      <c r="A103" t="s">
        <v>205</v>
      </c>
      <c r="B103" t="s">
        <v>4276</v>
      </c>
    </row>
    <row r="104" spans="1:2" ht="15" customHeight="1">
      <c r="A104" t="s">
        <v>212</v>
      </c>
      <c r="B104" t="s">
        <v>4276</v>
      </c>
    </row>
    <row r="105" spans="1:2" ht="15" customHeight="1">
      <c r="A105" t="s">
        <v>219</v>
      </c>
      <c r="B105" t="s">
        <v>4276</v>
      </c>
    </row>
    <row r="106" spans="1:2" ht="15" customHeight="1">
      <c r="A106" t="s">
        <v>225</v>
      </c>
      <c r="B106" t="s">
        <v>4276</v>
      </c>
    </row>
    <row r="107" spans="1:2" ht="15" customHeight="1">
      <c r="A107" t="s">
        <v>233</v>
      </c>
      <c r="B107" t="s">
        <v>4276</v>
      </c>
    </row>
    <row r="108" spans="1:2" ht="15" customHeight="1">
      <c r="A108" t="s">
        <v>240</v>
      </c>
      <c r="B108" t="s">
        <v>4276</v>
      </c>
    </row>
    <row r="109" spans="1:2" ht="15" customHeight="1">
      <c r="A109" t="s">
        <v>245</v>
      </c>
      <c r="B109" t="s">
        <v>4276</v>
      </c>
    </row>
    <row r="110" spans="1:2" ht="15" customHeight="1">
      <c r="A110" t="s">
        <v>250</v>
      </c>
      <c r="B110" t="s">
        <v>4276</v>
      </c>
    </row>
    <row r="111" spans="1:2" ht="15" customHeight="1">
      <c r="A111" t="s">
        <v>256</v>
      </c>
      <c r="B111" t="s">
        <v>4276</v>
      </c>
    </row>
    <row r="112" spans="1:2" ht="15" customHeight="1">
      <c r="A112" t="s">
        <v>260</v>
      </c>
      <c r="B112" t="s">
        <v>4276</v>
      </c>
    </row>
    <row r="113" spans="1:2" ht="15" customHeight="1">
      <c r="A113" t="s">
        <v>264</v>
      </c>
      <c r="B113" t="s">
        <v>4276</v>
      </c>
    </row>
    <row r="114" spans="1:2" ht="15" customHeight="1">
      <c r="A114" t="s">
        <v>269</v>
      </c>
      <c r="B114" t="s">
        <v>4276</v>
      </c>
    </row>
    <row r="115" spans="1:2" ht="15" customHeight="1">
      <c r="A115" t="s">
        <v>276</v>
      </c>
      <c r="B115" t="s">
        <v>4276</v>
      </c>
    </row>
    <row r="116" spans="1:2" ht="15" customHeight="1">
      <c r="A116" t="s">
        <v>283</v>
      </c>
      <c r="B116" t="s">
        <v>4276</v>
      </c>
    </row>
    <row r="117" spans="1:2" ht="15" customHeight="1">
      <c r="A117" t="s">
        <v>287</v>
      </c>
      <c r="B117" t="s">
        <v>4276</v>
      </c>
    </row>
    <row r="118" spans="1:2" ht="15" customHeight="1">
      <c r="A118" t="s">
        <v>292</v>
      </c>
      <c r="B118" t="s">
        <v>4276</v>
      </c>
    </row>
    <row r="119" spans="1:2" ht="15" customHeight="1">
      <c r="A119" t="s">
        <v>295</v>
      </c>
      <c r="B119" t="s">
        <v>4276</v>
      </c>
    </row>
    <row r="120" spans="1:2" ht="15" customHeight="1">
      <c r="A120" t="s">
        <v>299</v>
      </c>
      <c r="B120" t="s">
        <v>4276</v>
      </c>
    </row>
    <row r="121" spans="1:2" ht="15" customHeight="1">
      <c r="A121" t="s">
        <v>304</v>
      </c>
      <c r="B121" t="s">
        <v>4276</v>
      </c>
    </row>
    <row r="122" spans="1:2" ht="15" customHeight="1">
      <c r="A122" t="s">
        <v>309</v>
      </c>
      <c r="B122" t="s">
        <v>4276</v>
      </c>
    </row>
    <row r="123" spans="1:2" ht="15" customHeight="1">
      <c r="A123" t="s">
        <v>310</v>
      </c>
      <c r="B123" t="s">
        <v>4276</v>
      </c>
    </row>
    <row r="124" spans="1:2" ht="15" customHeight="1">
      <c r="A124" t="s">
        <v>315</v>
      </c>
      <c r="B124" t="s">
        <v>4276</v>
      </c>
    </row>
    <row r="125" spans="1:2" ht="15" customHeight="1">
      <c r="A125" t="s">
        <v>322</v>
      </c>
      <c r="B125" t="s">
        <v>4276</v>
      </c>
    </row>
    <row r="126" spans="1:2" ht="15" customHeight="1">
      <c r="A126" t="s">
        <v>327</v>
      </c>
      <c r="B126" t="s">
        <v>4276</v>
      </c>
    </row>
    <row r="127" spans="1:2" ht="15" customHeight="1">
      <c r="A127" t="s">
        <v>333</v>
      </c>
      <c r="B127" t="s">
        <v>4276</v>
      </c>
    </row>
    <row r="128" spans="1:2" ht="15" customHeight="1">
      <c r="A128" t="s">
        <v>337</v>
      </c>
      <c r="B128" t="s">
        <v>4276</v>
      </c>
    </row>
    <row r="129" spans="1:2" ht="15" customHeight="1">
      <c r="A129" t="s">
        <v>343</v>
      </c>
      <c r="B129" t="s">
        <v>4276</v>
      </c>
    </row>
    <row r="130" spans="1:2" ht="15" customHeight="1">
      <c r="A130" t="s">
        <v>349</v>
      </c>
      <c r="B130" t="s">
        <v>4276</v>
      </c>
    </row>
    <row r="131" spans="1:2" ht="15" customHeight="1">
      <c r="A131" t="s">
        <v>354</v>
      </c>
      <c r="B131" t="s">
        <v>4276</v>
      </c>
    </row>
    <row r="132" spans="1:2" ht="15" customHeight="1">
      <c r="A132" t="s">
        <v>361</v>
      </c>
      <c r="B132" t="s">
        <v>4276</v>
      </c>
    </row>
    <row r="133" spans="1:2" ht="15" customHeight="1">
      <c r="A133" t="s">
        <v>366</v>
      </c>
      <c r="B133" t="s">
        <v>4276</v>
      </c>
    </row>
    <row r="134" spans="1:2" ht="15" customHeight="1">
      <c r="A134" t="s">
        <v>372</v>
      </c>
      <c r="B134" t="s">
        <v>4276</v>
      </c>
    </row>
    <row r="135" spans="1:2" ht="15" customHeight="1">
      <c r="A135" t="s">
        <v>376</v>
      </c>
      <c r="B135" t="s">
        <v>4276</v>
      </c>
    </row>
    <row r="136" spans="1:2" ht="15" customHeight="1">
      <c r="A136" t="s">
        <v>379</v>
      </c>
      <c r="B136" t="s">
        <v>4276</v>
      </c>
    </row>
    <row r="137" spans="1:2" ht="15" customHeight="1">
      <c r="A137" t="s">
        <v>384</v>
      </c>
      <c r="B137" t="s">
        <v>4276</v>
      </c>
    </row>
    <row r="138" spans="1:2" ht="15" customHeight="1">
      <c r="A138" t="s">
        <v>389</v>
      </c>
      <c r="B138" t="s">
        <v>4276</v>
      </c>
    </row>
    <row r="139" spans="1:2" ht="15" customHeight="1">
      <c r="A139" t="s">
        <v>393</v>
      </c>
      <c r="B139" t="s">
        <v>4276</v>
      </c>
    </row>
    <row r="140" spans="1:2" ht="15" customHeight="1">
      <c r="A140" t="s">
        <v>398</v>
      </c>
      <c r="B140" t="s">
        <v>4276</v>
      </c>
    </row>
    <row r="141" spans="1:2" ht="15" customHeight="1">
      <c r="A141" t="s">
        <v>402</v>
      </c>
      <c r="B141" t="s">
        <v>4276</v>
      </c>
    </row>
    <row r="142" spans="1:2" ht="15" customHeight="1">
      <c r="A142" t="s">
        <v>407</v>
      </c>
      <c r="B142" t="s">
        <v>4276</v>
      </c>
    </row>
    <row r="143" spans="1:2" ht="15" customHeight="1">
      <c r="A143" t="s">
        <v>414</v>
      </c>
      <c r="B143" t="s">
        <v>4276</v>
      </c>
    </row>
    <row r="144" spans="1:2" ht="15" customHeight="1">
      <c r="A144" t="s">
        <v>419</v>
      </c>
      <c r="B144" t="s">
        <v>4276</v>
      </c>
    </row>
    <row r="145" spans="1:2" ht="15" customHeight="1">
      <c r="A145" t="s">
        <v>424</v>
      </c>
      <c r="B145" t="s">
        <v>4276</v>
      </c>
    </row>
    <row r="146" spans="1:2" ht="15" customHeight="1">
      <c r="A146" t="s">
        <v>429</v>
      </c>
      <c r="B146" t="s">
        <v>4276</v>
      </c>
    </row>
    <row r="147" spans="1:2" ht="15" customHeight="1">
      <c r="A147" t="s">
        <v>433</v>
      </c>
      <c r="B147" t="s">
        <v>4276</v>
      </c>
    </row>
    <row r="148" spans="1:2" ht="15" customHeight="1">
      <c r="A148" t="s">
        <v>437</v>
      </c>
      <c r="B148" t="s">
        <v>4276</v>
      </c>
    </row>
    <row r="149" spans="1:2">
      <c r="A149" t="s">
        <v>442</v>
      </c>
      <c r="B149" t="s">
        <v>4276</v>
      </c>
    </row>
    <row r="150" spans="1:2">
      <c r="A150" t="s">
        <v>447</v>
      </c>
      <c r="B150" t="s">
        <v>4276</v>
      </c>
    </row>
    <row r="151" spans="1:2">
      <c r="A151" t="s">
        <v>453</v>
      </c>
      <c r="B151" t="s">
        <v>4276</v>
      </c>
    </row>
    <row r="152" spans="1:2">
      <c r="A152" t="s">
        <v>458</v>
      </c>
      <c r="B152" t="s">
        <v>4276</v>
      </c>
    </row>
    <row r="153" spans="1:2">
      <c r="A153" t="s">
        <v>463</v>
      </c>
      <c r="B153" t="s">
        <v>4276</v>
      </c>
    </row>
    <row r="154" spans="1:2">
      <c r="A154" t="s">
        <v>469</v>
      </c>
      <c r="B154" t="s">
        <v>4276</v>
      </c>
    </row>
    <row r="155" spans="1:2">
      <c r="A155" t="s">
        <v>476</v>
      </c>
      <c r="B155" t="s">
        <v>4276</v>
      </c>
    </row>
    <row r="156" spans="1:2">
      <c r="A156" t="s">
        <v>480</v>
      </c>
      <c r="B156" t="s">
        <v>4276</v>
      </c>
    </row>
    <row r="157" spans="1:2">
      <c r="A157" t="s">
        <v>487</v>
      </c>
      <c r="B157" t="s">
        <v>4276</v>
      </c>
    </row>
    <row r="158" spans="1:2">
      <c r="A158" t="s">
        <v>489</v>
      </c>
      <c r="B158" t="s">
        <v>4276</v>
      </c>
    </row>
    <row r="159" spans="1:2">
      <c r="A159" t="s">
        <v>494</v>
      </c>
      <c r="B159" t="s">
        <v>4276</v>
      </c>
    </row>
    <row r="160" spans="1:2">
      <c r="A160" t="s">
        <v>499</v>
      </c>
      <c r="B160" t="s">
        <v>4276</v>
      </c>
    </row>
    <row r="161" spans="1:2">
      <c r="A161" t="s">
        <v>503</v>
      </c>
      <c r="B161" t="s">
        <v>4276</v>
      </c>
    </row>
    <row r="162" spans="1:2">
      <c r="A162" t="s">
        <v>508</v>
      </c>
      <c r="B162" t="s">
        <v>4276</v>
      </c>
    </row>
    <row r="163" spans="1:2">
      <c r="A163" t="s">
        <v>514</v>
      </c>
      <c r="B163" t="s">
        <v>4276</v>
      </c>
    </row>
    <row r="164" spans="1:2">
      <c r="A164" t="s">
        <v>520</v>
      </c>
      <c r="B164" t="s">
        <v>4276</v>
      </c>
    </row>
    <row r="165" spans="1:2">
      <c r="A165" t="s">
        <v>522</v>
      </c>
      <c r="B165" t="s">
        <v>4276</v>
      </c>
    </row>
    <row r="166" spans="1:2">
      <c r="A166" t="s">
        <v>527</v>
      </c>
      <c r="B166" t="s">
        <v>4276</v>
      </c>
    </row>
    <row r="167" spans="1:2">
      <c r="A167" t="s">
        <v>530</v>
      </c>
      <c r="B167" t="s">
        <v>4276</v>
      </c>
    </row>
    <row r="168" spans="1:2">
      <c r="A168" t="s">
        <v>536</v>
      </c>
      <c r="B168" t="s">
        <v>4276</v>
      </c>
    </row>
    <row r="169" spans="1:2">
      <c r="A169" t="s">
        <v>541</v>
      </c>
      <c r="B169" t="s">
        <v>4276</v>
      </c>
    </row>
    <row r="170" spans="1:2">
      <c r="A170" t="s">
        <v>546</v>
      </c>
      <c r="B170" t="s">
        <v>4276</v>
      </c>
    </row>
    <row r="171" spans="1:2">
      <c r="A171" t="s">
        <v>551</v>
      </c>
      <c r="B171" t="s">
        <v>4276</v>
      </c>
    </row>
    <row r="172" spans="1:2">
      <c r="A172" t="s">
        <v>556</v>
      </c>
      <c r="B172" t="s">
        <v>4276</v>
      </c>
    </row>
    <row r="173" spans="1:2">
      <c r="A173" t="s">
        <v>561</v>
      </c>
      <c r="B173" t="s">
        <v>4276</v>
      </c>
    </row>
    <row r="174" spans="1:2">
      <c r="A174" t="s">
        <v>566</v>
      </c>
      <c r="B174" t="s">
        <v>4276</v>
      </c>
    </row>
    <row r="175" spans="1:2">
      <c r="A175" t="s">
        <v>571</v>
      </c>
      <c r="B175" t="s">
        <v>4276</v>
      </c>
    </row>
    <row r="176" spans="1:2">
      <c r="A176" t="s">
        <v>575</v>
      </c>
      <c r="B176" t="s">
        <v>4276</v>
      </c>
    </row>
    <row r="177" spans="1:2">
      <c r="A177" t="s">
        <v>579</v>
      </c>
      <c r="B177" t="s">
        <v>4276</v>
      </c>
    </row>
    <row r="178" spans="1:2">
      <c r="A178" t="s">
        <v>584</v>
      </c>
      <c r="B178" t="s">
        <v>4276</v>
      </c>
    </row>
    <row r="179" spans="1:2">
      <c r="A179" t="s">
        <v>590</v>
      </c>
      <c r="B179" t="s">
        <v>4276</v>
      </c>
    </row>
    <row r="180" spans="1:2">
      <c r="A180" t="s">
        <v>593</v>
      </c>
      <c r="B180" t="s">
        <v>4276</v>
      </c>
    </row>
    <row r="181" spans="1:2">
      <c r="A181" t="s">
        <v>597</v>
      </c>
      <c r="B181" t="s">
        <v>4276</v>
      </c>
    </row>
    <row r="182" spans="1:2">
      <c r="A182" t="s">
        <v>601</v>
      </c>
      <c r="B182" t="s">
        <v>4276</v>
      </c>
    </row>
    <row r="183" spans="1:2">
      <c r="A183" t="s">
        <v>608</v>
      </c>
      <c r="B183" t="s">
        <v>4276</v>
      </c>
    </row>
    <row r="184" spans="1:2">
      <c r="A184" t="s">
        <v>611</v>
      </c>
      <c r="B184" t="s">
        <v>4276</v>
      </c>
    </row>
    <row r="185" spans="1:2">
      <c r="A185" t="s">
        <v>618</v>
      </c>
      <c r="B185" t="s">
        <v>4276</v>
      </c>
    </row>
    <row r="186" spans="1:2">
      <c r="A186" t="s">
        <v>622</v>
      </c>
      <c r="B186" t="s">
        <v>4276</v>
      </c>
    </row>
    <row r="187" spans="1:2">
      <c r="A187" t="s">
        <v>627</v>
      </c>
      <c r="B187" t="s">
        <v>4276</v>
      </c>
    </row>
    <row r="188" spans="1:2">
      <c r="A188" t="s">
        <v>630</v>
      </c>
      <c r="B188" t="s">
        <v>4276</v>
      </c>
    </row>
    <row r="189" spans="1:2">
      <c r="A189" t="s">
        <v>634</v>
      </c>
      <c r="B189" t="s">
        <v>4276</v>
      </c>
    </row>
    <row r="190" spans="1:2">
      <c r="A190" t="s">
        <v>637</v>
      </c>
      <c r="B190" t="s">
        <v>4276</v>
      </c>
    </row>
    <row r="191" spans="1:2">
      <c r="A191" t="s">
        <v>642</v>
      </c>
      <c r="B191" t="s">
        <v>4276</v>
      </c>
    </row>
    <row r="192" spans="1:2">
      <c r="A192" t="s">
        <v>646</v>
      </c>
      <c r="B192" t="s">
        <v>4276</v>
      </c>
    </row>
    <row r="193" spans="1:2">
      <c r="A193" t="s">
        <v>651</v>
      </c>
      <c r="B193" t="s">
        <v>4276</v>
      </c>
    </row>
    <row r="194" spans="1:2">
      <c r="A194" t="s">
        <v>655</v>
      </c>
      <c r="B194" t="s">
        <v>4276</v>
      </c>
    </row>
    <row r="195" spans="1:2">
      <c r="A195" t="s">
        <v>659</v>
      </c>
      <c r="B195" t="s">
        <v>4276</v>
      </c>
    </row>
    <row r="196" spans="1:2">
      <c r="A196" t="s">
        <v>663</v>
      </c>
      <c r="B196" t="s">
        <v>4276</v>
      </c>
    </row>
    <row r="197" spans="1:2">
      <c r="A197" t="s">
        <v>667</v>
      </c>
      <c r="B197" t="s">
        <v>4276</v>
      </c>
    </row>
    <row r="198" spans="1:2">
      <c r="A198" t="s">
        <v>670</v>
      </c>
      <c r="B198" t="s">
        <v>4276</v>
      </c>
    </row>
    <row r="199" spans="1:2">
      <c r="A199" t="s">
        <v>673</v>
      </c>
      <c r="B199" t="s">
        <v>4276</v>
      </c>
    </row>
    <row r="200" spans="1:2">
      <c r="A200" t="s">
        <v>676</v>
      </c>
      <c r="B200" t="s">
        <v>4276</v>
      </c>
    </row>
    <row r="201" spans="1:2">
      <c r="A201" t="s">
        <v>679</v>
      </c>
      <c r="B201" t="s">
        <v>4276</v>
      </c>
    </row>
    <row r="202" spans="1:2">
      <c r="A202" t="s">
        <v>685</v>
      </c>
      <c r="B202" t="s">
        <v>4276</v>
      </c>
    </row>
    <row r="203" spans="1:2">
      <c r="A203" t="s">
        <v>692</v>
      </c>
      <c r="B203" t="s">
        <v>4276</v>
      </c>
    </row>
    <row r="204" spans="1:2">
      <c r="A204" t="s">
        <v>696</v>
      </c>
      <c r="B204" t="s">
        <v>4276</v>
      </c>
    </row>
    <row r="205" spans="1:2">
      <c r="A205" t="s">
        <v>701</v>
      </c>
      <c r="B205" t="s">
        <v>4276</v>
      </c>
    </row>
    <row r="206" spans="1:2">
      <c r="A206" t="s">
        <v>705</v>
      </c>
      <c r="B206" t="s">
        <v>4276</v>
      </c>
    </row>
    <row r="207" spans="1:2">
      <c r="A207" t="s">
        <v>709</v>
      </c>
      <c r="B207" t="s">
        <v>4276</v>
      </c>
    </row>
    <row r="208" spans="1:2">
      <c r="A208" t="s">
        <v>712</v>
      </c>
      <c r="B208" t="s">
        <v>4276</v>
      </c>
    </row>
    <row r="209" spans="1:2">
      <c r="A209" t="s">
        <v>715</v>
      </c>
      <c r="B209" t="s">
        <v>4276</v>
      </c>
    </row>
    <row r="210" spans="1:2">
      <c r="A210" t="s">
        <v>718</v>
      </c>
      <c r="B210" t="s">
        <v>4276</v>
      </c>
    </row>
    <row r="211" spans="1:2">
      <c r="A211" t="s">
        <v>721</v>
      </c>
      <c r="B211" t="s">
        <v>4276</v>
      </c>
    </row>
    <row r="212" spans="1:2">
      <c r="A212" t="s">
        <v>724</v>
      </c>
      <c r="B212" t="s">
        <v>4276</v>
      </c>
    </row>
    <row r="213" spans="1:2">
      <c r="A213" t="s">
        <v>727</v>
      </c>
      <c r="B213" t="s">
        <v>4276</v>
      </c>
    </row>
    <row r="214" spans="1:2">
      <c r="A214" t="s">
        <v>732</v>
      </c>
      <c r="B214" t="s">
        <v>4276</v>
      </c>
    </row>
    <row r="215" spans="1:2">
      <c r="A215" t="s">
        <v>736</v>
      </c>
      <c r="B215" t="s">
        <v>4276</v>
      </c>
    </row>
    <row r="216" spans="1:2">
      <c r="A216" t="s">
        <v>739</v>
      </c>
      <c r="B216" t="s">
        <v>4276</v>
      </c>
    </row>
    <row r="217" spans="1:2">
      <c r="A217" t="s">
        <v>745</v>
      </c>
      <c r="B217" t="s">
        <v>4276</v>
      </c>
    </row>
    <row r="218" spans="1:2">
      <c r="A218" t="s">
        <v>749</v>
      </c>
      <c r="B218" t="s">
        <v>4276</v>
      </c>
    </row>
    <row r="219" spans="1:2">
      <c r="A219" t="s">
        <v>753</v>
      </c>
      <c r="B219" t="s">
        <v>4276</v>
      </c>
    </row>
    <row r="220" spans="1:2">
      <c r="A220" t="s">
        <v>758</v>
      </c>
      <c r="B220" t="s">
        <v>4276</v>
      </c>
    </row>
    <row r="221" spans="1:2">
      <c r="A221" t="s">
        <v>762</v>
      </c>
      <c r="B221" t="s">
        <v>4276</v>
      </c>
    </row>
    <row r="222" spans="1:2">
      <c r="A222" t="s">
        <v>766</v>
      </c>
      <c r="B222" t="s">
        <v>4276</v>
      </c>
    </row>
    <row r="223" spans="1:2">
      <c r="A223" t="s">
        <v>771</v>
      </c>
      <c r="B223" t="s">
        <v>4276</v>
      </c>
    </row>
    <row r="224" spans="1:2">
      <c r="A224" t="s">
        <v>776</v>
      </c>
      <c r="B224" t="s">
        <v>4276</v>
      </c>
    </row>
    <row r="225" spans="1:2">
      <c r="A225" t="s">
        <v>782</v>
      </c>
      <c r="B225" t="s">
        <v>4276</v>
      </c>
    </row>
    <row r="226" spans="1:2">
      <c r="A226" t="s">
        <v>787</v>
      </c>
      <c r="B226" t="s">
        <v>4276</v>
      </c>
    </row>
    <row r="227" spans="1:2">
      <c r="A227" t="s">
        <v>791</v>
      </c>
      <c r="B227" t="s">
        <v>4276</v>
      </c>
    </row>
    <row r="228" spans="1:2">
      <c r="A228" t="s">
        <v>795</v>
      </c>
      <c r="B228" t="s">
        <v>4276</v>
      </c>
    </row>
    <row r="229" spans="1:2">
      <c r="A229" t="s">
        <v>801</v>
      </c>
      <c r="B229" t="s">
        <v>4276</v>
      </c>
    </row>
    <row r="230" spans="1:2">
      <c r="A230" t="s">
        <v>804</v>
      </c>
      <c r="B230" t="s">
        <v>4276</v>
      </c>
    </row>
    <row r="231" spans="1:2">
      <c r="A231" t="s">
        <v>808</v>
      </c>
      <c r="B231" t="s">
        <v>4276</v>
      </c>
    </row>
    <row r="232" spans="1:2">
      <c r="A232" t="s">
        <v>810</v>
      </c>
      <c r="B232" t="s">
        <v>4276</v>
      </c>
    </row>
    <row r="233" spans="1:2">
      <c r="A233" t="s">
        <v>812</v>
      </c>
      <c r="B233" t="s">
        <v>4276</v>
      </c>
    </row>
    <row r="234" spans="1:2">
      <c r="A234" t="s">
        <v>815</v>
      </c>
      <c r="B234" t="s">
        <v>4276</v>
      </c>
    </row>
    <row r="235" spans="1:2">
      <c r="A235" t="s">
        <v>817</v>
      </c>
      <c r="B235" t="s">
        <v>4276</v>
      </c>
    </row>
    <row r="236" spans="1:2">
      <c r="A236" t="s">
        <v>818</v>
      </c>
      <c r="B236" t="s">
        <v>4276</v>
      </c>
    </row>
    <row r="237" spans="1:2">
      <c r="A237" t="s">
        <v>819</v>
      </c>
      <c r="B237" t="s">
        <v>4276</v>
      </c>
    </row>
    <row r="238" spans="1:2">
      <c r="A238" t="s">
        <v>820</v>
      </c>
      <c r="B238" t="s">
        <v>4276</v>
      </c>
    </row>
    <row r="239" spans="1:2">
      <c r="A239" t="s">
        <v>821</v>
      </c>
      <c r="B239" t="s">
        <v>4276</v>
      </c>
    </row>
    <row r="240" spans="1:2">
      <c r="A240" t="s">
        <v>822</v>
      </c>
      <c r="B240" t="s">
        <v>4276</v>
      </c>
    </row>
    <row r="241" spans="1:2">
      <c r="A241" t="s">
        <v>827</v>
      </c>
      <c r="B241" t="s">
        <v>4276</v>
      </c>
    </row>
    <row r="242" spans="1:2">
      <c r="A242" t="s">
        <v>830</v>
      </c>
      <c r="B242" t="s">
        <v>4276</v>
      </c>
    </row>
    <row r="243" spans="1:2">
      <c r="A243" t="s">
        <v>835</v>
      </c>
      <c r="B243" t="s">
        <v>4276</v>
      </c>
    </row>
    <row r="244" spans="1:2">
      <c r="A244" t="s">
        <v>838</v>
      </c>
      <c r="B244" t="s">
        <v>4276</v>
      </c>
    </row>
    <row r="245" spans="1:2">
      <c r="A245" t="s">
        <v>842</v>
      </c>
      <c r="B245" t="s">
        <v>4276</v>
      </c>
    </row>
    <row r="246" spans="1:2">
      <c r="A246" t="s">
        <v>845</v>
      </c>
      <c r="B246" t="s">
        <v>4276</v>
      </c>
    </row>
    <row r="247" spans="1:2">
      <c r="A247" t="s">
        <v>849</v>
      </c>
      <c r="B247" t="s">
        <v>4276</v>
      </c>
    </row>
    <row r="248" spans="1:2">
      <c r="A248" t="s">
        <v>854</v>
      </c>
      <c r="B248" t="s">
        <v>4276</v>
      </c>
    </row>
    <row r="249" spans="1:2">
      <c r="A249" t="s">
        <v>859</v>
      </c>
      <c r="B249" t="s">
        <v>4276</v>
      </c>
    </row>
    <row r="250" spans="1:2">
      <c r="A250" t="s">
        <v>863</v>
      </c>
      <c r="B250" t="s">
        <v>4276</v>
      </c>
    </row>
    <row r="251" spans="1:2">
      <c r="A251" t="s">
        <v>866</v>
      </c>
      <c r="B251" t="s">
        <v>4276</v>
      </c>
    </row>
    <row r="252" spans="1:2">
      <c r="A252" t="s">
        <v>868</v>
      </c>
      <c r="B252" t="s">
        <v>4276</v>
      </c>
    </row>
    <row r="253" spans="1:2">
      <c r="A253" t="s">
        <v>870</v>
      </c>
      <c r="B253" t="s">
        <v>4276</v>
      </c>
    </row>
    <row r="254" spans="1:2">
      <c r="A254" t="s">
        <v>872</v>
      </c>
      <c r="B254" t="s">
        <v>4276</v>
      </c>
    </row>
    <row r="255" spans="1:2">
      <c r="A255" t="s">
        <v>876</v>
      </c>
      <c r="B255" t="s">
        <v>4276</v>
      </c>
    </row>
    <row r="256" spans="1:2">
      <c r="A256" t="s">
        <v>880</v>
      </c>
      <c r="B256" t="s">
        <v>4276</v>
      </c>
    </row>
    <row r="257" spans="1:2">
      <c r="A257" t="s">
        <v>883</v>
      </c>
      <c r="B257" t="s">
        <v>4276</v>
      </c>
    </row>
    <row r="258" spans="1:2">
      <c r="A258" t="s">
        <v>884</v>
      </c>
      <c r="B258" t="s">
        <v>4276</v>
      </c>
    </row>
    <row r="259" spans="1:2">
      <c r="A259" t="s">
        <v>886</v>
      </c>
      <c r="B259" t="s">
        <v>4276</v>
      </c>
    </row>
    <row r="260" spans="1:2">
      <c r="A260" t="s">
        <v>888</v>
      </c>
      <c r="B260" t="s">
        <v>4276</v>
      </c>
    </row>
    <row r="261" spans="1:2">
      <c r="A261" t="s">
        <v>891</v>
      </c>
      <c r="B261" t="s">
        <v>4276</v>
      </c>
    </row>
    <row r="262" spans="1:2">
      <c r="A262" t="s">
        <v>893</v>
      </c>
      <c r="B262" t="s">
        <v>4276</v>
      </c>
    </row>
    <row r="263" spans="1:2">
      <c r="A263" t="s">
        <v>894</v>
      </c>
      <c r="B263" t="s">
        <v>4276</v>
      </c>
    </row>
    <row r="264" spans="1:2">
      <c r="A264" t="s">
        <v>895</v>
      </c>
      <c r="B264" t="s">
        <v>4276</v>
      </c>
    </row>
    <row r="265" spans="1:2">
      <c r="A265" t="s">
        <v>899</v>
      </c>
      <c r="B265" t="s">
        <v>4276</v>
      </c>
    </row>
    <row r="266" spans="1:2">
      <c r="A266" t="s">
        <v>902</v>
      </c>
      <c r="B266" t="s">
        <v>4276</v>
      </c>
    </row>
    <row r="267" spans="1:2">
      <c r="A267" t="s">
        <v>906</v>
      </c>
      <c r="B267" t="s">
        <v>4276</v>
      </c>
    </row>
    <row r="268" spans="1:2">
      <c r="A268" t="s">
        <v>909</v>
      </c>
      <c r="B268" t="s">
        <v>4276</v>
      </c>
    </row>
    <row r="269" spans="1:2">
      <c r="A269" t="s">
        <v>912</v>
      </c>
      <c r="B269" t="s">
        <v>4276</v>
      </c>
    </row>
    <row r="270" spans="1:2">
      <c r="A270" t="s">
        <v>915</v>
      </c>
      <c r="B270" t="s">
        <v>4276</v>
      </c>
    </row>
    <row r="271" spans="1:2">
      <c r="A271" t="s">
        <v>921</v>
      </c>
      <c r="B271" t="s">
        <v>4276</v>
      </c>
    </row>
    <row r="272" spans="1:2">
      <c r="A272" t="s">
        <v>924</v>
      </c>
      <c r="B272" t="s">
        <v>4276</v>
      </c>
    </row>
    <row r="273" spans="1:2">
      <c r="A273" t="s">
        <v>928</v>
      </c>
      <c r="B273" t="s">
        <v>4276</v>
      </c>
    </row>
    <row r="274" spans="1:2">
      <c r="A274" t="s">
        <v>931</v>
      </c>
      <c r="B274" t="s">
        <v>4276</v>
      </c>
    </row>
    <row r="275" spans="1:2">
      <c r="A275" t="s">
        <v>936</v>
      </c>
      <c r="B275" t="s">
        <v>4276</v>
      </c>
    </row>
    <row r="276" spans="1:2">
      <c r="A276" t="s">
        <v>942</v>
      </c>
      <c r="B276" t="s">
        <v>4276</v>
      </c>
    </row>
    <row r="277" spans="1:2">
      <c r="A277" t="s">
        <v>947</v>
      </c>
      <c r="B277" t="s">
        <v>4276</v>
      </c>
    </row>
    <row r="278" spans="1:2">
      <c r="A278" t="s">
        <v>951</v>
      </c>
      <c r="B278" t="s">
        <v>4276</v>
      </c>
    </row>
    <row r="279" spans="1:2">
      <c r="A279" t="s">
        <v>957</v>
      </c>
      <c r="B279" t="s">
        <v>4276</v>
      </c>
    </row>
    <row r="280" spans="1:2">
      <c r="A280" t="s">
        <v>961</v>
      </c>
      <c r="B280" t="s">
        <v>4276</v>
      </c>
    </row>
    <row r="281" spans="1:2">
      <c r="A281" t="s">
        <v>965</v>
      </c>
      <c r="B281" t="s">
        <v>4276</v>
      </c>
    </row>
    <row r="282" spans="1:2">
      <c r="A282" t="s">
        <v>967</v>
      </c>
      <c r="B282" t="s">
        <v>4276</v>
      </c>
    </row>
    <row r="283" spans="1:2">
      <c r="A283" t="s">
        <v>970</v>
      </c>
      <c r="B283" t="s">
        <v>4276</v>
      </c>
    </row>
    <row r="284" spans="1:2">
      <c r="A284" t="s">
        <v>972</v>
      </c>
      <c r="B284" t="s">
        <v>4276</v>
      </c>
    </row>
    <row r="285" spans="1:2">
      <c r="A285" t="s">
        <v>975</v>
      </c>
      <c r="B285" t="s">
        <v>4276</v>
      </c>
    </row>
    <row r="286" spans="1:2">
      <c r="A286" t="s">
        <v>980</v>
      </c>
      <c r="B286" t="s">
        <v>4276</v>
      </c>
    </row>
    <row r="287" spans="1:2">
      <c r="A287" t="s">
        <v>983</v>
      </c>
      <c r="B287" t="s">
        <v>4276</v>
      </c>
    </row>
    <row r="288" spans="1:2">
      <c r="A288" t="s">
        <v>985</v>
      </c>
      <c r="B288" t="s">
        <v>4276</v>
      </c>
    </row>
    <row r="289" spans="1:2">
      <c r="A289" t="s">
        <v>988</v>
      </c>
      <c r="B289" t="s">
        <v>4276</v>
      </c>
    </row>
    <row r="290" spans="1:2">
      <c r="A290" t="s">
        <v>993</v>
      </c>
      <c r="B290" t="s">
        <v>4276</v>
      </c>
    </row>
    <row r="291" spans="1:2">
      <c r="A291" t="s">
        <v>997</v>
      </c>
      <c r="B291" t="s">
        <v>4276</v>
      </c>
    </row>
    <row r="292" spans="1:2">
      <c r="A292" t="s">
        <v>1000</v>
      </c>
      <c r="B292" t="s">
        <v>4276</v>
      </c>
    </row>
    <row r="293" spans="1:2">
      <c r="A293" t="s">
        <v>1004</v>
      </c>
      <c r="B293" t="s">
        <v>4276</v>
      </c>
    </row>
    <row r="294" spans="1:2">
      <c r="A294" t="s">
        <v>1008</v>
      </c>
      <c r="B294" t="s">
        <v>4276</v>
      </c>
    </row>
    <row r="295" spans="1:2">
      <c r="A295" t="s">
        <v>1013</v>
      </c>
      <c r="B295" t="s">
        <v>4276</v>
      </c>
    </row>
    <row r="296" spans="1:2">
      <c r="A296" t="s">
        <v>1017</v>
      </c>
      <c r="B296" t="s">
        <v>4276</v>
      </c>
    </row>
    <row r="297" spans="1:2">
      <c r="A297" t="s">
        <v>1023</v>
      </c>
      <c r="B297" t="s">
        <v>4276</v>
      </c>
    </row>
    <row r="298" spans="1:2">
      <c r="A298" t="s">
        <v>1028</v>
      </c>
      <c r="B298" t="s">
        <v>4276</v>
      </c>
    </row>
    <row r="299" spans="1:2">
      <c r="A299" t="s">
        <v>1032</v>
      </c>
      <c r="B299" t="s">
        <v>4276</v>
      </c>
    </row>
    <row r="300" spans="1:2">
      <c r="A300" t="s">
        <v>1034</v>
      </c>
      <c r="B300" t="s">
        <v>4276</v>
      </c>
    </row>
    <row r="301" spans="1:2">
      <c r="A301" t="s">
        <v>1040</v>
      </c>
      <c r="B301" t="s">
        <v>4276</v>
      </c>
    </row>
    <row r="302" spans="1:2">
      <c r="A302" t="s">
        <v>1042</v>
      </c>
      <c r="B302" t="s">
        <v>4276</v>
      </c>
    </row>
    <row r="303" spans="1:2">
      <c r="A303" t="s">
        <v>1048</v>
      </c>
      <c r="B303" t="s">
        <v>4276</v>
      </c>
    </row>
    <row r="304" spans="1:2">
      <c r="A304" t="s">
        <v>1052</v>
      </c>
      <c r="B304" t="s">
        <v>4276</v>
      </c>
    </row>
    <row r="305" spans="1:2">
      <c r="A305" t="s">
        <v>1054</v>
      </c>
      <c r="B305" t="s">
        <v>4276</v>
      </c>
    </row>
    <row r="306" spans="1:2">
      <c r="A306" t="s">
        <v>1057</v>
      </c>
      <c r="B306" t="s">
        <v>4276</v>
      </c>
    </row>
    <row r="307" spans="1:2">
      <c r="A307" t="s">
        <v>1063</v>
      </c>
      <c r="B307" t="s">
        <v>4276</v>
      </c>
    </row>
    <row r="308" spans="1:2">
      <c r="A308" t="s">
        <v>1066</v>
      </c>
      <c r="B308" t="s">
        <v>4276</v>
      </c>
    </row>
    <row r="309" spans="1:2">
      <c r="A309" t="s">
        <v>1069</v>
      </c>
      <c r="B309" t="s">
        <v>4276</v>
      </c>
    </row>
    <row r="310" spans="1:2">
      <c r="A310" t="s">
        <v>1072</v>
      </c>
      <c r="B310" t="s">
        <v>4276</v>
      </c>
    </row>
    <row r="311" spans="1:2">
      <c r="A311" t="s">
        <v>1074</v>
      </c>
      <c r="B311" t="s">
        <v>4276</v>
      </c>
    </row>
    <row r="312" spans="1:2">
      <c r="A312" t="s">
        <v>1079</v>
      </c>
      <c r="B312" t="s">
        <v>4276</v>
      </c>
    </row>
    <row r="313" spans="1:2">
      <c r="A313" t="s">
        <v>1085</v>
      </c>
      <c r="B313" t="s">
        <v>4276</v>
      </c>
    </row>
    <row r="314" spans="1:2">
      <c r="A314" t="s">
        <v>1090</v>
      </c>
      <c r="B314" t="s">
        <v>4276</v>
      </c>
    </row>
    <row r="315" spans="1:2">
      <c r="A315" t="s">
        <v>1093</v>
      </c>
      <c r="B315" t="s">
        <v>4276</v>
      </c>
    </row>
    <row r="316" spans="1:2">
      <c r="A316" t="s">
        <v>1095</v>
      </c>
      <c r="B316" t="s">
        <v>4276</v>
      </c>
    </row>
    <row r="317" spans="1:2">
      <c r="A317" t="s">
        <v>1096</v>
      </c>
      <c r="B317" t="s">
        <v>4276</v>
      </c>
    </row>
    <row r="318" spans="1:2">
      <c r="A318" t="s">
        <v>1099</v>
      </c>
      <c r="B318" t="s">
        <v>4276</v>
      </c>
    </row>
    <row r="319" spans="1:2">
      <c r="A319" t="s">
        <v>1101</v>
      </c>
      <c r="B319" t="s">
        <v>4276</v>
      </c>
    </row>
    <row r="320" spans="1:2">
      <c r="A320" t="s">
        <v>1105</v>
      </c>
      <c r="B320" t="s">
        <v>4276</v>
      </c>
    </row>
    <row r="321" spans="1:2">
      <c r="A321" t="s">
        <v>1107</v>
      </c>
      <c r="B321" t="s">
        <v>4276</v>
      </c>
    </row>
    <row r="322" spans="1:2">
      <c r="A322" t="s">
        <v>1109</v>
      </c>
      <c r="B322" t="s">
        <v>4276</v>
      </c>
    </row>
    <row r="323" spans="1:2">
      <c r="A323" t="s">
        <v>1113</v>
      </c>
      <c r="B323" t="s">
        <v>4276</v>
      </c>
    </row>
    <row r="324" spans="1:2">
      <c r="A324" t="s">
        <v>1118</v>
      </c>
      <c r="B324" t="s">
        <v>4276</v>
      </c>
    </row>
    <row r="325" spans="1:2">
      <c r="A325" t="s">
        <v>1121</v>
      </c>
      <c r="B325" t="s">
        <v>4276</v>
      </c>
    </row>
    <row r="326" spans="1:2">
      <c r="A326" t="s">
        <v>1125</v>
      </c>
      <c r="B326" t="s">
        <v>4276</v>
      </c>
    </row>
    <row r="327" spans="1:2">
      <c r="A327" t="s">
        <v>1129</v>
      </c>
      <c r="B327" t="s">
        <v>4276</v>
      </c>
    </row>
    <row r="328" spans="1:2">
      <c r="A328" t="s">
        <v>1130</v>
      </c>
      <c r="B328" t="s">
        <v>4276</v>
      </c>
    </row>
    <row r="329" spans="1:2">
      <c r="A329" t="s">
        <v>1133</v>
      </c>
      <c r="B329" t="s">
        <v>4276</v>
      </c>
    </row>
    <row r="330" spans="1:2">
      <c r="A330" t="s">
        <v>1137</v>
      </c>
      <c r="B330" t="s">
        <v>4276</v>
      </c>
    </row>
    <row r="331" spans="1:2">
      <c r="A331" t="s">
        <v>1141</v>
      </c>
      <c r="B331" t="s">
        <v>4276</v>
      </c>
    </row>
    <row r="332" spans="1:2">
      <c r="A332" t="s">
        <v>1145</v>
      </c>
      <c r="B332" t="s">
        <v>4276</v>
      </c>
    </row>
    <row r="333" spans="1:2">
      <c r="A333" t="s">
        <v>1150</v>
      </c>
      <c r="B333" t="s">
        <v>4276</v>
      </c>
    </row>
    <row r="334" spans="1:2">
      <c r="A334" t="s">
        <v>1152</v>
      </c>
      <c r="B334" t="s">
        <v>4276</v>
      </c>
    </row>
    <row r="335" spans="1:2">
      <c r="A335" t="s">
        <v>1154</v>
      </c>
      <c r="B335" t="s">
        <v>4276</v>
      </c>
    </row>
    <row r="336" spans="1:2">
      <c r="A336" t="s">
        <v>1158</v>
      </c>
      <c r="B336" t="s">
        <v>4276</v>
      </c>
    </row>
    <row r="337" spans="1:2">
      <c r="A337" t="s">
        <v>1161</v>
      </c>
      <c r="B337" t="s">
        <v>4276</v>
      </c>
    </row>
    <row r="338" spans="1:2">
      <c r="A338" t="s">
        <v>1164</v>
      </c>
      <c r="B338" t="s">
        <v>4276</v>
      </c>
    </row>
    <row r="339" spans="1:2">
      <c r="A339" t="s">
        <v>1170</v>
      </c>
      <c r="B339" t="s">
        <v>4276</v>
      </c>
    </row>
    <row r="340" spans="1:2">
      <c r="A340" t="s">
        <v>1173</v>
      </c>
      <c r="B340" t="s">
        <v>4276</v>
      </c>
    </row>
    <row r="341" spans="1:2">
      <c r="A341" t="s">
        <v>1176</v>
      </c>
      <c r="B341" t="s">
        <v>4276</v>
      </c>
    </row>
    <row r="342" spans="1:2">
      <c r="A342" t="s">
        <v>1180</v>
      </c>
      <c r="B342" t="s">
        <v>4276</v>
      </c>
    </row>
    <row r="343" spans="1:2">
      <c r="A343" t="s">
        <v>1183</v>
      </c>
      <c r="B343" t="s">
        <v>4276</v>
      </c>
    </row>
    <row r="344" spans="1:2">
      <c r="A344" t="s">
        <v>1187</v>
      </c>
      <c r="B344" t="s">
        <v>4276</v>
      </c>
    </row>
    <row r="345" spans="1:2">
      <c r="A345" t="s">
        <v>1190</v>
      </c>
      <c r="B345" t="s">
        <v>4276</v>
      </c>
    </row>
    <row r="346" spans="1:2">
      <c r="A346" t="s">
        <v>1193</v>
      </c>
      <c r="B346" t="s">
        <v>4276</v>
      </c>
    </row>
    <row r="347" spans="1:2">
      <c r="A347" t="s">
        <v>1196</v>
      </c>
      <c r="B347" t="s">
        <v>4276</v>
      </c>
    </row>
    <row r="348" spans="1:2">
      <c r="A348" t="s">
        <v>1199</v>
      </c>
      <c r="B348" t="s">
        <v>4276</v>
      </c>
    </row>
    <row r="349" spans="1:2">
      <c r="A349" t="s">
        <v>1205</v>
      </c>
      <c r="B349" t="s">
        <v>4276</v>
      </c>
    </row>
    <row r="350" spans="1:2">
      <c r="A350" t="s">
        <v>1209</v>
      </c>
      <c r="B350" t="s">
        <v>4276</v>
      </c>
    </row>
    <row r="351" spans="1:2">
      <c r="A351" t="s">
        <v>1212</v>
      </c>
      <c r="B351" t="s">
        <v>4276</v>
      </c>
    </row>
    <row r="352" spans="1:2">
      <c r="A352" t="s">
        <v>1222</v>
      </c>
      <c r="B352" t="s">
        <v>4276</v>
      </c>
    </row>
    <row r="353" spans="1:2">
      <c r="A353" t="s">
        <v>1227</v>
      </c>
      <c r="B353" t="s">
        <v>4276</v>
      </c>
    </row>
    <row r="354" spans="1:2">
      <c r="A354" t="s">
        <v>1231</v>
      </c>
      <c r="B354" t="s">
        <v>4276</v>
      </c>
    </row>
    <row r="355" spans="1:2">
      <c r="A355" t="s">
        <v>1234</v>
      </c>
      <c r="B355" t="s">
        <v>4276</v>
      </c>
    </row>
    <row r="356" spans="1:2">
      <c r="A356" t="s">
        <v>1235</v>
      </c>
      <c r="B356" t="s">
        <v>4276</v>
      </c>
    </row>
    <row r="357" spans="1:2">
      <c r="A357" t="s">
        <v>1238</v>
      </c>
      <c r="B357" t="s">
        <v>4276</v>
      </c>
    </row>
    <row r="358" spans="1:2">
      <c r="A358" t="s">
        <v>1242</v>
      </c>
      <c r="B358" t="s">
        <v>4276</v>
      </c>
    </row>
    <row r="359" spans="1:2">
      <c r="A359" t="s">
        <v>1246</v>
      </c>
      <c r="B359" t="s">
        <v>4276</v>
      </c>
    </row>
    <row r="360" spans="1:2">
      <c r="A360" t="s">
        <v>1248</v>
      </c>
      <c r="B360" t="s">
        <v>4276</v>
      </c>
    </row>
    <row r="361" spans="1:2">
      <c r="A361" t="s">
        <v>1253</v>
      </c>
      <c r="B361" t="s">
        <v>4276</v>
      </c>
    </row>
    <row r="362" spans="1:2">
      <c r="A362" t="s">
        <v>1257</v>
      </c>
      <c r="B362" t="s">
        <v>4276</v>
      </c>
    </row>
    <row r="363" spans="1:2">
      <c r="A363" t="s">
        <v>1989</v>
      </c>
      <c r="B363" t="s">
        <v>4276</v>
      </c>
    </row>
    <row r="364" spans="1:2">
      <c r="A364" t="s">
        <v>1269</v>
      </c>
      <c r="B364" t="s">
        <v>4276</v>
      </c>
    </row>
    <row r="365" spans="1:2">
      <c r="A365" t="s">
        <v>1277</v>
      </c>
      <c r="B365" t="s">
        <v>4276</v>
      </c>
    </row>
    <row r="366" spans="1:2">
      <c r="A366" t="s">
        <v>1282</v>
      </c>
      <c r="B366" t="s">
        <v>4276</v>
      </c>
    </row>
    <row r="367" spans="1:2">
      <c r="A367" t="s">
        <v>1284</v>
      </c>
      <c r="B367" t="s">
        <v>4276</v>
      </c>
    </row>
    <row r="368" spans="1:2">
      <c r="A368" t="s">
        <v>1289</v>
      </c>
      <c r="B368" t="s">
        <v>4276</v>
      </c>
    </row>
    <row r="369" spans="1:2">
      <c r="A369" t="s">
        <v>1293</v>
      </c>
      <c r="B369" t="s">
        <v>4276</v>
      </c>
    </row>
    <row r="370" spans="1:2">
      <c r="A370" t="s">
        <v>1297</v>
      </c>
      <c r="B370" t="s">
        <v>4276</v>
      </c>
    </row>
    <row r="371" spans="1:2">
      <c r="A371" t="s">
        <v>1300</v>
      </c>
      <c r="B371" t="s">
        <v>4276</v>
      </c>
    </row>
    <row r="372" spans="1:2">
      <c r="A372" t="s">
        <v>1304</v>
      </c>
      <c r="B372" t="s">
        <v>4276</v>
      </c>
    </row>
    <row r="373" spans="1:2">
      <c r="A373" t="s">
        <v>1305</v>
      </c>
      <c r="B373" t="s">
        <v>4276</v>
      </c>
    </row>
    <row r="374" spans="1:2">
      <c r="A374" t="s">
        <v>1307</v>
      </c>
      <c r="B374" t="s">
        <v>4276</v>
      </c>
    </row>
    <row r="375" spans="1:2">
      <c r="A375" t="s">
        <v>1309</v>
      </c>
      <c r="B375" t="s">
        <v>4276</v>
      </c>
    </row>
    <row r="376" spans="1:2">
      <c r="A376" t="s">
        <v>1314</v>
      </c>
      <c r="B376" t="s">
        <v>4276</v>
      </c>
    </row>
    <row r="377" spans="1:2">
      <c r="A377" t="s">
        <v>1320</v>
      </c>
      <c r="B377" t="s">
        <v>4276</v>
      </c>
    </row>
    <row r="378" spans="1:2">
      <c r="A378" t="s">
        <v>1321</v>
      </c>
      <c r="B378" t="s">
        <v>4276</v>
      </c>
    </row>
    <row r="379" spans="1:2">
      <c r="A379" t="s">
        <v>1322</v>
      </c>
      <c r="B379" t="s">
        <v>4276</v>
      </c>
    </row>
    <row r="380" spans="1:2">
      <c r="A380" t="s">
        <v>1323</v>
      </c>
      <c r="B380" t="s">
        <v>4276</v>
      </c>
    </row>
    <row r="381" spans="1:2">
      <c r="A381" t="s">
        <v>1325</v>
      </c>
      <c r="B381" t="s">
        <v>4276</v>
      </c>
    </row>
    <row r="382" spans="1:2">
      <c r="A382" t="s">
        <v>1326</v>
      </c>
      <c r="B382" t="s">
        <v>4276</v>
      </c>
    </row>
    <row r="383" spans="1:2">
      <c r="A383" t="s">
        <v>1330</v>
      </c>
      <c r="B383" t="s">
        <v>4276</v>
      </c>
    </row>
    <row r="384" spans="1:2">
      <c r="A384" t="s">
        <v>1331</v>
      </c>
      <c r="B384" t="s">
        <v>4276</v>
      </c>
    </row>
    <row r="385" spans="1:2">
      <c r="A385" t="s">
        <v>1332</v>
      </c>
      <c r="B385" t="s">
        <v>4276</v>
      </c>
    </row>
    <row r="386" spans="1:2">
      <c r="A386" t="s">
        <v>1333</v>
      </c>
      <c r="B386" t="s">
        <v>4276</v>
      </c>
    </row>
    <row r="387" spans="1:2">
      <c r="A387" t="s">
        <v>1335</v>
      </c>
      <c r="B387" t="s">
        <v>4276</v>
      </c>
    </row>
    <row r="388" spans="1:2">
      <c r="A388" t="s">
        <v>1336</v>
      </c>
      <c r="B388" t="s">
        <v>4276</v>
      </c>
    </row>
    <row r="389" spans="1:2">
      <c r="A389" t="s">
        <v>1337</v>
      </c>
      <c r="B389" t="s">
        <v>4276</v>
      </c>
    </row>
    <row r="390" spans="1:2">
      <c r="A390" t="s">
        <v>1338</v>
      </c>
      <c r="B390" t="s">
        <v>4276</v>
      </c>
    </row>
    <row r="391" spans="1:2">
      <c r="A391" t="s">
        <v>1339</v>
      </c>
      <c r="B391" t="s">
        <v>4276</v>
      </c>
    </row>
    <row r="392" spans="1:2">
      <c r="A392" t="s">
        <v>1340</v>
      </c>
      <c r="B392" t="s">
        <v>4276</v>
      </c>
    </row>
    <row r="393" spans="1:2">
      <c r="A393" t="s">
        <v>1341</v>
      </c>
      <c r="B393" t="s">
        <v>4276</v>
      </c>
    </row>
    <row r="394" spans="1:2">
      <c r="A394" t="s">
        <v>1346</v>
      </c>
      <c r="B394" t="s">
        <v>4276</v>
      </c>
    </row>
    <row r="395" spans="1:2">
      <c r="A395" t="s">
        <v>1347</v>
      </c>
      <c r="B395" t="s">
        <v>4276</v>
      </c>
    </row>
    <row r="396" spans="1:2">
      <c r="A396" t="s">
        <v>1348</v>
      </c>
      <c r="B396" t="s">
        <v>4276</v>
      </c>
    </row>
    <row r="397" spans="1:2">
      <c r="A397" t="s">
        <v>1349</v>
      </c>
      <c r="B397" t="s">
        <v>4276</v>
      </c>
    </row>
    <row r="398" spans="1:2">
      <c r="A398" t="s">
        <v>1350</v>
      </c>
      <c r="B398" t="s">
        <v>4276</v>
      </c>
    </row>
    <row r="399" spans="1:2">
      <c r="A399" t="s">
        <v>1354</v>
      </c>
      <c r="B399" t="s">
        <v>4276</v>
      </c>
    </row>
    <row r="400" spans="1:2">
      <c r="A400" t="s">
        <v>1355</v>
      </c>
      <c r="B400" t="s">
        <v>4276</v>
      </c>
    </row>
    <row r="401" spans="1:2">
      <c r="A401" t="s">
        <v>1356</v>
      </c>
      <c r="B401" t="s">
        <v>4276</v>
      </c>
    </row>
    <row r="402" spans="1:2">
      <c r="A402" t="s">
        <v>1362</v>
      </c>
      <c r="B402" t="s">
        <v>4276</v>
      </c>
    </row>
    <row r="403" spans="1:2">
      <c r="A403" t="s">
        <v>1363</v>
      </c>
      <c r="B403" t="s">
        <v>4276</v>
      </c>
    </row>
    <row r="404" spans="1:2">
      <c r="A404" t="s">
        <v>1368</v>
      </c>
      <c r="B404" t="s">
        <v>4276</v>
      </c>
    </row>
    <row r="405" spans="1:2">
      <c r="A405" t="s">
        <v>1372</v>
      </c>
      <c r="B405" t="s">
        <v>4276</v>
      </c>
    </row>
    <row r="406" spans="1:2">
      <c r="A406" t="s">
        <v>1373</v>
      </c>
      <c r="B406" t="s">
        <v>4276</v>
      </c>
    </row>
    <row r="407" spans="1:2">
      <c r="A407" t="s">
        <v>1374</v>
      </c>
      <c r="B407" t="s">
        <v>4276</v>
      </c>
    </row>
    <row r="408" spans="1:2">
      <c r="A408" t="s">
        <v>1381</v>
      </c>
      <c r="B408" t="s">
        <v>4276</v>
      </c>
    </row>
    <row r="409" spans="1:2">
      <c r="A409" t="s">
        <v>1382</v>
      </c>
      <c r="B409" t="s">
        <v>4276</v>
      </c>
    </row>
    <row r="410" spans="1:2">
      <c r="A410" t="s">
        <v>1390</v>
      </c>
      <c r="B410" t="s">
        <v>4276</v>
      </c>
    </row>
    <row r="411" spans="1:2">
      <c r="A411" t="s">
        <v>1394</v>
      </c>
      <c r="B411" t="s">
        <v>4276</v>
      </c>
    </row>
    <row r="412" spans="1:2">
      <c r="A412" t="s">
        <v>1397</v>
      </c>
      <c r="B412" t="s">
        <v>4276</v>
      </c>
    </row>
    <row r="413" spans="1:2">
      <c r="A413" t="s">
        <v>1402</v>
      </c>
      <c r="B413" t="s">
        <v>4276</v>
      </c>
    </row>
    <row r="414" spans="1:2">
      <c r="A414" t="s">
        <v>1407</v>
      </c>
      <c r="B414" t="s">
        <v>4276</v>
      </c>
    </row>
    <row r="415" spans="1:2">
      <c r="A415" t="s">
        <v>1413</v>
      </c>
      <c r="B415" t="s">
        <v>4276</v>
      </c>
    </row>
    <row r="416" spans="1:2">
      <c r="A416" t="s">
        <v>1418</v>
      </c>
      <c r="B416" t="s">
        <v>4276</v>
      </c>
    </row>
    <row r="417" spans="1:2">
      <c r="A417" t="s">
        <v>1422</v>
      </c>
      <c r="B417" t="s">
        <v>4276</v>
      </c>
    </row>
    <row r="418" spans="1:2">
      <c r="A418" t="s">
        <v>1426</v>
      </c>
      <c r="B418" t="s">
        <v>4276</v>
      </c>
    </row>
    <row r="419" spans="1:2">
      <c r="A419" t="s">
        <v>1434</v>
      </c>
      <c r="B419" t="s">
        <v>4276</v>
      </c>
    </row>
    <row r="420" spans="1:2">
      <c r="A420" t="s">
        <v>1441</v>
      </c>
      <c r="B420"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2668</v>
      </c>
      <c r="C1" t="s">
        <v>2234</v>
      </c>
      <c r="D1" t="s">
        <v>2235</v>
      </c>
      <c r="E1" t="s">
        <v>2236</v>
      </c>
      <c r="F1" t="s">
        <v>1455</v>
      </c>
      <c r="G1" t="s">
        <v>4277</v>
      </c>
      <c r="H1" t="s">
        <v>2238</v>
      </c>
      <c r="I1" t="s">
        <v>4278</v>
      </c>
    </row>
    <row r="2" spans="1:9">
      <c r="A2" s="92" t="s">
        <v>4279</v>
      </c>
      <c r="B2" t="s">
        <v>1888</v>
      </c>
      <c r="C2" t="s">
        <v>2241</v>
      </c>
      <c r="D2" t="s">
        <v>2242</v>
      </c>
      <c r="E2" t="s">
        <v>2243</v>
      </c>
      <c r="F2" t="s">
        <v>2246</v>
      </c>
      <c r="G2" t="s">
        <v>4280</v>
      </c>
      <c r="H2" t="s">
        <v>2245</v>
      </c>
      <c r="I2" t="s">
        <v>3740</v>
      </c>
    </row>
    <row r="3" spans="1:9">
      <c r="A3" s="92" t="s">
        <v>4279</v>
      </c>
      <c r="B3" t="s">
        <v>1897</v>
      </c>
      <c r="C3" t="s">
        <v>2248</v>
      </c>
      <c r="D3" t="s">
        <v>2249</v>
      </c>
      <c r="E3" t="s">
        <v>2250</v>
      </c>
      <c r="G3" t="s">
        <v>4280</v>
      </c>
      <c r="H3" t="s">
        <v>2251</v>
      </c>
      <c r="I3" t="s">
        <v>3756</v>
      </c>
    </row>
    <row r="4" spans="1:9">
      <c r="A4" s="92" t="s">
        <v>4279</v>
      </c>
      <c r="B4" t="s">
        <v>1897</v>
      </c>
      <c r="C4" t="s">
        <v>2253</v>
      </c>
      <c r="D4" t="s">
        <v>2249</v>
      </c>
      <c r="E4" t="s">
        <v>2254</v>
      </c>
      <c r="G4" t="s">
        <v>4280</v>
      </c>
      <c r="H4" t="s">
        <v>2251</v>
      </c>
      <c r="I4" t="s">
        <v>3756</v>
      </c>
    </row>
    <row r="5" spans="1:9">
      <c r="A5" s="92" t="s">
        <v>4279</v>
      </c>
      <c r="B5" t="s">
        <v>1897</v>
      </c>
      <c r="C5" t="s">
        <v>2255</v>
      </c>
      <c r="D5" t="s">
        <v>2249</v>
      </c>
      <c r="E5" t="s">
        <v>2254</v>
      </c>
      <c r="G5" t="s">
        <v>4280</v>
      </c>
      <c r="H5" t="s">
        <v>2251</v>
      </c>
      <c r="I5" t="s">
        <v>3756</v>
      </c>
    </row>
    <row r="6" spans="1:9">
      <c r="A6" s="92" t="s">
        <v>4279</v>
      </c>
      <c r="B6" t="s">
        <v>1897</v>
      </c>
      <c r="C6" t="s">
        <v>2256</v>
      </c>
      <c r="D6" t="s">
        <v>2257</v>
      </c>
      <c r="E6" t="s">
        <v>2254</v>
      </c>
      <c r="G6" t="s">
        <v>4280</v>
      </c>
      <c r="H6" t="s">
        <v>2251</v>
      </c>
      <c r="I6" t="s">
        <v>3756</v>
      </c>
    </row>
    <row r="7" spans="1:9">
      <c r="A7" s="92" t="s">
        <v>4279</v>
      </c>
      <c r="B7" t="s">
        <v>1897</v>
      </c>
      <c r="C7" t="s">
        <v>2258</v>
      </c>
      <c r="E7" t="s">
        <v>2254</v>
      </c>
      <c r="G7" t="s">
        <v>4280</v>
      </c>
      <c r="H7" t="s">
        <v>2251</v>
      </c>
      <c r="I7" t="s">
        <v>3756</v>
      </c>
    </row>
    <row r="8" spans="1:9">
      <c r="A8" s="92" t="s">
        <v>4279</v>
      </c>
      <c r="B8" t="s">
        <v>1897</v>
      </c>
      <c r="C8" t="s">
        <v>2259</v>
      </c>
      <c r="E8" t="s">
        <v>2254</v>
      </c>
      <c r="G8" t="s">
        <v>4280</v>
      </c>
      <c r="H8" t="s">
        <v>2251</v>
      </c>
      <c r="I8" t="s">
        <v>3756</v>
      </c>
    </row>
    <row r="9" spans="1:9">
      <c r="A9" s="92" t="s">
        <v>4279</v>
      </c>
      <c r="B9" t="s">
        <v>1897</v>
      </c>
      <c r="C9" t="s">
        <v>2260</v>
      </c>
      <c r="E9" t="s">
        <v>2254</v>
      </c>
      <c r="G9" t="s">
        <v>4280</v>
      </c>
      <c r="H9" t="s">
        <v>2251</v>
      </c>
      <c r="I9" t="s">
        <v>3756</v>
      </c>
    </row>
    <row r="10" spans="1:9">
      <c r="A10" s="92" t="s">
        <v>4279</v>
      </c>
      <c r="B10" t="s">
        <v>1905</v>
      </c>
      <c r="C10" t="s">
        <v>2262</v>
      </c>
      <c r="D10" t="s">
        <v>2263</v>
      </c>
      <c r="E10" t="s">
        <v>2243</v>
      </c>
      <c r="F10" t="s">
        <v>2264</v>
      </c>
      <c r="G10" t="s">
        <v>4280</v>
      </c>
      <c r="H10" t="s">
        <v>2245</v>
      </c>
      <c r="I10" t="s">
        <v>3768</v>
      </c>
    </row>
    <row r="11" spans="1:9">
      <c r="A11" s="92" t="s">
        <v>4279</v>
      </c>
      <c r="B11" t="s">
        <v>1905</v>
      </c>
      <c r="C11" t="s">
        <v>2265</v>
      </c>
      <c r="D11" t="s">
        <v>2266</v>
      </c>
      <c r="E11" t="s">
        <v>2243</v>
      </c>
      <c r="F11" t="s">
        <v>2267</v>
      </c>
      <c r="G11" t="s">
        <v>4280</v>
      </c>
      <c r="H11" t="s">
        <v>2245</v>
      </c>
      <c r="I11" t="s">
        <v>3768</v>
      </c>
    </row>
    <row r="12" spans="1:9">
      <c r="A12" s="92" t="s">
        <v>4279</v>
      </c>
      <c r="B12" t="s">
        <v>1914</v>
      </c>
      <c r="C12" t="s">
        <v>2269</v>
      </c>
      <c r="E12" t="s">
        <v>2243</v>
      </c>
      <c r="F12" t="s">
        <v>2270</v>
      </c>
      <c r="G12" t="s">
        <v>4280</v>
      </c>
      <c r="H12" t="s">
        <v>2245</v>
      </c>
      <c r="I12" t="s">
        <v>3780</v>
      </c>
    </row>
    <row r="13" spans="1:9">
      <c r="A13" s="92" t="s">
        <v>4279</v>
      </c>
      <c r="B13" t="s">
        <v>1914</v>
      </c>
      <c r="C13" t="s">
        <v>2271</v>
      </c>
      <c r="D13" t="s">
        <v>2272</v>
      </c>
      <c r="E13" t="s">
        <v>2243</v>
      </c>
      <c r="F13" t="s">
        <v>2273</v>
      </c>
      <c r="G13" t="s">
        <v>4280</v>
      </c>
      <c r="H13" t="s">
        <v>2245</v>
      </c>
      <c r="I13" t="s">
        <v>3780</v>
      </c>
    </row>
    <row r="14" spans="1:9">
      <c r="A14" s="92" t="s">
        <v>4279</v>
      </c>
      <c r="B14" t="s">
        <v>1914</v>
      </c>
      <c r="C14" t="s">
        <v>2274</v>
      </c>
      <c r="E14" t="s">
        <v>2254</v>
      </c>
      <c r="G14" t="s">
        <v>4280</v>
      </c>
      <c r="H14" t="s">
        <v>2251</v>
      </c>
      <c r="I14" t="s">
        <v>3780</v>
      </c>
    </row>
    <row r="15" spans="1:9">
      <c r="A15" s="92" t="s">
        <v>4281</v>
      </c>
      <c r="B15" t="s">
        <v>1888</v>
      </c>
      <c r="C15" t="s">
        <v>2276</v>
      </c>
      <c r="D15" t="s">
        <v>2277</v>
      </c>
      <c r="E15" t="s">
        <v>1565</v>
      </c>
      <c r="F15" t="s">
        <v>2279</v>
      </c>
      <c r="G15" t="s">
        <v>4282</v>
      </c>
      <c r="H15" t="s">
        <v>552</v>
      </c>
      <c r="I15" t="s">
        <v>3740</v>
      </c>
    </row>
    <row r="16" spans="1:9">
      <c r="A16" s="92" t="s">
        <v>4281</v>
      </c>
      <c r="B16" t="s">
        <v>3515</v>
      </c>
      <c r="C16" t="s">
        <v>2281</v>
      </c>
      <c r="D16" t="s">
        <v>2282</v>
      </c>
      <c r="E16" t="s">
        <v>2283</v>
      </c>
      <c r="G16" t="s">
        <v>4283</v>
      </c>
      <c r="H16" t="s">
        <v>2284</v>
      </c>
      <c r="I16" t="s">
        <v>3748</v>
      </c>
    </row>
    <row r="17" spans="1:9">
      <c r="A17" s="92" t="s">
        <v>4281</v>
      </c>
      <c r="B17" t="s">
        <v>1895</v>
      </c>
      <c r="C17" t="s">
        <v>2286</v>
      </c>
      <c r="D17" t="s">
        <v>2287</v>
      </c>
      <c r="E17" t="s">
        <v>2288</v>
      </c>
      <c r="G17" t="s">
        <v>4283</v>
      </c>
      <c r="H17" t="s">
        <v>2284</v>
      </c>
      <c r="I17" t="s">
        <v>3752</v>
      </c>
    </row>
    <row r="18" spans="1:9">
      <c r="A18" s="92" t="s">
        <v>4281</v>
      </c>
      <c r="B18" t="s">
        <v>1895</v>
      </c>
      <c r="C18" t="s">
        <v>2289</v>
      </c>
      <c r="E18" t="s">
        <v>552</v>
      </c>
      <c r="F18" t="s">
        <v>2290</v>
      </c>
      <c r="G18" t="s">
        <v>4282</v>
      </c>
      <c r="H18" t="s">
        <v>552</v>
      </c>
      <c r="I18" t="s">
        <v>3752</v>
      </c>
    </row>
    <row r="19" spans="1:9">
      <c r="A19" s="92" t="s">
        <v>4281</v>
      </c>
      <c r="B19" t="s">
        <v>1897</v>
      </c>
      <c r="C19" t="s">
        <v>2248</v>
      </c>
      <c r="D19" t="s">
        <v>2249</v>
      </c>
      <c r="E19" t="s">
        <v>2250</v>
      </c>
      <c r="G19" t="s">
        <v>4284</v>
      </c>
      <c r="H19" t="s">
        <v>2292</v>
      </c>
      <c r="I19" t="s">
        <v>3756</v>
      </c>
    </row>
    <row r="20" spans="1:9">
      <c r="A20" s="92" t="s">
        <v>4281</v>
      </c>
      <c r="B20" t="s">
        <v>1897</v>
      </c>
      <c r="C20" t="s">
        <v>2253</v>
      </c>
      <c r="D20" t="s">
        <v>2249</v>
      </c>
      <c r="E20" t="s">
        <v>2254</v>
      </c>
      <c r="G20" t="s">
        <v>4284</v>
      </c>
      <c r="H20" t="s">
        <v>2292</v>
      </c>
      <c r="I20" t="s">
        <v>3756</v>
      </c>
    </row>
    <row r="21" spans="1:9">
      <c r="A21" s="92" t="s">
        <v>4281</v>
      </c>
      <c r="B21" t="s">
        <v>1897</v>
      </c>
      <c r="C21" t="s">
        <v>2255</v>
      </c>
      <c r="D21" t="s">
        <v>2249</v>
      </c>
      <c r="E21" t="s">
        <v>2254</v>
      </c>
      <c r="G21" t="s">
        <v>4284</v>
      </c>
      <c r="H21" t="s">
        <v>2292</v>
      </c>
      <c r="I21" t="s">
        <v>3756</v>
      </c>
    </row>
    <row r="22" spans="1:9">
      <c r="A22" s="92" t="s">
        <v>4281</v>
      </c>
      <c r="B22" t="s">
        <v>1897</v>
      </c>
      <c r="C22" t="s">
        <v>2256</v>
      </c>
      <c r="D22" t="s">
        <v>2257</v>
      </c>
      <c r="E22" t="s">
        <v>2254</v>
      </c>
      <c r="G22" t="s">
        <v>4284</v>
      </c>
      <c r="H22" t="s">
        <v>2292</v>
      </c>
      <c r="I22" t="s">
        <v>3756</v>
      </c>
    </row>
    <row r="23" spans="1:9">
      <c r="A23" s="92" t="s">
        <v>4281</v>
      </c>
      <c r="B23" t="s">
        <v>1897</v>
      </c>
      <c r="C23" t="s">
        <v>2258</v>
      </c>
      <c r="E23" t="s">
        <v>2254</v>
      </c>
      <c r="G23" t="s">
        <v>4284</v>
      </c>
      <c r="H23" t="s">
        <v>2292</v>
      </c>
      <c r="I23" t="s">
        <v>3756</v>
      </c>
    </row>
    <row r="24" spans="1:9">
      <c r="A24" s="92" t="s">
        <v>4281</v>
      </c>
      <c r="B24" t="s">
        <v>1897</v>
      </c>
      <c r="C24" t="s">
        <v>2259</v>
      </c>
      <c r="E24" t="s">
        <v>2254</v>
      </c>
      <c r="G24" t="s">
        <v>4284</v>
      </c>
      <c r="H24" t="s">
        <v>2292</v>
      </c>
      <c r="I24" t="s">
        <v>3756</v>
      </c>
    </row>
    <row r="25" spans="1:9">
      <c r="A25" s="92" t="s">
        <v>4281</v>
      </c>
      <c r="B25" t="s">
        <v>1897</v>
      </c>
      <c r="C25" t="s">
        <v>2260</v>
      </c>
      <c r="E25" t="s">
        <v>2254</v>
      </c>
      <c r="G25" t="s">
        <v>4284</v>
      </c>
      <c r="H25" t="s">
        <v>2292</v>
      </c>
      <c r="I25" t="s">
        <v>3756</v>
      </c>
    </row>
    <row r="26" spans="1:9">
      <c r="A26" s="92" t="s">
        <v>4281</v>
      </c>
      <c r="B26" t="s">
        <v>1902</v>
      </c>
      <c r="C26" t="s">
        <v>2294</v>
      </c>
      <c r="E26" t="s">
        <v>2295</v>
      </c>
      <c r="G26" t="s">
        <v>4282</v>
      </c>
      <c r="H26" t="s">
        <v>552</v>
      </c>
      <c r="I26" t="s">
        <v>3760</v>
      </c>
    </row>
    <row r="27" spans="1:9">
      <c r="A27" s="92" t="s">
        <v>4281</v>
      </c>
      <c r="B27" t="s">
        <v>1905</v>
      </c>
      <c r="C27" t="s">
        <v>2297</v>
      </c>
      <c r="D27" t="s">
        <v>2298</v>
      </c>
      <c r="E27" t="s">
        <v>552</v>
      </c>
      <c r="F27" t="s">
        <v>2299</v>
      </c>
      <c r="G27" t="s">
        <v>4282</v>
      </c>
      <c r="H27" t="s">
        <v>552</v>
      </c>
      <c r="I27" t="s">
        <v>3768</v>
      </c>
    </row>
    <row r="28" spans="1:9">
      <c r="A28" s="92" t="s">
        <v>4281</v>
      </c>
      <c r="B28" t="s">
        <v>1905</v>
      </c>
      <c r="C28" t="s">
        <v>2300</v>
      </c>
      <c r="D28" t="s">
        <v>2301</v>
      </c>
      <c r="E28" t="s">
        <v>2302</v>
      </c>
      <c r="F28" t="s">
        <v>2303</v>
      </c>
      <c r="G28" t="s">
        <v>4282</v>
      </c>
      <c r="H28" t="s">
        <v>552</v>
      </c>
      <c r="I28" t="s">
        <v>3768</v>
      </c>
    </row>
    <row r="29" spans="1:9">
      <c r="A29" s="92" t="s">
        <v>4281</v>
      </c>
      <c r="B29" t="s">
        <v>1912</v>
      </c>
      <c r="C29" t="s">
        <v>2305</v>
      </c>
      <c r="E29" t="s">
        <v>552</v>
      </c>
      <c r="G29" t="s">
        <v>4282</v>
      </c>
      <c r="H29" t="s">
        <v>552</v>
      </c>
      <c r="I29" t="s">
        <v>3776</v>
      </c>
    </row>
    <row r="30" spans="1:9">
      <c r="A30" s="92" t="s">
        <v>4281</v>
      </c>
      <c r="B30" t="s">
        <v>1914</v>
      </c>
      <c r="C30" t="s">
        <v>2274</v>
      </c>
      <c r="E30" t="s">
        <v>2254</v>
      </c>
      <c r="G30" t="s">
        <v>4284</v>
      </c>
      <c r="H30" t="s">
        <v>2292</v>
      </c>
      <c r="I30" t="s">
        <v>3780</v>
      </c>
    </row>
    <row r="31" spans="1:9">
      <c r="A31" s="92" t="s">
        <v>4285</v>
      </c>
      <c r="B31" t="s">
        <v>1888</v>
      </c>
      <c r="C31" t="s">
        <v>2241</v>
      </c>
      <c r="D31" t="s">
        <v>2242</v>
      </c>
      <c r="E31" t="s">
        <v>2243</v>
      </c>
      <c r="F31" t="s">
        <v>2246</v>
      </c>
      <c r="G31" t="s">
        <v>4286</v>
      </c>
      <c r="H31" t="s">
        <v>2245</v>
      </c>
      <c r="I31" t="s">
        <v>3740</v>
      </c>
    </row>
    <row r="32" spans="1:9">
      <c r="A32" s="92" t="s">
        <v>4285</v>
      </c>
      <c r="B32" t="s">
        <v>1888</v>
      </c>
      <c r="C32" t="s">
        <v>2276</v>
      </c>
      <c r="D32" t="s">
        <v>2277</v>
      </c>
      <c r="E32" t="s">
        <v>1565</v>
      </c>
      <c r="F32" t="s">
        <v>2279</v>
      </c>
      <c r="G32" t="s">
        <v>4287</v>
      </c>
      <c r="H32" t="s">
        <v>108</v>
      </c>
      <c r="I32" t="s">
        <v>3740</v>
      </c>
    </row>
    <row r="33" spans="1:9">
      <c r="A33" s="92" t="s">
        <v>4285</v>
      </c>
      <c r="B33" t="s">
        <v>1888</v>
      </c>
      <c r="C33" t="s">
        <v>2309</v>
      </c>
      <c r="E33" t="s">
        <v>2310</v>
      </c>
      <c r="G33" t="s">
        <v>4287</v>
      </c>
      <c r="H33" t="s">
        <v>2311</v>
      </c>
      <c r="I33" t="s">
        <v>3740</v>
      </c>
    </row>
    <row r="34" spans="1:9">
      <c r="A34" s="92" t="s">
        <v>4285</v>
      </c>
      <c r="B34" t="s">
        <v>1888</v>
      </c>
      <c r="C34" t="s">
        <v>2312</v>
      </c>
      <c r="D34" t="s">
        <v>2242</v>
      </c>
      <c r="E34" t="s">
        <v>108</v>
      </c>
      <c r="G34" t="s">
        <v>4287</v>
      </c>
      <c r="H34" t="s">
        <v>108</v>
      </c>
      <c r="I34" t="s">
        <v>3740</v>
      </c>
    </row>
    <row r="35" spans="1:9">
      <c r="A35" s="92" t="s">
        <v>4285</v>
      </c>
      <c r="B35" t="s">
        <v>1888</v>
      </c>
      <c r="C35" t="s">
        <v>2313</v>
      </c>
      <c r="D35" t="s">
        <v>2314</v>
      </c>
      <c r="E35" t="s">
        <v>2315</v>
      </c>
      <c r="F35" t="s">
        <v>2316</v>
      </c>
      <c r="G35" t="s">
        <v>4287</v>
      </c>
      <c r="H35" t="s">
        <v>2315</v>
      </c>
      <c r="I35" t="s">
        <v>3740</v>
      </c>
    </row>
    <row r="36" spans="1:9">
      <c r="A36" s="92" t="s">
        <v>4285</v>
      </c>
      <c r="B36" t="s">
        <v>1888</v>
      </c>
      <c r="C36" t="s">
        <v>2317</v>
      </c>
      <c r="E36" t="s">
        <v>108</v>
      </c>
      <c r="G36" t="s">
        <v>4287</v>
      </c>
      <c r="H36" t="s">
        <v>108</v>
      </c>
      <c r="I36" t="s">
        <v>3740</v>
      </c>
    </row>
    <row r="37" spans="1:9">
      <c r="A37" s="92" t="s">
        <v>4285</v>
      </c>
      <c r="B37" t="s">
        <v>1889</v>
      </c>
      <c r="C37" t="s">
        <v>2319</v>
      </c>
      <c r="D37" t="s">
        <v>2249</v>
      </c>
      <c r="E37" t="s">
        <v>108</v>
      </c>
      <c r="G37" t="s">
        <v>4287</v>
      </c>
      <c r="H37" t="s">
        <v>108</v>
      </c>
      <c r="I37" t="s">
        <v>3744</v>
      </c>
    </row>
    <row r="38" spans="1:9">
      <c r="A38" s="92" t="s">
        <v>4285</v>
      </c>
      <c r="B38" t="s">
        <v>1889</v>
      </c>
      <c r="C38" t="s">
        <v>2320</v>
      </c>
      <c r="D38" t="s">
        <v>2321</v>
      </c>
      <c r="E38" t="s">
        <v>108</v>
      </c>
      <c r="F38" t="s">
        <v>2322</v>
      </c>
      <c r="G38" t="s">
        <v>4287</v>
      </c>
      <c r="H38" t="s">
        <v>108</v>
      </c>
      <c r="I38" t="s">
        <v>3744</v>
      </c>
    </row>
    <row r="39" spans="1:9">
      <c r="A39" s="92" t="s">
        <v>4285</v>
      </c>
      <c r="B39" t="s">
        <v>1889</v>
      </c>
      <c r="C39" t="s">
        <v>2323</v>
      </c>
      <c r="D39" t="s">
        <v>2321</v>
      </c>
      <c r="E39" t="s">
        <v>108</v>
      </c>
      <c r="G39" t="s">
        <v>4287</v>
      </c>
      <c r="H39" t="s">
        <v>108</v>
      </c>
      <c r="I39" t="s">
        <v>3744</v>
      </c>
    </row>
    <row r="40" spans="1:9">
      <c r="A40" s="92" t="s">
        <v>4285</v>
      </c>
      <c r="B40" t="s">
        <v>1889</v>
      </c>
      <c r="C40" t="s">
        <v>2324</v>
      </c>
      <c r="D40" t="s">
        <v>2325</v>
      </c>
      <c r="E40" t="s">
        <v>108</v>
      </c>
      <c r="F40" t="s">
        <v>2326</v>
      </c>
      <c r="G40" t="s">
        <v>4287</v>
      </c>
      <c r="H40" t="s">
        <v>108</v>
      </c>
      <c r="I40" t="s">
        <v>3744</v>
      </c>
    </row>
    <row r="41" spans="1:9">
      <c r="A41" s="92" t="s">
        <v>4285</v>
      </c>
      <c r="B41" t="s">
        <v>3515</v>
      </c>
      <c r="C41" t="s">
        <v>2328</v>
      </c>
      <c r="D41" t="s">
        <v>2282</v>
      </c>
      <c r="E41" t="s">
        <v>108</v>
      </c>
      <c r="G41" t="s">
        <v>4287</v>
      </c>
      <c r="H41" t="s">
        <v>108</v>
      </c>
      <c r="I41" t="s">
        <v>3748</v>
      </c>
    </row>
    <row r="42" spans="1:9">
      <c r="A42" s="92" t="s">
        <v>4285</v>
      </c>
      <c r="B42" t="s">
        <v>3515</v>
      </c>
      <c r="C42" t="s">
        <v>2281</v>
      </c>
      <c r="D42" t="s">
        <v>2282</v>
      </c>
      <c r="E42" t="s">
        <v>2283</v>
      </c>
      <c r="G42" t="s">
        <v>4287</v>
      </c>
      <c r="H42" t="s">
        <v>2329</v>
      </c>
      <c r="I42" t="s">
        <v>3748</v>
      </c>
    </row>
    <row r="43" spans="1:9">
      <c r="A43" s="92" t="s">
        <v>4285</v>
      </c>
      <c r="B43" t="s">
        <v>3515</v>
      </c>
      <c r="C43" t="s">
        <v>2330</v>
      </c>
      <c r="D43" t="s">
        <v>2282</v>
      </c>
      <c r="E43" t="s">
        <v>2331</v>
      </c>
      <c r="F43" t="s">
        <v>2332</v>
      </c>
      <c r="G43" t="s">
        <v>4287</v>
      </c>
      <c r="H43" t="s">
        <v>108</v>
      </c>
      <c r="I43" t="s">
        <v>3748</v>
      </c>
    </row>
    <row r="44" spans="1:9">
      <c r="A44" s="92" t="s">
        <v>4285</v>
      </c>
      <c r="B44" t="s">
        <v>3515</v>
      </c>
      <c r="C44" t="s">
        <v>2333</v>
      </c>
      <c r="D44" t="s">
        <v>2282</v>
      </c>
      <c r="E44" t="s">
        <v>108</v>
      </c>
      <c r="G44" t="s">
        <v>4287</v>
      </c>
      <c r="H44" t="s">
        <v>108</v>
      </c>
      <c r="I44" t="s">
        <v>3748</v>
      </c>
    </row>
    <row r="45" spans="1:9">
      <c r="A45" s="92" t="s">
        <v>4285</v>
      </c>
      <c r="B45" t="s">
        <v>1895</v>
      </c>
      <c r="C45" t="s">
        <v>2335</v>
      </c>
      <c r="D45" t="s">
        <v>2336</v>
      </c>
      <c r="E45" t="s">
        <v>2337</v>
      </c>
      <c r="G45" t="s">
        <v>4287</v>
      </c>
      <c r="H45" t="s">
        <v>108</v>
      </c>
      <c r="I45" t="s">
        <v>3752</v>
      </c>
    </row>
    <row r="46" spans="1:9">
      <c r="A46" s="92" t="s">
        <v>4285</v>
      </c>
      <c r="B46" t="s">
        <v>1895</v>
      </c>
      <c r="C46" t="s">
        <v>2338</v>
      </c>
      <c r="D46" t="s">
        <v>2336</v>
      </c>
      <c r="E46" t="s">
        <v>2339</v>
      </c>
      <c r="G46" t="s">
        <v>4287</v>
      </c>
      <c r="H46" t="s">
        <v>108</v>
      </c>
      <c r="I46" t="s">
        <v>3752</v>
      </c>
    </row>
    <row r="47" spans="1:9">
      <c r="A47" s="92" t="s">
        <v>4285</v>
      </c>
      <c r="B47" t="s">
        <v>1895</v>
      </c>
      <c r="C47" t="s">
        <v>2340</v>
      </c>
      <c r="D47" t="s">
        <v>2341</v>
      </c>
      <c r="E47" t="s">
        <v>108</v>
      </c>
      <c r="F47" t="s">
        <v>2342</v>
      </c>
      <c r="G47" t="s">
        <v>4287</v>
      </c>
      <c r="H47" t="s">
        <v>108</v>
      </c>
      <c r="I47" t="s">
        <v>3752</v>
      </c>
    </row>
    <row r="48" spans="1:9">
      <c r="A48" s="92" t="s">
        <v>4285</v>
      </c>
      <c r="B48" t="s">
        <v>1895</v>
      </c>
      <c r="C48" t="s">
        <v>2343</v>
      </c>
      <c r="D48" t="s">
        <v>2341</v>
      </c>
      <c r="E48" t="s">
        <v>108</v>
      </c>
      <c r="G48" t="s">
        <v>4287</v>
      </c>
      <c r="H48" t="s">
        <v>108</v>
      </c>
      <c r="I48" t="s">
        <v>3752</v>
      </c>
    </row>
    <row r="49" spans="1:9">
      <c r="A49" s="92" t="s">
        <v>4285</v>
      </c>
      <c r="B49" t="s">
        <v>1897</v>
      </c>
      <c r="C49" t="s">
        <v>2345</v>
      </c>
      <c r="D49" t="s">
        <v>2346</v>
      </c>
      <c r="E49" t="s">
        <v>108</v>
      </c>
      <c r="F49" t="s">
        <v>2347</v>
      </c>
      <c r="G49" t="s">
        <v>4287</v>
      </c>
      <c r="H49" t="s">
        <v>108</v>
      </c>
      <c r="I49" t="s">
        <v>3756</v>
      </c>
    </row>
    <row r="50" spans="1:9">
      <c r="A50" s="92" t="s">
        <v>4285</v>
      </c>
      <c r="B50" t="s">
        <v>1897</v>
      </c>
      <c r="C50" t="s">
        <v>2248</v>
      </c>
      <c r="D50" t="s">
        <v>2249</v>
      </c>
      <c r="E50" t="s">
        <v>2250</v>
      </c>
      <c r="G50" t="s">
        <v>4286</v>
      </c>
      <c r="H50" t="s">
        <v>2348</v>
      </c>
      <c r="I50" t="s">
        <v>3756</v>
      </c>
    </row>
    <row r="51" spans="1:9">
      <c r="A51" s="92" t="s">
        <v>4285</v>
      </c>
      <c r="B51" t="s">
        <v>1897</v>
      </c>
      <c r="C51" t="s">
        <v>2253</v>
      </c>
      <c r="D51" t="s">
        <v>2249</v>
      </c>
      <c r="E51" t="s">
        <v>2254</v>
      </c>
      <c r="G51" t="s">
        <v>4286</v>
      </c>
      <c r="H51" t="s">
        <v>2348</v>
      </c>
      <c r="I51" t="s">
        <v>3756</v>
      </c>
    </row>
    <row r="52" spans="1:9">
      <c r="A52" s="92" t="s">
        <v>4285</v>
      </c>
      <c r="B52" t="s">
        <v>1897</v>
      </c>
      <c r="C52" t="s">
        <v>2255</v>
      </c>
      <c r="D52" t="s">
        <v>2249</v>
      </c>
      <c r="E52" t="s">
        <v>2254</v>
      </c>
      <c r="G52" t="s">
        <v>4286</v>
      </c>
      <c r="H52" t="s">
        <v>2348</v>
      </c>
      <c r="I52" t="s">
        <v>3756</v>
      </c>
    </row>
    <row r="53" spans="1:9">
      <c r="A53" s="92" t="s">
        <v>4285</v>
      </c>
      <c r="B53" t="s">
        <v>1897</v>
      </c>
      <c r="C53" t="s">
        <v>2256</v>
      </c>
      <c r="D53" t="s">
        <v>2257</v>
      </c>
      <c r="E53" t="s">
        <v>2254</v>
      </c>
      <c r="G53" t="s">
        <v>4286</v>
      </c>
      <c r="H53" t="s">
        <v>2348</v>
      </c>
      <c r="I53" t="s">
        <v>3756</v>
      </c>
    </row>
    <row r="54" spans="1:9">
      <c r="A54" s="92" t="s">
        <v>4285</v>
      </c>
      <c r="B54" t="s">
        <v>1897</v>
      </c>
      <c r="C54" t="s">
        <v>2258</v>
      </c>
      <c r="E54" t="s">
        <v>2254</v>
      </c>
      <c r="G54" t="s">
        <v>4286</v>
      </c>
      <c r="H54" t="s">
        <v>2348</v>
      </c>
      <c r="I54" t="s">
        <v>3756</v>
      </c>
    </row>
    <row r="55" spans="1:9">
      <c r="A55" s="92" t="s">
        <v>4285</v>
      </c>
      <c r="B55" t="s">
        <v>1897</v>
      </c>
      <c r="C55" t="s">
        <v>2259</v>
      </c>
      <c r="E55" t="s">
        <v>2254</v>
      </c>
      <c r="G55" t="s">
        <v>4286</v>
      </c>
      <c r="H55" t="s">
        <v>2348</v>
      </c>
      <c r="I55" t="s">
        <v>3756</v>
      </c>
    </row>
    <row r="56" spans="1:9">
      <c r="A56" s="92" t="s">
        <v>4285</v>
      </c>
      <c r="B56" t="s">
        <v>1897</v>
      </c>
      <c r="C56" t="s">
        <v>2260</v>
      </c>
      <c r="E56" t="s">
        <v>2254</v>
      </c>
      <c r="G56" t="s">
        <v>4286</v>
      </c>
      <c r="H56" t="s">
        <v>2348</v>
      </c>
      <c r="I56" t="s">
        <v>3756</v>
      </c>
    </row>
    <row r="57" spans="1:9">
      <c r="A57" s="92" t="s">
        <v>4285</v>
      </c>
      <c r="B57" t="s">
        <v>1899</v>
      </c>
      <c r="C57" t="s">
        <v>2350</v>
      </c>
      <c r="D57" t="s">
        <v>2351</v>
      </c>
      <c r="E57" t="s">
        <v>108</v>
      </c>
      <c r="G57" t="s">
        <v>4287</v>
      </c>
      <c r="H57" t="s">
        <v>108</v>
      </c>
      <c r="I57" t="s">
        <v>3758</v>
      </c>
    </row>
    <row r="58" spans="1:9">
      <c r="A58" s="92" t="s">
        <v>4285</v>
      </c>
      <c r="B58" t="s">
        <v>1899</v>
      </c>
      <c r="C58" t="s">
        <v>2352</v>
      </c>
      <c r="E58" t="s">
        <v>2337</v>
      </c>
      <c r="G58" t="s">
        <v>4287</v>
      </c>
      <c r="H58" t="s">
        <v>108</v>
      </c>
      <c r="I58" t="s">
        <v>3758</v>
      </c>
    </row>
    <row r="59" spans="1:9">
      <c r="A59" s="92" t="s">
        <v>4285</v>
      </c>
      <c r="B59" t="s">
        <v>1899</v>
      </c>
      <c r="C59" t="s">
        <v>2353</v>
      </c>
      <c r="D59" t="s">
        <v>2351</v>
      </c>
      <c r="E59" t="s">
        <v>2354</v>
      </c>
      <c r="F59" t="s">
        <v>2355</v>
      </c>
      <c r="G59" t="s">
        <v>4287</v>
      </c>
      <c r="H59" t="s">
        <v>108</v>
      </c>
      <c r="I59" t="s">
        <v>3758</v>
      </c>
    </row>
    <row r="60" spans="1:9">
      <c r="A60" s="92" t="s">
        <v>4285</v>
      </c>
      <c r="B60" t="s">
        <v>1899</v>
      </c>
      <c r="C60" t="s">
        <v>2356</v>
      </c>
      <c r="D60" t="s">
        <v>2351</v>
      </c>
      <c r="E60" t="s">
        <v>2315</v>
      </c>
      <c r="G60" t="s">
        <v>4287</v>
      </c>
      <c r="H60" t="s">
        <v>2315</v>
      </c>
      <c r="I60" t="s">
        <v>3758</v>
      </c>
    </row>
    <row r="61" spans="1:9">
      <c r="A61" s="92" t="s">
        <v>4285</v>
      </c>
      <c r="B61" t="s">
        <v>1899</v>
      </c>
      <c r="C61" t="s">
        <v>2357</v>
      </c>
      <c r="D61" t="s">
        <v>2358</v>
      </c>
      <c r="E61" t="s">
        <v>108</v>
      </c>
      <c r="G61" t="s">
        <v>4287</v>
      </c>
      <c r="H61" t="s">
        <v>108</v>
      </c>
      <c r="I61" t="s">
        <v>3758</v>
      </c>
    </row>
    <row r="62" spans="1:9">
      <c r="A62" s="92" t="s">
        <v>4285</v>
      </c>
      <c r="B62" t="s">
        <v>1902</v>
      </c>
      <c r="C62" t="s">
        <v>2360</v>
      </c>
      <c r="D62" t="s">
        <v>2351</v>
      </c>
      <c r="E62" t="s">
        <v>2361</v>
      </c>
      <c r="G62" t="s">
        <v>4288</v>
      </c>
      <c r="H62" t="s">
        <v>2071</v>
      </c>
      <c r="I62" t="s">
        <v>3760</v>
      </c>
    </row>
    <row r="63" spans="1:9">
      <c r="A63" s="92" t="s">
        <v>4285</v>
      </c>
      <c r="B63" t="s">
        <v>1902</v>
      </c>
      <c r="C63" t="s">
        <v>2362</v>
      </c>
      <c r="D63" t="s">
        <v>2257</v>
      </c>
      <c r="E63" t="s">
        <v>2361</v>
      </c>
      <c r="G63" t="s">
        <v>4288</v>
      </c>
      <c r="H63" t="s">
        <v>2071</v>
      </c>
      <c r="I63" t="s">
        <v>3760</v>
      </c>
    </row>
    <row r="64" spans="1:9">
      <c r="A64" s="92" t="s">
        <v>4285</v>
      </c>
      <c r="B64" t="s">
        <v>1902</v>
      </c>
      <c r="C64" t="s">
        <v>2363</v>
      </c>
      <c r="E64" t="s">
        <v>2315</v>
      </c>
      <c r="G64" t="s">
        <v>4287</v>
      </c>
      <c r="H64" t="s">
        <v>2315</v>
      </c>
      <c r="I64" t="s">
        <v>3760</v>
      </c>
    </row>
    <row r="65" spans="1:9">
      <c r="A65" s="92" t="s">
        <v>4285</v>
      </c>
      <c r="B65" t="s">
        <v>1902</v>
      </c>
      <c r="C65" t="s">
        <v>2294</v>
      </c>
      <c r="E65" t="s">
        <v>2295</v>
      </c>
      <c r="G65" t="s">
        <v>4287</v>
      </c>
      <c r="H65" t="s">
        <v>2315</v>
      </c>
      <c r="I65" t="s">
        <v>3760</v>
      </c>
    </row>
    <row r="66" spans="1:9">
      <c r="A66" s="92" t="s">
        <v>4285</v>
      </c>
      <c r="B66" t="s">
        <v>1902</v>
      </c>
      <c r="C66" t="s">
        <v>2364</v>
      </c>
      <c r="D66" t="s">
        <v>2351</v>
      </c>
      <c r="E66" t="s">
        <v>108</v>
      </c>
      <c r="G66" t="s">
        <v>4287</v>
      </c>
      <c r="H66" t="s">
        <v>108</v>
      </c>
      <c r="I66" t="s">
        <v>3760</v>
      </c>
    </row>
    <row r="67" spans="1:9">
      <c r="A67" s="92" t="s">
        <v>4285</v>
      </c>
      <c r="B67" t="s">
        <v>1902</v>
      </c>
      <c r="C67" t="s">
        <v>2365</v>
      </c>
      <c r="D67" t="s">
        <v>2351</v>
      </c>
      <c r="E67" t="s">
        <v>108</v>
      </c>
      <c r="G67" t="s">
        <v>4287</v>
      </c>
      <c r="H67" t="s">
        <v>108</v>
      </c>
      <c r="I67" t="s">
        <v>3760</v>
      </c>
    </row>
    <row r="68" spans="1:9">
      <c r="A68" s="92" t="s">
        <v>4285</v>
      </c>
      <c r="B68" t="s">
        <v>1902</v>
      </c>
      <c r="C68" t="s">
        <v>2366</v>
      </c>
      <c r="D68" t="s">
        <v>2257</v>
      </c>
      <c r="E68" t="s">
        <v>108</v>
      </c>
      <c r="G68" t="s">
        <v>4287</v>
      </c>
      <c r="H68" t="s">
        <v>108</v>
      </c>
      <c r="I68" t="s">
        <v>3760</v>
      </c>
    </row>
    <row r="69" spans="1:9">
      <c r="A69" s="92" t="s">
        <v>4285</v>
      </c>
      <c r="B69" t="s">
        <v>1902</v>
      </c>
      <c r="C69" t="s">
        <v>2367</v>
      </c>
      <c r="D69" t="s">
        <v>2368</v>
      </c>
      <c r="E69" t="s">
        <v>2315</v>
      </c>
      <c r="G69" t="s">
        <v>4287</v>
      </c>
      <c r="H69" t="s">
        <v>2315</v>
      </c>
      <c r="I69" t="s">
        <v>3760</v>
      </c>
    </row>
    <row r="70" spans="1:9">
      <c r="A70" s="92" t="s">
        <v>4285</v>
      </c>
      <c r="B70" t="s">
        <v>1902</v>
      </c>
      <c r="C70" t="s">
        <v>2369</v>
      </c>
      <c r="D70" t="s">
        <v>2368</v>
      </c>
      <c r="E70" t="s">
        <v>2315</v>
      </c>
      <c r="G70" t="s">
        <v>4287</v>
      </c>
      <c r="H70" t="s">
        <v>2315</v>
      </c>
      <c r="I70" t="s">
        <v>3760</v>
      </c>
    </row>
    <row r="71" spans="1:9">
      <c r="A71" s="92" t="s">
        <v>4285</v>
      </c>
      <c r="B71" t="s">
        <v>1902</v>
      </c>
      <c r="C71" t="s">
        <v>2370</v>
      </c>
      <c r="D71" t="s">
        <v>2368</v>
      </c>
      <c r="E71" t="s">
        <v>108</v>
      </c>
      <c r="F71" t="s">
        <v>2371</v>
      </c>
      <c r="G71" t="s">
        <v>4287</v>
      </c>
      <c r="H71" t="s">
        <v>108</v>
      </c>
      <c r="I71" t="s">
        <v>3760</v>
      </c>
    </row>
    <row r="72" spans="1:9">
      <c r="A72" s="92" t="s">
        <v>4285</v>
      </c>
      <c r="B72" t="s">
        <v>1903</v>
      </c>
      <c r="C72" t="s">
        <v>2373</v>
      </c>
      <c r="D72" t="s">
        <v>2374</v>
      </c>
      <c r="E72" t="s">
        <v>108</v>
      </c>
      <c r="G72" t="s">
        <v>4287</v>
      </c>
      <c r="H72" t="s">
        <v>108</v>
      </c>
      <c r="I72" t="s">
        <v>3764</v>
      </c>
    </row>
    <row r="73" spans="1:9">
      <c r="A73" s="92" t="s">
        <v>4285</v>
      </c>
      <c r="B73" t="s">
        <v>1903</v>
      </c>
      <c r="C73" t="s">
        <v>2375</v>
      </c>
      <c r="D73" t="s">
        <v>2376</v>
      </c>
      <c r="E73" t="s">
        <v>108</v>
      </c>
      <c r="G73" t="s">
        <v>4287</v>
      </c>
      <c r="H73" t="s">
        <v>108</v>
      </c>
      <c r="I73" t="s">
        <v>3764</v>
      </c>
    </row>
    <row r="74" spans="1:9">
      <c r="A74" s="92" t="s">
        <v>4285</v>
      </c>
      <c r="B74" t="s">
        <v>1903</v>
      </c>
      <c r="C74" t="s">
        <v>2377</v>
      </c>
      <c r="D74" t="s">
        <v>2376</v>
      </c>
      <c r="E74" t="s">
        <v>108</v>
      </c>
      <c r="G74" t="s">
        <v>4287</v>
      </c>
      <c r="H74" t="s">
        <v>108</v>
      </c>
      <c r="I74" t="s">
        <v>3764</v>
      </c>
    </row>
    <row r="75" spans="1:9">
      <c r="A75" s="92" t="s">
        <v>4285</v>
      </c>
      <c r="B75" t="s">
        <v>1905</v>
      </c>
      <c r="C75" t="s">
        <v>2262</v>
      </c>
      <c r="D75" t="s">
        <v>2263</v>
      </c>
      <c r="E75" t="s">
        <v>2243</v>
      </c>
      <c r="F75" t="s">
        <v>2264</v>
      </c>
      <c r="G75" t="s">
        <v>4286</v>
      </c>
      <c r="H75" t="s">
        <v>2245</v>
      </c>
      <c r="I75" t="s">
        <v>3768</v>
      </c>
    </row>
    <row r="76" spans="1:9">
      <c r="A76" s="92" t="s">
        <v>4285</v>
      </c>
      <c r="B76" t="s">
        <v>1905</v>
      </c>
      <c r="C76" t="s">
        <v>2265</v>
      </c>
      <c r="D76" t="s">
        <v>2266</v>
      </c>
      <c r="E76" t="s">
        <v>2243</v>
      </c>
      <c r="F76" t="s">
        <v>2267</v>
      </c>
      <c r="G76" t="s">
        <v>4286</v>
      </c>
      <c r="H76" t="s">
        <v>2245</v>
      </c>
      <c r="I76" t="s">
        <v>3768</v>
      </c>
    </row>
    <row r="77" spans="1:9">
      <c r="A77" s="92" t="s">
        <v>4285</v>
      </c>
      <c r="B77" t="s">
        <v>1905</v>
      </c>
      <c r="C77" t="s">
        <v>2379</v>
      </c>
      <c r="D77" t="s">
        <v>2263</v>
      </c>
      <c r="E77" t="s">
        <v>2315</v>
      </c>
      <c r="F77" t="s">
        <v>2380</v>
      </c>
      <c r="G77" t="s">
        <v>4287</v>
      </c>
      <c r="H77" t="s">
        <v>2315</v>
      </c>
      <c r="I77" t="s">
        <v>3768</v>
      </c>
    </row>
    <row r="78" spans="1:9">
      <c r="A78" s="92" t="s">
        <v>4285</v>
      </c>
      <c r="B78" t="s">
        <v>1905</v>
      </c>
      <c r="C78" t="s">
        <v>2381</v>
      </c>
      <c r="D78" t="s">
        <v>2301</v>
      </c>
      <c r="E78" t="s">
        <v>108</v>
      </c>
      <c r="F78" t="s">
        <v>2382</v>
      </c>
      <c r="G78" t="s">
        <v>4287</v>
      </c>
      <c r="H78" t="s">
        <v>108</v>
      </c>
      <c r="I78" t="s">
        <v>3768</v>
      </c>
    </row>
    <row r="79" spans="1:9">
      <c r="A79" s="92" t="s">
        <v>4285</v>
      </c>
      <c r="B79" t="s">
        <v>1905</v>
      </c>
      <c r="C79" t="s">
        <v>2383</v>
      </c>
      <c r="D79" t="s">
        <v>2298</v>
      </c>
      <c r="E79" t="s">
        <v>108</v>
      </c>
      <c r="F79" t="s">
        <v>2384</v>
      </c>
      <c r="G79" t="s">
        <v>4287</v>
      </c>
      <c r="H79" t="s">
        <v>108</v>
      </c>
      <c r="I79" t="s">
        <v>3768</v>
      </c>
    </row>
    <row r="80" spans="1:9">
      <c r="A80" s="92" t="s">
        <v>4285</v>
      </c>
      <c r="B80" t="s">
        <v>1905</v>
      </c>
      <c r="C80" t="s">
        <v>2385</v>
      </c>
      <c r="D80" t="s">
        <v>2386</v>
      </c>
      <c r="E80" t="s">
        <v>108</v>
      </c>
      <c r="F80" t="s">
        <v>2387</v>
      </c>
      <c r="G80" t="s">
        <v>4287</v>
      </c>
      <c r="H80" t="s">
        <v>108</v>
      </c>
      <c r="I80" t="s">
        <v>3768</v>
      </c>
    </row>
    <row r="81" spans="1:9">
      <c r="A81" s="92" t="s">
        <v>4285</v>
      </c>
      <c r="B81" t="s">
        <v>1910</v>
      </c>
      <c r="C81" t="s">
        <v>2389</v>
      </c>
      <c r="D81" t="s">
        <v>2301</v>
      </c>
      <c r="E81" t="s">
        <v>108</v>
      </c>
      <c r="F81" t="s">
        <v>2390</v>
      </c>
      <c r="G81" t="s">
        <v>4287</v>
      </c>
      <c r="H81" t="s">
        <v>108</v>
      </c>
      <c r="I81" t="s">
        <v>3772</v>
      </c>
    </row>
    <row r="82" spans="1:9">
      <c r="A82" s="92" t="s">
        <v>4285</v>
      </c>
      <c r="B82" t="s">
        <v>1910</v>
      </c>
      <c r="C82" t="s">
        <v>2391</v>
      </c>
      <c r="D82" t="s">
        <v>2392</v>
      </c>
      <c r="E82" t="s">
        <v>108</v>
      </c>
      <c r="F82" t="s">
        <v>2393</v>
      </c>
      <c r="G82" t="s">
        <v>4287</v>
      </c>
      <c r="H82" t="s">
        <v>108</v>
      </c>
      <c r="I82" t="s">
        <v>3772</v>
      </c>
    </row>
    <row r="83" spans="1:9">
      <c r="A83" s="92" t="s">
        <v>4285</v>
      </c>
      <c r="B83" t="s">
        <v>1910</v>
      </c>
      <c r="C83" t="s">
        <v>2394</v>
      </c>
      <c r="D83" t="s">
        <v>2395</v>
      </c>
      <c r="E83" t="s">
        <v>108</v>
      </c>
      <c r="F83" t="s">
        <v>2396</v>
      </c>
      <c r="G83" t="s">
        <v>4287</v>
      </c>
      <c r="H83" t="s">
        <v>108</v>
      </c>
      <c r="I83" t="s">
        <v>3772</v>
      </c>
    </row>
    <row r="84" spans="1:9">
      <c r="A84" s="92" t="s">
        <v>4285</v>
      </c>
      <c r="B84" t="s">
        <v>1910</v>
      </c>
      <c r="C84" t="s">
        <v>2397</v>
      </c>
      <c r="D84" t="s">
        <v>2398</v>
      </c>
      <c r="E84" t="s">
        <v>2315</v>
      </c>
      <c r="G84" t="s">
        <v>4287</v>
      </c>
      <c r="H84" t="s">
        <v>2315</v>
      </c>
      <c r="I84" t="s">
        <v>3772</v>
      </c>
    </row>
    <row r="85" spans="1:9">
      <c r="A85" s="92" t="s">
        <v>4285</v>
      </c>
      <c r="B85" t="s">
        <v>1910</v>
      </c>
      <c r="C85" t="s">
        <v>2399</v>
      </c>
      <c r="D85" t="s">
        <v>2398</v>
      </c>
      <c r="E85" t="s">
        <v>2400</v>
      </c>
      <c r="G85" t="s">
        <v>4287</v>
      </c>
      <c r="H85" t="s">
        <v>108</v>
      </c>
      <c r="I85" t="s">
        <v>3772</v>
      </c>
    </row>
    <row r="86" spans="1:9">
      <c r="A86" s="92" t="s">
        <v>4285</v>
      </c>
      <c r="B86" t="s">
        <v>1912</v>
      </c>
      <c r="C86" t="s">
        <v>2402</v>
      </c>
      <c r="D86" t="s">
        <v>2403</v>
      </c>
      <c r="E86" t="s">
        <v>108</v>
      </c>
      <c r="G86" t="s">
        <v>4287</v>
      </c>
      <c r="H86" t="s">
        <v>108</v>
      </c>
      <c r="I86" t="s">
        <v>3776</v>
      </c>
    </row>
    <row r="87" spans="1:9">
      <c r="A87" s="92" t="s">
        <v>4285</v>
      </c>
      <c r="B87" t="s">
        <v>1912</v>
      </c>
      <c r="C87" t="s">
        <v>2404</v>
      </c>
      <c r="D87" t="s">
        <v>2403</v>
      </c>
      <c r="E87" t="s">
        <v>2315</v>
      </c>
      <c r="F87" t="s">
        <v>2405</v>
      </c>
      <c r="G87" t="s">
        <v>4287</v>
      </c>
      <c r="H87" t="s">
        <v>2315</v>
      </c>
      <c r="I87" t="s">
        <v>3776</v>
      </c>
    </row>
    <row r="88" spans="1:9">
      <c r="A88" s="92" t="s">
        <v>4285</v>
      </c>
      <c r="B88" t="s">
        <v>1912</v>
      </c>
      <c r="C88" t="s">
        <v>2406</v>
      </c>
      <c r="D88" t="s">
        <v>2407</v>
      </c>
      <c r="E88" t="s">
        <v>2408</v>
      </c>
      <c r="F88" t="s">
        <v>2410</v>
      </c>
      <c r="G88" t="s">
        <v>4289</v>
      </c>
      <c r="H88" t="s">
        <v>2409</v>
      </c>
      <c r="I88" t="s">
        <v>3776</v>
      </c>
    </row>
    <row r="89" spans="1:9">
      <c r="A89" s="92" t="s">
        <v>4285</v>
      </c>
      <c r="B89" t="s">
        <v>1912</v>
      </c>
      <c r="C89" t="s">
        <v>2411</v>
      </c>
      <c r="D89" t="s">
        <v>2407</v>
      </c>
      <c r="E89" t="s">
        <v>2331</v>
      </c>
      <c r="F89" t="s">
        <v>2412</v>
      </c>
      <c r="G89" t="s">
        <v>4287</v>
      </c>
      <c r="H89" t="s">
        <v>108</v>
      </c>
      <c r="I89" t="s">
        <v>3776</v>
      </c>
    </row>
    <row r="90" spans="1:9">
      <c r="A90" s="92" t="s">
        <v>4285</v>
      </c>
      <c r="B90" t="s">
        <v>1912</v>
      </c>
      <c r="C90" t="s">
        <v>2413</v>
      </c>
      <c r="D90" t="s">
        <v>2403</v>
      </c>
      <c r="E90" t="s">
        <v>2414</v>
      </c>
      <c r="G90" t="s">
        <v>4287</v>
      </c>
      <c r="H90" t="s">
        <v>108</v>
      </c>
      <c r="I90" t="s">
        <v>3776</v>
      </c>
    </row>
    <row r="91" spans="1:9">
      <c r="A91" s="92" t="s">
        <v>4285</v>
      </c>
      <c r="B91" t="s">
        <v>1912</v>
      </c>
      <c r="C91" t="s">
        <v>2415</v>
      </c>
      <c r="D91" t="s">
        <v>2403</v>
      </c>
      <c r="E91" t="s">
        <v>2416</v>
      </c>
      <c r="F91" t="s">
        <v>2417</v>
      </c>
      <c r="G91" t="s">
        <v>4287</v>
      </c>
      <c r="H91" t="s">
        <v>108</v>
      </c>
      <c r="I91" t="s">
        <v>3776</v>
      </c>
    </row>
    <row r="92" spans="1:9">
      <c r="A92" s="92" t="s">
        <v>4285</v>
      </c>
      <c r="B92" t="s">
        <v>1914</v>
      </c>
      <c r="C92" t="s">
        <v>2269</v>
      </c>
      <c r="E92" t="s">
        <v>2243</v>
      </c>
      <c r="F92" t="s">
        <v>2270</v>
      </c>
      <c r="G92" t="s">
        <v>4286</v>
      </c>
      <c r="H92" t="s">
        <v>2245</v>
      </c>
      <c r="I92" t="s">
        <v>3780</v>
      </c>
    </row>
    <row r="93" spans="1:9">
      <c r="A93" s="92" t="s">
        <v>4285</v>
      </c>
      <c r="B93" t="s">
        <v>1914</v>
      </c>
      <c r="C93" t="s">
        <v>2419</v>
      </c>
      <c r="D93" t="s">
        <v>2287</v>
      </c>
      <c r="E93" t="s">
        <v>2420</v>
      </c>
      <c r="F93" t="s">
        <v>2421</v>
      </c>
      <c r="G93" t="s">
        <v>4287</v>
      </c>
      <c r="H93" t="s">
        <v>108</v>
      </c>
      <c r="I93" t="s">
        <v>3780</v>
      </c>
    </row>
    <row r="94" spans="1:9">
      <c r="A94" s="92" t="s">
        <v>4285</v>
      </c>
      <c r="B94" t="s">
        <v>1914</v>
      </c>
      <c r="C94" t="s">
        <v>2422</v>
      </c>
      <c r="D94" t="s">
        <v>2423</v>
      </c>
      <c r="E94" t="s">
        <v>2424</v>
      </c>
      <c r="F94" t="s">
        <v>2425</v>
      </c>
      <c r="G94" t="s">
        <v>4287</v>
      </c>
      <c r="H94" t="s">
        <v>108</v>
      </c>
      <c r="I94" t="s">
        <v>3780</v>
      </c>
    </row>
    <row r="95" spans="1:9">
      <c r="A95" s="92" t="s">
        <v>4285</v>
      </c>
      <c r="B95" t="s">
        <v>1914</v>
      </c>
      <c r="C95" t="s">
        <v>2271</v>
      </c>
      <c r="D95" t="s">
        <v>2272</v>
      </c>
      <c r="E95" t="s">
        <v>2243</v>
      </c>
      <c r="F95" t="s">
        <v>2273</v>
      </c>
      <c r="G95" t="s">
        <v>4286</v>
      </c>
      <c r="H95" t="s">
        <v>2245</v>
      </c>
      <c r="I95" t="s">
        <v>3780</v>
      </c>
    </row>
    <row r="96" spans="1:9">
      <c r="A96" s="92" t="s">
        <v>4285</v>
      </c>
      <c r="B96" t="s">
        <v>1914</v>
      </c>
      <c r="C96" t="s">
        <v>2274</v>
      </c>
      <c r="E96" t="s">
        <v>2254</v>
      </c>
      <c r="G96" t="s">
        <v>4286</v>
      </c>
      <c r="H96" t="s">
        <v>2348</v>
      </c>
      <c r="I96" t="s">
        <v>3780</v>
      </c>
    </row>
    <row r="97" spans="1:9">
      <c r="A97" s="92" t="s">
        <v>4285</v>
      </c>
      <c r="B97" t="s">
        <v>1914</v>
      </c>
      <c r="C97" t="s">
        <v>2426</v>
      </c>
      <c r="D97" t="s">
        <v>2272</v>
      </c>
      <c r="E97" t="s">
        <v>2427</v>
      </c>
      <c r="F97" t="s">
        <v>2428</v>
      </c>
      <c r="G97" t="s">
        <v>4287</v>
      </c>
      <c r="H97" t="s">
        <v>2427</v>
      </c>
      <c r="I97" t="s">
        <v>3780</v>
      </c>
    </row>
    <row r="98" spans="1:9">
      <c r="A98" s="92" t="s">
        <v>4290</v>
      </c>
      <c r="B98" t="s">
        <v>1888</v>
      </c>
      <c r="C98" t="s">
        <v>2276</v>
      </c>
      <c r="D98" t="s">
        <v>2277</v>
      </c>
      <c r="E98" t="s">
        <v>1565</v>
      </c>
      <c r="F98" t="s">
        <v>2279</v>
      </c>
      <c r="G98" t="s">
        <v>4291</v>
      </c>
      <c r="H98" t="s">
        <v>1565</v>
      </c>
      <c r="I98" t="s">
        <v>3740</v>
      </c>
    </row>
    <row r="99" spans="1:9">
      <c r="A99" s="92" t="s">
        <v>4290</v>
      </c>
      <c r="B99" t="s">
        <v>1888</v>
      </c>
      <c r="C99" t="s">
        <v>2309</v>
      </c>
      <c r="E99" t="s">
        <v>2310</v>
      </c>
      <c r="G99" t="s">
        <v>4292</v>
      </c>
      <c r="H99" t="s">
        <v>2311</v>
      </c>
      <c r="I99" t="s">
        <v>3740</v>
      </c>
    </row>
    <row r="100" spans="1:9">
      <c r="A100" s="92" t="s">
        <v>4290</v>
      </c>
      <c r="B100" t="s">
        <v>1888</v>
      </c>
      <c r="C100" t="s">
        <v>2312</v>
      </c>
      <c r="D100" t="s">
        <v>2242</v>
      </c>
      <c r="E100" t="s">
        <v>108</v>
      </c>
      <c r="G100" t="s">
        <v>4292</v>
      </c>
      <c r="H100" t="s">
        <v>108</v>
      </c>
      <c r="I100" t="s">
        <v>3740</v>
      </c>
    </row>
    <row r="101" spans="1:9">
      <c r="A101" s="92" t="s">
        <v>4290</v>
      </c>
      <c r="B101" t="s">
        <v>1888</v>
      </c>
      <c r="C101" t="s">
        <v>2313</v>
      </c>
      <c r="D101" t="s">
        <v>2314</v>
      </c>
      <c r="E101" t="s">
        <v>2315</v>
      </c>
      <c r="F101" t="s">
        <v>2316</v>
      </c>
      <c r="G101" t="s">
        <v>4292</v>
      </c>
      <c r="H101" t="s">
        <v>2315</v>
      </c>
      <c r="I101" t="s">
        <v>3740</v>
      </c>
    </row>
    <row r="102" spans="1:9">
      <c r="A102" s="92" t="s">
        <v>4290</v>
      </c>
      <c r="B102" t="s">
        <v>1888</v>
      </c>
      <c r="C102" t="s">
        <v>2317</v>
      </c>
      <c r="E102" t="s">
        <v>108</v>
      </c>
      <c r="G102" t="s">
        <v>4292</v>
      </c>
      <c r="H102" t="s">
        <v>108</v>
      </c>
      <c r="I102" t="s">
        <v>3740</v>
      </c>
    </row>
    <row r="103" spans="1:9">
      <c r="A103" s="92" t="s">
        <v>4290</v>
      </c>
      <c r="B103" t="s">
        <v>1889</v>
      </c>
      <c r="C103" t="s">
        <v>2319</v>
      </c>
      <c r="D103" t="s">
        <v>2249</v>
      </c>
      <c r="E103" t="s">
        <v>108</v>
      </c>
      <c r="G103" t="s">
        <v>4292</v>
      </c>
      <c r="H103" t="s">
        <v>108</v>
      </c>
      <c r="I103" t="s">
        <v>3744</v>
      </c>
    </row>
    <row r="104" spans="1:9">
      <c r="A104" s="92" t="s">
        <v>4290</v>
      </c>
      <c r="B104" t="s">
        <v>1889</v>
      </c>
      <c r="C104" t="s">
        <v>2320</v>
      </c>
      <c r="D104" t="s">
        <v>2321</v>
      </c>
      <c r="E104" t="s">
        <v>108</v>
      </c>
      <c r="F104" t="s">
        <v>2322</v>
      </c>
      <c r="G104" t="s">
        <v>4292</v>
      </c>
      <c r="H104" t="s">
        <v>108</v>
      </c>
      <c r="I104" t="s">
        <v>3744</v>
      </c>
    </row>
    <row r="105" spans="1:9">
      <c r="A105" s="92" t="s">
        <v>4290</v>
      </c>
      <c r="B105" t="s">
        <v>1889</v>
      </c>
      <c r="C105" t="s">
        <v>2323</v>
      </c>
      <c r="D105" t="s">
        <v>2321</v>
      </c>
      <c r="E105" t="s">
        <v>108</v>
      </c>
      <c r="G105" t="s">
        <v>4292</v>
      </c>
      <c r="H105" t="s">
        <v>108</v>
      </c>
      <c r="I105" t="s">
        <v>3744</v>
      </c>
    </row>
    <row r="106" spans="1:9">
      <c r="A106" s="92" t="s">
        <v>4290</v>
      </c>
      <c r="B106" t="s">
        <v>1889</v>
      </c>
      <c r="C106" t="s">
        <v>2324</v>
      </c>
      <c r="D106" t="s">
        <v>2325</v>
      </c>
      <c r="E106" t="s">
        <v>108</v>
      </c>
      <c r="F106" t="s">
        <v>2326</v>
      </c>
      <c r="G106" t="s">
        <v>4292</v>
      </c>
      <c r="H106" t="s">
        <v>108</v>
      </c>
      <c r="I106" t="s">
        <v>3744</v>
      </c>
    </row>
    <row r="107" spans="1:9">
      <c r="A107" s="92" t="s">
        <v>4290</v>
      </c>
      <c r="B107" t="s">
        <v>3515</v>
      </c>
      <c r="C107" t="s">
        <v>2328</v>
      </c>
      <c r="D107" t="s">
        <v>2282</v>
      </c>
      <c r="E107" t="s">
        <v>108</v>
      </c>
      <c r="G107" t="s">
        <v>4292</v>
      </c>
      <c r="H107" t="s">
        <v>108</v>
      </c>
      <c r="I107" t="s">
        <v>3748</v>
      </c>
    </row>
    <row r="108" spans="1:9">
      <c r="A108" s="92" t="s">
        <v>4290</v>
      </c>
      <c r="B108" t="s">
        <v>3515</v>
      </c>
      <c r="C108" t="s">
        <v>2281</v>
      </c>
      <c r="D108" t="s">
        <v>2282</v>
      </c>
      <c r="E108" t="s">
        <v>2283</v>
      </c>
      <c r="G108" t="s">
        <v>4292</v>
      </c>
      <c r="H108" t="s">
        <v>108</v>
      </c>
      <c r="I108" t="s">
        <v>3748</v>
      </c>
    </row>
    <row r="109" spans="1:9">
      <c r="A109" s="92" t="s">
        <v>4290</v>
      </c>
      <c r="B109" t="s">
        <v>3515</v>
      </c>
      <c r="C109" t="s">
        <v>2330</v>
      </c>
      <c r="D109" t="s">
        <v>2282</v>
      </c>
      <c r="E109" t="s">
        <v>2331</v>
      </c>
      <c r="F109" t="s">
        <v>2332</v>
      </c>
      <c r="G109" t="s">
        <v>4292</v>
      </c>
      <c r="H109" t="s">
        <v>108</v>
      </c>
      <c r="I109" t="s">
        <v>3748</v>
      </c>
    </row>
    <row r="110" spans="1:9">
      <c r="A110" s="92" t="s">
        <v>4290</v>
      </c>
      <c r="B110" t="s">
        <v>3515</v>
      </c>
      <c r="C110" t="s">
        <v>2333</v>
      </c>
      <c r="D110" t="s">
        <v>2282</v>
      </c>
      <c r="E110" t="s">
        <v>108</v>
      </c>
      <c r="G110" t="s">
        <v>4292</v>
      </c>
      <c r="H110" t="s">
        <v>108</v>
      </c>
      <c r="I110" t="s">
        <v>3748</v>
      </c>
    </row>
    <row r="111" spans="1:9">
      <c r="A111" s="92" t="s">
        <v>4290</v>
      </c>
      <c r="B111" t="s">
        <v>1895</v>
      </c>
      <c r="C111" t="s">
        <v>2335</v>
      </c>
      <c r="D111" t="s">
        <v>2336</v>
      </c>
      <c r="E111" t="s">
        <v>2337</v>
      </c>
      <c r="G111" t="s">
        <v>4292</v>
      </c>
      <c r="H111" t="s">
        <v>108</v>
      </c>
      <c r="I111" t="s">
        <v>3752</v>
      </c>
    </row>
    <row r="112" spans="1:9">
      <c r="A112" s="92" t="s">
        <v>4290</v>
      </c>
      <c r="B112" t="s">
        <v>1895</v>
      </c>
      <c r="C112" t="s">
        <v>2289</v>
      </c>
      <c r="E112" t="s">
        <v>552</v>
      </c>
      <c r="F112" t="s">
        <v>2290</v>
      </c>
      <c r="G112" t="s">
        <v>4291</v>
      </c>
      <c r="H112" t="s">
        <v>552</v>
      </c>
      <c r="I112" t="s">
        <v>3752</v>
      </c>
    </row>
    <row r="113" spans="1:9">
      <c r="A113" s="92" t="s">
        <v>4290</v>
      </c>
      <c r="B113" t="s">
        <v>1895</v>
      </c>
      <c r="C113" t="s">
        <v>2338</v>
      </c>
      <c r="D113" t="s">
        <v>2336</v>
      </c>
      <c r="E113" t="s">
        <v>2339</v>
      </c>
      <c r="G113" t="s">
        <v>4292</v>
      </c>
      <c r="H113" t="s">
        <v>108</v>
      </c>
      <c r="I113" t="s">
        <v>3752</v>
      </c>
    </row>
    <row r="114" spans="1:9">
      <c r="A114" s="92" t="s">
        <v>4290</v>
      </c>
      <c r="B114" t="s">
        <v>1895</v>
      </c>
      <c r="C114" t="s">
        <v>2340</v>
      </c>
      <c r="D114" t="s">
        <v>2341</v>
      </c>
      <c r="E114" t="s">
        <v>108</v>
      </c>
      <c r="F114" t="s">
        <v>2342</v>
      </c>
      <c r="G114" t="s">
        <v>4292</v>
      </c>
      <c r="H114" t="s">
        <v>108</v>
      </c>
      <c r="I114" t="s">
        <v>3752</v>
      </c>
    </row>
    <row r="115" spans="1:9">
      <c r="A115" s="92" t="s">
        <v>4290</v>
      </c>
      <c r="B115" t="s">
        <v>1895</v>
      </c>
      <c r="C115" t="s">
        <v>2343</v>
      </c>
      <c r="D115" t="s">
        <v>2341</v>
      </c>
      <c r="E115" t="s">
        <v>108</v>
      </c>
      <c r="G115" t="s">
        <v>4292</v>
      </c>
      <c r="H115" t="s">
        <v>108</v>
      </c>
      <c r="I115" t="s">
        <v>3752</v>
      </c>
    </row>
    <row r="116" spans="1:9">
      <c r="A116" s="92" t="s">
        <v>4290</v>
      </c>
      <c r="B116" t="s">
        <v>1897</v>
      </c>
      <c r="C116" t="s">
        <v>2345</v>
      </c>
      <c r="D116" t="s">
        <v>2346</v>
      </c>
      <c r="E116" t="s">
        <v>108</v>
      </c>
      <c r="F116" t="s">
        <v>2347</v>
      </c>
      <c r="G116" t="s">
        <v>4292</v>
      </c>
      <c r="H116" t="s">
        <v>108</v>
      </c>
      <c r="I116" t="s">
        <v>3756</v>
      </c>
    </row>
    <row r="117" spans="1:9">
      <c r="A117" s="92" t="s">
        <v>4290</v>
      </c>
      <c r="B117" t="s">
        <v>1897</v>
      </c>
      <c r="C117" t="s">
        <v>2248</v>
      </c>
      <c r="D117" t="s">
        <v>2249</v>
      </c>
      <c r="E117" t="s">
        <v>2250</v>
      </c>
      <c r="G117" t="s">
        <v>4293</v>
      </c>
      <c r="H117" t="s">
        <v>2435</v>
      </c>
      <c r="I117" t="s">
        <v>3756</v>
      </c>
    </row>
    <row r="118" spans="1:9">
      <c r="A118" s="92" t="s">
        <v>4290</v>
      </c>
      <c r="B118" t="s">
        <v>1897</v>
      </c>
      <c r="C118" t="s">
        <v>2253</v>
      </c>
      <c r="D118" t="s">
        <v>2249</v>
      </c>
      <c r="E118" t="s">
        <v>2254</v>
      </c>
      <c r="G118" t="s">
        <v>4293</v>
      </c>
      <c r="H118" t="s">
        <v>2435</v>
      </c>
      <c r="I118" t="s">
        <v>3756</v>
      </c>
    </row>
    <row r="119" spans="1:9">
      <c r="A119" s="92" t="s">
        <v>4290</v>
      </c>
      <c r="B119" t="s">
        <v>1897</v>
      </c>
      <c r="C119" t="s">
        <v>2255</v>
      </c>
      <c r="D119" t="s">
        <v>2249</v>
      </c>
      <c r="E119" t="s">
        <v>2254</v>
      </c>
      <c r="G119" t="s">
        <v>4293</v>
      </c>
      <c r="H119" t="s">
        <v>2435</v>
      </c>
      <c r="I119" t="s">
        <v>3756</v>
      </c>
    </row>
    <row r="120" spans="1:9">
      <c r="A120" s="92" t="s">
        <v>4290</v>
      </c>
      <c r="B120" t="s">
        <v>1897</v>
      </c>
      <c r="C120" t="s">
        <v>2256</v>
      </c>
      <c r="D120" t="s">
        <v>2257</v>
      </c>
      <c r="E120" t="s">
        <v>2254</v>
      </c>
      <c r="G120" t="s">
        <v>4293</v>
      </c>
      <c r="H120" t="s">
        <v>2435</v>
      </c>
      <c r="I120" t="s">
        <v>3756</v>
      </c>
    </row>
    <row r="121" spans="1:9">
      <c r="A121" s="92" t="s">
        <v>4290</v>
      </c>
      <c r="B121" t="s">
        <v>1897</v>
      </c>
      <c r="C121" t="s">
        <v>2258</v>
      </c>
      <c r="E121" t="s">
        <v>2254</v>
      </c>
      <c r="G121" t="s">
        <v>4293</v>
      </c>
      <c r="H121" t="s">
        <v>2435</v>
      </c>
      <c r="I121" t="s">
        <v>3756</v>
      </c>
    </row>
    <row r="122" spans="1:9">
      <c r="A122" s="92" t="s">
        <v>4290</v>
      </c>
      <c r="B122" t="s">
        <v>1897</v>
      </c>
      <c r="C122" t="s">
        <v>2259</v>
      </c>
      <c r="E122" t="s">
        <v>2254</v>
      </c>
      <c r="G122" t="s">
        <v>4293</v>
      </c>
      <c r="H122" t="s">
        <v>2435</v>
      </c>
      <c r="I122" t="s">
        <v>3756</v>
      </c>
    </row>
    <row r="123" spans="1:9">
      <c r="A123" s="92" t="s">
        <v>4290</v>
      </c>
      <c r="B123" t="s">
        <v>1897</v>
      </c>
      <c r="C123" t="s">
        <v>2260</v>
      </c>
      <c r="E123" t="s">
        <v>2254</v>
      </c>
      <c r="G123" t="s">
        <v>4293</v>
      </c>
      <c r="H123" t="s">
        <v>2435</v>
      </c>
      <c r="I123" t="s">
        <v>3756</v>
      </c>
    </row>
    <row r="124" spans="1:9">
      <c r="A124" s="92" t="s">
        <v>4290</v>
      </c>
      <c r="B124" t="s">
        <v>1899</v>
      </c>
      <c r="C124" t="s">
        <v>2350</v>
      </c>
      <c r="D124" t="s">
        <v>2351</v>
      </c>
      <c r="E124" t="s">
        <v>108</v>
      </c>
      <c r="G124" t="s">
        <v>4292</v>
      </c>
      <c r="H124" t="s">
        <v>108</v>
      </c>
      <c r="I124" t="s">
        <v>3758</v>
      </c>
    </row>
    <row r="125" spans="1:9">
      <c r="A125" s="92" t="s">
        <v>4290</v>
      </c>
      <c r="B125" t="s">
        <v>1899</v>
      </c>
      <c r="C125" t="s">
        <v>2352</v>
      </c>
      <c r="E125" t="s">
        <v>2337</v>
      </c>
      <c r="G125" t="s">
        <v>4292</v>
      </c>
      <c r="H125" t="s">
        <v>108</v>
      </c>
      <c r="I125" t="s">
        <v>3758</v>
      </c>
    </row>
    <row r="126" spans="1:9">
      <c r="A126" s="92" t="s">
        <v>4290</v>
      </c>
      <c r="B126" t="s">
        <v>1899</v>
      </c>
      <c r="C126" t="s">
        <v>2353</v>
      </c>
      <c r="D126" t="s">
        <v>2351</v>
      </c>
      <c r="E126" t="s">
        <v>2354</v>
      </c>
      <c r="F126" t="s">
        <v>2355</v>
      </c>
      <c r="G126" t="s">
        <v>4292</v>
      </c>
      <c r="H126" t="s">
        <v>108</v>
      </c>
      <c r="I126" t="s">
        <v>3758</v>
      </c>
    </row>
    <row r="127" spans="1:9">
      <c r="A127" s="92" t="s">
        <v>4290</v>
      </c>
      <c r="B127" t="s">
        <v>1899</v>
      </c>
      <c r="C127" t="s">
        <v>2356</v>
      </c>
      <c r="D127" t="s">
        <v>2351</v>
      </c>
      <c r="E127" t="s">
        <v>2315</v>
      </c>
      <c r="G127" t="s">
        <v>4292</v>
      </c>
      <c r="H127" t="s">
        <v>2315</v>
      </c>
      <c r="I127" t="s">
        <v>3758</v>
      </c>
    </row>
    <row r="128" spans="1:9">
      <c r="A128" s="92" t="s">
        <v>4290</v>
      </c>
      <c r="B128" t="s">
        <v>1899</v>
      </c>
      <c r="C128" t="s">
        <v>2357</v>
      </c>
      <c r="D128" t="s">
        <v>2358</v>
      </c>
      <c r="E128" t="s">
        <v>108</v>
      </c>
      <c r="G128" t="s">
        <v>4292</v>
      </c>
      <c r="H128" t="s">
        <v>108</v>
      </c>
      <c r="I128" t="s">
        <v>3758</v>
      </c>
    </row>
    <row r="129" spans="1:9">
      <c r="A129" s="92" t="s">
        <v>4290</v>
      </c>
      <c r="B129" t="s">
        <v>1902</v>
      </c>
      <c r="C129" t="s">
        <v>2363</v>
      </c>
      <c r="E129" t="s">
        <v>2315</v>
      </c>
      <c r="G129" t="s">
        <v>4292</v>
      </c>
      <c r="H129" t="s">
        <v>2315</v>
      </c>
      <c r="I129" t="s">
        <v>3760</v>
      </c>
    </row>
    <row r="130" spans="1:9">
      <c r="A130" s="92" t="s">
        <v>4290</v>
      </c>
      <c r="B130" t="s">
        <v>1902</v>
      </c>
      <c r="C130" t="s">
        <v>2294</v>
      </c>
      <c r="E130" t="s">
        <v>2295</v>
      </c>
      <c r="G130" t="s">
        <v>4291</v>
      </c>
      <c r="H130" t="s">
        <v>2295</v>
      </c>
      <c r="I130" t="s">
        <v>3760</v>
      </c>
    </row>
    <row r="131" spans="1:9">
      <c r="A131" s="92" t="s">
        <v>4290</v>
      </c>
      <c r="B131" t="s">
        <v>1902</v>
      </c>
      <c r="C131" t="s">
        <v>2364</v>
      </c>
      <c r="D131" t="s">
        <v>2351</v>
      </c>
      <c r="E131" t="s">
        <v>108</v>
      </c>
      <c r="G131" t="s">
        <v>4292</v>
      </c>
      <c r="H131" t="s">
        <v>108</v>
      </c>
      <c r="I131" t="s">
        <v>3760</v>
      </c>
    </row>
    <row r="132" spans="1:9">
      <c r="A132" s="92" t="s">
        <v>4290</v>
      </c>
      <c r="B132" t="s">
        <v>1902</v>
      </c>
      <c r="C132" t="s">
        <v>2365</v>
      </c>
      <c r="D132" t="s">
        <v>2351</v>
      </c>
      <c r="E132" t="s">
        <v>108</v>
      </c>
      <c r="G132" t="s">
        <v>4292</v>
      </c>
      <c r="H132" t="s">
        <v>108</v>
      </c>
      <c r="I132" t="s">
        <v>3760</v>
      </c>
    </row>
    <row r="133" spans="1:9">
      <c r="A133" s="92" t="s">
        <v>4290</v>
      </c>
      <c r="B133" t="s">
        <v>1902</v>
      </c>
      <c r="C133" t="s">
        <v>2366</v>
      </c>
      <c r="D133" t="s">
        <v>2257</v>
      </c>
      <c r="E133" t="s">
        <v>108</v>
      </c>
      <c r="G133" t="s">
        <v>4292</v>
      </c>
      <c r="H133" t="s">
        <v>108</v>
      </c>
      <c r="I133" t="s">
        <v>3760</v>
      </c>
    </row>
    <row r="134" spans="1:9">
      <c r="A134" s="92" t="s">
        <v>4290</v>
      </c>
      <c r="B134" t="s">
        <v>1902</v>
      </c>
      <c r="C134" t="s">
        <v>2367</v>
      </c>
      <c r="D134" t="s">
        <v>2368</v>
      </c>
      <c r="E134" t="s">
        <v>2315</v>
      </c>
      <c r="G134" t="s">
        <v>4292</v>
      </c>
      <c r="H134" t="s">
        <v>2315</v>
      </c>
      <c r="I134" t="s">
        <v>3760</v>
      </c>
    </row>
    <row r="135" spans="1:9">
      <c r="A135" s="92" t="s">
        <v>4290</v>
      </c>
      <c r="B135" t="s">
        <v>1902</v>
      </c>
      <c r="C135" t="s">
        <v>2369</v>
      </c>
      <c r="D135" t="s">
        <v>2368</v>
      </c>
      <c r="E135" t="s">
        <v>2315</v>
      </c>
      <c r="G135" t="s">
        <v>4292</v>
      </c>
      <c r="H135" t="s">
        <v>2315</v>
      </c>
      <c r="I135" t="s">
        <v>3760</v>
      </c>
    </row>
    <row r="136" spans="1:9">
      <c r="A136" s="92" t="s">
        <v>4290</v>
      </c>
      <c r="B136" t="s">
        <v>1902</v>
      </c>
      <c r="C136" t="s">
        <v>2370</v>
      </c>
      <c r="D136" t="s">
        <v>2368</v>
      </c>
      <c r="E136" t="s">
        <v>108</v>
      </c>
      <c r="F136" t="s">
        <v>2371</v>
      </c>
      <c r="G136" t="s">
        <v>4292</v>
      </c>
      <c r="H136" t="s">
        <v>108</v>
      </c>
      <c r="I136" t="s">
        <v>3760</v>
      </c>
    </row>
    <row r="137" spans="1:9">
      <c r="A137" s="92" t="s">
        <v>4290</v>
      </c>
      <c r="B137" t="s">
        <v>1903</v>
      </c>
      <c r="C137" t="s">
        <v>2373</v>
      </c>
      <c r="D137" t="s">
        <v>2374</v>
      </c>
      <c r="E137" t="s">
        <v>108</v>
      </c>
      <c r="G137" t="s">
        <v>4292</v>
      </c>
      <c r="H137" t="s">
        <v>108</v>
      </c>
      <c r="I137" t="s">
        <v>3764</v>
      </c>
    </row>
    <row r="138" spans="1:9">
      <c r="A138" s="92" t="s">
        <v>4290</v>
      </c>
      <c r="B138" t="s">
        <v>1903</v>
      </c>
      <c r="C138" t="s">
        <v>2375</v>
      </c>
      <c r="D138" t="s">
        <v>2376</v>
      </c>
      <c r="E138" t="s">
        <v>108</v>
      </c>
      <c r="G138" t="s">
        <v>4292</v>
      </c>
      <c r="H138" t="s">
        <v>108</v>
      </c>
      <c r="I138" t="s">
        <v>3764</v>
      </c>
    </row>
    <row r="139" spans="1:9">
      <c r="A139" s="92" t="s">
        <v>4290</v>
      </c>
      <c r="B139" t="s">
        <v>1903</v>
      </c>
      <c r="C139" t="s">
        <v>2377</v>
      </c>
      <c r="D139" t="s">
        <v>2376</v>
      </c>
      <c r="E139" t="s">
        <v>108</v>
      </c>
      <c r="G139" t="s">
        <v>4292</v>
      </c>
      <c r="H139" t="s">
        <v>108</v>
      </c>
      <c r="I139" t="s">
        <v>3764</v>
      </c>
    </row>
    <row r="140" spans="1:9">
      <c r="A140" s="92" t="s">
        <v>4290</v>
      </c>
      <c r="B140" t="s">
        <v>1905</v>
      </c>
      <c r="C140" t="s">
        <v>2297</v>
      </c>
      <c r="D140" t="s">
        <v>2298</v>
      </c>
      <c r="E140" t="s">
        <v>552</v>
      </c>
      <c r="F140" t="s">
        <v>2299</v>
      </c>
      <c r="G140" t="s">
        <v>4291</v>
      </c>
      <c r="H140" t="s">
        <v>552</v>
      </c>
      <c r="I140" t="s">
        <v>3768</v>
      </c>
    </row>
    <row r="141" spans="1:9">
      <c r="A141" s="92" t="s">
        <v>4290</v>
      </c>
      <c r="B141" t="s">
        <v>1905</v>
      </c>
      <c r="C141" t="s">
        <v>2300</v>
      </c>
      <c r="D141" t="s">
        <v>2301</v>
      </c>
      <c r="E141" t="s">
        <v>2302</v>
      </c>
      <c r="F141" t="s">
        <v>2303</v>
      </c>
      <c r="G141" t="s">
        <v>4291</v>
      </c>
      <c r="H141" t="s">
        <v>552</v>
      </c>
      <c r="I141" t="s">
        <v>3768</v>
      </c>
    </row>
    <row r="142" spans="1:9">
      <c r="A142" s="92" t="s">
        <v>4290</v>
      </c>
      <c r="B142" t="s">
        <v>1905</v>
      </c>
      <c r="C142" t="s">
        <v>2379</v>
      </c>
      <c r="D142" t="s">
        <v>2263</v>
      </c>
      <c r="E142" t="s">
        <v>2315</v>
      </c>
      <c r="F142" t="s">
        <v>2380</v>
      </c>
      <c r="G142" t="s">
        <v>4292</v>
      </c>
      <c r="H142" t="s">
        <v>2315</v>
      </c>
      <c r="I142" t="s">
        <v>3768</v>
      </c>
    </row>
    <row r="143" spans="1:9">
      <c r="A143" s="92" t="s">
        <v>4290</v>
      </c>
      <c r="B143" t="s">
        <v>1905</v>
      </c>
      <c r="C143" t="s">
        <v>2381</v>
      </c>
      <c r="D143" t="s">
        <v>2301</v>
      </c>
      <c r="E143" t="s">
        <v>108</v>
      </c>
      <c r="F143" t="s">
        <v>2382</v>
      </c>
      <c r="G143" t="s">
        <v>4292</v>
      </c>
      <c r="H143" t="s">
        <v>108</v>
      </c>
      <c r="I143" t="s">
        <v>3768</v>
      </c>
    </row>
    <row r="144" spans="1:9">
      <c r="A144" s="92" t="s">
        <v>4290</v>
      </c>
      <c r="B144" t="s">
        <v>1905</v>
      </c>
      <c r="C144" t="s">
        <v>2383</v>
      </c>
      <c r="D144" t="s">
        <v>2298</v>
      </c>
      <c r="E144" t="s">
        <v>108</v>
      </c>
      <c r="F144" t="s">
        <v>2384</v>
      </c>
      <c r="G144" t="s">
        <v>4292</v>
      </c>
      <c r="H144" t="s">
        <v>108</v>
      </c>
      <c r="I144" t="s">
        <v>3768</v>
      </c>
    </row>
    <row r="145" spans="1:9">
      <c r="A145" s="92" t="s">
        <v>4290</v>
      </c>
      <c r="B145" t="s">
        <v>1905</v>
      </c>
      <c r="C145" t="s">
        <v>2385</v>
      </c>
      <c r="D145" t="s">
        <v>2386</v>
      </c>
      <c r="E145" t="s">
        <v>108</v>
      </c>
      <c r="F145" t="s">
        <v>2387</v>
      </c>
      <c r="G145" t="s">
        <v>4292</v>
      </c>
      <c r="H145" t="s">
        <v>108</v>
      </c>
      <c r="I145" t="s">
        <v>3768</v>
      </c>
    </row>
    <row r="146" spans="1:9">
      <c r="A146" s="92" t="s">
        <v>4290</v>
      </c>
      <c r="B146" t="s">
        <v>1910</v>
      </c>
      <c r="C146" t="s">
        <v>2389</v>
      </c>
      <c r="D146" t="s">
        <v>2301</v>
      </c>
      <c r="E146" t="s">
        <v>108</v>
      </c>
      <c r="F146" t="s">
        <v>2390</v>
      </c>
      <c r="G146" t="s">
        <v>4292</v>
      </c>
      <c r="H146" t="s">
        <v>108</v>
      </c>
      <c r="I146" t="s">
        <v>3772</v>
      </c>
    </row>
    <row r="147" spans="1:9">
      <c r="A147" s="92" t="s">
        <v>4290</v>
      </c>
      <c r="B147" t="s">
        <v>1910</v>
      </c>
      <c r="C147" t="s">
        <v>2391</v>
      </c>
      <c r="D147" t="s">
        <v>2392</v>
      </c>
      <c r="E147" t="s">
        <v>108</v>
      </c>
      <c r="F147" t="s">
        <v>2393</v>
      </c>
      <c r="G147" t="s">
        <v>4292</v>
      </c>
      <c r="H147" t="s">
        <v>108</v>
      </c>
      <c r="I147" t="s">
        <v>3772</v>
      </c>
    </row>
    <row r="148" spans="1:9">
      <c r="A148" s="92" t="s">
        <v>4290</v>
      </c>
      <c r="B148" t="s">
        <v>1910</v>
      </c>
      <c r="C148" t="s">
        <v>2394</v>
      </c>
      <c r="D148" t="s">
        <v>2395</v>
      </c>
      <c r="E148" t="s">
        <v>108</v>
      </c>
      <c r="F148" t="s">
        <v>2396</v>
      </c>
      <c r="G148" t="s">
        <v>4292</v>
      </c>
      <c r="H148" t="s">
        <v>108</v>
      </c>
      <c r="I148" t="s">
        <v>3772</v>
      </c>
    </row>
    <row r="149" spans="1:9">
      <c r="A149" s="92" t="s">
        <v>4290</v>
      </c>
      <c r="B149" t="s">
        <v>1910</v>
      </c>
      <c r="C149" t="s">
        <v>2397</v>
      </c>
      <c r="D149" t="s">
        <v>2398</v>
      </c>
      <c r="E149" t="s">
        <v>2315</v>
      </c>
      <c r="G149" t="s">
        <v>4292</v>
      </c>
      <c r="H149" t="s">
        <v>2315</v>
      </c>
      <c r="I149" t="s">
        <v>3772</v>
      </c>
    </row>
    <row r="150" spans="1:9">
      <c r="A150" s="92" t="s">
        <v>4290</v>
      </c>
      <c r="B150" t="s">
        <v>1910</v>
      </c>
      <c r="C150" t="s">
        <v>2399</v>
      </c>
      <c r="D150" t="s">
        <v>2398</v>
      </c>
      <c r="E150" t="s">
        <v>2400</v>
      </c>
      <c r="G150" t="s">
        <v>4292</v>
      </c>
      <c r="H150" t="s">
        <v>108</v>
      </c>
      <c r="I150" t="s">
        <v>3772</v>
      </c>
    </row>
    <row r="151" spans="1:9">
      <c r="A151" s="92" t="s">
        <v>4290</v>
      </c>
      <c r="B151" t="s">
        <v>1912</v>
      </c>
      <c r="C151" t="s">
        <v>2305</v>
      </c>
      <c r="E151" t="s">
        <v>552</v>
      </c>
      <c r="G151" t="s">
        <v>4291</v>
      </c>
      <c r="H151" t="s">
        <v>552</v>
      </c>
      <c r="I151" t="s">
        <v>3776</v>
      </c>
    </row>
    <row r="152" spans="1:9">
      <c r="A152" s="92" t="s">
        <v>4290</v>
      </c>
      <c r="B152" t="s">
        <v>1912</v>
      </c>
      <c r="C152" t="s">
        <v>2402</v>
      </c>
      <c r="D152" t="s">
        <v>2403</v>
      </c>
      <c r="E152" t="s">
        <v>108</v>
      </c>
      <c r="G152" t="s">
        <v>4292</v>
      </c>
      <c r="H152" t="s">
        <v>108</v>
      </c>
      <c r="I152" t="s">
        <v>3776</v>
      </c>
    </row>
    <row r="153" spans="1:9">
      <c r="A153" s="92" t="s">
        <v>4290</v>
      </c>
      <c r="B153" t="s">
        <v>1912</v>
      </c>
      <c r="C153" t="s">
        <v>2404</v>
      </c>
      <c r="D153" t="s">
        <v>2403</v>
      </c>
      <c r="E153" t="s">
        <v>2315</v>
      </c>
      <c r="F153" t="s">
        <v>2405</v>
      </c>
      <c r="G153" t="s">
        <v>4292</v>
      </c>
      <c r="H153" t="s">
        <v>2315</v>
      </c>
      <c r="I153" t="s">
        <v>3776</v>
      </c>
    </row>
    <row r="154" spans="1:9">
      <c r="A154" s="92" t="s">
        <v>4290</v>
      </c>
      <c r="B154" t="s">
        <v>1912</v>
      </c>
      <c r="C154" t="s">
        <v>2406</v>
      </c>
      <c r="D154" t="s">
        <v>2407</v>
      </c>
      <c r="E154" t="s">
        <v>2408</v>
      </c>
      <c r="F154" t="s">
        <v>2410</v>
      </c>
      <c r="G154" t="s">
        <v>4294</v>
      </c>
      <c r="H154" t="s">
        <v>2442</v>
      </c>
      <c r="I154" t="s">
        <v>3776</v>
      </c>
    </row>
    <row r="155" spans="1:9">
      <c r="A155" s="92" t="s">
        <v>4290</v>
      </c>
      <c r="B155" t="s">
        <v>1912</v>
      </c>
      <c r="C155" t="s">
        <v>2411</v>
      </c>
      <c r="D155" t="s">
        <v>2407</v>
      </c>
      <c r="E155" t="s">
        <v>2331</v>
      </c>
      <c r="F155" t="s">
        <v>2412</v>
      </c>
      <c r="G155" t="s">
        <v>4292</v>
      </c>
      <c r="H155" t="s">
        <v>108</v>
      </c>
      <c r="I155" t="s">
        <v>3776</v>
      </c>
    </row>
    <row r="156" spans="1:9">
      <c r="A156" s="92" t="s">
        <v>4290</v>
      </c>
      <c r="B156" t="s">
        <v>1912</v>
      </c>
      <c r="C156" t="s">
        <v>2413</v>
      </c>
      <c r="D156" t="s">
        <v>2403</v>
      </c>
      <c r="E156" t="s">
        <v>2414</v>
      </c>
      <c r="G156" t="s">
        <v>4292</v>
      </c>
      <c r="H156" t="s">
        <v>108</v>
      </c>
      <c r="I156" t="s">
        <v>3776</v>
      </c>
    </row>
    <row r="157" spans="1:9">
      <c r="A157" s="92" t="s">
        <v>4290</v>
      </c>
      <c r="B157" t="s">
        <v>1912</v>
      </c>
      <c r="C157" t="s">
        <v>2415</v>
      </c>
      <c r="D157" t="s">
        <v>2403</v>
      </c>
      <c r="E157" t="s">
        <v>2416</v>
      </c>
      <c r="F157" t="s">
        <v>2417</v>
      </c>
      <c r="G157" t="s">
        <v>4292</v>
      </c>
      <c r="H157" t="s">
        <v>108</v>
      </c>
      <c r="I157" t="s">
        <v>3776</v>
      </c>
    </row>
    <row r="158" spans="1:9">
      <c r="A158" s="92" t="s">
        <v>4290</v>
      </c>
      <c r="B158" t="s">
        <v>1914</v>
      </c>
      <c r="C158" t="s">
        <v>2419</v>
      </c>
      <c r="D158" t="s">
        <v>2287</v>
      </c>
      <c r="E158" t="s">
        <v>2420</v>
      </c>
      <c r="F158" t="s">
        <v>2421</v>
      </c>
      <c r="G158" t="s">
        <v>4292</v>
      </c>
      <c r="H158" t="s">
        <v>108</v>
      </c>
      <c r="I158" t="s">
        <v>3780</v>
      </c>
    </row>
    <row r="159" spans="1:9">
      <c r="A159" s="92" t="s">
        <v>4290</v>
      </c>
      <c r="B159" t="s">
        <v>1914</v>
      </c>
      <c r="C159" t="s">
        <v>2422</v>
      </c>
      <c r="D159" t="s">
        <v>2423</v>
      </c>
      <c r="E159" t="s">
        <v>2424</v>
      </c>
      <c r="F159" t="s">
        <v>2425</v>
      </c>
      <c r="G159" t="s">
        <v>4292</v>
      </c>
      <c r="H159" t="s">
        <v>108</v>
      </c>
      <c r="I159" t="s">
        <v>3780</v>
      </c>
    </row>
    <row r="160" spans="1:9">
      <c r="A160" s="92" t="s">
        <v>4290</v>
      </c>
      <c r="B160" t="s">
        <v>1914</v>
      </c>
      <c r="C160" t="s">
        <v>2274</v>
      </c>
      <c r="E160" t="s">
        <v>2254</v>
      </c>
      <c r="G160" t="s">
        <v>4293</v>
      </c>
      <c r="H160" t="s">
        <v>2435</v>
      </c>
      <c r="I160" t="s">
        <v>3780</v>
      </c>
    </row>
    <row r="161" spans="1:9">
      <c r="A161" s="92" t="s">
        <v>4290</v>
      </c>
      <c r="B161" t="s">
        <v>1914</v>
      </c>
      <c r="C161" t="s">
        <v>2426</v>
      </c>
      <c r="D161" t="s">
        <v>2272</v>
      </c>
      <c r="E161" t="s">
        <v>2427</v>
      </c>
      <c r="F161" t="s">
        <v>2428</v>
      </c>
      <c r="G161" t="s">
        <v>4292</v>
      </c>
      <c r="H161" t="s">
        <v>2427</v>
      </c>
      <c r="I161" t="s">
        <v>3780</v>
      </c>
    </row>
    <row r="162" spans="1:9">
      <c r="A162" s="92" t="s">
        <v>4295</v>
      </c>
      <c r="B162" t="s">
        <v>1888</v>
      </c>
      <c r="C162" t="s">
        <v>2241</v>
      </c>
      <c r="D162" t="s">
        <v>2242</v>
      </c>
      <c r="E162" t="s">
        <v>2243</v>
      </c>
      <c r="F162" t="s">
        <v>2246</v>
      </c>
      <c r="G162" t="s">
        <v>4296</v>
      </c>
      <c r="H162" t="s">
        <v>2245</v>
      </c>
      <c r="I162" t="s">
        <v>3740</v>
      </c>
    </row>
    <row r="163" spans="1:9">
      <c r="A163" s="92" t="s">
        <v>4295</v>
      </c>
      <c r="B163" t="s">
        <v>1888</v>
      </c>
      <c r="C163" t="s">
        <v>2276</v>
      </c>
      <c r="D163" t="s">
        <v>2277</v>
      </c>
      <c r="E163" t="s">
        <v>1565</v>
      </c>
      <c r="F163" t="s">
        <v>2279</v>
      </c>
      <c r="G163" t="s">
        <v>4297</v>
      </c>
      <c r="H163" t="s">
        <v>108</v>
      </c>
      <c r="I163" t="s">
        <v>3740</v>
      </c>
    </row>
    <row r="164" spans="1:9">
      <c r="A164" s="92" t="s">
        <v>4295</v>
      </c>
      <c r="B164" t="s">
        <v>1888</v>
      </c>
      <c r="C164" t="s">
        <v>2309</v>
      </c>
      <c r="E164" t="s">
        <v>2310</v>
      </c>
      <c r="G164" t="s">
        <v>4296</v>
      </c>
      <c r="H164" t="s">
        <v>2311</v>
      </c>
      <c r="I164" t="s">
        <v>3740</v>
      </c>
    </row>
    <row r="165" spans="1:9">
      <c r="A165" s="92" t="s">
        <v>4295</v>
      </c>
      <c r="B165" t="s">
        <v>1888</v>
      </c>
      <c r="C165" t="s">
        <v>2312</v>
      </c>
      <c r="D165" t="s">
        <v>2242</v>
      </c>
      <c r="E165" t="s">
        <v>108</v>
      </c>
      <c r="G165" t="s">
        <v>4297</v>
      </c>
      <c r="H165" t="s">
        <v>108</v>
      </c>
      <c r="I165" t="s">
        <v>3740</v>
      </c>
    </row>
    <row r="166" spans="1:9">
      <c r="A166" s="92" t="s">
        <v>4295</v>
      </c>
      <c r="B166" t="s">
        <v>1888</v>
      </c>
      <c r="C166" t="s">
        <v>2313</v>
      </c>
      <c r="D166" t="s">
        <v>2314</v>
      </c>
      <c r="E166" t="s">
        <v>2315</v>
      </c>
      <c r="F166" t="s">
        <v>2316</v>
      </c>
      <c r="G166" t="s">
        <v>4297</v>
      </c>
      <c r="H166" t="s">
        <v>2315</v>
      </c>
      <c r="I166" t="s">
        <v>3740</v>
      </c>
    </row>
    <row r="167" spans="1:9">
      <c r="A167" s="92" t="s">
        <v>4295</v>
      </c>
      <c r="B167" t="s">
        <v>1888</v>
      </c>
      <c r="C167" t="s">
        <v>2317</v>
      </c>
      <c r="E167" t="s">
        <v>108</v>
      </c>
      <c r="G167" t="s">
        <v>4297</v>
      </c>
      <c r="H167" t="s">
        <v>108</v>
      </c>
      <c r="I167" t="s">
        <v>3740</v>
      </c>
    </row>
    <row r="168" spans="1:9">
      <c r="A168" s="92" t="s">
        <v>4295</v>
      </c>
      <c r="B168" t="s">
        <v>1889</v>
      </c>
      <c r="C168" t="s">
        <v>2319</v>
      </c>
      <c r="D168" t="s">
        <v>2249</v>
      </c>
      <c r="E168" t="s">
        <v>108</v>
      </c>
      <c r="G168" t="s">
        <v>4297</v>
      </c>
      <c r="H168" t="s">
        <v>108</v>
      </c>
      <c r="I168" t="s">
        <v>3744</v>
      </c>
    </row>
    <row r="169" spans="1:9">
      <c r="A169" s="92" t="s">
        <v>4295</v>
      </c>
      <c r="B169" t="s">
        <v>1889</v>
      </c>
      <c r="C169" t="s">
        <v>2320</v>
      </c>
      <c r="D169" t="s">
        <v>2321</v>
      </c>
      <c r="E169" t="s">
        <v>108</v>
      </c>
      <c r="F169" t="s">
        <v>2322</v>
      </c>
      <c r="G169" t="s">
        <v>4297</v>
      </c>
      <c r="H169" t="s">
        <v>108</v>
      </c>
      <c r="I169" t="s">
        <v>3744</v>
      </c>
    </row>
    <row r="170" spans="1:9">
      <c r="A170" s="92" t="s">
        <v>4295</v>
      </c>
      <c r="B170" t="s">
        <v>1889</v>
      </c>
      <c r="C170" t="s">
        <v>2323</v>
      </c>
      <c r="D170" t="s">
        <v>2321</v>
      </c>
      <c r="E170" t="s">
        <v>108</v>
      </c>
      <c r="G170" t="s">
        <v>4297</v>
      </c>
      <c r="H170" t="s">
        <v>108</v>
      </c>
      <c r="I170" t="s">
        <v>3744</v>
      </c>
    </row>
    <row r="171" spans="1:9">
      <c r="A171" s="92" t="s">
        <v>4295</v>
      </c>
      <c r="B171" t="s">
        <v>1889</v>
      </c>
      <c r="C171" t="s">
        <v>2324</v>
      </c>
      <c r="D171" t="s">
        <v>2325</v>
      </c>
      <c r="E171" t="s">
        <v>108</v>
      </c>
      <c r="F171" t="s">
        <v>2326</v>
      </c>
      <c r="G171" t="s">
        <v>4297</v>
      </c>
      <c r="H171" t="s">
        <v>108</v>
      </c>
      <c r="I171" t="s">
        <v>3744</v>
      </c>
    </row>
    <row r="172" spans="1:9">
      <c r="A172" s="92" t="s">
        <v>4295</v>
      </c>
      <c r="B172" t="s">
        <v>3515</v>
      </c>
      <c r="C172" t="s">
        <v>2328</v>
      </c>
      <c r="D172" t="s">
        <v>2282</v>
      </c>
      <c r="E172" t="s">
        <v>108</v>
      </c>
      <c r="G172" t="s">
        <v>4297</v>
      </c>
      <c r="H172" t="s">
        <v>108</v>
      </c>
      <c r="I172" t="s">
        <v>3748</v>
      </c>
    </row>
    <row r="173" spans="1:9">
      <c r="A173" s="92" t="s">
        <v>4295</v>
      </c>
      <c r="B173" t="s">
        <v>3515</v>
      </c>
      <c r="C173" t="s">
        <v>2281</v>
      </c>
      <c r="D173" t="s">
        <v>2282</v>
      </c>
      <c r="E173" t="s">
        <v>2283</v>
      </c>
      <c r="G173" t="s">
        <v>4297</v>
      </c>
      <c r="H173" t="s">
        <v>108</v>
      </c>
      <c r="I173" t="s">
        <v>3748</v>
      </c>
    </row>
    <row r="174" spans="1:9">
      <c r="A174" s="92" t="s">
        <v>4295</v>
      </c>
      <c r="B174" t="s">
        <v>3515</v>
      </c>
      <c r="C174" t="s">
        <v>2330</v>
      </c>
      <c r="D174" t="s">
        <v>2282</v>
      </c>
      <c r="E174" t="s">
        <v>2331</v>
      </c>
      <c r="F174" t="s">
        <v>2332</v>
      </c>
      <c r="G174" t="s">
        <v>4297</v>
      </c>
      <c r="H174" t="s">
        <v>108</v>
      </c>
      <c r="I174" t="s">
        <v>3748</v>
      </c>
    </row>
    <row r="175" spans="1:9">
      <c r="A175" s="92" t="s">
        <v>4295</v>
      </c>
      <c r="B175" t="s">
        <v>3515</v>
      </c>
      <c r="C175" t="s">
        <v>2333</v>
      </c>
      <c r="D175" t="s">
        <v>2282</v>
      </c>
      <c r="E175" t="s">
        <v>108</v>
      </c>
      <c r="G175" t="s">
        <v>4297</v>
      </c>
      <c r="H175" t="s">
        <v>108</v>
      </c>
      <c r="I175" t="s">
        <v>3748</v>
      </c>
    </row>
    <row r="176" spans="1:9">
      <c r="A176" s="92" t="s">
        <v>4295</v>
      </c>
      <c r="B176" t="s">
        <v>1895</v>
      </c>
      <c r="C176" t="s">
        <v>2335</v>
      </c>
      <c r="D176" t="s">
        <v>2336</v>
      </c>
      <c r="E176" t="s">
        <v>2337</v>
      </c>
      <c r="G176" t="s">
        <v>4297</v>
      </c>
      <c r="H176" t="s">
        <v>108</v>
      </c>
      <c r="I176" t="s">
        <v>3752</v>
      </c>
    </row>
    <row r="177" spans="1:9">
      <c r="A177" s="92" t="s">
        <v>4295</v>
      </c>
      <c r="B177" t="s">
        <v>1895</v>
      </c>
      <c r="C177" t="s">
        <v>2338</v>
      </c>
      <c r="D177" t="s">
        <v>2336</v>
      </c>
      <c r="E177" t="s">
        <v>2339</v>
      </c>
      <c r="G177" t="s">
        <v>4297</v>
      </c>
      <c r="H177" t="s">
        <v>108</v>
      </c>
      <c r="I177" t="s">
        <v>3752</v>
      </c>
    </row>
    <row r="178" spans="1:9">
      <c r="A178" s="92" t="s">
        <v>4295</v>
      </c>
      <c r="B178" t="s">
        <v>1895</v>
      </c>
      <c r="C178" t="s">
        <v>2340</v>
      </c>
      <c r="D178" t="s">
        <v>2341</v>
      </c>
      <c r="E178" t="s">
        <v>108</v>
      </c>
      <c r="F178" t="s">
        <v>2342</v>
      </c>
      <c r="G178" t="s">
        <v>4297</v>
      </c>
      <c r="H178" t="s">
        <v>108</v>
      </c>
      <c r="I178" t="s">
        <v>3752</v>
      </c>
    </row>
    <row r="179" spans="1:9">
      <c r="A179" s="92" t="s">
        <v>4295</v>
      </c>
      <c r="B179" t="s">
        <v>1895</v>
      </c>
      <c r="C179" t="s">
        <v>2343</v>
      </c>
      <c r="D179" t="s">
        <v>2341</v>
      </c>
      <c r="E179" t="s">
        <v>108</v>
      </c>
      <c r="G179" t="s">
        <v>4297</v>
      </c>
      <c r="H179" t="s">
        <v>108</v>
      </c>
      <c r="I179" t="s">
        <v>3752</v>
      </c>
    </row>
    <row r="180" spans="1:9">
      <c r="A180" s="92" t="s">
        <v>4295</v>
      </c>
      <c r="B180" t="s">
        <v>1897</v>
      </c>
      <c r="C180" t="s">
        <v>2345</v>
      </c>
      <c r="D180" t="s">
        <v>2346</v>
      </c>
      <c r="E180" t="s">
        <v>108</v>
      </c>
      <c r="F180" t="s">
        <v>2347</v>
      </c>
      <c r="G180" t="s">
        <v>4297</v>
      </c>
      <c r="H180" t="s">
        <v>108</v>
      </c>
      <c r="I180" t="s">
        <v>3756</v>
      </c>
    </row>
    <row r="181" spans="1:9">
      <c r="A181" s="92" t="s">
        <v>4295</v>
      </c>
      <c r="B181" t="s">
        <v>1897</v>
      </c>
      <c r="C181" t="s">
        <v>2248</v>
      </c>
      <c r="D181" t="s">
        <v>2249</v>
      </c>
      <c r="E181" t="s">
        <v>2250</v>
      </c>
      <c r="G181" t="s">
        <v>4296</v>
      </c>
      <c r="H181" t="s">
        <v>2451</v>
      </c>
      <c r="I181" t="s">
        <v>3756</v>
      </c>
    </row>
    <row r="182" spans="1:9">
      <c r="A182" s="92" t="s">
        <v>4295</v>
      </c>
      <c r="B182" t="s">
        <v>1897</v>
      </c>
      <c r="C182" t="s">
        <v>2253</v>
      </c>
      <c r="D182" t="s">
        <v>2249</v>
      </c>
      <c r="E182" t="s">
        <v>2254</v>
      </c>
      <c r="G182" t="s">
        <v>4296</v>
      </c>
      <c r="H182" t="s">
        <v>2451</v>
      </c>
      <c r="I182" t="s">
        <v>3756</v>
      </c>
    </row>
    <row r="183" spans="1:9">
      <c r="A183" s="92" t="s">
        <v>4295</v>
      </c>
      <c r="B183" t="s">
        <v>1897</v>
      </c>
      <c r="C183" t="s">
        <v>2255</v>
      </c>
      <c r="D183" t="s">
        <v>2249</v>
      </c>
      <c r="E183" t="s">
        <v>2254</v>
      </c>
      <c r="G183" t="s">
        <v>4296</v>
      </c>
      <c r="H183" t="s">
        <v>2451</v>
      </c>
      <c r="I183" t="s">
        <v>3756</v>
      </c>
    </row>
    <row r="184" spans="1:9">
      <c r="A184" s="92" t="s">
        <v>4295</v>
      </c>
      <c r="B184" t="s">
        <v>1897</v>
      </c>
      <c r="C184" t="s">
        <v>2256</v>
      </c>
      <c r="D184" t="s">
        <v>2257</v>
      </c>
      <c r="E184" t="s">
        <v>2254</v>
      </c>
      <c r="G184" t="s">
        <v>4296</v>
      </c>
      <c r="H184" t="s">
        <v>2451</v>
      </c>
      <c r="I184" t="s">
        <v>3756</v>
      </c>
    </row>
    <row r="185" spans="1:9">
      <c r="A185" s="92" t="s">
        <v>4295</v>
      </c>
      <c r="B185" t="s">
        <v>1897</v>
      </c>
      <c r="C185" t="s">
        <v>2258</v>
      </c>
      <c r="E185" t="s">
        <v>2254</v>
      </c>
      <c r="G185" t="s">
        <v>4296</v>
      </c>
      <c r="H185" t="s">
        <v>2451</v>
      </c>
      <c r="I185" t="s">
        <v>3756</v>
      </c>
    </row>
    <row r="186" spans="1:9">
      <c r="A186" s="92" t="s">
        <v>4295</v>
      </c>
      <c r="B186" t="s">
        <v>1897</v>
      </c>
      <c r="C186" t="s">
        <v>2259</v>
      </c>
      <c r="E186" t="s">
        <v>2254</v>
      </c>
      <c r="G186" t="s">
        <v>4296</v>
      </c>
      <c r="H186" t="s">
        <v>2451</v>
      </c>
      <c r="I186" t="s">
        <v>3756</v>
      </c>
    </row>
    <row r="187" spans="1:9">
      <c r="A187" s="92" t="s">
        <v>4295</v>
      </c>
      <c r="B187" t="s">
        <v>1897</v>
      </c>
      <c r="C187" t="s">
        <v>2260</v>
      </c>
      <c r="E187" t="s">
        <v>2254</v>
      </c>
      <c r="G187" t="s">
        <v>4296</v>
      </c>
      <c r="H187" t="s">
        <v>2451</v>
      </c>
      <c r="I187" t="s">
        <v>3756</v>
      </c>
    </row>
    <row r="188" spans="1:9">
      <c r="A188" s="92" t="s">
        <v>4295</v>
      </c>
      <c r="B188" t="s">
        <v>1899</v>
      </c>
      <c r="C188" t="s">
        <v>2350</v>
      </c>
      <c r="D188" t="s">
        <v>2351</v>
      </c>
      <c r="E188" t="s">
        <v>108</v>
      </c>
      <c r="G188" t="s">
        <v>4297</v>
      </c>
      <c r="H188" t="s">
        <v>108</v>
      </c>
      <c r="I188" t="s">
        <v>3758</v>
      </c>
    </row>
    <row r="189" spans="1:9">
      <c r="A189" s="92" t="s">
        <v>4295</v>
      </c>
      <c r="B189" t="s">
        <v>1899</v>
      </c>
      <c r="C189" t="s">
        <v>2352</v>
      </c>
      <c r="E189" t="s">
        <v>2337</v>
      </c>
      <c r="G189" t="s">
        <v>4297</v>
      </c>
      <c r="H189" t="s">
        <v>108</v>
      </c>
      <c r="I189" t="s">
        <v>3758</v>
      </c>
    </row>
    <row r="190" spans="1:9">
      <c r="A190" s="92" t="s">
        <v>4295</v>
      </c>
      <c r="B190" t="s">
        <v>1899</v>
      </c>
      <c r="C190" t="s">
        <v>2353</v>
      </c>
      <c r="D190" t="s">
        <v>2351</v>
      </c>
      <c r="E190" t="s">
        <v>2354</v>
      </c>
      <c r="F190" t="s">
        <v>2355</v>
      </c>
      <c r="G190" t="s">
        <v>4297</v>
      </c>
      <c r="H190" t="s">
        <v>108</v>
      </c>
      <c r="I190" t="s">
        <v>3758</v>
      </c>
    </row>
    <row r="191" spans="1:9">
      <c r="A191" s="92" t="s">
        <v>4295</v>
      </c>
      <c r="B191" t="s">
        <v>1899</v>
      </c>
      <c r="C191" t="s">
        <v>2356</v>
      </c>
      <c r="D191" t="s">
        <v>2351</v>
      </c>
      <c r="E191" t="s">
        <v>2315</v>
      </c>
      <c r="G191" t="s">
        <v>4297</v>
      </c>
      <c r="H191" t="s">
        <v>2315</v>
      </c>
      <c r="I191" t="s">
        <v>3758</v>
      </c>
    </row>
    <row r="192" spans="1:9">
      <c r="A192" s="92" t="s">
        <v>4295</v>
      </c>
      <c r="B192" t="s">
        <v>1899</v>
      </c>
      <c r="C192" t="s">
        <v>2357</v>
      </c>
      <c r="D192" t="s">
        <v>2358</v>
      </c>
      <c r="E192" t="s">
        <v>108</v>
      </c>
      <c r="G192" t="s">
        <v>4297</v>
      </c>
      <c r="H192" t="s">
        <v>108</v>
      </c>
      <c r="I192" t="s">
        <v>3758</v>
      </c>
    </row>
    <row r="193" spans="1:9">
      <c r="A193" s="92" t="s">
        <v>4295</v>
      </c>
      <c r="B193" t="s">
        <v>1902</v>
      </c>
      <c r="C193" t="s">
        <v>2363</v>
      </c>
      <c r="E193" t="s">
        <v>2315</v>
      </c>
      <c r="G193" t="s">
        <v>4297</v>
      </c>
      <c r="H193" t="s">
        <v>2315</v>
      </c>
      <c r="I193" t="s">
        <v>3760</v>
      </c>
    </row>
    <row r="194" spans="1:9">
      <c r="A194" s="92" t="s">
        <v>4295</v>
      </c>
      <c r="B194" t="s">
        <v>1902</v>
      </c>
      <c r="C194" t="s">
        <v>2294</v>
      </c>
      <c r="E194" t="s">
        <v>2295</v>
      </c>
      <c r="G194" t="s">
        <v>4297</v>
      </c>
      <c r="H194" t="s">
        <v>2315</v>
      </c>
      <c r="I194" t="s">
        <v>3760</v>
      </c>
    </row>
    <row r="195" spans="1:9">
      <c r="A195" s="92" t="s">
        <v>4295</v>
      </c>
      <c r="B195" t="s">
        <v>1902</v>
      </c>
      <c r="C195" t="s">
        <v>2364</v>
      </c>
      <c r="D195" t="s">
        <v>2351</v>
      </c>
      <c r="E195" t="s">
        <v>108</v>
      </c>
      <c r="G195" t="s">
        <v>4297</v>
      </c>
      <c r="H195" t="s">
        <v>108</v>
      </c>
      <c r="I195" t="s">
        <v>3760</v>
      </c>
    </row>
    <row r="196" spans="1:9">
      <c r="A196" s="92" t="s">
        <v>4295</v>
      </c>
      <c r="B196" t="s">
        <v>1902</v>
      </c>
      <c r="C196" t="s">
        <v>2365</v>
      </c>
      <c r="D196" t="s">
        <v>2351</v>
      </c>
      <c r="E196" t="s">
        <v>108</v>
      </c>
      <c r="G196" t="s">
        <v>4297</v>
      </c>
      <c r="H196" t="s">
        <v>108</v>
      </c>
      <c r="I196" t="s">
        <v>3760</v>
      </c>
    </row>
    <row r="197" spans="1:9">
      <c r="A197" s="92" t="s">
        <v>4295</v>
      </c>
      <c r="B197" t="s">
        <v>1902</v>
      </c>
      <c r="C197" t="s">
        <v>2366</v>
      </c>
      <c r="D197" t="s">
        <v>2257</v>
      </c>
      <c r="E197" t="s">
        <v>108</v>
      </c>
      <c r="G197" t="s">
        <v>4297</v>
      </c>
      <c r="H197" t="s">
        <v>108</v>
      </c>
      <c r="I197" t="s">
        <v>3760</v>
      </c>
    </row>
    <row r="198" spans="1:9">
      <c r="A198" s="92" t="s">
        <v>4295</v>
      </c>
      <c r="B198" t="s">
        <v>1902</v>
      </c>
      <c r="C198" t="s">
        <v>2367</v>
      </c>
      <c r="D198" t="s">
        <v>2368</v>
      </c>
      <c r="E198" t="s">
        <v>2315</v>
      </c>
      <c r="G198" t="s">
        <v>4297</v>
      </c>
      <c r="H198" t="s">
        <v>2315</v>
      </c>
      <c r="I198" t="s">
        <v>3760</v>
      </c>
    </row>
    <row r="199" spans="1:9">
      <c r="A199" s="92" t="s">
        <v>4295</v>
      </c>
      <c r="B199" t="s">
        <v>1902</v>
      </c>
      <c r="C199" t="s">
        <v>2369</v>
      </c>
      <c r="D199" t="s">
        <v>2368</v>
      </c>
      <c r="E199" t="s">
        <v>2315</v>
      </c>
      <c r="G199" t="s">
        <v>4297</v>
      </c>
      <c r="H199" t="s">
        <v>2315</v>
      </c>
      <c r="I199" t="s">
        <v>3760</v>
      </c>
    </row>
    <row r="200" spans="1:9">
      <c r="A200" s="92" t="s">
        <v>4295</v>
      </c>
      <c r="B200" t="s">
        <v>1902</v>
      </c>
      <c r="C200" t="s">
        <v>2370</v>
      </c>
      <c r="D200" t="s">
        <v>2368</v>
      </c>
      <c r="E200" t="s">
        <v>108</v>
      </c>
      <c r="F200" t="s">
        <v>2371</v>
      </c>
      <c r="G200" t="s">
        <v>4297</v>
      </c>
      <c r="H200" t="s">
        <v>108</v>
      </c>
      <c r="I200" t="s">
        <v>3760</v>
      </c>
    </row>
    <row r="201" spans="1:9">
      <c r="A201" s="92" t="s">
        <v>4295</v>
      </c>
      <c r="B201" t="s">
        <v>1903</v>
      </c>
      <c r="C201" t="s">
        <v>2373</v>
      </c>
      <c r="D201" t="s">
        <v>2374</v>
      </c>
      <c r="E201" t="s">
        <v>108</v>
      </c>
      <c r="G201" t="s">
        <v>4297</v>
      </c>
      <c r="H201" t="s">
        <v>108</v>
      </c>
      <c r="I201" t="s">
        <v>3764</v>
      </c>
    </row>
    <row r="202" spans="1:9">
      <c r="A202" s="92" t="s">
        <v>4295</v>
      </c>
      <c r="B202" t="s">
        <v>1903</v>
      </c>
      <c r="C202" t="s">
        <v>2375</v>
      </c>
      <c r="D202" t="s">
        <v>2376</v>
      </c>
      <c r="E202" t="s">
        <v>108</v>
      </c>
      <c r="G202" t="s">
        <v>4297</v>
      </c>
      <c r="H202" t="s">
        <v>108</v>
      </c>
      <c r="I202" t="s">
        <v>3764</v>
      </c>
    </row>
    <row r="203" spans="1:9">
      <c r="A203" s="92" t="s">
        <v>4295</v>
      </c>
      <c r="B203" t="s">
        <v>1903</v>
      </c>
      <c r="C203" t="s">
        <v>2377</v>
      </c>
      <c r="D203" t="s">
        <v>2376</v>
      </c>
      <c r="E203" t="s">
        <v>108</v>
      </c>
      <c r="G203" t="s">
        <v>4297</v>
      </c>
      <c r="H203" t="s">
        <v>108</v>
      </c>
      <c r="I203" t="s">
        <v>3764</v>
      </c>
    </row>
    <row r="204" spans="1:9">
      <c r="A204" s="92" t="s">
        <v>4295</v>
      </c>
      <c r="B204" t="s">
        <v>1905</v>
      </c>
      <c r="C204" t="s">
        <v>2262</v>
      </c>
      <c r="D204" t="s">
        <v>2263</v>
      </c>
      <c r="E204" t="s">
        <v>2243</v>
      </c>
      <c r="F204" t="s">
        <v>2264</v>
      </c>
      <c r="G204" t="s">
        <v>4296</v>
      </c>
      <c r="H204" t="s">
        <v>2245</v>
      </c>
      <c r="I204" t="s">
        <v>3768</v>
      </c>
    </row>
    <row r="205" spans="1:9">
      <c r="A205" s="92" t="s">
        <v>4295</v>
      </c>
      <c r="B205" t="s">
        <v>1905</v>
      </c>
      <c r="C205" t="s">
        <v>2265</v>
      </c>
      <c r="D205" t="s">
        <v>2266</v>
      </c>
      <c r="E205" t="s">
        <v>2243</v>
      </c>
      <c r="F205" t="s">
        <v>2267</v>
      </c>
      <c r="G205" t="s">
        <v>4296</v>
      </c>
      <c r="H205" t="s">
        <v>2245</v>
      </c>
      <c r="I205" t="s">
        <v>3768</v>
      </c>
    </row>
    <row r="206" spans="1:9">
      <c r="A206" s="92" t="s">
        <v>4295</v>
      </c>
      <c r="B206" t="s">
        <v>1905</v>
      </c>
      <c r="C206" t="s">
        <v>2379</v>
      </c>
      <c r="D206" t="s">
        <v>2263</v>
      </c>
      <c r="E206" t="s">
        <v>2315</v>
      </c>
      <c r="F206" t="s">
        <v>2380</v>
      </c>
      <c r="G206" t="s">
        <v>4297</v>
      </c>
      <c r="H206" t="s">
        <v>2315</v>
      </c>
      <c r="I206" t="s">
        <v>3768</v>
      </c>
    </row>
    <row r="207" spans="1:9">
      <c r="A207" s="92" t="s">
        <v>4295</v>
      </c>
      <c r="B207" t="s">
        <v>1905</v>
      </c>
      <c r="C207" t="s">
        <v>2381</v>
      </c>
      <c r="D207" t="s">
        <v>2301</v>
      </c>
      <c r="E207" t="s">
        <v>108</v>
      </c>
      <c r="F207" t="s">
        <v>2382</v>
      </c>
      <c r="G207" t="s">
        <v>4297</v>
      </c>
      <c r="H207" t="s">
        <v>108</v>
      </c>
      <c r="I207" t="s">
        <v>3768</v>
      </c>
    </row>
    <row r="208" spans="1:9">
      <c r="A208" s="92" t="s">
        <v>4295</v>
      </c>
      <c r="B208" t="s">
        <v>1905</v>
      </c>
      <c r="C208" t="s">
        <v>2383</v>
      </c>
      <c r="D208" t="s">
        <v>2298</v>
      </c>
      <c r="E208" t="s">
        <v>108</v>
      </c>
      <c r="F208" t="s">
        <v>2384</v>
      </c>
      <c r="G208" t="s">
        <v>4297</v>
      </c>
      <c r="H208" t="s">
        <v>108</v>
      </c>
      <c r="I208" t="s">
        <v>3768</v>
      </c>
    </row>
    <row r="209" spans="1:9">
      <c r="A209" s="92" t="s">
        <v>4295</v>
      </c>
      <c r="B209" t="s">
        <v>1905</v>
      </c>
      <c r="C209" t="s">
        <v>2385</v>
      </c>
      <c r="D209" t="s">
        <v>2386</v>
      </c>
      <c r="E209" t="s">
        <v>108</v>
      </c>
      <c r="F209" t="s">
        <v>2387</v>
      </c>
      <c r="G209" t="s">
        <v>4297</v>
      </c>
      <c r="H209" t="s">
        <v>108</v>
      </c>
      <c r="I209" t="s">
        <v>3768</v>
      </c>
    </row>
    <row r="210" spans="1:9">
      <c r="A210" s="92" t="s">
        <v>4295</v>
      </c>
      <c r="B210" t="s">
        <v>1910</v>
      </c>
      <c r="C210" t="s">
        <v>2389</v>
      </c>
      <c r="D210" t="s">
        <v>2301</v>
      </c>
      <c r="E210" t="s">
        <v>108</v>
      </c>
      <c r="F210" t="s">
        <v>2390</v>
      </c>
      <c r="G210" t="s">
        <v>4297</v>
      </c>
      <c r="H210" t="s">
        <v>108</v>
      </c>
      <c r="I210" t="s">
        <v>3772</v>
      </c>
    </row>
    <row r="211" spans="1:9">
      <c r="A211" s="92" t="s">
        <v>4295</v>
      </c>
      <c r="B211" t="s">
        <v>1910</v>
      </c>
      <c r="C211" t="s">
        <v>2391</v>
      </c>
      <c r="D211" t="s">
        <v>2392</v>
      </c>
      <c r="E211" t="s">
        <v>108</v>
      </c>
      <c r="F211" t="s">
        <v>2393</v>
      </c>
      <c r="G211" t="s">
        <v>4297</v>
      </c>
      <c r="H211" t="s">
        <v>108</v>
      </c>
      <c r="I211" t="s">
        <v>3772</v>
      </c>
    </row>
    <row r="212" spans="1:9">
      <c r="A212" s="92" t="s">
        <v>4295</v>
      </c>
      <c r="B212" t="s">
        <v>1910</v>
      </c>
      <c r="C212" t="s">
        <v>2394</v>
      </c>
      <c r="D212" t="s">
        <v>2395</v>
      </c>
      <c r="E212" t="s">
        <v>108</v>
      </c>
      <c r="F212" t="s">
        <v>2396</v>
      </c>
      <c r="G212" t="s">
        <v>4297</v>
      </c>
      <c r="H212" t="s">
        <v>108</v>
      </c>
      <c r="I212" t="s">
        <v>3772</v>
      </c>
    </row>
    <row r="213" spans="1:9">
      <c r="A213" s="92" t="s">
        <v>4295</v>
      </c>
      <c r="B213" t="s">
        <v>1910</v>
      </c>
      <c r="C213" t="s">
        <v>2397</v>
      </c>
      <c r="D213" t="s">
        <v>2398</v>
      </c>
      <c r="E213" t="s">
        <v>2315</v>
      </c>
      <c r="G213" t="s">
        <v>4297</v>
      </c>
      <c r="H213" t="s">
        <v>2315</v>
      </c>
      <c r="I213" t="s">
        <v>3772</v>
      </c>
    </row>
    <row r="214" spans="1:9">
      <c r="A214" s="92" t="s">
        <v>4295</v>
      </c>
      <c r="B214" t="s">
        <v>1910</v>
      </c>
      <c r="C214" t="s">
        <v>2399</v>
      </c>
      <c r="D214" t="s">
        <v>2398</v>
      </c>
      <c r="E214" t="s">
        <v>2400</v>
      </c>
      <c r="G214" t="s">
        <v>4297</v>
      </c>
      <c r="H214" t="s">
        <v>108</v>
      </c>
      <c r="I214" t="s">
        <v>3772</v>
      </c>
    </row>
    <row r="215" spans="1:9">
      <c r="A215" s="92" t="s">
        <v>4295</v>
      </c>
      <c r="B215" t="s">
        <v>1912</v>
      </c>
      <c r="C215" t="s">
        <v>2402</v>
      </c>
      <c r="D215" t="s">
        <v>2403</v>
      </c>
      <c r="E215" t="s">
        <v>108</v>
      </c>
      <c r="G215" t="s">
        <v>4297</v>
      </c>
      <c r="H215" t="s">
        <v>108</v>
      </c>
      <c r="I215" t="s">
        <v>3776</v>
      </c>
    </row>
    <row r="216" spans="1:9">
      <c r="A216" s="92" t="s">
        <v>4295</v>
      </c>
      <c r="B216" t="s">
        <v>1912</v>
      </c>
      <c r="C216" t="s">
        <v>2404</v>
      </c>
      <c r="D216" t="s">
        <v>2403</v>
      </c>
      <c r="E216" t="s">
        <v>2315</v>
      </c>
      <c r="F216" t="s">
        <v>2405</v>
      </c>
      <c r="G216" t="s">
        <v>4297</v>
      </c>
      <c r="H216" t="s">
        <v>2315</v>
      </c>
      <c r="I216" t="s">
        <v>3776</v>
      </c>
    </row>
    <row r="217" spans="1:9">
      <c r="A217" s="92" t="s">
        <v>4295</v>
      </c>
      <c r="B217" t="s">
        <v>1912</v>
      </c>
      <c r="C217" t="s">
        <v>2406</v>
      </c>
      <c r="D217" t="s">
        <v>2407</v>
      </c>
      <c r="E217" t="s">
        <v>2408</v>
      </c>
      <c r="F217" t="s">
        <v>2410</v>
      </c>
      <c r="G217" t="s">
        <v>4298</v>
      </c>
      <c r="H217" t="s">
        <v>2458</v>
      </c>
      <c r="I217" t="s">
        <v>3776</v>
      </c>
    </row>
    <row r="218" spans="1:9">
      <c r="A218" s="92" t="s">
        <v>4295</v>
      </c>
      <c r="B218" t="s">
        <v>1912</v>
      </c>
      <c r="C218" t="s">
        <v>2411</v>
      </c>
      <c r="D218" t="s">
        <v>2407</v>
      </c>
      <c r="E218" t="s">
        <v>2331</v>
      </c>
      <c r="F218" t="s">
        <v>2412</v>
      </c>
      <c r="G218" t="s">
        <v>4297</v>
      </c>
      <c r="H218" t="s">
        <v>108</v>
      </c>
      <c r="I218" t="s">
        <v>3776</v>
      </c>
    </row>
    <row r="219" spans="1:9">
      <c r="A219" s="92" t="s">
        <v>4295</v>
      </c>
      <c r="B219" t="s">
        <v>1912</v>
      </c>
      <c r="C219" t="s">
        <v>2413</v>
      </c>
      <c r="D219" t="s">
        <v>2403</v>
      </c>
      <c r="E219" t="s">
        <v>2414</v>
      </c>
      <c r="G219" t="s">
        <v>4297</v>
      </c>
      <c r="H219" t="s">
        <v>108</v>
      </c>
      <c r="I219" t="s">
        <v>3776</v>
      </c>
    </row>
    <row r="220" spans="1:9">
      <c r="A220" s="92" t="s">
        <v>4295</v>
      </c>
      <c r="B220" t="s">
        <v>1912</v>
      </c>
      <c r="C220" t="s">
        <v>2415</v>
      </c>
      <c r="D220" t="s">
        <v>2403</v>
      </c>
      <c r="E220" t="s">
        <v>2416</v>
      </c>
      <c r="F220" t="s">
        <v>2417</v>
      </c>
      <c r="G220" t="s">
        <v>4297</v>
      </c>
      <c r="H220" t="s">
        <v>108</v>
      </c>
      <c r="I220" t="s">
        <v>3776</v>
      </c>
    </row>
    <row r="221" spans="1:9">
      <c r="A221" s="92" t="s">
        <v>4295</v>
      </c>
      <c r="B221" t="s">
        <v>1914</v>
      </c>
      <c r="C221" t="s">
        <v>2269</v>
      </c>
      <c r="E221" t="s">
        <v>2243</v>
      </c>
      <c r="F221" t="s">
        <v>2270</v>
      </c>
      <c r="G221" t="s">
        <v>4296</v>
      </c>
      <c r="H221" t="s">
        <v>2245</v>
      </c>
      <c r="I221" t="s">
        <v>3780</v>
      </c>
    </row>
    <row r="222" spans="1:9">
      <c r="A222" s="92" t="s">
        <v>4295</v>
      </c>
      <c r="B222" t="s">
        <v>1914</v>
      </c>
      <c r="C222" t="s">
        <v>2419</v>
      </c>
      <c r="D222" t="s">
        <v>2287</v>
      </c>
      <c r="E222" t="s">
        <v>2420</v>
      </c>
      <c r="F222" t="s">
        <v>2421</v>
      </c>
      <c r="G222" t="s">
        <v>4297</v>
      </c>
      <c r="H222" t="s">
        <v>108</v>
      </c>
      <c r="I222" t="s">
        <v>3780</v>
      </c>
    </row>
    <row r="223" spans="1:9">
      <c r="A223" s="92" t="s">
        <v>4295</v>
      </c>
      <c r="B223" t="s">
        <v>1914</v>
      </c>
      <c r="C223" t="s">
        <v>2422</v>
      </c>
      <c r="D223" t="s">
        <v>2423</v>
      </c>
      <c r="E223" t="s">
        <v>2424</v>
      </c>
      <c r="F223" t="s">
        <v>2425</v>
      </c>
      <c r="G223" t="s">
        <v>4297</v>
      </c>
      <c r="H223" t="s">
        <v>108</v>
      </c>
      <c r="I223" t="s">
        <v>3780</v>
      </c>
    </row>
    <row r="224" spans="1:9">
      <c r="A224" s="92" t="s">
        <v>4295</v>
      </c>
      <c r="B224" t="s">
        <v>1914</v>
      </c>
      <c r="C224" t="s">
        <v>2271</v>
      </c>
      <c r="D224" t="s">
        <v>2272</v>
      </c>
      <c r="E224" t="s">
        <v>2243</v>
      </c>
      <c r="F224" t="s">
        <v>2273</v>
      </c>
      <c r="G224" t="s">
        <v>4296</v>
      </c>
      <c r="H224" t="s">
        <v>2245</v>
      </c>
      <c r="I224" t="s">
        <v>3780</v>
      </c>
    </row>
    <row r="225" spans="1:9">
      <c r="A225" s="92" t="s">
        <v>4295</v>
      </c>
      <c r="B225" t="s">
        <v>1914</v>
      </c>
      <c r="C225" t="s">
        <v>2274</v>
      </c>
      <c r="E225" t="s">
        <v>2254</v>
      </c>
      <c r="G225" t="s">
        <v>4296</v>
      </c>
      <c r="H225" t="s">
        <v>2451</v>
      </c>
      <c r="I225" t="s">
        <v>3780</v>
      </c>
    </row>
    <row r="226" spans="1:9">
      <c r="A226" s="92" t="s">
        <v>4295</v>
      </c>
      <c r="B226" t="s">
        <v>1914</v>
      </c>
      <c r="C226" t="s">
        <v>2426</v>
      </c>
      <c r="D226" t="s">
        <v>2272</v>
      </c>
      <c r="E226" t="s">
        <v>2427</v>
      </c>
      <c r="F226" t="s">
        <v>2428</v>
      </c>
      <c r="G226" t="s">
        <v>4297</v>
      </c>
      <c r="H226" t="s">
        <v>2427</v>
      </c>
      <c r="I226" t="s">
        <v>3780</v>
      </c>
    </row>
    <row r="227" spans="1:9">
      <c r="A227" s="92" t="s">
        <v>3832</v>
      </c>
      <c r="B227" t="s">
        <v>1888</v>
      </c>
      <c r="C227" t="s">
        <v>2241</v>
      </c>
      <c r="D227" t="s">
        <v>2242</v>
      </c>
      <c r="E227" t="s">
        <v>2243</v>
      </c>
      <c r="F227" t="s">
        <v>2246</v>
      </c>
      <c r="G227" t="s">
        <v>4299</v>
      </c>
      <c r="H227" t="s">
        <v>2245</v>
      </c>
      <c r="I227" t="s">
        <v>3740</v>
      </c>
    </row>
    <row r="228" spans="1:9">
      <c r="A228" s="92" t="s">
        <v>3832</v>
      </c>
      <c r="B228" t="s">
        <v>1888</v>
      </c>
      <c r="C228" t="s">
        <v>2309</v>
      </c>
      <c r="E228" t="s">
        <v>2310</v>
      </c>
      <c r="G228" t="s">
        <v>4300</v>
      </c>
      <c r="H228" t="s">
        <v>1215</v>
      </c>
      <c r="I228" t="s">
        <v>3740</v>
      </c>
    </row>
    <row r="229" spans="1:9">
      <c r="A229" s="92" t="s">
        <v>3832</v>
      </c>
      <c r="B229" t="s">
        <v>1889</v>
      </c>
      <c r="C229" t="s">
        <v>2464</v>
      </c>
      <c r="D229" t="s">
        <v>2465</v>
      </c>
      <c r="E229" t="s">
        <v>2254</v>
      </c>
      <c r="G229" t="s">
        <v>4299</v>
      </c>
      <c r="H229" t="s">
        <v>2451</v>
      </c>
      <c r="I229" t="s">
        <v>3744</v>
      </c>
    </row>
    <row r="230" spans="1:9">
      <c r="A230" s="92" t="s">
        <v>3832</v>
      </c>
      <c r="B230" t="s">
        <v>1897</v>
      </c>
      <c r="C230" t="s">
        <v>2248</v>
      </c>
      <c r="D230" t="s">
        <v>2249</v>
      </c>
      <c r="E230" t="s">
        <v>2250</v>
      </c>
      <c r="G230" t="s">
        <v>4299</v>
      </c>
      <c r="H230" t="s">
        <v>2251</v>
      </c>
      <c r="I230" t="s">
        <v>3756</v>
      </c>
    </row>
    <row r="231" spans="1:9">
      <c r="A231" s="92" t="s">
        <v>3832</v>
      </c>
      <c r="B231" t="s">
        <v>1897</v>
      </c>
      <c r="C231" t="s">
        <v>2253</v>
      </c>
      <c r="D231" t="s">
        <v>2249</v>
      </c>
      <c r="E231" t="s">
        <v>2254</v>
      </c>
      <c r="G231" t="s">
        <v>4299</v>
      </c>
      <c r="H231" t="s">
        <v>2251</v>
      </c>
      <c r="I231" t="s">
        <v>3756</v>
      </c>
    </row>
    <row r="232" spans="1:9">
      <c r="A232" s="92" t="s">
        <v>3832</v>
      </c>
      <c r="B232" t="s">
        <v>1897</v>
      </c>
      <c r="C232" t="s">
        <v>2255</v>
      </c>
      <c r="D232" t="s">
        <v>2249</v>
      </c>
      <c r="E232" t="s">
        <v>2254</v>
      </c>
      <c r="G232" t="s">
        <v>4299</v>
      </c>
      <c r="H232" t="s">
        <v>2251</v>
      </c>
      <c r="I232" t="s">
        <v>3756</v>
      </c>
    </row>
    <row r="233" spans="1:9">
      <c r="A233" s="92" t="s">
        <v>3832</v>
      </c>
      <c r="B233" t="s">
        <v>1897</v>
      </c>
      <c r="C233" t="s">
        <v>2256</v>
      </c>
      <c r="D233" t="s">
        <v>2257</v>
      </c>
      <c r="E233" t="s">
        <v>2254</v>
      </c>
      <c r="G233" t="s">
        <v>4299</v>
      </c>
      <c r="H233" t="s">
        <v>2251</v>
      </c>
      <c r="I233" t="s">
        <v>3756</v>
      </c>
    </row>
    <row r="234" spans="1:9">
      <c r="A234" s="92" t="s">
        <v>3832</v>
      </c>
      <c r="B234" t="s">
        <v>1897</v>
      </c>
      <c r="C234" t="s">
        <v>2258</v>
      </c>
      <c r="E234" t="s">
        <v>2254</v>
      </c>
      <c r="G234" t="s">
        <v>4299</v>
      </c>
      <c r="H234" t="s">
        <v>2251</v>
      </c>
      <c r="I234" t="s">
        <v>3756</v>
      </c>
    </row>
    <row r="235" spans="1:9">
      <c r="A235" s="92" t="s">
        <v>3832</v>
      </c>
      <c r="B235" t="s">
        <v>1897</v>
      </c>
      <c r="C235" t="s">
        <v>2259</v>
      </c>
      <c r="E235" t="s">
        <v>2254</v>
      </c>
      <c r="G235" t="s">
        <v>4299</v>
      </c>
      <c r="H235" t="s">
        <v>2251</v>
      </c>
      <c r="I235" t="s">
        <v>3756</v>
      </c>
    </row>
    <row r="236" spans="1:9">
      <c r="A236" s="92" t="s">
        <v>3832</v>
      </c>
      <c r="B236" t="s">
        <v>1897</v>
      </c>
      <c r="C236" t="s">
        <v>2260</v>
      </c>
      <c r="E236" t="s">
        <v>2254</v>
      </c>
      <c r="G236" t="s">
        <v>4299</v>
      </c>
      <c r="H236" t="s">
        <v>2251</v>
      </c>
      <c r="I236" t="s">
        <v>3756</v>
      </c>
    </row>
    <row r="237" spans="1:9">
      <c r="A237" s="92" t="s">
        <v>3832</v>
      </c>
      <c r="B237" t="s">
        <v>1899</v>
      </c>
      <c r="C237" t="s">
        <v>2469</v>
      </c>
      <c r="D237" t="s">
        <v>2465</v>
      </c>
      <c r="E237" t="s">
        <v>2470</v>
      </c>
      <c r="G237" t="s">
        <v>4296</v>
      </c>
      <c r="H237" t="s">
        <v>2470</v>
      </c>
      <c r="I237" t="s">
        <v>3758</v>
      </c>
    </row>
    <row r="238" spans="1:9">
      <c r="A238" s="92" t="s">
        <v>3832</v>
      </c>
      <c r="B238" t="s">
        <v>1899</v>
      </c>
      <c r="C238" t="s">
        <v>2471</v>
      </c>
      <c r="D238" t="s">
        <v>2465</v>
      </c>
      <c r="E238" t="s">
        <v>2254</v>
      </c>
      <c r="G238" t="s">
        <v>4299</v>
      </c>
      <c r="H238" t="s">
        <v>2451</v>
      </c>
      <c r="I238" t="s">
        <v>3758</v>
      </c>
    </row>
    <row r="239" spans="1:9">
      <c r="A239" s="92" t="s">
        <v>3832</v>
      </c>
      <c r="B239" t="s">
        <v>1899</v>
      </c>
      <c r="C239" t="s">
        <v>2472</v>
      </c>
      <c r="D239" t="s">
        <v>2465</v>
      </c>
      <c r="E239" t="s">
        <v>2254</v>
      </c>
      <c r="G239" t="s">
        <v>4299</v>
      </c>
      <c r="H239" t="s">
        <v>2451</v>
      </c>
      <c r="I239" t="s">
        <v>3758</v>
      </c>
    </row>
    <row r="240" spans="1:9">
      <c r="A240" s="92" t="s">
        <v>3832</v>
      </c>
      <c r="B240" t="s">
        <v>1902</v>
      </c>
      <c r="C240" t="s">
        <v>2474</v>
      </c>
      <c r="D240" t="s">
        <v>2465</v>
      </c>
      <c r="E240" t="s">
        <v>2254</v>
      </c>
      <c r="G240" t="s">
        <v>4299</v>
      </c>
      <c r="H240" t="s">
        <v>2451</v>
      </c>
      <c r="I240" t="s">
        <v>3760</v>
      </c>
    </row>
    <row r="241" spans="1:9">
      <c r="A241" s="92" t="s">
        <v>3832</v>
      </c>
      <c r="B241" t="s">
        <v>1905</v>
      </c>
      <c r="C241" t="s">
        <v>2262</v>
      </c>
      <c r="D241" t="s">
        <v>2263</v>
      </c>
      <c r="E241" t="s">
        <v>2243</v>
      </c>
      <c r="F241" t="s">
        <v>2264</v>
      </c>
      <c r="G241" t="s">
        <v>4299</v>
      </c>
      <c r="H241" t="s">
        <v>2245</v>
      </c>
      <c r="I241" t="s">
        <v>3768</v>
      </c>
    </row>
    <row r="242" spans="1:9">
      <c r="A242" s="92" t="s">
        <v>3832</v>
      </c>
      <c r="B242" t="s">
        <v>1905</v>
      </c>
      <c r="C242" t="s">
        <v>2265</v>
      </c>
      <c r="D242" t="s">
        <v>2266</v>
      </c>
      <c r="E242" t="s">
        <v>2243</v>
      </c>
      <c r="F242" t="s">
        <v>2267</v>
      </c>
      <c r="G242" t="s">
        <v>4299</v>
      </c>
      <c r="H242" t="s">
        <v>2245</v>
      </c>
      <c r="I242" t="s">
        <v>3768</v>
      </c>
    </row>
    <row r="243" spans="1:9">
      <c r="A243" s="92" t="s">
        <v>3832</v>
      </c>
      <c r="B243" t="s">
        <v>1910</v>
      </c>
      <c r="C243" t="s">
        <v>2477</v>
      </c>
      <c r="D243" t="s">
        <v>2465</v>
      </c>
      <c r="E243" t="s">
        <v>2243</v>
      </c>
      <c r="G243" t="s">
        <v>4299</v>
      </c>
      <c r="H243" t="s">
        <v>2245</v>
      </c>
      <c r="I243" t="s">
        <v>3772</v>
      </c>
    </row>
    <row r="244" spans="1:9">
      <c r="A244" s="92" t="s">
        <v>3832</v>
      </c>
      <c r="B244" t="s">
        <v>1910</v>
      </c>
      <c r="C244" t="s">
        <v>2478</v>
      </c>
      <c r="D244" t="s">
        <v>2465</v>
      </c>
      <c r="E244" t="s">
        <v>2479</v>
      </c>
      <c r="F244" t="s">
        <v>2481</v>
      </c>
      <c r="G244" t="s">
        <v>4299</v>
      </c>
      <c r="H244" t="s">
        <v>2480</v>
      </c>
      <c r="I244" t="s">
        <v>3772</v>
      </c>
    </row>
    <row r="245" spans="1:9">
      <c r="A245" s="92" t="s">
        <v>3832</v>
      </c>
      <c r="B245" t="s">
        <v>1912</v>
      </c>
      <c r="C245" t="s">
        <v>2406</v>
      </c>
      <c r="D245" t="s">
        <v>2407</v>
      </c>
      <c r="E245" t="s">
        <v>2408</v>
      </c>
      <c r="F245" t="s">
        <v>2410</v>
      </c>
      <c r="G245" t="s">
        <v>4300</v>
      </c>
      <c r="H245" t="s">
        <v>2458</v>
      </c>
      <c r="I245" t="s">
        <v>3776</v>
      </c>
    </row>
    <row r="246" spans="1:9">
      <c r="A246" s="92" t="s">
        <v>3832</v>
      </c>
      <c r="B246" t="s">
        <v>1914</v>
      </c>
      <c r="C246" t="s">
        <v>2269</v>
      </c>
      <c r="E246" t="s">
        <v>2243</v>
      </c>
      <c r="F246" t="s">
        <v>2270</v>
      </c>
      <c r="G246" t="s">
        <v>4299</v>
      </c>
      <c r="H246" t="s">
        <v>2245</v>
      </c>
      <c r="I246" t="s">
        <v>3780</v>
      </c>
    </row>
    <row r="247" spans="1:9">
      <c r="A247" s="92" t="s">
        <v>3832</v>
      </c>
      <c r="B247" t="s">
        <v>1914</v>
      </c>
      <c r="C247" t="s">
        <v>2271</v>
      </c>
      <c r="D247" t="s">
        <v>2272</v>
      </c>
      <c r="E247" t="s">
        <v>2243</v>
      </c>
      <c r="F247" t="s">
        <v>2273</v>
      </c>
      <c r="G247" t="s">
        <v>4299</v>
      </c>
      <c r="H247" t="s">
        <v>2245</v>
      </c>
      <c r="I247" t="s">
        <v>3780</v>
      </c>
    </row>
    <row r="248" spans="1:9">
      <c r="A248" s="92" t="s">
        <v>3832</v>
      </c>
      <c r="B248" t="s">
        <v>1914</v>
      </c>
      <c r="C248" t="s">
        <v>2274</v>
      </c>
      <c r="E248" t="s">
        <v>2254</v>
      </c>
      <c r="G248" t="s">
        <v>4299</v>
      </c>
      <c r="H248" t="s">
        <v>2251</v>
      </c>
      <c r="I248" t="s">
        <v>3780</v>
      </c>
    </row>
    <row r="249" spans="1:9">
      <c r="A249" s="92" t="s">
        <v>3832</v>
      </c>
      <c r="B249" t="s">
        <v>1914</v>
      </c>
      <c r="C249" t="s">
        <v>2484</v>
      </c>
      <c r="D249" t="s">
        <v>2465</v>
      </c>
      <c r="E249" t="s">
        <v>108</v>
      </c>
      <c r="G249" t="s">
        <v>4296</v>
      </c>
      <c r="H249" t="s">
        <v>108</v>
      </c>
      <c r="I249" t="s">
        <v>3780</v>
      </c>
    </row>
    <row r="250" spans="1:9">
      <c r="A250" s="92" t="s">
        <v>3849</v>
      </c>
      <c r="B250" t="s">
        <v>1869</v>
      </c>
      <c r="C250" t="s">
        <v>2465</v>
      </c>
      <c r="D250" t="s">
        <v>2465</v>
      </c>
      <c r="E250" t="s">
        <v>2254</v>
      </c>
      <c r="F250" t="s">
        <v>2487</v>
      </c>
      <c r="G250" t="s">
        <v>4301</v>
      </c>
      <c r="H250" t="s">
        <v>2451</v>
      </c>
      <c r="I250" t="s">
        <v>3709</v>
      </c>
    </row>
    <row r="251" spans="1:9">
      <c r="A251" s="92" t="s">
        <v>3849</v>
      </c>
      <c r="B251" t="s">
        <v>1872</v>
      </c>
      <c r="C251" t="s">
        <v>2465</v>
      </c>
      <c r="D251" t="s">
        <v>2465</v>
      </c>
      <c r="E251" t="s">
        <v>2254</v>
      </c>
      <c r="F251" t="s">
        <v>2489</v>
      </c>
      <c r="G251" t="s">
        <v>4301</v>
      </c>
      <c r="H251" t="s">
        <v>2451</v>
      </c>
      <c r="I251" t="s">
        <v>3713</v>
      </c>
    </row>
    <row r="252" spans="1:9">
      <c r="A252" s="92" t="s">
        <v>3849</v>
      </c>
      <c r="B252" t="s">
        <v>1875</v>
      </c>
      <c r="C252" t="s">
        <v>2465</v>
      </c>
      <c r="D252" t="s">
        <v>2465</v>
      </c>
      <c r="E252" t="s">
        <v>2254</v>
      </c>
      <c r="F252" t="s">
        <v>2487</v>
      </c>
      <c r="G252" t="s">
        <v>4301</v>
      </c>
      <c r="H252" t="s">
        <v>2451</v>
      </c>
      <c r="I252" t="s">
        <v>3717</v>
      </c>
    </row>
    <row r="253" spans="1:9">
      <c r="A253" s="92" t="s">
        <v>3849</v>
      </c>
      <c r="B253" t="s">
        <v>1878</v>
      </c>
      <c r="C253" t="s">
        <v>2465</v>
      </c>
      <c r="D253" t="s">
        <v>2465</v>
      </c>
      <c r="E253" t="s">
        <v>2254</v>
      </c>
      <c r="F253" t="s">
        <v>2492</v>
      </c>
      <c r="G253" t="s">
        <v>4301</v>
      </c>
      <c r="H253" t="s">
        <v>2451</v>
      </c>
      <c r="I253" t="s">
        <v>3721</v>
      </c>
    </row>
    <row r="254" spans="1:9">
      <c r="A254" s="92" t="s">
        <v>3849</v>
      </c>
      <c r="B254" t="s">
        <v>1880</v>
      </c>
      <c r="C254" t="s">
        <v>2465</v>
      </c>
      <c r="D254" t="s">
        <v>2465</v>
      </c>
      <c r="E254" t="s">
        <v>2254</v>
      </c>
      <c r="F254" t="s">
        <v>2489</v>
      </c>
      <c r="G254" t="s">
        <v>4301</v>
      </c>
      <c r="H254" t="s">
        <v>2451</v>
      </c>
      <c r="I254" t="s">
        <v>3725</v>
      </c>
    </row>
    <row r="255" spans="1:9">
      <c r="A255" s="92" t="s">
        <v>3849</v>
      </c>
      <c r="B255" t="s">
        <v>1884</v>
      </c>
      <c r="C255" t="s">
        <v>2465</v>
      </c>
      <c r="D255" t="s">
        <v>2465</v>
      </c>
      <c r="E255" t="s">
        <v>2254</v>
      </c>
      <c r="F255" t="s">
        <v>2489</v>
      </c>
      <c r="G255" t="s">
        <v>4301</v>
      </c>
      <c r="H255" t="s">
        <v>2451</v>
      </c>
      <c r="I255" t="s">
        <v>3729</v>
      </c>
    </row>
    <row r="256" spans="1:9">
      <c r="A256" s="92" t="s">
        <v>3849</v>
      </c>
      <c r="B256" t="s">
        <v>1886</v>
      </c>
      <c r="C256" t="s">
        <v>2465</v>
      </c>
      <c r="D256" t="s">
        <v>2465</v>
      </c>
      <c r="E256" t="s">
        <v>2254</v>
      </c>
      <c r="F256" t="s">
        <v>2489</v>
      </c>
      <c r="G256" t="s">
        <v>4301</v>
      </c>
      <c r="H256" t="s">
        <v>2451</v>
      </c>
      <c r="I256" t="s">
        <v>3733</v>
      </c>
    </row>
    <row r="257" spans="1:9">
      <c r="A257" s="92" t="s">
        <v>3849</v>
      </c>
      <c r="B257" t="s">
        <v>1887</v>
      </c>
      <c r="C257" t="s">
        <v>2465</v>
      </c>
      <c r="D257" t="s">
        <v>2465</v>
      </c>
      <c r="E257" t="s">
        <v>2254</v>
      </c>
      <c r="F257" t="s">
        <v>2489</v>
      </c>
      <c r="G257" t="s">
        <v>4301</v>
      </c>
      <c r="H257" t="s">
        <v>2451</v>
      </c>
      <c r="I257" t="s">
        <v>3737</v>
      </c>
    </row>
    <row r="258" spans="1:9">
      <c r="A258" s="92" t="s">
        <v>3849</v>
      </c>
      <c r="B258" t="s">
        <v>1888</v>
      </c>
      <c r="C258" t="s">
        <v>2276</v>
      </c>
      <c r="D258" t="s">
        <v>2277</v>
      </c>
      <c r="E258" t="s">
        <v>1565</v>
      </c>
      <c r="F258" t="s">
        <v>2279</v>
      </c>
      <c r="G258" t="s">
        <v>4302</v>
      </c>
      <c r="H258" t="s">
        <v>1565</v>
      </c>
      <c r="I258" t="s">
        <v>3740</v>
      </c>
    </row>
    <row r="259" spans="1:9">
      <c r="A259" s="92" t="s">
        <v>3849</v>
      </c>
      <c r="B259" t="s">
        <v>1888</v>
      </c>
      <c r="C259" t="s">
        <v>2309</v>
      </c>
      <c r="E259" t="s">
        <v>2310</v>
      </c>
      <c r="G259" t="s">
        <v>4302</v>
      </c>
      <c r="H259" t="s">
        <v>2311</v>
      </c>
      <c r="I259" t="s">
        <v>3740</v>
      </c>
    </row>
    <row r="260" spans="1:9">
      <c r="A260" s="92" t="s">
        <v>3849</v>
      </c>
      <c r="B260" t="s">
        <v>1888</v>
      </c>
      <c r="C260" t="s">
        <v>2312</v>
      </c>
      <c r="D260" t="s">
        <v>2242</v>
      </c>
      <c r="E260" t="s">
        <v>108</v>
      </c>
      <c r="G260" t="s">
        <v>4303</v>
      </c>
      <c r="H260" t="s">
        <v>108</v>
      </c>
      <c r="I260" t="s">
        <v>3740</v>
      </c>
    </row>
    <row r="261" spans="1:9">
      <c r="A261" s="92" t="s">
        <v>3849</v>
      </c>
      <c r="B261" t="s">
        <v>1888</v>
      </c>
      <c r="C261" t="s">
        <v>2313</v>
      </c>
      <c r="D261" t="s">
        <v>2314</v>
      </c>
      <c r="E261" t="s">
        <v>2315</v>
      </c>
      <c r="F261" t="s">
        <v>2316</v>
      </c>
      <c r="G261" t="s">
        <v>4303</v>
      </c>
      <c r="H261" t="s">
        <v>2315</v>
      </c>
      <c r="I261" t="s">
        <v>3740</v>
      </c>
    </row>
    <row r="262" spans="1:9">
      <c r="A262" s="92" t="s">
        <v>3849</v>
      </c>
      <c r="B262" t="s">
        <v>1888</v>
      </c>
      <c r="C262" t="s">
        <v>2317</v>
      </c>
      <c r="E262" t="s">
        <v>108</v>
      </c>
      <c r="G262" t="s">
        <v>4303</v>
      </c>
      <c r="H262" t="s">
        <v>108</v>
      </c>
      <c r="I262" t="s">
        <v>3740</v>
      </c>
    </row>
    <row r="263" spans="1:9">
      <c r="A263" s="92" t="s">
        <v>3849</v>
      </c>
      <c r="B263" t="s">
        <v>1889</v>
      </c>
      <c r="C263" t="s">
        <v>2319</v>
      </c>
      <c r="D263" t="s">
        <v>2249</v>
      </c>
      <c r="E263" t="s">
        <v>108</v>
      </c>
      <c r="G263" t="s">
        <v>4303</v>
      </c>
      <c r="H263" t="s">
        <v>108</v>
      </c>
      <c r="I263" t="s">
        <v>3744</v>
      </c>
    </row>
    <row r="264" spans="1:9">
      <c r="A264" s="92" t="s">
        <v>3849</v>
      </c>
      <c r="B264" t="s">
        <v>1889</v>
      </c>
      <c r="C264" t="s">
        <v>2320</v>
      </c>
      <c r="D264" t="s">
        <v>2321</v>
      </c>
      <c r="E264" t="s">
        <v>108</v>
      </c>
      <c r="F264" t="s">
        <v>2322</v>
      </c>
      <c r="G264" t="s">
        <v>4303</v>
      </c>
      <c r="H264" t="s">
        <v>108</v>
      </c>
      <c r="I264" t="s">
        <v>3744</v>
      </c>
    </row>
    <row r="265" spans="1:9">
      <c r="A265" s="92" t="s">
        <v>3849</v>
      </c>
      <c r="B265" t="s">
        <v>1889</v>
      </c>
      <c r="C265" t="s">
        <v>2323</v>
      </c>
      <c r="D265" t="s">
        <v>2321</v>
      </c>
      <c r="E265" t="s">
        <v>108</v>
      </c>
      <c r="G265" t="s">
        <v>4303</v>
      </c>
      <c r="H265" t="s">
        <v>108</v>
      </c>
      <c r="I265" t="s">
        <v>3744</v>
      </c>
    </row>
    <row r="266" spans="1:9">
      <c r="A266" s="92" t="s">
        <v>3849</v>
      </c>
      <c r="B266" t="s">
        <v>1889</v>
      </c>
      <c r="C266" t="s">
        <v>2324</v>
      </c>
      <c r="D266" t="s">
        <v>2325</v>
      </c>
      <c r="E266" t="s">
        <v>108</v>
      </c>
      <c r="F266" t="s">
        <v>2326</v>
      </c>
      <c r="G266" t="s">
        <v>4303</v>
      </c>
      <c r="H266" t="s">
        <v>108</v>
      </c>
      <c r="I266" t="s">
        <v>3744</v>
      </c>
    </row>
    <row r="267" spans="1:9">
      <c r="A267" s="92" t="s">
        <v>3849</v>
      </c>
      <c r="B267" t="s">
        <v>3515</v>
      </c>
      <c r="C267" t="s">
        <v>2328</v>
      </c>
      <c r="D267" t="s">
        <v>2282</v>
      </c>
      <c r="E267" t="s">
        <v>108</v>
      </c>
      <c r="G267" t="s">
        <v>4303</v>
      </c>
      <c r="H267" t="s">
        <v>108</v>
      </c>
      <c r="I267" t="s">
        <v>3748</v>
      </c>
    </row>
    <row r="268" spans="1:9">
      <c r="A268" s="92" t="s">
        <v>3849</v>
      </c>
      <c r="B268" t="s">
        <v>3515</v>
      </c>
      <c r="C268" t="s">
        <v>2281</v>
      </c>
      <c r="D268" t="s">
        <v>2282</v>
      </c>
      <c r="E268" t="s">
        <v>2283</v>
      </c>
      <c r="G268" t="s">
        <v>4303</v>
      </c>
      <c r="H268" t="s">
        <v>108</v>
      </c>
      <c r="I268" t="s">
        <v>3748</v>
      </c>
    </row>
    <row r="269" spans="1:9">
      <c r="A269" s="92" t="s">
        <v>3849</v>
      </c>
      <c r="B269" t="s">
        <v>3515</v>
      </c>
      <c r="C269" t="s">
        <v>2330</v>
      </c>
      <c r="D269" t="s">
        <v>2282</v>
      </c>
      <c r="E269" t="s">
        <v>2331</v>
      </c>
      <c r="F269" t="s">
        <v>2332</v>
      </c>
      <c r="G269" t="s">
        <v>4303</v>
      </c>
      <c r="H269" t="s">
        <v>108</v>
      </c>
      <c r="I269" t="s">
        <v>3748</v>
      </c>
    </row>
    <row r="270" spans="1:9">
      <c r="A270" s="92" t="s">
        <v>3849</v>
      </c>
      <c r="B270" t="s">
        <v>3515</v>
      </c>
      <c r="C270" t="s">
        <v>2333</v>
      </c>
      <c r="D270" t="s">
        <v>2282</v>
      </c>
      <c r="E270" t="s">
        <v>108</v>
      </c>
      <c r="G270" t="s">
        <v>4303</v>
      </c>
      <c r="H270" t="s">
        <v>108</v>
      </c>
      <c r="I270" t="s">
        <v>3748</v>
      </c>
    </row>
    <row r="271" spans="1:9">
      <c r="A271" s="92" t="s">
        <v>3849</v>
      </c>
      <c r="B271" t="s">
        <v>1895</v>
      </c>
      <c r="C271" t="s">
        <v>2335</v>
      </c>
      <c r="D271" t="s">
        <v>2336</v>
      </c>
      <c r="E271" t="s">
        <v>2337</v>
      </c>
      <c r="G271" t="s">
        <v>4303</v>
      </c>
      <c r="H271" t="s">
        <v>108</v>
      </c>
      <c r="I271" t="s">
        <v>3752</v>
      </c>
    </row>
    <row r="272" spans="1:9">
      <c r="A272" s="92" t="s">
        <v>3849</v>
      </c>
      <c r="B272" t="s">
        <v>1895</v>
      </c>
      <c r="C272" t="s">
        <v>2289</v>
      </c>
      <c r="E272" t="s">
        <v>552</v>
      </c>
      <c r="F272" t="s">
        <v>2290</v>
      </c>
      <c r="G272" t="s">
        <v>4302</v>
      </c>
      <c r="H272" t="s">
        <v>552</v>
      </c>
      <c r="I272" t="s">
        <v>3752</v>
      </c>
    </row>
    <row r="273" spans="1:9">
      <c r="A273" s="92" t="s">
        <v>3849</v>
      </c>
      <c r="B273" t="s">
        <v>1895</v>
      </c>
      <c r="C273" t="s">
        <v>2338</v>
      </c>
      <c r="D273" t="s">
        <v>2336</v>
      </c>
      <c r="E273" t="s">
        <v>2339</v>
      </c>
      <c r="G273" t="s">
        <v>4303</v>
      </c>
      <c r="H273" t="s">
        <v>108</v>
      </c>
      <c r="I273" t="s">
        <v>3752</v>
      </c>
    </row>
    <row r="274" spans="1:9">
      <c r="A274" s="92" t="s">
        <v>3849</v>
      </c>
      <c r="B274" t="s">
        <v>1895</v>
      </c>
      <c r="C274" t="s">
        <v>2340</v>
      </c>
      <c r="D274" t="s">
        <v>2341</v>
      </c>
      <c r="E274" t="s">
        <v>108</v>
      </c>
      <c r="F274" t="s">
        <v>2342</v>
      </c>
      <c r="G274" t="s">
        <v>4303</v>
      </c>
      <c r="H274" t="s">
        <v>108</v>
      </c>
      <c r="I274" t="s">
        <v>3752</v>
      </c>
    </row>
    <row r="275" spans="1:9">
      <c r="A275" s="92" t="s">
        <v>3849</v>
      </c>
      <c r="B275" t="s">
        <v>1895</v>
      </c>
      <c r="C275" t="s">
        <v>2343</v>
      </c>
      <c r="D275" t="s">
        <v>2341</v>
      </c>
      <c r="E275" t="s">
        <v>108</v>
      </c>
      <c r="G275" t="s">
        <v>4303</v>
      </c>
      <c r="H275" t="s">
        <v>108</v>
      </c>
      <c r="I275" t="s">
        <v>3752</v>
      </c>
    </row>
    <row r="276" spans="1:9">
      <c r="A276" s="92" t="s">
        <v>3849</v>
      </c>
      <c r="B276" t="s">
        <v>1897</v>
      </c>
      <c r="C276" t="s">
        <v>2345</v>
      </c>
      <c r="D276" t="s">
        <v>2346</v>
      </c>
      <c r="E276" t="s">
        <v>108</v>
      </c>
      <c r="F276" t="s">
        <v>2347</v>
      </c>
      <c r="G276" t="s">
        <v>4303</v>
      </c>
      <c r="H276" t="s">
        <v>108</v>
      </c>
      <c r="I276" t="s">
        <v>3756</v>
      </c>
    </row>
    <row r="277" spans="1:9">
      <c r="A277" s="92" t="s">
        <v>3849</v>
      </c>
      <c r="B277" t="s">
        <v>1897</v>
      </c>
      <c r="C277" t="s">
        <v>2248</v>
      </c>
      <c r="D277" t="s">
        <v>2249</v>
      </c>
      <c r="E277" t="s">
        <v>2250</v>
      </c>
      <c r="G277" t="s">
        <v>4301</v>
      </c>
      <c r="H277" t="s">
        <v>2435</v>
      </c>
      <c r="I277" t="s">
        <v>3756</v>
      </c>
    </row>
    <row r="278" spans="1:9">
      <c r="A278" s="92" t="s">
        <v>3849</v>
      </c>
      <c r="B278" t="s">
        <v>1897</v>
      </c>
      <c r="C278" t="s">
        <v>2253</v>
      </c>
      <c r="D278" t="s">
        <v>2249</v>
      </c>
      <c r="E278" t="s">
        <v>2254</v>
      </c>
      <c r="G278" t="s">
        <v>4301</v>
      </c>
      <c r="H278" t="s">
        <v>2435</v>
      </c>
      <c r="I278" t="s">
        <v>3756</v>
      </c>
    </row>
    <row r="279" spans="1:9">
      <c r="A279" s="92" t="s">
        <v>3849</v>
      </c>
      <c r="B279" t="s">
        <v>1897</v>
      </c>
      <c r="C279" t="s">
        <v>2255</v>
      </c>
      <c r="D279" t="s">
        <v>2249</v>
      </c>
      <c r="E279" t="s">
        <v>2254</v>
      </c>
      <c r="G279" t="s">
        <v>4301</v>
      </c>
      <c r="H279" t="s">
        <v>2435</v>
      </c>
      <c r="I279" t="s">
        <v>3756</v>
      </c>
    </row>
    <row r="280" spans="1:9">
      <c r="A280" s="92" t="s">
        <v>3849</v>
      </c>
      <c r="B280" t="s">
        <v>1897</v>
      </c>
      <c r="C280" t="s">
        <v>2256</v>
      </c>
      <c r="D280" t="s">
        <v>2257</v>
      </c>
      <c r="E280" t="s">
        <v>2254</v>
      </c>
      <c r="G280" t="s">
        <v>4301</v>
      </c>
      <c r="H280" t="s">
        <v>2435</v>
      </c>
      <c r="I280" t="s">
        <v>3756</v>
      </c>
    </row>
    <row r="281" spans="1:9">
      <c r="A281" s="92" t="s">
        <v>3849</v>
      </c>
      <c r="B281" t="s">
        <v>1897</v>
      </c>
      <c r="C281" t="s">
        <v>2258</v>
      </c>
      <c r="E281" t="s">
        <v>2254</v>
      </c>
      <c r="G281" t="s">
        <v>4301</v>
      </c>
      <c r="H281" t="s">
        <v>2435</v>
      </c>
      <c r="I281" t="s">
        <v>3756</v>
      </c>
    </row>
    <row r="282" spans="1:9">
      <c r="A282" s="92" t="s">
        <v>3849</v>
      </c>
      <c r="B282" t="s">
        <v>1897</v>
      </c>
      <c r="C282" t="s">
        <v>2259</v>
      </c>
      <c r="E282" t="s">
        <v>2254</v>
      </c>
      <c r="G282" t="s">
        <v>4301</v>
      </c>
      <c r="H282" t="s">
        <v>2435</v>
      </c>
      <c r="I282" t="s">
        <v>3756</v>
      </c>
    </row>
    <row r="283" spans="1:9">
      <c r="A283" s="92" t="s">
        <v>3849</v>
      </c>
      <c r="B283" t="s">
        <v>1897</v>
      </c>
      <c r="C283" t="s">
        <v>2260</v>
      </c>
      <c r="E283" t="s">
        <v>2254</v>
      </c>
      <c r="G283" t="s">
        <v>4301</v>
      </c>
      <c r="H283" t="s">
        <v>2435</v>
      </c>
      <c r="I283" t="s">
        <v>3756</v>
      </c>
    </row>
    <row r="284" spans="1:9">
      <c r="A284" s="92" t="s">
        <v>3849</v>
      </c>
      <c r="B284" t="s">
        <v>1899</v>
      </c>
      <c r="C284" t="s">
        <v>2350</v>
      </c>
      <c r="D284" t="s">
        <v>2351</v>
      </c>
      <c r="E284" t="s">
        <v>108</v>
      </c>
      <c r="G284" t="s">
        <v>4303</v>
      </c>
      <c r="H284" t="s">
        <v>108</v>
      </c>
      <c r="I284" t="s">
        <v>3758</v>
      </c>
    </row>
    <row r="285" spans="1:9">
      <c r="A285" s="92" t="s">
        <v>3849</v>
      </c>
      <c r="B285" t="s">
        <v>1899</v>
      </c>
      <c r="C285" t="s">
        <v>2352</v>
      </c>
      <c r="E285" t="s">
        <v>2337</v>
      </c>
      <c r="G285" t="s">
        <v>4303</v>
      </c>
      <c r="H285" t="s">
        <v>108</v>
      </c>
      <c r="I285" t="s">
        <v>3758</v>
      </c>
    </row>
    <row r="286" spans="1:9">
      <c r="A286" s="92" t="s">
        <v>3849</v>
      </c>
      <c r="B286" t="s">
        <v>1899</v>
      </c>
      <c r="C286" t="s">
        <v>2353</v>
      </c>
      <c r="D286" t="s">
        <v>2351</v>
      </c>
      <c r="E286" t="s">
        <v>2354</v>
      </c>
      <c r="F286" t="s">
        <v>2355</v>
      </c>
      <c r="G286" t="s">
        <v>4303</v>
      </c>
      <c r="H286" t="s">
        <v>108</v>
      </c>
      <c r="I286" t="s">
        <v>3758</v>
      </c>
    </row>
    <row r="287" spans="1:9">
      <c r="A287" s="92" t="s">
        <v>3849</v>
      </c>
      <c r="B287" t="s">
        <v>1899</v>
      </c>
      <c r="C287" t="s">
        <v>2356</v>
      </c>
      <c r="D287" t="s">
        <v>2351</v>
      </c>
      <c r="E287" t="s">
        <v>2315</v>
      </c>
      <c r="G287" t="s">
        <v>4303</v>
      </c>
      <c r="H287" t="s">
        <v>2315</v>
      </c>
      <c r="I287" t="s">
        <v>3758</v>
      </c>
    </row>
    <row r="288" spans="1:9">
      <c r="A288" s="92" t="s">
        <v>3849</v>
      </c>
      <c r="B288" t="s">
        <v>1899</v>
      </c>
      <c r="C288" t="s">
        <v>2357</v>
      </c>
      <c r="D288" t="s">
        <v>2358</v>
      </c>
      <c r="E288" t="s">
        <v>108</v>
      </c>
      <c r="G288" t="s">
        <v>4303</v>
      </c>
      <c r="H288" t="s">
        <v>108</v>
      </c>
      <c r="I288" t="s">
        <v>3758</v>
      </c>
    </row>
    <row r="289" spans="1:9">
      <c r="A289" s="92" t="s">
        <v>3849</v>
      </c>
      <c r="B289" t="s">
        <v>1902</v>
      </c>
      <c r="C289" t="s">
        <v>2363</v>
      </c>
      <c r="E289" t="s">
        <v>2315</v>
      </c>
      <c r="G289" t="s">
        <v>4303</v>
      </c>
      <c r="H289" t="s">
        <v>2315</v>
      </c>
      <c r="I289" t="s">
        <v>3760</v>
      </c>
    </row>
    <row r="290" spans="1:9">
      <c r="A290" s="92" t="s">
        <v>3849</v>
      </c>
      <c r="B290" t="s">
        <v>1902</v>
      </c>
      <c r="C290" t="s">
        <v>2294</v>
      </c>
      <c r="E290" t="s">
        <v>2295</v>
      </c>
      <c r="G290" t="s">
        <v>4302</v>
      </c>
      <c r="H290" t="s">
        <v>2505</v>
      </c>
      <c r="I290" t="s">
        <v>3760</v>
      </c>
    </row>
    <row r="291" spans="1:9">
      <c r="A291" s="92" t="s">
        <v>3849</v>
      </c>
      <c r="B291" t="s">
        <v>1902</v>
      </c>
      <c r="C291" t="s">
        <v>2364</v>
      </c>
      <c r="D291" t="s">
        <v>2351</v>
      </c>
      <c r="E291" t="s">
        <v>108</v>
      </c>
      <c r="G291" t="s">
        <v>4303</v>
      </c>
      <c r="H291" t="s">
        <v>108</v>
      </c>
      <c r="I291" t="s">
        <v>3760</v>
      </c>
    </row>
    <row r="292" spans="1:9">
      <c r="A292" s="92" t="s">
        <v>3849</v>
      </c>
      <c r="B292" t="s">
        <v>1902</v>
      </c>
      <c r="C292" t="s">
        <v>2365</v>
      </c>
      <c r="D292" t="s">
        <v>2351</v>
      </c>
      <c r="E292" t="s">
        <v>108</v>
      </c>
      <c r="G292" t="s">
        <v>4303</v>
      </c>
      <c r="H292" t="s">
        <v>108</v>
      </c>
      <c r="I292" t="s">
        <v>3760</v>
      </c>
    </row>
    <row r="293" spans="1:9">
      <c r="A293" s="92" t="s">
        <v>3849</v>
      </c>
      <c r="B293" t="s">
        <v>1902</v>
      </c>
      <c r="C293" t="s">
        <v>2366</v>
      </c>
      <c r="D293" t="s">
        <v>2257</v>
      </c>
      <c r="E293" t="s">
        <v>108</v>
      </c>
      <c r="G293" t="s">
        <v>4303</v>
      </c>
      <c r="H293" t="s">
        <v>108</v>
      </c>
      <c r="I293" t="s">
        <v>3760</v>
      </c>
    </row>
    <row r="294" spans="1:9">
      <c r="A294" s="92" t="s">
        <v>3849</v>
      </c>
      <c r="B294" t="s">
        <v>1902</v>
      </c>
      <c r="C294" t="s">
        <v>2367</v>
      </c>
      <c r="D294" t="s">
        <v>2368</v>
      </c>
      <c r="E294" t="s">
        <v>2315</v>
      </c>
      <c r="G294" t="s">
        <v>4303</v>
      </c>
      <c r="H294" t="s">
        <v>2315</v>
      </c>
      <c r="I294" t="s">
        <v>3760</v>
      </c>
    </row>
    <row r="295" spans="1:9">
      <c r="A295" s="92" t="s">
        <v>3849</v>
      </c>
      <c r="B295" t="s">
        <v>1902</v>
      </c>
      <c r="C295" t="s">
        <v>2369</v>
      </c>
      <c r="D295" t="s">
        <v>2368</v>
      </c>
      <c r="E295" t="s">
        <v>2315</v>
      </c>
      <c r="G295" t="s">
        <v>4303</v>
      </c>
      <c r="H295" t="s">
        <v>2315</v>
      </c>
      <c r="I295" t="s">
        <v>3760</v>
      </c>
    </row>
    <row r="296" spans="1:9">
      <c r="A296" s="92" t="s">
        <v>3849</v>
      </c>
      <c r="B296" t="s">
        <v>1902</v>
      </c>
      <c r="C296" t="s">
        <v>2370</v>
      </c>
      <c r="D296" t="s">
        <v>2368</v>
      </c>
      <c r="E296" t="s">
        <v>108</v>
      </c>
      <c r="F296" t="s">
        <v>2371</v>
      </c>
      <c r="G296" t="s">
        <v>4303</v>
      </c>
      <c r="H296" t="s">
        <v>108</v>
      </c>
      <c r="I296" t="s">
        <v>3760</v>
      </c>
    </row>
    <row r="297" spans="1:9">
      <c r="A297" s="92" t="s">
        <v>3849</v>
      </c>
      <c r="B297" t="s">
        <v>1903</v>
      </c>
      <c r="C297" t="s">
        <v>2373</v>
      </c>
      <c r="D297" t="s">
        <v>2374</v>
      </c>
      <c r="E297" t="s">
        <v>108</v>
      </c>
      <c r="G297" t="s">
        <v>4303</v>
      </c>
      <c r="H297" t="s">
        <v>108</v>
      </c>
      <c r="I297" t="s">
        <v>3764</v>
      </c>
    </row>
    <row r="298" spans="1:9">
      <c r="A298" s="92" t="s">
        <v>3849</v>
      </c>
      <c r="B298" t="s">
        <v>1903</v>
      </c>
      <c r="C298" t="s">
        <v>2375</v>
      </c>
      <c r="D298" t="s">
        <v>2376</v>
      </c>
      <c r="E298" t="s">
        <v>108</v>
      </c>
      <c r="G298" t="s">
        <v>4303</v>
      </c>
      <c r="H298" t="s">
        <v>108</v>
      </c>
      <c r="I298" t="s">
        <v>3764</v>
      </c>
    </row>
    <row r="299" spans="1:9">
      <c r="A299" s="92" t="s">
        <v>3849</v>
      </c>
      <c r="B299" t="s">
        <v>1903</v>
      </c>
      <c r="C299" t="s">
        <v>2377</v>
      </c>
      <c r="D299" t="s">
        <v>2376</v>
      </c>
      <c r="E299" t="s">
        <v>108</v>
      </c>
      <c r="G299" t="s">
        <v>4303</v>
      </c>
      <c r="H299" t="s">
        <v>108</v>
      </c>
      <c r="I299" t="s">
        <v>3764</v>
      </c>
    </row>
    <row r="300" spans="1:9">
      <c r="A300" s="92" t="s">
        <v>3849</v>
      </c>
      <c r="B300" t="s">
        <v>1905</v>
      </c>
      <c r="C300" t="s">
        <v>2297</v>
      </c>
      <c r="D300" t="s">
        <v>2298</v>
      </c>
      <c r="E300" t="s">
        <v>552</v>
      </c>
      <c r="F300" t="s">
        <v>2299</v>
      </c>
      <c r="G300" t="s">
        <v>4302</v>
      </c>
      <c r="H300" t="s">
        <v>552</v>
      </c>
      <c r="I300" t="s">
        <v>3768</v>
      </c>
    </row>
    <row r="301" spans="1:9">
      <c r="A301" s="92" t="s">
        <v>3849</v>
      </c>
      <c r="B301" t="s">
        <v>1905</v>
      </c>
      <c r="C301" t="s">
        <v>2300</v>
      </c>
      <c r="D301" t="s">
        <v>2301</v>
      </c>
      <c r="E301" t="s">
        <v>2302</v>
      </c>
      <c r="F301" t="s">
        <v>2303</v>
      </c>
      <c r="G301" t="s">
        <v>4302</v>
      </c>
      <c r="H301" t="s">
        <v>552</v>
      </c>
      <c r="I301" t="s">
        <v>3768</v>
      </c>
    </row>
    <row r="302" spans="1:9">
      <c r="A302" s="92" t="s">
        <v>3849</v>
      </c>
      <c r="B302" t="s">
        <v>1905</v>
      </c>
      <c r="C302" t="s">
        <v>2379</v>
      </c>
      <c r="D302" t="s">
        <v>2263</v>
      </c>
      <c r="E302" t="s">
        <v>2315</v>
      </c>
      <c r="F302" t="s">
        <v>2380</v>
      </c>
      <c r="G302" t="s">
        <v>4303</v>
      </c>
      <c r="H302" t="s">
        <v>2315</v>
      </c>
      <c r="I302" t="s">
        <v>3768</v>
      </c>
    </row>
    <row r="303" spans="1:9">
      <c r="A303" s="92" t="s">
        <v>3849</v>
      </c>
      <c r="B303" t="s">
        <v>1905</v>
      </c>
      <c r="C303" t="s">
        <v>2381</v>
      </c>
      <c r="D303" t="s">
        <v>2301</v>
      </c>
      <c r="E303" t="s">
        <v>108</v>
      </c>
      <c r="F303" t="s">
        <v>2382</v>
      </c>
      <c r="G303" t="s">
        <v>4303</v>
      </c>
      <c r="H303" t="s">
        <v>108</v>
      </c>
      <c r="I303" t="s">
        <v>3768</v>
      </c>
    </row>
    <row r="304" spans="1:9">
      <c r="A304" s="92" t="s">
        <v>3849</v>
      </c>
      <c r="B304" t="s">
        <v>1905</v>
      </c>
      <c r="C304" t="s">
        <v>2383</v>
      </c>
      <c r="D304" t="s">
        <v>2298</v>
      </c>
      <c r="E304" t="s">
        <v>108</v>
      </c>
      <c r="F304" t="s">
        <v>2384</v>
      </c>
      <c r="G304" t="s">
        <v>4303</v>
      </c>
      <c r="H304" t="s">
        <v>108</v>
      </c>
      <c r="I304" t="s">
        <v>3768</v>
      </c>
    </row>
    <row r="305" spans="1:9">
      <c r="A305" s="92" t="s">
        <v>3849</v>
      </c>
      <c r="B305" t="s">
        <v>1905</v>
      </c>
      <c r="C305" t="s">
        <v>2385</v>
      </c>
      <c r="D305" t="s">
        <v>2386</v>
      </c>
      <c r="E305" t="s">
        <v>108</v>
      </c>
      <c r="F305" t="s">
        <v>2387</v>
      </c>
      <c r="G305" t="s">
        <v>4303</v>
      </c>
      <c r="H305" t="s">
        <v>108</v>
      </c>
      <c r="I305" t="s">
        <v>3768</v>
      </c>
    </row>
    <row r="306" spans="1:9">
      <c r="A306" s="92" t="s">
        <v>3849</v>
      </c>
      <c r="B306" t="s">
        <v>1910</v>
      </c>
      <c r="C306" t="s">
        <v>2389</v>
      </c>
      <c r="D306" t="s">
        <v>2301</v>
      </c>
      <c r="E306" t="s">
        <v>108</v>
      </c>
      <c r="F306" t="s">
        <v>2390</v>
      </c>
      <c r="G306" t="s">
        <v>4303</v>
      </c>
      <c r="H306" t="s">
        <v>108</v>
      </c>
      <c r="I306" t="s">
        <v>3772</v>
      </c>
    </row>
    <row r="307" spans="1:9">
      <c r="A307" s="92" t="s">
        <v>3849</v>
      </c>
      <c r="B307" t="s">
        <v>1910</v>
      </c>
      <c r="C307" t="s">
        <v>2391</v>
      </c>
      <c r="D307" t="s">
        <v>2392</v>
      </c>
      <c r="E307" t="s">
        <v>108</v>
      </c>
      <c r="F307" t="s">
        <v>2393</v>
      </c>
      <c r="G307" t="s">
        <v>4303</v>
      </c>
      <c r="H307" t="s">
        <v>108</v>
      </c>
      <c r="I307" t="s">
        <v>3772</v>
      </c>
    </row>
    <row r="308" spans="1:9">
      <c r="A308" s="92" t="s">
        <v>3849</v>
      </c>
      <c r="B308" t="s">
        <v>1910</v>
      </c>
      <c r="C308" t="s">
        <v>2394</v>
      </c>
      <c r="D308" t="s">
        <v>2395</v>
      </c>
      <c r="E308" t="s">
        <v>108</v>
      </c>
      <c r="F308" t="s">
        <v>2396</v>
      </c>
      <c r="G308" t="s">
        <v>4303</v>
      </c>
      <c r="H308" t="s">
        <v>108</v>
      </c>
      <c r="I308" t="s">
        <v>3772</v>
      </c>
    </row>
    <row r="309" spans="1:9">
      <c r="A309" s="92" t="s">
        <v>3849</v>
      </c>
      <c r="B309" t="s">
        <v>1910</v>
      </c>
      <c r="C309" t="s">
        <v>2397</v>
      </c>
      <c r="D309" t="s">
        <v>2398</v>
      </c>
      <c r="E309" t="s">
        <v>2315</v>
      </c>
      <c r="G309" t="s">
        <v>4303</v>
      </c>
      <c r="H309" t="s">
        <v>2315</v>
      </c>
      <c r="I309" t="s">
        <v>3772</v>
      </c>
    </row>
    <row r="310" spans="1:9">
      <c r="A310" s="92" t="s">
        <v>3849</v>
      </c>
      <c r="B310" t="s">
        <v>1910</v>
      </c>
      <c r="C310" t="s">
        <v>2399</v>
      </c>
      <c r="D310" t="s">
        <v>2398</v>
      </c>
      <c r="E310" t="s">
        <v>2400</v>
      </c>
      <c r="G310" t="s">
        <v>4303</v>
      </c>
      <c r="H310" t="s">
        <v>108</v>
      </c>
      <c r="I310" t="s">
        <v>3772</v>
      </c>
    </row>
    <row r="311" spans="1:9">
      <c r="A311" s="92" t="s">
        <v>3849</v>
      </c>
      <c r="B311" t="s">
        <v>1912</v>
      </c>
      <c r="C311" t="s">
        <v>2305</v>
      </c>
      <c r="E311" t="s">
        <v>552</v>
      </c>
      <c r="G311" t="s">
        <v>4302</v>
      </c>
      <c r="H311" t="s">
        <v>552</v>
      </c>
      <c r="I311" t="s">
        <v>3776</v>
      </c>
    </row>
    <row r="312" spans="1:9">
      <c r="A312" s="92" t="s">
        <v>3849</v>
      </c>
      <c r="B312" t="s">
        <v>1912</v>
      </c>
      <c r="C312" t="s">
        <v>2402</v>
      </c>
      <c r="D312" t="s">
        <v>2403</v>
      </c>
      <c r="E312" t="s">
        <v>108</v>
      </c>
      <c r="G312" t="s">
        <v>4303</v>
      </c>
      <c r="H312" t="s">
        <v>108</v>
      </c>
      <c r="I312" t="s">
        <v>3776</v>
      </c>
    </row>
    <row r="313" spans="1:9">
      <c r="A313" s="92" t="s">
        <v>3849</v>
      </c>
      <c r="B313" t="s">
        <v>1912</v>
      </c>
      <c r="C313" t="s">
        <v>2404</v>
      </c>
      <c r="D313" t="s">
        <v>2403</v>
      </c>
      <c r="E313" t="s">
        <v>2315</v>
      </c>
      <c r="F313" t="s">
        <v>2405</v>
      </c>
      <c r="G313" t="s">
        <v>4303</v>
      </c>
      <c r="H313" t="s">
        <v>2315</v>
      </c>
      <c r="I313" t="s">
        <v>3776</v>
      </c>
    </row>
    <row r="314" spans="1:9">
      <c r="A314" s="92" t="s">
        <v>3849</v>
      </c>
      <c r="B314" t="s">
        <v>1912</v>
      </c>
      <c r="C314" t="s">
        <v>2406</v>
      </c>
      <c r="D314" t="s">
        <v>2407</v>
      </c>
      <c r="E314" t="s">
        <v>2408</v>
      </c>
      <c r="F314" t="s">
        <v>2410</v>
      </c>
      <c r="G314" t="s">
        <v>4304</v>
      </c>
      <c r="H314" t="s">
        <v>2442</v>
      </c>
      <c r="I314" t="s">
        <v>3776</v>
      </c>
    </row>
    <row r="315" spans="1:9">
      <c r="A315" s="92" t="s">
        <v>3849</v>
      </c>
      <c r="B315" t="s">
        <v>1912</v>
      </c>
      <c r="C315" t="s">
        <v>2411</v>
      </c>
      <c r="D315" t="s">
        <v>2407</v>
      </c>
      <c r="E315" t="s">
        <v>2331</v>
      </c>
      <c r="F315" t="s">
        <v>2412</v>
      </c>
      <c r="G315" t="s">
        <v>4303</v>
      </c>
      <c r="H315" t="s">
        <v>108</v>
      </c>
      <c r="I315" t="s">
        <v>3776</v>
      </c>
    </row>
    <row r="316" spans="1:9">
      <c r="A316" s="92" t="s">
        <v>3849</v>
      </c>
      <c r="B316" t="s">
        <v>1912</v>
      </c>
      <c r="C316" t="s">
        <v>2413</v>
      </c>
      <c r="D316" t="s">
        <v>2403</v>
      </c>
      <c r="E316" t="s">
        <v>2414</v>
      </c>
      <c r="G316" t="s">
        <v>4303</v>
      </c>
      <c r="H316" t="s">
        <v>108</v>
      </c>
      <c r="I316" t="s">
        <v>3776</v>
      </c>
    </row>
    <row r="317" spans="1:9">
      <c r="A317" s="92" t="s">
        <v>3849</v>
      </c>
      <c r="B317" t="s">
        <v>1912</v>
      </c>
      <c r="C317" t="s">
        <v>2415</v>
      </c>
      <c r="D317" t="s">
        <v>2403</v>
      </c>
      <c r="E317" t="s">
        <v>2416</v>
      </c>
      <c r="F317" t="s">
        <v>2417</v>
      </c>
      <c r="G317" t="s">
        <v>4303</v>
      </c>
      <c r="H317" t="s">
        <v>108</v>
      </c>
      <c r="I317" t="s">
        <v>3776</v>
      </c>
    </row>
    <row r="318" spans="1:9">
      <c r="A318" s="92" t="s">
        <v>3849</v>
      </c>
      <c r="B318" t="s">
        <v>1914</v>
      </c>
      <c r="C318" t="s">
        <v>2419</v>
      </c>
      <c r="D318" t="s">
        <v>2287</v>
      </c>
      <c r="E318" t="s">
        <v>2420</v>
      </c>
      <c r="F318" t="s">
        <v>2421</v>
      </c>
      <c r="G318" t="s">
        <v>4303</v>
      </c>
      <c r="H318" t="s">
        <v>108</v>
      </c>
      <c r="I318" t="s">
        <v>3780</v>
      </c>
    </row>
    <row r="319" spans="1:9">
      <c r="A319" s="92" t="s">
        <v>3849</v>
      </c>
      <c r="B319" t="s">
        <v>1914</v>
      </c>
      <c r="C319" t="s">
        <v>2422</v>
      </c>
      <c r="D319" t="s">
        <v>2423</v>
      </c>
      <c r="E319" t="s">
        <v>2424</v>
      </c>
      <c r="F319" t="s">
        <v>2425</v>
      </c>
      <c r="G319" t="s">
        <v>4303</v>
      </c>
      <c r="H319" t="s">
        <v>108</v>
      </c>
      <c r="I319" t="s">
        <v>3780</v>
      </c>
    </row>
    <row r="320" spans="1:9">
      <c r="A320" s="92" t="s">
        <v>3849</v>
      </c>
      <c r="B320" t="s">
        <v>1914</v>
      </c>
      <c r="C320" t="s">
        <v>2274</v>
      </c>
      <c r="E320" t="s">
        <v>2254</v>
      </c>
      <c r="G320" t="s">
        <v>4301</v>
      </c>
      <c r="H320" t="s">
        <v>2435</v>
      </c>
      <c r="I320" t="s">
        <v>3780</v>
      </c>
    </row>
    <row r="321" spans="1:9">
      <c r="A321" s="92" t="s">
        <v>3849</v>
      </c>
      <c r="B321" t="s">
        <v>1914</v>
      </c>
      <c r="C321" t="s">
        <v>2426</v>
      </c>
      <c r="D321" t="s">
        <v>2272</v>
      </c>
      <c r="E321" t="s">
        <v>2427</v>
      </c>
      <c r="F321" t="s">
        <v>2428</v>
      </c>
      <c r="G321" t="s">
        <v>4303</v>
      </c>
      <c r="H321" t="s">
        <v>2427</v>
      </c>
      <c r="I321" t="s">
        <v>3780</v>
      </c>
    </row>
    <row r="322" spans="1:9">
      <c r="A322" s="92" t="s">
        <v>3858</v>
      </c>
      <c r="B322" t="s">
        <v>1869</v>
      </c>
      <c r="C322" t="s">
        <v>2465</v>
      </c>
      <c r="D322" t="s">
        <v>2465</v>
      </c>
      <c r="E322" t="s">
        <v>2254</v>
      </c>
      <c r="F322" t="s">
        <v>2487</v>
      </c>
      <c r="G322" t="s">
        <v>4305</v>
      </c>
      <c r="H322" t="s">
        <v>2451</v>
      </c>
      <c r="I322" t="s">
        <v>3709</v>
      </c>
    </row>
    <row r="323" spans="1:9">
      <c r="A323" s="92" t="s">
        <v>3858</v>
      </c>
      <c r="B323" t="s">
        <v>1872</v>
      </c>
      <c r="C323" t="s">
        <v>2465</v>
      </c>
      <c r="D323" t="s">
        <v>2465</v>
      </c>
      <c r="E323" t="s">
        <v>2254</v>
      </c>
      <c r="F323" t="s">
        <v>2489</v>
      </c>
      <c r="G323" t="s">
        <v>4305</v>
      </c>
      <c r="H323" t="s">
        <v>2451</v>
      </c>
      <c r="I323" t="s">
        <v>3713</v>
      </c>
    </row>
    <row r="324" spans="1:9">
      <c r="A324" s="92" t="s">
        <v>3858</v>
      </c>
      <c r="B324" t="s">
        <v>1875</v>
      </c>
      <c r="C324" t="s">
        <v>2465</v>
      </c>
      <c r="D324" t="s">
        <v>2465</v>
      </c>
      <c r="E324" t="s">
        <v>2254</v>
      </c>
      <c r="F324" t="s">
        <v>2487</v>
      </c>
      <c r="G324" t="s">
        <v>4305</v>
      </c>
      <c r="H324" t="s">
        <v>2451</v>
      </c>
      <c r="I324" t="s">
        <v>3717</v>
      </c>
    </row>
    <row r="325" spans="1:9">
      <c r="A325" s="92" t="s">
        <v>3858</v>
      </c>
      <c r="B325" t="s">
        <v>1878</v>
      </c>
      <c r="C325" t="s">
        <v>2465</v>
      </c>
      <c r="D325" t="s">
        <v>2465</v>
      </c>
      <c r="E325" t="s">
        <v>2254</v>
      </c>
      <c r="F325" t="s">
        <v>2492</v>
      </c>
      <c r="G325" t="s">
        <v>4305</v>
      </c>
      <c r="H325" t="s">
        <v>2451</v>
      </c>
      <c r="I325" t="s">
        <v>3721</v>
      </c>
    </row>
    <row r="326" spans="1:9">
      <c r="A326" s="92" t="s">
        <v>3858</v>
      </c>
      <c r="B326" t="s">
        <v>1880</v>
      </c>
      <c r="C326" t="s">
        <v>2465</v>
      </c>
      <c r="D326" t="s">
        <v>2465</v>
      </c>
      <c r="E326" t="s">
        <v>2254</v>
      </c>
      <c r="F326" t="s">
        <v>2489</v>
      </c>
      <c r="G326" t="s">
        <v>4305</v>
      </c>
      <c r="H326" t="s">
        <v>2451</v>
      </c>
      <c r="I326" t="s">
        <v>3725</v>
      </c>
    </row>
    <row r="327" spans="1:9">
      <c r="A327" s="92" t="s">
        <v>3858</v>
      </c>
      <c r="B327" t="s">
        <v>1884</v>
      </c>
      <c r="C327" t="s">
        <v>2465</v>
      </c>
      <c r="D327" t="s">
        <v>2465</v>
      </c>
      <c r="E327" t="s">
        <v>2254</v>
      </c>
      <c r="F327" t="s">
        <v>2489</v>
      </c>
      <c r="G327" t="s">
        <v>4305</v>
      </c>
      <c r="H327" t="s">
        <v>2451</v>
      </c>
      <c r="I327" t="s">
        <v>3729</v>
      </c>
    </row>
    <row r="328" spans="1:9">
      <c r="A328" s="92" t="s">
        <v>3858</v>
      </c>
      <c r="B328" t="s">
        <v>1886</v>
      </c>
      <c r="C328" t="s">
        <v>2465</v>
      </c>
      <c r="D328" t="s">
        <v>2465</v>
      </c>
      <c r="E328" t="s">
        <v>2254</v>
      </c>
      <c r="F328" t="s">
        <v>2489</v>
      </c>
      <c r="G328" t="s">
        <v>4305</v>
      </c>
      <c r="H328" t="s">
        <v>2451</v>
      </c>
      <c r="I328" t="s">
        <v>3733</v>
      </c>
    </row>
    <row r="329" spans="1:9">
      <c r="A329" s="92" t="s">
        <v>3858</v>
      </c>
      <c r="B329" t="s">
        <v>1887</v>
      </c>
      <c r="C329" t="s">
        <v>2465</v>
      </c>
      <c r="D329" t="s">
        <v>2465</v>
      </c>
      <c r="E329" t="s">
        <v>2254</v>
      </c>
      <c r="F329" t="s">
        <v>2489</v>
      </c>
      <c r="G329" t="s">
        <v>4305</v>
      </c>
      <c r="H329" t="s">
        <v>2451</v>
      </c>
      <c r="I329" t="s">
        <v>3737</v>
      </c>
    </row>
    <row r="330" spans="1:9">
      <c r="A330" s="92" t="s">
        <v>3858</v>
      </c>
      <c r="B330" t="s">
        <v>1888</v>
      </c>
      <c r="C330" t="s">
        <v>2276</v>
      </c>
      <c r="D330" t="s">
        <v>2277</v>
      </c>
      <c r="E330" t="s">
        <v>1565</v>
      </c>
      <c r="F330" t="s">
        <v>2279</v>
      </c>
      <c r="G330" t="s">
        <v>4306</v>
      </c>
      <c r="H330" t="s">
        <v>108</v>
      </c>
      <c r="I330" t="s">
        <v>3740</v>
      </c>
    </row>
    <row r="331" spans="1:9">
      <c r="A331" s="92" t="s">
        <v>3858</v>
      </c>
      <c r="B331" t="s">
        <v>1888</v>
      </c>
      <c r="C331" t="s">
        <v>2309</v>
      </c>
      <c r="E331" t="s">
        <v>2310</v>
      </c>
      <c r="G331" t="s">
        <v>4307</v>
      </c>
      <c r="H331" t="s">
        <v>108</v>
      </c>
      <c r="I331" t="s">
        <v>3740</v>
      </c>
    </row>
    <row r="332" spans="1:9">
      <c r="A332" s="92" t="s">
        <v>3858</v>
      </c>
      <c r="B332" t="s">
        <v>1888</v>
      </c>
      <c r="C332" t="s">
        <v>2312</v>
      </c>
      <c r="D332" t="s">
        <v>2242</v>
      </c>
      <c r="E332" t="s">
        <v>108</v>
      </c>
      <c r="G332" t="s">
        <v>4306</v>
      </c>
      <c r="H332" t="s">
        <v>108</v>
      </c>
      <c r="I332" t="s">
        <v>3740</v>
      </c>
    </row>
    <row r="333" spans="1:9">
      <c r="A333" s="92" t="s">
        <v>3858</v>
      </c>
      <c r="B333" t="s">
        <v>1888</v>
      </c>
      <c r="C333" t="s">
        <v>2313</v>
      </c>
      <c r="D333" t="s">
        <v>2314</v>
      </c>
      <c r="E333" t="s">
        <v>2315</v>
      </c>
      <c r="F333" t="s">
        <v>2316</v>
      </c>
      <c r="G333" t="s">
        <v>4306</v>
      </c>
      <c r="H333" t="s">
        <v>2315</v>
      </c>
      <c r="I333" t="s">
        <v>3740</v>
      </c>
    </row>
    <row r="334" spans="1:9">
      <c r="A334" s="92" t="s">
        <v>3858</v>
      </c>
      <c r="B334" t="s">
        <v>1888</v>
      </c>
      <c r="C334" t="s">
        <v>2317</v>
      </c>
      <c r="E334" t="s">
        <v>108</v>
      </c>
      <c r="G334" t="s">
        <v>4306</v>
      </c>
      <c r="H334" t="s">
        <v>108</v>
      </c>
      <c r="I334" t="s">
        <v>3740</v>
      </c>
    </row>
    <row r="335" spans="1:9">
      <c r="A335" s="92" t="s">
        <v>3858</v>
      </c>
      <c r="B335" t="s">
        <v>1889</v>
      </c>
      <c r="C335" t="s">
        <v>2319</v>
      </c>
      <c r="D335" t="s">
        <v>2249</v>
      </c>
      <c r="E335" t="s">
        <v>108</v>
      </c>
      <c r="G335" t="s">
        <v>4306</v>
      </c>
      <c r="H335" t="s">
        <v>108</v>
      </c>
      <c r="I335" t="s">
        <v>3744</v>
      </c>
    </row>
    <row r="336" spans="1:9">
      <c r="A336" s="92" t="s">
        <v>3858</v>
      </c>
      <c r="B336" t="s">
        <v>1889</v>
      </c>
      <c r="C336" t="s">
        <v>2320</v>
      </c>
      <c r="D336" t="s">
        <v>2321</v>
      </c>
      <c r="E336" t="s">
        <v>108</v>
      </c>
      <c r="F336" t="s">
        <v>2322</v>
      </c>
      <c r="G336" t="s">
        <v>4306</v>
      </c>
      <c r="H336" t="s">
        <v>108</v>
      </c>
      <c r="I336" t="s">
        <v>3744</v>
      </c>
    </row>
    <row r="337" spans="1:9">
      <c r="A337" s="92" t="s">
        <v>3858</v>
      </c>
      <c r="B337" t="s">
        <v>1889</v>
      </c>
      <c r="C337" t="s">
        <v>2323</v>
      </c>
      <c r="D337" t="s">
        <v>2321</v>
      </c>
      <c r="E337" t="s">
        <v>108</v>
      </c>
      <c r="G337" t="s">
        <v>4306</v>
      </c>
      <c r="H337" t="s">
        <v>108</v>
      </c>
      <c r="I337" t="s">
        <v>3744</v>
      </c>
    </row>
    <row r="338" spans="1:9">
      <c r="A338" s="92" t="s">
        <v>3858</v>
      </c>
      <c r="B338" t="s">
        <v>1889</v>
      </c>
      <c r="C338" t="s">
        <v>2324</v>
      </c>
      <c r="D338" t="s">
        <v>2325</v>
      </c>
      <c r="E338" t="s">
        <v>108</v>
      </c>
      <c r="F338" t="s">
        <v>2326</v>
      </c>
      <c r="G338" t="s">
        <v>4306</v>
      </c>
      <c r="H338" t="s">
        <v>108</v>
      </c>
      <c r="I338" t="s">
        <v>3744</v>
      </c>
    </row>
    <row r="339" spans="1:9">
      <c r="A339" s="92" t="s">
        <v>3858</v>
      </c>
      <c r="B339" t="s">
        <v>3515</v>
      </c>
      <c r="C339" t="s">
        <v>2328</v>
      </c>
      <c r="D339" t="s">
        <v>2282</v>
      </c>
      <c r="E339" t="s">
        <v>108</v>
      </c>
      <c r="G339" t="s">
        <v>4306</v>
      </c>
      <c r="H339" t="s">
        <v>108</v>
      </c>
      <c r="I339" t="s">
        <v>3748</v>
      </c>
    </row>
    <row r="340" spans="1:9">
      <c r="A340" s="92" t="s">
        <v>3858</v>
      </c>
      <c r="B340" t="s">
        <v>3515</v>
      </c>
      <c r="C340" t="s">
        <v>2281</v>
      </c>
      <c r="D340" t="s">
        <v>2282</v>
      </c>
      <c r="E340" t="s">
        <v>2283</v>
      </c>
      <c r="G340" t="s">
        <v>4307</v>
      </c>
      <c r="H340" t="s">
        <v>108</v>
      </c>
      <c r="I340" t="s">
        <v>3748</v>
      </c>
    </row>
    <row r="341" spans="1:9">
      <c r="A341" s="92" t="s">
        <v>3858</v>
      </c>
      <c r="B341" t="s">
        <v>3515</v>
      </c>
      <c r="C341" t="s">
        <v>2330</v>
      </c>
      <c r="D341" t="s">
        <v>2282</v>
      </c>
      <c r="E341" t="s">
        <v>2331</v>
      </c>
      <c r="F341" t="s">
        <v>2332</v>
      </c>
      <c r="G341" t="s">
        <v>4306</v>
      </c>
      <c r="H341" t="s">
        <v>108</v>
      </c>
      <c r="I341" t="s">
        <v>3748</v>
      </c>
    </row>
    <row r="342" spans="1:9">
      <c r="A342" s="92" t="s">
        <v>3858</v>
      </c>
      <c r="B342" t="s">
        <v>3515</v>
      </c>
      <c r="C342" t="s">
        <v>2333</v>
      </c>
      <c r="D342" t="s">
        <v>2282</v>
      </c>
      <c r="E342" t="s">
        <v>108</v>
      </c>
      <c r="G342" t="s">
        <v>4306</v>
      </c>
      <c r="H342" t="s">
        <v>108</v>
      </c>
      <c r="I342" t="s">
        <v>3748</v>
      </c>
    </row>
    <row r="343" spans="1:9">
      <c r="A343" s="92" t="s">
        <v>3858</v>
      </c>
      <c r="B343" t="s">
        <v>1895</v>
      </c>
      <c r="C343" t="s">
        <v>2335</v>
      </c>
      <c r="D343" t="s">
        <v>2336</v>
      </c>
      <c r="E343" t="s">
        <v>2337</v>
      </c>
      <c r="G343" t="s">
        <v>4306</v>
      </c>
      <c r="H343" t="s">
        <v>108</v>
      </c>
      <c r="I343" t="s">
        <v>3752</v>
      </c>
    </row>
    <row r="344" spans="1:9">
      <c r="A344" s="92" t="s">
        <v>3858</v>
      </c>
      <c r="B344" t="s">
        <v>1895</v>
      </c>
      <c r="C344" t="s">
        <v>2338</v>
      </c>
      <c r="D344" t="s">
        <v>2336</v>
      </c>
      <c r="E344" t="s">
        <v>2339</v>
      </c>
      <c r="G344" t="s">
        <v>4306</v>
      </c>
      <c r="H344" t="s">
        <v>108</v>
      </c>
      <c r="I344" t="s">
        <v>3752</v>
      </c>
    </row>
    <row r="345" spans="1:9">
      <c r="A345" s="92" t="s">
        <v>3858</v>
      </c>
      <c r="B345" t="s">
        <v>1895</v>
      </c>
      <c r="C345" t="s">
        <v>2340</v>
      </c>
      <c r="D345" t="s">
        <v>2341</v>
      </c>
      <c r="E345" t="s">
        <v>108</v>
      </c>
      <c r="F345" t="s">
        <v>2342</v>
      </c>
      <c r="G345" t="s">
        <v>4306</v>
      </c>
      <c r="H345" t="s">
        <v>108</v>
      </c>
      <c r="I345" t="s">
        <v>3752</v>
      </c>
    </row>
    <row r="346" spans="1:9">
      <c r="A346" s="92" t="s">
        <v>3858</v>
      </c>
      <c r="B346" t="s">
        <v>1895</v>
      </c>
      <c r="C346" t="s">
        <v>2343</v>
      </c>
      <c r="D346" t="s">
        <v>2341</v>
      </c>
      <c r="E346" t="s">
        <v>108</v>
      </c>
      <c r="G346" t="s">
        <v>4306</v>
      </c>
      <c r="H346" t="s">
        <v>108</v>
      </c>
      <c r="I346" t="s">
        <v>3752</v>
      </c>
    </row>
    <row r="347" spans="1:9">
      <c r="A347" s="92" t="s">
        <v>3858</v>
      </c>
      <c r="B347" t="s">
        <v>1897</v>
      </c>
      <c r="C347" t="s">
        <v>2345</v>
      </c>
      <c r="D347" t="s">
        <v>2346</v>
      </c>
      <c r="E347" t="s">
        <v>108</v>
      </c>
      <c r="F347" t="s">
        <v>2347</v>
      </c>
      <c r="G347" t="s">
        <v>4306</v>
      </c>
      <c r="H347" t="s">
        <v>108</v>
      </c>
      <c r="I347" t="s">
        <v>3756</v>
      </c>
    </row>
    <row r="348" spans="1:9">
      <c r="A348" s="92" t="s">
        <v>3858</v>
      </c>
      <c r="B348" t="s">
        <v>1897</v>
      </c>
      <c r="C348" t="s">
        <v>2248</v>
      </c>
      <c r="D348" t="s">
        <v>2249</v>
      </c>
      <c r="E348" t="s">
        <v>2250</v>
      </c>
      <c r="G348" t="s">
        <v>4305</v>
      </c>
      <c r="H348" t="s">
        <v>2526</v>
      </c>
      <c r="I348" t="s">
        <v>3756</v>
      </c>
    </row>
    <row r="349" spans="1:9">
      <c r="A349" s="92" t="s">
        <v>3858</v>
      </c>
      <c r="B349" t="s">
        <v>1897</v>
      </c>
      <c r="C349" t="s">
        <v>2253</v>
      </c>
      <c r="D349" t="s">
        <v>2249</v>
      </c>
      <c r="E349" t="s">
        <v>2254</v>
      </c>
      <c r="G349" t="s">
        <v>4305</v>
      </c>
      <c r="H349" t="s">
        <v>2526</v>
      </c>
      <c r="I349" t="s">
        <v>3756</v>
      </c>
    </row>
    <row r="350" spans="1:9">
      <c r="A350" s="92" t="s">
        <v>3858</v>
      </c>
      <c r="B350" t="s">
        <v>1897</v>
      </c>
      <c r="C350" t="s">
        <v>2255</v>
      </c>
      <c r="D350" t="s">
        <v>2249</v>
      </c>
      <c r="E350" t="s">
        <v>2254</v>
      </c>
      <c r="G350" t="s">
        <v>4305</v>
      </c>
      <c r="H350" t="s">
        <v>2526</v>
      </c>
      <c r="I350" t="s">
        <v>3756</v>
      </c>
    </row>
    <row r="351" spans="1:9">
      <c r="A351" s="92" t="s">
        <v>3858</v>
      </c>
      <c r="B351" t="s">
        <v>1897</v>
      </c>
      <c r="C351" t="s">
        <v>2256</v>
      </c>
      <c r="D351" t="s">
        <v>2257</v>
      </c>
      <c r="E351" t="s">
        <v>2254</v>
      </c>
      <c r="G351" t="s">
        <v>4305</v>
      </c>
      <c r="H351" t="s">
        <v>2526</v>
      </c>
      <c r="I351" t="s">
        <v>3756</v>
      </c>
    </row>
    <row r="352" spans="1:9">
      <c r="A352" s="92" t="s">
        <v>3858</v>
      </c>
      <c r="B352" t="s">
        <v>1897</v>
      </c>
      <c r="C352" t="s">
        <v>2258</v>
      </c>
      <c r="E352" t="s">
        <v>2254</v>
      </c>
      <c r="G352" t="s">
        <v>4305</v>
      </c>
      <c r="H352" t="s">
        <v>2526</v>
      </c>
      <c r="I352" t="s">
        <v>3756</v>
      </c>
    </row>
    <row r="353" spans="1:9">
      <c r="A353" s="92" t="s">
        <v>3858</v>
      </c>
      <c r="B353" t="s">
        <v>1897</v>
      </c>
      <c r="C353" t="s">
        <v>2259</v>
      </c>
      <c r="E353" t="s">
        <v>2254</v>
      </c>
      <c r="G353" t="s">
        <v>4305</v>
      </c>
      <c r="H353" t="s">
        <v>2526</v>
      </c>
      <c r="I353" t="s">
        <v>3756</v>
      </c>
    </row>
    <row r="354" spans="1:9">
      <c r="A354" s="92" t="s">
        <v>3858</v>
      </c>
      <c r="B354" t="s">
        <v>1897</v>
      </c>
      <c r="C354" t="s">
        <v>2260</v>
      </c>
      <c r="E354" t="s">
        <v>2254</v>
      </c>
      <c r="G354" t="s">
        <v>4305</v>
      </c>
      <c r="H354" t="s">
        <v>2526</v>
      </c>
      <c r="I354" t="s">
        <v>3756</v>
      </c>
    </row>
    <row r="355" spans="1:9">
      <c r="A355" s="92" t="s">
        <v>3858</v>
      </c>
      <c r="B355" t="s">
        <v>1899</v>
      </c>
      <c r="C355" t="s">
        <v>2350</v>
      </c>
      <c r="D355" t="s">
        <v>2351</v>
      </c>
      <c r="E355" t="s">
        <v>108</v>
      </c>
      <c r="G355" t="s">
        <v>4306</v>
      </c>
      <c r="H355" t="s">
        <v>108</v>
      </c>
      <c r="I355" t="s">
        <v>3758</v>
      </c>
    </row>
    <row r="356" spans="1:9">
      <c r="A356" s="92" t="s">
        <v>3858</v>
      </c>
      <c r="B356" t="s">
        <v>1899</v>
      </c>
      <c r="C356" t="s">
        <v>2352</v>
      </c>
      <c r="E356" t="s">
        <v>2337</v>
      </c>
      <c r="G356" t="s">
        <v>4306</v>
      </c>
      <c r="H356" t="s">
        <v>108</v>
      </c>
      <c r="I356" t="s">
        <v>3758</v>
      </c>
    </row>
    <row r="357" spans="1:9">
      <c r="A357" s="92" t="s">
        <v>3858</v>
      </c>
      <c r="B357" t="s">
        <v>1899</v>
      </c>
      <c r="C357" t="s">
        <v>2353</v>
      </c>
      <c r="D357" t="s">
        <v>2351</v>
      </c>
      <c r="E357" t="s">
        <v>2354</v>
      </c>
      <c r="F357" t="s">
        <v>2355</v>
      </c>
      <c r="G357" t="s">
        <v>4306</v>
      </c>
      <c r="H357" t="s">
        <v>108</v>
      </c>
      <c r="I357" t="s">
        <v>3758</v>
      </c>
    </row>
    <row r="358" spans="1:9">
      <c r="A358" s="92" t="s">
        <v>3858</v>
      </c>
      <c r="B358" t="s">
        <v>1899</v>
      </c>
      <c r="C358" t="s">
        <v>2356</v>
      </c>
      <c r="D358" t="s">
        <v>2351</v>
      </c>
      <c r="E358" t="s">
        <v>2315</v>
      </c>
      <c r="G358" t="s">
        <v>4306</v>
      </c>
      <c r="H358" t="s">
        <v>2315</v>
      </c>
      <c r="I358" t="s">
        <v>3758</v>
      </c>
    </row>
    <row r="359" spans="1:9">
      <c r="A359" s="92" t="s">
        <v>3858</v>
      </c>
      <c r="B359" t="s">
        <v>1899</v>
      </c>
      <c r="C359" t="s">
        <v>2357</v>
      </c>
      <c r="D359" t="s">
        <v>2358</v>
      </c>
      <c r="E359" t="s">
        <v>108</v>
      </c>
      <c r="G359" t="s">
        <v>4306</v>
      </c>
      <c r="H359" t="s">
        <v>108</v>
      </c>
      <c r="I359" t="s">
        <v>3758</v>
      </c>
    </row>
    <row r="360" spans="1:9">
      <c r="A360" s="92" t="s">
        <v>3858</v>
      </c>
      <c r="B360" t="s">
        <v>1902</v>
      </c>
      <c r="C360" t="s">
        <v>2363</v>
      </c>
      <c r="E360" t="s">
        <v>2315</v>
      </c>
      <c r="G360" t="s">
        <v>4306</v>
      </c>
      <c r="H360" t="s">
        <v>2315</v>
      </c>
      <c r="I360" t="s">
        <v>3760</v>
      </c>
    </row>
    <row r="361" spans="1:9">
      <c r="A361" s="92" t="s">
        <v>3858</v>
      </c>
      <c r="B361" t="s">
        <v>1902</v>
      </c>
      <c r="C361" t="s">
        <v>2294</v>
      </c>
      <c r="E361" t="s">
        <v>2295</v>
      </c>
      <c r="G361" t="s">
        <v>4306</v>
      </c>
      <c r="H361" t="s">
        <v>2315</v>
      </c>
      <c r="I361" t="s">
        <v>3760</v>
      </c>
    </row>
    <row r="362" spans="1:9">
      <c r="A362" s="92" t="s">
        <v>3858</v>
      </c>
      <c r="B362" t="s">
        <v>1902</v>
      </c>
      <c r="C362" t="s">
        <v>2364</v>
      </c>
      <c r="D362" t="s">
        <v>2351</v>
      </c>
      <c r="E362" t="s">
        <v>108</v>
      </c>
      <c r="G362" t="s">
        <v>4306</v>
      </c>
      <c r="H362" t="s">
        <v>108</v>
      </c>
      <c r="I362" t="s">
        <v>3760</v>
      </c>
    </row>
    <row r="363" spans="1:9">
      <c r="A363" s="92" t="s">
        <v>3858</v>
      </c>
      <c r="B363" t="s">
        <v>1902</v>
      </c>
      <c r="C363" t="s">
        <v>2365</v>
      </c>
      <c r="D363" t="s">
        <v>2351</v>
      </c>
      <c r="E363" t="s">
        <v>108</v>
      </c>
      <c r="G363" t="s">
        <v>4306</v>
      </c>
      <c r="H363" t="s">
        <v>108</v>
      </c>
      <c r="I363" t="s">
        <v>3760</v>
      </c>
    </row>
    <row r="364" spans="1:9">
      <c r="A364" s="92" t="s">
        <v>3858</v>
      </c>
      <c r="B364" t="s">
        <v>1902</v>
      </c>
      <c r="C364" t="s">
        <v>2366</v>
      </c>
      <c r="D364" t="s">
        <v>2257</v>
      </c>
      <c r="E364" t="s">
        <v>108</v>
      </c>
      <c r="G364" t="s">
        <v>4306</v>
      </c>
      <c r="H364" t="s">
        <v>108</v>
      </c>
      <c r="I364" t="s">
        <v>3760</v>
      </c>
    </row>
    <row r="365" spans="1:9">
      <c r="A365" s="92" t="s">
        <v>3858</v>
      </c>
      <c r="B365" t="s">
        <v>1902</v>
      </c>
      <c r="C365" t="s">
        <v>2367</v>
      </c>
      <c r="D365" t="s">
        <v>2368</v>
      </c>
      <c r="E365" t="s">
        <v>2315</v>
      </c>
      <c r="G365" t="s">
        <v>4306</v>
      </c>
      <c r="H365" t="s">
        <v>2315</v>
      </c>
      <c r="I365" t="s">
        <v>3760</v>
      </c>
    </row>
    <row r="366" spans="1:9">
      <c r="A366" s="92" t="s">
        <v>3858</v>
      </c>
      <c r="B366" t="s">
        <v>1902</v>
      </c>
      <c r="C366" t="s">
        <v>2369</v>
      </c>
      <c r="D366" t="s">
        <v>2368</v>
      </c>
      <c r="E366" t="s">
        <v>2315</v>
      </c>
      <c r="G366" t="s">
        <v>4306</v>
      </c>
      <c r="H366" t="s">
        <v>2315</v>
      </c>
      <c r="I366" t="s">
        <v>3760</v>
      </c>
    </row>
    <row r="367" spans="1:9">
      <c r="A367" s="92" t="s">
        <v>3858</v>
      </c>
      <c r="B367" t="s">
        <v>1902</v>
      </c>
      <c r="C367" t="s">
        <v>2370</v>
      </c>
      <c r="D367" t="s">
        <v>2368</v>
      </c>
      <c r="E367" t="s">
        <v>108</v>
      </c>
      <c r="F367" t="s">
        <v>2371</v>
      </c>
      <c r="G367" t="s">
        <v>4306</v>
      </c>
      <c r="H367" t="s">
        <v>108</v>
      </c>
      <c r="I367" t="s">
        <v>3760</v>
      </c>
    </row>
    <row r="368" spans="1:9">
      <c r="A368" s="92" t="s">
        <v>3858</v>
      </c>
      <c r="B368" t="s">
        <v>1903</v>
      </c>
      <c r="C368" t="s">
        <v>2373</v>
      </c>
      <c r="D368" t="s">
        <v>2374</v>
      </c>
      <c r="E368" t="s">
        <v>108</v>
      </c>
      <c r="G368" t="s">
        <v>4306</v>
      </c>
      <c r="H368" t="s">
        <v>108</v>
      </c>
      <c r="I368" t="s">
        <v>3764</v>
      </c>
    </row>
    <row r="369" spans="1:9">
      <c r="A369" s="92" t="s">
        <v>3858</v>
      </c>
      <c r="B369" t="s">
        <v>1903</v>
      </c>
      <c r="C369" t="s">
        <v>2375</v>
      </c>
      <c r="D369" t="s">
        <v>2376</v>
      </c>
      <c r="E369" t="s">
        <v>108</v>
      </c>
      <c r="G369" t="s">
        <v>4306</v>
      </c>
      <c r="H369" t="s">
        <v>108</v>
      </c>
      <c r="I369" t="s">
        <v>3764</v>
      </c>
    </row>
    <row r="370" spans="1:9">
      <c r="A370" s="92" t="s">
        <v>3858</v>
      </c>
      <c r="B370" t="s">
        <v>1903</v>
      </c>
      <c r="C370" t="s">
        <v>2377</v>
      </c>
      <c r="D370" t="s">
        <v>2376</v>
      </c>
      <c r="E370" t="s">
        <v>108</v>
      </c>
      <c r="G370" t="s">
        <v>4306</v>
      </c>
      <c r="H370" t="s">
        <v>108</v>
      </c>
      <c r="I370" t="s">
        <v>3764</v>
      </c>
    </row>
    <row r="371" spans="1:9">
      <c r="A371" s="92" t="s">
        <v>3858</v>
      </c>
      <c r="B371" t="s">
        <v>1905</v>
      </c>
      <c r="C371" t="s">
        <v>2379</v>
      </c>
      <c r="D371" t="s">
        <v>2263</v>
      </c>
      <c r="E371" t="s">
        <v>2315</v>
      </c>
      <c r="F371" t="s">
        <v>2380</v>
      </c>
      <c r="G371" t="s">
        <v>4306</v>
      </c>
      <c r="H371" t="s">
        <v>2315</v>
      </c>
      <c r="I371" t="s">
        <v>3768</v>
      </c>
    </row>
    <row r="372" spans="1:9">
      <c r="A372" s="92" t="s">
        <v>3858</v>
      </c>
      <c r="B372" t="s">
        <v>1905</v>
      </c>
      <c r="C372" t="s">
        <v>2381</v>
      </c>
      <c r="D372" t="s">
        <v>2301</v>
      </c>
      <c r="E372" t="s">
        <v>108</v>
      </c>
      <c r="F372" t="s">
        <v>2382</v>
      </c>
      <c r="G372" t="s">
        <v>4306</v>
      </c>
      <c r="H372" t="s">
        <v>108</v>
      </c>
      <c r="I372" t="s">
        <v>3768</v>
      </c>
    </row>
    <row r="373" spans="1:9">
      <c r="A373" s="92" t="s">
        <v>3858</v>
      </c>
      <c r="B373" t="s">
        <v>1905</v>
      </c>
      <c r="C373" t="s">
        <v>2383</v>
      </c>
      <c r="D373" t="s">
        <v>2298</v>
      </c>
      <c r="E373" t="s">
        <v>108</v>
      </c>
      <c r="F373" t="s">
        <v>2384</v>
      </c>
      <c r="G373" t="s">
        <v>4306</v>
      </c>
      <c r="H373" t="s">
        <v>108</v>
      </c>
      <c r="I373" t="s">
        <v>3768</v>
      </c>
    </row>
    <row r="374" spans="1:9">
      <c r="A374" s="92" t="s">
        <v>3858</v>
      </c>
      <c r="B374" t="s">
        <v>1905</v>
      </c>
      <c r="C374" t="s">
        <v>2385</v>
      </c>
      <c r="D374" t="s">
        <v>2386</v>
      </c>
      <c r="E374" t="s">
        <v>108</v>
      </c>
      <c r="F374" t="s">
        <v>2387</v>
      </c>
      <c r="G374" t="s">
        <v>4306</v>
      </c>
      <c r="H374" t="s">
        <v>108</v>
      </c>
      <c r="I374" t="s">
        <v>3768</v>
      </c>
    </row>
    <row r="375" spans="1:9">
      <c r="A375" s="92" t="s">
        <v>3858</v>
      </c>
      <c r="B375" t="s">
        <v>1910</v>
      </c>
      <c r="C375" t="s">
        <v>2389</v>
      </c>
      <c r="D375" t="s">
        <v>2301</v>
      </c>
      <c r="E375" t="s">
        <v>108</v>
      </c>
      <c r="F375" t="s">
        <v>2390</v>
      </c>
      <c r="G375" t="s">
        <v>4306</v>
      </c>
      <c r="H375" t="s">
        <v>108</v>
      </c>
      <c r="I375" t="s">
        <v>3772</v>
      </c>
    </row>
    <row r="376" spans="1:9">
      <c r="A376" s="92" t="s">
        <v>3858</v>
      </c>
      <c r="B376" t="s">
        <v>1910</v>
      </c>
      <c r="C376" t="s">
        <v>2391</v>
      </c>
      <c r="D376" t="s">
        <v>2392</v>
      </c>
      <c r="E376" t="s">
        <v>108</v>
      </c>
      <c r="F376" t="s">
        <v>2393</v>
      </c>
      <c r="G376" t="s">
        <v>4306</v>
      </c>
      <c r="H376" t="s">
        <v>108</v>
      </c>
      <c r="I376" t="s">
        <v>3772</v>
      </c>
    </row>
    <row r="377" spans="1:9">
      <c r="A377" s="92" t="s">
        <v>3858</v>
      </c>
      <c r="B377" t="s">
        <v>1910</v>
      </c>
      <c r="C377" t="s">
        <v>2394</v>
      </c>
      <c r="D377" t="s">
        <v>2395</v>
      </c>
      <c r="E377" t="s">
        <v>108</v>
      </c>
      <c r="F377" t="s">
        <v>2396</v>
      </c>
      <c r="G377" t="s">
        <v>4306</v>
      </c>
      <c r="H377" t="s">
        <v>108</v>
      </c>
      <c r="I377" t="s">
        <v>3772</v>
      </c>
    </row>
    <row r="378" spans="1:9">
      <c r="A378" s="92" t="s">
        <v>3858</v>
      </c>
      <c r="B378" t="s">
        <v>1910</v>
      </c>
      <c r="C378" t="s">
        <v>2397</v>
      </c>
      <c r="D378" t="s">
        <v>2398</v>
      </c>
      <c r="E378" t="s">
        <v>2315</v>
      </c>
      <c r="G378" t="s">
        <v>4306</v>
      </c>
      <c r="H378" t="s">
        <v>2315</v>
      </c>
      <c r="I378" t="s">
        <v>3772</v>
      </c>
    </row>
    <row r="379" spans="1:9">
      <c r="A379" s="92" t="s">
        <v>3858</v>
      </c>
      <c r="B379" t="s">
        <v>1910</v>
      </c>
      <c r="C379" t="s">
        <v>2399</v>
      </c>
      <c r="D379" t="s">
        <v>2398</v>
      </c>
      <c r="E379" t="s">
        <v>2400</v>
      </c>
      <c r="G379" t="s">
        <v>4306</v>
      </c>
      <c r="H379" t="s">
        <v>108</v>
      </c>
      <c r="I379" t="s">
        <v>3772</v>
      </c>
    </row>
    <row r="380" spans="1:9">
      <c r="A380" s="92" t="s">
        <v>3858</v>
      </c>
      <c r="B380" t="s">
        <v>1912</v>
      </c>
      <c r="C380" t="s">
        <v>2402</v>
      </c>
      <c r="D380" t="s">
        <v>2403</v>
      </c>
      <c r="E380" t="s">
        <v>108</v>
      </c>
      <c r="G380" t="s">
        <v>4306</v>
      </c>
      <c r="H380" t="s">
        <v>108</v>
      </c>
      <c r="I380" t="s">
        <v>3776</v>
      </c>
    </row>
    <row r="381" spans="1:9">
      <c r="A381" s="92" t="s">
        <v>3858</v>
      </c>
      <c r="B381" t="s">
        <v>1912</v>
      </c>
      <c r="C381" t="s">
        <v>2404</v>
      </c>
      <c r="D381" t="s">
        <v>2403</v>
      </c>
      <c r="E381" t="s">
        <v>2315</v>
      </c>
      <c r="F381" t="s">
        <v>2405</v>
      </c>
      <c r="G381" t="s">
        <v>4306</v>
      </c>
      <c r="H381" t="s">
        <v>2315</v>
      </c>
      <c r="I381" t="s">
        <v>3776</v>
      </c>
    </row>
    <row r="382" spans="1:9">
      <c r="A382" s="92" t="s">
        <v>3858</v>
      </c>
      <c r="B382" t="s">
        <v>1912</v>
      </c>
      <c r="C382" t="s">
        <v>2411</v>
      </c>
      <c r="D382" t="s">
        <v>2407</v>
      </c>
      <c r="E382" t="s">
        <v>2331</v>
      </c>
      <c r="F382" t="s">
        <v>2412</v>
      </c>
      <c r="G382" t="s">
        <v>4306</v>
      </c>
      <c r="H382" t="s">
        <v>108</v>
      </c>
      <c r="I382" t="s">
        <v>3776</v>
      </c>
    </row>
    <row r="383" spans="1:9">
      <c r="A383" s="92" t="s">
        <v>3858</v>
      </c>
      <c r="B383" t="s">
        <v>1912</v>
      </c>
      <c r="C383" t="s">
        <v>2413</v>
      </c>
      <c r="D383" t="s">
        <v>2403</v>
      </c>
      <c r="E383" t="s">
        <v>2414</v>
      </c>
      <c r="G383" t="s">
        <v>4306</v>
      </c>
      <c r="H383" t="s">
        <v>108</v>
      </c>
      <c r="I383" t="s">
        <v>3776</v>
      </c>
    </row>
    <row r="384" spans="1:9">
      <c r="A384" s="92" t="s">
        <v>3858</v>
      </c>
      <c r="B384" t="s">
        <v>1912</v>
      </c>
      <c r="C384" t="s">
        <v>2415</v>
      </c>
      <c r="D384" t="s">
        <v>2403</v>
      </c>
      <c r="E384" t="s">
        <v>2416</v>
      </c>
      <c r="F384" t="s">
        <v>2417</v>
      </c>
      <c r="G384" t="s">
        <v>4306</v>
      </c>
      <c r="H384" t="s">
        <v>108</v>
      </c>
      <c r="I384" t="s">
        <v>3776</v>
      </c>
    </row>
    <row r="385" spans="1:9">
      <c r="A385" s="92" t="s">
        <v>3858</v>
      </c>
      <c r="B385" t="s">
        <v>1914</v>
      </c>
      <c r="C385" t="s">
        <v>2419</v>
      </c>
      <c r="D385" t="s">
        <v>2287</v>
      </c>
      <c r="E385" t="s">
        <v>2420</v>
      </c>
      <c r="F385" t="s">
        <v>2421</v>
      </c>
      <c r="G385" t="s">
        <v>4306</v>
      </c>
      <c r="H385" t="s">
        <v>108</v>
      </c>
      <c r="I385" t="s">
        <v>3780</v>
      </c>
    </row>
    <row r="386" spans="1:9">
      <c r="A386" s="92" t="s">
        <v>3858</v>
      </c>
      <c r="B386" t="s">
        <v>1914</v>
      </c>
      <c r="C386" t="s">
        <v>2422</v>
      </c>
      <c r="D386" t="s">
        <v>2423</v>
      </c>
      <c r="E386" t="s">
        <v>2424</v>
      </c>
      <c r="F386" t="s">
        <v>2425</v>
      </c>
      <c r="G386" t="s">
        <v>4306</v>
      </c>
      <c r="H386" t="s">
        <v>108</v>
      </c>
      <c r="I386" t="s">
        <v>3780</v>
      </c>
    </row>
    <row r="387" spans="1:9">
      <c r="A387" s="92" t="s">
        <v>3858</v>
      </c>
      <c r="B387" t="s">
        <v>1914</v>
      </c>
      <c r="C387" t="s">
        <v>2274</v>
      </c>
      <c r="E387" t="s">
        <v>2254</v>
      </c>
      <c r="G387" t="s">
        <v>4305</v>
      </c>
      <c r="H387" t="s">
        <v>2526</v>
      </c>
      <c r="I387" t="s">
        <v>3780</v>
      </c>
    </row>
    <row r="388" spans="1:9">
      <c r="A388" s="92" t="s">
        <v>3858</v>
      </c>
      <c r="B388" t="s">
        <v>1914</v>
      </c>
      <c r="C388" t="s">
        <v>2426</v>
      </c>
      <c r="D388" t="s">
        <v>2272</v>
      </c>
      <c r="E388" t="s">
        <v>2427</v>
      </c>
      <c r="F388" t="s">
        <v>2428</v>
      </c>
      <c r="G388" t="s">
        <v>4306</v>
      </c>
      <c r="H388" t="s">
        <v>2427</v>
      </c>
      <c r="I388" t="s">
        <v>3780</v>
      </c>
    </row>
    <row r="389" spans="1:9">
      <c r="A389" s="92" t="s">
        <v>3867</v>
      </c>
      <c r="B389" t="s">
        <v>1869</v>
      </c>
      <c r="C389" t="s">
        <v>2465</v>
      </c>
      <c r="D389" t="s">
        <v>2465</v>
      </c>
      <c r="E389" t="s">
        <v>2254</v>
      </c>
      <c r="F389" t="s">
        <v>2487</v>
      </c>
      <c r="G389" t="s">
        <v>4308</v>
      </c>
      <c r="H389" t="s">
        <v>2435</v>
      </c>
      <c r="I389" t="s">
        <v>3709</v>
      </c>
    </row>
    <row r="390" spans="1:9">
      <c r="A390" s="92" t="s">
        <v>3867</v>
      </c>
      <c r="B390" t="s">
        <v>1872</v>
      </c>
      <c r="C390" t="s">
        <v>2465</v>
      </c>
      <c r="D390" t="s">
        <v>2465</v>
      </c>
      <c r="E390" t="s">
        <v>2254</v>
      </c>
      <c r="F390" t="s">
        <v>2489</v>
      </c>
      <c r="G390" t="s">
        <v>4308</v>
      </c>
      <c r="H390" t="s">
        <v>2435</v>
      </c>
      <c r="I390" t="s">
        <v>3713</v>
      </c>
    </row>
    <row r="391" spans="1:9">
      <c r="A391" s="92" t="s">
        <v>3867</v>
      </c>
      <c r="B391" t="s">
        <v>1875</v>
      </c>
      <c r="C391" t="s">
        <v>2465</v>
      </c>
      <c r="D391" t="s">
        <v>2465</v>
      </c>
      <c r="E391" t="s">
        <v>2254</v>
      </c>
      <c r="F391" t="s">
        <v>2487</v>
      </c>
      <c r="G391" t="s">
        <v>4308</v>
      </c>
      <c r="H391" t="s">
        <v>2435</v>
      </c>
      <c r="I391" t="s">
        <v>3717</v>
      </c>
    </row>
    <row r="392" spans="1:9">
      <c r="A392" s="92" t="s">
        <v>3867</v>
      </c>
      <c r="B392" t="s">
        <v>1878</v>
      </c>
      <c r="C392" t="s">
        <v>2465</v>
      </c>
      <c r="D392" t="s">
        <v>2465</v>
      </c>
      <c r="E392" t="s">
        <v>2254</v>
      </c>
      <c r="F392" t="s">
        <v>2492</v>
      </c>
      <c r="G392" t="s">
        <v>4308</v>
      </c>
      <c r="H392" t="s">
        <v>2435</v>
      </c>
      <c r="I392" t="s">
        <v>3721</v>
      </c>
    </row>
    <row r="393" spans="1:9">
      <c r="A393" s="92" t="s">
        <v>3867</v>
      </c>
      <c r="B393" t="s">
        <v>1880</v>
      </c>
      <c r="C393" t="s">
        <v>2465</v>
      </c>
      <c r="D393" t="s">
        <v>2465</v>
      </c>
      <c r="E393" t="s">
        <v>2254</v>
      </c>
      <c r="F393" t="s">
        <v>2489</v>
      </c>
      <c r="G393" t="s">
        <v>4308</v>
      </c>
      <c r="H393" t="s">
        <v>2435</v>
      </c>
      <c r="I393" t="s">
        <v>3725</v>
      </c>
    </row>
    <row r="394" spans="1:9">
      <c r="A394" s="92" t="s">
        <v>3867</v>
      </c>
      <c r="B394" t="s">
        <v>1884</v>
      </c>
      <c r="C394" t="s">
        <v>2465</v>
      </c>
      <c r="D394" t="s">
        <v>2465</v>
      </c>
      <c r="E394" t="s">
        <v>2254</v>
      </c>
      <c r="F394" t="s">
        <v>2489</v>
      </c>
      <c r="G394" t="s">
        <v>4308</v>
      </c>
      <c r="H394" t="s">
        <v>2435</v>
      </c>
      <c r="I394" t="s">
        <v>3729</v>
      </c>
    </row>
    <row r="395" spans="1:9">
      <c r="A395" s="92" t="s">
        <v>3867</v>
      </c>
      <c r="B395" t="s">
        <v>1886</v>
      </c>
      <c r="C395" t="s">
        <v>2465</v>
      </c>
      <c r="D395" t="s">
        <v>2465</v>
      </c>
      <c r="E395" t="s">
        <v>2254</v>
      </c>
      <c r="F395" t="s">
        <v>2489</v>
      </c>
      <c r="G395" t="s">
        <v>4308</v>
      </c>
      <c r="H395" t="s">
        <v>2435</v>
      </c>
      <c r="I395" t="s">
        <v>3733</v>
      </c>
    </row>
    <row r="396" spans="1:9">
      <c r="A396" s="92" t="s">
        <v>3867</v>
      </c>
      <c r="B396" t="s">
        <v>1887</v>
      </c>
      <c r="C396" t="s">
        <v>2465</v>
      </c>
      <c r="D396" t="s">
        <v>2465</v>
      </c>
      <c r="E396" t="s">
        <v>2254</v>
      </c>
      <c r="F396" t="s">
        <v>2489</v>
      </c>
      <c r="G396" t="s">
        <v>4308</v>
      </c>
      <c r="H396" t="s">
        <v>2435</v>
      </c>
      <c r="I396" t="s">
        <v>3737</v>
      </c>
    </row>
    <row r="397" spans="1:9">
      <c r="A397" s="92" t="s">
        <v>2189</v>
      </c>
      <c r="B397" t="s">
        <v>1888</v>
      </c>
      <c r="C397" t="s">
        <v>2276</v>
      </c>
      <c r="D397" t="s">
        <v>2277</v>
      </c>
      <c r="E397" t="s">
        <v>1565</v>
      </c>
      <c r="F397" t="s">
        <v>2279</v>
      </c>
      <c r="G397" t="s">
        <v>4309</v>
      </c>
      <c r="H397" t="s">
        <v>552</v>
      </c>
      <c r="I397" t="s">
        <v>3740</v>
      </c>
    </row>
    <row r="398" spans="1:9">
      <c r="A398" s="92" t="s">
        <v>2189</v>
      </c>
      <c r="B398" t="s">
        <v>1895</v>
      </c>
      <c r="C398" t="s">
        <v>2289</v>
      </c>
      <c r="E398" t="s">
        <v>552</v>
      </c>
      <c r="F398" t="s">
        <v>2290</v>
      </c>
      <c r="G398" t="s">
        <v>4309</v>
      </c>
      <c r="H398" t="s">
        <v>552</v>
      </c>
      <c r="I398" t="s">
        <v>3752</v>
      </c>
    </row>
    <row r="399" spans="1:9">
      <c r="A399" s="92" t="s">
        <v>2189</v>
      </c>
      <c r="B399" t="s">
        <v>1897</v>
      </c>
      <c r="C399" t="s">
        <v>2248</v>
      </c>
      <c r="D399" t="s">
        <v>2249</v>
      </c>
      <c r="E399" t="s">
        <v>2250</v>
      </c>
      <c r="G399" t="s">
        <v>4310</v>
      </c>
      <c r="H399" t="s">
        <v>2292</v>
      </c>
      <c r="I399" t="s">
        <v>3756</v>
      </c>
    </row>
    <row r="400" spans="1:9">
      <c r="A400" s="92" t="s">
        <v>2189</v>
      </c>
      <c r="B400" t="s">
        <v>1897</v>
      </c>
      <c r="C400" t="s">
        <v>2253</v>
      </c>
      <c r="D400" t="s">
        <v>2249</v>
      </c>
      <c r="E400" t="s">
        <v>2254</v>
      </c>
      <c r="G400" t="s">
        <v>4310</v>
      </c>
      <c r="H400" t="s">
        <v>2292</v>
      </c>
      <c r="I400" t="s">
        <v>3756</v>
      </c>
    </row>
    <row r="401" spans="1:9">
      <c r="A401" s="92" t="s">
        <v>2189</v>
      </c>
      <c r="B401" t="s">
        <v>1897</v>
      </c>
      <c r="C401" t="s">
        <v>2255</v>
      </c>
      <c r="D401" t="s">
        <v>2249</v>
      </c>
      <c r="E401" t="s">
        <v>2254</v>
      </c>
      <c r="G401" t="s">
        <v>4310</v>
      </c>
      <c r="H401" t="s">
        <v>2292</v>
      </c>
      <c r="I401" t="s">
        <v>3756</v>
      </c>
    </row>
    <row r="402" spans="1:9">
      <c r="A402" s="92" t="s">
        <v>2189</v>
      </c>
      <c r="B402" t="s">
        <v>1897</v>
      </c>
      <c r="C402" t="s">
        <v>2256</v>
      </c>
      <c r="D402" t="s">
        <v>2257</v>
      </c>
      <c r="E402" t="s">
        <v>2254</v>
      </c>
      <c r="G402" t="s">
        <v>4310</v>
      </c>
      <c r="H402" t="s">
        <v>2292</v>
      </c>
      <c r="I402" t="s">
        <v>3756</v>
      </c>
    </row>
    <row r="403" spans="1:9">
      <c r="A403" s="92" t="s">
        <v>2189</v>
      </c>
      <c r="B403" t="s">
        <v>1897</v>
      </c>
      <c r="C403" t="s">
        <v>2258</v>
      </c>
      <c r="E403" t="s">
        <v>2254</v>
      </c>
      <c r="G403" t="s">
        <v>4310</v>
      </c>
      <c r="H403" t="s">
        <v>2292</v>
      </c>
      <c r="I403" t="s">
        <v>3756</v>
      </c>
    </row>
    <row r="404" spans="1:9">
      <c r="A404" s="92" t="s">
        <v>2189</v>
      </c>
      <c r="B404" t="s">
        <v>1897</v>
      </c>
      <c r="C404" t="s">
        <v>2259</v>
      </c>
      <c r="E404" t="s">
        <v>2254</v>
      </c>
      <c r="G404" t="s">
        <v>4310</v>
      </c>
      <c r="H404" t="s">
        <v>2292</v>
      </c>
      <c r="I404" t="s">
        <v>3756</v>
      </c>
    </row>
    <row r="405" spans="1:9">
      <c r="A405" s="92" t="s">
        <v>2189</v>
      </c>
      <c r="B405" t="s">
        <v>1897</v>
      </c>
      <c r="C405" t="s">
        <v>2260</v>
      </c>
      <c r="E405" t="s">
        <v>2254</v>
      </c>
      <c r="G405" t="s">
        <v>4310</v>
      </c>
      <c r="H405" t="s">
        <v>2292</v>
      </c>
      <c r="I405" t="s">
        <v>3756</v>
      </c>
    </row>
    <row r="406" spans="1:9">
      <c r="A406" s="92" t="s">
        <v>2189</v>
      </c>
      <c r="B406" t="s">
        <v>1902</v>
      </c>
      <c r="C406" t="s">
        <v>2294</v>
      </c>
      <c r="E406" t="s">
        <v>2295</v>
      </c>
      <c r="G406" t="s">
        <v>4309</v>
      </c>
      <c r="H406" t="s">
        <v>552</v>
      </c>
      <c r="I406" t="s">
        <v>3760</v>
      </c>
    </row>
    <row r="407" spans="1:9">
      <c r="A407" s="92" t="s">
        <v>2189</v>
      </c>
      <c r="B407" t="s">
        <v>1905</v>
      </c>
      <c r="C407" t="s">
        <v>2297</v>
      </c>
      <c r="D407" t="s">
        <v>2298</v>
      </c>
      <c r="E407" t="s">
        <v>552</v>
      </c>
      <c r="F407" t="s">
        <v>2299</v>
      </c>
      <c r="G407" t="s">
        <v>4309</v>
      </c>
      <c r="H407" t="s">
        <v>552</v>
      </c>
      <c r="I407" t="s">
        <v>3768</v>
      </c>
    </row>
    <row r="408" spans="1:9">
      <c r="A408" s="92" t="s">
        <v>2189</v>
      </c>
      <c r="B408" t="s">
        <v>1905</v>
      </c>
      <c r="C408" t="s">
        <v>2300</v>
      </c>
      <c r="D408" t="s">
        <v>2301</v>
      </c>
      <c r="E408" t="s">
        <v>2302</v>
      </c>
      <c r="F408" t="s">
        <v>2303</v>
      </c>
      <c r="G408" t="s">
        <v>4311</v>
      </c>
      <c r="H408" t="s">
        <v>552</v>
      </c>
      <c r="I408" t="s">
        <v>3768</v>
      </c>
    </row>
    <row r="409" spans="1:9">
      <c r="A409" s="92" t="s">
        <v>2189</v>
      </c>
      <c r="B409" t="s">
        <v>1912</v>
      </c>
      <c r="C409" t="s">
        <v>2305</v>
      </c>
      <c r="E409" t="s">
        <v>552</v>
      </c>
      <c r="G409" t="s">
        <v>4309</v>
      </c>
      <c r="H409" t="s">
        <v>552</v>
      </c>
      <c r="I409" t="s">
        <v>3776</v>
      </c>
    </row>
    <row r="410" spans="1:9">
      <c r="A410" s="92" t="s">
        <v>2189</v>
      </c>
      <c r="B410" t="s">
        <v>1914</v>
      </c>
      <c r="C410" t="s">
        <v>2274</v>
      </c>
      <c r="E410" t="s">
        <v>2254</v>
      </c>
      <c r="G410" t="s">
        <v>4310</v>
      </c>
      <c r="H410" t="s">
        <v>2292</v>
      </c>
      <c r="I410" t="s">
        <v>3780</v>
      </c>
    </row>
    <row r="411" spans="1:9">
      <c r="A411" s="92" t="s">
        <v>3876</v>
      </c>
      <c r="B411" t="s">
        <v>1869</v>
      </c>
      <c r="C411" t="s">
        <v>2465</v>
      </c>
      <c r="D411" t="s">
        <v>2465</v>
      </c>
      <c r="E411" t="s">
        <v>2254</v>
      </c>
      <c r="F411" t="s">
        <v>2487</v>
      </c>
      <c r="G411" t="s">
        <v>4312</v>
      </c>
      <c r="H411" t="s">
        <v>2251</v>
      </c>
      <c r="I411" t="s">
        <v>3709</v>
      </c>
    </row>
    <row r="412" spans="1:9">
      <c r="A412" s="92" t="s">
        <v>3876</v>
      </c>
      <c r="B412" t="s">
        <v>1872</v>
      </c>
      <c r="C412" t="s">
        <v>2465</v>
      </c>
      <c r="D412" t="s">
        <v>2465</v>
      </c>
      <c r="E412" t="s">
        <v>2254</v>
      </c>
      <c r="F412" t="s">
        <v>2489</v>
      </c>
      <c r="G412" t="s">
        <v>4312</v>
      </c>
      <c r="H412" t="s">
        <v>2251</v>
      </c>
      <c r="I412" t="s">
        <v>3713</v>
      </c>
    </row>
    <row r="413" spans="1:9">
      <c r="A413" s="92" t="s">
        <v>3876</v>
      </c>
      <c r="B413" t="s">
        <v>1875</v>
      </c>
      <c r="C413" t="s">
        <v>2465</v>
      </c>
      <c r="D413" t="s">
        <v>2465</v>
      </c>
      <c r="E413" t="s">
        <v>2254</v>
      </c>
      <c r="F413" t="s">
        <v>2487</v>
      </c>
      <c r="G413" t="s">
        <v>4312</v>
      </c>
      <c r="H413" t="s">
        <v>2251</v>
      </c>
      <c r="I413" t="s">
        <v>3717</v>
      </c>
    </row>
    <row r="414" spans="1:9">
      <c r="A414" s="92" t="s">
        <v>3876</v>
      </c>
      <c r="B414" t="s">
        <v>1878</v>
      </c>
      <c r="C414" t="s">
        <v>2465</v>
      </c>
      <c r="D414" t="s">
        <v>2465</v>
      </c>
      <c r="E414" t="s">
        <v>2254</v>
      </c>
      <c r="F414" t="s">
        <v>2492</v>
      </c>
      <c r="G414" t="s">
        <v>4312</v>
      </c>
      <c r="H414" t="s">
        <v>2251</v>
      </c>
      <c r="I414" t="s">
        <v>3721</v>
      </c>
    </row>
    <row r="415" spans="1:9">
      <c r="A415" s="92" t="s">
        <v>3876</v>
      </c>
      <c r="B415" t="s">
        <v>1880</v>
      </c>
      <c r="C415" t="s">
        <v>2465</v>
      </c>
      <c r="D415" t="s">
        <v>2465</v>
      </c>
      <c r="E415" t="s">
        <v>2254</v>
      </c>
      <c r="F415" t="s">
        <v>2489</v>
      </c>
      <c r="G415" t="s">
        <v>4312</v>
      </c>
      <c r="H415" t="s">
        <v>2251</v>
      </c>
      <c r="I415" t="s">
        <v>3725</v>
      </c>
    </row>
    <row r="416" spans="1:9">
      <c r="A416" s="92" t="s">
        <v>3876</v>
      </c>
      <c r="B416" t="s">
        <v>1884</v>
      </c>
      <c r="C416" t="s">
        <v>2465</v>
      </c>
      <c r="D416" t="s">
        <v>2465</v>
      </c>
      <c r="E416" t="s">
        <v>2254</v>
      </c>
      <c r="F416" t="s">
        <v>2489</v>
      </c>
      <c r="G416" t="s">
        <v>4312</v>
      </c>
      <c r="H416" t="s">
        <v>2251</v>
      </c>
      <c r="I416" t="s">
        <v>3729</v>
      </c>
    </row>
    <row r="417" spans="1:9">
      <c r="A417" s="92" t="s">
        <v>3876</v>
      </c>
      <c r="B417" t="s">
        <v>1886</v>
      </c>
      <c r="C417" t="s">
        <v>2465</v>
      </c>
      <c r="D417" t="s">
        <v>2465</v>
      </c>
      <c r="E417" t="s">
        <v>2254</v>
      </c>
      <c r="F417" t="s">
        <v>2489</v>
      </c>
      <c r="G417" t="s">
        <v>4312</v>
      </c>
      <c r="H417" t="s">
        <v>2251</v>
      </c>
      <c r="I417" t="s">
        <v>3733</v>
      </c>
    </row>
    <row r="418" spans="1:9">
      <c r="A418" s="92" t="s">
        <v>3876</v>
      </c>
      <c r="B418" t="s">
        <v>1887</v>
      </c>
      <c r="C418" t="s">
        <v>2465</v>
      </c>
      <c r="D418" t="s">
        <v>2465</v>
      </c>
      <c r="E418" t="s">
        <v>2254</v>
      </c>
      <c r="F418" t="s">
        <v>2489</v>
      </c>
      <c r="G418" t="s">
        <v>4312</v>
      </c>
      <c r="H418" t="s">
        <v>2251</v>
      </c>
      <c r="I418" t="s">
        <v>3737</v>
      </c>
    </row>
    <row r="419" spans="1:9">
      <c r="A419" s="92" t="s">
        <v>3876</v>
      </c>
      <c r="B419" t="s">
        <v>1888</v>
      </c>
      <c r="C419" t="s">
        <v>2241</v>
      </c>
      <c r="D419" t="s">
        <v>2242</v>
      </c>
      <c r="E419" t="s">
        <v>2243</v>
      </c>
      <c r="F419" t="s">
        <v>2246</v>
      </c>
      <c r="G419" t="s">
        <v>4312</v>
      </c>
      <c r="H419" t="s">
        <v>2245</v>
      </c>
      <c r="I419" t="s">
        <v>3740</v>
      </c>
    </row>
    <row r="420" spans="1:9">
      <c r="A420" s="92" t="s">
        <v>3876</v>
      </c>
      <c r="B420" t="s">
        <v>1897</v>
      </c>
      <c r="C420" t="s">
        <v>2248</v>
      </c>
      <c r="D420" t="s">
        <v>2249</v>
      </c>
      <c r="E420" t="s">
        <v>2250</v>
      </c>
      <c r="G420" t="s">
        <v>4312</v>
      </c>
      <c r="H420" t="s">
        <v>2251</v>
      </c>
      <c r="I420" t="s">
        <v>3756</v>
      </c>
    </row>
    <row r="421" spans="1:9">
      <c r="A421" s="92" t="s">
        <v>3876</v>
      </c>
      <c r="B421" t="s">
        <v>1897</v>
      </c>
      <c r="C421" t="s">
        <v>2253</v>
      </c>
      <c r="D421" t="s">
        <v>2249</v>
      </c>
      <c r="E421" t="s">
        <v>2254</v>
      </c>
      <c r="G421" t="s">
        <v>4312</v>
      </c>
      <c r="H421" t="s">
        <v>2251</v>
      </c>
      <c r="I421" t="s">
        <v>3756</v>
      </c>
    </row>
    <row r="422" spans="1:9">
      <c r="A422" s="92" t="s">
        <v>3876</v>
      </c>
      <c r="B422" t="s">
        <v>1897</v>
      </c>
      <c r="C422" t="s">
        <v>2255</v>
      </c>
      <c r="D422" t="s">
        <v>2249</v>
      </c>
      <c r="E422" t="s">
        <v>2254</v>
      </c>
      <c r="G422" t="s">
        <v>4312</v>
      </c>
      <c r="H422" t="s">
        <v>2251</v>
      </c>
      <c r="I422" t="s">
        <v>3756</v>
      </c>
    </row>
    <row r="423" spans="1:9">
      <c r="A423" s="92" t="s">
        <v>3876</v>
      </c>
      <c r="B423" t="s">
        <v>1897</v>
      </c>
      <c r="C423" t="s">
        <v>2256</v>
      </c>
      <c r="D423" t="s">
        <v>2257</v>
      </c>
      <c r="E423" t="s">
        <v>2254</v>
      </c>
      <c r="G423" t="s">
        <v>4312</v>
      </c>
      <c r="H423" t="s">
        <v>2251</v>
      </c>
      <c r="I423" t="s">
        <v>3756</v>
      </c>
    </row>
    <row r="424" spans="1:9">
      <c r="A424" s="92" t="s">
        <v>3876</v>
      </c>
      <c r="B424" t="s">
        <v>1897</v>
      </c>
      <c r="C424" t="s">
        <v>2258</v>
      </c>
      <c r="E424" t="s">
        <v>2254</v>
      </c>
      <c r="G424" t="s">
        <v>4312</v>
      </c>
      <c r="H424" t="s">
        <v>2251</v>
      </c>
      <c r="I424" t="s">
        <v>3756</v>
      </c>
    </row>
    <row r="425" spans="1:9">
      <c r="A425" s="92" t="s">
        <v>3876</v>
      </c>
      <c r="B425" t="s">
        <v>1897</v>
      </c>
      <c r="C425" t="s">
        <v>2259</v>
      </c>
      <c r="E425" t="s">
        <v>2254</v>
      </c>
      <c r="G425" t="s">
        <v>4312</v>
      </c>
      <c r="H425" t="s">
        <v>2251</v>
      </c>
      <c r="I425" t="s">
        <v>3756</v>
      </c>
    </row>
    <row r="426" spans="1:9">
      <c r="A426" s="92" t="s">
        <v>3876</v>
      </c>
      <c r="B426" t="s">
        <v>1897</v>
      </c>
      <c r="C426" t="s">
        <v>2260</v>
      </c>
      <c r="E426" t="s">
        <v>2254</v>
      </c>
      <c r="G426" t="s">
        <v>4312</v>
      </c>
      <c r="H426" t="s">
        <v>2251</v>
      </c>
      <c r="I426" t="s">
        <v>3756</v>
      </c>
    </row>
    <row r="427" spans="1:9">
      <c r="A427" s="92" t="s">
        <v>3876</v>
      </c>
      <c r="B427" t="s">
        <v>1905</v>
      </c>
      <c r="C427" t="s">
        <v>2300</v>
      </c>
      <c r="D427" t="s">
        <v>2301</v>
      </c>
      <c r="E427" t="s">
        <v>2302</v>
      </c>
      <c r="F427" t="s">
        <v>2303</v>
      </c>
      <c r="G427" t="s">
        <v>4313</v>
      </c>
      <c r="H427" t="s">
        <v>2564</v>
      </c>
      <c r="I427" t="s">
        <v>3768</v>
      </c>
    </row>
    <row r="428" spans="1:9">
      <c r="A428" s="92" t="s">
        <v>3876</v>
      </c>
      <c r="B428" t="s">
        <v>1905</v>
      </c>
      <c r="C428" t="s">
        <v>2262</v>
      </c>
      <c r="D428" t="s">
        <v>2263</v>
      </c>
      <c r="E428" t="s">
        <v>2243</v>
      </c>
      <c r="F428" t="s">
        <v>2264</v>
      </c>
      <c r="G428" t="s">
        <v>4312</v>
      </c>
      <c r="H428" t="s">
        <v>2245</v>
      </c>
      <c r="I428" t="s">
        <v>3768</v>
      </c>
    </row>
    <row r="429" spans="1:9">
      <c r="A429" s="92" t="s">
        <v>3876</v>
      </c>
      <c r="B429" t="s">
        <v>1905</v>
      </c>
      <c r="C429" t="s">
        <v>2265</v>
      </c>
      <c r="D429" t="s">
        <v>2266</v>
      </c>
      <c r="E429" t="s">
        <v>2243</v>
      </c>
      <c r="F429" t="s">
        <v>2267</v>
      </c>
      <c r="G429" t="s">
        <v>4312</v>
      </c>
      <c r="H429" t="s">
        <v>2245</v>
      </c>
      <c r="I429" t="s">
        <v>3768</v>
      </c>
    </row>
    <row r="430" spans="1:9">
      <c r="A430" s="92" t="s">
        <v>3876</v>
      </c>
      <c r="B430" t="s">
        <v>1914</v>
      </c>
      <c r="C430" t="s">
        <v>2269</v>
      </c>
      <c r="E430" t="s">
        <v>2243</v>
      </c>
      <c r="F430" t="s">
        <v>2270</v>
      </c>
      <c r="G430" t="s">
        <v>4312</v>
      </c>
      <c r="H430" t="s">
        <v>2245</v>
      </c>
      <c r="I430" t="s">
        <v>3780</v>
      </c>
    </row>
    <row r="431" spans="1:9">
      <c r="A431" s="92" t="s">
        <v>3876</v>
      </c>
      <c r="B431" t="s">
        <v>1914</v>
      </c>
      <c r="C431" t="s">
        <v>2271</v>
      </c>
      <c r="D431" t="s">
        <v>2272</v>
      </c>
      <c r="E431" t="s">
        <v>2243</v>
      </c>
      <c r="F431" t="s">
        <v>2273</v>
      </c>
      <c r="G431" t="s">
        <v>4312</v>
      </c>
      <c r="H431" t="s">
        <v>2245</v>
      </c>
      <c r="I431" t="s">
        <v>3780</v>
      </c>
    </row>
    <row r="432" spans="1:9">
      <c r="A432" s="92" t="s">
        <v>3876</v>
      </c>
      <c r="B432" t="s">
        <v>1914</v>
      </c>
      <c r="C432" t="s">
        <v>2274</v>
      </c>
      <c r="E432" t="s">
        <v>2254</v>
      </c>
      <c r="G432" t="s">
        <v>4312</v>
      </c>
      <c r="H432" t="s">
        <v>2251</v>
      </c>
      <c r="I432" t="s">
        <v>3780</v>
      </c>
    </row>
    <row r="433" spans="1:9">
      <c r="A433" s="92" t="s">
        <v>3885</v>
      </c>
      <c r="B433" t="s">
        <v>1869</v>
      </c>
      <c r="C433" t="s">
        <v>2465</v>
      </c>
      <c r="D433" t="s">
        <v>2465</v>
      </c>
      <c r="E433" t="s">
        <v>2254</v>
      </c>
      <c r="F433" t="s">
        <v>2487</v>
      </c>
      <c r="G433" t="s">
        <v>4314</v>
      </c>
      <c r="H433" t="s">
        <v>2251</v>
      </c>
      <c r="I433" t="s">
        <v>3709</v>
      </c>
    </row>
    <row r="434" spans="1:9">
      <c r="A434" s="92" t="s">
        <v>3885</v>
      </c>
      <c r="B434" t="s">
        <v>1872</v>
      </c>
      <c r="C434" t="s">
        <v>2465</v>
      </c>
      <c r="D434" t="s">
        <v>2465</v>
      </c>
      <c r="E434" t="s">
        <v>2254</v>
      </c>
      <c r="F434" t="s">
        <v>2489</v>
      </c>
      <c r="G434" t="s">
        <v>4314</v>
      </c>
      <c r="H434" t="s">
        <v>2251</v>
      </c>
      <c r="I434" t="s">
        <v>3713</v>
      </c>
    </row>
    <row r="435" spans="1:9">
      <c r="A435" s="92" t="s">
        <v>3885</v>
      </c>
      <c r="B435" t="s">
        <v>1875</v>
      </c>
      <c r="C435" t="s">
        <v>2465</v>
      </c>
      <c r="D435" t="s">
        <v>2465</v>
      </c>
      <c r="E435" t="s">
        <v>2254</v>
      </c>
      <c r="F435" t="s">
        <v>2487</v>
      </c>
      <c r="G435" t="s">
        <v>4314</v>
      </c>
      <c r="H435" t="s">
        <v>2251</v>
      </c>
      <c r="I435" t="s">
        <v>3717</v>
      </c>
    </row>
    <row r="436" spans="1:9">
      <c r="A436" s="92" t="s">
        <v>3885</v>
      </c>
      <c r="B436" t="s">
        <v>1878</v>
      </c>
      <c r="C436" t="s">
        <v>2465</v>
      </c>
      <c r="D436" t="s">
        <v>2465</v>
      </c>
      <c r="E436" t="s">
        <v>2254</v>
      </c>
      <c r="F436" t="s">
        <v>2492</v>
      </c>
      <c r="G436" t="s">
        <v>4314</v>
      </c>
      <c r="H436" t="s">
        <v>2251</v>
      </c>
      <c r="I436" t="s">
        <v>3721</v>
      </c>
    </row>
    <row r="437" spans="1:9">
      <c r="A437" s="92" t="s">
        <v>3885</v>
      </c>
      <c r="B437" t="s">
        <v>1880</v>
      </c>
      <c r="C437" t="s">
        <v>2465</v>
      </c>
      <c r="D437" t="s">
        <v>2465</v>
      </c>
      <c r="E437" t="s">
        <v>2254</v>
      </c>
      <c r="F437" t="s">
        <v>2489</v>
      </c>
      <c r="G437" t="s">
        <v>4314</v>
      </c>
      <c r="H437" t="s">
        <v>2251</v>
      </c>
      <c r="I437" t="s">
        <v>3725</v>
      </c>
    </row>
    <row r="438" spans="1:9">
      <c r="A438" s="92" t="s">
        <v>3885</v>
      </c>
      <c r="B438" t="s">
        <v>1884</v>
      </c>
      <c r="C438" t="s">
        <v>2465</v>
      </c>
      <c r="D438" t="s">
        <v>2465</v>
      </c>
      <c r="E438" t="s">
        <v>2254</v>
      </c>
      <c r="F438" t="s">
        <v>2489</v>
      </c>
      <c r="G438" t="s">
        <v>4314</v>
      </c>
      <c r="H438" t="s">
        <v>2251</v>
      </c>
      <c r="I438" t="s">
        <v>3729</v>
      </c>
    </row>
    <row r="439" spans="1:9">
      <c r="A439" s="92" t="s">
        <v>3885</v>
      </c>
      <c r="B439" t="s">
        <v>1886</v>
      </c>
      <c r="C439" t="s">
        <v>2465</v>
      </c>
      <c r="D439" t="s">
        <v>2465</v>
      </c>
      <c r="E439" t="s">
        <v>2254</v>
      </c>
      <c r="F439" t="s">
        <v>2489</v>
      </c>
      <c r="G439" t="s">
        <v>4314</v>
      </c>
      <c r="H439" t="s">
        <v>2251</v>
      </c>
      <c r="I439" t="s">
        <v>3733</v>
      </c>
    </row>
    <row r="440" spans="1:9">
      <c r="A440" s="92" t="s">
        <v>3885</v>
      </c>
      <c r="B440" t="s">
        <v>1887</v>
      </c>
      <c r="C440" t="s">
        <v>2465</v>
      </c>
      <c r="D440" t="s">
        <v>2465</v>
      </c>
      <c r="E440" t="s">
        <v>2254</v>
      </c>
      <c r="F440" t="s">
        <v>2489</v>
      </c>
      <c r="G440" t="s">
        <v>4314</v>
      </c>
      <c r="H440" t="s">
        <v>2251</v>
      </c>
      <c r="I440" t="s">
        <v>3737</v>
      </c>
    </row>
    <row r="441" spans="1:9">
      <c r="A441" s="92" t="s">
        <v>3885</v>
      </c>
      <c r="B441" t="s">
        <v>1888</v>
      </c>
      <c r="C441" t="s">
        <v>2241</v>
      </c>
      <c r="D441" t="s">
        <v>2242</v>
      </c>
      <c r="E441" t="s">
        <v>2243</v>
      </c>
      <c r="F441" t="s">
        <v>2246</v>
      </c>
      <c r="G441" t="s">
        <v>4314</v>
      </c>
      <c r="H441" t="s">
        <v>2245</v>
      </c>
      <c r="I441" t="s">
        <v>3740</v>
      </c>
    </row>
    <row r="442" spans="1:9">
      <c r="A442" s="92" t="s">
        <v>3885</v>
      </c>
      <c r="B442" t="s">
        <v>1888</v>
      </c>
      <c r="C442" t="s">
        <v>2276</v>
      </c>
      <c r="D442" t="s">
        <v>2277</v>
      </c>
      <c r="E442" t="s">
        <v>1565</v>
      </c>
      <c r="F442" t="s">
        <v>2279</v>
      </c>
      <c r="G442" t="s">
        <v>4315</v>
      </c>
      <c r="H442" t="s">
        <v>108</v>
      </c>
      <c r="I442" t="s">
        <v>3740</v>
      </c>
    </row>
    <row r="443" spans="1:9">
      <c r="A443" s="92" t="s">
        <v>3885</v>
      </c>
      <c r="B443" t="s">
        <v>1888</v>
      </c>
      <c r="C443" t="s">
        <v>2309</v>
      </c>
      <c r="E443" t="s">
        <v>2310</v>
      </c>
      <c r="G443" t="s">
        <v>4315</v>
      </c>
      <c r="H443" t="s">
        <v>108</v>
      </c>
      <c r="I443" t="s">
        <v>3740</v>
      </c>
    </row>
    <row r="444" spans="1:9">
      <c r="A444" s="92" t="s">
        <v>3885</v>
      </c>
      <c r="B444" t="s">
        <v>1888</v>
      </c>
      <c r="C444" t="s">
        <v>2312</v>
      </c>
      <c r="D444" t="s">
        <v>2242</v>
      </c>
      <c r="E444" t="s">
        <v>108</v>
      </c>
      <c r="G444" t="s">
        <v>4315</v>
      </c>
      <c r="H444" t="s">
        <v>108</v>
      </c>
      <c r="I444" t="s">
        <v>3740</v>
      </c>
    </row>
    <row r="445" spans="1:9">
      <c r="A445" s="92" t="s">
        <v>3885</v>
      </c>
      <c r="B445" t="s">
        <v>1888</v>
      </c>
      <c r="C445" t="s">
        <v>2313</v>
      </c>
      <c r="D445" t="s">
        <v>2314</v>
      </c>
      <c r="E445" t="s">
        <v>2315</v>
      </c>
      <c r="F445" t="s">
        <v>2316</v>
      </c>
      <c r="G445" t="s">
        <v>4315</v>
      </c>
      <c r="H445" t="s">
        <v>2315</v>
      </c>
      <c r="I445" t="s">
        <v>3740</v>
      </c>
    </row>
    <row r="446" spans="1:9">
      <c r="A446" s="92" t="s">
        <v>3885</v>
      </c>
      <c r="B446" t="s">
        <v>1888</v>
      </c>
      <c r="C446" t="s">
        <v>2317</v>
      </c>
      <c r="E446" t="s">
        <v>108</v>
      </c>
      <c r="G446" t="s">
        <v>4315</v>
      </c>
      <c r="H446" t="s">
        <v>108</v>
      </c>
      <c r="I446" t="s">
        <v>3740</v>
      </c>
    </row>
    <row r="447" spans="1:9">
      <c r="A447" s="92" t="s">
        <v>3885</v>
      </c>
      <c r="B447" t="s">
        <v>1889</v>
      </c>
      <c r="C447" t="s">
        <v>2319</v>
      </c>
      <c r="D447" t="s">
        <v>2249</v>
      </c>
      <c r="E447" t="s">
        <v>108</v>
      </c>
      <c r="G447" t="s">
        <v>4315</v>
      </c>
      <c r="H447" t="s">
        <v>108</v>
      </c>
      <c r="I447" t="s">
        <v>3744</v>
      </c>
    </row>
    <row r="448" spans="1:9">
      <c r="A448" s="92" t="s">
        <v>3885</v>
      </c>
      <c r="B448" t="s">
        <v>1889</v>
      </c>
      <c r="C448" t="s">
        <v>2320</v>
      </c>
      <c r="D448" t="s">
        <v>2321</v>
      </c>
      <c r="E448" t="s">
        <v>108</v>
      </c>
      <c r="F448" t="s">
        <v>2322</v>
      </c>
      <c r="G448" t="s">
        <v>4315</v>
      </c>
      <c r="H448" t="s">
        <v>108</v>
      </c>
      <c r="I448" t="s">
        <v>3744</v>
      </c>
    </row>
    <row r="449" spans="1:9">
      <c r="A449" s="92" t="s">
        <v>3885</v>
      </c>
      <c r="B449" t="s">
        <v>1889</v>
      </c>
      <c r="C449" t="s">
        <v>2323</v>
      </c>
      <c r="D449" t="s">
        <v>2321</v>
      </c>
      <c r="E449" t="s">
        <v>108</v>
      </c>
      <c r="G449" t="s">
        <v>4315</v>
      </c>
      <c r="H449" t="s">
        <v>108</v>
      </c>
      <c r="I449" t="s">
        <v>3744</v>
      </c>
    </row>
    <row r="450" spans="1:9">
      <c r="A450" s="92" t="s">
        <v>3885</v>
      </c>
      <c r="B450" t="s">
        <v>1889</v>
      </c>
      <c r="C450" t="s">
        <v>2324</v>
      </c>
      <c r="D450" t="s">
        <v>2325</v>
      </c>
      <c r="E450" t="s">
        <v>108</v>
      </c>
      <c r="F450" t="s">
        <v>2326</v>
      </c>
      <c r="G450" t="s">
        <v>4315</v>
      </c>
      <c r="H450" t="s">
        <v>108</v>
      </c>
      <c r="I450" t="s">
        <v>3744</v>
      </c>
    </row>
    <row r="451" spans="1:9">
      <c r="A451" s="92" t="s">
        <v>3885</v>
      </c>
      <c r="B451" t="s">
        <v>3515</v>
      </c>
      <c r="C451" t="s">
        <v>2328</v>
      </c>
      <c r="D451" t="s">
        <v>2282</v>
      </c>
      <c r="E451" t="s">
        <v>108</v>
      </c>
      <c r="G451" t="s">
        <v>4315</v>
      </c>
      <c r="H451" t="s">
        <v>108</v>
      </c>
      <c r="I451" t="s">
        <v>3748</v>
      </c>
    </row>
    <row r="452" spans="1:9">
      <c r="A452" s="92" t="s">
        <v>3885</v>
      </c>
      <c r="B452" t="s">
        <v>3515</v>
      </c>
      <c r="C452" t="s">
        <v>2281</v>
      </c>
      <c r="D452" t="s">
        <v>2282</v>
      </c>
      <c r="E452" t="s">
        <v>2283</v>
      </c>
      <c r="G452" t="s">
        <v>4315</v>
      </c>
      <c r="H452" t="s">
        <v>108</v>
      </c>
      <c r="I452" t="s">
        <v>3748</v>
      </c>
    </row>
    <row r="453" spans="1:9">
      <c r="A453" s="92" t="s">
        <v>3885</v>
      </c>
      <c r="B453" t="s">
        <v>3515</v>
      </c>
      <c r="C453" t="s">
        <v>2330</v>
      </c>
      <c r="D453" t="s">
        <v>2282</v>
      </c>
      <c r="E453" t="s">
        <v>2331</v>
      </c>
      <c r="F453" t="s">
        <v>2332</v>
      </c>
      <c r="G453" t="s">
        <v>4315</v>
      </c>
      <c r="H453" t="s">
        <v>108</v>
      </c>
      <c r="I453" t="s">
        <v>3748</v>
      </c>
    </row>
    <row r="454" spans="1:9">
      <c r="A454" s="92" t="s">
        <v>3885</v>
      </c>
      <c r="B454" t="s">
        <v>3515</v>
      </c>
      <c r="C454" t="s">
        <v>2333</v>
      </c>
      <c r="D454" t="s">
        <v>2282</v>
      </c>
      <c r="E454" t="s">
        <v>108</v>
      </c>
      <c r="G454" t="s">
        <v>4315</v>
      </c>
      <c r="H454" t="s">
        <v>108</v>
      </c>
      <c r="I454" t="s">
        <v>3748</v>
      </c>
    </row>
    <row r="455" spans="1:9">
      <c r="A455" s="92" t="s">
        <v>3885</v>
      </c>
      <c r="B455" t="s">
        <v>1895</v>
      </c>
      <c r="C455" t="s">
        <v>2335</v>
      </c>
      <c r="D455" t="s">
        <v>2336</v>
      </c>
      <c r="E455" t="s">
        <v>2337</v>
      </c>
      <c r="G455" t="s">
        <v>4315</v>
      </c>
      <c r="H455" t="s">
        <v>108</v>
      </c>
      <c r="I455" t="s">
        <v>3752</v>
      </c>
    </row>
    <row r="456" spans="1:9">
      <c r="A456" s="92" t="s">
        <v>3885</v>
      </c>
      <c r="B456" t="s">
        <v>1895</v>
      </c>
      <c r="C456" t="s">
        <v>2338</v>
      </c>
      <c r="D456" t="s">
        <v>2336</v>
      </c>
      <c r="E456" t="s">
        <v>2339</v>
      </c>
      <c r="G456" t="s">
        <v>4315</v>
      </c>
      <c r="H456" t="s">
        <v>108</v>
      </c>
      <c r="I456" t="s">
        <v>3752</v>
      </c>
    </row>
    <row r="457" spans="1:9">
      <c r="A457" s="92" t="s">
        <v>3885</v>
      </c>
      <c r="B457" t="s">
        <v>1895</v>
      </c>
      <c r="C457" t="s">
        <v>2340</v>
      </c>
      <c r="D457" t="s">
        <v>2341</v>
      </c>
      <c r="E457" t="s">
        <v>108</v>
      </c>
      <c r="F457" t="s">
        <v>2342</v>
      </c>
      <c r="G457" t="s">
        <v>4315</v>
      </c>
      <c r="H457" t="s">
        <v>108</v>
      </c>
      <c r="I457" t="s">
        <v>3752</v>
      </c>
    </row>
    <row r="458" spans="1:9">
      <c r="A458" s="92" t="s">
        <v>3885</v>
      </c>
      <c r="B458" t="s">
        <v>1895</v>
      </c>
      <c r="C458" t="s">
        <v>2343</v>
      </c>
      <c r="D458" t="s">
        <v>2341</v>
      </c>
      <c r="E458" t="s">
        <v>108</v>
      </c>
      <c r="G458" t="s">
        <v>4315</v>
      </c>
      <c r="H458" t="s">
        <v>108</v>
      </c>
      <c r="I458" t="s">
        <v>3752</v>
      </c>
    </row>
    <row r="459" spans="1:9">
      <c r="A459" s="92" t="s">
        <v>3885</v>
      </c>
      <c r="B459" t="s">
        <v>1897</v>
      </c>
      <c r="C459" t="s">
        <v>2345</v>
      </c>
      <c r="D459" t="s">
        <v>2346</v>
      </c>
      <c r="E459" t="s">
        <v>108</v>
      </c>
      <c r="F459" t="s">
        <v>2347</v>
      </c>
      <c r="G459" t="s">
        <v>4315</v>
      </c>
      <c r="H459" t="s">
        <v>108</v>
      </c>
      <c r="I459" t="s">
        <v>3756</v>
      </c>
    </row>
    <row r="460" spans="1:9">
      <c r="A460" s="92" t="s">
        <v>3885</v>
      </c>
      <c r="B460" t="s">
        <v>1897</v>
      </c>
      <c r="C460" t="s">
        <v>2248</v>
      </c>
      <c r="D460" t="s">
        <v>2249</v>
      </c>
      <c r="E460" t="s">
        <v>2250</v>
      </c>
      <c r="G460" t="s">
        <v>4314</v>
      </c>
      <c r="H460" t="s">
        <v>2251</v>
      </c>
      <c r="I460" t="s">
        <v>3756</v>
      </c>
    </row>
    <row r="461" spans="1:9">
      <c r="A461" s="92" t="s">
        <v>3885</v>
      </c>
      <c r="B461" t="s">
        <v>1897</v>
      </c>
      <c r="C461" t="s">
        <v>2253</v>
      </c>
      <c r="D461" t="s">
        <v>2249</v>
      </c>
      <c r="E461" t="s">
        <v>2254</v>
      </c>
      <c r="G461" t="s">
        <v>4314</v>
      </c>
      <c r="H461" t="s">
        <v>2251</v>
      </c>
      <c r="I461" t="s">
        <v>3756</v>
      </c>
    </row>
    <row r="462" spans="1:9">
      <c r="A462" s="92" t="s">
        <v>3885</v>
      </c>
      <c r="B462" t="s">
        <v>1897</v>
      </c>
      <c r="C462" t="s">
        <v>2255</v>
      </c>
      <c r="D462" t="s">
        <v>2249</v>
      </c>
      <c r="E462" t="s">
        <v>2254</v>
      </c>
      <c r="G462" t="s">
        <v>4314</v>
      </c>
      <c r="H462" t="s">
        <v>2251</v>
      </c>
      <c r="I462" t="s">
        <v>3756</v>
      </c>
    </row>
    <row r="463" spans="1:9">
      <c r="A463" s="92" t="s">
        <v>3885</v>
      </c>
      <c r="B463" t="s">
        <v>1897</v>
      </c>
      <c r="C463" t="s">
        <v>2256</v>
      </c>
      <c r="D463" t="s">
        <v>2257</v>
      </c>
      <c r="E463" t="s">
        <v>2254</v>
      </c>
      <c r="G463" t="s">
        <v>4314</v>
      </c>
      <c r="H463" t="s">
        <v>2251</v>
      </c>
      <c r="I463" t="s">
        <v>3756</v>
      </c>
    </row>
    <row r="464" spans="1:9">
      <c r="A464" s="92" t="s">
        <v>3885</v>
      </c>
      <c r="B464" t="s">
        <v>1897</v>
      </c>
      <c r="C464" t="s">
        <v>2258</v>
      </c>
      <c r="E464" t="s">
        <v>2254</v>
      </c>
      <c r="G464" t="s">
        <v>4314</v>
      </c>
      <c r="H464" t="s">
        <v>2251</v>
      </c>
      <c r="I464" t="s">
        <v>3756</v>
      </c>
    </row>
    <row r="465" spans="1:9">
      <c r="A465" s="92" t="s">
        <v>3885</v>
      </c>
      <c r="B465" t="s">
        <v>1897</v>
      </c>
      <c r="C465" t="s">
        <v>2259</v>
      </c>
      <c r="E465" t="s">
        <v>2254</v>
      </c>
      <c r="G465" t="s">
        <v>4314</v>
      </c>
      <c r="H465" t="s">
        <v>2251</v>
      </c>
      <c r="I465" t="s">
        <v>3756</v>
      </c>
    </row>
    <row r="466" spans="1:9">
      <c r="A466" s="92" t="s">
        <v>3885</v>
      </c>
      <c r="B466" t="s">
        <v>1897</v>
      </c>
      <c r="C466" t="s">
        <v>2260</v>
      </c>
      <c r="E466" t="s">
        <v>2254</v>
      </c>
      <c r="G466" t="s">
        <v>4314</v>
      </c>
      <c r="H466" t="s">
        <v>2251</v>
      </c>
      <c r="I466" t="s">
        <v>3756</v>
      </c>
    </row>
    <row r="467" spans="1:9">
      <c r="A467" s="92" t="s">
        <v>3885</v>
      </c>
      <c r="B467" t="s">
        <v>1899</v>
      </c>
      <c r="C467" t="s">
        <v>2350</v>
      </c>
      <c r="D467" t="s">
        <v>2351</v>
      </c>
      <c r="E467" t="s">
        <v>108</v>
      </c>
      <c r="G467" t="s">
        <v>4315</v>
      </c>
      <c r="H467" t="s">
        <v>108</v>
      </c>
      <c r="I467" t="s">
        <v>3758</v>
      </c>
    </row>
    <row r="468" spans="1:9">
      <c r="A468" s="92" t="s">
        <v>3885</v>
      </c>
      <c r="B468" t="s">
        <v>1899</v>
      </c>
      <c r="C468" t="s">
        <v>2581</v>
      </c>
      <c r="E468" t="s">
        <v>2582</v>
      </c>
      <c r="G468" t="s">
        <v>4315</v>
      </c>
      <c r="H468" t="s">
        <v>2583</v>
      </c>
      <c r="I468" t="s">
        <v>3758</v>
      </c>
    </row>
    <row r="469" spans="1:9">
      <c r="A469" s="92" t="s">
        <v>3885</v>
      </c>
      <c r="B469" t="s">
        <v>1899</v>
      </c>
      <c r="C469" t="s">
        <v>2352</v>
      </c>
      <c r="E469" t="s">
        <v>2337</v>
      </c>
      <c r="G469" t="s">
        <v>4315</v>
      </c>
      <c r="H469" t="s">
        <v>108</v>
      </c>
      <c r="I469" t="s">
        <v>3758</v>
      </c>
    </row>
    <row r="470" spans="1:9">
      <c r="A470" s="92" t="s">
        <v>3885</v>
      </c>
      <c r="B470" t="s">
        <v>1899</v>
      </c>
      <c r="C470" t="s">
        <v>2353</v>
      </c>
      <c r="D470" t="s">
        <v>2351</v>
      </c>
      <c r="E470" t="s">
        <v>2354</v>
      </c>
      <c r="F470" t="s">
        <v>2355</v>
      </c>
      <c r="G470" t="s">
        <v>4315</v>
      </c>
      <c r="H470" t="s">
        <v>108</v>
      </c>
      <c r="I470" t="s">
        <v>3758</v>
      </c>
    </row>
    <row r="471" spans="1:9">
      <c r="A471" s="92" t="s">
        <v>3885</v>
      </c>
      <c r="B471" t="s">
        <v>1899</v>
      </c>
      <c r="C471" t="s">
        <v>2356</v>
      </c>
      <c r="D471" t="s">
        <v>2351</v>
      </c>
      <c r="E471" t="s">
        <v>2315</v>
      </c>
      <c r="G471" t="s">
        <v>4315</v>
      </c>
      <c r="H471" t="s">
        <v>2315</v>
      </c>
      <c r="I471" t="s">
        <v>3758</v>
      </c>
    </row>
    <row r="472" spans="1:9">
      <c r="A472" s="92" t="s">
        <v>3885</v>
      </c>
      <c r="B472" t="s">
        <v>1899</v>
      </c>
      <c r="C472" t="s">
        <v>2357</v>
      </c>
      <c r="D472" t="s">
        <v>2358</v>
      </c>
      <c r="E472" t="s">
        <v>108</v>
      </c>
      <c r="G472" t="s">
        <v>4315</v>
      </c>
      <c r="H472" t="s">
        <v>108</v>
      </c>
      <c r="I472" t="s">
        <v>3758</v>
      </c>
    </row>
    <row r="473" spans="1:9">
      <c r="A473" s="92" t="s">
        <v>3885</v>
      </c>
      <c r="B473" t="s">
        <v>1902</v>
      </c>
      <c r="C473" t="s">
        <v>2363</v>
      </c>
      <c r="E473" t="s">
        <v>2315</v>
      </c>
      <c r="G473" t="s">
        <v>4315</v>
      </c>
      <c r="H473" t="s">
        <v>2315</v>
      </c>
      <c r="I473" t="s">
        <v>3760</v>
      </c>
    </row>
    <row r="474" spans="1:9">
      <c r="A474" s="92" t="s">
        <v>3885</v>
      </c>
      <c r="B474" t="s">
        <v>1902</v>
      </c>
      <c r="C474" t="s">
        <v>2294</v>
      </c>
      <c r="E474" t="s">
        <v>2295</v>
      </c>
      <c r="G474" t="s">
        <v>4315</v>
      </c>
      <c r="H474" t="s">
        <v>2315</v>
      </c>
      <c r="I474" t="s">
        <v>3760</v>
      </c>
    </row>
    <row r="475" spans="1:9">
      <c r="A475" s="92" t="s">
        <v>3885</v>
      </c>
      <c r="B475" t="s">
        <v>1902</v>
      </c>
      <c r="C475" t="s">
        <v>2364</v>
      </c>
      <c r="D475" t="s">
        <v>2351</v>
      </c>
      <c r="E475" t="s">
        <v>108</v>
      </c>
      <c r="G475" t="s">
        <v>4315</v>
      </c>
      <c r="H475" t="s">
        <v>108</v>
      </c>
      <c r="I475" t="s">
        <v>3760</v>
      </c>
    </row>
    <row r="476" spans="1:9">
      <c r="A476" s="92" t="s">
        <v>3885</v>
      </c>
      <c r="B476" t="s">
        <v>1902</v>
      </c>
      <c r="C476" t="s">
        <v>2365</v>
      </c>
      <c r="D476" t="s">
        <v>2351</v>
      </c>
      <c r="E476" t="s">
        <v>108</v>
      </c>
      <c r="G476" t="s">
        <v>4315</v>
      </c>
      <c r="H476" t="s">
        <v>108</v>
      </c>
      <c r="I476" t="s">
        <v>3760</v>
      </c>
    </row>
    <row r="477" spans="1:9">
      <c r="A477" s="92" t="s">
        <v>3885</v>
      </c>
      <c r="B477" t="s">
        <v>1902</v>
      </c>
      <c r="C477" t="s">
        <v>2366</v>
      </c>
      <c r="D477" t="s">
        <v>2257</v>
      </c>
      <c r="E477" t="s">
        <v>108</v>
      </c>
      <c r="G477" t="s">
        <v>4315</v>
      </c>
      <c r="H477" t="s">
        <v>108</v>
      </c>
      <c r="I477" t="s">
        <v>3760</v>
      </c>
    </row>
    <row r="478" spans="1:9">
      <c r="A478" s="92" t="s">
        <v>3885</v>
      </c>
      <c r="B478" t="s">
        <v>1902</v>
      </c>
      <c r="C478" t="s">
        <v>2367</v>
      </c>
      <c r="D478" t="s">
        <v>2368</v>
      </c>
      <c r="E478" t="s">
        <v>2315</v>
      </c>
      <c r="G478" t="s">
        <v>4315</v>
      </c>
      <c r="H478" t="s">
        <v>2315</v>
      </c>
      <c r="I478" t="s">
        <v>3760</v>
      </c>
    </row>
    <row r="479" spans="1:9">
      <c r="A479" s="92" t="s">
        <v>3885</v>
      </c>
      <c r="B479" t="s">
        <v>1902</v>
      </c>
      <c r="C479" t="s">
        <v>2369</v>
      </c>
      <c r="D479" t="s">
        <v>2368</v>
      </c>
      <c r="E479" t="s">
        <v>2315</v>
      </c>
      <c r="G479" t="s">
        <v>4315</v>
      </c>
      <c r="H479" t="s">
        <v>2315</v>
      </c>
      <c r="I479" t="s">
        <v>3760</v>
      </c>
    </row>
    <row r="480" spans="1:9">
      <c r="A480" s="92" t="s">
        <v>3885</v>
      </c>
      <c r="B480" t="s">
        <v>1902</v>
      </c>
      <c r="C480" t="s">
        <v>2370</v>
      </c>
      <c r="D480" t="s">
        <v>2368</v>
      </c>
      <c r="E480" t="s">
        <v>108</v>
      </c>
      <c r="F480" t="s">
        <v>2371</v>
      </c>
      <c r="G480" t="s">
        <v>4315</v>
      </c>
      <c r="H480" t="s">
        <v>108</v>
      </c>
      <c r="I480" t="s">
        <v>3760</v>
      </c>
    </row>
    <row r="481" spans="1:9">
      <c r="A481" s="92" t="s">
        <v>3885</v>
      </c>
      <c r="B481" t="s">
        <v>1903</v>
      </c>
      <c r="C481" t="s">
        <v>2373</v>
      </c>
      <c r="D481" t="s">
        <v>2374</v>
      </c>
      <c r="E481" t="s">
        <v>108</v>
      </c>
      <c r="G481" t="s">
        <v>4315</v>
      </c>
      <c r="H481" t="s">
        <v>108</v>
      </c>
      <c r="I481" t="s">
        <v>3764</v>
      </c>
    </row>
    <row r="482" spans="1:9">
      <c r="A482" s="92" t="s">
        <v>3885</v>
      </c>
      <c r="B482" t="s">
        <v>1903</v>
      </c>
      <c r="C482" t="s">
        <v>2375</v>
      </c>
      <c r="D482" t="s">
        <v>2376</v>
      </c>
      <c r="E482" t="s">
        <v>108</v>
      </c>
      <c r="G482" t="s">
        <v>4315</v>
      </c>
      <c r="H482" t="s">
        <v>108</v>
      </c>
      <c r="I482" t="s">
        <v>3764</v>
      </c>
    </row>
    <row r="483" spans="1:9">
      <c r="A483" s="92" t="s">
        <v>3885</v>
      </c>
      <c r="B483" t="s">
        <v>1903</v>
      </c>
      <c r="C483" t="s">
        <v>2377</v>
      </c>
      <c r="D483" t="s">
        <v>2376</v>
      </c>
      <c r="E483" t="s">
        <v>108</v>
      </c>
      <c r="G483" t="s">
        <v>4315</v>
      </c>
      <c r="H483" t="s">
        <v>108</v>
      </c>
      <c r="I483" t="s">
        <v>3764</v>
      </c>
    </row>
    <row r="484" spans="1:9">
      <c r="A484" s="92" t="s">
        <v>3885</v>
      </c>
      <c r="B484" t="s">
        <v>1905</v>
      </c>
      <c r="C484" t="s">
        <v>2262</v>
      </c>
      <c r="D484" t="s">
        <v>2263</v>
      </c>
      <c r="E484" t="s">
        <v>2243</v>
      </c>
      <c r="F484" t="s">
        <v>2264</v>
      </c>
      <c r="G484" t="s">
        <v>4314</v>
      </c>
      <c r="H484" t="s">
        <v>2245</v>
      </c>
      <c r="I484" t="s">
        <v>3768</v>
      </c>
    </row>
    <row r="485" spans="1:9">
      <c r="A485" s="92" t="s">
        <v>3885</v>
      </c>
      <c r="B485" t="s">
        <v>1905</v>
      </c>
      <c r="C485" t="s">
        <v>2265</v>
      </c>
      <c r="D485" t="s">
        <v>2266</v>
      </c>
      <c r="E485" t="s">
        <v>2243</v>
      </c>
      <c r="F485" t="s">
        <v>2267</v>
      </c>
      <c r="G485" t="s">
        <v>4314</v>
      </c>
      <c r="H485" t="s">
        <v>2245</v>
      </c>
      <c r="I485" t="s">
        <v>3768</v>
      </c>
    </row>
    <row r="486" spans="1:9">
      <c r="A486" s="92" t="s">
        <v>3885</v>
      </c>
      <c r="B486" t="s">
        <v>1905</v>
      </c>
      <c r="C486" t="s">
        <v>2379</v>
      </c>
      <c r="D486" t="s">
        <v>2263</v>
      </c>
      <c r="E486" t="s">
        <v>2315</v>
      </c>
      <c r="F486" t="s">
        <v>2380</v>
      </c>
      <c r="G486" t="s">
        <v>4315</v>
      </c>
      <c r="H486" t="s">
        <v>2315</v>
      </c>
      <c r="I486" t="s">
        <v>3768</v>
      </c>
    </row>
    <row r="487" spans="1:9">
      <c r="A487" s="92" t="s">
        <v>3885</v>
      </c>
      <c r="B487" t="s">
        <v>1905</v>
      </c>
      <c r="C487" t="s">
        <v>2381</v>
      </c>
      <c r="D487" t="s">
        <v>2301</v>
      </c>
      <c r="E487" t="s">
        <v>108</v>
      </c>
      <c r="F487" t="s">
        <v>2382</v>
      </c>
      <c r="G487" t="s">
        <v>4315</v>
      </c>
      <c r="H487" t="s">
        <v>108</v>
      </c>
      <c r="I487" t="s">
        <v>3768</v>
      </c>
    </row>
    <row r="488" spans="1:9">
      <c r="A488" s="92" t="s">
        <v>3885</v>
      </c>
      <c r="B488" t="s">
        <v>1905</v>
      </c>
      <c r="C488" t="s">
        <v>2383</v>
      </c>
      <c r="D488" t="s">
        <v>2298</v>
      </c>
      <c r="E488" t="s">
        <v>108</v>
      </c>
      <c r="F488" t="s">
        <v>2384</v>
      </c>
      <c r="G488" t="s">
        <v>4315</v>
      </c>
      <c r="H488" t="s">
        <v>108</v>
      </c>
      <c r="I488" t="s">
        <v>3768</v>
      </c>
    </row>
    <row r="489" spans="1:9">
      <c r="A489" s="92" t="s">
        <v>3885</v>
      </c>
      <c r="B489" t="s">
        <v>1905</v>
      </c>
      <c r="C489" t="s">
        <v>2385</v>
      </c>
      <c r="D489" t="s">
        <v>2386</v>
      </c>
      <c r="E489" t="s">
        <v>108</v>
      </c>
      <c r="F489" t="s">
        <v>2387</v>
      </c>
      <c r="G489" t="s">
        <v>4315</v>
      </c>
      <c r="H489" t="s">
        <v>108</v>
      </c>
      <c r="I489" t="s">
        <v>3768</v>
      </c>
    </row>
    <row r="490" spans="1:9">
      <c r="A490" s="92" t="s">
        <v>3885</v>
      </c>
      <c r="B490" t="s">
        <v>1910</v>
      </c>
      <c r="C490" t="s">
        <v>2389</v>
      </c>
      <c r="D490" t="s">
        <v>2301</v>
      </c>
      <c r="E490" t="s">
        <v>108</v>
      </c>
      <c r="F490" t="s">
        <v>2390</v>
      </c>
      <c r="G490" t="s">
        <v>4315</v>
      </c>
      <c r="H490" t="s">
        <v>108</v>
      </c>
      <c r="I490" t="s">
        <v>3772</v>
      </c>
    </row>
    <row r="491" spans="1:9">
      <c r="A491" s="92" t="s">
        <v>3885</v>
      </c>
      <c r="B491" t="s">
        <v>1910</v>
      </c>
      <c r="C491" t="s">
        <v>2391</v>
      </c>
      <c r="D491" t="s">
        <v>2392</v>
      </c>
      <c r="E491" t="s">
        <v>108</v>
      </c>
      <c r="F491" t="s">
        <v>2393</v>
      </c>
      <c r="G491" t="s">
        <v>4315</v>
      </c>
      <c r="H491" t="s">
        <v>108</v>
      </c>
      <c r="I491" t="s">
        <v>3772</v>
      </c>
    </row>
    <row r="492" spans="1:9">
      <c r="A492" s="92" t="s">
        <v>3885</v>
      </c>
      <c r="B492" t="s">
        <v>1910</v>
      </c>
      <c r="C492" t="s">
        <v>2394</v>
      </c>
      <c r="D492" t="s">
        <v>2395</v>
      </c>
      <c r="E492" t="s">
        <v>108</v>
      </c>
      <c r="F492" t="s">
        <v>2396</v>
      </c>
      <c r="G492" t="s">
        <v>4315</v>
      </c>
      <c r="H492" t="s">
        <v>108</v>
      </c>
      <c r="I492" t="s">
        <v>3772</v>
      </c>
    </row>
    <row r="493" spans="1:9">
      <c r="A493" s="92" t="s">
        <v>3885</v>
      </c>
      <c r="B493" t="s">
        <v>1910</v>
      </c>
      <c r="C493" t="s">
        <v>2397</v>
      </c>
      <c r="D493" t="s">
        <v>2398</v>
      </c>
      <c r="E493" t="s">
        <v>2315</v>
      </c>
      <c r="G493" t="s">
        <v>4315</v>
      </c>
      <c r="H493" t="s">
        <v>2315</v>
      </c>
      <c r="I493" t="s">
        <v>3772</v>
      </c>
    </row>
    <row r="494" spans="1:9">
      <c r="A494" s="92" t="s">
        <v>3885</v>
      </c>
      <c r="B494" t="s">
        <v>1910</v>
      </c>
      <c r="C494" t="s">
        <v>2399</v>
      </c>
      <c r="D494" t="s">
        <v>2398</v>
      </c>
      <c r="E494" t="s">
        <v>2400</v>
      </c>
      <c r="G494" t="s">
        <v>4315</v>
      </c>
      <c r="H494" t="s">
        <v>108</v>
      </c>
      <c r="I494" t="s">
        <v>3772</v>
      </c>
    </row>
    <row r="495" spans="1:9">
      <c r="A495" s="92" t="s">
        <v>3885</v>
      </c>
      <c r="B495" t="s">
        <v>1912</v>
      </c>
      <c r="C495" t="s">
        <v>2402</v>
      </c>
      <c r="D495" t="s">
        <v>2403</v>
      </c>
      <c r="E495" t="s">
        <v>108</v>
      </c>
      <c r="G495" t="s">
        <v>4315</v>
      </c>
      <c r="H495" t="s">
        <v>108</v>
      </c>
      <c r="I495" t="s">
        <v>3776</v>
      </c>
    </row>
    <row r="496" spans="1:9">
      <c r="A496" s="92" t="s">
        <v>3885</v>
      </c>
      <c r="B496" t="s">
        <v>1912</v>
      </c>
      <c r="C496" t="s">
        <v>2404</v>
      </c>
      <c r="D496" t="s">
        <v>2403</v>
      </c>
      <c r="E496" t="s">
        <v>2315</v>
      </c>
      <c r="F496" t="s">
        <v>2405</v>
      </c>
      <c r="G496" t="s">
        <v>4315</v>
      </c>
      <c r="H496" t="s">
        <v>2315</v>
      </c>
      <c r="I496" t="s">
        <v>3776</v>
      </c>
    </row>
    <row r="497" spans="1:9">
      <c r="A497" s="92" t="s">
        <v>3885</v>
      </c>
      <c r="B497" t="s">
        <v>1912</v>
      </c>
      <c r="C497" t="s">
        <v>2411</v>
      </c>
      <c r="D497" t="s">
        <v>2407</v>
      </c>
      <c r="E497" t="s">
        <v>2331</v>
      </c>
      <c r="F497" t="s">
        <v>2412</v>
      </c>
      <c r="G497" t="s">
        <v>4315</v>
      </c>
      <c r="H497" t="s">
        <v>108</v>
      </c>
      <c r="I497" t="s">
        <v>3776</v>
      </c>
    </row>
    <row r="498" spans="1:9">
      <c r="A498" s="92" t="s">
        <v>3885</v>
      </c>
      <c r="B498" t="s">
        <v>1912</v>
      </c>
      <c r="C498" t="s">
        <v>2413</v>
      </c>
      <c r="D498" t="s">
        <v>2403</v>
      </c>
      <c r="E498" t="s">
        <v>2414</v>
      </c>
      <c r="G498" t="s">
        <v>4315</v>
      </c>
      <c r="H498" t="s">
        <v>108</v>
      </c>
      <c r="I498" t="s">
        <v>3776</v>
      </c>
    </row>
    <row r="499" spans="1:9">
      <c r="A499" s="92" t="s">
        <v>3885</v>
      </c>
      <c r="B499" t="s">
        <v>1912</v>
      </c>
      <c r="C499" t="s">
        <v>2415</v>
      </c>
      <c r="D499" t="s">
        <v>2403</v>
      </c>
      <c r="E499" t="s">
        <v>2416</v>
      </c>
      <c r="F499" t="s">
        <v>2417</v>
      </c>
      <c r="G499" t="s">
        <v>4315</v>
      </c>
      <c r="H499" t="s">
        <v>108</v>
      </c>
      <c r="I499" t="s">
        <v>3776</v>
      </c>
    </row>
    <row r="500" spans="1:9">
      <c r="A500" s="92" t="s">
        <v>3885</v>
      </c>
      <c r="B500" t="s">
        <v>1914</v>
      </c>
      <c r="C500" t="s">
        <v>2269</v>
      </c>
      <c r="E500" t="s">
        <v>2243</v>
      </c>
      <c r="F500" t="s">
        <v>2270</v>
      </c>
      <c r="G500" t="s">
        <v>4314</v>
      </c>
      <c r="H500" t="s">
        <v>2245</v>
      </c>
      <c r="I500" t="s">
        <v>3780</v>
      </c>
    </row>
    <row r="501" spans="1:9">
      <c r="A501" s="92" t="s">
        <v>3885</v>
      </c>
      <c r="B501" t="s">
        <v>1914</v>
      </c>
      <c r="C501" t="s">
        <v>2419</v>
      </c>
      <c r="D501" t="s">
        <v>2287</v>
      </c>
      <c r="E501" t="s">
        <v>2420</v>
      </c>
      <c r="F501" t="s">
        <v>2421</v>
      </c>
      <c r="G501" t="s">
        <v>4315</v>
      </c>
      <c r="H501" t="s">
        <v>108</v>
      </c>
      <c r="I501" t="s">
        <v>3780</v>
      </c>
    </row>
    <row r="502" spans="1:9">
      <c r="A502" s="92" t="s">
        <v>3885</v>
      </c>
      <c r="B502" t="s">
        <v>1914</v>
      </c>
      <c r="C502" t="s">
        <v>2422</v>
      </c>
      <c r="D502" t="s">
        <v>2423</v>
      </c>
      <c r="E502" t="s">
        <v>2424</v>
      </c>
      <c r="F502" t="s">
        <v>2425</v>
      </c>
      <c r="G502" t="s">
        <v>4315</v>
      </c>
      <c r="H502" t="s">
        <v>108</v>
      </c>
      <c r="I502" t="s">
        <v>3780</v>
      </c>
    </row>
    <row r="503" spans="1:9">
      <c r="A503" s="92" t="s">
        <v>3885</v>
      </c>
      <c r="B503" t="s">
        <v>1914</v>
      </c>
      <c r="C503" t="s">
        <v>2271</v>
      </c>
      <c r="D503" t="s">
        <v>2272</v>
      </c>
      <c r="E503" t="s">
        <v>2243</v>
      </c>
      <c r="F503" t="s">
        <v>2273</v>
      </c>
      <c r="G503" t="s">
        <v>4314</v>
      </c>
      <c r="H503" t="s">
        <v>2245</v>
      </c>
      <c r="I503" t="s">
        <v>3780</v>
      </c>
    </row>
    <row r="504" spans="1:9">
      <c r="A504" s="92" t="s">
        <v>3885</v>
      </c>
      <c r="B504" t="s">
        <v>1914</v>
      </c>
      <c r="C504" t="s">
        <v>2274</v>
      </c>
      <c r="E504" t="s">
        <v>2254</v>
      </c>
      <c r="G504" t="s">
        <v>4314</v>
      </c>
      <c r="H504" t="s">
        <v>2251</v>
      </c>
      <c r="I504" t="s">
        <v>3780</v>
      </c>
    </row>
    <row r="505" spans="1:9">
      <c r="A505" s="92" t="s">
        <v>3885</v>
      </c>
      <c r="B505" t="s">
        <v>1914</v>
      </c>
      <c r="C505" t="s">
        <v>2426</v>
      </c>
      <c r="D505" t="s">
        <v>2272</v>
      </c>
      <c r="E505" t="s">
        <v>2427</v>
      </c>
      <c r="F505" t="s">
        <v>2428</v>
      </c>
      <c r="G505" t="s">
        <v>4315</v>
      </c>
      <c r="H505" t="s">
        <v>2427</v>
      </c>
      <c r="I505" t="s">
        <v>3780</v>
      </c>
    </row>
    <row r="506" spans="1:9">
      <c r="A506" s="92" t="s">
        <v>3894</v>
      </c>
      <c r="B506" t="s">
        <v>1869</v>
      </c>
      <c r="C506" t="s">
        <v>2465</v>
      </c>
      <c r="D506" t="s">
        <v>2465</v>
      </c>
      <c r="E506" t="s">
        <v>2254</v>
      </c>
      <c r="F506" t="s">
        <v>2487</v>
      </c>
      <c r="G506" t="s">
        <v>4316</v>
      </c>
      <c r="H506" t="s">
        <v>2435</v>
      </c>
      <c r="I506" t="s">
        <v>3709</v>
      </c>
    </row>
    <row r="507" spans="1:9">
      <c r="A507" s="92" t="s">
        <v>3894</v>
      </c>
      <c r="B507" t="s">
        <v>1872</v>
      </c>
      <c r="C507" t="s">
        <v>2465</v>
      </c>
      <c r="D507" t="s">
        <v>2465</v>
      </c>
      <c r="E507" t="s">
        <v>2254</v>
      </c>
      <c r="F507" t="s">
        <v>2489</v>
      </c>
      <c r="G507" t="s">
        <v>4316</v>
      </c>
      <c r="H507" t="s">
        <v>2435</v>
      </c>
      <c r="I507" t="s">
        <v>3713</v>
      </c>
    </row>
    <row r="508" spans="1:9">
      <c r="A508" s="92" t="s">
        <v>3894</v>
      </c>
      <c r="B508" t="s">
        <v>1875</v>
      </c>
      <c r="C508" t="s">
        <v>2465</v>
      </c>
      <c r="D508" t="s">
        <v>2465</v>
      </c>
      <c r="E508" t="s">
        <v>2254</v>
      </c>
      <c r="F508" t="s">
        <v>2487</v>
      </c>
      <c r="G508" t="s">
        <v>4316</v>
      </c>
      <c r="H508" t="s">
        <v>2435</v>
      </c>
      <c r="I508" t="s">
        <v>3717</v>
      </c>
    </row>
    <row r="509" spans="1:9">
      <c r="A509" s="92" t="s">
        <v>3894</v>
      </c>
      <c r="B509" t="s">
        <v>1878</v>
      </c>
      <c r="C509" t="s">
        <v>2465</v>
      </c>
      <c r="D509" t="s">
        <v>2465</v>
      </c>
      <c r="E509" t="s">
        <v>2254</v>
      </c>
      <c r="F509" t="s">
        <v>2492</v>
      </c>
      <c r="G509" t="s">
        <v>4316</v>
      </c>
      <c r="H509" t="s">
        <v>2435</v>
      </c>
      <c r="I509" t="s">
        <v>3721</v>
      </c>
    </row>
    <row r="510" spans="1:9">
      <c r="A510" s="92" t="s">
        <v>3894</v>
      </c>
      <c r="B510" t="s">
        <v>1880</v>
      </c>
      <c r="C510" t="s">
        <v>2465</v>
      </c>
      <c r="D510" t="s">
        <v>2465</v>
      </c>
      <c r="E510" t="s">
        <v>2254</v>
      </c>
      <c r="F510" t="s">
        <v>2489</v>
      </c>
      <c r="G510" t="s">
        <v>4316</v>
      </c>
      <c r="H510" t="s">
        <v>2435</v>
      </c>
      <c r="I510" t="s">
        <v>3725</v>
      </c>
    </row>
    <row r="511" spans="1:9">
      <c r="A511" s="92" t="s">
        <v>3894</v>
      </c>
      <c r="B511" t="s">
        <v>1884</v>
      </c>
      <c r="C511" t="s">
        <v>2465</v>
      </c>
      <c r="D511" t="s">
        <v>2465</v>
      </c>
      <c r="E511" t="s">
        <v>2254</v>
      </c>
      <c r="F511" t="s">
        <v>2489</v>
      </c>
      <c r="G511" t="s">
        <v>4316</v>
      </c>
      <c r="H511" t="s">
        <v>2435</v>
      </c>
      <c r="I511" t="s">
        <v>3729</v>
      </c>
    </row>
    <row r="512" spans="1:9">
      <c r="A512" s="92" t="s">
        <v>3894</v>
      </c>
      <c r="B512" t="s">
        <v>1886</v>
      </c>
      <c r="C512" t="s">
        <v>2465</v>
      </c>
      <c r="D512" t="s">
        <v>2465</v>
      </c>
      <c r="E512" t="s">
        <v>2254</v>
      </c>
      <c r="F512" t="s">
        <v>2489</v>
      </c>
      <c r="G512" t="s">
        <v>4316</v>
      </c>
      <c r="H512" t="s">
        <v>2435</v>
      </c>
      <c r="I512" t="s">
        <v>3733</v>
      </c>
    </row>
    <row r="513" spans="1:9">
      <c r="A513" s="92" t="s">
        <v>3894</v>
      </c>
      <c r="B513" t="s">
        <v>1887</v>
      </c>
      <c r="C513" t="s">
        <v>2465</v>
      </c>
      <c r="D513" t="s">
        <v>2465</v>
      </c>
      <c r="E513" t="s">
        <v>2254</v>
      </c>
      <c r="F513" t="s">
        <v>2489</v>
      </c>
      <c r="G513" t="s">
        <v>4316</v>
      </c>
      <c r="H513" t="s">
        <v>2435</v>
      </c>
      <c r="I513" t="s">
        <v>3737</v>
      </c>
    </row>
    <row r="514" spans="1:9">
      <c r="A514" s="92" t="s">
        <v>3894</v>
      </c>
      <c r="B514" t="s">
        <v>1888</v>
      </c>
      <c r="C514" t="s">
        <v>2276</v>
      </c>
      <c r="D514" t="s">
        <v>2277</v>
      </c>
      <c r="E514" t="s">
        <v>1565</v>
      </c>
      <c r="F514" t="s">
        <v>2279</v>
      </c>
      <c r="G514" t="s">
        <v>4291</v>
      </c>
      <c r="H514" t="s">
        <v>1565</v>
      </c>
      <c r="I514" t="s">
        <v>3740</v>
      </c>
    </row>
    <row r="515" spans="1:9">
      <c r="A515" s="92" t="s">
        <v>3894</v>
      </c>
      <c r="B515" t="s">
        <v>1888</v>
      </c>
      <c r="C515" t="s">
        <v>2309</v>
      </c>
      <c r="E515" t="s">
        <v>2310</v>
      </c>
      <c r="G515" t="s">
        <v>4317</v>
      </c>
      <c r="H515" t="s">
        <v>2311</v>
      </c>
      <c r="I515" t="s">
        <v>3740</v>
      </c>
    </row>
    <row r="516" spans="1:9">
      <c r="A516" s="92" t="s">
        <v>3894</v>
      </c>
      <c r="B516" t="s">
        <v>1888</v>
      </c>
      <c r="C516" t="s">
        <v>2312</v>
      </c>
      <c r="D516" t="s">
        <v>2242</v>
      </c>
      <c r="E516" t="s">
        <v>108</v>
      </c>
      <c r="G516" t="s">
        <v>4317</v>
      </c>
      <c r="H516" t="s">
        <v>108</v>
      </c>
      <c r="I516" t="s">
        <v>3740</v>
      </c>
    </row>
    <row r="517" spans="1:9">
      <c r="A517" s="92" t="s">
        <v>3894</v>
      </c>
      <c r="B517" t="s">
        <v>1888</v>
      </c>
      <c r="C517" t="s">
        <v>2313</v>
      </c>
      <c r="D517" t="s">
        <v>2314</v>
      </c>
      <c r="E517" t="s">
        <v>2315</v>
      </c>
      <c r="F517" t="s">
        <v>2316</v>
      </c>
      <c r="G517" t="s">
        <v>4317</v>
      </c>
      <c r="H517" t="s">
        <v>2315</v>
      </c>
      <c r="I517" t="s">
        <v>3740</v>
      </c>
    </row>
    <row r="518" spans="1:9">
      <c r="A518" s="92" t="s">
        <v>3894</v>
      </c>
      <c r="B518" t="s">
        <v>1888</v>
      </c>
      <c r="C518" t="s">
        <v>2317</v>
      </c>
      <c r="E518" t="s">
        <v>108</v>
      </c>
      <c r="G518" t="s">
        <v>4317</v>
      </c>
      <c r="H518" t="s">
        <v>108</v>
      </c>
      <c r="I518" t="s">
        <v>3740</v>
      </c>
    </row>
    <row r="519" spans="1:9">
      <c r="A519" s="92" t="s">
        <v>3894</v>
      </c>
      <c r="B519" t="s">
        <v>1889</v>
      </c>
      <c r="C519" t="s">
        <v>2319</v>
      </c>
      <c r="D519" t="s">
        <v>2249</v>
      </c>
      <c r="E519" t="s">
        <v>108</v>
      </c>
      <c r="G519" t="s">
        <v>4317</v>
      </c>
      <c r="H519" t="s">
        <v>108</v>
      </c>
      <c r="I519" t="s">
        <v>3744</v>
      </c>
    </row>
    <row r="520" spans="1:9">
      <c r="A520" s="92" t="s">
        <v>3894</v>
      </c>
      <c r="B520" t="s">
        <v>1889</v>
      </c>
      <c r="C520" t="s">
        <v>2320</v>
      </c>
      <c r="D520" t="s">
        <v>2321</v>
      </c>
      <c r="E520" t="s">
        <v>108</v>
      </c>
      <c r="F520" t="s">
        <v>2322</v>
      </c>
      <c r="G520" t="s">
        <v>4317</v>
      </c>
      <c r="H520" t="s">
        <v>108</v>
      </c>
      <c r="I520" t="s">
        <v>3744</v>
      </c>
    </row>
    <row r="521" spans="1:9">
      <c r="A521" s="92" t="s">
        <v>3894</v>
      </c>
      <c r="B521" t="s">
        <v>1889</v>
      </c>
      <c r="C521" t="s">
        <v>2323</v>
      </c>
      <c r="D521" t="s">
        <v>2321</v>
      </c>
      <c r="E521" t="s">
        <v>108</v>
      </c>
      <c r="G521" t="s">
        <v>4317</v>
      </c>
      <c r="H521" t="s">
        <v>108</v>
      </c>
      <c r="I521" t="s">
        <v>3744</v>
      </c>
    </row>
    <row r="522" spans="1:9">
      <c r="A522" s="92" t="s">
        <v>3894</v>
      </c>
      <c r="B522" t="s">
        <v>1889</v>
      </c>
      <c r="C522" t="s">
        <v>2324</v>
      </c>
      <c r="D522" t="s">
        <v>2325</v>
      </c>
      <c r="E522" t="s">
        <v>108</v>
      </c>
      <c r="F522" t="s">
        <v>2326</v>
      </c>
      <c r="G522" t="s">
        <v>4317</v>
      </c>
      <c r="H522" t="s">
        <v>108</v>
      </c>
      <c r="I522" t="s">
        <v>3744</v>
      </c>
    </row>
    <row r="523" spans="1:9">
      <c r="A523" s="92" t="s">
        <v>3894</v>
      </c>
      <c r="B523" t="s">
        <v>3515</v>
      </c>
      <c r="C523" t="s">
        <v>2328</v>
      </c>
      <c r="D523" t="s">
        <v>2282</v>
      </c>
      <c r="E523" t="s">
        <v>108</v>
      </c>
      <c r="G523" t="s">
        <v>4317</v>
      </c>
      <c r="H523" t="s">
        <v>108</v>
      </c>
      <c r="I523" t="s">
        <v>3748</v>
      </c>
    </row>
    <row r="524" spans="1:9">
      <c r="A524" s="92" t="s">
        <v>3894</v>
      </c>
      <c r="B524" t="s">
        <v>3515</v>
      </c>
      <c r="C524" t="s">
        <v>2281</v>
      </c>
      <c r="D524" t="s">
        <v>2282</v>
      </c>
      <c r="E524" t="s">
        <v>2283</v>
      </c>
      <c r="G524" t="s">
        <v>4317</v>
      </c>
      <c r="H524" t="s">
        <v>108</v>
      </c>
      <c r="I524" t="s">
        <v>3748</v>
      </c>
    </row>
    <row r="525" spans="1:9">
      <c r="A525" s="92" t="s">
        <v>3894</v>
      </c>
      <c r="B525" t="s">
        <v>3515</v>
      </c>
      <c r="C525" t="s">
        <v>2330</v>
      </c>
      <c r="D525" t="s">
        <v>2282</v>
      </c>
      <c r="E525" t="s">
        <v>2331</v>
      </c>
      <c r="F525" t="s">
        <v>2332</v>
      </c>
      <c r="G525" t="s">
        <v>4317</v>
      </c>
      <c r="H525" t="s">
        <v>108</v>
      </c>
      <c r="I525" t="s">
        <v>3748</v>
      </c>
    </row>
    <row r="526" spans="1:9">
      <c r="A526" s="92" t="s">
        <v>3894</v>
      </c>
      <c r="B526" t="s">
        <v>3515</v>
      </c>
      <c r="C526" t="s">
        <v>2333</v>
      </c>
      <c r="D526" t="s">
        <v>2282</v>
      </c>
      <c r="E526" t="s">
        <v>108</v>
      </c>
      <c r="G526" t="s">
        <v>4317</v>
      </c>
      <c r="H526" t="s">
        <v>108</v>
      </c>
      <c r="I526" t="s">
        <v>3748</v>
      </c>
    </row>
    <row r="527" spans="1:9">
      <c r="A527" s="92" t="s">
        <v>3894</v>
      </c>
      <c r="B527" t="s">
        <v>1895</v>
      </c>
      <c r="C527" t="s">
        <v>2335</v>
      </c>
      <c r="D527" t="s">
        <v>2336</v>
      </c>
      <c r="E527" t="s">
        <v>2337</v>
      </c>
      <c r="G527" t="s">
        <v>4317</v>
      </c>
      <c r="H527" t="s">
        <v>108</v>
      </c>
      <c r="I527" t="s">
        <v>3752</v>
      </c>
    </row>
    <row r="528" spans="1:9">
      <c r="A528" s="92" t="s">
        <v>3894</v>
      </c>
      <c r="B528" t="s">
        <v>1895</v>
      </c>
      <c r="C528" t="s">
        <v>2289</v>
      </c>
      <c r="E528" t="s">
        <v>552</v>
      </c>
      <c r="F528" t="s">
        <v>2290</v>
      </c>
      <c r="G528" t="s">
        <v>4291</v>
      </c>
      <c r="H528" t="s">
        <v>552</v>
      </c>
      <c r="I528" t="s">
        <v>3752</v>
      </c>
    </row>
    <row r="529" spans="1:9">
      <c r="A529" s="92" t="s">
        <v>3894</v>
      </c>
      <c r="B529" t="s">
        <v>1895</v>
      </c>
      <c r="C529" t="s">
        <v>2338</v>
      </c>
      <c r="D529" t="s">
        <v>2336</v>
      </c>
      <c r="E529" t="s">
        <v>2339</v>
      </c>
      <c r="G529" t="s">
        <v>4317</v>
      </c>
      <c r="H529" t="s">
        <v>108</v>
      </c>
      <c r="I529" t="s">
        <v>3752</v>
      </c>
    </row>
    <row r="530" spans="1:9">
      <c r="A530" s="92" t="s">
        <v>3894</v>
      </c>
      <c r="B530" t="s">
        <v>1895</v>
      </c>
      <c r="C530" t="s">
        <v>2340</v>
      </c>
      <c r="D530" t="s">
        <v>2341</v>
      </c>
      <c r="E530" t="s">
        <v>108</v>
      </c>
      <c r="F530" t="s">
        <v>2342</v>
      </c>
      <c r="G530" t="s">
        <v>4317</v>
      </c>
      <c r="H530" t="s">
        <v>108</v>
      </c>
      <c r="I530" t="s">
        <v>3752</v>
      </c>
    </row>
    <row r="531" spans="1:9">
      <c r="A531" s="92" t="s">
        <v>3894</v>
      </c>
      <c r="B531" t="s">
        <v>1895</v>
      </c>
      <c r="C531" t="s">
        <v>2343</v>
      </c>
      <c r="D531" t="s">
        <v>2341</v>
      </c>
      <c r="E531" t="s">
        <v>108</v>
      </c>
      <c r="G531" t="s">
        <v>4317</v>
      </c>
      <c r="H531" t="s">
        <v>108</v>
      </c>
      <c r="I531" t="s">
        <v>3752</v>
      </c>
    </row>
    <row r="532" spans="1:9">
      <c r="A532" s="92" t="s">
        <v>3894</v>
      </c>
      <c r="B532" t="s">
        <v>1897</v>
      </c>
      <c r="C532" t="s">
        <v>2345</v>
      </c>
      <c r="D532" t="s">
        <v>2346</v>
      </c>
      <c r="E532" t="s">
        <v>108</v>
      </c>
      <c r="F532" t="s">
        <v>2347</v>
      </c>
      <c r="G532" t="s">
        <v>4317</v>
      </c>
      <c r="H532" t="s">
        <v>108</v>
      </c>
      <c r="I532" t="s">
        <v>3756</v>
      </c>
    </row>
    <row r="533" spans="1:9">
      <c r="A533" s="92" t="s">
        <v>3894</v>
      </c>
      <c r="B533" t="s">
        <v>1897</v>
      </c>
      <c r="C533" t="s">
        <v>2248</v>
      </c>
      <c r="D533" t="s">
        <v>2249</v>
      </c>
      <c r="E533" t="s">
        <v>2250</v>
      </c>
      <c r="G533" t="s">
        <v>4316</v>
      </c>
      <c r="H533" t="s">
        <v>2435</v>
      </c>
      <c r="I533" t="s">
        <v>3756</v>
      </c>
    </row>
    <row r="534" spans="1:9">
      <c r="A534" s="92" t="s">
        <v>3894</v>
      </c>
      <c r="B534" t="s">
        <v>1897</v>
      </c>
      <c r="C534" t="s">
        <v>2253</v>
      </c>
      <c r="D534" t="s">
        <v>2249</v>
      </c>
      <c r="E534" t="s">
        <v>2254</v>
      </c>
      <c r="G534" t="s">
        <v>4316</v>
      </c>
      <c r="H534" t="s">
        <v>2435</v>
      </c>
      <c r="I534" t="s">
        <v>3756</v>
      </c>
    </row>
    <row r="535" spans="1:9">
      <c r="A535" s="92" t="s">
        <v>3894</v>
      </c>
      <c r="B535" t="s">
        <v>1897</v>
      </c>
      <c r="C535" t="s">
        <v>2255</v>
      </c>
      <c r="D535" t="s">
        <v>2249</v>
      </c>
      <c r="E535" t="s">
        <v>2254</v>
      </c>
      <c r="G535" t="s">
        <v>4316</v>
      </c>
      <c r="H535" t="s">
        <v>2435</v>
      </c>
      <c r="I535" t="s">
        <v>3756</v>
      </c>
    </row>
    <row r="536" spans="1:9">
      <c r="A536" s="92" t="s">
        <v>3894</v>
      </c>
      <c r="B536" t="s">
        <v>1897</v>
      </c>
      <c r="C536" t="s">
        <v>2256</v>
      </c>
      <c r="D536" t="s">
        <v>2257</v>
      </c>
      <c r="E536" t="s">
        <v>2254</v>
      </c>
      <c r="G536" t="s">
        <v>4316</v>
      </c>
      <c r="H536" t="s">
        <v>2435</v>
      </c>
      <c r="I536" t="s">
        <v>3756</v>
      </c>
    </row>
    <row r="537" spans="1:9">
      <c r="A537" s="92" t="s">
        <v>3894</v>
      </c>
      <c r="B537" t="s">
        <v>1897</v>
      </c>
      <c r="C537" t="s">
        <v>2258</v>
      </c>
      <c r="E537" t="s">
        <v>2254</v>
      </c>
      <c r="G537" t="s">
        <v>4316</v>
      </c>
      <c r="H537" t="s">
        <v>2435</v>
      </c>
      <c r="I537" t="s">
        <v>3756</v>
      </c>
    </row>
    <row r="538" spans="1:9">
      <c r="A538" s="92" t="s">
        <v>3894</v>
      </c>
      <c r="B538" t="s">
        <v>1897</v>
      </c>
      <c r="C538" t="s">
        <v>2259</v>
      </c>
      <c r="E538" t="s">
        <v>2254</v>
      </c>
      <c r="G538" t="s">
        <v>4316</v>
      </c>
      <c r="H538" t="s">
        <v>2435</v>
      </c>
      <c r="I538" t="s">
        <v>3756</v>
      </c>
    </row>
    <row r="539" spans="1:9">
      <c r="A539" s="92" t="s">
        <v>3894</v>
      </c>
      <c r="B539" t="s">
        <v>1897</v>
      </c>
      <c r="C539" t="s">
        <v>2260</v>
      </c>
      <c r="E539" t="s">
        <v>2254</v>
      </c>
      <c r="G539" t="s">
        <v>4316</v>
      </c>
      <c r="H539" t="s">
        <v>2435</v>
      </c>
      <c r="I539" t="s">
        <v>3756</v>
      </c>
    </row>
    <row r="540" spans="1:9">
      <c r="A540" s="92" t="s">
        <v>3894</v>
      </c>
      <c r="B540" t="s">
        <v>1899</v>
      </c>
      <c r="C540" t="s">
        <v>2350</v>
      </c>
      <c r="D540" t="s">
        <v>2351</v>
      </c>
      <c r="E540" t="s">
        <v>108</v>
      </c>
      <c r="G540" t="s">
        <v>4317</v>
      </c>
      <c r="H540" t="s">
        <v>108</v>
      </c>
      <c r="I540" t="s">
        <v>3758</v>
      </c>
    </row>
    <row r="541" spans="1:9">
      <c r="A541" s="92" t="s">
        <v>3894</v>
      </c>
      <c r="B541" t="s">
        <v>1899</v>
      </c>
      <c r="C541" t="s">
        <v>2352</v>
      </c>
      <c r="E541" t="s">
        <v>2337</v>
      </c>
      <c r="G541" t="s">
        <v>4317</v>
      </c>
      <c r="H541" t="s">
        <v>108</v>
      </c>
      <c r="I541" t="s">
        <v>3758</v>
      </c>
    </row>
    <row r="542" spans="1:9">
      <c r="A542" s="92" t="s">
        <v>3894</v>
      </c>
      <c r="B542" t="s">
        <v>1899</v>
      </c>
      <c r="C542" t="s">
        <v>2353</v>
      </c>
      <c r="D542" t="s">
        <v>2351</v>
      </c>
      <c r="E542" t="s">
        <v>2354</v>
      </c>
      <c r="F542" t="s">
        <v>2355</v>
      </c>
      <c r="G542" t="s">
        <v>4317</v>
      </c>
      <c r="H542" t="s">
        <v>108</v>
      </c>
      <c r="I542" t="s">
        <v>3758</v>
      </c>
    </row>
    <row r="543" spans="1:9">
      <c r="A543" s="92" t="s">
        <v>3894</v>
      </c>
      <c r="B543" t="s">
        <v>1899</v>
      </c>
      <c r="C543" t="s">
        <v>2356</v>
      </c>
      <c r="D543" t="s">
        <v>2351</v>
      </c>
      <c r="E543" t="s">
        <v>2315</v>
      </c>
      <c r="G543" t="s">
        <v>4317</v>
      </c>
      <c r="H543" t="s">
        <v>2315</v>
      </c>
      <c r="I543" t="s">
        <v>3758</v>
      </c>
    </row>
    <row r="544" spans="1:9">
      <c r="A544" s="92" t="s">
        <v>3894</v>
      </c>
      <c r="B544" t="s">
        <v>1899</v>
      </c>
      <c r="C544" t="s">
        <v>2357</v>
      </c>
      <c r="D544" t="s">
        <v>2358</v>
      </c>
      <c r="E544" t="s">
        <v>108</v>
      </c>
      <c r="G544" t="s">
        <v>4317</v>
      </c>
      <c r="H544" t="s">
        <v>108</v>
      </c>
      <c r="I544" t="s">
        <v>3758</v>
      </c>
    </row>
    <row r="545" spans="1:9">
      <c r="A545" s="92" t="s">
        <v>3894</v>
      </c>
      <c r="B545" t="s">
        <v>1902</v>
      </c>
      <c r="C545" t="s">
        <v>2363</v>
      </c>
      <c r="E545" t="s">
        <v>2315</v>
      </c>
      <c r="G545" t="s">
        <v>4317</v>
      </c>
      <c r="H545" t="s">
        <v>2315</v>
      </c>
      <c r="I545" t="s">
        <v>3760</v>
      </c>
    </row>
    <row r="546" spans="1:9">
      <c r="A546" s="92" t="s">
        <v>3894</v>
      </c>
      <c r="B546" t="s">
        <v>1902</v>
      </c>
      <c r="C546" t="s">
        <v>2294</v>
      </c>
      <c r="E546" t="s">
        <v>2295</v>
      </c>
      <c r="G546" t="s">
        <v>4291</v>
      </c>
      <c r="H546" t="s">
        <v>2295</v>
      </c>
      <c r="I546" t="s">
        <v>3760</v>
      </c>
    </row>
    <row r="547" spans="1:9">
      <c r="A547" s="92" t="s">
        <v>3894</v>
      </c>
      <c r="B547" t="s">
        <v>1902</v>
      </c>
      <c r="C547" t="s">
        <v>2364</v>
      </c>
      <c r="D547" t="s">
        <v>2351</v>
      </c>
      <c r="E547" t="s">
        <v>108</v>
      </c>
      <c r="G547" t="s">
        <v>4317</v>
      </c>
      <c r="H547" t="s">
        <v>108</v>
      </c>
      <c r="I547" t="s">
        <v>3760</v>
      </c>
    </row>
    <row r="548" spans="1:9">
      <c r="A548" s="92" t="s">
        <v>3894</v>
      </c>
      <c r="B548" t="s">
        <v>1902</v>
      </c>
      <c r="C548" t="s">
        <v>2365</v>
      </c>
      <c r="D548" t="s">
        <v>2351</v>
      </c>
      <c r="E548" t="s">
        <v>108</v>
      </c>
      <c r="G548" t="s">
        <v>4317</v>
      </c>
      <c r="H548" t="s">
        <v>108</v>
      </c>
      <c r="I548" t="s">
        <v>3760</v>
      </c>
    </row>
    <row r="549" spans="1:9">
      <c r="A549" s="92" t="s">
        <v>3894</v>
      </c>
      <c r="B549" t="s">
        <v>1902</v>
      </c>
      <c r="C549" t="s">
        <v>2366</v>
      </c>
      <c r="D549" t="s">
        <v>2257</v>
      </c>
      <c r="E549" t="s">
        <v>108</v>
      </c>
      <c r="G549" t="s">
        <v>4317</v>
      </c>
      <c r="H549" t="s">
        <v>108</v>
      </c>
      <c r="I549" t="s">
        <v>3760</v>
      </c>
    </row>
    <row r="550" spans="1:9">
      <c r="A550" s="92" t="s">
        <v>3894</v>
      </c>
      <c r="B550" t="s">
        <v>1902</v>
      </c>
      <c r="C550" t="s">
        <v>2367</v>
      </c>
      <c r="D550" t="s">
        <v>2368</v>
      </c>
      <c r="E550" t="s">
        <v>2315</v>
      </c>
      <c r="G550" t="s">
        <v>4317</v>
      </c>
      <c r="H550" t="s">
        <v>2315</v>
      </c>
      <c r="I550" t="s">
        <v>3760</v>
      </c>
    </row>
    <row r="551" spans="1:9">
      <c r="A551" s="92" t="s">
        <v>3894</v>
      </c>
      <c r="B551" t="s">
        <v>1902</v>
      </c>
      <c r="C551" t="s">
        <v>2369</v>
      </c>
      <c r="D551" t="s">
        <v>2368</v>
      </c>
      <c r="E551" t="s">
        <v>2315</v>
      </c>
      <c r="G551" t="s">
        <v>4317</v>
      </c>
      <c r="H551" t="s">
        <v>2315</v>
      </c>
      <c r="I551" t="s">
        <v>3760</v>
      </c>
    </row>
    <row r="552" spans="1:9">
      <c r="A552" s="92" t="s">
        <v>3894</v>
      </c>
      <c r="B552" t="s">
        <v>1902</v>
      </c>
      <c r="C552" t="s">
        <v>2370</v>
      </c>
      <c r="D552" t="s">
        <v>2368</v>
      </c>
      <c r="E552" t="s">
        <v>108</v>
      </c>
      <c r="F552" t="s">
        <v>2371</v>
      </c>
      <c r="G552" t="s">
        <v>4317</v>
      </c>
      <c r="H552" t="s">
        <v>108</v>
      </c>
      <c r="I552" t="s">
        <v>3760</v>
      </c>
    </row>
    <row r="553" spans="1:9">
      <c r="A553" s="92" t="s">
        <v>3894</v>
      </c>
      <c r="B553" t="s">
        <v>1903</v>
      </c>
      <c r="C553" t="s">
        <v>2373</v>
      </c>
      <c r="D553" t="s">
        <v>2374</v>
      </c>
      <c r="E553" t="s">
        <v>108</v>
      </c>
      <c r="G553" t="s">
        <v>4317</v>
      </c>
      <c r="H553" t="s">
        <v>108</v>
      </c>
      <c r="I553" t="s">
        <v>3764</v>
      </c>
    </row>
    <row r="554" spans="1:9">
      <c r="A554" s="92" t="s">
        <v>3894</v>
      </c>
      <c r="B554" t="s">
        <v>1903</v>
      </c>
      <c r="C554" t="s">
        <v>2375</v>
      </c>
      <c r="D554" t="s">
        <v>2376</v>
      </c>
      <c r="E554" t="s">
        <v>108</v>
      </c>
      <c r="G554" t="s">
        <v>4317</v>
      </c>
      <c r="H554" t="s">
        <v>108</v>
      </c>
      <c r="I554" t="s">
        <v>3764</v>
      </c>
    </row>
    <row r="555" spans="1:9">
      <c r="A555" s="92" t="s">
        <v>3894</v>
      </c>
      <c r="B555" t="s">
        <v>1903</v>
      </c>
      <c r="C555" t="s">
        <v>2377</v>
      </c>
      <c r="D555" t="s">
        <v>2376</v>
      </c>
      <c r="E555" t="s">
        <v>108</v>
      </c>
      <c r="G555" t="s">
        <v>4317</v>
      </c>
      <c r="H555" t="s">
        <v>108</v>
      </c>
      <c r="I555" t="s">
        <v>3764</v>
      </c>
    </row>
    <row r="556" spans="1:9">
      <c r="A556" s="92" t="s">
        <v>3894</v>
      </c>
      <c r="B556" t="s">
        <v>1905</v>
      </c>
      <c r="C556" t="s">
        <v>2297</v>
      </c>
      <c r="D556" t="s">
        <v>2298</v>
      </c>
      <c r="E556" t="s">
        <v>552</v>
      </c>
      <c r="F556" t="s">
        <v>2299</v>
      </c>
      <c r="G556" t="s">
        <v>4291</v>
      </c>
      <c r="H556" t="s">
        <v>552</v>
      </c>
      <c r="I556" t="s">
        <v>3768</v>
      </c>
    </row>
    <row r="557" spans="1:9">
      <c r="A557" s="92" t="s">
        <v>3894</v>
      </c>
      <c r="B557" t="s">
        <v>1905</v>
      </c>
      <c r="C557" t="s">
        <v>2300</v>
      </c>
      <c r="D557" t="s">
        <v>2301</v>
      </c>
      <c r="E557" t="s">
        <v>2302</v>
      </c>
      <c r="F557" t="s">
        <v>2303</v>
      </c>
      <c r="G557" t="s">
        <v>4291</v>
      </c>
      <c r="H557" t="s">
        <v>552</v>
      </c>
      <c r="I557" t="s">
        <v>3768</v>
      </c>
    </row>
    <row r="558" spans="1:9">
      <c r="A558" s="92" t="s">
        <v>3894</v>
      </c>
      <c r="B558" t="s">
        <v>1905</v>
      </c>
      <c r="C558" t="s">
        <v>2379</v>
      </c>
      <c r="D558" t="s">
        <v>2263</v>
      </c>
      <c r="E558" t="s">
        <v>2315</v>
      </c>
      <c r="F558" t="s">
        <v>2380</v>
      </c>
      <c r="G558" t="s">
        <v>4317</v>
      </c>
      <c r="H558" t="s">
        <v>2315</v>
      </c>
      <c r="I558" t="s">
        <v>3768</v>
      </c>
    </row>
    <row r="559" spans="1:9">
      <c r="A559" s="92" t="s">
        <v>3894</v>
      </c>
      <c r="B559" t="s">
        <v>1905</v>
      </c>
      <c r="C559" t="s">
        <v>2381</v>
      </c>
      <c r="D559" t="s">
        <v>2301</v>
      </c>
      <c r="E559" t="s">
        <v>108</v>
      </c>
      <c r="F559" t="s">
        <v>2382</v>
      </c>
      <c r="G559" t="s">
        <v>4317</v>
      </c>
      <c r="H559" t="s">
        <v>108</v>
      </c>
      <c r="I559" t="s">
        <v>3768</v>
      </c>
    </row>
    <row r="560" spans="1:9">
      <c r="A560" s="92" t="s">
        <v>3894</v>
      </c>
      <c r="B560" t="s">
        <v>1905</v>
      </c>
      <c r="C560" t="s">
        <v>2383</v>
      </c>
      <c r="D560" t="s">
        <v>2298</v>
      </c>
      <c r="E560" t="s">
        <v>108</v>
      </c>
      <c r="F560" t="s">
        <v>2384</v>
      </c>
      <c r="G560" t="s">
        <v>4317</v>
      </c>
      <c r="H560" t="s">
        <v>108</v>
      </c>
      <c r="I560" t="s">
        <v>3768</v>
      </c>
    </row>
    <row r="561" spans="1:9">
      <c r="A561" s="92" t="s">
        <v>3894</v>
      </c>
      <c r="B561" t="s">
        <v>1905</v>
      </c>
      <c r="C561" t="s">
        <v>2385</v>
      </c>
      <c r="D561" t="s">
        <v>2386</v>
      </c>
      <c r="E561" t="s">
        <v>108</v>
      </c>
      <c r="F561" t="s">
        <v>2387</v>
      </c>
      <c r="G561" t="s">
        <v>4317</v>
      </c>
      <c r="H561" t="s">
        <v>108</v>
      </c>
      <c r="I561" t="s">
        <v>3768</v>
      </c>
    </row>
    <row r="562" spans="1:9">
      <c r="A562" s="92" t="s">
        <v>3894</v>
      </c>
      <c r="B562" t="s">
        <v>1910</v>
      </c>
      <c r="C562" t="s">
        <v>2389</v>
      </c>
      <c r="D562" t="s">
        <v>2301</v>
      </c>
      <c r="E562" t="s">
        <v>108</v>
      </c>
      <c r="F562" t="s">
        <v>2390</v>
      </c>
      <c r="G562" t="s">
        <v>4317</v>
      </c>
      <c r="H562" t="s">
        <v>108</v>
      </c>
      <c r="I562" t="s">
        <v>3772</v>
      </c>
    </row>
    <row r="563" spans="1:9">
      <c r="A563" s="92" t="s">
        <v>3894</v>
      </c>
      <c r="B563" t="s">
        <v>1910</v>
      </c>
      <c r="C563" t="s">
        <v>2391</v>
      </c>
      <c r="D563" t="s">
        <v>2392</v>
      </c>
      <c r="E563" t="s">
        <v>108</v>
      </c>
      <c r="F563" t="s">
        <v>2393</v>
      </c>
      <c r="G563" t="s">
        <v>4317</v>
      </c>
      <c r="H563" t="s">
        <v>108</v>
      </c>
      <c r="I563" t="s">
        <v>3772</v>
      </c>
    </row>
    <row r="564" spans="1:9">
      <c r="A564" s="92" t="s">
        <v>3894</v>
      </c>
      <c r="B564" t="s">
        <v>1910</v>
      </c>
      <c r="C564" t="s">
        <v>2394</v>
      </c>
      <c r="D564" t="s">
        <v>2395</v>
      </c>
      <c r="E564" t="s">
        <v>108</v>
      </c>
      <c r="F564" t="s">
        <v>2396</v>
      </c>
      <c r="G564" t="s">
        <v>4317</v>
      </c>
      <c r="H564" t="s">
        <v>108</v>
      </c>
      <c r="I564" t="s">
        <v>3772</v>
      </c>
    </row>
    <row r="565" spans="1:9">
      <c r="A565" s="92" t="s">
        <v>3894</v>
      </c>
      <c r="B565" t="s">
        <v>1910</v>
      </c>
      <c r="C565" t="s">
        <v>2397</v>
      </c>
      <c r="D565" t="s">
        <v>2398</v>
      </c>
      <c r="E565" t="s">
        <v>2315</v>
      </c>
      <c r="G565" t="s">
        <v>4317</v>
      </c>
      <c r="H565" t="s">
        <v>2315</v>
      </c>
      <c r="I565" t="s">
        <v>3772</v>
      </c>
    </row>
    <row r="566" spans="1:9">
      <c r="A566" s="92" t="s">
        <v>3894</v>
      </c>
      <c r="B566" t="s">
        <v>1910</v>
      </c>
      <c r="C566" t="s">
        <v>2399</v>
      </c>
      <c r="D566" t="s">
        <v>2398</v>
      </c>
      <c r="E566" t="s">
        <v>2400</v>
      </c>
      <c r="G566" t="s">
        <v>4317</v>
      </c>
      <c r="H566" t="s">
        <v>108</v>
      </c>
      <c r="I566" t="s">
        <v>3772</v>
      </c>
    </row>
    <row r="567" spans="1:9">
      <c r="A567" s="92" t="s">
        <v>3894</v>
      </c>
      <c r="B567" t="s">
        <v>1912</v>
      </c>
      <c r="C567" t="s">
        <v>2305</v>
      </c>
      <c r="E567" t="s">
        <v>552</v>
      </c>
      <c r="G567" t="s">
        <v>4291</v>
      </c>
      <c r="H567" t="s">
        <v>552</v>
      </c>
      <c r="I567" t="s">
        <v>3776</v>
      </c>
    </row>
    <row r="568" spans="1:9">
      <c r="A568" s="92" t="s">
        <v>3894</v>
      </c>
      <c r="B568" t="s">
        <v>1912</v>
      </c>
      <c r="C568" t="s">
        <v>2402</v>
      </c>
      <c r="D568" t="s">
        <v>2403</v>
      </c>
      <c r="E568" t="s">
        <v>108</v>
      </c>
      <c r="G568" t="s">
        <v>4317</v>
      </c>
      <c r="H568" t="s">
        <v>108</v>
      </c>
      <c r="I568" t="s">
        <v>3776</v>
      </c>
    </row>
    <row r="569" spans="1:9">
      <c r="A569" s="92" t="s">
        <v>3894</v>
      </c>
      <c r="B569" t="s">
        <v>1912</v>
      </c>
      <c r="C569" t="s">
        <v>2404</v>
      </c>
      <c r="D569" t="s">
        <v>2403</v>
      </c>
      <c r="E569" t="s">
        <v>2315</v>
      </c>
      <c r="F569" t="s">
        <v>2405</v>
      </c>
      <c r="G569" t="s">
        <v>4317</v>
      </c>
      <c r="H569" t="s">
        <v>2315</v>
      </c>
      <c r="I569" t="s">
        <v>3776</v>
      </c>
    </row>
    <row r="570" spans="1:9">
      <c r="A570" s="92" t="s">
        <v>3894</v>
      </c>
      <c r="B570" t="s">
        <v>1912</v>
      </c>
      <c r="C570" t="s">
        <v>2406</v>
      </c>
      <c r="D570" t="s">
        <v>2407</v>
      </c>
      <c r="E570" t="s">
        <v>2408</v>
      </c>
      <c r="F570" t="s">
        <v>2410</v>
      </c>
      <c r="G570" t="s">
        <v>4317</v>
      </c>
      <c r="H570" t="s">
        <v>2442</v>
      </c>
      <c r="I570" t="s">
        <v>3776</v>
      </c>
    </row>
    <row r="571" spans="1:9">
      <c r="A571" s="92" t="s">
        <v>3894</v>
      </c>
      <c r="B571" t="s">
        <v>1912</v>
      </c>
      <c r="C571" t="s">
        <v>2411</v>
      </c>
      <c r="D571" t="s">
        <v>2407</v>
      </c>
      <c r="E571" t="s">
        <v>2331</v>
      </c>
      <c r="F571" t="s">
        <v>2412</v>
      </c>
      <c r="G571" t="s">
        <v>4317</v>
      </c>
      <c r="H571" t="s">
        <v>108</v>
      </c>
      <c r="I571" t="s">
        <v>3776</v>
      </c>
    </row>
    <row r="572" spans="1:9">
      <c r="A572" s="92" t="s">
        <v>3894</v>
      </c>
      <c r="B572" t="s">
        <v>1912</v>
      </c>
      <c r="C572" t="s">
        <v>2413</v>
      </c>
      <c r="D572" t="s">
        <v>2403</v>
      </c>
      <c r="E572" t="s">
        <v>2414</v>
      </c>
      <c r="G572" t="s">
        <v>4317</v>
      </c>
      <c r="H572" t="s">
        <v>108</v>
      </c>
      <c r="I572" t="s">
        <v>3776</v>
      </c>
    </row>
    <row r="573" spans="1:9">
      <c r="A573" s="92" t="s">
        <v>3894</v>
      </c>
      <c r="B573" t="s">
        <v>1912</v>
      </c>
      <c r="C573" t="s">
        <v>2415</v>
      </c>
      <c r="D573" t="s">
        <v>2403</v>
      </c>
      <c r="E573" t="s">
        <v>2416</v>
      </c>
      <c r="F573" t="s">
        <v>2417</v>
      </c>
      <c r="G573" t="s">
        <v>4317</v>
      </c>
      <c r="H573" t="s">
        <v>108</v>
      </c>
      <c r="I573" t="s">
        <v>3776</v>
      </c>
    </row>
    <row r="574" spans="1:9">
      <c r="A574" s="92" t="s">
        <v>3894</v>
      </c>
      <c r="B574" t="s">
        <v>1914</v>
      </c>
      <c r="C574" t="s">
        <v>2419</v>
      </c>
      <c r="D574" t="s">
        <v>2287</v>
      </c>
      <c r="E574" t="s">
        <v>2420</v>
      </c>
      <c r="F574" t="s">
        <v>2421</v>
      </c>
      <c r="G574" t="s">
        <v>4317</v>
      </c>
      <c r="H574" t="s">
        <v>108</v>
      </c>
      <c r="I574" t="s">
        <v>3780</v>
      </c>
    </row>
    <row r="575" spans="1:9">
      <c r="A575" s="92" t="s">
        <v>3894</v>
      </c>
      <c r="B575" t="s">
        <v>1914</v>
      </c>
      <c r="C575" t="s">
        <v>2422</v>
      </c>
      <c r="D575" t="s">
        <v>2423</v>
      </c>
      <c r="E575" t="s">
        <v>2424</v>
      </c>
      <c r="F575" t="s">
        <v>2425</v>
      </c>
      <c r="G575" t="s">
        <v>4317</v>
      </c>
      <c r="H575" t="s">
        <v>108</v>
      </c>
      <c r="I575" t="s">
        <v>3780</v>
      </c>
    </row>
    <row r="576" spans="1:9">
      <c r="A576" s="92" t="s">
        <v>3894</v>
      </c>
      <c r="B576" t="s">
        <v>1914</v>
      </c>
      <c r="C576" t="s">
        <v>2274</v>
      </c>
      <c r="E576" t="s">
        <v>2254</v>
      </c>
      <c r="G576" t="s">
        <v>4316</v>
      </c>
      <c r="H576" t="s">
        <v>2435</v>
      </c>
      <c r="I576" t="s">
        <v>3780</v>
      </c>
    </row>
    <row r="577" spans="1:9">
      <c r="A577" s="92" t="s">
        <v>3894</v>
      </c>
      <c r="B577" t="s">
        <v>1914</v>
      </c>
      <c r="C577" t="s">
        <v>2426</v>
      </c>
      <c r="D577" t="s">
        <v>2272</v>
      </c>
      <c r="E577" t="s">
        <v>2427</v>
      </c>
      <c r="F577" t="s">
        <v>2428</v>
      </c>
      <c r="G577" t="s">
        <v>4317</v>
      </c>
      <c r="H577" t="s">
        <v>2427</v>
      </c>
      <c r="I577" t="s">
        <v>3780</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2668</v>
      </c>
      <c r="C1" t="s">
        <v>2234</v>
      </c>
      <c r="D1" t="s">
        <v>2235</v>
      </c>
      <c r="E1" t="s">
        <v>2236</v>
      </c>
      <c r="F1" t="s">
        <v>1455</v>
      </c>
      <c r="G1" t="s">
        <v>2671</v>
      </c>
      <c r="H1" t="s">
        <v>2238</v>
      </c>
      <c r="I1" t="s">
        <v>4278</v>
      </c>
    </row>
    <row r="2" spans="1:9">
      <c r="A2" s="92" t="s">
        <v>4279</v>
      </c>
      <c r="B2" t="s">
        <v>1888</v>
      </c>
      <c r="C2" t="s">
        <v>2276</v>
      </c>
      <c r="D2" t="s">
        <v>2277</v>
      </c>
      <c r="E2" t="s">
        <v>1565</v>
      </c>
      <c r="F2" t="s">
        <v>2279</v>
      </c>
      <c r="G2" t="s">
        <v>2635</v>
      </c>
      <c r="H2" t="s">
        <v>108</v>
      </c>
      <c r="I2" t="s">
        <v>3740</v>
      </c>
    </row>
    <row r="3" spans="1:9">
      <c r="A3" s="92" t="s">
        <v>4279</v>
      </c>
      <c r="B3" t="s">
        <v>1888</v>
      </c>
      <c r="C3" t="s">
        <v>2309</v>
      </c>
      <c r="E3" t="s">
        <v>2310</v>
      </c>
      <c r="G3" t="s">
        <v>2635</v>
      </c>
      <c r="H3" t="s">
        <v>2310</v>
      </c>
      <c r="I3" t="s">
        <v>3740</v>
      </c>
    </row>
    <row r="4" spans="1:9">
      <c r="A4" s="92" t="s">
        <v>4279</v>
      </c>
      <c r="B4" t="s">
        <v>1888</v>
      </c>
      <c r="C4" t="s">
        <v>2312</v>
      </c>
      <c r="D4" t="s">
        <v>2242</v>
      </c>
      <c r="E4" t="s">
        <v>108</v>
      </c>
      <c r="G4" t="s">
        <v>2635</v>
      </c>
      <c r="H4" t="s">
        <v>108</v>
      </c>
      <c r="I4" t="s">
        <v>3740</v>
      </c>
    </row>
    <row r="5" spans="1:9">
      <c r="A5" s="92" t="s">
        <v>4279</v>
      </c>
      <c r="B5" t="s">
        <v>1888</v>
      </c>
      <c r="C5" t="s">
        <v>2313</v>
      </c>
      <c r="D5" t="s">
        <v>2314</v>
      </c>
      <c r="E5" t="s">
        <v>2315</v>
      </c>
      <c r="F5" t="s">
        <v>2316</v>
      </c>
      <c r="G5" t="s">
        <v>2635</v>
      </c>
      <c r="H5" t="s">
        <v>2315</v>
      </c>
      <c r="I5" t="s">
        <v>3740</v>
      </c>
    </row>
    <row r="6" spans="1:9">
      <c r="A6" s="92" t="s">
        <v>4279</v>
      </c>
      <c r="B6" t="s">
        <v>1888</v>
      </c>
      <c r="C6" t="s">
        <v>2317</v>
      </c>
      <c r="E6" t="s">
        <v>108</v>
      </c>
      <c r="G6" t="s">
        <v>2635</v>
      </c>
      <c r="H6" t="s">
        <v>108</v>
      </c>
      <c r="I6" t="s">
        <v>3740</v>
      </c>
    </row>
    <row r="7" spans="1:9">
      <c r="A7" s="92" t="s">
        <v>4279</v>
      </c>
      <c r="B7" t="s">
        <v>1889</v>
      </c>
      <c r="C7" t="s">
        <v>2319</v>
      </c>
      <c r="D7" t="s">
        <v>2249</v>
      </c>
      <c r="E7" t="s">
        <v>108</v>
      </c>
      <c r="G7" t="s">
        <v>2635</v>
      </c>
      <c r="H7" t="s">
        <v>108</v>
      </c>
      <c r="I7" t="s">
        <v>3744</v>
      </c>
    </row>
    <row r="8" spans="1:9">
      <c r="A8" s="92" t="s">
        <v>4279</v>
      </c>
      <c r="B8" t="s">
        <v>1889</v>
      </c>
      <c r="C8" t="s">
        <v>2320</v>
      </c>
      <c r="D8" t="s">
        <v>2321</v>
      </c>
      <c r="E8" t="s">
        <v>108</v>
      </c>
      <c r="F8" t="s">
        <v>2322</v>
      </c>
      <c r="G8" t="s">
        <v>2635</v>
      </c>
      <c r="H8" t="s">
        <v>108</v>
      </c>
      <c r="I8" t="s">
        <v>3744</v>
      </c>
    </row>
    <row r="9" spans="1:9">
      <c r="A9" s="92" t="s">
        <v>4279</v>
      </c>
      <c r="B9" t="s">
        <v>1889</v>
      </c>
      <c r="C9" t="s">
        <v>2323</v>
      </c>
      <c r="D9" t="s">
        <v>2321</v>
      </c>
      <c r="E9" t="s">
        <v>108</v>
      </c>
      <c r="G9" t="s">
        <v>2635</v>
      </c>
      <c r="H9" t="s">
        <v>108</v>
      </c>
      <c r="I9" t="s">
        <v>3744</v>
      </c>
    </row>
    <row r="10" spans="1:9">
      <c r="A10" s="92" t="s">
        <v>4279</v>
      </c>
      <c r="B10" t="s">
        <v>1889</v>
      </c>
      <c r="C10" t="s">
        <v>2324</v>
      </c>
      <c r="D10" t="s">
        <v>2325</v>
      </c>
      <c r="E10" t="s">
        <v>108</v>
      </c>
      <c r="F10" t="s">
        <v>2326</v>
      </c>
      <c r="G10" t="s">
        <v>2635</v>
      </c>
      <c r="H10" t="s">
        <v>108</v>
      </c>
      <c r="I10" t="s">
        <v>3744</v>
      </c>
    </row>
    <row r="11" spans="1:9">
      <c r="A11" s="92" t="s">
        <v>4279</v>
      </c>
      <c r="B11" t="s">
        <v>3515</v>
      </c>
      <c r="C11" t="s">
        <v>2328</v>
      </c>
      <c r="D11" t="s">
        <v>2282</v>
      </c>
      <c r="E11" t="s">
        <v>108</v>
      </c>
      <c r="G11" t="s">
        <v>2635</v>
      </c>
      <c r="H11" t="s">
        <v>108</v>
      </c>
      <c r="I11" t="s">
        <v>3748</v>
      </c>
    </row>
    <row r="12" spans="1:9">
      <c r="A12" s="92" t="s">
        <v>4279</v>
      </c>
      <c r="B12" t="s">
        <v>3515</v>
      </c>
      <c r="C12" t="s">
        <v>2281</v>
      </c>
      <c r="D12" t="s">
        <v>2282</v>
      </c>
      <c r="E12" t="s">
        <v>2283</v>
      </c>
      <c r="G12" t="s">
        <v>2635</v>
      </c>
      <c r="H12" t="s">
        <v>2630</v>
      </c>
      <c r="I12" t="s">
        <v>3748</v>
      </c>
    </row>
    <row r="13" spans="1:9">
      <c r="A13" s="92" t="s">
        <v>4279</v>
      </c>
      <c r="B13" t="s">
        <v>3515</v>
      </c>
      <c r="C13" t="s">
        <v>2330</v>
      </c>
      <c r="D13" t="s">
        <v>2282</v>
      </c>
      <c r="E13" t="s">
        <v>2331</v>
      </c>
      <c r="F13" t="s">
        <v>2332</v>
      </c>
      <c r="G13" t="s">
        <v>2635</v>
      </c>
      <c r="H13" t="s">
        <v>108</v>
      </c>
      <c r="I13" t="s">
        <v>3748</v>
      </c>
    </row>
    <row r="14" spans="1:9">
      <c r="A14" s="92" t="s">
        <v>4279</v>
      </c>
      <c r="B14" t="s">
        <v>3515</v>
      </c>
      <c r="C14" t="s">
        <v>2333</v>
      </c>
      <c r="D14" t="s">
        <v>2282</v>
      </c>
      <c r="E14" t="s">
        <v>108</v>
      </c>
      <c r="G14" t="s">
        <v>2635</v>
      </c>
      <c r="H14" t="s">
        <v>108</v>
      </c>
      <c r="I14" t="s">
        <v>3748</v>
      </c>
    </row>
    <row r="15" spans="1:9">
      <c r="A15" s="92" t="s">
        <v>4279</v>
      </c>
      <c r="B15" t="s">
        <v>1895</v>
      </c>
      <c r="C15" t="s">
        <v>2335</v>
      </c>
      <c r="D15" t="s">
        <v>2336</v>
      </c>
      <c r="E15" t="s">
        <v>2337</v>
      </c>
      <c r="G15" t="s">
        <v>2635</v>
      </c>
      <c r="H15" t="s">
        <v>108</v>
      </c>
      <c r="I15" t="s">
        <v>3752</v>
      </c>
    </row>
    <row r="16" spans="1:9">
      <c r="A16" s="92" t="s">
        <v>4279</v>
      </c>
      <c r="B16" t="s">
        <v>1895</v>
      </c>
      <c r="C16" t="s">
        <v>2338</v>
      </c>
      <c r="D16" t="s">
        <v>2336</v>
      </c>
      <c r="E16" t="s">
        <v>2339</v>
      </c>
      <c r="G16" t="s">
        <v>2635</v>
      </c>
      <c r="H16" t="s">
        <v>108</v>
      </c>
      <c r="I16" t="s">
        <v>3752</v>
      </c>
    </row>
    <row r="17" spans="1:9">
      <c r="A17" s="92" t="s">
        <v>4279</v>
      </c>
      <c r="B17" t="s">
        <v>1895</v>
      </c>
      <c r="C17" t="s">
        <v>2340</v>
      </c>
      <c r="D17" t="s">
        <v>2341</v>
      </c>
      <c r="E17" t="s">
        <v>108</v>
      </c>
      <c r="F17" t="s">
        <v>2342</v>
      </c>
      <c r="G17" t="s">
        <v>2635</v>
      </c>
      <c r="H17" t="s">
        <v>108</v>
      </c>
      <c r="I17" t="s">
        <v>3752</v>
      </c>
    </row>
    <row r="18" spans="1:9">
      <c r="A18" s="92" t="s">
        <v>4279</v>
      </c>
      <c r="B18" t="s">
        <v>1895</v>
      </c>
      <c r="C18" t="s">
        <v>2343</v>
      </c>
      <c r="D18" t="s">
        <v>2341</v>
      </c>
      <c r="E18" t="s">
        <v>108</v>
      </c>
      <c r="G18" t="s">
        <v>2635</v>
      </c>
      <c r="H18" t="s">
        <v>108</v>
      </c>
      <c r="I18" t="s">
        <v>3752</v>
      </c>
    </row>
    <row r="19" spans="1:9">
      <c r="A19" s="92" t="s">
        <v>4279</v>
      </c>
      <c r="B19" t="s">
        <v>1897</v>
      </c>
      <c r="C19" t="s">
        <v>2345</v>
      </c>
      <c r="D19" t="s">
        <v>2346</v>
      </c>
      <c r="E19" t="s">
        <v>108</v>
      </c>
      <c r="F19" t="s">
        <v>2347</v>
      </c>
      <c r="G19" t="s">
        <v>2635</v>
      </c>
      <c r="H19" t="s">
        <v>108</v>
      </c>
      <c r="I19" t="s">
        <v>3756</v>
      </c>
    </row>
    <row r="20" spans="1:9">
      <c r="A20" s="92" t="s">
        <v>4279</v>
      </c>
      <c r="B20" t="s">
        <v>1897</v>
      </c>
      <c r="C20" t="s">
        <v>2248</v>
      </c>
      <c r="D20" t="s">
        <v>2249</v>
      </c>
      <c r="E20" t="s">
        <v>2250</v>
      </c>
      <c r="G20" t="s">
        <v>2635</v>
      </c>
      <c r="H20" t="s">
        <v>2526</v>
      </c>
      <c r="I20" t="s">
        <v>3756</v>
      </c>
    </row>
    <row r="21" spans="1:9">
      <c r="A21" s="92" t="s">
        <v>4279</v>
      </c>
      <c r="B21" t="s">
        <v>1897</v>
      </c>
      <c r="C21" t="s">
        <v>2253</v>
      </c>
      <c r="D21" t="s">
        <v>2249</v>
      </c>
      <c r="E21" t="s">
        <v>2254</v>
      </c>
      <c r="G21" t="s">
        <v>2635</v>
      </c>
      <c r="H21" t="s">
        <v>2526</v>
      </c>
      <c r="I21" t="s">
        <v>3756</v>
      </c>
    </row>
    <row r="22" spans="1:9">
      <c r="A22" s="92" t="s">
        <v>4279</v>
      </c>
      <c r="B22" t="s">
        <v>1897</v>
      </c>
      <c r="C22" t="s">
        <v>2255</v>
      </c>
      <c r="D22" t="s">
        <v>2249</v>
      </c>
      <c r="E22" t="s">
        <v>2254</v>
      </c>
      <c r="G22" t="s">
        <v>2635</v>
      </c>
      <c r="H22" t="s">
        <v>2526</v>
      </c>
      <c r="I22" t="s">
        <v>3756</v>
      </c>
    </row>
    <row r="23" spans="1:9">
      <c r="A23" s="92" t="s">
        <v>4279</v>
      </c>
      <c r="B23" t="s">
        <v>1897</v>
      </c>
      <c r="C23" t="s">
        <v>2256</v>
      </c>
      <c r="D23" t="s">
        <v>2257</v>
      </c>
      <c r="E23" t="s">
        <v>2254</v>
      </c>
      <c r="G23" t="s">
        <v>2635</v>
      </c>
      <c r="H23" t="s">
        <v>2526</v>
      </c>
      <c r="I23" t="s">
        <v>3756</v>
      </c>
    </row>
    <row r="24" spans="1:9">
      <c r="A24" s="92" t="s">
        <v>4279</v>
      </c>
      <c r="B24" t="s">
        <v>1897</v>
      </c>
      <c r="C24" t="s">
        <v>2258</v>
      </c>
      <c r="E24" t="s">
        <v>2254</v>
      </c>
      <c r="G24" t="s">
        <v>2635</v>
      </c>
      <c r="H24" t="s">
        <v>2526</v>
      </c>
      <c r="I24" t="s">
        <v>3756</v>
      </c>
    </row>
    <row r="25" spans="1:9">
      <c r="A25" s="92" t="s">
        <v>4279</v>
      </c>
      <c r="B25" t="s">
        <v>1897</v>
      </c>
      <c r="C25" t="s">
        <v>2259</v>
      </c>
      <c r="E25" t="s">
        <v>2254</v>
      </c>
      <c r="G25" t="s">
        <v>2635</v>
      </c>
      <c r="H25" t="s">
        <v>2526</v>
      </c>
      <c r="I25" t="s">
        <v>3756</v>
      </c>
    </row>
    <row r="26" spans="1:9">
      <c r="A26" s="92" t="s">
        <v>4279</v>
      </c>
      <c r="B26" t="s">
        <v>1897</v>
      </c>
      <c r="C26" t="s">
        <v>2260</v>
      </c>
      <c r="E26" t="s">
        <v>2254</v>
      </c>
      <c r="G26" t="s">
        <v>2635</v>
      </c>
      <c r="H26" t="s">
        <v>2526</v>
      </c>
      <c r="I26" t="s">
        <v>3756</v>
      </c>
    </row>
    <row r="27" spans="1:9">
      <c r="A27" s="92" t="s">
        <v>4279</v>
      </c>
      <c r="B27" t="s">
        <v>1899</v>
      </c>
      <c r="C27" t="s">
        <v>2350</v>
      </c>
      <c r="D27" t="s">
        <v>2351</v>
      </c>
      <c r="E27" t="s">
        <v>108</v>
      </c>
      <c r="G27" t="s">
        <v>2635</v>
      </c>
      <c r="H27" t="s">
        <v>108</v>
      </c>
      <c r="I27" t="s">
        <v>3758</v>
      </c>
    </row>
    <row r="28" spans="1:9">
      <c r="A28" s="92" t="s">
        <v>4279</v>
      </c>
      <c r="B28" t="s">
        <v>1899</v>
      </c>
      <c r="C28" t="s">
        <v>2352</v>
      </c>
      <c r="E28" t="s">
        <v>2337</v>
      </c>
      <c r="G28" t="s">
        <v>2635</v>
      </c>
      <c r="H28" t="s">
        <v>108</v>
      </c>
      <c r="I28" t="s">
        <v>3758</v>
      </c>
    </row>
    <row r="29" spans="1:9">
      <c r="A29" s="92" t="s">
        <v>4279</v>
      </c>
      <c r="B29" t="s">
        <v>1899</v>
      </c>
      <c r="C29" t="s">
        <v>2353</v>
      </c>
      <c r="D29" t="s">
        <v>2351</v>
      </c>
      <c r="E29" t="s">
        <v>2354</v>
      </c>
      <c r="F29" t="s">
        <v>2355</v>
      </c>
      <c r="G29" t="s">
        <v>2635</v>
      </c>
      <c r="H29" t="s">
        <v>108</v>
      </c>
      <c r="I29" t="s">
        <v>3758</v>
      </c>
    </row>
    <row r="30" spans="1:9">
      <c r="A30" s="92" t="s">
        <v>4279</v>
      </c>
      <c r="B30" t="s">
        <v>1899</v>
      </c>
      <c r="C30" t="s">
        <v>2356</v>
      </c>
      <c r="D30" t="s">
        <v>2351</v>
      </c>
      <c r="E30" t="s">
        <v>2315</v>
      </c>
      <c r="G30" t="s">
        <v>2635</v>
      </c>
      <c r="H30" t="s">
        <v>2315</v>
      </c>
      <c r="I30" t="s">
        <v>3758</v>
      </c>
    </row>
    <row r="31" spans="1:9">
      <c r="A31" s="92" t="s">
        <v>4279</v>
      </c>
      <c r="B31" t="s">
        <v>1899</v>
      </c>
      <c r="C31" t="s">
        <v>2357</v>
      </c>
      <c r="D31" t="s">
        <v>2358</v>
      </c>
      <c r="E31" t="s">
        <v>108</v>
      </c>
      <c r="G31" t="s">
        <v>2635</v>
      </c>
      <c r="H31" t="s">
        <v>108</v>
      </c>
      <c r="I31" t="s">
        <v>3758</v>
      </c>
    </row>
    <row r="32" spans="1:9">
      <c r="A32" s="92" t="s">
        <v>4279</v>
      </c>
      <c r="B32" t="s">
        <v>1902</v>
      </c>
      <c r="C32" t="s">
        <v>2363</v>
      </c>
      <c r="E32" t="s">
        <v>2315</v>
      </c>
      <c r="G32" t="s">
        <v>2635</v>
      </c>
      <c r="H32" t="s">
        <v>2315</v>
      </c>
      <c r="I32" t="s">
        <v>3760</v>
      </c>
    </row>
    <row r="33" spans="1:9">
      <c r="A33" s="92" t="s">
        <v>4279</v>
      </c>
      <c r="B33" t="s">
        <v>1902</v>
      </c>
      <c r="C33" t="s">
        <v>2294</v>
      </c>
      <c r="E33" t="s">
        <v>2295</v>
      </c>
      <c r="G33" t="s">
        <v>2635</v>
      </c>
      <c r="H33" t="s">
        <v>2315</v>
      </c>
      <c r="I33" t="s">
        <v>3760</v>
      </c>
    </row>
    <row r="34" spans="1:9">
      <c r="A34" s="92" t="s">
        <v>4279</v>
      </c>
      <c r="B34" t="s">
        <v>1902</v>
      </c>
      <c r="C34" t="s">
        <v>2364</v>
      </c>
      <c r="D34" t="s">
        <v>2351</v>
      </c>
      <c r="E34" t="s">
        <v>108</v>
      </c>
      <c r="G34" t="s">
        <v>2635</v>
      </c>
      <c r="H34" t="s">
        <v>108</v>
      </c>
      <c r="I34" t="s">
        <v>3760</v>
      </c>
    </row>
    <row r="35" spans="1:9">
      <c r="A35" s="92" t="s">
        <v>4279</v>
      </c>
      <c r="B35" t="s">
        <v>1902</v>
      </c>
      <c r="C35" t="s">
        <v>2365</v>
      </c>
      <c r="D35" t="s">
        <v>2351</v>
      </c>
      <c r="E35" t="s">
        <v>108</v>
      </c>
      <c r="G35" t="s">
        <v>2635</v>
      </c>
      <c r="H35" t="s">
        <v>108</v>
      </c>
      <c r="I35" t="s">
        <v>3760</v>
      </c>
    </row>
    <row r="36" spans="1:9">
      <c r="A36" s="92" t="s">
        <v>4279</v>
      </c>
      <c r="B36" t="s">
        <v>1902</v>
      </c>
      <c r="C36" t="s">
        <v>2366</v>
      </c>
      <c r="D36" t="s">
        <v>2257</v>
      </c>
      <c r="E36" t="s">
        <v>108</v>
      </c>
      <c r="G36" t="s">
        <v>2635</v>
      </c>
      <c r="H36" t="s">
        <v>108</v>
      </c>
      <c r="I36" t="s">
        <v>3760</v>
      </c>
    </row>
    <row r="37" spans="1:9">
      <c r="A37" s="92" t="s">
        <v>4279</v>
      </c>
      <c r="B37" t="s">
        <v>1902</v>
      </c>
      <c r="C37" t="s">
        <v>2367</v>
      </c>
      <c r="D37" t="s">
        <v>2368</v>
      </c>
      <c r="E37" t="s">
        <v>2315</v>
      </c>
      <c r="G37" t="s">
        <v>2635</v>
      </c>
      <c r="H37" t="s">
        <v>2315</v>
      </c>
      <c r="I37" t="s">
        <v>3760</v>
      </c>
    </row>
    <row r="38" spans="1:9">
      <c r="A38" s="92" t="s">
        <v>4279</v>
      </c>
      <c r="B38" t="s">
        <v>1902</v>
      </c>
      <c r="C38" t="s">
        <v>2369</v>
      </c>
      <c r="D38" t="s">
        <v>2368</v>
      </c>
      <c r="E38" t="s">
        <v>2315</v>
      </c>
      <c r="G38" t="s">
        <v>2635</v>
      </c>
      <c r="H38" t="s">
        <v>2315</v>
      </c>
      <c r="I38" t="s">
        <v>3760</v>
      </c>
    </row>
    <row r="39" spans="1:9">
      <c r="A39" s="92" t="s">
        <v>4279</v>
      </c>
      <c r="B39" t="s">
        <v>1902</v>
      </c>
      <c r="C39" t="s">
        <v>2370</v>
      </c>
      <c r="D39" t="s">
        <v>2368</v>
      </c>
      <c r="E39" t="s">
        <v>108</v>
      </c>
      <c r="F39" t="s">
        <v>2371</v>
      </c>
      <c r="G39" t="s">
        <v>2635</v>
      </c>
      <c r="H39" t="s">
        <v>108</v>
      </c>
      <c r="I39" t="s">
        <v>3760</v>
      </c>
    </row>
    <row r="40" spans="1:9">
      <c r="A40" s="92" t="s">
        <v>4279</v>
      </c>
      <c r="B40" t="s">
        <v>1903</v>
      </c>
      <c r="C40" t="s">
        <v>2373</v>
      </c>
      <c r="D40" t="s">
        <v>2374</v>
      </c>
      <c r="E40" t="s">
        <v>108</v>
      </c>
      <c r="G40" t="s">
        <v>2635</v>
      </c>
      <c r="H40" t="s">
        <v>108</v>
      </c>
      <c r="I40" t="s">
        <v>3764</v>
      </c>
    </row>
    <row r="41" spans="1:9">
      <c r="A41" s="92" t="s">
        <v>4279</v>
      </c>
      <c r="B41" t="s">
        <v>1903</v>
      </c>
      <c r="C41" t="s">
        <v>2375</v>
      </c>
      <c r="D41" t="s">
        <v>2376</v>
      </c>
      <c r="E41" t="s">
        <v>108</v>
      </c>
      <c r="G41" t="s">
        <v>2635</v>
      </c>
      <c r="H41" t="s">
        <v>108</v>
      </c>
      <c r="I41" t="s">
        <v>3764</v>
      </c>
    </row>
    <row r="42" spans="1:9">
      <c r="A42" s="92" t="s">
        <v>4279</v>
      </c>
      <c r="B42" t="s">
        <v>1903</v>
      </c>
      <c r="C42" t="s">
        <v>2377</v>
      </c>
      <c r="D42" t="s">
        <v>2376</v>
      </c>
      <c r="E42" t="s">
        <v>108</v>
      </c>
      <c r="G42" t="s">
        <v>2635</v>
      </c>
      <c r="H42" t="s">
        <v>108</v>
      </c>
      <c r="I42" t="s">
        <v>3764</v>
      </c>
    </row>
    <row r="43" spans="1:9">
      <c r="A43" s="92" t="s">
        <v>4279</v>
      </c>
      <c r="B43" t="s">
        <v>1905</v>
      </c>
      <c r="C43" t="s">
        <v>2379</v>
      </c>
      <c r="D43" t="s">
        <v>2263</v>
      </c>
      <c r="E43" t="s">
        <v>2315</v>
      </c>
      <c r="F43" t="s">
        <v>2380</v>
      </c>
      <c r="G43" t="s">
        <v>2635</v>
      </c>
      <c r="H43" t="s">
        <v>2315</v>
      </c>
      <c r="I43" t="s">
        <v>3768</v>
      </c>
    </row>
    <row r="44" spans="1:9">
      <c r="A44" s="92" t="s">
        <v>4279</v>
      </c>
      <c r="B44" t="s">
        <v>1905</v>
      </c>
      <c r="C44" t="s">
        <v>2381</v>
      </c>
      <c r="D44" t="s">
        <v>2301</v>
      </c>
      <c r="E44" t="s">
        <v>108</v>
      </c>
      <c r="F44" t="s">
        <v>2382</v>
      </c>
      <c r="G44" t="s">
        <v>2635</v>
      </c>
      <c r="H44" t="s">
        <v>108</v>
      </c>
      <c r="I44" t="s">
        <v>3768</v>
      </c>
    </row>
    <row r="45" spans="1:9">
      <c r="A45" s="92" t="s">
        <v>4279</v>
      </c>
      <c r="B45" t="s">
        <v>1905</v>
      </c>
      <c r="C45" t="s">
        <v>2383</v>
      </c>
      <c r="D45" t="s">
        <v>2298</v>
      </c>
      <c r="E45" t="s">
        <v>108</v>
      </c>
      <c r="F45" t="s">
        <v>2384</v>
      </c>
      <c r="G45" t="s">
        <v>2635</v>
      </c>
      <c r="H45" t="s">
        <v>108</v>
      </c>
      <c r="I45" t="s">
        <v>3768</v>
      </c>
    </row>
    <row r="46" spans="1:9">
      <c r="A46" s="92" t="s">
        <v>4279</v>
      </c>
      <c r="B46" t="s">
        <v>1905</v>
      </c>
      <c r="C46" t="s">
        <v>2385</v>
      </c>
      <c r="D46" t="s">
        <v>2386</v>
      </c>
      <c r="E46" t="s">
        <v>108</v>
      </c>
      <c r="F46" t="s">
        <v>2387</v>
      </c>
      <c r="G46" t="s">
        <v>2635</v>
      </c>
      <c r="H46" t="s">
        <v>108</v>
      </c>
      <c r="I46" t="s">
        <v>3768</v>
      </c>
    </row>
    <row r="47" spans="1:9">
      <c r="A47" s="92" t="s">
        <v>4279</v>
      </c>
      <c r="B47" t="s">
        <v>1910</v>
      </c>
      <c r="C47" t="s">
        <v>2389</v>
      </c>
      <c r="D47" t="s">
        <v>2301</v>
      </c>
      <c r="E47" t="s">
        <v>108</v>
      </c>
      <c r="F47" t="s">
        <v>2390</v>
      </c>
      <c r="G47" t="s">
        <v>2635</v>
      </c>
      <c r="H47" t="s">
        <v>108</v>
      </c>
      <c r="I47" t="s">
        <v>3772</v>
      </c>
    </row>
    <row r="48" spans="1:9">
      <c r="A48" s="92" t="s">
        <v>4279</v>
      </c>
      <c r="B48" t="s">
        <v>1910</v>
      </c>
      <c r="C48" t="s">
        <v>2391</v>
      </c>
      <c r="D48" t="s">
        <v>2392</v>
      </c>
      <c r="E48" t="s">
        <v>108</v>
      </c>
      <c r="F48" t="s">
        <v>2393</v>
      </c>
      <c r="G48" t="s">
        <v>2635</v>
      </c>
      <c r="H48" t="s">
        <v>108</v>
      </c>
      <c r="I48" t="s">
        <v>3772</v>
      </c>
    </row>
    <row r="49" spans="1:9">
      <c r="A49" s="92" t="s">
        <v>4279</v>
      </c>
      <c r="B49" t="s">
        <v>1910</v>
      </c>
      <c r="C49" t="s">
        <v>2394</v>
      </c>
      <c r="D49" t="s">
        <v>2395</v>
      </c>
      <c r="E49" t="s">
        <v>108</v>
      </c>
      <c r="F49" t="s">
        <v>2396</v>
      </c>
      <c r="G49" t="s">
        <v>2635</v>
      </c>
      <c r="H49" t="s">
        <v>108</v>
      </c>
      <c r="I49" t="s">
        <v>3772</v>
      </c>
    </row>
    <row r="50" spans="1:9">
      <c r="A50" s="92" t="s">
        <v>4279</v>
      </c>
      <c r="B50" t="s">
        <v>1910</v>
      </c>
      <c r="C50" t="s">
        <v>2397</v>
      </c>
      <c r="D50" t="s">
        <v>2398</v>
      </c>
      <c r="E50" t="s">
        <v>2315</v>
      </c>
      <c r="G50" t="s">
        <v>2635</v>
      </c>
      <c r="H50" t="s">
        <v>2315</v>
      </c>
      <c r="I50" t="s">
        <v>3772</v>
      </c>
    </row>
    <row r="51" spans="1:9">
      <c r="A51" s="92" t="s">
        <v>4279</v>
      </c>
      <c r="B51" t="s">
        <v>1910</v>
      </c>
      <c r="C51" t="s">
        <v>2399</v>
      </c>
      <c r="D51" t="s">
        <v>2398</v>
      </c>
      <c r="E51" t="s">
        <v>2400</v>
      </c>
      <c r="G51" t="s">
        <v>2635</v>
      </c>
      <c r="H51" t="s">
        <v>108</v>
      </c>
      <c r="I51" t="s">
        <v>3772</v>
      </c>
    </row>
    <row r="52" spans="1:9">
      <c r="A52" s="92" t="s">
        <v>4279</v>
      </c>
      <c r="B52" t="s">
        <v>1912</v>
      </c>
      <c r="C52" t="s">
        <v>2402</v>
      </c>
      <c r="D52" t="s">
        <v>2403</v>
      </c>
      <c r="E52" t="s">
        <v>108</v>
      </c>
      <c r="G52" t="s">
        <v>2635</v>
      </c>
      <c r="H52" t="s">
        <v>108</v>
      </c>
      <c r="I52" t="s">
        <v>3776</v>
      </c>
    </row>
    <row r="53" spans="1:9">
      <c r="A53" s="92" t="s">
        <v>4279</v>
      </c>
      <c r="B53" t="s">
        <v>1912</v>
      </c>
      <c r="C53" t="s">
        <v>2404</v>
      </c>
      <c r="D53" t="s">
        <v>2403</v>
      </c>
      <c r="E53" t="s">
        <v>2315</v>
      </c>
      <c r="F53" t="s">
        <v>2405</v>
      </c>
      <c r="G53" t="s">
        <v>2635</v>
      </c>
      <c r="H53" t="s">
        <v>2315</v>
      </c>
      <c r="I53" t="s">
        <v>3776</v>
      </c>
    </row>
    <row r="54" spans="1:9">
      <c r="A54" s="92" t="s">
        <v>4279</v>
      </c>
      <c r="B54" t="s">
        <v>1912</v>
      </c>
      <c r="C54" t="s">
        <v>2406</v>
      </c>
      <c r="D54" t="s">
        <v>2407</v>
      </c>
      <c r="E54" t="s">
        <v>2408</v>
      </c>
      <c r="F54" t="s">
        <v>2410</v>
      </c>
      <c r="G54" t="s">
        <v>2034</v>
      </c>
      <c r="H54" t="s">
        <v>2631</v>
      </c>
      <c r="I54" t="s">
        <v>3776</v>
      </c>
    </row>
    <row r="55" spans="1:9">
      <c r="A55" s="92" t="s">
        <v>4279</v>
      </c>
      <c r="B55" t="s">
        <v>1912</v>
      </c>
      <c r="C55" t="s">
        <v>2411</v>
      </c>
      <c r="D55" t="s">
        <v>2407</v>
      </c>
      <c r="E55" t="s">
        <v>2331</v>
      </c>
      <c r="F55" t="s">
        <v>2412</v>
      </c>
      <c r="G55" t="s">
        <v>2635</v>
      </c>
      <c r="H55" t="s">
        <v>108</v>
      </c>
      <c r="I55" t="s">
        <v>3776</v>
      </c>
    </row>
    <row r="56" spans="1:9">
      <c r="A56" s="92" t="s">
        <v>4279</v>
      </c>
      <c r="B56" t="s">
        <v>1912</v>
      </c>
      <c r="C56" t="s">
        <v>2413</v>
      </c>
      <c r="D56" t="s">
        <v>2403</v>
      </c>
      <c r="E56" t="s">
        <v>2414</v>
      </c>
      <c r="G56" t="s">
        <v>2635</v>
      </c>
      <c r="H56" t="s">
        <v>108</v>
      </c>
      <c r="I56" t="s">
        <v>3776</v>
      </c>
    </row>
    <row r="57" spans="1:9">
      <c r="A57" s="92" t="s">
        <v>4279</v>
      </c>
      <c r="B57" t="s">
        <v>1912</v>
      </c>
      <c r="C57" t="s">
        <v>2415</v>
      </c>
      <c r="D57" t="s">
        <v>2403</v>
      </c>
      <c r="E57" t="s">
        <v>2416</v>
      </c>
      <c r="F57" t="s">
        <v>2417</v>
      </c>
      <c r="G57" t="s">
        <v>2635</v>
      </c>
      <c r="H57" t="s">
        <v>108</v>
      </c>
      <c r="I57" t="s">
        <v>3776</v>
      </c>
    </row>
    <row r="58" spans="1:9">
      <c r="A58" s="92" t="s">
        <v>4279</v>
      </c>
      <c r="B58" t="s">
        <v>1914</v>
      </c>
      <c r="C58" t="s">
        <v>2419</v>
      </c>
      <c r="D58" t="s">
        <v>2287</v>
      </c>
      <c r="E58" t="s">
        <v>2420</v>
      </c>
      <c r="F58" t="s">
        <v>2421</v>
      </c>
      <c r="G58" t="s">
        <v>2635</v>
      </c>
      <c r="H58" t="s">
        <v>108</v>
      </c>
      <c r="I58" t="s">
        <v>3780</v>
      </c>
    </row>
    <row r="59" spans="1:9">
      <c r="A59" s="92" t="s">
        <v>4279</v>
      </c>
      <c r="B59" t="s">
        <v>1914</v>
      </c>
      <c r="C59" t="s">
        <v>2422</v>
      </c>
      <c r="D59" t="s">
        <v>2423</v>
      </c>
      <c r="E59" t="s">
        <v>2424</v>
      </c>
      <c r="F59" t="s">
        <v>2425</v>
      </c>
      <c r="G59" t="s">
        <v>2635</v>
      </c>
      <c r="H59" t="s">
        <v>108</v>
      </c>
      <c r="I59" t="s">
        <v>3780</v>
      </c>
    </row>
    <row r="60" spans="1:9">
      <c r="A60" s="92" t="s">
        <v>4279</v>
      </c>
      <c r="B60" t="s">
        <v>1914</v>
      </c>
      <c r="C60" t="s">
        <v>2274</v>
      </c>
      <c r="E60" t="s">
        <v>2254</v>
      </c>
      <c r="G60" t="s">
        <v>2635</v>
      </c>
      <c r="H60" t="s">
        <v>2526</v>
      </c>
      <c r="I60" t="s">
        <v>3780</v>
      </c>
    </row>
    <row r="61" spans="1:9">
      <c r="A61" s="92" t="s">
        <v>4279</v>
      </c>
      <c r="B61" t="s">
        <v>1914</v>
      </c>
      <c r="C61" t="s">
        <v>2426</v>
      </c>
      <c r="D61" t="s">
        <v>2272</v>
      </c>
      <c r="E61" t="s">
        <v>2427</v>
      </c>
      <c r="F61" t="s">
        <v>2428</v>
      </c>
      <c r="G61" t="s">
        <v>2635</v>
      </c>
      <c r="H61" t="s">
        <v>2427</v>
      </c>
      <c r="I61" t="s">
        <v>3780</v>
      </c>
    </row>
    <row r="62" spans="1:9">
      <c r="A62" s="92" t="s">
        <v>4281</v>
      </c>
      <c r="B62" t="s">
        <v>1888</v>
      </c>
      <c r="C62" t="s">
        <v>2241</v>
      </c>
      <c r="D62" t="s">
        <v>2242</v>
      </c>
      <c r="E62" t="s">
        <v>2243</v>
      </c>
      <c r="F62" t="s">
        <v>2246</v>
      </c>
      <c r="G62" t="s">
        <v>2635</v>
      </c>
      <c r="H62" t="s">
        <v>2245</v>
      </c>
      <c r="I62" t="s">
        <v>3740</v>
      </c>
    </row>
    <row r="63" spans="1:9">
      <c r="A63" s="92" t="s">
        <v>4281</v>
      </c>
      <c r="B63" t="s">
        <v>1888</v>
      </c>
      <c r="C63" t="s">
        <v>2309</v>
      </c>
      <c r="E63" t="s">
        <v>2310</v>
      </c>
      <c r="G63" t="s">
        <v>2061</v>
      </c>
      <c r="H63" t="s">
        <v>1215</v>
      </c>
      <c r="I63" t="s">
        <v>3740</v>
      </c>
    </row>
    <row r="64" spans="1:9">
      <c r="A64" s="92" t="s">
        <v>4281</v>
      </c>
      <c r="B64" t="s">
        <v>3515</v>
      </c>
      <c r="C64" t="s">
        <v>2281</v>
      </c>
      <c r="D64" t="s">
        <v>2282</v>
      </c>
      <c r="E64" t="s">
        <v>2283</v>
      </c>
      <c r="G64" t="s">
        <v>2635</v>
      </c>
      <c r="H64" t="s">
        <v>2645</v>
      </c>
      <c r="I64" t="s">
        <v>3748</v>
      </c>
    </row>
    <row r="65" spans="1:9">
      <c r="A65" s="92" t="s">
        <v>4281</v>
      </c>
      <c r="B65" t="s">
        <v>1895</v>
      </c>
      <c r="C65" t="s">
        <v>2286</v>
      </c>
      <c r="D65" t="s">
        <v>2287</v>
      </c>
      <c r="E65" t="s">
        <v>2288</v>
      </c>
      <c r="G65" t="s">
        <v>2635</v>
      </c>
      <c r="H65" t="s">
        <v>2284</v>
      </c>
      <c r="I65" t="s">
        <v>3752</v>
      </c>
    </row>
    <row r="66" spans="1:9">
      <c r="A66" s="92" t="s">
        <v>4281</v>
      </c>
      <c r="B66" t="s">
        <v>1897</v>
      </c>
      <c r="C66" t="s">
        <v>2248</v>
      </c>
      <c r="D66" t="s">
        <v>2249</v>
      </c>
      <c r="E66" t="s">
        <v>2250</v>
      </c>
      <c r="G66" t="s">
        <v>2635</v>
      </c>
      <c r="H66" t="s">
        <v>2251</v>
      </c>
      <c r="I66" t="s">
        <v>3756</v>
      </c>
    </row>
    <row r="67" spans="1:9">
      <c r="A67" s="92" t="s">
        <v>4281</v>
      </c>
      <c r="B67" t="s">
        <v>1897</v>
      </c>
      <c r="C67" t="s">
        <v>2253</v>
      </c>
      <c r="D67" t="s">
        <v>2249</v>
      </c>
      <c r="E67" t="s">
        <v>2254</v>
      </c>
      <c r="G67" t="s">
        <v>2635</v>
      </c>
      <c r="H67" t="s">
        <v>2251</v>
      </c>
      <c r="I67" t="s">
        <v>3756</v>
      </c>
    </row>
    <row r="68" spans="1:9">
      <c r="A68" s="92" t="s">
        <v>4281</v>
      </c>
      <c r="B68" t="s">
        <v>1897</v>
      </c>
      <c r="C68" t="s">
        <v>2255</v>
      </c>
      <c r="D68" t="s">
        <v>2249</v>
      </c>
      <c r="E68" t="s">
        <v>2254</v>
      </c>
      <c r="G68" t="s">
        <v>2635</v>
      </c>
      <c r="H68" t="s">
        <v>2251</v>
      </c>
      <c r="I68" t="s">
        <v>3756</v>
      </c>
    </row>
    <row r="69" spans="1:9">
      <c r="A69" s="92" t="s">
        <v>4281</v>
      </c>
      <c r="B69" t="s">
        <v>1897</v>
      </c>
      <c r="C69" t="s">
        <v>2256</v>
      </c>
      <c r="D69" t="s">
        <v>2257</v>
      </c>
      <c r="E69" t="s">
        <v>2254</v>
      </c>
      <c r="G69" t="s">
        <v>2635</v>
      </c>
      <c r="H69" t="s">
        <v>2251</v>
      </c>
      <c r="I69" t="s">
        <v>3756</v>
      </c>
    </row>
    <row r="70" spans="1:9">
      <c r="A70" s="92" t="s">
        <v>4281</v>
      </c>
      <c r="B70" t="s">
        <v>1897</v>
      </c>
      <c r="C70" t="s">
        <v>2258</v>
      </c>
      <c r="E70" t="s">
        <v>2254</v>
      </c>
      <c r="G70" t="s">
        <v>2635</v>
      </c>
      <c r="H70" t="s">
        <v>2251</v>
      </c>
      <c r="I70" t="s">
        <v>3756</v>
      </c>
    </row>
    <row r="71" spans="1:9">
      <c r="A71" s="92" t="s">
        <v>4281</v>
      </c>
      <c r="B71" t="s">
        <v>1897</v>
      </c>
      <c r="C71" t="s">
        <v>2259</v>
      </c>
      <c r="E71" t="s">
        <v>2254</v>
      </c>
      <c r="G71" t="s">
        <v>2635</v>
      </c>
      <c r="H71" t="s">
        <v>2251</v>
      </c>
      <c r="I71" t="s">
        <v>3756</v>
      </c>
    </row>
    <row r="72" spans="1:9">
      <c r="A72" s="92" t="s">
        <v>4281</v>
      </c>
      <c r="B72" t="s">
        <v>1897</v>
      </c>
      <c r="C72" t="s">
        <v>2260</v>
      </c>
      <c r="E72" t="s">
        <v>2254</v>
      </c>
      <c r="G72" t="s">
        <v>2635</v>
      </c>
      <c r="H72" t="s">
        <v>2251</v>
      </c>
      <c r="I72" t="s">
        <v>3756</v>
      </c>
    </row>
    <row r="73" spans="1:9">
      <c r="A73" s="92" t="s">
        <v>4281</v>
      </c>
      <c r="B73" t="s">
        <v>1905</v>
      </c>
      <c r="C73" t="s">
        <v>2262</v>
      </c>
      <c r="D73" t="s">
        <v>2263</v>
      </c>
      <c r="E73" t="s">
        <v>2243</v>
      </c>
      <c r="F73" t="s">
        <v>2264</v>
      </c>
      <c r="G73" t="s">
        <v>2635</v>
      </c>
      <c r="H73" t="s">
        <v>2245</v>
      </c>
      <c r="I73" t="s">
        <v>3768</v>
      </c>
    </row>
    <row r="74" spans="1:9">
      <c r="A74" s="92" t="s">
        <v>4281</v>
      </c>
      <c r="B74" t="s">
        <v>1905</v>
      </c>
      <c r="C74" t="s">
        <v>2265</v>
      </c>
      <c r="D74" t="s">
        <v>2266</v>
      </c>
      <c r="E74" t="s">
        <v>2243</v>
      </c>
      <c r="F74" t="s">
        <v>2267</v>
      </c>
      <c r="G74" t="s">
        <v>2635</v>
      </c>
      <c r="H74" t="s">
        <v>2245</v>
      </c>
      <c r="I74" t="s">
        <v>3768</v>
      </c>
    </row>
    <row r="75" spans="1:9">
      <c r="A75" s="92" t="s">
        <v>4281</v>
      </c>
      <c r="B75" t="s">
        <v>1912</v>
      </c>
      <c r="C75" t="s">
        <v>2406</v>
      </c>
      <c r="D75" t="s">
        <v>2407</v>
      </c>
      <c r="E75" t="s">
        <v>2408</v>
      </c>
      <c r="F75" t="s">
        <v>2410</v>
      </c>
      <c r="G75" t="s">
        <v>2061</v>
      </c>
      <c r="H75" t="s">
        <v>2631</v>
      </c>
      <c r="I75" t="s">
        <v>3776</v>
      </c>
    </row>
    <row r="76" spans="1:9">
      <c r="A76" s="92" t="s">
        <v>4281</v>
      </c>
      <c r="B76" t="s">
        <v>1914</v>
      </c>
      <c r="C76" t="s">
        <v>2269</v>
      </c>
      <c r="E76" t="s">
        <v>2243</v>
      </c>
      <c r="F76" t="s">
        <v>2270</v>
      </c>
      <c r="G76" t="s">
        <v>2635</v>
      </c>
      <c r="H76" t="s">
        <v>2245</v>
      </c>
      <c r="I76" t="s">
        <v>3780</v>
      </c>
    </row>
    <row r="77" spans="1:9">
      <c r="A77" s="92" t="s">
        <v>4281</v>
      </c>
      <c r="B77" t="s">
        <v>1914</v>
      </c>
      <c r="C77" t="s">
        <v>2271</v>
      </c>
      <c r="D77" t="s">
        <v>2272</v>
      </c>
      <c r="E77" t="s">
        <v>2243</v>
      </c>
      <c r="F77" t="s">
        <v>2273</v>
      </c>
      <c r="G77" t="s">
        <v>2635</v>
      </c>
      <c r="H77" t="s">
        <v>2245</v>
      </c>
      <c r="I77" t="s">
        <v>3780</v>
      </c>
    </row>
    <row r="78" spans="1:9">
      <c r="A78" s="92" t="s">
        <v>4281</v>
      </c>
      <c r="B78" t="s">
        <v>1914</v>
      </c>
      <c r="C78" t="s">
        <v>2274</v>
      </c>
      <c r="E78" t="s">
        <v>2254</v>
      </c>
      <c r="G78" t="s">
        <v>2635</v>
      </c>
      <c r="H78" t="s">
        <v>2251</v>
      </c>
      <c r="I78" t="s">
        <v>3780</v>
      </c>
    </row>
    <row r="79" spans="1:9">
      <c r="A79" s="92" t="s">
        <v>4285</v>
      </c>
      <c r="B79" t="s">
        <v>1888</v>
      </c>
      <c r="C79" t="s">
        <v>2241</v>
      </c>
      <c r="D79" t="s">
        <v>2242</v>
      </c>
      <c r="E79" t="s">
        <v>2243</v>
      </c>
      <c r="F79" t="s">
        <v>2246</v>
      </c>
      <c r="G79" t="s">
        <v>2635</v>
      </c>
      <c r="H79" t="s">
        <v>2245</v>
      </c>
      <c r="I79" t="s">
        <v>3740</v>
      </c>
    </row>
    <row r="80" spans="1:9">
      <c r="A80" s="92" t="s">
        <v>4285</v>
      </c>
      <c r="B80" t="s">
        <v>1888</v>
      </c>
      <c r="C80" t="s">
        <v>2309</v>
      </c>
      <c r="E80" t="s">
        <v>2310</v>
      </c>
      <c r="G80" t="s">
        <v>2087</v>
      </c>
      <c r="H80" t="s">
        <v>1215</v>
      </c>
      <c r="I80" t="s">
        <v>3740</v>
      </c>
    </row>
    <row r="81" spans="1:9">
      <c r="A81" s="92" t="s">
        <v>4285</v>
      </c>
      <c r="B81" t="s">
        <v>1897</v>
      </c>
      <c r="C81" t="s">
        <v>2248</v>
      </c>
      <c r="D81" t="s">
        <v>2249</v>
      </c>
      <c r="E81" t="s">
        <v>2250</v>
      </c>
      <c r="G81" t="s">
        <v>2635</v>
      </c>
      <c r="H81" t="s">
        <v>2251</v>
      </c>
      <c r="I81" t="s">
        <v>3756</v>
      </c>
    </row>
    <row r="82" spans="1:9">
      <c r="A82" s="92" t="s">
        <v>4285</v>
      </c>
      <c r="B82" t="s">
        <v>1897</v>
      </c>
      <c r="C82" t="s">
        <v>2253</v>
      </c>
      <c r="D82" t="s">
        <v>2249</v>
      </c>
      <c r="E82" t="s">
        <v>2254</v>
      </c>
      <c r="G82" t="s">
        <v>2635</v>
      </c>
      <c r="H82" t="s">
        <v>2251</v>
      </c>
      <c r="I82" t="s">
        <v>3756</v>
      </c>
    </row>
    <row r="83" spans="1:9">
      <c r="A83" s="92" t="s">
        <v>4285</v>
      </c>
      <c r="B83" t="s">
        <v>1897</v>
      </c>
      <c r="C83" t="s">
        <v>2255</v>
      </c>
      <c r="D83" t="s">
        <v>2249</v>
      </c>
      <c r="E83" t="s">
        <v>2254</v>
      </c>
      <c r="G83" t="s">
        <v>2635</v>
      </c>
      <c r="H83" t="s">
        <v>2251</v>
      </c>
      <c r="I83" t="s">
        <v>3756</v>
      </c>
    </row>
    <row r="84" spans="1:9">
      <c r="A84" s="92" t="s">
        <v>4285</v>
      </c>
      <c r="B84" t="s">
        <v>1897</v>
      </c>
      <c r="C84" t="s">
        <v>2256</v>
      </c>
      <c r="D84" t="s">
        <v>2257</v>
      </c>
      <c r="E84" t="s">
        <v>2254</v>
      </c>
      <c r="G84" t="s">
        <v>2635</v>
      </c>
      <c r="H84" t="s">
        <v>2251</v>
      </c>
      <c r="I84" t="s">
        <v>3756</v>
      </c>
    </row>
    <row r="85" spans="1:9">
      <c r="A85" s="92" t="s">
        <v>4285</v>
      </c>
      <c r="B85" t="s">
        <v>1897</v>
      </c>
      <c r="C85" t="s">
        <v>2258</v>
      </c>
      <c r="E85" t="s">
        <v>2254</v>
      </c>
      <c r="G85" t="s">
        <v>2635</v>
      </c>
      <c r="H85" t="s">
        <v>2251</v>
      </c>
      <c r="I85" t="s">
        <v>3756</v>
      </c>
    </row>
    <row r="86" spans="1:9">
      <c r="A86" s="92" t="s">
        <v>4285</v>
      </c>
      <c r="B86" t="s">
        <v>1897</v>
      </c>
      <c r="C86" t="s">
        <v>2259</v>
      </c>
      <c r="E86" t="s">
        <v>2254</v>
      </c>
      <c r="G86" t="s">
        <v>2635</v>
      </c>
      <c r="H86" t="s">
        <v>2251</v>
      </c>
      <c r="I86" t="s">
        <v>3756</v>
      </c>
    </row>
    <row r="87" spans="1:9">
      <c r="A87" s="92" t="s">
        <v>4285</v>
      </c>
      <c r="B87" t="s">
        <v>1897</v>
      </c>
      <c r="C87" t="s">
        <v>2260</v>
      </c>
      <c r="E87" t="s">
        <v>2254</v>
      </c>
      <c r="G87" t="s">
        <v>2635</v>
      </c>
      <c r="H87" t="s">
        <v>2251</v>
      </c>
      <c r="I87" t="s">
        <v>3756</v>
      </c>
    </row>
    <row r="88" spans="1:9">
      <c r="A88" s="92" t="s">
        <v>4285</v>
      </c>
      <c r="B88" t="s">
        <v>1905</v>
      </c>
      <c r="C88" t="s">
        <v>2262</v>
      </c>
      <c r="D88" t="s">
        <v>2263</v>
      </c>
      <c r="E88" t="s">
        <v>2243</v>
      </c>
      <c r="F88" t="s">
        <v>2264</v>
      </c>
      <c r="G88" t="s">
        <v>2635</v>
      </c>
      <c r="H88" t="s">
        <v>2245</v>
      </c>
      <c r="I88" t="s">
        <v>3768</v>
      </c>
    </row>
    <row r="89" spans="1:9">
      <c r="A89" s="92" t="s">
        <v>4285</v>
      </c>
      <c r="B89" t="s">
        <v>1905</v>
      </c>
      <c r="C89" t="s">
        <v>2265</v>
      </c>
      <c r="D89" t="s">
        <v>2266</v>
      </c>
      <c r="E89" t="s">
        <v>2243</v>
      </c>
      <c r="F89" t="s">
        <v>2267</v>
      </c>
      <c r="G89" t="s">
        <v>2635</v>
      </c>
      <c r="H89" t="s">
        <v>2245</v>
      </c>
      <c r="I89" t="s">
        <v>3768</v>
      </c>
    </row>
    <row r="90" spans="1:9">
      <c r="A90" s="92" t="s">
        <v>4285</v>
      </c>
      <c r="B90" t="s">
        <v>1912</v>
      </c>
      <c r="C90" t="s">
        <v>2406</v>
      </c>
      <c r="D90" t="s">
        <v>2407</v>
      </c>
      <c r="E90" t="s">
        <v>2408</v>
      </c>
      <c r="F90" t="s">
        <v>2410</v>
      </c>
      <c r="G90" t="s">
        <v>2087</v>
      </c>
      <c r="H90" t="s">
        <v>2647</v>
      </c>
      <c r="I90" t="s">
        <v>3776</v>
      </c>
    </row>
    <row r="91" spans="1:9">
      <c r="A91" s="92" t="s">
        <v>4285</v>
      </c>
      <c r="B91" t="s">
        <v>1914</v>
      </c>
      <c r="C91" t="s">
        <v>2269</v>
      </c>
      <c r="E91" t="s">
        <v>2243</v>
      </c>
      <c r="F91" t="s">
        <v>2270</v>
      </c>
      <c r="G91" t="s">
        <v>2635</v>
      </c>
      <c r="H91" t="s">
        <v>2245</v>
      </c>
      <c r="I91" t="s">
        <v>3780</v>
      </c>
    </row>
    <row r="92" spans="1:9">
      <c r="A92" s="92" t="s">
        <v>4285</v>
      </c>
      <c r="B92" t="s">
        <v>1914</v>
      </c>
      <c r="C92" t="s">
        <v>2271</v>
      </c>
      <c r="D92" t="s">
        <v>2272</v>
      </c>
      <c r="E92" t="s">
        <v>2243</v>
      </c>
      <c r="F92" t="s">
        <v>2273</v>
      </c>
      <c r="G92" t="s">
        <v>2635</v>
      </c>
      <c r="H92" t="s">
        <v>2245</v>
      </c>
      <c r="I92" t="s">
        <v>3780</v>
      </c>
    </row>
    <row r="93" spans="1:9">
      <c r="A93" s="92" t="s">
        <v>4285</v>
      </c>
      <c r="B93" t="s">
        <v>1914</v>
      </c>
      <c r="C93" t="s">
        <v>2274</v>
      </c>
      <c r="E93" t="s">
        <v>2254</v>
      </c>
      <c r="G93" t="s">
        <v>2635</v>
      </c>
      <c r="H93" t="s">
        <v>2251</v>
      </c>
      <c r="I93" t="s">
        <v>3780</v>
      </c>
    </row>
    <row r="94" spans="1:9">
      <c r="A94" s="92" t="s">
        <v>4290</v>
      </c>
      <c r="B94" t="s">
        <v>1888</v>
      </c>
      <c r="C94" t="s">
        <v>2241</v>
      </c>
      <c r="D94" t="s">
        <v>2242</v>
      </c>
      <c r="E94" t="s">
        <v>2243</v>
      </c>
      <c r="F94" t="s">
        <v>2246</v>
      </c>
      <c r="G94" t="s">
        <v>2635</v>
      </c>
      <c r="H94" t="s">
        <v>2245</v>
      </c>
      <c r="I94" t="s">
        <v>3740</v>
      </c>
    </row>
    <row r="95" spans="1:9">
      <c r="A95" s="92" t="s">
        <v>4290</v>
      </c>
      <c r="B95" t="s">
        <v>1888</v>
      </c>
      <c r="C95" t="s">
        <v>2309</v>
      </c>
      <c r="E95" t="s">
        <v>2310</v>
      </c>
      <c r="G95" t="s">
        <v>2105</v>
      </c>
      <c r="H95" t="s">
        <v>1215</v>
      </c>
      <c r="I95" t="s">
        <v>3740</v>
      </c>
    </row>
    <row r="96" spans="1:9">
      <c r="A96" s="92" t="s">
        <v>4290</v>
      </c>
      <c r="B96" t="s">
        <v>3515</v>
      </c>
      <c r="C96" t="s">
        <v>2281</v>
      </c>
      <c r="D96" t="s">
        <v>2282</v>
      </c>
      <c r="E96" t="s">
        <v>2283</v>
      </c>
      <c r="G96" t="s">
        <v>2635</v>
      </c>
      <c r="H96" t="s">
        <v>2645</v>
      </c>
      <c r="I96" t="s">
        <v>3748</v>
      </c>
    </row>
    <row r="97" spans="1:9">
      <c r="A97" s="92" t="s">
        <v>4290</v>
      </c>
      <c r="B97" t="s">
        <v>1895</v>
      </c>
      <c r="C97" t="s">
        <v>2286</v>
      </c>
      <c r="D97" t="s">
        <v>2287</v>
      </c>
      <c r="E97" t="s">
        <v>2288</v>
      </c>
      <c r="G97" t="s">
        <v>2635</v>
      </c>
      <c r="H97" t="s">
        <v>2284</v>
      </c>
      <c r="I97" t="s">
        <v>3752</v>
      </c>
    </row>
    <row r="98" spans="1:9">
      <c r="A98" s="92" t="s">
        <v>4290</v>
      </c>
      <c r="B98" t="s">
        <v>1897</v>
      </c>
      <c r="C98" t="s">
        <v>2248</v>
      </c>
      <c r="D98" t="s">
        <v>2249</v>
      </c>
      <c r="E98" t="s">
        <v>2250</v>
      </c>
      <c r="G98" t="s">
        <v>2635</v>
      </c>
      <c r="H98" t="s">
        <v>2251</v>
      </c>
      <c r="I98" t="s">
        <v>3756</v>
      </c>
    </row>
    <row r="99" spans="1:9">
      <c r="A99" s="92" t="s">
        <v>4290</v>
      </c>
      <c r="B99" t="s">
        <v>1897</v>
      </c>
      <c r="C99" t="s">
        <v>2253</v>
      </c>
      <c r="D99" t="s">
        <v>2249</v>
      </c>
      <c r="E99" t="s">
        <v>2254</v>
      </c>
      <c r="G99" t="s">
        <v>2635</v>
      </c>
      <c r="H99" t="s">
        <v>2251</v>
      </c>
      <c r="I99" t="s">
        <v>3756</v>
      </c>
    </row>
    <row r="100" spans="1:9">
      <c r="A100" s="92" t="s">
        <v>4290</v>
      </c>
      <c r="B100" t="s">
        <v>1897</v>
      </c>
      <c r="C100" t="s">
        <v>2255</v>
      </c>
      <c r="D100" t="s">
        <v>2249</v>
      </c>
      <c r="E100" t="s">
        <v>2254</v>
      </c>
      <c r="G100" t="s">
        <v>2635</v>
      </c>
      <c r="H100" t="s">
        <v>2251</v>
      </c>
      <c r="I100" t="s">
        <v>3756</v>
      </c>
    </row>
    <row r="101" spans="1:9">
      <c r="A101" s="92" t="s">
        <v>4290</v>
      </c>
      <c r="B101" t="s">
        <v>1897</v>
      </c>
      <c r="C101" t="s">
        <v>2256</v>
      </c>
      <c r="D101" t="s">
        <v>2257</v>
      </c>
      <c r="E101" t="s">
        <v>2254</v>
      </c>
      <c r="G101" t="s">
        <v>2635</v>
      </c>
      <c r="H101" t="s">
        <v>2251</v>
      </c>
      <c r="I101" t="s">
        <v>3756</v>
      </c>
    </row>
    <row r="102" spans="1:9">
      <c r="A102" s="92" t="s">
        <v>4290</v>
      </c>
      <c r="B102" t="s">
        <v>1897</v>
      </c>
      <c r="C102" t="s">
        <v>2258</v>
      </c>
      <c r="E102" t="s">
        <v>2254</v>
      </c>
      <c r="G102" t="s">
        <v>2635</v>
      </c>
      <c r="H102" t="s">
        <v>2251</v>
      </c>
      <c r="I102" t="s">
        <v>3756</v>
      </c>
    </row>
    <row r="103" spans="1:9">
      <c r="A103" s="92" t="s">
        <v>4290</v>
      </c>
      <c r="B103" t="s">
        <v>1897</v>
      </c>
      <c r="C103" t="s">
        <v>2259</v>
      </c>
      <c r="E103" t="s">
        <v>2254</v>
      </c>
      <c r="G103" t="s">
        <v>2635</v>
      </c>
      <c r="H103" t="s">
        <v>2251</v>
      </c>
      <c r="I103" t="s">
        <v>3756</v>
      </c>
    </row>
    <row r="104" spans="1:9">
      <c r="A104" s="92" t="s">
        <v>4290</v>
      </c>
      <c r="B104" t="s">
        <v>1897</v>
      </c>
      <c r="C104" t="s">
        <v>2260</v>
      </c>
      <c r="E104" t="s">
        <v>2254</v>
      </c>
      <c r="G104" t="s">
        <v>2635</v>
      </c>
      <c r="H104" t="s">
        <v>2251</v>
      </c>
      <c r="I104" t="s">
        <v>3756</v>
      </c>
    </row>
    <row r="105" spans="1:9">
      <c r="A105" s="92" t="s">
        <v>4290</v>
      </c>
      <c r="B105" t="s">
        <v>1905</v>
      </c>
      <c r="C105" t="s">
        <v>2262</v>
      </c>
      <c r="D105" t="s">
        <v>2263</v>
      </c>
      <c r="E105" t="s">
        <v>2243</v>
      </c>
      <c r="F105" t="s">
        <v>2264</v>
      </c>
      <c r="G105" t="s">
        <v>2635</v>
      </c>
      <c r="H105" t="s">
        <v>2245</v>
      </c>
      <c r="I105" t="s">
        <v>3768</v>
      </c>
    </row>
    <row r="106" spans="1:9">
      <c r="A106" s="92" t="s">
        <v>4290</v>
      </c>
      <c r="B106" t="s">
        <v>1905</v>
      </c>
      <c r="C106" t="s">
        <v>2265</v>
      </c>
      <c r="D106" t="s">
        <v>2266</v>
      </c>
      <c r="E106" t="s">
        <v>2243</v>
      </c>
      <c r="F106" t="s">
        <v>2267</v>
      </c>
      <c r="G106" t="s">
        <v>2635</v>
      </c>
      <c r="H106" t="s">
        <v>2245</v>
      </c>
      <c r="I106" t="s">
        <v>3768</v>
      </c>
    </row>
    <row r="107" spans="1:9">
      <c r="A107" s="92" t="s">
        <v>4290</v>
      </c>
      <c r="B107" t="s">
        <v>1912</v>
      </c>
      <c r="C107" t="s">
        <v>2406</v>
      </c>
      <c r="D107" t="s">
        <v>2407</v>
      </c>
      <c r="E107" t="s">
        <v>2408</v>
      </c>
      <c r="F107" t="s">
        <v>2410</v>
      </c>
      <c r="G107" t="s">
        <v>2105</v>
      </c>
      <c r="H107" t="s">
        <v>2631</v>
      </c>
      <c r="I107" t="s">
        <v>3776</v>
      </c>
    </row>
    <row r="108" spans="1:9">
      <c r="A108" s="92" t="s">
        <v>4290</v>
      </c>
      <c r="B108" t="s">
        <v>1914</v>
      </c>
      <c r="C108" t="s">
        <v>2269</v>
      </c>
      <c r="E108" t="s">
        <v>2243</v>
      </c>
      <c r="F108" t="s">
        <v>2270</v>
      </c>
      <c r="G108" t="s">
        <v>2635</v>
      </c>
      <c r="H108" t="s">
        <v>2245</v>
      </c>
      <c r="I108" t="s">
        <v>3780</v>
      </c>
    </row>
    <row r="109" spans="1:9">
      <c r="A109" s="92" t="s">
        <v>4290</v>
      </c>
      <c r="B109" t="s">
        <v>1914</v>
      </c>
      <c r="C109" t="s">
        <v>2271</v>
      </c>
      <c r="D109" t="s">
        <v>2272</v>
      </c>
      <c r="E109" t="s">
        <v>2243</v>
      </c>
      <c r="F109" t="s">
        <v>2273</v>
      </c>
      <c r="G109" t="s">
        <v>2635</v>
      </c>
      <c r="H109" t="s">
        <v>2245</v>
      </c>
      <c r="I109" t="s">
        <v>3780</v>
      </c>
    </row>
    <row r="110" spans="1:9">
      <c r="A110" s="92" t="s">
        <v>4290</v>
      </c>
      <c r="B110" t="s">
        <v>1914</v>
      </c>
      <c r="C110" t="s">
        <v>2274</v>
      </c>
      <c r="E110" t="s">
        <v>2254</v>
      </c>
      <c r="G110" t="s">
        <v>2635</v>
      </c>
      <c r="H110" t="s">
        <v>2251</v>
      </c>
      <c r="I110" t="s">
        <v>3780</v>
      </c>
    </row>
    <row r="111" spans="1:9">
      <c r="A111" s="92" t="s">
        <v>4295</v>
      </c>
      <c r="B111" t="s">
        <v>1888</v>
      </c>
      <c r="C111" t="s">
        <v>2241</v>
      </c>
      <c r="D111" t="s">
        <v>2242</v>
      </c>
      <c r="E111" t="s">
        <v>2243</v>
      </c>
      <c r="F111" t="s">
        <v>2246</v>
      </c>
      <c r="G111" t="s">
        <v>2635</v>
      </c>
      <c r="H111" t="s">
        <v>2245</v>
      </c>
      <c r="I111" t="s">
        <v>3740</v>
      </c>
    </row>
    <row r="112" spans="1:9">
      <c r="A112" s="92" t="s">
        <v>4295</v>
      </c>
      <c r="B112" t="s">
        <v>1888</v>
      </c>
      <c r="C112" t="s">
        <v>2309</v>
      </c>
      <c r="E112" t="s">
        <v>2310</v>
      </c>
      <c r="G112" t="s">
        <v>2127</v>
      </c>
      <c r="H112" t="s">
        <v>1215</v>
      </c>
      <c r="I112" t="s">
        <v>3740</v>
      </c>
    </row>
    <row r="113" spans="1:9">
      <c r="A113" s="92" t="s">
        <v>4295</v>
      </c>
      <c r="B113" t="s">
        <v>1897</v>
      </c>
      <c r="C113" t="s">
        <v>2248</v>
      </c>
      <c r="D113" t="s">
        <v>2249</v>
      </c>
      <c r="E113" t="s">
        <v>2250</v>
      </c>
      <c r="G113" t="s">
        <v>2635</v>
      </c>
      <c r="H113" t="s">
        <v>2251</v>
      </c>
      <c r="I113" t="s">
        <v>3756</v>
      </c>
    </row>
    <row r="114" spans="1:9">
      <c r="A114" s="92" t="s">
        <v>4295</v>
      </c>
      <c r="B114" t="s">
        <v>1897</v>
      </c>
      <c r="C114" t="s">
        <v>2253</v>
      </c>
      <c r="D114" t="s">
        <v>2249</v>
      </c>
      <c r="E114" t="s">
        <v>2254</v>
      </c>
      <c r="G114" t="s">
        <v>2635</v>
      </c>
      <c r="H114" t="s">
        <v>2251</v>
      </c>
      <c r="I114" t="s">
        <v>3756</v>
      </c>
    </row>
    <row r="115" spans="1:9">
      <c r="A115" s="92" t="s">
        <v>4295</v>
      </c>
      <c r="B115" t="s">
        <v>1897</v>
      </c>
      <c r="C115" t="s">
        <v>2255</v>
      </c>
      <c r="D115" t="s">
        <v>2249</v>
      </c>
      <c r="E115" t="s">
        <v>2254</v>
      </c>
      <c r="G115" t="s">
        <v>2635</v>
      </c>
      <c r="H115" t="s">
        <v>2251</v>
      </c>
      <c r="I115" t="s">
        <v>3756</v>
      </c>
    </row>
    <row r="116" spans="1:9">
      <c r="A116" s="92" t="s">
        <v>4295</v>
      </c>
      <c r="B116" t="s">
        <v>1897</v>
      </c>
      <c r="C116" t="s">
        <v>2256</v>
      </c>
      <c r="D116" t="s">
        <v>2257</v>
      </c>
      <c r="E116" t="s">
        <v>2254</v>
      </c>
      <c r="G116" t="s">
        <v>2635</v>
      </c>
      <c r="H116" t="s">
        <v>2251</v>
      </c>
      <c r="I116" t="s">
        <v>3756</v>
      </c>
    </row>
    <row r="117" spans="1:9">
      <c r="A117" s="92" t="s">
        <v>4295</v>
      </c>
      <c r="B117" t="s">
        <v>1897</v>
      </c>
      <c r="C117" t="s">
        <v>2258</v>
      </c>
      <c r="E117" t="s">
        <v>2254</v>
      </c>
      <c r="G117" t="s">
        <v>2635</v>
      </c>
      <c r="H117" t="s">
        <v>2251</v>
      </c>
      <c r="I117" t="s">
        <v>3756</v>
      </c>
    </row>
    <row r="118" spans="1:9">
      <c r="A118" s="92" t="s">
        <v>4295</v>
      </c>
      <c r="B118" t="s">
        <v>1897</v>
      </c>
      <c r="C118" t="s">
        <v>2259</v>
      </c>
      <c r="E118" t="s">
        <v>2254</v>
      </c>
      <c r="G118" t="s">
        <v>2635</v>
      </c>
      <c r="H118" t="s">
        <v>2251</v>
      </c>
      <c r="I118" t="s">
        <v>3756</v>
      </c>
    </row>
    <row r="119" spans="1:9">
      <c r="A119" s="92" t="s">
        <v>4295</v>
      </c>
      <c r="B119" t="s">
        <v>1897</v>
      </c>
      <c r="C119" t="s">
        <v>2260</v>
      </c>
      <c r="E119" t="s">
        <v>2254</v>
      </c>
      <c r="G119" t="s">
        <v>2635</v>
      </c>
      <c r="H119" t="s">
        <v>2251</v>
      </c>
      <c r="I119" t="s">
        <v>3756</v>
      </c>
    </row>
    <row r="120" spans="1:9">
      <c r="A120" s="92" t="s">
        <v>4295</v>
      </c>
      <c r="B120" t="s">
        <v>1905</v>
      </c>
      <c r="C120" t="s">
        <v>2262</v>
      </c>
      <c r="D120" t="s">
        <v>2263</v>
      </c>
      <c r="E120" t="s">
        <v>2243</v>
      </c>
      <c r="F120" t="s">
        <v>2264</v>
      </c>
      <c r="G120" t="s">
        <v>2635</v>
      </c>
      <c r="H120" t="s">
        <v>2245</v>
      </c>
      <c r="I120" t="s">
        <v>3768</v>
      </c>
    </row>
    <row r="121" spans="1:9">
      <c r="A121" s="92" t="s">
        <v>4295</v>
      </c>
      <c r="B121" t="s">
        <v>1905</v>
      </c>
      <c r="C121" t="s">
        <v>2265</v>
      </c>
      <c r="D121" t="s">
        <v>2266</v>
      </c>
      <c r="E121" t="s">
        <v>2243</v>
      </c>
      <c r="F121" t="s">
        <v>2267</v>
      </c>
      <c r="G121" t="s">
        <v>2635</v>
      </c>
      <c r="H121" t="s">
        <v>2245</v>
      </c>
      <c r="I121" t="s">
        <v>3768</v>
      </c>
    </row>
    <row r="122" spans="1:9">
      <c r="A122" s="92" t="s">
        <v>4295</v>
      </c>
      <c r="B122" t="s">
        <v>1912</v>
      </c>
      <c r="C122" t="s">
        <v>2406</v>
      </c>
      <c r="D122" t="s">
        <v>2407</v>
      </c>
      <c r="E122" t="s">
        <v>2408</v>
      </c>
      <c r="F122" t="s">
        <v>2410</v>
      </c>
      <c r="G122" t="s">
        <v>2127</v>
      </c>
      <c r="H122" t="s">
        <v>2442</v>
      </c>
      <c r="I122" t="s">
        <v>3776</v>
      </c>
    </row>
    <row r="123" spans="1:9">
      <c r="A123" s="92" t="s">
        <v>4295</v>
      </c>
      <c r="B123" t="s">
        <v>1912</v>
      </c>
      <c r="C123" t="s">
        <v>2650</v>
      </c>
      <c r="E123" t="s">
        <v>2651</v>
      </c>
      <c r="G123" t="s">
        <v>2635</v>
      </c>
      <c r="H123" t="s">
        <v>2652</v>
      </c>
      <c r="I123" t="s">
        <v>3776</v>
      </c>
    </row>
    <row r="124" spans="1:9">
      <c r="A124" s="92" t="s">
        <v>4295</v>
      </c>
      <c r="B124" t="s">
        <v>1914</v>
      </c>
      <c r="C124" t="s">
        <v>2269</v>
      </c>
      <c r="E124" t="s">
        <v>2243</v>
      </c>
      <c r="F124" t="s">
        <v>2270</v>
      </c>
      <c r="G124" t="s">
        <v>2635</v>
      </c>
      <c r="H124" t="s">
        <v>2245</v>
      </c>
      <c r="I124" t="s">
        <v>3780</v>
      </c>
    </row>
    <row r="125" spans="1:9">
      <c r="A125" s="92" t="s">
        <v>4295</v>
      </c>
      <c r="B125" t="s">
        <v>1914</v>
      </c>
      <c r="C125" t="s">
        <v>2271</v>
      </c>
      <c r="D125" t="s">
        <v>2272</v>
      </c>
      <c r="E125" t="s">
        <v>2243</v>
      </c>
      <c r="F125" t="s">
        <v>2273</v>
      </c>
      <c r="G125" t="s">
        <v>2635</v>
      </c>
      <c r="H125" t="s">
        <v>2245</v>
      </c>
      <c r="I125" t="s">
        <v>3780</v>
      </c>
    </row>
    <row r="126" spans="1:9">
      <c r="A126" s="92" t="s">
        <v>4295</v>
      </c>
      <c r="B126" t="s">
        <v>1914</v>
      </c>
      <c r="C126" t="s">
        <v>2274</v>
      </c>
      <c r="E126" t="s">
        <v>2254</v>
      </c>
      <c r="G126" t="s">
        <v>2635</v>
      </c>
      <c r="H126" t="s">
        <v>2251</v>
      </c>
      <c r="I126" t="s">
        <v>3780</v>
      </c>
    </row>
    <row r="127" spans="1:9">
      <c r="A127" s="92" t="s">
        <v>3832</v>
      </c>
      <c r="B127" t="s">
        <v>1888</v>
      </c>
      <c r="C127" t="s">
        <v>2276</v>
      </c>
      <c r="D127" t="s">
        <v>2277</v>
      </c>
      <c r="E127" t="s">
        <v>1565</v>
      </c>
      <c r="F127" t="s">
        <v>2279</v>
      </c>
      <c r="G127" t="s">
        <v>2145</v>
      </c>
      <c r="H127" t="s">
        <v>108</v>
      </c>
      <c r="I127" t="s">
        <v>3740</v>
      </c>
    </row>
    <row r="128" spans="1:9">
      <c r="A128" s="92" t="s">
        <v>3832</v>
      </c>
      <c r="B128" t="s">
        <v>1888</v>
      </c>
      <c r="C128" t="s">
        <v>2309</v>
      </c>
      <c r="E128" t="s">
        <v>2310</v>
      </c>
      <c r="G128" t="s">
        <v>2635</v>
      </c>
      <c r="H128" t="s">
        <v>2310</v>
      </c>
      <c r="I128" t="s">
        <v>3740</v>
      </c>
    </row>
    <row r="129" spans="1:9">
      <c r="A129" s="92" t="s">
        <v>3832</v>
      </c>
      <c r="B129" t="s">
        <v>1888</v>
      </c>
      <c r="C129" t="s">
        <v>2312</v>
      </c>
      <c r="D129" t="s">
        <v>2242</v>
      </c>
      <c r="E129" t="s">
        <v>108</v>
      </c>
      <c r="G129" t="s">
        <v>2145</v>
      </c>
      <c r="H129" t="s">
        <v>108</v>
      </c>
      <c r="I129" t="s">
        <v>3740</v>
      </c>
    </row>
    <row r="130" spans="1:9">
      <c r="A130" s="92" t="s">
        <v>3832</v>
      </c>
      <c r="B130" t="s">
        <v>1888</v>
      </c>
      <c r="C130" t="s">
        <v>2313</v>
      </c>
      <c r="D130" t="s">
        <v>2314</v>
      </c>
      <c r="E130" t="s">
        <v>2315</v>
      </c>
      <c r="F130" t="s">
        <v>2316</v>
      </c>
      <c r="G130" t="s">
        <v>2145</v>
      </c>
      <c r="H130" t="s">
        <v>2315</v>
      </c>
      <c r="I130" t="s">
        <v>3740</v>
      </c>
    </row>
    <row r="131" spans="1:9">
      <c r="A131" s="92" t="s">
        <v>3832</v>
      </c>
      <c r="B131" t="s">
        <v>1888</v>
      </c>
      <c r="C131" t="s">
        <v>2317</v>
      </c>
      <c r="E131" t="s">
        <v>108</v>
      </c>
      <c r="G131" t="s">
        <v>2145</v>
      </c>
      <c r="H131" t="s">
        <v>108</v>
      </c>
      <c r="I131" t="s">
        <v>3740</v>
      </c>
    </row>
    <row r="132" spans="1:9">
      <c r="A132" s="92" t="s">
        <v>3832</v>
      </c>
      <c r="B132" t="s">
        <v>1889</v>
      </c>
      <c r="C132" t="s">
        <v>2319</v>
      </c>
      <c r="D132" t="s">
        <v>2249</v>
      </c>
      <c r="E132" t="s">
        <v>108</v>
      </c>
      <c r="G132" t="s">
        <v>2145</v>
      </c>
      <c r="H132" t="s">
        <v>108</v>
      </c>
      <c r="I132" t="s">
        <v>3744</v>
      </c>
    </row>
    <row r="133" spans="1:9">
      <c r="A133" s="92" t="s">
        <v>3832</v>
      </c>
      <c r="B133" t="s">
        <v>1889</v>
      </c>
      <c r="C133" t="s">
        <v>2320</v>
      </c>
      <c r="D133" t="s">
        <v>2321</v>
      </c>
      <c r="E133" t="s">
        <v>108</v>
      </c>
      <c r="F133" t="s">
        <v>2322</v>
      </c>
      <c r="G133" t="s">
        <v>2145</v>
      </c>
      <c r="H133" t="s">
        <v>108</v>
      </c>
      <c r="I133" t="s">
        <v>3744</v>
      </c>
    </row>
    <row r="134" spans="1:9">
      <c r="A134" s="92" t="s">
        <v>3832</v>
      </c>
      <c r="B134" t="s">
        <v>1889</v>
      </c>
      <c r="C134" t="s">
        <v>2323</v>
      </c>
      <c r="D134" t="s">
        <v>2321</v>
      </c>
      <c r="E134" t="s">
        <v>108</v>
      </c>
      <c r="G134" t="s">
        <v>2145</v>
      </c>
      <c r="H134" t="s">
        <v>108</v>
      </c>
      <c r="I134" t="s">
        <v>3744</v>
      </c>
    </row>
    <row r="135" spans="1:9">
      <c r="A135" s="92" t="s">
        <v>3832</v>
      </c>
      <c r="B135" t="s">
        <v>1889</v>
      </c>
      <c r="C135" t="s">
        <v>2324</v>
      </c>
      <c r="D135" t="s">
        <v>2325</v>
      </c>
      <c r="E135" t="s">
        <v>108</v>
      </c>
      <c r="F135" t="s">
        <v>2326</v>
      </c>
      <c r="G135" t="s">
        <v>2145</v>
      </c>
      <c r="H135" t="s">
        <v>108</v>
      </c>
      <c r="I135" t="s">
        <v>3744</v>
      </c>
    </row>
    <row r="136" spans="1:9">
      <c r="A136" s="92" t="s">
        <v>3832</v>
      </c>
      <c r="B136" t="s">
        <v>3515</v>
      </c>
      <c r="C136" t="s">
        <v>2328</v>
      </c>
      <c r="D136" t="s">
        <v>2282</v>
      </c>
      <c r="E136" t="s">
        <v>108</v>
      </c>
      <c r="G136" t="s">
        <v>2145</v>
      </c>
      <c r="H136" t="s">
        <v>108</v>
      </c>
      <c r="I136" t="s">
        <v>3748</v>
      </c>
    </row>
    <row r="137" spans="1:9">
      <c r="A137" s="92" t="s">
        <v>3832</v>
      </c>
      <c r="B137" t="s">
        <v>3515</v>
      </c>
      <c r="C137" t="s">
        <v>2281</v>
      </c>
      <c r="D137" t="s">
        <v>2282</v>
      </c>
      <c r="E137" t="s">
        <v>2283</v>
      </c>
      <c r="G137" t="s">
        <v>2145</v>
      </c>
      <c r="H137" t="s">
        <v>108</v>
      </c>
      <c r="I137" t="s">
        <v>3748</v>
      </c>
    </row>
    <row r="138" spans="1:9">
      <c r="A138" s="92" t="s">
        <v>3832</v>
      </c>
      <c r="B138" t="s">
        <v>3515</v>
      </c>
      <c r="C138" t="s">
        <v>2330</v>
      </c>
      <c r="D138" t="s">
        <v>2282</v>
      </c>
      <c r="E138" t="s">
        <v>2331</v>
      </c>
      <c r="F138" t="s">
        <v>2332</v>
      </c>
      <c r="G138" t="s">
        <v>2145</v>
      </c>
      <c r="H138" t="s">
        <v>108</v>
      </c>
      <c r="I138" t="s">
        <v>3748</v>
      </c>
    </row>
    <row r="139" spans="1:9">
      <c r="A139" s="92" t="s">
        <v>3832</v>
      </c>
      <c r="B139" t="s">
        <v>3515</v>
      </c>
      <c r="C139" t="s">
        <v>2333</v>
      </c>
      <c r="D139" t="s">
        <v>2282</v>
      </c>
      <c r="E139" t="s">
        <v>108</v>
      </c>
      <c r="G139" t="s">
        <v>2145</v>
      </c>
      <c r="H139" t="s">
        <v>108</v>
      </c>
      <c r="I139" t="s">
        <v>3748</v>
      </c>
    </row>
    <row r="140" spans="1:9">
      <c r="A140" s="92" t="s">
        <v>3832</v>
      </c>
      <c r="B140" t="s">
        <v>1895</v>
      </c>
      <c r="C140" t="s">
        <v>2335</v>
      </c>
      <c r="D140" t="s">
        <v>2336</v>
      </c>
      <c r="E140" t="s">
        <v>2337</v>
      </c>
      <c r="G140" t="s">
        <v>2145</v>
      </c>
      <c r="H140" t="s">
        <v>108</v>
      </c>
      <c r="I140" t="s">
        <v>3752</v>
      </c>
    </row>
    <row r="141" spans="1:9">
      <c r="A141" s="92" t="s">
        <v>3832</v>
      </c>
      <c r="B141" t="s">
        <v>1895</v>
      </c>
      <c r="C141" t="s">
        <v>2338</v>
      </c>
      <c r="D141" t="s">
        <v>2336</v>
      </c>
      <c r="E141" t="s">
        <v>2339</v>
      </c>
      <c r="G141" t="s">
        <v>2145</v>
      </c>
      <c r="H141" t="s">
        <v>108</v>
      </c>
      <c r="I141" t="s">
        <v>3752</v>
      </c>
    </row>
    <row r="142" spans="1:9">
      <c r="A142" s="92" t="s">
        <v>3832</v>
      </c>
      <c r="B142" t="s">
        <v>1895</v>
      </c>
      <c r="C142" t="s">
        <v>2340</v>
      </c>
      <c r="D142" t="s">
        <v>2341</v>
      </c>
      <c r="E142" t="s">
        <v>108</v>
      </c>
      <c r="F142" t="s">
        <v>2342</v>
      </c>
      <c r="G142" t="s">
        <v>2145</v>
      </c>
      <c r="H142" t="s">
        <v>108</v>
      </c>
      <c r="I142" t="s">
        <v>3752</v>
      </c>
    </row>
    <row r="143" spans="1:9">
      <c r="A143" s="92" t="s">
        <v>3832</v>
      </c>
      <c r="B143" t="s">
        <v>1895</v>
      </c>
      <c r="C143" t="s">
        <v>2343</v>
      </c>
      <c r="D143" t="s">
        <v>2341</v>
      </c>
      <c r="E143" t="s">
        <v>108</v>
      </c>
      <c r="G143" t="s">
        <v>2145</v>
      </c>
      <c r="H143" t="s">
        <v>108</v>
      </c>
      <c r="I143" t="s">
        <v>3752</v>
      </c>
    </row>
    <row r="144" spans="1:9">
      <c r="A144" s="92" t="s">
        <v>3832</v>
      </c>
      <c r="B144" t="s">
        <v>1897</v>
      </c>
      <c r="C144" t="s">
        <v>2345</v>
      </c>
      <c r="D144" t="s">
        <v>2346</v>
      </c>
      <c r="E144" t="s">
        <v>108</v>
      </c>
      <c r="F144" t="s">
        <v>2347</v>
      </c>
      <c r="G144" t="s">
        <v>2145</v>
      </c>
      <c r="H144" t="s">
        <v>108</v>
      </c>
      <c r="I144" t="s">
        <v>3756</v>
      </c>
    </row>
    <row r="145" spans="1:9">
      <c r="A145" s="92" t="s">
        <v>3832</v>
      </c>
      <c r="B145" t="s">
        <v>1897</v>
      </c>
      <c r="C145" t="s">
        <v>2248</v>
      </c>
      <c r="D145" t="s">
        <v>2249</v>
      </c>
      <c r="E145" t="s">
        <v>2250</v>
      </c>
      <c r="G145" t="s">
        <v>2145</v>
      </c>
      <c r="H145" t="s">
        <v>2526</v>
      </c>
      <c r="I145" t="s">
        <v>3756</v>
      </c>
    </row>
    <row r="146" spans="1:9">
      <c r="A146" s="92" t="s">
        <v>3832</v>
      </c>
      <c r="B146" t="s">
        <v>1897</v>
      </c>
      <c r="C146" t="s">
        <v>2253</v>
      </c>
      <c r="D146" t="s">
        <v>2249</v>
      </c>
      <c r="E146" t="s">
        <v>2254</v>
      </c>
      <c r="G146" t="s">
        <v>2145</v>
      </c>
      <c r="H146" t="s">
        <v>2526</v>
      </c>
      <c r="I146" t="s">
        <v>3756</v>
      </c>
    </row>
    <row r="147" spans="1:9">
      <c r="A147" s="92" t="s">
        <v>3832</v>
      </c>
      <c r="B147" t="s">
        <v>1897</v>
      </c>
      <c r="C147" t="s">
        <v>2255</v>
      </c>
      <c r="D147" t="s">
        <v>2249</v>
      </c>
      <c r="E147" t="s">
        <v>2254</v>
      </c>
      <c r="G147" t="s">
        <v>2145</v>
      </c>
      <c r="H147" t="s">
        <v>2526</v>
      </c>
      <c r="I147" t="s">
        <v>3756</v>
      </c>
    </row>
    <row r="148" spans="1:9">
      <c r="A148" s="92" t="s">
        <v>3832</v>
      </c>
      <c r="B148" t="s">
        <v>1897</v>
      </c>
      <c r="C148" t="s">
        <v>2256</v>
      </c>
      <c r="D148" t="s">
        <v>2257</v>
      </c>
      <c r="E148" t="s">
        <v>2254</v>
      </c>
      <c r="G148" t="s">
        <v>2145</v>
      </c>
      <c r="H148" t="s">
        <v>2526</v>
      </c>
      <c r="I148" t="s">
        <v>3756</v>
      </c>
    </row>
    <row r="149" spans="1:9">
      <c r="A149" s="92" t="s">
        <v>3832</v>
      </c>
      <c r="B149" t="s">
        <v>1897</v>
      </c>
      <c r="C149" t="s">
        <v>2258</v>
      </c>
      <c r="E149" t="s">
        <v>2254</v>
      </c>
      <c r="G149" t="s">
        <v>2145</v>
      </c>
      <c r="H149" t="s">
        <v>2526</v>
      </c>
      <c r="I149" t="s">
        <v>3756</v>
      </c>
    </row>
    <row r="150" spans="1:9">
      <c r="A150" s="92" t="s">
        <v>3832</v>
      </c>
      <c r="B150" t="s">
        <v>1897</v>
      </c>
      <c r="C150" t="s">
        <v>2259</v>
      </c>
      <c r="E150" t="s">
        <v>2254</v>
      </c>
      <c r="G150" t="s">
        <v>2145</v>
      </c>
      <c r="H150" t="s">
        <v>2526</v>
      </c>
      <c r="I150" t="s">
        <v>3756</v>
      </c>
    </row>
    <row r="151" spans="1:9">
      <c r="A151" s="92" t="s">
        <v>3832</v>
      </c>
      <c r="B151" t="s">
        <v>1897</v>
      </c>
      <c r="C151" t="s">
        <v>2260</v>
      </c>
      <c r="E151" t="s">
        <v>2254</v>
      </c>
      <c r="G151" t="s">
        <v>2145</v>
      </c>
      <c r="H151" t="s">
        <v>2526</v>
      </c>
      <c r="I151" t="s">
        <v>3756</v>
      </c>
    </row>
    <row r="152" spans="1:9">
      <c r="A152" s="92" t="s">
        <v>3832</v>
      </c>
      <c r="B152" t="s">
        <v>1899</v>
      </c>
      <c r="C152" t="s">
        <v>2350</v>
      </c>
      <c r="D152" t="s">
        <v>2351</v>
      </c>
      <c r="E152" t="s">
        <v>108</v>
      </c>
      <c r="G152" t="s">
        <v>2145</v>
      </c>
      <c r="H152" t="s">
        <v>108</v>
      </c>
      <c r="I152" t="s">
        <v>3758</v>
      </c>
    </row>
    <row r="153" spans="1:9">
      <c r="A153" s="92" t="s">
        <v>3832</v>
      </c>
      <c r="B153" t="s">
        <v>1899</v>
      </c>
      <c r="C153" t="s">
        <v>2352</v>
      </c>
      <c r="E153" t="s">
        <v>2337</v>
      </c>
      <c r="G153" t="s">
        <v>2145</v>
      </c>
      <c r="H153" t="s">
        <v>108</v>
      </c>
      <c r="I153" t="s">
        <v>3758</v>
      </c>
    </row>
    <row r="154" spans="1:9">
      <c r="A154" s="92" t="s">
        <v>3832</v>
      </c>
      <c r="B154" t="s">
        <v>1899</v>
      </c>
      <c r="C154" t="s">
        <v>2353</v>
      </c>
      <c r="D154" t="s">
        <v>2351</v>
      </c>
      <c r="E154" t="s">
        <v>2354</v>
      </c>
      <c r="F154" t="s">
        <v>2355</v>
      </c>
      <c r="G154" t="s">
        <v>2145</v>
      </c>
      <c r="H154" t="s">
        <v>108</v>
      </c>
      <c r="I154" t="s">
        <v>3758</v>
      </c>
    </row>
    <row r="155" spans="1:9">
      <c r="A155" s="92" t="s">
        <v>3832</v>
      </c>
      <c r="B155" t="s">
        <v>1899</v>
      </c>
      <c r="C155" t="s">
        <v>2356</v>
      </c>
      <c r="D155" t="s">
        <v>2351</v>
      </c>
      <c r="E155" t="s">
        <v>2315</v>
      </c>
      <c r="G155" t="s">
        <v>2145</v>
      </c>
      <c r="H155" t="s">
        <v>2315</v>
      </c>
      <c r="I155" t="s">
        <v>3758</v>
      </c>
    </row>
    <row r="156" spans="1:9">
      <c r="A156" s="92" t="s">
        <v>3832</v>
      </c>
      <c r="B156" t="s">
        <v>1899</v>
      </c>
      <c r="C156" t="s">
        <v>2357</v>
      </c>
      <c r="D156" t="s">
        <v>2358</v>
      </c>
      <c r="E156" t="s">
        <v>108</v>
      </c>
      <c r="G156" t="s">
        <v>2145</v>
      </c>
      <c r="H156" t="s">
        <v>108</v>
      </c>
      <c r="I156" t="s">
        <v>3758</v>
      </c>
    </row>
    <row r="157" spans="1:9">
      <c r="A157" s="92" t="s">
        <v>3832</v>
      </c>
      <c r="B157" t="s">
        <v>1902</v>
      </c>
      <c r="C157" t="s">
        <v>2363</v>
      </c>
      <c r="E157" t="s">
        <v>2315</v>
      </c>
      <c r="G157" t="s">
        <v>2145</v>
      </c>
      <c r="H157" t="s">
        <v>2315</v>
      </c>
      <c r="I157" t="s">
        <v>3760</v>
      </c>
    </row>
    <row r="158" spans="1:9">
      <c r="A158" s="92" t="s">
        <v>3832</v>
      </c>
      <c r="B158" t="s">
        <v>1902</v>
      </c>
      <c r="C158" t="s">
        <v>2294</v>
      </c>
      <c r="E158" t="s">
        <v>2295</v>
      </c>
      <c r="G158" t="s">
        <v>2145</v>
      </c>
      <c r="H158" t="s">
        <v>2315</v>
      </c>
      <c r="I158" t="s">
        <v>3760</v>
      </c>
    </row>
    <row r="159" spans="1:9">
      <c r="A159" s="92" t="s">
        <v>3832</v>
      </c>
      <c r="B159" t="s">
        <v>1902</v>
      </c>
      <c r="C159" t="s">
        <v>2364</v>
      </c>
      <c r="D159" t="s">
        <v>2351</v>
      </c>
      <c r="E159" t="s">
        <v>108</v>
      </c>
      <c r="G159" t="s">
        <v>2145</v>
      </c>
      <c r="H159" t="s">
        <v>108</v>
      </c>
      <c r="I159" t="s">
        <v>3760</v>
      </c>
    </row>
    <row r="160" spans="1:9">
      <c r="A160" s="92" t="s">
        <v>3832</v>
      </c>
      <c r="B160" t="s">
        <v>1902</v>
      </c>
      <c r="C160" t="s">
        <v>2365</v>
      </c>
      <c r="D160" t="s">
        <v>2351</v>
      </c>
      <c r="E160" t="s">
        <v>108</v>
      </c>
      <c r="G160" t="s">
        <v>2145</v>
      </c>
      <c r="H160" t="s">
        <v>108</v>
      </c>
      <c r="I160" t="s">
        <v>3760</v>
      </c>
    </row>
    <row r="161" spans="1:9">
      <c r="A161" s="92" t="s">
        <v>3832</v>
      </c>
      <c r="B161" t="s">
        <v>1902</v>
      </c>
      <c r="C161" t="s">
        <v>2366</v>
      </c>
      <c r="D161" t="s">
        <v>2257</v>
      </c>
      <c r="E161" t="s">
        <v>108</v>
      </c>
      <c r="G161" t="s">
        <v>2145</v>
      </c>
      <c r="H161" t="s">
        <v>108</v>
      </c>
      <c r="I161" t="s">
        <v>3760</v>
      </c>
    </row>
    <row r="162" spans="1:9">
      <c r="A162" s="92" t="s">
        <v>3832</v>
      </c>
      <c r="B162" t="s">
        <v>1902</v>
      </c>
      <c r="C162" t="s">
        <v>2367</v>
      </c>
      <c r="D162" t="s">
        <v>2368</v>
      </c>
      <c r="E162" t="s">
        <v>2315</v>
      </c>
      <c r="G162" t="s">
        <v>2145</v>
      </c>
      <c r="H162" t="s">
        <v>2315</v>
      </c>
      <c r="I162" t="s">
        <v>3760</v>
      </c>
    </row>
    <row r="163" spans="1:9">
      <c r="A163" s="92" t="s">
        <v>3832</v>
      </c>
      <c r="B163" t="s">
        <v>1902</v>
      </c>
      <c r="C163" t="s">
        <v>2369</v>
      </c>
      <c r="D163" t="s">
        <v>2368</v>
      </c>
      <c r="E163" t="s">
        <v>2315</v>
      </c>
      <c r="G163" t="s">
        <v>2145</v>
      </c>
      <c r="H163" t="s">
        <v>2315</v>
      </c>
      <c r="I163" t="s">
        <v>3760</v>
      </c>
    </row>
    <row r="164" spans="1:9">
      <c r="A164" s="92" t="s">
        <v>3832</v>
      </c>
      <c r="B164" t="s">
        <v>1902</v>
      </c>
      <c r="C164" t="s">
        <v>2370</v>
      </c>
      <c r="D164" t="s">
        <v>2368</v>
      </c>
      <c r="E164" t="s">
        <v>108</v>
      </c>
      <c r="F164" t="s">
        <v>2371</v>
      </c>
      <c r="G164" t="s">
        <v>2145</v>
      </c>
      <c r="H164" t="s">
        <v>108</v>
      </c>
      <c r="I164" t="s">
        <v>3760</v>
      </c>
    </row>
    <row r="165" spans="1:9">
      <c r="A165" s="92" t="s">
        <v>3832</v>
      </c>
      <c r="B165" t="s">
        <v>1903</v>
      </c>
      <c r="C165" t="s">
        <v>2373</v>
      </c>
      <c r="D165" t="s">
        <v>2374</v>
      </c>
      <c r="E165" t="s">
        <v>108</v>
      </c>
      <c r="G165" t="s">
        <v>2145</v>
      </c>
      <c r="H165" t="s">
        <v>108</v>
      </c>
      <c r="I165" t="s">
        <v>3764</v>
      </c>
    </row>
    <row r="166" spans="1:9">
      <c r="A166" s="92" t="s">
        <v>3832</v>
      </c>
      <c r="B166" t="s">
        <v>1903</v>
      </c>
      <c r="C166" t="s">
        <v>2375</v>
      </c>
      <c r="D166" t="s">
        <v>2376</v>
      </c>
      <c r="E166" t="s">
        <v>108</v>
      </c>
      <c r="G166" t="s">
        <v>2145</v>
      </c>
      <c r="H166" t="s">
        <v>108</v>
      </c>
      <c r="I166" t="s">
        <v>3764</v>
      </c>
    </row>
    <row r="167" spans="1:9">
      <c r="A167" s="92" t="s">
        <v>3832</v>
      </c>
      <c r="B167" t="s">
        <v>1903</v>
      </c>
      <c r="C167" t="s">
        <v>2377</v>
      </c>
      <c r="D167" t="s">
        <v>2376</v>
      </c>
      <c r="E167" t="s">
        <v>108</v>
      </c>
      <c r="G167" t="s">
        <v>2145</v>
      </c>
      <c r="H167" t="s">
        <v>108</v>
      </c>
      <c r="I167" t="s">
        <v>3764</v>
      </c>
    </row>
    <row r="168" spans="1:9">
      <c r="A168" s="92" t="s">
        <v>3832</v>
      </c>
      <c r="B168" t="s">
        <v>1905</v>
      </c>
      <c r="C168" t="s">
        <v>2379</v>
      </c>
      <c r="D168" t="s">
        <v>2263</v>
      </c>
      <c r="E168" t="s">
        <v>2315</v>
      </c>
      <c r="F168" t="s">
        <v>2380</v>
      </c>
      <c r="G168" t="s">
        <v>2145</v>
      </c>
      <c r="H168" t="s">
        <v>2315</v>
      </c>
      <c r="I168" t="s">
        <v>3768</v>
      </c>
    </row>
    <row r="169" spans="1:9">
      <c r="A169" s="92" t="s">
        <v>3832</v>
      </c>
      <c r="B169" t="s">
        <v>1905</v>
      </c>
      <c r="C169" t="s">
        <v>2381</v>
      </c>
      <c r="D169" t="s">
        <v>2301</v>
      </c>
      <c r="E169" t="s">
        <v>108</v>
      </c>
      <c r="F169" t="s">
        <v>2382</v>
      </c>
      <c r="G169" t="s">
        <v>2145</v>
      </c>
      <c r="H169" t="s">
        <v>108</v>
      </c>
      <c r="I169" t="s">
        <v>3768</v>
      </c>
    </row>
    <row r="170" spans="1:9">
      <c r="A170" s="92" t="s">
        <v>3832</v>
      </c>
      <c r="B170" t="s">
        <v>1905</v>
      </c>
      <c r="C170" t="s">
        <v>2383</v>
      </c>
      <c r="D170" t="s">
        <v>2298</v>
      </c>
      <c r="E170" t="s">
        <v>108</v>
      </c>
      <c r="F170" t="s">
        <v>2384</v>
      </c>
      <c r="G170" t="s">
        <v>2145</v>
      </c>
      <c r="H170" t="s">
        <v>108</v>
      </c>
      <c r="I170" t="s">
        <v>3768</v>
      </c>
    </row>
    <row r="171" spans="1:9">
      <c r="A171" s="92" t="s">
        <v>3832</v>
      </c>
      <c r="B171" t="s">
        <v>1905</v>
      </c>
      <c r="C171" t="s">
        <v>2385</v>
      </c>
      <c r="D171" t="s">
        <v>2386</v>
      </c>
      <c r="E171" t="s">
        <v>108</v>
      </c>
      <c r="F171" t="s">
        <v>2387</v>
      </c>
      <c r="G171" t="s">
        <v>2145</v>
      </c>
      <c r="H171" t="s">
        <v>108</v>
      </c>
      <c r="I171" t="s">
        <v>3768</v>
      </c>
    </row>
    <row r="172" spans="1:9">
      <c r="A172" s="92" t="s">
        <v>3832</v>
      </c>
      <c r="B172" t="s">
        <v>1910</v>
      </c>
      <c r="C172" t="s">
        <v>2389</v>
      </c>
      <c r="D172" t="s">
        <v>2301</v>
      </c>
      <c r="E172" t="s">
        <v>108</v>
      </c>
      <c r="F172" t="s">
        <v>2390</v>
      </c>
      <c r="G172" t="s">
        <v>2145</v>
      </c>
      <c r="H172" t="s">
        <v>108</v>
      </c>
      <c r="I172" t="s">
        <v>3772</v>
      </c>
    </row>
    <row r="173" spans="1:9">
      <c r="A173" s="92" t="s">
        <v>3832</v>
      </c>
      <c r="B173" t="s">
        <v>1910</v>
      </c>
      <c r="C173" t="s">
        <v>2391</v>
      </c>
      <c r="D173" t="s">
        <v>2392</v>
      </c>
      <c r="E173" t="s">
        <v>108</v>
      </c>
      <c r="F173" t="s">
        <v>2393</v>
      </c>
      <c r="G173" t="s">
        <v>2145</v>
      </c>
      <c r="H173" t="s">
        <v>108</v>
      </c>
      <c r="I173" t="s">
        <v>3772</v>
      </c>
    </row>
    <row r="174" spans="1:9">
      <c r="A174" s="92" t="s">
        <v>3832</v>
      </c>
      <c r="B174" t="s">
        <v>1910</v>
      </c>
      <c r="C174" t="s">
        <v>2394</v>
      </c>
      <c r="D174" t="s">
        <v>2395</v>
      </c>
      <c r="E174" t="s">
        <v>108</v>
      </c>
      <c r="F174" t="s">
        <v>2396</v>
      </c>
      <c r="G174" t="s">
        <v>2145</v>
      </c>
      <c r="H174" t="s">
        <v>108</v>
      </c>
      <c r="I174" t="s">
        <v>3772</v>
      </c>
    </row>
    <row r="175" spans="1:9">
      <c r="A175" s="92" t="s">
        <v>3832</v>
      </c>
      <c r="B175" t="s">
        <v>1910</v>
      </c>
      <c r="C175" t="s">
        <v>2397</v>
      </c>
      <c r="D175" t="s">
        <v>2398</v>
      </c>
      <c r="E175" t="s">
        <v>2315</v>
      </c>
      <c r="G175" t="s">
        <v>2145</v>
      </c>
      <c r="H175" t="s">
        <v>2315</v>
      </c>
      <c r="I175" t="s">
        <v>3772</v>
      </c>
    </row>
    <row r="176" spans="1:9">
      <c r="A176" s="92" t="s">
        <v>3832</v>
      </c>
      <c r="B176" t="s">
        <v>1910</v>
      </c>
      <c r="C176" t="s">
        <v>2399</v>
      </c>
      <c r="D176" t="s">
        <v>2398</v>
      </c>
      <c r="E176" t="s">
        <v>2400</v>
      </c>
      <c r="G176" t="s">
        <v>2145</v>
      </c>
      <c r="H176" t="s">
        <v>108</v>
      </c>
      <c r="I176" t="s">
        <v>3772</v>
      </c>
    </row>
    <row r="177" spans="1:9">
      <c r="A177" s="92" t="s">
        <v>3832</v>
      </c>
      <c r="B177" t="s">
        <v>1912</v>
      </c>
      <c r="C177" t="s">
        <v>2402</v>
      </c>
      <c r="D177" t="s">
        <v>2403</v>
      </c>
      <c r="E177" t="s">
        <v>108</v>
      </c>
      <c r="G177" t="s">
        <v>2145</v>
      </c>
      <c r="H177" t="s">
        <v>108</v>
      </c>
      <c r="I177" t="s">
        <v>3776</v>
      </c>
    </row>
    <row r="178" spans="1:9">
      <c r="A178" s="92" t="s">
        <v>3832</v>
      </c>
      <c r="B178" t="s">
        <v>1912</v>
      </c>
      <c r="C178" t="s">
        <v>2404</v>
      </c>
      <c r="D178" t="s">
        <v>2403</v>
      </c>
      <c r="E178" t="s">
        <v>2315</v>
      </c>
      <c r="F178" t="s">
        <v>2405</v>
      </c>
      <c r="G178" t="s">
        <v>2145</v>
      </c>
      <c r="H178" t="s">
        <v>2315</v>
      </c>
      <c r="I178" t="s">
        <v>3776</v>
      </c>
    </row>
    <row r="179" spans="1:9">
      <c r="A179" s="92" t="s">
        <v>3832</v>
      </c>
      <c r="B179" t="s">
        <v>1912</v>
      </c>
      <c r="C179" t="s">
        <v>2406</v>
      </c>
      <c r="D179" t="s">
        <v>2407</v>
      </c>
      <c r="E179" t="s">
        <v>2408</v>
      </c>
      <c r="F179" t="s">
        <v>2410</v>
      </c>
      <c r="G179" t="s">
        <v>2146</v>
      </c>
      <c r="H179" t="s">
        <v>2442</v>
      </c>
      <c r="I179" t="s">
        <v>3776</v>
      </c>
    </row>
    <row r="180" spans="1:9">
      <c r="A180" s="92" t="s">
        <v>3832</v>
      </c>
      <c r="B180" t="s">
        <v>1912</v>
      </c>
      <c r="C180" t="s">
        <v>2411</v>
      </c>
      <c r="D180" t="s">
        <v>2407</v>
      </c>
      <c r="E180" t="s">
        <v>2331</v>
      </c>
      <c r="F180" t="s">
        <v>2412</v>
      </c>
      <c r="G180" t="s">
        <v>2145</v>
      </c>
      <c r="H180" t="s">
        <v>108</v>
      </c>
      <c r="I180" t="s">
        <v>3776</v>
      </c>
    </row>
    <row r="181" spans="1:9">
      <c r="A181" s="92" t="s">
        <v>3832</v>
      </c>
      <c r="B181" t="s">
        <v>1912</v>
      </c>
      <c r="C181" t="s">
        <v>2413</v>
      </c>
      <c r="D181" t="s">
        <v>2403</v>
      </c>
      <c r="E181" t="s">
        <v>2414</v>
      </c>
      <c r="G181" t="s">
        <v>2145</v>
      </c>
      <c r="H181" t="s">
        <v>108</v>
      </c>
      <c r="I181" t="s">
        <v>3776</v>
      </c>
    </row>
    <row r="182" spans="1:9">
      <c r="A182" s="92" t="s">
        <v>3832</v>
      </c>
      <c r="B182" t="s">
        <v>1912</v>
      </c>
      <c r="C182" t="s">
        <v>2415</v>
      </c>
      <c r="D182" t="s">
        <v>2403</v>
      </c>
      <c r="E182" t="s">
        <v>2416</v>
      </c>
      <c r="F182" t="s">
        <v>2417</v>
      </c>
      <c r="G182" t="s">
        <v>2145</v>
      </c>
      <c r="H182" t="s">
        <v>108</v>
      </c>
      <c r="I182" t="s">
        <v>3776</v>
      </c>
    </row>
    <row r="183" spans="1:9">
      <c r="A183" s="92" t="s">
        <v>3832</v>
      </c>
      <c r="B183" t="s">
        <v>1914</v>
      </c>
      <c r="C183" t="s">
        <v>2419</v>
      </c>
      <c r="D183" t="s">
        <v>2287</v>
      </c>
      <c r="E183" t="s">
        <v>2420</v>
      </c>
      <c r="F183" t="s">
        <v>2421</v>
      </c>
      <c r="G183" t="s">
        <v>2145</v>
      </c>
      <c r="H183" t="s">
        <v>108</v>
      </c>
      <c r="I183" t="s">
        <v>3780</v>
      </c>
    </row>
    <row r="184" spans="1:9">
      <c r="A184" s="92" t="s">
        <v>3832</v>
      </c>
      <c r="B184" t="s">
        <v>1914</v>
      </c>
      <c r="C184" t="s">
        <v>2422</v>
      </c>
      <c r="D184" t="s">
        <v>2423</v>
      </c>
      <c r="E184" t="s">
        <v>2424</v>
      </c>
      <c r="F184" t="s">
        <v>2425</v>
      </c>
      <c r="G184" t="s">
        <v>2145</v>
      </c>
      <c r="H184" t="s">
        <v>108</v>
      </c>
      <c r="I184" t="s">
        <v>3780</v>
      </c>
    </row>
    <row r="185" spans="1:9">
      <c r="A185" s="92" t="s">
        <v>3832</v>
      </c>
      <c r="B185" t="s">
        <v>1914</v>
      </c>
      <c r="C185" t="s">
        <v>2274</v>
      </c>
      <c r="E185" t="s">
        <v>2254</v>
      </c>
      <c r="G185" t="s">
        <v>2145</v>
      </c>
      <c r="H185" t="s">
        <v>2526</v>
      </c>
      <c r="I185" t="s">
        <v>3780</v>
      </c>
    </row>
    <row r="186" spans="1:9">
      <c r="A186" s="92" t="s">
        <v>3832</v>
      </c>
      <c r="B186" t="s">
        <v>1914</v>
      </c>
      <c r="C186" t="s">
        <v>2426</v>
      </c>
      <c r="D186" t="s">
        <v>2272</v>
      </c>
      <c r="E186" t="s">
        <v>2427</v>
      </c>
      <c r="F186" t="s">
        <v>2428</v>
      </c>
      <c r="G186" t="s">
        <v>2145</v>
      </c>
      <c r="H186" t="s">
        <v>2427</v>
      </c>
      <c r="I186" t="s">
        <v>3780</v>
      </c>
    </row>
    <row r="187" spans="1:9">
      <c r="A187" s="92" t="s">
        <v>3849</v>
      </c>
      <c r="B187" t="s">
        <v>1888</v>
      </c>
      <c r="C187" t="s">
        <v>2241</v>
      </c>
      <c r="D187" t="s">
        <v>2242</v>
      </c>
      <c r="E187" t="s">
        <v>2243</v>
      </c>
      <c r="F187" t="s">
        <v>2246</v>
      </c>
      <c r="G187" t="s">
        <v>2635</v>
      </c>
      <c r="H187" t="s">
        <v>2245</v>
      </c>
      <c r="I187" t="s">
        <v>3740</v>
      </c>
    </row>
    <row r="188" spans="1:9">
      <c r="A188" s="92" t="s">
        <v>3849</v>
      </c>
      <c r="B188" t="s">
        <v>1888</v>
      </c>
      <c r="C188" t="s">
        <v>2309</v>
      </c>
      <c r="E188" t="s">
        <v>2310</v>
      </c>
      <c r="G188" t="s">
        <v>2164</v>
      </c>
      <c r="H188" t="s">
        <v>1215</v>
      </c>
      <c r="I188" t="s">
        <v>3740</v>
      </c>
    </row>
    <row r="189" spans="1:9">
      <c r="A189" s="92" t="s">
        <v>3849</v>
      </c>
      <c r="B189" t="s">
        <v>1897</v>
      </c>
      <c r="C189" t="s">
        <v>2248</v>
      </c>
      <c r="D189" t="s">
        <v>2249</v>
      </c>
      <c r="E189" t="s">
        <v>2250</v>
      </c>
      <c r="G189" t="s">
        <v>2635</v>
      </c>
      <c r="H189" t="s">
        <v>2251</v>
      </c>
      <c r="I189" t="s">
        <v>3756</v>
      </c>
    </row>
    <row r="190" spans="1:9">
      <c r="A190" s="92" t="s">
        <v>3849</v>
      </c>
      <c r="B190" t="s">
        <v>1897</v>
      </c>
      <c r="C190" t="s">
        <v>2253</v>
      </c>
      <c r="D190" t="s">
        <v>2249</v>
      </c>
      <c r="E190" t="s">
        <v>2254</v>
      </c>
      <c r="G190" t="s">
        <v>2635</v>
      </c>
      <c r="H190" t="s">
        <v>2251</v>
      </c>
      <c r="I190" t="s">
        <v>3756</v>
      </c>
    </row>
    <row r="191" spans="1:9">
      <c r="A191" s="92" t="s">
        <v>3849</v>
      </c>
      <c r="B191" t="s">
        <v>1897</v>
      </c>
      <c r="C191" t="s">
        <v>2255</v>
      </c>
      <c r="D191" t="s">
        <v>2249</v>
      </c>
      <c r="E191" t="s">
        <v>2254</v>
      </c>
      <c r="G191" t="s">
        <v>2635</v>
      </c>
      <c r="H191" t="s">
        <v>2251</v>
      </c>
      <c r="I191" t="s">
        <v>3756</v>
      </c>
    </row>
    <row r="192" spans="1:9">
      <c r="A192" s="92" t="s">
        <v>3849</v>
      </c>
      <c r="B192" t="s">
        <v>1897</v>
      </c>
      <c r="C192" t="s">
        <v>2256</v>
      </c>
      <c r="D192" t="s">
        <v>2257</v>
      </c>
      <c r="E192" t="s">
        <v>2254</v>
      </c>
      <c r="G192" t="s">
        <v>2635</v>
      </c>
      <c r="H192" t="s">
        <v>2251</v>
      </c>
      <c r="I192" t="s">
        <v>3756</v>
      </c>
    </row>
    <row r="193" spans="1:9">
      <c r="A193" s="92" t="s">
        <v>3849</v>
      </c>
      <c r="B193" t="s">
        <v>1897</v>
      </c>
      <c r="C193" t="s">
        <v>2258</v>
      </c>
      <c r="E193" t="s">
        <v>2254</v>
      </c>
      <c r="G193" t="s">
        <v>2635</v>
      </c>
      <c r="H193" t="s">
        <v>2251</v>
      </c>
      <c r="I193" t="s">
        <v>3756</v>
      </c>
    </row>
    <row r="194" spans="1:9">
      <c r="A194" s="92" t="s">
        <v>3849</v>
      </c>
      <c r="B194" t="s">
        <v>1897</v>
      </c>
      <c r="C194" t="s">
        <v>2259</v>
      </c>
      <c r="E194" t="s">
        <v>2254</v>
      </c>
      <c r="G194" t="s">
        <v>2635</v>
      </c>
      <c r="H194" t="s">
        <v>2251</v>
      </c>
      <c r="I194" t="s">
        <v>3756</v>
      </c>
    </row>
    <row r="195" spans="1:9">
      <c r="A195" s="92" t="s">
        <v>3849</v>
      </c>
      <c r="B195" t="s">
        <v>1897</v>
      </c>
      <c r="C195" t="s">
        <v>2260</v>
      </c>
      <c r="E195" t="s">
        <v>2254</v>
      </c>
      <c r="G195" t="s">
        <v>2635</v>
      </c>
      <c r="H195" t="s">
        <v>2251</v>
      </c>
      <c r="I195" t="s">
        <v>3756</v>
      </c>
    </row>
    <row r="196" spans="1:9">
      <c r="A196" s="92" t="s">
        <v>3849</v>
      </c>
      <c r="B196" t="s">
        <v>1905</v>
      </c>
      <c r="C196" t="s">
        <v>2262</v>
      </c>
      <c r="D196" t="s">
        <v>2263</v>
      </c>
      <c r="E196" t="s">
        <v>2243</v>
      </c>
      <c r="F196" t="s">
        <v>2264</v>
      </c>
      <c r="G196" t="s">
        <v>2635</v>
      </c>
      <c r="H196" t="s">
        <v>2245</v>
      </c>
      <c r="I196" t="s">
        <v>3768</v>
      </c>
    </row>
    <row r="197" spans="1:9">
      <c r="A197" s="92" t="s">
        <v>3849</v>
      </c>
      <c r="B197" t="s">
        <v>1905</v>
      </c>
      <c r="C197" t="s">
        <v>2265</v>
      </c>
      <c r="D197" t="s">
        <v>2266</v>
      </c>
      <c r="E197" t="s">
        <v>2243</v>
      </c>
      <c r="F197" t="s">
        <v>2267</v>
      </c>
      <c r="G197" t="s">
        <v>2635</v>
      </c>
      <c r="H197" t="s">
        <v>2245</v>
      </c>
      <c r="I197" t="s">
        <v>3768</v>
      </c>
    </row>
    <row r="198" spans="1:9">
      <c r="A198" s="92" t="s">
        <v>3849</v>
      </c>
      <c r="B198" t="s">
        <v>1912</v>
      </c>
      <c r="C198" t="s">
        <v>2406</v>
      </c>
      <c r="D198" t="s">
        <v>2407</v>
      </c>
      <c r="E198" t="s">
        <v>2408</v>
      </c>
      <c r="F198" t="s">
        <v>2410</v>
      </c>
      <c r="G198" t="s">
        <v>2164</v>
      </c>
      <c r="H198" t="s">
        <v>2442</v>
      </c>
      <c r="I198" t="s">
        <v>3776</v>
      </c>
    </row>
    <row r="199" spans="1:9">
      <c r="A199" s="92" t="s">
        <v>3849</v>
      </c>
      <c r="B199" t="s">
        <v>1914</v>
      </c>
      <c r="C199" t="s">
        <v>2269</v>
      </c>
      <c r="E199" t="s">
        <v>2243</v>
      </c>
      <c r="F199" t="s">
        <v>2270</v>
      </c>
      <c r="G199" t="s">
        <v>2635</v>
      </c>
      <c r="H199" t="s">
        <v>2245</v>
      </c>
      <c r="I199" t="s">
        <v>3780</v>
      </c>
    </row>
    <row r="200" spans="1:9">
      <c r="A200" s="92" t="s">
        <v>3849</v>
      </c>
      <c r="B200" t="s">
        <v>1914</v>
      </c>
      <c r="C200" t="s">
        <v>2271</v>
      </c>
      <c r="D200" t="s">
        <v>2272</v>
      </c>
      <c r="E200" t="s">
        <v>2243</v>
      </c>
      <c r="F200" t="s">
        <v>2273</v>
      </c>
      <c r="G200" t="s">
        <v>2635</v>
      </c>
      <c r="H200" t="s">
        <v>2245</v>
      </c>
      <c r="I200" t="s">
        <v>3780</v>
      </c>
    </row>
    <row r="201" spans="1:9">
      <c r="A201" s="92" t="s">
        <v>3849</v>
      </c>
      <c r="B201" t="s">
        <v>1914</v>
      </c>
      <c r="C201" t="s">
        <v>2274</v>
      </c>
      <c r="E201" t="s">
        <v>2254</v>
      </c>
      <c r="G201" t="s">
        <v>2635</v>
      </c>
      <c r="H201" t="s">
        <v>2251</v>
      </c>
      <c r="I201" t="s">
        <v>3780</v>
      </c>
    </row>
    <row r="202" spans="1:9">
      <c r="A202" s="92" t="s">
        <v>3858</v>
      </c>
      <c r="B202" t="s">
        <v>1888</v>
      </c>
      <c r="C202" t="s">
        <v>2241</v>
      </c>
      <c r="D202" t="s">
        <v>2242</v>
      </c>
      <c r="E202" t="s">
        <v>2243</v>
      </c>
      <c r="F202" t="s">
        <v>2246</v>
      </c>
      <c r="G202" t="s">
        <v>2635</v>
      </c>
      <c r="H202" t="s">
        <v>2245</v>
      </c>
      <c r="I202" t="s">
        <v>3740</v>
      </c>
    </row>
    <row r="203" spans="1:9">
      <c r="A203" s="92" t="s">
        <v>3858</v>
      </c>
      <c r="B203" t="s">
        <v>1888</v>
      </c>
      <c r="C203" t="s">
        <v>2309</v>
      </c>
      <c r="E203" t="s">
        <v>2310</v>
      </c>
      <c r="G203" t="s">
        <v>2182</v>
      </c>
      <c r="H203" t="s">
        <v>1215</v>
      </c>
      <c r="I203" t="s">
        <v>3740</v>
      </c>
    </row>
    <row r="204" spans="1:9">
      <c r="A204" s="92" t="s">
        <v>3858</v>
      </c>
      <c r="B204" t="s">
        <v>3515</v>
      </c>
      <c r="C204" t="s">
        <v>2281</v>
      </c>
      <c r="D204" t="s">
        <v>2282</v>
      </c>
      <c r="E204" t="s">
        <v>2283</v>
      </c>
      <c r="G204" t="s">
        <v>2635</v>
      </c>
      <c r="H204" t="s">
        <v>2284</v>
      </c>
      <c r="I204" t="s">
        <v>3748</v>
      </c>
    </row>
    <row r="205" spans="1:9">
      <c r="A205" s="92" t="s">
        <v>3858</v>
      </c>
      <c r="B205" t="s">
        <v>1895</v>
      </c>
      <c r="C205" t="s">
        <v>2286</v>
      </c>
      <c r="D205" t="s">
        <v>2287</v>
      </c>
      <c r="E205" t="s">
        <v>2288</v>
      </c>
      <c r="G205" t="s">
        <v>2635</v>
      </c>
      <c r="H205" t="s">
        <v>2284</v>
      </c>
      <c r="I205" t="s">
        <v>3752</v>
      </c>
    </row>
    <row r="206" spans="1:9">
      <c r="A206" s="92" t="s">
        <v>3858</v>
      </c>
      <c r="B206" t="s">
        <v>1897</v>
      </c>
      <c r="C206" t="s">
        <v>2248</v>
      </c>
      <c r="D206" t="s">
        <v>2249</v>
      </c>
      <c r="E206" t="s">
        <v>2250</v>
      </c>
      <c r="G206" t="s">
        <v>2635</v>
      </c>
      <c r="H206" t="s">
        <v>2251</v>
      </c>
      <c r="I206" t="s">
        <v>3756</v>
      </c>
    </row>
    <row r="207" spans="1:9">
      <c r="A207" s="92" t="s">
        <v>3858</v>
      </c>
      <c r="B207" t="s">
        <v>1897</v>
      </c>
      <c r="C207" t="s">
        <v>2253</v>
      </c>
      <c r="D207" t="s">
        <v>2249</v>
      </c>
      <c r="E207" t="s">
        <v>2254</v>
      </c>
      <c r="G207" t="s">
        <v>2635</v>
      </c>
      <c r="H207" t="s">
        <v>2251</v>
      </c>
      <c r="I207" t="s">
        <v>3756</v>
      </c>
    </row>
    <row r="208" spans="1:9">
      <c r="A208" s="92" t="s">
        <v>3858</v>
      </c>
      <c r="B208" t="s">
        <v>1897</v>
      </c>
      <c r="C208" t="s">
        <v>2255</v>
      </c>
      <c r="D208" t="s">
        <v>2249</v>
      </c>
      <c r="E208" t="s">
        <v>2254</v>
      </c>
      <c r="G208" t="s">
        <v>2635</v>
      </c>
      <c r="H208" t="s">
        <v>2251</v>
      </c>
      <c r="I208" t="s">
        <v>3756</v>
      </c>
    </row>
    <row r="209" spans="1:9">
      <c r="A209" s="92" t="s">
        <v>3858</v>
      </c>
      <c r="B209" t="s">
        <v>1897</v>
      </c>
      <c r="C209" t="s">
        <v>2256</v>
      </c>
      <c r="D209" t="s">
        <v>2257</v>
      </c>
      <c r="E209" t="s">
        <v>2254</v>
      </c>
      <c r="G209" t="s">
        <v>2635</v>
      </c>
      <c r="H209" t="s">
        <v>2251</v>
      </c>
      <c r="I209" t="s">
        <v>3756</v>
      </c>
    </row>
    <row r="210" spans="1:9">
      <c r="A210" s="92" t="s">
        <v>3858</v>
      </c>
      <c r="B210" t="s">
        <v>1897</v>
      </c>
      <c r="C210" t="s">
        <v>2258</v>
      </c>
      <c r="E210" t="s">
        <v>2254</v>
      </c>
      <c r="G210" t="s">
        <v>2635</v>
      </c>
      <c r="H210" t="s">
        <v>2251</v>
      </c>
      <c r="I210" t="s">
        <v>3756</v>
      </c>
    </row>
    <row r="211" spans="1:9">
      <c r="A211" s="92" t="s">
        <v>3858</v>
      </c>
      <c r="B211" t="s">
        <v>1897</v>
      </c>
      <c r="C211" t="s">
        <v>2259</v>
      </c>
      <c r="E211" t="s">
        <v>2254</v>
      </c>
      <c r="G211" t="s">
        <v>2635</v>
      </c>
      <c r="H211" t="s">
        <v>2251</v>
      </c>
      <c r="I211" t="s">
        <v>3756</v>
      </c>
    </row>
    <row r="212" spans="1:9">
      <c r="A212" s="92" t="s">
        <v>3858</v>
      </c>
      <c r="B212" t="s">
        <v>1897</v>
      </c>
      <c r="C212" t="s">
        <v>2260</v>
      </c>
      <c r="E212" t="s">
        <v>2254</v>
      </c>
      <c r="G212" t="s">
        <v>2635</v>
      </c>
      <c r="H212" t="s">
        <v>2251</v>
      </c>
      <c r="I212" t="s">
        <v>3756</v>
      </c>
    </row>
    <row r="213" spans="1:9">
      <c r="A213" s="92" t="s">
        <v>3858</v>
      </c>
      <c r="B213" t="s">
        <v>1905</v>
      </c>
      <c r="C213" t="s">
        <v>2262</v>
      </c>
      <c r="D213" t="s">
        <v>2263</v>
      </c>
      <c r="E213" t="s">
        <v>2243</v>
      </c>
      <c r="F213" t="s">
        <v>2264</v>
      </c>
      <c r="G213" t="s">
        <v>2635</v>
      </c>
      <c r="H213" t="s">
        <v>2245</v>
      </c>
      <c r="I213" t="s">
        <v>3768</v>
      </c>
    </row>
    <row r="214" spans="1:9">
      <c r="A214" s="92" t="s">
        <v>3858</v>
      </c>
      <c r="B214" t="s">
        <v>1905</v>
      </c>
      <c r="C214" t="s">
        <v>2265</v>
      </c>
      <c r="D214" t="s">
        <v>2266</v>
      </c>
      <c r="E214" t="s">
        <v>2243</v>
      </c>
      <c r="F214" t="s">
        <v>2267</v>
      </c>
      <c r="G214" t="s">
        <v>2635</v>
      </c>
      <c r="H214" t="s">
        <v>2245</v>
      </c>
      <c r="I214" t="s">
        <v>3768</v>
      </c>
    </row>
    <row r="215" spans="1:9">
      <c r="A215" s="92" t="s">
        <v>3858</v>
      </c>
      <c r="B215" t="s">
        <v>1912</v>
      </c>
      <c r="C215" t="s">
        <v>2406</v>
      </c>
      <c r="D215" t="s">
        <v>2407</v>
      </c>
      <c r="E215" t="s">
        <v>2408</v>
      </c>
      <c r="F215" t="s">
        <v>2410</v>
      </c>
      <c r="G215" t="s">
        <v>2182</v>
      </c>
      <c r="H215" t="s">
        <v>2458</v>
      </c>
      <c r="I215" t="s">
        <v>3776</v>
      </c>
    </row>
    <row r="216" spans="1:9">
      <c r="A216" s="92" t="s">
        <v>3858</v>
      </c>
      <c r="B216" t="s">
        <v>1914</v>
      </c>
      <c r="C216" t="s">
        <v>2269</v>
      </c>
      <c r="E216" t="s">
        <v>2243</v>
      </c>
      <c r="F216" t="s">
        <v>2270</v>
      </c>
      <c r="G216" t="s">
        <v>2635</v>
      </c>
      <c r="H216" t="s">
        <v>2245</v>
      </c>
      <c r="I216" t="s">
        <v>3780</v>
      </c>
    </row>
    <row r="217" spans="1:9">
      <c r="A217" s="92" t="s">
        <v>3858</v>
      </c>
      <c r="B217" t="s">
        <v>1914</v>
      </c>
      <c r="C217" t="s">
        <v>2271</v>
      </c>
      <c r="D217" t="s">
        <v>2272</v>
      </c>
      <c r="E217" t="s">
        <v>2243</v>
      </c>
      <c r="F217" t="s">
        <v>2273</v>
      </c>
      <c r="G217" t="s">
        <v>2635</v>
      </c>
      <c r="H217" t="s">
        <v>2245</v>
      </c>
      <c r="I217" t="s">
        <v>3780</v>
      </c>
    </row>
    <row r="218" spans="1:9">
      <c r="A218" s="92" t="s">
        <v>3858</v>
      </c>
      <c r="B218" t="s">
        <v>1914</v>
      </c>
      <c r="C218" t="s">
        <v>2274</v>
      </c>
      <c r="E218" t="s">
        <v>2254</v>
      </c>
      <c r="G218" t="s">
        <v>2635</v>
      </c>
      <c r="H218" t="s">
        <v>2251</v>
      </c>
      <c r="I218" t="s">
        <v>3780</v>
      </c>
    </row>
    <row r="219" spans="1:9">
      <c r="A219" s="92" t="s">
        <v>2189</v>
      </c>
      <c r="B219" t="s">
        <v>1888</v>
      </c>
      <c r="C219" t="s">
        <v>2241</v>
      </c>
      <c r="D219" t="s">
        <v>2242</v>
      </c>
      <c r="E219" t="s">
        <v>2243</v>
      </c>
      <c r="F219" t="s">
        <v>2246</v>
      </c>
      <c r="G219" t="s">
        <v>2635</v>
      </c>
      <c r="H219" t="s">
        <v>2245</v>
      </c>
      <c r="I219" t="s">
        <v>3740</v>
      </c>
    </row>
    <row r="220" spans="1:9">
      <c r="A220" s="92" t="s">
        <v>2189</v>
      </c>
      <c r="B220" t="s">
        <v>1888</v>
      </c>
      <c r="C220" t="s">
        <v>2309</v>
      </c>
      <c r="E220" t="s">
        <v>2310</v>
      </c>
      <c r="G220" t="s">
        <v>2200</v>
      </c>
      <c r="H220" t="s">
        <v>1215</v>
      </c>
      <c r="I220" t="s">
        <v>3740</v>
      </c>
    </row>
    <row r="221" spans="1:9">
      <c r="A221" s="92" t="s">
        <v>2189</v>
      </c>
      <c r="B221" t="s">
        <v>3515</v>
      </c>
      <c r="C221" t="s">
        <v>2281</v>
      </c>
      <c r="D221" t="s">
        <v>2282</v>
      </c>
      <c r="E221" t="s">
        <v>2283</v>
      </c>
      <c r="G221" t="s">
        <v>2635</v>
      </c>
      <c r="H221" t="s">
        <v>2284</v>
      </c>
      <c r="I221" t="s">
        <v>3748</v>
      </c>
    </row>
    <row r="222" spans="1:9">
      <c r="A222" s="92" t="s">
        <v>2189</v>
      </c>
      <c r="B222" t="s">
        <v>1895</v>
      </c>
      <c r="C222" t="s">
        <v>2286</v>
      </c>
      <c r="D222" t="s">
        <v>2287</v>
      </c>
      <c r="E222" t="s">
        <v>2288</v>
      </c>
      <c r="G222" t="s">
        <v>2635</v>
      </c>
      <c r="H222" t="s">
        <v>2284</v>
      </c>
      <c r="I222" t="s">
        <v>3752</v>
      </c>
    </row>
    <row r="223" spans="1:9">
      <c r="A223" s="92" t="s">
        <v>2189</v>
      </c>
      <c r="B223" t="s">
        <v>1895</v>
      </c>
      <c r="C223" t="s">
        <v>2338</v>
      </c>
      <c r="D223" t="s">
        <v>2336</v>
      </c>
      <c r="E223" t="s">
        <v>2339</v>
      </c>
      <c r="G223" t="s">
        <v>2200</v>
      </c>
      <c r="H223" t="s">
        <v>2661</v>
      </c>
      <c r="I223" t="s">
        <v>3752</v>
      </c>
    </row>
    <row r="224" spans="1:9">
      <c r="A224" s="92" t="s">
        <v>2189</v>
      </c>
      <c r="B224" t="s">
        <v>1897</v>
      </c>
      <c r="C224" t="s">
        <v>2248</v>
      </c>
      <c r="D224" t="s">
        <v>2249</v>
      </c>
      <c r="E224" t="s">
        <v>2250</v>
      </c>
      <c r="G224" t="s">
        <v>2635</v>
      </c>
      <c r="H224" t="s">
        <v>2251</v>
      </c>
      <c r="I224" t="s">
        <v>3756</v>
      </c>
    </row>
    <row r="225" spans="1:9">
      <c r="A225" s="92" t="s">
        <v>2189</v>
      </c>
      <c r="B225" t="s">
        <v>1897</v>
      </c>
      <c r="C225" t="s">
        <v>2253</v>
      </c>
      <c r="D225" t="s">
        <v>2249</v>
      </c>
      <c r="E225" t="s">
        <v>2254</v>
      </c>
      <c r="G225" t="s">
        <v>2635</v>
      </c>
      <c r="H225" t="s">
        <v>2251</v>
      </c>
      <c r="I225" t="s">
        <v>3756</v>
      </c>
    </row>
    <row r="226" spans="1:9">
      <c r="A226" s="92" t="s">
        <v>2189</v>
      </c>
      <c r="B226" t="s">
        <v>1897</v>
      </c>
      <c r="C226" t="s">
        <v>2255</v>
      </c>
      <c r="D226" t="s">
        <v>2249</v>
      </c>
      <c r="E226" t="s">
        <v>2254</v>
      </c>
      <c r="G226" t="s">
        <v>2635</v>
      </c>
      <c r="H226" t="s">
        <v>2251</v>
      </c>
      <c r="I226" t="s">
        <v>3756</v>
      </c>
    </row>
    <row r="227" spans="1:9">
      <c r="A227" s="92" t="s">
        <v>2189</v>
      </c>
      <c r="B227" t="s">
        <v>1897</v>
      </c>
      <c r="C227" t="s">
        <v>2256</v>
      </c>
      <c r="D227" t="s">
        <v>2257</v>
      </c>
      <c r="E227" t="s">
        <v>2254</v>
      </c>
      <c r="G227" t="s">
        <v>2635</v>
      </c>
      <c r="H227" t="s">
        <v>2251</v>
      </c>
      <c r="I227" t="s">
        <v>3756</v>
      </c>
    </row>
    <row r="228" spans="1:9">
      <c r="A228" s="92" t="s">
        <v>2189</v>
      </c>
      <c r="B228" t="s">
        <v>1897</v>
      </c>
      <c r="C228" t="s">
        <v>2258</v>
      </c>
      <c r="E228" t="s">
        <v>2254</v>
      </c>
      <c r="G228" t="s">
        <v>2635</v>
      </c>
      <c r="H228" t="s">
        <v>2251</v>
      </c>
      <c r="I228" t="s">
        <v>3756</v>
      </c>
    </row>
    <row r="229" spans="1:9">
      <c r="A229" s="92" t="s">
        <v>2189</v>
      </c>
      <c r="B229" t="s">
        <v>1897</v>
      </c>
      <c r="C229" t="s">
        <v>2259</v>
      </c>
      <c r="E229" t="s">
        <v>2254</v>
      </c>
      <c r="G229" t="s">
        <v>2635</v>
      </c>
      <c r="H229" t="s">
        <v>2251</v>
      </c>
      <c r="I229" t="s">
        <v>3756</v>
      </c>
    </row>
    <row r="230" spans="1:9">
      <c r="A230" s="92" t="s">
        <v>2189</v>
      </c>
      <c r="B230" t="s">
        <v>1897</v>
      </c>
      <c r="C230" t="s">
        <v>2260</v>
      </c>
      <c r="E230" t="s">
        <v>2254</v>
      </c>
      <c r="G230" t="s">
        <v>2635</v>
      </c>
      <c r="H230" t="s">
        <v>2251</v>
      </c>
      <c r="I230" t="s">
        <v>3756</v>
      </c>
    </row>
    <row r="231" spans="1:9">
      <c r="A231" s="92" t="s">
        <v>2189</v>
      </c>
      <c r="B231" t="s">
        <v>1905</v>
      </c>
      <c r="C231" t="s">
        <v>2300</v>
      </c>
      <c r="D231" t="s">
        <v>2301</v>
      </c>
      <c r="E231" t="s">
        <v>2302</v>
      </c>
      <c r="F231" t="s">
        <v>2303</v>
      </c>
      <c r="G231" t="s">
        <v>2200</v>
      </c>
      <c r="H231" t="s">
        <v>2661</v>
      </c>
      <c r="I231" t="s">
        <v>3768</v>
      </c>
    </row>
    <row r="232" spans="1:9">
      <c r="A232" s="92" t="s">
        <v>2189</v>
      </c>
      <c r="B232" t="s">
        <v>1905</v>
      </c>
      <c r="C232" t="s">
        <v>2262</v>
      </c>
      <c r="D232" t="s">
        <v>2263</v>
      </c>
      <c r="E232" t="s">
        <v>2243</v>
      </c>
      <c r="F232" t="s">
        <v>2264</v>
      </c>
      <c r="G232" t="s">
        <v>2635</v>
      </c>
      <c r="H232" t="s">
        <v>2245</v>
      </c>
      <c r="I232" t="s">
        <v>3768</v>
      </c>
    </row>
    <row r="233" spans="1:9">
      <c r="A233" s="92" t="s">
        <v>2189</v>
      </c>
      <c r="B233" t="s">
        <v>1905</v>
      </c>
      <c r="C233" t="s">
        <v>2265</v>
      </c>
      <c r="D233" t="s">
        <v>2266</v>
      </c>
      <c r="E233" t="s">
        <v>2243</v>
      </c>
      <c r="F233" t="s">
        <v>2267</v>
      </c>
      <c r="G233" t="s">
        <v>2635</v>
      </c>
      <c r="H233" t="s">
        <v>2245</v>
      </c>
      <c r="I233" t="s">
        <v>3768</v>
      </c>
    </row>
    <row r="234" spans="1:9">
      <c r="A234" s="92" t="s">
        <v>2189</v>
      </c>
      <c r="B234" t="s">
        <v>1912</v>
      </c>
      <c r="C234" t="s">
        <v>2406</v>
      </c>
      <c r="D234" t="s">
        <v>2407</v>
      </c>
      <c r="E234" t="s">
        <v>2408</v>
      </c>
      <c r="F234" t="s">
        <v>2410</v>
      </c>
      <c r="G234" t="s">
        <v>2200</v>
      </c>
      <c r="H234" t="s">
        <v>2662</v>
      </c>
      <c r="I234" t="s">
        <v>3776</v>
      </c>
    </row>
    <row r="235" spans="1:9">
      <c r="A235" s="92" t="s">
        <v>2189</v>
      </c>
      <c r="B235" t="s">
        <v>1912</v>
      </c>
      <c r="C235" t="s">
        <v>2663</v>
      </c>
      <c r="D235" t="s">
        <v>2403</v>
      </c>
      <c r="E235" t="s">
        <v>2661</v>
      </c>
      <c r="G235" t="s">
        <v>2200</v>
      </c>
      <c r="H235" t="s">
        <v>2661</v>
      </c>
      <c r="I235" t="s">
        <v>3776</v>
      </c>
    </row>
    <row r="236" spans="1:9">
      <c r="A236" s="92" t="s">
        <v>2189</v>
      </c>
      <c r="B236" t="s">
        <v>1914</v>
      </c>
      <c r="C236" t="s">
        <v>2269</v>
      </c>
      <c r="E236" t="s">
        <v>2243</v>
      </c>
      <c r="F236" t="s">
        <v>2270</v>
      </c>
      <c r="G236" t="s">
        <v>2635</v>
      </c>
      <c r="H236" t="s">
        <v>2245</v>
      </c>
      <c r="I236" t="s">
        <v>3780</v>
      </c>
    </row>
    <row r="237" spans="1:9">
      <c r="A237" s="92" t="s">
        <v>2189</v>
      </c>
      <c r="B237" t="s">
        <v>1914</v>
      </c>
      <c r="C237" t="s">
        <v>2271</v>
      </c>
      <c r="D237" t="s">
        <v>2272</v>
      </c>
      <c r="E237" t="s">
        <v>2243</v>
      </c>
      <c r="F237" t="s">
        <v>2273</v>
      </c>
      <c r="G237" t="s">
        <v>2635</v>
      </c>
      <c r="H237" t="s">
        <v>2245</v>
      </c>
      <c r="I237" t="s">
        <v>3780</v>
      </c>
    </row>
    <row r="238" spans="1:9">
      <c r="A238" s="92" t="s">
        <v>2189</v>
      </c>
      <c r="B238" t="s">
        <v>1914</v>
      </c>
      <c r="C238" t="s">
        <v>2274</v>
      </c>
      <c r="E238" t="s">
        <v>2254</v>
      </c>
      <c r="G238" t="s">
        <v>2635</v>
      </c>
      <c r="H238" t="s">
        <v>2251</v>
      </c>
      <c r="I238" t="s">
        <v>3780</v>
      </c>
    </row>
    <row r="239" spans="1:9">
      <c r="A239" s="92" t="s">
        <v>3876</v>
      </c>
      <c r="B239" t="s">
        <v>1888</v>
      </c>
      <c r="C239" t="s">
        <v>2241</v>
      </c>
      <c r="D239" t="s">
        <v>2242</v>
      </c>
      <c r="E239" t="s">
        <v>2243</v>
      </c>
      <c r="F239" t="s">
        <v>2246</v>
      </c>
      <c r="G239" t="s">
        <v>2635</v>
      </c>
      <c r="H239" t="s">
        <v>2245</v>
      </c>
      <c r="I239" t="s">
        <v>3740</v>
      </c>
    </row>
    <row r="240" spans="1:9">
      <c r="A240" s="92" t="s">
        <v>3876</v>
      </c>
      <c r="B240" t="s">
        <v>1888</v>
      </c>
      <c r="C240" t="s">
        <v>2309</v>
      </c>
      <c r="E240" t="s">
        <v>2310</v>
      </c>
      <c r="G240" t="s">
        <v>2214</v>
      </c>
      <c r="H240" t="s">
        <v>1215</v>
      </c>
      <c r="I240" t="s">
        <v>3740</v>
      </c>
    </row>
    <row r="241" spans="1:9">
      <c r="A241" s="92" t="s">
        <v>3876</v>
      </c>
      <c r="B241" t="s">
        <v>1897</v>
      </c>
      <c r="C241" t="s">
        <v>2248</v>
      </c>
      <c r="D241" t="s">
        <v>2249</v>
      </c>
      <c r="E241" t="s">
        <v>2250</v>
      </c>
      <c r="G241" t="s">
        <v>2635</v>
      </c>
      <c r="H241" t="s">
        <v>2251</v>
      </c>
      <c r="I241" t="s">
        <v>3756</v>
      </c>
    </row>
    <row r="242" spans="1:9">
      <c r="A242" s="92" t="s">
        <v>3876</v>
      </c>
      <c r="B242" t="s">
        <v>1897</v>
      </c>
      <c r="C242" t="s">
        <v>2253</v>
      </c>
      <c r="D242" t="s">
        <v>2249</v>
      </c>
      <c r="E242" t="s">
        <v>2254</v>
      </c>
      <c r="G242" t="s">
        <v>2635</v>
      </c>
      <c r="H242" t="s">
        <v>2251</v>
      </c>
      <c r="I242" t="s">
        <v>3756</v>
      </c>
    </row>
    <row r="243" spans="1:9">
      <c r="A243" s="92" t="s">
        <v>3876</v>
      </c>
      <c r="B243" t="s">
        <v>1897</v>
      </c>
      <c r="C243" t="s">
        <v>2255</v>
      </c>
      <c r="D243" t="s">
        <v>2249</v>
      </c>
      <c r="E243" t="s">
        <v>2254</v>
      </c>
      <c r="G243" t="s">
        <v>2635</v>
      </c>
      <c r="H243" t="s">
        <v>2251</v>
      </c>
      <c r="I243" t="s">
        <v>3756</v>
      </c>
    </row>
    <row r="244" spans="1:9">
      <c r="A244" s="92" t="s">
        <v>3876</v>
      </c>
      <c r="B244" t="s">
        <v>1897</v>
      </c>
      <c r="C244" t="s">
        <v>2256</v>
      </c>
      <c r="D244" t="s">
        <v>2257</v>
      </c>
      <c r="E244" t="s">
        <v>2254</v>
      </c>
      <c r="G244" t="s">
        <v>2635</v>
      </c>
      <c r="H244" t="s">
        <v>2251</v>
      </c>
      <c r="I244" t="s">
        <v>3756</v>
      </c>
    </row>
    <row r="245" spans="1:9">
      <c r="A245" s="92" t="s">
        <v>3876</v>
      </c>
      <c r="B245" t="s">
        <v>1897</v>
      </c>
      <c r="C245" t="s">
        <v>2258</v>
      </c>
      <c r="E245" t="s">
        <v>2254</v>
      </c>
      <c r="G245" t="s">
        <v>2635</v>
      </c>
      <c r="H245" t="s">
        <v>2251</v>
      </c>
      <c r="I245" t="s">
        <v>3756</v>
      </c>
    </row>
    <row r="246" spans="1:9">
      <c r="A246" s="92" t="s">
        <v>3876</v>
      </c>
      <c r="B246" t="s">
        <v>1897</v>
      </c>
      <c r="C246" t="s">
        <v>2259</v>
      </c>
      <c r="E246" t="s">
        <v>2254</v>
      </c>
      <c r="G246" t="s">
        <v>2635</v>
      </c>
      <c r="H246" t="s">
        <v>2251</v>
      </c>
      <c r="I246" t="s">
        <v>3756</v>
      </c>
    </row>
    <row r="247" spans="1:9">
      <c r="A247" s="92" t="s">
        <v>3876</v>
      </c>
      <c r="B247" t="s">
        <v>1897</v>
      </c>
      <c r="C247" t="s">
        <v>2260</v>
      </c>
      <c r="E247" t="s">
        <v>2254</v>
      </c>
      <c r="G247" t="s">
        <v>2635</v>
      </c>
      <c r="H247" t="s">
        <v>2251</v>
      </c>
      <c r="I247" t="s">
        <v>3756</v>
      </c>
    </row>
    <row r="248" spans="1:9">
      <c r="A248" s="92" t="s">
        <v>3876</v>
      </c>
      <c r="B248" t="s">
        <v>1905</v>
      </c>
      <c r="C248" t="s">
        <v>2262</v>
      </c>
      <c r="D248" t="s">
        <v>2263</v>
      </c>
      <c r="E248" t="s">
        <v>2243</v>
      </c>
      <c r="F248" t="s">
        <v>2264</v>
      </c>
      <c r="G248" t="s">
        <v>2635</v>
      </c>
      <c r="H248" t="s">
        <v>2245</v>
      </c>
      <c r="I248" t="s">
        <v>3768</v>
      </c>
    </row>
    <row r="249" spans="1:9">
      <c r="A249" s="92" t="s">
        <v>3876</v>
      </c>
      <c r="B249" t="s">
        <v>1905</v>
      </c>
      <c r="C249" t="s">
        <v>2265</v>
      </c>
      <c r="D249" t="s">
        <v>2266</v>
      </c>
      <c r="E249" t="s">
        <v>2243</v>
      </c>
      <c r="F249" t="s">
        <v>2267</v>
      </c>
      <c r="G249" t="s">
        <v>2635</v>
      </c>
      <c r="H249" t="s">
        <v>2245</v>
      </c>
      <c r="I249" t="s">
        <v>3768</v>
      </c>
    </row>
    <row r="250" spans="1:9">
      <c r="A250" s="92" t="s">
        <v>3876</v>
      </c>
      <c r="B250" t="s">
        <v>1912</v>
      </c>
      <c r="C250" t="s">
        <v>2406</v>
      </c>
      <c r="D250" t="s">
        <v>2407</v>
      </c>
      <c r="E250" t="s">
        <v>2408</v>
      </c>
      <c r="F250" t="s">
        <v>2410</v>
      </c>
      <c r="G250" t="s">
        <v>2214</v>
      </c>
      <c r="H250" t="s">
        <v>2458</v>
      </c>
      <c r="I250" t="s">
        <v>3776</v>
      </c>
    </row>
    <row r="251" spans="1:9">
      <c r="A251" s="92" t="s">
        <v>3876</v>
      </c>
      <c r="B251" t="s">
        <v>1912</v>
      </c>
      <c r="C251" t="s">
        <v>2650</v>
      </c>
      <c r="E251" t="s">
        <v>2651</v>
      </c>
      <c r="G251" t="s">
        <v>2635</v>
      </c>
      <c r="H251" t="s">
        <v>2652</v>
      </c>
      <c r="I251" t="s">
        <v>3776</v>
      </c>
    </row>
    <row r="252" spans="1:9">
      <c r="A252" s="92" t="s">
        <v>3876</v>
      </c>
      <c r="B252" t="s">
        <v>1914</v>
      </c>
      <c r="C252" t="s">
        <v>2269</v>
      </c>
      <c r="E252" t="s">
        <v>2243</v>
      </c>
      <c r="F252" t="s">
        <v>2270</v>
      </c>
      <c r="G252" t="s">
        <v>2635</v>
      </c>
      <c r="H252" t="s">
        <v>2245</v>
      </c>
      <c r="I252" t="s">
        <v>3780</v>
      </c>
    </row>
    <row r="253" spans="1:9">
      <c r="A253" s="92" t="s">
        <v>3876</v>
      </c>
      <c r="B253" t="s">
        <v>1914</v>
      </c>
      <c r="C253" t="s">
        <v>2271</v>
      </c>
      <c r="D253" t="s">
        <v>2272</v>
      </c>
      <c r="E253" t="s">
        <v>2243</v>
      </c>
      <c r="F253" t="s">
        <v>2273</v>
      </c>
      <c r="G253" t="s">
        <v>2635</v>
      </c>
      <c r="H253" t="s">
        <v>2245</v>
      </c>
      <c r="I253" t="s">
        <v>3780</v>
      </c>
    </row>
    <row r="254" spans="1:9">
      <c r="A254" s="92" t="s">
        <v>3876</v>
      </c>
      <c r="B254" t="s">
        <v>1914</v>
      </c>
      <c r="C254" t="s">
        <v>2274</v>
      </c>
      <c r="E254" t="s">
        <v>2254</v>
      </c>
      <c r="G254" t="s">
        <v>2635</v>
      </c>
      <c r="H254" t="s">
        <v>2251</v>
      </c>
      <c r="I254" t="s">
        <v>3780</v>
      </c>
    </row>
    <row r="255" spans="1:9">
      <c r="A255" s="92" t="s">
        <v>3885</v>
      </c>
      <c r="B255" t="s">
        <v>1888</v>
      </c>
      <c r="C255" t="s">
        <v>2276</v>
      </c>
      <c r="D255" t="s">
        <v>2277</v>
      </c>
      <c r="E255" t="s">
        <v>1565</v>
      </c>
      <c r="F255" t="s">
        <v>2279</v>
      </c>
      <c r="G255" t="s">
        <v>2635</v>
      </c>
      <c r="H255" t="s">
        <v>108</v>
      </c>
      <c r="I255" t="s">
        <v>3740</v>
      </c>
    </row>
    <row r="256" spans="1:9">
      <c r="A256" s="92" t="s">
        <v>3885</v>
      </c>
      <c r="B256" t="s">
        <v>1888</v>
      </c>
      <c r="C256" t="s">
        <v>2309</v>
      </c>
      <c r="E256" t="s">
        <v>2310</v>
      </c>
      <c r="G256" t="s">
        <v>2635</v>
      </c>
      <c r="H256" t="s">
        <v>2310</v>
      </c>
      <c r="I256" t="s">
        <v>3740</v>
      </c>
    </row>
    <row r="257" spans="1:9">
      <c r="A257" s="92" t="s">
        <v>3885</v>
      </c>
      <c r="B257" t="s">
        <v>1888</v>
      </c>
      <c r="C257" t="s">
        <v>2312</v>
      </c>
      <c r="D257" t="s">
        <v>2242</v>
      </c>
      <c r="E257" t="s">
        <v>108</v>
      </c>
      <c r="G257" t="s">
        <v>2635</v>
      </c>
      <c r="H257" t="s">
        <v>108</v>
      </c>
      <c r="I257" t="s">
        <v>3740</v>
      </c>
    </row>
    <row r="258" spans="1:9">
      <c r="A258" s="92" t="s">
        <v>3885</v>
      </c>
      <c r="B258" t="s">
        <v>1888</v>
      </c>
      <c r="C258" t="s">
        <v>2313</v>
      </c>
      <c r="D258" t="s">
        <v>2314</v>
      </c>
      <c r="E258" t="s">
        <v>2315</v>
      </c>
      <c r="F258" t="s">
        <v>2316</v>
      </c>
      <c r="G258" t="s">
        <v>2635</v>
      </c>
      <c r="H258" t="s">
        <v>2315</v>
      </c>
      <c r="I258" t="s">
        <v>3740</v>
      </c>
    </row>
    <row r="259" spans="1:9">
      <c r="A259" s="92" t="s">
        <v>3885</v>
      </c>
      <c r="B259" t="s">
        <v>1888</v>
      </c>
      <c r="C259" t="s">
        <v>2317</v>
      </c>
      <c r="E259" t="s">
        <v>108</v>
      </c>
      <c r="G259" t="s">
        <v>2635</v>
      </c>
      <c r="H259" t="s">
        <v>108</v>
      </c>
      <c r="I259" t="s">
        <v>3740</v>
      </c>
    </row>
    <row r="260" spans="1:9">
      <c r="A260" s="92" t="s">
        <v>3885</v>
      </c>
      <c r="B260" t="s">
        <v>1889</v>
      </c>
      <c r="C260" t="s">
        <v>2319</v>
      </c>
      <c r="D260" t="s">
        <v>2249</v>
      </c>
      <c r="E260" t="s">
        <v>108</v>
      </c>
      <c r="G260" t="s">
        <v>2635</v>
      </c>
      <c r="H260" t="s">
        <v>108</v>
      </c>
      <c r="I260" t="s">
        <v>3744</v>
      </c>
    </row>
    <row r="261" spans="1:9">
      <c r="A261" s="92" t="s">
        <v>3885</v>
      </c>
      <c r="B261" t="s">
        <v>1889</v>
      </c>
      <c r="C261" t="s">
        <v>2320</v>
      </c>
      <c r="D261" t="s">
        <v>2321</v>
      </c>
      <c r="E261" t="s">
        <v>108</v>
      </c>
      <c r="F261" t="s">
        <v>2322</v>
      </c>
      <c r="G261" t="s">
        <v>2635</v>
      </c>
      <c r="H261" t="s">
        <v>108</v>
      </c>
      <c r="I261" t="s">
        <v>3744</v>
      </c>
    </row>
    <row r="262" spans="1:9">
      <c r="A262" s="92" t="s">
        <v>3885</v>
      </c>
      <c r="B262" t="s">
        <v>1889</v>
      </c>
      <c r="C262" t="s">
        <v>2323</v>
      </c>
      <c r="D262" t="s">
        <v>2321</v>
      </c>
      <c r="E262" t="s">
        <v>108</v>
      </c>
      <c r="G262" t="s">
        <v>2635</v>
      </c>
      <c r="H262" t="s">
        <v>108</v>
      </c>
      <c r="I262" t="s">
        <v>3744</v>
      </c>
    </row>
    <row r="263" spans="1:9">
      <c r="A263" s="92" t="s">
        <v>3885</v>
      </c>
      <c r="B263" t="s">
        <v>1889</v>
      </c>
      <c r="C263" t="s">
        <v>2324</v>
      </c>
      <c r="D263" t="s">
        <v>2325</v>
      </c>
      <c r="E263" t="s">
        <v>108</v>
      </c>
      <c r="F263" t="s">
        <v>2326</v>
      </c>
      <c r="G263" t="s">
        <v>2635</v>
      </c>
      <c r="H263" t="s">
        <v>108</v>
      </c>
      <c r="I263" t="s">
        <v>3744</v>
      </c>
    </row>
    <row r="264" spans="1:9">
      <c r="A264" s="92" t="s">
        <v>3885</v>
      </c>
      <c r="B264" t="s">
        <v>3515</v>
      </c>
      <c r="C264" t="s">
        <v>2328</v>
      </c>
      <c r="D264" t="s">
        <v>2282</v>
      </c>
      <c r="E264" t="s">
        <v>108</v>
      </c>
      <c r="G264" t="s">
        <v>2635</v>
      </c>
      <c r="H264" t="s">
        <v>108</v>
      </c>
      <c r="I264" t="s">
        <v>3748</v>
      </c>
    </row>
    <row r="265" spans="1:9">
      <c r="A265" s="92" t="s">
        <v>3885</v>
      </c>
      <c r="B265" t="s">
        <v>3515</v>
      </c>
      <c r="C265" t="s">
        <v>2281</v>
      </c>
      <c r="D265" t="s">
        <v>2282</v>
      </c>
      <c r="E265" t="s">
        <v>2283</v>
      </c>
      <c r="G265" t="s">
        <v>2635</v>
      </c>
      <c r="H265" t="s">
        <v>2630</v>
      </c>
      <c r="I265" t="s">
        <v>3748</v>
      </c>
    </row>
    <row r="266" spans="1:9">
      <c r="A266" s="92" t="s">
        <v>3885</v>
      </c>
      <c r="B266" t="s">
        <v>3515</v>
      </c>
      <c r="C266" t="s">
        <v>2330</v>
      </c>
      <c r="D266" t="s">
        <v>2282</v>
      </c>
      <c r="E266" t="s">
        <v>2331</v>
      </c>
      <c r="F266" t="s">
        <v>2332</v>
      </c>
      <c r="G266" t="s">
        <v>2635</v>
      </c>
      <c r="H266" t="s">
        <v>108</v>
      </c>
      <c r="I266" t="s">
        <v>3748</v>
      </c>
    </row>
    <row r="267" spans="1:9">
      <c r="A267" s="92" t="s">
        <v>3885</v>
      </c>
      <c r="B267" t="s">
        <v>3515</v>
      </c>
      <c r="C267" t="s">
        <v>2333</v>
      </c>
      <c r="D267" t="s">
        <v>2282</v>
      </c>
      <c r="E267" t="s">
        <v>108</v>
      </c>
      <c r="G267" t="s">
        <v>2635</v>
      </c>
      <c r="H267" t="s">
        <v>108</v>
      </c>
      <c r="I267" t="s">
        <v>3748</v>
      </c>
    </row>
    <row r="268" spans="1:9">
      <c r="A268" s="92" t="s">
        <v>3885</v>
      </c>
      <c r="B268" t="s">
        <v>1895</v>
      </c>
      <c r="C268" t="s">
        <v>2335</v>
      </c>
      <c r="D268" t="s">
        <v>2336</v>
      </c>
      <c r="E268" t="s">
        <v>2337</v>
      </c>
      <c r="G268" t="s">
        <v>2635</v>
      </c>
      <c r="H268" t="s">
        <v>108</v>
      </c>
      <c r="I268" t="s">
        <v>3752</v>
      </c>
    </row>
    <row r="269" spans="1:9">
      <c r="A269" s="92" t="s">
        <v>3885</v>
      </c>
      <c r="B269" t="s">
        <v>1895</v>
      </c>
      <c r="C269" t="s">
        <v>2338</v>
      </c>
      <c r="D269" t="s">
        <v>2336</v>
      </c>
      <c r="E269" t="s">
        <v>2339</v>
      </c>
      <c r="G269" t="s">
        <v>2635</v>
      </c>
      <c r="H269" t="s">
        <v>108</v>
      </c>
      <c r="I269" t="s">
        <v>3752</v>
      </c>
    </row>
    <row r="270" spans="1:9">
      <c r="A270" s="92" t="s">
        <v>3885</v>
      </c>
      <c r="B270" t="s">
        <v>1895</v>
      </c>
      <c r="C270" t="s">
        <v>2340</v>
      </c>
      <c r="D270" t="s">
        <v>2341</v>
      </c>
      <c r="E270" t="s">
        <v>108</v>
      </c>
      <c r="F270" t="s">
        <v>2342</v>
      </c>
      <c r="G270" t="s">
        <v>2635</v>
      </c>
      <c r="H270" t="s">
        <v>108</v>
      </c>
      <c r="I270" t="s">
        <v>3752</v>
      </c>
    </row>
    <row r="271" spans="1:9">
      <c r="A271" s="92" t="s">
        <v>3885</v>
      </c>
      <c r="B271" t="s">
        <v>1895</v>
      </c>
      <c r="C271" t="s">
        <v>2343</v>
      </c>
      <c r="D271" t="s">
        <v>2341</v>
      </c>
      <c r="E271" t="s">
        <v>108</v>
      </c>
      <c r="G271" t="s">
        <v>2635</v>
      </c>
      <c r="H271" t="s">
        <v>108</v>
      </c>
      <c r="I271" t="s">
        <v>3752</v>
      </c>
    </row>
    <row r="272" spans="1:9">
      <c r="A272" s="92" t="s">
        <v>3885</v>
      </c>
      <c r="B272" t="s">
        <v>1897</v>
      </c>
      <c r="C272" t="s">
        <v>2345</v>
      </c>
      <c r="D272" t="s">
        <v>2346</v>
      </c>
      <c r="E272" t="s">
        <v>108</v>
      </c>
      <c r="F272" t="s">
        <v>2347</v>
      </c>
      <c r="G272" t="s">
        <v>2635</v>
      </c>
      <c r="H272" t="s">
        <v>108</v>
      </c>
      <c r="I272" t="s">
        <v>3756</v>
      </c>
    </row>
    <row r="273" spans="1:9">
      <c r="A273" s="92" t="s">
        <v>3885</v>
      </c>
      <c r="B273" t="s">
        <v>1897</v>
      </c>
      <c r="C273" t="s">
        <v>2248</v>
      </c>
      <c r="D273" t="s">
        <v>2249</v>
      </c>
      <c r="E273" t="s">
        <v>2250</v>
      </c>
      <c r="G273" t="s">
        <v>2635</v>
      </c>
      <c r="H273" t="s">
        <v>2526</v>
      </c>
      <c r="I273" t="s">
        <v>3756</v>
      </c>
    </row>
    <row r="274" spans="1:9">
      <c r="A274" s="92" t="s">
        <v>3885</v>
      </c>
      <c r="B274" t="s">
        <v>1897</v>
      </c>
      <c r="C274" t="s">
        <v>2253</v>
      </c>
      <c r="D274" t="s">
        <v>2249</v>
      </c>
      <c r="E274" t="s">
        <v>2254</v>
      </c>
      <c r="G274" t="s">
        <v>2635</v>
      </c>
      <c r="H274" t="s">
        <v>2526</v>
      </c>
      <c r="I274" t="s">
        <v>3756</v>
      </c>
    </row>
    <row r="275" spans="1:9">
      <c r="A275" s="92" t="s">
        <v>3885</v>
      </c>
      <c r="B275" t="s">
        <v>1897</v>
      </c>
      <c r="C275" t="s">
        <v>2255</v>
      </c>
      <c r="D275" t="s">
        <v>2249</v>
      </c>
      <c r="E275" t="s">
        <v>2254</v>
      </c>
      <c r="G275" t="s">
        <v>2635</v>
      </c>
      <c r="H275" t="s">
        <v>2526</v>
      </c>
      <c r="I275" t="s">
        <v>3756</v>
      </c>
    </row>
    <row r="276" spans="1:9">
      <c r="A276" s="92" t="s">
        <v>3885</v>
      </c>
      <c r="B276" t="s">
        <v>1897</v>
      </c>
      <c r="C276" t="s">
        <v>2256</v>
      </c>
      <c r="D276" t="s">
        <v>2257</v>
      </c>
      <c r="E276" t="s">
        <v>2254</v>
      </c>
      <c r="G276" t="s">
        <v>2635</v>
      </c>
      <c r="H276" t="s">
        <v>2526</v>
      </c>
      <c r="I276" t="s">
        <v>3756</v>
      </c>
    </row>
    <row r="277" spans="1:9">
      <c r="A277" s="92" t="s">
        <v>3885</v>
      </c>
      <c r="B277" t="s">
        <v>1897</v>
      </c>
      <c r="C277" t="s">
        <v>2258</v>
      </c>
      <c r="E277" t="s">
        <v>2254</v>
      </c>
      <c r="G277" t="s">
        <v>2635</v>
      </c>
      <c r="H277" t="s">
        <v>2526</v>
      </c>
      <c r="I277" t="s">
        <v>3756</v>
      </c>
    </row>
    <row r="278" spans="1:9">
      <c r="A278" s="92" t="s">
        <v>3885</v>
      </c>
      <c r="B278" t="s">
        <v>1897</v>
      </c>
      <c r="C278" t="s">
        <v>2259</v>
      </c>
      <c r="E278" t="s">
        <v>2254</v>
      </c>
      <c r="G278" t="s">
        <v>2635</v>
      </c>
      <c r="H278" t="s">
        <v>2526</v>
      </c>
      <c r="I278" t="s">
        <v>3756</v>
      </c>
    </row>
    <row r="279" spans="1:9">
      <c r="A279" s="92" t="s">
        <v>3885</v>
      </c>
      <c r="B279" t="s">
        <v>1897</v>
      </c>
      <c r="C279" t="s">
        <v>2260</v>
      </c>
      <c r="E279" t="s">
        <v>2254</v>
      </c>
      <c r="G279" t="s">
        <v>2635</v>
      </c>
      <c r="H279" t="s">
        <v>2526</v>
      </c>
      <c r="I279" t="s">
        <v>3756</v>
      </c>
    </row>
    <row r="280" spans="1:9">
      <c r="A280" s="92" t="s">
        <v>3885</v>
      </c>
      <c r="B280" t="s">
        <v>1899</v>
      </c>
      <c r="C280" t="s">
        <v>2350</v>
      </c>
      <c r="D280" t="s">
        <v>2351</v>
      </c>
      <c r="E280" t="s">
        <v>108</v>
      </c>
      <c r="G280" t="s">
        <v>2635</v>
      </c>
      <c r="H280" t="s">
        <v>108</v>
      </c>
      <c r="I280" t="s">
        <v>3758</v>
      </c>
    </row>
    <row r="281" spans="1:9">
      <c r="A281" s="92" t="s">
        <v>3885</v>
      </c>
      <c r="B281" t="s">
        <v>1899</v>
      </c>
      <c r="C281" t="s">
        <v>2352</v>
      </c>
      <c r="E281" t="s">
        <v>2337</v>
      </c>
      <c r="G281" t="s">
        <v>2635</v>
      </c>
      <c r="H281" t="s">
        <v>108</v>
      </c>
      <c r="I281" t="s">
        <v>3758</v>
      </c>
    </row>
    <row r="282" spans="1:9">
      <c r="A282" s="92" t="s">
        <v>3885</v>
      </c>
      <c r="B282" t="s">
        <v>1899</v>
      </c>
      <c r="C282" t="s">
        <v>2353</v>
      </c>
      <c r="D282" t="s">
        <v>2351</v>
      </c>
      <c r="E282" t="s">
        <v>2354</v>
      </c>
      <c r="F282" t="s">
        <v>2355</v>
      </c>
      <c r="G282" t="s">
        <v>2635</v>
      </c>
      <c r="H282" t="s">
        <v>108</v>
      </c>
      <c r="I282" t="s">
        <v>3758</v>
      </c>
    </row>
    <row r="283" spans="1:9">
      <c r="A283" s="92" t="s">
        <v>3885</v>
      </c>
      <c r="B283" t="s">
        <v>1899</v>
      </c>
      <c r="C283" t="s">
        <v>2356</v>
      </c>
      <c r="D283" t="s">
        <v>2351</v>
      </c>
      <c r="E283" t="s">
        <v>2315</v>
      </c>
      <c r="G283" t="s">
        <v>2635</v>
      </c>
      <c r="H283" t="s">
        <v>2315</v>
      </c>
      <c r="I283" t="s">
        <v>3758</v>
      </c>
    </row>
    <row r="284" spans="1:9">
      <c r="A284" s="92" t="s">
        <v>3885</v>
      </c>
      <c r="B284" t="s">
        <v>1899</v>
      </c>
      <c r="C284" t="s">
        <v>2357</v>
      </c>
      <c r="D284" t="s">
        <v>2358</v>
      </c>
      <c r="E284" t="s">
        <v>108</v>
      </c>
      <c r="G284" t="s">
        <v>2635</v>
      </c>
      <c r="H284" t="s">
        <v>108</v>
      </c>
      <c r="I284" t="s">
        <v>3758</v>
      </c>
    </row>
    <row r="285" spans="1:9">
      <c r="A285" s="92" t="s">
        <v>3885</v>
      </c>
      <c r="B285" t="s">
        <v>1902</v>
      </c>
      <c r="C285" t="s">
        <v>2363</v>
      </c>
      <c r="E285" t="s">
        <v>2315</v>
      </c>
      <c r="G285" t="s">
        <v>2635</v>
      </c>
      <c r="H285" t="s">
        <v>2315</v>
      </c>
      <c r="I285" t="s">
        <v>3760</v>
      </c>
    </row>
    <row r="286" spans="1:9">
      <c r="A286" s="92" t="s">
        <v>3885</v>
      </c>
      <c r="B286" t="s">
        <v>1902</v>
      </c>
      <c r="C286" t="s">
        <v>2294</v>
      </c>
      <c r="E286" t="s">
        <v>2295</v>
      </c>
      <c r="G286" t="s">
        <v>2635</v>
      </c>
      <c r="H286" t="s">
        <v>2315</v>
      </c>
      <c r="I286" t="s">
        <v>3760</v>
      </c>
    </row>
    <row r="287" spans="1:9">
      <c r="A287" s="92" t="s">
        <v>3885</v>
      </c>
      <c r="B287" t="s">
        <v>1902</v>
      </c>
      <c r="C287" t="s">
        <v>2364</v>
      </c>
      <c r="D287" t="s">
        <v>2351</v>
      </c>
      <c r="E287" t="s">
        <v>108</v>
      </c>
      <c r="G287" t="s">
        <v>2635</v>
      </c>
      <c r="H287" t="s">
        <v>108</v>
      </c>
      <c r="I287" t="s">
        <v>3760</v>
      </c>
    </row>
    <row r="288" spans="1:9">
      <c r="A288" s="92" t="s">
        <v>3885</v>
      </c>
      <c r="B288" t="s">
        <v>1902</v>
      </c>
      <c r="C288" t="s">
        <v>2365</v>
      </c>
      <c r="D288" t="s">
        <v>2351</v>
      </c>
      <c r="E288" t="s">
        <v>108</v>
      </c>
      <c r="G288" t="s">
        <v>2635</v>
      </c>
      <c r="H288" t="s">
        <v>108</v>
      </c>
      <c r="I288" t="s">
        <v>3760</v>
      </c>
    </row>
    <row r="289" spans="1:9">
      <c r="A289" s="92" t="s">
        <v>3885</v>
      </c>
      <c r="B289" t="s">
        <v>1902</v>
      </c>
      <c r="C289" t="s">
        <v>2366</v>
      </c>
      <c r="D289" t="s">
        <v>2257</v>
      </c>
      <c r="E289" t="s">
        <v>108</v>
      </c>
      <c r="G289" t="s">
        <v>2635</v>
      </c>
      <c r="H289" t="s">
        <v>108</v>
      </c>
      <c r="I289" t="s">
        <v>3760</v>
      </c>
    </row>
    <row r="290" spans="1:9">
      <c r="A290" s="92" t="s">
        <v>3885</v>
      </c>
      <c r="B290" t="s">
        <v>1902</v>
      </c>
      <c r="C290" t="s">
        <v>2367</v>
      </c>
      <c r="D290" t="s">
        <v>2368</v>
      </c>
      <c r="E290" t="s">
        <v>2315</v>
      </c>
      <c r="G290" t="s">
        <v>2635</v>
      </c>
      <c r="H290" t="s">
        <v>2315</v>
      </c>
      <c r="I290" t="s">
        <v>3760</v>
      </c>
    </row>
    <row r="291" spans="1:9">
      <c r="A291" s="92" t="s">
        <v>3885</v>
      </c>
      <c r="B291" t="s">
        <v>1902</v>
      </c>
      <c r="C291" t="s">
        <v>2369</v>
      </c>
      <c r="D291" t="s">
        <v>2368</v>
      </c>
      <c r="E291" t="s">
        <v>2315</v>
      </c>
      <c r="G291" t="s">
        <v>2635</v>
      </c>
      <c r="H291" t="s">
        <v>2315</v>
      </c>
      <c r="I291" t="s">
        <v>3760</v>
      </c>
    </row>
    <row r="292" spans="1:9">
      <c r="A292" s="92" t="s">
        <v>3885</v>
      </c>
      <c r="B292" t="s">
        <v>1902</v>
      </c>
      <c r="C292" t="s">
        <v>2370</v>
      </c>
      <c r="D292" t="s">
        <v>2368</v>
      </c>
      <c r="E292" t="s">
        <v>108</v>
      </c>
      <c r="F292" t="s">
        <v>2371</v>
      </c>
      <c r="G292" t="s">
        <v>2635</v>
      </c>
      <c r="H292" t="s">
        <v>108</v>
      </c>
      <c r="I292" t="s">
        <v>3760</v>
      </c>
    </row>
    <row r="293" spans="1:9">
      <c r="A293" s="92" t="s">
        <v>3885</v>
      </c>
      <c r="B293" t="s">
        <v>1903</v>
      </c>
      <c r="C293" t="s">
        <v>2373</v>
      </c>
      <c r="D293" t="s">
        <v>2374</v>
      </c>
      <c r="E293" t="s">
        <v>108</v>
      </c>
      <c r="G293" t="s">
        <v>2635</v>
      </c>
      <c r="H293" t="s">
        <v>108</v>
      </c>
      <c r="I293" t="s">
        <v>3764</v>
      </c>
    </row>
    <row r="294" spans="1:9">
      <c r="A294" s="92" t="s">
        <v>3885</v>
      </c>
      <c r="B294" t="s">
        <v>1903</v>
      </c>
      <c r="C294" t="s">
        <v>2375</v>
      </c>
      <c r="D294" t="s">
        <v>2376</v>
      </c>
      <c r="E294" t="s">
        <v>108</v>
      </c>
      <c r="G294" t="s">
        <v>2635</v>
      </c>
      <c r="H294" t="s">
        <v>108</v>
      </c>
      <c r="I294" t="s">
        <v>3764</v>
      </c>
    </row>
    <row r="295" spans="1:9">
      <c r="A295" s="92" t="s">
        <v>3885</v>
      </c>
      <c r="B295" t="s">
        <v>1903</v>
      </c>
      <c r="C295" t="s">
        <v>2377</v>
      </c>
      <c r="D295" t="s">
        <v>2376</v>
      </c>
      <c r="E295" t="s">
        <v>108</v>
      </c>
      <c r="G295" t="s">
        <v>2635</v>
      </c>
      <c r="H295" t="s">
        <v>108</v>
      </c>
      <c r="I295" t="s">
        <v>3764</v>
      </c>
    </row>
    <row r="296" spans="1:9">
      <c r="A296" s="92" t="s">
        <v>3885</v>
      </c>
      <c r="B296" t="s">
        <v>1905</v>
      </c>
      <c r="C296" t="s">
        <v>2379</v>
      </c>
      <c r="D296" t="s">
        <v>2263</v>
      </c>
      <c r="E296" t="s">
        <v>2315</v>
      </c>
      <c r="F296" t="s">
        <v>2380</v>
      </c>
      <c r="G296" t="s">
        <v>2635</v>
      </c>
      <c r="H296" t="s">
        <v>2315</v>
      </c>
      <c r="I296" t="s">
        <v>3768</v>
      </c>
    </row>
    <row r="297" spans="1:9">
      <c r="A297" s="92" t="s">
        <v>3885</v>
      </c>
      <c r="B297" t="s">
        <v>1905</v>
      </c>
      <c r="C297" t="s">
        <v>2381</v>
      </c>
      <c r="D297" t="s">
        <v>2301</v>
      </c>
      <c r="E297" t="s">
        <v>108</v>
      </c>
      <c r="F297" t="s">
        <v>2382</v>
      </c>
      <c r="G297" t="s">
        <v>2635</v>
      </c>
      <c r="H297" t="s">
        <v>108</v>
      </c>
      <c r="I297" t="s">
        <v>3768</v>
      </c>
    </row>
    <row r="298" spans="1:9">
      <c r="A298" s="92" t="s">
        <v>3885</v>
      </c>
      <c r="B298" t="s">
        <v>1905</v>
      </c>
      <c r="C298" t="s">
        <v>2383</v>
      </c>
      <c r="D298" t="s">
        <v>2298</v>
      </c>
      <c r="E298" t="s">
        <v>108</v>
      </c>
      <c r="F298" t="s">
        <v>2384</v>
      </c>
      <c r="G298" t="s">
        <v>2635</v>
      </c>
      <c r="H298" t="s">
        <v>108</v>
      </c>
      <c r="I298" t="s">
        <v>3768</v>
      </c>
    </row>
    <row r="299" spans="1:9">
      <c r="A299" s="92" t="s">
        <v>3885</v>
      </c>
      <c r="B299" t="s">
        <v>1905</v>
      </c>
      <c r="C299" t="s">
        <v>2385</v>
      </c>
      <c r="D299" t="s">
        <v>2386</v>
      </c>
      <c r="E299" t="s">
        <v>108</v>
      </c>
      <c r="F299" t="s">
        <v>2387</v>
      </c>
      <c r="G299" t="s">
        <v>2635</v>
      </c>
      <c r="H299" t="s">
        <v>108</v>
      </c>
      <c r="I299" t="s">
        <v>3768</v>
      </c>
    </row>
    <row r="300" spans="1:9">
      <c r="A300" s="92" t="s">
        <v>3885</v>
      </c>
      <c r="B300" t="s">
        <v>1910</v>
      </c>
      <c r="C300" t="s">
        <v>2389</v>
      </c>
      <c r="D300" t="s">
        <v>2301</v>
      </c>
      <c r="E300" t="s">
        <v>108</v>
      </c>
      <c r="F300" t="s">
        <v>2390</v>
      </c>
      <c r="G300" t="s">
        <v>2635</v>
      </c>
      <c r="H300" t="s">
        <v>108</v>
      </c>
      <c r="I300" t="s">
        <v>3772</v>
      </c>
    </row>
    <row r="301" spans="1:9">
      <c r="A301" s="92" t="s">
        <v>3885</v>
      </c>
      <c r="B301" t="s">
        <v>1910</v>
      </c>
      <c r="C301" t="s">
        <v>2391</v>
      </c>
      <c r="D301" t="s">
        <v>2392</v>
      </c>
      <c r="E301" t="s">
        <v>108</v>
      </c>
      <c r="F301" t="s">
        <v>2393</v>
      </c>
      <c r="G301" t="s">
        <v>2635</v>
      </c>
      <c r="H301" t="s">
        <v>108</v>
      </c>
      <c r="I301" t="s">
        <v>3772</v>
      </c>
    </row>
    <row r="302" spans="1:9">
      <c r="A302" s="92" t="s">
        <v>3885</v>
      </c>
      <c r="B302" t="s">
        <v>1910</v>
      </c>
      <c r="C302" t="s">
        <v>2394</v>
      </c>
      <c r="D302" t="s">
        <v>2395</v>
      </c>
      <c r="E302" t="s">
        <v>108</v>
      </c>
      <c r="F302" t="s">
        <v>2396</v>
      </c>
      <c r="G302" t="s">
        <v>2635</v>
      </c>
      <c r="H302" t="s">
        <v>108</v>
      </c>
      <c r="I302" t="s">
        <v>3772</v>
      </c>
    </row>
    <row r="303" spans="1:9">
      <c r="A303" s="92" t="s">
        <v>3885</v>
      </c>
      <c r="B303" t="s">
        <v>1910</v>
      </c>
      <c r="C303" t="s">
        <v>2397</v>
      </c>
      <c r="D303" t="s">
        <v>2398</v>
      </c>
      <c r="E303" t="s">
        <v>2315</v>
      </c>
      <c r="G303" t="s">
        <v>2635</v>
      </c>
      <c r="H303" t="s">
        <v>2315</v>
      </c>
      <c r="I303" t="s">
        <v>3772</v>
      </c>
    </row>
    <row r="304" spans="1:9">
      <c r="A304" s="92" t="s">
        <v>3885</v>
      </c>
      <c r="B304" t="s">
        <v>1910</v>
      </c>
      <c r="C304" t="s">
        <v>2399</v>
      </c>
      <c r="D304" t="s">
        <v>2398</v>
      </c>
      <c r="E304" t="s">
        <v>2400</v>
      </c>
      <c r="G304" t="s">
        <v>2635</v>
      </c>
      <c r="H304" t="s">
        <v>108</v>
      </c>
      <c r="I304" t="s">
        <v>3772</v>
      </c>
    </row>
    <row r="305" spans="1:9">
      <c r="A305" s="92" t="s">
        <v>3885</v>
      </c>
      <c r="B305" t="s">
        <v>1912</v>
      </c>
      <c r="C305" t="s">
        <v>2402</v>
      </c>
      <c r="D305" t="s">
        <v>2403</v>
      </c>
      <c r="E305" t="s">
        <v>108</v>
      </c>
      <c r="G305" t="s">
        <v>2635</v>
      </c>
      <c r="H305" t="s">
        <v>108</v>
      </c>
      <c r="I305" t="s">
        <v>3776</v>
      </c>
    </row>
    <row r="306" spans="1:9">
      <c r="A306" s="92" t="s">
        <v>3885</v>
      </c>
      <c r="B306" t="s">
        <v>1912</v>
      </c>
      <c r="C306" t="s">
        <v>2404</v>
      </c>
      <c r="D306" t="s">
        <v>2403</v>
      </c>
      <c r="E306" t="s">
        <v>2315</v>
      </c>
      <c r="F306" t="s">
        <v>2405</v>
      </c>
      <c r="G306" t="s">
        <v>2635</v>
      </c>
      <c r="H306" t="s">
        <v>2315</v>
      </c>
      <c r="I306" t="s">
        <v>3776</v>
      </c>
    </row>
    <row r="307" spans="1:9">
      <c r="A307" s="92" t="s">
        <v>3885</v>
      </c>
      <c r="B307" t="s">
        <v>1912</v>
      </c>
      <c r="C307" t="s">
        <v>2406</v>
      </c>
      <c r="D307" t="s">
        <v>2407</v>
      </c>
      <c r="E307" t="s">
        <v>2408</v>
      </c>
      <c r="F307" t="s">
        <v>2410</v>
      </c>
      <c r="G307" t="s">
        <v>2225</v>
      </c>
      <c r="H307" t="s">
        <v>2631</v>
      </c>
      <c r="I307" t="s">
        <v>3776</v>
      </c>
    </row>
    <row r="308" spans="1:9">
      <c r="A308" s="92" t="s">
        <v>3885</v>
      </c>
      <c r="B308" t="s">
        <v>1912</v>
      </c>
      <c r="C308" t="s">
        <v>2411</v>
      </c>
      <c r="D308" t="s">
        <v>2407</v>
      </c>
      <c r="E308" t="s">
        <v>2331</v>
      </c>
      <c r="F308" t="s">
        <v>2412</v>
      </c>
      <c r="G308" t="s">
        <v>2635</v>
      </c>
      <c r="H308" t="s">
        <v>108</v>
      </c>
      <c r="I308" t="s">
        <v>3776</v>
      </c>
    </row>
    <row r="309" spans="1:9">
      <c r="A309" s="92" t="s">
        <v>3885</v>
      </c>
      <c r="B309" t="s">
        <v>1912</v>
      </c>
      <c r="C309" t="s">
        <v>2413</v>
      </c>
      <c r="D309" t="s">
        <v>2403</v>
      </c>
      <c r="E309" t="s">
        <v>2414</v>
      </c>
      <c r="G309" t="s">
        <v>2635</v>
      </c>
      <c r="H309" t="s">
        <v>108</v>
      </c>
      <c r="I309" t="s">
        <v>3776</v>
      </c>
    </row>
    <row r="310" spans="1:9">
      <c r="A310" s="92" t="s">
        <v>3885</v>
      </c>
      <c r="B310" t="s">
        <v>1912</v>
      </c>
      <c r="C310" t="s">
        <v>2415</v>
      </c>
      <c r="D310" t="s">
        <v>2403</v>
      </c>
      <c r="E310" t="s">
        <v>2416</v>
      </c>
      <c r="F310" t="s">
        <v>2417</v>
      </c>
      <c r="G310" t="s">
        <v>2635</v>
      </c>
      <c r="H310" t="s">
        <v>108</v>
      </c>
      <c r="I310" t="s">
        <v>3776</v>
      </c>
    </row>
    <row r="311" spans="1:9">
      <c r="A311" s="92" t="s">
        <v>3885</v>
      </c>
      <c r="B311" t="s">
        <v>1914</v>
      </c>
      <c r="C311" t="s">
        <v>2419</v>
      </c>
      <c r="D311" t="s">
        <v>2287</v>
      </c>
      <c r="E311" t="s">
        <v>2420</v>
      </c>
      <c r="F311" t="s">
        <v>2421</v>
      </c>
      <c r="G311" t="s">
        <v>2635</v>
      </c>
      <c r="H311" t="s">
        <v>108</v>
      </c>
      <c r="I311" t="s">
        <v>3780</v>
      </c>
    </row>
    <row r="312" spans="1:9">
      <c r="A312" s="92" t="s">
        <v>3885</v>
      </c>
      <c r="B312" t="s">
        <v>1914</v>
      </c>
      <c r="C312" t="s">
        <v>2422</v>
      </c>
      <c r="D312" t="s">
        <v>2423</v>
      </c>
      <c r="E312" t="s">
        <v>2424</v>
      </c>
      <c r="F312" t="s">
        <v>2425</v>
      </c>
      <c r="G312" t="s">
        <v>2635</v>
      </c>
      <c r="H312" t="s">
        <v>108</v>
      </c>
      <c r="I312" t="s">
        <v>3780</v>
      </c>
    </row>
    <row r="313" spans="1:9">
      <c r="A313" s="92" t="s">
        <v>3885</v>
      </c>
      <c r="B313" t="s">
        <v>1914</v>
      </c>
      <c r="C313" t="s">
        <v>2274</v>
      </c>
      <c r="E313" t="s">
        <v>2254</v>
      </c>
      <c r="G313" t="s">
        <v>2635</v>
      </c>
      <c r="H313" t="s">
        <v>2526</v>
      </c>
      <c r="I313" t="s">
        <v>3780</v>
      </c>
    </row>
    <row r="314" spans="1:9">
      <c r="A314" s="92" t="s">
        <v>3885</v>
      </c>
      <c r="B314" t="s">
        <v>1914</v>
      </c>
      <c r="C314" t="s">
        <v>2426</v>
      </c>
      <c r="D314" t="s">
        <v>2272</v>
      </c>
      <c r="E314" t="s">
        <v>2427</v>
      </c>
      <c r="F314" t="s">
        <v>2428</v>
      </c>
      <c r="G314" t="s">
        <v>2635</v>
      </c>
      <c r="H314" t="s">
        <v>2427</v>
      </c>
      <c r="I314" t="s">
        <v>3780</v>
      </c>
    </row>
    <row r="315" spans="1:9">
      <c r="A315" s="92" t="s">
        <v>3894</v>
      </c>
      <c r="B315" t="s">
        <v>1888</v>
      </c>
      <c r="C315" t="s">
        <v>2241</v>
      </c>
      <c r="D315" t="s">
        <v>2242</v>
      </c>
      <c r="E315" t="s">
        <v>2243</v>
      </c>
      <c r="F315" t="s">
        <v>2246</v>
      </c>
      <c r="G315" t="s">
        <v>2635</v>
      </c>
      <c r="H315" t="s">
        <v>2245</v>
      </c>
      <c r="I315" t="s">
        <v>3740</v>
      </c>
    </row>
    <row r="316" spans="1:9">
      <c r="A316" s="92" t="s">
        <v>3894</v>
      </c>
      <c r="B316" t="s">
        <v>1888</v>
      </c>
      <c r="C316" t="s">
        <v>2309</v>
      </c>
      <c r="E316" t="s">
        <v>2310</v>
      </c>
      <c r="G316" t="s">
        <v>2635</v>
      </c>
      <c r="H316" t="s">
        <v>1215</v>
      </c>
      <c r="I316" t="s">
        <v>3740</v>
      </c>
    </row>
    <row r="317" spans="1:9">
      <c r="A317" s="92" t="s">
        <v>3894</v>
      </c>
      <c r="B317" t="s">
        <v>3515</v>
      </c>
      <c r="C317" t="s">
        <v>2281</v>
      </c>
      <c r="D317" t="s">
        <v>2282</v>
      </c>
      <c r="E317" t="s">
        <v>2283</v>
      </c>
      <c r="G317" t="s">
        <v>2635</v>
      </c>
      <c r="H317" t="s">
        <v>2645</v>
      </c>
      <c r="I317" t="s">
        <v>3748</v>
      </c>
    </row>
    <row r="318" spans="1:9">
      <c r="A318" s="92" t="s">
        <v>3894</v>
      </c>
      <c r="B318" t="s">
        <v>1895</v>
      </c>
      <c r="C318" t="s">
        <v>2286</v>
      </c>
      <c r="D318" t="s">
        <v>2287</v>
      </c>
      <c r="E318" t="s">
        <v>2288</v>
      </c>
      <c r="G318" t="s">
        <v>2635</v>
      </c>
      <c r="H318" t="s">
        <v>2284</v>
      </c>
      <c r="I318" t="s">
        <v>3752</v>
      </c>
    </row>
    <row r="319" spans="1:9">
      <c r="A319" s="92" t="s">
        <v>3894</v>
      </c>
      <c r="B319" t="s">
        <v>1897</v>
      </c>
      <c r="C319" t="s">
        <v>2248</v>
      </c>
      <c r="D319" t="s">
        <v>2249</v>
      </c>
      <c r="E319" t="s">
        <v>2250</v>
      </c>
      <c r="G319" t="s">
        <v>2635</v>
      </c>
      <c r="H319" t="s">
        <v>2251</v>
      </c>
      <c r="I319" t="s">
        <v>3756</v>
      </c>
    </row>
    <row r="320" spans="1:9">
      <c r="A320" s="92" t="s">
        <v>3894</v>
      </c>
      <c r="B320" t="s">
        <v>1897</v>
      </c>
      <c r="C320" t="s">
        <v>2253</v>
      </c>
      <c r="D320" t="s">
        <v>2249</v>
      </c>
      <c r="E320" t="s">
        <v>2254</v>
      </c>
      <c r="G320" t="s">
        <v>2635</v>
      </c>
      <c r="H320" t="s">
        <v>2251</v>
      </c>
      <c r="I320" t="s">
        <v>3756</v>
      </c>
    </row>
    <row r="321" spans="1:9">
      <c r="A321" s="92" t="s">
        <v>3894</v>
      </c>
      <c r="B321" t="s">
        <v>1897</v>
      </c>
      <c r="C321" t="s">
        <v>2255</v>
      </c>
      <c r="D321" t="s">
        <v>2249</v>
      </c>
      <c r="E321" t="s">
        <v>2254</v>
      </c>
      <c r="G321" t="s">
        <v>2635</v>
      </c>
      <c r="H321" t="s">
        <v>2251</v>
      </c>
      <c r="I321" t="s">
        <v>3756</v>
      </c>
    </row>
    <row r="322" spans="1:9">
      <c r="A322" s="92" t="s">
        <v>3894</v>
      </c>
      <c r="B322" t="s">
        <v>1897</v>
      </c>
      <c r="C322" t="s">
        <v>2256</v>
      </c>
      <c r="D322" t="s">
        <v>2257</v>
      </c>
      <c r="E322" t="s">
        <v>2254</v>
      </c>
      <c r="G322" t="s">
        <v>2635</v>
      </c>
      <c r="H322" t="s">
        <v>2251</v>
      </c>
      <c r="I322" t="s">
        <v>3756</v>
      </c>
    </row>
    <row r="323" spans="1:9">
      <c r="A323" s="92" t="s">
        <v>3894</v>
      </c>
      <c r="B323" t="s">
        <v>1897</v>
      </c>
      <c r="C323" t="s">
        <v>2258</v>
      </c>
      <c r="E323" t="s">
        <v>2254</v>
      </c>
      <c r="G323" t="s">
        <v>2635</v>
      </c>
      <c r="H323" t="s">
        <v>2251</v>
      </c>
      <c r="I323" t="s">
        <v>3756</v>
      </c>
    </row>
    <row r="324" spans="1:9">
      <c r="A324" s="92" t="s">
        <v>3894</v>
      </c>
      <c r="B324" t="s">
        <v>1897</v>
      </c>
      <c r="C324" t="s">
        <v>2259</v>
      </c>
      <c r="E324" t="s">
        <v>2254</v>
      </c>
      <c r="G324" t="s">
        <v>2635</v>
      </c>
      <c r="H324" t="s">
        <v>2251</v>
      </c>
      <c r="I324" t="s">
        <v>3756</v>
      </c>
    </row>
    <row r="325" spans="1:9">
      <c r="A325" s="92" t="s">
        <v>3894</v>
      </c>
      <c r="B325" t="s">
        <v>1897</v>
      </c>
      <c r="C325" t="s">
        <v>2260</v>
      </c>
      <c r="E325" t="s">
        <v>2254</v>
      </c>
      <c r="G325" t="s">
        <v>2635</v>
      </c>
      <c r="H325" t="s">
        <v>2251</v>
      </c>
      <c r="I325" t="s">
        <v>3756</v>
      </c>
    </row>
    <row r="326" spans="1:9">
      <c r="A326" s="92" t="s">
        <v>3894</v>
      </c>
      <c r="B326" t="s">
        <v>1905</v>
      </c>
      <c r="C326" t="s">
        <v>2262</v>
      </c>
      <c r="D326" t="s">
        <v>2263</v>
      </c>
      <c r="E326" t="s">
        <v>2243</v>
      </c>
      <c r="F326" t="s">
        <v>2264</v>
      </c>
      <c r="G326" t="s">
        <v>2635</v>
      </c>
      <c r="H326" t="s">
        <v>2245</v>
      </c>
      <c r="I326" t="s">
        <v>3768</v>
      </c>
    </row>
    <row r="327" spans="1:9">
      <c r="A327" s="92" t="s">
        <v>3894</v>
      </c>
      <c r="B327" t="s">
        <v>1905</v>
      </c>
      <c r="C327" t="s">
        <v>2265</v>
      </c>
      <c r="D327" t="s">
        <v>2266</v>
      </c>
      <c r="E327" t="s">
        <v>2243</v>
      </c>
      <c r="F327" t="s">
        <v>2267</v>
      </c>
      <c r="G327" t="s">
        <v>2635</v>
      </c>
      <c r="H327" t="s">
        <v>2245</v>
      </c>
      <c r="I327" t="s">
        <v>3768</v>
      </c>
    </row>
    <row r="328" spans="1:9">
      <c r="A328" s="92" t="s">
        <v>3894</v>
      </c>
      <c r="B328" t="s">
        <v>1912</v>
      </c>
      <c r="C328" t="s">
        <v>2406</v>
      </c>
      <c r="D328" t="s">
        <v>2407</v>
      </c>
      <c r="E328" t="s">
        <v>2408</v>
      </c>
      <c r="F328" t="s">
        <v>2410</v>
      </c>
      <c r="G328" t="s">
        <v>2635</v>
      </c>
      <c r="H328" t="s">
        <v>2631</v>
      </c>
      <c r="I328" t="s">
        <v>3776</v>
      </c>
    </row>
    <row r="329" spans="1:9">
      <c r="A329" s="92" t="s">
        <v>3894</v>
      </c>
      <c r="B329" t="s">
        <v>1914</v>
      </c>
      <c r="C329" t="s">
        <v>2269</v>
      </c>
      <c r="E329" t="s">
        <v>2243</v>
      </c>
      <c r="F329" t="s">
        <v>2270</v>
      </c>
      <c r="G329" t="s">
        <v>2635</v>
      </c>
      <c r="H329" t="s">
        <v>2245</v>
      </c>
      <c r="I329" t="s">
        <v>3780</v>
      </c>
    </row>
    <row r="330" spans="1:9">
      <c r="A330" s="92" t="s">
        <v>3894</v>
      </c>
      <c r="B330" t="s">
        <v>1914</v>
      </c>
      <c r="C330" t="s">
        <v>2271</v>
      </c>
      <c r="D330" t="s">
        <v>2272</v>
      </c>
      <c r="E330" t="s">
        <v>2243</v>
      </c>
      <c r="F330" t="s">
        <v>2273</v>
      </c>
      <c r="G330" t="s">
        <v>2635</v>
      </c>
      <c r="H330" t="s">
        <v>2245</v>
      </c>
      <c r="I330" t="s">
        <v>3780</v>
      </c>
    </row>
    <row r="331" spans="1:9">
      <c r="A331" s="92" t="s">
        <v>3894</v>
      </c>
      <c r="B331" t="s">
        <v>1914</v>
      </c>
      <c r="C331" t="s">
        <v>2274</v>
      </c>
      <c r="E331" t="s">
        <v>2254</v>
      </c>
      <c r="G331" t="s">
        <v>2635</v>
      </c>
      <c r="H331" t="s">
        <v>2251</v>
      </c>
      <c r="I331" t="s">
        <v>3780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4318</v>
      </c>
      <c r="B1" s="175"/>
      <c r="C1" s="175"/>
      <c r="D1" s="175"/>
      <c r="E1" s="175"/>
    </row>
    <row r="2" spans="1:7">
      <c r="A2" t="s">
        <v>1448</v>
      </c>
      <c r="B2" t="s">
        <v>4319</v>
      </c>
      <c r="C2" t="s">
        <v>4320</v>
      </c>
      <c r="D2" t="s">
        <v>4321</v>
      </c>
      <c r="E2" t="s">
        <v>4322</v>
      </c>
      <c r="F2" t="s">
        <v>4323</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4324</v>
      </c>
      <c r="B17">
        <f>SUMIFS(Réttabanki!$T:$T,Réttabanki!$W:$W,$A17)</f>
        <v>0</v>
      </c>
      <c r="C17">
        <f>SUMIFS(Réttabanki!$C:$C,Réttabanki!$W:$W,$A17)/1000</f>
        <v>0</v>
      </c>
      <c r="D17" t="str">
        <f t="shared" si="0"/>
        <v/>
      </c>
      <c r="E17">
        <f>COUNTIFS(Réttabanki!$W:$W,$A17,Réttabanki!$B:$B,"&lt;&gt;")</f>
        <v>0</v>
      </c>
      <c r="F17" s="178">
        <v>46262</v>
      </c>
      <c r="G17" s="178">
        <v>46318</v>
      </c>
    </row>
    <row r="18" spans="1:7">
      <c r="A18" t="s">
        <v>4325</v>
      </c>
      <c r="B18">
        <f>SUMIFS(Réttabanki!$T:$T,Réttabanki!$W:$W,$A18)</f>
        <v>0</v>
      </c>
      <c r="C18">
        <f>SUMIFS(Réttabanki!$C:$C,Réttabanki!$W:$W,$A18)/1000</f>
        <v>0</v>
      </c>
      <c r="D18" t="str">
        <f t="shared" si="0"/>
        <v/>
      </c>
      <c r="E18">
        <f>COUNTIFS(Réttabanki!$W:$W,$A18,Réttabanki!$B:$B,"&lt;&gt;")</f>
        <v>0</v>
      </c>
      <c r="F18" s="178">
        <v>46265</v>
      </c>
      <c r="G18" s="178">
        <v>46321</v>
      </c>
    </row>
    <row r="19" spans="1:7">
      <c r="A19" t="s">
        <v>4326</v>
      </c>
      <c r="B19">
        <f>SUMIFS(Réttabanki!$T:$T,Réttabanki!$W:$W,$A19)</f>
        <v>0</v>
      </c>
      <c r="C19">
        <f>SUMIFS(Réttabanki!$C:$C,Réttabanki!$W:$W,$A19)/1000</f>
        <v>0</v>
      </c>
      <c r="D19" t="str">
        <f t="shared" si="0"/>
        <v/>
      </c>
      <c r="E19">
        <f>COUNTIFS(Réttabanki!$W:$W,$A19,Réttabanki!$B:$B,"&lt;&gt;")</f>
        <v>0</v>
      </c>
      <c r="F19" s="178">
        <v>46266</v>
      </c>
      <c r="G19" s="178">
        <v>46322</v>
      </c>
    </row>
    <row r="20" spans="1:7">
      <c r="A20" t="s">
        <v>4327</v>
      </c>
      <c r="B20">
        <f>SUMIFS(Réttabanki!$T:$T,Réttabanki!$W:$W,$A20)</f>
        <v>0</v>
      </c>
      <c r="C20">
        <f>SUMIFS(Réttabanki!$C:$C,Réttabanki!$W:$W,$A20)/1000</f>
        <v>0</v>
      </c>
      <c r="D20" t="str">
        <f t="shared" si="0"/>
        <v/>
      </c>
      <c r="E20">
        <f>COUNTIFS(Réttabanki!$W:$W,$A20,Réttabanki!$B:$B,"&lt;&gt;")</f>
        <v>0</v>
      </c>
      <c r="F20" s="178">
        <v>46267</v>
      </c>
      <c r="G20" s="178">
        <v>46323</v>
      </c>
    </row>
    <row r="21" spans="1:7">
      <c r="A21" t="s">
        <v>4328</v>
      </c>
      <c r="B21">
        <f>SUMIFS(Réttabanki!$T:$T,Réttabanki!$W:$W,$A21)</f>
        <v>0</v>
      </c>
      <c r="C21">
        <f>SUMIFS(Réttabanki!$C:$C,Réttabanki!$W:$W,$A21)/1000</f>
        <v>0</v>
      </c>
      <c r="D21" t="str">
        <f t="shared" si="0"/>
        <v/>
      </c>
      <c r="E21">
        <f>COUNTIFS(Réttabanki!$W:$W,$A21,Réttabanki!$B:$B,"&lt;&gt;")</f>
        <v>0</v>
      </c>
      <c r="F21" s="178">
        <v>46268</v>
      </c>
      <c r="G21" s="178">
        <v>46324</v>
      </c>
    </row>
    <row r="22" spans="1:7">
      <c r="A22" t="s">
        <v>4329</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4330</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4331</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4332</v>
      </c>
      <c r="B34">
        <f>SUMIFS(Réttabanki!$T:$T,Réttabanki!$W:$W,$A34)</f>
        <v>0</v>
      </c>
      <c r="C34">
        <f>SUMIFS(Réttabanki!$C:$C,Réttabanki!$W:$W,$A34)/1000</f>
        <v>0</v>
      </c>
      <c r="D34" t="str">
        <f t="shared" si="0"/>
        <v/>
      </c>
      <c r="E34">
        <f>COUNTIFS(Réttabanki!$W:$W,$A34,Réttabanki!$B:$B,"&lt;&gt;")</f>
        <v>0</v>
      </c>
      <c r="F34" s="178">
        <v>46287</v>
      </c>
      <c r="G34" s="178">
        <v>46343</v>
      </c>
    </row>
    <row r="35" spans="1:7">
      <c r="A35" t="s">
        <v>4333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4334</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4336</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4337</v>
      </c>
      <c r="B1" s="179" t="s">
        <v>4338</v>
      </c>
      <c r="C1" s="179" t="s">
        <v>4339</v>
      </c>
      <c r="D1" s="179" t="s">
        <v>4340</v>
      </c>
      <c r="E1" s="179" t="s">
        <v>4341</v>
      </c>
      <c r="F1" s="179" t="s">
        <v>4342</v>
      </c>
      <c r="G1" s="179" t="s">
        <v>4343</v>
      </c>
      <c r="H1" s="179" t="s">
        <v>4344</v>
      </c>
      <c r="I1" s="179" t="s">
        <v>4345</v>
      </c>
      <c r="J1" s="179" t="s">
        <v>4346</v>
      </c>
      <c r="K1" s="179" t="s">
        <v>4347</v>
      </c>
      <c r="L1" s="179" t="s">
        <v>4348</v>
      </c>
      <c r="M1" s="179" t="s">
        <v>4349</v>
      </c>
      <c r="N1" s="179" t="s">
        <v>19</v>
      </c>
      <c r="O1" s="179" t="s">
        <v>4350</v>
      </c>
      <c r="P1" s="179" t="s">
        <v>4351</v>
      </c>
      <c r="Q1" s="317" t="s">
        <v>4352</v>
      </c>
    </row>
    <row r="2" spans="1:17" ht="18" customHeight="1" outlineLevel="1">
      <c r="A2" s="185">
        <v>46244</v>
      </c>
      <c r="B2" s="186"/>
      <c r="C2" s="186" t="s">
        <v>4353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4354</v>
      </c>
    </row>
    <row r="4" spans="1:17" ht="18" customHeight="1" outlineLevel="1">
      <c r="A4" s="180">
        <v>46244</v>
      </c>
      <c r="B4" s="181" t="str">
        <f t="shared" ca="1" si="0"/>
        <v>Expired</v>
      </c>
      <c r="C4" s="181" t="s">
        <v>155</v>
      </c>
      <c r="D4" s="181" t="s">
        <v>1861</v>
      </c>
      <c r="E4" s="182">
        <f>Hráefnaskrá!$D$32/1000</f>
        <v>35</v>
      </c>
      <c r="F4" s="181"/>
      <c r="G4" s="181"/>
      <c r="H4" s="181"/>
      <c r="I4" s="181" t="s">
        <v>4355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4356</v>
      </c>
    </row>
    <row r="18" spans="1:17" ht="18" customHeight="1">
      <c r="A18" s="180">
        <v>46244</v>
      </c>
      <c r="B18" s="181" t="str">
        <f t="shared" ca="1" si="0"/>
        <v>Expired</v>
      </c>
      <c r="C18" s="181" t="s">
        <v>1090</v>
      </c>
      <c r="D18" s="181" t="s">
        <v>1881</v>
      </c>
      <c r="E18" s="182"/>
      <c r="F18" s="181"/>
      <c r="G18" s="181"/>
      <c r="H18" s="181"/>
      <c r="I18" s="181" t="s">
        <v>4355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4356</v>
      </c>
    </row>
    <row r="19" spans="1:17" ht="18" customHeight="1">
      <c r="A19" s="180">
        <v>46244</v>
      </c>
      <c r="B19" s="181" t="str">
        <f t="shared" ca="1" si="0"/>
        <v>Expired</v>
      </c>
      <c r="C19" s="181" t="s">
        <v>309</v>
      </c>
      <c r="D19" s="181" t="s">
        <v>1881</v>
      </c>
      <c r="E19" s="182"/>
      <c r="F19" s="181"/>
      <c r="G19" s="181"/>
      <c r="H19" s="181"/>
      <c r="I19" s="181" t="s">
        <v>4355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4356</v>
      </c>
    </row>
    <row r="20" spans="1:17" ht="18" customHeight="1">
      <c r="A20" s="180">
        <v>46244</v>
      </c>
      <c r="B20" s="181" t="str">
        <f t="shared" ca="1" si="0"/>
        <v>Expired</v>
      </c>
      <c r="C20" s="181" t="s">
        <v>57</v>
      </c>
      <c r="D20" s="181" t="s">
        <v>1906</v>
      </c>
      <c r="E20" s="182"/>
      <c r="F20" s="181"/>
      <c r="G20" s="181"/>
      <c r="H20" s="181"/>
      <c r="I20" s="181" t="s">
        <v>3493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4356</v>
      </c>
    </row>
    <row r="21" spans="1:17" ht="18" customHeight="1">
      <c r="A21" s="180">
        <v>46244</v>
      </c>
      <c r="B21" s="181" t="str">
        <f t="shared" ca="1" si="0"/>
        <v>Expired</v>
      </c>
      <c r="C21" s="181" t="s">
        <v>566</v>
      </c>
      <c r="D21" s="181" t="s">
        <v>1906</v>
      </c>
      <c r="E21" s="182"/>
      <c r="F21" s="181"/>
      <c r="G21" s="181"/>
      <c r="H21" s="181"/>
      <c r="I21" s="181" t="s">
        <v>3493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4356</v>
      </c>
    </row>
    <row r="22" spans="1:17" ht="18" customHeight="1">
      <c r="A22" s="337">
        <v>46244</v>
      </c>
      <c r="B22" s="318" t="str">
        <f ca="1">IF($A22&lt;TODAY(),"Expired","Active")</f>
        <v>Expired</v>
      </c>
      <c r="C22" s="318" t="s">
        <v>1413</v>
      </c>
      <c r="D22" s="318" t="s">
        <v>1881</v>
      </c>
      <c r="E22" s="338"/>
      <c r="F22" s="318"/>
      <c r="G22" s="318"/>
      <c r="H22" s="318"/>
      <c r="I22" s="181" t="s">
        <v>4355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4357</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4357</v>
      </c>
    </row>
    <row r="24" spans="1:17" ht="18" customHeight="1">
      <c r="A24" s="185">
        <v>46245</v>
      </c>
      <c r="B24" s="186"/>
      <c r="C24" s="186" t="s">
        <v>4353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4356</v>
      </c>
    </row>
    <row r="26" spans="1:17" ht="18" customHeight="1">
      <c r="A26" s="180">
        <v>46245</v>
      </c>
      <c r="B26" s="181" t="str">
        <f t="shared" ca="1" si="1"/>
        <v>Active</v>
      </c>
      <c r="C26" s="181" t="s">
        <v>883</v>
      </c>
      <c r="D26" s="181" t="s">
        <v>1861</v>
      </c>
      <c r="E26" s="182"/>
      <c r="F26" s="181"/>
      <c r="G26" s="181"/>
      <c r="H26" s="181"/>
      <c r="I26" s="181" t="s">
        <v>4355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4356</v>
      </c>
    </row>
    <row r="27" spans="1:17" ht="18" customHeight="1">
      <c r="A27" s="180">
        <v>46245</v>
      </c>
      <c r="B27" s="181" t="str">
        <f t="shared" ca="1" si="1"/>
        <v>Active</v>
      </c>
      <c r="C27" s="181" t="s">
        <v>256</v>
      </c>
      <c r="D27" s="181" t="s">
        <v>1861</v>
      </c>
      <c r="E27" s="182"/>
      <c r="F27" s="181"/>
      <c r="G27" s="181"/>
      <c r="H27" s="181"/>
      <c r="I27" s="181" t="s">
        <v>4355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4356</v>
      </c>
    </row>
    <row r="28" spans="1:17" ht="18" customHeight="1">
      <c r="A28" s="180">
        <v>46245</v>
      </c>
      <c r="B28" s="181" t="str">
        <f t="shared" ca="1" si="1"/>
        <v>Active</v>
      </c>
      <c r="C28" s="181" t="s">
        <v>195</v>
      </c>
      <c r="D28" s="181" t="s">
        <v>1881</v>
      </c>
      <c r="E28" s="182"/>
      <c r="F28" s="181"/>
      <c r="G28" s="181"/>
      <c r="H28" s="181"/>
      <c r="I28" s="181" t="s">
        <v>3493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4356</v>
      </c>
    </row>
    <row r="29" spans="1:17" ht="18" customHeight="1">
      <c r="A29" s="180">
        <v>46245</v>
      </c>
      <c r="B29" s="181" t="str">
        <f t="shared" ca="1" si="1"/>
        <v>Active</v>
      </c>
      <c r="C29" s="181" t="s">
        <v>883</v>
      </c>
      <c r="D29" s="181" t="s">
        <v>1881</v>
      </c>
      <c r="E29" s="182"/>
      <c r="F29" s="181"/>
      <c r="G29" s="181"/>
      <c r="H29" s="181"/>
      <c r="I29" s="181" t="s">
        <v>4355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4356</v>
      </c>
    </row>
    <row r="30" spans="1:17" ht="18" customHeight="1">
      <c r="A30" s="180">
        <v>46245</v>
      </c>
      <c r="B30" s="181" t="str">
        <f t="shared" ca="1" si="1"/>
        <v>Active</v>
      </c>
      <c r="C30" s="181" t="s">
        <v>256</v>
      </c>
      <c r="D30" s="181" t="s">
        <v>1881</v>
      </c>
      <c r="E30" s="182"/>
      <c r="F30" s="181"/>
      <c r="G30" s="181"/>
      <c r="H30" s="181"/>
      <c r="I30" s="181" t="s">
        <v>4355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4356</v>
      </c>
    </row>
    <row r="31" spans="1:17" ht="18" customHeight="1">
      <c r="A31" s="180">
        <v>46245</v>
      </c>
      <c r="B31" s="181" t="str">
        <f t="shared" ca="1" si="1"/>
        <v>Active</v>
      </c>
      <c r="C31" s="181" t="s">
        <v>136</v>
      </c>
      <c r="D31" s="181" t="s">
        <v>962</v>
      </c>
      <c r="E31" s="182"/>
      <c r="F31" s="181"/>
      <c r="G31" s="181"/>
      <c r="H31" s="181"/>
      <c r="I31" s="181" t="s">
        <v>3493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4356</v>
      </c>
    </row>
    <row r="32" spans="1:17" ht="18" customHeight="1">
      <c r="A32" s="180">
        <v>46245</v>
      </c>
      <c r="B32" s="181" t="str">
        <f t="shared" ca="1" si="1"/>
        <v>Active</v>
      </c>
      <c r="C32" s="181" t="s">
        <v>68</v>
      </c>
      <c r="D32" s="181" t="s">
        <v>1906</v>
      </c>
      <c r="E32" s="182"/>
      <c r="F32" s="181"/>
      <c r="G32" s="181"/>
      <c r="H32" s="181"/>
      <c r="I32" s="181" t="s">
        <v>3493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4356</v>
      </c>
    </row>
    <row r="33" spans="1:17" ht="18" customHeight="1">
      <c r="A33" s="180">
        <v>46245</v>
      </c>
      <c r="B33" s="181" t="str">
        <f t="shared" ca="1" si="1"/>
        <v>Active</v>
      </c>
      <c r="C33" s="181" t="s">
        <v>571</v>
      </c>
      <c r="D33" s="181" t="s">
        <v>1906</v>
      </c>
      <c r="E33" s="182"/>
      <c r="F33" s="181"/>
      <c r="G33" s="181"/>
      <c r="H33" s="181"/>
      <c r="I33" s="181" t="s">
        <v>3493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4356</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4357</v>
      </c>
    </row>
    <row r="35" spans="1:17" ht="18" customHeight="1">
      <c r="A35" s="337">
        <v>46245</v>
      </c>
      <c r="B35" s="318" t="str">
        <f ca="1">IF($A35&lt;TODAY(),"Expired","Active")</f>
        <v>Active</v>
      </c>
      <c r="C35" s="318" t="s">
        <v>556</v>
      </c>
      <c r="D35" s="318" t="s">
        <v>1891</v>
      </c>
      <c r="E35" s="338"/>
      <c r="F35" s="318"/>
      <c r="G35" s="318"/>
      <c r="H35" s="318"/>
      <c r="I35" s="181" t="s">
        <v>4355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4357</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4357</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4357</v>
      </c>
    </row>
    <row r="38" spans="1:17" ht="18" customHeight="1">
      <c r="A38" s="185">
        <v>46246</v>
      </c>
      <c r="B38" s="186"/>
      <c r="C38" s="186" t="s">
        <v>4353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4354</v>
      </c>
    </row>
    <row r="40" spans="1:17" ht="18" customHeight="1">
      <c r="A40" s="342">
        <v>46246</v>
      </c>
      <c r="B40" s="343" t="str">
        <f ca="1">IF($A40&lt;TODAY(),"Expired","Active")</f>
        <v>Active</v>
      </c>
      <c r="C40" s="345" t="s">
        <v>304</v>
      </c>
      <c r="D40" s="343" t="s">
        <v>1861</v>
      </c>
      <c r="E40" s="344">
        <f>Hráefnaskrá!$D$656/1000</f>
        <v>13</v>
      </c>
      <c r="F40" s="343"/>
      <c r="G40" s="343"/>
      <c r="H40" s="343"/>
      <c r="I40" s="343" t="s">
        <v>3493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4356</v>
      </c>
    </row>
    <row r="46" spans="1:17" ht="18" customHeight="1">
      <c r="A46" s="180">
        <v>46246</v>
      </c>
      <c r="B46" s="181" t="str">
        <f t="shared" ca="1" si="2"/>
        <v>Active</v>
      </c>
      <c r="C46" s="181" t="s">
        <v>709</v>
      </c>
      <c r="D46" s="181" t="s">
        <v>1861</v>
      </c>
      <c r="E46" s="182"/>
      <c r="F46" s="181"/>
      <c r="G46" s="181"/>
      <c r="H46" s="181"/>
      <c r="I46" s="181" t="s">
        <v>3493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4356</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4354</v>
      </c>
    </row>
    <row r="48" spans="1:17" ht="18" customHeight="1">
      <c r="A48" s="180">
        <v>46246</v>
      </c>
      <c r="B48" s="181" t="str">
        <f t="shared" ca="1" si="2"/>
        <v>Active</v>
      </c>
      <c r="C48" s="181" t="s">
        <v>304</v>
      </c>
      <c r="D48" s="181" t="s">
        <v>1881</v>
      </c>
      <c r="E48" s="182">
        <f>Hráefnaskrá!$D$617/1000</f>
        <v>13</v>
      </c>
      <c r="F48" s="181"/>
      <c r="G48" s="181"/>
      <c r="H48" s="181"/>
      <c r="I48" s="181" t="s">
        <v>4355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4356</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4354</v>
      </c>
    </row>
    <row r="55" spans="1:17" ht="18" customHeight="1">
      <c r="A55" s="180">
        <v>46246</v>
      </c>
      <c r="B55" s="181" t="str">
        <f t="shared" ca="1" si="2"/>
        <v>Active</v>
      </c>
      <c r="C55" s="181" t="s">
        <v>304</v>
      </c>
      <c r="D55" s="181" t="s">
        <v>962</v>
      </c>
      <c r="E55" s="182">
        <f>Hráefnaskrá!$D$617/1000</f>
        <v>13</v>
      </c>
      <c r="F55" s="181"/>
      <c r="G55" s="181"/>
      <c r="H55" s="181"/>
      <c r="I55" s="181" t="s">
        <v>3493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4356</v>
      </c>
    </row>
    <row r="61" spans="1:17" ht="18" customHeight="1">
      <c r="A61" s="180">
        <v>46246</v>
      </c>
      <c r="B61" s="181" t="str">
        <f t="shared" ca="1" si="2"/>
        <v>Active</v>
      </c>
      <c r="C61" s="181" t="s">
        <v>566</v>
      </c>
      <c r="D61" s="181" t="s">
        <v>1891</v>
      </c>
      <c r="E61" s="182"/>
      <c r="F61" s="181"/>
      <c r="G61" s="181"/>
      <c r="H61" s="181"/>
      <c r="I61" s="181" t="s">
        <v>3493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4356</v>
      </c>
    </row>
    <row r="62" spans="1:17" ht="18" customHeight="1">
      <c r="A62" s="180">
        <v>46246</v>
      </c>
      <c r="B62" s="181" t="str">
        <f t="shared" ca="1" si="2"/>
        <v>Active</v>
      </c>
      <c r="C62" s="181" t="s">
        <v>78</v>
      </c>
      <c r="D62" s="181" t="s">
        <v>1906</v>
      </c>
      <c r="E62" s="182"/>
      <c r="F62" s="181"/>
      <c r="G62" s="181"/>
      <c r="H62" s="181"/>
      <c r="I62" s="181" t="s">
        <v>3493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4356</v>
      </c>
    </row>
    <row r="63" spans="1:17" ht="18" customHeight="1">
      <c r="A63" s="180">
        <v>46246</v>
      </c>
      <c r="B63" s="181" t="str">
        <f t="shared" ca="1" si="2"/>
        <v>Active</v>
      </c>
      <c r="C63" s="181" t="s">
        <v>379</v>
      </c>
      <c r="D63" s="181" t="s">
        <v>1906</v>
      </c>
      <c r="E63" s="182"/>
      <c r="F63" s="181"/>
      <c r="G63" s="181"/>
      <c r="H63" s="181"/>
      <c r="I63" s="181" t="s">
        <v>3493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4356</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4357</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4357</v>
      </c>
    </row>
    <row r="66" spans="1:17" ht="18" customHeight="1">
      <c r="A66" s="185">
        <v>46247</v>
      </c>
      <c r="B66" s="186"/>
      <c r="C66" s="186" t="s">
        <v>4353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4354</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4356</v>
      </c>
    </row>
    <row r="77" spans="1:17" ht="18" customHeight="1">
      <c r="A77" s="180">
        <v>46247</v>
      </c>
      <c r="B77" s="181" t="str">
        <f t="shared" ca="1" si="3"/>
        <v>Active</v>
      </c>
      <c r="C77" s="181" t="s">
        <v>398</v>
      </c>
      <c r="D77" s="181" t="s">
        <v>1861</v>
      </c>
      <c r="E77" s="182"/>
      <c r="F77" s="181"/>
      <c r="G77" s="181"/>
      <c r="H77" s="181"/>
      <c r="I77" s="181" t="s">
        <v>3493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4356</v>
      </c>
    </row>
    <row r="78" spans="1:17" ht="18" customHeight="1">
      <c r="A78" s="180">
        <v>46247</v>
      </c>
      <c r="B78" s="181" t="str">
        <f t="shared" ca="1" si="3"/>
        <v>Active</v>
      </c>
      <c r="C78" s="181" t="s">
        <v>1253</v>
      </c>
      <c r="D78" s="181" t="s">
        <v>1881</v>
      </c>
      <c r="E78" s="182"/>
      <c r="F78" s="181"/>
      <c r="G78" s="181"/>
      <c r="H78" s="181"/>
      <c r="I78" s="181" t="s">
        <v>3493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4356</v>
      </c>
    </row>
    <row r="79" spans="1:17" ht="18" customHeight="1">
      <c r="A79" s="180">
        <v>46247</v>
      </c>
      <c r="B79" s="181" t="str">
        <f t="shared" ca="1" si="3"/>
        <v>Active</v>
      </c>
      <c r="C79" s="181" t="s">
        <v>1205</v>
      </c>
      <c r="D79" s="181" t="s">
        <v>1881</v>
      </c>
      <c r="E79" s="182"/>
      <c r="F79" s="181"/>
      <c r="G79" s="181"/>
      <c r="H79" s="181"/>
      <c r="I79" s="181" t="s">
        <v>3493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4356</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4354</v>
      </c>
    </row>
    <row r="81" spans="1:17" ht="18" customHeight="1">
      <c r="A81" s="180">
        <v>46247</v>
      </c>
      <c r="B81" s="181" t="str">
        <f t="shared" ca="1" si="3"/>
        <v>Active</v>
      </c>
      <c r="C81" s="181" t="s">
        <v>808</v>
      </c>
      <c r="D81" s="181" t="s">
        <v>962</v>
      </c>
      <c r="E81" s="182">
        <f>Hráefnaskrá!$D$90/1000</f>
        <v>40</v>
      </c>
      <c r="F81" s="181"/>
      <c r="G81" s="181"/>
      <c r="H81" s="181"/>
      <c r="I81" s="181" t="s">
        <v>3493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4356</v>
      </c>
    </row>
    <row r="95" spans="1:17" ht="18" customHeight="1">
      <c r="A95" s="180">
        <v>46247</v>
      </c>
      <c r="B95" s="181" t="str">
        <f t="shared" ca="1" si="3"/>
        <v>Active</v>
      </c>
      <c r="C95" s="181" t="s">
        <v>73</v>
      </c>
      <c r="D95" s="181" t="s">
        <v>1906</v>
      </c>
      <c r="E95" s="182"/>
      <c r="F95" s="181"/>
      <c r="G95" s="181"/>
      <c r="H95" s="181"/>
      <c r="I95" s="181" t="s">
        <v>3493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4356</v>
      </c>
    </row>
    <row r="96" spans="1:17" ht="18" customHeight="1">
      <c r="A96" s="180">
        <v>46247</v>
      </c>
      <c r="B96" s="181" t="str">
        <f t="shared" ca="1" si="3"/>
        <v>Active</v>
      </c>
      <c r="C96" s="181" t="s">
        <v>124</v>
      </c>
      <c r="D96" s="181" t="s">
        <v>1906</v>
      </c>
      <c r="E96" s="182"/>
      <c r="F96" s="181"/>
      <c r="G96" s="181"/>
      <c r="H96" s="181"/>
      <c r="I96" s="181" t="s">
        <v>3493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4356</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4357</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4357</v>
      </c>
    </row>
    <row r="99" spans="1:17" ht="18" customHeight="1">
      <c r="A99" s="185">
        <v>46248</v>
      </c>
      <c r="B99" s="186"/>
      <c r="C99" s="186" t="s">
        <v>4353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4358</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4356</v>
      </c>
    </row>
    <row r="117" spans="1:17" ht="18" customHeight="1">
      <c r="A117" s="180">
        <v>46248</v>
      </c>
      <c r="B117" s="181" t="str">
        <f t="shared" ca="1" si="4"/>
        <v>Active</v>
      </c>
      <c r="C117" s="181" t="s">
        <v>1161</v>
      </c>
      <c r="D117" s="181" t="s">
        <v>1881</v>
      </c>
      <c r="E117" s="182"/>
      <c r="F117" s="181"/>
      <c r="G117" s="181"/>
      <c r="H117" s="181"/>
      <c r="I117" s="181" t="s">
        <v>3493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4356</v>
      </c>
    </row>
    <row r="118" spans="1:17" ht="18" customHeight="1">
      <c r="A118" s="180">
        <v>46248</v>
      </c>
      <c r="B118" s="181" t="str">
        <f t="shared" ca="1" si="4"/>
        <v>Active</v>
      </c>
      <c r="C118" s="181" t="s">
        <v>1095</v>
      </c>
      <c r="D118" s="181" t="s">
        <v>1881</v>
      </c>
      <c r="E118" s="182"/>
      <c r="F118" s="181"/>
      <c r="G118" s="181"/>
      <c r="H118" s="181"/>
      <c r="I118" s="181" t="s">
        <v>3493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4356</v>
      </c>
    </row>
    <row r="119" spans="1:17" ht="18" customHeight="1">
      <c r="A119" s="180">
        <v>46248</v>
      </c>
      <c r="B119" s="181" t="str">
        <f t="shared" ca="1" si="4"/>
        <v>Active</v>
      </c>
      <c r="C119" s="181" t="s">
        <v>1397</v>
      </c>
      <c r="D119" s="181" t="s">
        <v>962</v>
      </c>
      <c r="E119" s="182"/>
      <c r="F119" s="181"/>
      <c r="G119" s="181"/>
      <c r="H119" s="181"/>
      <c r="I119" s="181" t="s">
        <v>3493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4356</v>
      </c>
    </row>
    <row r="120" spans="1:17" ht="18" customHeight="1">
      <c r="A120" s="180">
        <v>46248</v>
      </c>
      <c r="B120" s="181" t="str">
        <f t="shared" ca="1" si="4"/>
        <v>Active</v>
      </c>
      <c r="C120" s="181" t="s">
        <v>34</v>
      </c>
      <c r="D120" s="181" t="s">
        <v>1906</v>
      </c>
      <c r="E120" s="182"/>
      <c r="F120" s="181"/>
      <c r="G120" s="181"/>
      <c r="H120" s="181"/>
      <c r="I120" s="181" t="s">
        <v>3493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4356</v>
      </c>
    </row>
    <row r="121" spans="1:17" ht="18" customHeight="1">
      <c r="A121" s="180">
        <v>46248</v>
      </c>
      <c r="B121" s="181" t="str">
        <f t="shared" ca="1" si="4"/>
        <v>Active</v>
      </c>
      <c r="C121" s="181" t="s">
        <v>160</v>
      </c>
      <c r="D121" s="181" t="s">
        <v>1906</v>
      </c>
      <c r="E121" s="182"/>
      <c r="F121" s="181"/>
      <c r="G121" s="181"/>
      <c r="H121" s="181"/>
      <c r="I121" s="181" t="s">
        <v>3493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4356</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4357</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4357</v>
      </c>
    </row>
    <row r="124" spans="1:17" ht="18" customHeight="1">
      <c r="A124" s="185">
        <v>46251</v>
      </c>
      <c r="B124" s="186"/>
      <c r="C124" s="186" t="s">
        <v>4353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4354</v>
      </c>
    </row>
    <row r="126" spans="1:17" ht="18" customHeight="1">
      <c r="A126" s="180">
        <v>46251</v>
      </c>
      <c r="B126" s="181" t="str">
        <f t="shared" ca="1" si="5"/>
        <v>Active</v>
      </c>
      <c r="C126" s="181" t="s">
        <v>155</v>
      </c>
      <c r="D126" s="181" t="s">
        <v>1861</v>
      </c>
      <c r="E126" s="182">
        <f>Hráefnaskrá!$D$153/1000</f>
        <v>53.3</v>
      </c>
      <c r="F126" s="181"/>
      <c r="G126" s="181"/>
      <c r="H126" s="181"/>
      <c r="I126" s="181" t="s">
        <v>4355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4354</v>
      </c>
    </row>
    <row r="135" spans="1:17" ht="18" customHeight="1">
      <c r="A135" s="180">
        <v>46251</v>
      </c>
      <c r="B135" s="181" t="str">
        <f t="shared" ca="1" si="5"/>
        <v>Active</v>
      </c>
      <c r="C135" s="181" t="s">
        <v>155</v>
      </c>
      <c r="D135" s="181" t="s">
        <v>1861</v>
      </c>
      <c r="E135" s="182">
        <f>Hráefnaskrá!$D$45/1000</f>
        <v>70</v>
      </c>
      <c r="F135" s="181"/>
      <c r="G135" s="181"/>
      <c r="H135" s="181"/>
      <c r="I135" s="181" t="s">
        <v>4355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4356</v>
      </c>
    </row>
    <row r="147" spans="1:17" ht="18" customHeight="1">
      <c r="A147" s="180">
        <v>46251</v>
      </c>
      <c r="B147" s="181" t="str">
        <f t="shared" ca="1" si="5"/>
        <v>Active</v>
      </c>
      <c r="C147" s="181" t="s">
        <v>1253</v>
      </c>
      <c r="D147" s="181" t="s">
        <v>1881</v>
      </c>
      <c r="E147" s="182"/>
      <c r="F147" s="181"/>
      <c r="G147" s="181"/>
      <c r="H147" s="181"/>
      <c r="I147" s="181" t="s">
        <v>3493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4356</v>
      </c>
    </row>
    <row r="148" spans="1:17" ht="18" customHeight="1">
      <c r="A148" s="180">
        <v>46251</v>
      </c>
      <c r="B148" s="181" t="str">
        <f t="shared" ca="1" si="5"/>
        <v>Active</v>
      </c>
      <c r="C148" s="181" t="s">
        <v>309</v>
      </c>
      <c r="D148" s="181" t="s">
        <v>1881</v>
      </c>
      <c r="E148" s="182"/>
      <c r="F148" s="181"/>
      <c r="G148" s="181"/>
      <c r="H148" s="181"/>
      <c r="I148" s="181" t="s">
        <v>3493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4356</v>
      </c>
    </row>
    <row r="149" spans="1:17" ht="18" customHeight="1">
      <c r="A149" s="180">
        <v>46251</v>
      </c>
      <c r="B149" s="181" t="str">
        <f t="shared" ca="1" si="5"/>
        <v>Active</v>
      </c>
      <c r="C149" s="181" t="s">
        <v>1248</v>
      </c>
      <c r="D149" s="181" t="s">
        <v>1861</v>
      </c>
      <c r="E149" s="182"/>
      <c r="F149" s="181"/>
      <c r="G149" s="181"/>
      <c r="H149" s="181"/>
      <c r="I149" s="181" t="s">
        <v>3493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4356</v>
      </c>
    </row>
    <row r="150" spans="1:17" ht="18" customHeight="1">
      <c r="A150" s="180">
        <v>46251</v>
      </c>
      <c r="B150" s="181" t="str">
        <f t="shared" ca="1" si="5"/>
        <v>Active</v>
      </c>
      <c r="C150" s="181" t="s">
        <v>1248</v>
      </c>
      <c r="D150" s="181" t="s">
        <v>1881</v>
      </c>
      <c r="E150" s="182"/>
      <c r="F150" s="181"/>
      <c r="G150" s="181"/>
      <c r="H150" s="181"/>
      <c r="I150" s="181" t="s">
        <v>3493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4356</v>
      </c>
    </row>
    <row r="151" spans="1:17" ht="18" customHeight="1">
      <c r="A151" s="180">
        <v>46251</v>
      </c>
      <c r="B151" s="181" t="str">
        <f t="shared" ca="1" si="5"/>
        <v>Active</v>
      </c>
      <c r="C151" s="181" t="s">
        <v>343</v>
      </c>
      <c r="D151" s="181" t="s">
        <v>1906</v>
      </c>
      <c r="E151" s="182"/>
      <c r="F151" s="181"/>
      <c r="G151" s="181"/>
      <c r="H151" s="181"/>
      <c r="I151" s="181" t="s">
        <v>3493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4356</v>
      </c>
    </row>
    <row r="152" spans="1:17" ht="18" customHeight="1">
      <c r="A152" s="180">
        <v>46251</v>
      </c>
      <c r="B152" s="181" t="str">
        <f t="shared" ca="1" si="5"/>
        <v>Active</v>
      </c>
      <c r="C152" s="181" t="s">
        <v>566</v>
      </c>
      <c r="D152" s="181" t="s">
        <v>1906</v>
      </c>
      <c r="E152" s="182"/>
      <c r="F152" s="181"/>
      <c r="G152" s="181"/>
      <c r="H152" s="181"/>
      <c r="I152" s="181" t="s">
        <v>3493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4356</v>
      </c>
    </row>
    <row r="153" spans="1:17" ht="18" customHeight="1">
      <c r="A153" s="185">
        <v>46252</v>
      </c>
      <c r="B153" s="186"/>
      <c r="C153" s="186" t="s">
        <v>4353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4358</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4356</v>
      </c>
    </row>
    <row r="172" spans="1:17" ht="18" customHeight="1">
      <c r="A172" s="180">
        <v>46252</v>
      </c>
      <c r="B172" s="181" t="str">
        <f t="shared" ca="1" si="6"/>
        <v>Active</v>
      </c>
      <c r="C172" s="181" t="s">
        <v>62</v>
      </c>
      <c r="D172" s="181" t="s">
        <v>1861</v>
      </c>
      <c r="E172" s="182"/>
      <c r="F172" s="181"/>
      <c r="G172" s="181"/>
      <c r="H172" s="181"/>
      <c r="I172" s="181" t="s">
        <v>3493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4356</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4354</v>
      </c>
    </row>
    <row r="174" spans="1:17" ht="18" customHeight="1">
      <c r="A174" s="180">
        <v>46252</v>
      </c>
      <c r="B174" s="181" t="str">
        <f t="shared" ca="1" si="6"/>
        <v>Active</v>
      </c>
      <c r="C174" s="181" t="s">
        <v>458</v>
      </c>
      <c r="D174" s="181" t="s">
        <v>1881</v>
      </c>
      <c r="E174" s="182">
        <f>Hráefnaskrá!$D$440/1000</f>
        <v>40</v>
      </c>
      <c r="F174" s="181"/>
      <c r="G174" s="181"/>
      <c r="H174" s="181"/>
      <c r="I174" s="181" t="s">
        <v>3493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4356</v>
      </c>
    </row>
    <row r="186" spans="1:17" ht="18" customHeight="1">
      <c r="A186" s="180">
        <v>46252</v>
      </c>
      <c r="B186" s="181" t="str">
        <f t="shared" ca="1" si="6"/>
        <v>Active</v>
      </c>
      <c r="C186" s="181" t="s">
        <v>883</v>
      </c>
      <c r="D186" s="181" t="s">
        <v>1861</v>
      </c>
      <c r="E186" s="182"/>
      <c r="F186" s="181"/>
      <c r="G186" s="181"/>
      <c r="H186" s="181"/>
      <c r="I186" s="181" t="s">
        <v>3493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4356</v>
      </c>
    </row>
    <row r="187" spans="1:17" ht="18" customHeight="1">
      <c r="A187" s="180">
        <v>46252</v>
      </c>
      <c r="B187" s="181" t="str">
        <f t="shared" ca="1" si="6"/>
        <v>Active</v>
      </c>
      <c r="C187" s="181" t="s">
        <v>393</v>
      </c>
      <c r="D187" s="181" t="s">
        <v>1861</v>
      </c>
      <c r="E187" s="182"/>
      <c r="F187" s="181"/>
      <c r="G187" s="181"/>
      <c r="H187" s="181"/>
      <c r="I187" s="181" t="s">
        <v>3493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4356</v>
      </c>
    </row>
    <row r="188" spans="1:17" ht="18" customHeight="1">
      <c r="A188" s="180">
        <v>46252</v>
      </c>
      <c r="B188" s="181" t="str">
        <f t="shared" ca="1" si="6"/>
        <v>Active</v>
      </c>
      <c r="C188" s="181" t="s">
        <v>327</v>
      </c>
      <c r="D188" s="181" t="s">
        <v>1861</v>
      </c>
      <c r="E188" s="182"/>
      <c r="F188" s="181"/>
      <c r="G188" s="181"/>
      <c r="H188" s="181"/>
      <c r="I188" s="181" t="s">
        <v>3493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4356</v>
      </c>
    </row>
    <row r="189" spans="1:17" ht="18" customHeight="1">
      <c r="A189" s="180">
        <v>46252</v>
      </c>
      <c r="B189" s="181" t="str">
        <f t="shared" ca="1" si="6"/>
        <v>Active</v>
      </c>
      <c r="C189" s="181" t="s">
        <v>354</v>
      </c>
      <c r="D189" s="181" t="s">
        <v>1881</v>
      </c>
      <c r="E189" s="182"/>
      <c r="F189" s="181"/>
      <c r="G189" s="181"/>
      <c r="H189" s="181"/>
      <c r="I189" s="181" t="s">
        <v>3493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4356</v>
      </c>
    </row>
    <row r="190" spans="1:17" ht="18" customHeight="1">
      <c r="A190" s="180">
        <v>46252</v>
      </c>
      <c r="B190" s="181" t="str">
        <f t="shared" ca="1" si="6"/>
        <v>Active</v>
      </c>
      <c r="C190" s="181" t="s">
        <v>883</v>
      </c>
      <c r="D190" s="181" t="s">
        <v>1881</v>
      </c>
      <c r="E190" s="182"/>
      <c r="F190" s="181"/>
      <c r="G190" s="181"/>
      <c r="H190" s="181"/>
      <c r="I190" s="181" t="s">
        <v>3493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4356</v>
      </c>
    </row>
    <row r="191" spans="1:17" ht="18" customHeight="1">
      <c r="A191" s="180">
        <v>46252</v>
      </c>
      <c r="B191" s="181" t="str">
        <f t="shared" ca="1" si="6"/>
        <v>Active</v>
      </c>
      <c r="C191" s="181" t="s">
        <v>407</v>
      </c>
      <c r="D191" s="181" t="s">
        <v>1906</v>
      </c>
      <c r="E191" s="182"/>
      <c r="F191" s="181"/>
      <c r="G191" s="181"/>
      <c r="H191" s="181"/>
      <c r="I191" s="181" t="s">
        <v>3493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4356</v>
      </c>
    </row>
    <row r="192" spans="1:17" ht="18" customHeight="1">
      <c r="A192" s="180">
        <v>46252</v>
      </c>
      <c r="B192" s="181" t="str">
        <f t="shared" ca="1" si="6"/>
        <v>Active</v>
      </c>
      <c r="C192" s="181" t="s">
        <v>379</v>
      </c>
      <c r="D192" s="181" t="s">
        <v>1906</v>
      </c>
      <c r="E192" s="182"/>
      <c r="F192" s="181"/>
      <c r="G192" s="181"/>
      <c r="H192" s="181"/>
      <c r="I192" s="181" t="s">
        <v>3493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4356</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4357</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4357</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4357</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4357</v>
      </c>
    </row>
    <row r="197" spans="1:17" ht="18" customHeight="1">
      <c r="A197" s="185">
        <v>46253</v>
      </c>
      <c r="B197" s="186"/>
      <c r="C197" s="186" t="s">
        <v>4353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4354</v>
      </c>
    </row>
    <row r="199" spans="1:17" ht="18" customHeight="1">
      <c r="A199" s="180">
        <v>46253</v>
      </c>
      <c r="B199" s="181" t="str">
        <f t="shared" ca="1" si="7"/>
        <v>Active</v>
      </c>
      <c r="C199" s="181" t="s">
        <v>766</v>
      </c>
      <c r="D199" s="181" t="s">
        <v>1861</v>
      </c>
      <c r="E199" s="182">
        <f>Hráefnaskrá!$D$172/1000</f>
        <v>46.7</v>
      </c>
      <c r="F199" s="181"/>
      <c r="G199" s="181"/>
      <c r="H199" s="181"/>
      <c r="I199" s="181" t="s">
        <v>4355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4356</v>
      </c>
    </row>
    <row r="213" spans="1:17">
      <c r="A213" s="180">
        <v>46253</v>
      </c>
      <c r="B213" s="181" t="str">
        <f t="shared" ca="1" si="7"/>
        <v>Active</v>
      </c>
      <c r="C213" s="181" t="s">
        <v>97</v>
      </c>
      <c r="D213" s="181" t="s">
        <v>1861</v>
      </c>
      <c r="E213" s="182"/>
      <c r="F213" s="181"/>
      <c r="G213" s="181"/>
      <c r="H213" s="181"/>
      <c r="I213" s="181" t="s">
        <v>4355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4356</v>
      </c>
    </row>
    <row r="214" spans="1:17">
      <c r="A214" s="180">
        <v>46253</v>
      </c>
      <c r="B214" s="181" t="str">
        <f t="shared" ca="1" si="7"/>
        <v>Active</v>
      </c>
      <c r="C214" s="181" t="s">
        <v>480</v>
      </c>
      <c r="D214" s="181" t="s">
        <v>1861</v>
      </c>
      <c r="E214" s="182"/>
      <c r="F214" s="181"/>
      <c r="G214" s="181"/>
      <c r="H214" s="181"/>
      <c r="I214" s="181" t="s">
        <v>3493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4356</v>
      </c>
    </row>
    <row r="215" spans="1:17">
      <c r="A215" s="180">
        <v>46253</v>
      </c>
      <c r="B215" s="181" t="str">
        <f t="shared" ca="1" si="7"/>
        <v>Active</v>
      </c>
      <c r="C215" s="181" t="s">
        <v>514</v>
      </c>
      <c r="D215" s="181" t="s">
        <v>1861</v>
      </c>
      <c r="E215" s="182"/>
      <c r="F215" s="181"/>
      <c r="G215" s="181"/>
      <c r="H215" s="181"/>
      <c r="I215" s="181" t="s">
        <v>3493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4356</v>
      </c>
    </row>
    <row r="216" spans="1:17">
      <c r="A216" s="180">
        <v>46253</v>
      </c>
      <c r="B216" s="181" t="str">
        <f t="shared" ca="1" si="7"/>
        <v>Active</v>
      </c>
      <c r="C216" s="181" t="s">
        <v>1269</v>
      </c>
      <c r="D216" s="181" t="s">
        <v>1881</v>
      </c>
      <c r="E216" s="182"/>
      <c r="F216" s="181"/>
      <c r="G216" s="181"/>
      <c r="H216" s="181"/>
      <c r="I216" s="181" t="s">
        <v>3493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4356</v>
      </c>
    </row>
    <row r="217" spans="1:17">
      <c r="A217" s="180">
        <v>46253</v>
      </c>
      <c r="B217" s="181" t="str">
        <f t="shared" ca="1" si="7"/>
        <v>Active</v>
      </c>
      <c r="C217" s="181" t="s">
        <v>480</v>
      </c>
      <c r="D217" s="181" t="s">
        <v>1881</v>
      </c>
      <c r="E217" s="182"/>
      <c r="F217" s="181"/>
      <c r="G217" s="181"/>
      <c r="H217" s="181"/>
      <c r="I217" s="181" t="s">
        <v>3493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4356</v>
      </c>
    </row>
    <row r="218" spans="1:17">
      <c r="A218" s="180">
        <v>46253</v>
      </c>
      <c r="B218" s="181" t="str">
        <f t="shared" ca="1" si="7"/>
        <v>Active</v>
      </c>
      <c r="C218" s="181" t="s">
        <v>514</v>
      </c>
      <c r="D218" s="181" t="s">
        <v>1881</v>
      </c>
      <c r="E218" s="182"/>
      <c r="F218" s="181"/>
      <c r="G218" s="181"/>
      <c r="H218" s="181"/>
      <c r="I218" s="181" t="s">
        <v>3493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4356</v>
      </c>
    </row>
    <row r="219" spans="1:17">
      <c r="A219" s="180">
        <v>46253</v>
      </c>
      <c r="B219" s="181" t="str">
        <f t="shared" ca="1" si="7"/>
        <v>Active</v>
      </c>
      <c r="C219" s="181" t="s">
        <v>1269</v>
      </c>
      <c r="D219" s="181" t="s">
        <v>962</v>
      </c>
      <c r="E219" s="182"/>
      <c r="F219" s="181"/>
      <c r="G219" s="181"/>
      <c r="H219" s="181"/>
      <c r="I219" s="181" t="s">
        <v>3493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4356</v>
      </c>
    </row>
    <row r="220" spans="1:17">
      <c r="A220" s="180">
        <v>46253</v>
      </c>
      <c r="B220" s="181" t="str">
        <f t="shared" ca="1" si="7"/>
        <v>Active</v>
      </c>
      <c r="C220" s="181" t="s">
        <v>627</v>
      </c>
      <c r="D220" s="181" t="s">
        <v>962</v>
      </c>
      <c r="E220" s="182"/>
      <c r="F220" s="181"/>
      <c r="G220" s="181"/>
      <c r="H220" s="181"/>
      <c r="I220" s="181" t="s">
        <v>3493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4356</v>
      </c>
    </row>
    <row r="221" spans="1:17" ht="18" customHeight="1">
      <c r="A221" s="180">
        <v>46253</v>
      </c>
      <c r="B221" s="181" t="str">
        <f t="shared" ca="1" si="7"/>
        <v>Active</v>
      </c>
      <c r="C221" s="181" t="s">
        <v>85</v>
      </c>
      <c r="D221" s="181" t="s">
        <v>1906</v>
      </c>
      <c r="E221" s="182"/>
      <c r="F221" s="181"/>
      <c r="G221" s="181"/>
      <c r="H221" s="181"/>
      <c r="I221" s="181" t="s">
        <v>3493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4356</v>
      </c>
    </row>
    <row r="222" spans="1:17">
      <c r="A222" s="180">
        <v>46253</v>
      </c>
      <c r="B222" s="181" t="str">
        <f t="shared" ca="1" si="7"/>
        <v>Active</v>
      </c>
      <c r="C222" s="181" t="s">
        <v>124</v>
      </c>
      <c r="D222" s="181" t="s">
        <v>1906</v>
      </c>
      <c r="E222" s="182"/>
      <c r="F222" s="181"/>
      <c r="G222" s="181"/>
      <c r="H222" s="181"/>
      <c r="I222" s="181" t="s">
        <v>3493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4356</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4357</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4357</v>
      </c>
    </row>
    <row r="225" spans="1:17">
      <c r="A225" s="185">
        <v>46254</v>
      </c>
      <c r="B225" s="186"/>
      <c r="C225" s="186" t="s">
        <v>4353</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4354</v>
      </c>
    </row>
    <row r="227" spans="1:17" ht="18" customHeight="1">
      <c r="A227" s="180">
        <v>46254</v>
      </c>
      <c r="B227" s="181" t="str">
        <f t="shared" ca="1" si="8"/>
        <v>Active</v>
      </c>
      <c r="C227" s="181" t="s">
        <v>1129</v>
      </c>
      <c r="D227" s="181" t="s">
        <v>1861</v>
      </c>
      <c r="E227" s="182">
        <f>Hráefnaskrá!$D$185/1000</f>
        <v>50</v>
      </c>
      <c r="F227" s="181"/>
      <c r="G227" s="181"/>
      <c r="H227" s="181"/>
      <c r="I227" s="181" t="s">
        <v>3493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4354</v>
      </c>
    </row>
    <row r="244" spans="1:17">
      <c r="A244" s="180">
        <v>46254</v>
      </c>
      <c r="B244" s="181" t="str">
        <f t="shared" ca="1" si="8"/>
        <v>Active</v>
      </c>
      <c r="C244" s="181" t="s">
        <v>842</v>
      </c>
      <c r="D244" s="181" t="s">
        <v>1861</v>
      </c>
      <c r="E244" s="182">
        <f>Hráefnaskrá!$D$238/1000</f>
        <v>85</v>
      </c>
      <c r="F244" s="181"/>
      <c r="G244" s="181"/>
      <c r="H244" s="181"/>
      <c r="I244" s="181" t="s">
        <v>3493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4358</v>
      </c>
    </row>
    <row r="250" spans="1:17">
      <c r="A250" s="342">
        <v>46254</v>
      </c>
      <c r="B250" s="343" t="str">
        <f ca="1">IF($A250&lt;TODAY(),"Expired","Active")</f>
        <v>Active</v>
      </c>
      <c r="C250" s="345" t="s">
        <v>808</v>
      </c>
      <c r="D250" s="343" t="s">
        <v>1861</v>
      </c>
      <c r="E250" s="344">
        <f>Hráefnaskrá!$D$250/1000</f>
        <v>91.323999999999998</v>
      </c>
      <c r="F250" s="343"/>
      <c r="G250" s="343"/>
      <c r="H250" s="343"/>
      <c r="I250" s="343" t="s">
        <v>3493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4356</v>
      </c>
    </row>
    <row r="258" spans="1:17">
      <c r="A258" s="180">
        <v>46254</v>
      </c>
      <c r="B258" s="181" t="str">
        <f t="shared" ca="1" si="8"/>
        <v>Active</v>
      </c>
      <c r="C258" s="181" t="s">
        <v>503</v>
      </c>
      <c r="D258" s="181" t="s">
        <v>1881</v>
      </c>
      <c r="E258" s="182"/>
      <c r="F258" s="181"/>
      <c r="G258" s="181"/>
      <c r="H258" s="181"/>
      <c r="I258" s="181" t="s">
        <v>3493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4356</v>
      </c>
    </row>
    <row r="259" spans="1:17">
      <c r="A259" s="180">
        <v>46254</v>
      </c>
      <c r="B259" s="181" t="str">
        <f t="shared" ca="1" si="8"/>
        <v>Active</v>
      </c>
      <c r="C259" s="181" t="s">
        <v>309</v>
      </c>
      <c r="D259" s="181" t="s">
        <v>1881</v>
      </c>
      <c r="E259" s="182"/>
      <c r="F259" s="181"/>
      <c r="G259" s="181"/>
      <c r="H259" s="181"/>
      <c r="I259" s="181" t="s">
        <v>3493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4356</v>
      </c>
    </row>
    <row r="260" spans="1:17">
      <c r="A260" s="180">
        <v>46254</v>
      </c>
      <c r="B260" s="181" t="str">
        <f t="shared" ca="1" si="8"/>
        <v>Active</v>
      </c>
      <c r="C260" s="181" t="s">
        <v>670</v>
      </c>
      <c r="D260" s="181" t="s">
        <v>1881</v>
      </c>
      <c r="E260" s="182"/>
      <c r="F260" s="181"/>
      <c r="G260" s="181"/>
      <c r="H260" s="181"/>
      <c r="I260" s="181" t="s">
        <v>3493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4356</v>
      </c>
    </row>
    <row r="261" spans="1:17">
      <c r="A261" s="180">
        <v>46254</v>
      </c>
      <c r="B261" s="181" t="str">
        <f t="shared" ca="1" si="8"/>
        <v>Active</v>
      </c>
      <c r="C261" s="181" t="s">
        <v>593</v>
      </c>
      <c r="D261" s="181" t="s">
        <v>962</v>
      </c>
      <c r="E261" s="182"/>
      <c r="F261" s="181"/>
      <c r="G261" s="181"/>
      <c r="H261" s="181"/>
      <c r="I261" s="181" t="s">
        <v>3493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4356</v>
      </c>
    </row>
    <row r="262" spans="1:17">
      <c r="A262" s="180">
        <v>46254</v>
      </c>
      <c r="B262" s="181" t="str">
        <f t="shared" ca="1" si="8"/>
        <v>Active</v>
      </c>
      <c r="C262" s="181" t="s">
        <v>670</v>
      </c>
      <c r="D262" s="181" t="s">
        <v>962</v>
      </c>
      <c r="E262" s="182"/>
      <c r="F262" s="181"/>
      <c r="G262" s="181"/>
      <c r="H262" s="181"/>
      <c r="I262" s="181" t="s">
        <v>3493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4356</v>
      </c>
    </row>
    <row r="263" spans="1:17">
      <c r="A263" s="180">
        <v>46254</v>
      </c>
      <c r="B263" s="181" t="str">
        <f t="shared" ca="1" si="8"/>
        <v>Active</v>
      </c>
      <c r="C263" s="181" t="s">
        <v>1382</v>
      </c>
      <c r="D263" s="181" t="s">
        <v>1906</v>
      </c>
      <c r="E263" s="182"/>
      <c r="F263" s="181"/>
      <c r="G263" s="181"/>
      <c r="H263" s="181"/>
      <c r="I263" s="181" t="s">
        <v>3493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4356</v>
      </c>
    </row>
    <row r="264" spans="1:17">
      <c r="A264" s="180">
        <v>46254</v>
      </c>
      <c r="B264" s="181" t="str">
        <f t="shared" ca="1" si="8"/>
        <v>Active</v>
      </c>
      <c r="C264" s="181" t="s">
        <v>571</v>
      </c>
      <c r="D264" s="181" t="s">
        <v>1906</v>
      </c>
      <c r="E264" s="182"/>
      <c r="F264" s="181"/>
      <c r="G264" s="181"/>
      <c r="H264" s="181"/>
      <c r="I264" s="181" t="s">
        <v>3493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4356</v>
      </c>
    </row>
    <row r="265" spans="1:17">
      <c r="A265" s="185">
        <v>46255</v>
      </c>
      <c r="B265" s="186"/>
      <c r="C265" s="186" t="s">
        <v>4353</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4354</v>
      </c>
    </row>
    <row r="267" spans="1:17">
      <c r="A267" s="180">
        <v>46255</v>
      </c>
      <c r="B267" s="181" t="str">
        <f t="shared" ca="1" si="9"/>
        <v>Active</v>
      </c>
      <c r="C267" s="181" t="s">
        <v>155</v>
      </c>
      <c r="D267" s="181" t="s">
        <v>1861</v>
      </c>
      <c r="E267" s="182">
        <f>Hráefnaskrá!$D$201/1000</f>
        <v>90</v>
      </c>
      <c r="F267" s="181"/>
      <c r="G267" s="181"/>
      <c r="H267" s="181"/>
      <c r="I267" s="181" t="s">
        <v>3493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4356</v>
      </c>
    </row>
    <row r="279" spans="1:17">
      <c r="A279" s="180">
        <v>46255</v>
      </c>
      <c r="B279" s="181" t="str">
        <f t="shared" ca="1" si="9"/>
        <v>Active</v>
      </c>
      <c r="C279" s="181" t="s">
        <v>1052</v>
      </c>
      <c r="D279" s="181" t="s">
        <v>1861</v>
      </c>
      <c r="E279" s="182"/>
      <c r="F279" s="181"/>
      <c r="G279" s="181"/>
      <c r="H279" s="181"/>
      <c r="I279" s="181" t="s">
        <v>3493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4356</v>
      </c>
    </row>
    <row r="280" spans="1:17">
      <c r="A280" s="180">
        <v>46255</v>
      </c>
      <c r="B280" s="181" t="str">
        <f t="shared" ca="1" si="9"/>
        <v>Active</v>
      </c>
      <c r="C280" s="181" t="s">
        <v>245</v>
      </c>
      <c r="D280" s="181" t="s">
        <v>1861</v>
      </c>
      <c r="E280" s="182"/>
      <c r="F280" s="181"/>
      <c r="G280" s="181"/>
      <c r="H280" s="181"/>
      <c r="I280" s="181" t="s">
        <v>3493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4356</v>
      </c>
    </row>
    <row r="281" spans="1:17">
      <c r="A281" s="180">
        <v>46255</v>
      </c>
      <c r="B281" s="181" t="str">
        <f t="shared" ca="1" si="9"/>
        <v>Active</v>
      </c>
      <c r="C281" s="181" t="s">
        <v>260</v>
      </c>
      <c r="D281" s="181" t="s">
        <v>1861</v>
      </c>
      <c r="E281" s="182"/>
      <c r="F281" s="181"/>
      <c r="G281" s="181"/>
      <c r="H281" s="181"/>
      <c r="I281" s="181" t="s">
        <v>3493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4356</v>
      </c>
    </row>
    <row r="282" spans="1:17" ht="18" customHeight="1">
      <c r="A282" s="180">
        <v>46255</v>
      </c>
      <c r="B282" s="181" t="str">
        <f t="shared" ca="1" si="9"/>
        <v>Active</v>
      </c>
      <c r="C282" s="181" t="s">
        <v>183</v>
      </c>
      <c r="D282" s="181" t="s">
        <v>1881</v>
      </c>
      <c r="E282" s="182"/>
      <c r="F282" s="181"/>
      <c r="G282" s="181"/>
      <c r="H282" s="181"/>
      <c r="I282" s="181" t="s">
        <v>3493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4356</v>
      </c>
    </row>
    <row r="283" spans="1:17">
      <c r="A283" s="180">
        <v>46255</v>
      </c>
      <c r="B283" s="181" t="str">
        <f t="shared" ca="1" si="9"/>
        <v>Active</v>
      </c>
      <c r="C283" s="181" t="s">
        <v>245</v>
      </c>
      <c r="D283" s="181" t="s">
        <v>1881</v>
      </c>
      <c r="E283" s="182"/>
      <c r="F283" s="181"/>
      <c r="G283" s="181"/>
      <c r="H283" s="181"/>
      <c r="I283" s="181" t="s">
        <v>3493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4356</v>
      </c>
    </row>
    <row r="284" spans="1:17">
      <c r="A284" s="180">
        <v>46255</v>
      </c>
      <c r="B284" s="181" t="str">
        <f t="shared" ca="1" si="9"/>
        <v>Active</v>
      </c>
      <c r="C284" s="181" t="s">
        <v>260</v>
      </c>
      <c r="D284" s="181" t="s">
        <v>1881</v>
      </c>
      <c r="E284" s="182"/>
      <c r="F284" s="181"/>
      <c r="G284" s="181"/>
      <c r="H284" s="181"/>
      <c r="I284" s="181" t="s">
        <v>3493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4356</v>
      </c>
    </row>
    <row r="285" spans="1:17">
      <c r="A285" s="180">
        <v>46255</v>
      </c>
      <c r="B285" s="181" t="str">
        <f t="shared" ca="1" si="9"/>
        <v>Active</v>
      </c>
      <c r="C285" s="181" t="s">
        <v>52</v>
      </c>
      <c r="D285" s="181" t="s">
        <v>1906</v>
      </c>
      <c r="E285" s="182"/>
      <c r="F285" s="181"/>
      <c r="G285" s="181"/>
      <c r="H285" s="181"/>
      <c r="I285" s="181" t="s">
        <v>3493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4356</v>
      </c>
    </row>
    <row r="286" spans="1:17" ht="18" customHeight="1">
      <c r="A286" s="180">
        <v>46255</v>
      </c>
      <c r="B286" s="181" t="str">
        <f t="shared" ca="1" si="9"/>
        <v>Active</v>
      </c>
      <c r="C286" s="181" t="s">
        <v>160</v>
      </c>
      <c r="D286" s="181" t="s">
        <v>1906</v>
      </c>
      <c r="E286" s="182"/>
      <c r="F286" s="181"/>
      <c r="G286" s="181"/>
      <c r="H286" s="181"/>
      <c r="I286" s="181" t="s">
        <v>3493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4356</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4357</v>
      </c>
    </row>
    <row r="288" spans="1:17">
      <c r="A288" s="185">
        <v>46258</v>
      </c>
      <c r="B288" s="186"/>
      <c r="C288" s="186" t="s">
        <v>4353</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4354</v>
      </c>
    </row>
    <row r="290" spans="1:17">
      <c r="A290" s="180">
        <v>46258</v>
      </c>
      <c r="B290" s="181" t="str">
        <f t="shared" ca="1" si="10"/>
        <v>Active</v>
      </c>
      <c r="C290" s="181" t="s">
        <v>1562</v>
      </c>
      <c r="D290" s="181" t="s">
        <v>1861</v>
      </c>
      <c r="E290" s="182">
        <f>Hráefnaskrá!$D$212/1000</f>
        <v>37.5</v>
      </c>
      <c r="F290" s="181"/>
      <c r="G290" s="181"/>
      <c r="H290" s="181"/>
      <c r="I290" s="181" t="s">
        <v>3493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4356</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4354</v>
      </c>
    </row>
    <row r="309" spans="1:17">
      <c r="A309" s="180">
        <v>46258</v>
      </c>
      <c r="B309" s="181" t="str">
        <f t="shared" ca="1" si="10"/>
        <v>Active</v>
      </c>
      <c r="C309" s="181" t="s">
        <v>766</v>
      </c>
      <c r="D309" s="181" t="s">
        <v>1861</v>
      </c>
      <c r="E309" s="182">
        <f>Hráefnaskrá!$D$295/1000</f>
        <v>15.6</v>
      </c>
      <c r="F309" s="181"/>
      <c r="G309" s="181"/>
      <c r="H309" s="181"/>
      <c r="I309" s="181" t="s">
        <v>3493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4356</v>
      </c>
    </row>
    <row r="326" spans="1:17">
      <c r="A326" s="180">
        <v>46258</v>
      </c>
      <c r="B326" s="181" t="str">
        <f t="shared" ca="1" si="10"/>
        <v>Active</v>
      </c>
      <c r="C326" s="181" t="s">
        <v>212</v>
      </c>
      <c r="D326" s="181" t="s">
        <v>1881</v>
      </c>
      <c r="E326" s="182"/>
      <c r="F326" s="181"/>
      <c r="G326" s="181"/>
      <c r="H326" s="181"/>
      <c r="I326" s="181" t="s">
        <v>3493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4356</v>
      </c>
    </row>
    <row r="327" spans="1:17">
      <c r="A327" s="180">
        <v>46258</v>
      </c>
      <c r="B327" s="181" t="str">
        <f t="shared" ca="1" si="10"/>
        <v>Active</v>
      </c>
      <c r="C327" s="181" t="s">
        <v>1113</v>
      </c>
      <c r="D327" s="181" t="s">
        <v>1881</v>
      </c>
      <c r="E327" s="182"/>
      <c r="F327" s="181"/>
      <c r="G327" s="181"/>
      <c r="H327" s="181"/>
      <c r="I327" s="181" t="s">
        <v>3493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4356</v>
      </c>
    </row>
    <row r="328" spans="1:17">
      <c r="A328" s="180">
        <v>46258</v>
      </c>
      <c r="B328" s="181" t="str">
        <f t="shared" ca="1" si="10"/>
        <v>Active</v>
      </c>
      <c r="C328" s="181" t="s">
        <v>57</v>
      </c>
      <c r="D328" s="181" t="s">
        <v>1906</v>
      </c>
      <c r="E328" s="182"/>
      <c r="F328" s="181"/>
      <c r="G328" s="181"/>
      <c r="H328" s="181"/>
      <c r="I328" s="181" t="s">
        <v>3493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4356</v>
      </c>
    </row>
    <row r="329" spans="1:17">
      <c r="A329" s="180">
        <v>46258</v>
      </c>
      <c r="B329" s="181" t="str">
        <f t="shared" ca="1" si="10"/>
        <v>Active</v>
      </c>
      <c r="C329" s="181" t="s">
        <v>566</v>
      </c>
      <c r="D329" s="181" t="s">
        <v>1906</v>
      </c>
      <c r="E329" s="182"/>
      <c r="F329" s="181"/>
      <c r="G329" s="181"/>
      <c r="H329" s="181"/>
      <c r="I329" s="181" t="s">
        <v>3493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4356</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4357</v>
      </c>
    </row>
    <row r="331" spans="1:17">
      <c r="A331" s="185">
        <v>46259</v>
      </c>
      <c r="B331" s="186"/>
      <c r="C331" s="186" t="s">
        <v>4353</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4354</v>
      </c>
    </row>
    <row r="333" spans="1:17" ht="18" customHeight="1">
      <c r="A333" s="180">
        <v>46259</v>
      </c>
      <c r="B333" s="181" t="str">
        <f t="shared" ca="1" si="11"/>
        <v>Active</v>
      </c>
      <c r="C333" s="181" t="s">
        <v>575</v>
      </c>
      <c r="D333" s="181" t="s">
        <v>1861</v>
      </c>
      <c r="E333" s="182">
        <f>Hráefnaskrá!$D$229/1000</f>
        <v>43.5</v>
      </c>
      <c r="F333" s="181"/>
      <c r="G333" s="181"/>
      <c r="H333" s="181"/>
      <c r="I333" s="181" t="s">
        <v>3493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4356</v>
      </c>
    </row>
    <row r="343" spans="1:17">
      <c r="A343" s="180">
        <v>46259</v>
      </c>
      <c r="B343" s="181" t="str">
        <f t="shared" ca="1" si="11"/>
        <v>Active</v>
      </c>
      <c r="C343" s="181" t="s">
        <v>393</v>
      </c>
      <c r="D343" s="181" t="s">
        <v>1861</v>
      </c>
      <c r="E343" s="182"/>
      <c r="F343" s="181"/>
      <c r="G343" s="181"/>
      <c r="H343" s="181"/>
      <c r="I343" s="181" t="s">
        <v>3493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4356</v>
      </c>
    </row>
    <row r="344" spans="1:17">
      <c r="A344" s="180">
        <v>46259</v>
      </c>
      <c r="B344" s="181" t="str">
        <f t="shared" ca="1" si="11"/>
        <v>Active</v>
      </c>
      <c r="C344" s="316" t="s">
        <v>1141</v>
      </c>
      <c r="D344" s="181" t="s">
        <v>1861</v>
      </c>
      <c r="E344" s="182"/>
      <c r="F344" s="181"/>
      <c r="G344" s="181"/>
      <c r="H344" s="181"/>
      <c r="I344" s="181" t="s">
        <v>3493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4354</v>
      </c>
    </row>
    <row r="345" spans="1:17">
      <c r="A345" s="342">
        <v>46259</v>
      </c>
      <c r="B345" s="343" t="str">
        <f ca="1">IF($A345&lt;TODAY(),"Expired","Active")</f>
        <v>Active</v>
      </c>
      <c r="C345" s="345" t="s">
        <v>808</v>
      </c>
      <c r="D345" s="343" t="s">
        <v>1861</v>
      </c>
      <c r="E345" s="344">
        <f>Hráefnaskrá!$D$272/1000</f>
        <v>31.364000000000001</v>
      </c>
      <c r="F345" s="343"/>
      <c r="G345" s="343"/>
      <c r="H345" s="343"/>
      <c r="I345" s="343" t="s">
        <v>3493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4354</v>
      </c>
    </row>
    <row r="354" spans="1:17">
      <c r="A354" s="180">
        <v>46259</v>
      </c>
      <c r="B354" s="181" t="str">
        <f t="shared" ca="1" si="11"/>
        <v>Active</v>
      </c>
      <c r="C354" s="181" t="s">
        <v>808</v>
      </c>
      <c r="D354" s="181" t="s">
        <v>962</v>
      </c>
      <c r="E354" s="182">
        <f>Hráefnaskrá!$D$90/1000</f>
        <v>40</v>
      </c>
      <c r="F354" s="181"/>
      <c r="G354" s="181"/>
      <c r="H354" s="181"/>
      <c r="I354" s="181" t="s">
        <v>3493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4356</v>
      </c>
    </row>
    <row r="368" spans="1:17">
      <c r="A368" s="180">
        <v>46259</v>
      </c>
      <c r="B368" s="181" t="str">
        <f t="shared" ca="1" si="11"/>
        <v>Active</v>
      </c>
      <c r="C368" s="181" t="s">
        <v>68</v>
      </c>
      <c r="D368" s="181" t="s">
        <v>1906</v>
      </c>
      <c r="E368" s="182"/>
      <c r="F368" s="181"/>
      <c r="G368" s="181"/>
      <c r="H368" s="181"/>
      <c r="I368" s="181" t="s">
        <v>3493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4356</v>
      </c>
    </row>
    <row r="369" spans="1:17">
      <c r="A369" s="180">
        <v>46259</v>
      </c>
      <c r="B369" s="181" t="str">
        <f t="shared" ca="1" si="11"/>
        <v>Active</v>
      </c>
      <c r="C369" s="181" t="s">
        <v>571</v>
      </c>
      <c r="D369" s="181" t="s">
        <v>1906</v>
      </c>
      <c r="E369" s="182"/>
      <c r="F369" s="181"/>
      <c r="G369" s="181"/>
      <c r="H369" s="181"/>
      <c r="I369" s="181" t="s">
        <v>3493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4356</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4359</v>
      </c>
      <c r="B1" s="364"/>
      <c r="C1" s="364"/>
      <c r="D1" s="364"/>
      <c r="E1" s="364"/>
      <c r="F1" s="364"/>
      <c r="G1" s="364"/>
      <c r="H1" s="364"/>
      <c r="I1" s="364"/>
      <c r="J1" s="364"/>
    </row>
    <row r="2" spans="1:10" ht="33.950000000000003" customHeight="1">
      <c r="A2" s="281" t="s">
        <v>1836</v>
      </c>
      <c r="B2" s="281" t="s">
        <v>4360</v>
      </c>
      <c r="C2" s="281" t="s">
        <v>4361</v>
      </c>
      <c r="D2" s="281" t="s">
        <v>4362</v>
      </c>
      <c r="E2" s="281" t="s">
        <v>4363</v>
      </c>
      <c r="F2" s="281" t="s">
        <v>4364</v>
      </c>
      <c r="G2" s="281" t="s">
        <v>4365</v>
      </c>
      <c r="H2" s="281" t="s">
        <v>4366</v>
      </c>
      <c r="I2" s="281" t="s">
        <v>1455</v>
      </c>
      <c r="J2" s="281" t="s">
        <v>4367</v>
      </c>
    </row>
    <row r="3" spans="1:10" ht="30" hidden="1" customHeight="1">
      <c r="A3" s="282">
        <v>46188</v>
      </c>
      <c r="B3" s="283" t="s">
        <v>4368</v>
      </c>
      <c r="C3" s="284"/>
      <c r="D3" s="284"/>
      <c r="E3" s="284"/>
      <c r="F3" s="284"/>
      <c r="G3" s="285" t="b">
        <v>1</v>
      </c>
      <c r="H3" s="285" t="b">
        <v>1</v>
      </c>
      <c r="I3" s="284"/>
      <c r="J3" s="284"/>
    </row>
    <row r="4" spans="1:10" ht="30" hidden="1" customHeight="1">
      <c r="A4" s="282">
        <v>46189</v>
      </c>
      <c r="B4" s="283" t="s">
        <v>4369</v>
      </c>
      <c r="C4" s="284"/>
      <c r="D4" s="284"/>
      <c r="E4" s="284"/>
      <c r="F4" s="284"/>
      <c r="G4" s="285" t="b">
        <v>1</v>
      </c>
      <c r="H4" s="285" t="b">
        <v>1</v>
      </c>
      <c r="I4" s="284"/>
      <c r="J4" s="284"/>
    </row>
    <row r="5" spans="1:10" ht="30" hidden="1" customHeight="1">
      <c r="A5" s="282">
        <v>46191</v>
      </c>
      <c r="B5" s="283" t="s">
        <v>4370</v>
      </c>
      <c r="C5" s="284"/>
      <c r="D5" s="284"/>
      <c r="E5" s="284"/>
      <c r="F5" s="284"/>
      <c r="G5" s="285" t="b">
        <v>1</v>
      </c>
      <c r="H5" s="285" t="b">
        <v>1</v>
      </c>
      <c r="I5" s="284"/>
      <c r="J5" s="284"/>
    </row>
    <row r="6" spans="1:10" ht="30" hidden="1" customHeight="1">
      <c r="A6" s="282">
        <v>46192</v>
      </c>
      <c r="B6" s="283" t="s">
        <v>4371</v>
      </c>
      <c r="C6" s="284"/>
      <c r="D6" s="284"/>
      <c r="E6" s="284"/>
      <c r="F6" s="284"/>
      <c r="G6" s="285" t="b">
        <v>1</v>
      </c>
      <c r="H6" s="285" t="b">
        <v>1</v>
      </c>
      <c r="I6" s="284"/>
      <c r="J6" s="284"/>
    </row>
    <row r="7" spans="1:10" ht="30" hidden="1" customHeight="1">
      <c r="A7" s="282">
        <v>46195</v>
      </c>
      <c r="B7" s="283" t="s">
        <v>4372</v>
      </c>
      <c r="C7" s="284"/>
      <c r="D7" s="284"/>
      <c r="E7" s="284"/>
      <c r="F7" s="284"/>
      <c r="G7" s="285" t="b">
        <v>1</v>
      </c>
      <c r="H7" s="285" t="b">
        <v>1</v>
      </c>
      <c r="I7" s="284"/>
      <c r="J7" s="284"/>
    </row>
    <row r="8" spans="1:10" ht="30" hidden="1" customHeight="1">
      <c r="A8" s="282">
        <v>46196</v>
      </c>
      <c r="B8" s="283" t="s">
        <v>4373</v>
      </c>
      <c r="C8" s="284"/>
      <c r="D8" s="284"/>
      <c r="E8" s="284"/>
      <c r="F8" s="284"/>
      <c r="G8" s="285" t="b">
        <v>1</v>
      </c>
      <c r="H8" s="285" t="b">
        <v>1</v>
      </c>
      <c r="I8" s="284"/>
      <c r="J8" s="284"/>
    </row>
    <row r="9" spans="1:10" ht="30" hidden="1" customHeight="1">
      <c r="A9" s="282">
        <v>46197</v>
      </c>
      <c r="B9" s="283" t="s">
        <v>4374</v>
      </c>
      <c r="C9" s="284"/>
      <c r="D9" s="284"/>
      <c r="E9" s="284"/>
      <c r="F9" s="284"/>
      <c r="G9" s="285" t="b">
        <v>1</v>
      </c>
      <c r="H9" s="285" t="b">
        <v>1</v>
      </c>
      <c r="I9" s="284"/>
      <c r="J9" s="284"/>
    </row>
    <row r="10" spans="1:10" ht="30" hidden="1" customHeight="1">
      <c r="A10" s="282">
        <v>46198</v>
      </c>
      <c r="B10" s="283" t="s">
        <v>4375</v>
      </c>
      <c r="C10" s="284"/>
      <c r="D10" s="284"/>
      <c r="E10" s="284"/>
      <c r="F10" s="284"/>
      <c r="G10" s="285" t="b">
        <v>1</v>
      </c>
      <c r="H10" s="285" t="b">
        <v>1</v>
      </c>
      <c r="I10" s="284"/>
      <c r="J10" s="284"/>
    </row>
    <row r="11" spans="1:10" ht="30" hidden="1" customHeight="1">
      <c r="A11" s="282">
        <v>46199</v>
      </c>
      <c r="B11" s="283" t="s">
        <v>4376</v>
      </c>
      <c r="C11" s="284"/>
      <c r="D11" s="284"/>
      <c r="E11" s="284"/>
      <c r="F11" s="284"/>
      <c r="G11" s="285" t="b">
        <v>1</v>
      </c>
      <c r="H11" s="285" t="b">
        <v>1</v>
      </c>
      <c r="I11" s="284"/>
      <c r="J11" s="284"/>
    </row>
    <row r="12" spans="1:10" ht="30" hidden="1" customHeight="1">
      <c r="A12" s="282">
        <v>46202</v>
      </c>
      <c r="B12" s="283" t="s">
        <v>4377</v>
      </c>
      <c r="C12" s="284"/>
      <c r="D12" s="284"/>
      <c r="E12" s="284"/>
      <c r="F12" s="284"/>
      <c r="G12" s="285" t="b">
        <v>0</v>
      </c>
      <c r="H12" s="285" t="b">
        <v>0</v>
      </c>
      <c r="I12" s="284"/>
      <c r="J12" s="284"/>
    </row>
    <row r="13" spans="1:10" ht="30" hidden="1" customHeight="1">
      <c r="A13" s="282">
        <v>46203</v>
      </c>
      <c r="B13" s="283" t="s">
        <v>4378</v>
      </c>
      <c r="C13" s="284" t="s">
        <v>818</v>
      </c>
      <c r="D13" s="284"/>
      <c r="E13" s="284"/>
      <c r="F13" s="284"/>
      <c r="G13" s="285" t="b">
        <v>0</v>
      </c>
      <c r="H13" s="285" t="b">
        <v>0</v>
      </c>
      <c r="I13" s="284"/>
      <c r="J13" s="284"/>
    </row>
    <row r="14" spans="1:10" ht="30" hidden="1" customHeight="1">
      <c r="A14" s="282">
        <v>46204</v>
      </c>
      <c r="B14" s="283" t="s">
        <v>4379</v>
      </c>
      <c r="C14" s="284" t="s">
        <v>815</v>
      </c>
      <c r="D14" s="284"/>
      <c r="E14" s="284"/>
      <c r="F14" s="284"/>
      <c r="G14" s="285" t="b">
        <v>1</v>
      </c>
      <c r="H14" s="285" t="b">
        <v>1</v>
      </c>
      <c r="I14" s="284"/>
      <c r="J14" s="284"/>
    </row>
    <row r="15" spans="1:10" ht="30" hidden="1" customHeight="1">
      <c r="A15" s="282">
        <v>46205</v>
      </c>
      <c r="B15" s="283" t="s">
        <v>4380</v>
      </c>
      <c r="C15" s="284" t="s">
        <v>817</v>
      </c>
      <c r="D15" s="284"/>
      <c r="E15" s="284"/>
      <c r="F15" s="284"/>
      <c r="G15" s="285" t="b">
        <v>1</v>
      </c>
      <c r="H15" s="285" t="b">
        <v>1</v>
      </c>
      <c r="I15" s="284"/>
      <c r="J15" s="284"/>
    </row>
    <row r="16" spans="1:10" ht="30" hidden="1" customHeight="1">
      <c r="A16" s="282">
        <v>46206</v>
      </c>
      <c r="B16" s="283" t="s">
        <v>4381</v>
      </c>
      <c r="C16" s="284" t="s">
        <v>4382</v>
      </c>
      <c r="D16" s="284"/>
      <c r="E16" s="284"/>
      <c r="F16" s="284"/>
      <c r="G16" s="285" t="b">
        <v>1</v>
      </c>
      <c r="H16" s="285" t="b">
        <v>1</v>
      </c>
      <c r="I16" s="284"/>
      <c r="J16" s="284"/>
    </row>
    <row r="17" spans="1:10" ht="30" hidden="1" customHeight="1">
      <c r="A17" s="282">
        <v>46209</v>
      </c>
      <c r="B17" s="283" t="s">
        <v>4383</v>
      </c>
      <c r="C17" s="284" t="s">
        <v>821</v>
      </c>
      <c r="D17" s="284"/>
      <c r="E17" s="284"/>
      <c r="F17" s="284"/>
      <c r="G17" s="285" t="b">
        <v>1</v>
      </c>
      <c r="H17" s="285" t="b">
        <v>1</v>
      </c>
      <c r="I17" s="284"/>
      <c r="J17" s="284"/>
    </row>
    <row r="18" spans="1:10" ht="30" hidden="1" customHeight="1">
      <c r="A18" s="282">
        <v>46210</v>
      </c>
      <c r="B18" s="283" t="s">
        <v>4384</v>
      </c>
      <c r="C18" s="284" t="s">
        <v>818</v>
      </c>
      <c r="D18" s="284"/>
      <c r="E18" s="284"/>
      <c r="F18" s="284"/>
      <c r="G18" s="285" t="b">
        <v>1</v>
      </c>
      <c r="H18" s="285" t="b">
        <v>1</v>
      </c>
      <c r="I18" s="284"/>
      <c r="J18" s="284"/>
    </row>
    <row r="19" spans="1:10" ht="30" hidden="1" customHeight="1">
      <c r="A19" s="282">
        <v>46211</v>
      </c>
      <c r="B19" s="283" t="s">
        <v>4385</v>
      </c>
      <c r="C19" s="284" t="s">
        <v>815</v>
      </c>
      <c r="D19" s="284"/>
      <c r="E19" s="284"/>
      <c r="F19" s="284"/>
      <c r="G19" s="285" t="b">
        <v>1</v>
      </c>
      <c r="H19" s="285" t="b">
        <v>1</v>
      </c>
      <c r="I19" s="284"/>
      <c r="J19" s="284"/>
    </row>
    <row r="20" spans="1:10" ht="30" hidden="1" customHeight="1">
      <c r="A20" s="282">
        <v>46212</v>
      </c>
      <c r="B20" s="283" t="s">
        <v>4386</v>
      </c>
      <c r="C20" s="284" t="s">
        <v>817</v>
      </c>
      <c r="D20" s="284"/>
      <c r="E20" s="284"/>
      <c r="F20" s="284"/>
      <c r="G20" s="285" t="b">
        <v>1</v>
      </c>
      <c r="H20" s="285" t="b">
        <v>1</v>
      </c>
      <c r="I20" s="284"/>
      <c r="J20" s="284"/>
    </row>
    <row r="21" spans="1:10" ht="30" hidden="1" customHeight="1">
      <c r="A21" s="282">
        <v>46213</v>
      </c>
      <c r="B21" s="283" t="s">
        <v>4387</v>
      </c>
      <c r="C21" s="284" t="s">
        <v>820</v>
      </c>
      <c r="D21" s="284"/>
      <c r="E21" s="284"/>
      <c r="F21" s="284"/>
      <c r="G21" s="285" t="b">
        <v>1</v>
      </c>
      <c r="H21" s="285" t="b">
        <v>1</v>
      </c>
      <c r="I21" s="284"/>
      <c r="J21" s="284"/>
    </row>
    <row r="22" spans="1:10" ht="30" hidden="1" customHeight="1">
      <c r="A22" s="282">
        <v>46216</v>
      </c>
      <c r="B22" s="283" t="s">
        <v>4388</v>
      </c>
      <c r="C22" s="284" t="s">
        <v>4382</v>
      </c>
      <c r="D22" s="284"/>
      <c r="E22" s="284"/>
      <c r="F22" s="284"/>
      <c r="G22" s="285" t="b">
        <v>1</v>
      </c>
      <c r="H22" s="285" t="b">
        <v>1</v>
      </c>
      <c r="I22" s="284"/>
      <c r="J22" s="284"/>
    </row>
    <row r="23" spans="1:10" ht="30" hidden="1" customHeight="1">
      <c r="A23" s="282">
        <v>46217</v>
      </c>
      <c r="B23" s="283" t="s">
        <v>4389</v>
      </c>
      <c r="C23" s="284" t="s">
        <v>815</v>
      </c>
      <c r="D23" s="284"/>
      <c r="E23" s="284"/>
      <c r="F23" s="284"/>
      <c r="G23" s="285" t="b">
        <v>1</v>
      </c>
      <c r="H23" s="285" t="b">
        <v>1</v>
      </c>
      <c r="I23" s="284"/>
      <c r="J23" s="284"/>
    </row>
    <row r="24" spans="1:10" ht="30" hidden="1" customHeight="1">
      <c r="A24" s="282">
        <v>46218</v>
      </c>
      <c r="B24" s="283" t="s">
        <v>4390</v>
      </c>
      <c r="C24" s="284" t="s">
        <v>818</v>
      </c>
      <c r="D24" s="284"/>
      <c r="E24" s="284"/>
      <c r="F24" s="284"/>
      <c r="G24" s="285" t="b">
        <v>1</v>
      </c>
      <c r="H24" s="285" t="b">
        <v>1</v>
      </c>
      <c r="I24" s="284"/>
      <c r="J24" s="284"/>
    </row>
    <row r="25" spans="1:10" ht="30" hidden="1" customHeight="1">
      <c r="A25" s="282">
        <v>46219</v>
      </c>
      <c r="B25" s="283" t="s">
        <v>4391</v>
      </c>
      <c r="C25" s="284" t="s">
        <v>817</v>
      </c>
      <c r="D25" s="284"/>
      <c r="E25" s="284"/>
      <c r="F25" s="284"/>
      <c r="G25" s="285" t="b">
        <v>1</v>
      </c>
      <c r="H25" s="285" t="b">
        <v>1</v>
      </c>
      <c r="I25" s="284"/>
      <c r="J25" s="284"/>
    </row>
    <row r="26" spans="1:10" ht="30" hidden="1" customHeight="1">
      <c r="A26" s="282">
        <v>46220</v>
      </c>
      <c r="B26" s="283" t="s">
        <v>4392</v>
      </c>
      <c r="C26" s="284" t="s">
        <v>821</v>
      </c>
      <c r="D26" s="284"/>
      <c r="E26" s="284"/>
      <c r="F26" s="284"/>
      <c r="G26" s="285" t="b">
        <v>1</v>
      </c>
      <c r="H26" s="285" t="b">
        <v>1</v>
      </c>
      <c r="I26" s="284"/>
      <c r="J26" s="284"/>
    </row>
    <row r="27" spans="1:10" ht="30" customHeight="1">
      <c r="A27" s="282">
        <v>46238</v>
      </c>
      <c r="B27" s="283" t="s">
        <v>4393</v>
      </c>
      <c r="C27" s="284" t="s">
        <v>4394</v>
      </c>
      <c r="D27" s="284" t="s">
        <v>4395</v>
      </c>
      <c r="E27" s="284">
        <v>31.07</v>
      </c>
      <c r="F27" s="284">
        <v>31.07</v>
      </c>
      <c r="G27" s="285" t="b">
        <v>1</v>
      </c>
      <c r="H27" s="285" t="b">
        <v>1</v>
      </c>
      <c r="I27" s="284" t="s">
        <v>1109</v>
      </c>
      <c r="J27" s="284" t="s">
        <v>1112</v>
      </c>
    </row>
    <row r="28" spans="1:10" ht="30" customHeight="1">
      <c r="A28" s="282">
        <v>46239</v>
      </c>
      <c r="B28" s="283" t="s">
        <v>4396</v>
      </c>
      <c r="C28" s="284" t="s">
        <v>818</v>
      </c>
      <c r="D28" s="284">
        <v>4.08</v>
      </c>
      <c r="E28" s="284" t="s">
        <v>4397</v>
      </c>
      <c r="F28" s="284" t="s">
        <v>4398</v>
      </c>
      <c r="G28" s="285" t="b">
        <v>1</v>
      </c>
      <c r="H28" s="285" t="b">
        <v>1</v>
      </c>
      <c r="I28" s="284" t="s">
        <v>4399</v>
      </c>
      <c r="J28" s="284" t="s">
        <v>4400</v>
      </c>
    </row>
    <row r="29" spans="1:10" ht="30" customHeight="1">
      <c r="A29" s="282">
        <v>46240</v>
      </c>
      <c r="B29" s="283" t="s">
        <v>4401</v>
      </c>
      <c r="C29" s="284" t="s">
        <v>815</v>
      </c>
      <c r="D29" s="284" t="s">
        <v>4402</v>
      </c>
      <c r="E29" s="284" t="s">
        <v>4397</v>
      </c>
      <c r="F29" s="284">
        <v>5.08</v>
      </c>
      <c r="G29" s="285" t="b">
        <v>0</v>
      </c>
      <c r="H29" s="285" t="b">
        <v>1</v>
      </c>
      <c r="I29" s="284" t="s">
        <v>4403</v>
      </c>
      <c r="J29" s="284" t="s">
        <v>4404</v>
      </c>
    </row>
    <row r="30" spans="1:10" ht="30" customHeight="1">
      <c r="A30" s="282">
        <v>46241</v>
      </c>
      <c r="B30" s="283" t="s">
        <v>4405</v>
      </c>
      <c r="C30" s="284" t="s">
        <v>817</v>
      </c>
      <c r="D30" s="284">
        <v>6.08</v>
      </c>
      <c r="E30" s="284" t="s">
        <v>4397</v>
      </c>
      <c r="F30" s="284">
        <v>6.08</v>
      </c>
      <c r="G30" s="285" t="b">
        <v>1</v>
      </c>
      <c r="H30" s="285" t="b">
        <v>1</v>
      </c>
      <c r="I30" s="284" t="s">
        <v>4406</v>
      </c>
      <c r="J30" s="284" t="s">
        <v>4407</v>
      </c>
    </row>
    <row r="31" spans="1:10" ht="30" customHeight="1">
      <c r="A31" s="282">
        <v>46244</v>
      </c>
      <c r="B31" s="283" t="s">
        <v>4408</v>
      </c>
      <c r="C31" s="284" t="s">
        <v>821</v>
      </c>
      <c r="D31" s="284">
        <v>7.08</v>
      </c>
      <c r="E31" s="284" t="s">
        <v>4397</v>
      </c>
      <c r="F31" s="284">
        <v>7.08</v>
      </c>
      <c r="G31" s="285" t="b">
        <v>1</v>
      </c>
      <c r="H31" s="285" t="b">
        <v>1</v>
      </c>
      <c r="I31" s="284" t="s">
        <v>4409</v>
      </c>
      <c r="J31" s="284" t="s">
        <v>4410</v>
      </c>
    </row>
    <row r="32" spans="1:10" ht="30" customHeight="1">
      <c r="A32" s="282">
        <v>46245</v>
      </c>
      <c r="B32" s="283" t="s">
        <v>4411</v>
      </c>
      <c r="C32" s="284" t="s">
        <v>818</v>
      </c>
      <c r="D32" s="284">
        <v>10.08</v>
      </c>
      <c r="E32" s="284" t="s">
        <v>4397</v>
      </c>
      <c r="F32" s="284">
        <v>10.08</v>
      </c>
      <c r="G32" s="285" t="b">
        <v>1</v>
      </c>
      <c r="H32" s="285" t="b">
        <v>1</v>
      </c>
      <c r="I32" s="284" t="s">
        <v>4412</v>
      </c>
      <c r="J32" s="284" t="s">
        <v>4413</v>
      </c>
    </row>
    <row r="33" spans="1:10" ht="30" customHeight="1">
      <c r="A33" s="282">
        <v>46246</v>
      </c>
      <c r="B33" s="283" t="s">
        <v>4390</v>
      </c>
      <c r="C33" s="284" t="s">
        <v>815</v>
      </c>
      <c r="D33" s="284" t="s">
        <v>4414</v>
      </c>
      <c r="E33" s="284" t="s">
        <v>4397</v>
      </c>
      <c r="F33" s="284">
        <v>11.08</v>
      </c>
      <c r="G33" s="285" t="b">
        <v>1</v>
      </c>
      <c r="H33" s="285" t="b">
        <v>1</v>
      </c>
      <c r="I33" s="284" t="s">
        <v>4415</v>
      </c>
      <c r="J33" s="284" t="s">
        <v>4416</v>
      </c>
    </row>
    <row r="34" spans="1:10" ht="30" customHeight="1">
      <c r="A34" s="282">
        <v>46247</v>
      </c>
      <c r="B34" s="283" t="s">
        <v>4417</v>
      </c>
      <c r="C34" s="284" t="s">
        <v>817</v>
      </c>
      <c r="D34" s="284">
        <v>12.08</v>
      </c>
      <c r="E34" s="284" t="s">
        <v>4397</v>
      </c>
      <c r="F34" s="284">
        <v>12.08</v>
      </c>
      <c r="G34" s="285" t="b">
        <v>1</v>
      </c>
      <c r="H34" s="285" t="b">
        <v>1</v>
      </c>
      <c r="I34" s="284" t="s">
        <v>4418</v>
      </c>
      <c r="J34" s="284" t="s">
        <v>4419</v>
      </c>
    </row>
    <row r="35" spans="1:10" ht="30" customHeight="1">
      <c r="A35" s="282">
        <v>46248</v>
      </c>
      <c r="B35" s="283" t="s">
        <v>4420</v>
      </c>
      <c r="C35" s="284" t="s">
        <v>820</v>
      </c>
      <c r="D35" s="284">
        <v>13.08</v>
      </c>
      <c r="E35" s="284" t="s">
        <v>4397</v>
      </c>
      <c r="F35" s="284">
        <v>13.08</v>
      </c>
      <c r="G35" s="285" t="b">
        <v>1</v>
      </c>
      <c r="H35" s="285" t="b">
        <v>1</v>
      </c>
      <c r="I35" s="284" t="s">
        <v>4421</v>
      </c>
      <c r="J35" s="284" t="s">
        <v>4422</v>
      </c>
    </row>
    <row r="36" spans="1:10" ht="30" customHeight="1">
      <c r="A36" s="282">
        <v>46251</v>
      </c>
      <c r="B36" s="283" t="s">
        <v>4423</v>
      </c>
      <c r="C36" s="284" t="s">
        <v>4394</v>
      </c>
      <c r="D36" s="284">
        <v>14.08</v>
      </c>
      <c r="E36" s="284" t="s">
        <v>4397</v>
      </c>
      <c r="F36" s="284">
        <v>14.08</v>
      </c>
      <c r="G36" s="285" t="b">
        <v>1</v>
      </c>
      <c r="H36" s="285" t="b">
        <v>1</v>
      </c>
      <c r="I36" s="284" t="s">
        <v>4399</v>
      </c>
      <c r="J36" s="284" t="s">
        <v>4400</v>
      </c>
    </row>
    <row r="37" spans="1:10" ht="30" customHeight="1">
      <c r="A37" s="282">
        <v>46252</v>
      </c>
      <c r="B37" s="283" t="s">
        <v>4424</v>
      </c>
      <c r="C37" s="284" t="s">
        <v>818</v>
      </c>
      <c r="D37" s="284">
        <v>17.079999999999998</v>
      </c>
      <c r="E37" s="284" t="s">
        <v>4397</v>
      </c>
      <c r="F37" s="284">
        <v>17.079999999999998</v>
      </c>
      <c r="G37" s="285" t="b">
        <v>1</v>
      </c>
      <c r="H37" s="285" t="b">
        <v>1</v>
      </c>
      <c r="I37" s="284" t="s">
        <v>4425</v>
      </c>
      <c r="J37" s="284" t="s">
        <v>4426</v>
      </c>
    </row>
    <row r="38" spans="1:10" ht="30" customHeight="1">
      <c r="A38" s="282">
        <v>46253</v>
      </c>
      <c r="B38" s="283" t="s">
        <v>4427</v>
      </c>
      <c r="C38" s="284" t="s">
        <v>815</v>
      </c>
      <c r="D38" s="284" t="s">
        <v>4402</v>
      </c>
      <c r="E38" s="284" t="s">
        <v>4397</v>
      </c>
      <c r="F38" s="284">
        <v>18.079999999999998</v>
      </c>
      <c r="G38" s="285" t="b">
        <v>0</v>
      </c>
      <c r="H38" s="285" t="b">
        <v>1</v>
      </c>
      <c r="I38" s="284" t="s">
        <v>4428</v>
      </c>
      <c r="J38" s="284" t="s">
        <v>4429</v>
      </c>
    </row>
    <row r="39" spans="1:10" ht="30" customHeight="1">
      <c r="A39" s="282">
        <v>46254</v>
      </c>
      <c r="B39" s="283" t="s">
        <v>4430</v>
      </c>
      <c r="C39" s="284" t="s">
        <v>817</v>
      </c>
      <c r="D39" s="284">
        <v>19.079999999999998</v>
      </c>
      <c r="E39" s="284" t="s">
        <v>4397</v>
      </c>
      <c r="F39" s="284">
        <v>19.079999999999998</v>
      </c>
      <c r="G39" s="285" t="b">
        <v>1</v>
      </c>
      <c r="H39" s="285" t="b">
        <v>1</v>
      </c>
      <c r="I39" s="284" t="s">
        <v>4431</v>
      </c>
      <c r="J39" s="284" t="s">
        <v>4432</v>
      </c>
    </row>
    <row r="40" spans="1:10" ht="30" customHeight="1">
      <c r="A40" s="282">
        <v>46255</v>
      </c>
      <c r="B40" s="283" t="s">
        <v>4433</v>
      </c>
      <c r="C40" s="284" t="s">
        <v>4382</v>
      </c>
      <c r="D40" s="284">
        <v>20.079999999999998</v>
      </c>
      <c r="E40" s="284" t="s">
        <v>4397</v>
      </c>
      <c r="F40" s="284">
        <v>20.079999999999998</v>
      </c>
      <c r="G40" s="285" t="b">
        <v>1</v>
      </c>
      <c r="H40" s="285" t="b">
        <v>1</v>
      </c>
      <c r="I40" s="284" t="s">
        <v>4406</v>
      </c>
      <c r="J40" s="284" t="s">
        <v>4407</v>
      </c>
    </row>
    <row r="41" spans="1:10" ht="24" customHeight="1">
      <c r="A41" s="363" t="s">
        <v>4434</v>
      </c>
      <c r="B41" s="363"/>
      <c r="C41" s="363"/>
      <c r="D41" s="363"/>
      <c r="E41" s="363"/>
      <c r="F41" s="363"/>
      <c r="G41" s="363"/>
      <c r="H41" s="363"/>
      <c r="I41" s="363"/>
      <c r="J41" s="363"/>
    </row>
    <row r="42" spans="1:10" ht="30" customHeight="1">
      <c r="A42" s="282">
        <v>46258</v>
      </c>
      <c r="B42" s="283" t="s">
        <v>4435</v>
      </c>
      <c r="C42" s="284" t="s">
        <v>821</v>
      </c>
      <c r="D42" s="284">
        <v>21.08</v>
      </c>
      <c r="E42" s="284"/>
      <c r="F42" s="284"/>
      <c r="G42" s="285" t="b">
        <v>1</v>
      </c>
      <c r="H42" s="285" t="b">
        <v>0</v>
      </c>
      <c r="I42" s="284"/>
      <c r="J42" s="284"/>
    </row>
    <row r="43" spans="1:10" ht="30" customHeight="1">
      <c r="A43" s="282">
        <v>46259</v>
      </c>
      <c r="B43" s="283" t="s">
        <v>4436</v>
      </c>
      <c r="C43" s="284" t="s">
        <v>818</v>
      </c>
      <c r="D43" s="284" t="s">
        <v>4402</v>
      </c>
      <c r="E43" s="284" t="s">
        <v>4402</v>
      </c>
      <c r="F43" s="284" t="s">
        <v>4402</v>
      </c>
      <c r="G43" s="285" t="b">
        <v>0</v>
      </c>
      <c r="H43" s="285" t="b">
        <v>0</v>
      </c>
      <c r="I43" s="284"/>
      <c r="J43" s="284"/>
    </row>
    <row r="44" spans="1:10" ht="30" customHeight="1">
      <c r="A44" s="282">
        <v>46260</v>
      </c>
      <c r="B44" s="283" t="s">
        <v>4437</v>
      </c>
      <c r="C44" s="284" t="s">
        <v>815</v>
      </c>
      <c r="D44" s="284" t="s">
        <v>4402</v>
      </c>
      <c r="E44" s="284" t="s">
        <v>4402</v>
      </c>
      <c r="F44" s="284" t="s">
        <v>4402</v>
      </c>
      <c r="G44" s="285" t="b">
        <v>0</v>
      </c>
      <c r="H44" s="285" t="b">
        <v>0</v>
      </c>
      <c r="I44" s="284"/>
      <c r="J44" s="284"/>
    </row>
    <row r="45" spans="1:10" ht="30" customHeight="1">
      <c r="A45" s="282">
        <v>46261</v>
      </c>
      <c r="B45" s="283" t="s">
        <v>4438</v>
      </c>
      <c r="C45" s="284" t="s">
        <v>817</v>
      </c>
      <c r="D45" s="284" t="s">
        <v>4402</v>
      </c>
      <c r="E45" s="284" t="s">
        <v>4402</v>
      </c>
      <c r="F45" s="284" t="s">
        <v>4402</v>
      </c>
      <c r="G45" s="285" t="b">
        <v>0</v>
      </c>
      <c r="H45" s="285" t="b">
        <v>0</v>
      </c>
      <c r="I45" s="284"/>
      <c r="J45" s="284"/>
    </row>
    <row r="46" spans="1:10" ht="30" customHeight="1">
      <c r="A46" s="282">
        <v>46262</v>
      </c>
      <c r="B46" s="283" t="s">
        <v>4439</v>
      </c>
      <c r="C46" s="284" t="s">
        <v>820</v>
      </c>
      <c r="D46" s="284" t="s">
        <v>4402</v>
      </c>
      <c r="E46" s="284" t="s">
        <v>4402</v>
      </c>
      <c r="F46" s="284" t="s">
        <v>4402</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4440</v>
      </c>
      <c r="B1" s="175"/>
      <c r="C1" s="175"/>
      <c r="D1" s="175"/>
      <c r="E1" s="175"/>
    </row>
    <row r="2" spans="1:5">
      <c r="A2" t="s">
        <v>4275</v>
      </c>
      <c r="B2" t="s">
        <v>4441</v>
      </c>
      <c r="C2" t="s">
        <v>5</v>
      </c>
      <c r="D2" t="s">
        <v>4442</v>
      </c>
      <c r="E2" t="s">
        <v>4443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4444</v>
      </c>
    </row>
    <row r="2" spans="1:7" ht="15" customHeight="1">
      <c r="A2" s="290" t="s">
        <v>1836</v>
      </c>
      <c r="B2" s="290" t="s">
        <v>4445</v>
      </c>
      <c r="C2" s="290" t="s">
        <v>4446</v>
      </c>
      <c r="D2" s="290" t="s">
        <v>4447</v>
      </c>
      <c r="E2" s="290" t="s">
        <v>4448</v>
      </c>
      <c r="F2" s="290" t="s">
        <v>4449</v>
      </c>
      <c r="G2" s="290" t="s">
        <v>4450</v>
      </c>
    </row>
    <row r="3" spans="1:7">
      <c r="A3" s="291" t="s">
        <v>4451</v>
      </c>
      <c r="B3" s="291" t="s">
        <v>4452</v>
      </c>
      <c r="C3" s="291" t="s">
        <v>4453</v>
      </c>
      <c r="D3" s="291" t="s">
        <v>4454</v>
      </c>
      <c r="E3" s="291" t="s">
        <v>4455</v>
      </c>
      <c r="F3" s="291" t="s">
        <v>4456</v>
      </c>
      <c r="G3" s="291" t="s">
        <v>4457</v>
      </c>
    </row>
    <row r="4" spans="1:7">
      <c r="A4" s="291" t="s">
        <v>4458</v>
      </c>
      <c r="B4" s="291" t="s">
        <v>4459</v>
      </c>
      <c r="C4" s="291" t="s">
        <v>4460</v>
      </c>
      <c r="D4" s="291" t="s">
        <v>4461</v>
      </c>
      <c r="E4" s="291" t="s">
        <v>4462</v>
      </c>
      <c r="F4" s="291" t="s">
        <v>4463</v>
      </c>
      <c r="G4" s="291" t="s">
        <v>2067</v>
      </c>
    </row>
    <row r="5" spans="1:7">
      <c r="A5" s="291" t="s">
        <v>4464</v>
      </c>
      <c r="B5" s="291" t="s">
        <v>4465</v>
      </c>
      <c r="C5" s="291" t="s">
        <v>4466</v>
      </c>
      <c r="D5" s="291" t="s">
        <v>4467</v>
      </c>
      <c r="E5" s="291" t="s">
        <v>4455</v>
      </c>
      <c r="F5" s="291" t="s">
        <v>4463</v>
      </c>
      <c r="G5" s="291" t="s">
        <v>4468</v>
      </c>
    </row>
    <row r="6" spans="1:7">
      <c r="A6" s="291" t="s">
        <v>4469</v>
      </c>
      <c r="B6" s="291" t="s">
        <v>4470</v>
      </c>
      <c r="C6" s="291" t="s">
        <v>4471</v>
      </c>
      <c r="D6" s="291" t="s">
        <v>4472</v>
      </c>
      <c r="E6" s="291" t="s">
        <v>4473</v>
      </c>
      <c r="F6" s="291" t="s">
        <v>4463</v>
      </c>
      <c r="G6" s="291" t="s">
        <v>4474</v>
      </c>
    </row>
    <row r="7" spans="1:7">
      <c r="A7" s="291" t="s">
        <v>4475</v>
      </c>
      <c r="B7" s="291" t="s">
        <v>4476</v>
      </c>
      <c r="C7" s="291" t="s">
        <v>4477</v>
      </c>
      <c r="D7" s="291" t="s">
        <v>4478</v>
      </c>
      <c r="E7" s="291" t="s">
        <v>4479</v>
      </c>
      <c r="F7" s="291" t="s">
        <v>4463</v>
      </c>
      <c r="G7" s="291" t="s">
        <v>4480</v>
      </c>
    </row>
    <row r="8" spans="1:7">
      <c r="A8" s="291" t="s">
        <v>4481</v>
      </c>
      <c r="B8" s="291" t="s">
        <v>4482</v>
      </c>
      <c r="C8" s="291" t="s">
        <v>4483</v>
      </c>
      <c r="D8" s="291" t="s">
        <v>4484</v>
      </c>
      <c r="E8" s="291" t="s">
        <v>4485</v>
      </c>
      <c r="F8" s="291" t="s">
        <v>4463</v>
      </c>
      <c r="G8" s="291" t="s">
        <v>4486</v>
      </c>
    </row>
    <row r="9" spans="1:7">
      <c r="A9" s="291" t="s">
        <v>4487</v>
      </c>
      <c r="B9" s="291" t="s">
        <v>1621</v>
      </c>
      <c r="C9" s="291" t="s">
        <v>4488</v>
      </c>
      <c r="D9" s="291" t="s">
        <v>4489</v>
      </c>
      <c r="E9" s="291" t="s">
        <v>4490</v>
      </c>
      <c r="F9" s="291" t="s">
        <v>4491</v>
      </c>
      <c r="G9" s="291" t="s">
        <v>2067</v>
      </c>
    </row>
    <row r="10" spans="1:7">
      <c r="A10" s="291" t="s">
        <v>4492</v>
      </c>
      <c r="B10" s="291" t="s">
        <v>4493</v>
      </c>
      <c r="C10" s="291" t="s">
        <v>4494</v>
      </c>
      <c r="D10" s="291" t="s">
        <v>4495</v>
      </c>
      <c r="E10" s="291" t="s">
        <v>4496</v>
      </c>
      <c r="F10" s="291" t="s">
        <v>4491</v>
      </c>
      <c r="G10" s="291" t="s">
        <v>4497</v>
      </c>
    </row>
    <row r="11" spans="1:7">
      <c r="A11" s="291" t="s">
        <v>4498</v>
      </c>
      <c r="B11" s="291" t="s">
        <v>4499</v>
      </c>
      <c r="C11" s="291" t="s">
        <v>4471</v>
      </c>
      <c r="D11" s="291" t="s">
        <v>4500</v>
      </c>
      <c r="E11" s="291" t="s">
        <v>4501</v>
      </c>
      <c r="F11" s="291" t="s">
        <v>4491</v>
      </c>
      <c r="G11" s="291" t="s">
        <v>4502</v>
      </c>
    </row>
    <row r="12" spans="1:7">
      <c r="A12" s="291" t="s">
        <v>4503</v>
      </c>
      <c r="B12" s="291" t="s">
        <v>4504</v>
      </c>
      <c r="C12" s="291" t="s">
        <v>4505</v>
      </c>
      <c r="D12" s="291" t="s">
        <v>4506</v>
      </c>
      <c r="E12" s="291" t="s">
        <v>4507</v>
      </c>
      <c r="F12" s="291" t="s">
        <v>4491</v>
      </c>
      <c r="G12" s="291" t="s">
        <v>4508</v>
      </c>
    </row>
    <row r="13" spans="1:7">
      <c r="A13" s="291" t="s">
        <v>4509</v>
      </c>
      <c r="B13" s="291" t="s">
        <v>4510</v>
      </c>
      <c r="C13" s="291" t="s">
        <v>4511</v>
      </c>
      <c r="D13" s="291" t="s">
        <v>4512</v>
      </c>
      <c r="E13" s="291" t="s">
        <v>4513</v>
      </c>
      <c r="F13" s="291" t="s">
        <v>4491</v>
      </c>
      <c r="G13" s="291" t="s">
        <v>4457</v>
      </c>
    </row>
    <row r="14" spans="1:7">
      <c r="A14" s="291" t="s">
        <v>4514</v>
      </c>
      <c r="B14" s="291" t="s">
        <v>4515</v>
      </c>
      <c r="C14" s="291" t="s">
        <v>4516</v>
      </c>
      <c r="D14" s="291" t="s">
        <v>4517</v>
      </c>
      <c r="E14" s="291" t="s">
        <v>4462</v>
      </c>
      <c r="F14" s="291" t="s">
        <v>4518</v>
      </c>
      <c r="G14" s="291" t="s">
        <v>2067</v>
      </c>
    </row>
    <row r="15" spans="1:7">
      <c r="A15" s="291" t="s">
        <v>4519</v>
      </c>
      <c r="B15" s="291" t="s">
        <v>4520</v>
      </c>
      <c r="C15" s="291" t="s">
        <v>4521</v>
      </c>
      <c r="D15" s="291" t="s">
        <v>4522</v>
      </c>
      <c r="E15" s="291" t="s">
        <v>4523</v>
      </c>
      <c r="F15" s="291" t="s">
        <v>4518</v>
      </c>
      <c r="G15" s="291" t="s">
        <v>4524</v>
      </c>
    </row>
    <row r="16" spans="1:7">
      <c r="A16" s="291" t="s">
        <v>4525</v>
      </c>
      <c r="B16" s="291" t="s">
        <v>4526</v>
      </c>
      <c r="C16" s="291" t="s">
        <v>4471</v>
      </c>
      <c r="D16" s="291" t="s">
        <v>4527</v>
      </c>
      <c r="E16" s="291" t="s">
        <v>4528</v>
      </c>
      <c r="F16" s="291" t="s">
        <v>4518</v>
      </c>
      <c r="G16" s="291" t="s">
        <v>4529</v>
      </c>
    </row>
    <row r="17" spans="1:7">
      <c r="A17" s="291" t="s">
        <v>4530</v>
      </c>
      <c r="B17" s="291" t="s">
        <v>4531</v>
      </c>
      <c r="C17" s="291" t="s">
        <v>4532</v>
      </c>
      <c r="D17" s="291" t="s">
        <v>4533</v>
      </c>
      <c r="E17" s="291" t="s">
        <v>4534</v>
      </c>
      <c r="F17" s="291" t="s">
        <v>4518</v>
      </c>
      <c r="G17" s="291" t="s">
        <v>4480</v>
      </c>
    </row>
    <row r="18" spans="1:7">
      <c r="A18" s="291" t="s">
        <v>4535</v>
      </c>
      <c r="B18" s="291" t="s">
        <v>4536</v>
      </c>
      <c r="C18" s="291" t="s">
        <v>4537</v>
      </c>
      <c r="D18" s="291" t="s">
        <v>4538</v>
      </c>
      <c r="E18" s="291" t="s">
        <v>4539</v>
      </c>
      <c r="F18" s="291" t="s">
        <v>4518</v>
      </c>
      <c r="G18" s="291" t="s">
        <v>4486</v>
      </c>
    </row>
    <row r="19" spans="1:7">
      <c r="A19" s="291" t="s">
        <v>4540</v>
      </c>
      <c r="B19" s="291" t="s">
        <v>4541</v>
      </c>
      <c r="C19" s="291" t="s">
        <v>4542</v>
      </c>
      <c r="D19" s="291" t="s">
        <v>4543</v>
      </c>
      <c r="E19" s="291" t="s">
        <v>4544</v>
      </c>
      <c r="F19" s="291" t="s">
        <v>4545</v>
      </c>
      <c r="G19" s="291" t="s">
        <v>2067</v>
      </c>
    </row>
    <row r="20" spans="1:7">
      <c r="A20" s="291" t="s">
        <v>4546</v>
      </c>
      <c r="B20" s="291" t="s">
        <v>4547</v>
      </c>
      <c r="C20" s="291" t="s">
        <v>4548</v>
      </c>
      <c r="D20" s="291" t="s">
        <v>4549</v>
      </c>
      <c r="E20" s="291" t="s">
        <v>4462</v>
      </c>
      <c r="F20" s="291"/>
      <c r="G20" s="291" t="s">
        <v>4550</v>
      </c>
    </row>
    <row r="21" spans="1:7">
      <c r="A21" s="291" t="s">
        <v>4551</v>
      </c>
      <c r="B21" s="291" t="s">
        <v>4552</v>
      </c>
      <c r="C21" s="291" t="s">
        <v>4471</v>
      </c>
      <c r="D21" s="291" t="s">
        <v>4553</v>
      </c>
      <c r="E21" s="291" t="s">
        <v>4554</v>
      </c>
      <c r="F21" s="291"/>
      <c r="G21" s="291" t="s">
        <v>4555</v>
      </c>
    </row>
    <row r="22" spans="1:7">
      <c r="A22" s="291" t="s">
        <v>4556</v>
      </c>
      <c r="B22" s="291" t="s">
        <v>4557</v>
      </c>
      <c r="C22" s="291" t="s">
        <v>4558</v>
      </c>
      <c r="D22" s="291" t="s">
        <v>4559</v>
      </c>
      <c r="E22" s="291" t="s">
        <v>4501</v>
      </c>
      <c r="F22" s="291"/>
      <c r="G22" s="291" t="s">
        <v>4560</v>
      </c>
    </row>
    <row r="23" spans="1:7">
      <c r="A23" s="291" t="s">
        <v>4561</v>
      </c>
      <c r="B23" s="291" t="s">
        <v>4562</v>
      </c>
      <c r="C23" s="291" t="s">
        <v>4563</v>
      </c>
      <c r="D23" s="291" t="s">
        <v>4564</v>
      </c>
      <c r="E23" s="291" t="s">
        <v>4490</v>
      </c>
      <c r="F23" s="291"/>
      <c r="G23" s="291" t="s">
        <v>4457</v>
      </c>
    </row>
    <row r="24" spans="1:7">
      <c r="A24" s="291" t="s">
        <v>4565</v>
      </c>
      <c r="B24" s="291" t="s">
        <v>4566</v>
      </c>
      <c r="C24" s="291" t="s">
        <v>4567</v>
      </c>
      <c r="D24" s="291" t="s">
        <v>4568</v>
      </c>
      <c r="E24" s="291" t="s">
        <v>4455</v>
      </c>
      <c r="F24" s="291" t="s">
        <v>4463</v>
      </c>
      <c r="G24" s="291" t="s">
        <v>2067</v>
      </c>
    </row>
    <row r="25" spans="1:7">
      <c r="A25" s="291" t="s">
        <v>4569</v>
      </c>
      <c r="B25" s="291" t="s">
        <v>4570</v>
      </c>
      <c r="C25" s="291" t="s">
        <v>4571</v>
      </c>
      <c r="D25" s="291" t="s">
        <v>4572</v>
      </c>
      <c r="E25" s="291" t="s">
        <v>4573</v>
      </c>
      <c r="F25" s="291" t="s">
        <v>4463</v>
      </c>
      <c r="G25" s="291" t="s">
        <v>4574</v>
      </c>
    </row>
    <row r="26" spans="1:7">
      <c r="A26" s="291" t="s">
        <v>4575</v>
      </c>
      <c r="B26" s="291" t="s">
        <v>4576</v>
      </c>
      <c r="C26" s="291" t="s">
        <v>4471</v>
      </c>
      <c r="D26" s="291" t="s">
        <v>4577</v>
      </c>
      <c r="E26" s="291" t="s">
        <v>4578</v>
      </c>
      <c r="F26" s="291" t="s">
        <v>4463</v>
      </c>
      <c r="G26" s="291" t="s">
        <v>4579</v>
      </c>
    </row>
    <row r="27" spans="1:7">
      <c r="A27" s="291" t="s">
        <v>4580</v>
      </c>
      <c r="B27" s="291" t="s">
        <v>4581</v>
      </c>
      <c r="C27" s="291" t="s">
        <v>4582</v>
      </c>
      <c r="D27" s="291" t="s">
        <v>4583</v>
      </c>
      <c r="E27" s="291" t="s">
        <v>4584</v>
      </c>
      <c r="F27" s="291" t="s">
        <v>4463</v>
      </c>
      <c r="G27" s="291" t="s">
        <v>4585</v>
      </c>
    </row>
    <row r="28" spans="1:7">
      <c r="A28" s="291" t="s">
        <v>4586</v>
      </c>
      <c r="B28" s="291" t="s">
        <v>4587</v>
      </c>
      <c r="C28" s="291" t="s">
        <v>4588</v>
      </c>
      <c r="D28" s="291" t="s">
        <v>4589</v>
      </c>
      <c r="E28" s="291" t="s">
        <v>4590</v>
      </c>
      <c r="F28" s="291" t="s">
        <v>4463</v>
      </c>
      <c r="G28" s="291" t="s">
        <v>4474</v>
      </c>
    </row>
    <row r="29" spans="1:7">
      <c r="A29" s="291" t="s">
        <v>4591</v>
      </c>
      <c r="B29" s="291" t="s">
        <v>4592</v>
      </c>
      <c r="C29" s="291" t="s">
        <v>4593</v>
      </c>
      <c r="D29" s="291" t="s">
        <v>4594</v>
      </c>
      <c r="E29" s="291" t="s">
        <v>4462</v>
      </c>
      <c r="F29" s="291" t="s">
        <v>4491</v>
      </c>
      <c r="G29" s="291" t="s">
        <v>2067</v>
      </c>
    </row>
    <row r="30" spans="1:7">
      <c r="A30" s="291" t="s">
        <v>4595</v>
      </c>
      <c r="B30" s="291" t="s">
        <v>4596</v>
      </c>
      <c r="C30" s="291" t="s">
        <v>4597</v>
      </c>
      <c r="D30" s="291" t="s">
        <v>4598</v>
      </c>
      <c r="E30" s="291" t="s">
        <v>4523</v>
      </c>
      <c r="F30" s="291" t="s">
        <v>4491</v>
      </c>
      <c r="G30" s="291" t="s">
        <v>1040</v>
      </c>
    </row>
    <row r="31" spans="1:7">
      <c r="A31" s="291" t="s">
        <v>4599</v>
      </c>
      <c r="B31" s="291" t="s">
        <v>4600</v>
      </c>
      <c r="C31" s="291" t="s">
        <v>4471</v>
      </c>
      <c r="D31" s="291" t="s">
        <v>4601</v>
      </c>
      <c r="E31" s="291" t="s">
        <v>4528</v>
      </c>
      <c r="F31" s="291" t="s">
        <v>4491</v>
      </c>
      <c r="G31" s="291" t="s">
        <v>4602</v>
      </c>
    </row>
    <row r="32" spans="1:7">
      <c r="A32" s="291" t="s">
        <v>4603</v>
      </c>
      <c r="B32" s="291" t="s">
        <v>4604</v>
      </c>
      <c r="C32" s="291" t="s">
        <v>4605</v>
      </c>
      <c r="D32" s="291" t="s">
        <v>4606</v>
      </c>
      <c r="E32" s="291" t="s">
        <v>4534</v>
      </c>
      <c r="F32" s="291" t="s">
        <v>4491</v>
      </c>
      <c r="G32" s="291" t="s">
        <v>4607</v>
      </c>
    </row>
    <row r="33" spans="1:7">
      <c r="A33" s="291" t="s">
        <v>4608</v>
      </c>
      <c r="B33" s="291" t="s">
        <v>4609</v>
      </c>
      <c r="C33" s="291" t="s">
        <v>4610</v>
      </c>
      <c r="D33" s="291" t="s">
        <v>4611</v>
      </c>
      <c r="E33" s="291" t="s">
        <v>4539</v>
      </c>
      <c r="F33" s="291" t="s">
        <v>4491</v>
      </c>
      <c r="G33" s="291" t="s">
        <v>4612</v>
      </c>
    </row>
    <row r="34" spans="1:7">
      <c r="A34" s="291" t="s">
        <v>4613</v>
      </c>
      <c r="B34" s="291" t="s">
        <v>4614</v>
      </c>
      <c r="C34" s="291" t="s">
        <v>4615</v>
      </c>
      <c r="D34" s="291" t="s">
        <v>4616</v>
      </c>
      <c r="E34" s="291" t="s">
        <v>4490</v>
      </c>
      <c r="F34" s="291" t="s">
        <v>4617</v>
      </c>
      <c r="G34" s="291" t="s">
        <v>2067</v>
      </c>
    </row>
    <row r="35" spans="1:7">
      <c r="A35" s="291" t="s">
        <v>4618</v>
      </c>
      <c r="B35" s="291" t="s">
        <v>4619</v>
      </c>
      <c r="C35" s="291" t="s">
        <v>4620</v>
      </c>
      <c r="D35" s="291" t="s">
        <v>4621</v>
      </c>
      <c r="E35" s="291" t="s">
        <v>4622</v>
      </c>
      <c r="F35" s="291" t="s">
        <v>4617</v>
      </c>
      <c r="G35" s="291" t="s">
        <v>4623</v>
      </c>
    </row>
    <row r="36" spans="1:7">
      <c r="A36" s="291" t="s">
        <v>4624</v>
      </c>
      <c r="B36" s="291" t="s">
        <v>4625</v>
      </c>
      <c r="C36" s="291" t="s">
        <v>4626</v>
      </c>
      <c r="D36" s="291" t="s">
        <v>4627</v>
      </c>
      <c r="E36" s="291" t="s">
        <v>4501</v>
      </c>
      <c r="F36" s="291" t="s">
        <v>4617</v>
      </c>
      <c r="G36" s="291" t="s">
        <v>4628</v>
      </c>
    </row>
    <row r="37" spans="1:7">
      <c r="A37" s="291" t="s">
        <v>4629</v>
      </c>
      <c r="B37" s="291" t="s">
        <v>4630</v>
      </c>
      <c r="C37" s="291" t="s">
        <v>4631</v>
      </c>
      <c r="D37" s="291" t="s">
        <v>4632</v>
      </c>
      <c r="E37" s="291" t="s">
        <v>4507</v>
      </c>
      <c r="F37" s="291" t="s">
        <v>4617</v>
      </c>
      <c r="G37" s="291" t="s">
        <v>4633</v>
      </c>
    </row>
    <row r="38" spans="1:7">
      <c r="A38" s="291" t="s">
        <v>4634</v>
      </c>
      <c r="B38" s="291" t="s">
        <v>4635</v>
      </c>
      <c r="C38" s="291" t="s">
        <v>4636</v>
      </c>
      <c r="D38" s="291" t="s">
        <v>4637</v>
      </c>
      <c r="E38" s="291" t="s">
        <v>4638</v>
      </c>
      <c r="F38" s="291" t="s">
        <v>4617</v>
      </c>
      <c r="G38" s="291" t="s">
        <v>4486</v>
      </c>
    </row>
    <row r="39" spans="1:7">
      <c r="A39" s="291" t="s">
        <v>4639</v>
      </c>
      <c r="B39" s="291" t="s">
        <v>4640</v>
      </c>
      <c r="C39" s="291" t="s">
        <v>4641</v>
      </c>
      <c r="D39" s="291" t="s">
        <v>4642</v>
      </c>
      <c r="E39" s="291" t="s">
        <v>4643</v>
      </c>
      <c r="F39" s="291" t="s">
        <v>4644</v>
      </c>
      <c r="G39" s="291" t="s">
        <v>2067</v>
      </c>
    </row>
    <row r="40" spans="1:7">
      <c r="A40" s="291" t="s">
        <v>4645</v>
      </c>
      <c r="B40" s="291" t="s">
        <v>4646</v>
      </c>
      <c r="C40" s="291" t="s">
        <v>4647</v>
      </c>
      <c r="D40" s="291" t="s">
        <v>4648</v>
      </c>
      <c r="E40" s="291" t="s">
        <v>4649</v>
      </c>
      <c r="F40" s="291" t="s">
        <v>4644</v>
      </c>
      <c r="G40" s="291" t="s">
        <v>4650</v>
      </c>
    </row>
    <row r="41" spans="1:7">
      <c r="A41" s="291" t="s">
        <v>4651</v>
      </c>
      <c r="B41" s="291" t="s">
        <v>4652</v>
      </c>
      <c r="C41" s="291" t="s">
        <v>4653</v>
      </c>
      <c r="D41" s="291" t="s">
        <v>4654</v>
      </c>
      <c r="E41" s="291" t="s">
        <v>4655</v>
      </c>
      <c r="F41" s="291" t="s">
        <v>4644</v>
      </c>
      <c r="G41" s="291" t="s">
        <v>4656</v>
      </c>
    </row>
    <row r="42" spans="1:7">
      <c r="A42" s="291" t="s">
        <v>4657</v>
      </c>
      <c r="B42" s="291" t="s">
        <v>4658</v>
      </c>
      <c r="C42" s="291" t="s">
        <v>4659</v>
      </c>
      <c r="D42" s="291" t="s">
        <v>4660</v>
      </c>
      <c r="E42" s="291" t="s">
        <v>4661</v>
      </c>
      <c r="F42" s="291" t="s">
        <v>4644</v>
      </c>
      <c r="G42" s="291" t="s">
        <v>527</v>
      </c>
    </row>
    <row r="43" spans="1:7">
      <c r="A43" s="291" t="s">
        <v>4662</v>
      </c>
      <c r="B43" s="291" t="s">
        <v>4663</v>
      </c>
      <c r="C43" s="291" t="s">
        <v>4664</v>
      </c>
      <c r="D43" s="291" t="s">
        <v>4665</v>
      </c>
      <c r="E43" s="291" t="s">
        <v>4666</v>
      </c>
      <c r="F43" s="291" t="s">
        <v>4644</v>
      </c>
      <c r="G43" s="291" t="s">
        <v>4667</v>
      </c>
    </row>
    <row r="44" spans="1:7">
      <c r="A44" s="291" t="s">
        <v>4668</v>
      </c>
      <c r="B44" s="291" t="s">
        <v>4669</v>
      </c>
      <c r="C44" s="291" t="s">
        <v>4670</v>
      </c>
      <c r="D44" s="291" t="s">
        <v>4671</v>
      </c>
      <c r="E44" s="291" t="s">
        <v>4672</v>
      </c>
      <c r="F44" s="291" t="s">
        <v>4673</v>
      </c>
      <c r="G44" s="291" t="s">
        <v>2067</v>
      </c>
    </row>
    <row r="45" spans="1:7">
      <c r="A45" s="291" t="s">
        <v>4674</v>
      </c>
      <c r="B45" s="291" t="s">
        <v>4675</v>
      </c>
      <c r="C45" s="291" t="s">
        <v>4676</v>
      </c>
      <c r="D45" s="291" t="s">
        <v>4677</v>
      </c>
      <c r="E45" s="291" t="s">
        <v>4462</v>
      </c>
      <c r="F45" s="291" t="s">
        <v>4673</v>
      </c>
      <c r="G45" s="291" t="s">
        <v>4678</v>
      </c>
    </row>
    <row r="46" spans="1:7">
      <c r="A46" s="291" t="s">
        <v>4679</v>
      </c>
      <c r="B46" s="291" t="s">
        <v>4680</v>
      </c>
      <c r="C46" s="291" t="s">
        <v>4681</v>
      </c>
      <c r="D46" s="291" t="s">
        <v>4682</v>
      </c>
      <c r="E46" s="291" t="s">
        <v>4554</v>
      </c>
      <c r="F46" s="291" t="s">
        <v>4673</v>
      </c>
      <c r="G46" s="291" t="s">
        <v>4474</v>
      </c>
    </row>
    <row r="47" spans="1:7">
      <c r="A47" s="291" t="s">
        <v>4683</v>
      </c>
      <c r="B47" s="291" t="s">
        <v>4684</v>
      </c>
      <c r="C47" s="291" t="s">
        <v>4685</v>
      </c>
      <c r="D47" s="291" t="s">
        <v>4686</v>
      </c>
      <c r="E47" s="291" t="s">
        <v>4501</v>
      </c>
      <c r="F47" s="291" t="s">
        <v>4673</v>
      </c>
      <c r="G47" s="291" t="s">
        <v>4687</v>
      </c>
    </row>
    <row r="48" spans="1:7">
      <c r="A48" s="291" t="s">
        <v>4688</v>
      </c>
      <c r="B48" s="291" t="s">
        <v>4689</v>
      </c>
      <c r="C48" s="291" t="s">
        <v>4690</v>
      </c>
      <c r="D48" s="291" t="s">
        <v>4691</v>
      </c>
      <c r="E48" s="291" t="s">
        <v>4692</v>
      </c>
      <c r="F48" s="291" t="s">
        <v>4673</v>
      </c>
      <c r="G48" s="291" t="s">
        <v>4524</v>
      </c>
    </row>
    <row r="49" spans="1:7">
      <c r="A49" s="291" t="s">
        <v>4693</v>
      </c>
      <c r="B49" s="291" t="s">
        <v>4694</v>
      </c>
      <c r="C49" s="291" t="s">
        <v>4695</v>
      </c>
      <c r="D49" s="291" t="s">
        <v>4696</v>
      </c>
      <c r="E49" s="291" t="s">
        <v>4455</v>
      </c>
      <c r="F49" s="291" t="s">
        <v>4491</v>
      </c>
      <c r="G49" s="291" t="s">
        <v>2067</v>
      </c>
    </row>
    <row r="50" spans="1:7">
      <c r="A50" s="291" t="s">
        <v>4697</v>
      </c>
      <c r="B50" s="291" t="s">
        <v>4698</v>
      </c>
      <c r="C50" s="291" t="s">
        <v>4699</v>
      </c>
      <c r="D50" s="291" t="s">
        <v>4700</v>
      </c>
      <c r="E50" s="291" t="s">
        <v>4513</v>
      </c>
      <c r="F50" s="291" t="s">
        <v>4491</v>
      </c>
      <c r="G50" s="291" t="s">
        <v>4701</v>
      </c>
    </row>
    <row r="51" spans="1:7">
      <c r="A51" s="291" t="s">
        <v>4702</v>
      </c>
      <c r="B51" s="291" t="s">
        <v>4703</v>
      </c>
      <c r="C51" s="291" t="s">
        <v>4704</v>
      </c>
      <c r="D51" s="291" t="s">
        <v>4705</v>
      </c>
      <c r="E51" s="291" t="s">
        <v>4706</v>
      </c>
      <c r="F51" s="291" t="s">
        <v>4491</v>
      </c>
      <c r="G51" s="291" t="s">
        <v>4707</v>
      </c>
    </row>
    <row r="52" spans="1:7">
      <c r="A52" s="291" t="s">
        <v>4708</v>
      </c>
      <c r="B52" s="291" t="s">
        <v>4709</v>
      </c>
      <c r="C52" s="291" t="s">
        <v>4471</v>
      </c>
      <c r="D52" s="291" t="s">
        <v>4710</v>
      </c>
      <c r="E52" s="291" t="s">
        <v>4711</v>
      </c>
      <c r="F52" s="291" t="s">
        <v>4491</v>
      </c>
      <c r="G52" s="291" t="s">
        <v>4468</v>
      </c>
    </row>
    <row r="53" spans="1:7">
      <c r="A53" s="291" t="s">
        <v>4712</v>
      </c>
      <c r="B53" s="291" t="s">
        <v>4713</v>
      </c>
      <c r="C53" s="291" t="s">
        <v>4714</v>
      </c>
      <c r="D53" s="291" t="s">
        <v>4715</v>
      </c>
      <c r="E53" s="291" t="s">
        <v>4716</v>
      </c>
      <c r="F53" s="291" t="s">
        <v>4491</v>
      </c>
      <c r="G53" s="291" t="s">
        <v>4457</v>
      </c>
    </row>
    <row r="54" spans="1:7">
      <c r="A54" s="291" t="s">
        <v>4717</v>
      </c>
      <c r="B54" s="291" t="s">
        <v>4718</v>
      </c>
      <c r="C54" s="291" t="s">
        <v>4719</v>
      </c>
      <c r="D54" s="291" t="s">
        <v>4720</v>
      </c>
      <c r="E54" s="291" t="s">
        <v>4462</v>
      </c>
      <c r="F54" s="291" t="s">
        <v>4721</v>
      </c>
      <c r="G54" s="291" t="s">
        <v>2067</v>
      </c>
    </row>
    <row r="55" spans="1:7">
      <c r="A55" s="291" t="s">
        <v>4722</v>
      </c>
      <c r="B55" s="291" t="s">
        <v>4723</v>
      </c>
      <c r="C55" s="291" t="s">
        <v>4724</v>
      </c>
      <c r="D55" s="291" t="s">
        <v>4725</v>
      </c>
      <c r="E55" s="291" t="s">
        <v>4479</v>
      </c>
      <c r="F55" s="291" t="s">
        <v>4721</v>
      </c>
      <c r="G55" s="291" t="s">
        <v>4726</v>
      </c>
    </row>
    <row r="56" spans="1:7">
      <c r="A56" s="291" t="s">
        <v>4727</v>
      </c>
      <c r="B56" s="291" t="s">
        <v>4728</v>
      </c>
      <c r="C56" s="291" t="s">
        <v>4729</v>
      </c>
      <c r="D56" s="291" t="s">
        <v>4730</v>
      </c>
      <c r="E56" s="291" t="s">
        <v>4731</v>
      </c>
      <c r="F56" s="291" t="s">
        <v>4721</v>
      </c>
      <c r="G56" s="291" t="s">
        <v>4678</v>
      </c>
    </row>
    <row r="57" spans="1:7">
      <c r="A57" s="291" t="s">
        <v>4732</v>
      </c>
      <c r="B57" s="291" t="s">
        <v>4733</v>
      </c>
      <c r="C57" s="291" t="s">
        <v>4734</v>
      </c>
      <c r="D57" s="291" t="s">
        <v>4735</v>
      </c>
      <c r="E57" s="291" t="s">
        <v>4736</v>
      </c>
      <c r="F57" s="291" t="s">
        <v>4721</v>
      </c>
      <c r="G57" s="291" t="s">
        <v>4737</v>
      </c>
    </row>
    <row r="58" spans="1:7">
      <c r="A58" s="291" t="s">
        <v>4738</v>
      </c>
      <c r="B58" s="291" t="s">
        <v>4739</v>
      </c>
      <c r="C58" s="291" t="s">
        <v>4740</v>
      </c>
      <c r="D58" s="291" t="s">
        <v>4741</v>
      </c>
      <c r="E58" s="291" t="s">
        <v>4539</v>
      </c>
      <c r="F58" s="291" t="s">
        <v>4721</v>
      </c>
      <c r="G58" s="291" t="s">
        <v>4486</v>
      </c>
    </row>
    <row r="59" spans="1:7">
      <c r="A59" s="291" t="s">
        <v>4742</v>
      </c>
      <c r="B59" s="291" t="s">
        <v>4743</v>
      </c>
      <c r="C59" s="291" t="s">
        <v>4744</v>
      </c>
      <c r="D59" s="291" t="s">
        <v>4594</v>
      </c>
      <c r="E59" s="291" t="s">
        <v>4745</v>
      </c>
      <c r="F59" s="291" t="s">
        <v>4746</v>
      </c>
      <c r="G59" s="291" t="s">
        <v>2067</v>
      </c>
    </row>
    <row r="60" spans="1:7">
      <c r="A60" s="291" t="s">
        <v>4747</v>
      </c>
      <c r="B60" s="291" t="s">
        <v>4748</v>
      </c>
      <c r="C60" s="291" t="s">
        <v>4749</v>
      </c>
      <c r="D60" s="291" t="s">
        <v>4598</v>
      </c>
      <c r="E60" s="291" t="s">
        <v>4455</v>
      </c>
      <c r="F60" s="291" t="s">
        <v>4746</v>
      </c>
      <c r="G60" s="291" t="s">
        <v>527</v>
      </c>
    </row>
    <row r="61" spans="1:7">
      <c r="A61" s="291" t="s">
        <v>4750</v>
      </c>
      <c r="B61" s="291" t="s">
        <v>4751</v>
      </c>
      <c r="C61" s="291" t="s">
        <v>4752</v>
      </c>
      <c r="D61" s="291" t="s">
        <v>4601</v>
      </c>
      <c r="E61" s="291" t="s">
        <v>4554</v>
      </c>
      <c r="F61" s="291" t="s">
        <v>4746</v>
      </c>
      <c r="G61" s="291" t="s">
        <v>4468</v>
      </c>
    </row>
    <row r="62" spans="1:7">
      <c r="A62" s="291" t="s">
        <v>4753</v>
      </c>
      <c r="B62" s="291" t="s">
        <v>4754</v>
      </c>
      <c r="C62" s="291" t="s">
        <v>4755</v>
      </c>
      <c r="D62" s="291" t="s">
        <v>4606</v>
      </c>
      <c r="E62" s="291" t="s">
        <v>4501</v>
      </c>
      <c r="F62" s="291" t="s">
        <v>4746</v>
      </c>
      <c r="G62" s="291" t="s">
        <v>4480</v>
      </c>
    </row>
    <row r="63" spans="1:7">
      <c r="A63" s="291" t="s">
        <v>4756</v>
      </c>
      <c r="B63" s="291" t="s">
        <v>4757</v>
      </c>
      <c r="C63" s="291" t="s">
        <v>4758</v>
      </c>
      <c r="D63" s="291" t="s">
        <v>4611</v>
      </c>
      <c r="E63" s="291" t="s">
        <v>4490</v>
      </c>
      <c r="F63" s="291" t="s">
        <v>4746</v>
      </c>
      <c r="G63" s="291" t="s">
        <v>4497</v>
      </c>
    </row>
    <row r="64" spans="1:7">
      <c r="A64" s="291" t="s">
        <v>4759</v>
      </c>
      <c r="B64" s="291" t="s">
        <v>4760</v>
      </c>
      <c r="C64" s="291" t="s">
        <v>4761</v>
      </c>
      <c r="D64" s="291" t="s">
        <v>4572</v>
      </c>
      <c r="E64" s="291" t="s">
        <v>4762</v>
      </c>
      <c r="F64" s="291" t="s">
        <v>4763</v>
      </c>
      <c r="G64" s="291" t="s">
        <v>2067</v>
      </c>
    </row>
    <row r="65" spans="1:7">
      <c r="A65" s="291" t="s">
        <v>4764</v>
      </c>
      <c r="B65" s="291" t="s">
        <v>4765</v>
      </c>
      <c r="C65" s="291" t="s">
        <v>4766</v>
      </c>
      <c r="D65" s="291" t="s">
        <v>4577</v>
      </c>
      <c r="E65" s="291" t="s">
        <v>4462</v>
      </c>
      <c r="F65" s="291" t="s">
        <v>4763</v>
      </c>
      <c r="G65" s="291" t="s">
        <v>4667</v>
      </c>
    </row>
    <row r="66" spans="1:7">
      <c r="A66" s="291" t="s">
        <v>4767</v>
      </c>
      <c r="B66" s="291" t="s">
        <v>4768</v>
      </c>
      <c r="C66" s="291" t="s">
        <v>4769</v>
      </c>
      <c r="D66" s="291" t="s">
        <v>4770</v>
      </c>
      <c r="E66" s="291" t="s">
        <v>4771</v>
      </c>
      <c r="F66" s="291" t="s">
        <v>4763</v>
      </c>
      <c r="G66" s="291" t="s">
        <v>4524</v>
      </c>
    </row>
    <row r="67" spans="1:7">
      <c r="A67" s="291" t="s">
        <v>4772</v>
      </c>
      <c r="B67" s="291" t="s">
        <v>4773</v>
      </c>
      <c r="C67" s="291"/>
      <c r="D67" s="291"/>
      <c r="E67" s="291"/>
      <c r="F67" s="291"/>
      <c r="G67" s="291"/>
    </row>
    <row r="68" spans="1:7">
      <c r="A68" s="291" t="s">
        <v>4774</v>
      </c>
      <c r="B68" s="291" t="s">
        <v>4775</v>
      </c>
      <c r="C68" s="291"/>
      <c r="D68" s="291"/>
      <c r="E68" s="291"/>
      <c r="F68" s="291"/>
      <c r="G68" s="291"/>
    </row>
    <row r="69" spans="1:7">
      <c r="A69" s="291" t="s">
        <v>4776</v>
      </c>
      <c r="B69" s="291" t="s">
        <v>4777</v>
      </c>
      <c r="C69" s="291"/>
      <c r="D69" s="291"/>
      <c r="E69" s="291"/>
      <c r="F69" s="291"/>
      <c r="G69" s="291"/>
    </row>
    <row r="70" spans="1:7">
      <c r="A70" s="291" t="s">
        <v>4778</v>
      </c>
      <c r="B70" s="291" t="s">
        <v>4779</v>
      </c>
      <c r="C70" s="291" t="s">
        <v>4780</v>
      </c>
      <c r="D70" s="291" t="s">
        <v>4642</v>
      </c>
      <c r="E70" s="291" t="s">
        <v>4666</v>
      </c>
      <c r="F70" s="291" t="s">
        <v>4746</v>
      </c>
      <c r="G70" s="291" t="s">
        <v>2067</v>
      </c>
    </row>
    <row r="71" spans="1:7">
      <c r="A71" s="291" t="s">
        <v>4781</v>
      </c>
      <c r="B71" s="291" t="s">
        <v>4782</v>
      </c>
      <c r="C71" s="291" t="s">
        <v>4783</v>
      </c>
      <c r="D71" s="291" t="s">
        <v>4648</v>
      </c>
      <c r="E71" s="291" t="s">
        <v>4655</v>
      </c>
      <c r="F71" s="291" t="s">
        <v>4746</v>
      </c>
      <c r="G71" s="291" t="s">
        <v>4678</v>
      </c>
    </row>
    <row r="72" spans="1:7">
      <c r="A72" s="291" t="s">
        <v>4784</v>
      </c>
      <c r="B72" s="291" t="s">
        <v>4785</v>
      </c>
      <c r="C72" s="291" t="s">
        <v>4786</v>
      </c>
      <c r="D72" s="291" t="s">
        <v>4654</v>
      </c>
      <c r="E72" s="291" t="s">
        <v>4584</v>
      </c>
      <c r="F72" s="291" t="s">
        <v>4746</v>
      </c>
      <c r="G72" s="291" t="s">
        <v>4602</v>
      </c>
    </row>
    <row r="73" spans="1:7">
      <c r="A73" s="291" t="s">
        <v>4787</v>
      </c>
      <c r="B73" s="291" t="s">
        <v>4788</v>
      </c>
      <c r="C73" s="291" t="s">
        <v>4789</v>
      </c>
      <c r="D73" s="291" t="s">
        <v>4660</v>
      </c>
      <c r="E73" s="291" t="s">
        <v>4539</v>
      </c>
      <c r="F73" s="291" t="s">
        <v>4746</v>
      </c>
      <c r="G73" s="291" t="s">
        <v>4607</v>
      </c>
    </row>
    <row r="74" spans="1:7">
      <c r="A74" s="291" t="s">
        <v>4790</v>
      </c>
      <c r="B74" s="291" t="s">
        <v>4791</v>
      </c>
      <c r="C74" s="291" t="s">
        <v>4792</v>
      </c>
      <c r="D74" s="291" t="s">
        <v>4671</v>
      </c>
      <c r="E74" s="291" t="s">
        <v>4490</v>
      </c>
      <c r="F74" s="291" t="s">
        <v>4793</v>
      </c>
      <c r="G74" s="291" t="s">
        <v>2067</v>
      </c>
    </row>
    <row r="75" spans="1:7">
      <c r="A75" s="291" t="s">
        <v>4794</v>
      </c>
      <c r="B75" s="291" t="s">
        <v>4795</v>
      </c>
      <c r="C75" s="291" t="s">
        <v>4796</v>
      </c>
      <c r="D75" s="291" t="s">
        <v>4677</v>
      </c>
      <c r="E75" s="291" t="s">
        <v>4479</v>
      </c>
      <c r="F75" s="291" t="s">
        <v>4793</v>
      </c>
      <c r="G75" s="291" t="s">
        <v>4524</v>
      </c>
    </row>
    <row r="76" spans="1:7">
      <c r="A76" s="291" t="s">
        <v>4797</v>
      </c>
      <c r="B76" s="291" t="s">
        <v>4798</v>
      </c>
      <c r="C76" s="291" t="s">
        <v>4799</v>
      </c>
      <c r="D76" s="291" t="s">
        <v>4682</v>
      </c>
      <c r="E76" s="291" t="s">
        <v>4462</v>
      </c>
      <c r="F76" s="291" t="s">
        <v>4793</v>
      </c>
      <c r="G76" s="291" t="s">
        <v>4800</v>
      </c>
    </row>
    <row r="77" spans="1:7">
      <c r="A77" s="291" t="s">
        <v>4801</v>
      </c>
      <c r="B77" s="291" t="s">
        <v>4802</v>
      </c>
      <c r="C77" s="291" t="s">
        <v>4803</v>
      </c>
      <c r="D77" s="291" t="s">
        <v>4686</v>
      </c>
      <c r="E77" s="291" t="s">
        <v>4804</v>
      </c>
      <c r="F77" s="291" t="s">
        <v>4793</v>
      </c>
      <c r="G77" s="291" t="s">
        <v>4805</v>
      </c>
    </row>
    <row r="78" spans="1:7">
      <c r="A78" s="291" t="s">
        <v>4806</v>
      </c>
      <c r="B78" s="291" t="s">
        <v>4807</v>
      </c>
      <c r="C78" s="291" t="s">
        <v>4808</v>
      </c>
      <c r="D78" s="291" t="s">
        <v>4691</v>
      </c>
      <c r="E78" s="291" t="s">
        <v>4455</v>
      </c>
      <c r="F78" s="291" t="s">
        <v>4793</v>
      </c>
      <c r="G78" s="291" t="s">
        <v>4486</v>
      </c>
    </row>
    <row r="79" spans="1:7">
      <c r="A79" s="291" t="s">
        <v>4809</v>
      </c>
      <c r="B79" s="291" t="s">
        <v>4810</v>
      </c>
      <c r="C79" s="291" t="s">
        <v>4811</v>
      </c>
      <c r="D79" s="291" t="s">
        <v>4696</v>
      </c>
      <c r="E79" s="291" t="s">
        <v>4455</v>
      </c>
      <c r="F79" s="291" t="s">
        <v>4812</v>
      </c>
      <c r="G79" s="291" t="s">
        <v>2067</v>
      </c>
    </row>
    <row r="80" spans="1:7">
      <c r="A80" s="291" t="s">
        <v>4813</v>
      </c>
      <c r="B80" s="291" t="s">
        <v>4814</v>
      </c>
      <c r="C80" s="291" t="s">
        <v>4815</v>
      </c>
      <c r="D80" s="291" t="s">
        <v>4700</v>
      </c>
      <c r="E80" s="291" t="s">
        <v>4816</v>
      </c>
      <c r="F80" s="291" t="s">
        <v>4812</v>
      </c>
      <c r="G80" s="291" t="s">
        <v>4817</v>
      </c>
    </row>
    <row r="81" spans="1:7">
      <c r="A81" s="291" t="s">
        <v>4818</v>
      </c>
      <c r="B81" s="291" t="s">
        <v>4819</v>
      </c>
      <c r="C81" s="291" t="s">
        <v>4820</v>
      </c>
      <c r="D81" s="291" t="s">
        <v>4705</v>
      </c>
      <c r="E81" s="291" t="s">
        <v>4523</v>
      </c>
      <c r="F81" s="291" t="s">
        <v>4812</v>
      </c>
      <c r="G81" s="291" t="s">
        <v>4508</v>
      </c>
    </row>
    <row r="82" spans="1:7">
      <c r="A82" s="291" t="s">
        <v>4821</v>
      </c>
      <c r="B82" s="291" t="s">
        <v>4822</v>
      </c>
      <c r="C82" s="291" t="s">
        <v>4823</v>
      </c>
      <c r="D82" s="291" t="s">
        <v>4715</v>
      </c>
      <c r="E82" s="291" t="s">
        <v>4455</v>
      </c>
      <c r="F82" s="291" t="s">
        <v>4812</v>
      </c>
      <c r="G82" s="291" t="s">
        <v>4457</v>
      </c>
    </row>
    <row r="83" spans="1:7">
      <c r="A83" s="291" t="s">
        <v>4824</v>
      </c>
      <c r="B83" s="291" t="s">
        <v>4825</v>
      </c>
      <c r="C83" s="291" t="s">
        <v>4826</v>
      </c>
      <c r="D83" s="291" t="s">
        <v>4720</v>
      </c>
      <c r="E83" s="291" t="s">
        <v>4827</v>
      </c>
      <c r="F83" s="291" t="s">
        <v>4828</v>
      </c>
      <c r="G83" s="291" t="s">
        <v>2067</v>
      </c>
    </row>
    <row r="84" spans="1:7">
      <c r="A84" s="291" t="s">
        <v>4829</v>
      </c>
      <c r="B84" s="291" t="s">
        <v>4830</v>
      </c>
      <c r="C84" s="291" t="s">
        <v>4831</v>
      </c>
      <c r="D84" s="291" t="s">
        <v>4832</v>
      </c>
      <c r="E84" s="291" t="s">
        <v>4513</v>
      </c>
      <c r="F84" s="291" t="s">
        <v>4828</v>
      </c>
      <c r="G84" s="291" t="s">
        <v>4833</v>
      </c>
    </row>
    <row r="85" spans="1:7">
      <c r="A85" s="291" t="s">
        <v>4834</v>
      </c>
      <c r="B85" s="291" t="s">
        <v>4835</v>
      </c>
      <c r="C85" s="291" t="s">
        <v>4836</v>
      </c>
      <c r="D85" s="291" t="s">
        <v>4730</v>
      </c>
      <c r="E85" s="291" t="s">
        <v>4655</v>
      </c>
      <c r="F85" s="291" t="s">
        <v>4828</v>
      </c>
      <c r="G85" s="291" t="s">
        <v>4524</v>
      </c>
    </row>
    <row r="86" spans="1:7">
      <c r="A86" s="291" t="s">
        <v>4837</v>
      </c>
      <c r="B86" s="291" t="s">
        <v>4838</v>
      </c>
      <c r="C86" s="291" t="s">
        <v>4839</v>
      </c>
      <c r="D86" s="291" t="s">
        <v>4735</v>
      </c>
      <c r="E86" s="291" t="s">
        <v>4840</v>
      </c>
      <c r="F86" s="291" t="s">
        <v>4828</v>
      </c>
      <c r="G86" s="291" t="s">
        <v>4474</v>
      </c>
    </row>
    <row r="87" spans="1:7">
      <c r="A87" s="291" t="s">
        <v>4841</v>
      </c>
      <c r="B87" s="291" t="s">
        <v>4842</v>
      </c>
      <c r="C87" s="291" t="s">
        <v>4843</v>
      </c>
      <c r="D87" s="291" t="s">
        <v>4594</v>
      </c>
      <c r="E87" s="291" t="s">
        <v>4844</v>
      </c>
      <c r="F87" s="291" t="s">
        <v>4845</v>
      </c>
      <c r="G87" s="291" t="s">
        <v>2067</v>
      </c>
    </row>
    <row r="88" spans="1:7">
      <c r="A88" s="291" t="s">
        <v>4846</v>
      </c>
      <c r="B88" s="291" t="s">
        <v>4847</v>
      </c>
      <c r="C88" s="291" t="s">
        <v>4848</v>
      </c>
      <c r="D88" s="291" t="s">
        <v>4598</v>
      </c>
      <c r="E88" s="291" t="s">
        <v>4455</v>
      </c>
      <c r="F88" s="291" t="s">
        <v>4845</v>
      </c>
      <c r="G88" s="291" t="s">
        <v>4457</v>
      </c>
    </row>
    <row r="89" spans="1:7">
      <c r="A89" s="291" t="s">
        <v>4849</v>
      </c>
      <c r="B89" s="291" t="s">
        <v>4850</v>
      </c>
      <c r="C89" s="291" t="s">
        <v>4851</v>
      </c>
      <c r="D89" s="291" t="s">
        <v>4601</v>
      </c>
      <c r="E89" s="291" t="s">
        <v>4554</v>
      </c>
      <c r="F89" s="291" t="s">
        <v>4845</v>
      </c>
      <c r="G89" s="291" t="s">
        <v>527</v>
      </c>
    </row>
    <row r="90" spans="1:7">
      <c r="A90" s="291" t="s">
        <v>4852</v>
      </c>
      <c r="B90" s="291" t="s">
        <v>4853</v>
      </c>
      <c r="C90" s="291" t="s">
        <v>4854</v>
      </c>
      <c r="D90" s="291" t="s">
        <v>4606</v>
      </c>
      <c r="E90" s="291" t="s">
        <v>4501</v>
      </c>
      <c r="F90" s="291" t="s">
        <v>4845</v>
      </c>
      <c r="G90" s="291" t="s">
        <v>4607</v>
      </c>
    </row>
    <row r="91" spans="1:7">
      <c r="A91" s="291" t="s">
        <v>4855</v>
      </c>
      <c r="B91" s="291" t="s">
        <v>4856</v>
      </c>
      <c r="C91" s="291" t="s">
        <v>4857</v>
      </c>
      <c r="D91" s="291" t="s">
        <v>4858</v>
      </c>
      <c r="E91" s="291" t="s">
        <v>4859</v>
      </c>
      <c r="F91" s="291" t="s">
        <v>4845</v>
      </c>
      <c r="G91" s="291" t="s">
        <v>4486</v>
      </c>
    </row>
    <row r="92" spans="1:7">
      <c r="A92" s="291" t="s">
        <v>4860</v>
      </c>
      <c r="B92" s="291" t="s">
        <v>4861</v>
      </c>
      <c r="C92" s="291" t="s">
        <v>4862</v>
      </c>
      <c r="D92" s="291" t="s">
        <v>4572</v>
      </c>
      <c r="E92" s="291" t="s">
        <v>4462</v>
      </c>
      <c r="F92" s="291" t="s">
        <v>4746</v>
      </c>
      <c r="G92" s="291" t="s">
        <v>2067</v>
      </c>
    </row>
    <row r="93" spans="1:7">
      <c r="A93" s="291" t="s">
        <v>4863</v>
      </c>
      <c r="B93" s="291" t="s">
        <v>4864</v>
      </c>
      <c r="C93" s="291" t="s">
        <v>4865</v>
      </c>
      <c r="D93" s="291" t="s">
        <v>4577</v>
      </c>
      <c r="E93" s="291" t="s">
        <v>4479</v>
      </c>
      <c r="F93" s="291" t="s">
        <v>4746</v>
      </c>
      <c r="G93" s="291" t="s">
        <v>4550</v>
      </c>
    </row>
    <row r="94" spans="1:7">
      <c r="A94" s="291" t="s">
        <v>4866</v>
      </c>
      <c r="B94" s="291" t="s">
        <v>4867</v>
      </c>
      <c r="C94" s="291" t="s">
        <v>4868</v>
      </c>
      <c r="D94" s="291" t="s">
        <v>4869</v>
      </c>
      <c r="E94" s="291" t="s">
        <v>4523</v>
      </c>
      <c r="F94" s="291" t="s">
        <v>4746</v>
      </c>
      <c r="G94" s="291" t="s">
        <v>4870</v>
      </c>
    </row>
    <row r="95" spans="1:7">
      <c r="A95" s="291" t="s">
        <v>4871</v>
      </c>
      <c r="B95" s="291" t="s">
        <v>4872</v>
      </c>
      <c r="C95" s="291" t="s">
        <v>4873</v>
      </c>
      <c r="D95" s="291" t="s">
        <v>4874</v>
      </c>
      <c r="E95" s="291" t="s">
        <v>4534</v>
      </c>
      <c r="F95" s="291" t="s">
        <v>4746</v>
      </c>
      <c r="G95" s="291" t="s">
        <v>4457</v>
      </c>
    </row>
    <row r="96" spans="1:7">
      <c r="A96" s="291" t="s">
        <v>4875</v>
      </c>
      <c r="B96" s="291" t="s">
        <v>4876</v>
      </c>
      <c r="C96" s="291" t="s">
        <v>4877</v>
      </c>
      <c r="D96" s="291" t="s">
        <v>4642</v>
      </c>
      <c r="E96" s="291" t="s">
        <v>4490</v>
      </c>
      <c r="F96" s="291" t="s">
        <v>4828</v>
      </c>
      <c r="G96" s="291" t="s">
        <v>2067</v>
      </c>
    </row>
    <row r="97" spans="1:7">
      <c r="A97" s="291" t="s">
        <v>4878</v>
      </c>
      <c r="B97" s="291" t="s">
        <v>4879</v>
      </c>
      <c r="C97" s="291" t="s">
        <v>4880</v>
      </c>
      <c r="D97" s="291" t="s">
        <v>4648</v>
      </c>
      <c r="E97" s="291" t="s">
        <v>4881</v>
      </c>
      <c r="F97" s="291" t="s">
        <v>4828</v>
      </c>
      <c r="G97" s="291" t="s">
        <v>4882</v>
      </c>
    </row>
    <row r="98" spans="1:7">
      <c r="A98" s="291" t="s">
        <v>4883</v>
      </c>
      <c r="B98" s="291" t="s">
        <v>4884</v>
      </c>
      <c r="C98" s="291" t="s">
        <v>4885</v>
      </c>
      <c r="D98" s="291" t="s">
        <v>4660</v>
      </c>
      <c r="E98" s="291" t="s">
        <v>4501</v>
      </c>
      <c r="F98" s="291" t="s">
        <v>4828</v>
      </c>
      <c r="G98" s="291" t="s">
        <v>4886</v>
      </c>
    </row>
    <row r="99" spans="1:7">
      <c r="A99" s="291" t="s">
        <v>4887</v>
      </c>
      <c r="B99" s="291" t="s">
        <v>4888</v>
      </c>
      <c r="C99" s="291" t="s">
        <v>4471</v>
      </c>
      <c r="D99" s="291" t="s">
        <v>4889</v>
      </c>
      <c r="E99" s="291" t="s">
        <v>4507</v>
      </c>
      <c r="F99" s="291" t="s">
        <v>4828</v>
      </c>
      <c r="G99" s="291" t="s">
        <v>4890</v>
      </c>
    </row>
    <row r="100" spans="1:7">
      <c r="A100" s="291" t="s">
        <v>4891</v>
      </c>
      <c r="B100" s="291" t="s">
        <v>4892</v>
      </c>
      <c r="C100" s="291" t="s">
        <v>4893</v>
      </c>
      <c r="D100" s="291" t="s">
        <v>4894</v>
      </c>
      <c r="E100" s="291" t="s">
        <v>4513</v>
      </c>
      <c r="F100" s="291" t="s">
        <v>4828</v>
      </c>
      <c r="G100" s="291" t="s">
        <v>4468</v>
      </c>
    </row>
    <row r="101" spans="1:7">
      <c r="A101" s="291" t="s">
        <v>4895</v>
      </c>
      <c r="B101" s="291" t="s">
        <v>4896</v>
      </c>
      <c r="C101" s="291" t="s">
        <v>4897</v>
      </c>
      <c r="D101" s="291" t="s">
        <v>4677</v>
      </c>
      <c r="E101" s="291" t="s">
        <v>4745</v>
      </c>
      <c r="F101" s="291" t="s">
        <v>4812</v>
      </c>
      <c r="G101" s="291" t="s">
        <v>2067</v>
      </c>
    </row>
    <row r="102" spans="1:7">
      <c r="A102" s="291" t="s">
        <v>4898</v>
      </c>
      <c r="B102" s="291" t="s">
        <v>4899</v>
      </c>
      <c r="C102" s="291" t="s">
        <v>4704</v>
      </c>
      <c r="D102" s="291" t="s">
        <v>4682</v>
      </c>
      <c r="E102" s="291" t="s">
        <v>4462</v>
      </c>
      <c r="F102" s="291" t="s">
        <v>4812</v>
      </c>
      <c r="G102" s="291" t="s">
        <v>4607</v>
      </c>
    </row>
    <row r="103" spans="1:7">
      <c r="A103" s="291" t="s">
        <v>4900</v>
      </c>
      <c r="B103" s="291" t="s">
        <v>4901</v>
      </c>
      <c r="C103" s="291" t="s">
        <v>4902</v>
      </c>
      <c r="D103" s="291" t="s">
        <v>4671</v>
      </c>
      <c r="E103" s="291" t="s">
        <v>4666</v>
      </c>
      <c r="F103" s="291" t="s">
        <v>4812</v>
      </c>
      <c r="G103" s="291" t="s">
        <v>4903</v>
      </c>
    </row>
    <row r="104" spans="1:7">
      <c r="A104" s="291" t="s">
        <v>4904</v>
      </c>
      <c r="B104" s="291" t="s">
        <v>4905</v>
      </c>
      <c r="C104" s="291" t="s">
        <v>4906</v>
      </c>
      <c r="D104" s="291" t="s">
        <v>4691</v>
      </c>
      <c r="E104" s="291" t="s">
        <v>4907</v>
      </c>
      <c r="F104" s="291" t="s">
        <v>4812</v>
      </c>
      <c r="G104" s="291" t="s">
        <v>4486</v>
      </c>
    </row>
    <row r="105" spans="1:7">
      <c r="A105" s="291" t="s">
        <v>4908</v>
      </c>
      <c r="B105" s="291" t="s">
        <v>4909</v>
      </c>
      <c r="C105" s="291" t="s">
        <v>4910</v>
      </c>
      <c r="D105" s="291" t="s">
        <v>4696</v>
      </c>
      <c r="E105" s="291" t="s">
        <v>4539</v>
      </c>
      <c r="F105" s="291" t="s">
        <v>4911</v>
      </c>
      <c r="G105" s="291" t="s">
        <v>2067</v>
      </c>
    </row>
    <row r="106" spans="1:7">
      <c r="A106" s="291" t="s">
        <v>4912</v>
      </c>
      <c r="B106" s="291" t="s">
        <v>4913</v>
      </c>
      <c r="C106" s="291" t="s">
        <v>4914</v>
      </c>
      <c r="D106" s="291" t="s">
        <v>4700</v>
      </c>
      <c r="E106" s="291" t="s">
        <v>4915</v>
      </c>
      <c r="F106" s="291" t="s">
        <v>4911</v>
      </c>
      <c r="G106" s="291" t="s">
        <v>4468</v>
      </c>
    </row>
    <row r="107" spans="1:7">
      <c r="A107" s="291" t="s">
        <v>4916</v>
      </c>
      <c r="B107" s="291" t="s">
        <v>4917</v>
      </c>
      <c r="C107" s="291" t="s">
        <v>4918</v>
      </c>
      <c r="D107" s="291" t="s">
        <v>4705</v>
      </c>
      <c r="E107" s="291" t="s">
        <v>4919</v>
      </c>
      <c r="F107" s="291" t="s">
        <v>4911</v>
      </c>
      <c r="G107" s="291" t="s">
        <v>4555</v>
      </c>
    </row>
    <row r="108" spans="1:7">
      <c r="A108" s="291" t="s">
        <v>4920</v>
      </c>
      <c r="B108" s="291" t="s">
        <v>4921</v>
      </c>
      <c r="C108" s="291" t="s">
        <v>4922</v>
      </c>
      <c r="D108" s="291" t="s">
        <v>4923</v>
      </c>
      <c r="E108" s="291" t="s">
        <v>4924</v>
      </c>
      <c r="F108" s="291" t="s">
        <v>4911</v>
      </c>
      <c r="G108" s="291" t="s">
        <v>4925</v>
      </c>
    </row>
    <row r="109" spans="1:7">
      <c r="A109" s="291" t="s">
        <v>4926</v>
      </c>
      <c r="B109" s="291" t="s">
        <v>4927</v>
      </c>
      <c r="C109" s="291" t="s">
        <v>4928</v>
      </c>
      <c r="D109" s="291" t="s">
        <v>4715</v>
      </c>
      <c r="E109" s="291" t="s">
        <v>4929</v>
      </c>
      <c r="F109" s="291" t="s">
        <v>4911</v>
      </c>
      <c r="G109" s="291" t="s">
        <v>4457</v>
      </c>
    </row>
    <row r="110" spans="1:7">
      <c r="A110" s="291" t="s">
        <v>4930</v>
      </c>
      <c r="B110" s="291" t="s">
        <v>4931</v>
      </c>
      <c r="C110" s="291" t="s">
        <v>4932</v>
      </c>
      <c r="D110" s="291" t="s">
        <v>4720</v>
      </c>
      <c r="E110" s="291" t="s">
        <v>4462</v>
      </c>
      <c r="F110" s="291" t="s">
        <v>4933</v>
      </c>
      <c r="G110" s="291" t="s">
        <v>4800</v>
      </c>
    </row>
    <row r="111" spans="1:7">
      <c r="A111" s="291" t="s">
        <v>4934</v>
      </c>
      <c r="B111" s="291" t="s">
        <v>4935</v>
      </c>
      <c r="C111" s="291" t="s">
        <v>4936</v>
      </c>
      <c r="D111" s="291" t="s">
        <v>4832</v>
      </c>
      <c r="E111" s="291" t="s">
        <v>4507</v>
      </c>
      <c r="F111" s="291" t="s">
        <v>4933</v>
      </c>
      <c r="G111" s="291" t="s">
        <v>4607</v>
      </c>
    </row>
    <row r="112" spans="1:7">
      <c r="A112" s="291" t="s">
        <v>4937</v>
      </c>
      <c r="B112" s="291" t="s">
        <v>4938</v>
      </c>
      <c r="C112" s="291" t="s">
        <v>4939</v>
      </c>
      <c r="D112" s="291" t="s">
        <v>4730</v>
      </c>
      <c r="E112" s="291" t="s">
        <v>4692</v>
      </c>
      <c r="F112" s="291" t="s">
        <v>4933</v>
      </c>
      <c r="G112" s="291" t="s">
        <v>527</v>
      </c>
    </row>
    <row r="113" spans="1:7">
      <c r="A113" s="291" t="s">
        <v>4940</v>
      </c>
      <c r="B113" s="291" t="s">
        <v>4941</v>
      </c>
      <c r="C113" s="291" t="s">
        <v>4942</v>
      </c>
      <c r="D113" s="291" t="s">
        <v>4735</v>
      </c>
      <c r="E113" s="291" t="s">
        <v>4943</v>
      </c>
      <c r="F113" s="291" t="s">
        <v>4933</v>
      </c>
      <c r="G113" s="291" t="s">
        <v>4585</v>
      </c>
    </row>
    <row r="114" spans="1:7">
      <c r="A114" s="291" t="s">
        <v>4944</v>
      </c>
      <c r="B114" s="291" t="s">
        <v>4945</v>
      </c>
      <c r="C114" s="291" t="s">
        <v>4946</v>
      </c>
      <c r="D114" s="291" t="s">
        <v>4947</v>
      </c>
      <c r="E114" s="291" t="s">
        <v>4584</v>
      </c>
      <c r="F114" s="291" t="s">
        <v>4933</v>
      </c>
      <c r="G114" s="291" t="s">
        <v>4486</v>
      </c>
    </row>
    <row r="115" spans="1:7">
      <c r="A115" s="291" t="s">
        <v>4948</v>
      </c>
      <c r="B115" s="291" t="s">
        <v>4949</v>
      </c>
      <c r="C115" s="291" t="s">
        <v>4950</v>
      </c>
      <c r="D115" s="291" t="s">
        <v>4594</v>
      </c>
      <c r="E115" s="291" t="s">
        <v>4951</v>
      </c>
      <c r="F115" s="291" t="s">
        <v>4952</v>
      </c>
      <c r="G115" s="291" t="s">
        <v>2067</v>
      </c>
    </row>
    <row r="116" spans="1:7">
      <c r="A116" s="291" t="s">
        <v>4953</v>
      </c>
      <c r="B116" s="291" t="s">
        <v>4954</v>
      </c>
      <c r="C116" s="291" t="s">
        <v>4955</v>
      </c>
      <c r="D116" s="291" t="s">
        <v>4598</v>
      </c>
      <c r="E116" s="291" t="s">
        <v>4544</v>
      </c>
      <c r="F116" s="291" t="s">
        <v>4952</v>
      </c>
      <c r="G116" s="291" t="s">
        <v>4497</v>
      </c>
    </row>
    <row r="117" spans="1:7">
      <c r="A117" s="291" t="s">
        <v>4956</v>
      </c>
      <c r="B117" s="291" t="s">
        <v>4957</v>
      </c>
      <c r="C117" s="291" t="s">
        <v>4958</v>
      </c>
      <c r="D117" s="291" t="s">
        <v>4606</v>
      </c>
      <c r="E117" s="291" t="s">
        <v>4907</v>
      </c>
      <c r="F117" s="291" t="s">
        <v>4952</v>
      </c>
      <c r="G117" s="291" t="s">
        <v>4480</v>
      </c>
    </row>
    <row r="118" spans="1:7">
      <c r="A118" s="291" t="s">
        <v>4959</v>
      </c>
      <c r="B118" s="291" t="s">
        <v>4960</v>
      </c>
      <c r="C118" s="291" t="s">
        <v>4961</v>
      </c>
      <c r="D118" s="291" t="s">
        <v>4601</v>
      </c>
      <c r="E118" s="291" t="s">
        <v>4490</v>
      </c>
      <c r="F118" s="291" t="s">
        <v>4952</v>
      </c>
      <c r="G118" s="291" t="s">
        <v>4457</v>
      </c>
    </row>
    <row r="119" spans="1:7">
      <c r="A119" s="291" t="s">
        <v>4962</v>
      </c>
      <c r="B119" s="291" t="s">
        <v>4963</v>
      </c>
      <c r="C119" s="291" t="s">
        <v>4964</v>
      </c>
      <c r="D119" s="291" t="s">
        <v>4965</v>
      </c>
      <c r="E119" s="291" t="s">
        <v>4501</v>
      </c>
      <c r="F119" s="291" t="s">
        <v>4812</v>
      </c>
      <c r="G119" s="291" t="s">
        <v>2067</v>
      </c>
    </row>
    <row r="120" spans="1:7">
      <c r="A120" s="291" t="s">
        <v>4966</v>
      </c>
      <c r="B120" s="291" t="s">
        <v>4864</v>
      </c>
      <c r="C120" s="291" t="s">
        <v>4967</v>
      </c>
      <c r="D120" s="291" t="s">
        <v>4968</v>
      </c>
      <c r="E120" s="291" t="s">
        <v>4462</v>
      </c>
      <c r="F120" s="291" t="s">
        <v>4812</v>
      </c>
      <c r="G120" s="291" t="s">
        <v>4800</v>
      </c>
    </row>
    <row r="121" spans="1:7">
      <c r="A121" s="291" t="s">
        <v>4969</v>
      </c>
      <c r="B121" s="291" t="s">
        <v>4970</v>
      </c>
      <c r="C121" s="291" t="s">
        <v>4971</v>
      </c>
      <c r="D121" s="291" t="s">
        <v>4972</v>
      </c>
      <c r="E121" s="291" t="s">
        <v>4692</v>
      </c>
      <c r="F121" s="291" t="s">
        <v>4812</v>
      </c>
      <c r="G121" s="291" t="s">
        <v>4973</v>
      </c>
    </row>
    <row r="122" spans="1:7">
      <c r="A122" s="291" t="s">
        <v>4974</v>
      </c>
      <c r="B122" s="291" t="s">
        <v>4975</v>
      </c>
      <c r="C122" s="291" t="s">
        <v>4976</v>
      </c>
      <c r="D122" s="291" t="s">
        <v>4977</v>
      </c>
      <c r="E122" s="291" t="s">
        <v>4978</v>
      </c>
      <c r="F122" s="291" t="s">
        <v>4812</v>
      </c>
      <c r="G122" s="291" t="s">
        <v>4979</v>
      </c>
    </row>
    <row r="123" spans="1:7">
      <c r="A123" s="291" t="s">
        <v>4980</v>
      </c>
      <c r="B123" s="291" t="s">
        <v>4981</v>
      </c>
      <c r="C123" s="291" t="s">
        <v>4982</v>
      </c>
      <c r="D123" s="291" t="s">
        <v>4983</v>
      </c>
      <c r="E123" s="291" t="s">
        <v>4584</v>
      </c>
      <c r="F123" s="291" t="s">
        <v>4812</v>
      </c>
      <c r="G123" s="291" t="s">
        <v>4486</v>
      </c>
    </row>
    <row r="124" spans="1:7">
      <c r="A124" s="291" t="s">
        <v>4984</v>
      </c>
      <c r="B124" s="291" t="s">
        <v>4985</v>
      </c>
      <c r="C124" s="291" t="s">
        <v>4986</v>
      </c>
      <c r="D124" s="291" t="s">
        <v>4987</v>
      </c>
      <c r="E124" s="291" t="s">
        <v>4455</v>
      </c>
      <c r="F124" s="291" t="s">
        <v>4491</v>
      </c>
      <c r="G124" s="291" t="s">
        <v>2067</v>
      </c>
    </row>
    <row r="125" spans="1:7">
      <c r="A125" s="291" t="s">
        <v>4988</v>
      </c>
      <c r="B125" s="291" t="s">
        <v>4989</v>
      </c>
      <c r="C125" s="291" t="s">
        <v>4990</v>
      </c>
      <c r="D125" s="291" t="s">
        <v>4991</v>
      </c>
      <c r="E125" s="291" t="s">
        <v>4924</v>
      </c>
      <c r="F125" s="291" t="s">
        <v>4491</v>
      </c>
      <c r="G125" s="291" t="s">
        <v>4992</v>
      </c>
    </row>
    <row r="126" spans="1:7">
      <c r="A126" s="291" t="s">
        <v>4993</v>
      </c>
      <c r="B126" s="291" t="s">
        <v>4994</v>
      </c>
      <c r="C126" s="291" t="s">
        <v>4995</v>
      </c>
      <c r="D126" s="291" t="s">
        <v>4996</v>
      </c>
      <c r="E126" s="291" t="s">
        <v>4997</v>
      </c>
      <c r="F126" s="291" t="s">
        <v>4491</v>
      </c>
      <c r="G126" s="291" t="s">
        <v>4457</v>
      </c>
    </row>
    <row r="127" spans="1:7">
      <c r="A127" s="291" t="s">
        <v>4998</v>
      </c>
      <c r="B127" s="291" t="s">
        <v>4999</v>
      </c>
      <c r="C127" s="291" t="s">
        <v>5000</v>
      </c>
      <c r="D127" s="291" t="s">
        <v>5001</v>
      </c>
      <c r="E127" s="291" t="s">
        <v>4736</v>
      </c>
      <c r="F127" s="291" t="s">
        <v>4491</v>
      </c>
      <c r="G127" s="291" t="s">
        <v>5002</v>
      </c>
    </row>
    <row r="128" spans="1:7">
      <c r="A128" s="291" t="s">
        <v>5003</v>
      </c>
      <c r="B128" s="291" t="s">
        <v>5004</v>
      </c>
      <c r="C128" s="291" t="s">
        <v>4664</v>
      </c>
      <c r="D128" s="291" t="s">
        <v>5005</v>
      </c>
      <c r="E128" s="291" t="s">
        <v>4523</v>
      </c>
      <c r="F128" s="291" t="s">
        <v>4491</v>
      </c>
      <c r="G128" s="291" t="s">
        <v>4497</v>
      </c>
    </row>
    <row r="129" spans="1:7">
      <c r="A129" s="291" t="s">
        <v>5006</v>
      </c>
      <c r="B129" s="291" t="s">
        <v>5007</v>
      </c>
      <c r="C129" s="291" t="s">
        <v>5008</v>
      </c>
      <c r="D129" s="291" t="s">
        <v>4696</v>
      </c>
      <c r="E129" s="291" t="s">
        <v>4462</v>
      </c>
      <c r="F129" s="291" t="s">
        <v>4952</v>
      </c>
      <c r="G129" s="291" t="s">
        <v>2067</v>
      </c>
    </row>
    <row r="130" spans="1:7">
      <c r="A130" s="291" t="s">
        <v>5009</v>
      </c>
      <c r="B130" s="291" t="s">
        <v>5010</v>
      </c>
      <c r="C130" s="291" t="s">
        <v>4699</v>
      </c>
      <c r="D130" s="291" t="s">
        <v>4700</v>
      </c>
      <c r="E130" s="291" t="s">
        <v>4523</v>
      </c>
      <c r="F130" s="291" t="s">
        <v>4952</v>
      </c>
      <c r="G130" s="291" t="s">
        <v>4524</v>
      </c>
    </row>
    <row r="131" spans="1:7">
      <c r="A131" s="291" t="s">
        <v>5011</v>
      </c>
      <c r="B131" s="291" t="s">
        <v>5012</v>
      </c>
      <c r="C131" s="291" t="s">
        <v>4704</v>
      </c>
      <c r="D131" s="291" t="s">
        <v>4682</v>
      </c>
      <c r="E131" s="291" t="s">
        <v>4528</v>
      </c>
      <c r="F131" s="291" t="s">
        <v>4952</v>
      </c>
      <c r="G131" s="291" t="s">
        <v>4678</v>
      </c>
    </row>
    <row r="132" spans="1:7">
      <c r="A132" s="291" t="s">
        <v>5013</v>
      </c>
      <c r="B132" s="291" t="s">
        <v>5014</v>
      </c>
      <c r="C132" s="291" t="s">
        <v>5015</v>
      </c>
      <c r="D132" s="291" t="s">
        <v>4923</v>
      </c>
      <c r="E132" s="291" t="s">
        <v>4534</v>
      </c>
      <c r="F132" s="291" t="s">
        <v>4952</v>
      </c>
      <c r="G132" s="291" t="s">
        <v>4480</v>
      </c>
    </row>
    <row r="133" spans="1:7">
      <c r="A133" s="291" t="s">
        <v>5016</v>
      </c>
      <c r="B133" s="291" t="s">
        <v>5017</v>
      </c>
      <c r="C133" s="291" t="s">
        <v>4714</v>
      </c>
      <c r="D133" s="291" t="s">
        <v>5018</v>
      </c>
      <c r="E133" s="291" t="s">
        <v>4539</v>
      </c>
      <c r="F133" s="291" t="s">
        <v>4952</v>
      </c>
      <c r="G133" s="291" t="s">
        <v>4486</v>
      </c>
    </row>
    <row r="134" spans="1:7">
      <c r="A134" s="291" t="s">
        <v>5019</v>
      </c>
      <c r="B134" s="291" t="s">
        <v>5020</v>
      </c>
      <c r="C134" s="291" t="s">
        <v>5021</v>
      </c>
      <c r="D134" s="291" t="s">
        <v>5022</v>
      </c>
      <c r="E134" s="291" t="s">
        <v>5023</v>
      </c>
      <c r="F134" s="291" t="s">
        <v>4812</v>
      </c>
      <c r="G134" s="291" t="s">
        <v>2067</v>
      </c>
    </row>
    <row r="135" spans="1:7">
      <c r="A135" s="291" t="s">
        <v>5024</v>
      </c>
      <c r="B135" s="291" t="s">
        <v>5025</v>
      </c>
      <c r="C135" s="291" t="s">
        <v>4880</v>
      </c>
      <c r="D135" s="291" t="s">
        <v>5026</v>
      </c>
      <c r="E135" s="291" t="s">
        <v>4827</v>
      </c>
      <c r="F135" s="291" t="s">
        <v>4812</v>
      </c>
      <c r="G135" s="291" t="s">
        <v>527</v>
      </c>
    </row>
    <row r="136" spans="1:7">
      <c r="A136" s="291" t="s">
        <v>5027</v>
      </c>
      <c r="B136" s="291" t="s">
        <v>5028</v>
      </c>
      <c r="C136" s="291" t="s">
        <v>5029</v>
      </c>
      <c r="D136" s="291" t="s">
        <v>5030</v>
      </c>
      <c r="E136" s="291" t="s">
        <v>4655</v>
      </c>
      <c r="F136" s="291" t="s">
        <v>4812</v>
      </c>
      <c r="G136" s="291" t="s">
        <v>5031</v>
      </c>
    </row>
    <row r="137" spans="1:7">
      <c r="A137" s="291" t="s">
        <v>5032</v>
      </c>
      <c r="B137" s="291" t="s">
        <v>5033</v>
      </c>
      <c r="C137" s="291" t="s">
        <v>4783</v>
      </c>
      <c r="D137" s="291" t="s">
        <v>5034</v>
      </c>
      <c r="E137" s="291" t="s">
        <v>4507</v>
      </c>
      <c r="F137" s="291" t="s">
        <v>4812</v>
      </c>
      <c r="G137" s="291" t="s">
        <v>4737</v>
      </c>
    </row>
    <row r="138" spans="1:7">
      <c r="A138" s="291" t="s">
        <v>5035</v>
      </c>
      <c r="B138" s="291" t="s">
        <v>4788</v>
      </c>
      <c r="C138" s="291" t="s">
        <v>4928</v>
      </c>
      <c r="D138" s="291" t="s">
        <v>5036</v>
      </c>
      <c r="E138" s="291" t="s">
        <v>4513</v>
      </c>
      <c r="F138" s="291" t="s">
        <v>4812</v>
      </c>
      <c r="G138" s="291" t="s">
        <v>4457</v>
      </c>
    </row>
    <row r="139" spans="1:7">
      <c r="A139" s="291" t="s">
        <v>5037</v>
      </c>
      <c r="B139" s="291" t="s">
        <v>5038</v>
      </c>
      <c r="C139" s="291" t="s">
        <v>5039</v>
      </c>
      <c r="D139" s="291" t="s">
        <v>4720</v>
      </c>
      <c r="E139" s="291" t="s">
        <v>4479</v>
      </c>
      <c r="F139" s="291" t="s">
        <v>5040</v>
      </c>
      <c r="G139" s="291" t="s">
        <v>2067</v>
      </c>
    </row>
    <row r="140" spans="1:7">
      <c r="A140" s="291" t="s">
        <v>5041</v>
      </c>
      <c r="B140" s="291" t="s">
        <v>5042</v>
      </c>
      <c r="C140" s="291" t="s">
        <v>5043</v>
      </c>
      <c r="D140" s="291" t="s">
        <v>4832</v>
      </c>
      <c r="E140" s="291" t="s">
        <v>4666</v>
      </c>
      <c r="F140" s="291" t="s">
        <v>5040</v>
      </c>
      <c r="G140" s="291" t="s">
        <v>5044</v>
      </c>
    </row>
    <row r="141" spans="1:7">
      <c r="A141" s="291" t="s">
        <v>5045</v>
      </c>
      <c r="B141" s="291" t="s">
        <v>5046</v>
      </c>
      <c r="C141" s="291" t="s">
        <v>5047</v>
      </c>
      <c r="D141" s="291" t="s">
        <v>4730</v>
      </c>
      <c r="E141" s="291" t="s">
        <v>4544</v>
      </c>
      <c r="F141" s="291" t="s">
        <v>5040</v>
      </c>
      <c r="G141" s="291" t="s">
        <v>4678</v>
      </c>
    </row>
    <row r="142" spans="1:7">
      <c r="A142" s="291" t="s">
        <v>5048</v>
      </c>
      <c r="B142" s="291" t="s">
        <v>5049</v>
      </c>
      <c r="C142" s="291" t="s">
        <v>5050</v>
      </c>
      <c r="D142" s="291" t="s">
        <v>4735</v>
      </c>
      <c r="E142" s="291" t="s">
        <v>4462</v>
      </c>
      <c r="F142" s="291" t="s">
        <v>5040</v>
      </c>
      <c r="G142" s="291" t="s">
        <v>5051</v>
      </c>
    </row>
    <row r="143" spans="1:7">
      <c r="A143" s="291" t="s">
        <v>5052</v>
      </c>
      <c r="B143" s="291" t="s">
        <v>5053</v>
      </c>
      <c r="C143" s="291" t="s">
        <v>5054</v>
      </c>
      <c r="D143" s="291" t="s">
        <v>4947</v>
      </c>
      <c r="E143" s="291" t="s">
        <v>4554</v>
      </c>
      <c r="F143" s="291" t="s">
        <v>5040</v>
      </c>
      <c r="G143" s="291" t="s">
        <v>4486</v>
      </c>
    </row>
    <row r="144" spans="1:7">
      <c r="A144" s="291" t="s">
        <v>5055</v>
      </c>
      <c r="B144" s="291" t="s">
        <v>5056</v>
      </c>
      <c r="C144" s="291" t="s">
        <v>5057</v>
      </c>
      <c r="D144" s="291" t="s">
        <v>5058</v>
      </c>
      <c r="E144" s="291" t="s">
        <v>4501</v>
      </c>
      <c r="F144" s="291" t="s">
        <v>4812</v>
      </c>
      <c r="G144" s="291" t="s">
        <v>2067</v>
      </c>
    </row>
    <row r="145" spans="1:7">
      <c r="A145" s="291" t="s">
        <v>5059</v>
      </c>
      <c r="B145" s="291" t="s">
        <v>4838</v>
      </c>
      <c r="C145" s="291" t="s">
        <v>5060</v>
      </c>
      <c r="D145" s="291" t="s">
        <v>5061</v>
      </c>
      <c r="E145" s="291" t="s">
        <v>4692</v>
      </c>
      <c r="F145" s="291" t="s">
        <v>4812</v>
      </c>
      <c r="G145" s="291" t="s">
        <v>5062</v>
      </c>
    </row>
    <row r="146" spans="1:7">
      <c r="A146" s="291" t="s">
        <v>5063</v>
      </c>
      <c r="B146" s="291" t="s">
        <v>5064</v>
      </c>
      <c r="C146" s="291" t="s">
        <v>4831</v>
      </c>
      <c r="D146" s="291" t="s">
        <v>5065</v>
      </c>
      <c r="E146" s="291" t="s">
        <v>4455</v>
      </c>
      <c r="F146" s="291" t="s">
        <v>4812</v>
      </c>
      <c r="G146" s="291" t="s">
        <v>4502</v>
      </c>
    </row>
    <row r="147" spans="1:7">
      <c r="A147" s="291" t="s">
        <v>5066</v>
      </c>
      <c r="B147" s="291" t="s">
        <v>4830</v>
      </c>
      <c r="C147" s="291" t="s">
        <v>4836</v>
      </c>
      <c r="D147" s="291" t="s">
        <v>5067</v>
      </c>
      <c r="E147" s="291" t="s">
        <v>4771</v>
      </c>
      <c r="F147" s="291" t="s">
        <v>4812</v>
      </c>
      <c r="G147" s="291" t="s">
        <v>4474</v>
      </c>
    </row>
    <row r="148" spans="1:7">
      <c r="A148" s="291" t="s">
        <v>5068</v>
      </c>
      <c r="B148" s="291" t="s">
        <v>5069</v>
      </c>
      <c r="C148" s="291" t="s">
        <v>5070</v>
      </c>
      <c r="D148" s="291" t="s">
        <v>5071</v>
      </c>
      <c r="E148" s="291" t="s">
        <v>4584</v>
      </c>
      <c r="F148" s="291" t="s">
        <v>4812</v>
      </c>
      <c r="G148" s="291" t="s">
        <v>4457</v>
      </c>
    </row>
    <row r="149" spans="1:7">
      <c r="A149" s="291" t="s">
        <v>5072</v>
      </c>
      <c r="B149" s="291" t="s">
        <v>5073</v>
      </c>
      <c r="C149" s="291" t="s">
        <v>5074</v>
      </c>
      <c r="D149" s="291" t="s">
        <v>5075</v>
      </c>
      <c r="E149" s="291" t="s">
        <v>4462</v>
      </c>
      <c r="F149" s="291" t="s">
        <v>4952</v>
      </c>
      <c r="G149" s="291" t="s">
        <v>2067</v>
      </c>
    </row>
    <row r="150" spans="1:7">
      <c r="A150" s="291" t="s">
        <v>5076</v>
      </c>
      <c r="B150" s="291" t="s">
        <v>5077</v>
      </c>
      <c r="C150" s="291" t="s">
        <v>5078</v>
      </c>
      <c r="D150" s="291" t="s">
        <v>5001</v>
      </c>
      <c r="E150" s="291" t="s">
        <v>4523</v>
      </c>
      <c r="F150" s="291" t="s">
        <v>4952</v>
      </c>
      <c r="G150" s="291" t="s">
        <v>4524</v>
      </c>
    </row>
    <row r="151" spans="1:7">
      <c r="A151" s="291" t="s">
        <v>5079</v>
      </c>
      <c r="B151" s="291" t="s">
        <v>4867</v>
      </c>
      <c r="C151" s="291" t="s">
        <v>5080</v>
      </c>
      <c r="D151" s="291" t="s">
        <v>5081</v>
      </c>
      <c r="E151" s="291" t="s">
        <v>4528</v>
      </c>
      <c r="F151" s="291" t="s">
        <v>4952</v>
      </c>
      <c r="G151" s="291" t="s">
        <v>4480</v>
      </c>
    </row>
    <row r="152" spans="1:7">
      <c r="A152" s="291" t="s">
        <v>5082</v>
      </c>
      <c r="B152" s="291" t="s">
        <v>4945</v>
      </c>
      <c r="C152" s="291" t="s">
        <v>5083</v>
      </c>
      <c r="D152" s="291" t="s">
        <v>5084</v>
      </c>
      <c r="E152" s="291" t="s">
        <v>4736</v>
      </c>
      <c r="F152" s="291" t="s">
        <v>4952</v>
      </c>
      <c r="G152" s="291" t="s">
        <v>4486</v>
      </c>
    </row>
    <row r="153" spans="1:7">
      <c r="A153" s="291" t="s">
        <v>4279</v>
      </c>
      <c r="B153" s="291" t="s">
        <v>4754</v>
      </c>
      <c r="C153" s="291" t="s">
        <v>5085</v>
      </c>
      <c r="D153" s="291" t="s">
        <v>5086</v>
      </c>
      <c r="E153" s="291" t="s">
        <v>4490</v>
      </c>
      <c r="F153" s="291" t="s">
        <v>4491</v>
      </c>
      <c r="G153" s="291" t="s">
        <v>2067</v>
      </c>
    </row>
    <row r="154" spans="1:7">
      <c r="A154" s="291" t="s">
        <v>4281</v>
      </c>
      <c r="B154" s="291" t="s">
        <v>5087</v>
      </c>
      <c r="C154" s="291" t="s">
        <v>4914</v>
      </c>
      <c r="D154" s="291" t="s">
        <v>5088</v>
      </c>
      <c r="E154" s="291" t="s">
        <v>5089</v>
      </c>
      <c r="F154" s="291" t="s">
        <v>4491</v>
      </c>
      <c r="G154" s="291" t="s">
        <v>4497</v>
      </c>
    </row>
    <row r="155" spans="1:7">
      <c r="A155" s="291" t="s">
        <v>4285</v>
      </c>
      <c r="B155" s="291" t="s">
        <v>5090</v>
      </c>
      <c r="C155" s="291" t="s">
        <v>4471</v>
      </c>
      <c r="D155" s="291" t="s">
        <v>5091</v>
      </c>
      <c r="E155" s="291" t="s">
        <v>4501</v>
      </c>
      <c r="F155" s="291" t="s">
        <v>4491</v>
      </c>
      <c r="G155" s="291" t="s">
        <v>5092</v>
      </c>
    </row>
    <row r="156" spans="1:7">
      <c r="A156" s="291" t="s">
        <v>4290</v>
      </c>
      <c r="B156" s="291" t="s">
        <v>5093</v>
      </c>
      <c r="C156" s="291" t="s">
        <v>5094</v>
      </c>
      <c r="D156" s="291" t="s">
        <v>5095</v>
      </c>
      <c r="E156" s="291" t="s">
        <v>4507</v>
      </c>
      <c r="F156" s="291" t="s">
        <v>4491</v>
      </c>
      <c r="G156" s="291" t="s">
        <v>5096</v>
      </c>
    </row>
    <row r="157" spans="1:7">
      <c r="A157" s="291" t="s">
        <v>4295</v>
      </c>
      <c r="B157" s="291" t="s">
        <v>5097</v>
      </c>
      <c r="C157" s="291" t="s">
        <v>5098</v>
      </c>
      <c r="D157" s="291" t="s">
        <v>5099</v>
      </c>
      <c r="E157" s="291" t="s">
        <v>4513</v>
      </c>
      <c r="F157" s="291" t="s">
        <v>4491</v>
      </c>
      <c r="G157" s="291" t="s">
        <v>527</v>
      </c>
    </row>
    <row r="158" spans="1:7">
      <c r="A158" s="291" t="s">
        <v>3832</v>
      </c>
      <c r="B158" s="291" t="s">
        <v>5100</v>
      </c>
      <c r="C158" s="291" t="s">
        <v>5101</v>
      </c>
      <c r="D158" s="291" t="s">
        <v>5102</v>
      </c>
      <c r="E158" s="291" t="s">
        <v>4490</v>
      </c>
      <c r="F158" s="291" t="s">
        <v>4933</v>
      </c>
      <c r="G158" s="291" t="s">
        <v>2067</v>
      </c>
    </row>
    <row r="159" spans="1:7">
      <c r="A159" s="291" t="s">
        <v>3849</v>
      </c>
      <c r="B159" s="291" t="s">
        <v>5103</v>
      </c>
      <c r="C159" s="291" t="s">
        <v>5104</v>
      </c>
      <c r="D159" s="291" t="s">
        <v>5105</v>
      </c>
      <c r="E159" s="291" t="s">
        <v>4462</v>
      </c>
      <c r="F159" s="291" t="s">
        <v>4933</v>
      </c>
      <c r="G159" s="291" t="s">
        <v>5106</v>
      </c>
    </row>
    <row r="160" spans="1:7">
      <c r="A160" s="291" t="s">
        <v>3858</v>
      </c>
      <c r="B160" s="291" t="s">
        <v>5107</v>
      </c>
      <c r="C160" s="291" t="s">
        <v>5108</v>
      </c>
      <c r="D160" s="291" t="s">
        <v>5109</v>
      </c>
      <c r="E160" s="291" t="s">
        <v>4455</v>
      </c>
      <c r="F160" s="291" t="s">
        <v>4933</v>
      </c>
      <c r="G160" s="291" t="s">
        <v>4737</v>
      </c>
    </row>
    <row r="161" spans="1:7">
      <c r="A161" s="291" t="s">
        <v>3867</v>
      </c>
      <c r="B161" s="291" t="s">
        <v>5110</v>
      </c>
      <c r="C161" s="291" t="s">
        <v>5111</v>
      </c>
      <c r="D161" s="291" t="s">
        <v>5112</v>
      </c>
      <c r="E161" s="291" t="s">
        <v>5113</v>
      </c>
      <c r="F161" s="291" t="s">
        <v>4933</v>
      </c>
      <c r="G161" s="291" t="s">
        <v>4480</v>
      </c>
    </row>
    <row r="162" spans="1:7">
      <c r="A162" s="291" t="s">
        <v>3876</v>
      </c>
      <c r="B162" s="291" t="s">
        <v>5114</v>
      </c>
      <c r="C162" s="291" t="s">
        <v>4928</v>
      </c>
      <c r="D162" s="291" t="s">
        <v>5018</v>
      </c>
      <c r="E162" s="291" t="s">
        <v>4513</v>
      </c>
      <c r="F162" s="291" t="s">
        <v>4933</v>
      </c>
      <c r="G162" s="291" t="s">
        <v>4524</v>
      </c>
    </row>
    <row r="163" spans="1:7">
      <c r="A163" s="291" t="s">
        <v>3885</v>
      </c>
      <c r="B163" s="291" t="s">
        <v>5115</v>
      </c>
      <c r="C163" s="291" t="s">
        <v>5116</v>
      </c>
      <c r="D163" s="291" t="s">
        <v>5117</v>
      </c>
      <c r="E163" s="291" t="s">
        <v>4455</v>
      </c>
      <c r="F163" s="291" t="s">
        <v>4933</v>
      </c>
      <c r="G163" s="291" t="s">
        <v>2067</v>
      </c>
    </row>
    <row r="164" spans="1:7">
      <c r="A164" s="291" t="s">
        <v>3894</v>
      </c>
      <c r="B164" s="291" t="s">
        <v>5118</v>
      </c>
      <c r="C164" s="291" t="s">
        <v>5119</v>
      </c>
      <c r="D164" s="291" t="s">
        <v>5120</v>
      </c>
      <c r="E164" s="291" t="s">
        <v>4924</v>
      </c>
      <c r="F164" s="291" t="s">
        <v>4933</v>
      </c>
      <c r="G164" s="291" t="s">
        <v>4992</v>
      </c>
    </row>
    <row r="165" spans="1:7">
      <c r="A165" s="291" t="s">
        <v>5121</v>
      </c>
      <c r="B165" s="291" t="s">
        <v>5122</v>
      </c>
      <c r="C165" s="291" t="s">
        <v>4471</v>
      </c>
      <c r="D165" s="291" t="s">
        <v>5123</v>
      </c>
      <c r="E165" s="291" t="s">
        <v>4997</v>
      </c>
      <c r="F165" s="291" t="s">
        <v>4933</v>
      </c>
      <c r="G165" s="291" t="s">
        <v>4457</v>
      </c>
    </row>
    <row r="166" spans="1:7">
      <c r="A166" s="291" t="s">
        <v>5124</v>
      </c>
      <c r="B166" s="291" t="s">
        <v>5125</v>
      </c>
      <c r="C166" s="291" t="s">
        <v>5126</v>
      </c>
      <c r="D166" s="291" t="s">
        <v>5127</v>
      </c>
      <c r="E166" s="291" t="s">
        <v>4736</v>
      </c>
      <c r="F166" s="291" t="s">
        <v>4933</v>
      </c>
      <c r="G166" s="291" t="s">
        <v>4497</v>
      </c>
    </row>
    <row r="167" spans="1:7">
      <c r="A167" s="291" t="s">
        <v>5128</v>
      </c>
      <c r="B167" s="291" t="s">
        <v>5129</v>
      </c>
      <c r="C167" s="291" t="s">
        <v>5130</v>
      </c>
      <c r="D167" s="291" t="s">
        <v>5131</v>
      </c>
      <c r="E167" s="291" t="s">
        <v>4523</v>
      </c>
      <c r="F167" s="291" t="s">
        <v>4933</v>
      </c>
      <c r="G167" s="291" t="s">
        <v>4486</v>
      </c>
    </row>
    <row r="168" spans="1:7">
      <c r="A168" s="291" t="s">
        <v>3910</v>
      </c>
      <c r="B168" s="291" t="s">
        <v>5132</v>
      </c>
      <c r="C168" s="291" t="s">
        <v>5133</v>
      </c>
      <c r="D168" s="291" t="s">
        <v>5134</v>
      </c>
      <c r="E168" s="291" t="s">
        <v>4462</v>
      </c>
      <c r="F168" s="291" t="s">
        <v>5135</v>
      </c>
      <c r="G168" s="291" t="s">
        <v>2067</v>
      </c>
    </row>
    <row r="169" spans="1:7">
      <c r="A169" s="291" t="s">
        <v>5136</v>
      </c>
      <c r="B169" s="291" t="s">
        <v>5137</v>
      </c>
      <c r="C169" s="291" t="s">
        <v>5138</v>
      </c>
      <c r="D169" s="291" t="s">
        <v>5139</v>
      </c>
      <c r="E169" s="291" t="s">
        <v>4455</v>
      </c>
      <c r="F169" s="291" t="s">
        <v>5135</v>
      </c>
      <c r="G169" s="291" t="s">
        <v>5140</v>
      </c>
    </row>
    <row r="170" spans="1:7">
      <c r="A170" s="291" t="s">
        <v>5141</v>
      </c>
      <c r="B170" s="291" t="s">
        <v>5142</v>
      </c>
      <c r="C170" s="291" t="s">
        <v>4471</v>
      </c>
      <c r="D170" s="291" t="s">
        <v>5143</v>
      </c>
      <c r="E170" s="291" t="s">
        <v>4692</v>
      </c>
      <c r="F170" s="291" t="s">
        <v>5135</v>
      </c>
      <c r="G170" s="291" t="s">
        <v>5144</v>
      </c>
    </row>
    <row r="171" spans="1:7">
      <c r="A171" s="291" t="s">
        <v>5145</v>
      </c>
      <c r="B171" s="291" t="s">
        <v>5146</v>
      </c>
      <c r="C171" s="291" t="s">
        <v>5147</v>
      </c>
      <c r="D171" s="291" t="s">
        <v>5148</v>
      </c>
      <c r="E171" s="291" t="s">
        <v>5149</v>
      </c>
      <c r="F171" s="291" t="s">
        <v>5135</v>
      </c>
      <c r="G171" s="291" t="s">
        <v>4726</v>
      </c>
    </row>
    <row r="172" spans="1:7">
      <c r="A172" s="291" t="s">
        <v>5150</v>
      </c>
      <c r="B172" s="291" t="s">
        <v>5151</v>
      </c>
      <c r="C172" s="291" t="s">
        <v>5152</v>
      </c>
      <c r="D172" s="291" t="s">
        <v>5153</v>
      </c>
      <c r="E172" s="291" t="s">
        <v>4584</v>
      </c>
      <c r="F172" s="291" t="s">
        <v>5135</v>
      </c>
      <c r="G172" s="291" t="s">
        <v>4457</v>
      </c>
    </row>
    <row r="173" spans="1:7">
      <c r="A173" s="291" t="s">
        <v>5154</v>
      </c>
      <c r="B173" s="291" t="s">
        <v>5155</v>
      </c>
      <c r="C173" s="291" t="s">
        <v>5156</v>
      </c>
      <c r="D173" s="291" t="s">
        <v>5157</v>
      </c>
      <c r="E173" s="291" t="s">
        <v>4771</v>
      </c>
      <c r="F173" s="291" t="s">
        <v>5158</v>
      </c>
      <c r="G173" s="291" t="s">
        <v>2067</v>
      </c>
    </row>
    <row r="174" spans="1:7">
      <c r="A174" s="291" t="s">
        <v>5159</v>
      </c>
      <c r="B174" s="291" t="s">
        <v>5160</v>
      </c>
      <c r="C174" s="291" t="s">
        <v>5161</v>
      </c>
      <c r="D174" s="291" t="s">
        <v>5162</v>
      </c>
      <c r="E174" s="291" t="s">
        <v>4523</v>
      </c>
      <c r="F174" s="291"/>
      <c r="G174" s="291" t="s">
        <v>4726</v>
      </c>
    </row>
    <row r="175" spans="1:7">
      <c r="A175" s="291" t="s">
        <v>5163</v>
      </c>
      <c r="B175" s="291" t="s">
        <v>5164</v>
      </c>
      <c r="C175" s="291" t="s">
        <v>4471</v>
      </c>
      <c r="D175" s="291" t="s">
        <v>5165</v>
      </c>
      <c r="E175" s="291" t="s">
        <v>4528</v>
      </c>
      <c r="F175" s="291"/>
      <c r="G175" s="291" t="s">
        <v>5166</v>
      </c>
    </row>
    <row r="176" spans="1:7">
      <c r="A176" s="291" t="s">
        <v>5167</v>
      </c>
      <c r="B176" s="291" t="s">
        <v>5168</v>
      </c>
      <c r="C176" s="291" t="s">
        <v>4505</v>
      </c>
      <c r="D176" s="291" t="s">
        <v>5169</v>
      </c>
      <c r="E176" s="291" t="s">
        <v>4534</v>
      </c>
      <c r="F176" s="291"/>
      <c r="G176" s="291" t="s">
        <v>4480</v>
      </c>
    </row>
    <row r="177" spans="1:7">
      <c r="A177" s="291" t="s">
        <v>3916</v>
      </c>
      <c r="B177" s="291" t="s">
        <v>5170</v>
      </c>
      <c r="C177" s="291" t="s">
        <v>5171</v>
      </c>
      <c r="D177" s="291" t="s">
        <v>5172</v>
      </c>
      <c r="E177" s="291" t="s">
        <v>4539</v>
      </c>
      <c r="F177" s="291"/>
      <c r="G177" s="291" t="s">
        <v>4486</v>
      </c>
    </row>
    <row r="178" spans="1:7">
      <c r="A178" s="291" t="s">
        <v>5173</v>
      </c>
      <c r="B178" s="291" t="s">
        <v>5174</v>
      </c>
      <c r="C178" s="291" t="s">
        <v>5175</v>
      </c>
      <c r="D178" s="291" t="s">
        <v>5176</v>
      </c>
      <c r="E178" s="291" t="s">
        <v>4490</v>
      </c>
      <c r="F178" s="291" t="s">
        <v>4456</v>
      </c>
      <c r="G178" s="291" t="s">
        <v>2067</v>
      </c>
    </row>
    <row r="179" spans="1:7">
      <c r="A179" s="291" t="s">
        <v>5177</v>
      </c>
      <c r="B179" s="291" t="s">
        <v>5178</v>
      </c>
      <c r="C179" s="291" t="s">
        <v>5179</v>
      </c>
      <c r="D179" s="291" t="s">
        <v>5180</v>
      </c>
      <c r="E179" s="291" t="s">
        <v>4496</v>
      </c>
      <c r="F179" s="291" t="s">
        <v>4456</v>
      </c>
      <c r="G179" s="291" t="s">
        <v>5181</v>
      </c>
    </row>
    <row r="180" spans="1:7">
      <c r="A180" s="291" t="s">
        <v>5182</v>
      </c>
      <c r="B180" s="291" t="s">
        <v>5183</v>
      </c>
      <c r="C180" s="291" t="s">
        <v>4471</v>
      </c>
      <c r="D180" s="291" t="s">
        <v>5184</v>
      </c>
      <c r="E180" s="291" t="s">
        <v>4501</v>
      </c>
      <c r="F180" s="291" t="s">
        <v>4456</v>
      </c>
      <c r="G180" s="291" t="s">
        <v>5185</v>
      </c>
    </row>
    <row r="181" spans="1:7">
      <c r="A181" s="291" t="s">
        <v>5186</v>
      </c>
      <c r="B181" s="291" t="s">
        <v>5187</v>
      </c>
      <c r="C181" s="291" t="s">
        <v>5188</v>
      </c>
      <c r="D181" s="291" t="s">
        <v>5189</v>
      </c>
      <c r="E181" s="291" t="s">
        <v>4507</v>
      </c>
      <c r="F181" s="291" t="s">
        <v>4456</v>
      </c>
      <c r="G181" s="291" t="s">
        <v>5190</v>
      </c>
    </row>
    <row r="182" spans="1:7">
      <c r="A182" s="291" t="s">
        <v>3925</v>
      </c>
      <c r="B182" s="291" t="s">
        <v>5191</v>
      </c>
      <c r="C182" s="291" t="s">
        <v>5192</v>
      </c>
      <c r="D182" s="291" t="s">
        <v>5193</v>
      </c>
      <c r="E182" s="291" t="s">
        <v>4513</v>
      </c>
      <c r="F182" s="291" t="s">
        <v>4456</v>
      </c>
      <c r="G182" s="291" t="s">
        <v>5194</v>
      </c>
    </row>
    <row r="183" spans="1:7">
      <c r="A183" s="291" t="s">
        <v>5195</v>
      </c>
      <c r="B183" s="291" t="s">
        <v>5196</v>
      </c>
      <c r="C183" s="291" t="s">
        <v>5197</v>
      </c>
      <c r="D183" s="291" t="s">
        <v>5198</v>
      </c>
      <c r="E183" s="291" t="s">
        <v>5199</v>
      </c>
      <c r="F183" s="291" t="s">
        <v>4491</v>
      </c>
      <c r="G183" s="291" t="s">
        <v>2067</v>
      </c>
    </row>
    <row r="184" spans="1:7">
      <c r="A184" s="291" t="s">
        <v>5200</v>
      </c>
      <c r="B184" s="291" t="s">
        <v>5201</v>
      </c>
      <c r="C184" s="291" t="s">
        <v>5202</v>
      </c>
      <c r="D184" s="291" t="s">
        <v>5203</v>
      </c>
      <c r="E184" s="291" t="s">
        <v>5204</v>
      </c>
      <c r="F184" s="291" t="s">
        <v>4491</v>
      </c>
      <c r="G184" s="291" t="s">
        <v>4457</v>
      </c>
    </row>
    <row r="185" spans="1:7">
      <c r="A185" s="291" t="s">
        <v>5205</v>
      </c>
      <c r="B185" s="291" t="s">
        <v>5206</v>
      </c>
      <c r="C185" s="291" t="s">
        <v>4471</v>
      </c>
      <c r="D185" s="291" t="s">
        <v>5207</v>
      </c>
      <c r="E185" s="291" t="s">
        <v>4655</v>
      </c>
      <c r="F185" s="291" t="s">
        <v>4491</v>
      </c>
      <c r="G185" s="291" t="s">
        <v>5208</v>
      </c>
    </row>
    <row r="186" spans="1:7">
      <c r="A186" s="291" t="s">
        <v>5209</v>
      </c>
      <c r="B186" s="291" t="s">
        <v>5210</v>
      </c>
      <c r="C186" s="291" t="s">
        <v>5211</v>
      </c>
      <c r="D186" s="291" t="s">
        <v>5212</v>
      </c>
      <c r="E186" s="291" t="s">
        <v>4479</v>
      </c>
      <c r="F186" s="291" t="s">
        <v>4491</v>
      </c>
      <c r="G186" s="291" t="s">
        <v>5213</v>
      </c>
    </row>
    <row r="187" spans="1:7">
      <c r="A187" s="291" t="s">
        <v>5214</v>
      </c>
      <c r="B187" s="291" t="s">
        <v>5215</v>
      </c>
      <c r="C187" s="291" t="s">
        <v>5216</v>
      </c>
      <c r="D187" s="291" t="s">
        <v>5217</v>
      </c>
      <c r="E187" s="291" t="s">
        <v>5218</v>
      </c>
      <c r="F187" s="291" t="s">
        <v>4491</v>
      </c>
      <c r="G187" s="291" t="s">
        <v>4486</v>
      </c>
    </row>
    <row r="188" spans="1:7">
      <c r="A188" s="291" t="s">
        <v>5219</v>
      </c>
      <c r="B188" s="291" t="s">
        <v>5220</v>
      </c>
      <c r="C188" s="291" t="s">
        <v>5221</v>
      </c>
      <c r="D188" s="291" t="s">
        <v>5222</v>
      </c>
      <c r="E188" s="291" t="s">
        <v>4455</v>
      </c>
      <c r="F188" s="291" t="s">
        <v>5135</v>
      </c>
      <c r="G188" s="291" t="s">
        <v>2067</v>
      </c>
    </row>
    <row r="189" spans="1:7">
      <c r="A189" s="291" t="s">
        <v>5223</v>
      </c>
      <c r="B189" s="291" t="s">
        <v>5224</v>
      </c>
      <c r="C189" s="291" t="s">
        <v>5225</v>
      </c>
      <c r="D189" s="291" t="s">
        <v>5226</v>
      </c>
      <c r="E189" s="291" t="s">
        <v>4462</v>
      </c>
      <c r="F189" s="291" t="s">
        <v>5135</v>
      </c>
      <c r="G189" s="291" t="s">
        <v>5227</v>
      </c>
    </row>
    <row r="190" spans="1:7">
      <c r="A190" s="291" t="s">
        <v>5228</v>
      </c>
      <c r="B190" s="291" t="s">
        <v>5229</v>
      </c>
      <c r="C190" s="291" t="s">
        <v>4471</v>
      </c>
      <c r="D190" s="291" t="s">
        <v>5230</v>
      </c>
      <c r="E190" s="291" t="s">
        <v>4528</v>
      </c>
      <c r="F190" s="291" t="s">
        <v>5135</v>
      </c>
      <c r="G190" s="291" t="s">
        <v>4524</v>
      </c>
    </row>
    <row r="191" spans="1:7">
      <c r="A191" s="291" t="s">
        <v>3936</v>
      </c>
      <c r="B191" s="291" t="s">
        <v>5231</v>
      </c>
      <c r="C191" s="291" t="s">
        <v>4505</v>
      </c>
      <c r="D191" s="291" t="s">
        <v>5232</v>
      </c>
      <c r="E191" s="291" t="s">
        <v>4501</v>
      </c>
      <c r="F191" s="291" t="s">
        <v>5135</v>
      </c>
      <c r="G191" s="291" t="s">
        <v>5233</v>
      </c>
    </row>
    <row r="192" spans="1:7">
      <c r="A192" s="291" t="s">
        <v>5234</v>
      </c>
      <c r="B192" s="291" t="s">
        <v>5235</v>
      </c>
      <c r="C192" s="291" t="s">
        <v>5236</v>
      </c>
      <c r="D192" s="291" t="s">
        <v>5237</v>
      </c>
      <c r="E192" s="291" t="s">
        <v>4584</v>
      </c>
      <c r="F192" s="291" t="s">
        <v>5135</v>
      </c>
      <c r="G192" s="291" t="s">
        <v>4474</v>
      </c>
    </row>
    <row r="193" spans="1:7">
      <c r="A193" s="291" t="s">
        <v>3940</v>
      </c>
      <c r="B193" s="291" t="s">
        <v>5238</v>
      </c>
      <c r="C193" s="291" t="s">
        <v>5239</v>
      </c>
      <c r="D193" s="291" t="s">
        <v>5240</v>
      </c>
      <c r="E193" s="291" t="s">
        <v>4455</v>
      </c>
      <c r="F193" s="291" t="s">
        <v>5241</v>
      </c>
      <c r="G193" s="291" t="s">
        <v>2067</v>
      </c>
    </row>
    <row r="194" spans="1:7">
      <c r="A194" s="291" t="s">
        <v>5242</v>
      </c>
      <c r="B194" s="291" t="s">
        <v>5243</v>
      </c>
      <c r="C194" s="291" t="s">
        <v>5244</v>
      </c>
      <c r="D194" s="291" t="s">
        <v>5245</v>
      </c>
      <c r="E194" s="291" t="s">
        <v>4692</v>
      </c>
      <c r="F194" s="291" t="s">
        <v>5241</v>
      </c>
      <c r="G194" s="291" t="s">
        <v>4497</v>
      </c>
    </row>
    <row r="195" spans="1:7">
      <c r="A195" s="291" t="s">
        <v>3944</v>
      </c>
      <c r="B195" s="291" t="s">
        <v>5246</v>
      </c>
      <c r="C195" s="291" t="s">
        <v>4471</v>
      </c>
      <c r="D195" s="291" t="s">
        <v>5247</v>
      </c>
      <c r="E195" s="291" t="s">
        <v>4528</v>
      </c>
      <c r="F195" s="291" t="s">
        <v>5241</v>
      </c>
      <c r="G195" s="291" t="s">
        <v>4502</v>
      </c>
    </row>
    <row r="196" spans="1:7">
      <c r="A196" s="291" t="s">
        <v>3949</v>
      </c>
      <c r="B196" s="291" t="s">
        <v>5248</v>
      </c>
      <c r="C196" s="291" t="s">
        <v>4477</v>
      </c>
      <c r="D196" s="291" t="s">
        <v>5249</v>
      </c>
      <c r="E196" s="291" t="s">
        <v>4584</v>
      </c>
      <c r="F196" s="291" t="s">
        <v>5241</v>
      </c>
      <c r="G196" s="291" t="s">
        <v>4480</v>
      </c>
    </row>
    <row r="197" spans="1:7">
      <c r="A197" s="291" t="s">
        <v>5250</v>
      </c>
      <c r="B197" s="291" t="s">
        <v>5251</v>
      </c>
      <c r="C197" s="291" t="s">
        <v>5252</v>
      </c>
      <c r="D197" s="291" t="s">
        <v>5253</v>
      </c>
      <c r="E197" s="291" t="s">
        <v>5254</v>
      </c>
      <c r="F197" s="291" t="s">
        <v>5241</v>
      </c>
      <c r="G197" s="291" t="s">
        <v>4486</v>
      </c>
    </row>
    <row r="198" spans="1:7">
      <c r="A198" s="291" t="s">
        <v>3951</v>
      </c>
      <c r="B198" s="291" t="s">
        <v>5255</v>
      </c>
      <c r="C198" s="291" t="s">
        <v>5256</v>
      </c>
      <c r="D198" s="291" t="s">
        <v>5257</v>
      </c>
      <c r="E198" s="291" t="s">
        <v>4462</v>
      </c>
      <c r="F198" s="291" t="s">
        <v>4463</v>
      </c>
      <c r="G198" s="291" t="s">
        <v>2067</v>
      </c>
    </row>
    <row r="199" spans="1:7">
      <c r="A199" s="291" t="s">
        <v>3953</v>
      </c>
      <c r="B199" s="291" t="s">
        <v>5258</v>
      </c>
      <c r="C199" s="291" t="s">
        <v>5259</v>
      </c>
      <c r="D199" s="291" t="s">
        <v>5260</v>
      </c>
      <c r="E199" s="291" t="s">
        <v>4523</v>
      </c>
      <c r="F199" s="291" t="s">
        <v>4463</v>
      </c>
      <c r="G199" s="291" t="s">
        <v>5261</v>
      </c>
    </row>
    <row r="200" spans="1:7">
      <c r="A200" s="291" t="s">
        <v>5262</v>
      </c>
      <c r="B200" s="291" t="s">
        <v>5263</v>
      </c>
      <c r="C200" s="291" t="s">
        <v>4471</v>
      </c>
      <c r="D200" s="291" t="s">
        <v>5264</v>
      </c>
      <c r="E200" s="291" t="s">
        <v>4528</v>
      </c>
      <c r="F200" s="291" t="s">
        <v>4463</v>
      </c>
      <c r="G200" s="291" t="s">
        <v>5265</v>
      </c>
    </row>
    <row r="201" spans="1:7">
      <c r="A201" s="291" t="s">
        <v>5266</v>
      </c>
      <c r="B201" s="291" t="s">
        <v>5267</v>
      </c>
      <c r="C201" s="291" t="s">
        <v>5268</v>
      </c>
      <c r="D201" s="291" t="s">
        <v>5269</v>
      </c>
      <c r="E201" s="291" t="s">
        <v>4534</v>
      </c>
      <c r="F201" s="291" t="s">
        <v>4463</v>
      </c>
      <c r="G201" s="291" t="s">
        <v>5233</v>
      </c>
    </row>
    <row r="202" spans="1:7">
      <c r="A202" s="291" t="s">
        <v>5270</v>
      </c>
      <c r="B202" s="291" t="s">
        <v>5271</v>
      </c>
      <c r="C202" s="291" t="s">
        <v>5272</v>
      </c>
      <c r="D202" s="291" t="s">
        <v>5273</v>
      </c>
      <c r="E202" s="291" t="s">
        <v>4539</v>
      </c>
      <c r="F202" s="291" t="s">
        <v>4463</v>
      </c>
      <c r="G202" s="291" t="s">
        <v>4457</v>
      </c>
    </row>
    <row r="203" spans="1:7">
      <c r="A203" s="291" t="s">
        <v>5274</v>
      </c>
      <c r="B203" s="291" t="s">
        <v>5275</v>
      </c>
      <c r="C203" s="291" t="s">
        <v>5276</v>
      </c>
      <c r="D203" s="291" t="s">
        <v>5277</v>
      </c>
      <c r="E203" s="291" t="s">
        <v>4490</v>
      </c>
      <c r="F203" s="291" t="s">
        <v>4491</v>
      </c>
      <c r="G203" s="291" t="s">
        <v>2067</v>
      </c>
    </row>
    <row r="204" spans="1:7">
      <c r="A204" s="291" t="s">
        <v>5278</v>
      </c>
      <c r="B204" s="291" t="s">
        <v>5279</v>
      </c>
      <c r="C204" s="291" t="s">
        <v>5280</v>
      </c>
      <c r="D204" s="291" t="s">
        <v>5281</v>
      </c>
      <c r="E204" s="291" t="s">
        <v>5282</v>
      </c>
      <c r="F204" s="291" t="s">
        <v>4491</v>
      </c>
      <c r="G204" s="291" t="s">
        <v>4678</v>
      </c>
    </row>
    <row r="205" spans="1:7">
      <c r="A205" s="291" t="s">
        <v>5283</v>
      </c>
      <c r="B205" s="291" t="s">
        <v>5284</v>
      </c>
      <c r="C205" s="291" t="s">
        <v>4471</v>
      </c>
      <c r="D205" s="291" t="s">
        <v>5285</v>
      </c>
      <c r="E205" s="291" t="s">
        <v>4501</v>
      </c>
      <c r="F205" s="291" t="s">
        <v>4491</v>
      </c>
      <c r="G205" s="291" t="s">
        <v>4550</v>
      </c>
    </row>
    <row r="206" spans="1:7">
      <c r="A206" s="291" t="s">
        <v>5286</v>
      </c>
      <c r="B206" s="291" t="s">
        <v>5287</v>
      </c>
      <c r="C206" s="291" t="s">
        <v>5288</v>
      </c>
      <c r="D206" s="291" t="s">
        <v>5289</v>
      </c>
      <c r="E206" s="291" t="s">
        <v>4507</v>
      </c>
      <c r="F206" s="291" t="s">
        <v>4491</v>
      </c>
      <c r="G206" s="291" t="s">
        <v>4480</v>
      </c>
    </row>
    <row r="207" spans="1:7">
      <c r="A207" s="291" t="s">
        <v>3959</v>
      </c>
      <c r="B207" s="291" t="s">
        <v>5290</v>
      </c>
      <c r="C207" s="291" t="s">
        <v>5291</v>
      </c>
      <c r="D207" s="291" t="s">
        <v>5292</v>
      </c>
      <c r="E207" s="291" t="s">
        <v>5293</v>
      </c>
      <c r="F207" s="291" t="s">
        <v>4491</v>
      </c>
      <c r="G207" s="291" t="s">
        <v>4486</v>
      </c>
    </row>
    <row r="208" spans="1:7">
      <c r="A208" s="291" t="s">
        <v>5294</v>
      </c>
      <c r="B208" s="291" t="s">
        <v>5295</v>
      </c>
      <c r="C208" s="291" t="s">
        <v>5296</v>
      </c>
      <c r="D208" s="291" t="s">
        <v>5297</v>
      </c>
      <c r="E208" s="291" t="s">
        <v>5199</v>
      </c>
      <c r="F208" s="291" t="s">
        <v>5135</v>
      </c>
      <c r="G208" s="291" t="s">
        <v>2067</v>
      </c>
    </row>
    <row r="209" spans="1:7">
      <c r="A209" s="291" t="s">
        <v>5298</v>
      </c>
      <c r="B209" s="291" t="s">
        <v>5299</v>
      </c>
      <c r="C209" s="291" t="s">
        <v>5300</v>
      </c>
      <c r="D209" s="291" t="s">
        <v>5301</v>
      </c>
      <c r="E209" s="291" t="s">
        <v>5204</v>
      </c>
      <c r="F209" s="291" t="s">
        <v>5135</v>
      </c>
      <c r="G209" s="291" t="s">
        <v>4502</v>
      </c>
    </row>
    <row r="210" spans="1:7">
      <c r="A210" s="291" t="s">
        <v>5302</v>
      </c>
      <c r="B210" s="291" t="s">
        <v>5303</v>
      </c>
      <c r="C210" s="291" t="s">
        <v>5304</v>
      </c>
      <c r="D210" s="291" t="s">
        <v>5305</v>
      </c>
      <c r="E210" s="291" t="s">
        <v>4655</v>
      </c>
      <c r="F210" s="291" t="s">
        <v>5135</v>
      </c>
      <c r="G210" s="291" t="s">
        <v>4474</v>
      </c>
    </row>
    <row r="211" spans="1:7">
      <c r="A211" s="291" t="s">
        <v>5306</v>
      </c>
      <c r="B211" s="291" t="s">
        <v>5307</v>
      </c>
      <c r="C211" s="291" t="s">
        <v>5308</v>
      </c>
      <c r="D211" s="291" t="s">
        <v>5189</v>
      </c>
      <c r="E211" s="291" t="s">
        <v>4479</v>
      </c>
      <c r="F211" s="291" t="s">
        <v>5135</v>
      </c>
      <c r="G211" s="291" t="s">
        <v>5309</v>
      </c>
    </row>
    <row r="212" spans="1:7">
      <c r="A212" s="291" t="s">
        <v>5310</v>
      </c>
      <c r="B212" s="291" t="s">
        <v>5311</v>
      </c>
      <c r="C212" s="291" t="s">
        <v>5312</v>
      </c>
      <c r="D212" s="291" t="s">
        <v>5313</v>
      </c>
      <c r="E212" s="291" t="s">
        <v>4666</v>
      </c>
      <c r="F212" s="291" t="s">
        <v>5135</v>
      </c>
      <c r="G212" s="291" t="s">
        <v>4457</v>
      </c>
    </row>
    <row r="213" spans="1:7">
      <c r="A213" s="291" t="s">
        <v>5314</v>
      </c>
      <c r="B213" s="291" t="s">
        <v>5315</v>
      </c>
      <c r="C213" s="291" t="s">
        <v>5316</v>
      </c>
      <c r="D213" s="291" t="s">
        <v>5317</v>
      </c>
      <c r="E213" s="291" t="s">
        <v>4544</v>
      </c>
      <c r="F213" s="291" t="s">
        <v>5158</v>
      </c>
      <c r="G213" s="291" t="s">
        <v>2067</v>
      </c>
    </row>
    <row r="214" spans="1:7">
      <c r="A214" s="291" t="s">
        <v>3965</v>
      </c>
      <c r="B214" s="291" t="s">
        <v>5318</v>
      </c>
      <c r="C214" s="291" t="s">
        <v>5319</v>
      </c>
      <c r="D214" s="291" t="s">
        <v>5320</v>
      </c>
      <c r="E214" s="291" t="s">
        <v>4462</v>
      </c>
      <c r="F214" s="291" t="s">
        <v>5158</v>
      </c>
      <c r="G214" s="291" t="s">
        <v>5321</v>
      </c>
    </row>
    <row r="215" spans="1:7">
      <c r="A215" s="291" t="s">
        <v>5322</v>
      </c>
      <c r="B215" s="291" t="s">
        <v>5323</v>
      </c>
      <c r="C215" s="291" t="s">
        <v>5304</v>
      </c>
      <c r="D215" s="291" t="s">
        <v>5324</v>
      </c>
      <c r="E215" s="291" t="s">
        <v>4554</v>
      </c>
      <c r="F215" s="291" t="s">
        <v>5158</v>
      </c>
      <c r="G215" s="291" t="s">
        <v>4524</v>
      </c>
    </row>
    <row r="216" spans="1:7">
      <c r="A216" s="291" t="s">
        <v>5325</v>
      </c>
      <c r="B216" s="291" t="s">
        <v>5326</v>
      </c>
      <c r="C216" s="291" t="s">
        <v>5327</v>
      </c>
      <c r="D216" s="291" t="s">
        <v>5328</v>
      </c>
      <c r="E216" s="291" t="s">
        <v>4501</v>
      </c>
      <c r="F216" s="291" t="s">
        <v>5158</v>
      </c>
      <c r="G216" s="291" t="s">
        <v>527</v>
      </c>
    </row>
    <row r="217" spans="1:7">
      <c r="A217" s="291" t="s">
        <v>3969</v>
      </c>
      <c r="B217" s="291" t="s">
        <v>5329</v>
      </c>
      <c r="C217" s="291" t="s">
        <v>5330</v>
      </c>
      <c r="D217" s="291" t="s">
        <v>5331</v>
      </c>
      <c r="E217" s="291" t="s">
        <v>4490</v>
      </c>
      <c r="F217" s="291" t="s">
        <v>5158</v>
      </c>
      <c r="G217" s="291" t="s">
        <v>4486</v>
      </c>
    </row>
    <row r="218" spans="1:7">
      <c r="A218" s="291" t="s">
        <v>5332</v>
      </c>
      <c r="B218" s="291" t="s">
        <v>5333</v>
      </c>
      <c r="C218" s="291" t="s">
        <v>5334</v>
      </c>
      <c r="D218" s="291" t="s">
        <v>5335</v>
      </c>
      <c r="E218" s="291" t="s">
        <v>4455</v>
      </c>
      <c r="F218" s="291" t="s">
        <v>4463</v>
      </c>
      <c r="G218" s="291" t="s">
        <v>2067</v>
      </c>
    </row>
    <row r="219" spans="1:7">
      <c r="A219" s="291" t="s">
        <v>5336</v>
      </c>
      <c r="B219" s="291" t="s">
        <v>5337</v>
      </c>
      <c r="C219" s="291" t="s">
        <v>5161</v>
      </c>
      <c r="D219" s="291" t="s">
        <v>5338</v>
      </c>
      <c r="E219" s="291" t="s">
        <v>4692</v>
      </c>
      <c r="F219" s="291" t="s">
        <v>4463</v>
      </c>
      <c r="G219" s="291" t="s">
        <v>4800</v>
      </c>
    </row>
    <row r="220" spans="1:7">
      <c r="A220" s="291" t="s">
        <v>5339</v>
      </c>
      <c r="B220" s="291" t="s">
        <v>5340</v>
      </c>
      <c r="C220" s="291" t="s">
        <v>5304</v>
      </c>
      <c r="D220" s="291" t="s">
        <v>5341</v>
      </c>
      <c r="E220" s="291" t="s">
        <v>4462</v>
      </c>
      <c r="F220" s="291" t="s">
        <v>4463</v>
      </c>
      <c r="G220" s="291" t="s">
        <v>5342</v>
      </c>
    </row>
    <row r="221" spans="1:7">
      <c r="A221" s="291" t="s">
        <v>5343</v>
      </c>
      <c r="B221" s="291" t="s">
        <v>5344</v>
      </c>
      <c r="C221" s="291" t="s">
        <v>5126</v>
      </c>
      <c r="D221" s="291" t="s">
        <v>5345</v>
      </c>
      <c r="E221" s="291" t="s">
        <v>4584</v>
      </c>
      <c r="F221" s="291" t="s">
        <v>4463</v>
      </c>
      <c r="G221" s="291" t="s">
        <v>4480</v>
      </c>
    </row>
    <row r="222" spans="1:7">
      <c r="A222" s="291" t="s">
        <v>3979</v>
      </c>
      <c r="B222" s="291" t="s">
        <v>5346</v>
      </c>
      <c r="C222" s="291" t="s">
        <v>5347</v>
      </c>
      <c r="D222" s="291" t="s">
        <v>5348</v>
      </c>
      <c r="E222" s="291" t="s">
        <v>4528</v>
      </c>
      <c r="F222" s="291" t="s">
        <v>4463</v>
      </c>
      <c r="G222" s="291" t="s">
        <v>4457</v>
      </c>
    </row>
    <row r="223" spans="1:7">
      <c r="A223" s="291" t="s">
        <v>5349</v>
      </c>
      <c r="B223" s="291" t="s">
        <v>5350</v>
      </c>
      <c r="C223" s="291" t="s">
        <v>5351</v>
      </c>
      <c r="D223" s="291" t="s">
        <v>5352</v>
      </c>
      <c r="E223" s="291" t="s">
        <v>4462</v>
      </c>
      <c r="F223" s="291" t="s">
        <v>4491</v>
      </c>
      <c r="G223" s="291" t="s">
        <v>2067</v>
      </c>
    </row>
    <row r="224" spans="1:7">
      <c r="A224" s="291" t="s">
        <v>5353</v>
      </c>
      <c r="B224" s="291" t="s">
        <v>5354</v>
      </c>
      <c r="C224" s="291" t="s">
        <v>5355</v>
      </c>
      <c r="D224" s="291" t="s">
        <v>5356</v>
      </c>
      <c r="E224" s="291" t="s">
        <v>4523</v>
      </c>
      <c r="F224" s="291" t="s">
        <v>4491</v>
      </c>
      <c r="G224" s="291" t="s">
        <v>4737</v>
      </c>
    </row>
    <row r="225" spans="1:7">
      <c r="A225" s="291" t="s">
        <v>3981</v>
      </c>
      <c r="B225" s="291" t="s">
        <v>5357</v>
      </c>
      <c r="C225" s="291" t="s">
        <v>5304</v>
      </c>
      <c r="D225" s="291" t="s">
        <v>5358</v>
      </c>
      <c r="E225" s="291" t="s">
        <v>4528</v>
      </c>
      <c r="F225" s="291" t="s">
        <v>4491</v>
      </c>
      <c r="G225" s="291" t="s">
        <v>5359</v>
      </c>
    </row>
    <row r="226" spans="1:7">
      <c r="A226" s="291" t="s">
        <v>5360</v>
      </c>
      <c r="B226" s="291" t="s">
        <v>5361</v>
      </c>
      <c r="C226" s="291" t="s">
        <v>5308</v>
      </c>
      <c r="D226" s="291" t="s">
        <v>5362</v>
      </c>
      <c r="E226" s="291" t="s">
        <v>4534</v>
      </c>
      <c r="F226" s="291" t="s">
        <v>4491</v>
      </c>
      <c r="G226" s="291" t="s">
        <v>4502</v>
      </c>
    </row>
    <row r="227" spans="1:7">
      <c r="A227" s="291" t="s">
        <v>5363</v>
      </c>
      <c r="B227" s="291" t="s">
        <v>5364</v>
      </c>
      <c r="C227" s="291" t="s">
        <v>5365</v>
      </c>
      <c r="D227" s="291" t="s">
        <v>5366</v>
      </c>
      <c r="E227" s="291" t="s">
        <v>4539</v>
      </c>
      <c r="F227" s="291" t="s">
        <v>4491</v>
      </c>
      <c r="G227" s="291" t="s">
        <v>4486</v>
      </c>
    </row>
    <row r="228" spans="1:7">
      <c r="A228" s="291" t="s">
        <v>5367</v>
      </c>
      <c r="B228" s="291" t="s">
        <v>5368</v>
      </c>
      <c r="C228" s="291" t="s">
        <v>5369</v>
      </c>
      <c r="D228" s="291" t="s">
        <v>5370</v>
      </c>
      <c r="E228" s="291" t="s">
        <v>4490</v>
      </c>
      <c r="F228" s="291" t="s">
        <v>4518</v>
      </c>
      <c r="G228" s="291" t="s">
        <v>2067</v>
      </c>
    </row>
    <row r="229" spans="1:7">
      <c r="A229" s="291" t="s">
        <v>5371</v>
      </c>
      <c r="B229" s="291" t="s">
        <v>5372</v>
      </c>
      <c r="C229" s="291" t="s">
        <v>5202</v>
      </c>
      <c r="D229" s="291" t="s">
        <v>5373</v>
      </c>
      <c r="E229" s="291" t="s">
        <v>4462</v>
      </c>
      <c r="F229" s="291" t="s">
        <v>4518</v>
      </c>
      <c r="G229" s="291" t="s">
        <v>4524</v>
      </c>
    </row>
    <row r="230" spans="1:7">
      <c r="A230" s="291" t="s">
        <v>5374</v>
      </c>
      <c r="B230" s="291" t="s">
        <v>5375</v>
      </c>
      <c r="C230" s="291" t="s">
        <v>4471</v>
      </c>
      <c r="D230" s="291" t="s">
        <v>5376</v>
      </c>
      <c r="E230" s="291" t="s">
        <v>4501</v>
      </c>
      <c r="F230" s="291" t="s">
        <v>4518</v>
      </c>
      <c r="G230" s="291" t="s">
        <v>4480</v>
      </c>
    </row>
    <row r="231" spans="1:7">
      <c r="A231" s="291" t="s">
        <v>5377</v>
      </c>
      <c r="B231" s="291" t="s">
        <v>5378</v>
      </c>
      <c r="C231" s="291" t="s">
        <v>5379</v>
      </c>
      <c r="D231" s="291" t="s">
        <v>5380</v>
      </c>
      <c r="E231" s="291" t="s">
        <v>4507</v>
      </c>
      <c r="F231" s="291" t="s">
        <v>4518</v>
      </c>
      <c r="G231" s="291" t="s">
        <v>4678</v>
      </c>
    </row>
    <row r="232" spans="1:7">
      <c r="A232" s="291" t="s">
        <v>5381</v>
      </c>
      <c r="B232" s="291" t="s">
        <v>5382</v>
      </c>
      <c r="C232" s="291" t="s">
        <v>5383</v>
      </c>
      <c r="D232" s="291" t="s">
        <v>5384</v>
      </c>
      <c r="E232" s="291" t="s">
        <v>4513</v>
      </c>
      <c r="F232" s="291" t="s">
        <v>4518</v>
      </c>
      <c r="G232" s="291" t="s">
        <v>4737</v>
      </c>
    </row>
    <row r="233" spans="1:7">
      <c r="A233" s="291" t="s">
        <v>5385</v>
      </c>
      <c r="B233" s="291" t="s">
        <v>5386</v>
      </c>
      <c r="C233" s="291" t="s">
        <v>5387</v>
      </c>
      <c r="D233" s="291" t="s">
        <v>5388</v>
      </c>
      <c r="E233" s="291" t="s">
        <v>5199</v>
      </c>
      <c r="F233" s="291" t="s">
        <v>5389</v>
      </c>
      <c r="G233" s="291" t="s">
        <v>2067</v>
      </c>
    </row>
    <row r="234" spans="1:7">
      <c r="A234" s="291" t="s">
        <v>5390</v>
      </c>
      <c r="B234" s="291" t="s">
        <v>5391</v>
      </c>
      <c r="C234" s="291" t="s">
        <v>5392</v>
      </c>
      <c r="D234" s="291" t="s">
        <v>5393</v>
      </c>
      <c r="E234" s="291" t="s">
        <v>5204</v>
      </c>
      <c r="F234" s="291" t="s">
        <v>5389</v>
      </c>
      <c r="G234" s="291" t="s">
        <v>5394</v>
      </c>
    </row>
    <row r="235" spans="1:7">
      <c r="A235" s="291" t="s">
        <v>5395</v>
      </c>
      <c r="B235" s="291" t="s">
        <v>5396</v>
      </c>
      <c r="C235" s="291" t="s">
        <v>4471</v>
      </c>
      <c r="D235" s="291" t="s">
        <v>5397</v>
      </c>
      <c r="E235" s="291" t="s">
        <v>4655</v>
      </c>
      <c r="F235" s="291" t="s">
        <v>5389</v>
      </c>
      <c r="G235" s="291" t="s">
        <v>5398</v>
      </c>
    </row>
    <row r="236" spans="1:7">
      <c r="A236" s="291" t="s">
        <v>5399</v>
      </c>
      <c r="B236" s="291" t="s">
        <v>5400</v>
      </c>
      <c r="C236" s="291" t="s">
        <v>5401</v>
      </c>
      <c r="D236" s="291" t="s">
        <v>5402</v>
      </c>
      <c r="E236" s="291" t="s">
        <v>4479</v>
      </c>
      <c r="F236" s="291" t="s">
        <v>5389</v>
      </c>
      <c r="G236" s="291" t="s">
        <v>4457</v>
      </c>
    </row>
    <row r="237" spans="1:7">
      <c r="A237" s="291" t="s">
        <v>5403</v>
      </c>
      <c r="B237" s="291" t="s">
        <v>5404</v>
      </c>
      <c r="C237" s="291" t="s">
        <v>5405</v>
      </c>
      <c r="D237" s="291" t="s">
        <v>5406</v>
      </c>
      <c r="E237" s="291" t="s">
        <v>4666</v>
      </c>
      <c r="F237" s="291" t="s">
        <v>5389</v>
      </c>
      <c r="G237" s="291" t="s">
        <v>4486</v>
      </c>
    </row>
    <row r="238" spans="1:7">
      <c r="A238" s="291" t="s">
        <v>5407</v>
      </c>
      <c r="B238" s="291" t="s">
        <v>5408</v>
      </c>
      <c r="C238" s="291" t="s">
        <v>5409</v>
      </c>
      <c r="D238" s="291" t="s">
        <v>5410</v>
      </c>
      <c r="E238" s="291" t="s">
        <v>4544</v>
      </c>
      <c r="F238" s="291" t="s">
        <v>4463</v>
      </c>
      <c r="G238" s="291" t="s">
        <v>2067</v>
      </c>
    </row>
    <row r="239" spans="1:7">
      <c r="A239" s="291" t="s">
        <v>5411</v>
      </c>
      <c r="B239" s="291" t="s">
        <v>5412</v>
      </c>
      <c r="C239" s="291" t="s">
        <v>5413</v>
      </c>
      <c r="D239" s="291" t="s">
        <v>5414</v>
      </c>
      <c r="E239" s="291" t="s">
        <v>4462</v>
      </c>
      <c r="F239" s="291" t="s">
        <v>4463</v>
      </c>
      <c r="G239" s="291" t="s">
        <v>5415</v>
      </c>
    </row>
    <row r="240" spans="1:7">
      <c r="A240" s="291" t="s">
        <v>5416</v>
      </c>
      <c r="B240" s="291" t="s">
        <v>5417</v>
      </c>
      <c r="C240" s="291" t="s">
        <v>4471</v>
      </c>
      <c r="D240" s="291" t="s">
        <v>5264</v>
      </c>
      <c r="E240" s="291" t="s">
        <v>4554</v>
      </c>
      <c r="F240" s="291" t="s">
        <v>4463</v>
      </c>
      <c r="G240" s="291" t="s">
        <v>5418</v>
      </c>
    </row>
    <row r="241" spans="1:7">
      <c r="A241" s="291" t="s">
        <v>5419</v>
      </c>
      <c r="B241" s="291" t="s">
        <v>5420</v>
      </c>
      <c r="C241" s="291" t="s">
        <v>4505</v>
      </c>
      <c r="D241" s="291" t="s">
        <v>5421</v>
      </c>
      <c r="E241" s="291" t="s">
        <v>4501</v>
      </c>
      <c r="F241" s="291" t="s">
        <v>4463</v>
      </c>
      <c r="G241" s="291" t="s">
        <v>4497</v>
      </c>
    </row>
    <row r="242" spans="1:7">
      <c r="A242" s="291" t="s">
        <v>5422</v>
      </c>
      <c r="B242" s="291" t="s">
        <v>5423</v>
      </c>
      <c r="C242" s="291" t="s">
        <v>5424</v>
      </c>
      <c r="D242" s="291" t="s">
        <v>5425</v>
      </c>
      <c r="E242" s="291" t="s">
        <v>4692</v>
      </c>
      <c r="F242" s="291" t="s">
        <v>4463</v>
      </c>
      <c r="G242" s="291" t="s">
        <v>4457</v>
      </c>
    </row>
    <row r="243" spans="1:7">
      <c r="A243" s="291" t="s">
        <v>5426</v>
      </c>
      <c r="B243" s="291" t="s">
        <v>5427</v>
      </c>
      <c r="C243" s="291" t="s">
        <v>5428</v>
      </c>
      <c r="D243" s="291" t="s">
        <v>5180</v>
      </c>
      <c r="E243" s="291" t="s">
        <v>5429</v>
      </c>
      <c r="F243" s="291" t="s">
        <v>4491</v>
      </c>
      <c r="G243" s="291" t="s">
        <v>2067</v>
      </c>
    </row>
    <row r="244" spans="1:7">
      <c r="A244" s="291" t="s">
        <v>5430</v>
      </c>
      <c r="B244" s="291" t="s">
        <v>5431</v>
      </c>
      <c r="C244" s="291" t="s">
        <v>5432</v>
      </c>
      <c r="D244" s="291" t="s">
        <v>5433</v>
      </c>
      <c r="E244" s="291" t="s">
        <v>4455</v>
      </c>
      <c r="F244" s="291" t="s">
        <v>4491</v>
      </c>
      <c r="G244" s="291" t="s">
        <v>5434</v>
      </c>
    </row>
    <row r="245" spans="1:7">
      <c r="A245" s="291" t="s">
        <v>5435</v>
      </c>
      <c r="B245" s="291" t="s">
        <v>5436</v>
      </c>
      <c r="C245" s="291" t="s">
        <v>4471</v>
      </c>
      <c r="D245" s="291" t="s">
        <v>5437</v>
      </c>
      <c r="E245" s="291" t="s">
        <v>4584</v>
      </c>
      <c r="F245" s="291" t="s">
        <v>4491</v>
      </c>
      <c r="G245" s="291" t="s">
        <v>5438</v>
      </c>
    </row>
    <row r="246" spans="1:7">
      <c r="A246" s="291" t="s">
        <v>5439</v>
      </c>
      <c r="B246" s="291" t="s">
        <v>5440</v>
      </c>
      <c r="C246" s="291" t="s">
        <v>5441</v>
      </c>
      <c r="D246" s="291" t="s">
        <v>5442</v>
      </c>
      <c r="E246" s="291" t="s">
        <v>5204</v>
      </c>
      <c r="F246" s="291" t="s">
        <v>4491</v>
      </c>
      <c r="G246" s="291" t="s">
        <v>5140</v>
      </c>
    </row>
    <row r="247" spans="1:7">
      <c r="A247" s="291" t="s">
        <v>4011</v>
      </c>
      <c r="B247" s="291" t="s">
        <v>5443</v>
      </c>
      <c r="C247" s="291" t="s">
        <v>5444</v>
      </c>
      <c r="D247" s="291" t="s">
        <v>5445</v>
      </c>
      <c r="E247" s="291" t="s">
        <v>4490</v>
      </c>
      <c r="F247" s="291" t="s">
        <v>4491</v>
      </c>
      <c r="G247" s="291" t="s">
        <v>4486</v>
      </c>
    </row>
    <row r="248" spans="1:7">
      <c r="A248" s="291" t="s">
        <v>5446</v>
      </c>
      <c r="B248" s="291" t="s">
        <v>5447</v>
      </c>
      <c r="C248" s="291" t="s">
        <v>5448</v>
      </c>
      <c r="D248" s="291"/>
      <c r="E248" s="291" t="s">
        <v>4455</v>
      </c>
      <c r="F248" s="291" t="s">
        <v>4491</v>
      </c>
      <c r="G248" s="291" t="s">
        <v>2067</v>
      </c>
    </row>
    <row r="249" spans="1:7">
      <c r="A249" s="291" t="s">
        <v>5449</v>
      </c>
      <c r="B249" s="291" t="s">
        <v>5450</v>
      </c>
      <c r="C249" s="291" t="s">
        <v>4471</v>
      </c>
      <c r="D249" s="291"/>
      <c r="E249" s="291" t="s">
        <v>4462</v>
      </c>
      <c r="F249" s="291" t="s">
        <v>4491</v>
      </c>
      <c r="G249" s="291" t="s">
        <v>4457</v>
      </c>
    </row>
    <row r="250" spans="1:7">
      <c r="A250" s="291" t="s">
        <v>5451</v>
      </c>
      <c r="B250" s="291"/>
      <c r="C250" s="291" t="s">
        <v>5452</v>
      </c>
      <c r="D250" s="291"/>
      <c r="E250" s="291"/>
      <c r="F250" s="291"/>
      <c r="G250" s="291"/>
    </row>
    <row r="251" spans="1:7">
      <c r="A251" s="291" t="s">
        <v>5453</v>
      </c>
      <c r="B251" s="291"/>
      <c r="C251" s="291" t="s">
        <v>5454</v>
      </c>
      <c r="D251" s="291"/>
      <c r="E251" s="291"/>
      <c r="F251" s="291"/>
      <c r="G251" s="291"/>
    </row>
    <row r="254" spans="1:7">
      <c r="A254" s="300" t="s">
        <v>5455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2668</v>
      </c>
      <c r="C1" t="s">
        <v>2234</v>
      </c>
      <c r="D1" t="s">
        <v>2235</v>
      </c>
      <c r="E1" t="s">
        <v>2236</v>
      </c>
      <c r="F1" t="s">
        <v>1455</v>
      </c>
      <c r="G1" t="s">
        <v>4277</v>
      </c>
      <c r="H1" t="s">
        <v>2238</v>
      </c>
      <c r="I1" t="s">
        <v>4278</v>
      </c>
    </row>
    <row r="2" spans="1:9">
      <c r="A2" s="92" t="s">
        <v>4281</v>
      </c>
      <c r="B2" t="s">
        <v>3515</v>
      </c>
      <c r="C2" t="s">
        <v>2281</v>
      </c>
      <c r="D2" t="s">
        <v>2282</v>
      </c>
      <c r="E2" t="s">
        <v>2283</v>
      </c>
      <c r="G2" t="s">
        <v>5456</v>
      </c>
      <c r="H2" t="s">
        <v>2627</v>
      </c>
      <c r="I2" t="s">
        <v>3748</v>
      </c>
    </row>
    <row r="3" spans="1:9">
      <c r="A3" s="92" t="s">
        <v>4285</v>
      </c>
      <c r="B3" t="s">
        <v>1888</v>
      </c>
      <c r="C3" t="s">
        <v>2276</v>
      </c>
      <c r="D3" t="s">
        <v>2277</v>
      </c>
      <c r="E3" t="s">
        <v>1565</v>
      </c>
      <c r="F3" t="s">
        <v>2279</v>
      </c>
      <c r="G3" t="s">
        <v>5457</v>
      </c>
      <c r="H3" t="s">
        <v>108</v>
      </c>
      <c r="I3" t="s">
        <v>3740</v>
      </c>
    </row>
    <row r="4" spans="1:9">
      <c r="A4" s="92" t="s">
        <v>4285</v>
      </c>
      <c r="B4" t="s">
        <v>1888</v>
      </c>
      <c r="C4" t="s">
        <v>2309</v>
      </c>
      <c r="E4" t="s">
        <v>2310</v>
      </c>
      <c r="G4" t="s">
        <v>5456</v>
      </c>
      <c r="H4" t="s">
        <v>2310</v>
      </c>
      <c r="I4" t="s">
        <v>3740</v>
      </c>
    </row>
    <row r="5" spans="1:9">
      <c r="A5" s="92" t="s">
        <v>4285</v>
      </c>
      <c r="B5" t="s">
        <v>1888</v>
      </c>
      <c r="C5" t="s">
        <v>2312</v>
      </c>
      <c r="D5" t="s">
        <v>2242</v>
      </c>
      <c r="E5" t="s">
        <v>108</v>
      </c>
      <c r="G5" t="s">
        <v>5457</v>
      </c>
      <c r="H5" t="s">
        <v>108</v>
      </c>
      <c r="I5" t="s">
        <v>3740</v>
      </c>
    </row>
    <row r="6" spans="1:9">
      <c r="A6" s="92" t="s">
        <v>4285</v>
      </c>
      <c r="B6" t="s">
        <v>1888</v>
      </c>
      <c r="C6" t="s">
        <v>2313</v>
      </c>
      <c r="D6" t="s">
        <v>2314</v>
      </c>
      <c r="E6" t="s">
        <v>2315</v>
      </c>
      <c r="F6" t="s">
        <v>2316</v>
      </c>
      <c r="G6" t="s">
        <v>5457</v>
      </c>
      <c r="H6" t="s">
        <v>2315</v>
      </c>
      <c r="I6" t="s">
        <v>3740</v>
      </c>
    </row>
    <row r="7" spans="1:9">
      <c r="A7" s="92" t="s">
        <v>4285</v>
      </c>
      <c r="B7" t="s">
        <v>1888</v>
      </c>
      <c r="C7" t="s">
        <v>2317</v>
      </c>
      <c r="E7" t="s">
        <v>108</v>
      </c>
      <c r="G7" t="s">
        <v>5457</v>
      </c>
      <c r="H7" t="s">
        <v>108</v>
      </c>
      <c r="I7" t="s">
        <v>3740</v>
      </c>
    </row>
    <row r="8" spans="1:9">
      <c r="A8" s="92" t="s">
        <v>4285</v>
      </c>
      <c r="B8" t="s">
        <v>1889</v>
      </c>
      <c r="C8" t="s">
        <v>2319</v>
      </c>
      <c r="D8" t="s">
        <v>2249</v>
      </c>
      <c r="E8" t="s">
        <v>108</v>
      </c>
      <c r="G8" t="s">
        <v>5457</v>
      </c>
      <c r="H8" t="s">
        <v>108</v>
      </c>
      <c r="I8" t="s">
        <v>3744</v>
      </c>
    </row>
    <row r="9" spans="1:9">
      <c r="A9" s="92" t="s">
        <v>4285</v>
      </c>
      <c r="B9" t="s">
        <v>1889</v>
      </c>
      <c r="C9" t="s">
        <v>2320</v>
      </c>
      <c r="D9" t="s">
        <v>2321</v>
      </c>
      <c r="E9" t="s">
        <v>108</v>
      </c>
      <c r="F9" t="s">
        <v>2322</v>
      </c>
      <c r="G9" t="s">
        <v>5457</v>
      </c>
      <c r="H9" t="s">
        <v>108</v>
      </c>
      <c r="I9" t="s">
        <v>3744</v>
      </c>
    </row>
    <row r="10" spans="1:9">
      <c r="A10" s="92" t="s">
        <v>4285</v>
      </c>
      <c r="B10" t="s">
        <v>1889</v>
      </c>
      <c r="C10" t="s">
        <v>2323</v>
      </c>
      <c r="D10" t="s">
        <v>2321</v>
      </c>
      <c r="E10" t="s">
        <v>108</v>
      </c>
      <c r="G10" t="s">
        <v>5457</v>
      </c>
      <c r="H10" t="s">
        <v>108</v>
      </c>
      <c r="I10" t="s">
        <v>3744</v>
      </c>
    </row>
    <row r="11" spans="1:9">
      <c r="A11" s="92" t="s">
        <v>4285</v>
      </c>
      <c r="B11" t="s">
        <v>1889</v>
      </c>
      <c r="C11" t="s">
        <v>2324</v>
      </c>
      <c r="D11" t="s">
        <v>2325</v>
      </c>
      <c r="E11" t="s">
        <v>108</v>
      </c>
      <c r="F11" t="s">
        <v>2326</v>
      </c>
      <c r="G11" t="s">
        <v>5457</v>
      </c>
      <c r="H11" t="s">
        <v>108</v>
      </c>
      <c r="I11" t="s">
        <v>3744</v>
      </c>
    </row>
    <row r="12" spans="1:9">
      <c r="A12" s="92" t="s">
        <v>4285</v>
      </c>
      <c r="B12" t="s">
        <v>3515</v>
      </c>
      <c r="C12" t="s">
        <v>2328</v>
      </c>
      <c r="D12" t="s">
        <v>2282</v>
      </c>
      <c r="E12" t="s">
        <v>108</v>
      </c>
      <c r="G12" t="s">
        <v>5457</v>
      </c>
      <c r="H12" t="s">
        <v>108</v>
      </c>
      <c r="I12" t="s">
        <v>3748</v>
      </c>
    </row>
    <row r="13" spans="1:9">
      <c r="A13" s="92" t="s">
        <v>4285</v>
      </c>
      <c r="B13" t="s">
        <v>3515</v>
      </c>
      <c r="C13" t="s">
        <v>2281</v>
      </c>
      <c r="D13" t="s">
        <v>2282</v>
      </c>
      <c r="E13" t="s">
        <v>2283</v>
      </c>
      <c r="G13" t="s">
        <v>5457</v>
      </c>
      <c r="H13" t="s">
        <v>108</v>
      </c>
      <c r="I13" t="s">
        <v>3748</v>
      </c>
    </row>
    <row r="14" spans="1:9">
      <c r="A14" s="92" t="s">
        <v>4285</v>
      </c>
      <c r="B14" t="s">
        <v>3515</v>
      </c>
      <c r="C14" t="s">
        <v>2330</v>
      </c>
      <c r="D14" t="s">
        <v>2282</v>
      </c>
      <c r="E14" t="s">
        <v>2331</v>
      </c>
      <c r="F14" t="s">
        <v>2332</v>
      </c>
      <c r="G14" t="s">
        <v>5457</v>
      </c>
      <c r="H14" t="s">
        <v>108</v>
      </c>
      <c r="I14" t="s">
        <v>3748</v>
      </c>
    </row>
    <row r="15" spans="1:9">
      <c r="A15" s="92" t="s">
        <v>4285</v>
      </c>
      <c r="B15" t="s">
        <v>3515</v>
      </c>
      <c r="C15" t="s">
        <v>2333</v>
      </c>
      <c r="D15" t="s">
        <v>2282</v>
      </c>
      <c r="E15" t="s">
        <v>108</v>
      </c>
      <c r="G15" t="s">
        <v>5457</v>
      </c>
      <c r="H15" t="s">
        <v>108</v>
      </c>
      <c r="I15" t="s">
        <v>3748</v>
      </c>
    </row>
    <row r="16" spans="1:9">
      <c r="A16" s="92" t="s">
        <v>4285</v>
      </c>
      <c r="B16" t="s">
        <v>1895</v>
      </c>
      <c r="C16" t="s">
        <v>2335</v>
      </c>
      <c r="D16" t="s">
        <v>2336</v>
      </c>
      <c r="E16" t="s">
        <v>2337</v>
      </c>
      <c r="G16" t="s">
        <v>5457</v>
      </c>
      <c r="H16" t="s">
        <v>108</v>
      </c>
      <c r="I16" t="s">
        <v>3752</v>
      </c>
    </row>
    <row r="17" spans="1:9">
      <c r="A17" s="92" t="s">
        <v>4285</v>
      </c>
      <c r="B17" t="s">
        <v>1895</v>
      </c>
      <c r="C17" t="s">
        <v>2338</v>
      </c>
      <c r="D17" t="s">
        <v>2336</v>
      </c>
      <c r="E17" t="s">
        <v>2339</v>
      </c>
      <c r="G17" t="s">
        <v>5457</v>
      </c>
      <c r="H17" t="s">
        <v>108</v>
      </c>
      <c r="I17" t="s">
        <v>3752</v>
      </c>
    </row>
    <row r="18" spans="1:9">
      <c r="A18" s="92" t="s">
        <v>4285</v>
      </c>
      <c r="B18" t="s">
        <v>1895</v>
      </c>
      <c r="C18" t="s">
        <v>2340</v>
      </c>
      <c r="D18" t="s">
        <v>2341</v>
      </c>
      <c r="E18" t="s">
        <v>108</v>
      </c>
      <c r="F18" t="s">
        <v>2342</v>
      </c>
      <c r="G18" t="s">
        <v>5457</v>
      </c>
      <c r="H18" t="s">
        <v>108</v>
      </c>
      <c r="I18" t="s">
        <v>3752</v>
      </c>
    </row>
    <row r="19" spans="1:9">
      <c r="A19" s="92" t="s">
        <v>4285</v>
      </c>
      <c r="B19" t="s">
        <v>1895</v>
      </c>
      <c r="C19" t="s">
        <v>2343</v>
      </c>
      <c r="D19" t="s">
        <v>2341</v>
      </c>
      <c r="E19" t="s">
        <v>108</v>
      </c>
      <c r="G19" t="s">
        <v>5457</v>
      </c>
      <c r="H19" t="s">
        <v>108</v>
      </c>
      <c r="I19" t="s">
        <v>3752</v>
      </c>
    </row>
    <row r="20" spans="1:9">
      <c r="A20" s="92" t="s">
        <v>4285</v>
      </c>
      <c r="B20" t="s">
        <v>1897</v>
      </c>
      <c r="C20" t="s">
        <v>2345</v>
      </c>
      <c r="D20" t="s">
        <v>2346</v>
      </c>
      <c r="E20" t="s">
        <v>108</v>
      </c>
      <c r="F20" t="s">
        <v>2347</v>
      </c>
      <c r="G20" t="s">
        <v>5457</v>
      </c>
      <c r="H20" t="s">
        <v>108</v>
      </c>
      <c r="I20" t="s">
        <v>3756</v>
      </c>
    </row>
    <row r="21" spans="1:9">
      <c r="A21" s="92" t="s">
        <v>4285</v>
      </c>
      <c r="B21" t="s">
        <v>1897</v>
      </c>
      <c r="C21" t="s">
        <v>2248</v>
      </c>
      <c r="D21" t="s">
        <v>2249</v>
      </c>
      <c r="E21" t="s">
        <v>2250</v>
      </c>
      <c r="G21" t="s">
        <v>5457</v>
      </c>
      <c r="H21" t="s">
        <v>2526</v>
      </c>
      <c r="I21" t="s">
        <v>3756</v>
      </c>
    </row>
    <row r="22" spans="1:9">
      <c r="A22" s="92" t="s">
        <v>4285</v>
      </c>
      <c r="B22" t="s">
        <v>1897</v>
      </c>
      <c r="C22" t="s">
        <v>2253</v>
      </c>
      <c r="D22" t="s">
        <v>2249</v>
      </c>
      <c r="E22" t="s">
        <v>2254</v>
      </c>
      <c r="G22" t="s">
        <v>5457</v>
      </c>
      <c r="H22" t="s">
        <v>2526</v>
      </c>
      <c r="I22" t="s">
        <v>3756</v>
      </c>
    </row>
    <row r="23" spans="1:9">
      <c r="A23" s="92" t="s">
        <v>4285</v>
      </c>
      <c r="B23" t="s">
        <v>1897</v>
      </c>
      <c r="C23" t="s">
        <v>2255</v>
      </c>
      <c r="D23" t="s">
        <v>2249</v>
      </c>
      <c r="E23" t="s">
        <v>2254</v>
      </c>
      <c r="G23" t="s">
        <v>5457</v>
      </c>
      <c r="H23" t="s">
        <v>2526</v>
      </c>
      <c r="I23" t="s">
        <v>3756</v>
      </c>
    </row>
    <row r="24" spans="1:9">
      <c r="A24" s="92" t="s">
        <v>4285</v>
      </c>
      <c r="B24" t="s">
        <v>1897</v>
      </c>
      <c r="C24" t="s">
        <v>2256</v>
      </c>
      <c r="D24" t="s">
        <v>2257</v>
      </c>
      <c r="E24" t="s">
        <v>2254</v>
      </c>
      <c r="G24" t="s">
        <v>5457</v>
      </c>
      <c r="H24" t="s">
        <v>2526</v>
      </c>
      <c r="I24" t="s">
        <v>3756</v>
      </c>
    </row>
    <row r="25" spans="1:9">
      <c r="A25" s="92" t="s">
        <v>4285</v>
      </c>
      <c r="B25" t="s">
        <v>1897</v>
      </c>
      <c r="C25" t="s">
        <v>2258</v>
      </c>
      <c r="E25" t="s">
        <v>2254</v>
      </c>
      <c r="G25" t="s">
        <v>5457</v>
      </c>
      <c r="H25" t="s">
        <v>2526</v>
      </c>
      <c r="I25" t="s">
        <v>3756</v>
      </c>
    </row>
    <row r="26" spans="1:9">
      <c r="A26" s="92" t="s">
        <v>4285</v>
      </c>
      <c r="B26" t="s">
        <v>1897</v>
      </c>
      <c r="C26" t="s">
        <v>2259</v>
      </c>
      <c r="E26" t="s">
        <v>2254</v>
      </c>
      <c r="G26" t="s">
        <v>5457</v>
      </c>
      <c r="H26" t="s">
        <v>2526</v>
      </c>
      <c r="I26" t="s">
        <v>3756</v>
      </c>
    </row>
    <row r="27" spans="1:9">
      <c r="A27" s="92" t="s">
        <v>4285</v>
      </c>
      <c r="B27" t="s">
        <v>1897</v>
      </c>
      <c r="C27" t="s">
        <v>2260</v>
      </c>
      <c r="E27" t="s">
        <v>2254</v>
      </c>
      <c r="G27" t="s">
        <v>5457</v>
      </c>
      <c r="H27" t="s">
        <v>2526</v>
      </c>
      <c r="I27" t="s">
        <v>3756</v>
      </c>
    </row>
    <row r="28" spans="1:9">
      <c r="A28" s="92" t="s">
        <v>4285</v>
      </c>
      <c r="B28" t="s">
        <v>1899</v>
      </c>
      <c r="C28" t="s">
        <v>2350</v>
      </c>
      <c r="D28" t="s">
        <v>2351</v>
      </c>
      <c r="E28" t="s">
        <v>108</v>
      </c>
      <c r="G28" t="s">
        <v>5457</v>
      </c>
      <c r="H28" t="s">
        <v>108</v>
      </c>
      <c r="I28" t="s">
        <v>3758</v>
      </c>
    </row>
    <row r="29" spans="1:9">
      <c r="A29" s="92" t="s">
        <v>4285</v>
      </c>
      <c r="B29" t="s">
        <v>1899</v>
      </c>
      <c r="C29" t="s">
        <v>2352</v>
      </c>
      <c r="E29" t="s">
        <v>2337</v>
      </c>
      <c r="G29" t="s">
        <v>5457</v>
      </c>
      <c r="H29" t="s">
        <v>108</v>
      </c>
      <c r="I29" t="s">
        <v>3758</v>
      </c>
    </row>
    <row r="30" spans="1:9">
      <c r="A30" s="92" t="s">
        <v>4285</v>
      </c>
      <c r="B30" t="s">
        <v>1899</v>
      </c>
      <c r="C30" t="s">
        <v>2353</v>
      </c>
      <c r="D30" t="s">
        <v>2351</v>
      </c>
      <c r="E30" t="s">
        <v>2354</v>
      </c>
      <c r="F30" t="s">
        <v>2355</v>
      </c>
      <c r="G30" t="s">
        <v>5457</v>
      </c>
      <c r="H30" t="s">
        <v>108</v>
      </c>
      <c r="I30" t="s">
        <v>3758</v>
      </c>
    </row>
    <row r="31" spans="1:9">
      <c r="A31" s="92" t="s">
        <v>4285</v>
      </c>
      <c r="B31" t="s">
        <v>1899</v>
      </c>
      <c r="C31" t="s">
        <v>2356</v>
      </c>
      <c r="D31" t="s">
        <v>2351</v>
      </c>
      <c r="E31" t="s">
        <v>2315</v>
      </c>
      <c r="G31" t="s">
        <v>5457</v>
      </c>
      <c r="H31" t="s">
        <v>2315</v>
      </c>
      <c r="I31" t="s">
        <v>3758</v>
      </c>
    </row>
    <row r="32" spans="1:9">
      <c r="A32" s="92" t="s">
        <v>4285</v>
      </c>
      <c r="B32" t="s">
        <v>1899</v>
      </c>
      <c r="C32" t="s">
        <v>2357</v>
      </c>
      <c r="D32" t="s">
        <v>2358</v>
      </c>
      <c r="E32" t="s">
        <v>108</v>
      </c>
      <c r="G32" t="s">
        <v>5457</v>
      </c>
      <c r="H32" t="s">
        <v>108</v>
      </c>
      <c r="I32" t="s">
        <v>3758</v>
      </c>
    </row>
    <row r="33" spans="1:9">
      <c r="A33" s="92" t="s">
        <v>4285</v>
      </c>
      <c r="B33" t="s">
        <v>1902</v>
      </c>
      <c r="C33" t="s">
        <v>2363</v>
      </c>
      <c r="E33" t="s">
        <v>2315</v>
      </c>
      <c r="G33" t="s">
        <v>5457</v>
      </c>
      <c r="H33" t="s">
        <v>2315</v>
      </c>
      <c r="I33" t="s">
        <v>3760</v>
      </c>
    </row>
    <row r="34" spans="1:9">
      <c r="A34" s="92" t="s">
        <v>4285</v>
      </c>
      <c r="B34" t="s">
        <v>1902</v>
      </c>
      <c r="C34" t="s">
        <v>2294</v>
      </c>
      <c r="E34" t="s">
        <v>2295</v>
      </c>
      <c r="G34" t="s">
        <v>5457</v>
      </c>
      <c r="H34" t="s">
        <v>2315</v>
      </c>
      <c r="I34" t="s">
        <v>3760</v>
      </c>
    </row>
    <row r="35" spans="1:9">
      <c r="A35" s="92" t="s">
        <v>4285</v>
      </c>
      <c r="B35" t="s">
        <v>1902</v>
      </c>
      <c r="C35" t="s">
        <v>2364</v>
      </c>
      <c r="D35" t="s">
        <v>2351</v>
      </c>
      <c r="E35" t="s">
        <v>108</v>
      </c>
      <c r="G35" t="s">
        <v>5457</v>
      </c>
      <c r="H35" t="s">
        <v>108</v>
      </c>
      <c r="I35" t="s">
        <v>3760</v>
      </c>
    </row>
    <row r="36" spans="1:9">
      <c r="A36" s="92" t="s">
        <v>4285</v>
      </c>
      <c r="B36" t="s">
        <v>1902</v>
      </c>
      <c r="C36" t="s">
        <v>2365</v>
      </c>
      <c r="D36" t="s">
        <v>2351</v>
      </c>
      <c r="E36" t="s">
        <v>108</v>
      </c>
      <c r="G36" t="s">
        <v>5457</v>
      </c>
      <c r="H36" t="s">
        <v>108</v>
      </c>
      <c r="I36" t="s">
        <v>3760</v>
      </c>
    </row>
    <row r="37" spans="1:9">
      <c r="A37" s="92" t="s">
        <v>4285</v>
      </c>
      <c r="B37" t="s">
        <v>1902</v>
      </c>
      <c r="C37" t="s">
        <v>2366</v>
      </c>
      <c r="D37" t="s">
        <v>2257</v>
      </c>
      <c r="E37" t="s">
        <v>108</v>
      </c>
      <c r="G37" t="s">
        <v>5457</v>
      </c>
      <c r="H37" t="s">
        <v>108</v>
      </c>
      <c r="I37" t="s">
        <v>3760</v>
      </c>
    </row>
    <row r="38" spans="1:9">
      <c r="A38" s="92" t="s">
        <v>4285</v>
      </c>
      <c r="B38" t="s">
        <v>1902</v>
      </c>
      <c r="C38" t="s">
        <v>2367</v>
      </c>
      <c r="D38" t="s">
        <v>2368</v>
      </c>
      <c r="E38" t="s">
        <v>2315</v>
      </c>
      <c r="G38" t="s">
        <v>5457</v>
      </c>
      <c r="H38" t="s">
        <v>2315</v>
      </c>
      <c r="I38" t="s">
        <v>3760</v>
      </c>
    </row>
    <row r="39" spans="1:9">
      <c r="A39" s="92" t="s">
        <v>4285</v>
      </c>
      <c r="B39" t="s">
        <v>1902</v>
      </c>
      <c r="C39" t="s">
        <v>2369</v>
      </c>
      <c r="D39" t="s">
        <v>2368</v>
      </c>
      <c r="E39" t="s">
        <v>2315</v>
      </c>
      <c r="G39" t="s">
        <v>5457</v>
      </c>
      <c r="H39" t="s">
        <v>2315</v>
      </c>
      <c r="I39" t="s">
        <v>3760</v>
      </c>
    </row>
    <row r="40" spans="1:9">
      <c r="A40" s="92" t="s">
        <v>4285</v>
      </c>
      <c r="B40" t="s">
        <v>1902</v>
      </c>
      <c r="C40" t="s">
        <v>2370</v>
      </c>
      <c r="D40" t="s">
        <v>2368</v>
      </c>
      <c r="E40" t="s">
        <v>108</v>
      </c>
      <c r="F40" t="s">
        <v>2371</v>
      </c>
      <c r="G40" t="s">
        <v>5457</v>
      </c>
      <c r="H40" t="s">
        <v>108</v>
      </c>
      <c r="I40" t="s">
        <v>3760</v>
      </c>
    </row>
    <row r="41" spans="1:9">
      <c r="A41" s="92" t="s">
        <v>4285</v>
      </c>
      <c r="B41" t="s">
        <v>1903</v>
      </c>
      <c r="C41" t="s">
        <v>2373</v>
      </c>
      <c r="D41" t="s">
        <v>2374</v>
      </c>
      <c r="E41" t="s">
        <v>108</v>
      </c>
      <c r="G41" t="s">
        <v>5457</v>
      </c>
      <c r="H41" t="s">
        <v>108</v>
      </c>
      <c r="I41" t="s">
        <v>3764</v>
      </c>
    </row>
    <row r="42" spans="1:9">
      <c r="A42" s="92" t="s">
        <v>4285</v>
      </c>
      <c r="B42" t="s">
        <v>1903</v>
      </c>
      <c r="C42" t="s">
        <v>2375</v>
      </c>
      <c r="D42" t="s">
        <v>2376</v>
      </c>
      <c r="E42" t="s">
        <v>108</v>
      </c>
      <c r="G42" t="s">
        <v>5457</v>
      </c>
      <c r="H42" t="s">
        <v>108</v>
      </c>
      <c r="I42" t="s">
        <v>3764</v>
      </c>
    </row>
    <row r="43" spans="1:9">
      <c r="A43" s="92" t="s">
        <v>4285</v>
      </c>
      <c r="B43" t="s">
        <v>1903</v>
      </c>
      <c r="C43" t="s">
        <v>2377</v>
      </c>
      <c r="D43" t="s">
        <v>2376</v>
      </c>
      <c r="E43" t="s">
        <v>108</v>
      </c>
      <c r="G43" t="s">
        <v>5457</v>
      </c>
      <c r="H43" t="s">
        <v>108</v>
      </c>
      <c r="I43" t="s">
        <v>3764</v>
      </c>
    </row>
    <row r="44" spans="1:9">
      <c r="A44" s="92" t="s">
        <v>4285</v>
      </c>
      <c r="B44" t="s">
        <v>1905</v>
      </c>
      <c r="C44" t="s">
        <v>2379</v>
      </c>
      <c r="D44" t="s">
        <v>2263</v>
      </c>
      <c r="E44" t="s">
        <v>2315</v>
      </c>
      <c r="F44" t="s">
        <v>2380</v>
      </c>
      <c r="G44" t="s">
        <v>5457</v>
      </c>
      <c r="H44" t="s">
        <v>2315</v>
      </c>
      <c r="I44" t="s">
        <v>3768</v>
      </c>
    </row>
    <row r="45" spans="1:9">
      <c r="A45" s="92" t="s">
        <v>4285</v>
      </c>
      <c r="B45" t="s">
        <v>1905</v>
      </c>
      <c r="C45" t="s">
        <v>2381</v>
      </c>
      <c r="D45" t="s">
        <v>2301</v>
      </c>
      <c r="E45" t="s">
        <v>108</v>
      </c>
      <c r="F45" t="s">
        <v>2382</v>
      </c>
      <c r="G45" t="s">
        <v>5457</v>
      </c>
      <c r="H45" t="s">
        <v>108</v>
      </c>
      <c r="I45" t="s">
        <v>3768</v>
      </c>
    </row>
    <row r="46" spans="1:9">
      <c r="A46" s="92" t="s">
        <v>4285</v>
      </c>
      <c r="B46" t="s">
        <v>1905</v>
      </c>
      <c r="C46" t="s">
        <v>2383</v>
      </c>
      <c r="D46" t="s">
        <v>2298</v>
      </c>
      <c r="E46" t="s">
        <v>108</v>
      </c>
      <c r="F46" t="s">
        <v>2384</v>
      </c>
      <c r="G46" t="s">
        <v>5457</v>
      </c>
      <c r="H46" t="s">
        <v>108</v>
      </c>
      <c r="I46" t="s">
        <v>3768</v>
      </c>
    </row>
    <row r="47" spans="1:9">
      <c r="A47" s="92" t="s">
        <v>4285</v>
      </c>
      <c r="B47" t="s">
        <v>1905</v>
      </c>
      <c r="C47" t="s">
        <v>2385</v>
      </c>
      <c r="D47" t="s">
        <v>2386</v>
      </c>
      <c r="E47" t="s">
        <v>108</v>
      </c>
      <c r="F47" t="s">
        <v>2387</v>
      </c>
      <c r="G47" t="s">
        <v>5457</v>
      </c>
      <c r="H47" t="s">
        <v>108</v>
      </c>
      <c r="I47" t="s">
        <v>3768</v>
      </c>
    </row>
    <row r="48" spans="1:9">
      <c r="A48" s="92" t="s">
        <v>4285</v>
      </c>
      <c r="B48" t="s">
        <v>1910</v>
      </c>
      <c r="C48" t="s">
        <v>2389</v>
      </c>
      <c r="D48" t="s">
        <v>2301</v>
      </c>
      <c r="E48" t="s">
        <v>108</v>
      </c>
      <c r="F48" t="s">
        <v>2390</v>
      </c>
      <c r="G48" t="s">
        <v>5457</v>
      </c>
      <c r="H48" t="s">
        <v>108</v>
      </c>
      <c r="I48" t="s">
        <v>3772</v>
      </c>
    </row>
    <row r="49" spans="1:9">
      <c r="A49" s="92" t="s">
        <v>4285</v>
      </c>
      <c r="B49" t="s">
        <v>1910</v>
      </c>
      <c r="C49" t="s">
        <v>2391</v>
      </c>
      <c r="D49" t="s">
        <v>2392</v>
      </c>
      <c r="E49" t="s">
        <v>108</v>
      </c>
      <c r="F49" t="s">
        <v>2393</v>
      </c>
      <c r="G49" t="s">
        <v>5457</v>
      </c>
      <c r="H49" t="s">
        <v>108</v>
      </c>
      <c r="I49" t="s">
        <v>3772</v>
      </c>
    </row>
    <row r="50" spans="1:9">
      <c r="A50" s="92" t="s">
        <v>4285</v>
      </c>
      <c r="B50" t="s">
        <v>1910</v>
      </c>
      <c r="C50" t="s">
        <v>2394</v>
      </c>
      <c r="D50" t="s">
        <v>2395</v>
      </c>
      <c r="E50" t="s">
        <v>108</v>
      </c>
      <c r="F50" t="s">
        <v>2396</v>
      </c>
      <c r="G50" t="s">
        <v>5457</v>
      </c>
      <c r="H50" t="s">
        <v>108</v>
      </c>
      <c r="I50" t="s">
        <v>3772</v>
      </c>
    </row>
    <row r="51" spans="1:9">
      <c r="A51" s="92" t="s">
        <v>4285</v>
      </c>
      <c r="B51" t="s">
        <v>1910</v>
      </c>
      <c r="C51" t="s">
        <v>2397</v>
      </c>
      <c r="D51" t="s">
        <v>2398</v>
      </c>
      <c r="E51" t="s">
        <v>2315</v>
      </c>
      <c r="G51" t="s">
        <v>5457</v>
      </c>
      <c r="H51" t="s">
        <v>2315</v>
      </c>
      <c r="I51" t="s">
        <v>3772</v>
      </c>
    </row>
    <row r="52" spans="1:9">
      <c r="A52" s="92" t="s">
        <v>4285</v>
      </c>
      <c r="B52" t="s">
        <v>1910</v>
      </c>
      <c r="C52" t="s">
        <v>2399</v>
      </c>
      <c r="D52" t="s">
        <v>2398</v>
      </c>
      <c r="E52" t="s">
        <v>2400</v>
      </c>
      <c r="G52" t="s">
        <v>5457</v>
      </c>
      <c r="H52" t="s">
        <v>108</v>
      </c>
      <c r="I52" t="s">
        <v>3772</v>
      </c>
    </row>
    <row r="53" spans="1:9">
      <c r="A53" s="92" t="s">
        <v>4285</v>
      </c>
      <c r="B53" t="s">
        <v>1912</v>
      </c>
      <c r="C53" t="s">
        <v>2402</v>
      </c>
      <c r="D53" t="s">
        <v>2403</v>
      </c>
      <c r="E53" t="s">
        <v>108</v>
      </c>
      <c r="G53" t="s">
        <v>5457</v>
      </c>
      <c r="H53" t="s">
        <v>108</v>
      </c>
      <c r="I53" t="s">
        <v>3776</v>
      </c>
    </row>
    <row r="54" spans="1:9">
      <c r="A54" s="92" t="s">
        <v>4285</v>
      </c>
      <c r="B54" t="s">
        <v>1912</v>
      </c>
      <c r="C54" t="s">
        <v>2404</v>
      </c>
      <c r="D54" t="s">
        <v>2403</v>
      </c>
      <c r="E54" t="s">
        <v>2315</v>
      </c>
      <c r="F54" t="s">
        <v>2405</v>
      </c>
      <c r="G54" t="s">
        <v>5457</v>
      </c>
      <c r="H54" t="s">
        <v>2315</v>
      </c>
      <c r="I54" t="s">
        <v>3776</v>
      </c>
    </row>
    <row r="55" spans="1:9">
      <c r="A55" s="92" t="s">
        <v>4285</v>
      </c>
      <c r="B55" t="s">
        <v>1912</v>
      </c>
      <c r="C55" t="s">
        <v>2406</v>
      </c>
      <c r="D55" t="s">
        <v>2407</v>
      </c>
      <c r="E55" t="s">
        <v>2408</v>
      </c>
      <c r="F55" t="s">
        <v>2410</v>
      </c>
      <c r="G55" t="s">
        <v>5458</v>
      </c>
      <c r="H55" t="s">
        <v>2442</v>
      </c>
      <c r="I55" t="s">
        <v>3776</v>
      </c>
    </row>
    <row r="56" spans="1:9">
      <c r="A56" s="92" t="s">
        <v>4285</v>
      </c>
      <c r="B56" t="s">
        <v>1912</v>
      </c>
      <c r="C56" t="s">
        <v>2411</v>
      </c>
      <c r="D56" t="s">
        <v>2407</v>
      </c>
      <c r="E56" t="s">
        <v>2331</v>
      </c>
      <c r="F56" t="s">
        <v>2412</v>
      </c>
      <c r="G56" t="s">
        <v>5457</v>
      </c>
      <c r="H56" t="s">
        <v>108</v>
      </c>
      <c r="I56" t="s">
        <v>3776</v>
      </c>
    </row>
    <row r="57" spans="1:9">
      <c r="A57" s="92" t="s">
        <v>4285</v>
      </c>
      <c r="B57" t="s">
        <v>1912</v>
      </c>
      <c r="C57" t="s">
        <v>2413</v>
      </c>
      <c r="D57" t="s">
        <v>2403</v>
      </c>
      <c r="E57" t="s">
        <v>2414</v>
      </c>
      <c r="G57" t="s">
        <v>5457</v>
      </c>
      <c r="H57" t="s">
        <v>108</v>
      </c>
      <c r="I57" t="s">
        <v>3776</v>
      </c>
    </row>
    <row r="58" spans="1:9">
      <c r="A58" s="92" t="s">
        <v>4285</v>
      </c>
      <c r="B58" t="s">
        <v>1912</v>
      </c>
      <c r="C58" t="s">
        <v>2415</v>
      </c>
      <c r="D58" t="s">
        <v>2403</v>
      </c>
      <c r="E58" t="s">
        <v>2416</v>
      </c>
      <c r="F58" t="s">
        <v>2417</v>
      </c>
      <c r="G58" t="s">
        <v>5457</v>
      </c>
      <c r="H58" t="s">
        <v>108</v>
      </c>
      <c r="I58" t="s">
        <v>3776</v>
      </c>
    </row>
    <row r="59" spans="1:9">
      <c r="A59" s="92" t="s">
        <v>4285</v>
      </c>
      <c r="B59" t="s">
        <v>1914</v>
      </c>
      <c r="C59" t="s">
        <v>2419</v>
      </c>
      <c r="D59" t="s">
        <v>2287</v>
      </c>
      <c r="E59" t="s">
        <v>2420</v>
      </c>
      <c r="F59" t="s">
        <v>2421</v>
      </c>
      <c r="G59" t="s">
        <v>5457</v>
      </c>
      <c r="H59" t="s">
        <v>108</v>
      </c>
      <c r="I59" t="s">
        <v>3780</v>
      </c>
    </row>
    <row r="60" spans="1:9">
      <c r="A60" s="92" t="s">
        <v>4285</v>
      </c>
      <c r="B60" t="s">
        <v>1914</v>
      </c>
      <c r="C60" t="s">
        <v>2422</v>
      </c>
      <c r="D60" t="s">
        <v>2423</v>
      </c>
      <c r="E60" t="s">
        <v>2424</v>
      </c>
      <c r="F60" t="s">
        <v>2425</v>
      </c>
      <c r="G60" t="s">
        <v>5457</v>
      </c>
      <c r="H60" t="s">
        <v>108</v>
      </c>
      <c r="I60" t="s">
        <v>3780</v>
      </c>
    </row>
    <row r="61" spans="1:9">
      <c r="A61" s="92" t="s">
        <v>4285</v>
      </c>
      <c r="B61" t="s">
        <v>1914</v>
      </c>
      <c r="C61" t="s">
        <v>2274</v>
      </c>
      <c r="E61" t="s">
        <v>2254</v>
      </c>
      <c r="G61" t="s">
        <v>5457</v>
      </c>
      <c r="H61" t="s">
        <v>2526</v>
      </c>
      <c r="I61" t="s">
        <v>3780</v>
      </c>
    </row>
    <row r="62" spans="1:9">
      <c r="A62" s="92" t="s">
        <v>4285</v>
      </c>
      <c r="B62" t="s">
        <v>1914</v>
      </c>
      <c r="C62" t="s">
        <v>2426</v>
      </c>
      <c r="D62" t="s">
        <v>2272</v>
      </c>
      <c r="E62" t="s">
        <v>2427</v>
      </c>
      <c r="F62" t="s">
        <v>2428</v>
      </c>
      <c r="G62" t="s">
        <v>5457</v>
      </c>
      <c r="H62" t="s">
        <v>2427</v>
      </c>
      <c r="I62" t="s">
        <v>3780</v>
      </c>
    </row>
    <row r="63" spans="1:9">
      <c r="A63" s="92" t="s">
        <v>3858</v>
      </c>
      <c r="B63" t="s">
        <v>1888</v>
      </c>
      <c r="C63" t="s">
        <v>2276</v>
      </c>
      <c r="D63" t="s">
        <v>2277</v>
      </c>
      <c r="E63" t="s">
        <v>1565</v>
      </c>
      <c r="F63" t="s">
        <v>2279</v>
      </c>
      <c r="G63" t="s">
        <v>5459</v>
      </c>
      <c r="H63" t="s">
        <v>108</v>
      </c>
      <c r="I63" t="s">
        <v>3740</v>
      </c>
    </row>
    <row r="64" spans="1:9">
      <c r="A64" s="92" t="s">
        <v>3858</v>
      </c>
      <c r="B64" t="s">
        <v>1888</v>
      </c>
      <c r="C64" t="s">
        <v>2309</v>
      </c>
      <c r="E64" t="s">
        <v>2310</v>
      </c>
      <c r="G64" t="s">
        <v>5456</v>
      </c>
      <c r="H64" t="s">
        <v>2310</v>
      </c>
      <c r="I64" t="s">
        <v>3740</v>
      </c>
    </row>
    <row r="65" spans="1:9">
      <c r="A65" s="92" t="s">
        <v>3858</v>
      </c>
      <c r="B65" t="s">
        <v>1888</v>
      </c>
      <c r="C65" t="s">
        <v>2312</v>
      </c>
      <c r="D65" t="s">
        <v>2242</v>
      </c>
      <c r="E65" t="s">
        <v>108</v>
      </c>
      <c r="G65" t="s">
        <v>5459</v>
      </c>
      <c r="H65" t="s">
        <v>108</v>
      </c>
      <c r="I65" t="s">
        <v>3740</v>
      </c>
    </row>
    <row r="66" spans="1:9">
      <c r="A66" s="92" t="s">
        <v>3858</v>
      </c>
      <c r="B66" t="s">
        <v>1888</v>
      </c>
      <c r="C66" t="s">
        <v>2313</v>
      </c>
      <c r="D66" t="s">
        <v>2314</v>
      </c>
      <c r="E66" t="s">
        <v>2315</v>
      </c>
      <c r="F66" t="s">
        <v>2316</v>
      </c>
      <c r="G66" t="s">
        <v>5459</v>
      </c>
      <c r="H66" t="s">
        <v>2315</v>
      </c>
      <c r="I66" t="s">
        <v>3740</v>
      </c>
    </row>
    <row r="67" spans="1:9">
      <c r="A67" s="92" t="s">
        <v>3858</v>
      </c>
      <c r="B67" t="s">
        <v>1888</v>
      </c>
      <c r="C67" t="s">
        <v>2317</v>
      </c>
      <c r="E67" t="s">
        <v>108</v>
      </c>
      <c r="G67" t="s">
        <v>5459</v>
      </c>
      <c r="H67" t="s">
        <v>108</v>
      </c>
      <c r="I67" t="s">
        <v>3740</v>
      </c>
    </row>
    <row r="68" spans="1:9">
      <c r="A68" s="92" t="s">
        <v>3858</v>
      </c>
      <c r="B68" t="s">
        <v>1889</v>
      </c>
      <c r="C68" t="s">
        <v>2319</v>
      </c>
      <c r="D68" t="s">
        <v>2249</v>
      </c>
      <c r="E68" t="s">
        <v>108</v>
      </c>
      <c r="G68" t="s">
        <v>5459</v>
      </c>
      <c r="H68" t="s">
        <v>108</v>
      </c>
      <c r="I68" t="s">
        <v>3744</v>
      </c>
    </row>
    <row r="69" spans="1:9">
      <c r="A69" s="92" t="s">
        <v>3858</v>
      </c>
      <c r="B69" t="s">
        <v>1889</v>
      </c>
      <c r="C69" t="s">
        <v>2320</v>
      </c>
      <c r="D69" t="s">
        <v>2321</v>
      </c>
      <c r="E69" t="s">
        <v>108</v>
      </c>
      <c r="F69" t="s">
        <v>2322</v>
      </c>
      <c r="G69" t="s">
        <v>5459</v>
      </c>
      <c r="H69" t="s">
        <v>108</v>
      </c>
      <c r="I69" t="s">
        <v>3744</v>
      </c>
    </row>
    <row r="70" spans="1:9">
      <c r="A70" s="92" t="s">
        <v>3858</v>
      </c>
      <c r="B70" t="s">
        <v>1889</v>
      </c>
      <c r="C70" t="s">
        <v>2323</v>
      </c>
      <c r="D70" t="s">
        <v>2321</v>
      </c>
      <c r="E70" t="s">
        <v>108</v>
      </c>
      <c r="G70" t="s">
        <v>5459</v>
      </c>
      <c r="H70" t="s">
        <v>108</v>
      </c>
      <c r="I70" t="s">
        <v>3744</v>
      </c>
    </row>
    <row r="71" spans="1:9">
      <c r="A71" s="92" t="s">
        <v>3858</v>
      </c>
      <c r="B71" t="s">
        <v>1889</v>
      </c>
      <c r="C71" t="s">
        <v>2324</v>
      </c>
      <c r="D71" t="s">
        <v>2325</v>
      </c>
      <c r="E71" t="s">
        <v>108</v>
      </c>
      <c r="F71" t="s">
        <v>2326</v>
      </c>
      <c r="G71" t="s">
        <v>5459</v>
      </c>
      <c r="H71" t="s">
        <v>108</v>
      </c>
      <c r="I71" t="s">
        <v>3744</v>
      </c>
    </row>
    <row r="72" spans="1:9">
      <c r="A72" s="92" t="s">
        <v>3858</v>
      </c>
      <c r="B72" t="s">
        <v>3515</v>
      </c>
      <c r="C72" t="s">
        <v>2328</v>
      </c>
      <c r="D72" t="s">
        <v>2282</v>
      </c>
      <c r="E72" t="s">
        <v>108</v>
      </c>
      <c r="G72" t="s">
        <v>5459</v>
      </c>
      <c r="H72" t="s">
        <v>108</v>
      </c>
      <c r="I72" t="s">
        <v>3748</v>
      </c>
    </row>
    <row r="73" spans="1:9">
      <c r="A73" s="92" t="s">
        <v>3858</v>
      </c>
      <c r="B73" t="s">
        <v>3515</v>
      </c>
      <c r="C73" t="s">
        <v>2281</v>
      </c>
      <c r="D73" t="s">
        <v>2282</v>
      </c>
      <c r="E73" t="s">
        <v>2283</v>
      </c>
      <c r="G73" t="s">
        <v>5456</v>
      </c>
      <c r="H73" t="s">
        <v>2630</v>
      </c>
      <c r="I73" t="s">
        <v>3748</v>
      </c>
    </row>
    <row r="74" spans="1:9">
      <c r="A74" s="92" t="s">
        <v>3858</v>
      </c>
      <c r="B74" t="s">
        <v>3515</v>
      </c>
      <c r="C74" t="s">
        <v>2330</v>
      </c>
      <c r="D74" t="s">
        <v>2282</v>
      </c>
      <c r="E74" t="s">
        <v>2331</v>
      </c>
      <c r="F74" t="s">
        <v>2332</v>
      </c>
      <c r="G74" t="s">
        <v>5459</v>
      </c>
      <c r="H74" t="s">
        <v>108</v>
      </c>
      <c r="I74" t="s">
        <v>3748</v>
      </c>
    </row>
    <row r="75" spans="1:9">
      <c r="A75" s="92" t="s">
        <v>3858</v>
      </c>
      <c r="B75" t="s">
        <v>3515</v>
      </c>
      <c r="C75" t="s">
        <v>2333</v>
      </c>
      <c r="D75" t="s">
        <v>2282</v>
      </c>
      <c r="E75" t="s">
        <v>108</v>
      </c>
      <c r="G75" t="s">
        <v>5459</v>
      </c>
      <c r="H75" t="s">
        <v>108</v>
      </c>
      <c r="I75" t="s">
        <v>3748</v>
      </c>
    </row>
    <row r="76" spans="1:9">
      <c r="A76" s="92" t="s">
        <v>3858</v>
      </c>
      <c r="B76" t="s">
        <v>1895</v>
      </c>
      <c r="C76" t="s">
        <v>2335</v>
      </c>
      <c r="D76" t="s">
        <v>2336</v>
      </c>
      <c r="E76" t="s">
        <v>2337</v>
      </c>
      <c r="G76" t="s">
        <v>5459</v>
      </c>
      <c r="H76" t="s">
        <v>108</v>
      </c>
      <c r="I76" t="s">
        <v>3752</v>
      </c>
    </row>
    <row r="77" spans="1:9">
      <c r="A77" s="92" t="s">
        <v>3858</v>
      </c>
      <c r="B77" t="s">
        <v>1895</v>
      </c>
      <c r="C77" t="s">
        <v>2338</v>
      </c>
      <c r="D77" t="s">
        <v>2336</v>
      </c>
      <c r="E77" t="s">
        <v>2339</v>
      </c>
      <c r="G77" t="s">
        <v>5459</v>
      </c>
      <c r="H77" t="s">
        <v>108</v>
      </c>
      <c r="I77" t="s">
        <v>3752</v>
      </c>
    </row>
    <row r="78" spans="1:9">
      <c r="A78" s="92" t="s">
        <v>3858</v>
      </c>
      <c r="B78" t="s">
        <v>1895</v>
      </c>
      <c r="C78" t="s">
        <v>2340</v>
      </c>
      <c r="D78" t="s">
        <v>2341</v>
      </c>
      <c r="E78" t="s">
        <v>108</v>
      </c>
      <c r="F78" t="s">
        <v>2342</v>
      </c>
      <c r="G78" t="s">
        <v>5459</v>
      </c>
      <c r="H78" t="s">
        <v>108</v>
      </c>
      <c r="I78" t="s">
        <v>3752</v>
      </c>
    </row>
    <row r="79" spans="1:9">
      <c r="A79" s="92" t="s">
        <v>3858</v>
      </c>
      <c r="B79" t="s">
        <v>1895</v>
      </c>
      <c r="C79" t="s">
        <v>2343</v>
      </c>
      <c r="D79" t="s">
        <v>2341</v>
      </c>
      <c r="E79" t="s">
        <v>108</v>
      </c>
      <c r="G79" t="s">
        <v>5459</v>
      </c>
      <c r="H79" t="s">
        <v>108</v>
      </c>
      <c r="I79" t="s">
        <v>3752</v>
      </c>
    </row>
    <row r="80" spans="1:9">
      <c r="A80" s="92" t="s">
        <v>3858</v>
      </c>
      <c r="B80" t="s">
        <v>1897</v>
      </c>
      <c r="C80" t="s">
        <v>2345</v>
      </c>
      <c r="D80" t="s">
        <v>2346</v>
      </c>
      <c r="E80" t="s">
        <v>108</v>
      </c>
      <c r="F80" t="s">
        <v>2347</v>
      </c>
      <c r="G80" t="s">
        <v>5459</v>
      </c>
      <c r="H80" t="s">
        <v>108</v>
      </c>
      <c r="I80" t="s">
        <v>3756</v>
      </c>
    </row>
    <row r="81" spans="1:9">
      <c r="A81" s="92" t="s">
        <v>3858</v>
      </c>
      <c r="B81" t="s">
        <v>1897</v>
      </c>
      <c r="C81" t="s">
        <v>2248</v>
      </c>
      <c r="D81" t="s">
        <v>2249</v>
      </c>
      <c r="E81" t="s">
        <v>2250</v>
      </c>
      <c r="G81" t="s">
        <v>5459</v>
      </c>
      <c r="H81" t="s">
        <v>2526</v>
      </c>
      <c r="I81" t="s">
        <v>3756</v>
      </c>
    </row>
    <row r="82" spans="1:9">
      <c r="A82" s="92" t="s">
        <v>3858</v>
      </c>
      <c r="B82" t="s">
        <v>1897</v>
      </c>
      <c r="C82" t="s">
        <v>2253</v>
      </c>
      <c r="D82" t="s">
        <v>2249</v>
      </c>
      <c r="E82" t="s">
        <v>2254</v>
      </c>
      <c r="G82" t="s">
        <v>5459</v>
      </c>
      <c r="H82" t="s">
        <v>2526</v>
      </c>
      <c r="I82" t="s">
        <v>3756</v>
      </c>
    </row>
    <row r="83" spans="1:9">
      <c r="A83" s="92" t="s">
        <v>3858</v>
      </c>
      <c r="B83" t="s">
        <v>1897</v>
      </c>
      <c r="C83" t="s">
        <v>2255</v>
      </c>
      <c r="D83" t="s">
        <v>2249</v>
      </c>
      <c r="E83" t="s">
        <v>2254</v>
      </c>
      <c r="G83" t="s">
        <v>5459</v>
      </c>
      <c r="H83" t="s">
        <v>2526</v>
      </c>
      <c r="I83" t="s">
        <v>3756</v>
      </c>
    </row>
    <row r="84" spans="1:9">
      <c r="A84" s="92" t="s">
        <v>3858</v>
      </c>
      <c r="B84" t="s">
        <v>1897</v>
      </c>
      <c r="C84" t="s">
        <v>2256</v>
      </c>
      <c r="D84" t="s">
        <v>2257</v>
      </c>
      <c r="E84" t="s">
        <v>2254</v>
      </c>
      <c r="G84" t="s">
        <v>5459</v>
      </c>
      <c r="H84" t="s">
        <v>2526</v>
      </c>
      <c r="I84" t="s">
        <v>3756</v>
      </c>
    </row>
    <row r="85" spans="1:9">
      <c r="A85" s="92" t="s">
        <v>3858</v>
      </c>
      <c r="B85" t="s">
        <v>1897</v>
      </c>
      <c r="C85" t="s">
        <v>2258</v>
      </c>
      <c r="E85" t="s">
        <v>2254</v>
      </c>
      <c r="G85" t="s">
        <v>5459</v>
      </c>
      <c r="H85" t="s">
        <v>2526</v>
      </c>
      <c r="I85" t="s">
        <v>3756</v>
      </c>
    </row>
    <row r="86" spans="1:9">
      <c r="A86" s="92" t="s">
        <v>3858</v>
      </c>
      <c r="B86" t="s">
        <v>1897</v>
      </c>
      <c r="C86" t="s">
        <v>2259</v>
      </c>
      <c r="E86" t="s">
        <v>2254</v>
      </c>
      <c r="G86" t="s">
        <v>5459</v>
      </c>
      <c r="H86" t="s">
        <v>2526</v>
      </c>
      <c r="I86" t="s">
        <v>3756</v>
      </c>
    </row>
    <row r="87" spans="1:9">
      <c r="A87" s="92" t="s">
        <v>3858</v>
      </c>
      <c r="B87" t="s">
        <v>1897</v>
      </c>
      <c r="C87" t="s">
        <v>2260</v>
      </c>
      <c r="E87" t="s">
        <v>2254</v>
      </c>
      <c r="G87" t="s">
        <v>5459</v>
      </c>
      <c r="H87" t="s">
        <v>2526</v>
      </c>
      <c r="I87" t="s">
        <v>3756</v>
      </c>
    </row>
    <row r="88" spans="1:9">
      <c r="A88" s="92" t="s">
        <v>3858</v>
      </c>
      <c r="B88" t="s">
        <v>1899</v>
      </c>
      <c r="C88" t="s">
        <v>2350</v>
      </c>
      <c r="D88" t="s">
        <v>2351</v>
      </c>
      <c r="E88" t="s">
        <v>108</v>
      </c>
      <c r="G88" t="s">
        <v>5459</v>
      </c>
      <c r="H88" t="s">
        <v>108</v>
      </c>
      <c r="I88" t="s">
        <v>3758</v>
      </c>
    </row>
    <row r="89" spans="1:9">
      <c r="A89" s="92" t="s">
        <v>3858</v>
      </c>
      <c r="B89" t="s">
        <v>1899</v>
      </c>
      <c r="C89" t="s">
        <v>2352</v>
      </c>
      <c r="E89" t="s">
        <v>2337</v>
      </c>
      <c r="G89" t="s">
        <v>5459</v>
      </c>
      <c r="H89" t="s">
        <v>108</v>
      </c>
      <c r="I89" t="s">
        <v>3758</v>
      </c>
    </row>
    <row r="90" spans="1:9">
      <c r="A90" s="92" t="s">
        <v>3858</v>
      </c>
      <c r="B90" t="s">
        <v>1899</v>
      </c>
      <c r="C90" t="s">
        <v>2353</v>
      </c>
      <c r="D90" t="s">
        <v>2351</v>
      </c>
      <c r="E90" t="s">
        <v>2354</v>
      </c>
      <c r="F90" t="s">
        <v>2355</v>
      </c>
      <c r="G90" t="s">
        <v>5459</v>
      </c>
      <c r="H90" t="s">
        <v>108</v>
      </c>
      <c r="I90" t="s">
        <v>3758</v>
      </c>
    </row>
    <row r="91" spans="1:9">
      <c r="A91" s="92" t="s">
        <v>3858</v>
      </c>
      <c r="B91" t="s">
        <v>1899</v>
      </c>
      <c r="C91" t="s">
        <v>2356</v>
      </c>
      <c r="D91" t="s">
        <v>2351</v>
      </c>
      <c r="E91" t="s">
        <v>2315</v>
      </c>
      <c r="G91" t="s">
        <v>5459</v>
      </c>
      <c r="H91" t="s">
        <v>2315</v>
      </c>
      <c r="I91" t="s">
        <v>3758</v>
      </c>
    </row>
    <row r="92" spans="1:9">
      <c r="A92" s="92" t="s">
        <v>3858</v>
      </c>
      <c r="B92" t="s">
        <v>1899</v>
      </c>
      <c r="C92" t="s">
        <v>2357</v>
      </c>
      <c r="D92" t="s">
        <v>2358</v>
      </c>
      <c r="E92" t="s">
        <v>108</v>
      </c>
      <c r="G92" t="s">
        <v>5459</v>
      </c>
      <c r="H92" t="s">
        <v>108</v>
      </c>
      <c r="I92" t="s">
        <v>3758</v>
      </c>
    </row>
    <row r="93" spans="1:9">
      <c r="A93" s="92" t="s">
        <v>3858</v>
      </c>
      <c r="B93" t="s">
        <v>1902</v>
      </c>
      <c r="C93" t="s">
        <v>2363</v>
      </c>
      <c r="E93" t="s">
        <v>2315</v>
      </c>
      <c r="G93" t="s">
        <v>5459</v>
      </c>
      <c r="H93" t="s">
        <v>2315</v>
      </c>
      <c r="I93" t="s">
        <v>3760</v>
      </c>
    </row>
    <row r="94" spans="1:9">
      <c r="A94" s="92" t="s">
        <v>3858</v>
      </c>
      <c r="B94" t="s">
        <v>1902</v>
      </c>
      <c r="C94" t="s">
        <v>2294</v>
      </c>
      <c r="E94" t="s">
        <v>2295</v>
      </c>
      <c r="G94" t="s">
        <v>5459</v>
      </c>
      <c r="H94" t="s">
        <v>2315</v>
      </c>
      <c r="I94" t="s">
        <v>3760</v>
      </c>
    </row>
    <row r="95" spans="1:9">
      <c r="A95" s="92" t="s">
        <v>3858</v>
      </c>
      <c r="B95" t="s">
        <v>1902</v>
      </c>
      <c r="C95" t="s">
        <v>2364</v>
      </c>
      <c r="D95" t="s">
        <v>2351</v>
      </c>
      <c r="E95" t="s">
        <v>108</v>
      </c>
      <c r="G95" t="s">
        <v>5459</v>
      </c>
      <c r="H95" t="s">
        <v>108</v>
      </c>
      <c r="I95" t="s">
        <v>3760</v>
      </c>
    </row>
    <row r="96" spans="1:9">
      <c r="A96" s="92" t="s">
        <v>3858</v>
      </c>
      <c r="B96" t="s">
        <v>1902</v>
      </c>
      <c r="C96" t="s">
        <v>2365</v>
      </c>
      <c r="D96" t="s">
        <v>2351</v>
      </c>
      <c r="E96" t="s">
        <v>108</v>
      </c>
      <c r="G96" t="s">
        <v>5459</v>
      </c>
      <c r="H96" t="s">
        <v>108</v>
      </c>
      <c r="I96" t="s">
        <v>3760</v>
      </c>
    </row>
    <row r="97" spans="1:9">
      <c r="A97" s="92" t="s">
        <v>3858</v>
      </c>
      <c r="B97" t="s">
        <v>1902</v>
      </c>
      <c r="C97" t="s">
        <v>2366</v>
      </c>
      <c r="D97" t="s">
        <v>2257</v>
      </c>
      <c r="E97" t="s">
        <v>108</v>
      </c>
      <c r="G97" t="s">
        <v>5459</v>
      </c>
      <c r="H97" t="s">
        <v>108</v>
      </c>
      <c r="I97" t="s">
        <v>3760</v>
      </c>
    </row>
    <row r="98" spans="1:9">
      <c r="A98" s="92" t="s">
        <v>3858</v>
      </c>
      <c r="B98" t="s">
        <v>1902</v>
      </c>
      <c r="C98" t="s">
        <v>2367</v>
      </c>
      <c r="D98" t="s">
        <v>2368</v>
      </c>
      <c r="E98" t="s">
        <v>2315</v>
      </c>
      <c r="G98" t="s">
        <v>5459</v>
      </c>
      <c r="H98" t="s">
        <v>2315</v>
      </c>
      <c r="I98" t="s">
        <v>3760</v>
      </c>
    </row>
    <row r="99" spans="1:9">
      <c r="A99" s="92" t="s">
        <v>3858</v>
      </c>
      <c r="B99" t="s">
        <v>1902</v>
      </c>
      <c r="C99" t="s">
        <v>2369</v>
      </c>
      <c r="D99" t="s">
        <v>2368</v>
      </c>
      <c r="E99" t="s">
        <v>2315</v>
      </c>
      <c r="G99" t="s">
        <v>5459</v>
      </c>
      <c r="H99" t="s">
        <v>2315</v>
      </c>
      <c r="I99" t="s">
        <v>3760</v>
      </c>
    </row>
    <row r="100" spans="1:9">
      <c r="A100" s="92" t="s">
        <v>3858</v>
      </c>
      <c r="B100" t="s">
        <v>1902</v>
      </c>
      <c r="C100" t="s">
        <v>2370</v>
      </c>
      <c r="D100" t="s">
        <v>2368</v>
      </c>
      <c r="E100" t="s">
        <v>108</v>
      </c>
      <c r="F100" t="s">
        <v>2371</v>
      </c>
      <c r="G100" t="s">
        <v>5459</v>
      </c>
      <c r="H100" t="s">
        <v>108</v>
      </c>
      <c r="I100" t="s">
        <v>3760</v>
      </c>
    </row>
    <row r="101" spans="1:9">
      <c r="A101" s="92" t="s">
        <v>3858</v>
      </c>
      <c r="B101" t="s">
        <v>1903</v>
      </c>
      <c r="C101" t="s">
        <v>2373</v>
      </c>
      <c r="D101" t="s">
        <v>2374</v>
      </c>
      <c r="E101" t="s">
        <v>108</v>
      </c>
      <c r="G101" t="s">
        <v>5459</v>
      </c>
      <c r="H101" t="s">
        <v>108</v>
      </c>
      <c r="I101" t="s">
        <v>3764</v>
      </c>
    </row>
    <row r="102" spans="1:9">
      <c r="A102" s="92" t="s">
        <v>3858</v>
      </c>
      <c r="B102" t="s">
        <v>1903</v>
      </c>
      <c r="C102" t="s">
        <v>2375</v>
      </c>
      <c r="D102" t="s">
        <v>2376</v>
      </c>
      <c r="E102" t="s">
        <v>108</v>
      </c>
      <c r="G102" t="s">
        <v>5459</v>
      </c>
      <c r="H102" t="s">
        <v>108</v>
      </c>
      <c r="I102" t="s">
        <v>3764</v>
      </c>
    </row>
    <row r="103" spans="1:9">
      <c r="A103" s="92" t="s">
        <v>3858</v>
      </c>
      <c r="B103" t="s">
        <v>1903</v>
      </c>
      <c r="C103" t="s">
        <v>2377</v>
      </c>
      <c r="D103" t="s">
        <v>2376</v>
      </c>
      <c r="E103" t="s">
        <v>108</v>
      </c>
      <c r="G103" t="s">
        <v>5459</v>
      </c>
      <c r="H103" t="s">
        <v>108</v>
      </c>
      <c r="I103" t="s">
        <v>3764</v>
      </c>
    </row>
    <row r="104" spans="1:9">
      <c r="A104" s="92" t="s">
        <v>3858</v>
      </c>
      <c r="B104" t="s">
        <v>1905</v>
      </c>
      <c r="C104" t="s">
        <v>2379</v>
      </c>
      <c r="D104" t="s">
        <v>2263</v>
      </c>
      <c r="E104" t="s">
        <v>2315</v>
      </c>
      <c r="F104" t="s">
        <v>2380</v>
      </c>
      <c r="G104" t="s">
        <v>5459</v>
      </c>
      <c r="H104" t="s">
        <v>2315</v>
      </c>
      <c r="I104" t="s">
        <v>3768</v>
      </c>
    </row>
    <row r="105" spans="1:9">
      <c r="A105" s="92" t="s">
        <v>3858</v>
      </c>
      <c r="B105" t="s">
        <v>1905</v>
      </c>
      <c r="C105" t="s">
        <v>2381</v>
      </c>
      <c r="D105" t="s">
        <v>2301</v>
      </c>
      <c r="E105" t="s">
        <v>108</v>
      </c>
      <c r="F105" t="s">
        <v>2382</v>
      </c>
      <c r="G105" t="s">
        <v>5459</v>
      </c>
      <c r="H105" t="s">
        <v>108</v>
      </c>
      <c r="I105" t="s">
        <v>3768</v>
      </c>
    </row>
    <row r="106" spans="1:9">
      <c r="A106" s="92" t="s">
        <v>3858</v>
      </c>
      <c r="B106" t="s">
        <v>1905</v>
      </c>
      <c r="C106" t="s">
        <v>2383</v>
      </c>
      <c r="D106" t="s">
        <v>2298</v>
      </c>
      <c r="E106" t="s">
        <v>108</v>
      </c>
      <c r="F106" t="s">
        <v>2384</v>
      </c>
      <c r="G106" t="s">
        <v>5459</v>
      </c>
      <c r="H106" t="s">
        <v>108</v>
      </c>
      <c r="I106" t="s">
        <v>3768</v>
      </c>
    </row>
    <row r="107" spans="1:9">
      <c r="A107" s="92" t="s">
        <v>3858</v>
      </c>
      <c r="B107" t="s">
        <v>1905</v>
      </c>
      <c r="C107" t="s">
        <v>2385</v>
      </c>
      <c r="D107" t="s">
        <v>2386</v>
      </c>
      <c r="E107" t="s">
        <v>108</v>
      </c>
      <c r="F107" t="s">
        <v>2387</v>
      </c>
      <c r="G107" t="s">
        <v>5459</v>
      </c>
      <c r="H107" t="s">
        <v>108</v>
      </c>
      <c r="I107" t="s">
        <v>3768</v>
      </c>
    </row>
    <row r="108" spans="1:9">
      <c r="A108" s="92" t="s">
        <v>3858</v>
      </c>
      <c r="B108" t="s">
        <v>1910</v>
      </c>
      <c r="C108" t="s">
        <v>2389</v>
      </c>
      <c r="D108" t="s">
        <v>2301</v>
      </c>
      <c r="E108" t="s">
        <v>108</v>
      </c>
      <c r="F108" t="s">
        <v>2390</v>
      </c>
      <c r="G108" t="s">
        <v>5459</v>
      </c>
      <c r="H108" t="s">
        <v>108</v>
      </c>
      <c r="I108" t="s">
        <v>3772</v>
      </c>
    </row>
    <row r="109" spans="1:9">
      <c r="A109" s="92" t="s">
        <v>3858</v>
      </c>
      <c r="B109" t="s">
        <v>1910</v>
      </c>
      <c r="C109" t="s">
        <v>2391</v>
      </c>
      <c r="D109" t="s">
        <v>2392</v>
      </c>
      <c r="E109" t="s">
        <v>108</v>
      </c>
      <c r="F109" t="s">
        <v>2393</v>
      </c>
      <c r="G109" t="s">
        <v>5459</v>
      </c>
      <c r="H109" t="s">
        <v>108</v>
      </c>
      <c r="I109" t="s">
        <v>3772</v>
      </c>
    </row>
    <row r="110" spans="1:9">
      <c r="A110" s="92" t="s">
        <v>3858</v>
      </c>
      <c r="B110" t="s">
        <v>1910</v>
      </c>
      <c r="C110" t="s">
        <v>2394</v>
      </c>
      <c r="D110" t="s">
        <v>2395</v>
      </c>
      <c r="E110" t="s">
        <v>108</v>
      </c>
      <c r="F110" t="s">
        <v>2396</v>
      </c>
      <c r="G110" t="s">
        <v>5459</v>
      </c>
      <c r="H110" t="s">
        <v>108</v>
      </c>
      <c r="I110" t="s">
        <v>3772</v>
      </c>
    </row>
    <row r="111" spans="1:9">
      <c r="A111" s="92" t="s">
        <v>3858</v>
      </c>
      <c r="B111" t="s">
        <v>1910</v>
      </c>
      <c r="C111" t="s">
        <v>2397</v>
      </c>
      <c r="D111" t="s">
        <v>2398</v>
      </c>
      <c r="E111" t="s">
        <v>2315</v>
      </c>
      <c r="G111" t="s">
        <v>5459</v>
      </c>
      <c r="H111" t="s">
        <v>2315</v>
      </c>
      <c r="I111" t="s">
        <v>3772</v>
      </c>
    </row>
    <row r="112" spans="1:9">
      <c r="A112" s="92" t="s">
        <v>3858</v>
      </c>
      <c r="B112" t="s">
        <v>1910</v>
      </c>
      <c r="C112" t="s">
        <v>2399</v>
      </c>
      <c r="D112" t="s">
        <v>2398</v>
      </c>
      <c r="E112" t="s">
        <v>2400</v>
      </c>
      <c r="G112" t="s">
        <v>5459</v>
      </c>
      <c r="H112" t="s">
        <v>108</v>
      </c>
      <c r="I112" t="s">
        <v>3772</v>
      </c>
    </row>
    <row r="113" spans="1:9">
      <c r="A113" s="92" t="s">
        <v>3858</v>
      </c>
      <c r="B113" t="s">
        <v>1912</v>
      </c>
      <c r="C113" t="s">
        <v>2402</v>
      </c>
      <c r="D113" t="s">
        <v>2403</v>
      </c>
      <c r="E113" t="s">
        <v>108</v>
      </c>
      <c r="G113" t="s">
        <v>5459</v>
      </c>
      <c r="H113" t="s">
        <v>108</v>
      </c>
      <c r="I113" t="s">
        <v>3776</v>
      </c>
    </row>
    <row r="114" spans="1:9">
      <c r="A114" s="92" t="s">
        <v>3858</v>
      </c>
      <c r="B114" t="s">
        <v>1912</v>
      </c>
      <c r="C114" t="s">
        <v>2404</v>
      </c>
      <c r="D114" t="s">
        <v>2403</v>
      </c>
      <c r="E114" t="s">
        <v>2315</v>
      </c>
      <c r="F114" t="s">
        <v>2405</v>
      </c>
      <c r="G114" t="s">
        <v>5459</v>
      </c>
      <c r="H114" t="s">
        <v>2315</v>
      </c>
      <c r="I114" t="s">
        <v>3776</v>
      </c>
    </row>
    <row r="115" spans="1:9">
      <c r="A115" s="92" t="s">
        <v>3858</v>
      </c>
      <c r="B115" t="s">
        <v>1912</v>
      </c>
      <c r="C115" t="s">
        <v>2406</v>
      </c>
      <c r="D115" t="s">
        <v>2407</v>
      </c>
      <c r="E115" t="s">
        <v>2408</v>
      </c>
      <c r="F115" t="s">
        <v>2410</v>
      </c>
      <c r="G115" t="s">
        <v>5460</v>
      </c>
      <c r="H115" t="s">
        <v>2631</v>
      </c>
      <c r="I115" t="s">
        <v>3776</v>
      </c>
    </row>
    <row r="116" spans="1:9">
      <c r="A116" s="92" t="s">
        <v>3858</v>
      </c>
      <c r="B116" t="s">
        <v>1912</v>
      </c>
      <c r="C116" t="s">
        <v>2411</v>
      </c>
      <c r="D116" t="s">
        <v>2407</v>
      </c>
      <c r="E116" t="s">
        <v>2331</v>
      </c>
      <c r="F116" t="s">
        <v>2412</v>
      </c>
      <c r="G116" t="s">
        <v>5459</v>
      </c>
      <c r="H116" t="s">
        <v>108</v>
      </c>
      <c r="I116" t="s">
        <v>3776</v>
      </c>
    </row>
    <row r="117" spans="1:9">
      <c r="A117" s="92" t="s">
        <v>3858</v>
      </c>
      <c r="B117" t="s">
        <v>1912</v>
      </c>
      <c r="C117" t="s">
        <v>2413</v>
      </c>
      <c r="D117" t="s">
        <v>2403</v>
      </c>
      <c r="E117" t="s">
        <v>2414</v>
      </c>
      <c r="G117" t="s">
        <v>5459</v>
      </c>
      <c r="H117" t="s">
        <v>108</v>
      </c>
      <c r="I117" t="s">
        <v>3776</v>
      </c>
    </row>
    <row r="118" spans="1:9">
      <c r="A118" s="92" t="s">
        <v>3858</v>
      </c>
      <c r="B118" t="s">
        <v>1912</v>
      </c>
      <c r="C118" t="s">
        <v>2415</v>
      </c>
      <c r="D118" t="s">
        <v>2403</v>
      </c>
      <c r="E118" t="s">
        <v>2416</v>
      </c>
      <c r="F118" t="s">
        <v>2417</v>
      </c>
      <c r="G118" t="s">
        <v>5459</v>
      </c>
      <c r="H118" t="s">
        <v>108</v>
      </c>
      <c r="I118" t="s">
        <v>3776</v>
      </c>
    </row>
    <row r="119" spans="1:9">
      <c r="A119" s="92" t="s">
        <v>3858</v>
      </c>
      <c r="B119" t="s">
        <v>1914</v>
      </c>
      <c r="C119" t="s">
        <v>2419</v>
      </c>
      <c r="D119" t="s">
        <v>2287</v>
      </c>
      <c r="E119" t="s">
        <v>2420</v>
      </c>
      <c r="F119" t="s">
        <v>2421</v>
      </c>
      <c r="G119" t="s">
        <v>5459</v>
      </c>
      <c r="H119" t="s">
        <v>108</v>
      </c>
      <c r="I119" t="s">
        <v>3780</v>
      </c>
    </row>
    <row r="120" spans="1:9">
      <c r="A120" s="92" t="s">
        <v>3858</v>
      </c>
      <c r="B120" t="s">
        <v>1914</v>
      </c>
      <c r="C120" t="s">
        <v>2422</v>
      </c>
      <c r="D120" t="s">
        <v>2423</v>
      </c>
      <c r="E120" t="s">
        <v>2424</v>
      </c>
      <c r="F120" t="s">
        <v>2425</v>
      </c>
      <c r="G120" t="s">
        <v>5459</v>
      </c>
      <c r="H120" t="s">
        <v>108</v>
      </c>
      <c r="I120" t="s">
        <v>3780</v>
      </c>
    </row>
    <row r="121" spans="1:9">
      <c r="A121" s="92" t="s">
        <v>3858</v>
      </c>
      <c r="B121" t="s">
        <v>1914</v>
      </c>
      <c r="C121" t="s">
        <v>2274</v>
      </c>
      <c r="E121" t="s">
        <v>2254</v>
      </c>
      <c r="G121" t="s">
        <v>5459</v>
      </c>
      <c r="H121" t="s">
        <v>2526</v>
      </c>
      <c r="I121" t="s">
        <v>3780</v>
      </c>
    </row>
    <row r="122" spans="1:9">
      <c r="A122" s="92" t="s">
        <v>3858</v>
      </c>
      <c r="B122" t="s">
        <v>1914</v>
      </c>
      <c r="C122" t="s">
        <v>2426</v>
      </c>
      <c r="D122" t="s">
        <v>2272</v>
      </c>
      <c r="E122" t="s">
        <v>2427</v>
      </c>
      <c r="F122" t="s">
        <v>2428</v>
      </c>
      <c r="G122" t="s">
        <v>5459</v>
      </c>
      <c r="H122" t="s">
        <v>2427</v>
      </c>
      <c r="I122" t="s">
        <v>3780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5461</v>
      </c>
    </row>
    <row r="3" spans="1:13">
      <c r="A3" s="320" t="s">
        <v>5462</v>
      </c>
      <c r="B3" s="175"/>
    </row>
    <row r="4" spans="1:13">
      <c r="A4" t="s">
        <v>5463</v>
      </c>
      <c r="B4" s="321">
        <v>1150</v>
      </c>
    </row>
    <row r="5" spans="1:13">
      <c r="A5" t="s">
        <v>5464</v>
      </c>
      <c r="B5" s="322">
        <v>0.3</v>
      </c>
    </row>
    <row r="6" spans="1:13">
      <c r="A6" t="s">
        <v>5465</v>
      </c>
      <c r="B6" s="323">
        <f>B4*B5</f>
        <v>345</v>
      </c>
    </row>
    <row r="7" spans="1:13">
      <c r="A7" t="s">
        <v>5466</v>
      </c>
      <c r="B7" s="324">
        <v>0.3</v>
      </c>
    </row>
    <row r="8" spans="1:13">
      <c r="A8" t="s">
        <v>5467</v>
      </c>
      <c r="B8" s="322">
        <v>0.5</v>
      </c>
    </row>
    <row r="9" spans="1:13">
      <c r="D9" s="336" t="s">
        <v>5468</v>
      </c>
    </row>
    <row r="10" spans="1:13" ht="29.1">
      <c r="A10" s="325" t="s">
        <v>4275</v>
      </c>
      <c r="B10" s="325" t="s">
        <v>4320</v>
      </c>
      <c r="C10" s="325" t="s">
        <v>5469</v>
      </c>
      <c r="D10" s="325" t="s">
        <v>5470</v>
      </c>
      <c r="E10" s="325" t="s">
        <v>5471</v>
      </c>
      <c r="F10" s="325" t="s">
        <v>5472</v>
      </c>
      <c r="G10" s="325" t="s">
        <v>4319</v>
      </c>
      <c r="H10" s="325" t="s">
        <v>4321</v>
      </c>
      <c r="I10" s="325" t="s">
        <v>5473</v>
      </c>
      <c r="J10" s="325" t="s">
        <v>5474</v>
      </c>
      <c r="K10" s="325" t="s">
        <v>5475</v>
      </c>
      <c r="L10" s="325" t="s">
        <v>5476</v>
      </c>
      <c r="M10" s="325" t="s">
        <v>5477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2026-08-11T11:37:17Z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
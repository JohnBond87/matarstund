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14" documentId="8_{9058C769-37DB-4D75-B77A-5C1D47EA4B73}" xr6:coauthVersionLast="47" xr6:coauthVersionMax="47" xr10:uidLastSave="{715EA16A-395A-4E5F-A8EA-5D712EF9708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5" i="2" l="1"/>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O1039" i="2"/>
  <c r="G1040" i="2"/>
  <c r="H1040" i="2"/>
  <c r="I1040" i="2"/>
  <c r="J1040" i="2"/>
  <c r="K1040" i="2"/>
  <c r="L1040" i="2"/>
  <c r="M1040" i="2"/>
  <c r="N1040" i="2"/>
  <c r="O1040" i="2"/>
  <c r="G1041" i="2"/>
  <c r="H1041" i="2"/>
  <c r="I1041" i="2"/>
  <c r="J1041" i="2"/>
  <c r="K1041" i="2"/>
  <c r="L1041" i="2"/>
  <c r="M1041" i="2"/>
  <c r="N1041" i="2"/>
  <c r="O1041" i="2"/>
  <c r="G1042" i="2"/>
  <c r="H1042" i="2"/>
  <c r="I1042" i="2"/>
  <c r="J1042" i="2"/>
  <c r="K1042" i="2"/>
  <c r="L1042" i="2"/>
  <c r="M1042" i="2"/>
  <c r="N1042" i="2"/>
  <c r="O1042"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508" i="2"/>
  <c r="H508" i="2"/>
  <c r="I508" i="2"/>
  <c r="J508" i="2"/>
  <c r="K508" i="2"/>
  <c r="L508" i="2"/>
  <c r="M508" i="2"/>
  <c r="N508" i="2"/>
  <c r="O508"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2" i="2"/>
  <c r="N282" i="2"/>
  <c r="M282" i="2"/>
  <c r="L282" i="2"/>
  <c r="K282" i="2"/>
  <c r="J282" i="2"/>
  <c r="I282" i="2"/>
  <c r="H282" i="2"/>
  <c r="G282" i="2"/>
  <c r="O281" i="2"/>
  <c r="N281" i="2"/>
  <c r="N280" i="2" s="1"/>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N274" i="2" s="1"/>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N270" i="2" s="1"/>
  <c r="M271" i="2"/>
  <c r="L271" i="2"/>
  <c r="K271" i="2"/>
  <c r="J271" i="2"/>
  <c r="I271" i="2"/>
  <c r="H271" i="2"/>
  <c r="G271" i="2"/>
  <c r="O270" i="2"/>
  <c r="O269" i="2"/>
  <c r="N269" i="2"/>
  <c r="M269" i="2"/>
  <c r="L269" i="2"/>
  <c r="K269" i="2"/>
  <c r="J269" i="2"/>
  <c r="I269" i="2"/>
  <c r="H269" i="2"/>
  <c r="G269" i="2"/>
  <c r="O268" i="2"/>
  <c r="N268" i="2"/>
  <c r="M268" i="2"/>
  <c r="L268" i="2"/>
  <c r="K268" i="2"/>
  <c r="J268" i="2"/>
  <c r="I268" i="2"/>
  <c r="H268" i="2"/>
  <c r="G268" i="2"/>
  <c r="O267" i="2"/>
  <c r="N267" i="2"/>
  <c r="N266" i="2" s="1"/>
  <c r="M267" i="2"/>
  <c r="L267" i="2"/>
  <c r="K267" i="2"/>
  <c r="J267" i="2"/>
  <c r="I267" i="2"/>
  <c r="H267" i="2"/>
  <c r="G267" i="2"/>
  <c r="O266" i="2"/>
  <c r="O265" i="2"/>
  <c r="N265" i="2"/>
  <c r="N264" i="2" s="1"/>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N260" i="2" s="1"/>
  <c r="M261" i="2"/>
  <c r="L261" i="2"/>
  <c r="K261" i="2"/>
  <c r="J261" i="2"/>
  <c r="I261" i="2"/>
  <c r="H261" i="2"/>
  <c r="G261" i="2"/>
  <c r="O260" i="2"/>
  <c r="O259" i="2"/>
  <c r="N259" i="2"/>
  <c r="N258" i="2" s="1"/>
  <c r="M259" i="2"/>
  <c r="L259" i="2"/>
  <c r="K259" i="2"/>
  <c r="J259" i="2"/>
  <c r="I259" i="2"/>
  <c r="H259" i="2"/>
  <c r="G259" i="2"/>
  <c r="O258" i="2"/>
  <c r="O257" i="2"/>
  <c r="N257" i="2"/>
  <c r="M257" i="2"/>
  <c r="L257" i="2"/>
  <c r="K257" i="2"/>
  <c r="J257" i="2"/>
  <c r="I257" i="2"/>
  <c r="H257" i="2"/>
  <c r="G257" i="2"/>
  <c r="O256" i="2"/>
  <c r="N256" i="2"/>
  <c r="M256" i="2"/>
  <c r="L256" i="2"/>
  <c r="K256" i="2"/>
  <c r="J256" i="2"/>
  <c r="I256" i="2"/>
  <c r="H256" i="2"/>
  <c r="G256" i="2"/>
  <c r="O255" i="2"/>
  <c r="N255" i="2"/>
  <c r="N254" i="2" s="1"/>
  <c r="M255" i="2"/>
  <c r="L255" i="2"/>
  <c r="K255" i="2"/>
  <c r="J255" i="2"/>
  <c r="I255" i="2"/>
  <c r="H255" i="2"/>
  <c r="G255" i="2"/>
  <c r="O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N244" i="2" s="1"/>
  <c r="M245" i="2"/>
  <c r="L245" i="2"/>
  <c r="K245" i="2"/>
  <c r="J245" i="2"/>
  <c r="I245" i="2"/>
  <c r="H245" i="2"/>
  <c r="G245" i="2"/>
  <c r="O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N226" i="2" s="1"/>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N214" i="2" s="1"/>
  <c r="M215" i="2"/>
  <c r="L215" i="2"/>
  <c r="K215" i="2"/>
  <c r="J215" i="2"/>
  <c r="I215" i="2"/>
  <c r="H215" i="2"/>
  <c r="G215" i="2"/>
  <c r="O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N183" i="2" s="1"/>
  <c r="M184" i="2"/>
  <c r="L184" i="2"/>
  <c r="K184" i="2"/>
  <c r="J184" i="2"/>
  <c r="I184" i="2"/>
  <c r="H184" i="2"/>
  <c r="G184" i="2"/>
  <c r="O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N171" i="2" s="1"/>
  <c r="M172" i="2"/>
  <c r="L172" i="2"/>
  <c r="K172" i="2"/>
  <c r="J172" i="2"/>
  <c r="I172" i="2"/>
  <c r="H172" i="2"/>
  <c r="G172" i="2"/>
  <c r="O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N162" i="2" s="1"/>
  <c r="M163" i="2"/>
  <c r="L163" i="2"/>
  <c r="K163" i="2"/>
  <c r="J163" i="2"/>
  <c r="I163" i="2"/>
  <c r="H163" i="2"/>
  <c r="G163" i="2"/>
  <c r="O162" i="2"/>
  <c r="O161" i="2"/>
  <c r="O160" i="2"/>
  <c r="O159" i="2"/>
  <c r="O158" i="2"/>
  <c r="O157" i="2"/>
  <c r="O156" i="2"/>
  <c r="O155" i="2"/>
  <c r="O154" i="2"/>
  <c r="O153" i="2"/>
  <c r="O152" i="2"/>
  <c r="O151" i="2"/>
  <c r="O150" i="2"/>
  <c r="O149"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3" i="2" l="1"/>
  <c r="N681" i="2"/>
  <c r="N1005" i="2"/>
  <c r="N1018" i="2"/>
  <c r="N1030" i="2"/>
  <c r="N1039" i="2"/>
  <c r="N933" i="2"/>
  <c r="N896" i="2"/>
  <c r="N909" i="2"/>
  <c r="N923" i="2"/>
  <c r="N690" i="2"/>
  <c r="N698" i="2"/>
  <c r="N707" i="2"/>
  <c r="N716" i="2"/>
  <c r="N725" i="2"/>
  <c r="N519" i="2"/>
  <c r="N528" i="2"/>
  <c r="N536" i="2"/>
  <c r="N545" i="2"/>
  <c r="N554" i="2"/>
  <c r="N562" i="2"/>
  <c r="N569" i="2"/>
  <c r="N500" i="2"/>
  <c r="N380" i="2"/>
  <c r="N389" i="2"/>
  <c r="N398" i="2"/>
  <c r="N314" i="2"/>
  <c r="N991" i="2"/>
  <c r="N846" i="2"/>
  <c r="N781" i="2"/>
  <c r="N821" i="2"/>
  <c r="N831" i="2"/>
  <c r="N741" i="2"/>
  <c r="N596" i="2"/>
  <c r="N509" i="2"/>
  <c r="N414" i="2"/>
  <c r="N444" i="2"/>
  <c r="N291" i="2"/>
  <c r="N299" i="2"/>
  <c r="N322" i="2"/>
  <c r="N353" i="2"/>
  <c r="N999" i="2"/>
  <c r="N839" i="2"/>
  <c r="N761" i="2"/>
  <c r="N800" i="2"/>
  <c r="N604" i="2"/>
  <c r="N629" i="2"/>
  <c r="N457" i="2"/>
  <c r="N330" i="2"/>
  <c r="N945" i="2"/>
  <c r="N975" i="2"/>
  <c r="N982" i="2"/>
  <c r="N578" i="2"/>
  <c r="N372" i="2"/>
  <c r="N877" i="2"/>
  <c r="N771" i="2"/>
  <c r="N664" i="2"/>
  <c r="N620" i="2"/>
  <c r="N637" i="2"/>
  <c r="N406" i="2"/>
  <c r="N359" i="2"/>
  <c r="N851" i="2"/>
  <c r="N791" i="2"/>
  <c r="N812" i="2"/>
  <c r="N339" i="2"/>
  <c r="N347" i="2"/>
  <c r="N954" i="2"/>
  <c r="N963" i="2"/>
  <c r="N859" i="2"/>
  <c r="N868" i="2"/>
  <c r="N733" i="2"/>
  <c r="N612" i="2"/>
  <c r="N423" i="2"/>
  <c r="N483" i="2"/>
  <c r="N283" i="2"/>
  <c r="N673" i="2"/>
  <c r="N587" i="2"/>
  <c r="N646" i="2"/>
  <c r="N655" i="2"/>
  <c r="N431" i="2"/>
  <c r="N474" i="2"/>
  <c r="N368" i="2"/>
  <c r="N197" i="2"/>
</calcChain>
</file>

<file path=xl/sharedStrings.xml><?xml version="1.0" encoding="utf-8"?>
<sst xmlns="http://schemas.openxmlformats.org/spreadsheetml/2006/main" count="62958" uniqueCount="4115">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</sst>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2"/>
  <sheetViews>
    <sheetView tabSelected="1" zoomScaleNormal="100" workbookViewId="0">
      <pane xSplit="1" ySplit="2" topLeftCell="B131" activePane="bottomRight" state="frozen"/>
      <selection pane="bottomRight" activeCell="A145" sqref="A145:XFD14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2000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c r="C145" s="28"/>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6"/>
      <c r="B149" s="6" t="s">
        <v>298</v>
      </c>
      <c r="C149" s="28">
        <v>150</v>
      </c>
      <c r="D149" s="23" t="s">
        <v>302</v>
      </c>
      <c r="E149" s="23" t="s">
        <v>134</v>
      </c>
      <c r="F149" s="23" t="s">
        <v>303</v>
      </c>
      <c r="G149" s="24">
        <v>0</v>
      </c>
      <c r="H149" s="24">
        <v>0</v>
      </c>
      <c r="I149" s="24">
        <v>0</v>
      </c>
      <c r="J149" s="24">
        <v>0</v>
      </c>
      <c r="K149" s="24">
        <v>0</v>
      </c>
      <c r="L149" s="24">
        <v>0</v>
      </c>
      <c r="M149" s="24">
        <v>100</v>
      </c>
      <c r="N149" s="24"/>
      <c r="O149" s="25">
        <f>IF(OR(B149="",C149=""),"",IFERROR(C149/1000*IFERROR(INDEX(Vöruskrá!R:R,MATCH(B149,Vöruskrá!B:B,0)),0)/1000,""))</f>
        <v>0</v>
      </c>
      <c r="P149" s="6"/>
      <c r="Q149" s="28"/>
      <c r="R149" s="6"/>
    </row>
    <row r="150" spans="1:18" ht="15">
      <c r="A150" s="21"/>
      <c r="B150" s="21" t="s">
        <v>818</v>
      </c>
      <c r="C150" s="22">
        <v>50</v>
      </c>
      <c r="D150" s="23" t="s">
        <v>820</v>
      </c>
      <c r="E150" s="23"/>
      <c r="F150" s="23" t="s">
        <v>311</v>
      </c>
      <c r="G150" s="24">
        <v>386</v>
      </c>
      <c r="H150" s="24">
        <v>3.3</v>
      </c>
      <c r="I150" s="24">
        <v>1</v>
      </c>
      <c r="J150" s="24">
        <v>65</v>
      </c>
      <c r="K150" s="24">
        <v>0.6</v>
      </c>
      <c r="L150" s="24">
        <v>11</v>
      </c>
      <c r="M150" s="24">
        <v>0.1</v>
      </c>
      <c r="N150" s="24"/>
      <c r="O150" s="25">
        <f>IF(OR(B150="",C150=""),"",IFERROR(C150/1000*IFERROR(INDEX(Vöruskrá!R:R,MATCH(B150,Vöruskrá!B:B,0)),0)/1000,""))</f>
        <v>0</v>
      </c>
      <c r="P150" s="21"/>
      <c r="Q150" s="26"/>
      <c r="R150" s="27"/>
    </row>
    <row r="151" spans="1:18" ht="15">
      <c r="A151" s="6"/>
      <c r="B151" s="6" t="s">
        <v>1020</v>
      </c>
      <c r="C151" s="28">
        <v>5000</v>
      </c>
      <c r="D151" s="23" t="s">
        <v>1020</v>
      </c>
      <c r="E151" s="23" t="s">
        <v>134</v>
      </c>
      <c r="F151" s="23"/>
      <c r="G151" s="24">
        <v>0</v>
      </c>
      <c r="H151" s="24">
        <v>0</v>
      </c>
      <c r="I151" s="24">
        <v>0</v>
      </c>
      <c r="J151" s="24">
        <v>0</v>
      </c>
      <c r="K151" s="24">
        <v>0</v>
      </c>
      <c r="L151" s="24">
        <v>0</v>
      </c>
      <c r="M151" s="24">
        <v>0</v>
      </c>
      <c r="N151" s="24">
        <v>0</v>
      </c>
      <c r="O151" s="25">
        <f>IF(OR(B151="",C151=""),"",IFERROR(C151/1000*IFERROR(INDEX(Vöruskrá!R:R,MATCH(B151,Vöruskrá!B:B,0)),0)/1000,""))</f>
        <v>0</v>
      </c>
      <c r="P151" s="6"/>
      <c r="Q151" s="28"/>
      <c r="R151" s="6"/>
    </row>
    <row r="152" spans="1:18" ht="48">
      <c r="A152" s="29" t="s">
        <v>1581</v>
      </c>
      <c r="B152" s="29"/>
      <c r="C152" s="30"/>
      <c r="D152" s="16" t="s">
        <v>1582</v>
      </c>
      <c r="E152" s="16" t="s">
        <v>537</v>
      </c>
      <c r="F152" s="16"/>
      <c r="G152" s="17">
        <v>197.08</v>
      </c>
      <c r="H152" s="17">
        <v>4.34</v>
      </c>
      <c r="I152" s="17">
        <v>2.52</v>
      </c>
      <c r="J152" s="17">
        <v>32.85</v>
      </c>
      <c r="K152" s="17"/>
      <c r="L152" s="17">
        <v>4.8</v>
      </c>
      <c r="M152" s="17">
        <v>1.03</v>
      </c>
      <c r="N152" s="17">
        <v>3.15</v>
      </c>
      <c r="O152" s="18" t="str">
        <f>IF(OR(B152="",C152=""),"",IFERROR(C152/1000*IFERROR(INDEX(Vöruskrá!R:R,MATCH(B152,Vöruskrá!B:B,0)),0)/1000,""))</f>
        <v/>
      </c>
      <c r="P152" s="29" t="s">
        <v>1583</v>
      </c>
      <c r="Q152" s="31" t="s">
        <v>1584</v>
      </c>
      <c r="R152" s="32" t="s">
        <v>1585</v>
      </c>
    </row>
    <row r="153" spans="1:18" ht="24">
      <c r="A153" s="6"/>
      <c r="B153" s="6" t="s">
        <v>952</v>
      </c>
      <c r="C153" s="28">
        <v>25000</v>
      </c>
      <c r="D153" s="23" t="s">
        <v>954</v>
      </c>
      <c r="E153" s="23" t="s">
        <v>537</v>
      </c>
      <c r="F153" s="23" t="s">
        <v>570</v>
      </c>
      <c r="G153" s="24">
        <v>215</v>
      </c>
      <c r="H153" s="24">
        <v>2</v>
      </c>
      <c r="I153" s="24">
        <v>0.3</v>
      </c>
      <c r="J153" s="24">
        <v>36.9</v>
      </c>
      <c r="K153" s="24">
        <v>1.4</v>
      </c>
      <c r="L153" s="24">
        <v>8.4</v>
      </c>
      <c r="M153" s="24">
        <v>0.9</v>
      </c>
      <c r="N153" s="24">
        <v>7.7</v>
      </c>
      <c r="O153" s="25">
        <f>IF(OR(B153="",C153=""),"",IFERROR(C153/1000*IFERROR(INDEX(Vöruskrá!R:R,MATCH(B153,Vöruskrá!B:B,0)),0)/1000,""))</f>
        <v>0</v>
      </c>
      <c r="P153" s="6"/>
      <c r="Q153" s="28"/>
      <c r="R153" s="6"/>
    </row>
    <row r="154" spans="1:18" ht="15">
      <c r="A154" s="21"/>
      <c r="B154" s="21" t="s">
        <v>340</v>
      </c>
      <c r="C154" s="22">
        <v>18000</v>
      </c>
      <c r="D154" s="23" t="s">
        <v>344</v>
      </c>
      <c r="E154" s="23" t="s">
        <v>134</v>
      </c>
      <c r="F154" s="23"/>
      <c r="G154" s="24"/>
      <c r="H154" s="24"/>
      <c r="I154" s="24"/>
      <c r="J154" s="24"/>
      <c r="K154" s="24"/>
      <c r="L154" s="24"/>
      <c r="M154" s="24"/>
      <c r="N154" s="24"/>
      <c r="O154" s="25">
        <f>IF(OR(B154="",C154=""),"",IFERROR(C154/1000*IFERROR(INDEX(Vöruskrá!R:R,MATCH(B154,Vöruskrá!B:B,0)),0)/1000,""))</f>
        <v>0</v>
      </c>
      <c r="P154" s="21"/>
      <c r="Q154" s="26"/>
      <c r="R154" s="27" t="s">
        <v>1535</v>
      </c>
    </row>
    <row r="155" spans="1:18" ht="15">
      <c r="A155" s="6"/>
      <c r="B155" s="6" t="s">
        <v>564</v>
      </c>
      <c r="C155" s="28">
        <v>8000</v>
      </c>
      <c r="D155" s="23" t="s">
        <v>565</v>
      </c>
      <c r="E155" s="23" t="s">
        <v>134</v>
      </c>
      <c r="F155" s="23"/>
      <c r="G155" s="24">
        <v>114</v>
      </c>
      <c r="H155" s="24">
        <v>8.6</v>
      </c>
      <c r="I155" s="24">
        <v>1.1000000000000001</v>
      </c>
      <c r="J155" s="24">
        <v>6.9</v>
      </c>
      <c r="K155" s="24">
        <v>3.9</v>
      </c>
      <c r="L155" s="24">
        <v>1.2</v>
      </c>
      <c r="M155" s="24">
        <v>0</v>
      </c>
      <c r="N155" s="24">
        <v>1.9</v>
      </c>
      <c r="O155" s="25">
        <f>IF(OR(B155="",C155=""),"",IFERROR(C155/1000*IFERROR(INDEX(Vöruskrá!R:R,MATCH(B155,Vöruskrá!B:B,0)),0)/1000,""))</f>
        <v>0</v>
      </c>
      <c r="P155" s="6"/>
      <c r="Q155" s="28"/>
      <c r="R155" s="6"/>
    </row>
    <row r="156" spans="1:18" ht="15">
      <c r="A156" s="21"/>
      <c r="B156" s="21" t="s">
        <v>1005</v>
      </c>
      <c r="C156" s="22">
        <v>8000</v>
      </c>
      <c r="D156" s="23" t="s">
        <v>1006</v>
      </c>
      <c r="E156" s="23" t="s">
        <v>134</v>
      </c>
      <c r="F156" s="23"/>
      <c r="G156" s="24">
        <v>41</v>
      </c>
      <c r="H156" s="24">
        <v>0.2</v>
      </c>
      <c r="I156" s="24">
        <v>0</v>
      </c>
      <c r="J156" s="24">
        <v>9.6</v>
      </c>
      <c r="K156" s="24">
        <v>4.7</v>
      </c>
      <c r="L156" s="24">
        <v>0.9</v>
      </c>
      <c r="M156" s="24">
        <v>7.0000000000000007E-2</v>
      </c>
      <c r="N156" s="24">
        <v>2.8</v>
      </c>
      <c r="O156" s="25">
        <f>IF(OR(B156="",C156=""),"",IFERROR(C156/1000*IFERROR(INDEX(Vöruskrá!R:R,MATCH(B156,Vöruskrá!B:B,0)),0)/1000,""))</f>
        <v>0</v>
      </c>
      <c r="P156" s="21"/>
      <c r="Q156" s="26"/>
      <c r="R156" s="27"/>
    </row>
    <row r="157" spans="1:18" ht="15">
      <c r="A157" s="6"/>
      <c r="B157" s="6" t="s">
        <v>334</v>
      </c>
      <c r="C157" s="28">
        <v>12000</v>
      </c>
      <c r="D157" s="23" t="s">
        <v>337</v>
      </c>
      <c r="E157" s="23" t="s">
        <v>134</v>
      </c>
      <c r="F157" s="23"/>
      <c r="G157" s="24">
        <v>181</v>
      </c>
      <c r="H157" s="24">
        <v>18</v>
      </c>
      <c r="I157" s="24">
        <v>15.3</v>
      </c>
      <c r="J157" s="24">
        <v>2.8</v>
      </c>
      <c r="K157" s="24">
        <v>1</v>
      </c>
      <c r="L157" s="24">
        <v>2</v>
      </c>
      <c r="M157" s="24">
        <v>0</v>
      </c>
      <c r="N157" s="24">
        <v>0</v>
      </c>
      <c r="O157" s="25">
        <f>IF(OR(B157="",C157=""),"",IFERROR(C157/1000*IFERROR(INDEX(Vöruskrá!R:R,MATCH(B157,Vöruskrá!B:B,0)),0)/1000,""))</f>
        <v>0</v>
      </c>
      <c r="P157" s="6"/>
      <c r="Q157" s="28"/>
      <c r="R157" s="6"/>
    </row>
    <row r="158" spans="1:18" ht="15">
      <c r="A158" s="21"/>
      <c r="B158" s="21" t="s">
        <v>314</v>
      </c>
      <c r="C158" s="22">
        <v>500</v>
      </c>
      <c r="D158" s="23" t="s">
        <v>316</v>
      </c>
      <c r="E158" s="23" t="s">
        <v>134</v>
      </c>
      <c r="F158" s="23" t="s">
        <v>311</v>
      </c>
      <c r="G158" s="24">
        <v>385</v>
      </c>
      <c r="H158" s="24">
        <v>0.8</v>
      </c>
      <c r="I158" s="24">
        <v>0.1</v>
      </c>
      <c r="J158" s="24">
        <v>73</v>
      </c>
      <c r="K158" s="24">
        <v>24</v>
      </c>
      <c r="L158" s="24">
        <v>17</v>
      </c>
      <c r="M158" s="24">
        <v>0.1</v>
      </c>
      <c r="N158" s="24"/>
      <c r="O158" s="25">
        <f>IF(OR(B158="",C158=""),"",IFERROR(C158/1000*IFERROR(INDEX(Vöruskrá!R:R,MATCH(B158,Vöruskrá!B:B,0)),0)/1000,""))</f>
        <v>0</v>
      </c>
      <c r="P158" s="21"/>
      <c r="Q158" s="26"/>
      <c r="R158" s="27"/>
    </row>
    <row r="159" spans="1:18" ht="15">
      <c r="A159" s="6"/>
      <c r="B159" s="6" t="s">
        <v>348</v>
      </c>
      <c r="C159" s="28">
        <v>1000</v>
      </c>
      <c r="D159" s="23" t="s">
        <v>351</v>
      </c>
      <c r="E159" s="23" t="s">
        <v>134</v>
      </c>
      <c r="F159" s="23"/>
      <c r="G159" s="24"/>
      <c r="H159" s="24"/>
      <c r="I159" s="24"/>
      <c r="J159" s="24"/>
      <c r="K159" s="24"/>
      <c r="L159" s="24"/>
      <c r="M159" s="24"/>
      <c r="N159" s="24"/>
      <c r="O159" s="25">
        <f>IF(OR(B159="",C159=""),"",IFERROR(C159/1000*IFERROR(INDEX(Vöruskrá!R:R,MATCH(B159,Vöruskrá!B:B,0)),0)/1000,""))</f>
        <v>0</v>
      </c>
      <c r="P159" s="6"/>
      <c r="Q159" s="28"/>
      <c r="R159" s="6"/>
    </row>
    <row r="160" spans="1:18" ht="15">
      <c r="A160" s="21"/>
      <c r="B160" s="21" t="s">
        <v>298</v>
      </c>
      <c r="C160" s="22">
        <v>600</v>
      </c>
      <c r="D160" s="23" t="s">
        <v>302</v>
      </c>
      <c r="E160" s="23" t="s">
        <v>134</v>
      </c>
      <c r="F160" s="23" t="s">
        <v>303</v>
      </c>
      <c r="G160" s="24">
        <v>0</v>
      </c>
      <c r="H160" s="24">
        <v>0</v>
      </c>
      <c r="I160" s="24">
        <v>0</v>
      </c>
      <c r="J160" s="24">
        <v>0</v>
      </c>
      <c r="K160" s="24">
        <v>0</v>
      </c>
      <c r="L160" s="24">
        <v>0</v>
      </c>
      <c r="M160" s="24">
        <v>100</v>
      </c>
      <c r="N160" s="24"/>
      <c r="O160" s="25">
        <f>IF(OR(B160="",C160=""),"",IFERROR(C160/1000*IFERROR(INDEX(Vöruskrá!R:R,MATCH(B160,Vöruskrá!B:B,0)),0)/1000,""))</f>
        <v>0</v>
      </c>
      <c r="P160" s="21"/>
      <c r="Q160" s="26"/>
      <c r="R160" s="27"/>
    </row>
    <row r="161" spans="1:18" ht="15">
      <c r="A161" s="6"/>
      <c r="B161" s="6" t="s">
        <v>1020</v>
      </c>
      <c r="C161" s="28">
        <v>7600</v>
      </c>
      <c r="D161" s="23" t="s">
        <v>1020</v>
      </c>
      <c r="E161" s="23" t="s">
        <v>134</v>
      </c>
      <c r="F161" s="23"/>
      <c r="G161" s="24">
        <v>0</v>
      </c>
      <c r="H161" s="24">
        <v>0</v>
      </c>
      <c r="I161" s="24">
        <v>0</v>
      </c>
      <c r="J161" s="24">
        <v>0</v>
      </c>
      <c r="K161" s="24">
        <v>0</v>
      </c>
      <c r="L161" s="24">
        <v>0</v>
      </c>
      <c r="M161" s="24">
        <v>0</v>
      </c>
      <c r="N161" s="24">
        <v>0</v>
      </c>
      <c r="O161" s="25">
        <f>IF(OR(B161="",C161=""),"",IFERROR(C161/1000*IFERROR(INDEX(Vöruskrá!R:R,MATCH(B161,Vöruskrá!B:B,0)),0)/1000,""))</f>
        <v>0</v>
      </c>
      <c r="P161" s="6"/>
      <c r="Q161" s="28"/>
      <c r="R161" s="6"/>
    </row>
    <row r="162" spans="1:18" ht="48">
      <c r="A162" s="147" t="s">
        <v>1586</v>
      </c>
      <c r="B162" s="147"/>
      <c r="C162" s="148"/>
      <c r="D162" s="147" t="s">
        <v>1587</v>
      </c>
      <c r="E162" s="147" t="s">
        <v>1588</v>
      </c>
      <c r="F162" s="147"/>
      <c r="G162" s="149">
        <v>125.59</v>
      </c>
      <c r="H162" s="149">
        <v>7.69</v>
      </c>
      <c r="I162" s="149">
        <v>2.72</v>
      </c>
      <c r="J162" s="149">
        <v>5.54</v>
      </c>
      <c r="K162" s="149"/>
      <c r="L162" s="149">
        <v>8.32</v>
      </c>
      <c r="M162" s="149">
        <v>1.72</v>
      </c>
      <c r="N162" s="149">
        <f>IFERROR(SUM(N163:N170)/(SUM($C$163:$C$170)/100000),"")</f>
        <v>0.32</v>
      </c>
      <c r="O162" s="150" t="str">
        <f>IF(OR(B162="",C162=""),"",IFERROR(C162/1000*IFERROR(INDEX(Vöruskrá!R:R,MATCH(B162,Vöruskrá!B:B,0)),0)/1000,""))</f>
        <v/>
      </c>
      <c r="P162" s="147" t="s">
        <v>1589</v>
      </c>
      <c r="Q162" s="26" t="s">
        <v>1590</v>
      </c>
      <c r="R162" s="27" t="s">
        <v>1591</v>
      </c>
    </row>
    <row r="163" spans="1:18" ht="15">
      <c r="A163" s="6"/>
      <c r="B163" s="6" t="s">
        <v>170</v>
      </c>
      <c r="C163" s="28">
        <v>53300</v>
      </c>
      <c r="D163" s="23" t="s">
        <v>172</v>
      </c>
      <c r="E163" s="23"/>
      <c r="F163" s="23"/>
      <c r="G163" s="24">
        <f>IF(OR(B163="",C163=""),"",IFERROR(IFERROR(INDEX(Vöruskrá!J:J,MATCH(B163,Vöruskrá!B:B,0)),"")*C163/100000,""))</f>
        <v>73.021000000000001</v>
      </c>
      <c r="H163" s="24">
        <f>IF(OR(B163="",C163=""),"",IFERROR(IFERROR(INDEX(Vöruskrá!K:K,MATCH(B163,Vöruskrá!B:B,0)),"")*C163/100000,""))</f>
        <v>4.7969999999999997</v>
      </c>
      <c r="I163" s="24">
        <f>IF(OR(B163="",C163=""),"",IFERROR(IFERROR(INDEX(Vöruskrá!L:L,MATCH(B163,Vöruskrá!B:B,0)),"")*C163/100000,""))</f>
        <v>1.2258999999999998</v>
      </c>
      <c r="J163" s="24">
        <f>IF(OR(B163="",C163=""),"",IFERROR(IFERROR(INDEX(Vöruskrá!M:M,MATCH(B163,Vöruskrá!B:B,0)),"")*C163/100000,""))</f>
        <v>0</v>
      </c>
      <c r="K163" s="24">
        <f>IF(OR(B163="",C163=""),"",IFERROR(IFERROR(INDEX(Vöruskrá!N:N,MATCH(B163,Vöruskrá!B:B,0)),"")*C163/100000,""))</f>
        <v>0</v>
      </c>
      <c r="L163" s="24">
        <f>IF(OR(B163="",C163=""),"",IFERROR(IFERROR(INDEX(Vöruskrá!O:O,MATCH(B163,Vöruskrá!B:B,0)),"")*C163/100000,""))</f>
        <v>7.4619999999999997</v>
      </c>
      <c r="M163" s="24">
        <f>IF(OR(B163="",C163=""),"",IFERROR(IFERROR(INDEX(Vöruskrá!P:P,MATCH(B163,Vöruskrá!B:B,0)),"")*C163/100000,""))</f>
        <v>0.4264</v>
      </c>
      <c r="N163" s="24">
        <f>IF(OR(B163="",C163=""),"",IFERROR(IFERROR(INDEX(Vöruskrá!Q:Q,MATCH(B163,Vöruskrá!B:B,0)),"")*C163/100000,""))</f>
        <v>0</v>
      </c>
      <c r="O163" s="25">
        <f>IF(OR(B163="",C163=""),"",IFERROR(C163/1000*IFERROR(INDEX(Vöruskrá!R:R,MATCH(B163,Vöruskrá!B:B,0)),0)/1000,""))</f>
        <v>0</v>
      </c>
      <c r="P163" s="6"/>
      <c r="Q163" s="28"/>
      <c r="R163" s="6"/>
    </row>
    <row r="164" spans="1:18" ht="24">
      <c r="A164" s="21"/>
      <c r="B164" s="21" t="s">
        <v>434</v>
      </c>
      <c r="C164" s="22">
        <v>20000</v>
      </c>
      <c r="D164" s="23" t="s">
        <v>436</v>
      </c>
      <c r="E164" s="23" t="s">
        <v>148</v>
      </c>
      <c r="F164" s="23"/>
      <c r="G164" s="24">
        <f>IF(OR(B164="",C164=""),"",IFERROR(IFERROR(INDEX(Vöruskrá!J:J,MATCH(B164,Vöruskrá!B:B,0)),"")*C164/100000,""))</f>
        <v>30</v>
      </c>
      <c r="H164" s="24">
        <f>IF(OR(B164="",C164=""),"",IFERROR(IFERROR(INDEX(Vöruskrá!K:K,MATCH(B164,Vöruskrá!B:B,0)),"")*C164/100000,""))</f>
        <v>1.18</v>
      </c>
      <c r="I164" s="24">
        <f>IF(OR(B164="",C164=""),"",IFERROR(IFERROR(INDEX(Vöruskrá!L:L,MATCH(B164,Vöruskrá!B:B,0)),"")*C164/100000,""))</f>
        <v>0.12</v>
      </c>
      <c r="J164" s="24">
        <f>IF(OR(B164="",C164=""),"",IFERROR(IFERROR(INDEX(Vöruskrá!M:M,MATCH(B164,Vöruskrá!B:B,0)),"")*C164/100000,""))</f>
        <v>4.4000000000000004</v>
      </c>
      <c r="K164" s="24">
        <f>IF(OR(B164="",C164=""),"",IFERROR(IFERROR(INDEX(Vöruskrá!N:N,MATCH(B164,Vöruskrá!B:B,0)),"")*C164/100000,""))</f>
        <v>3.6</v>
      </c>
      <c r="L164" s="24">
        <f>IF(OR(B164="",C164=""),"",IFERROR(IFERROR(INDEX(Vöruskrá!O:O,MATCH(B164,Vöruskrá!B:B,0)),"")*C164/100000,""))</f>
        <v>0.28000000000000003</v>
      </c>
      <c r="M164" s="24">
        <f>IF(OR(B164="",C164=""),"",IFERROR(IFERROR(INDEX(Vöruskrá!P:P,MATCH(B164,Vöruskrá!B:B,0)),"")*C164/100000,""))</f>
        <v>0.88</v>
      </c>
      <c r="N164" s="24">
        <f>IF(OR(B164="",C164=""),"",IFERROR(IFERROR(INDEX(Vöruskrá!Q:Q,MATCH(B164,Vöruskrá!B:B,0)),"")*C164/100000,""))</f>
        <v>0.32</v>
      </c>
      <c r="O164" s="25">
        <f>IF(OR(B164="",C164=""),"",IFERROR(C164/1000*IFERROR(INDEX(Vöruskrá!R:R,MATCH(B164,Vöruskrá!B:B,0)),0)/1000,""))</f>
        <v>0</v>
      </c>
      <c r="P164" s="21"/>
      <c r="Q164" s="26"/>
      <c r="R164" s="27"/>
    </row>
    <row r="165" spans="1:18" ht="15">
      <c r="A165" s="6"/>
      <c r="B165" s="6" t="s">
        <v>335</v>
      </c>
      <c r="C165" s="28">
        <v>8000</v>
      </c>
      <c r="D165" s="23" t="s">
        <v>337</v>
      </c>
      <c r="E165" s="23" t="s">
        <v>134</v>
      </c>
      <c r="F165" s="23"/>
      <c r="G165" s="24">
        <f>IF(OR(B165="",C165=""),"",IFERROR(IFERROR(INDEX(Vöruskrá!J:J,MATCH(B165,Vöruskrá!B:B,0)),"")*C165/100000,""))</f>
        <v>14.48</v>
      </c>
      <c r="H165" s="24">
        <f>IF(OR(B165="",C165=""),"",IFERROR(IFERROR(INDEX(Vöruskrá!K:K,MATCH(B165,Vöruskrá!B:B,0)),"")*C165/100000,""))</f>
        <v>1.44</v>
      </c>
      <c r="I165" s="24">
        <f>IF(OR(B165="",C165=""),"",IFERROR(IFERROR(INDEX(Vöruskrá!L:L,MATCH(B165,Vöruskrá!B:B,0)),"")*C165/100000,""))</f>
        <v>1.224</v>
      </c>
      <c r="J165" s="24">
        <f>IF(OR(B165="",C165=""),"",IFERROR(IFERROR(INDEX(Vöruskrá!M:M,MATCH(B165,Vöruskrá!B:B,0)),"")*C165/100000,""))</f>
        <v>0.224</v>
      </c>
      <c r="K165" s="24">
        <f>IF(OR(B165="",C165=""),"",IFERROR(IFERROR(INDEX(Vöruskrá!N:N,MATCH(B165,Vöruskrá!B:B,0)),"")*C165/100000,""))</f>
        <v>0.08</v>
      </c>
      <c r="L165" s="24">
        <f>IF(OR(B165="",C165=""),"",IFERROR(IFERROR(INDEX(Vöruskrá!O:O,MATCH(B165,Vöruskrá!B:B,0)),"")*C165/100000,""))</f>
        <v>0.16</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870</v>
      </c>
      <c r="C166" s="22">
        <v>6700</v>
      </c>
      <c r="D166" s="23" t="s">
        <v>871</v>
      </c>
      <c r="E166" s="23" t="s">
        <v>120</v>
      </c>
      <c r="F166" s="23"/>
      <c r="G166" s="24">
        <f>IF(OR(B166="",C166=""),"",IFERROR(IFERROR(INDEX(Vöruskrá!J:J,MATCH(B166,Vöruskrá!B:B,0)),"")*C166/100000,""))</f>
        <v>4.2880000000000003</v>
      </c>
      <c r="H166" s="24">
        <f>IF(OR(B166="",C166=""),"",IFERROR(IFERROR(INDEX(Vöruskrá!K:K,MATCH(B166,Vöruskrá!B:B,0)),"")*C166/100000,""))</f>
        <v>0.26129999999999998</v>
      </c>
      <c r="I166" s="24">
        <f>IF(OR(B166="",C166=""),"",IFERROR(IFERROR(INDEX(Vöruskrá!L:L,MATCH(B166,Vöruskrá!B:B,0)),"")*C166/100000,""))</f>
        <v>0.15409999999999999</v>
      </c>
      <c r="J166" s="24">
        <f>IF(OR(B166="",C166=""),"",IFERROR(IFERROR(INDEX(Vöruskrá!M:M,MATCH(B166,Vöruskrá!B:B,0)),"")*C166/100000,""))</f>
        <v>0.24790000000000001</v>
      </c>
      <c r="K166" s="24">
        <f>IF(OR(B166="",C166=""),"",IFERROR(IFERROR(INDEX(Vöruskrá!N:N,MATCH(B166,Vöruskrá!B:B,0)),"")*C166/100000,""))</f>
        <v>0.24790000000000001</v>
      </c>
      <c r="L166" s="24">
        <f>IF(OR(B166="",C166=""),"",IFERROR(IFERROR(INDEX(Vöruskrá!O:O,MATCH(B166,Vöruskrá!B:B,0)),"")*C166/100000,""))</f>
        <v>0.2278</v>
      </c>
      <c r="M166" s="24">
        <f>IF(OR(B166="",C166=""),"",IFERROR(IFERROR(INDEX(Vöruskrá!P:P,MATCH(B166,Vöruskrá!B:B,0)),"")*C166/100000,""))</f>
        <v>6.7000000000000002E-3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504</v>
      </c>
      <c r="C167" s="28">
        <v>2000</v>
      </c>
      <c r="D167" s="23" t="s">
        <v>500</v>
      </c>
      <c r="E167" s="23" t="s">
        <v>134</v>
      </c>
      <c r="F167" s="23"/>
      <c r="G167" s="24">
        <f>IF(OR(B167="",C167=""),"",IFERROR(IFERROR(INDEX(Vöruskrá!J:J,MATCH(B167,Vöruskrá!B:B,0)),"")*C167/100000,""))</f>
        <v>2.2599999999999998</v>
      </c>
      <c r="H167" s="24">
        <f>IF(OR(B167="",C167=""),"",IFERROR(IFERROR(INDEX(Vöruskrá!K:K,MATCH(B167,Vöruskrá!B:B,0)),"")*C167/100000,""))</f>
        <v>8.0000000000000002E-3</v>
      </c>
      <c r="I167" s="24">
        <f>IF(OR(B167="",C167=""),"",IFERROR(IFERROR(INDEX(Vöruskrá!L:L,MATCH(B167,Vöruskrá!B:B,0)),"")*C167/100000,""))</f>
        <v>0</v>
      </c>
      <c r="J167" s="24">
        <f>IF(OR(B167="",C167=""),"",IFERROR(IFERROR(INDEX(Vöruskrá!M:M,MATCH(B167,Vöruskrá!B:B,0)),"")*C167/100000,""))</f>
        <v>0.38</v>
      </c>
      <c r="K167" s="24">
        <f>IF(OR(B167="",C167=""),"",IFERROR(IFERROR(INDEX(Vöruskrá!N:N,MATCH(B167,Vöruskrá!B:B,0)),"")*C167/100000,""))</f>
        <v>0.28000000000000003</v>
      </c>
      <c r="L167" s="24">
        <f>IF(OR(B167="",C167=""),"",IFERROR(IFERROR(INDEX(Vöruskrá!O:O,MATCH(B167,Vöruskrá!B:B,0)),"")*C167/100000,""))</f>
        <v>0.12</v>
      </c>
      <c r="M167" s="24">
        <f>IF(OR(B167="",C167=""),"",IFERROR(IFERROR(INDEX(Vöruskrá!P:P,MATCH(B167,Vöruskrá!B:B,0)),"")*C167/100000,""))</f>
        <v>2E-3</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315</v>
      </c>
      <c r="C168" s="22">
        <v>400</v>
      </c>
      <c r="D168" s="23" t="s">
        <v>316</v>
      </c>
      <c r="E168" s="23" t="s">
        <v>134</v>
      </c>
      <c r="F168" s="23" t="s">
        <v>311</v>
      </c>
      <c r="G168" s="24">
        <f>IF(OR(B168="",C168=""),"",IFERROR(IFERROR(INDEX(Vöruskrá!J:J,MATCH(B168,Vöruskrá!B:B,0)),"")*C168/100000,""))</f>
        <v>1.54</v>
      </c>
      <c r="H168" s="24">
        <f>IF(OR(B168="",C168=""),"",IFERROR(IFERROR(INDEX(Vöruskrá!K:K,MATCH(B168,Vöruskrá!B:B,0)),"")*C168/100000,""))</f>
        <v>3.2000000000000002E-3</v>
      </c>
      <c r="I168" s="24">
        <f>IF(OR(B168="",C168=""),"",IFERROR(IFERROR(INDEX(Vöruskrá!L:L,MATCH(B168,Vöruskrá!B:B,0)),"")*C168/100000,""))</f>
        <v>4.0000000000000002E-4</v>
      </c>
      <c r="J168" s="24">
        <f>IF(OR(B168="",C168=""),"",IFERROR(IFERROR(INDEX(Vöruskrá!M:M,MATCH(B168,Vöruskrá!B:B,0)),"")*C168/100000,""))</f>
        <v>0.29199999999999998</v>
      </c>
      <c r="K168" s="24">
        <f>IF(OR(B168="",C168=""),"",IFERROR(IFERROR(INDEX(Vöruskrá!N:N,MATCH(B168,Vöruskrá!B:B,0)),"")*C168/100000,""))</f>
        <v>9.6000000000000002E-2</v>
      </c>
      <c r="L168" s="24">
        <f>IF(OR(B168="",C168=""),"",IFERROR(IFERROR(INDEX(Vöruskrá!O:O,MATCH(B168,Vöruskrá!B:B,0)),"")*C168/100000,""))</f>
        <v>6.8000000000000005E-2</v>
      </c>
      <c r="M168" s="24">
        <f>IF(OR(B168="",C168=""),"",IFERROR(IFERROR(INDEX(Vöruskrá!P:P,MATCH(B168,Vöruskrá!B:B,0)),"")*C168/100000,""))</f>
        <v>4.0000000000000002E-4</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299</v>
      </c>
      <c r="C169" s="28">
        <v>400</v>
      </c>
      <c r="D169" s="23" t="s">
        <v>302</v>
      </c>
      <c r="E169" s="23" t="s">
        <v>134</v>
      </c>
      <c r="F169" s="23" t="s">
        <v>303</v>
      </c>
      <c r="G169" s="24">
        <f>IF(OR(B169="",C169=""),"",IFERROR(IFERROR(INDEX(Vöruskrá!J:J,MATCH(B169,Vöruskrá!B:B,0)),"")*C169/100000,""))</f>
        <v>0</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0</v>
      </c>
      <c r="M169" s="24">
        <f>IF(OR(B169="",C169=""),"",IFERROR(IFERROR(INDEX(Vöruskrá!P:P,MATCH(B169,Vöruskrá!B:B,0)),"")*C169/100000,""))</f>
        <v>0.4</v>
      </c>
      <c r="N169" s="24">
        <f>IF(OR(B169="",C169=""),"",IFERROR(IFERROR(INDEX(Vöruskrá!Q:Q,MATCH(B169,Vöruskrá!B:B,0)),"")*C169/100000,""))</f>
        <v>0</v>
      </c>
      <c r="O169" s="25">
        <f>IF(OR(B169="",C169=""),"",IFERROR(C169/1000*IFERROR(INDEX(Vöruskrá!R:R,MATCH(B169,Vöruskrá!B:B,0)),0)/1000,""))</f>
        <v>0</v>
      </c>
      <c r="P169" s="6"/>
      <c r="Q169" s="28"/>
      <c r="R169" s="6"/>
    </row>
    <row r="170" spans="1:18" ht="15">
      <c r="A170" s="21"/>
      <c r="B170" s="21" t="s">
        <v>1020</v>
      </c>
      <c r="C170" s="22">
        <v>9200</v>
      </c>
      <c r="D170" s="23" t="s">
        <v>1020</v>
      </c>
      <c r="E170" s="23" t="s">
        <v>134</v>
      </c>
      <c r="F170" s="23"/>
      <c r="G170" s="24">
        <f>IF(OR(B170="",C170=""),"",IFERROR(IFERROR(INDEX(Vöruskrá!J:J,MATCH(B170,Vöruskrá!B:B,0)),"")*C170/100000,""))</f>
        <v>0</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0</v>
      </c>
      <c r="K170" s="24">
        <f>IF(OR(B170="",C170=""),"",IFERROR(IFERROR(INDEX(Vöruskrá!N:N,MATCH(B170,Vöruskrá!B:B,0)),"")*C170/100000,""))</f>
        <v>0</v>
      </c>
      <c r="L170" s="24">
        <f>IF(OR(B170="",C170=""),"",IFERROR(IFERROR(INDEX(Vöruskrá!O:O,MATCH(B170,Vöruskrá!B:B,0)),"")*C170/100000,""))</f>
        <v>0</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21"/>
      <c r="Q170" s="26"/>
      <c r="R170" s="27"/>
    </row>
    <row r="171" spans="1:18" ht="48">
      <c r="A171" s="147" t="s">
        <v>1592</v>
      </c>
      <c r="B171" s="147"/>
      <c r="C171" s="148"/>
      <c r="D171" s="147" t="s">
        <v>1593</v>
      </c>
      <c r="E171" s="147" t="s">
        <v>134</v>
      </c>
      <c r="F171" s="147"/>
      <c r="G171" s="149">
        <v>91.69</v>
      </c>
      <c r="H171" s="149">
        <v>4.37</v>
      </c>
      <c r="I171" s="149">
        <v>1.21</v>
      </c>
      <c r="J171" s="149">
        <v>4.17</v>
      </c>
      <c r="K171" s="149"/>
      <c r="L171" s="149">
        <v>8.73</v>
      </c>
      <c r="M171" s="149">
        <v>0.87</v>
      </c>
      <c r="N171" s="149">
        <f>IFERROR(SUM(N172:N182)/(SUM($C$172:$C$182)/100000),"")</f>
        <v>0.23335</v>
      </c>
      <c r="O171" s="150" t="str">
        <f>IF(OR(B171="",C171=""),"",IFERROR(C171/1000*IFERROR(INDEX(Vöruskrá!R:R,MATCH(B171,Vöruskrá!B:B,0)),0)/1000,""))</f>
        <v/>
      </c>
      <c r="P171" s="147" t="s">
        <v>1594</v>
      </c>
      <c r="Q171" s="28" t="s">
        <v>1595</v>
      </c>
      <c r="R171" s="6" t="s">
        <v>1596</v>
      </c>
    </row>
    <row r="172" spans="1:18" ht="15">
      <c r="A172" s="21"/>
      <c r="B172" s="21" t="s">
        <v>542</v>
      </c>
      <c r="C172" s="22">
        <v>39000</v>
      </c>
      <c r="D172" s="23" t="s">
        <v>543</v>
      </c>
      <c r="E172" s="23" t="s">
        <v>134</v>
      </c>
      <c r="F172" s="23"/>
      <c r="G172" s="24">
        <f>IF(OR(B172="",C172=""),"",IFERROR(IFERROR(INDEX(Vöruskrá!J:J,MATCH(B172,Vöruskrá!B:B,0)),"")*C172/100000,""))</f>
        <v>69.81</v>
      </c>
      <c r="H172" s="24">
        <f>IF(OR(B172="",C172=""),"",IFERROR(IFERROR(INDEX(Vöruskrá!K:K,MATCH(B172,Vöruskrá!B:B,0)),"")*C172/100000,""))</f>
        <v>4.29</v>
      </c>
      <c r="I172" s="24">
        <f>IF(OR(B172="",C172=""),"",IFERROR(IFERROR(INDEX(Vöruskrá!L:L,MATCH(B172,Vöruskrá!B:B,0)),"")*C172/100000,""))</f>
        <v>1.2090000000000001</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7.8</v>
      </c>
      <c r="M172" s="24">
        <f>IF(OR(B172="",C172=""),"",IFERROR(IFERROR(INDEX(Vöruskrá!P:P,MATCH(B172,Vöruskrá!B:B,0)),"")*C172/100000,""))</f>
        <v>7.8E-2</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743</v>
      </c>
      <c r="C173" s="28">
        <v>19500</v>
      </c>
      <c r="D173" s="23" t="s">
        <v>745</v>
      </c>
      <c r="E173" s="23"/>
      <c r="F173" s="23"/>
      <c r="G173" s="24">
        <f>IF(OR(B173="",C173=""),"",IFERROR(IFERROR(INDEX(Vöruskrá!J:J,MATCH(B173,Vöruskrá!B:B,0)),"")*C173/100000,""))</f>
        <v>5.46</v>
      </c>
      <c r="H173" s="24">
        <f>IF(OR(B173="",C173=""),"",IFERROR(IFERROR(INDEX(Vöruskrá!K:K,MATCH(B173,Vöruskrá!B:B,0)),"")*C173/100000,""))</f>
        <v>1.95E-2</v>
      </c>
      <c r="I173" s="24">
        <f>IF(OR(B173="",C173=""),"",IFERROR(IFERROR(INDEX(Vöruskrá!L:L,MATCH(B173,Vöruskrá!B:B,0)),"")*C173/100000,""))</f>
        <v>0</v>
      </c>
      <c r="J173" s="24">
        <f>IF(OR(B173="",C173=""),"",IFERROR(IFERROR(INDEX(Vöruskrá!M:M,MATCH(B173,Vöruskrá!B:B,0)),"")*C173/100000,""))</f>
        <v>0.97499999999999998</v>
      </c>
      <c r="K173" s="24">
        <f>IF(OR(B173="",C173=""),"",IFERROR(IFERROR(INDEX(Vöruskrá!N:N,MATCH(B173,Vöruskrá!B:B,0)),"")*C173/100000,""))</f>
        <v>0.66300000000000003</v>
      </c>
      <c r="L173" s="24">
        <f>IF(OR(B173="",C173=""),"",IFERROR(IFERROR(INDEX(Vöruskrá!O:O,MATCH(B173,Vöruskrá!B:B,0)),"")*C173/100000,""))</f>
        <v>0.29249999999999998</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504</v>
      </c>
      <c r="C174" s="22">
        <v>7800</v>
      </c>
      <c r="D174" s="23" t="s">
        <v>500</v>
      </c>
      <c r="E174" s="23" t="s">
        <v>134</v>
      </c>
      <c r="F174" s="23"/>
      <c r="G174" s="24">
        <f>IF(OR(B174="",C174=""),"",IFERROR(IFERROR(INDEX(Vöruskrá!J:J,MATCH(B174,Vöruskrá!B:B,0)),"")*C174/100000,""))</f>
        <v>8.8140000000000001</v>
      </c>
      <c r="H174" s="24">
        <f>IF(OR(B174="",C174=""),"",IFERROR(IFERROR(INDEX(Vöruskrá!K:K,MATCH(B174,Vöruskrá!B:B,0)),"")*C174/100000,""))</f>
        <v>3.1199999999999999E-2</v>
      </c>
      <c r="I174" s="24">
        <f>IF(OR(B174="",C174=""),"",IFERROR(IFERROR(INDEX(Vöruskrá!L:L,MATCH(B174,Vöruskrá!B:B,0)),"")*C174/100000,""))</f>
        <v>0</v>
      </c>
      <c r="J174" s="24">
        <f>IF(OR(B174="",C174=""),"",IFERROR(IFERROR(INDEX(Vöruskrá!M:M,MATCH(B174,Vöruskrá!B:B,0)),"")*C174/100000,""))</f>
        <v>1.482</v>
      </c>
      <c r="K174" s="24">
        <f>IF(OR(B174="",C174=""),"",IFERROR(IFERROR(INDEX(Vöruskrá!N:N,MATCH(B174,Vöruskrá!B:B,0)),"")*C174/100000,""))</f>
        <v>1.0920000000000001</v>
      </c>
      <c r="L174" s="24">
        <f>IF(OR(B174="",C174=""),"",IFERROR(IFERROR(INDEX(Vöruskrá!O:O,MATCH(B174,Vöruskrá!B:B,0)),"")*C174/100000,""))</f>
        <v>0.46800000000000003</v>
      </c>
      <c r="M174" s="24">
        <f>IF(OR(B174="",C174=""),"",IFERROR(IFERROR(INDEX(Vöruskrá!P:P,MATCH(B174,Vöruskrá!B:B,0)),"")*C174/100000,""))</f>
        <v>7.7999999999999996E-3</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1010</v>
      </c>
      <c r="C175" s="28">
        <v>6500</v>
      </c>
      <c r="D175" s="23" t="s">
        <v>1010</v>
      </c>
      <c r="E175" s="23" t="s">
        <v>134</v>
      </c>
      <c r="F175" s="23"/>
      <c r="G175" s="24">
        <f>IF(OR(B175="",C175=""),"",IFERROR(IFERROR(INDEX(Vöruskrá!J:J,MATCH(B175,Vöruskrá!B:B,0)),"")*C175/100000,""))</f>
        <v>2.6</v>
      </c>
      <c r="H175" s="24">
        <f>IF(OR(B175="",C175=""),"",IFERROR(IFERROR(INDEX(Vöruskrá!K:K,MATCH(B175,Vöruskrá!B:B,0)),"")*C175/100000,""))</f>
        <v>6.4999999999999997E-3</v>
      </c>
      <c r="I175" s="24">
        <f>IF(OR(B175="",C175=""),"",IFERROR(IFERROR(INDEX(Vöruskrá!L:L,MATCH(B175,Vöruskrá!B:B,0)),"")*C175/100000,""))</f>
        <v>0</v>
      </c>
      <c r="J175" s="24">
        <f>IF(OR(B175="",C175=""),"",IFERROR(IFERROR(INDEX(Vöruskrá!M:M,MATCH(B175,Vöruskrá!B:B,0)),"")*C175/100000,""))</f>
        <v>0.60450000000000004</v>
      </c>
      <c r="K175" s="24">
        <f>IF(OR(B175="",C175=""),"",IFERROR(IFERROR(INDEX(Vöruskrá!N:N,MATCH(B175,Vöruskrá!B:B,0)),"")*C175/100000,""))</f>
        <v>0.27300000000000002</v>
      </c>
      <c r="L175" s="24">
        <f>IF(OR(B175="",C175=""),"",IFERROR(IFERROR(INDEX(Vöruskrá!O:O,MATCH(B175,Vöruskrá!B:B,0)),"")*C175/100000,""))</f>
        <v>7.1500000000000008E-2</v>
      </c>
      <c r="M175" s="24">
        <f>IF(OR(B175="",C175=""),"",IFERROR(IFERROR(INDEX(Vöruskrá!P:P,MATCH(B175,Vöruskrá!B:B,0)),"")*C175/100000,""))</f>
        <v>0</v>
      </c>
      <c r="N175" s="24">
        <f>IF(OR(B175="",C175=""),"",IFERROR(IFERROR(INDEX(Vöruskrá!Q:Q,MATCH(B175,Vöruskrá!B:B,0)),"")*C175/100000,""))</f>
        <v>0.1105</v>
      </c>
      <c r="O175" s="25">
        <f>IF(OR(B175="",C175=""),"",IFERROR(C175/1000*IFERROR(INDEX(Vöruskrá!R:R,MATCH(B175,Vöruskrá!B:B,0)),0)/1000,""))</f>
        <v>0</v>
      </c>
      <c r="P175" s="6"/>
      <c r="Q175" s="28"/>
      <c r="R175" s="6"/>
    </row>
    <row r="176" spans="1:18" ht="15">
      <c r="A176" s="21"/>
      <c r="B176" s="21" t="s">
        <v>1006</v>
      </c>
      <c r="C176" s="22">
        <v>3900</v>
      </c>
      <c r="D176" s="23" t="s">
        <v>1006</v>
      </c>
      <c r="E176" s="23" t="s">
        <v>134</v>
      </c>
      <c r="F176" s="23"/>
      <c r="G176" s="24">
        <f>IF(OR(B176="",C176=""),"",IFERROR(IFERROR(INDEX(Vöruskrá!J:J,MATCH(B176,Vöruskrá!B:B,0)),"")*C176/100000,""))</f>
        <v>1.599</v>
      </c>
      <c r="H176" s="24">
        <f>IF(OR(B176="",C176=""),"",IFERROR(IFERROR(INDEX(Vöruskrá!K:K,MATCH(B176,Vöruskrá!B:B,0)),"")*C176/100000,""))</f>
        <v>7.7999999999999996E-3</v>
      </c>
      <c r="I176" s="24">
        <f>IF(OR(B176="",C176=""),"",IFERROR(IFERROR(INDEX(Vöruskrá!L:L,MATCH(B176,Vöruskrá!B:B,0)),"")*C176/100000,""))</f>
        <v>0</v>
      </c>
      <c r="J176" s="24">
        <f>IF(OR(B176="",C176=""),"",IFERROR(IFERROR(INDEX(Vöruskrá!M:M,MATCH(B176,Vöruskrá!B:B,0)),"")*C176/100000,""))</f>
        <v>0.37440000000000001</v>
      </c>
      <c r="K176" s="24">
        <f>IF(OR(B176="",C176=""),"",IFERROR(IFERROR(INDEX(Vöruskrá!N:N,MATCH(B176,Vöruskrá!B:B,0)),"")*C176/100000,""))</f>
        <v>0.18329999999999999</v>
      </c>
      <c r="L176" s="24">
        <f>IF(OR(B176="",C176=""),"",IFERROR(IFERROR(INDEX(Vöruskrá!O:O,MATCH(B176,Vöruskrá!B:B,0)),"")*C176/100000,""))</f>
        <v>3.5099999999999999E-2</v>
      </c>
      <c r="M176" s="24">
        <f>IF(OR(B176="",C176=""),"",IFERROR(IFERROR(INDEX(Vöruskrá!P:P,MATCH(B176,Vöruskrá!B:B,0)),"")*C176/100000,""))</f>
        <v>3.8999999999999998E-3</v>
      </c>
      <c r="N176" s="24">
        <f>IF(OR(B176="",C176=""),"",IFERROR(IFERROR(INDEX(Vöruskrá!Q:Q,MATCH(B176,Vöruskrá!B:B,0)),"")*C176/100000,""))</f>
        <v>0.10920000000000001</v>
      </c>
      <c r="O176" s="25">
        <f>IF(OR(B176="",C176=""),"",IFERROR(C176/1000*IFERROR(INDEX(Vöruskrá!R:R,MATCH(B176,Vöruskrá!B:B,0)),0)/1000,""))</f>
        <v>0</v>
      </c>
      <c r="P176" s="21"/>
      <c r="Q176" s="26"/>
      <c r="R176" s="27"/>
    </row>
    <row r="177" spans="1:18" ht="15">
      <c r="A177" s="6"/>
      <c r="B177" s="6" t="s">
        <v>1017</v>
      </c>
      <c r="C177" s="28">
        <v>650</v>
      </c>
      <c r="D177" s="23" t="s">
        <v>1017</v>
      </c>
      <c r="E177" s="23" t="s">
        <v>134</v>
      </c>
      <c r="F177" s="23"/>
      <c r="G177" s="24">
        <f>IF(OR(B177="",C177=""),"",IFERROR(IFERROR(INDEX(Vöruskrá!J:J,MATCH(B177,Vöruskrá!B:B,0)),"")*C177/100000,""))</f>
        <v>0.96850000000000003</v>
      </c>
      <c r="H177" s="24">
        <f>IF(OR(B177="",C177=""),"",IFERROR(IFERROR(INDEX(Vöruskrá!K:K,MATCH(B177,Vöruskrá!B:B,0)),"")*C177/100000,""))</f>
        <v>3.2499999999999999E-3</v>
      </c>
      <c r="I177" s="24">
        <f>IF(OR(B177="",C177=""),"",IFERROR(IFERROR(INDEX(Vöruskrá!L:L,MATCH(B177,Vöruskrá!B:B,0)),"")*C177/100000,""))</f>
        <v>6.4999999999999997E-4</v>
      </c>
      <c r="J177" s="24">
        <f>IF(OR(B177="",C177=""),"",IFERROR(IFERROR(INDEX(Vöruskrá!M:M,MATCH(B177,Vöruskrá!B:B,0)),"")*C177/100000,""))</f>
        <v>0.21515000000000001</v>
      </c>
      <c r="K177" s="24">
        <f>IF(OR(B177="",C177=""),"",IFERROR(IFERROR(INDEX(Vöruskrá!N:N,MATCH(B177,Vöruskrá!B:B,0)),"")*C177/100000,""))</f>
        <v>6.4999999999999997E-3</v>
      </c>
      <c r="L177" s="24">
        <f>IF(OR(B177="",C177=""),"",IFERROR(IFERROR(INDEX(Vöruskrá!O:O,MATCH(B177,Vöruskrá!B:B,0)),"")*C177/100000,""))</f>
        <v>4.1599999999999998E-2</v>
      </c>
      <c r="M177" s="24">
        <f>IF(OR(B177="",C177=""),"",IFERROR(IFERROR(INDEX(Vöruskrá!P:P,MATCH(B177,Vöruskrá!B:B,0)),"")*C177/100000,""))</f>
        <v>0</v>
      </c>
      <c r="N177" s="24">
        <f>IF(OR(B177="",C177=""),"",IFERROR(IFERROR(INDEX(Vöruskrá!Q:Q,MATCH(B177,Vöruskrá!B:B,0)),"")*C177/100000,""))</f>
        <v>1.3650000000000001E-2</v>
      </c>
      <c r="O177" s="25">
        <f>IF(OR(B177="",C177=""),"",IFERROR(C177/1000*IFERROR(INDEX(Vöruskrá!R:R,MATCH(B177,Vöruskrá!B:B,0)),0)/1000,""))</f>
        <v>0</v>
      </c>
      <c r="P177" s="6"/>
      <c r="Q177" s="28"/>
      <c r="R177" s="6"/>
    </row>
    <row r="178" spans="1:18" ht="15">
      <c r="A178" s="21"/>
      <c r="B178" s="21" t="s">
        <v>815</v>
      </c>
      <c r="C178" s="22">
        <v>130</v>
      </c>
      <c r="D178" s="23" t="s">
        <v>816</v>
      </c>
      <c r="E178" s="23"/>
      <c r="F178" s="23" t="s">
        <v>311</v>
      </c>
      <c r="G178" s="24">
        <f>IF(OR(B178="",C178=""),"",IFERROR(IFERROR(INDEX(Vöruskrá!J:J,MATCH(B178,Vöruskrá!B:B,0)),"")*C178/100000,""))</f>
        <v>0.624</v>
      </c>
      <c r="H178" s="24">
        <f>IF(OR(B178="",C178=""),"",IFERROR(IFERROR(INDEX(Vöruskrá!K:K,MATCH(B178,Vöruskrá!B:B,0)),"")*C178/100000,""))</f>
        <v>1.2999999999999999E-2</v>
      </c>
      <c r="I178" s="24">
        <f>IF(OR(B178="",C178=""),"",IFERROR(IFERROR(INDEX(Vöruskrá!L:L,MATCH(B178,Vöruskrá!B:B,0)),"")*C178/100000,""))</f>
        <v>3.5100000000000001E-3</v>
      </c>
      <c r="J178" s="24">
        <f>IF(OR(B178="",C178=""),"",IFERROR(IFERROR(INDEX(Vöruskrá!M:M,MATCH(B178,Vöruskrá!B:B,0)),"")*C178/100000,""))</f>
        <v>8.3199999999999996E-2</v>
      </c>
      <c r="K178" s="24">
        <f>IF(OR(B178="",C178=""),"",IFERROR(IFERROR(INDEX(Vöruskrá!N:N,MATCH(B178,Vöruskrá!B:B,0)),"")*C178/100000,""))</f>
        <v>5.3299999999999997E-3</v>
      </c>
      <c r="L178" s="24">
        <f>IF(OR(B178="",C178=""),"",IFERROR(IFERROR(INDEX(Vöruskrá!O:O,MATCH(B178,Vöruskrá!B:B,0)),"")*C178/100000,""))</f>
        <v>1.43E-2</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819</v>
      </c>
      <c r="C179" s="28">
        <v>65</v>
      </c>
      <c r="D179" s="23" t="s">
        <v>820</v>
      </c>
      <c r="E179" s="23"/>
      <c r="F179" s="23" t="s">
        <v>311</v>
      </c>
      <c r="G179" s="24">
        <f>IF(OR(B179="",C179=""),"",IFERROR(IFERROR(INDEX(Vöruskrá!J:J,MATCH(B179,Vöruskrá!B:B,0)),"")*C179/100000,""))</f>
        <v>0.25090000000000001</v>
      </c>
      <c r="H179" s="24">
        <f>IF(OR(B179="",C179=""),"",IFERROR(IFERROR(INDEX(Vöruskrá!K:K,MATCH(B179,Vöruskrá!B:B,0)),"")*C179/100000,""))</f>
        <v>2.1450000000000002E-3</v>
      </c>
      <c r="I179" s="24">
        <f>IF(OR(B179="",C179=""),"",IFERROR(IFERROR(INDEX(Vöruskrá!L:L,MATCH(B179,Vöruskrá!B:B,0)),"")*C179/100000,""))</f>
        <v>6.4999999999999997E-4</v>
      </c>
      <c r="J179" s="24">
        <f>IF(OR(B179="",C179=""),"",IFERROR(IFERROR(INDEX(Vöruskrá!M:M,MATCH(B179,Vöruskrá!B:B,0)),"")*C179/100000,""))</f>
        <v>4.2250000000000003E-2</v>
      </c>
      <c r="K179" s="24">
        <f>IF(OR(B179="",C179=""),"",IFERROR(IFERROR(INDEX(Vöruskrá!N:N,MATCH(B179,Vöruskrá!B:B,0)),"")*C179/100000,""))</f>
        <v>3.8999999999999999E-4</v>
      </c>
      <c r="L179" s="24">
        <f>IF(OR(B179="",C179=""),"",IFERROR(IFERROR(INDEX(Vöruskrá!O:O,MATCH(B179,Vöruskrá!B:B,0)),"")*C179/100000,""))</f>
        <v>7.1500000000000001E-3</v>
      </c>
      <c r="M179" s="24">
        <f>IF(OR(B179="",C179=""),"",IFERROR(IFERROR(INDEX(Vöruskrá!P:P,MATCH(B179,Vöruskrá!B:B,0)),"")*C179/100000,""))</f>
        <v>6.4999999999999994E-5</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299</v>
      </c>
      <c r="C180" s="22">
        <v>780</v>
      </c>
      <c r="D180" s="23" t="s">
        <v>302</v>
      </c>
      <c r="E180" s="23" t="s">
        <v>134</v>
      </c>
      <c r="F180" s="23" t="s">
        <v>303</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0.78</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477</v>
      </c>
      <c r="C181" s="28">
        <v>390</v>
      </c>
      <c r="D181" s="23" t="s">
        <v>479</v>
      </c>
      <c r="E181" s="23" t="s">
        <v>134</v>
      </c>
      <c r="F181" s="23"/>
      <c r="G181" s="24">
        <f>IF(OR(B181="",C181=""),"",IFERROR(IFERROR(INDEX(Vöruskrá!J:J,MATCH(B181,Vöruskrá!B:B,0)),"")*C181/100000,""))</f>
        <v>1.56</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0.39</v>
      </c>
      <c r="K181" s="24">
        <f>IF(OR(B181="",C181=""),"",IFERROR(IFERROR(INDEX(Vöruskrá!N:N,MATCH(B181,Vöruskrá!B:B,0)),"")*C181/100000,""))</f>
        <v>0.39</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1020</v>
      </c>
      <c r="C182" s="22">
        <v>21285</v>
      </c>
      <c r="D182" s="23" t="s">
        <v>1020</v>
      </c>
      <c r="E182" s="23" t="s">
        <v>134</v>
      </c>
      <c r="F182" s="23"/>
      <c r="G182" s="24">
        <f>IF(OR(B182="",C182=""),"",IFERROR(IFERROR(INDEX(Vöruskrá!J:J,MATCH(B182,Vöruskrá!B:B,0)),"")*C182/100000,""))</f>
        <v>0</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ht="72">
      <c r="A183" s="147" t="s">
        <v>1597</v>
      </c>
      <c r="B183" s="147"/>
      <c r="C183" s="148"/>
      <c r="D183" s="147" t="s">
        <v>1598</v>
      </c>
      <c r="E183" s="147" t="s">
        <v>1599</v>
      </c>
      <c r="F183" s="147"/>
      <c r="G183" s="149">
        <v>120.63</v>
      </c>
      <c r="H183" s="149">
        <v>7.15</v>
      </c>
      <c r="I183" s="149">
        <v>3.06</v>
      </c>
      <c r="J183" s="149">
        <v>4.62</v>
      </c>
      <c r="K183" s="149"/>
      <c r="L183" s="149">
        <v>9.5399999999999991</v>
      </c>
      <c r="M183" s="149">
        <v>1.06</v>
      </c>
      <c r="N183" s="149">
        <f>IFERROR(SUM(N184:N196)/(SUM($C$184:$C$196)/100000),"")</f>
        <v>0.46850000000000003</v>
      </c>
      <c r="O183" s="150" t="str">
        <f>IF(OR(B183="",C183=""),"",IFERROR(C183/1000*IFERROR(INDEX(Vöruskrá!R:R,MATCH(B183,Vöruskrá!B:B,0)),0)/1000,""))</f>
        <v/>
      </c>
      <c r="P183" s="147" t="s">
        <v>1600</v>
      </c>
      <c r="Q183" s="28" t="s">
        <v>1601</v>
      </c>
      <c r="R183" s="6" t="s">
        <v>1602</v>
      </c>
    </row>
    <row r="184" spans="1:18" ht="15">
      <c r="A184" s="21"/>
      <c r="B184" s="21" t="s">
        <v>875</v>
      </c>
      <c r="C184" s="22">
        <v>46700</v>
      </c>
      <c r="D184" s="23" t="s">
        <v>877</v>
      </c>
      <c r="E184" s="23"/>
      <c r="F184" s="23" t="s">
        <v>878</v>
      </c>
      <c r="G184" s="24">
        <f>IF(OR(B184="",C184=""),"",IFERROR(IFERROR(INDEX(Vöruskrá!J:J,MATCH(B184,Vöruskrá!B:B,0)),"")*C184/100000,""))</f>
        <v>88.73</v>
      </c>
      <c r="H184" s="24">
        <f>IF(OR(B184="",C184=""),"",IFERROR(IFERROR(INDEX(Vöruskrá!K:K,MATCH(B184,Vöruskrá!B:B,0)),"")*C184/100000,""))</f>
        <v>5.8375000000000004</v>
      </c>
      <c r="I184" s="24">
        <f>IF(OR(B184="",C184=""),"",IFERROR(IFERROR(INDEX(Vöruskrá!L:L,MATCH(B184,Vöruskrá!B:B,0)),"")*C184/100000,""))</f>
        <v>2.335</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9.1065000000000005</v>
      </c>
      <c r="M184" s="24">
        <f>IF(OR(B184="",C184=""),"",IFERROR(IFERROR(INDEX(Vöruskrá!P:P,MATCH(B184,Vöruskrá!B:B,0)),"")*C184/100000,""))</f>
        <v>4.6699999999999998E-2</v>
      </c>
      <c r="N184" s="24">
        <f>IF(OR(B184="",C184=""),"",IFERROR(IFERROR(INDEX(Vöruskrá!Q:Q,MATCH(B184,Vöruskrá!B:B,0)),"")*C184/100000,""))</f>
        <v>0</v>
      </c>
      <c r="O184" s="25">
        <f>IF(OR(B184="",C184=""),"",IFERROR(C184/1000*IFERROR(INDEX(Vöruskrá!R:R,MATCH(B184,Vöruskrá!B:B,0)),0)/1000,""))</f>
        <v>0</v>
      </c>
      <c r="P184" s="21"/>
      <c r="Q184" s="26"/>
      <c r="R184" s="27"/>
    </row>
    <row r="185" spans="1:18" ht="15">
      <c r="A185" s="21"/>
      <c r="B185" s="21" t="s">
        <v>1006</v>
      </c>
      <c r="C185" s="22">
        <v>13300</v>
      </c>
      <c r="D185" s="23" t="s">
        <v>1006</v>
      </c>
      <c r="E185" s="23" t="s">
        <v>134</v>
      </c>
      <c r="F185" s="23"/>
      <c r="G185" s="24">
        <f>IF(OR(B185="",C185=""),"",IFERROR(IFERROR(INDEX(Vöruskrá!J:J,MATCH(B185,Vöruskrá!B:B,0)),"")*C185/100000,""))</f>
        <v>5.4530000000000003</v>
      </c>
      <c r="H185" s="24">
        <f>IF(OR(B185="",C185=""),"",IFERROR(IFERROR(INDEX(Vöruskrá!K:K,MATCH(B185,Vöruskrá!B:B,0)),"")*C185/100000,""))</f>
        <v>2.6599999999999999E-2</v>
      </c>
      <c r="I185" s="24">
        <f>IF(OR(B185="",C185=""),"",IFERROR(IFERROR(INDEX(Vöruskrá!L:L,MATCH(B185,Vöruskrá!B:B,0)),"")*C185/100000,""))</f>
        <v>0</v>
      </c>
      <c r="J185" s="24">
        <f>IF(OR(B185="",C185=""),"",IFERROR(IFERROR(INDEX(Vöruskrá!M:M,MATCH(B185,Vöruskrá!B:B,0)),"")*C185/100000,""))</f>
        <v>1.2767999999999999</v>
      </c>
      <c r="K185" s="24">
        <f>IF(OR(B185="",C185=""),"",IFERROR(IFERROR(INDEX(Vöruskrá!N:N,MATCH(B185,Vöruskrá!B:B,0)),"")*C185/100000,""))</f>
        <v>0.62509999999999999</v>
      </c>
      <c r="L185" s="24">
        <f>IF(OR(B185="",C185=""),"",IFERROR(IFERROR(INDEX(Vöruskrá!O:O,MATCH(B185,Vöruskrá!B:B,0)),"")*C185/100000,""))</f>
        <v>0.1197</v>
      </c>
      <c r="M185" s="24">
        <f>IF(OR(B185="",C185=""),"",IFERROR(IFERROR(INDEX(Vöruskrá!P:P,MATCH(B185,Vöruskrá!B:B,0)),"")*C185/100000,""))</f>
        <v>1.3299999999999999E-2</v>
      </c>
      <c r="N185" s="24">
        <f>IF(OR(B185="",C185=""),"",IFERROR(IFERROR(INDEX(Vöruskrá!Q:Q,MATCH(B185,Vöruskrá!B:B,0)),"")*C185/100000,""))</f>
        <v>0.37240000000000001</v>
      </c>
      <c r="O185" s="25">
        <f>IF(OR(B185="",C185=""),"",IFERROR(C185/1000*IFERROR(INDEX(Vöruskrá!R:R,MATCH(B185,Vöruskrá!B:B,0)),0)/1000,""))</f>
        <v>0</v>
      </c>
      <c r="P185" s="21"/>
      <c r="Q185" s="26"/>
      <c r="R185" s="27"/>
    </row>
    <row r="186" spans="1:18" ht="15">
      <c r="A186" s="6"/>
      <c r="B186" s="6" t="s">
        <v>1010</v>
      </c>
      <c r="C186" s="28">
        <v>5300</v>
      </c>
      <c r="D186" s="23" t="s">
        <v>1010</v>
      </c>
      <c r="E186" s="23" t="s">
        <v>134</v>
      </c>
      <c r="F186" s="23"/>
      <c r="G186" s="24">
        <f>IF(OR(B186="",C186=""),"",IFERROR(IFERROR(INDEX(Vöruskrá!J:J,MATCH(B186,Vöruskrá!B:B,0)),"")*C186/100000,""))</f>
        <v>2.12</v>
      </c>
      <c r="H186" s="24">
        <f>IF(OR(B186="",C186=""),"",IFERROR(IFERROR(INDEX(Vöruskrá!K:K,MATCH(B186,Vöruskrá!B:B,0)),"")*C186/100000,""))</f>
        <v>5.3E-3</v>
      </c>
      <c r="I186" s="24">
        <f>IF(OR(B186="",C186=""),"",IFERROR(IFERROR(INDEX(Vöruskrá!L:L,MATCH(B186,Vöruskrá!B:B,0)),"")*C186/100000,""))</f>
        <v>0</v>
      </c>
      <c r="J186" s="24">
        <f>IF(OR(B186="",C186=""),"",IFERROR(IFERROR(INDEX(Vöruskrá!M:M,MATCH(B186,Vöruskrá!B:B,0)),"")*C186/100000,""))</f>
        <v>0.49290000000000006</v>
      </c>
      <c r="K186" s="24">
        <f>IF(OR(B186="",C186=""),"",IFERROR(IFERROR(INDEX(Vöruskrá!N:N,MATCH(B186,Vöruskrá!B:B,0)),"")*C186/100000,""))</f>
        <v>0.22259999999999999</v>
      </c>
      <c r="L186" s="24">
        <f>IF(OR(B186="",C186=""),"",IFERROR(IFERROR(INDEX(Vöruskrá!O:O,MATCH(B186,Vöruskrá!B:B,0)),"")*C186/100000,""))</f>
        <v>5.8300000000000012E-2</v>
      </c>
      <c r="M186" s="24">
        <f>IF(OR(B186="",C186=""),"",IFERROR(IFERROR(INDEX(Vöruskrá!P:P,MATCH(B186,Vöruskrá!B:B,0)),"")*C186/100000,""))</f>
        <v>0</v>
      </c>
      <c r="N186" s="24">
        <f>IF(OR(B186="",C186=""),"",IFERROR(IFERROR(INDEX(Vöruskrá!Q:Q,MATCH(B186,Vöruskrá!B:B,0)),"")*C186/100000,""))</f>
        <v>9.01E-2</v>
      </c>
      <c r="O186" s="25">
        <f>IF(OR(B186="",C186=""),"",IFERROR(C186/1000*IFERROR(INDEX(Vöruskrá!R:R,MATCH(B186,Vöruskrá!B:B,0)),0)/1000,""))</f>
        <v>0</v>
      </c>
      <c r="P186" s="6"/>
      <c r="Q186" s="28"/>
      <c r="R186" s="6"/>
    </row>
    <row r="187" spans="1:18" ht="15">
      <c r="A187" s="21"/>
      <c r="B187" s="21" t="s">
        <v>789</v>
      </c>
      <c r="C187" s="22">
        <v>2000</v>
      </c>
      <c r="D187" s="23" t="s">
        <v>792</v>
      </c>
      <c r="E187" s="23" t="s">
        <v>134</v>
      </c>
      <c r="F187" s="23"/>
      <c r="G187" s="24">
        <f>IF(OR(B187="",C187=""),"",IFERROR(IFERROR(INDEX(Vöruskrá!J:J,MATCH(B187,Vöruskrá!B:B,0)),"")*C187/100000,""))</f>
        <v>7.22</v>
      </c>
      <c r="H187" s="24">
        <f>IF(OR(B187="",C187=""),"",IFERROR(IFERROR(INDEX(Vöruskrá!K:K,MATCH(B187,Vöruskrá!B:B,0)),"")*C187/100000,""))</f>
        <v>0.17199999999999999</v>
      </c>
      <c r="I187" s="24">
        <f>IF(OR(B187="",C187=""),"",IFERROR(IFERROR(INDEX(Vöruskrá!L:L,MATCH(B187,Vöruskrá!B:B,0)),"")*C187/100000,""))</f>
        <v>7.1999999999999995E-2</v>
      </c>
      <c r="J187" s="24">
        <f>IF(OR(B187="",C187=""),"",IFERROR(IFERROR(INDEX(Vöruskrá!M:M,MATCH(B187,Vöruskrá!B:B,0)),"")*C187/100000,""))</f>
        <v>1.306</v>
      </c>
      <c r="K187" s="24">
        <f>IF(OR(B187="",C187=""),"",IFERROR(IFERROR(INDEX(Vöruskrá!N:N,MATCH(B187,Vöruskrá!B:B,0)),"")*C187/100000,""))</f>
        <v>0.08</v>
      </c>
      <c r="L187" s="24">
        <f>IF(OR(B187="",C187=""),"",IFERROR(IFERROR(INDEX(Vöruskrá!O:O,MATCH(B187,Vöruskrá!B:B,0)),"")*C187/100000,""))</f>
        <v>0.112</v>
      </c>
      <c r="M187" s="24">
        <f>IF(OR(B187="",C187=""),"",IFERROR(IFERROR(INDEX(Vöruskrá!P:P,MATCH(B187,Vöruskrá!B:B,0)),"")*C187/100000,""))</f>
        <v>0.22600000000000001</v>
      </c>
      <c r="N187" s="24">
        <f>IF(OR(B187="",C187=""),"",IFERROR(IFERROR(INDEX(Vöruskrá!Q:Q,MATCH(B187,Vöruskrá!B:B,0)),"")*C187/100000,""))</f>
        <v>6.0000000000000001E-3</v>
      </c>
      <c r="O187" s="25">
        <f>IF(OR(B187="",C187=""),"",IFERROR(C187/1000*IFERROR(INDEX(Vöruskrá!R:R,MATCH(B187,Vöruskrá!B:B,0)),0)/1000,""))</f>
        <v>0</v>
      </c>
      <c r="P187" s="21"/>
      <c r="Q187" s="26"/>
      <c r="R187" s="27"/>
    </row>
    <row r="188" spans="1:18" ht="15">
      <c r="A188" s="6"/>
      <c r="B188" s="6" t="s">
        <v>504</v>
      </c>
      <c r="C188" s="28">
        <v>2000</v>
      </c>
      <c r="D188" s="23" t="s">
        <v>500</v>
      </c>
      <c r="E188" s="23" t="s">
        <v>134</v>
      </c>
      <c r="F188" s="23"/>
      <c r="G188" s="24">
        <f>IF(OR(B188="",C188=""),"",IFERROR(IFERROR(INDEX(Vöruskrá!J:J,MATCH(B188,Vöruskrá!B:B,0)),"")*C188/100000,""))</f>
        <v>2.2599999999999998</v>
      </c>
      <c r="H188" s="24">
        <f>IF(OR(B188="",C188=""),"",IFERROR(IFERROR(INDEX(Vöruskrá!K:K,MATCH(B188,Vöruskrá!B:B,0)),"")*C188/100000,""))</f>
        <v>8.0000000000000002E-3</v>
      </c>
      <c r="I188" s="24">
        <f>IF(OR(B188="",C188=""),"",IFERROR(IFERROR(INDEX(Vöruskrá!L:L,MATCH(B188,Vöruskrá!B:B,0)),"")*C188/100000,""))</f>
        <v>0</v>
      </c>
      <c r="J188" s="24">
        <f>IF(OR(B188="",C188=""),"",IFERROR(IFERROR(INDEX(Vöruskrá!M:M,MATCH(B188,Vöruskrá!B:B,0)),"")*C188/100000,""))</f>
        <v>0.38</v>
      </c>
      <c r="K188" s="24">
        <f>IF(OR(B188="",C188=""),"",IFERROR(IFERROR(INDEX(Vöruskrá!N:N,MATCH(B188,Vöruskrá!B:B,0)),"")*C188/100000,""))</f>
        <v>0.28000000000000003</v>
      </c>
      <c r="L188" s="24">
        <f>IF(OR(B188="",C188=""),"",IFERROR(IFERROR(INDEX(Vöruskrá!O:O,MATCH(B188,Vöruskrá!B:B,0)),"")*C188/100000,""))</f>
        <v>0.12</v>
      </c>
      <c r="M188" s="24">
        <f>IF(OR(B188="",C188=""),"",IFERROR(IFERROR(INDEX(Vöruskrá!P:P,MATCH(B188,Vöruskrá!B:B,0)),"")*C188/100000,""))</f>
        <v>2E-3</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1125</v>
      </c>
      <c r="C189" s="22">
        <v>1070</v>
      </c>
      <c r="D189" s="23" t="s">
        <v>1126</v>
      </c>
      <c r="E189" s="23" t="s">
        <v>1099</v>
      </c>
      <c r="F189" s="23"/>
      <c r="G189" s="24">
        <f>IF(OR(B189="",C189=""),"",IFERROR(IFERROR(INDEX(Vöruskrá!J:J,MATCH(B189,Vöruskrá!B:B,0)),"")*C189/100000,""))</f>
        <v>4.28</v>
      </c>
      <c r="H189" s="24">
        <f>IF(OR(B189="",C189=""),"",IFERROR(IFERROR(INDEX(Vöruskrá!K:K,MATCH(B189,Vöruskrá!B:B,0)),"")*C189/100000,""))</f>
        <v>0</v>
      </c>
      <c r="I189" s="24">
        <f>IF(OR(B189="",C189=""),"",IFERROR(IFERROR(INDEX(Vöruskrá!L:L,MATCH(B189,Vöruskrá!B:B,0)),"")*C189/100000,""))</f>
        <v>0</v>
      </c>
      <c r="J189" s="24">
        <f>IF(OR(B189="",C189=""),"",IFERROR(IFERROR(INDEX(Vöruskrá!M:M,MATCH(B189,Vöruskrá!B:B,0)),"")*C189/100000,""))</f>
        <v>1.07</v>
      </c>
      <c r="K189" s="24">
        <f>IF(OR(B189="",C189=""),"",IFERROR(IFERROR(INDEX(Vöruskrá!N:N,MATCH(B189,Vöruskrá!B:B,0)),"")*C189/100000,""))</f>
        <v>1.07</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1053</v>
      </c>
      <c r="C190" s="28">
        <v>670</v>
      </c>
      <c r="D190" s="23" t="s">
        <v>1054</v>
      </c>
      <c r="E190" s="23" t="s">
        <v>1055</v>
      </c>
      <c r="F190" s="23"/>
      <c r="G190" s="24">
        <f>IF(OR(B190="",C190=""),"",IFERROR(IFERROR(INDEX(Vöruskrá!J:J,MATCH(B190,Vöruskrá!B:B,0)),"")*C190/100000,""))</f>
        <v>0.13400000000000001</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4.0200000000000001E-3</v>
      </c>
      <c r="K190" s="24">
        <f>IF(OR(B190="",C190=""),"",IFERROR(IFERROR(INDEX(Vöruskrá!N:N,MATCH(B190,Vöruskrá!B:B,0)),"")*C190/100000,""))</f>
        <v>2.6800000000000001E-3</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445</v>
      </c>
      <c r="C191" s="22">
        <v>1330</v>
      </c>
      <c r="D191" s="23" t="s">
        <v>448</v>
      </c>
      <c r="E191" s="23" t="s">
        <v>120</v>
      </c>
      <c r="F191" s="23"/>
      <c r="G191" s="24">
        <f>IF(OR(B191="",C191=""),"",IFERROR(IFERROR(INDEX(Vöruskrá!J:J,MATCH(B191,Vöruskrá!B:B,0)),"")*C191/100000,""))</f>
        <v>9.8154000000000003</v>
      </c>
      <c r="H191" s="24">
        <f>IF(OR(B191="",C191=""),"",IFERROR(IFERROR(INDEX(Vöruskrá!K:K,MATCH(B191,Vöruskrá!B:B,0)),"")*C191/100000,""))</f>
        <v>1.0906</v>
      </c>
      <c r="I191" s="24">
        <f>IF(OR(B191="",C191=""),"",IFERROR(IFERROR(INDEX(Vöruskrá!L:L,MATCH(B191,Vöruskrá!B:B,0)),"")*C191/100000,""))</f>
        <v>0.65169999999999995</v>
      </c>
      <c r="J191" s="24">
        <f>IF(OR(B191="",C191=""),"",IFERROR(IFERROR(INDEX(Vöruskrá!M:M,MATCH(B191,Vöruskrá!B:B,0)),"")*C191/100000,""))</f>
        <v>5.3200000000000001E-3</v>
      </c>
      <c r="K191" s="24">
        <f>IF(OR(B191="",C191=""),"",IFERROR(IFERROR(INDEX(Vöruskrá!N:N,MATCH(B191,Vöruskrá!B:B,0)),"")*C191/100000,""))</f>
        <v>5.3200000000000001E-3</v>
      </c>
      <c r="L191" s="24">
        <f>IF(OR(B191="",C191=""),"",IFERROR(IFERROR(INDEX(Vöruskrá!O:O,MATCH(B191,Vöruskrá!B:B,0)),"")*C191/100000,""))</f>
        <v>7.9799999999999992E-3</v>
      </c>
      <c r="M191" s="24">
        <f>IF(OR(B191="",C191=""),"",IFERROR(IFERROR(INDEX(Vöruskrá!P:P,MATCH(B191,Vöruskrá!B:B,0)),"")*C191/100000,""))</f>
        <v>1.5959999999999998E-2</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823</v>
      </c>
      <c r="C192" s="28">
        <v>70</v>
      </c>
      <c r="D192" s="23" t="s">
        <v>824</v>
      </c>
      <c r="E192" s="23"/>
      <c r="F192" s="23" t="s">
        <v>311</v>
      </c>
      <c r="G192" s="24">
        <f>IF(OR(B192="",C192=""),"",IFERROR(IFERROR(INDEX(Vöruskrá!J:J,MATCH(B192,Vöruskrá!B:B,0)),"")*C192/100000,""))</f>
        <v>0.19950000000000001</v>
      </c>
      <c r="H192" s="24">
        <f>IF(OR(B192="",C192=""),"",IFERROR(IFERROR(INDEX(Vöruskrá!K:K,MATCH(B192,Vöruskrá!B:B,0)),"")*C192/100000,""))</f>
        <v>5.1799999999999997E-3</v>
      </c>
      <c r="I192" s="24">
        <f>IF(OR(B192="",C192=""),"",IFERROR(IFERROR(INDEX(Vöruskrá!L:L,MATCH(B192,Vöruskrá!B:B,0)),"")*C192/100000,""))</f>
        <v>1.89E-3</v>
      </c>
      <c r="J192" s="24">
        <f>IF(OR(B192="",C192=""),"",IFERROR(IFERROR(INDEX(Vöruskrá!M:M,MATCH(B192,Vöruskrá!B:B,0)),"")*C192/100000,""))</f>
        <v>1.89E-2</v>
      </c>
      <c r="K192" s="24">
        <f>IF(OR(B192="",C192=""),"",IFERROR(IFERROR(INDEX(Vöruskrá!N:N,MATCH(B192,Vöruskrá!B:B,0)),"")*C192/100000,""))</f>
        <v>1.1900000000000001E-3</v>
      </c>
      <c r="L192" s="24">
        <f>IF(OR(B192="",C192=""),"",IFERROR(IFERROR(INDEX(Vöruskrá!O:O,MATCH(B192,Vöruskrá!B:B,0)),"")*C192/100000,""))</f>
        <v>6.3699999999999998E-3</v>
      </c>
      <c r="M192" s="24">
        <f>IF(OR(B192="",C192=""),"",IFERROR(IFERROR(INDEX(Vöruskrá!P:P,MATCH(B192,Vöruskrá!B:B,0)),"")*C192/100000,""))</f>
        <v>6.9999999999999994E-5</v>
      </c>
      <c r="N192" s="24">
        <f>IF(OR(B192="",C192=""),"",IFERROR(IFERROR(INDEX(Vöruskrá!Q:Q,MATCH(B192,Vöruskrá!B:B,0)),"")*C192/100000,""))</f>
        <v>0</v>
      </c>
      <c r="O192" s="25">
        <f>IF(OR(B192="",C192=""),"",IFERROR(C192/1000*IFERROR(INDEX(Vöruskrá!R:R,MATCH(B192,Vöruskrá!B:B,0)),0)/1000,""))</f>
        <v>0</v>
      </c>
      <c r="P192" s="6"/>
      <c r="Q192" s="28"/>
      <c r="R192" s="6"/>
    </row>
    <row r="193" spans="1:18" ht="15">
      <c r="A193" s="21"/>
      <c r="B193" s="21" t="s">
        <v>808</v>
      </c>
      <c r="C193" s="22">
        <v>30</v>
      </c>
      <c r="D193" s="23" t="s">
        <v>809</v>
      </c>
      <c r="E193" s="23"/>
      <c r="F193" s="23" t="s">
        <v>311</v>
      </c>
      <c r="G193" s="24">
        <f>IF(OR(B193="",C193=""),"",IFERROR(IFERROR(INDEX(Vöruskrá!J:J,MATCH(B193,Vöruskrá!B:B,0)),"")*C193/100000,""))</f>
        <v>0.10589999999999999</v>
      </c>
      <c r="H193" s="24">
        <f>IF(OR(B193="",C193=""),"",IFERROR(IFERROR(INDEX(Vöruskrá!K:K,MATCH(B193,Vöruskrá!B:B,0)),"")*C193/100000,""))</f>
        <v>2.5200000000000001E-3</v>
      </c>
      <c r="I193" s="24">
        <f>IF(OR(B193="",C193=""),"",IFERROR(IFERROR(INDEX(Vöruskrá!L:L,MATCH(B193,Vöruskrá!B:B,0)),"")*C193/100000,""))</f>
        <v>6.8999999999999997E-4</v>
      </c>
      <c r="J193" s="24">
        <f>IF(OR(B193="",C193=""),"",IFERROR(IFERROR(INDEX(Vöruskrá!M:M,MATCH(B193,Vöruskrá!B:B,0)),"")*C193/100000,""))</f>
        <v>1.47E-2</v>
      </c>
      <c r="K193" s="24">
        <f>IF(OR(B193="",C193=""),"",IFERROR(IFERROR(INDEX(Vöruskrá!N:N,MATCH(B193,Vöruskrá!B:B,0)),"")*C193/100000,""))</f>
        <v>0</v>
      </c>
      <c r="L193" s="24">
        <f>IF(OR(B193="",C193=""),"",IFERROR(IFERROR(INDEX(Vöruskrá!O:O,MATCH(B193,Vöruskrá!B:B,0)),"")*C193/100000,""))</f>
        <v>2.2799999999999999E-3</v>
      </c>
      <c r="M193" s="24">
        <f>IF(OR(B193="",C193=""),"",IFERROR(IFERROR(INDEX(Vöruskrá!P:P,MATCH(B193,Vöruskrá!B:B,0)),"")*C193/100000,""))</f>
        <v>3.0000000000000001E-5</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819</v>
      </c>
      <c r="C194" s="28">
        <v>80</v>
      </c>
      <c r="D194" s="23" t="s">
        <v>820</v>
      </c>
      <c r="E194" s="23"/>
      <c r="F194" s="23" t="s">
        <v>311</v>
      </c>
      <c r="G194" s="24">
        <f>IF(OR(B194="",C194=""),"",IFERROR(IFERROR(INDEX(Vöruskrá!J:J,MATCH(B194,Vöruskrá!B:B,0)),"")*C194/100000,""))</f>
        <v>0.30880000000000002</v>
      </c>
      <c r="H194" s="24">
        <f>IF(OR(B194="",C194=""),"",IFERROR(IFERROR(INDEX(Vöruskrá!K:K,MATCH(B194,Vöruskrá!B:B,0)),"")*C194/100000,""))</f>
        <v>2.64E-3</v>
      </c>
      <c r="I194" s="24">
        <f>IF(OR(B194="",C194=""),"",IFERROR(IFERROR(INDEX(Vöruskrá!L:L,MATCH(B194,Vöruskrá!B:B,0)),"")*C194/100000,""))</f>
        <v>8.0000000000000004E-4</v>
      </c>
      <c r="J194" s="24">
        <f>IF(OR(B194="",C194=""),"",IFERROR(IFERROR(INDEX(Vöruskrá!M:M,MATCH(B194,Vöruskrá!B:B,0)),"")*C194/100000,""))</f>
        <v>5.1999999999999998E-2</v>
      </c>
      <c r="K194" s="24">
        <f>IF(OR(B194="",C194=""),"",IFERROR(IFERROR(INDEX(Vöruskrá!N:N,MATCH(B194,Vöruskrá!B:B,0)),"")*C194/100000,""))</f>
        <v>4.8000000000000001E-4</v>
      </c>
      <c r="L194" s="24">
        <f>IF(OR(B194="",C194=""),"",IFERROR(IFERROR(INDEX(Vöruskrá!O:O,MATCH(B194,Vöruskrá!B:B,0)),"")*C194/100000,""))</f>
        <v>8.8000000000000005E-3</v>
      </c>
      <c r="M194" s="24">
        <f>IF(OR(B194="",C194=""),"",IFERROR(IFERROR(INDEX(Vöruskrá!P:P,MATCH(B194,Vöruskrá!B:B,0)),"")*C194/100000,""))</f>
        <v>8.0000000000000007E-5</v>
      </c>
      <c r="N194" s="24">
        <f>IF(OR(B194="",C194=""),"",IFERROR(IFERROR(INDEX(Vöruskrá!Q:Q,MATCH(B194,Vöruskrá!B:B,0)),"")*C194/100000,""))</f>
        <v>0</v>
      </c>
      <c r="O194" s="25">
        <f>IF(OR(B194="",C194=""),"",IFERROR(C194/1000*IFERROR(INDEX(Vöruskrá!R:R,MATCH(B194,Vöruskrá!B:B,0)),0)/1000,""))</f>
        <v>0</v>
      </c>
      <c r="P194" s="6"/>
      <c r="Q194" s="28"/>
      <c r="R194" s="6"/>
    </row>
    <row r="195" spans="1:18" ht="15">
      <c r="A195" s="21"/>
      <c r="B195" s="21" t="s">
        <v>299</v>
      </c>
      <c r="C195" s="22">
        <v>760</v>
      </c>
      <c r="D195" s="23" t="s">
        <v>302</v>
      </c>
      <c r="E195" s="23" t="s">
        <v>134</v>
      </c>
      <c r="F195" s="23" t="s">
        <v>303</v>
      </c>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0.76</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1020</v>
      </c>
      <c r="C196" s="28">
        <v>26690</v>
      </c>
      <c r="D196" s="23" t="s">
        <v>1020</v>
      </c>
      <c r="E196" s="23" t="s">
        <v>134</v>
      </c>
      <c r="F196" s="23"/>
      <c r="G196" s="24">
        <f>IF(OR(B196="",C196=""),"",IFERROR(IFERROR(INDEX(Vöruskrá!J:J,MATCH(B196,Vöruskrá!B:B,0)),"")*C196/100000,""))</f>
        <v>0</v>
      </c>
      <c r="H196" s="24">
        <f>IF(OR(B196="",C196=""),"",IFERROR(IFERROR(INDEX(Vöruskrá!K:K,MATCH(B196,Vöruskrá!B:B,0)),"")*C196/100000,""))</f>
        <v>0</v>
      </c>
      <c r="I196" s="24">
        <f>IF(OR(B196="",C196=""),"",IFERROR(IFERROR(INDEX(Vöruskrá!L:L,MATCH(B196,Vöruskrá!B:B,0)),"")*C196/100000,""))</f>
        <v>0</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84">
      <c r="A197" s="147" t="s">
        <v>1603</v>
      </c>
      <c r="B197" s="147"/>
      <c r="C197" s="148"/>
      <c r="D197" s="147" t="s">
        <v>1604</v>
      </c>
      <c r="E197" s="147" t="s">
        <v>1605</v>
      </c>
      <c r="F197" s="147"/>
      <c r="G197" s="149">
        <v>122.74</v>
      </c>
      <c r="H197" s="149">
        <v>7.86</v>
      </c>
      <c r="I197" s="149">
        <v>3.62</v>
      </c>
      <c r="J197" s="149">
        <v>4.26</v>
      </c>
      <c r="K197" s="149"/>
      <c r="L197" s="149">
        <v>9.6999999999999993</v>
      </c>
      <c r="M197" s="149">
        <v>0.77</v>
      </c>
      <c r="N197" s="149">
        <f>IFERROR(SUM(N198:N213)/(SUM($C$198:$C$213)/100000),"")</f>
        <v>0.53019000000000005</v>
      </c>
      <c r="O197" s="150" t="str">
        <f>IF(OR(B197="",C197=""),"",IFERROR(C197/1000*IFERROR(INDEX(Vöruskrá!R:R,MATCH(B197,Vöruskrá!B:B,0)),0)/1000,""))</f>
        <v/>
      </c>
      <c r="P197" s="147" t="s">
        <v>1606</v>
      </c>
      <c r="Q197" s="26" t="s">
        <v>1607</v>
      </c>
      <c r="R197" s="27" t="s">
        <v>1608</v>
      </c>
    </row>
    <row r="198" spans="1:18" ht="15">
      <c r="A198" s="6"/>
      <c r="B198" s="6" t="s">
        <v>1294</v>
      </c>
      <c r="C198" s="28">
        <v>50000</v>
      </c>
      <c r="D198" s="23" t="s">
        <v>1293</v>
      </c>
      <c r="E198" s="23" t="s">
        <v>621</v>
      </c>
      <c r="F198" s="23"/>
      <c r="G198" s="24">
        <f>IF(OR(B198="",C198=""),"",IFERROR(IFERROR(INDEX(Vöruskrá!J:J,MATCH(B198,Vöruskrá!B:B,0)),"")*C198/100000,""))</f>
        <v>41</v>
      </c>
      <c r="H198" s="24">
        <f>IF(OR(B198="",C198=""),"",IFERROR(IFERROR(INDEX(Vöruskrá!K:K,MATCH(B198,Vöruskrá!B:B,0)),"")*C198/100000,""))</f>
        <v>0.35</v>
      </c>
      <c r="I198" s="24">
        <f>IF(OR(B198="",C198=""),"",IFERROR(IFERROR(INDEX(Vöruskrá!L:L,MATCH(B198,Vöruskrá!B:B,0)),"")*C198/100000,""))</f>
        <v>0.05</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9</v>
      </c>
      <c r="M198" s="24">
        <f>IF(OR(B198="",C198=""),"",IFERROR(IFERROR(INDEX(Vöruskrá!P:P,MATCH(B198,Vöruskrá!B:B,0)),"")*C198/100000,""))</f>
        <v>0.1</v>
      </c>
      <c r="N198" s="24">
        <f>IF(OR(B198="",C198=""),"",IFERROR(IFERROR(INDEX(Vöruskrá!Q:Q,MATCH(B198,Vöruskrá!B:B,0)),"")*C198/100000,""))</f>
        <v>0</v>
      </c>
      <c r="O198" s="25">
        <f>IF(OR(B198="",C198=""),"",IFERROR(C198/1000*IFERROR(INDEX(Vöruskrá!R:R,MATCH(B198,Vöruskrá!B:B,0)),0)/1000,""))</f>
        <v>0</v>
      </c>
      <c r="P198" s="6"/>
      <c r="Q198" s="28"/>
      <c r="R198" s="6"/>
    </row>
    <row r="199" spans="1:18" ht="15">
      <c r="A199" s="6"/>
      <c r="B199" s="6" t="s">
        <v>1058</v>
      </c>
      <c r="C199" s="28">
        <v>10000</v>
      </c>
      <c r="D199" s="23" t="s">
        <v>1059</v>
      </c>
      <c r="E199" s="23" t="s">
        <v>120</v>
      </c>
      <c r="F199" s="23"/>
      <c r="G199" s="24">
        <f>IF(OR(B199="",C199=""),"",IFERROR(IFERROR(INDEX(Vöruskrá!J:J,MATCH(B199,Vöruskrá!B:B,0)),"")*C199/100000,""))</f>
        <v>34</v>
      </c>
      <c r="H199" s="24">
        <f>IF(OR(B199="",C199=""),"",IFERROR(IFERROR(INDEX(Vöruskrá!K:K,MATCH(B199,Vöruskrá!B:B,0)),"")*C199/100000,""))</f>
        <v>3.5</v>
      </c>
      <c r="I199" s="24">
        <f>IF(OR(B199="",C199=""),"",IFERROR(IFERROR(INDEX(Vöruskrá!L:L,MATCH(B199,Vöruskrá!B:B,0)),"")*C199/100000,""))</f>
        <v>2.2000000000000002</v>
      </c>
      <c r="J199" s="24">
        <f>IF(OR(B199="",C199=""),"",IFERROR(IFERROR(INDEX(Vöruskrá!M:M,MATCH(B199,Vöruskrá!B:B,0)),"")*C199/100000,""))</f>
        <v>0.3</v>
      </c>
      <c r="K199" s="24">
        <f>IF(OR(B199="",C199=""),"",IFERROR(IFERROR(INDEX(Vöruskrá!N:N,MATCH(B199,Vöruskrá!B:B,0)),"")*C199/100000,""))</f>
        <v>0.3</v>
      </c>
      <c r="L199" s="24">
        <f>IF(OR(B199="",C199=""),"",IFERROR(IFERROR(INDEX(Vöruskrá!O:O,MATCH(B199,Vöruskrá!B:B,0)),"")*C199/100000,""))</f>
        <v>0.25</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15">
      <c r="A200" s="21"/>
      <c r="B200" s="21" t="s">
        <v>445</v>
      </c>
      <c r="C200" s="22">
        <v>2500</v>
      </c>
      <c r="D200" s="23" t="s">
        <v>448</v>
      </c>
      <c r="E200" s="23" t="s">
        <v>120</v>
      </c>
      <c r="F200" s="23"/>
      <c r="G200" s="24">
        <f>IF(OR(B200="",C200=""),"",IFERROR(IFERROR(INDEX(Vöruskrá!J:J,MATCH(B200,Vöruskrá!B:B,0)),"")*C200/100000,""))</f>
        <v>18.45</v>
      </c>
      <c r="H200" s="24">
        <f>IF(OR(B200="",C200=""),"",IFERROR(IFERROR(INDEX(Vöruskrá!K:K,MATCH(B200,Vöruskrá!B:B,0)),"")*C200/100000,""))</f>
        <v>2.0499999999999998</v>
      </c>
      <c r="I200" s="24">
        <f>IF(OR(B200="",C200=""),"",IFERROR(IFERROR(INDEX(Vöruskrá!L:L,MATCH(B200,Vöruskrá!B:B,0)),"")*C200/100000,""))</f>
        <v>1.2250000000000001</v>
      </c>
      <c r="J200" s="24">
        <f>IF(OR(B200="",C200=""),"",IFERROR(IFERROR(INDEX(Vöruskrá!M:M,MATCH(B200,Vöruskrá!B:B,0)),"")*C200/100000,""))</f>
        <v>0.01</v>
      </c>
      <c r="K200" s="24">
        <f>IF(OR(B200="",C200=""),"",IFERROR(IFERROR(INDEX(Vöruskrá!N:N,MATCH(B200,Vöruskrá!B:B,0)),"")*C200/100000,""))</f>
        <v>0.01</v>
      </c>
      <c r="L200" s="24">
        <f>IF(OR(B200="",C200=""),"",IFERROR(IFERROR(INDEX(Vöruskrá!O:O,MATCH(B200,Vöruskrá!B:B,0)),"")*C200/100000,""))</f>
        <v>1.4999999999999999E-2</v>
      </c>
      <c r="M200" s="24">
        <f>IF(OR(B200="",C200=""),"",IFERROR(IFERROR(INDEX(Vöruskrá!P:P,MATCH(B200,Vöruskrá!B:B,0)),"")*C200/100000,""))</f>
        <v>0.03</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833</v>
      </c>
      <c r="C201" s="28">
        <v>1250</v>
      </c>
      <c r="D201" s="23" t="s">
        <v>835</v>
      </c>
      <c r="E201" s="23"/>
      <c r="F201" s="23"/>
      <c r="G201" s="24">
        <f>IF(OR(B201="",C201=""),"",IFERROR(IFERROR(INDEX(Vöruskrá!J:J,MATCH(B201,Vöruskrá!B:B,0)),"")*C201/100000,""))</f>
        <v>0.38750000000000001</v>
      </c>
      <c r="H201" s="24">
        <f>IF(OR(B201="",C201=""),"",IFERROR(IFERROR(INDEX(Vöruskrá!K:K,MATCH(B201,Vöruskrá!B:B,0)),"")*C201/100000,""))</f>
        <v>2.5000000000000001E-3</v>
      </c>
      <c r="I201" s="24">
        <f>IF(OR(B201="",C201=""),"",IFERROR(IFERROR(INDEX(Vöruskrá!L:L,MATCH(B201,Vöruskrá!B:B,0)),"")*C201/100000,""))</f>
        <v>0</v>
      </c>
      <c r="J201" s="24">
        <f>IF(OR(B201="",C201=""),"",IFERROR(IFERROR(INDEX(Vöruskrá!M:M,MATCH(B201,Vöruskrá!B:B,0)),"")*C201/100000,""))</f>
        <v>8.6249999999999993E-2</v>
      </c>
      <c r="K201" s="24">
        <f>IF(OR(B201="",C201=""),"",IFERROR(IFERROR(INDEX(Vöruskrá!N:N,MATCH(B201,Vöruskrá!B:B,0)),"")*C201/100000,""))</f>
        <v>0.03</v>
      </c>
      <c r="L201" s="24">
        <f>IF(OR(B201="",C201=""),"",IFERROR(IFERROR(INDEX(Vöruskrá!O:O,MATCH(B201,Vöruskrá!B:B,0)),"")*C201/100000,""))</f>
        <v>0</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6"/>
      <c r="Q201" s="28"/>
      <c r="R201" s="6"/>
    </row>
    <row r="202" spans="1:18" ht="15">
      <c r="A202" s="21"/>
      <c r="B202" s="21" t="s">
        <v>1053</v>
      </c>
      <c r="C202" s="22">
        <v>630</v>
      </c>
      <c r="D202" s="23" t="s">
        <v>1054</v>
      </c>
      <c r="E202" s="23" t="s">
        <v>1055</v>
      </c>
      <c r="F202" s="23"/>
      <c r="G202" s="24">
        <f>IF(OR(B202="",C202=""),"",IFERROR(IFERROR(INDEX(Vöruskrá!J:J,MATCH(B202,Vöruskrá!B:B,0)),"")*C202/100000,""))</f>
        <v>0.126</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3.7799999999999999E-3</v>
      </c>
      <c r="K202" s="24">
        <f>IF(OR(B202="",C202=""),"",IFERROR(IFERROR(INDEX(Vöruskrá!N:N,MATCH(B202,Vöruskrá!B:B,0)),"")*C202/100000,""))</f>
        <v>2.5200000000000001E-3</v>
      </c>
      <c r="L202" s="24">
        <f>IF(OR(B202="",C202=""),"",IFERROR(IFERROR(INDEX(Vöruskrá!O:O,MATCH(B202,Vöruskrá!B:B,0)),"")*C202/100000,""))</f>
        <v>0</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1030</v>
      </c>
      <c r="C203" s="28">
        <v>130</v>
      </c>
      <c r="D203" s="23" t="s">
        <v>1032</v>
      </c>
      <c r="E203" s="23" t="s">
        <v>134</v>
      </c>
      <c r="F203" s="23" t="s">
        <v>1024</v>
      </c>
      <c r="G203" s="24">
        <f>IF(OR(B203="",C203=""),"",IFERROR(IFERROR(INDEX(Vöruskrá!J:J,MATCH(B203,Vöruskrá!B:B,0)),"")*C203/100000,""))</f>
        <v>0.37959999999999999</v>
      </c>
      <c r="H203" s="24">
        <f>IF(OR(B203="",C203=""),"",IFERROR(IFERROR(INDEX(Vöruskrá!K:K,MATCH(B203,Vöruskrá!B:B,0)),"")*C203/100000,""))</f>
        <v>7.1500000000000001E-3</v>
      </c>
      <c r="I203" s="24">
        <f>IF(OR(B203="",C203=""),"",IFERROR(IFERROR(INDEX(Vöruskrá!L:L,MATCH(B203,Vöruskrá!B:B,0)),"")*C203/100000,""))</f>
        <v>1.17E-3</v>
      </c>
      <c r="J203" s="24">
        <f>IF(OR(B203="",C203=""),"",IFERROR(IFERROR(INDEX(Vöruskrá!M:M,MATCH(B203,Vöruskrá!B:B,0)),"")*C203/100000,""))</f>
        <v>6.5000000000000002E-2</v>
      </c>
      <c r="K203" s="24">
        <f>IF(OR(B203="",C203=""),"",IFERROR(IFERROR(INDEX(Vöruskrá!N:N,MATCH(B203,Vöruskrá!B:B,0)),"")*C203/100000,""))</f>
        <v>5.1999999999999998E-3</v>
      </c>
      <c r="L203" s="24">
        <f>IF(OR(B203="",C203=""),"",IFERROR(IFERROR(INDEX(Vöruskrá!O:O,MATCH(B203,Vöruskrá!B:B,0)),"")*C203/100000,""))</f>
        <v>3.458E-2</v>
      </c>
      <c r="M203" s="24">
        <f>IF(OR(B203="",C203=""),"",IFERROR(IFERROR(INDEX(Vöruskrá!P:P,MATCH(B203,Vöruskrá!B:B,0)),"")*C203/100000,""))</f>
        <v>1.2999999999999999E-4</v>
      </c>
      <c r="N203" s="24">
        <f>IF(OR(B203="",C203=""),"",IFERROR(IFERROR(INDEX(Vöruskrá!Q:Q,MATCH(B203,Vöruskrá!B:B,0)),"")*C203/100000,""))</f>
        <v>3.4709999999999998E-2</v>
      </c>
      <c r="O203" s="25">
        <f>IF(OR(B203="",C203=""),"",IFERROR(C203/1000*IFERROR(INDEX(Vöruskrá!R:R,MATCH(B203,Vöruskrá!B:B,0)),0)/1000,""))</f>
        <v>0</v>
      </c>
      <c r="P203" s="6"/>
      <c r="Q203" s="28"/>
      <c r="R203" s="6"/>
    </row>
    <row r="204" spans="1:18" ht="15">
      <c r="A204" s="21"/>
      <c r="B204" s="21" t="s">
        <v>823</v>
      </c>
      <c r="C204" s="22">
        <v>60</v>
      </c>
      <c r="D204" s="23" t="s">
        <v>824</v>
      </c>
      <c r="E204" s="23"/>
      <c r="F204" s="23" t="s">
        <v>311</v>
      </c>
      <c r="G204" s="24">
        <f>IF(OR(B204="",C204=""),"",IFERROR(IFERROR(INDEX(Vöruskrá!J:J,MATCH(B204,Vöruskrá!B:B,0)),"")*C204/100000,""))</f>
        <v>0.17100000000000001</v>
      </c>
      <c r="H204" s="24">
        <f>IF(OR(B204="",C204=""),"",IFERROR(IFERROR(INDEX(Vöruskrá!K:K,MATCH(B204,Vöruskrá!B:B,0)),"")*C204/100000,""))</f>
        <v>4.4400000000000004E-3</v>
      </c>
      <c r="I204" s="24">
        <f>IF(OR(B204="",C204=""),"",IFERROR(IFERROR(INDEX(Vöruskrá!L:L,MATCH(B204,Vöruskrá!B:B,0)),"")*C204/100000,""))</f>
        <v>1.6199999999999999E-3</v>
      </c>
      <c r="J204" s="24">
        <f>IF(OR(B204="",C204=""),"",IFERROR(IFERROR(INDEX(Vöruskrá!M:M,MATCH(B204,Vöruskrá!B:B,0)),"")*C204/100000,""))</f>
        <v>1.6199999999999999E-2</v>
      </c>
      <c r="K204" s="24">
        <f>IF(OR(B204="",C204=""),"",IFERROR(IFERROR(INDEX(Vöruskrá!N:N,MATCH(B204,Vöruskrá!B:B,0)),"")*C204/100000,""))</f>
        <v>1.0200000000000001E-3</v>
      </c>
      <c r="L204" s="24">
        <f>IF(OR(B204="",C204=""),"",IFERROR(IFERROR(INDEX(Vöruskrá!O:O,MATCH(B204,Vöruskrá!B:B,0)),"")*C204/100000,""))</f>
        <v>5.4599999999999996E-3</v>
      </c>
      <c r="M204" s="24">
        <f>IF(OR(B204="",C204=""),"",IFERROR(IFERROR(INDEX(Vöruskrá!P:P,MATCH(B204,Vöruskrá!B:B,0)),"")*C204/100000,""))</f>
        <v>6.0000000000000002E-5</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349</v>
      </c>
      <c r="C205" s="28">
        <v>1000</v>
      </c>
      <c r="D205" s="23" t="s">
        <v>351</v>
      </c>
      <c r="E205" s="23" t="s">
        <v>134</v>
      </c>
      <c r="F205" s="23"/>
      <c r="G205" s="24">
        <f>IF(OR(B205="",C205=""),"",IFERROR(IFERROR(INDEX(Vöruskrá!J:J,MATCH(B205,Vöruskrá!B:B,0)),"")*C205/100000,""))</f>
        <v>3.55</v>
      </c>
      <c r="H205" s="24">
        <f>IF(OR(B205="",C205=""),"",IFERROR(IFERROR(INDEX(Vöruskrá!K:K,MATCH(B205,Vöruskrá!B:B,0)),"")*C205/100000,""))</f>
        <v>5.0000000000000001E-3</v>
      </c>
      <c r="I205" s="24">
        <f>IF(OR(B205="",C205=""),"",IFERROR(IFERROR(INDEX(Vöruskrá!L:L,MATCH(B205,Vöruskrá!B:B,0)),"")*C205/100000,""))</f>
        <v>0</v>
      </c>
      <c r="J205" s="24">
        <f>IF(OR(B205="",C205=""),"",IFERROR(IFERROR(INDEX(Vöruskrá!M:M,MATCH(B205,Vöruskrá!B:B,0)),"")*C205/100000,""))</f>
        <v>0.86</v>
      </c>
      <c r="K205" s="24">
        <f>IF(OR(B205="",C205=""),"",IFERROR(IFERROR(INDEX(Vöruskrá!N:N,MATCH(B205,Vöruskrá!B:B,0)),"")*C205/100000,""))</f>
        <v>0</v>
      </c>
      <c r="L205" s="24">
        <f>IF(OR(B205="",C205=""),"",IFERROR(IFERROR(INDEX(Vöruskrá!O:O,MATCH(B205,Vöruskrá!B:B,0)),"")*C205/100000,""))</f>
        <v>5.0000000000000001E-3</v>
      </c>
      <c r="M205" s="24">
        <f>IF(OR(B205="",C205=""),"",IFERROR(IFERROR(INDEX(Vöruskrá!P:P,MATCH(B205,Vöruskrá!B:B,0)),"")*C205/100000,""))</f>
        <v>0</v>
      </c>
      <c r="N205" s="24">
        <f>IF(OR(B205="",C205=""),"",IFERROR(IFERROR(INDEX(Vöruskrá!Q:Q,MATCH(B205,Vöruskrá!B:B,0)),"")*C205/100000,""))</f>
        <v>0.01</v>
      </c>
      <c r="O205" s="25">
        <f>IF(OR(B205="",C205=""),"",IFERROR(C205/1000*IFERROR(INDEX(Vöruskrá!R:R,MATCH(B205,Vöruskrá!B:B,0)),0)/1000,""))</f>
        <v>0</v>
      </c>
      <c r="P205" s="6"/>
      <c r="Q205" s="28"/>
      <c r="R205" s="6"/>
    </row>
    <row r="206" spans="1:18" ht="15">
      <c r="A206" s="21"/>
      <c r="B206" s="21" t="s">
        <v>1106</v>
      </c>
      <c r="C206" s="22">
        <v>10000</v>
      </c>
      <c r="D206" s="23" t="s">
        <v>1106</v>
      </c>
      <c r="E206" s="23" t="s">
        <v>1099</v>
      </c>
      <c r="F206" s="23"/>
      <c r="G206" s="24">
        <f>IF(OR(B206="",C206=""),"",IFERROR(IFERROR(INDEX(Vöruskrá!J:J,MATCH(B206,Vöruskrá!B:B,0)),"")*C206/100000,""))</f>
        <v>3.4</v>
      </c>
      <c r="H206" s="24">
        <f>IF(OR(B206="",C206=""),"",IFERROR(IFERROR(INDEX(Vöruskrá!K:K,MATCH(B206,Vöruskrá!B:B,0)),"")*C206/100000,""))</f>
        <v>0.04</v>
      </c>
      <c r="I206" s="24">
        <f>IF(OR(B206="",C206=""),"",IFERROR(IFERROR(INDEX(Vöruskrá!L:L,MATCH(B206,Vöruskrá!B:B,0)),"")*C206/100000,""))</f>
        <v>0.01</v>
      </c>
      <c r="J206" s="24">
        <f>IF(OR(B206="",C206=""),"",IFERROR(IFERROR(INDEX(Vöruskrá!M:M,MATCH(B206,Vöruskrá!B:B,0)),"")*C206/100000,""))</f>
        <v>0.7</v>
      </c>
      <c r="K206" s="24">
        <f>IF(OR(B206="",C206=""),"",IFERROR(IFERROR(INDEX(Vöruskrá!N:N,MATCH(B206,Vöruskrá!B:B,0)),"")*C206/100000,""))</f>
        <v>0.17</v>
      </c>
      <c r="L206" s="24">
        <f>IF(OR(B206="",C206=""),"",IFERROR(IFERROR(INDEX(Vöruskrá!O:O,MATCH(B206,Vöruskrá!B:B,0)),"")*C206/100000,""))</f>
        <v>0.28000000000000003</v>
      </c>
      <c r="M206" s="24">
        <f>IF(OR(B206="",C206=""),"",IFERROR(IFERROR(INDEX(Vöruskrá!P:P,MATCH(B206,Vöruskrá!B:B,0)),"")*C206/100000,""))</f>
        <v>0</v>
      </c>
      <c r="N206" s="24">
        <f>IF(OR(B206="",C206=""),"",IFERROR(IFERROR(INDEX(Vöruskrá!Q:Q,MATCH(B206,Vöruskrá!B:B,0)),"")*C206/100000,""))</f>
        <v>0.26</v>
      </c>
      <c r="O206" s="25">
        <f>IF(OR(B206="",C206=""),"",IFERROR(C206/1000*IFERROR(INDEX(Vöruskrá!R:R,MATCH(B206,Vöruskrá!B:B,0)),0)/1000,""))</f>
        <v>0</v>
      </c>
      <c r="P206" s="21"/>
      <c r="Q206" s="26"/>
      <c r="R206" s="27"/>
    </row>
    <row r="207" spans="1:18" ht="15">
      <c r="A207" s="6"/>
      <c r="B207" s="6" t="s">
        <v>1006</v>
      </c>
      <c r="C207" s="28">
        <v>6250</v>
      </c>
      <c r="D207" s="23" t="s">
        <v>1006</v>
      </c>
      <c r="E207" s="23" t="s">
        <v>134</v>
      </c>
      <c r="F207" s="23"/>
      <c r="G207" s="24">
        <f>IF(OR(B207="",C207=""),"",IFERROR(IFERROR(INDEX(Vöruskrá!J:J,MATCH(B207,Vöruskrá!B:B,0)),"")*C207/100000,""))</f>
        <v>2.5625</v>
      </c>
      <c r="H207" s="24">
        <f>IF(OR(B207="",C207=""),"",IFERROR(IFERROR(INDEX(Vöruskrá!K:K,MATCH(B207,Vöruskrá!B:B,0)),"")*C207/100000,""))</f>
        <v>1.2500000000000001E-2</v>
      </c>
      <c r="I207" s="24">
        <f>IF(OR(B207="",C207=""),"",IFERROR(IFERROR(INDEX(Vöruskrá!L:L,MATCH(B207,Vöruskrá!B:B,0)),"")*C207/100000,""))</f>
        <v>0</v>
      </c>
      <c r="J207" s="24">
        <f>IF(OR(B207="",C207=""),"",IFERROR(IFERROR(INDEX(Vöruskrá!M:M,MATCH(B207,Vöruskrá!B:B,0)),"")*C207/100000,""))</f>
        <v>0.6</v>
      </c>
      <c r="K207" s="24">
        <f>IF(OR(B207="",C207=""),"",IFERROR(IFERROR(INDEX(Vöruskrá!N:N,MATCH(B207,Vöruskrá!B:B,0)),"")*C207/100000,""))</f>
        <v>0.29375000000000001</v>
      </c>
      <c r="L207" s="24">
        <f>IF(OR(B207="",C207=""),"",IFERROR(IFERROR(INDEX(Vöruskrá!O:O,MATCH(B207,Vöruskrá!B:B,0)),"")*C207/100000,""))</f>
        <v>5.6250000000000001E-2</v>
      </c>
      <c r="M207" s="24">
        <f>IF(OR(B207="",C207=""),"",IFERROR(IFERROR(INDEX(Vöruskrá!P:P,MATCH(B207,Vöruskrá!B:B,0)),"")*C207/100000,""))</f>
        <v>6.2500000000000003E-3</v>
      </c>
      <c r="N207" s="24">
        <f>IF(OR(B207="",C207=""),"",IFERROR(IFERROR(INDEX(Vöruskrá!Q:Q,MATCH(B207,Vöruskrá!B:B,0)),"")*C207/100000,""))</f>
        <v>0.17499999999999999</v>
      </c>
      <c r="O207" s="25">
        <f>IF(OR(B207="",C207=""),"",IFERROR(C207/1000*IFERROR(INDEX(Vöruskrá!R:R,MATCH(B207,Vöruskrá!B:B,0)),0)/1000,""))</f>
        <v>0</v>
      </c>
      <c r="P207" s="6"/>
      <c r="Q207" s="28"/>
      <c r="R207" s="6"/>
    </row>
    <row r="208" spans="1:18" ht="15">
      <c r="A208" s="21"/>
      <c r="B208" s="21" t="s">
        <v>1010</v>
      </c>
      <c r="C208" s="22">
        <v>2500</v>
      </c>
      <c r="D208" s="23" t="s">
        <v>1010</v>
      </c>
      <c r="E208" s="23" t="s">
        <v>134</v>
      </c>
      <c r="F208" s="23"/>
      <c r="G208" s="24">
        <f>IF(OR(B208="",C208=""),"",IFERROR(IFERROR(INDEX(Vöruskrá!J:J,MATCH(B208,Vöruskrá!B:B,0)),"")*C208/100000,""))</f>
        <v>1</v>
      </c>
      <c r="H208" s="24">
        <f>IF(OR(B208="",C208=""),"",IFERROR(IFERROR(INDEX(Vöruskrá!K:K,MATCH(B208,Vöruskrá!B:B,0)),"")*C208/100000,""))</f>
        <v>2.5000000000000001E-3</v>
      </c>
      <c r="I208" s="24">
        <f>IF(OR(B208="",C208=""),"",IFERROR(IFERROR(INDEX(Vöruskrá!L:L,MATCH(B208,Vöruskrá!B:B,0)),"")*C208/100000,""))</f>
        <v>0</v>
      </c>
      <c r="J208" s="24">
        <f>IF(OR(B208="",C208=""),"",IFERROR(IFERROR(INDEX(Vöruskrá!M:M,MATCH(B208,Vöruskrá!B:B,0)),"")*C208/100000,""))</f>
        <v>0.23250000000000001</v>
      </c>
      <c r="K208" s="24">
        <f>IF(OR(B208="",C208=""),"",IFERROR(IFERROR(INDEX(Vöruskrá!N:N,MATCH(B208,Vöruskrá!B:B,0)),"")*C208/100000,""))</f>
        <v>0.105</v>
      </c>
      <c r="L208" s="24">
        <f>IF(OR(B208="",C208=""),"",IFERROR(IFERROR(INDEX(Vöruskrá!O:O,MATCH(B208,Vöruskrá!B:B,0)),"")*C208/100000,""))</f>
        <v>2.75E-2</v>
      </c>
      <c r="M208" s="24">
        <f>IF(OR(B208="",C208=""),"",IFERROR(IFERROR(INDEX(Vöruskrá!P:P,MATCH(B208,Vöruskrá!B:B,0)),"")*C208/100000,""))</f>
        <v>0</v>
      </c>
      <c r="N208" s="24">
        <f>IF(OR(B208="",C208=""),"",IFERROR(IFERROR(INDEX(Vöruskrá!Q:Q,MATCH(B208,Vöruskrá!B:B,0)),"")*C208/100000,""))</f>
        <v>4.2500000000000003E-2</v>
      </c>
      <c r="O208" s="25">
        <f>IF(OR(B208="",C208=""),"",IFERROR(C208/1000*IFERROR(INDEX(Vöruskrá!R:R,MATCH(B208,Vöruskrá!B:B,0)),0)/1000,""))</f>
        <v>0</v>
      </c>
      <c r="P208" s="21"/>
      <c r="Q208" s="26"/>
      <c r="R208" s="27"/>
    </row>
    <row r="209" spans="1:18" ht="15">
      <c r="A209" s="6"/>
      <c r="B209" s="6" t="s">
        <v>1017</v>
      </c>
      <c r="C209" s="28">
        <v>380</v>
      </c>
      <c r="D209" s="23" t="s">
        <v>1017</v>
      </c>
      <c r="E209" s="23" t="s">
        <v>134</v>
      </c>
      <c r="F209" s="23"/>
      <c r="G209" s="24">
        <f>IF(OR(B209="",C209=""),"",IFERROR(IFERROR(INDEX(Vöruskrá!J:J,MATCH(B209,Vöruskrá!B:B,0)),"")*C209/100000,""))</f>
        <v>0.56620000000000004</v>
      </c>
      <c r="H209" s="24">
        <f>IF(OR(B209="",C209=""),"",IFERROR(IFERROR(INDEX(Vöruskrá!K:K,MATCH(B209,Vöruskrá!B:B,0)),"")*C209/100000,""))</f>
        <v>1.9E-3</v>
      </c>
      <c r="I209" s="24">
        <f>IF(OR(B209="",C209=""),"",IFERROR(IFERROR(INDEX(Vöruskrá!L:L,MATCH(B209,Vöruskrá!B:B,0)),"")*C209/100000,""))</f>
        <v>3.8000000000000002E-4</v>
      </c>
      <c r="J209" s="24">
        <f>IF(OR(B209="",C209=""),"",IFERROR(IFERROR(INDEX(Vöruskrá!M:M,MATCH(B209,Vöruskrá!B:B,0)),"")*C209/100000,""))</f>
        <v>0.12578</v>
      </c>
      <c r="K209" s="24">
        <f>IF(OR(B209="",C209=""),"",IFERROR(IFERROR(INDEX(Vöruskrá!N:N,MATCH(B209,Vöruskrá!B:B,0)),"")*C209/100000,""))</f>
        <v>3.8E-3</v>
      </c>
      <c r="L209" s="24">
        <f>IF(OR(B209="",C209=""),"",IFERROR(IFERROR(INDEX(Vöruskrá!O:O,MATCH(B209,Vöruskrá!B:B,0)),"")*C209/100000,""))</f>
        <v>2.4320000000000001E-2</v>
      </c>
      <c r="M209" s="24">
        <f>IF(OR(B209="",C209=""),"",IFERROR(IFERROR(INDEX(Vöruskrá!P:P,MATCH(B209,Vöruskrá!B:B,0)),"")*C209/100000,""))</f>
        <v>0</v>
      </c>
      <c r="N209" s="24">
        <f>IF(OR(B209="",C209=""),"",IFERROR(IFERROR(INDEX(Vöruskrá!Q:Q,MATCH(B209,Vöruskrá!B:B,0)),"")*C209/100000,""))</f>
        <v>7.9799999999999992E-3</v>
      </c>
      <c r="O209" s="25">
        <f>IF(OR(B209="",C209=""),"",IFERROR(C209/1000*IFERROR(INDEX(Vöruskrá!R:R,MATCH(B209,Vöruskrá!B:B,0)),0)/1000,""))</f>
        <v>0</v>
      </c>
      <c r="P209" s="6"/>
      <c r="Q209" s="28"/>
      <c r="R209" s="6"/>
    </row>
    <row r="210" spans="1:18" ht="15">
      <c r="A210" s="21"/>
      <c r="B210" s="21" t="s">
        <v>299</v>
      </c>
      <c r="C210" s="22">
        <v>630</v>
      </c>
      <c r="D210" s="23" t="s">
        <v>302</v>
      </c>
      <c r="E210" s="23" t="s">
        <v>134</v>
      </c>
      <c r="F210" s="23" t="s">
        <v>303</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0.63</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819</v>
      </c>
      <c r="C211" s="28">
        <v>60</v>
      </c>
      <c r="D211" s="23" t="s">
        <v>820</v>
      </c>
      <c r="E211" s="23"/>
      <c r="F211" s="23" t="s">
        <v>311</v>
      </c>
      <c r="G211" s="24">
        <f>IF(OR(B211="",C211=""),"",IFERROR(IFERROR(INDEX(Vöruskrá!J:J,MATCH(B211,Vöruskrá!B:B,0)),"")*C211/100000,""))</f>
        <v>0.2316</v>
      </c>
      <c r="H211" s="24">
        <f>IF(OR(B211="",C211=""),"",IFERROR(IFERROR(INDEX(Vöruskrá!K:K,MATCH(B211,Vöruskrá!B:B,0)),"")*C211/100000,""))</f>
        <v>1.98E-3</v>
      </c>
      <c r="I211" s="24">
        <f>IF(OR(B211="",C211=""),"",IFERROR(IFERROR(INDEX(Vöruskrá!L:L,MATCH(B211,Vöruskrá!B:B,0)),"")*C211/100000,""))</f>
        <v>5.9999999999999995E-4</v>
      </c>
      <c r="J211" s="24">
        <f>IF(OR(B211="",C211=""),"",IFERROR(IFERROR(INDEX(Vöruskrá!M:M,MATCH(B211,Vöruskrá!B:B,0)),"")*C211/100000,""))</f>
        <v>3.9E-2</v>
      </c>
      <c r="K211" s="24">
        <f>IF(OR(B211="",C211=""),"",IFERROR(IFERROR(INDEX(Vöruskrá!N:N,MATCH(B211,Vöruskrá!B:B,0)),"")*C211/100000,""))</f>
        <v>3.6000000000000002E-4</v>
      </c>
      <c r="L211" s="24">
        <f>IF(OR(B211="",C211=""),"",IFERROR(IFERROR(INDEX(Vöruskrá!O:O,MATCH(B211,Vöruskrá!B:B,0)),"")*C211/100000,""))</f>
        <v>6.6E-3</v>
      </c>
      <c r="M211" s="24">
        <f>IF(OR(B211="",C211=""),"",IFERROR(IFERROR(INDEX(Vöruskrá!P:P,MATCH(B211,Vöruskrá!B:B,0)),"")*C211/100000,""))</f>
        <v>6.0000000000000002E-5</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1270</v>
      </c>
      <c r="C212" s="22">
        <v>1880</v>
      </c>
      <c r="D212" s="23" t="s">
        <v>1270</v>
      </c>
      <c r="E212" s="23" t="s">
        <v>134</v>
      </c>
      <c r="F212" s="23"/>
      <c r="G212" s="24">
        <f>IF(OR(B212="",C212=""),"",IFERROR(IFERROR(INDEX(Vöruskrá!J:J,MATCH(B212,Vöruskrá!B:B,0)),"")*C212/100000,""))</f>
        <v>16.920000000000002</v>
      </c>
      <c r="H212" s="24">
        <f>IF(OR(B212="",C212=""),"",IFERROR(IFERROR(INDEX(Vöruskrá!K:K,MATCH(B212,Vöruskrá!B:B,0)),"")*C212/100000,""))</f>
        <v>1.88</v>
      </c>
      <c r="I212" s="24">
        <f>IF(OR(B212="",C212=""),"",IFERROR(IFERROR(INDEX(Vöruskrá!L:L,MATCH(B212,Vöruskrá!B:B,0)),"")*C212/100000,""))</f>
        <v>0.13159999999999999</v>
      </c>
      <c r="J212" s="24">
        <f>IF(OR(B212="",C212=""),"",IFERROR(IFERROR(INDEX(Vöruskrá!M:M,MATCH(B212,Vöruskrá!B:B,0)),"")*C212/100000,""))</f>
        <v>1.222</v>
      </c>
      <c r="K212" s="24">
        <f>IF(OR(B212="",C212=""),"",IFERROR(IFERROR(INDEX(Vöruskrá!N:N,MATCH(B212,Vöruskrá!B:B,0)),"")*C212/100000,""))</f>
        <v>0.51700000000000002</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1020</v>
      </c>
      <c r="C213" s="28">
        <v>12730</v>
      </c>
      <c r="D213" s="23" t="s">
        <v>1020</v>
      </c>
      <c r="E213" s="23" t="s">
        <v>134</v>
      </c>
      <c r="F213" s="23"/>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6"/>
      <c r="Q213" s="28"/>
      <c r="R213" s="6"/>
    </row>
    <row r="214" spans="1:18" ht="60">
      <c r="A214" s="147" t="s">
        <v>1609</v>
      </c>
      <c r="B214" s="147"/>
      <c r="C214" s="148"/>
      <c r="D214" s="147" t="s">
        <v>1610</v>
      </c>
      <c r="E214" s="147" t="s">
        <v>1055</v>
      </c>
      <c r="F214" s="147"/>
      <c r="G214" s="149">
        <v>237.41</v>
      </c>
      <c r="H214" s="149">
        <v>15.81</v>
      </c>
      <c r="I214" s="149">
        <v>3.79</v>
      </c>
      <c r="J214" s="149">
        <v>1.22</v>
      </c>
      <c r="K214" s="149"/>
      <c r="L214" s="149">
        <v>21.92</v>
      </c>
      <c r="M214" s="149">
        <v>1.17</v>
      </c>
      <c r="N214" s="149">
        <f>IFERROR(SUM(N215:N225)/(SUM($C$215:$C$225)/100000),"")</f>
        <v>0.2833</v>
      </c>
      <c r="O214" s="150" t="str">
        <f>IF(OR(B214="",C214=""),"",IFERROR(C214/1000*IFERROR(INDEX(Vöruskrá!R:R,MATCH(B214,Vöruskrá!B:B,0)),0)/1000,""))</f>
        <v/>
      </c>
      <c r="P214" s="147" t="s">
        <v>1611</v>
      </c>
      <c r="Q214" s="26" t="s">
        <v>1612</v>
      </c>
      <c r="R214" s="27" t="s">
        <v>1613</v>
      </c>
    </row>
    <row r="215" spans="1:18" ht="15">
      <c r="A215" s="6"/>
      <c r="B215" s="6" t="s">
        <v>1066</v>
      </c>
      <c r="C215" s="28">
        <v>90000</v>
      </c>
      <c r="D215" s="23" t="s">
        <v>1068</v>
      </c>
      <c r="E215" s="23" t="s">
        <v>134</v>
      </c>
      <c r="F215" s="23"/>
      <c r="G215" s="24">
        <f>IF(OR(B215="",C215=""),"",IFERROR(IFERROR(INDEX(Vöruskrá!J:J,MATCH(B215,Vöruskrá!B:B,0)),"")*C215/100000,""))</f>
        <v>194.4</v>
      </c>
      <c r="H215" s="24">
        <f>IF(OR(B215="",C215=""),"",IFERROR(IFERROR(INDEX(Vöruskrá!K:K,MATCH(B215,Vöruskrá!B:B,0)),"")*C215/100000,""))</f>
        <v>11.7</v>
      </c>
      <c r="I215" s="24">
        <f>IF(OR(B215="",C215=""),"",IFERROR(IFERROR(INDEX(Vöruskrá!L:L,MATCH(B215,Vöruskrá!B:B,0)),"")*C215/100000,""))</f>
        <v>3.33</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21.6</v>
      </c>
      <c r="M215" s="24">
        <f>IF(OR(B215="",C215=""),"",IFERROR(IFERROR(INDEX(Vöruskrá!P:P,MATCH(B215,Vöruskrá!B:B,0)),"")*C215/100000,""))</f>
        <v>0.18</v>
      </c>
      <c r="N215" s="24">
        <f>IF(OR(B215="",C215=""),"",IFERROR(IFERROR(INDEX(Vöruskrá!Q:Q,MATCH(B215,Vöruskrá!B:B,0)),"")*C215/100000,""))</f>
        <v>0</v>
      </c>
      <c r="O215" s="25">
        <f>IF(OR(B215="",C215=""),"",IFERROR(C215/1000*IFERROR(INDEX(Vöruskrá!R:R,MATCH(B215,Vöruskrá!B:B,0)),0)/1000,""))</f>
        <v>0</v>
      </c>
      <c r="P215" s="6"/>
      <c r="Q215" s="28"/>
      <c r="R215" s="6"/>
    </row>
    <row r="216" spans="1:18" ht="15">
      <c r="A216" s="6"/>
      <c r="B216" s="6" t="s">
        <v>1018</v>
      </c>
      <c r="C216" s="28">
        <v>4000</v>
      </c>
      <c r="D216" s="23" t="s">
        <v>1018</v>
      </c>
      <c r="E216" s="23" t="s">
        <v>134</v>
      </c>
      <c r="F216" s="23"/>
      <c r="G216" s="24">
        <f>IF(OR(B216="",C216=""),"",IFERROR(IFERROR(INDEX(Vöruskrá!J:J,MATCH(B216,Vöruskrá!B:B,0)),"")*C216/100000,""))</f>
        <v>36</v>
      </c>
      <c r="H216" s="24">
        <f>IF(OR(B216="",C216=""),"",IFERROR(IFERROR(INDEX(Vöruskrá!K:K,MATCH(B216,Vöruskrá!B:B,0)),"")*C216/100000,""))</f>
        <v>4</v>
      </c>
      <c r="I216" s="24">
        <f>IF(OR(B216="",C216=""),"",IFERROR(IFERROR(INDEX(Vöruskrá!L:L,MATCH(B216,Vöruskrá!B:B,0)),"")*C216/100000,""))</f>
        <v>0.44</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1017</v>
      </c>
      <c r="C217" s="22">
        <v>1300</v>
      </c>
      <c r="D217" s="23" t="s">
        <v>1017</v>
      </c>
      <c r="E217" s="23" t="s">
        <v>134</v>
      </c>
      <c r="F217" s="23"/>
      <c r="G217" s="24">
        <f>IF(OR(B217="",C217=""),"",IFERROR(IFERROR(INDEX(Vöruskrá!J:J,MATCH(B217,Vöruskrá!B:B,0)),"")*C217/100000,""))</f>
        <v>1.9370000000000001</v>
      </c>
      <c r="H217" s="24">
        <f>IF(OR(B217="",C217=""),"",IFERROR(IFERROR(INDEX(Vöruskrá!K:K,MATCH(B217,Vöruskrá!B:B,0)),"")*C217/100000,""))</f>
        <v>6.4999999999999997E-3</v>
      </c>
      <c r="I217" s="24">
        <f>IF(OR(B217="",C217=""),"",IFERROR(IFERROR(INDEX(Vöruskrá!L:L,MATCH(B217,Vöruskrá!B:B,0)),"")*C217/100000,""))</f>
        <v>1.2999999999999999E-3</v>
      </c>
      <c r="J217" s="24">
        <f>IF(OR(B217="",C217=""),"",IFERROR(IFERROR(INDEX(Vöruskrá!M:M,MATCH(B217,Vöruskrá!B:B,0)),"")*C217/100000,""))</f>
        <v>0.43030000000000002</v>
      </c>
      <c r="K217" s="24">
        <f>IF(OR(B217="",C217=""),"",IFERROR(IFERROR(INDEX(Vöruskrá!N:N,MATCH(B217,Vöruskrá!B:B,0)),"")*C217/100000,""))</f>
        <v>1.2999999999999999E-2</v>
      </c>
      <c r="L217" s="24">
        <f>IF(OR(B217="",C217=""),"",IFERROR(IFERROR(INDEX(Vöruskrá!O:O,MATCH(B217,Vöruskrá!B:B,0)),"")*C217/100000,""))</f>
        <v>8.3199999999999996E-2</v>
      </c>
      <c r="M217" s="24">
        <f>IF(OR(B217="",C217=""),"",IFERROR(IFERROR(INDEX(Vöruskrá!P:P,MATCH(B217,Vöruskrá!B:B,0)),"")*C217/100000,""))</f>
        <v>0</v>
      </c>
      <c r="N217" s="24">
        <f>IF(OR(B217="",C217=""),"",IFERROR(IFERROR(INDEX(Vöruskrá!Q:Q,MATCH(B217,Vöruskrá!B:B,0)),"")*C217/100000,""))</f>
        <v>2.7300000000000001E-2</v>
      </c>
      <c r="O217" s="25">
        <f>IF(OR(B217="",C217=""),"",IFERROR(C217/1000*IFERROR(INDEX(Vöruskrá!R:R,MATCH(B217,Vöruskrá!B:B,0)),0)/1000,""))</f>
        <v>0</v>
      </c>
      <c r="P217" s="21"/>
      <c r="Q217" s="26"/>
      <c r="R217" s="27"/>
    </row>
    <row r="218" spans="1:18" ht="15">
      <c r="A218" s="6"/>
      <c r="B218" s="6" t="s">
        <v>1030</v>
      </c>
      <c r="C218" s="28">
        <v>500</v>
      </c>
      <c r="D218" s="23" t="s">
        <v>1032</v>
      </c>
      <c r="E218" s="23" t="s">
        <v>134</v>
      </c>
      <c r="F218" s="23" t="s">
        <v>1024</v>
      </c>
      <c r="G218" s="24">
        <f>IF(OR(B218="",C218=""),"",IFERROR(IFERROR(INDEX(Vöruskrá!J:J,MATCH(B218,Vöruskrá!B:B,0)),"")*C218/100000,""))</f>
        <v>1.46</v>
      </c>
      <c r="H218" s="24">
        <f>IF(OR(B218="",C218=""),"",IFERROR(IFERROR(INDEX(Vöruskrá!K:K,MATCH(B218,Vöruskrá!B:B,0)),"")*C218/100000,""))</f>
        <v>2.75E-2</v>
      </c>
      <c r="I218" s="24">
        <f>IF(OR(B218="",C218=""),"",IFERROR(IFERROR(INDEX(Vöruskrá!L:L,MATCH(B218,Vöruskrá!B:B,0)),"")*C218/100000,""))</f>
        <v>4.4999999999999997E-3</v>
      </c>
      <c r="J218" s="24">
        <f>IF(OR(B218="",C218=""),"",IFERROR(IFERROR(INDEX(Vöruskrá!M:M,MATCH(B218,Vöruskrá!B:B,0)),"")*C218/100000,""))</f>
        <v>0.25</v>
      </c>
      <c r="K218" s="24">
        <f>IF(OR(B218="",C218=""),"",IFERROR(IFERROR(INDEX(Vöruskrá!N:N,MATCH(B218,Vöruskrá!B:B,0)),"")*C218/100000,""))</f>
        <v>0.02</v>
      </c>
      <c r="L218" s="24">
        <f>IF(OR(B218="",C218=""),"",IFERROR(IFERROR(INDEX(Vöruskrá!O:O,MATCH(B218,Vöruskrá!B:B,0)),"")*C218/100000,""))</f>
        <v>0.13300000000000001</v>
      </c>
      <c r="M218" s="24">
        <f>IF(OR(B218="",C218=""),"",IFERROR(IFERROR(INDEX(Vöruskrá!P:P,MATCH(B218,Vöruskrá!B:B,0)),"")*C218/100000,""))</f>
        <v>5.0000000000000001E-4</v>
      </c>
      <c r="N218" s="24">
        <f>IF(OR(B218="",C218=""),"",IFERROR(IFERROR(INDEX(Vöruskrá!Q:Q,MATCH(B218,Vöruskrá!B:B,0)),"")*C218/100000,""))</f>
        <v>0.13350000000000001</v>
      </c>
      <c r="O218" s="25">
        <f>IF(OR(B218="",C218=""),"",IFERROR(C218/1000*IFERROR(INDEX(Vöruskrá!R:R,MATCH(B218,Vöruskrá!B:B,0)),0)/1000,""))</f>
        <v>0</v>
      </c>
      <c r="P218" s="6"/>
      <c r="Q218" s="28"/>
      <c r="R218" s="6"/>
    </row>
    <row r="219" spans="1:18" ht="15">
      <c r="A219" s="21"/>
      <c r="B219" s="21" t="s">
        <v>815</v>
      </c>
      <c r="C219" s="22">
        <v>300</v>
      </c>
      <c r="D219" s="23" t="s">
        <v>816</v>
      </c>
      <c r="E219" s="23"/>
      <c r="F219" s="23" t="s">
        <v>311</v>
      </c>
      <c r="G219" s="24">
        <f>IF(OR(B219="",C219=""),"",IFERROR(IFERROR(INDEX(Vöruskrá!J:J,MATCH(B219,Vöruskrá!B:B,0)),"")*C219/100000,""))</f>
        <v>1.44</v>
      </c>
      <c r="H219" s="24">
        <f>IF(OR(B219="",C219=""),"",IFERROR(IFERROR(INDEX(Vöruskrá!K:K,MATCH(B219,Vöruskrá!B:B,0)),"")*C219/100000,""))</f>
        <v>0.03</v>
      </c>
      <c r="I219" s="24">
        <f>IF(OR(B219="",C219=""),"",IFERROR(IFERROR(INDEX(Vöruskrá!L:L,MATCH(B219,Vöruskrá!B:B,0)),"")*C219/100000,""))</f>
        <v>8.0999999999999996E-3</v>
      </c>
      <c r="J219" s="24">
        <f>IF(OR(B219="",C219=""),"",IFERROR(IFERROR(INDEX(Vöruskrá!M:M,MATCH(B219,Vöruskrá!B:B,0)),"")*C219/100000,""))</f>
        <v>0.192</v>
      </c>
      <c r="K219" s="24">
        <f>IF(OR(B219="",C219=""),"",IFERROR(IFERROR(INDEX(Vöruskrá!N:N,MATCH(B219,Vöruskrá!B:B,0)),"")*C219/100000,""))</f>
        <v>1.23E-2</v>
      </c>
      <c r="L219" s="24">
        <f>IF(OR(B219="",C219=""),"",IFERROR(IFERROR(INDEX(Vöruskrá!O:O,MATCH(B219,Vöruskrá!B:B,0)),"")*C219/100000,""))</f>
        <v>3.3000000000000002E-2</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1053</v>
      </c>
      <c r="C220" s="28">
        <v>1600</v>
      </c>
      <c r="D220" s="23" t="s">
        <v>1054</v>
      </c>
      <c r="E220" s="23" t="s">
        <v>1055</v>
      </c>
      <c r="F220" s="23"/>
      <c r="G220" s="24">
        <f>IF(OR(B220="",C220=""),"",IFERROR(IFERROR(INDEX(Vöruskrá!J:J,MATCH(B220,Vöruskrá!B:B,0)),"")*C220/100000,""))</f>
        <v>0.32</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9.5999999999999992E-3</v>
      </c>
      <c r="K220" s="24">
        <f>IF(OR(B220="",C220=""),"",IFERROR(IFERROR(INDEX(Vöruskrá!N:N,MATCH(B220,Vöruskrá!B:B,0)),"")*C220/100000,""))</f>
        <v>6.4000000000000003E-3</v>
      </c>
      <c r="L220" s="24">
        <f>IF(OR(B220="",C220=""),"",IFERROR(IFERROR(INDEX(Vöruskrá!O:O,MATCH(B220,Vöruskrá!B:B,0)),"")*C220/100000,""))</f>
        <v>0</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833</v>
      </c>
      <c r="C221" s="22">
        <v>800</v>
      </c>
      <c r="D221" s="23" t="s">
        <v>835</v>
      </c>
      <c r="E221" s="23"/>
      <c r="F221" s="23"/>
      <c r="G221" s="24">
        <f>IF(OR(B221="",C221=""),"",IFERROR(IFERROR(INDEX(Vöruskrá!J:J,MATCH(B221,Vöruskrá!B:B,0)),"")*C221/100000,""))</f>
        <v>0.248</v>
      </c>
      <c r="H221" s="24">
        <f>IF(OR(B221="",C221=""),"",IFERROR(IFERROR(INDEX(Vöruskrá!K:K,MATCH(B221,Vöruskrá!B:B,0)),"")*C221/100000,""))</f>
        <v>1.6000000000000001E-3</v>
      </c>
      <c r="I221" s="24">
        <f>IF(OR(B221="",C221=""),"",IFERROR(IFERROR(INDEX(Vöruskrá!L:L,MATCH(B221,Vöruskrá!B:B,0)),"")*C221/100000,""))</f>
        <v>0</v>
      </c>
      <c r="J221" s="24">
        <f>IF(OR(B221="",C221=""),"",IFERROR(IFERROR(INDEX(Vöruskrá!M:M,MATCH(B221,Vöruskrá!B:B,0)),"")*C221/100000,""))</f>
        <v>5.5199999999999999E-2</v>
      </c>
      <c r="K221" s="24">
        <f>IF(OR(B221="",C221=""),"",IFERROR(IFERROR(INDEX(Vöruskrá!N:N,MATCH(B221,Vöruskrá!B:B,0)),"")*C221/100000,""))</f>
        <v>1.9199999999999998E-2</v>
      </c>
      <c r="L221" s="24">
        <f>IF(OR(B221="",C221=""),"",IFERROR(IFERROR(INDEX(Vöruskrá!O:O,MATCH(B221,Vöruskrá!B:B,0)),"")*C221/100000,""))</f>
        <v>0</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1148</v>
      </c>
      <c r="C222" s="28">
        <v>150</v>
      </c>
      <c r="D222" s="23" t="s">
        <v>1149</v>
      </c>
      <c r="E222" s="23" t="s">
        <v>134</v>
      </c>
      <c r="F222" s="23" t="s">
        <v>311</v>
      </c>
      <c r="G222" s="24">
        <f>IF(OR(B222="",C222=""),"",IFERROR(IFERROR(INDEX(Vöruskrá!J:J,MATCH(B222,Vöruskrá!B:B,0)),"")*C222/100000,""))</f>
        <v>0.42299999999999999</v>
      </c>
      <c r="H222" s="24">
        <f>IF(OR(B222="",C222=""),"",IFERROR(IFERROR(INDEX(Vöruskrá!K:K,MATCH(B222,Vöruskrá!B:B,0)),"")*C222/100000,""))</f>
        <v>1.7999999999999999E-2</v>
      </c>
      <c r="I222" s="24">
        <f>IF(OR(B222="",C222=""),"",IFERROR(IFERROR(INDEX(Vöruskrá!L:L,MATCH(B222,Vöruskrá!B:B,0)),"")*C222/100000,""))</f>
        <v>3.0000000000000001E-3</v>
      </c>
      <c r="J222" s="24">
        <f>IF(OR(B222="",C222=""),"",IFERROR(IFERROR(INDEX(Vöruskrá!M:M,MATCH(B222,Vöruskrá!B:B,0)),"")*C222/100000,""))</f>
        <v>7.4999999999999997E-2</v>
      </c>
      <c r="K222" s="24">
        <f>IF(OR(B222="",C222=""),"",IFERROR(IFERROR(INDEX(Vöruskrá!N:N,MATCH(B222,Vöruskrá!B:B,0)),"")*C222/100000,""))</f>
        <v>1.4999999999999999E-2</v>
      </c>
      <c r="L222" s="24">
        <f>IF(OR(B222="",C222=""),"",IFERROR(IFERROR(INDEX(Vöruskrá!O:O,MATCH(B222,Vöruskrá!B:B,0)),"")*C222/100000,""))</f>
        <v>2.1000000000000001E-2</v>
      </c>
      <c r="M222" s="24">
        <f>IF(OR(B222="",C222=""),"",IFERROR(IFERROR(INDEX(Vöruskrá!P:P,MATCH(B222,Vöruskrá!B:B,0)),"")*C222/100000,""))</f>
        <v>1.4999999999999999E-4</v>
      </c>
      <c r="N222" s="24">
        <f>IF(OR(B222="",C222=""),"",IFERROR(IFERROR(INDEX(Vöruskrá!Q:Q,MATCH(B222,Vöruskrá!B:B,0)),"")*C222/100000,""))</f>
        <v>5.2499999999999998E-2</v>
      </c>
      <c r="O222" s="25">
        <f>IF(OR(B222="",C222=""),"",IFERROR(C222/1000*IFERROR(INDEX(Vöruskrá!R:R,MATCH(B222,Vöruskrá!B:B,0)),0)/1000,""))</f>
        <v>0</v>
      </c>
      <c r="P222" s="6"/>
      <c r="Q222" s="28"/>
      <c r="R222" s="6"/>
    </row>
    <row r="223" spans="1:18" ht="15">
      <c r="A223" s="21"/>
      <c r="B223" s="21" t="s">
        <v>1153</v>
      </c>
      <c r="C223" s="22">
        <v>200</v>
      </c>
      <c r="D223" s="23" t="s">
        <v>1154</v>
      </c>
      <c r="E223" s="23" t="s">
        <v>134</v>
      </c>
      <c r="F223" s="23"/>
      <c r="G223" s="24">
        <f>IF(OR(B223="",C223=""),"",IFERROR(IFERROR(INDEX(Vöruskrá!J:J,MATCH(B223,Vöruskrá!B:B,0)),"")*C223/100000,""))</f>
        <v>0.56399999999999995</v>
      </c>
      <c r="H223" s="24">
        <f>IF(OR(B223="",C223=""),"",IFERROR(IFERROR(INDEX(Vöruskrá!K:K,MATCH(B223,Vöruskrá!B:B,0)),"")*C223/100000,""))</f>
        <v>2.5999999999999999E-2</v>
      </c>
      <c r="I223" s="24">
        <f>IF(OR(B223="",C223=""),"",IFERROR(IFERROR(INDEX(Vöruskrá!L:L,MATCH(B223,Vöruskrá!B:B,0)),"")*C223/100000,""))</f>
        <v>4.0000000000000001E-3</v>
      </c>
      <c r="J223" s="24">
        <f>IF(OR(B223="",C223=""),"",IFERROR(IFERROR(INDEX(Vöruskrá!M:M,MATCH(B223,Vöruskrá!B:B,0)),"")*C223/100000,""))</f>
        <v>0.108</v>
      </c>
      <c r="K223" s="24">
        <f>IF(OR(B223="",C223=""),"",IFERROR(IFERROR(INDEX(Vöruskrá!N:N,MATCH(B223,Vöruskrá!B:B,0)),"")*C223/100000,""))</f>
        <v>0.02</v>
      </c>
      <c r="L223" s="24">
        <f>IF(OR(B223="",C223=""),"",IFERROR(IFERROR(INDEX(Vöruskrá!O:O,MATCH(B223,Vöruskrá!B:B,0)),"")*C223/100000,""))</f>
        <v>2.8000000000000001E-2</v>
      </c>
      <c r="M223" s="24">
        <f>IF(OR(B223="",C223=""),"",IFERROR(IFERROR(INDEX(Vöruskrá!P:P,MATCH(B223,Vöruskrá!B:B,0)),"")*C223/100000,""))</f>
        <v>2.0000000000000001E-4</v>
      </c>
      <c r="N223" s="24">
        <f>IF(OR(B223="",C223=""),"",IFERROR(IFERROR(INDEX(Vöruskrá!Q:Q,MATCH(B223,Vöruskrá!B:B,0)),"")*C223/100000,""))</f>
        <v>7.0000000000000007E-2</v>
      </c>
      <c r="O223" s="25">
        <f>IF(OR(B223="",C223=""),"",IFERROR(C223/1000*IFERROR(INDEX(Vöruskrá!R:R,MATCH(B223,Vöruskrá!B:B,0)),0)/1000,""))</f>
        <v>0</v>
      </c>
      <c r="P223" s="21"/>
      <c r="Q223" s="26"/>
      <c r="R223" s="27"/>
    </row>
    <row r="224" spans="1:18" ht="15">
      <c r="A224" s="6"/>
      <c r="B224" s="6" t="s">
        <v>299</v>
      </c>
      <c r="C224" s="28">
        <v>990</v>
      </c>
      <c r="D224" s="23" t="s">
        <v>302</v>
      </c>
      <c r="E224" s="23" t="s">
        <v>134</v>
      </c>
      <c r="F224" s="23" t="s">
        <v>303</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0.99</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819</v>
      </c>
      <c r="C225" s="22">
        <v>160</v>
      </c>
      <c r="D225" s="23" t="s">
        <v>820</v>
      </c>
      <c r="E225" s="23"/>
      <c r="F225" s="23" t="s">
        <v>311</v>
      </c>
      <c r="G225" s="24">
        <f>IF(OR(B225="",C225=""),"",IFERROR(IFERROR(INDEX(Vöruskrá!J:J,MATCH(B225,Vöruskrá!B:B,0)),"")*C225/100000,""))</f>
        <v>0.61760000000000004</v>
      </c>
      <c r="H225" s="24">
        <f>IF(OR(B225="",C225=""),"",IFERROR(IFERROR(INDEX(Vöruskrá!K:K,MATCH(B225,Vöruskrá!B:B,0)),"")*C225/100000,""))</f>
        <v>5.28E-3</v>
      </c>
      <c r="I225" s="24">
        <f>IF(OR(B225="",C225=""),"",IFERROR(IFERROR(INDEX(Vöruskrá!L:L,MATCH(B225,Vöruskrá!B:B,0)),"")*C225/100000,""))</f>
        <v>1.6000000000000001E-3</v>
      </c>
      <c r="J225" s="24">
        <f>IF(OR(B225="",C225=""),"",IFERROR(IFERROR(INDEX(Vöruskrá!M:M,MATCH(B225,Vöruskrá!B:B,0)),"")*C225/100000,""))</f>
        <v>0.104</v>
      </c>
      <c r="K225" s="24">
        <f>IF(OR(B225="",C225=""),"",IFERROR(IFERROR(INDEX(Vöruskrá!N:N,MATCH(B225,Vöruskrá!B:B,0)),"")*C225/100000,""))</f>
        <v>9.6000000000000002E-4</v>
      </c>
      <c r="L225" s="24">
        <f>IF(OR(B225="",C225=""),"",IFERROR(IFERROR(INDEX(Vöruskrá!O:O,MATCH(B225,Vöruskrá!B:B,0)),"")*C225/100000,""))</f>
        <v>1.7600000000000001E-2</v>
      </c>
      <c r="M225" s="24">
        <f>IF(OR(B225="",C225=""),"",IFERROR(IFERROR(INDEX(Vöruskrá!P:P,MATCH(B225,Vöruskrá!B:B,0)),"")*C225/100000,""))</f>
        <v>1.6000000000000001E-4</v>
      </c>
      <c r="N225" s="24">
        <f>IF(OR(B225="",C225=""),"",IFERROR(IFERROR(INDEX(Vöruskrá!Q:Q,MATCH(B225,Vöruskrá!B:B,0)),"")*C225/100000,""))</f>
        <v>0</v>
      </c>
      <c r="O225" s="25">
        <f>IF(OR(B225="",C225=""),"",IFERROR(C225/1000*IFERROR(INDEX(Vöruskrá!R:R,MATCH(B225,Vöruskrá!B:B,0)),0)/1000,""))</f>
        <v>0</v>
      </c>
      <c r="P225" s="21"/>
      <c r="Q225" s="26"/>
      <c r="R225" s="27"/>
    </row>
    <row r="226" spans="1:18" ht="60">
      <c r="A226" s="147" t="s">
        <v>1614</v>
      </c>
      <c r="B226" s="147"/>
      <c r="C226" s="148"/>
      <c r="D226" s="147" t="s">
        <v>1615</v>
      </c>
      <c r="E226" s="147" t="s">
        <v>1616</v>
      </c>
      <c r="F226" s="147"/>
      <c r="G226" s="149">
        <v>107.82</v>
      </c>
      <c r="H226" s="149">
        <v>6.23</v>
      </c>
      <c r="I226" s="149">
        <v>1.36</v>
      </c>
      <c r="J226" s="149">
        <v>5.91</v>
      </c>
      <c r="K226" s="149"/>
      <c r="L226" s="149">
        <v>8.26</v>
      </c>
      <c r="M226" s="149">
        <v>1.01</v>
      </c>
      <c r="N226" s="149">
        <f>IFERROR(SUM(N227:N243)/(SUM($C$227:$C$243)/100000),"")</f>
        <v>0.54430999999999996</v>
      </c>
      <c r="O226" s="150" t="str">
        <f>IF(OR(B226="",C226=""),"",IFERROR(C226/1000*IFERROR(INDEX(Vöruskrá!R:R,MATCH(B226,Vöruskrá!B:B,0)),0)/1000,""))</f>
        <v/>
      </c>
      <c r="P226" s="147" t="s">
        <v>1617</v>
      </c>
      <c r="Q226" s="28" t="s">
        <v>1618</v>
      </c>
      <c r="R226" s="6" t="s">
        <v>1619</v>
      </c>
    </row>
    <row r="227" spans="1:18" ht="15">
      <c r="A227" s="21"/>
      <c r="B227" s="21" t="s">
        <v>1111</v>
      </c>
      <c r="C227" s="22">
        <v>37500</v>
      </c>
      <c r="D227" s="23" t="s">
        <v>1112</v>
      </c>
      <c r="E227" s="23" t="s">
        <v>1099</v>
      </c>
      <c r="F227" s="23" t="s">
        <v>1113</v>
      </c>
      <c r="G227" s="24">
        <f>IF(OR(B227="",C227=""),"",IFERROR(IFERROR(INDEX(Vöruskrá!J:J,MATCH(B227,Vöruskrá!B:B,0)),"")*C227/100000,""))</f>
        <v>67.125</v>
      </c>
      <c r="H227" s="24">
        <f>IF(OR(B227="",C227=""),"",IFERROR(IFERROR(INDEX(Vöruskrá!K:K,MATCH(B227,Vöruskrá!B:B,0)),"")*C227/100000,""))</f>
        <v>4.125</v>
      </c>
      <c r="I227" s="24">
        <f>IF(OR(B227="",C227=""),"",IFERROR(IFERROR(INDEX(Vöruskrá!L:L,MATCH(B227,Vöruskrá!B:B,0)),"")*C227/100000,""))</f>
        <v>1.1625000000000001</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7.5</v>
      </c>
      <c r="M227" s="24">
        <f>IF(OR(B227="",C227=""),"",IFERROR(IFERROR(INDEX(Vöruskrá!P:P,MATCH(B227,Vöruskrá!B:B,0)),"")*C227/100000,""))</f>
        <v>7.4999999999999997E-2</v>
      </c>
      <c r="N227" s="24">
        <f>IF(OR(B227="",C227=""),"",IFERROR(IFERROR(INDEX(Vöruskrá!Q:Q,MATCH(B227,Vöruskrá!B:B,0)),"")*C227/100000,""))</f>
        <v>0</v>
      </c>
      <c r="O227" s="25">
        <f>IF(OR(B227="",C227=""),"",IFERROR(C227/1000*IFERROR(INDEX(Vöruskrá!R:R,MATCH(B227,Vöruskrá!B:B,0)),0)/1000,""))</f>
        <v>0</v>
      </c>
      <c r="P227" s="21"/>
      <c r="Q227" s="26"/>
      <c r="R227" s="27"/>
    </row>
    <row r="228" spans="1:18" ht="15">
      <c r="A228" s="21"/>
      <c r="B228" s="21" t="s">
        <v>743</v>
      </c>
      <c r="C228" s="22">
        <v>15000</v>
      </c>
      <c r="D228" s="23" t="s">
        <v>745</v>
      </c>
      <c r="E228" s="23"/>
      <c r="F228" s="23"/>
      <c r="G228" s="24">
        <f>IF(OR(B228="",C228=""),"",IFERROR(IFERROR(INDEX(Vöruskrá!J:J,MATCH(B228,Vöruskrá!B:B,0)),"")*C228/100000,""))</f>
        <v>4.2</v>
      </c>
      <c r="H228" s="24">
        <f>IF(OR(B228="",C228=""),"",IFERROR(IFERROR(INDEX(Vöruskrá!K:K,MATCH(B228,Vöruskrá!B:B,0)),"")*C228/100000,""))</f>
        <v>1.4999999999999999E-2</v>
      </c>
      <c r="I228" s="24">
        <f>IF(OR(B228="",C228=""),"",IFERROR(IFERROR(INDEX(Vöruskrá!L:L,MATCH(B228,Vöruskrá!B:B,0)),"")*C228/100000,""))</f>
        <v>0</v>
      </c>
      <c r="J228" s="24">
        <f>IF(OR(B228="",C228=""),"",IFERROR(IFERROR(INDEX(Vöruskrá!M:M,MATCH(B228,Vöruskrá!B:B,0)),"")*C228/100000,""))</f>
        <v>0.75</v>
      </c>
      <c r="K228" s="24">
        <f>IF(OR(B228="",C228=""),"",IFERROR(IFERROR(INDEX(Vöruskrá!N:N,MATCH(B228,Vöruskrá!B:B,0)),"")*C228/100000,""))</f>
        <v>0.51</v>
      </c>
      <c r="L228" s="24">
        <f>IF(OR(B228="",C228=""),"",IFERROR(IFERROR(INDEX(Vöruskrá!O:O,MATCH(B228,Vöruskrá!B:B,0)),"")*C228/100000,""))</f>
        <v>0.22500000000000001</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1006</v>
      </c>
      <c r="C229" s="28">
        <v>10000</v>
      </c>
      <c r="D229" s="23" t="s">
        <v>1006</v>
      </c>
      <c r="E229" s="23" t="s">
        <v>134</v>
      </c>
      <c r="F229" s="23"/>
      <c r="G229" s="24">
        <f>IF(OR(B229="",C229=""),"",IFERROR(IFERROR(INDEX(Vöruskrá!J:J,MATCH(B229,Vöruskrá!B:B,0)),"")*C229/100000,""))</f>
        <v>4.0999999999999996</v>
      </c>
      <c r="H229" s="24">
        <f>IF(OR(B229="",C229=""),"",IFERROR(IFERROR(INDEX(Vöruskrá!K:K,MATCH(B229,Vöruskrá!B:B,0)),"")*C229/100000,""))</f>
        <v>0.02</v>
      </c>
      <c r="I229" s="24">
        <f>IF(OR(B229="",C229=""),"",IFERROR(IFERROR(INDEX(Vöruskrá!L:L,MATCH(B229,Vöruskrá!B:B,0)),"")*C229/100000,""))</f>
        <v>0</v>
      </c>
      <c r="J229" s="24">
        <f>IF(OR(B229="",C229=""),"",IFERROR(IFERROR(INDEX(Vöruskrá!M:M,MATCH(B229,Vöruskrá!B:B,0)),"")*C229/100000,""))</f>
        <v>0.96</v>
      </c>
      <c r="K229" s="24">
        <f>IF(OR(B229="",C229=""),"",IFERROR(IFERROR(INDEX(Vöruskrá!N:N,MATCH(B229,Vöruskrá!B:B,0)),"")*C229/100000,""))</f>
        <v>0.47</v>
      </c>
      <c r="L229" s="24">
        <f>IF(OR(B229="",C229=""),"",IFERROR(IFERROR(INDEX(Vöruskrá!O:O,MATCH(B229,Vöruskrá!B:B,0)),"")*C229/100000,""))</f>
        <v>0.09</v>
      </c>
      <c r="M229" s="24">
        <f>IF(OR(B229="",C229=""),"",IFERROR(IFERROR(INDEX(Vöruskrá!P:P,MATCH(B229,Vöruskrá!B:B,0)),"")*C229/100000,""))</f>
        <v>0.01</v>
      </c>
      <c r="N229" s="24">
        <f>IF(OR(B229="",C229=""),"",IFERROR(IFERROR(INDEX(Vöruskrá!Q:Q,MATCH(B229,Vöruskrá!B:B,0)),"")*C229/100000,""))</f>
        <v>0.28000000000000003</v>
      </c>
      <c r="O229" s="25">
        <f>IF(OR(B229="",C229=""),"",IFERROR(C229/1000*IFERROR(INDEX(Vöruskrá!R:R,MATCH(B229,Vöruskrá!B:B,0)),0)/1000,""))</f>
        <v>0</v>
      </c>
      <c r="P229" s="6"/>
      <c r="Q229" s="28"/>
      <c r="R229" s="6"/>
    </row>
    <row r="230" spans="1:18" ht="15">
      <c r="A230" s="21"/>
      <c r="B230" s="21" t="s">
        <v>1010</v>
      </c>
      <c r="C230" s="22">
        <v>7500</v>
      </c>
      <c r="D230" s="23" t="s">
        <v>1010</v>
      </c>
      <c r="E230" s="23" t="s">
        <v>134</v>
      </c>
      <c r="F230" s="23"/>
      <c r="G230" s="24">
        <f>IF(OR(B230="",C230=""),"",IFERROR(IFERROR(INDEX(Vöruskrá!J:J,MATCH(B230,Vöruskrá!B:B,0)),"")*C230/100000,""))</f>
        <v>3</v>
      </c>
      <c r="H230" s="24">
        <f>IF(OR(B230="",C230=""),"",IFERROR(IFERROR(INDEX(Vöruskrá!K:K,MATCH(B230,Vöruskrá!B:B,0)),"")*C230/100000,""))</f>
        <v>7.4999999999999997E-3</v>
      </c>
      <c r="I230" s="24">
        <f>IF(OR(B230="",C230=""),"",IFERROR(IFERROR(INDEX(Vöruskrá!L:L,MATCH(B230,Vöruskrá!B:B,0)),"")*C230/100000,""))</f>
        <v>0</v>
      </c>
      <c r="J230" s="24">
        <f>IF(OR(B230="",C230=""),"",IFERROR(IFERROR(INDEX(Vöruskrá!M:M,MATCH(B230,Vöruskrá!B:B,0)),"")*C230/100000,""))</f>
        <v>0.69750000000000001</v>
      </c>
      <c r="K230" s="24">
        <f>IF(OR(B230="",C230=""),"",IFERROR(IFERROR(INDEX(Vöruskrá!N:N,MATCH(B230,Vöruskrá!B:B,0)),"")*C230/100000,""))</f>
        <v>0.315</v>
      </c>
      <c r="L230" s="24">
        <f>IF(OR(B230="",C230=""),"",IFERROR(IFERROR(INDEX(Vöruskrá!O:O,MATCH(B230,Vöruskrá!B:B,0)),"")*C230/100000,""))</f>
        <v>8.2500000000000004E-2</v>
      </c>
      <c r="M230" s="24">
        <f>IF(OR(B230="",C230=""),"",IFERROR(IFERROR(INDEX(Vöruskrá!P:P,MATCH(B230,Vöruskrá!B:B,0)),"")*C230/100000,""))</f>
        <v>0</v>
      </c>
      <c r="N230" s="24">
        <f>IF(OR(B230="",C230=""),"",IFERROR(IFERROR(INDEX(Vöruskrá!Q:Q,MATCH(B230,Vöruskrá!B:B,0)),"")*C230/100000,""))</f>
        <v>0.1275</v>
      </c>
      <c r="O230" s="25">
        <f>IF(OR(B230="",C230=""),"",IFERROR(C230/1000*IFERROR(INDEX(Vöruskrá!R:R,MATCH(B230,Vöruskrá!B:B,0)),0)/1000,""))</f>
        <v>0</v>
      </c>
      <c r="P230" s="21"/>
      <c r="Q230" s="26"/>
      <c r="R230" s="27"/>
    </row>
    <row r="231" spans="1:18" ht="15">
      <c r="A231" s="6"/>
      <c r="B231" s="6" t="s">
        <v>1012</v>
      </c>
      <c r="C231" s="28">
        <v>2500</v>
      </c>
      <c r="D231" s="23" t="s">
        <v>1012</v>
      </c>
      <c r="E231" s="23" t="s">
        <v>134</v>
      </c>
      <c r="F231" s="23"/>
      <c r="G231" s="24">
        <f>IF(OR(B231="",C231=""),"",IFERROR(IFERROR(INDEX(Vöruskrá!J:J,MATCH(B231,Vöruskrá!B:B,0)),"")*C231/100000,""))</f>
        <v>1.5249999999999999</v>
      </c>
      <c r="H231" s="24">
        <f>IF(OR(B231="",C231=""),"",IFERROR(IFERROR(INDEX(Vöruskrá!K:K,MATCH(B231,Vöruskrá!B:B,0)),"")*C231/100000,""))</f>
        <v>7.4999999999999997E-3</v>
      </c>
      <c r="I231" s="24">
        <f>IF(OR(B231="",C231=""),"",IFERROR(IFERROR(INDEX(Vöruskrá!L:L,MATCH(B231,Vöruskrá!B:B,0)),"")*C231/100000,""))</f>
        <v>0</v>
      </c>
      <c r="J231" s="24">
        <f>IF(OR(B231="",C231=""),"",IFERROR(IFERROR(INDEX(Vöruskrá!M:M,MATCH(B231,Vöruskrá!B:B,0)),"")*C231/100000,""))</f>
        <v>0.35499999999999998</v>
      </c>
      <c r="K231" s="24">
        <f>IF(OR(B231="",C231=""),"",IFERROR(IFERROR(INDEX(Vöruskrá!N:N,MATCH(B231,Vöruskrá!B:B,0)),"")*C231/100000,""))</f>
        <v>9.7500000000000003E-2</v>
      </c>
      <c r="L231" s="24">
        <f>IF(OR(B231="",C231=""),"",IFERROR(IFERROR(INDEX(Vöruskrá!O:O,MATCH(B231,Vöruskrá!B:B,0)),"")*C231/100000,""))</f>
        <v>3.7499999999999999E-2</v>
      </c>
      <c r="M231" s="24">
        <f>IF(OR(B231="",C231=""),"",IFERROR(IFERROR(INDEX(Vöruskrá!P:P,MATCH(B231,Vöruskrá!B:B,0)),"")*C231/100000,""))</f>
        <v>0</v>
      </c>
      <c r="N231" s="24">
        <f>IF(OR(B231="",C231=""),"",IFERROR(IFERROR(INDEX(Vöruskrá!Q:Q,MATCH(B231,Vöruskrá!B:B,0)),"")*C231/100000,""))</f>
        <v>4.4999999999999998E-2</v>
      </c>
      <c r="O231" s="25">
        <f>IF(OR(B231="",C231=""),"",IFERROR(C231/1000*IFERROR(INDEX(Vöruskrá!R:R,MATCH(B231,Vöruskrá!B:B,0)),0)/1000,""))</f>
        <v>0</v>
      </c>
      <c r="P231" s="6"/>
      <c r="Q231" s="28"/>
      <c r="R231" s="6"/>
    </row>
    <row r="232" spans="1:18" ht="15">
      <c r="A232" s="21"/>
      <c r="B232" s="21" t="s">
        <v>252</v>
      </c>
      <c r="C232" s="22">
        <v>2500</v>
      </c>
      <c r="D232" s="23" t="s">
        <v>1014</v>
      </c>
      <c r="E232" s="23" t="s">
        <v>252</v>
      </c>
      <c r="F232" s="23"/>
      <c r="G232" s="24">
        <f>IF(OR(B232="",C232=""),"",IFERROR(IFERROR(INDEX(Vöruskrá!J:J,MATCH(B232,Vöruskrá!B:B,0)),"")*C232/100000,""))</f>
        <v>0.4</v>
      </c>
      <c r="H232" s="24">
        <f>IF(OR(B232="",C232=""),"",IFERROR(IFERROR(INDEX(Vöruskrá!K:K,MATCH(B232,Vöruskrá!B:B,0)),"")*C232/100000,""))</f>
        <v>5.0000000000000001E-3</v>
      </c>
      <c r="I232" s="24">
        <f>IF(OR(B232="",C232=""),"",IFERROR(IFERROR(INDEX(Vöruskrá!L:L,MATCH(B232,Vöruskrá!B:B,0)),"")*C232/100000,""))</f>
        <v>0</v>
      </c>
      <c r="J232" s="24">
        <f>IF(OR(B232="",C232=""),"",IFERROR(IFERROR(INDEX(Vöruskrá!M:M,MATCH(B232,Vöruskrá!B:B,0)),"")*C232/100000,""))</f>
        <v>7.4999999999999997E-2</v>
      </c>
      <c r="K232" s="24">
        <f>IF(OR(B232="",C232=""),"",IFERROR(IFERROR(INDEX(Vöruskrá!N:N,MATCH(B232,Vöruskrá!B:B,0)),"")*C232/100000,""))</f>
        <v>3.2500000000000001E-2</v>
      </c>
      <c r="L232" s="24">
        <f>IF(OR(B232="",C232=""),"",IFERROR(IFERROR(INDEX(Vöruskrá!O:O,MATCH(B232,Vöruskrá!B:B,0)),"")*C232/100000,""))</f>
        <v>1.7500000000000002E-2</v>
      </c>
      <c r="M232" s="24">
        <f>IF(OR(B232="",C232=""),"",IFERROR(IFERROR(INDEX(Vöruskrá!P:P,MATCH(B232,Vöruskrá!B:B,0)),"")*C232/100000,""))</f>
        <v>2.5000000000000001E-3</v>
      </c>
      <c r="N232" s="24">
        <f>IF(OR(B232="",C232=""),"",IFERROR(IFERROR(INDEX(Vöruskrá!Q:Q,MATCH(B232,Vöruskrá!B:B,0)),"")*C232/100000,""))</f>
        <v>0.04</v>
      </c>
      <c r="O232" s="25">
        <f>IF(OR(B232="",C232=""),"",IFERROR(C232/1000*IFERROR(INDEX(Vöruskrá!R:R,MATCH(B232,Vöruskrá!B:B,0)),0)/1000,""))</f>
        <v>0</v>
      </c>
      <c r="P232" s="21"/>
      <c r="Q232" s="26"/>
      <c r="R232" s="27"/>
    </row>
    <row r="233" spans="1:18" ht="15">
      <c r="A233" s="6"/>
      <c r="B233" s="6" t="s">
        <v>1017</v>
      </c>
      <c r="C233" s="28">
        <v>630</v>
      </c>
      <c r="D233" s="23" t="s">
        <v>1017</v>
      </c>
      <c r="E233" s="23" t="s">
        <v>134</v>
      </c>
      <c r="F233" s="23"/>
      <c r="G233" s="24">
        <f>IF(OR(B233="",C233=""),"",IFERROR(IFERROR(INDEX(Vöruskrá!J:J,MATCH(B233,Vöruskrá!B:B,0)),"")*C233/100000,""))</f>
        <v>0.93869999999999998</v>
      </c>
      <c r="H233" s="24">
        <f>IF(OR(B233="",C233=""),"",IFERROR(IFERROR(INDEX(Vöruskrá!K:K,MATCH(B233,Vöruskrá!B:B,0)),"")*C233/100000,""))</f>
        <v>3.15E-3</v>
      </c>
      <c r="I233" s="24">
        <f>IF(OR(B233="",C233=""),"",IFERROR(IFERROR(INDEX(Vöruskrá!L:L,MATCH(B233,Vöruskrá!B:B,0)),"")*C233/100000,""))</f>
        <v>6.3000000000000003E-4</v>
      </c>
      <c r="J233" s="24">
        <f>IF(OR(B233="",C233=""),"",IFERROR(IFERROR(INDEX(Vöruskrá!M:M,MATCH(B233,Vöruskrá!B:B,0)),"")*C233/100000,""))</f>
        <v>0.20852999999999999</v>
      </c>
      <c r="K233" s="24">
        <f>IF(OR(B233="",C233=""),"",IFERROR(IFERROR(INDEX(Vöruskrá!N:N,MATCH(B233,Vöruskrá!B:B,0)),"")*C233/100000,""))</f>
        <v>6.3E-3</v>
      </c>
      <c r="L233" s="24">
        <f>IF(OR(B233="",C233=""),"",IFERROR(IFERROR(INDEX(Vöruskrá!O:O,MATCH(B233,Vöruskrá!B:B,0)),"")*C233/100000,""))</f>
        <v>4.0320000000000002E-2</v>
      </c>
      <c r="M233" s="24">
        <f>IF(OR(B233="",C233=""),"",IFERROR(IFERROR(INDEX(Vöruskrá!P:P,MATCH(B233,Vöruskrá!B:B,0)),"")*C233/100000,""))</f>
        <v>0</v>
      </c>
      <c r="N233" s="24">
        <f>IF(OR(B233="",C233=""),"",IFERROR(IFERROR(INDEX(Vöruskrá!Q:Q,MATCH(B233,Vöruskrá!B:B,0)),"")*C233/100000,""))</f>
        <v>1.323E-2</v>
      </c>
      <c r="O233" s="25">
        <f>IF(OR(B233="",C233=""),"",IFERROR(C233/1000*IFERROR(INDEX(Vöruskrá!R:R,MATCH(B233,Vöruskrá!B:B,0)),0)/1000,""))</f>
        <v>0</v>
      </c>
      <c r="P233" s="6"/>
      <c r="Q233" s="28"/>
      <c r="R233" s="6"/>
    </row>
    <row r="234" spans="1:18" ht="15">
      <c r="A234" s="21"/>
      <c r="B234" s="21" t="s">
        <v>504</v>
      </c>
      <c r="C234" s="22">
        <v>2500</v>
      </c>
      <c r="D234" s="23" t="s">
        <v>500</v>
      </c>
      <c r="E234" s="23" t="s">
        <v>134</v>
      </c>
      <c r="F234" s="23"/>
      <c r="G234" s="24">
        <f>IF(OR(B234="",C234=""),"",IFERROR(IFERROR(INDEX(Vöruskrá!J:J,MATCH(B234,Vöruskrá!B:B,0)),"")*C234/100000,""))</f>
        <v>2.8250000000000002</v>
      </c>
      <c r="H234" s="24">
        <f>IF(OR(B234="",C234=""),"",IFERROR(IFERROR(INDEX(Vöruskrá!K:K,MATCH(B234,Vöruskrá!B:B,0)),"")*C234/100000,""))</f>
        <v>0.01</v>
      </c>
      <c r="I234" s="24">
        <f>IF(OR(B234="",C234=""),"",IFERROR(IFERROR(INDEX(Vöruskrá!L:L,MATCH(B234,Vöruskrá!B:B,0)),"")*C234/100000,""))</f>
        <v>0</v>
      </c>
      <c r="J234" s="24">
        <f>IF(OR(B234="",C234=""),"",IFERROR(IFERROR(INDEX(Vöruskrá!M:M,MATCH(B234,Vöruskrá!B:B,0)),"")*C234/100000,""))</f>
        <v>0.47499999999999998</v>
      </c>
      <c r="K234" s="24">
        <f>IF(OR(B234="",C234=""),"",IFERROR(IFERROR(INDEX(Vöruskrá!N:N,MATCH(B234,Vöruskrá!B:B,0)),"")*C234/100000,""))</f>
        <v>0.35</v>
      </c>
      <c r="L234" s="24">
        <f>IF(OR(B234="",C234=""),"",IFERROR(IFERROR(INDEX(Vöruskrá!O:O,MATCH(B234,Vöruskrá!B:B,0)),"")*C234/100000,""))</f>
        <v>0.15</v>
      </c>
      <c r="M234" s="24">
        <f>IF(OR(B234="",C234=""),"",IFERROR(IFERROR(INDEX(Vöruskrá!P:P,MATCH(B234,Vöruskrá!B:B,0)),"")*C234/100000,""))</f>
        <v>2.5000000000000001E-3</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789</v>
      </c>
      <c r="C235" s="28">
        <v>1500</v>
      </c>
      <c r="D235" s="23" t="s">
        <v>792</v>
      </c>
      <c r="E235" s="23" t="s">
        <v>134</v>
      </c>
      <c r="F235" s="23"/>
      <c r="G235" s="24">
        <f>IF(OR(B235="",C235=""),"",IFERROR(IFERROR(INDEX(Vöruskrá!J:J,MATCH(B235,Vöruskrá!B:B,0)),"")*C235/100000,""))</f>
        <v>5.415</v>
      </c>
      <c r="H235" s="24">
        <f>IF(OR(B235="",C235=""),"",IFERROR(IFERROR(INDEX(Vöruskrá!K:K,MATCH(B235,Vöruskrá!B:B,0)),"")*C235/100000,""))</f>
        <v>0.129</v>
      </c>
      <c r="I235" s="24">
        <f>IF(OR(B235="",C235=""),"",IFERROR(IFERROR(INDEX(Vöruskrá!L:L,MATCH(B235,Vöruskrá!B:B,0)),"")*C235/100000,""))</f>
        <v>5.3999999999999999E-2</v>
      </c>
      <c r="J235" s="24">
        <f>IF(OR(B235="",C235=""),"",IFERROR(IFERROR(INDEX(Vöruskrá!M:M,MATCH(B235,Vöruskrá!B:B,0)),"")*C235/100000,""))</f>
        <v>0.97950000000000004</v>
      </c>
      <c r="K235" s="24">
        <f>IF(OR(B235="",C235=""),"",IFERROR(IFERROR(INDEX(Vöruskrá!N:N,MATCH(B235,Vöruskrá!B:B,0)),"")*C235/100000,""))</f>
        <v>0.06</v>
      </c>
      <c r="L235" s="24">
        <f>IF(OR(B235="",C235=""),"",IFERROR(IFERROR(INDEX(Vöruskrá!O:O,MATCH(B235,Vöruskrá!B:B,0)),"")*C235/100000,""))</f>
        <v>8.4000000000000005E-2</v>
      </c>
      <c r="M235" s="24">
        <f>IF(OR(B235="",C235=""),"",IFERROR(IFERROR(INDEX(Vöruskrá!P:P,MATCH(B235,Vöruskrá!B:B,0)),"")*C235/100000,""))</f>
        <v>0.16950000000000001</v>
      </c>
      <c r="N235" s="24">
        <f>IF(OR(B235="",C235=""),"",IFERROR(IFERROR(INDEX(Vöruskrá!Q:Q,MATCH(B235,Vöruskrá!B:B,0)),"")*C235/100000,""))</f>
        <v>4.4999999999999997E-3</v>
      </c>
      <c r="O235" s="25">
        <f>IF(OR(B235="",C235=""),"",IFERROR(C235/1000*IFERROR(INDEX(Vöruskrá!R:R,MATCH(B235,Vöruskrá!B:B,0)),0)/1000,""))</f>
        <v>0</v>
      </c>
      <c r="P235" s="6"/>
      <c r="Q235" s="28"/>
      <c r="R235" s="6"/>
    </row>
    <row r="236" spans="1:18" ht="15">
      <c r="A236" s="21"/>
      <c r="B236" s="21" t="s">
        <v>823</v>
      </c>
      <c r="C236" s="22">
        <v>80</v>
      </c>
      <c r="D236" s="23" t="s">
        <v>824</v>
      </c>
      <c r="E236" s="23"/>
      <c r="F236" s="23" t="s">
        <v>311</v>
      </c>
      <c r="G236" s="24">
        <f>IF(OR(B236="",C236=""),"",IFERROR(IFERROR(INDEX(Vöruskrá!J:J,MATCH(B236,Vöruskrá!B:B,0)),"")*C236/100000,""))</f>
        <v>0.22800000000000001</v>
      </c>
      <c r="H236" s="24">
        <f>IF(OR(B236="",C236=""),"",IFERROR(IFERROR(INDEX(Vöruskrá!K:K,MATCH(B236,Vöruskrá!B:B,0)),"")*C236/100000,""))</f>
        <v>5.9199999999999999E-3</v>
      </c>
      <c r="I236" s="24">
        <f>IF(OR(B236="",C236=""),"",IFERROR(IFERROR(INDEX(Vöruskrá!L:L,MATCH(B236,Vöruskrá!B:B,0)),"")*C236/100000,""))</f>
        <v>2.16E-3</v>
      </c>
      <c r="J236" s="24">
        <f>IF(OR(B236="",C236=""),"",IFERROR(IFERROR(INDEX(Vöruskrá!M:M,MATCH(B236,Vöruskrá!B:B,0)),"")*C236/100000,""))</f>
        <v>2.1600000000000001E-2</v>
      </c>
      <c r="K236" s="24">
        <f>IF(OR(B236="",C236=""),"",IFERROR(IFERROR(INDEX(Vöruskrá!N:N,MATCH(B236,Vöruskrá!B:B,0)),"")*C236/100000,""))</f>
        <v>1.3600000000000001E-3</v>
      </c>
      <c r="L236" s="24">
        <f>IF(OR(B236="",C236=""),"",IFERROR(IFERROR(INDEX(Vöruskrá!O:O,MATCH(B236,Vöruskrá!B:B,0)),"")*C236/100000,""))</f>
        <v>7.28E-3</v>
      </c>
      <c r="M236" s="24">
        <f>IF(OR(B236="",C236=""),"",IFERROR(IFERROR(INDEX(Vöruskrá!P:P,MATCH(B236,Vöruskrá!B:B,0)),"")*C236/100000,""))</f>
        <v>8.0000000000000007E-5</v>
      </c>
      <c r="N236" s="24">
        <f>IF(OR(B236="",C236=""),"",IFERROR(IFERROR(INDEX(Vöruskrá!Q:Q,MATCH(B236,Vöruskrá!B:B,0)),"")*C236/100000,""))</f>
        <v>0</v>
      </c>
      <c r="O236" s="25">
        <f>IF(OR(B236="",C236=""),"",IFERROR(C236/1000*IFERROR(INDEX(Vöruskrá!R:R,MATCH(B236,Vöruskrá!B:B,0)),0)/1000,""))</f>
        <v>0</v>
      </c>
      <c r="P236" s="21"/>
      <c r="Q236" s="26"/>
      <c r="R236" s="27"/>
    </row>
    <row r="237" spans="1:18" ht="15">
      <c r="A237" s="6"/>
      <c r="B237" s="6" t="s">
        <v>1035</v>
      </c>
      <c r="C237" s="28">
        <v>80</v>
      </c>
      <c r="D237" s="23" t="s">
        <v>1036</v>
      </c>
      <c r="E237" s="23" t="s">
        <v>134</v>
      </c>
      <c r="F237" s="23" t="s">
        <v>1024</v>
      </c>
      <c r="G237" s="24">
        <f>IF(OR(B237="",C237=""),"",IFERROR(IFERROR(INDEX(Vöruskrá!J:J,MATCH(B237,Vöruskrá!B:B,0)),"")*C237/100000,""))</f>
        <v>0.26479999999999998</v>
      </c>
      <c r="H237" s="24">
        <f>IF(OR(B237="",C237=""),"",IFERROR(IFERROR(INDEX(Vöruskrá!K:K,MATCH(B237,Vöruskrá!B:B,0)),"")*C237/100000,""))</f>
        <v>1.2160000000000001E-2</v>
      </c>
      <c r="I237" s="24">
        <f>IF(OR(B237="",C237=""),"",IFERROR(IFERROR(INDEX(Vöruskrá!L:L,MATCH(B237,Vöruskrá!B:B,0)),"")*C237/100000,""))</f>
        <v>5.9199999999999999E-3</v>
      </c>
      <c r="J237" s="24">
        <f>IF(OR(B237="",C237=""),"",IFERROR(IFERROR(INDEX(Vöruskrá!M:M,MATCH(B237,Vöruskrá!B:B,0)),"")*C237/100000,""))</f>
        <v>3.712E-2</v>
      </c>
      <c r="K237" s="24">
        <f>IF(OR(B237="",C237=""),"",IFERROR(IFERROR(INDEX(Vöruskrá!N:N,MATCH(B237,Vöruskrá!B:B,0)),"")*C237/100000,""))</f>
        <v>0</v>
      </c>
      <c r="L237" s="24">
        <f>IF(OR(B237="",C237=""),"",IFERROR(IFERROR(INDEX(Vöruskrá!O:O,MATCH(B237,Vöruskrá!B:B,0)),"")*C237/100000,""))</f>
        <v>3.9199999999999999E-3</v>
      </c>
      <c r="M237" s="24">
        <f>IF(OR(B237="",C237=""),"",IFERROR(IFERROR(INDEX(Vöruskrá!P:P,MATCH(B237,Vöruskrá!B:B,0)),"")*C237/100000,""))</f>
        <v>0</v>
      </c>
      <c r="N237" s="24">
        <f>IF(OR(B237="",C237=""),"",IFERROR(IFERROR(INDEX(Vöruskrá!Q:Q,MATCH(B237,Vöruskrá!B:B,0)),"")*C237/100000,""))</f>
        <v>3.4079999999999999E-2</v>
      </c>
      <c r="O237" s="25">
        <f>IF(OR(B237="",C237=""),"",IFERROR(C237/1000*IFERROR(INDEX(Vöruskrá!R:R,MATCH(B237,Vöruskrá!B:B,0)),0)/1000,""))</f>
        <v>0</v>
      </c>
      <c r="P237" s="6"/>
      <c r="Q237" s="28"/>
      <c r="R237" s="6"/>
    </row>
    <row r="238" spans="1:18" ht="15">
      <c r="A238" s="21"/>
      <c r="B238" s="21" t="s">
        <v>815</v>
      </c>
      <c r="C238" s="22">
        <v>80</v>
      </c>
      <c r="D238" s="23" t="s">
        <v>816</v>
      </c>
      <c r="E238" s="23"/>
      <c r="F238" s="23" t="s">
        <v>311</v>
      </c>
      <c r="G238" s="24">
        <f>IF(OR(B238="",C238=""),"",IFERROR(IFERROR(INDEX(Vöruskrá!J:J,MATCH(B238,Vöruskrá!B:B,0)),"")*C238/100000,""))</f>
        <v>0.38400000000000001</v>
      </c>
      <c r="H238" s="24">
        <f>IF(OR(B238="",C238=""),"",IFERROR(IFERROR(INDEX(Vöruskrá!K:K,MATCH(B238,Vöruskrá!B:B,0)),"")*C238/100000,""))</f>
        <v>8.0000000000000002E-3</v>
      </c>
      <c r="I238" s="24">
        <f>IF(OR(B238="",C238=""),"",IFERROR(IFERROR(INDEX(Vöruskrá!L:L,MATCH(B238,Vöruskrá!B:B,0)),"")*C238/100000,""))</f>
        <v>2.16E-3</v>
      </c>
      <c r="J238" s="24">
        <f>IF(OR(B238="",C238=""),"",IFERROR(IFERROR(INDEX(Vöruskrá!M:M,MATCH(B238,Vöruskrá!B:B,0)),"")*C238/100000,""))</f>
        <v>5.1200000000000002E-2</v>
      </c>
      <c r="K238" s="24">
        <f>IF(OR(B238="",C238=""),"",IFERROR(IFERROR(INDEX(Vöruskrá!N:N,MATCH(B238,Vöruskrá!B:B,0)),"")*C238/100000,""))</f>
        <v>3.2799999999999999E-3</v>
      </c>
      <c r="L238" s="24">
        <f>IF(OR(B238="",C238=""),"",IFERROR(IFERROR(INDEX(Vöruskrá!O:O,MATCH(B238,Vöruskrá!B:B,0)),"")*C238/100000,""))</f>
        <v>8.8000000000000005E-3</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808</v>
      </c>
      <c r="C239" s="28">
        <v>30</v>
      </c>
      <c r="D239" s="23" t="s">
        <v>809</v>
      </c>
      <c r="E239" s="23"/>
      <c r="F239" s="23" t="s">
        <v>311</v>
      </c>
      <c r="G239" s="24">
        <f>IF(OR(B239="",C239=""),"",IFERROR(IFERROR(INDEX(Vöruskrá!J:J,MATCH(B239,Vöruskrá!B:B,0)),"")*C239/100000,""))</f>
        <v>0.10589999999999999</v>
      </c>
      <c r="H239" s="24">
        <f>IF(OR(B239="",C239=""),"",IFERROR(IFERROR(INDEX(Vöruskrá!K:K,MATCH(B239,Vöruskrá!B:B,0)),"")*C239/100000,""))</f>
        <v>2.5200000000000001E-3</v>
      </c>
      <c r="I239" s="24">
        <f>IF(OR(B239="",C239=""),"",IFERROR(IFERROR(INDEX(Vöruskrá!L:L,MATCH(B239,Vöruskrá!B:B,0)),"")*C239/100000,""))</f>
        <v>6.8999999999999997E-4</v>
      </c>
      <c r="J239" s="24">
        <f>IF(OR(B239="",C239=""),"",IFERROR(IFERROR(INDEX(Vöruskrá!M:M,MATCH(B239,Vöruskrá!B:B,0)),"")*C239/100000,""))</f>
        <v>1.47E-2</v>
      </c>
      <c r="K239" s="24">
        <f>IF(OR(B239="",C239=""),"",IFERROR(IFERROR(INDEX(Vöruskrá!N:N,MATCH(B239,Vöruskrá!B:B,0)),"")*C239/100000,""))</f>
        <v>0</v>
      </c>
      <c r="L239" s="24">
        <f>IF(OR(B239="",C239=""),"",IFERROR(IFERROR(INDEX(Vöruskrá!O:O,MATCH(B239,Vöruskrá!B:B,0)),"")*C239/100000,""))</f>
        <v>2.2799999999999999E-3</v>
      </c>
      <c r="M239" s="24">
        <f>IF(OR(B239="",C239=""),"",IFERROR(IFERROR(INDEX(Vöruskrá!P:P,MATCH(B239,Vöruskrá!B:B,0)),"")*C239/100000,""))</f>
        <v>3.0000000000000001E-5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819</v>
      </c>
      <c r="C240" s="22">
        <v>100</v>
      </c>
      <c r="D240" s="23" t="s">
        <v>820</v>
      </c>
      <c r="E240" s="23"/>
      <c r="F240" s="23" t="s">
        <v>311</v>
      </c>
      <c r="G240" s="24">
        <f>IF(OR(B240="",C240=""),"",IFERROR(IFERROR(INDEX(Vöruskrá!J:J,MATCH(B240,Vöruskrá!B:B,0)),"")*C240/100000,""))</f>
        <v>0.38600000000000001</v>
      </c>
      <c r="H240" s="24">
        <f>IF(OR(B240="",C240=""),"",IFERROR(IFERROR(INDEX(Vöruskrá!K:K,MATCH(B240,Vöruskrá!B:B,0)),"")*C240/100000,""))</f>
        <v>3.3E-3</v>
      </c>
      <c r="I240" s="24">
        <f>IF(OR(B240="",C240=""),"",IFERROR(IFERROR(INDEX(Vöruskrá!L:L,MATCH(B240,Vöruskrá!B:B,0)),"")*C240/100000,""))</f>
        <v>1E-3</v>
      </c>
      <c r="J240" s="24">
        <f>IF(OR(B240="",C240=""),"",IFERROR(IFERROR(INDEX(Vöruskrá!M:M,MATCH(B240,Vöruskrá!B:B,0)),"")*C240/100000,""))</f>
        <v>6.5000000000000002E-2</v>
      </c>
      <c r="K240" s="24">
        <f>IF(OR(B240="",C240=""),"",IFERROR(IFERROR(INDEX(Vöruskrá!N:N,MATCH(B240,Vöruskrá!B:B,0)),"")*C240/100000,""))</f>
        <v>5.9999999999999995E-4</v>
      </c>
      <c r="L240" s="24">
        <f>IF(OR(B240="",C240=""),"",IFERROR(IFERROR(INDEX(Vöruskrá!O:O,MATCH(B240,Vöruskrá!B:B,0)),"")*C240/100000,""))</f>
        <v>1.0999999999999999E-2</v>
      </c>
      <c r="M240" s="24">
        <f>IF(OR(B240="",C240=""),"",IFERROR(IFERROR(INDEX(Vöruskrá!P:P,MATCH(B240,Vöruskrá!B:B,0)),"")*C240/100000,""))</f>
        <v>1E-4</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299</v>
      </c>
      <c r="C241" s="28">
        <v>750</v>
      </c>
      <c r="D241" s="23" t="s">
        <v>302</v>
      </c>
      <c r="E241" s="23" t="s">
        <v>134</v>
      </c>
      <c r="F241" s="23" t="s">
        <v>303</v>
      </c>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0.75</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1270</v>
      </c>
      <c r="C242" s="22">
        <v>1880</v>
      </c>
      <c r="D242" s="23" t="s">
        <v>1270</v>
      </c>
      <c r="E242" s="23" t="s">
        <v>134</v>
      </c>
      <c r="F242" s="23"/>
      <c r="G242" s="24">
        <f>IF(OR(B242="",C242=""),"",IFERROR(IFERROR(INDEX(Vöruskrá!J:J,MATCH(B242,Vöruskrá!B:B,0)),"")*C242/100000,""))</f>
        <v>16.920000000000002</v>
      </c>
      <c r="H242" s="24">
        <f>IF(OR(B242="",C242=""),"",IFERROR(IFERROR(INDEX(Vöruskrá!K:K,MATCH(B242,Vöruskrá!B:B,0)),"")*C242/100000,""))</f>
        <v>1.88</v>
      </c>
      <c r="I242" s="24">
        <f>IF(OR(B242="",C242=""),"",IFERROR(IFERROR(INDEX(Vöruskrá!L:L,MATCH(B242,Vöruskrá!B:B,0)),"")*C242/100000,""))</f>
        <v>0.13159999999999999</v>
      </c>
      <c r="J242" s="24">
        <f>IF(OR(B242="",C242=""),"",IFERROR(IFERROR(INDEX(Vöruskrá!M:M,MATCH(B242,Vöruskrá!B:B,0)),"")*C242/100000,""))</f>
        <v>1.222</v>
      </c>
      <c r="K242" s="24">
        <f>IF(OR(B242="",C242=""),"",IFERROR(IFERROR(INDEX(Vöruskrá!N:N,MATCH(B242,Vöruskrá!B:B,0)),"")*C242/100000,""))</f>
        <v>0.51700000000000002</v>
      </c>
      <c r="L242" s="24">
        <f>IF(OR(B242="",C242=""),"",IFERROR(IFERROR(INDEX(Vöruskrá!O:O,MATCH(B242,Vöruskrá!B:B,0)),"")*C242/100000,""))</f>
        <v>0</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21"/>
      <c r="Q242" s="26"/>
      <c r="R242" s="27"/>
    </row>
    <row r="243" spans="1:18" ht="15">
      <c r="A243" s="6"/>
      <c r="B243" s="6" t="s">
        <v>1020</v>
      </c>
      <c r="C243" s="28">
        <v>17370</v>
      </c>
      <c r="D243" s="23" t="s">
        <v>1020</v>
      </c>
      <c r="E243" s="23" t="s">
        <v>134</v>
      </c>
      <c r="F243" s="23"/>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6"/>
      <c r="Q243" s="28"/>
      <c r="R243" s="6"/>
    </row>
    <row r="244" spans="1:18" ht="60">
      <c r="A244" s="147" t="s">
        <v>1620</v>
      </c>
      <c r="B244" s="147"/>
      <c r="C244" s="148"/>
      <c r="D244" s="147" t="s">
        <v>1621</v>
      </c>
      <c r="E244" s="147" t="s">
        <v>1622</v>
      </c>
      <c r="F244" s="147"/>
      <c r="G244" s="149">
        <v>92.61</v>
      </c>
      <c r="H244" s="149">
        <v>3.7</v>
      </c>
      <c r="I244" s="149">
        <v>1.92</v>
      </c>
      <c r="J244" s="149">
        <v>8.0399999999999991</v>
      </c>
      <c r="K244" s="149"/>
      <c r="L244" s="149">
        <v>7.26</v>
      </c>
      <c r="M244" s="149">
        <v>1.79</v>
      </c>
      <c r="N244" s="149">
        <f>IFERROR(SUM(N245:N253)/(SUM($C$245:$C$253)/100000),"")</f>
        <v>0.8165</v>
      </c>
      <c r="O244" s="150" t="str">
        <f>IF(OR(B244="",C244=""),"",IFERROR(C244/1000*IFERROR(INDEX(Vöruskrá!R:R,MATCH(B244,Vöruskrá!B:B,0)),0)/1000,""))</f>
        <v/>
      </c>
      <c r="P244" s="147" t="s">
        <v>1623</v>
      </c>
      <c r="Q244" s="26" t="s">
        <v>1624</v>
      </c>
      <c r="R244" s="27" t="s">
        <v>1625</v>
      </c>
    </row>
    <row r="245" spans="1:18" ht="15">
      <c r="A245" s="6"/>
      <c r="B245" s="6" t="s">
        <v>650</v>
      </c>
      <c r="C245" s="28">
        <v>43500</v>
      </c>
      <c r="D245" s="23" t="s">
        <v>651</v>
      </c>
      <c r="E245" s="23" t="s">
        <v>621</v>
      </c>
      <c r="F245" s="23"/>
      <c r="G245" s="24">
        <f>IF(OR(B245="",C245=""),"",IFERROR(IFERROR(INDEX(Vöruskrá!J:J,MATCH(B245,Vöruskrá!B:B,0)),"")*C245/100000,""))</f>
        <v>26.535</v>
      </c>
      <c r="H245" s="24">
        <f>IF(OR(B245="",C245=""),"",IFERROR(IFERROR(INDEX(Vöruskrá!K:K,MATCH(B245,Vöruskrá!B:B,0)),"")*C245/100000,""))</f>
        <v>0.435</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6.09</v>
      </c>
      <c r="M245" s="24">
        <f>IF(OR(B245="",C245=""),"",IFERROR(IFERROR(INDEX(Vöruskrá!P:P,MATCH(B245,Vöruskrá!B:B,0)),"")*C245/100000,""))</f>
        <v>1.3049999999999999</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635</v>
      </c>
      <c r="C246" s="22">
        <v>32600</v>
      </c>
      <c r="D246" s="23" t="s">
        <v>635</v>
      </c>
      <c r="E246" s="23" t="s">
        <v>134</v>
      </c>
      <c r="F246" s="23"/>
      <c r="G246" s="24">
        <f>IF(OR(B246="",C246=""),"",IFERROR(IFERROR(INDEX(Vöruskrá!J:J,MATCH(B246,Vöruskrá!B:B,0)),"")*C246/100000,""))</f>
        <v>25.102</v>
      </c>
      <c r="H246" s="24">
        <f>IF(OR(B246="",C246=""),"",IFERROR(IFERROR(INDEX(Vöruskrá!K:K,MATCH(B246,Vöruskrá!B:B,0)),"")*C246/100000,""))</f>
        <v>3.2599999999999997E-2</v>
      </c>
      <c r="I246" s="24">
        <f>IF(OR(B246="",C246=""),"",IFERROR(IFERROR(INDEX(Vöruskrá!L:L,MATCH(B246,Vöruskrá!B:B,0)),"")*C246/100000,""))</f>
        <v>0</v>
      </c>
      <c r="J246" s="24">
        <f>IF(OR(B246="",C246=""),"",IFERROR(IFERROR(INDEX(Vöruskrá!M:M,MATCH(B246,Vöruskrá!B:B,0)),"")*C246/100000,""))</f>
        <v>5.5419999999999998</v>
      </c>
      <c r="K246" s="24">
        <f>IF(OR(B246="",C246=""),"",IFERROR(IFERROR(INDEX(Vöruskrá!N:N,MATCH(B246,Vöruskrá!B:B,0)),"")*C246/100000,""))</f>
        <v>0.26079999999999998</v>
      </c>
      <c r="L246" s="24">
        <f>IF(OR(B246="",C246=""),"",IFERROR(IFERROR(INDEX(Vöruskrá!O:O,MATCH(B246,Vöruskrá!B:B,0)),"")*C246/100000,""))</f>
        <v>0.65200000000000002</v>
      </c>
      <c r="M246" s="24">
        <f>IF(OR(B246="",C246=""),"",IFERROR(IFERROR(INDEX(Vöruskrá!P:P,MATCH(B246,Vöruskrá!B:B,0)),"")*C246/100000,""))</f>
        <v>0</v>
      </c>
      <c r="N246" s="24">
        <f>IF(OR(B246="",C246=""),"",IFERROR(IFERROR(INDEX(Vöruskrá!Q:Q,MATCH(B246,Vöruskrá!B:B,0)),"")*C246/100000,""))</f>
        <v>0.71719999999999995</v>
      </c>
      <c r="O246" s="25">
        <f>IF(OR(B246="",C246=""),"",IFERROR(C246/1000*IFERROR(INDEX(Vöruskrá!R:R,MATCH(B246,Vöruskrá!B:B,0)),0)/1000,""))</f>
        <v>0</v>
      </c>
      <c r="P246" s="21"/>
      <c r="Q246" s="26"/>
      <c r="R246" s="27"/>
    </row>
    <row r="247" spans="1:18" ht="15">
      <c r="A247" s="6"/>
      <c r="B247" s="6" t="s">
        <v>1010</v>
      </c>
      <c r="C247" s="28">
        <v>4900</v>
      </c>
      <c r="D247" s="23" t="s">
        <v>1010</v>
      </c>
      <c r="E247" s="23" t="s">
        <v>134</v>
      </c>
      <c r="F247" s="23"/>
      <c r="G247" s="24">
        <f>IF(OR(B247="",C247=""),"",IFERROR(IFERROR(INDEX(Vöruskrá!J:J,MATCH(B247,Vöruskrá!B:B,0)),"")*C247/100000,""))</f>
        <v>1.96</v>
      </c>
      <c r="H247" s="24">
        <f>IF(OR(B247="",C247=""),"",IFERROR(IFERROR(INDEX(Vöruskrá!K:K,MATCH(B247,Vöruskrá!B:B,0)),"")*C247/100000,""))</f>
        <v>4.8999999999999998E-3</v>
      </c>
      <c r="I247" s="24">
        <f>IF(OR(B247="",C247=""),"",IFERROR(IFERROR(INDEX(Vöruskrá!L:L,MATCH(B247,Vöruskrá!B:B,0)),"")*C247/100000,""))</f>
        <v>0</v>
      </c>
      <c r="J247" s="24">
        <f>IF(OR(B247="",C247=""),"",IFERROR(IFERROR(INDEX(Vöruskrá!M:M,MATCH(B247,Vöruskrá!B:B,0)),"")*C247/100000,""))</f>
        <v>0.45569999999999999</v>
      </c>
      <c r="K247" s="24">
        <f>IF(OR(B247="",C247=""),"",IFERROR(IFERROR(INDEX(Vöruskrá!N:N,MATCH(B247,Vöruskrá!B:B,0)),"")*C247/100000,""))</f>
        <v>0.20580000000000001</v>
      </c>
      <c r="L247" s="24">
        <f>IF(OR(B247="",C247=""),"",IFERROR(IFERROR(INDEX(Vöruskrá!O:O,MATCH(B247,Vöruskrá!B:B,0)),"")*C247/100000,""))</f>
        <v>5.3900000000000003E-2</v>
      </c>
      <c r="M247" s="24">
        <f>IF(OR(B247="",C247=""),"",IFERROR(IFERROR(INDEX(Vöruskrá!P:P,MATCH(B247,Vöruskrá!B:B,0)),"")*C247/100000,""))</f>
        <v>0</v>
      </c>
      <c r="N247" s="24">
        <f>IF(OR(B247="",C247=""),"",IFERROR(IFERROR(INDEX(Vöruskrá!Q:Q,MATCH(B247,Vöruskrá!B:B,0)),"")*C247/100000,""))</f>
        <v>8.3299999999999999E-2</v>
      </c>
      <c r="O247" s="25">
        <f>IF(OR(B247="",C247=""),"",IFERROR(C247/1000*IFERROR(INDEX(Vöruskrá!R:R,MATCH(B247,Vöruskrá!B:B,0)),0)/1000,""))</f>
        <v>0</v>
      </c>
      <c r="P247" s="6"/>
      <c r="Q247" s="28"/>
      <c r="R247" s="6"/>
    </row>
    <row r="248" spans="1:18" ht="15">
      <c r="A248" s="21"/>
      <c r="B248" s="21" t="s">
        <v>849</v>
      </c>
      <c r="C248" s="22">
        <v>13000</v>
      </c>
      <c r="D248" s="23" t="s">
        <v>850</v>
      </c>
      <c r="E248" s="23" t="s">
        <v>120</v>
      </c>
      <c r="F248" s="23"/>
      <c r="G248" s="24">
        <f>IF(OR(B248="",C248=""),"",IFERROR(IFERROR(INDEX(Vöruskrá!J:J,MATCH(B248,Vöruskrá!B:B,0)),"")*C248/100000,""))</f>
        <v>8.7100000000000009</v>
      </c>
      <c r="H248" s="24">
        <f>IF(OR(B248="",C248=""),"",IFERROR(IFERROR(INDEX(Vöruskrá!K:K,MATCH(B248,Vöruskrá!B:B,0)),"")*C248/100000,""))</f>
        <v>0.50700000000000001</v>
      </c>
      <c r="I248" s="24">
        <f>IF(OR(B248="",C248=""),"",IFERROR(IFERROR(INDEX(Vöruskrá!L:L,MATCH(B248,Vöruskrá!B:B,0)),"")*C248/100000,""))</f>
        <v>0.29899999999999999</v>
      </c>
      <c r="J248" s="24">
        <f>IF(OR(B248="",C248=""),"",IFERROR(IFERROR(INDEX(Vöruskrá!M:M,MATCH(B248,Vöruskrá!B:B,0)),"")*C248/100000,""))</f>
        <v>0.61099999999999999</v>
      </c>
      <c r="K248" s="24">
        <f>IF(OR(B248="",C248=""),"",IFERROR(IFERROR(INDEX(Vöruskrá!N:N,MATCH(B248,Vöruskrá!B:B,0)),"")*C248/100000,""))</f>
        <v>0.61099999999999999</v>
      </c>
      <c r="L248" s="24">
        <f>IF(OR(B248="",C248=""),"",IFERROR(IFERROR(INDEX(Vöruskrá!O:O,MATCH(B248,Vöruskrá!B:B,0)),"")*C248/100000,""))</f>
        <v>0.42899999999999999</v>
      </c>
      <c r="M248" s="24">
        <f>IF(OR(B248="",C248=""),"",IFERROR(IFERROR(INDEX(Vöruskrá!P:P,MATCH(B248,Vöruskrá!B:B,0)),"")*C248/100000,""))</f>
        <v>1.2999999999999999E-2</v>
      </c>
      <c r="N248" s="24">
        <f>IF(OR(B248="",C248=""),"",IFERROR(IFERROR(INDEX(Vöruskrá!Q:Q,MATCH(B248,Vöruskrá!B:B,0)),"")*C248/100000,""))</f>
        <v>0</v>
      </c>
      <c r="O248" s="25">
        <f>IF(OR(B248="",C248=""),"",IFERROR(C248/1000*IFERROR(INDEX(Vöruskrá!R:R,MATCH(B248,Vöruskrá!B:B,0)),0)/1000,""))</f>
        <v>0</v>
      </c>
      <c r="P248" s="21"/>
      <c r="Q248" s="26"/>
      <c r="R248" s="27"/>
    </row>
    <row r="249" spans="1:18" ht="15">
      <c r="A249" s="6"/>
      <c r="B249" s="6" t="s">
        <v>445</v>
      </c>
      <c r="C249" s="28">
        <v>3300</v>
      </c>
      <c r="D249" s="23" t="s">
        <v>448</v>
      </c>
      <c r="E249" s="23" t="s">
        <v>120</v>
      </c>
      <c r="F249" s="23"/>
      <c r="G249" s="24">
        <f>IF(OR(B249="",C249=""),"",IFERROR(IFERROR(INDEX(Vöruskrá!J:J,MATCH(B249,Vöruskrá!B:B,0)),"")*C249/100000,""))</f>
        <v>24.353999999999999</v>
      </c>
      <c r="H249" s="24">
        <f>IF(OR(B249="",C249=""),"",IFERROR(IFERROR(INDEX(Vöruskrá!K:K,MATCH(B249,Vöruskrá!B:B,0)),"")*C249/100000,""))</f>
        <v>2.706</v>
      </c>
      <c r="I249" s="24">
        <f>IF(OR(B249="",C249=""),"",IFERROR(IFERROR(INDEX(Vöruskrá!L:L,MATCH(B249,Vöruskrá!B:B,0)),"")*C249/100000,""))</f>
        <v>1.617</v>
      </c>
      <c r="J249" s="24">
        <f>IF(OR(B249="",C249=""),"",IFERROR(IFERROR(INDEX(Vöruskrá!M:M,MATCH(B249,Vöruskrá!B:B,0)),"")*C249/100000,""))</f>
        <v>1.32E-2</v>
      </c>
      <c r="K249" s="24">
        <f>IF(OR(B249="",C249=""),"",IFERROR(IFERROR(INDEX(Vöruskrá!N:N,MATCH(B249,Vöruskrá!B:B,0)),"")*C249/100000,""))</f>
        <v>1.32E-2</v>
      </c>
      <c r="L249" s="24">
        <f>IF(OR(B249="",C249=""),"",IFERROR(IFERROR(INDEX(Vöruskrá!O:O,MATCH(B249,Vöruskrá!B:B,0)),"")*C249/100000,""))</f>
        <v>1.9800000000000002E-2</v>
      </c>
      <c r="M249" s="24">
        <f>IF(OR(B249="",C249=""),"",IFERROR(IFERROR(INDEX(Vöruskrá!P:P,MATCH(B249,Vöruskrá!B:B,0)),"")*C249/100000,""))</f>
        <v>3.9600000000000003E-2</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349</v>
      </c>
      <c r="C250" s="22">
        <v>1600</v>
      </c>
      <c r="D250" s="23" t="s">
        <v>351</v>
      </c>
      <c r="E250" s="23" t="s">
        <v>134</v>
      </c>
      <c r="F250" s="23"/>
      <c r="G250" s="24">
        <f>IF(OR(B250="",C250=""),"",IFERROR(IFERROR(INDEX(Vöruskrá!J:J,MATCH(B250,Vöruskrá!B:B,0)),"")*C250/100000,""))</f>
        <v>5.68</v>
      </c>
      <c r="H250" s="24">
        <f>IF(OR(B250="",C250=""),"",IFERROR(IFERROR(INDEX(Vöruskrá!K:K,MATCH(B250,Vöruskrá!B:B,0)),"")*C250/100000,""))</f>
        <v>8.0000000000000002E-3</v>
      </c>
      <c r="I250" s="24">
        <f>IF(OR(B250="",C250=""),"",IFERROR(IFERROR(INDEX(Vöruskrá!L:L,MATCH(B250,Vöruskrá!B:B,0)),"")*C250/100000,""))</f>
        <v>0</v>
      </c>
      <c r="J250" s="24">
        <f>IF(OR(B250="",C250=""),"",IFERROR(IFERROR(INDEX(Vöruskrá!M:M,MATCH(B250,Vöruskrá!B:B,0)),"")*C250/100000,""))</f>
        <v>1.3759999999999999</v>
      </c>
      <c r="K250" s="24">
        <f>IF(OR(B250="",C250=""),"",IFERROR(IFERROR(INDEX(Vöruskrá!N:N,MATCH(B250,Vöruskrá!B:B,0)),"")*C250/100000,""))</f>
        <v>0</v>
      </c>
      <c r="L250" s="24">
        <f>IF(OR(B250="",C250=""),"",IFERROR(IFERROR(INDEX(Vöruskrá!O:O,MATCH(B250,Vöruskrá!B:B,0)),"")*C250/100000,""))</f>
        <v>8.0000000000000002E-3</v>
      </c>
      <c r="M250" s="24">
        <f>IF(OR(B250="",C250=""),"",IFERROR(IFERROR(INDEX(Vöruskrá!P:P,MATCH(B250,Vöruskrá!B:B,0)),"")*C250/100000,""))</f>
        <v>0</v>
      </c>
      <c r="N250" s="24">
        <f>IF(OR(B250="",C250=""),"",IFERROR(IFERROR(INDEX(Vöruskrá!Q:Q,MATCH(B250,Vöruskrá!B:B,0)),"")*C250/100000,""))</f>
        <v>1.6E-2</v>
      </c>
      <c r="O250" s="25">
        <f>IF(OR(B250="",C250=""),"",IFERROR(C250/1000*IFERROR(INDEX(Vöruskrá!R:R,MATCH(B250,Vöruskrá!B:B,0)),0)/1000,""))</f>
        <v>0</v>
      </c>
      <c r="P250" s="21"/>
      <c r="Q250" s="26"/>
      <c r="R250" s="27"/>
    </row>
    <row r="251" spans="1:18" ht="15">
      <c r="A251" s="21"/>
      <c r="B251" s="21" t="s">
        <v>299</v>
      </c>
      <c r="C251" s="22">
        <v>430</v>
      </c>
      <c r="D251" s="23" t="s">
        <v>302</v>
      </c>
      <c r="E251" s="23" t="s">
        <v>134</v>
      </c>
      <c r="F251" s="23" t="s">
        <v>303</v>
      </c>
      <c r="G251" s="24">
        <f>IF(OR(B251="",C251=""),"",IFERROR(IFERROR(INDEX(Vöruskrá!J:J,MATCH(B251,Vöruskrá!B:B,0)),"")*C251/100000,""))</f>
        <v>0</v>
      </c>
      <c r="H251" s="24">
        <f>IF(OR(B251="",C251=""),"",IFERROR(IFERROR(INDEX(Vöruskrá!K:K,MATCH(B251,Vöruskrá!B:B,0)),"")*C251/100000,""))</f>
        <v>0</v>
      </c>
      <c r="I251" s="24">
        <f>IF(OR(B251="",C251=""),"",IFERROR(IFERROR(INDEX(Vöruskrá!L:L,MATCH(B251,Vöruskrá!B:B,0)),"")*C251/100000,""))</f>
        <v>0</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0.43</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819</v>
      </c>
      <c r="C252" s="28">
        <v>70</v>
      </c>
      <c r="D252" s="23" t="s">
        <v>820</v>
      </c>
      <c r="E252" s="23"/>
      <c r="F252" s="23" t="s">
        <v>311</v>
      </c>
      <c r="G252" s="24">
        <f>IF(OR(B252="",C252=""),"",IFERROR(IFERROR(INDEX(Vöruskrá!J:J,MATCH(B252,Vöruskrá!B:B,0)),"")*C252/100000,""))</f>
        <v>0.2702</v>
      </c>
      <c r="H252" s="24">
        <f>IF(OR(B252="",C252=""),"",IFERROR(IFERROR(INDEX(Vöruskrá!K:K,MATCH(B252,Vöruskrá!B:B,0)),"")*C252/100000,""))</f>
        <v>2.31E-3</v>
      </c>
      <c r="I252" s="24">
        <f>IF(OR(B252="",C252=""),"",IFERROR(IFERROR(INDEX(Vöruskrá!L:L,MATCH(B252,Vöruskrá!B:B,0)),"")*C252/100000,""))</f>
        <v>6.9999999999999999E-4</v>
      </c>
      <c r="J252" s="24">
        <f>IF(OR(B252="",C252=""),"",IFERROR(IFERROR(INDEX(Vöruskrá!M:M,MATCH(B252,Vöruskrá!B:B,0)),"")*C252/100000,""))</f>
        <v>4.5499999999999999E-2</v>
      </c>
      <c r="K252" s="24">
        <f>IF(OR(B252="",C252=""),"",IFERROR(IFERROR(INDEX(Vöruskrá!N:N,MATCH(B252,Vöruskrá!B:B,0)),"")*C252/100000,""))</f>
        <v>4.2000000000000002E-4</v>
      </c>
      <c r="L252" s="24">
        <f>IF(OR(B252="",C252=""),"",IFERROR(IFERROR(INDEX(Vöruskrá!O:O,MATCH(B252,Vöruskrá!B:B,0)),"")*C252/100000,""))</f>
        <v>7.7000000000000002E-3</v>
      </c>
      <c r="M252" s="24">
        <f>IF(OR(B252="",C252=""),"",IFERROR(IFERROR(INDEX(Vöruskrá!P:P,MATCH(B252,Vöruskrá!B:B,0)),"")*C252/100000,""))</f>
        <v>6.9999999999999994E-5</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1020</v>
      </c>
      <c r="C253" s="22">
        <v>600</v>
      </c>
      <c r="D253" s="23" t="s">
        <v>1020</v>
      </c>
      <c r="E253" s="23" t="s">
        <v>134</v>
      </c>
      <c r="F253" s="23"/>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v>
      </c>
      <c r="N253" s="24">
        <f>IF(OR(B253="",C253=""),"",IFERROR(IFERROR(INDEX(Vöruskrá!Q:Q,MATCH(B253,Vöruskrá!B:B,0)),"")*C253/100000,""))</f>
        <v>0</v>
      </c>
      <c r="O253" s="25">
        <f>IF(OR(B253="",C253=""),"",IFERROR(C253/1000*IFERROR(INDEX(Vöruskrá!R:R,MATCH(B253,Vöruskrá!B:B,0)),0)/1000,""))</f>
        <v>0</v>
      </c>
      <c r="P253" s="21"/>
      <c r="Q253" s="26"/>
      <c r="R253" s="27"/>
    </row>
    <row r="254" spans="1:18" ht="24">
      <c r="A254" s="147" t="s">
        <v>1626</v>
      </c>
      <c r="B254" s="147"/>
      <c r="C254" s="148"/>
      <c r="D254" s="147" t="s">
        <v>1627</v>
      </c>
      <c r="E254" s="147" t="s">
        <v>134</v>
      </c>
      <c r="F254" s="147"/>
      <c r="G254" s="149">
        <v>146</v>
      </c>
      <c r="H254" s="149">
        <v>0.28000000000000003</v>
      </c>
      <c r="I254" s="149">
        <v>0.08</v>
      </c>
      <c r="J254" s="149">
        <v>32</v>
      </c>
      <c r="K254" s="149"/>
      <c r="L254" s="149">
        <v>2.84</v>
      </c>
      <c r="M254" s="149">
        <v>0.3</v>
      </c>
      <c r="N254" s="149">
        <f>IFERROR(SUM(N255:N257)/(SUM($C$255:$C$257)/100000),"")</f>
        <v>0.52</v>
      </c>
      <c r="O254" s="150" t="str">
        <f>IF(OR(B254="",C254=""),"",IFERROR(C254/1000*IFERROR(INDEX(Vöruskrá!R:R,MATCH(B254,Vöruskrá!B:B,0)),0)/1000,""))</f>
        <v/>
      </c>
      <c r="P254" s="147" t="s">
        <v>1628</v>
      </c>
      <c r="Q254" s="28" t="s">
        <v>1535</v>
      </c>
      <c r="R254" s="6" t="s">
        <v>1629</v>
      </c>
    </row>
    <row r="255" spans="1:18" ht="15">
      <c r="A255" s="21"/>
      <c r="B255" s="21" t="s">
        <v>341</v>
      </c>
      <c r="C255" s="22">
        <v>40000</v>
      </c>
      <c r="D255" s="23" t="s">
        <v>344</v>
      </c>
      <c r="E255" s="23" t="s">
        <v>134</v>
      </c>
      <c r="F255" s="23"/>
      <c r="G255" s="24">
        <f>IF(OR(B255="",C255=""),"",IFERROR(IFERROR(INDEX(Vöruskrá!J:J,MATCH(B255,Vöruskrá!B:B,0)),"")*C255/100000,""))</f>
        <v>146</v>
      </c>
      <c r="H255" s="24">
        <f>IF(OR(B255="",C255=""),"",IFERROR(IFERROR(INDEX(Vöruskrá!K:K,MATCH(B255,Vöruskrá!B:B,0)),"")*C255/100000,""))</f>
        <v>0.28000000000000003</v>
      </c>
      <c r="I255" s="24">
        <f>IF(OR(B255="",C255=""),"",IFERROR(IFERROR(INDEX(Vöruskrá!L:L,MATCH(B255,Vöruskrá!B:B,0)),"")*C255/100000,""))</f>
        <v>0.08</v>
      </c>
      <c r="J255" s="24">
        <f>IF(OR(B255="",C255=""),"",IFERROR(IFERROR(INDEX(Vöruskrá!M:M,MATCH(B255,Vöruskrá!B:B,0)),"")*C255/100000,""))</f>
        <v>32</v>
      </c>
      <c r="K255" s="24">
        <f>IF(OR(B255="",C255=""),"",IFERROR(IFERROR(INDEX(Vöruskrá!N:N,MATCH(B255,Vöruskrá!B:B,0)),"")*C255/100000,""))</f>
        <v>0.04</v>
      </c>
      <c r="L255" s="24">
        <f>IF(OR(B255="",C255=""),"",IFERROR(IFERROR(INDEX(Vöruskrá!O:O,MATCH(B255,Vöruskrá!B:B,0)),"")*C255/100000,""))</f>
        <v>2.84</v>
      </c>
      <c r="M255" s="24">
        <f>IF(OR(B255="",C255=""),"",IFERROR(IFERROR(INDEX(Vöruskrá!P:P,MATCH(B255,Vöruskrá!B:B,0)),"")*C255/100000,""))</f>
        <v>0</v>
      </c>
      <c r="N255" s="24">
        <f>IF(OR(B255="",C255=""),"",IFERROR(IFERROR(INDEX(Vöruskrá!Q:Q,MATCH(B255,Vöruskrá!B:B,0)),"")*C255/100000,""))</f>
        <v>0.52</v>
      </c>
      <c r="O255" s="25">
        <f>IF(OR(B255="",C255=""),"",IFERROR(C255/1000*IFERROR(INDEX(Vöruskrá!R:R,MATCH(B255,Vöruskrá!B:B,0)),0)/1000,""))</f>
        <v>0</v>
      </c>
      <c r="P255" s="21"/>
      <c r="Q255" s="26"/>
      <c r="R255" s="27"/>
    </row>
    <row r="256" spans="1:18" ht="15">
      <c r="A256" s="6"/>
      <c r="B256" s="6" t="s">
        <v>299</v>
      </c>
      <c r="C256" s="28">
        <v>300</v>
      </c>
      <c r="D256" s="23" t="s">
        <v>302</v>
      </c>
      <c r="E256" s="23" t="s">
        <v>134</v>
      </c>
      <c r="F256" s="23" t="s">
        <v>303</v>
      </c>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0.3</v>
      </c>
      <c r="N256" s="24">
        <f>IF(OR(B256="",C256=""),"",IFERROR(IFERROR(INDEX(Vöruskrá!Q:Q,MATCH(B256,Vöruskrá!B:B,0)),"")*C256/100000,""))</f>
        <v>0</v>
      </c>
      <c r="O256" s="25">
        <f>IF(OR(B256="",C256=""),"",IFERROR(C256/1000*IFERROR(INDEX(Vöruskrá!R:R,MATCH(B256,Vöruskrá!B:B,0)),0)/1000,""))</f>
        <v>0</v>
      </c>
      <c r="P256" s="6"/>
      <c r="Q256" s="28"/>
      <c r="R256" s="6"/>
    </row>
    <row r="257" spans="1:18" ht="15">
      <c r="A257" s="21"/>
      <c r="B257" s="21" t="s">
        <v>1020</v>
      </c>
      <c r="C257" s="22">
        <v>59700</v>
      </c>
      <c r="D257" s="23" t="s">
        <v>1020</v>
      </c>
      <c r="E257" s="23" t="s">
        <v>134</v>
      </c>
      <c r="F257" s="23"/>
      <c r="G257" s="24">
        <f>IF(OR(B257="",C257=""),"",IFERROR(IFERROR(INDEX(Vöruskrá!J:J,MATCH(B257,Vöruskrá!B:B,0)),"")*C257/100000,""))</f>
        <v>0</v>
      </c>
      <c r="H257" s="24">
        <f>IF(OR(B257="",C257=""),"",IFERROR(IFERROR(INDEX(Vöruskrá!K:K,MATCH(B257,Vöruskrá!B:B,0)),"")*C257/100000,""))</f>
        <v>0</v>
      </c>
      <c r="I257" s="24">
        <f>IF(OR(B257="",C257=""),"",IFERROR(IFERROR(INDEX(Vöruskrá!L:L,MATCH(B257,Vöruskrá!B:B,0)),"")*C257/100000,""))</f>
        <v>0</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v>
      </c>
      <c r="N257" s="24">
        <f>IF(OR(B257="",C257=""),"",IFERROR(IFERROR(INDEX(Vöruskrá!Q:Q,MATCH(B257,Vöruskrá!B:B,0)),"")*C257/100000,""))</f>
        <v>0</v>
      </c>
      <c r="O257" s="25">
        <f>IF(OR(B257="",C257=""),"",IFERROR(C257/1000*IFERROR(INDEX(Vöruskrá!R:R,MATCH(B257,Vöruskrá!B:B,0)),0)/1000,""))</f>
        <v>0</v>
      </c>
      <c r="P257" s="21"/>
      <c r="Q257" s="26"/>
      <c r="R257" s="27"/>
    </row>
    <row r="258" spans="1:18" ht="24">
      <c r="A258" s="147" t="s">
        <v>1630</v>
      </c>
      <c r="B258" s="147"/>
      <c r="C258" s="148"/>
      <c r="D258" s="147" t="s">
        <v>1431</v>
      </c>
      <c r="E258" s="147" t="s">
        <v>31</v>
      </c>
      <c r="F258" s="147"/>
      <c r="G258" s="149">
        <v>225.3</v>
      </c>
      <c r="H258" s="149">
        <v>2</v>
      </c>
      <c r="I258" s="149">
        <v>0.6</v>
      </c>
      <c r="J258" s="149">
        <v>48.5</v>
      </c>
      <c r="K258" s="149"/>
      <c r="L258" s="149">
        <v>7.4</v>
      </c>
      <c r="M258" s="149">
        <v>0.24</v>
      </c>
      <c r="N258" s="149">
        <f>IFERROR(SUM(N259:N259)/(SUM($C$259:$C$259)/100000),"")</f>
        <v>2</v>
      </c>
      <c r="O258" s="150" t="str">
        <f>IF(OR(B258="",C258=""),"",IFERROR(C258/1000*IFERROR(INDEX(Vöruskrá!R:R,MATCH(B258,Vöruskrá!B:B,0)),0)/1000,""))</f>
        <v/>
      </c>
      <c r="P258" s="147" t="s">
        <v>1631</v>
      </c>
      <c r="Q258" s="28" t="s">
        <v>1632</v>
      </c>
      <c r="R258" s="6" t="s">
        <v>1633</v>
      </c>
    </row>
    <row r="259" spans="1:18" ht="24">
      <c r="A259" s="21"/>
      <c r="B259" s="21" t="s">
        <v>1429</v>
      </c>
      <c r="C259" s="22">
        <v>100000</v>
      </c>
      <c r="D259" s="23" t="s">
        <v>1431</v>
      </c>
      <c r="E259" s="23" t="s">
        <v>31</v>
      </c>
      <c r="F259" s="23" t="s">
        <v>1432</v>
      </c>
      <c r="G259" s="24">
        <f>IF(OR(B259="",C259=""),"",IFERROR(IFERROR(INDEX(Vöruskrá!J:J,MATCH(B259,Vöruskrá!B:B,0)),"")*C259/100000,""))</f>
        <v>225.3</v>
      </c>
      <c r="H259" s="24">
        <f>IF(OR(B259="",C259=""),"",IFERROR(IFERROR(INDEX(Vöruskrá!K:K,MATCH(B259,Vöruskrá!B:B,0)),"")*C259/100000,""))</f>
        <v>2</v>
      </c>
      <c r="I259" s="24">
        <f>IF(OR(B259="",C259=""),"",IFERROR(IFERROR(INDEX(Vöruskrá!L:L,MATCH(B259,Vöruskrá!B:B,0)),"")*C259/100000,""))</f>
        <v>0.6</v>
      </c>
      <c r="J259" s="24">
        <f>IF(OR(B259="",C259=""),"",IFERROR(IFERROR(INDEX(Vöruskrá!M:M,MATCH(B259,Vöruskrá!B:B,0)),"")*C259/100000,""))</f>
        <v>48.5</v>
      </c>
      <c r="K259" s="24">
        <f>IF(OR(B259="",C259=""),"",IFERROR(IFERROR(INDEX(Vöruskrá!N:N,MATCH(B259,Vöruskrá!B:B,0)),"")*C259/100000,""))</f>
        <v>0.9</v>
      </c>
      <c r="L259" s="24">
        <f>IF(OR(B259="",C259=""),"",IFERROR(IFERROR(INDEX(Vöruskrá!O:O,MATCH(B259,Vöruskrá!B:B,0)),"")*C259/100000,""))</f>
        <v>7.4</v>
      </c>
      <c r="M259" s="24">
        <f>IF(OR(B259="",C259=""),"",IFERROR(IFERROR(INDEX(Vöruskrá!P:P,MATCH(B259,Vöruskrá!B:B,0)),"")*C259/100000,""))</f>
        <v>0.24</v>
      </c>
      <c r="N259" s="24">
        <f>IF(OR(B259="",C259=""),"",IFERROR(IFERROR(INDEX(Vöruskrá!Q:Q,MATCH(B259,Vöruskrá!B:B,0)),"")*C259/100000,""))</f>
        <v>2</v>
      </c>
      <c r="O259" s="25">
        <f>IF(OR(B259="",C259=""),"",IFERROR(C259/1000*IFERROR(INDEX(Vöruskrá!R:R,MATCH(B259,Vöruskrá!B:B,0)),0)/1000,""))</f>
        <v>0</v>
      </c>
      <c r="P259" s="21"/>
      <c r="Q259" s="26"/>
      <c r="R259" s="27"/>
    </row>
    <row r="260" spans="1:18" ht="24">
      <c r="A260" s="147" t="s">
        <v>1634</v>
      </c>
      <c r="B260" s="147"/>
      <c r="C260" s="148"/>
      <c r="D260" s="147" t="s">
        <v>1635</v>
      </c>
      <c r="E260" s="147" t="s">
        <v>31</v>
      </c>
      <c r="F260" s="147"/>
      <c r="G260" s="149">
        <v>123.55</v>
      </c>
      <c r="H260" s="149">
        <v>0.42</v>
      </c>
      <c r="I260" s="149">
        <v>7.0000000000000007E-2</v>
      </c>
      <c r="J260" s="149">
        <v>25.2</v>
      </c>
      <c r="K260" s="149"/>
      <c r="L260" s="149">
        <v>4.2</v>
      </c>
      <c r="M260" s="149">
        <v>0.6</v>
      </c>
      <c r="N260" s="149">
        <f>IFERROR(SUM(N261:N263)/(SUM($C$261:$C$263)/100000),"")</f>
        <v>1.05</v>
      </c>
      <c r="O260" s="150" t="str">
        <f>IF(OR(B260="",C260=""),"",IFERROR(C260/1000*IFERROR(INDEX(Vöruskrá!R:R,MATCH(B260,Vöruskrá!B:B,0)),0)/1000,""))</f>
        <v/>
      </c>
      <c r="P260" s="147" t="s">
        <v>1636</v>
      </c>
      <c r="Q260" s="28" t="s">
        <v>1637</v>
      </c>
      <c r="R260" s="6" t="s">
        <v>1638</v>
      </c>
    </row>
    <row r="261" spans="1:18" ht="15">
      <c r="A261" s="21"/>
      <c r="B261" s="21" t="s">
        <v>912</v>
      </c>
      <c r="C261" s="22">
        <v>35000</v>
      </c>
      <c r="D261" s="23" t="s">
        <v>914</v>
      </c>
      <c r="E261" s="23" t="s">
        <v>31</v>
      </c>
      <c r="F261" s="23" t="s">
        <v>915</v>
      </c>
      <c r="G261" s="24">
        <f>IF(OR(B261="",C261=""),"",IFERROR(IFERROR(INDEX(Vöruskrá!J:J,MATCH(B261,Vöruskrá!B:B,0)),"")*C261/100000,""))</f>
        <v>123.55</v>
      </c>
      <c r="H261" s="24">
        <f>IF(OR(B261="",C261=""),"",IFERROR(IFERROR(INDEX(Vöruskrá!K:K,MATCH(B261,Vöruskrá!B:B,0)),"")*C261/100000,""))</f>
        <v>0.42</v>
      </c>
      <c r="I261" s="24">
        <f>IF(OR(B261="",C261=""),"",IFERROR(IFERROR(INDEX(Vöruskrá!L:L,MATCH(B261,Vöruskrá!B:B,0)),"")*C261/100000,""))</f>
        <v>7.0000000000000007E-2</v>
      </c>
      <c r="J261" s="24">
        <f>IF(OR(B261="",C261=""),"",IFERROR(IFERROR(INDEX(Vöruskrá!M:M,MATCH(B261,Vöruskrá!B:B,0)),"")*C261/100000,""))</f>
        <v>25.2</v>
      </c>
      <c r="K261" s="24">
        <f>IF(OR(B261="",C261=""),"",IFERROR(IFERROR(INDEX(Vöruskrá!N:N,MATCH(B261,Vöruskrá!B:B,0)),"")*C261/100000,""))</f>
        <v>0.875</v>
      </c>
      <c r="L261" s="24">
        <f>IF(OR(B261="",C261=""),"",IFERROR(IFERROR(INDEX(Vöruskrá!O:O,MATCH(B261,Vöruskrá!B:B,0)),"")*C261/100000,""))</f>
        <v>4.2</v>
      </c>
      <c r="M261" s="24">
        <f>IF(OR(B261="",C261=""),"",IFERROR(IFERROR(INDEX(Vöruskrá!P:P,MATCH(B261,Vöruskrá!B:B,0)),"")*C261/100000,""))</f>
        <v>0</v>
      </c>
      <c r="N261" s="24">
        <f>IF(OR(B261="",C261=""),"",IFERROR(IFERROR(INDEX(Vöruskrá!Q:Q,MATCH(B261,Vöruskrá!B:B,0)),"")*C261/100000,""))</f>
        <v>1.05</v>
      </c>
      <c r="O261" s="25">
        <f>IF(OR(B261="",C261=""),"",IFERROR(C261/1000*IFERROR(INDEX(Vöruskrá!R:R,MATCH(B261,Vöruskrá!B:B,0)),0)/1000,""))</f>
        <v>0</v>
      </c>
      <c r="P261" s="21"/>
      <c r="Q261" s="26"/>
      <c r="R261" s="27"/>
    </row>
    <row r="262" spans="1:18" ht="15">
      <c r="A262" s="6"/>
      <c r="B262" s="6" t="s">
        <v>299</v>
      </c>
      <c r="C262" s="28">
        <v>600</v>
      </c>
      <c r="D262" s="23" t="s">
        <v>302</v>
      </c>
      <c r="E262" s="23" t="s">
        <v>134</v>
      </c>
      <c r="F262" s="23" t="s">
        <v>303</v>
      </c>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0.6</v>
      </c>
      <c r="N262" s="24">
        <f>IF(OR(B262="",C262=""),"",IFERROR(IFERROR(INDEX(Vöruskrá!Q:Q,MATCH(B262,Vöruskrá!B:B,0)),"")*C262/100000,""))</f>
        <v>0</v>
      </c>
      <c r="O262" s="25">
        <f>IF(OR(B262="",C262=""),"",IFERROR(C262/1000*IFERROR(INDEX(Vöruskrá!R:R,MATCH(B262,Vöruskrá!B:B,0)),0)/1000,""))</f>
        <v>0</v>
      </c>
      <c r="P262" s="6"/>
      <c r="Q262" s="28"/>
      <c r="R262" s="6"/>
    </row>
    <row r="263" spans="1:18" ht="15">
      <c r="A263" s="21"/>
      <c r="B263" s="21" t="s">
        <v>1020</v>
      </c>
      <c r="C263" s="22">
        <v>64400</v>
      </c>
      <c r="D263" s="23" t="s">
        <v>1020</v>
      </c>
      <c r="E263" s="23" t="s">
        <v>134</v>
      </c>
      <c r="F263" s="23"/>
      <c r="G263" s="24">
        <f>IF(OR(B263="",C263=""),"",IFERROR(IFERROR(INDEX(Vöruskrá!J:J,MATCH(B263,Vöruskrá!B:B,0)),"")*C263/100000,""))</f>
        <v>0</v>
      </c>
      <c r="H263" s="24">
        <f>IF(OR(B263="",C263=""),"",IFERROR(IFERROR(INDEX(Vöruskrá!K:K,MATCH(B263,Vöruskrá!B:B,0)),"")*C263/100000,""))</f>
        <v>0</v>
      </c>
      <c r="I263" s="24">
        <f>IF(OR(B263="",C263=""),"",IFERROR(IFERROR(INDEX(Vöruskrá!L:L,MATCH(B263,Vöruskrá!B:B,0)),"")*C263/100000,""))</f>
        <v>0</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v>
      </c>
      <c r="N263" s="24">
        <f>IF(OR(B263="",C263=""),"",IFERROR(IFERROR(INDEX(Vöruskrá!Q:Q,MATCH(B263,Vöruskrá!B:B,0)),"")*C263/100000,""))</f>
        <v>0</v>
      </c>
      <c r="O263" s="25">
        <f>IF(OR(B263="",C263=""),"",IFERROR(C263/1000*IFERROR(INDEX(Vöruskrá!R:R,MATCH(B263,Vöruskrá!B:B,0)),0)/1000,""))</f>
        <v>0</v>
      </c>
      <c r="P263" s="21"/>
      <c r="Q263" s="26"/>
      <c r="R263" s="27"/>
    </row>
    <row r="264" spans="1:18" ht="24">
      <c r="A264" s="147" t="s">
        <v>1639</v>
      </c>
      <c r="B264" s="147"/>
      <c r="C264" s="148"/>
      <c r="D264" s="147" t="s">
        <v>70</v>
      </c>
      <c r="E264" s="147" t="s">
        <v>71</v>
      </c>
      <c r="F264" s="147"/>
      <c r="G264" s="149">
        <v>305</v>
      </c>
      <c r="H264" s="149">
        <v>14</v>
      </c>
      <c r="I264" s="149">
        <v>6.4</v>
      </c>
      <c r="J264" s="149">
        <v>37</v>
      </c>
      <c r="K264" s="149"/>
      <c r="L264" s="149">
        <v>6.6</v>
      </c>
      <c r="M264" s="149">
        <v>1.5</v>
      </c>
      <c r="N264" s="149">
        <f>IFERROR(SUM(N265:N265)/(SUM($C$265:$C$265)/100000),"")</f>
        <v>1.9</v>
      </c>
      <c r="O264" s="150" t="str">
        <f>IF(OR(B264="",C264=""),"",IFERROR(C264/1000*IFERROR(INDEX(Vöruskrá!R:R,MATCH(B264,Vöruskrá!B:B,0)),0)/1000,""))</f>
        <v/>
      </c>
      <c r="P264" s="147" t="s">
        <v>1640</v>
      </c>
      <c r="Q264" s="28" t="s">
        <v>1641</v>
      </c>
      <c r="R264" s="6" t="s">
        <v>1642</v>
      </c>
    </row>
    <row r="265" spans="1:18" ht="24">
      <c r="A265" s="21"/>
      <c r="B265" s="21" t="s">
        <v>69</v>
      </c>
      <c r="C265" s="22">
        <v>100000</v>
      </c>
      <c r="D265" s="23" t="s">
        <v>70</v>
      </c>
      <c r="E265" s="23" t="s">
        <v>71</v>
      </c>
      <c r="F265" s="23" t="s">
        <v>72</v>
      </c>
      <c r="G265" s="24">
        <f>IF(OR(B265="",C265=""),"",IFERROR(IFERROR(INDEX(Vöruskrá!J:J,MATCH(B265,Vöruskrá!B:B,0)),"")*C265/100000,""))</f>
        <v>305</v>
      </c>
      <c r="H265" s="24">
        <f>IF(OR(B265="",C265=""),"",IFERROR(IFERROR(INDEX(Vöruskrá!K:K,MATCH(B265,Vöruskrá!B:B,0)),"")*C265/100000,""))</f>
        <v>14</v>
      </c>
      <c r="I265" s="24">
        <f>IF(OR(B265="",C265=""),"",IFERROR(IFERROR(INDEX(Vöruskrá!L:L,MATCH(B265,Vöruskrá!B:B,0)),"")*C265/100000,""))</f>
        <v>6.4</v>
      </c>
      <c r="J265" s="24">
        <f>IF(OR(B265="",C265=""),"",IFERROR(IFERROR(INDEX(Vöruskrá!M:M,MATCH(B265,Vöruskrá!B:B,0)),"")*C265/100000,""))</f>
        <v>37</v>
      </c>
      <c r="K265" s="24">
        <f>IF(OR(B265="",C265=""),"",IFERROR(IFERROR(INDEX(Vöruskrá!N:N,MATCH(B265,Vöruskrá!B:B,0)),"")*C265/100000,""))</f>
        <v>0.8</v>
      </c>
      <c r="L265" s="24">
        <f>IF(OR(B265="",C265=""),"",IFERROR(IFERROR(INDEX(Vöruskrá!O:O,MATCH(B265,Vöruskrá!B:B,0)),"")*C265/100000,""))</f>
        <v>6.6</v>
      </c>
      <c r="M265" s="24">
        <f>IF(OR(B265="",C265=""),"",IFERROR(IFERROR(INDEX(Vöruskrá!P:P,MATCH(B265,Vöruskrá!B:B,0)),"")*C265/100000,""))</f>
        <v>1.5</v>
      </c>
      <c r="N265" s="24">
        <f>IF(OR(B265="",C265=""),"",IFERROR(IFERROR(INDEX(Vöruskrá!Q:Q,MATCH(B265,Vöruskrá!B:B,0)),"")*C265/100000,""))</f>
        <v>1.9</v>
      </c>
      <c r="O265" s="25">
        <f>IF(OR(B265="",C265=""),"",IFERROR(C265/1000*IFERROR(INDEX(Vöruskrá!R:R,MATCH(B265,Vöruskrá!B:B,0)),0)/1000,""))</f>
        <v>0</v>
      </c>
      <c r="P265" s="21"/>
      <c r="Q265" s="26"/>
      <c r="R265" s="27"/>
    </row>
    <row r="266" spans="1:18" ht="24">
      <c r="A266" s="147" t="s">
        <v>1643</v>
      </c>
      <c r="B266" s="147"/>
      <c r="C266" s="148"/>
      <c r="D266" s="147" t="s">
        <v>1644</v>
      </c>
      <c r="E266" s="147" t="s">
        <v>120</v>
      </c>
      <c r="F266" s="147"/>
      <c r="G266" s="149">
        <v>115.34</v>
      </c>
      <c r="H266" s="149">
        <v>4.59</v>
      </c>
      <c r="I266" s="149">
        <v>3.04</v>
      </c>
      <c r="J266" s="149">
        <v>15.58</v>
      </c>
      <c r="K266" s="149"/>
      <c r="L266" s="149">
        <v>2.1800000000000002</v>
      </c>
      <c r="M266" s="149">
        <v>0.7</v>
      </c>
      <c r="N266" s="149">
        <f>IFERROR(SUM(N267:N269)/(SUM($C$267:$C$269)/100000),"")</f>
        <v>1.649</v>
      </c>
      <c r="O266" s="150" t="str">
        <f>IF(OR(B266="",C266=""),"",IFERROR(C266/1000*IFERROR(INDEX(Vöruskrá!R:R,MATCH(B266,Vöruskrá!B:B,0)),0)/1000,""))</f>
        <v/>
      </c>
      <c r="P266" s="147" t="s">
        <v>1645</v>
      </c>
      <c r="Q266" s="28" t="s">
        <v>1646</v>
      </c>
      <c r="R266" s="6" t="s">
        <v>1647</v>
      </c>
    </row>
    <row r="267" spans="1:18" ht="15">
      <c r="A267" s="21"/>
      <c r="B267" s="21" t="s">
        <v>1276</v>
      </c>
      <c r="C267" s="22">
        <v>97000</v>
      </c>
      <c r="D267" s="23" t="s">
        <v>1278</v>
      </c>
      <c r="E267" s="23" t="s">
        <v>120</v>
      </c>
      <c r="F267" s="23" t="s">
        <v>1279</v>
      </c>
      <c r="G267" s="24">
        <f>IF(OR(B267="",C267=""),"",IFERROR(IFERROR(INDEX(Vöruskrá!J:J,MATCH(B267,Vöruskrá!B:B,0)),"")*C267/100000,""))</f>
        <v>99.91</v>
      </c>
      <c r="H267" s="24">
        <f>IF(OR(B267="",C267=""),"",IFERROR(IFERROR(INDEX(Vöruskrá!K:K,MATCH(B267,Vöruskrá!B:B,0)),"")*C267/100000,""))</f>
        <v>2.91</v>
      </c>
      <c r="I267" s="24">
        <f>IF(OR(B267="",C267=""),"",IFERROR(IFERROR(INDEX(Vöruskrá!L:L,MATCH(B267,Vöruskrá!B:B,0)),"")*C267/100000,""))</f>
        <v>2.0369999999999999</v>
      </c>
      <c r="J267" s="24">
        <f>IF(OR(B267="",C267=""),"",IFERROR(IFERROR(INDEX(Vöruskrá!M:M,MATCH(B267,Vöruskrá!B:B,0)),"")*C267/100000,""))</f>
        <v>15.52</v>
      </c>
      <c r="K267" s="24">
        <f>IF(OR(B267="",C267=""),"",IFERROR(IFERROR(INDEX(Vöruskrá!N:N,MATCH(B267,Vöruskrá!B:B,0)),"")*C267/100000,""))</f>
        <v>1.1639999999999999</v>
      </c>
      <c r="L267" s="24">
        <f>IF(OR(B267="",C267=""),"",IFERROR(IFERROR(INDEX(Vöruskrá!O:O,MATCH(B267,Vöruskrá!B:B,0)),"")*C267/100000,""))</f>
        <v>2.1340000000000003</v>
      </c>
      <c r="M267" s="24">
        <f>IF(OR(B267="",C267=""),"",IFERROR(IFERROR(INDEX(Vöruskrá!P:P,MATCH(B267,Vöruskrá!B:B,0)),"")*C267/100000,""))</f>
        <v>0.67900000000000005</v>
      </c>
      <c r="N267" s="24">
        <f>IF(OR(B267="",C267=""),"",IFERROR(IFERROR(INDEX(Vöruskrá!Q:Q,MATCH(B267,Vöruskrá!B:B,0)),"")*C267/100000,""))</f>
        <v>1.649</v>
      </c>
      <c r="O267" s="25">
        <f>IF(OR(B267="",C267=""),"",IFERROR(C267/1000*IFERROR(INDEX(Vöruskrá!R:R,MATCH(B267,Vöruskrá!B:B,0)),0)/1000,""))</f>
        <v>0</v>
      </c>
      <c r="P267" s="21"/>
      <c r="Q267" s="26"/>
      <c r="R267" s="27"/>
    </row>
    <row r="268" spans="1:18" ht="15">
      <c r="A268" s="6"/>
      <c r="B268" s="6" t="s">
        <v>445</v>
      </c>
      <c r="C268" s="28">
        <v>2000</v>
      </c>
      <c r="D268" s="23" t="s">
        <v>448</v>
      </c>
      <c r="E268" s="23" t="s">
        <v>120</v>
      </c>
      <c r="F268" s="23"/>
      <c r="G268" s="24">
        <f>IF(OR(B268="",C268=""),"",IFERROR(IFERROR(INDEX(Vöruskrá!J:J,MATCH(B268,Vöruskrá!B:B,0)),"")*C268/100000,""))</f>
        <v>14.76</v>
      </c>
      <c r="H268" s="24">
        <f>IF(OR(B268="",C268=""),"",IFERROR(IFERROR(INDEX(Vöruskrá!K:K,MATCH(B268,Vöruskrá!B:B,0)),"")*C268/100000,""))</f>
        <v>1.64</v>
      </c>
      <c r="I268" s="24">
        <f>IF(OR(B268="",C268=""),"",IFERROR(IFERROR(INDEX(Vöruskrá!L:L,MATCH(B268,Vöruskrá!B:B,0)),"")*C268/100000,""))</f>
        <v>0.98</v>
      </c>
      <c r="J268" s="24">
        <f>IF(OR(B268="",C268=""),"",IFERROR(IFERROR(INDEX(Vöruskrá!M:M,MATCH(B268,Vöruskrá!B:B,0)),"")*C268/100000,""))</f>
        <v>8.0000000000000002E-3</v>
      </c>
      <c r="K268" s="24">
        <f>IF(OR(B268="",C268=""),"",IFERROR(IFERROR(INDEX(Vöruskrá!N:N,MATCH(B268,Vöruskrá!B:B,0)),"")*C268/100000,""))</f>
        <v>8.0000000000000002E-3</v>
      </c>
      <c r="L268" s="24">
        <f>IF(OR(B268="",C268=""),"",IFERROR(IFERROR(INDEX(Vöruskrá!O:O,MATCH(B268,Vöruskrá!B:B,0)),"")*C268/100000,""))</f>
        <v>1.2E-2</v>
      </c>
      <c r="M268" s="24">
        <f>IF(OR(B268="",C268=""),"",IFERROR(IFERROR(INDEX(Vöruskrá!P:P,MATCH(B268,Vöruskrá!B:B,0)),"")*C268/100000,""))</f>
        <v>2.4E-2</v>
      </c>
      <c r="N268" s="24">
        <f>IF(OR(B268="",C268=""),"",IFERROR(IFERROR(INDEX(Vöruskrá!Q:Q,MATCH(B268,Vöruskrá!B:B,0)),"")*C268/100000,""))</f>
        <v>0</v>
      </c>
      <c r="O268" s="25">
        <f>IF(OR(B268="",C268=""),"",IFERROR(C268/1000*IFERROR(INDEX(Vöruskrá!R:R,MATCH(B268,Vöruskrá!B:B,0)),0)/1000,""))</f>
        <v>0</v>
      </c>
      <c r="P268" s="6"/>
      <c r="Q268" s="28"/>
      <c r="R268" s="6"/>
    </row>
    <row r="269" spans="1:18" ht="15">
      <c r="A269" s="21"/>
      <c r="B269" s="21" t="s">
        <v>849</v>
      </c>
      <c r="C269" s="22">
        <v>1000</v>
      </c>
      <c r="D269" s="23" t="s">
        <v>850</v>
      </c>
      <c r="E269" s="23" t="s">
        <v>120</v>
      </c>
      <c r="F269" s="23"/>
      <c r="G269" s="24">
        <f>IF(OR(B269="",C269=""),"",IFERROR(IFERROR(INDEX(Vöruskrá!J:J,MATCH(B269,Vöruskrá!B:B,0)),"")*C269/100000,""))</f>
        <v>0.67</v>
      </c>
      <c r="H269" s="24">
        <f>IF(OR(B269="",C269=""),"",IFERROR(IFERROR(INDEX(Vöruskrá!K:K,MATCH(B269,Vöruskrá!B:B,0)),"")*C269/100000,""))</f>
        <v>3.9E-2</v>
      </c>
      <c r="I269" s="24">
        <f>IF(OR(B269="",C269=""),"",IFERROR(IFERROR(INDEX(Vöruskrá!L:L,MATCH(B269,Vöruskrá!B:B,0)),"")*C269/100000,""))</f>
        <v>2.3E-2</v>
      </c>
      <c r="J269" s="24">
        <f>IF(OR(B269="",C269=""),"",IFERROR(IFERROR(INDEX(Vöruskrá!M:M,MATCH(B269,Vöruskrá!B:B,0)),"")*C269/100000,""))</f>
        <v>4.7E-2</v>
      </c>
      <c r="K269" s="24">
        <f>IF(OR(B269="",C269=""),"",IFERROR(IFERROR(INDEX(Vöruskrá!N:N,MATCH(B269,Vöruskrá!B:B,0)),"")*C269/100000,""))</f>
        <v>4.7E-2</v>
      </c>
      <c r="L269" s="24">
        <f>IF(OR(B269="",C269=""),"",IFERROR(IFERROR(INDEX(Vöruskrá!O:O,MATCH(B269,Vöruskrá!B:B,0)),"")*C269/100000,""))</f>
        <v>3.3000000000000002E-2</v>
      </c>
      <c r="M269" s="24">
        <f>IF(OR(B269="",C269=""),"",IFERROR(IFERROR(INDEX(Vöruskrá!P:P,MATCH(B269,Vöruskrá!B:B,0)),"")*C269/100000,""))</f>
        <v>1E-3</v>
      </c>
      <c r="N269" s="24">
        <f>IF(OR(B269="",C269=""),"",IFERROR(IFERROR(INDEX(Vöruskrá!Q:Q,MATCH(B269,Vöruskrá!B:B,0)),"")*C269/100000,""))</f>
        <v>0</v>
      </c>
      <c r="O269" s="25">
        <f>IF(OR(B269="",C269=""),"",IFERROR(C269/1000*IFERROR(INDEX(Vöruskrá!R:R,MATCH(B269,Vöruskrá!B:B,0)),0)/1000,""))</f>
        <v>0</v>
      </c>
      <c r="P269" s="21"/>
      <c r="Q269" s="26"/>
      <c r="R269" s="27"/>
    </row>
    <row r="270" spans="1:18" ht="24">
      <c r="A270" s="147" t="s">
        <v>1648</v>
      </c>
      <c r="B270" s="147"/>
      <c r="C270" s="148"/>
      <c r="D270" s="147" t="s">
        <v>1649</v>
      </c>
      <c r="E270" s="147" t="s">
        <v>134</v>
      </c>
      <c r="F270" s="147"/>
      <c r="G270" s="149">
        <v>151.80000000000001</v>
      </c>
      <c r="H270" s="149">
        <v>6.65</v>
      </c>
      <c r="I270" s="149">
        <v>2.35</v>
      </c>
      <c r="J270" s="149">
        <v>19.2</v>
      </c>
      <c r="K270" s="149"/>
      <c r="L270" s="149">
        <v>2.59</v>
      </c>
      <c r="M270" s="149">
        <v>1.1000000000000001</v>
      </c>
      <c r="N270" s="149">
        <f>IFERROR(SUM(N271:N273)/(SUM($C$271:$C$273)/100000),"")</f>
        <v>2.5920000000000001</v>
      </c>
      <c r="O270" s="150" t="str">
        <f>IF(OR(B270="",C270=""),"",IFERROR(C270/1000*IFERROR(INDEX(Vöruskrá!R:R,MATCH(B270,Vöruskrá!B:B,0)),0)/1000,""))</f>
        <v/>
      </c>
      <c r="P270" s="147" t="s">
        <v>1650</v>
      </c>
      <c r="Q270" s="28" t="s">
        <v>1651</v>
      </c>
      <c r="R270" s="6" t="s">
        <v>1652</v>
      </c>
    </row>
    <row r="271" spans="1:18" ht="15">
      <c r="A271" s="21"/>
      <c r="B271" s="21" t="s">
        <v>270</v>
      </c>
      <c r="C271" s="22">
        <v>96000</v>
      </c>
      <c r="D271" s="23" t="s">
        <v>272</v>
      </c>
      <c r="E271" s="23" t="s">
        <v>134</v>
      </c>
      <c r="F271" s="23"/>
      <c r="G271" s="24">
        <f>IF(OR(B271="",C271=""),"",IFERROR(IFERROR(INDEX(Vöruskrá!J:J,MATCH(B271,Vöruskrá!B:B,0)),"")*C271/100000,""))</f>
        <v>124.8</v>
      </c>
      <c r="H271" s="24">
        <f>IF(OR(B271="",C271=""),"",IFERROR(IFERROR(INDEX(Vöruskrá!K:K,MATCH(B271,Vöruskrá!B:B,0)),"")*C271/100000,""))</f>
        <v>3.6480000000000001</v>
      </c>
      <c r="I271" s="24">
        <f>IF(OR(B271="",C271=""),"",IFERROR(IFERROR(INDEX(Vöruskrá!L:L,MATCH(B271,Vöruskrá!B:B,0)),"")*C271/100000,""))</f>
        <v>2.016</v>
      </c>
      <c r="J271" s="24">
        <f>IF(OR(B271="",C271=""),"",IFERROR(IFERROR(INDEX(Vöruskrá!M:M,MATCH(B271,Vöruskrá!B:B,0)),"")*C271/100000,""))</f>
        <v>19.2</v>
      </c>
      <c r="K271" s="24">
        <f>IF(OR(B271="",C271=""),"",IFERROR(IFERROR(INDEX(Vöruskrá!N:N,MATCH(B271,Vöruskrá!B:B,0)),"")*C271/100000,""))</f>
        <v>0</v>
      </c>
      <c r="L271" s="24">
        <f>IF(OR(B271="",C271=""),"",IFERROR(IFERROR(INDEX(Vöruskrá!O:O,MATCH(B271,Vöruskrá!B:B,0)),"")*C271/100000,""))</f>
        <v>2.5920000000000001</v>
      </c>
      <c r="M271" s="24">
        <f>IF(OR(B271="",C271=""),"",IFERROR(IFERROR(INDEX(Vöruskrá!P:P,MATCH(B271,Vöruskrá!B:B,0)),"")*C271/100000,""))</f>
        <v>9.6000000000000002E-2</v>
      </c>
      <c r="N271" s="24">
        <f>IF(OR(B271="",C271=""),"",IFERROR(IFERROR(INDEX(Vöruskrá!Q:Q,MATCH(B271,Vöruskrá!B:B,0)),"")*C271/100000,""))</f>
        <v>2.5920000000000001</v>
      </c>
      <c r="O271" s="25">
        <f>IF(OR(B271="",C271=""),"",IFERROR(C271/1000*IFERROR(INDEX(Vöruskrá!R:R,MATCH(B271,Vöruskrá!B:B,0)),0)/1000,""))</f>
        <v>0</v>
      </c>
      <c r="P271" s="21"/>
      <c r="Q271" s="26"/>
      <c r="R271" s="27"/>
    </row>
    <row r="272" spans="1:18" ht="15">
      <c r="A272" s="6"/>
      <c r="B272" s="6" t="s">
        <v>1018</v>
      </c>
      <c r="C272" s="28">
        <v>3000</v>
      </c>
      <c r="D272" s="23" t="s">
        <v>1018</v>
      </c>
      <c r="E272" s="23" t="s">
        <v>134</v>
      </c>
      <c r="F272" s="23"/>
      <c r="G272" s="24">
        <f>IF(OR(B272="",C272=""),"",IFERROR(IFERROR(INDEX(Vöruskrá!J:J,MATCH(B272,Vöruskrá!B:B,0)),"")*C272/100000,""))</f>
        <v>27</v>
      </c>
      <c r="H272" s="24">
        <f>IF(OR(B272="",C272=""),"",IFERROR(IFERROR(INDEX(Vöruskrá!K:K,MATCH(B272,Vöruskrá!B:B,0)),"")*C272/100000,""))</f>
        <v>3</v>
      </c>
      <c r="I272" s="24">
        <f>IF(OR(B272="",C272=""),"",IFERROR(IFERROR(INDEX(Vöruskrá!L:L,MATCH(B272,Vöruskrá!B:B,0)),"")*C272/100000,""))</f>
        <v>0.33</v>
      </c>
      <c r="J272" s="24">
        <f>IF(OR(B272="",C272=""),"",IFERROR(IFERROR(INDEX(Vöruskrá!M:M,MATCH(B272,Vöruskrá!B:B,0)),"")*C272/100000,""))</f>
        <v>0</v>
      </c>
      <c r="K272" s="24">
        <f>IF(OR(B272="",C272=""),"",IFERROR(IFERROR(INDEX(Vöruskrá!N:N,MATCH(B272,Vöruskrá!B:B,0)),"")*C272/100000,""))</f>
        <v>0</v>
      </c>
      <c r="L272" s="24">
        <f>IF(OR(B272="",C272=""),"",IFERROR(IFERROR(INDEX(Vöruskrá!O:O,MATCH(B272,Vöruskrá!B:B,0)),"")*C272/100000,""))</f>
        <v>0</v>
      </c>
      <c r="M272" s="24">
        <f>IF(OR(B272="",C272=""),"",IFERROR(IFERROR(INDEX(Vöruskrá!P:P,MATCH(B272,Vöruskrá!B:B,0)),"")*C272/100000,""))</f>
        <v>0</v>
      </c>
      <c r="N272" s="24">
        <f>IF(OR(B272="",C272=""),"",IFERROR(IFERROR(INDEX(Vöruskrá!Q:Q,MATCH(B272,Vöruskrá!B:B,0)),"")*C272/100000,""))</f>
        <v>0</v>
      </c>
      <c r="O272" s="25">
        <f>IF(OR(B272="",C272=""),"",IFERROR(C272/1000*IFERROR(INDEX(Vöruskrá!R:R,MATCH(B272,Vöruskrá!B:B,0)),0)/1000,""))</f>
        <v>0</v>
      </c>
      <c r="P272" s="6"/>
      <c r="Q272" s="28"/>
      <c r="R272" s="6"/>
    </row>
    <row r="273" spans="1:18" ht="15">
      <c r="A273" s="21"/>
      <c r="B273" s="21" t="s">
        <v>299</v>
      </c>
      <c r="C273" s="22">
        <v>1000</v>
      </c>
      <c r="D273" s="23" t="s">
        <v>302</v>
      </c>
      <c r="E273" s="23" t="s">
        <v>134</v>
      </c>
      <c r="F273" s="23" t="s">
        <v>303</v>
      </c>
      <c r="G273" s="24">
        <f>IF(OR(B273="",C273=""),"",IFERROR(IFERROR(INDEX(Vöruskrá!J:J,MATCH(B273,Vöruskrá!B:B,0)),"")*C273/100000,""))</f>
        <v>0</v>
      </c>
      <c r="H273" s="24">
        <f>IF(OR(B273="",C273=""),"",IFERROR(IFERROR(INDEX(Vöruskrá!K:K,MATCH(B273,Vöruskrá!B:B,0)),"")*C273/100000,""))</f>
        <v>0</v>
      </c>
      <c r="I273" s="24">
        <f>IF(OR(B273="",C273=""),"",IFERROR(IFERROR(INDEX(Vöruskrá!L:L,MATCH(B273,Vöruskrá!B:B,0)),"")*C273/100000,""))</f>
        <v>0</v>
      </c>
      <c r="J273" s="24">
        <f>IF(OR(B273="",C273=""),"",IFERROR(IFERROR(INDEX(Vöruskrá!M:M,MATCH(B273,Vöruskrá!B:B,0)),"")*C273/100000,""))</f>
        <v>0</v>
      </c>
      <c r="K273" s="24">
        <f>IF(OR(B273="",C273=""),"",IFERROR(IFERROR(INDEX(Vöruskrá!N:N,MATCH(B273,Vöruskrá!B:B,0)),"")*C273/100000,""))</f>
        <v>0</v>
      </c>
      <c r="L273" s="24">
        <f>IF(OR(B273="",C273=""),"",IFERROR(IFERROR(INDEX(Vöruskrá!O:O,MATCH(B273,Vöruskrá!B:B,0)),"")*C273/100000,""))</f>
        <v>0</v>
      </c>
      <c r="M273" s="24">
        <f>IF(OR(B273="",C273=""),"",IFERROR(IFERROR(INDEX(Vöruskrá!P:P,MATCH(B273,Vöruskrá!B:B,0)),"")*C273/100000,""))</f>
        <v>1</v>
      </c>
      <c r="N273" s="24">
        <f>IF(OR(B273="",C273=""),"",IFERROR(IFERROR(INDEX(Vöruskrá!Q:Q,MATCH(B273,Vöruskrá!B:B,0)),"")*C273/100000,""))</f>
        <v>0</v>
      </c>
      <c r="O273" s="25">
        <f>IF(OR(B273="",C273=""),"",IFERROR(C273/1000*IFERROR(INDEX(Vöruskrá!R:R,MATCH(B273,Vöruskrá!B:B,0)),0)/1000,""))</f>
        <v>0</v>
      </c>
      <c r="P273" s="21"/>
      <c r="Q273" s="26"/>
      <c r="R273" s="27"/>
    </row>
    <row r="274" spans="1:18" ht="24">
      <c r="A274" s="147" t="s">
        <v>1653</v>
      </c>
      <c r="B274" s="147"/>
      <c r="C274" s="148"/>
      <c r="D274" s="147" t="s">
        <v>1654</v>
      </c>
      <c r="E274" s="147" t="s">
        <v>1655</v>
      </c>
      <c r="F274" s="147"/>
      <c r="G274" s="149">
        <v>158.99</v>
      </c>
      <c r="H274" s="149">
        <v>6.39</v>
      </c>
      <c r="I274" s="149">
        <v>3.76</v>
      </c>
      <c r="J274" s="149">
        <v>24.03</v>
      </c>
      <c r="K274" s="149"/>
      <c r="L274" s="149">
        <v>2.39</v>
      </c>
      <c r="M274" s="149">
        <v>0.54</v>
      </c>
      <c r="N274" s="149">
        <f>IFERROR(SUM(N275:N279)/(SUM($C$275:$C$279)/100000),"")</f>
        <v>3.23</v>
      </c>
      <c r="O274" s="150" t="str">
        <f>IF(OR(B274="",C274=""),"",IFERROR(C274/1000*IFERROR(INDEX(Vöruskrá!R:R,MATCH(B274,Vöruskrá!B:B,0)),0)/1000,""))</f>
        <v/>
      </c>
      <c r="P274" s="147" t="s">
        <v>1656</v>
      </c>
      <c r="Q274" s="28" t="s">
        <v>1657</v>
      </c>
      <c r="R274" s="6" t="s">
        <v>1658</v>
      </c>
    </row>
    <row r="275" spans="1:18" ht="15">
      <c r="A275" s="21"/>
      <c r="B275" s="21" t="s">
        <v>961</v>
      </c>
      <c r="C275" s="22">
        <v>85000</v>
      </c>
      <c r="D275" s="23" t="s">
        <v>962</v>
      </c>
      <c r="E275" s="23" t="s">
        <v>537</v>
      </c>
      <c r="F275" s="23"/>
      <c r="G275" s="24">
        <f>IF(OR(B275="",C275=""),"",IFERROR(IFERROR(INDEX(Vöruskrá!J:J,MATCH(B275,Vöruskrá!B:B,0)),"")*C275/100000,""))</f>
        <v>102.85</v>
      </c>
      <c r="H275" s="24">
        <f>IF(OR(B275="",C275=""),"",IFERROR(IFERROR(INDEX(Vöruskrá!K:K,MATCH(B275,Vöruskrá!B:B,0)),"")*C275/100000,""))</f>
        <v>0.42499999999999999</v>
      </c>
      <c r="I275" s="24">
        <f>IF(OR(B275="",C275=""),"",IFERROR(IFERROR(INDEX(Vöruskrá!L:L,MATCH(B275,Vöruskrá!B:B,0)),"")*C275/100000,""))</f>
        <v>8.5000000000000006E-2</v>
      </c>
      <c r="J275" s="24">
        <f>IF(OR(B275="",C275=""),"",IFERROR(IFERROR(INDEX(Vöruskrá!M:M,MATCH(B275,Vöruskrá!B:B,0)),"")*C275/100000,""))</f>
        <v>23.715</v>
      </c>
      <c r="K275" s="24">
        <f>IF(OR(B275="",C275=""),"",IFERROR(IFERROR(INDEX(Vöruskrá!N:N,MATCH(B275,Vöruskrá!B:B,0)),"")*C275/100000,""))</f>
        <v>8.5000000000000006E-2</v>
      </c>
      <c r="L275" s="24">
        <f>IF(OR(B275="",C275=""),"",IFERROR(IFERROR(INDEX(Vöruskrá!O:O,MATCH(B275,Vöruskrá!B:B,0)),"")*C275/100000,""))</f>
        <v>2.125</v>
      </c>
      <c r="M275" s="24">
        <f>IF(OR(B275="",C275=""),"",IFERROR(IFERROR(INDEX(Vöruskrá!P:P,MATCH(B275,Vöruskrá!B:B,0)),"")*C275/100000,""))</f>
        <v>0</v>
      </c>
      <c r="N275" s="24">
        <f>IF(OR(B275="",C275=""),"",IFERROR(IFERROR(INDEX(Vöruskrá!Q:Q,MATCH(B275,Vöruskrá!B:B,0)),"")*C275/100000,""))</f>
        <v>3.23</v>
      </c>
      <c r="O275" s="25">
        <f>IF(OR(B275="",C275=""),"",IFERROR(C275/1000*IFERROR(INDEX(Vöruskrá!R:R,MATCH(B275,Vöruskrá!B:B,0)),0)/1000,""))</f>
        <v>0</v>
      </c>
      <c r="P275" s="21"/>
      <c r="Q275" s="26"/>
      <c r="R275" s="27"/>
    </row>
    <row r="276" spans="1:18" ht="15">
      <c r="A276" s="6"/>
      <c r="B276" s="6" t="s">
        <v>1058</v>
      </c>
      <c r="C276" s="28">
        <v>10000</v>
      </c>
      <c r="D276" s="23" t="s">
        <v>1059</v>
      </c>
      <c r="E276" s="23" t="s">
        <v>120</v>
      </c>
      <c r="F276" s="23"/>
      <c r="G276" s="24">
        <f>IF(OR(B276="",C276=""),"",IFERROR(IFERROR(INDEX(Vöruskrá!J:J,MATCH(B276,Vöruskrá!B:B,0)),"")*C276/100000,""))</f>
        <v>34</v>
      </c>
      <c r="H276" s="24">
        <f>IF(OR(B276="",C276=""),"",IFERROR(IFERROR(INDEX(Vöruskrá!K:K,MATCH(B276,Vöruskrá!B:B,0)),"")*C276/100000,""))</f>
        <v>3.5</v>
      </c>
      <c r="I276" s="24">
        <f>IF(OR(B276="",C276=""),"",IFERROR(IFERROR(INDEX(Vöruskrá!L:L,MATCH(B276,Vöruskrá!B:B,0)),"")*C276/100000,""))</f>
        <v>2.2000000000000002</v>
      </c>
      <c r="J276" s="24">
        <f>IF(OR(B276="",C276=""),"",IFERROR(IFERROR(INDEX(Vöruskrá!M:M,MATCH(B276,Vöruskrá!B:B,0)),"")*C276/100000,""))</f>
        <v>0.3</v>
      </c>
      <c r="K276" s="24">
        <f>IF(OR(B276="",C276=""),"",IFERROR(IFERROR(INDEX(Vöruskrá!N:N,MATCH(B276,Vöruskrá!B:B,0)),"")*C276/100000,""))</f>
        <v>0.3</v>
      </c>
      <c r="L276" s="24">
        <f>IF(OR(B276="",C276=""),"",IFERROR(IFERROR(INDEX(Vöruskrá!O:O,MATCH(B276,Vöruskrá!B:B,0)),"")*C276/100000,""))</f>
        <v>0.25</v>
      </c>
      <c r="M276" s="24">
        <f>IF(OR(B276="",C276=""),"",IFERROR(IFERROR(INDEX(Vöruskrá!P:P,MATCH(B276,Vöruskrá!B:B,0)),"")*C276/100000,""))</f>
        <v>0</v>
      </c>
      <c r="N276" s="24">
        <f>IF(OR(B276="",C276=""),"",IFERROR(IFERROR(INDEX(Vöruskrá!Q:Q,MATCH(B276,Vöruskrá!B:B,0)),"")*C276/100000,""))</f>
        <v>0</v>
      </c>
      <c r="O276" s="25">
        <f>IF(OR(B276="",C276=""),"",IFERROR(C276/1000*IFERROR(INDEX(Vöruskrá!R:R,MATCH(B276,Vöruskrá!B:B,0)),0)/1000,""))</f>
        <v>0</v>
      </c>
      <c r="P276" s="6"/>
      <c r="Q276" s="28"/>
      <c r="R276" s="6"/>
    </row>
    <row r="277" spans="1:18" ht="15">
      <c r="A277" s="21"/>
      <c r="B277" s="21" t="s">
        <v>445</v>
      </c>
      <c r="C277" s="22">
        <v>3000</v>
      </c>
      <c r="D277" s="23" t="s">
        <v>448</v>
      </c>
      <c r="E277" s="23" t="s">
        <v>120</v>
      </c>
      <c r="F277" s="23"/>
      <c r="G277" s="24">
        <f>IF(OR(B277="",C277=""),"",IFERROR(IFERROR(INDEX(Vöruskrá!J:J,MATCH(B277,Vöruskrá!B:B,0)),"")*C277/100000,""))</f>
        <v>22.14</v>
      </c>
      <c r="H277" s="24">
        <f>IF(OR(B277="",C277=""),"",IFERROR(IFERROR(INDEX(Vöruskrá!K:K,MATCH(B277,Vöruskrá!B:B,0)),"")*C277/100000,""))</f>
        <v>2.46</v>
      </c>
      <c r="I277" s="24">
        <f>IF(OR(B277="",C277=""),"",IFERROR(IFERROR(INDEX(Vöruskrá!L:L,MATCH(B277,Vöruskrá!B:B,0)),"")*C277/100000,""))</f>
        <v>1.47</v>
      </c>
      <c r="J277" s="24">
        <f>IF(OR(B277="",C277=""),"",IFERROR(IFERROR(INDEX(Vöruskrá!M:M,MATCH(B277,Vöruskrá!B:B,0)),"")*C277/100000,""))</f>
        <v>1.2E-2</v>
      </c>
      <c r="K277" s="24">
        <f>IF(OR(B277="",C277=""),"",IFERROR(IFERROR(INDEX(Vöruskrá!N:N,MATCH(B277,Vöruskrá!B:B,0)),"")*C277/100000,""))</f>
        <v>1.2E-2</v>
      </c>
      <c r="L277" s="24">
        <f>IF(OR(B277="",C277=""),"",IFERROR(IFERROR(INDEX(Vöruskrá!O:O,MATCH(B277,Vöruskrá!B:B,0)),"")*C277/100000,""))</f>
        <v>1.7999999999999999E-2</v>
      </c>
      <c r="M277" s="24">
        <f>IF(OR(B277="",C277=""),"",IFERROR(IFERROR(INDEX(Vöruskrá!P:P,MATCH(B277,Vöruskrá!B:B,0)),"")*C277/100000,""))</f>
        <v>3.5999999999999997E-2</v>
      </c>
      <c r="N277" s="24">
        <f>IF(OR(B277="",C277=""),"",IFERROR(IFERROR(INDEX(Vöruskrá!Q:Q,MATCH(B277,Vöruskrá!B:B,0)),"")*C277/100000,""))</f>
        <v>0</v>
      </c>
      <c r="O277" s="25">
        <f>IF(OR(B277="",C277=""),"",IFERROR(C277/1000*IFERROR(INDEX(Vöruskrá!R:R,MATCH(B277,Vöruskrá!B:B,0)),0)/1000,""))</f>
        <v>0</v>
      </c>
      <c r="P277" s="21"/>
      <c r="Q277" s="26"/>
      <c r="R277" s="27"/>
    </row>
    <row r="278" spans="1:18" ht="15">
      <c r="A278" s="6"/>
      <c r="B278" s="6" t="s">
        <v>299</v>
      </c>
      <c r="C278" s="28">
        <v>500</v>
      </c>
      <c r="D278" s="23" t="s">
        <v>302</v>
      </c>
      <c r="E278" s="23" t="s">
        <v>134</v>
      </c>
      <c r="F278" s="23" t="s">
        <v>303</v>
      </c>
      <c r="G278" s="24">
        <f>IF(OR(B278="",C278=""),"",IFERROR(IFERROR(INDEX(Vöruskrá!J:J,MATCH(B278,Vöruskrá!B:B,0)),"")*C278/100000,""))</f>
        <v>0</v>
      </c>
      <c r="H278" s="24">
        <f>IF(OR(B278="",C278=""),"",IFERROR(IFERROR(INDEX(Vöruskrá!K:K,MATCH(B278,Vöruskrá!B:B,0)),"")*C278/100000,""))</f>
        <v>0</v>
      </c>
      <c r="I278" s="24">
        <f>IF(OR(B278="",C278=""),"",IFERROR(IFERROR(INDEX(Vöruskrá!L:L,MATCH(B278,Vöruskrá!B:B,0)),"")*C278/100000,""))</f>
        <v>0</v>
      </c>
      <c r="J278" s="24">
        <f>IF(OR(B278="",C278=""),"",IFERROR(IFERROR(INDEX(Vöruskrá!M:M,MATCH(B278,Vöruskrá!B:B,0)),"")*C278/100000,""))</f>
        <v>0</v>
      </c>
      <c r="K278" s="24">
        <f>IF(OR(B278="",C278=""),"",IFERROR(IFERROR(INDEX(Vöruskrá!N:N,MATCH(B278,Vöruskrá!B:B,0)),"")*C278/100000,""))</f>
        <v>0</v>
      </c>
      <c r="L278" s="24">
        <f>IF(OR(B278="",C278=""),"",IFERROR(IFERROR(INDEX(Vöruskrá!O:O,MATCH(B278,Vöruskrá!B:B,0)),"")*C278/100000,""))</f>
        <v>0</v>
      </c>
      <c r="M278" s="24">
        <f>IF(OR(B278="",C278=""),"",IFERROR(IFERROR(INDEX(Vöruskrá!P:P,MATCH(B278,Vöruskrá!B:B,0)),"")*C278/100000,""))</f>
        <v>0.5</v>
      </c>
      <c r="N278" s="24">
        <f>IF(OR(B278="",C278=""),"",IFERROR(IFERROR(INDEX(Vöruskrá!Q:Q,MATCH(B278,Vöruskrá!B:B,0)),"")*C278/100000,""))</f>
        <v>0</v>
      </c>
      <c r="O278" s="25">
        <f>IF(OR(B278="",C278=""),"",IFERROR(C278/1000*IFERROR(INDEX(Vöruskrá!R:R,MATCH(B278,Vöruskrá!B:B,0)),0)/1000,""))</f>
        <v>0</v>
      </c>
      <c r="P278" s="6"/>
      <c r="Q278" s="28"/>
      <c r="R278" s="6"/>
    </row>
    <row r="279" spans="1:18" ht="15">
      <c r="A279" s="21"/>
      <c r="B279" s="21" t="s">
        <v>1020</v>
      </c>
      <c r="C279" s="22">
        <v>1500</v>
      </c>
      <c r="D279" s="23" t="s">
        <v>1020</v>
      </c>
      <c r="E279" s="23" t="s">
        <v>134</v>
      </c>
      <c r="F279" s="23"/>
      <c r="G279" s="24">
        <f>IF(OR(B279="",C279=""),"",IFERROR(IFERROR(INDEX(Vöruskrá!J:J,MATCH(B279,Vöruskrá!B:B,0)),"")*C279/100000,""))</f>
        <v>0</v>
      </c>
      <c r="H279" s="24">
        <f>IF(OR(B279="",C279=""),"",IFERROR(IFERROR(INDEX(Vöruskrá!K:K,MATCH(B279,Vöruskrá!B:B,0)),"")*C279/100000,""))</f>
        <v>0</v>
      </c>
      <c r="I279" s="24">
        <f>IF(OR(B279="",C279=""),"",IFERROR(IFERROR(INDEX(Vöruskrá!L:L,MATCH(B279,Vöruskrá!B:B,0)),"")*C279/100000,""))</f>
        <v>0</v>
      </c>
      <c r="J279" s="24">
        <f>IF(OR(B279="",C279=""),"",IFERROR(IFERROR(INDEX(Vöruskrá!M:M,MATCH(B279,Vöruskrá!B:B,0)),"")*C279/100000,""))</f>
        <v>0</v>
      </c>
      <c r="K279" s="24">
        <f>IF(OR(B279="",C279=""),"",IFERROR(IFERROR(INDEX(Vöruskrá!N:N,MATCH(B279,Vöruskrá!B:B,0)),"")*C279/100000,""))</f>
        <v>0</v>
      </c>
      <c r="L279" s="24">
        <f>IF(OR(B279="",C279=""),"",IFERROR(IFERROR(INDEX(Vöruskrá!O:O,MATCH(B279,Vöruskrá!B:B,0)),"")*C279/100000,""))</f>
        <v>0</v>
      </c>
      <c r="M279" s="24">
        <f>IF(OR(B279="",C279=""),"",IFERROR(IFERROR(INDEX(Vöruskrá!P:P,MATCH(B279,Vöruskrá!B:B,0)),"")*C279/100000,""))</f>
        <v>0</v>
      </c>
      <c r="N279" s="24">
        <f>IF(OR(B279="",C279=""),"",IFERROR(IFERROR(INDEX(Vöruskrá!Q:Q,MATCH(B279,Vöruskrá!B:B,0)),"")*C279/100000,""))</f>
        <v>0</v>
      </c>
      <c r="O279" s="25">
        <f>IF(OR(B279="",C279=""),"",IFERROR(C279/1000*IFERROR(INDEX(Vöruskrá!R:R,MATCH(B279,Vöruskrá!B:B,0)),0)/1000,""))</f>
        <v>0</v>
      </c>
      <c r="P279" s="21"/>
      <c r="Q279" s="26"/>
      <c r="R279" s="27"/>
    </row>
    <row r="280" spans="1:18" ht="24">
      <c r="A280" s="147" t="s">
        <v>1659</v>
      </c>
      <c r="B280" s="147"/>
      <c r="C280" s="148"/>
      <c r="D280" s="147" t="s">
        <v>1660</v>
      </c>
      <c r="E280" s="147" t="s">
        <v>1661</v>
      </c>
      <c r="F280" s="147"/>
      <c r="G280" s="149">
        <v>324.89999999999998</v>
      </c>
      <c r="H280" s="149">
        <v>13.24</v>
      </c>
      <c r="I280" s="149">
        <v>7.52</v>
      </c>
      <c r="J280" s="149">
        <v>42.56</v>
      </c>
      <c r="K280" s="149"/>
      <c r="L280" s="149">
        <v>4.17</v>
      </c>
      <c r="M280" s="149">
        <v>0.69</v>
      </c>
      <c r="N280" s="149">
        <f>IFERROR(SUM(N281:N282)/(SUM($C$281:$C$282)/100000),"")</f>
        <v>6.9699999999999989</v>
      </c>
      <c r="O280" s="150" t="str">
        <f>IF(OR(B280="",C280=""),"",IFERROR(C280/1000*IFERROR(INDEX(Vöruskrá!R:R,MATCH(B280,Vöruskrá!B:B,0)),0)/1000,""))</f>
        <v/>
      </c>
      <c r="P280" s="147" t="s">
        <v>1662</v>
      </c>
      <c r="Q280" s="28" t="s">
        <v>1663</v>
      </c>
      <c r="R280" s="6" t="s">
        <v>1664</v>
      </c>
    </row>
    <row r="281" spans="1:18" ht="24">
      <c r="A281" s="21"/>
      <c r="B281" s="21" t="s">
        <v>369</v>
      </c>
      <c r="C281" s="22">
        <v>85000</v>
      </c>
      <c r="D281" s="23" t="s">
        <v>370</v>
      </c>
      <c r="E281" s="23" t="s">
        <v>371</v>
      </c>
      <c r="F281" s="23" t="s">
        <v>372</v>
      </c>
      <c r="G281" s="24">
        <f>IF(OR(B281="",C281=""),"",IFERROR(IFERROR(INDEX(Vöruskrá!J:J,MATCH(B281,Vöruskrá!B:B,0)),"")*C281/100000,""))</f>
        <v>214.2</v>
      </c>
      <c r="H281" s="24">
        <f>IF(OR(B281="",C281=""),"",IFERROR(IFERROR(INDEX(Vöruskrá!K:K,MATCH(B281,Vöruskrá!B:B,0)),"")*C281/100000,""))</f>
        <v>0.93500000000000016</v>
      </c>
      <c r="I281" s="24">
        <f>IF(OR(B281="",C281=""),"",IFERROR(IFERROR(INDEX(Vöruskrá!L:L,MATCH(B281,Vöruskrá!B:B,0)),"")*C281/100000,""))</f>
        <v>0.17</v>
      </c>
      <c r="J281" s="24">
        <f>IF(OR(B281="",C281=""),"",IFERROR(IFERROR(INDEX(Vöruskrá!M:M,MATCH(B281,Vöruskrá!B:B,0)),"")*C281/100000,""))</f>
        <v>42.5</v>
      </c>
      <c r="K281" s="24">
        <f>IF(OR(B281="",C281=""),"",IFERROR(IFERROR(INDEX(Vöruskrá!N:N,MATCH(B281,Vöruskrá!B:B,0)),"")*C281/100000,""))</f>
        <v>17</v>
      </c>
      <c r="L281" s="24">
        <f>IF(OR(B281="",C281=""),"",IFERROR(IFERROR(INDEX(Vöruskrá!O:O,MATCH(B281,Vöruskrá!B:B,0)),"")*C281/100000,""))</f>
        <v>4.08</v>
      </c>
      <c r="M281" s="24">
        <f>IF(OR(B281="",C281=""),"",IFERROR(IFERROR(INDEX(Vöruskrá!P:P,MATCH(B281,Vöruskrá!B:B,0)),"")*C281/100000,""))</f>
        <v>0.51</v>
      </c>
      <c r="N281" s="24">
        <f>IF(OR(B281="",C281=""),"",IFERROR(IFERROR(INDEX(Vöruskrá!Q:Q,MATCH(B281,Vöruskrá!B:B,0)),"")*C281/100000,""))</f>
        <v>6.9699999999999989</v>
      </c>
      <c r="O281" s="25">
        <f>IF(OR(B281="",C281=""),"",IFERROR(C281/1000*IFERROR(INDEX(Vöruskrá!R:R,MATCH(B281,Vöruskrá!B:B,0)),0)/1000,""))</f>
        <v>0</v>
      </c>
      <c r="P281" s="21"/>
      <c r="Q281" s="26"/>
      <c r="R281" s="27"/>
    </row>
    <row r="282" spans="1:18" ht="15">
      <c r="A282" s="159"/>
      <c r="B282" s="159" t="s">
        <v>445</v>
      </c>
      <c r="C282" s="160">
        <v>15000</v>
      </c>
      <c r="D282" s="161" t="s">
        <v>448</v>
      </c>
      <c r="E282" s="161" t="s">
        <v>120</v>
      </c>
      <c r="F282" s="161"/>
      <c r="G282" s="162">
        <f>IF(OR(B282="",C282=""),"",IFERROR(IFERROR(INDEX(Vöruskrá!J:J,MATCH(B282,Vöruskrá!B:B,0)),"")*C282/100000,""))</f>
        <v>110.7</v>
      </c>
      <c r="H282" s="162">
        <f>IF(OR(B282="",C282=""),"",IFERROR(IFERROR(INDEX(Vöruskrá!K:K,MATCH(B282,Vöruskrá!B:B,0)),"")*C282/100000,""))</f>
        <v>12.3</v>
      </c>
      <c r="I282" s="162">
        <f>IF(OR(B282="",C282=""),"",IFERROR(IFERROR(INDEX(Vöruskrá!L:L,MATCH(B282,Vöruskrá!B:B,0)),"")*C282/100000,""))</f>
        <v>7.35</v>
      </c>
      <c r="J282" s="162">
        <f>IF(OR(B282="",C282=""),"",IFERROR(IFERROR(INDEX(Vöruskrá!M:M,MATCH(B282,Vöruskrá!B:B,0)),"")*C282/100000,""))</f>
        <v>0.06</v>
      </c>
      <c r="K282" s="162">
        <f>IF(OR(B282="",C282=""),"",IFERROR(IFERROR(INDEX(Vöruskrá!N:N,MATCH(B282,Vöruskrá!B:B,0)),"")*C282/100000,""))</f>
        <v>0.06</v>
      </c>
      <c r="L282" s="162">
        <f>IF(OR(B282="",C282=""),"",IFERROR(IFERROR(INDEX(Vöruskrá!O:O,MATCH(B282,Vöruskrá!B:B,0)),"")*C282/100000,""))</f>
        <v>0.09</v>
      </c>
      <c r="M282" s="162">
        <f>IF(OR(B282="",C282=""),"",IFERROR(IFERROR(INDEX(Vöruskrá!P:P,MATCH(B282,Vöruskrá!B:B,0)),"")*C282/100000,""))</f>
        <v>0.18</v>
      </c>
      <c r="N282" s="162">
        <f>IF(OR(B282="",C282=""),"",IFERROR(IFERROR(INDEX(Vöruskrá!Q:Q,MATCH(B282,Vöruskrá!B:B,0)),"")*C282/100000,""))</f>
        <v>0</v>
      </c>
      <c r="O282" s="163">
        <f>IF(OR(B282="",C282=""),"",IFERROR(C282/1000*IFERROR(INDEX(Vöruskrá!R:R,MATCH(B282,Vöruskrá!B:B,0)),0)/1000,""))</f>
        <v>0</v>
      </c>
      <c r="P282" s="159"/>
      <c r="Q282" s="160"/>
      <c r="R282" s="159"/>
    </row>
    <row r="283" spans="1:18" ht="48">
      <c r="A283" s="147" t="s">
        <v>1665</v>
      </c>
      <c r="B283" s="147"/>
      <c r="C283" s="148"/>
      <c r="D283" s="165" t="s">
        <v>1666</v>
      </c>
      <c r="E283" s="165" t="s">
        <v>621</v>
      </c>
      <c r="F283" s="165"/>
      <c r="G283" s="166">
        <v>105.73</v>
      </c>
      <c r="H283" s="166">
        <v>3.49</v>
      </c>
      <c r="I283" s="166">
        <v>0.28999999999999998</v>
      </c>
      <c r="J283" s="166">
        <v>2.1</v>
      </c>
      <c r="K283" s="166"/>
      <c r="L283" s="166">
        <v>18.02</v>
      </c>
      <c r="M283" s="166">
        <v>1.21</v>
      </c>
      <c r="N283" s="166">
        <f>IFERROR(SUM(N284:N290)/(SUM($C$284:$C$290)/100000),"")</f>
        <v>0</v>
      </c>
      <c r="O283" s="167" t="str">
        <f>IF(OR(B283="",C283=""),"",IFERROR(C283/1000*INDEX(Vöruskrá!R:R,MATCH(B283,Vöruskrá!B:B,0))/1000,""))</f>
        <v/>
      </c>
      <c r="P283" s="196" t="s">
        <v>1667</v>
      </c>
      <c r="Q283" s="195" t="s">
        <v>1668</v>
      </c>
      <c r="R283" s="194" t="s">
        <v>1669</v>
      </c>
    </row>
    <row r="284" spans="1:18" ht="15">
      <c r="A284" s="171"/>
      <c r="B284" s="171" t="s">
        <v>926</v>
      </c>
      <c r="C284" s="172">
        <v>78201</v>
      </c>
      <c r="D284" s="168" t="s">
        <v>926</v>
      </c>
      <c r="E284" s="168" t="s">
        <v>621</v>
      </c>
      <c r="F284" s="168"/>
      <c r="G284" s="169">
        <f>IF(OR(B284="",C284=""),"",IFERROR(INDEX(Vöruskrá!J:J,MATCH(B284,Vöruskrá!B:B,0))*C284/100000,""))</f>
        <v>78.200999999999993</v>
      </c>
      <c r="H284" s="169">
        <f>IF(OR(B284="",C284=""),"",IFERROR(INDEX(Vöruskrá!K:K,MATCH(B284,Vöruskrá!B:B,0))*C284/100000,""))</f>
        <v>0.54740699999999998</v>
      </c>
      <c r="I284" s="169">
        <f>IF(OR(B284="",C284=""),"",IFERROR(INDEX(Vöruskrá!L:L,MATCH(B284,Vöruskrá!B:B,0))*C284/100000,""))</f>
        <v>7.8201000000000007E-2</v>
      </c>
      <c r="J284" s="169">
        <f>IF(OR(B284="",C284=""),"",IFERROR(INDEX(Vöruskrá!M:M,MATCH(B284,Vöruskrá!B:B,0))*C284/100000,""))</f>
        <v>0</v>
      </c>
      <c r="K284" s="169">
        <f>IF(OR(B284="",C284=""),"",IFERROR(INDEX(Vöruskrá!N:N,MATCH(B284,Vöruskrá!B:B,0))*C284/100000,""))</f>
        <v>0</v>
      </c>
      <c r="L284" s="169">
        <f>IF(OR(B284="",C284=""),"",IFERROR(INDEX(Vöruskrá!O:O,MATCH(B284,Vöruskrá!B:B,0))*C284/100000,""))</f>
        <v>17.986229999999999</v>
      </c>
      <c r="M284" s="169">
        <f>IF(OR(B284="",C284=""),"",IFERROR(INDEX(Vöruskrá!P:P,MATCH(B284,Vöruskrá!B:B,0))*C284/100000,""))</f>
        <v>0.23460300000000001</v>
      </c>
      <c r="N284" s="169">
        <f>IF(OR(B284="",C284=""),"",IFERROR(INDEX(Vöruskrá!Q:Q,MATCH(B284,Vöruskrá!B:B,0))*C284/100000,""))</f>
        <v>0</v>
      </c>
      <c r="O284" s="170">
        <f>IF(OR(B284="",C284=""),"",IFERROR(C284/1000*INDEX(Vöruskrá!R:R,MATCH(B284,Vöruskrá!B:B,0))/1000,""))</f>
        <v>0</v>
      </c>
      <c r="P284" s="171"/>
      <c r="Q284" s="197"/>
      <c r="R284" s="164"/>
    </row>
    <row r="285" spans="1:18" ht="15">
      <c r="A285" s="173"/>
      <c r="B285" s="173" t="s">
        <v>1466</v>
      </c>
      <c r="C285" s="174">
        <v>9775</v>
      </c>
      <c r="D285" s="168"/>
      <c r="E285" s="168"/>
      <c r="F285" s="168"/>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7"/>
      <c r="R285" s="27"/>
    </row>
    <row r="286" spans="1:18" ht="15">
      <c r="A286" s="171"/>
      <c r="B286" s="171" t="s">
        <v>1463</v>
      </c>
      <c r="C286" s="172">
        <v>4888</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1465</v>
      </c>
      <c r="C287" s="174">
        <v>2933</v>
      </c>
      <c r="D287" s="168"/>
      <c r="E287" s="168"/>
      <c r="F287" s="168"/>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299</v>
      </c>
      <c r="C288" s="172">
        <v>978</v>
      </c>
      <c r="D288" s="168" t="s">
        <v>302</v>
      </c>
      <c r="E288" s="168" t="s">
        <v>134</v>
      </c>
      <c r="F288" s="168" t="s">
        <v>303</v>
      </c>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0.97799999999999998</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819</v>
      </c>
      <c r="C289" s="174">
        <v>293</v>
      </c>
      <c r="D289" s="168" t="s">
        <v>820</v>
      </c>
      <c r="E289" s="168"/>
      <c r="F289" s="168" t="s">
        <v>311</v>
      </c>
      <c r="G289" s="169">
        <f>IF(OR(B289="",C289=""),"",IFERROR(INDEX(Vöruskrá!J:J,MATCH(B289,Vöruskrá!B:B,0))*C289/100000,""))</f>
        <v>1.1309800000000001</v>
      </c>
      <c r="H289" s="169">
        <f>IF(OR(B289="",C289=""),"",IFERROR(INDEX(Vöruskrá!K:K,MATCH(B289,Vöruskrá!B:B,0))*C289/100000,""))</f>
        <v>9.6690000000000005E-3</v>
      </c>
      <c r="I289" s="169">
        <f>IF(OR(B289="",C289=""),"",IFERROR(INDEX(Vöruskrá!L:L,MATCH(B289,Vöruskrá!B:B,0))*C289/100000,""))</f>
        <v>2.9299999999999999E-3</v>
      </c>
      <c r="J289" s="169">
        <f>IF(OR(B289="",C289=""),"",IFERROR(INDEX(Vöruskrá!M:M,MATCH(B289,Vöruskrá!B:B,0))*C289/100000,""))</f>
        <v>0.19045000000000001</v>
      </c>
      <c r="K289" s="169">
        <f>IF(OR(B289="",C289=""),"",IFERROR(INDEX(Vöruskrá!N:N,MATCH(B289,Vöruskrá!B:B,0))*C289/100000,""))</f>
        <v>1.7579999999999998E-3</v>
      </c>
      <c r="L289" s="169">
        <f>IF(OR(B289="",C289=""),"",IFERROR(INDEX(Vöruskrá!O:O,MATCH(B289,Vöruskrá!B:B,0))*C289/100000,""))</f>
        <v>3.2230000000000002E-2</v>
      </c>
      <c r="M289" s="169">
        <f>IF(OR(B289="",C289=""),"",IFERROR(INDEX(Vöruskrá!P:P,MATCH(B289,Vöruskrá!B:B,0))*C289/100000,""))</f>
        <v>2.9300000000000002E-4</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1270</v>
      </c>
      <c r="C290" s="172">
        <v>2933</v>
      </c>
      <c r="D290" s="168" t="s">
        <v>1270</v>
      </c>
      <c r="E290" s="168" t="s">
        <v>134</v>
      </c>
      <c r="F290" s="168"/>
      <c r="G290" s="169">
        <f>IF(OR(B290="",C290=""),"",IFERROR(INDEX(Vöruskrá!J:J,MATCH(B290,Vöruskrá!B:B,0))*C290/100000,""))</f>
        <v>26.396999999999998</v>
      </c>
      <c r="H290" s="169">
        <f>IF(OR(B290="",C290=""),"",IFERROR(INDEX(Vöruskrá!K:K,MATCH(B290,Vöruskrá!B:B,0))*C290/100000,""))</f>
        <v>2.9329999999999998</v>
      </c>
      <c r="I290" s="169">
        <f>IF(OR(B290="",C290=""),"",IFERROR(INDEX(Vöruskrá!L:L,MATCH(B290,Vöruskrá!B:B,0))*C290/100000,""))</f>
        <v>0.20530999999999999</v>
      </c>
      <c r="J290" s="169">
        <f>IF(OR(B290="",C290=""),"",IFERROR(INDEX(Vöruskrá!M:M,MATCH(B290,Vöruskrá!B:B,0))*C290/100000,""))</f>
        <v>1.90645</v>
      </c>
      <c r="K290" s="169">
        <f>IF(OR(B290="",C290=""),"",IFERROR(INDEX(Vöruskrá!N:N,MATCH(B290,Vöruskrá!B:B,0))*C290/100000,""))</f>
        <v>0.80657500000000004</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0"/>
      <c r="R290" s="159"/>
    </row>
    <row r="291" spans="1:18" ht="60">
      <c r="A291" s="147" t="s">
        <v>1670</v>
      </c>
      <c r="B291" s="147"/>
      <c r="C291" s="148"/>
      <c r="D291" s="165" t="s">
        <v>1671</v>
      </c>
      <c r="E291" s="165" t="s">
        <v>1622</v>
      </c>
      <c r="F291" s="165"/>
      <c r="G291" s="166">
        <v>116.2</v>
      </c>
      <c r="H291" s="166">
        <v>3.67</v>
      </c>
      <c r="I291" s="166">
        <v>0.52</v>
      </c>
      <c r="J291" s="166">
        <v>2.34</v>
      </c>
      <c r="K291" s="166"/>
      <c r="L291" s="166">
        <v>19.46</v>
      </c>
      <c r="M291" s="166">
        <v>1.25</v>
      </c>
      <c r="N291" s="166">
        <f>IFERROR(SUM(N292:N298)/(SUM($C$292:$C$298)/100000),"")</f>
        <v>7.3343000000000005E-2</v>
      </c>
      <c r="O291" s="167" t="str">
        <f>IF(OR(B291="",C291=""),"",IFERROR(C291/1000*INDEX(Vöruskrá!R:R,MATCH(B291,Vöruskrá!B:B,0))/1000,""))</f>
        <v/>
      </c>
      <c r="P291" s="196" t="s">
        <v>1672</v>
      </c>
      <c r="Q291" s="199" t="s">
        <v>1673</v>
      </c>
      <c r="R291" s="198" t="s">
        <v>1674</v>
      </c>
    </row>
    <row r="292" spans="1:18" ht="15">
      <c r="A292" s="171"/>
      <c r="B292" s="171" t="s">
        <v>926</v>
      </c>
      <c r="C292" s="172">
        <v>82645</v>
      </c>
      <c r="D292" s="168" t="s">
        <v>926</v>
      </c>
      <c r="E292" s="168" t="s">
        <v>621</v>
      </c>
      <c r="F292" s="168"/>
      <c r="G292" s="169">
        <f>IF(OR(B292="",C292=""),"",IFERROR(INDEX(Vöruskrá!J:J,MATCH(B292,Vöruskrá!B:B,0))*C292/100000,""))</f>
        <v>82.644999999999996</v>
      </c>
      <c r="H292" s="169">
        <f>IF(OR(B292="",C292=""),"",IFERROR(INDEX(Vöruskrá!K:K,MATCH(B292,Vöruskrá!B:B,0))*C292/100000,""))</f>
        <v>0.57851499999999989</v>
      </c>
      <c r="I292" s="169">
        <f>IF(OR(B292="",C292=""),"",IFERROR(INDEX(Vöruskrá!L:L,MATCH(B292,Vöruskrá!B:B,0))*C292/100000,""))</f>
        <v>8.2644999999999996E-2</v>
      </c>
      <c r="J292" s="169">
        <f>IF(OR(B292="",C292=""),"",IFERROR(INDEX(Vöruskrá!M:M,MATCH(B292,Vöruskrá!B:B,0))*C292/100000,""))</f>
        <v>0</v>
      </c>
      <c r="K292" s="169">
        <f>IF(OR(B292="",C292=""),"",IFERROR(INDEX(Vöruskrá!N:N,MATCH(B292,Vöruskrá!B:B,0))*C292/100000,""))</f>
        <v>0</v>
      </c>
      <c r="L292" s="169">
        <f>IF(OR(B292="",C292=""),"",IFERROR(INDEX(Vöruskrá!O:O,MATCH(B292,Vöruskrá!B:B,0))*C292/100000,""))</f>
        <v>19.00835</v>
      </c>
      <c r="M292" s="169">
        <f>IF(OR(B292="",C292=""),"",IFERROR(INDEX(Vöruskrá!P:P,MATCH(B292,Vöruskrá!B:B,0))*C292/100000,""))</f>
        <v>0.24793499999999999</v>
      </c>
      <c r="N292" s="169">
        <f>IF(OR(B292="",C292=""),"",IFERROR(INDEX(Vöruskrá!Q:Q,MATCH(B292,Vöruskrá!B:B,0))*C292/100000,""))</f>
        <v>0</v>
      </c>
      <c r="O292" s="170">
        <f>IF(OR(B292="",C292=""),"",IFERROR(C292/1000*INDEX(Vöruskrá!R:R,MATCH(B292,Vöruskrá!B:B,0))/1000,""))</f>
        <v>0</v>
      </c>
      <c r="P292" s="171"/>
      <c r="Q292" s="197"/>
      <c r="R292" s="164"/>
    </row>
    <row r="293" spans="1:18" ht="15">
      <c r="A293" s="173"/>
      <c r="B293" s="173" t="s">
        <v>827</v>
      </c>
      <c r="C293" s="174">
        <v>2066</v>
      </c>
      <c r="D293" s="168" t="s">
        <v>830</v>
      </c>
      <c r="E293" s="168"/>
      <c r="F293" s="168"/>
      <c r="G293" s="169">
        <f>IF(OR(B293="",C293=""),"",IFERROR(INDEX(Vöruskrá!J:J,MATCH(B293,Vöruskrá!B:B,0))*C293/100000,""))</f>
        <v>6.4872399999999999</v>
      </c>
      <c r="H293" s="169">
        <f>IF(OR(B293="",C293=""),"",IFERROR(INDEX(Vöruskrá!K:K,MATCH(B293,Vöruskrá!B:B,0))*C293/100000,""))</f>
        <v>0.61980000000000002</v>
      </c>
      <c r="I293" s="169">
        <f>IF(OR(B293="",C293=""),"",IFERROR(INDEX(Vöruskrá!L:L,MATCH(B293,Vöruskrá!B:B,0))*C293/100000,""))</f>
        <v>5.1650000000000001E-2</v>
      </c>
      <c r="J293" s="169">
        <f>IF(OR(B293="",C293=""),"",IFERROR(INDEX(Vöruskrá!M:M,MATCH(B293,Vöruskrá!B:B,0))*C293/100000,""))</f>
        <v>0.20660000000000001</v>
      </c>
      <c r="K293" s="169">
        <f>IF(OR(B293="",C293=""),"",IFERROR(INDEX(Vöruskrá!N:N,MATCH(B293,Vöruskrá!B:B,0))*C293/100000,""))</f>
        <v>0.109498</v>
      </c>
      <c r="L293" s="169">
        <f>IF(OR(B293="",C293=""),"",IFERROR(INDEX(Vöruskrá!O:O,MATCH(B293,Vöruskrá!B:B,0))*C293/100000,""))</f>
        <v>3.099E-2</v>
      </c>
      <c r="M293" s="169">
        <f>IF(OR(B293="",C293=""),"",IFERROR(INDEX(Vöruskrá!P:P,MATCH(B293,Vöruskrá!B:B,0))*C293/100000,""))</f>
        <v>0.16734599999999999</v>
      </c>
      <c r="N293" s="169">
        <f>IF(OR(B293="",C293=""),"",IFERROR(INDEX(Vöruskrá!Q:Q,MATCH(B293,Vöruskrá!B:B,0))*C293/100000,""))</f>
        <v>5.1650000000000001E-2</v>
      </c>
      <c r="O293" s="170">
        <f>IF(OR(B293="",C293=""),"",IFERROR(C293/1000*INDEX(Vöruskrá!R:R,MATCH(B293,Vöruskrá!B:B,0))/1000,""))</f>
        <v>0</v>
      </c>
      <c r="P293" s="173"/>
      <c r="Q293" s="157"/>
      <c r="R293" s="27"/>
    </row>
    <row r="294" spans="1:18" ht="15">
      <c r="A294" s="171"/>
      <c r="B294" s="171" t="s">
        <v>870</v>
      </c>
      <c r="C294" s="172">
        <v>10331</v>
      </c>
      <c r="D294" s="168" t="s">
        <v>871</v>
      </c>
      <c r="E294" s="168" t="s">
        <v>120</v>
      </c>
      <c r="F294" s="168"/>
      <c r="G294" s="169">
        <f>IF(OR(B294="",C294=""),"",IFERROR(INDEX(Vöruskrá!J:J,MATCH(B294,Vöruskrá!B:B,0))*C294/100000,""))</f>
        <v>6.6118399999999999</v>
      </c>
      <c r="H294" s="169">
        <f>IF(OR(B294="",C294=""),"",IFERROR(INDEX(Vöruskrá!K:K,MATCH(B294,Vöruskrá!B:B,0))*C294/100000,""))</f>
        <v>0.40290900000000002</v>
      </c>
      <c r="I294" s="169">
        <f>IF(OR(B294="",C294=""),"",IFERROR(INDEX(Vöruskrá!L:L,MATCH(B294,Vöruskrá!B:B,0))*C294/100000,""))</f>
        <v>0.23761299999999999</v>
      </c>
      <c r="J294" s="169">
        <f>IF(OR(B294="",C294=""),"",IFERROR(INDEX(Vöruskrá!M:M,MATCH(B294,Vöruskrá!B:B,0))*C294/100000,""))</f>
        <v>0.38224700000000006</v>
      </c>
      <c r="K294" s="169">
        <f>IF(OR(B294="",C294=""),"",IFERROR(INDEX(Vöruskrá!N:N,MATCH(B294,Vöruskrá!B:B,0))*C294/100000,""))</f>
        <v>0.38224700000000006</v>
      </c>
      <c r="L294" s="169">
        <f>IF(OR(B294="",C294=""),"",IFERROR(INDEX(Vöruskrá!O:O,MATCH(B294,Vöruskrá!B:B,0))*C294/100000,""))</f>
        <v>0.35125400000000001</v>
      </c>
      <c r="M294" s="169">
        <f>IF(OR(B294="",C294=""),"",IFERROR(INDEX(Vöruskrá!P:P,MATCH(B294,Vöruskrá!B:B,0))*C294/100000,""))</f>
        <v>1.0331000000000002E-2</v>
      </c>
      <c r="N294" s="169">
        <f>IF(OR(B294="",C294=""),"",IFERROR(INDEX(Vöruskrá!Q:Q,MATCH(B294,Vöruskrá!B:B,0))*C294/100000,""))</f>
        <v>0</v>
      </c>
      <c r="O294" s="170">
        <f>IF(OR(B294="",C294=""),"",IFERROR(C294/1000*INDEX(Vöruskrá!R:R,MATCH(B294,Vöruskrá!B:B,0))/1000,""))</f>
        <v>0</v>
      </c>
      <c r="P294" s="171"/>
      <c r="Q294" s="158"/>
      <c r="R294" s="6"/>
    </row>
    <row r="295" spans="1:18" ht="15">
      <c r="A295" s="173"/>
      <c r="B295" s="173" t="s">
        <v>1017</v>
      </c>
      <c r="C295" s="174">
        <v>1033</v>
      </c>
      <c r="D295" s="168" t="s">
        <v>1017</v>
      </c>
      <c r="E295" s="168" t="s">
        <v>134</v>
      </c>
      <c r="F295" s="168"/>
      <c r="G295" s="169">
        <f>IF(OR(B295="",C295=""),"",IFERROR(INDEX(Vöruskrá!J:J,MATCH(B295,Vöruskrá!B:B,0))*C295/100000,""))</f>
        <v>1.5391699999999999</v>
      </c>
      <c r="H295" s="169">
        <f>IF(OR(B295="",C295=""),"",IFERROR(INDEX(Vöruskrá!K:K,MATCH(B295,Vöruskrá!B:B,0))*C295/100000,""))</f>
        <v>5.1650000000000003E-3</v>
      </c>
      <c r="I295" s="169">
        <f>IF(OR(B295="",C295=""),"",IFERROR(INDEX(Vöruskrá!L:L,MATCH(B295,Vöruskrá!B:B,0))*C295/100000,""))</f>
        <v>1.0330000000000001E-3</v>
      </c>
      <c r="J295" s="169">
        <f>IF(OR(B295="",C295=""),"",IFERROR(INDEX(Vöruskrá!M:M,MATCH(B295,Vöruskrá!B:B,0))*C295/100000,""))</f>
        <v>0.34192300000000003</v>
      </c>
      <c r="K295" s="169">
        <f>IF(OR(B295="",C295=""),"",IFERROR(INDEX(Vöruskrá!N:N,MATCH(B295,Vöruskrá!B:B,0))*C295/100000,""))</f>
        <v>1.0330000000000001E-2</v>
      </c>
      <c r="L295" s="169">
        <f>IF(OR(B295="",C295=""),"",IFERROR(INDEX(Vöruskrá!O:O,MATCH(B295,Vöruskrá!B:B,0))*C295/100000,""))</f>
        <v>6.6112000000000004E-2</v>
      </c>
      <c r="M295" s="169">
        <f>IF(OR(B295="",C295=""),"",IFERROR(INDEX(Vöruskrá!P:P,MATCH(B295,Vöruskrá!B:B,0))*C295/100000,""))</f>
        <v>0</v>
      </c>
      <c r="N295" s="169">
        <f>IF(OR(B295="",C295=""),"",IFERROR(INDEX(Vöruskrá!Q:Q,MATCH(B295,Vöruskrá!B:B,0))*C295/100000,""))</f>
        <v>2.1693E-2</v>
      </c>
      <c r="O295" s="170">
        <f>IF(OR(B295="",C295=""),"",IFERROR(C295/1000*INDEX(Vöruskrá!R:R,MATCH(B295,Vöruskrá!B:B,0))/1000,""))</f>
        <v>0</v>
      </c>
      <c r="P295" s="173"/>
      <c r="Q295" s="157"/>
      <c r="R295" s="27"/>
    </row>
    <row r="296" spans="1:18" ht="15">
      <c r="A296" s="171"/>
      <c r="B296" s="171" t="s">
        <v>833</v>
      </c>
      <c r="C296" s="172">
        <v>1033</v>
      </c>
      <c r="D296" s="168" t="s">
        <v>835</v>
      </c>
      <c r="E296" s="168"/>
      <c r="F296" s="168"/>
      <c r="G296" s="169">
        <f>IF(OR(B296="",C296=""),"",IFERROR(INDEX(Vöruskrá!J:J,MATCH(B296,Vöruskrá!B:B,0))*C296/100000,""))</f>
        <v>0.32023000000000001</v>
      </c>
      <c r="H296" s="169">
        <f>IF(OR(B296="",C296=""),"",IFERROR(INDEX(Vöruskrá!K:K,MATCH(B296,Vöruskrá!B:B,0))*C296/100000,""))</f>
        <v>2.0660000000000001E-3</v>
      </c>
      <c r="I296" s="169">
        <f>IF(OR(B296="",C296=""),"",IFERROR(INDEX(Vöruskrá!L:L,MATCH(B296,Vöruskrá!B:B,0))*C296/100000,""))</f>
        <v>0</v>
      </c>
      <c r="J296" s="169">
        <f>IF(OR(B296="",C296=""),"",IFERROR(INDEX(Vöruskrá!M:M,MATCH(B296,Vöruskrá!B:B,0))*C296/100000,""))</f>
        <v>7.1277000000000007E-2</v>
      </c>
      <c r="K296" s="169">
        <f>IF(OR(B296="",C296=""),"",IFERROR(INDEX(Vöruskrá!N:N,MATCH(B296,Vöruskrá!B:B,0))*C296/100000,""))</f>
        <v>2.4791999999999998E-2</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8"/>
      <c r="R296" s="6"/>
    </row>
    <row r="297" spans="1:18" ht="15">
      <c r="A297" s="173"/>
      <c r="B297" s="173" t="s">
        <v>299</v>
      </c>
      <c r="C297" s="174">
        <v>826</v>
      </c>
      <c r="D297" s="168" t="s">
        <v>302</v>
      </c>
      <c r="E297" s="168" t="s">
        <v>134</v>
      </c>
      <c r="F297" s="168" t="s">
        <v>303</v>
      </c>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0.82599999999999996</v>
      </c>
      <c r="N297" s="169">
        <f>IF(OR(B297="",C297=""),"",IFERROR(INDEX(Vöruskrá!Q:Q,MATCH(B297,Vöruskrá!B:B,0))*C297/100000,""))</f>
        <v>0</v>
      </c>
      <c r="O297" s="170">
        <f>IF(OR(B297="",C297=""),"",IFERROR(C297/1000*INDEX(Vöruskrá!R:R,MATCH(B297,Vöruskrá!B:B,0))/1000,""))</f>
        <v>0</v>
      </c>
      <c r="P297" s="173"/>
      <c r="Q297" s="157"/>
      <c r="R297" s="27"/>
    </row>
    <row r="298" spans="1:18" ht="15">
      <c r="A298" s="171"/>
      <c r="B298" s="171" t="s">
        <v>1270</v>
      </c>
      <c r="C298" s="172">
        <v>2066</v>
      </c>
      <c r="D298" s="168" t="s">
        <v>1270</v>
      </c>
      <c r="E298" s="168" t="s">
        <v>134</v>
      </c>
      <c r="F298" s="168"/>
      <c r="G298" s="169">
        <f>IF(OR(B298="",C298=""),"",IFERROR(INDEX(Vöruskrá!J:J,MATCH(B298,Vöruskrá!B:B,0))*C298/100000,""))</f>
        <v>18.594000000000001</v>
      </c>
      <c r="H298" s="169">
        <f>IF(OR(B298="",C298=""),"",IFERROR(INDEX(Vöruskrá!K:K,MATCH(B298,Vöruskrá!B:B,0))*C298/100000,""))</f>
        <v>2.0659999999999998</v>
      </c>
      <c r="I298" s="169">
        <f>IF(OR(B298="",C298=""),"",IFERROR(INDEX(Vöruskrá!L:L,MATCH(B298,Vöruskrá!B:B,0))*C298/100000,""))</f>
        <v>0.14462</v>
      </c>
      <c r="J298" s="169">
        <f>IF(OR(B298="",C298=""),"",IFERROR(INDEX(Vöruskrá!M:M,MATCH(B298,Vöruskrá!B:B,0))*C298/100000,""))</f>
        <v>1.3429</v>
      </c>
      <c r="K298" s="169">
        <f>IF(OR(B298="",C298=""),"",IFERROR(INDEX(Vöruskrá!N:N,MATCH(B298,Vöruskrá!B:B,0))*C298/100000,""))</f>
        <v>0.56815000000000004</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200"/>
      <c r="R298" s="159"/>
    </row>
    <row r="299" spans="1:18" ht="72">
      <c r="A299" s="147" t="s">
        <v>1675</v>
      </c>
      <c r="B299" s="147"/>
      <c r="C299" s="148"/>
      <c r="D299" s="165" t="s">
        <v>1676</v>
      </c>
      <c r="E299" s="165" t="s">
        <v>1677</v>
      </c>
      <c r="F299" s="165"/>
      <c r="G299" s="166">
        <v>114.61</v>
      </c>
      <c r="H299" s="166">
        <v>4.16</v>
      </c>
      <c r="I299" s="166">
        <v>2.61</v>
      </c>
      <c r="J299" s="166">
        <v>9.6300000000000008</v>
      </c>
      <c r="K299" s="166"/>
      <c r="L299" s="166">
        <v>10.01</v>
      </c>
      <c r="M299" s="166">
        <v>1.1299999999999999</v>
      </c>
      <c r="N299" s="166">
        <f>IFERROR(SUM(N300:N313)/(SUM($C$300:$C$313)/100000),"")</f>
        <v>0.91955000000000009</v>
      </c>
      <c r="O299" s="167" t="str">
        <f>IF(OR(B299="",C299=""),"",IFERROR(C299/1000*INDEX(Vöruskrá!R:R,MATCH(B299,Vöruskrá!B:B,0))/1000,""))</f>
        <v/>
      </c>
      <c r="P299" s="196" t="s">
        <v>1678</v>
      </c>
      <c r="Q299" s="195" t="s">
        <v>1679</v>
      </c>
      <c r="R299" s="194" t="s">
        <v>1680</v>
      </c>
    </row>
    <row r="300" spans="1:18" ht="15">
      <c r="A300" s="171"/>
      <c r="B300" s="171" t="s">
        <v>926</v>
      </c>
      <c r="C300" s="172">
        <v>40000</v>
      </c>
      <c r="D300" s="168" t="s">
        <v>926</v>
      </c>
      <c r="E300" s="168" t="s">
        <v>621</v>
      </c>
      <c r="F300" s="168"/>
      <c r="G300" s="169">
        <f>IF(OR(B300="",C300=""),"",IFERROR(INDEX(Vöruskrá!J:J,MATCH(B300,Vöruskrá!B:B,0))*C300/100000,""))</f>
        <v>40</v>
      </c>
      <c r="H300" s="169">
        <f>IF(OR(B300="",C300=""),"",IFERROR(INDEX(Vöruskrá!K:K,MATCH(B300,Vöruskrá!B:B,0))*C300/100000,""))</f>
        <v>0.28000000000000003</v>
      </c>
      <c r="I300" s="169">
        <f>IF(OR(B300="",C300=""),"",IFERROR(INDEX(Vöruskrá!L:L,MATCH(B300,Vöruskrá!B:B,0))*C300/100000,""))</f>
        <v>0.04</v>
      </c>
      <c r="J300" s="169">
        <f>IF(OR(B300="",C300=""),"",IFERROR(INDEX(Vöruskrá!M:M,MATCH(B300,Vöruskrá!B:B,0))*C300/100000,""))</f>
        <v>0</v>
      </c>
      <c r="K300" s="169">
        <f>IF(OR(B300="",C300=""),"",IFERROR(INDEX(Vöruskrá!N:N,MATCH(B300,Vöruskrá!B:B,0))*C300/100000,""))</f>
        <v>0</v>
      </c>
      <c r="L300" s="169">
        <f>IF(OR(B300="",C300=""),"",IFERROR(INDEX(Vöruskrá!O:O,MATCH(B300,Vöruskrá!B:B,0))*C300/100000,""))</f>
        <v>9.1999999999999993</v>
      </c>
      <c r="M300" s="169">
        <f>IF(OR(B300="",C300=""),"",IFERROR(INDEX(Vöruskrá!P:P,MATCH(B300,Vöruskrá!B:B,0))*C300/100000,""))</f>
        <v>0.12</v>
      </c>
      <c r="N300" s="169">
        <f>IF(OR(B300="",C300=""),"",IFERROR(INDEX(Vöruskrá!Q:Q,MATCH(B300,Vöruskrá!B:B,0))*C300/100000,""))</f>
        <v>0</v>
      </c>
      <c r="O300" s="170">
        <f>IF(OR(B300="",C300=""),"",IFERROR(C300/1000*INDEX(Vöruskrá!R:R,MATCH(B300,Vöruskrá!B:B,0))/1000,""))</f>
        <v>0</v>
      </c>
      <c r="P300" s="171"/>
      <c r="Q300" s="197"/>
      <c r="R300" s="164"/>
    </row>
    <row r="301" spans="1:18" ht="15">
      <c r="A301" s="173"/>
      <c r="B301" s="173" t="s">
        <v>635</v>
      </c>
      <c r="C301" s="174">
        <v>36000</v>
      </c>
      <c r="D301" s="168" t="s">
        <v>635</v>
      </c>
      <c r="E301" s="168" t="s">
        <v>134</v>
      </c>
      <c r="F301" s="168"/>
      <c r="G301" s="169">
        <f>IF(OR(B301="",C301=""),"",IFERROR(INDEX(Vöruskrá!J:J,MATCH(B301,Vöruskrá!B:B,0))*C301/100000,""))</f>
        <v>27.72</v>
      </c>
      <c r="H301" s="169">
        <f>IF(OR(B301="",C301=""),"",IFERROR(INDEX(Vöruskrá!K:K,MATCH(B301,Vöruskrá!B:B,0))*C301/100000,""))</f>
        <v>3.5999999999999997E-2</v>
      </c>
      <c r="I301" s="169">
        <f>IF(OR(B301="",C301=""),"",IFERROR(INDEX(Vöruskrá!L:L,MATCH(B301,Vöruskrá!B:B,0))*C301/100000,""))</f>
        <v>0</v>
      </c>
      <c r="J301" s="169">
        <f>IF(OR(B301="",C301=""),"",IFERROR(INDEX(Vöruskrá!M:M,MATCH(B301,Vöruskrá!B:B,0))*C301/100000,""))</f>
        <v>6.12</v>
      </c>
      <c r="K301" s="169">
        <f>IF(OR(B301="",C301=""),"",IFERROR(INDEX(Vöruskrá!N:N,MATCH(B301,Vöruskrá!B:B,0))*C301/100000,""))</f>
        <v>0.28799999999999998</v>
      </c>
      <c r="L301" s="169">
        <f>IF(OR(B301="",C301=""),"",IFERROR(INDEX(Vöruskrá!O:O,MATCH(B301,Vöruskrá!B:B,0))*C301/100000,""))</f>
        <v>0.72</v>
      </c>
      <c r="M301" s="169">
        <f>IF(OR(B301="",C301=""),"",IFERROR(INDEX(Vöruskrá!P:P,MATCH(B301,Vöruskrá!B:B,0))*C301/100000,""))</f>
        <v>0</v>
      </c>
      <c r="N301" s="169">
        <f>IF(OR(B301="",C301=""),"",IFERROR(INDEX(Vöruskrá!Q:Q,MATCH(B301,Vöruskrá!B:B,0))*C301/100000,""))</f>
        <v>0.79200000000000004</v>
      </c>
      <c r="O301" s="170">
        <f>IF(OR(B301="",C301=""),"",IFERROR(C301/1000*INDEX(Vöruskrá!R:R,MATCH(B301,Vöruskrá!B:B,0))/1000,""))</f>
        <v>0</v>
      </c>
      <c r="P301" s="173"/>
      <c r="Q301" s="157"/>
      <c r="R301" s="27"/>
    </row>
    <row r="302" spans="1:18" ht="15">
      <c r="A302" s="171"/>
      <c r="B302" s="171" t="s">
        <v>1010</v>
      </c>
      <c r="C302" s="172">
        <v>4500</v>
      </c>
      <c r="D302" s="168" t="s">
        <v>1010</v>
      </c>
      <c r="E302" s="168" t="s">
        <v>134</v>
      </c>
      <c r="F302" s="168"/>
      <c r="G302" s="169">
        <f>IF(OR(B302="",C302=""),"",IFERROR(INDEX(Vöruskrá!J:J,MATCH(B302,Vöruskrá!B:B,0))*C302/100000,""))</f>
        <v>1.8</v>
      </c>
      <c r="H302" s="169">
        <f>IF(OR(B302="",C302=""),"",IFERROR(INDEX(Vöruskrá!K:K,MATCH(B302,Vöruskrá!B:B,0))*C302/100000,""))</f>
        <v>4.4999999999999997E-3</v>
      </c>
      <c r="I302" s="169">
        <f>IF(OR(B302="",C302=""),"",IFERROR(INDEX(Vöruskrá!L:L,MATCH(B302,Vöruskrá!B:B,0))*C302/100000,""))</f>
        <v>0</v>
      </c>
      <c r="J302" s="169">
        <f>IF(OR(B302="",C302=""),"",IFERROR(INDEX(Vöruskrá!M:M,MATCH(B302,Vöruskrá!B:B,0))*C302/100000,""))</f>
        <v>0.41849999999999998</v>
      </c>
      <c r="K302" s="169">
        <f>IF(OR(B302="",C302=""),"",IFERROR(INDEX(Vöruskrá!N:N,MATCH(B302,Vöruskrá!B:B,0))*C302/100000,""))</f>
        <v>0.189</v>
      </c>
      <c r="L302" s="169">
        <f>IF(OR(B302="",C302=""),"",IFERROR(INDEX(Vöruskrá!O:O,MATCH(B302,Vöruskrá!B:B,0))*C302/100000,""))</f>
        <v>4.9500000000000002E-2</v>
      </c>
      <c r="M302" s="169">
        <f>IF(OR(B302="",C302=""),"",IFERROR(INDEX(Vöruskrá!P:P,MATCH(B302,Vöruskrá!B:B,0))*C302/100000,""))</f>
        <v>0</v>
      </c>
      <c r="N302" s="169">
        <f>IF(OR(B302="",C302=""),"",IFERROR(INDEX(Vöruskrá!Q:Q,MATCH(B302,Vöruskrá!B:B,0))*C302/100000,""))</f>
        <v>7.6499999999999999E-2</v>
      </c>
      <c r="O302" s="170">
        <f>IF(OR(B302="",C302=""),"",IFERROR(C302/1000*INDEX(Vöruskrá!R:R,MATCH(B302,Vöruskrá!B:B,0))/1000,""))</f>
        <v>0</v>
      </c>
      <c r="P302" s="171"/>
      <c r="Q302" s="158"/>
      <c r="R302" s="6"/>
    </row>
    <row r="303" spans="1:18" ht="15">
      <c r="A303" s="173"/>
      <c r="B303" s="173" t="s">
        <v>1270</v>
      </c>
      <c r="C303" s="174">
        <v>800</v>
      </c>
      <c r="D303" s="168" t="s">
        <v>1270</v>
      </c>
      <c r="E303" s="168" t="s">
        <v>134</v>
      </c>
      <c r="F303" s="168"/>
      <c r="G303" s="169">
        <f>IF(OR(B303="",C303=""),"",IFERROR(INDEX(Vöruskrá!J:J,MATCH(B303,Vöruskrá!B:B,0))*C303/100000,""))</f>
        <v>7.2</v>
      </c>
      <c r="H303" s="169">
        <f>IF(OR(B303="",C303=""),"",IFERROR(INDEX(Vöruskrá!K:K,MATCH(B303,Vöruskrá!B:B,0))*C303/100000,""))</f>
        <v>0.8</v>
      </c>
      <c r="I303" s="169">
        <f>IF(OR(B303="",C303=""),"",IFERROR(INDEX(Vöruskrá!L:L,MATCH(B303,Vöruskrá!B:B,0))*C303/100000,""))</f>
        <v>5.6000000000000001E-2</v>
      </c>
      <c r="J303" s="169">
        <f>IF(OR(B303="",C303=""),"",IFERROR(INDEX(Vöruskrá!M:M,MATCH(B303,Vöruskrá!B:B,0))*C303/100000,""))</f>
        <v>0.52</v>
      </c>
      <c r="K303" s="169">
        <f>IF(OR(B303="",C303=""),"",IFERROR(INDEX(Vöruskrá!N:N,MATCH(B303,Vöruskrá!B:B,0))*C303/100000,""))</f>
        <v>0.22</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3"/>
      <c r="Q303" s="157"/>
      <c r="R303" s="27"/>
    </row>
    <row r="304" spans="1:18" ht="15">
      <c r="A304" s="171"/>
      <c r="B304" s="171" t="s">
        <v>299</v>
      </c>
      <c r="C304" s="172">
        <v>1000</v>
      </c>
      <c r="D304" s="168" t="s">
        <v>302</v>
      </c>
      <c r="E304" s="168" t="s">
        <v>134</v>
      </c>
      <c r="F304" s="168" t="s">
        <v>303</v>
      </c>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1</v>
      </c>
      <c r="N304" s="169">
        <f>IF(OR(B304="",C304=""),"",IFERROR(INDEX(Vöruskrá!Q:Q,MATCH(B304,Vöruskrá!B:B,0))*C304/100000,""))</f>
        <v>0</v>
      </c>
      <c r="O304" s="170">
        <f>IF(OR(B304="",C304=""),"",IFERROR(C304/1000*INDEX(Vöruskrá!R:R,MATCH(B304,Vöruskrá!B:B,0))/1000,""))</f>
        <v>0</v>
      </c>
      <c r="P304" s="171"/>
      <c r="Q304" s="158"/>
      <c r="R304" s="6"/>
    </row>
    <row r="305" spans="1:18" ht="15">
      <c r="A305" s="173"/>
      <c r="B305" s="173" t="s">
        <v>819</v>
      </c>
      <c r="C305" s="174">
        <v>100</v>
      </c>
      <c r="D305" s="168" t="s">
        <v>820</v>
      </c>
      <c r="E305" s="168"/>
      <c r="F305" s="168" t="s">
        <v>311</v>
      </c>
      <c r="G305" s="169">
        <f>IF(OR(B305="",C305=""),"",IFERROR(INDEX(Vöruskrá!J:J,MATCH(B305,Vöruskrá!B:B,0))*C305/100000,""))</f>
        <v>0.38600000000000001</v>
      </c>
      <c r="H305" s="169">
        <f>IF(OR(B305="",C305=""),"",IFERROR(INDEX(Vöruskrá!K:K,MATCH(B305,Vöruskrá!B:B,0))*C305/100000,""))</f>
        <v>3.3E-3</v>
      </c>
      <c r="I305" s="169">
        <f>IF(OR(B305="",C305=""),"",IFERROR(INDEX(Vöruskrá!L:L,MATCH(B305,Vöruskrá!B:B,0))*C305/100000,""))</f>
        <v>1E-3</v>
      </c>
      <c r="J305" s="169">
        <f>IF(OR(B305="",C305=""),"",IFERROR(INDEX(Vöruskrá!M:M,MATCH(B305,Vöruskrá!B:B,0))*C305/100000,""))</f>
        <v>6.5000000000000002E-2</v>
      </c>
      <c r="K305" s="169">
        <f>IF(OR(B305="",C305=""),"",IFERROR(INDEX(Vöruskrá!N:N,MATCH(B305,Vöruskrá!B:B,0))*C305/100000,""))</f>
        <v>5.9999999999999995E-4</v>
      </c>
      <c r="L305" s="169">
        <f>IF(OR(B305="",C305=""),"",IFERROR(INDEX(Vöruskrá!O:O,MATCH(B305,Vöruskrá!B:B,0))*C305/100000,""))</f>
        <v>1.0999999999999999E-2</v>
      </c>
      <c r="M305" s="169">
        <f>IF(OR(B305="",C305=""),"",IFERROR(INDEX(Vöruskrá!P:P,MATCH(B305,Vöruskrá!B:B,0))*C305/100000,""))</f>
        <v>1E-4</v>
      </c>
      <c r="N305" s="169">
        <f>IF(OR(B305="",C305=""),"",IFERROR(INDEX(Vöruskrá!Q:Q,MATCH(B305,Vöruskrá!B:B,0))*C305/100000,""))</f>
        <v>0</v>
      </c>
      <c r="O305" s="170">
        <f>IF(OR(B305="",C305=""),"",IFERROR(C305/1000*INDEX(Vöruskrá!R:R,MATCH(B305,Vöruskrá!B:B,0))/1000,""))</f>
        <v>0</v>
      </c>
      <c r="P305" s="173"/>
      <c r="Q305" s="157"/>
      <c r="R305" s="27"/>
    </row>
    <row r="306" spans="1:18" ht="15">
      <c r="A306" s="171"/>
      <c r="B306" s="171" t="s">
        <v>131</v>
      </c>
      <c r="C306" s="172">
        <v>10000</v>
      </c>
      <c r="D306" s="168" t="s">
        <v>133</v>
      </c>
      <c r="E306" s="168" t="s">
        <v>134</v>
      </c>
      <c r="F306" s="168"/>
      <c r="G306" s="169">
        <f>IF(OR(B306="",C306=""),"",IFERROR(INDEX(Vöruskrá!J:J,MATCH(B306,Vöruskrá!B:B,0))*C306/100000,""))</f>
        <v>29.5</v>
      </c>
      <c r="H306" s="169">
        <f>IF(OR(B306="",C306=""),"",IFERROR(INDEX(Vöruskrá!K:K,MATCH(B306,Vöruskrá!B:B,0))*C306/100000,""))</f>
        <v>3</v>
      </c>
      <c r="I306" s="169">
        <f>IF(OR(B306="",C306=""),"",IFERROR(INDEX(Vöruskrá!L:L,MATCH(B306,Vöruskrá!B:B,0))*C306/100000,""))</f>
        <v>2.5</v>
      </c>
      <c r="J306" s="169">
        <f>IF(OR(B306="",C306=""),"",IFERROR(INDEX(Vöruskrá!M:M,MATCH(B306,Vöruskrá!B:B,0))*C306/100000,""))</f>
        <v>0.62</v>
      </c>
      <c r="K306" s="169">
        <f>IF(OR(B306="",C306=""),"",IFERROR(INDEX(Vöruskrá!N:N,MATCH(B306,Vöruskrá!B:B,0))*C306/100000,""))</f>
        <v>0</v>
      </c>
      <c r="L306" s="169">
        <f>IF(OR(B306="",C306=""),"",IFERROR(INDEX(Vöruskrá!O:O,MATCH(B306,Vöruskrá!B:B,0))*C306/100000,""))</f>
        <v>0</v>
      </c>
      <c r="M306" s="169">
        <f>IF(OR(B306="",C306=""),"",IFERROR(INDEX(Vöruskrá!P:P,MATCH(B306,Vöruskrá!B:B,0))*C306/100000,""))</f>
        <v>0.01</v>
      </c>
      <c r="N306" s="169">
        <f>IF(OR(B306="",C306=""),"",IFERROR(INDEX(Vöruskrá!Q:Q,MATCH(B306,Vöruskrá!B:B,0))*C306/100000,""))</f>
        <v>0</v>
      </c>
      <c r="O306" s="170">
        <f>IF(OR(B306="",C306=""),"",IFERROR(C306/1000*INDEX(Vöruskrá!R:R,MATCH(B306,Vöruskrá!B:B,0))/1000,""))</f>
        <v>0</v>
      </c>
      <c r="P306" s="171"/>
      <c r="Q306" s="158"/>
      <c r="R306" s="6"/>
    </row>
    <row r="307" spans="1:18" ht="15">
      <c r="A307" s="173"/>
      <c r="B307" s="173" t="s">
        <v>1020</v>
      </c>
      <c r="C307" s="174">
        <v>5000</v>
      </c>
      <c r="D307" s="168" t="s">
        <v>1020</v>
      </c>
      <c r="E307" s="168" t="s">
        <v>134</v>
      </c>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7"/>
      <c r="R307" s="27"/>
    </row>
    <row r="308" spans="1:18" ht="15">
      <c r="A308" s="171"/>
      <c r="B308" s="171" t="s">
        <v>349</v>
      </c>
      <c r="C308" s="172">
        <v>1800</v>
      </c>
      <c r="D308" s="168" t="s">
        <v>351</v>
      </c>
      <c r="E308" s="168" t="s">
        <v>134</v>
      </c>
      <c r="F308" s="168"/>
      <c r="G308" s="169">
        <f>IF(OR(B308="",C308=""),"",IFERROR(INDEX(Vöruskrá!J:J,MATCH(B308,Vöruskrá!B:B,0))*C308/100000,""))</f>
        <v>6.39</v>
      </c>
      <c r="H308" s="169">
        <f>IF(OR(B308="",C308=""),"",IFERROR(INDEX(Vöruskrá!K:K,MATCH(B308,Vöruskrá!B:B,0))*C308/100000,""))</f>
        <v>8.9999999999999993E-3</v>
      </c>
      <c r="I308" s="169">
        <f>IF(OR(B308="",C308=""),"",IFERROR(INDEX(Vöruskrá!L:L,MATCH(B308,Vöruskrá!B:B,0))*C308/100000,""))</f>
        <v>0</v>
      </c>
      <c r="J308" s="169">
        <f>IF(OR(B308="",C308=""),"",IFERROR(INDEX(Vöruskrá!M:M,MATCH(B308,Vöruskrá!B:B,0))*C308/100000,""))</f>
        <v>1.548</v>
      </c>
      <c r="K308" s="169">
        <f>IF(OR(B308="",C308=""),"",IFERROR(INDEX(Vöruskrá!N:N,MATCH(B308,Vöruskrá!B:B,0))*C308/100000,""))</f>
        <v>0</v>
      </c>
      <c r="L308" s="169">
        <f>IF(OR(B308="",C308=""),"",IFERROR(INDEX(Vöruskrá!O:O,MATCH(B308,Vöruskrá!B:B,0))*C308/100000,""))</f>
        <v>8.9999999999999993E-3</v>
      </c>
      <c r="M308" s="169">
        <f>IF(OR(B308="",C308=""),"",IFERROR(INDEX(Vöruskrá!P:P,MATCH(B308,Vöruskrá!B:B,0))*C308/100000,""))</f>
        <v>0</v>
      </c>
      <c r="N308" s="169">
        <f>IF(OR(B308="",C308=""),"",IFERROR(INDEX(Vöruskrá!Q:Q,MATCH(B308,Vöruskrá!B:B,0))*C308/100000,""))</f>
        <v>1.7999999999999999E-2</v>
      </c>
      <c r="O308" s="170">
        <f>IF(OR(B308="",C308=""),"",IFERROR(C308/1000*INDEX(Vöruskrá!R:R,MATCH(B308,Vöruskrá!B:B,0))/1000,""))</f>
        <v>0</v>
      </c>
      <c r="P308" s="171"/>
      <c r="Q308" s="158"/>
      <c r="R308" s="6"/>
    </row>
    <row r="309" spans="1:18" ht="15">
      <c r="A309" s="173"/>
      <c r="B309" s="173" t="s">
        <v>1053</v>
      </c>
      <c r="C309" s="174">
        <v>400</v>
      </c>
      <c r="D309" s="168" t="s">
        <v>1054</v>
      </c>
      <c r="E309" s="168" t="s">
        <v>1055</v>
      </c>
      <c r="F309" s="168"/>
      <c r="G309" s="169">
        <f>IF(OR(B309="",C309=""),"",IFERROR(INDEX(Vöruskrá!J:J,MATCH(B309,Vöruskrá!B:B,0))*C309/100000,""))</f>
        <v>0.08</v>
      </c>
      <c r="H309" s="169">
        <f>IF(OR(B309="",C309=""),"",IFERROR(INDEX(Vöruskrá!K:K,MATCH(B309,Vöruskrá!B:B,0))*C309/100000,""))</f>
        <v>0</v>
      </c>
      <c r="I309" s="169">
        <f>IF(OR(B309="",C309=""),"",IFERROR(INDEX(Vöruskrá!L:L,MATCH(B309,Vöruskrá!B:B,0))*C309/100000,""))</f>
        <v>0</v>
      </c>
      <c r="J309" s="169">
        <f>IF(OR(B309="",C309=""),"",IFERROR(INDEX(Vöruskrá!M:M,MATCH(B309,Vöruskrá!B:B,0))*C309/100000,""))</f>
        <v>2.3999999999999998E-3</v>
      </c>
      <c r="K309" s="169">
        <f>IF(OR(B309="",C309=""),"",IFERROR(INDEX(Vöruskrá!N:N,MATCH(B309,Vöruskrá!B:B,0))*C309/100000,""))</f>
        <v>1.6000000000000001E-3</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7"/>
      <c r="R309" s="27"/>
    </row>
    <row r="310" spans="1:18" ht="15">
      <c r="A310" s="171"/>
      <c r="B310" s="171" t="s">
        <v>1125</v>
      </c>
      <c r="C310" s="172">
        <v>250</v>
      </c>
      <c r="D310" s="168" t="s">
        <v>1126</v>
      </c>
      <c r="E310" s="168" t="s">
        <v>1099</v>
      </c>
      <c r="F310" s="168"/>
      <c r="G310" s="169">
        <f>IF(OR(B310="",C310=""),"",IFERROR(INDEX(Vöruskrá!J:J,MATCH(B310,Vöruskrá!B:B,0))*C310/100000,""))</f>
        <v>1</v>
      </c>
      <c r="H310" s="169">
        <f>IF(OR(B310="",C310=""),"",IFERROR(INDEX(Vöruskrá!K:K,MATCH(B310,Vöruskrá!B:B,0))*C310/100000,""))</f>
        <v>0</v>
      </c>
      <c r="I310" s="169">
        <f>IF(OR(B310="",C310=""),"",IFERROR(INDEX(Vöruskrá!L:L,MATCH(B310,Vöruskrá!B:B,0))*C310/100000,""))</f>
        <v>0</v>
      </c>
      <c r="J310" s="169">
        <f>IF(OR(B310="",C310=""),"",IFERROR(INDEX(Vöruskrá!M:M,MATCH(B310,Vöruskrá!B:B,0))*C310/100000,""))</f>
        <v>0.25</v>
      </c>
      <c r="K310" s="169">
        <f>IF(OR(B310="",C310=""),"",IFERROR(INDEX(Vöruskrá!N:N,MATCH(B310,Vöruskrá!B:B,0))*C310/100000,""))</f>
        <v>0.25</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158"/>
      <c r="R310" s="6"/>
    </row>
    <row r="311" spans="1:18" ht="15">
      <c r="A311" s="173"/>
      <c r="B311" s="173" t="s">
        <v>1022</v>
      </c>
      <c r="C311" s="174">
        <v>60</v>
      </c>
      <c r="D311" s="168" t="s">
        <v>1023</v>
      </c>
      <c r="E311" s="168" t="s">
        <v>134</v>
      </c>
      <c r="F311" s="168" t="s">
        <v>1024</v>
      </c>
      <c r="G311" s="169">
        <f>IF(OR(B311="",C311=""),"",IFERROR(INDEX(Vöruskrá!J:J,MATCH(B311,Vöruskrá!B:B,0))*C311/100000,""))</f>
        <v>0.19500000000000001</v>
      </c>
      <c r="H311" s="169">
        <f>IF(OR(B311="",C311=""),"",IFERROR(INDEX(Vöruskrá!K:K,MATCH(B311,Vöruskrá!B:B,0))*C311/100000,""))</f>
        <v>8.3999999999999995E-3</v>
      </c>
      <c r="I311" s="169">
        <f>IF(OR(B311="",C311=""),"",IFERROR(INDEX(Vöruskrá!L:L,MATCH(B311,Vöruskrá!B:B,0))*C311/100000,""))</f>
        <v>1.1999999999999999E-3</v>
      </c>
      <c r="J311" s="169">
        <f>IF(OR(B311="",C311=""),"",IFERROR(INDEX(Vöruskrá!M:M,MATCH(B311,Vöruskrá!B:B,0))*C311/100000,""))</f>
        <v>3.3000000000000002E-2</v>
      </c>
      <c r="K311" s="169">
        <f>IF(OR(B311="",C311=""),"",IFERROR(INDEX(Vöruskrá!N:N,MATCH(B311,Vöruskrá!B:B,0))*C311/100000,""))</f>
        <v>1.6800000000000001E-3</v>
      </c>
      <c r="L311" s="169">
        <f>IF(OR(B311="",C311=""),"",IFERROR(INDEX(Vöruskrá!O:O,MATCH(B311,Vöruskrá!B:B,0))*C311/100000,""))</f>
        <v>8.3999999999999995E-3</v>
      </c>
      <c r="M311" s="169">
        <f>IF(OR(B311="",C311=""),"",IFERROR(INDEX(Vöruskrá!P:P,MATCH(B311,Vöruskrá!B:B,0))*C311/100000,""))</f>
        <v>6.0000000000000002E-5</v>
      </c>
      <c r="N311" s="169">
        <f>IF(OR(B311="",C311=""),"",IFERROR(INDEX(Vöruskrá!Q:Q,MATCH(B311,Vöruskrá!B:B,0))*C311/100000,""))</f>
        <v>1.9800000000000002E-2</v>
      </c>
      <c r="O311" s="170">
        <f>IF(OR(B311="",C311=""),"",IFERROR(C311/1000*INDEX(Vöruskrá!R:R,MATCH(B311,Vöruskrá!B:B,0))/1000,""))</f>
        <v>0</v>
      </c>
      <c r="P311" s="173"/>
      <c r="Q311" s="157"/>
      <c r="R311" s="27"/>
    </row>
    <row r="312" spans="1:18" ht="15">
      <c r="A312" s="171"/>
      <c r="B312" s="171" t="s">
        <v>1118</v>
      </c>
      <c r="C312" s="172">
        <v>50</v>
      </c>
      <c r="D312" s="168" t="s">
        <v>1119</v>
      </c>
      <c r="E312" s="168" t="s">
        <v>148</v>
      </c>
      <c r="F312" s="168" t="s">
        <v>1024</v>
      </c>
      <c r="G312" s="169">
        <f>IF(OR(B312="",C312=""),"",IFERROR(INDEX(Vöruskrá!J:J,MATCH(B312,Vöruskrá!B:B,0))*C312/100000,""))</f>
        <v>0.1275</v>
      </c>
      <c r="H312" s="169">
        <f>IF(OR(B312="",C312=""),"",IFERROR(INDEX(Vöruskrá!K:K,MATCH(B312,Vöruskrá!B:B,0))*C312/100000,""))</f>
        <v>1.65E-3</v>
      </c>
      <c r="I312" s="169">
        <f>IF(OR(B312="",C312=""),"",IFERROR(INDEX(Vöruskrá!L:L,MATCH(B312,Vöruskrá!B:B,0))*C312/100000,""))</f>
        <v>4.4999999999999999E-4</v>
      </c>
      <c r="J312" s="169">
        <f>IF(OR(B312="",C312=""),"",IFERROR(INDEX(Vöruskrá!M:M,MATCH(B312,Vöruskrá!B:B,0))*C312/100000,""))</f>
        <v>3.2000000000000001E-2</v>
      </c>
      <c r="K312" s="169">
        <f>IF(OR(B312="",C312=""),"",IFERROR(INDEX(Vöruskrá!N:N,MATCH(B312,Vöruskrá!B:B,0))*C312/100000,""))</f>
        <v>2.9999999999999997E-4</v>
      </c>
      <c r="L312" s="169">
        <f>IF(OR(B312="",C312=""),"",IFERROR(INDEX(Vöruskrá!O:O,MATCH(B312,Vöruskrá!B:B,0))*C312/100000,""))</f>
        <v>5.1999999999999998E-3</v>
      </c>
      <c r="M312" s="169">
        <f>IF(OR(B312="",C312=""),"",IFERROR(INDEX(Vöruskrá!P:P,MATCH(B312,Vöruskrá!B:B,0))*C312/100000,""))</f>
        <v>0</v>
      </c>
      <c r="N312" s="169">
        <f>IF(OR(B312="",C312=""),"",IFERROR(INDEX(Vöruskrá!Q:Q,MATCH(B312,Vöruskrá!B:B,0))*C312/100000,""))</f>
        <v>1.325E-2</v>
      </c>
      <c r="O312" s="170">
        <f>IF(OR(B312="",C312=""),"",IFERROR(C312/1000*INDEX(Vöruskrá!R:R,MATCH(B312,Vöruskrá!B:B,0))/1000,""))</f>
        <v>0</v>
      </c>
      <c r="P312" s="171"/>
      <c r="Q312" s="158"/>
      <c r="R312" s="6"/>
    </row>
    <row r="313" spans="1:18" ht="15">
      <c r="A313" s="173"/>
      <c r="B313" s="173" t="s">
        <v>812</v>
      </c>
      <c r="C313" s="174">
        <v>40</v>
      </c>
      <c r="D313" s="168" t="s">
        <v>813</v>
      </c>
      <c r="E313" s="168"/>
      <c r="F313" s="168" t="s">
        <v>311</v>
      </c>
      <c r="G313" s="169">
        <f>IF(OR(B313="",C313=""),"",IFERROR(INDEX(Vöruskrá!J:J,MATCH(B313,Vöruskrá!B:B,0))*C313/100000,""))</f>
        <v>0.214</v>
      </c>
      <c r="H313" s="169">
        <f>IF(OR(B313="",C313=""),"",IFERROR(INDEX(Vöruskrá!K:K,MATCH(B313,Vöruskrá!B:B,0))*C313/100000,""))</f>
        <v>1.44E-2</v>
      </c>
      <c r="I313" s="169">
        <f>IF(OR(B313="",C313=""),"",IFERROR(INDEX(Vöruskrá!L:L,MATCH(B313,Vöruskrá!B:B,0))*C313/100000,""))</f>
        <v>1.04E-2</v>
      </c>
      <c r="J313" s="169">
        <f>IF(OR(B313="",C313=""),"",IFERROR(INDEX(Vöruskrá!M:M,MATCH(B313,Vöruskrá!B:B,0))*C313/100000,""))</f>
        <v>1.7999999999999999E-2</v>
      </c>
      <c r="K313" s="169">
        <f>IF(OR(B313="",C313=""),"",IFERROR(INDEX(Vöruskrá!N:N,MATCH(B313,Vöruskrá!B:B,0))*C313/100000,""))</f>
        <v>9.1999999999999998E-3</v>
      </c>
      <c r="L313" s="169">
        <f>IF(OR(B313="",C313=""),"",IFERROR(INDEX(Vöruskrá!O:O,MATCH(B313,Vöruskrá!B:B,0))*C313/100000,""))</f>
        <v>2.32E-3</v>
      </c>
      <c r="M313" s="169">
        <f>IF(OR(B313="",C313=""),"",IFERROR(INDEX(Vöruskrá!P:P,MATCH(B313,Vöruskrá!B:B,0))*C313/100000,""))</f>
        <v>4.0000000000000003E-5</v>
      </c>
      <c r="N313" s="169">
        <f>IF(OR(B313="",C313=""),"",IFERROR(INDEX(Vöruskrá!Q:Q,MATCH(B313,Vöruskrá!B:B,0))*C313/100000,""))</f>
        <v>0</v>
      </c>
      <c r="O313" s="170">
        <f>IF(OR(B313="",C313=""),"",IFERROR(C313/1000*INDEX(Vöruskrá!R:R,MATCH(B313,Vöruskrá!B:B,0))/1000,""))</f>
        <v>0</v>
      </c>
      <c r="P313" s="173"/>
      <c r="Q313" s="201"/>
      <c r="R313" s="202"/>
    </row>
    <row r="314" spans="1:18" ht="48">
      <c r="A314" s="147" t="s">
        <v>1681</v>
      </c>
      <c r="B314" s="147"/>
      <c r="C314" s="148"/>
      <c r="D314" s="165" t="s">
        <v>1682</v>
      </c>
      <c r="E314" s="165" t="s">
        <v>621</v>
      </c>
      <c r="F314" s="165"/>
      <c r="G314" s="166">
        <v>98.88</v>
      </c>
      <c r="H314" s="166">
        <v>0.72</v>
      </c>
      <c r="I314" s="166">
        <v>0.11</v>
      </c>
      <c r="J314" s="166">
        <v>1.44</v>
      </c>
      <c r="K314" s="166"/>
      <c r="L314" s="166">
        <v>21.46</v>
      </c>
      <c r="M314" s="166">
        <v>1.19</v>
      </c>
      <c r="N314" s="166">
        <f>IFERROR(SUM(N315:N321)/(SUM($C$315:$C$321)/100000),"")</f>
        <v>0.34086599999999995</v>
      </c>
      <c r="O314" s="167" t="str">
        <f>IF(OR(B314="",C314=""),"",IFERROR(C314/1000*INDEX(Vöruskrá!R:R,MATCH(B314,Vöruskrá!B:B,0))/1000,""))</f>
        <v/>
      </c>
      <c r="P314" s="196" t="s">
        <v>1683</v>
      </c>
      <c r="Q314" s="199" t="s">
        <v>1684</v>
      </c>
      <c r="R314" s="198" t="s">
        <v>1685</v>
      </c>
    </row>
    <row r="315" spans="1:18" ht="15">
      <c r="A315" s="171"/>
      <c r="B315" s="171" t="s">
        <v>926</v>
      </c>
      <c r="C315" s="172">
        <v>91324</v>
      </c>
      <c r="D315" s="168" t="s">
        <v>926</v>
      </c>
      <c r="E315" s="168" t="s">
        <v>621</v>
      </c>
      <c r="F315" s="168"/>
      <c r="G315" s="169">
        <f>IF(OR(B315="",C315=""),"",IFERROR(INDEX(Vöruskrá!J:J,MATCH(B315,Vöruskrá!B:B,0))*C315/100000,""))</f>
        <v>91.323999999999998</v>
      </c>
      <c r="H315" s="169">
        <f>IF(OR(B315="",C315=""),"",IFERROR(INDEX(Vöruskrá!K:K,MATCH(B315,Vöruskrá!B:B,0))*C315/100000,""))</f>
        <v>0.63926799999999995</v>
      </c>
      <c r="I315" s="169">
        <f>IF(OR(B315="",C315=""),"",IFERROR(INDEX(Vöruskrá!L:L,MATCH(B315,Vöruskrá!B:B,0))*C315/100000,""))</f>
        <v>9.1324000000000002E-2</v>
      </c>
      <c r="J315" s="169">
        <f>IF(OR(B315="",C315=""),"",IFERROR(INDEX(Vöruskrá!M:M,MATCH(B315,Vöruskrá!B:B,0))*C315/100000,""))</f>
        <v>0</v>
      </c>
      <c r="K315" s="169">
        <f>IF(OR(B315="",C315=""),"",IFERROR(INDEX(Vöruskrá!N:N,MATCH(B315,Vöruskrá!B:B,0))*C315/100000,""))</f>
        <v>0</v>
      </c>
      <c r="L315" s="169">
        <f>IF(OR(B315="",C315=""),"",IFERROR(INDEX(Vöruskrá!O:O,MATCH(B315,Vöruskrá!B:B,0))*C315/100000,""))</f>
        <v>21.004519999999999</v>
      </c>
      <c r="M315" s="169">
        <f>IF(OR(B315="",C315=""),"",IFERROR(INDEX(Vöruskrá!P:P,MATCH(B315,Vöruskrá!B:B,0))*C315/100000,""))</f>
        <v>0.27397199999999999</v>
      </c>
      <c r="N315" s="169">
        <f>IF(OR(B315="",C315=""),"",IFERROR(INDEX(Vöruskrá!Q:Q,MATCH(B315,Vöruskrá!B:B,0))*C315/100000,""))</f>
        <v>0</v>
      </c>
      <c r="O315" s="170">
        <f>IF(OR(B315="",C315=""),"",IFERROR(C315/1000*INDEX(Vöruskrá!R:R,MATCH(B315,Vöruskrá!B:B,0))/1000,""))</f>
        <v>0</v>
      </c>
      <c r="P315" s="171"/>
      <c r="Q315" s="203"/>
      <c r="R315" s="204"/>
    </row>
    <row r="316" spans="1:18" ht="15">
      <c r="A316" s="173"/>
      <c r="B316" s="173" t="s">
        <v>1017</v>
      </c>
      <c r="C316" s="174">
        <v>1712</v>
      </c>
      <c r="D316" s="168" t="s">
        <v>1017</v>
      </c>
      <c r="E316" s="168" t="s">
        <v>134</v>
      </c>
      <c r="F316" s="168"/>
      <c r="G316" s="169">
        <f>IF(OR(B316="",C316=""),"",IFERROR(INDEX(Vöruskrá!J:J,MATCH(B316,Vöruskrá!B:B,0))*C316/100000,""))</f>
        <v>2.5508799999999998</v>
      </c>
      <c r="H316" s="169">
        <f>IF(OR(B316="",C316=""),"",IFERROR(INDEX(Vöruskrá!K:K,MATCH(B316,Vöruskrá!B:B,0))*C316/100000,""))</f>
        <v>8.5599999999999999E-3</v>
      </c>
      <c r="I316" s="169">
        <f>IF(OR(B316="",C316=""),"",IFERROR(INDEX(Vöruskrá!L:L,MATCH(B316,Vöruskrá!B:B,0))*C316/100000,""))</f>
        <v>1.7120000000000002E-3</v>
      </c>
      <c r="J316" s="169">
        <f>IF(OR(B316="",C316=""),"",IFERROR(INDEX(Vöruskrá!M:M,MATCH(B316,Vöruskrá!B:B,0))*C316/100000,""))</f>
        <v>0.56667200000000006</v>
      </c>
      <c r="K316" s="169">
        <f>IF(OR(B316="",C316=""),"",IFERROR(INDEX(Vöruskrá!N:N,MATCH(B316,Vöruskrá!B:B,0))*C316/100000,""))</f>
        <v>1.712E-2</v>
      </c>
      <c r="L316" s="169">
        <f>IF(OR(B316="",C316=""),"",IFERROR(INDEX(Vöruskrá!O:O,MATCH(B316,Vöruskrá!B:B,0))*C316/100000,""))</f>
        <v>0.10956800000000001</v>
      </c>
      <c r="M316" s="169">
        <f>IF(OR(B316="",C316=""),"",IFERROR(INDEX(Vöruskrá!P:P,MATCH(B316,Vöruskrá!B:B,0))*C316/100000,""))</f>
        <v>0</v>
      </c>
      <c r="N316" s="169">
        <f>IF(OR(B316="",C316=""),"",IFERROR(INDEX(Vöruskrá!Q:Q,MATCH(B316,Vöruskrá!B:B,0))*C316/100000,""))</f>
        <v>3.5952000000000005E-2</v>
      </c>
      <c r="O316" s="170">
        <f>IF(OR(B316="",C316=""),"",IFERROR(C316/1000*INDEX(Vöruskrá!R:R,MATCH(B316,Vöruskrá!B:B,0))/1000,""))</f>
        <v>0</v>
      </c>
      <c r="P316" s="173"/>
      <c r="Q316" s="158"/>
      <c r="R316" s="6"/>
    </row>
    <row r="317" spans="1:18" ht="15">
      <c r="A317" s="171"/>
      <c r="B317" s="171" t="s">
        <v>1467</v>
      </c>
      <c r="C317" s="172">
        <v>3425</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833</v>
      </c>
      <c r="C318" s="174">
        <v>1142</v>
      </c>
      <c r="D318" s="168" t="s">
        <v>835</v>
      </c>
      <c r="E318" s="168"/>
      <c r="F318" s="168"/>
      <c r="G318" s="169">
        <f>IF(OR(B318="",C318=""),"",IFERROR(INDEX(Vöruskrá!J:J,MATCH(B318,Vöruskrá!B:B,0))*C318/100000,""))</f>
        <v>0.35402</v>
      </c>
      <c r="H318" s="169">
        <f>IF(OR(B318="",C318=""),"",IFERROR(INDEX(Vöruskrá!K:K,MATCH(B318,Vöruskrá!B:B,0))*C318/100000,""))</f>
        <v>2.284E-3</v>
      </c>
      <c r="I318" s="169">
        <f>IF(OR(B318="",C318=""),"",IFERROR(INDEX(Vöruskrá!L:L,MATCH(B318,Vöruskrá!B:B,0))*C318/100000,""))</f>
        <v>0</v>
      </c>
      <c r="J318" s="169">
        <f>IF(OR(B318="",C318=""),"",IFERROR(INDEX(Vöruskrá!M:M,MATCH(B318,Vöruskrá!B:B,0))*C318/100000,""))</f>
        <v>7.8798000000000007E-2</v>
      </c>
      <c r="K318" s="169">
        <f>IF(OR(B318="",C318=""),"",IFERROR(INDEX(Vöruskrá!N:N,MATCH(B318,Vöruskrá!B:B,0))*C318/100000,""))</f>
        <v>2.7407999999999998E-2</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1030</v>
      </c>
      <c r="C319" s="172">
        <v>1142</v>
      </c>
      <c r="D319" s="168" t="s">
        <v>1032</v>
      </c>
      <c r="E319" s="168" t="s">
        <v>134</v>
      </c>
      <c r="F319" s="168" t="s">
        <v>1024</v>
      </c>
      <c r="G319" s="169">
        <f>IF(OR(B319="",C319=""),"",IFERROR(INDEX(Vöruskrá!J:J,MATCH(B319,Vöruskrá!B:B,0))*C319/100000,""))</f>
        <v>3.3346399999999998</v>
      </c>
      <c r="H319" s="169">
        <f>IF(OR(B319="",C319=""),"",IFERROR(INDEX(Vöruskrá!K:K,MATCH(B319,Vöruskrá!B:B,0))*C319/100000,""))</f>
        <v>6.2810000000000005E-2</v>
      </c>
      <c r="I319" s="169">
        <f>IF(OR(B319="",C319=""),"",IFERROR(INDEX(Vöruskrá!L:L,MATCH(B319,Vöruskrá!B:B,0))*C319/100000,""))</f>
        <v>1.0277999999999999E-2</v>
      </c>
      <c r="J319" s="169">
        <f>IF(OR(B319="",C319=""),"",IFERROR(INDEX(Vöruskrá!M:M,MATCH(B319,Vöruskrá!B:B,0))*C319/100000,""))</f>
        <v>0.57099999999999995</v>
      </c>
      <c r="K319" s="169">
        <f>IF(OR(B319="",C319=""),"",IFERROR(INDEX(Vöruskrá!N:N,MATCH(B319,Vöruskrá!B:B,0))*C319/100000,""))</f>
        <v>4.5679999999999998E-2</v>
      </c>
      <c r="L319" s="169">
        <f>IF(OR(B319="",C319=""),"",IFERROR(INDEX(Vöruskrá!O:O,MATCH(B319,Vöruskrá!B:B,0))*C319/100000,""))</f>
        <v>0.30377199999999999</v>
      </c>
      <c r="M319" s="169">
        <f>IF(OR(B319="",C319=""),"",IFERROR(INDEX(Vöruskrá!P:P,MATCH(B319,Vöruskrá!B:B,0))*C319/100000,""))</f>
        <v>1.142E-3</v>
      </c>
      <c r="N319" s="169">
        <f>IF(OR(B319="",C319=""),"",IFERROR(INDEX(Vöruskrá!Q:Q,MATCH(B319,Vöruskrá!B:B,0))*C319/100000,""))</f>
        <v>0.30491399999999996</v>
      </c>
      <c r="O319" s="170">
        <f>IF(OR(B319="",C319=""),"",IFERROR(C319/1000*INDEX(Vöruskrá!R:R,MATCH(B319,Vöruskrá!B:B,0))/1000,""))</f>
        <v>0</v>
      </c>
      <c r="P319" s="171"/>
      <c r="Q319" s="157"/>
      <c r="R319" s="27"/>
    </row>
    <row r="320" spans="1:18" ht="15">
      <c r="A320" s="173"/>
      <c r="B320" s="173" t="s">
        <v>299</v>
      </c>
      <c r="C320" s="174">
        <v>913</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0.91300000000000003</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819</v>
      </c>
      <c r="C321" s="172">
        <v>342</v>
      </c>
      <c r="D321" s="168" t="s">
        <v>820</v>
      </c>
      <c r="E321" s="168"/>
      <c r="F321" s="168" t="s">
        <v>311</v>
      </c>
      <c r="G321" s="169">
        <f>IF(OR(B321="",C321=""),"",IFERROR(INDEX(Vöruskrá!J:J,MATCH(B321,Vöruskrá!B:B,0))*C321/100000,""))</f>
        <v>1.32012</v>
      </c>
      <c r="H321" s="169">
        <f>IF(OR(B321="",C321=""),"",IFERROR(INDEX(Vöruskrá!K:K,MATCH(B321,Vöruskrá!B:B,0))*C321/100000,""))</f>
        <v>1.1285999999999999E-2</v>
      </c>
      <c r="I321" s="169">
        <f>IF(OR(B321="",C321=""),"",IFERROR(INDEX(Vöruskrá!L:L,MATCH(B321,Vöruskrá!B:B,0))*C321/100000,""))</f>
        <v>3.4199999999999999E-3</v>
      </c>
      <c r="J321" s="169">
        <f>IF(OR(B321="",C321=""),"",IFERROR(INDEX(Vöruskrá!M:M,MATCH(B321,Vöruskrá!B:B,0))*C321/100000,""))</f>
        <v>0.2223</v>
      </c>
      <c r="K321" s="169">
        <f>IF(OR(B321="",C321=""),"",IFERROR(INDEX(Vöruskrá!N:N,MATCH(B321,Vöruskrá!B:B,0))*C321/100000,""))</f>
        <v>2.052E-3</v>
      </c>
      <c r="L321" s="169">
        <f>IF(OR(B321="",C321=""),"",IFERROR(INDEX(Vöruskrá!O:O,MATCH(B321,Vöruskrá!B:B,0))*C321/100000,""))</f>
        <v>3.7620000000000001E-2</v>
      </c>
      <c r="M321" s="169">
        <f>IF(OR(B321="",C321=""),"",IFERROR(INDEX(Vöruskrá!P:P,MATCH(B321,Vöruskrá!B:B,0))*C321/100000,""))</f>
        <v>3.4200000000000002E-4</v>
      </c>
      <c r="N321" s="169">
        <f>IF(OR(B321="",C321=""),"",IFERROR(INDEX(Vöruskrá!Q:Q,MATCH(B321,Vöruskrá!B:B,0))*C321/100000,""))</f>
        <v>0</v>
      </c>
      <c r="O321" s="170">
        <f>IF(OR(B321="",C321=""),"",IFERROR(C321/1000*INDEX(Vöruskrá!R:R,MATCH(B321,Vöruskrá!B:B,0))/1000,""))</f>
        <v>0</v>
      </c>
      <c r="P321" s="171"/>
      <c r="Q321" s="201"/>
      <c r="R321" s="202"/>
    </row>
    <row r="322" spans="1:18" ht="48">
      <c r="A322" s="147" t="s">
        <v>1686</v>
      </c>
      <c r="B322" s="147"/>
      <c r="C322" s="148"/>
      <c r="D322" s="165" t="s">
        <v>1687</v>
      </c>
      <c r="E322" s="165" t="s">
        <v>1622</v>
      </c>
      <c r="F322" s="165"/>
      <c r="G322" s="166">
        <v>122.36</v>
      </c>
      <c r="H322" s="166">
        <v>5.47</v>
      </c>
      <c r="I322" s="166">
        <v>0.48</v>
      </c>
      <c r="J322" s="166">
        <v>3.27</v>
      </c>
      <c r="K322" s="166"/>
      <c r="L322" s="166">
        <v>17.82</v>
      </c>
      <c r="M322" s="166">
        <v>1.01</v>
      </c>
      <c r="N322" s="166">
        <f>IFERROR(SUM(N323:N329)/(SUM($C$323:$C$329)/100000),"")</f>
        <v>0</v>
      </c>
      <c r="O322" s="167" t="str">
        <f>IF(OR(B322="",C322=""),"",IFERROR(C322/1000*INDEX(Vöruskrá!R:R,MATCH(B322,Vöruskrá!B:B,0))/1000,""))</f>
        <v/>
      </c>
      <c r="P322" s="196" t="s">
        <v>1688</v>
      </c>
      <c r="Q322" s="195" t="s">
        <v>1689</v>
      </c>
      <c r="R322" s="194" t="s">
        <v>1690</v>
      </c>
    </row>
    <row r="323" spans="1:18" ht="15">
      <c r="A323" s="171"/>
      <c r="B323" s="171" t="s">
        <v>926</v>
      </c>
      <c r="C323" s="172">
        <v>77071</v>
      </c>
      <c r="D323" s="168" t="s">
        <v>926</v>
      </c>
      <c r="E323" s="168" t="s">
        <v>621</v>
      </c>
      <c r="F323" s="168"/>
      <c r="G323" s="169">
        <f>IF(OR(B323="",C323=""),"",IFERROR(INDEX(Vöruskrá!J:J,MATCH(B323,Vöruskrá!B:B,0))*C323/100000,""))</f>
        <v>77.070999999999998</v>
      </c>
      <c r="H323" s="169">
        <f>IF(OR(B323="",C323=""),"",IFERROR(INDEX(Vöruskrá!K:K,MATCH(B323,Vöruskrá!B:B,0))*C323/100000,""))</f>
        <v>0.539497</v>
      </c>
      <c r="I323" s="169">
        <f>IF(OR(B323="",C323=""),"",IFERROR(INDEX(Vöruskrá!L:L,MATCH(B323,Vöruskrá!B:B,0))*C323/100000,""))</f>
        <v>7.7071000000000001E-2</v>
      </c>
      <c r="J323" s="169">
        <f>IF(OR(B323="",C323=""),"",IFERROR(INDEX(Vöruskrá!M:M,MATCH(B323,Vöruskrá!B:B,0))*C323/100000,""))</f>
        <v>0</v>
      </c>
      <c r="K323" s="169">
        <f>IF(OR(B323="",C323=""),"",IFERROR(INDEX(Vöruskrá!N:N,MATCH(B323,Vöruskrá!B:B,0))*C323/100000,""))</f>
        <v>0</v>
      </c>
      <c r="L323" s="169">
        <f>IF(OR(B323="",C323=""),"",IFERROR(INDEX(Vöruskrá!O:O,MATCH(B323,Vöruskrá!B:B,0))*C323/100000,""))</f>
        <v>17.726330000000001</v>
      </c>
      <c r="M323" s="169">
        <f>IF(OR(B323="",C323=""),"",IFERROR(INDEX(Vöruskrá!P:P,MATCH(B323,Vöruskrá!B:B,0))*C323/100000,""))</f>
        <v>0.231213</v>
      </c>
      <c r="N323" s="169">
        <f>IF(OR(B323="",C323=""),"",IFERROR(INDEX(Vöruskrá!Q:Q,MATCH(B323,Vöruskrá!B:B,0))*C323/100000,""))</f>
        <v>0</v>
      </c>
      <c r="O323" s="170">
        <f>IF(OR(B323="",C323=""),"",IFERROR(C323/1000*INDEX(Vöruskrá!R:R,MATCH(B323,Vöruskrá!B:B,0))/1000,""))</f>
        <v>0</v>
      </c>
      <c r="P323" s="171"/>
      <c r="Q323" s="203"/>
      <c r="R323" s="204"/>
    </row>
    <row r="324" spans="1:18" ht="15">
      <c r="A324" s="173"/>
      <c r="B324" s="173" t="s">
        <v>1465</v>
      </c>
      <c r="C324" s="174">
        <v>4817</v>
      </c>
      <c r="D324" s="168"/>
      <c r="E324" s="168"/>
      <c r="F324" s="168"/>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3"/>
      <c r="Q324" s="158"/>
      <c r="R324" s="6"/>
    </row>
    <row r="325" spans="1:18" ht="15">
      <c r="A325" s="171"/>
      <c r="B325" s="171" t="s">
        <v>1463</v>
      </c>
      <c r="C325" s="172">
        <v>4817</v>
      </c>
      <c r="D325" s="168"/>
      <c r="E325" s="168"/>
      <c r="F325" s="168"/>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1"/>
      <c r="Q325" s="157"/>
      <c r="R325" s="27"/>
    </row>
    <row r="326" spans="1:18" ht="15">
      <c r="A326" s="173"/>
      <c r="B326" s="173" t="s">
        <v>849</v>
      </c>
      <c r="C326" s="174">
        <v>2890</v>
      </c>
      <c r="D326" s="168" t="s">
        <v>850</v>
      </c>
      <c r="E326" s="168" t="s">
        <v>120</v>
      </c>
      <c r="F326" s="168"/>
      <c r="G326" s="169">
        <f>IF(OR(B326="",C326=""),"",IFERROR(INDEX(Vöruskrá!J:J,MATCH(B326,Vöruskrá!B:B,0))*C326/100000,""))</f>
        <v>1.9362999999999999</v>
      </c>
      <c r="H326" s="169">
        <f>IF(OR(B326="",C326=""),"",IFERROR(INDEX(Vöruskrá!K:K,MATCH(B326,Vöruskrá!B:B,0))*C326/100000,""))</f>
        <v>0.11271</v>
      </c>
      <c r="I326" s="169">
        <f>IF(OR(B326="",C326=""),"",IFERROR(INDEX(Vöruskrá!L:L,MATCH(B326,Vöruskrá!B:B,0))*C326/100000,""))</f>
        <v>6.6469999999999987E-2</v>
      </c>
      <c r="J326" s="169">
        <f>IF(OR(B326="",C326=""),"",IFERROR(INDEX(Vöruskrá!M:M,MATCH(B326,Vöruskrá!B:B,0))*C326/100000,""))</f>
        <v>0.13583000000000001</v>
      </c>
      <c r="K326" s="169">
        <f>IF(OR(B326="",C326=""),"",IFERROR(INDEX(Vöruskrá!N:N,MATCH(B326,Vöruskrá!B:B,0))*C326/100000,""))</f>
        <v>0.13583000000000001</v>
      </c>
      <c r="L326" s="169">
        <f>IF(OR(B326="",C326=""),"",IFERROR(INDEX(Vöruskrá!O:O,MATCH(B326,Vöruskrá!B:B,0))*C326/100000,""))</f>
        <v>9.5369999999999996E-2</v>
      </c>
      <c r="M326" s="169">
        <f>IF(OR(B326="",C326=""),"",IFERROR(INDEX(Vöruskrá!P:P,MATCH(B326,Vöruskrá!B:B,0))*C326/100000,""))</f>
        <v>2.8900000000000002E-3</v>
      </c>
      <c r="N326" s="169">
        <f>IF(OR(B326="",C326=""),"",IFERROR(INDEX(Vöruskrá!Q:Q,MATCH(B326,Vöruskrá!B:B,0))*C326/100000,""))</f>
        <v>0</v>
      </c>
      <c r="O326" s="170">
        <f>IF(OR(B326="",C326=""),"",IFERROR(C326/1000*INDEX(Vöruskrá!R:R,MATCH(B326,Vöruskrá!B:B,0))/1000,""))</f>
        <v>0</v>
      </c>
      <c r="P326" s="173"/>
      <c r="Q326" s="158"/>
      <c r="R326" s="6"/>
    </row>
    <row r="327" spans="1:18" ht="15">
      <c r="A327" s="171"/>
      <c r="B327" s="171" t="s">
        <v>1466</v>
      </c>
      <c r="C327" s="172">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7"/>
      <c r="R327" s="27"/>
    </row>
    <row r="328" spans="1:18" ht="15">
      <c r="A328" s="173"/>
      <c r="B328" s="173" t="s">
        <v>299</v>
      </c>
      <c r="C328" s="174">
        <v>771</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0.77100000000000002</v>
      </c>
      <c r="N328" s="169">
        <f>IF(OR(B328="",C328=""),"",IFERROR(INDEX(Vöruskrá!Q:Q,MATCH(B328,Vöruskrá!B:B,0))*C328/100000,""))</f>
        <v>0</v>
      </c>
      <c r="O328" s="170">
        <f>IF(OR(B328="",C328=""),"",IFERROR(C328/1000*INDEX(Vöruskrá!R:R,MATCH(B328,Vöruskrá!B:B,0))/1000,""))</f>
        <v>0</v>
      </c>
      <c r="P328" s="173"/>
      <c r="Q328" s="158"/>
      <c r="R328" s="6"/>
    </row>
    <row r="329" spans="1:18" ht="15">
      <c r="A329" s="171"/>
      <c r="B329" s="171" t="s">
        <v>1270</v>
      </c>
      <c r="C329" s="172">
        <v>4817</v>
      </c>
      <c r="D329" s="168" t="s">
        <v>1270</v>
      </c>
      <c r="E329" s="168" t="s">
        <v>134</v>
      </c>
      <c r="F329" s="168"/>
      <c r="G329" s="169">
        <f>IF(OR(B329="",C329=""),"",IFERROR(INDEX(Vöruskrá!J:J,MATCH(B329,Vöruskrá!B:B,0))*C329/100000,""))</f>
        <v>43.353000000000002</v>
      </c>
      <c r="H329" s="169">
        <f>IF(OR(B329="",C329=""),"",IFERROR(INDEX(Vöruskrá!K:K,MATCH(B329,Vöruskrá!B:B,0))*C329/100000,""))</f>
        <v>4.8170000000000002</v>
      </c>
      <c r="I329" s="169">
        <f>IF(OR(B329="",C329=""),"",IFERROR(INDEX(Vöruskrá!L:L,MATCH(B329,Vöruskrá!B:B,0))*C329/100000,""))</f>
        <v>0.33718999999999999</v>
      </c>
      <c r="J329" s="169">
        <f>IF(OR(B329="",C329=""),"",IFERROR(INDEX(Vöruskrá!M:M,MATCH(B329,Vöruskrá!B:B,0))*C329/100000,""))</f>
        <v>3.1310500000000001</v>
      </c>
      <c r="K329" s="169">
        <f>IF(OR(B329="",C329=""),"",IFERROR(INDEX(Vöruskrá!N:N,MATCH(B329,Vöruskrá!B:B,0))*C329/100000,""))</f>
        <v>1.324675</v>
      </c>
      <c r="L329" s="169">
        <f>IF(OR(B329="",C329=""),"",IFERROR(INDEX(Vöruskrá!O:O,MATCH(B329,Vöruskrá!B:B,0))*C329/100000,""))</f>
        <v>0</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1"/>
      <c r="Q329" s="201"/>
      <c r="R329" s="202"/>
    </row>
    <row r="330" spans="1:18" ht="48">
      <c r="A330" s="147" t="s">
        <v>1691</v>
      </c>
      <c r="B330" s="147"/>
      <c r="C330" s="148"/>
      <c r="D330" s="165" t="s">
        <v>1692</v>
      </c>
      <c r="E330" s="165" t="s">
        <v>621</v>
      </c>
      <c r="F330" s="165"/>
      <c r="G330" s="166">
        <v>100.06</v>
      </c>
      <c r="H330" s="166">
        <v>0.93</v>
      </c>
      <c r="I330" s="166">
        <v>0.13</v>
      </c>
      <c r="J330" s="166">
        <v>1.55</v>
      </c>
      <c r="K330" s="166"/>
      <c r="L330" s="166">
        <v>21.38</v>
      </c>
      <c r="M330" s="166">
        <v>1.19</v>
      </c>
      <c r="N330" s="166">
        <f>IFERROR(SUM(N331:N338)/(SUM($C$331:$C$338)/100000),"")</f>
        <v>0.48363216367836315</v>
      </c>
      <c r="O330" s="167" t="str">
        <f>IF(OR(B330="",C330=""),"",IFERROR(C330/1000*INDEX(Vöruskrá!R:R,MATCH(B330,Vöruskrá!B:B,0))/1000,""))</f>
        <v/>
      </c>
      <c r="P330" s="196" t="s">
        <v>1693</v>
      </c>
      <c r="Q330" s="199" t="s">
        <v>1694</v>
      </c>
      <c r="R330" s="198" t="s">
        <v>1695</v>
      </c>
    </row>
    <row r="331" spans="1:18" ht="15">
      <c r="A331" s="171"/>
      <c r="B331" s="171" t="s">
        <v>926</v>
      </c>
      <c r="C331" s="172">
        <v>91324</v>
      </c>
      <c r="D331" s="168" t="s">
        <v>926</v>
      </c>
      <c r="E331" s="168" t="s">
        <v>621</v>
      </c>
      <c r="F331" s="168"/>
      <c r="G331" s="169">
        <f>IF(OR(B331="",C331=""),"",IFERROR(INDEX(Vöruskrá!J:J,MATCH(B331,Vöruskrá!B:B,0))*C331/100000,""))</f>
        <v>91.323999999999998</v>
      </c>
      <c r="H331" s="169">
        <f>IF(OR(B331="",C331=""),"",IFERROR(INDEX(Vöruskrá!K:K,MATCH(B331,Vöruskrá!B:B,0))*C331/100000,""))</f>
        <v>0.63926799999999995</v>
      </c>
      <c r="I331" s="169">
        <f>IF(OR(B331="",C331=""),"",IFERROR(INDEX(Vöruskrá!L:L,MATCH(B331,Vöruskrá!B:B,0))*C331/100000,""))</f>
        <v>9.1324000000000002E-2</v>
      </c>
      <c r="J331" s="169">
        <f>IF(OR(B331="",C331=""),"",IFERROR(INDEX(Vöruskrá!M:M,MATCH(B331,Vöruskrá!B:B,0))*C331/100000,""))</f>
        <v>0</v>
      </c>
      <c r="K331" s="169">
        <f>IF(OR(B331="",C331=""),"",IFERROR(INDEX(Vöruskrá!N:N,MATCH(B331,Vöruskrá!B:B,0))*C331/100000,""))</f>
        <v>0</v>
      </c>
      <c r="L331" s="169">
        <f>IF(OR(B331="",C331=""),"",IFERROR(INDEX(Vöruskrá!O:O,MATCH(B331,Vöruskrá!B:B,0))*C331/100000,""))</f>
        <v>21.004519999999999</v>
      </c>
      <c r="M331" s="169">
        <f>IF(OR(B331="",C331=""),"",IFERROR(INDEX(Vöruskrá!P:P,MATCH(B331,Vöruskrá!B:B,0))*C331/100000,""))</f>
        <v>0.27397199999999999</v>
      </c>
      <c r="N331" s="169">
        <f>IF(OR(B331="",C331=""),"",IFERROR(INDEX(Vöruskrá!Q:Q,MATCH(B331,Vöruskrá!B:B,0))*C331/100000,""))</f>
        <v>0</v>
      </c>
      <c r="O331" s="170">
        <f>IF(OR(B331="",C331=""),"",IFERROR(C331/1000*INDEX(Vöruskrá!R:R,MATCH(B331,Vöruskrá!B:B,0))/1000,""))</f>
        <v>0</v>
      </c>
      <c r="P331" s="171"/>
      <c r="Q331" s="203"/>
      <c r="R331" s="204"/>
    </row>
    <row r="332" spans="1:18" ht="15">
      <c r="A332" s="173"/>
      <c r="B332" s="173" t="s">
        <v>1026</v>
      </c>
      <c r="C332" s="174">
        <v>1142</v>
      </c>
      <c r="D332" s="168" t="s">
        <v>1027</v>
      </c>
      <c r="E332" s="168" t="s">
        <v>134</v>
      </c>
      <c r="F332" s="168" t="s">
        <v>1024</v>
      </c>
      <c r="G332" s="169">
        <f>IF(OR(B332="",C332=""),"",IFERROR(INDEX(Vöruskrá!J:J,MATCH(B332,Vöruskrá!B:B,0))*C332/100000,""))</f>
        <v>3.22044</v>
      </c>
      <c r="H332" s="169">
        <f>IF(OR(B332="",C332=""),"",IFERROR(INDEX(Vöruskrá!K:K,MATCH(B332,Vöruskrá!B:B,0))*C332/100000,""))</f>
        <v>0.14846000000000001</v>
      </c>
      <c r="I332" s="169">
        <f>IF(OR(B332="",C332=""),"",IFERROR(INDEX(Vöruskrá!L:L,MATCH(B332,Vöruskrá!B:B,0))*C332/100000,""))</f>
        <v>2.2839999999999999E-2</v>
      </c>
      <c r="J332" s="169">
        <f>IF(OR(B332="",C332=""),"",IFERROR(INDEX(Vöruskrá!M:M,MATCH(B332,Vöruskrá!B:B,0))*C332/100000,""))</f>
        <v>0.61668000000000001</v>
      </c>
      <c r="K332" s="169">
        <f>IF(OR(B332="",C332=""),"",IFERROR(INDEX(Vöruskrá!N:N,MATCH(B332,Vöruskrá!B:B,0))*C332/100000,""))</f>
        <v>0.1142</v>
      </c>
      <c r="L332" s="169">
        <f>IF(OR(B332="",C332=""),"",IFERROR(INDEX(Vöruskrá!O:O,MATCH(B332,Vöruskrá!B:B,0))*C332/100000,""))</f>
        <v>0.15987999999999999</v>
      </c>
      <c r="M332" s="169">
        <f>IF(OR(B332="",C332=""),"",IFERROR(INDEX(Vöruskrá!P:P,MATCH(B332,Vöruskrá!B:B,0))*C332/100000,""))</f>
        <v>1.142E-3</v>
      </c>
      <c r="N332" s="169">
        <f>IF(OR(B332="",C332=""),"",IFERROR(INDEX(Vöruskrá!Q:Q,MATCH(B332,Vöruskrá!B:B,0))*C332/100000,""))</f>
        <v>0.3997</v>
      </c>
      <c r="O332" s="170">
        <f>IF(OR(B332="",C332=""),"",IFERROR(C332/1000*INDEX(Vöruskrá!R:R,MATCH(B332,Vöruskrá!B:B,0))/1000,""))</f>
        <v>0</v>
      </c>
      <c r="P332" s="173"/>
      <c r="Q332" s="158"/>
      <c r="R332" s="6"/>
    </row>
    <row r="333" spans="1:18" ht="15">
      <c r="A333" s="171"/>
      <c r="B333" s="171" t="s">
        <v>1062</v>
      </c>
      <c r="C333" s="172">
        <v>571</v>
      </c>
      <c r="D333" s="168" t="s">
        <v>1063</v>
      </c>
      <c r="E333" s="168" t="s">
        <v>134</v>
      </c>
      <c r="F333" s="168" t="s">
        <v>1024</v>
      </c>
      <c r="G333" s="169">
        <f>IF(OR(B333="",C333=""),"",IFERROR(INDEX(Vöruskrá!J:J,MATCH(B333,Vöruskrá!B:B,0))*C333/100000,""))</f>
        <v>2.1412499999999999</v>
      </c>
      <c r="H333" s="169">
        <f>IF(OR(B333="",C333=""),"",IFERROR(INDEX(Vöruskrá!K:K,MATCH(B333,Vöruskrá!B:B,0))*C333/100000,""))</f>
        <v>0.127333</v>
      </c>
      <c r="I333" s="169">
        <f>IF(OR(B333="",C333=""),"",IFERROR(INDEX(Vöruskrá!L:L,MATCH(B333,Vöruskrá!B:B,0))*C333/100000,""))</f>
        <v>7.4230000000000008E-3</v>
      </c>
      <c r="J333" s="169">
        <f>IF(OR(B333="",C333=""),"",IFERROR(INDEX(Vöruskrá!M:M,MATCH(B333,Vöruskrá!B:B,0))*C333/100000,""))</f>
        <v>0.252382</v>
      </c>
      <c r="K333" s="169">
        <f>IF(OR(B333="",C333=""),"",IFERROR(INDEX(Vöruskrá!N:N,MATCH(B333,Vöruskrá!B:B,0))*C333/100000,""))</f>
        <v>1.3132999999999999E-2</v>
      </c>
      <c r="L333" s="169">
        <f>IF(OR(B333="",C333=""),"",IFERROR(INDEX(Vöruskrá!O:O,MATCH(B333,Vöruskrá!B:B,0))*C333/100000,""))</f>
        <v>0.10163800000000001</v>
      </c>
      <c r="M333" s="169">
        <f>IF(OR(B333="",C333=""),"",IFERROR(INDEX(Vöruskrá!P:P,MATCH(B333,Vöruskrá!B:B,0))*C333/100000,""))</f>
        <v>1.142E-3</v>
      </c>
      <c r="N333" s="169">
        <f>IF(OR(B333="",C333=""),"",IFERROR(INDEX(Vöruskrá!Q:Q,MATCH(B333,Vöruskrá!B:B,0))*C333/100000,""))</f>
        <v>5.9955000000000001E-2</v>
      </c>
      <c r="O333" s="170">
        <f>IF(OR(B333="",C333=""),"",IFERROR(C333/1000*INDEX(Vöruskrá!R:R,MATCH(B333,Vöruskrá!B:B,0))/1000,""))</f>
        <v>0</v>
      </c>
      <c r="P333" s="171"/>
      <c r="Q333" s="157"/>
      <c r="R333" s="27"/>
    </row>
    <row r="334" spans="1:18" ht="15">
      <c r="A334" s="173"/>
      <c r="B334" s="173" t="s">
        <v>1017</v>
      </c>
      <c r="C334" s="174">
        <v>1142</v>
      </c>
      <c r="D334" s="168" t="s">
        <v>1017</v>
      </c>
      <c r="E334" s="168" t="s">
        <v>134</v>
      </c>
      <c r="F334" s="168"/>
      <c r="G334" s="169">
        <f>IF(OR(B334="",C334=""),"",IFERROR(INDEX(Vöruskrá!J:J,MATCH(B334,Vöruskrá!B:B,0))*C334/100000,""))</f>
        <v>1.7015800000000001</v>
      </c>
      <c r="H334" s="169">
        <f>IF(OR(B334="",C334=""),"",IFERROR(INDEX(Vöruskrá!K:K,MATCH(B334,Vöruskrá!B:B,0))*C334/100000,""))</f>
        <v>5.7099999999999998E-3</v>
      </c>
      <c r="I334" s="169">
        <f>IF(OR(B334="",C334=""),"",IFERROR(INDEX(Vöruskrá!L:L,MATCH(B334,Vöruskrá!B:B,0))*C334/100000,""))</f>
        <v>1.142E-3</v>
      </c>
      <c r="J334" s="169">
        <f>IF(OR(B334="",C334=""),"",IFERROR(INDEX(Vöruskrá!M:M,MATCH(B334,Vöruskrá!B:B,0))*C334/100000,""))</f>
        <v>0.37800200000000006</v>
      </c>
      <c r="K334" s="169">
        <f>IF(OR(B334="",C334=""),"",IFERROR(INDEX(Vöruskrá!N:N,MATCH(B334,Vöruskrá!B:B,0))*C334/100000,""))</f>
        <v>1.142E-2</v>
      </c>
      <c r="L334" s="169">
        <f>IF(OR(B334="",C334=""),"",IFERROR(INDEX(Vöruskrá!O:O,MATCH(B334,Vöruskrá!B:B,0))*C334/100000,""))</f>
        <v>7.3088E-2</v>
      </c>
      <c r="M334" s="169">
        <f>IF(OR(B334="",C334=""),"",IFERROR(INDEX(Vöruskrá!P:P,MATCH(B334,Vöruskrá!B:B,0))*C334/100000,""))</f>
        <v>0</v>
      </c>
      <c r="N334" s="169">
        <f>IF(OR(B334="",C334=""),"",IFERROR(INDEX(Vöruskrá!Q:Q,MATCH(B334,Vöruskrá!B:B,0))*C334/100000,""))</f>
        <v>2.3982000000000003E-2</v>
      </c>
      <c r="O334" s="170">
        <f>IF(OR(B334="",C334=""),"",IFERROR(C334/1000*INDEX(Vöruskrá!R:R,MATCH(B334,Vöruskrá!B:B,0))/1000,""))</f>
        <v>0</v>
      </c>
      <c r="P334" s="173"/>
      <c r="Q334" s="158"/>
      <c r="R334" s="6"/>
    </row>
    <row r="335" spans="1:18" ht="15">
      <c r="A335" s="171"/>
      <c r="B335" s="171" t="s">
        <v>1467</v>
      </c>
      <c r="C335" s="172">
        <v>3425</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1"/>
      <c r="Q335" s="157"/>
      <c r="R335" s="27"/>
    </row>
    <row r="336" spans="1:18" ht="15">
      <c r="A336" s="173"/>
      <c r="B336" s="173" t="s">
        <v>833</v>
      </c>
      <c r="C336" s="174">
        <v>1142</v>
      </c>
      <c r="D336" s="168" t="s">
        <v>835</v>
      </c>
      <c r="E336" s="168"/>
      <c r="F336" s="168"/>
      <c r="G336" s="169">
        <f>IF(OR(B336="",C336=""),"",IFERROR(INDEX(Vöruskrá!J:J,MATCH(B336,Vöruskrá!B:B,0))*C336/100000,""))</f>
        <v>0.35402</v>
      </c>
      <c r="H336" s="169">
        <f>IF(OR(B336="",C336=""),"",IFERROR(INDEX(Vöruskrá!K:K,MATCH(B336,Vöruskrá!B:B,0))*C336/100000,""))</f>
        <v>2.284E-3</v>
      </c>
      <c r="I336" s="169">
        <f>IF(OR(B336="",C336=""),"",IFERROR(INDEX(Vöruskrá!L:L,MATCH(B336,Vöruskrá!B:B,0))*C336/100000,""))</f>
        <v>0</v>
      </c>
      <c r="J336" s="169">
        <f>IF(OR(B336="",C336=""),"",IFERROR(INDEX(Vöruskrá!M:M,MATCH(B336,Vöruskrá!B:B,0))*C336/100000,""))</f>
        <v>7.8798000000000007E-2</v>
      </c>
      <c r="K336" s="169">
        <f>IF(OR(B336="",C336=""),"",IFERROR(INDEX(Vöruskrá!N:N,MATCH(B336,Vöruskrá!B:B,0))*C336/100000,""))</f>
        <v>2.7407999999999998E-2</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3"/>
      <c r="Q336" s="158"/>
      <c r="R336" s="6"/>
    </row>
    <row r="337" spans="1:18" ht="15">
      <c r="A337" s="171"/>
      <c r="B337" s="171" t="s">
        <v>299</v>
      </c>
      <c r="C337" s="172">
        <v>913</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0.91300000000000003</v>
      </c>
      <c r="N337" s="169">
        <f>IF(OR(B337="",C337=""),"",IFERROR(INDEX(Vöruskrá!Q:Q,MATCH(B337,Vöruskrá!B:B,0))*C337/100000,""))</f>
        <v>0</v>
      </c>
      <c r="O337" s="170">
        <f>IF(OR(B337="",C337=""),"",IFERROR(C337/1000*INDEX(Vöruskrá!R:R,MATCH(B337,Vöruskrá!B:B,0))/1000,""))</f>
        <v>0</v>
      </c>
      <c r="P337" s="171"/>
      <c r="Q337" s="157"/>
      <c r="R337" s="27"/>
    </row>
    <row r="338" spans="1:18" ht="15">
      <c r="A338" s="173"/>
      <c r="B338" s="173" t="s">
        <v>819</v>
      </c>
      <c r="C338" s="174">
        <v>342</v>
      </c>
      <c r="D338" s="168" t="s">
        <v>820</v>
      </c>
      <c r="E338" s="168"/>
      <c r="F338" s="168" t="s">
        <v>311</v>
      </c>
      <c r="G338" s="169">
        <f>IF(OR(B338="",C338=""),"",IFERROR(INDEX(Vöruskrá!J:J,MATCH(B338,Vöruskrá!B:B,0))*C338/100000,""))</f>
        <v>1.32012</v>
      </c>
      <c r="H338" s="169">
        <f>IF(OR(B338="",C338=""),"",IFERROR(INDEX(Vöruskrá!K:K,MATCH(B338,Vöruskrá!B:B,0))*C338/100000,""))</f>
        <v>1.1285999999999999E-2</v>
      </c>
      <c r="I338" s="169">
        <f>IF(OR(B338="",C338=""),"",IFERROR(INDEX(Vöruskrá!L:L,MATCH(B338,Vöruskrá!B:B,0))*C338/100000,""))</f>
        <v>3.4199999999999999E-3</v>
      </c>
      <c r="J338" s="169">
        <f>IF(OR(B338="",C338=""),"",IFERROR(INDEX(Vöruskrá!M:M,MATCH(B338,Vöruskrá!B:B,0))*C338/100000,""))</f>
        <v>0.2223</v>
      </c>
      <c r="K338" s="169">
        <f>IF(OR(B338="",C338=""),"",IFERROR(INDEX(Vöruskrá!N:N,MATCH(B338,Vöruskrá!B:B,0))*C338/100000,""))</f>
        <v>2.052E-3</v>
      </c>
      <c r="L338" s="169">
        <f>IF(OR(B338="",C338=""),"",IFERROR(INDEX(Vöruskrá!O:O,MATCH(B338,Vöruskrá!B:B,0))*C338/100000,""))</f>
        <v>3.7620000000000001E-2</v>
      </c>
      <c r="M338" s="169">
        <f>IF(OR(B338="",C338=""),"",IFERROR(INDEX(Vöruskrá!P:P,MATCH(B338,Vöruskrá!B:B,0))*C338/100000,""))</f>
        <v>3.4200000000000002E-4</v>
      </c>
      <c r="N338" s="169">
        <f>IF(OR(B338="",C338=""),"",IFERROR(INDEX(Vöruskrá!Q:Q,MATCH(B338,Vöruskrá!B:B,0))*C338/100000,""))</f>
        <v>0</v>
      </c>
      <c r="O338" s="170">
        <f>IF(OR(B338="",C338=""),"",IFERROR(C338/1000*INDEX(Vöruskrá!R:R,MATCH(B338,Vöruskrá!B:B,0))/1000,""))</f>
        <v>0</v>
      </c>
      <c r="P338" s="173"/>
      <c r="Q338" s="200"/>
      <c r="R338" s="159"/>
    </row>
    <row r="339" spans="1:18" ht="48">
      <c r="A339" s="147" t="s">
        <v>1696</v>
      </c>
      <c r="B339" s="147"/>
      <c r="C339" s="148"/>
      <c r="D339" s="165" t="s">
        <v>1697</v>
      </c>
      <c r="E339" s="165" t="s">
        <v>621</v>
      </c>
      <c r="F339" s="165"/>
      <c r="G339" s="166">
        <v>99.2</v>
      </c>
      <c r="H339" s="166">
        <v>0.88</v>
      </c>
      <c r="I339" s="166">
        <v>0.13</v>
      </c>
      <c r="J339" s="166">
        <v>1.6</v>
      </c>
      <c r="K339" s="166"/>
      <c r="L339" s="166">
        <v>21.27</v>
      </c>
      <c r="M339" s="166">
        <v>1.19</v>
      </c>
      <c r="N339" s="166">
        <f>IFERROR(SUM(N340:N346)/(SUM($C$340:$C$346)/100000),"")</f>
        <v>0.61621616216162156</v>
      </c>
      <c r="O339" s="167" t="str">
        <f>IF(OR(B339="",C339=""),"",IFERROR(C339/1000*INDEX(Vöruskrá!R:R,MATCH(B339,Vöruskrá!B:B,0))/1000,""))</f>
        <v/>
      </c>
      <c r="P339" s="196" t="s">
        <v>1683</v>
      </c>
      <c r="Q339" s="195" t="s">
        <v>1698</v>
      </c>
      <c r="R339" s="194" t="s">
        <v>1699</v>
      </c>
    </row>
    <row r="340" spans="1:18" ht="15">
      <c r="A340" s="171"/>
      <c r="B340" s="171" t="s">
        <v>926</v>
      </c>
      <c r="C340" s="172">
        <v>91013</v>
      </c>
      <c r="D340" s="168" t="s">
        <v>926</v>
      </c>
      <c r="E340" s="168" t="s">
        <v>621</v>
      </c>
      <c r="F340" s="168"/>
      <c r="G340" s="169">
        <f>IF(OR(B340="",C340=""),"",IFERROR(INDEX(Vöruskrá!J:J,MATCH(B340,Vöruskrá!B:B,0))*C340/100000,""))</f>
        <v>91.013000000000005</v>
      </c>
      <c r="H340" s="169">
        <f>IF(OR(B340="",C340=""),"",IFERROR(INDEX(Vöruskrá!K:K,MATCH(B340,Vöruskrá!B:B,0))*C340/100000,""))</f>
        <v>0.63709099999999996</v>
      </c>
      <c r="I340" s="169">
        <f>IF(OR(B340="",C340=""),"",IFERROR(INDEX(Vöruskrá!L:L,MATCH(B340,Vöruskrá!B:B,0))*C340/100000,""))</f>
        <v>9.1013000000000011E-2</v>
      </c>
      <c r="J340" s="169">
        <f>IF(OR(B340="",C340=""),"",IFERROR(INDEX(Vöruskrá!M:M,MATCH(B340,Vöruskrá!B:B,0))*C340/100000,""))</f>
        <v>0</v>
      </c>
      <c r="K340" s="169">
        <f>IF(OR(B340="",C340=""),"",IFERROR(INDEX(Vöruskrá!N:N,MATCH(B340,Vöruskrá!B:B,0))*C340/100000,""))</f>
        <v>0</v>
      </c>
      <c r="L340" s="169">
        <f>IF(OR(B340="",C340=""),"",IFERROR(INDEX(Vöruskrá!O:O,MATCH(B340,Vöruskrá!B:B,0))*C340/100000,""))</f>
        <v>20.93299</v>
      </c>
      <c r="M340" s="169">
        <f>IF(OR(B340="",C340=""),"",IFERROR(INDEX(Vöruskrá!P:P,MATCH(B340,Vöruskrá!B:B,0))*C340/100000,""))</f>
        <v>0.27303899999999998</v>
      </c>
      <c r="N340" s="169">
        <f>IF(OR(B340="",C340=""),"",IFERROR(INDEX(Vöruskrá!Q:Q,MATCH(B340,Vöruskrá!B:B,0))*C340/100000,""))</f>
        <v>0</v>
      </c>
      <c r="O340" s="170">
        <f>IF(OR(B340="",C340=""),"",IFERROR(C340/1000*INDEX(Vöruskrá!R:R,MATCH(B340,Vöruskrá!B:B,0))/1000,""))</f>
        <v>0</v>
      </c>
      <c r="P340" s="171"/>
      <c r="Q340" s="197"/>
      <c r="R340" s="164"/>
    </row>
    <row r="341" spans="1:18" ht="15">
      <c r="A341" s="173"/>
      <c r="B341" s="173" t="s">
        <v>1026</v>
      </c>
      <c r="C341" s="174">
        <v>1706</v>
      </c>
      <c r="D341" s="168" t="s">
        <v>1027</v>
      </c>
      <c r="E341" s="168" t="s">
        <v>134</v>
      </c>
      <c r="F341" s="168" t="s">
        <v>1024</v>
      </c>
      <c r="G341" s="169">
        <f>IF(OR(B341="",C341=""),"",IFERROR(INDEX(Vöruskrá!J:J,MATCH(B341,Vöruskrá!B:B,0))*C341/100000,""))</f>
        <v>4.8109200000000003</v>
      </c>
      <c r="H341" s="169">
        <f>IF(OR(B341="",C341=""),"",IFERROR(INDEX(Vöruskrá!K:K,MATCH(B341,Vöruskrá!B:B,0))*C341/100000,""))</f>
        <v>0.22178</v>
      </c>
      <c r="I341" s="169">
        <f>IF(OR(B341="",C341=""),"",IFERROR(INDEX(Vöruskrá!L:L,MATCH(B341,Vöruskrá!B:B,0))*C341/100000,""))</f>
        <v>3.4119999999999998E-2</v>
      </c>
      <c r="J341" s="169">
        <f>IF(OR(B341="",C341=""),"",IFERROR(INDEX(Vöruskrá!M:M,MATCH(B341,Vöruskrá!B:B,0))*C341/100000,""))</f>
        <v>0.92123999999999995</v>
      </c>
      <c r="K341" s="169">
        <f>IF(OR(B341="",C341=""),"",IFERROR(INDEX(Vöruskrá!N:N,MATCH(B341,Vöruskrá!B:B,0))*C341/100000,""))</f>
        <v>0.1706</v>
      </c>
      <c r="L341" s="169">
        <f>IF(OR(B341="",C341=""),"",IFERROR(INDEX(Vöruskrá!O:O,MATCH(B341,Vöruskrá!B:B,0))*C341/100000,""))</f>
        <v>0.23884</v>
      </c>
      <c r="M341" s="169">
        <f>IF(OR(B341="",C341=""),"",IFERROR(INDEX(Vöruskrá!P:P,MATCH(B341,Vöruskrá!B:B,0))*C341/100000,""))</f>
        <v>1.7060000000000003E-3</v>
      </c>
      <c r="N341" s="169">
        <f>IF(OR(B341="",C341=""),"",IFERROR(INDEX(Vöruskrá!Q:Q,MATCH(B341,Vöruskrá!B:B,0))*C341/100000,""))</f>
        <v>0.59709999999999996</v>
      </c>
      <c r="O341" s="170">
        <f>IF(OR(B341="",C341=""),"",IFERROR(C341/1000*INDEX(Vöruskrá!R:R,MATCH(B341,Vöruskrá!B:B,0))/1000,""))</f>
        <v>0</v>
      </c>
      <c r="P341" s="173"/>
      <c r="Q341" s="157"/>
      <c r="R341" s="27"/>
    </row>
    <row r="342" spans="1:18" ht="15">
      <c r="A342" s="171"/>
      <c r="B342" s="171" t="s">
        <v>1017</v>
      </c>
      <c r="C342" s="172">
        <v>910</v>
      </c>
      <c r="D342" s="168" t="s">
        <v>1017</v>
      </c>
      <c r="E342" s="168" t="s">
        <v>134</v>
      </c>
      <c r="F342" s="168"/>
      <c r="G342" s="169">
        <f>IF(OR(B342="",C342=""),"",IFERROR(INDEX(Vöruskrá!J:J,MATCH(B342,Vöruskrá!B:B,0))*C342/100000,""))</f>
        <v>1.3559000000000001</v>
      </c>
      <c r="H342" s="169">
        <f>IF(OR(B342="",C342=""),"",IFERROR(INDEX(Vöruskrá!K:K,MATCH(B342,Vöruskrá!B:B,0))*C342/100000,""))</f>
        <v>4.5500000000000002E-3</v>
      </c>
      <c r="I342" s="169">
        <f>IF(OR(B342="",C342=""),"",IFERROR(INDEX(Vöruskrá!L:L,MATCH(B342,Vöruskrá!B:B,0))*C342/100000,""))</f>
        <v>9.1E-4</v>
      </c>
      <c r="J342" s="169">
        <f>IF(OR(B342="",C342=""),"",IFERROR(INDEX(Vöruskrá!M:M,MATCH(B342,Vöruskrá!B:B,0))*C342/100000,""))</f>
        <v>0.30120999999999998</v>
      </c>
      <c r="K342" s="169">
        <f>IF(OR(B342="",C342=""),"",IFERROR(INDEX(Vöruskrá!N:N,MATCH(B342,Vöruskrá!B:B,0))*C342/100000,""))</f>
        <v>9.1000000000000004E-3</v>
      </c>
      <c r="L342" s="169">
        <f>IF(OR(B342="",C342=""),"",IFERROR(INDEX(Vöruskrá!O:O,MATCH(B342,Vöruskrá!B:B,0))*C342/100000,""))</f>
        <v>5.824E-2</v>
      </c>
      <c r="M342" s="169">
        <f>IF(OR(B342="",C342=""),"",IFERROR(INDEX(Vöruskrá!P:P,MATCH(B342,Vöruskrá!B:B,0))*C342/100000,""))</f>
        <v>0</v>
      </c>
      <c r="N342" s="169">
        <f>IF(OR(B342="",C342=""),"",IFERROR(INDEX(Vöruskrá!Q:Q,MATCH(B342,Vöruskrá!B:B,0))*C342/100000,""))</f>
        <v>1.9109999999999999E-2</v>
      </c>
      <c r="O342" s="170">
        <f>IF(OR(B342="",C342=""),"",IFERROR(C342/1000*INDEX(Vöruskrá!R:R,MATCH(B342,Vöruskrá!B:B,0))/1000,""))</f>
        <v>0</v>
      </c>
      <c r="P342" s="171"/>
      <c r="Q342" s="158"/>
      <c r="R342" s="6"/>
    </row>
    <row r="343" spans="1:18" ht="15">
      <c r="A343" s="173"/>
      <c r="B343" s="173" t="s">
        <v>1467</v>
      </c>
      <c r="C343" s="174">
        <v>2844</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299</v>
      </c>
      <c r="C344" s="172">
        <v>910</v>
      </c>
      <c r="D344" s="168" t="s">
        <v>302</v>
      </c>
      <c r="E344" s="168" t="s">
        <v>134</v>
      </c>
      <c r="F344" s="168" t="s">
        <v>303</v>
      </c>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0.91</v>
      </c>
      <c r="N344" s="169">
        <f>IF(OR(B344="",C344=""),"",IFERROR(INDEX(Vöruskrá!Q:Q,MATCH(B344,Vöruskrá!B:B,0))*C344/100000,""))</f>
        <v>0</v>
      </c>
      <c r="O344" s="170">
        <f>IF(OR(B344="",C344=""),"",IFERROR(C344/1000*INDEX(Vöruskrá!R:R,MATCH(B344,Vöruskrá!B:B,0))/1000,""))</f>
        <v>0</v>
      </c>
      <c r="P344" s="171"/>
      <c r="Q344" s="158"/>
      <c r="R344" s="6"/>
    </row>
    <row r="345" spans="1:18" ht="15">
      <c r="A345" s="173"/>
      <c r="B345" s="173" t="s">
        <v>819</v>
      </c>
      <c r="C345" s="174">
        <v>341</v>
      </c>
      <c r="D345" s="168" t="s">
        <v>820</v>
      </c>
      <c r="E345" s="168"/>
      <c r="F345" s="168" t="s">
        <v>311</v>
      </c>
      <c r="G345" s="169">
        <f>IF(OR(B345="",C345=""),"",IFERROR(INDEX(Vöruskrá!J:J,MATCH(B345,Vöruskrá!B:B,0))*C345/100000,""))</f>
        <v>1.31626</v>
      </c>
      <c r="H345" s="169">
        <f>IF(OR(B345="",C345=""),"",IFERROR(INDEX(Vöruskrá!K:K,MATCH(B345,Vöruskrá!B:B,0))*C345/100000,""))</f>
        <v>1.1252999999999999E-2</v>
      </c>
      <c r="I345" s="169">
        <f>IF(OR(B345="",C345=""),"",IFERROR(INDEX(Vöruskrá!L:L,MATCH(B345,Vöruskrá!B:B,0))*C345/100000,""))</f>
        <v>3.4099999999999998E-3</v>
      </c>
      <c r="J345" s="169">
        <f>IF(OR(B345="",C345=""),"",IFERROR(INDEX(Vöruskrá!M:M,MATCH(B345,Vöruskrá!B:B,0))*C345/100000,""))</f>
        <v>0.22165000000000001</v>
      </c>
      <c r="K345" s="169">
        <f>IF(OR(B345="",C345=""),"",IFERROR(INDEX(Vöruskrá!N:N,MATCH(B345,Vöruskrá!B:B,0))*C345/100000,""))</f>
        <v>2.0460000000000001E-3</v>
      </c>
      <c r="L345" s="169">
        <f>IF(OR(B345="",C345=""),"",IFERROR(INDEX(Vöruskrá!O:O,MATCH(B345,Vöruskrá!B:B,0))*C345/100000,""))</f>
        <v>3.7510000000000002E-2</v>
      </c>
      <c r="M345" s="169">
        <f>IF(OR(B345="",C345=""),"",IFERROR(INDEX(Vöruskrá!P:P,MATCH(B345,Vöruskrá!B:B,0))*C345/100000,""))</f>
        <v>3.4099999999999999E-4</v>
      </c>
      <c r="N345" s="169">
        <f>IF(OR(B345="",C345=""),"",IFERROR(INDEX(Vöruskrá!Q:Q,MATCH(B345,Vöruskrá!B:B,0))*C345/100000,""))</f>
        <v>0</v>
      </c>
      <c r="O345" s="170">
        <f>IF(OR(B345="",C345=""),"",IFERROR(C345/1000*INDEX(Vöruskrá!R:R,MATCH(B345,Vöruskrá!B:B,0))/1000,""))</f>
        <v>0</v>
      </c>
      <c r="P345" s="173"/>
      <c r="Q345" s="157"/>
      <c r="R345" s="27"/>
    </row>
    <row r="346" spans="1:18" ht="15">
      <c r="A346" s="171"/>
      <c r="B346" s="171" t="s">
        <v>833</v>
      </c>
      <c r="C346" s="172">
        <v>2275</v>
      </c>
      <c r="D346" s="168" t="s">
        <v>835</v>
      </c>
      <c r="E346" s="168"/>
      <c r="F346" s="168"/>
      <c r="G346" s="169">
        <f>IF(OR(B346="",C346=""),"",IFERROR(INDEX(Vöruskrá!J:J,MATCH(B346,Vöruskrá!B:B,0))*C346/100000,""))</f>
        <v>0.70525000000000004</v>
      </c>
      <c r="H346" s="169">
        <f>IF(OR(B346="",C346=""),"",IFERROR(INDEX(Vöruskrá!K:K,MATCH(B346,Vöruskrá!B:B,0))*C346/100000,""))</f>
        <v>4.5500000000000002E-3</v>
      </c>
      <c r="I346" s="169">
        <f>IF(OR(B346="",C346=""),"",IFERROR(INDEX(Vöruskrá!L:L,MATCH(B346,Vöruskrá!B:B,0))*C346/100000,""))</f>
        <v>0</v>
      </c>
      <c r="J346" s="169">
        <f>IF(OR(B346="",C346=""),"",IFERROR(INDEX(Vöruskrá!M:M,MATCH(B346,Vöruskrá!B:B,0))*C346/100000,""))</f>
        <v>0.156975</v>
      </c>
      <c r="K346" s="169">
        <f>IF(OR(B346="",C346=""),"",IFERROR(INDEX(Vöruskrá!N:N,MATCH(B346,Vöruskrá!B:B,0))*C346/100000,""))</f>
        <v>5.4600000000000003E-2</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1"/>
      <c r="Q346" s="200"/>
      <c r="R346" s="159"/>
    </row>
    <row r="347" spans="1:18" ht="48">
      <c r="A347" s="147" t="s">
        <v>1700</v>
      </c>
      <c r="B347" s="147"/>
      <c r="C347" s="148"/>
      <c r="D347" s="165" t="s">
        <v>1701</v>
      </c>
      <c r="E347" s="165" t="s">
        <v>621</v>
      </c>
      <c r="F347" s="165"/>
      <c r="G347" s="166">
        <v>86.89</v>
      </c>
      <c r="H347" s="166">
        <v>0.56000000000000005</v>
      </c>
      <c r="I347" s="166">
        <v>0.08</v>
      </c>
      <c r="J347" s="166">
        <v>2.25</v>
      </c>
      <c r="K347" s="166"/>
      <c r="L347" s="166">
        <v>17.829999999999998</v>
      </c>
      <c r="M347" s="166">
        <v>19.559999999999999</v>
      </c>
      <c r="N347" s="166">
        <f>IFERROR(SUM(N348:N352)/(SUM($C$348:$C$352)/100000),"")</f>
        <v>0</v>
      </c>
      <c r="O347" s="167" t="str">
        <f>IF(OR(B347="",C347=""),"",IFERROR(C347/1000*INDEX(Vöruskrá!R:R,MATCH(B347,Vöruskrá!B:B,0))/1000,""))</f>
        <v/>
      </c>
      <c r="P347" s="196" t="s">
        <v>1702</v>
      </c>
      <c r="Q347" s="199" t="s">
        <v>1703</v>
      </c>
      <c r="R347" s="198" t="s">
        <v>1704</v>
      </c>
    </row>
    <row r="348" spans="1:18" ht="15">
      <c r="A348" s="171"/>
      <c r="B348" s="171" t="s">
        <v>926</v>
      </c>
      <c r="C348" s="172">
        <v>77295</v>
      </c>
      <c r="D348" s="168" t="s">
        <v>926</v>
      </c>
      <c r="E348" s="168" t="s">
        <v>621</v>
      </c>
      <c r="F348" s="168"/>
      <c r="G348" s="169">
        <f>IF(OR(B348="",C348=""),"",IFERROR(INDEX(Vöruskrá!J:J,MATCH(B348,Vöruskrá!B:B,0))*C348/100000,""))</f>
        <v>77.295000000000002</v>
      </c>
      <c r="H348" s="169">
        <f>IF(OR(B348="",C348=""),"",IFERROR(INDEX(Vöruskrá!K:K,MATCH(B348,Vöruskrá!B:B,0))*C348/100000,""))</f>
        <v>0.54106500000000002</v>
      </c>
      <c r="I348" s="169">
        <f>IF(OR(B348="",C348=""),"",IFERROR(INDEX(Vöruskrá!L:L,MATCH(B348,Vöruskrá!B:B,0))*C348/100000,""))</f>
        <v>7.7295000000000003E-2</v>
      </c>
      <c r="J348" s="169">
        <f>IF(OR(B348="",C348=""),"",IFERROR(INDEX(Vöruskrá!M:M,MATCH(B348,Vöruskrá!B:B,0))*C348/100000,""))</f>
        <v>0</v>
      </c>
      <c r="K348" s="169">
        <f>IF(OR(B348="",C348=""),"",IFERROR(INDEX(Vöruskrá!N:N,MATCH(B348,Vöruskrá!B:B,0))*C348/100000,""))</f>
        <v>0</v>
      </c>
      <c r="L348" s="169">
        <f>IF(OR(B348="",C348=""),"",IFERROR(INDEX(Vöruskrá!O:O,MATCH(B348,Vöruskrá!B:B,0))*C348/100000,""))</f>
        <v>17.777850000000001</v>
      </c>
      <c r="M348" s="169">
        <f>IF(OR(B348="",C348=""),"",IFERROR(INDEX(Vöruskrá!P:P,MATCH(B348,Vöruskrá!B:B,0))*C348/100000,""))</f>
        <v>0.23188500000000001</v>
      </c>
      <c r="N348" s="169">
        <f>IF(OR(B348="",C348=""),"",IFERROR(INDEX(Vöruskrá!Q:Q,MATCH(B348,Vöruskrá!B:B,0))*C348/100000,""))</f>
        <v>0</v>
      </c>
      <c r="O348" s="170">
        <f>IF(OR(B348="",C348=""),"",IFERROR(C348/1000*INDEX(Vöruskrá!R:R,MATCH(B348,Vöruskrá!B:B,0))/1000,""))</f>
        <v>0</v>
      </c>
      <c r="P348" s="171"/>
      <c r="Q348" s="197"/>
      <c r="R348" s="164"/>
    </row>
    <row r="349" spans="1:18" ht="15">
      <c r="A349" s="173"/>
      <c r="B349" s="173" t="s">
        <v>299</v>
      </c>
      <c r="C349" s="174">
        <v>19324</v>
      </c>
      <c r="D349" s="168" t="s">
        <v>302</v>
      </c>
      <c r="E349" s="168" t="s">
        <v>134</v>
      </c>
      <c r="F349" s="168" t="s">
        <v>303</v>
      </c>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19.324000000000002</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477</v>
      </c>
      <c r="C350" s="172">
        <v>1932</v>
      </c>
      <c r="D350" s="168" t="s">
        <v>479</v>
      </c>
      <c r="E350" s="168" t="s">
        <v>134</v>
      </c>
      <c r="F350" s="168"/>
      <c r="G350" s="169">
        <f>IF(OR(B350="",C350=""),"",IFERROR(INDEX(Vöruskrá!J:J,MATCH(B350,Vöruskrá!B:B,0))*C350/100000,""))</f>
        <v>7.7279999999999998</v>
      </c>
      <c r="H350" s="169">
        <f>IF(OR(B350="",C350=""),"",IFERROR(INDEX(Vöruskrá!K:K,MATCH(B350,Vöruskrá!B:B,0))*C350/100000,""))</f>
        <v>0</v>
      </c>
      <c r="I350" s="169">
        <f>IF(OR(B350="",C350=""),"",IFERROR(INDEX(Vöruskrá!L:L,MATCH(B350,Vöruskrá!B:B,0))*C350/100000,""))</f>
        <v>0</v>
      </c>
      <c r="J350" s="169">
        <f>IF(OR(B350="",C350=""),"",IFERROR(INDEX(Vöruskrá!M:M,MATCH(B350,Vöruskrá!B:B,0))*C350/100000,""))</f>
        <v>1.9319999999999999</v>
      </c>
      <c r="K350" s="169">
        <f>IF(OR(B350="",C350=""),"",IFERROR(INDEX(Vöruskrá!N:N,MATCH(B350,Vöruskrá!B:B,0))*C350/100000,""))</f>
        <v>1.9319999999999999</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158"/>
      <c r="R350" s="6"/>
    </row>
    <row r="351" spans="1:18" ht="15">
      <c r="A351" s="173"/>
      <c r="B351" s="173" t="s">
        <v>819</v>
      </c>
      <c r="C351" s="174">
        <v>483</v>
      </c>
      <c r="D351" s="168" t="s">
        <v>820</v>
      </c>
      <c r="E351" s="168"/>
      <c r="F351" s="168" t="s">
        <v>311</v>
      </c>
      <c r="G351" s="169">
        <f>IF(OR(B351="",C351=""),"",IFERROR(INDEX(Vöruskrá!J:J,MATCH(B351,Vöruskrá!B:B,0))*C351/100000,""))</f>
        <v>1.8643799999999999</v>
      </c>
      <c r="H351" s="169">
        <f>IF(OR(B351="",C351=""),"",IFERROR(INDEX(Vöruskrá!K:K,MATCH(B351,Vöruskrá!B:B,0))*C351/100000,""))</f>
        <v>1.5938999999999998E-2</v>
      </c>
      <c r="I351" s="169">
        <f>IF(OR(B351="",C351=""),"",IFERROR(INDEX(Vöruskrá!L:L,MATCH(B351,Vöruskrá!B:B,0))*C351/100000,""))</f>
        <v>4.8300000000000001E-3</v>
      </c>
      <c r="J351" s="169">
        <f>IF(OR(B351="",C351=""),"",IFERROR(INDEX(Vöruskrá!M:M,MATCH(B351,Vöruskrá!B:B,0))*C351/100000,""))</f>
        <v>0.31395000000000001</v>
      </c>
      <c r="K351" s="169">
        <f>IF(OR(B351="",C351=""),"",IFERROR(INDEX(Vöruskrá!N:N,MATCH(B351,Vöruskrá!B:B,0))*C351/100000,""))</f>
        <v>2.898E-3</v>
      </c>
      <c r="L351" s="169">
        <f>IF(OR(B351="",C351=""),"",IFERROR(INDEX(Vöruskrá!O:O,MATCH(B351,Vöruskrá!B:B,0))*C351/100000,""))</f>
        <v>5.3129999999999997E-2</v>
      </c>
      <c r="M351" s="169">
        <f>IF(OR(B351="",C351=""),"",IFERROR(INDEX(Vöruskrá!P:P,MATCH(B351,Vöruskrá!B:B,0))*C351/100000,""))</f>
        <v>4.8300000000000003E-4</v>
      </c>
      <c r="N351" s="169">
        <f>IF(OR(B351="",C351=""),"",IFERROR(INDEX(Vöruskrá!Q:Q,MATCH(B351,Vöruskrá!B:B,0))*C351/100000,""))</f>
        <v>0</v>
      </c>
      <c r="O351" s="170">
        <f>IF(OR(B351="",C351=""),"",IFERROR(C351/1000*INDEX(Vöruskrá!R:R,MATCH(B351,Vöruskrá!B:B,0))/1000,""))</f>
        <v>0</v>
      </c>
      <c r="P351" s="173"/>
      <c r="Q351" s="157"/>
      <c r="R351" s="27"/>
    </row>
    <row r="352" spans="1:18" ht="15">
      <c r="A352" s="171"/>
      <c r="B352" s="171" t="s">
        <v>1468</v>
      </c>
      <c r="C352" s="172">
        <v>966</v>
      </c>
      <c r="D352" s="168"/>
      <c r="E352" s="168"/>
      <c r="F352" s="168"/>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1"/>
      <c r="Q352" s="200"/>
      <c r="R352" s="159"/>
    </row>
    <row r="353" spans="1:18" ht="36">
      <c r="A353" s="147" t="s">
        <v>1705</v>
      </c>
      <c r="B353" s="147"/>
      <c r="C353" s="148"/>
      <c r="D353" s="165" t="s">
        <v>1706</v>
      </c>
      <c r="E353" s="165" t="s">
        <v>621</v>
      </c>
      <c r="F353" s="165"/>
      <c r="G353" s="166">
        <v>95.76</v>
      </c>
      <c r="H353" s="166">
        <v>0.67</v>
      </c>
      <c r="I353" s="166">
        <v>0.1</v>
      </c>
      <c r="J353" s="166">
        <v>0.74</v>
      </c>
      <c r="K353" s="166"/>
      <c r="L353" s="166">
        <v>21.3</v>
      </c>
      <c r="M353" s="166">
        <v>2</v>
      </c>
      <c r="N353" s="166">
        <f>IFERROR(SUM(N354:N358)/(SUM($C$354:$C$358)/100000),"")</f>
        <v>9.7920979209792092E-2</v>
      </c>
      <c r="O353" s="167" t="str">
        <f>IF(OR(B353="",C353=""),"",IFERROR(C353/1000*INDEX(Vöruskrá!R:R,MATCH(B353,Vöruskrá!B:B,0))/1000,""))</f>
        <v/>
      </c>
      <c r="P353" s="196" t="s">
        <v>1707</v>
      </c>
      <c r="Q353" s="195" t="s">
        <v>1708</v>
      </c>
      <c r="R353" s="194" t="s">
        <v>1709</v>
      </c>
    </row>
    <row r="354" spans="1:18" ht="15">
      <c r="A354" s="171"/>
      <c r="B354" s="171" t="s">
        <v>926</v>
      </c>
      <c r="C354" s="172">
        <v>92166</v>
      </c>
      <c r="D354" s="168" t="s">
        <v>926</v>
      </c>
      <c r="E354" s="168" t="s">
        <v>621</v>
      </c>
      <c r="F354" s="168"/>
      <c r="G354" s="169">
        <f>IF(OR(B354="",C354=""),"",IFERROR(INDEX(Vöruskrá!J:J,MATCH(B354,Vöruskrá!B:B,0))*C354/100000,""))</f>
        <v>92.165999999999997</v>
      </c>
      <c r="H354" s="169">
        <f>IF(OR(B354="",C354=""),"",IFERROR(INDEX(Vöruskrá!K:K,MATCH(B354,Vöruskrá!B:B,0))*C354/100000,""))</f>
        <v>0.64516200000000001</v>
      </c>
      <c r="I354" s="169">
        <f>IF(OR(B354="",C354=""),"",IFERROR(INDEX(Vöruskrá!L:L,MATCH(B354,Vöruskrá!B:B,0))*C354/100000,""))</f>
        <v>9.2165999999999998E-2</v>
      </c>
      <c r="J354" s="169">
        <f>IF(OR(B354="",C354=""),"",IFERROR(INDEX(Vöruskrá!M:M,MATCH(B354,Vöruskrá!B:B,0))*C354/100000,""))</f>
        <v>0</v>
      </c>
      <c r="K354" s="169">
        <f>IF(OR(B354="",C354=""),"",IFERROR(INDEX(Vöruskrá!N:N,MATCH(B354,Vöruskrá!B:B,0))*C354/100000,""))</f>
        <v>0</v>
      </c>
      <c r="L354" s="169">
        <f>IF(OR(B354="",C354=""),"",IFERROR(INDEX(Vöruskrá!O:O,MATCH(B354,Vöruskrá!B:B,0))*C354/100000,""))</f>
        <v>21.198180000000001</v>
      </c>
      <c r="M354" s="169">
        <f>IF(OR(B354="",C354=""),"",IFERROR(INDEX(Vöruskrá!P:P,MATCH(B354,Vöruskrá!B:B,0))*C354/100000,""))</f>
        <v>0.27649799999999997</v>
      </c>
      <c r="N354" s="169">
        <f>IF(OR(B354="",C354=""),"",IFERROR(INDEX(Vöruskrá!Q:Q,MATCH(B354,Vöruskrá!B:B,0))*C354/100000,""))</f>
        <v>0</v>
      </c>
      <c r="O354" s="170">
        <f>IF(OR(B354="",C354=""),"",IFERROR(C354/1000*INDEX(Vöruskrá!R:R,MATCH(B354,Vöruskrá!B:B,0))/1000,""))</f>
        <v>0</v>
      </c>
      <c r="P354" s="171"/>
      <c r="Q354" s="197"/>
      <c r="R354" s="164"/>
    </row>
    <row r="355" spans="1:18" ht="15">
      <c r="A355" s="173"/>
      <c r="B355" s="173" t="s">
        <v>299</v>
      </c>
      <c r="C355" s="174">
        <v>1728</v>
      </c>
      <c r="D355" s="168" t="s">
        <v>302</v>
      </c>
      <c r="E355" s="168" t="s">
        <v>134</v>
      </c>
      <c r="F355" s="168" t="s">
        <v>303</v>
      </c>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1.728</v>
      </c>
      <c r="N355" s="169">
        <f>IF(OR(B355="",C355=""),"",IFERROR(INDEX(Vöruskrá!Q:Q,MATCH(B355,Vöruskrá!B:B,0))*C355/100000,""))</f>
        <v>0</v>
      </c>
      <c r="O355" s="170">
        <f>IF(OR(B355="",C355=""),"",IFERROR(C355/1000*INDEX(Vöruskrá!R:R,MATCH(B355,Vöruskrá!B:B,0))/1000,""))</f>
        <v>0</v>
      </c>
      <c r="P355" s="173"/>
      <c r="Q355" s="157"/>
      <c r="R355" s="27"/>
    </row>
    <row r="356" spans="1:18" ht="15">
      <c r="A356" s="171"/>
      <c r="B356" s="171" t="s">
        <v>1010</v>
      </c>
      <c r="C356" s="172">
        <v>5760</v>
      </c>
      <c r="D356" s="168" t="s">
        <v>1010</v>
      </c>
      <c r="E356" s="168" t="s">
        <v>134</v>
      </c>
      <c r="F356" s="168"/>
      <c r="G356" s="169">
        <f>IF(OR(B356="",C356=""),"",IFERROR(INDEX(Vöruskrá!J:J,MATCH(B356,Vöruskrá!B:B,0))*C356/100000,""))</f>
        <v>2.3039999999999998</v>
      </c>
      <c r="H356" s="169">
        <f>IF(OR(B356="",C356=""),"",IFERROR(INDEX(Vöruskrá!K:K,MATCH(B356,Vöruskrá!B:B,0))*C356/100000,""))</f>
        <v>5.7600000000000004E-3</v>
      </c>
      <c r="I356" s="169">
        <f>IF(OR(B356="",C356=""),"",IFERROR(INDEX(Vöruskrá!L:L,MATCH(B356,Vöruskrá!B:B,0))*C356/100000,""))</f>
        <v>0</v>
      </c>
      <c r="J356" s="169">
        <f>IF(OR(B356="",C356=""),"",IFERROR(INDEX(Vöruskrá!M:M,MATCH(B356,Vöruskrá!B:B,0))*C356/100000,""))</f>
        <v>0.53568000000000005</v>
      </c>
      <c r="K356" s="169">
        <f>IF(OR(B356="",C356=""),"",IFERROR(INDEX(Vöruskrá!N:N,MATCH(B356,Vöruskrá!B:B,0))*C356/100000,""))</f>
        <v>0.24192</v>
      </c>
      <c r="L356" s="169">
        <f>IF(OR(B356="",C356=""),"",IFERROR(INDEX(Vöruskrá!O:O,MATCH(B356,Vöruskrá!B:B,0))*C356/100000,""))</f>
        <v>6.3360000000000014E-2</v>
      </c>
      <c r="M356" s="169">
        <f>IF(OR(B356="",C356=""),"",IFERROR(INDEX(Vöruskrá!P:P,MATCH(B356,Vöruskrá!B:B,0))*C356/100000,""))</f>
        <v>0</v>
      </c>
      <c r="N356" s="169">
        <f>IF(OR(B356="",C356=""),"",IFERROR(INDEX(Vöruskrá!Q:Q,MATCH(B356,Vöruskrá!B:B,0))*C356/100000,""))</f>
        <v>9.7919999999999993E-2</v>
      </c>
      <c r="O356" s="170">
        <f>IF(OR(B356="",C356=""),"",IFERROR(C356/1000*INDEX(Vöruskrá!R:R,MATCH(B356,Vöruskrá!B:B,0))/1000,""))</f>
        <v>0</v>
      </c>
      <c r="P356" s="171"/>
      <c r="Q356" s="158"/>
      <c r="R356" s="6"/>
    </row>
    <row r="357" spans="1:18" ht="15">
      <c r="A357" s="173"/>
      <c r="B357" s="173" t="s">
        <v>808</v>
      </c>
      <c r="C357" s="174">
        <v>115</v>
      </c>
      <c r="D357" s="168" t="s">
        <v>809</v>
      </c>
      <c r="E357" s="168"/>
      <c r="F357" s="168" t="s">
        <v>311</v>
      </c>
      <c r="G357" s="169">
        <f>IF(OR(B357="",C357=""),"",IFERROR(INDEX(Vöruskrá!J:J,MATCH(B357,Vöruskrá!B:B,0))*C357/100000,""))</f>
        <v>0.40594999999999998</v>
      </c>
      <c r="H357" s="169">
        <f>IF(OR(B357="",C357=""),"",IFERROR(INDEX(Vöruskrá!K:K,MATCH(B357,Vöruskrá!B:B,0))*C357/100000,""))</f>
        <v>9.6600000000000002E-3</v>
      </c>
      <c r="I357" s="169">
        <f>IF(OR(B357="",C357=""),"",IFERROR(INDEX(Vöruskrá!L:L,MATCH(B357,Vöruskrá!B:B,0))*C357/100000,""))</f>
        <v>2.6450000000000002E-3</v>
      </c>
      <c r="J357" s="169">
        <f>IF(OR(B357="",C357=""),"",IFERROR(INDEX(Vöruskrá!M:M,MATCH(B357,Vöruskrá!B:B,0))*C357/100000,""))</f>
        <v>5.6349999999999997E-2</v>
      </c>
      <c r="K357" s="169">
        <f>IF(OR(B357="",C357=""),"",IFERROR(INDEX(Vöruskrá!N:N,MATCH(B357,Vöruskrá!B:B,0))*C357/100000,""))</f>
        <v>0</v>
      </c>
      <c r="L357" s="169">
        <f>IF(OR(B357="",C357=""),"",IFERROR(INDEX(Vöruskrá!O:O,MATCH(B357,Vöruskrá!B:B,0))*C357/100000,""))</f>
        <v>8.7399999999999995E-3</v>
      </c>
      <c r="M357" s="169">
        <f>IF(OR(B357="",C357=""),"",IFERROR(INDEX(Vöruskrá!P:P,MATCH(B357,Vöruskrá!B:B,0))*C357/100000,""))</f>
        <v>1.15E-4</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819</v>
      </c>
      <c r="C358" s="172">
        <v>230</v>
      </c>
      <c r="D358" s="168" t="s">
        <v>820</v>
      </c>
      <c r="E358" s="168"/>
      <c r="F358" s="168" t="s">
        <v>311</v>
      </c>
      <c r="G358" s="169">
        <f>IF(OR(B358="",C358=""),"",IFERROR(INDEX(Vöruskrá!J:J,MATCH(B358,Vöruskrá!B:B,0))*C358/100000,""))</f>
        <v>0.88780000000000003</v>
      </c>
      <c r="H358" s="169">
        <f>IF(OR(B358="",C358=""),"",IFERROR(INDEX(Vöruskrá!K:K,MATCH(B358,Vöruskrá!B:B,0))*C358/100000,""))</f>
        <v>7.5900000000000004E-3</v>
      </c>
      <c r="I358" s="169">
        <f>IF(OR(B358="",C358=""),"",IFERROR(INDEX(Vöruskrá!L:L,MATCH(B358,Vöruskrá!B:B,0))*C358/100000,""))</f>
        <v>2.3E-3</v>
      </c>
      <c r="J358" s="169">
        <f>IF(OR(B358="",C358=""),"",IFERROR(INDEX(Vöruskrá!M:M,MATCH(B358,Vöruskrá!B:B,0))*C358/100000,""))</f>
        <v>0.14949999999999999</v>
      </c>
      <c r="K358" s="169">
        <f>IF(OR(B358="",C358=""),"",IFERROR(INDEX(Vöruskrá!N:N,MATCH(B358,Vöruskrá!B:B,0))*C358/100000,""))</f>
        <v>1.3799999999999999E-3</v>
      </c>
      <c r="L358" s="169">
        <f>IF(OR(B358="",C358=""),"",IFERROR(INDEX(Vöruskrá!O:O,MATCH(B358,Vöruskrá!B:B,0))*C358/100000,""))</f>
        <v>2.53E-2</v>
      </c>
      <c r="M358" s="169">
        <f>IF(OR(B358="",C358=""),"",IFERROR(INDEX(Vöruskrá!P:P,MATCH(B358,Vöruskrá!B:B,0))*C358/100000,""))</f>
        <v>2.3000000000000001E-4</v>
      </c>
      <c r="N358" s="169">
        <f>IF(OR(B358="",C358=""),"",IFERROR(INDEX(Vöruskrá!Q:Q,MATCH(B358,Vöruskrá!B:B,0))*C358/100000,""))</f>
        <v>0</v>
      </c>
      <c r="O358" s="170">
        <f>IF(OR(B358="",C358=""),"",IFERROR(C358/1000*INDEX(Vöruskrá!R:R,MATCH(B358,Vöruskrá!B:B,0))/1000,""))</f>
        <v>0</v>
      </c>
      <c r="P358" s="171"/>
      <c r="Q358" s="200"/>
      <c r="R358" s="159"/>
    </row>
    <row r="359" spans="1:18" ht="60">
      <c r="A359" s="147" t="s">
        <v>1710</v>
      </c>
      <c r="B359" s="147"/>
      <c r="C359" s="148"/>
      <c r="D359" s="165" t="s">
        <v>1711</v>
      </c>
      <c r="E359" s="165" t="s">
        <v>1622</v>
      </c>
      <c r="F359" s="165"/>
      <c r="G359" s="166">
        <v>104.95</v>
      </c>
      <c r="H359" s="166">
        <v>3.94</v>
      </c>
      <c r="I359" s="166">
        <v>2.25</v>
      </c>
      <c r="J359" s="166">
        <v>8.52</v>
      </c>
      <c r="K359" s="166"/>
      <c r="L359" s="166">
        <v>8.7200000000000006</v>
      </c>
      <c r="M359" s="166">
        <v>0.66</v>
      </c>
      <c r="N359" s="166">
        <f>IFERROR(SUM(N360:N367)/(SUM($C$360:$C$367)/100000),"")</f>
        <v>1.008877</v>
      </c>
      <c r="O359" s="167" t="str">
        <f>IF(OR(B359="",C359=""),"",IFERROR(C359/1000*INDEX(Vöruskrá!R:R,MATCH(B359,Vöruskrá!B:B,0))/1000,""))</f>
        <v/>
      </c>
      <c r="P359" s="196" t="s">
        <v>1712</v>
      </c>
      <c r="Q359" s="199" t="s">
        <v>1713</v>
      </c>
      <c r="R359" s="198" t="s">
        <v>1714</v>
      </c>
    </row>
    <row r="360" spans="1:18" ht="15">
      <c r="A360" s="171"/>
      <c r="B360" s="171" t="s">
        <v>926</v>
      </c>
      <c r="C360" s="172">
        <v>31364</v>
      </c>
      <c r="D360" s="168" t="s">
        <v>926</v>
      </c>
      <c r="E360" s="168" t="s">
        <v>621</v>
      </c>
      <c r="F360" s="168"/>
      <c r="G360" s="169">
        <f>IF(OR(B360="",C360=""),"",IFERROR(INDEX(Vöruskrá!J:J,MATCH(B360,Vöruskrá!B:B,0))*C360/100000,""))</f>
        <v>31.364000000000001</v>
      </c>
      <c r="H360" s="169">
        <f>IF(OR(B360="",C360=""),"",IFERROR(INDEX(Vöruskrá!K:K,MATCH(B360,Vöruskrá!B:B,0))*C360/100000,""))</f>
        <v>0.21954799999999999</v>
      </c>
      <c r="I360" s="169">
        <f>IF(OR(B360="",C360=""),"",IFERROR(INDEX(Vöruskrá!L:L,MATCH(B360,Vöruskrá!B:B,0))*C360/100000,""))</f>
        <v>3.1364000000000003E-2</v>
      </c>
      <c r="J360" s="169">
        <f>IF(OR(B360="",C360=""),"",IFERROR(INDEX(Vöruskrá!M:M,MATCH(B360,Vöruskrá!B:B,0))*C360/100000,""))</f>
        <v>0</v>
      </c>
      <c r="K360" s="169">
        <f>IF(OR(B360="",C360=""),"",IFERROR(INDEX(Vöruskrá!N:N,MATCH(B360,Vöruskrá!B:B,0))*C360/100000,""))</f>
        <v>0</v>
      </c>
      <c r="L360" s="169">
        <f>IF(OR(B360="",C360=""),"",IFERROR(INDEX(Vöruskrá!O:O,MATCH(B360,Vöruskrá!B:B,0))*C360/100000,""))</f>
        <v>7.2137200000000004</v>
      </c>
      <c r="M360" s="169">
        <f>IF(OR(B360="",C360=""),"",IFERROR(INDEX(Vöruskrá!P:P,MATCH(B360,Vöruskrá!B:B,0))*C360/100000,""))</f>
        <v>9.4091999999999995E-2</v>
      </c>
      <c r="N360" s="169">
        <f>IF(OR(B360="",C360=""),"",IFERROR(INDEX(Vöruskrá!Q:Q,MATCH(B360,Vöruskrá!B:B,0))*C360/100000,""))</f>
        <v>0</v>
      </c>
      <c r="O360" s="170">
        <f>IF(OR(B360="",C360=""),"",IFERROR(C360/1000*INDEX(Vöruskrá!R:R,MATCH(B360,Vöruskrá!B:B,0))/1000,""))</f>
        <v>0</v>
      </c>
      <c r="P360" s="171"/>
      <c r="Q360" s="197"/>
      <c r="R360" s="164"/>
    </row>
    <row r="361" spans="1:18" ht="15">
      <c r="A361" s="173"/>
      <c r="B361" s="173" t="s">
        <v>635</v>
      </c>
      <c r="C361" s="174">
        <v>41819</v>
      </c>
      <c r="D361" s="168" t="s">
        <v>635</v>
      </c>
      <c r="E361" s="168" t="s">
        <v>134</v>
      </c>
      <c r="F361" s="168"/>
      <c r="G361" s="169">
        <f>IF(OR(B361="",C361=""),"",IFERROR(INDEX(Vöruskrá!J:J,MATCH(B361,Vöruskrá!B:B,0))*C361/100000,""))</f>
        <v>32.200629999999997</v>
      </c>
      <c r="H361" s="169">
        <f>IF(OR(B361="",C361=""),"",IFERROR(INDEX(Vöruskrá!K:K,MATCH(B361,Vöruskrá!B:B,0))*C361/100000,""))</f>
        <v>4.1819000000000002E-2</v>
      </c>
      <c r="I361" s="169">
        <f>IF(OR(B361="",C361=""),"",IFERROR(INDEX(Vöruskrá!L:L,MATCH(B361,Vöruskrá!B:B,0))*C361/100000,""))</f>
        <v>0</v>
      </c>
      <c r="J361" s="169">
        <f>IF(OR(B361="",C361=""),"",IFERROR(INDEX(Vöruskrá!M:M,MATCH(B361,Vöruskrá!B:B,0))*C361/100000,""))</f>
        <v>7.1092300000000002</v>
      </c>
      <c r="K361" s="169">
        <f>IF(OR(B361="",C361=""),"",IFERROR(INDEX(Vöruskrá!N:N,MATCH(B361,Vöruskrá!B:B,0))*C361/100000,""))</f>
        <v>0.33455200000000002</v>
      </c>
      <c r="L361" s="169">
        <f>IF(OR(B361="",C361=""),"",IFERROR(INDEX(Vöruskrá!O:O,MATCH(B361,Vöruskrá!B:B,0))*C361/100000,""))</f>
        <v>0.83638000000000001</v>
      </c>
      <c r="M361" s="169">
        <f>IF(OR(B361="",C361=""),"",IFERROR(INDEX(Vöruskrá!P:P,MATCH(B361,Vöruskrá!B:B,0))*C361/100000,""))</f>
        <v>0</v>
      </c>
      <c r="N361" s="169">
        <f>IF(OR(B361="",C361=""),"",IFERROR(INDEX(Vöruskrá!Q:Q,MATCH(B361,Vöruskrá!B:B,0))*C361/100000,""))</f>
        <v>0.920018</v>
      </c>
      <c r="O361" s="170">
        <f>IF(OR(B361="",C361=""),"",IFERROR(C361/1000*INDEX(Vöruskrá!R:R,MATCH(B361,Vöruskrá!B:B,0))/1000,""))</f>
        <v>0</v>
      </c>
      <c r="P361" s="173"/>
      <c r="Q361" s="157"/>
      <c r="R361" s="27"/>
    </row>
    <row r="362" spans="1:18" ht="15">
      <c r="A362" s="171"/>
      <c r="B362" s="171" t="s">
        <v>1010</v>
      </c>
      <c r="C362" s="172">
        <v>5227</v>
      </c>
      <c r="D362" s="168" t="s">
        <v>1010</v>
      </c>
      <c r="E362" s="168" t="s">
        <v>134</v>
      </c>
      <c r="F362" s="168"/>
      <c r="G362" s="169">
        <f>IF(OR(B362="",C362=""),"",IFERROR(INDEX(Vöruskrá!J:J,MATCH(B362,Vöruskrá!B:B,0))*C362/100000,""))</f>
        <v>2.0908000000000002</v>
      </c>
      <c r="H362" s="169">
        <f>IF(OR(B362="",C362=""),"",IFERROR(INDEX(Vöruskrá!K:K,MATCH(B362,Vöruskrá!B:B,0))*C362/100000,""))</f>
        <v>5.2270000000000007E-3</v>
      </c>
      <c r="I362" s="169">
        <f>IF(OR(B362="",C362=""),"",IFERROR(INDEX(Vöruskrá!L:L,MATCH(B362,Vöruskrá!B:B,0))*C362/100000,""))</f>
        <v>0</v>
      </c>
      <c r="J362" s="169">
        <f>IF(OR(B362="",C362=""),"",IFERROR(INDEX(Vöruskrá!M:M,MATCH(B362,Vöruskrá!B:B,0))*C362/100000,""))</f>
        <v>0.48611100000000007</v>
      </c>
      <c r="K362" s="169">
        <f>IF(OR(B362="",C362=""),"",IFERROR(INDEX(Vöruskrá!N:N,MATCH(B362,Vöruskrá!B:B,0))*C362/100000,""))</f>
        <v>0.21953400000000001</v>
      </c>
      <c r="L362" s="169">
        <f>IF(OR(B362="",C362=""),"",IFERROR(INDEX(Vöruskrá!O:O,MATCH(B362,Vöruskrá!B:B,0))*C362/100000,""))</f>
        <v>5.7497000000000006E-2</v>
      </c>
      <c r="M362" s="169">
        <f>IF(OR(B362="",C362=""),"",IFERROR(INDEX(Vöruskrá!P:P,MATCH(B362,Vöruskrá!B:B,0))*C362/100000,""))</f>
        <v>0</v>
      </c>
      <c r="N362" s="169">
        <f>IF(OR(B362="",C362=""),"",IFERROR(INDEX(Vöruskrá!Q:Q,MATCH(B362,Vöruskrá!B:B,0))*C362/100000,""))</f>
        <v>8.8858999999999994E-2</v>
      </c>
      <c r="O362" s="170">
        <f>IF(OR(B362="",C362=""),"",IFERROR(C362/1000*INDEX(Vöruskrá!R:R,MATCH(B362,Vöruskrá!B:B,0))/1000,""))</f>
        <v>0</v>
      </c>
      <c r="P362" s="171"/>
      <c r="Q362" s="158"/>
      <c r="R362" s="6"/>
    </row>
    <row r="363" spans="1:18" ht="15">
      <c r="A363" s="173"/>
      <c r="B363" s="173" t="s">
        <v>445</v>
      </c>
      <c r="C363" s="174">
        <v>2614</v>
      </c>
      <c r="D363" s="168" t="s">
        <v>448</v>
      </c>
      <c r="E363" s="168" t="s">
        <v>120</v>
      </c>
      <c r="F363" s="168"/>
      <c r="G363" s="169">
        <f>IF(OR(B363="",C363=""),"",IFERROR(INDEX(Vöruskrá!J:J,MATCH(B363,Vöruskrá!B:B,0))*C363/100000,""))</f>
        <v>19.291319999999999</v>
      </c>
      <c r="H363" s="169">
        <f>IF(OR(B363="",C363=""),"",IFERROR(INDEX(Vöruskrá!K:K,MATCH(B363,Vöruskrá!B:B,0))*C363/100000,""))</f>
        <v>2.1434799999999998</v>
      </c>
      <c r="I363" s="169">
        <f>IF(OR(B363="",C363=""),"",IFERROR(INDEX(Vöruskrá!L:L,MATCH(B363,Vöruskrá!B:B,0))*C363/100000,""))</f>
        <v>1.2808600000000001</v>
      </c>
      <c r="J363" s="169">
        <f>IF(OR(B363="",C363=""),"",IFERROR(INDEX(Vöruskrá!M:M,MATCH(B363,Vöruskrá!B:B,0))*C363/100000,""))</f>
        <v>1.0456000000000002E-2</v>
      </c>
      <c r="K363" s="169">
        <f>IF(OR(B363="",C363=""),"",IFERROR(INDEX(Vöruskrá!N:N,MATCH(B363,Vöruskrá!B:B,0))*C363/100000,""))</f>
        <v>1.0456000000000002E-2</v>
      </c>
      <c r="L363" s="169">
        <f>IF(OR(B363="",C363=""),"",IFERROR(INDEX(Vöruskrá!O:O,MATCH(B363,Vöruskrá!B:B,0))*C363/100000,""))</f>
        <v>1.5684E-2</v>
      </c>
      <c r="M363" s="169">
        <f>IF(OR(B363="",C363=""),"",IFERROR(INDEX(Vöruskrá!P:P,MATCH(B363,Vöruskrá!B:B,0))*C363/100000,""))</f>
        <v>3.1368E-2</v>
      </c>
      <c r="N363" s="169">
        <f>IF(OR(B363="",C363=""),"",IFERROR(INDEX(Vöruskrá!Q:Q,MATCH(B363,Vöruskrá!B:B,0))*C363/100000,""))</f>
        <v>0</v>
      </c>
      <c r="O363" s="170">
        <f>IF(OR(B363="",C363=""),"",IFERROR(C363/1000*INDEX(Vöruskrá!R:R,MATCH(B363,Vöruskrá!B:B,0))/1000,""))</f>
        <v>0</v>
      </c>
      <c r="P363" s="173"/>
      <c r="Q363" s="157"/>
      <c r="R363" s="27"/>
    </row>
    <row r="364" spans="1:18" ht="15">
      <c r="A364" s="171"/>
      <c r="B364" s="171" t="s">
        <v>849</v>
      </c>
      <c r="C364" s="172">
        <v>15682</v>
      </c>
      <c r="D364" s="168" t="s">
        <v>850</v>
      </c>
      <c r="E364" s="168" t="s">
        <v>120</v>
      </c>
      <c r="F364" s="168"/>
      <c r="G364" s="169">
        <f>IF(OR(B364="",C364=""),"",IFERROR(INDEX(Vöruskrá!J:J,MATCH(B364,Vöruskrá!B:B,0))*C364/100000,""))</f>
        <v>10.50694</v>
      </c>
      <c r="H364" s="169">
        <f>IF(OR(B364="",C364=""),"",IFERROR(INDEX(Vöruskrá!K:K,MATCH(B364,Vöruskrá!B:B,0))*C364/100000,""))</f>
        <v>0.61159799999999997</v>
      </c>
      <c r="I364" s="169">
        <f>IF(OR(B364="",C364=""),"",IFERROR(INDEX(Vöruskrá!L:L,MATCH(B364,Vöruskrá!B:B,0))*C364/100000,""))</f>
        <v>0.36068600000000001</v>
      </c>
      <c r="J364" s="169">
        <f>IF(OR(B364="",C364=""),"",IFERROR(INDEX(Vöruskrá!M:M,MATCH(B364,Vöruskrá!B:B,0))*C364/100000,""))</f>
        <v>0.7370540000000001</v>
      </c>
      <c r="K364" s="169">
        <f>IF(OR(B364="",C364=""),"",IFERROR(INDEX(Vöruskrá!N:N,MATCH(B364,Vöruskrá!B:B,0))*C364/100000,""))</f>
        <v>0.7370540000000001</v>
      </c>
      <c r="L364" s="169">
        <f>IF(OR(B364="",C364=""),"",IFERROR(INDEX(Vöruskrá!O:O,MATCH(B364,Vöruskrá!B:B,0))*C364/100000,""))</f>
        <v>0.51750600000000002</v>
      </c>
      <c r="M364" s="169">
        <f>IF(OR(B364="",C364=""),"",IFERROR(INDEX(Vöruskrá!P:P,MATCH(B364,Vöruskrá!B:B,0))*C364/100000,""))</f>
        <v>1.5682000000000001E-2</v>
      </c>
      <c r="N364" s="169">
        <f>IF(OR(B364="",C364=""),"",IFERROR(INDEX(Vöruskrá!Q:Q,MATCH(B364,Vöruskrá!B:B,0))*C364/100000,""))</f>
        <v>0</v>
      </c>
      <c r="O364" s="170">
        <f>IF(OR(B364="",C364=""),"",IFERROR(C364/1000*INDEX(Vöruskrá!R:R,MATCH(B364,Vöruskrá!B:B,0))/1000,""))</f>
        <v>0</v>
      </c>
      <c r="P364" s="171"/>
      <c r="Q364" s="158"/>
      <c r="R364" s="6"/>
    </row>
    <row r="365" spans="1:18" ht="15">
      <c r="A365" s="173"/>
      <c r="B365" s="173" t="s">
        <v>1058</v>
      </c>
      <c r="C365" s="174">
        <v>2614</v>
      </c>
      <c r="D365" s="168" t="s">
        <v>1059</v>
      </c>
      <c r="E365" s="168" t="s">
        <v>120</v>
      </c>
      <c r="F365" s="168"/>
      <c r="G365" s="169">
        <f>IF(OR(B365="",C365=""),"",IFERROR(INDEX(Vöruskrá!J:J,MATCH(B365,Vöruskrá!B:B,0))*C365/100000,""))</f>
        <v>8.8876000000000008</v>
      </c>
      <c r="H365" s="169">
        <f>IF(OR(B365="",C365=""),"",IFERROR(INDEX(Vöruskrá!K:K,MATCH(B365,Vöruskrá!B:B,0))*C365/100000,""))</f>
        <v>0.91490000000000005</v>
      </c>
      <c r="I365" s="169">
        <f>IF(OR(B365="",C365=""),"",IFERROR(INDEX(Vöruskrá!L:L,MATCH(B365,Vöruskrá!B:B,0))*C365/100000,""))</f>
        <v>0.57508000000000004</v>
      </c>
      <c r="J365" s="169">
        <f>IF(OR(B365="",C365=""),"",IFERROR(INDEX(Vöruskrá!M:M,MATCH(B365,Vöruskrá!B:B,0))*C365/100000,""))</f>
        <v>7.8420000000000004E-2</v>
      </c>
      <c r="K365" s="169">
        <f>IF(OR(B365="",C365=""),"",IFERROR(INDEX(Vöruskrá!N:N,MATCH(B365,Vöruskrá!B:B,0))*C365/100000,""))</f>
        <v>7.8420000000000004E-2</v>
      </c>
      <c r="L365" s="169">
        <f>IF(OR(B365="",C365=""),"",IFERROR(INDEX(Vöruskrá!O:O,MATCH(B365,Vöruskrá!B:B,0))*C365/100000,""))</f>
        <v>6.5350000000000005E-2</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3"/>
      <c r="Q365" s="157"/>
      <c r="R365" s="27"/>
    </row>
    <row r="366" spans="1:18" ht="15">
      <c r="A366" s="171"/>
      <c r="B366" s="171" t="s">
        <v>299</v>
      </c>
      <c r="C366" s="172">
        <v>523</v>
      </c>
      <c r="D366" s="168" t="s">
        <v>302</v>
      </c>
      <c r="E366" s="168" t="s">
        <v>134</v>
      </c>
      <c r="F366" s="168" t="s">
        <v>303</v>
      </c>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0.52300000000000002</v>
      </c>
      <c r="N366" s="169">
        <f>IF(OR(B366="",C366=""),"",IFERROR(INDEX(Vöruskrá!Q:Q,MATCH(B366,Vöruskrá!B:B,0))*C366/100000,""))</f>
        <v>0</v>
      </c>
      <c r="O366" s="170">
        <f>IF(OR(B366="",C366=""),"",IFERROR(C366/1000*INDEX(Vöruskrá!R:R,MATCH(B366,Vöruskrá!B:B,0))/1000,""))</f>
        <v>0</v>
      </c>
      <c r="P366" s="171"/>
      <c r="Q366" s="158"/>
      <c r="R366" s="6"/>
    </row>
    <row r="367" spans="1:18" ht="15">
      <c r="A367" s="173"/>
      <c r="B367" s="173" t="s">
        <v>819</v>
      </c>
      <c r="C367" s="174">
        <v>157</v>
      </c>
      <c r="D367" s="168" t="s">
        <v>820</v>
      </c>
      <c r="E367" s="168"/>
      <c r="F367" s="168" t="s">
        <v>311</v>
      </c>
      <c r="G367" s="169">
        <f>IF(OR(B367="",C367=""),"",IFERROR(INDEX(Vöruskrá!J:J,MATCH(B367,Vöruskrá!B:B,0))*C367/100000,""))</f>
        <v>0.60602</v>
      </c>
      <c r="H367" s="169">
        <f>IF(OR(B367="",C367=""),"",IFERROR(INDEX(Vöruskrá!K:K,MATCH(B367,Vöruskrá!B:B,0))*C367/100000,""))</f>
        <v>5.1809999999999998E-3</v>
      </c>
      <c r="I367" s="169">
        <f>IF(OR(B367="",C367=""),"",IFERROR(INDEX(Vöruskrá!L:L,MATCH(B367,Vöruskrá!B:B,0))*C367/100000,""))</f>
        <v>1.57E-3</v>
      </c>
      <c r="J367" s="169">
        <f>IF(OR(B367="",C367=""),"",IFERROR(INDEX(Vöruskrá!M:M,MATCH(B367,Vöruskrá!B:B,0))*C367/100000,""))</f>
        <v>0.10205</v>
      </c>
      <c r="K367" s="169">
        <f>IF(OR(B367="",C367=""),"",IFERROR(INDEX(Vöruskrá!N:N,MATCH(B367,Vöruskrá!B:B,0))*C367/100000,""))</f>
        <v>9.4200000000000002E-4</v>
      </c>
      <c r="L367" s="169">
        <f>IF(OR(B367="",C367=""),"",IFERROR(INDEX(Vöruskrá!O:O,MATCH(B367,Vöruskrá!B:B,0))*C367/100000,""))</f>
        <v>1.7270000000000001E-2</v>
      </c>
      <c r="M367" s="169">
        <f>IF(OR(B367="",C367=""),"",IFERROR(INDEX(Vöruskrá!P:P,MATCH(B367,Vöruskrá!B:B,0))*C367/100000,""))</f>
        <v>1.5700000000000002E-4</v>
      </c>
      <c r="N367" s="169">
        <f>IF(OR(B367="",C367=""),"",IFERROR(INDEX(Vöruskrá!Q:Q,MATCH(B367,Vöruskrá!B:B,0))*C367/100000,""))</f>
        <v>0</v>
      </c>
      <c r="O367" s="170">
        <f>IF(OR(B367="",C367=""),"",IFERROR(C367/1000*INDEX(Vöruskrá!R:R,MATCH(B367,Vöruskrá!B:B,0))/1000,""))</f>
        <v>0</v>
      </c>
      <c r="P367" s="173"/>
      <c r="Q367" s="201"/>
      <c r="R367" s="202"/>
    </row>
    <row r="368" spans="1:18" ht="36">
      <c r="A368" s="147" t="s">
        <v>1715</v>
      </c>
      <c r="B368" s="147"/>
      <c r="C368" s="148"/>
      <c r="D368" s="165" t="s">
        <v>1716</v>
      </c>
      <c r="E368" s="165" t="s">
        <v>1622</v>
      </c>
      <c r="F368" s="165"/>
      <c r="G368" s="166">
        <v>198.21</v>
      </c>
      <c r="H368" s="166">
        <v>13.01</v>
      </c>
      <c r="I368" s="166">
        <v>2.48</v>
      </c>
      <c r="J368" s="166">
        <v>7.64</v>
      </c>
      <c r="K368" s="166"/>
      <c r="L368" s="166">
        <v>12.58</v>
      </c>
      <c r="M368" s="166">
        <v>2.84</v>
      </c>
      <c r="N368" s="166">
        <f>IFERROR(SUM(N369:N371)/(SUM($C$369:$C$371)/100000),"")</f>
        <v>0.289854</v>
      </c>
      <c r="O368" s="167" t="str">
        <f>IF(OR(B368="",C368=""),"",IFERROR(C368/1000*INDEX(Vöruskrá!R:R,MATCH(B368,Vöruskrá!B:B,0))/1000,""))</f>
        <v/>
      </c>
      <c r="P368" s="196" t="s">
        <v>1717</v>
      </c>
      <c r="Q368" s="195" t="s">
        <v>1718</v>
      </c>
      <c r="R368" s="194" t="s">
        <v>1719</v>
      </c>
    </row>
    <row r="369" spans="1:18" ht="15">
      <c r="A369" s="171"/>
      <c r="B369" s="171" t="s">
        <v>1296</v>
      </c>
      <c r="C369" s="172">
        <v>96618</v>
      </c>
      <c r="D369" s="168" t="s">
        <v>1297</v>
      </c>
      <c r="E369" s="168" t="s">
        <v>621</v>
      </c>
      <c r="F369" s="168"/>
      <c r="G369" s="169">
        <f>IF(OR(B369="",C369=""),"",IFERROR(INDEX(Vöruskrá!J:J,MATCH(B369,Vöruskrá!B:B,0))*C369/100000,""))</f>
        <v>176.81093999999999</v>
      </c>
      <c r="H369" s="169">
        <f>IF(OR(B369="",C369=""),"",IFERROR(INDEX(Vöruskrá!K:K,MATCH(B369,Vöruskrá!B:B,0))*C369/100000,""))</f>
        <v>10.627980000000001</v>
      </c>
      <c r="I369" s="169">
        <f>IF(OR(B369="",C369=""),"",IFERROR(INDEX(Vöruskrá!L:L,MATCH(B369,Vöruskrá!B:B,0))*C369/100000,""))</f>
        <v>1.0627980000000001</v>
      </c>
      <c r="J369" s="169">
        <f>IF(OR(B369="",C369=""),"",IFERROR(INDEX(Vöruskrá!M:M,MATCH(B369,Vöruskrá!B:B,0))*C369/100000,""))</f>
        <v>7.6328220000000009</v>
      </c>
      <c r="K369" s="169">
        <f>IF(OR(B369="",C369=""),"",IFERROR(INDEX(Vöruskrá!N:N,MATCH(B369,Vöruskrá!B:B,0))*C369/100000,""))</f>
        <v>2.0289780000000004</v>
      </c>
      <c r="L369" s="169">
        <f>IF(OR(B369="",C369=""),"",IFERROR(INDEX(Vöruskrá!O:O,MATCH(B369,Vöruskrá!B:B,0))*C369/100000,""))</f>
        <v>12.56034</v>
      </c>
      <c r="M369" s="169">
        <f>IF(OR(B369="",C369=""),"",IFERROR(INDEX(Vöruskrá!P:P,MATCH(B369,Vöruskrá!B:B,0))*C369/100000,""))</f>
        <v>2.318832</v>
      </c>
      <c r="N369" s="169">
        <f>IF(OR(B369="",C369=""),"",IFERROR(INDEX(Vöruskrá!Q:Q,MATCH(B369,Vöruskrá!B:B,0))*C369/100000,""))</f>
        <v>0.289854</v>
      </c>
      <c r="O369" s="170">
        <f>IF(OR(B369="",C369=""),"",IFERROR(C369/1000*INDEX(Vöruskrá!R:R,MATCH(B369,Vöruskrá!B:B,0))/1000,""))</f>
        <v>0</v>
      </c>
      <c r="P369" s="171"/>
      <c r="Q369" s="203"/>
      <c r="R369" s="204"/>
    </row>
    <row r="370" spans="1:18" ht="15">
      <c r="A370" s="173"/>
      <c r="B370" s="173" t="s">
        <v>445</v>
      </c>
      <c r="C370" s="174">
        <v>2899</v>
      </c>
      <c r="D370" s="168" t="s">
        <v>448</v>
      </c>
      <c r="E370" s="168" t="s">
        <v>120</v>
      </c>
      <c r="F370" s="168"/>
      <c r="G370" s="169">
        <f>IF(OR(B370="",C370=""),"",IFERROR(INDEX(Vöruskrá!J:J,MATCH(B370,Vöruskrá!B:B,0))*C370/100000,""))</f>
        <v>21.39462</v>
      </c>
      <c r="H370" s="169">
        <f>IF(OR(B370="",C370=""),"",IFERROR(INDEX(Vöruskrá!K:K,MATCH(B370,Vöruskrá!B:B,0))*C370/100000,""))</f>
        <v>2.3771800000000001</v>
      </c>
      <c r="I370" s="169">
        <f>IF(OR(B370="",C370=""),"",IFERROR(INDEX(Vöruskrá!L:L,MATCH(B370,Vöruskrá!B:B,0))*C370/100000,""))</f>
        <v>1.4205099999999999</v>
      </c>
      <c r="J370" s="169">
        <f>IF(OR(B370="",C370=""),"",IFERROR(INDEX(Vöruskrá!M:M,MATCH(B370,Vöruskrá!B:B,0))*C370/100000,""))</f>
        <v>1.1596000000000002E-2</v>
      </c>
      <c r="K370" s="169">
        <f>IF(OR(B370="",C370=""),"",IFERROR(INDEX(Vöruskrá!N:N,MATCH(B370,Vöruskrá!B:B,0))*C370/100000,""))</f>
        <v>1.1596000000000002E-2</v>
      </c>
      <c r="L370" s="169">
        <f>IF(OR(B370="",C370=""),"",IFERROR(INDEX(Vöruskrá!O:O,MATCH(B370,Vöruskrá!B:B,0))*C370/100000,""))</f>
        <v>1.7394E-2</v>
      </c>
      <c r="M370" s="169">
        <f>IF(OR(B370="",C370=""),"",IFERROR(INDEX(Vöruskrá!P:P,MATCH(B370,Vöruskrá!B:B,0))*C370/100000,""))</f>
        <v>3.4787999999999999E-2</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299</v>
      </c>
      <c r="C371" s="172">
        <v>483</v>
      </c>
      <c r="D371" s="168" t="s">
        <v>302</v>
      </c>
      <c r="E371" s="168" t="s">
        <v>134</v>
      </c>
      <c r="F371" s="168" t="s">
        <v>303</v>
      </c>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0.48299999999999998</v>
      </c>
      <c r="N371" s="169">
        <f>IF(OR(B371="",C371=""),"",IFERROR(INDEX(Vöruskrá!Q:Q,MATCH(B371,Vöruskrá!B:B,0))*C371/100000,""))</f>
        <v>0</v>
      </c>
      <c r="O371" s="170">
        <f>IF(OR(B371="",C371=""),"",IFERROR(C371/1000*INDEX(Vöruskrá!R:R,MATCH(B371,Vöruskrá!B:B,0))/1000,""))</f>
        <v>0</v>
      </c>
      <c r="P371" s="171"/>
      <c r="Q371" s="201"/>
      <c r="R371" s="202"/>
    </row>
    <row r="372" spans="1:18" ht="36">
      <c r="A372" s="147" t="s">
        <v>1720</v>
      </c>
      <c r="B372" s="147"/>
      <c r="C372" s="148"/>
      <c r="D372" s="165" t="s">
        <v>1666</v>
      </c>
      <c r="E372" s="165" t="s">
        <v>621</v>
      </c>
      <c r="F372" s="165"/>
      <c r="G372" s="166">
        <v>113.64</v>
      </c>
      <c r="H372" s="166">
        <v>4.43</v>
      </c>
      <c r="I372" s="166">
        <v>0.35</v>
      </c>
      <c r="J372" s="166">
        <v>2.71</v>
      </c>
      <c r="K372" s="166"/>
      <c r="L372" s="166">
        <v>17.88</v>
      </c>
      <c r="M372" s="166">
        <v>1.01</v>
      </c>
      <c r="N372" s="166">
        <f>IFERROR(SUM(N373:N379)/(SUM($C$373:$C$379)/100000),"")</f>
        <v>0</v>
      </c>
      <c r="O372" s="167" t="str">
        <f>IF(OR(B372="",C372=""),"",IFERROR(C372/1000*INDEX(Vöruskrá!R:R,MATCH(B372,Vöruskrá!B:B,0))/1000,""))</f>
        <v/>
      </c>
      <c r="P372" s="196" t="s">
        <v>1721</v>
      </c>
      <c r="Q372" s="199" t="s">
        <v>1722</v>
      </c>
      <c r="R372" s="198" t="s">
        <v>1723</v>
      </c>
    </row>
    <row r="373" spans="1:18" ht="15">
      <c r="A373" s="171"/>
      <c r="B373" s="171" t="s">
        <v>926</v>
      </c>
      <c r="C373" s="172">
        <v>77595</v>
      </c>
      <c r="D373" s="168" t="s">
        <v>926</v>
      </c>
      <c r="E373" s="168" t="s">
        <v>621</v>
      </c>
      <c r="F373" s="168"/>
      <c r="G373" s="169">
        <f>IF(OR(B373="",C373=""),"",IFERROR(INDEX(Vöruskrá!J:J,MATCH(B373,Vöruskrá!B:B,0))*C373/100000,""))</f>
        <v>77.594999999999999</v>
      </c>
      <c r="H373" s="169">
        <f>IF(OR(B373="",C373=""),"",IFERROR(INDEX(Vöruskrá!K:K,MATCH(B373,Vöruskrá!B:B,0))*C373/100000,""))</f>
        <v>0.54316500000000001</v>
      </c>
      <c r="I373" s="169">
        <f>IF(OR(B373="",C373=""),"",IFERROR(INDEX(Vöruskrá!L:L,MATCH(B373,Vöruskrá!B:B,0))*C373/100000,""))</f>
        <v>7.7594999999999997E-2</v>
      </c>
      <c r="J373" s="169">
        <f>IF(OR(B373="",C373=""),"",IFERROR(INDEX(Vöruskrá!M:M,MATCH(B373,Vöruskrá!B:B,0))*C373/100000,""))</f>
        <v>0</v>
      </c>
      <c r="K373" s="169">
        <f>IF(OR(B373="",C373=""),"",IFERROR(INDEX(Vöruskrá!N:N,MATCH(B373,Vöruskrá!B:B,0))*C373/100000,""))</f>
        <v>0</v>
      </c>
      <c r="L373" s="169">
        <f>IF(OR(B373="",C373=""),"",IFERROR(INDEX(Vöruskrá!O:O,MATCH(B373,Vöruskrá!B:B,0))*C373/100000,""))</f>
        <v>17.84685</v>
      </c>
      <c r="M373" s="169">
        <f>IF(OR(B373="",C373=""),"",IFERROR(INDEX(Vöruskrá!P:P,MATCH(B373,Vöruskrá!B:B,0))*C373/100000,""))</f>
        <v>0.23278499999999999</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1466</v>
      </c>
      <c r="C374" s="174">
        <v>9699</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1463</v>
      </c>
      <c r="C375" s="172">
        <v>4850</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1465</v>
      </c>
      <c r="C376" s="174">
        <v>2910</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299</v>
      </c>
      <c r="C377" s="172">
        <v>776</v>
      </c>
      <c r="D377" s="168" t="s">
        <v>302</v>
      </c>
      <c r="E377" s="168" t="s">
        <v>134</v>
      </c>
      <c r="F377" s="168" t="s">
        <v>303</v>
      </c>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0.77600000000000002</v>
      </c>
      <c r="N377" s="169">
        <f>IF(OR(B377="",C377=""),"",IFERROR(INDEX(Vöruskrá!Q:Q,MATCH(B377,Vöruskrá!B:B,0))*C377/100000,""))</f>
        <v>0</v>
      </c>
      <c r="O377" s="170">
        <f>IF(OR(B377="",C377=""),"",IFERROR(C377/1000*INDEX(Vöruskrá!R:R,MATCH(B377,Vöruskrá!B:B,0))/1000,""))</f>
        <v>0</v>
      </c>
      <c r="P377" s="171"/>
      <c r="Q377" s="157"/>
      <c r="R377" s="27"/>
    </row>
    <row r="378" spans="1:18" ht="15">
      <c r="A378" s="173"/>
      <c r="B378" s="173" t="s">
        <v>819</v>
      </c>
      <c r="C378" s="174">
        <v>291</v>
      </c>
      <c r="D378" s="168" t="s">
        <v>820</v>
      </c>
      <c r="E378" s="168"/>
      <c r="F378" s="168" t="s">
        <v>311</v>
      </c>
      <c r="G378" s="169">
        <f>IF(OR(B378="",C378=""),"",IFERROR(INDEX(Vöruskrá!J:J,MATCH(B378,Vöruskrá!B:B,0))*C378/100000,""))</f>
        <v>1.1232599999999999</v>
      </c>
      <c r="H378" s="169">
        <f>IF(OR(B378="",C378=""),"",IFERROR(INDEX(Vöruskrá!K:K,MATCH(B378,Vöruskrá!B:B,0))*C378/100000,""))</f>
        <v>9.6029999999999987E-3</v>
      </c>
      <c r="I378" s="169">
        <f>IF(OR(B378="",C378=""),"",IFERROR(INDEX(Vöruskrá!L:L,MATCH(B378,Vöruskrá!B:B,0))*C378/100000,""))</f>
        <v>2.9099999999999998E-3</v>
      </c>
      <c r="J378" s="169">
        <f>IF(OR(B378="",C378=""),"",IFERROR(INDEX(Vöruskrá!M:M,MATCH(B378,Vöruskrá!B:B,0))*C378/100000,""))</f>
        <v>0.18915000000000001</v>
      </c>
      <c r="K378" s="169">
        <f>IF(OR(B378="",C378=""),"",IFERROR(INDEX(Vöruskrá!N:N,MATCH(B378,Vöruskrá!B:B,0))*C378/100000,""))</f>
        <v>1.7459999999999999E-3</v>
      </c>
      <c r="L378" s="169">
        <f>IF(OR(B378="",C378=""),"",IFERROR(INDEX(Vöruskrá!O:O,MATCH(B378,Vöruskrá!B:B,0))*C378/100000,""))</f>
        <v>3.2009999999999997E-2</v>
      </c>
      <c r="M378" s="169">
        <f>IF(OR(B378="",C378=""),"",IFERROR(INDEX(Vöruskrá!P:P,MATCH(B378,Vöruskrá!B:B,0))*C378/100000,""))</f>
        <v>2.9100000000000003E-4</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1270</v>
      </c>
      <c r="C379" s="172">
        <v>3880</v>
      </c>
      <c r="D379" s="168" t="s">
        <v>1270</v>
      </c>
      <c r="E379" s="168" t="s">
        <v>134</v>
      </c>
      <c r="F379" s="168"/>
      <c r="G379" s="169">
        <f>IF(OR(B379="",C379=""),"",IFERROR(INDEX(Vöruskrá!J:J,MATCH(B379,Vöruskrá!B:B,0))*C379/100000,""))</f>
        <v>34.92</v>
      </c>
      <c r="H379" s="169">
        <f>IF(OR(B379="",C379=""),"",IFERROR(INDEX(Vöruskrá!K:K,MATCH(B379,Vöruskrá!B:B,0))*C379/100000,""))</f>
        <v>3.88</v>
      </c>
      <c r="I379" s="169">
        <f>IF(OR(B379="",C379=""),"",IFERROR(INDEX(Vöruskrá!L:L,MATCH(B379,Vöruskrá!B:B,0))*C379/100000,""))</f>
        <v>0.27160000000000001</v>
      </c>
      <c r="J379" s="169">
        <f>IF(OR(B379="",C379=""),"",IFERROR(INDEX(Vöruskrá!M:M,MATCH(B379,Vöruskrá!B:B,0))*C379/100000,""))</f>
        <v>2.5219999999999998</v>
      </c>
      <c r="K379" s="169">
        <f>IF(OR(B379="",C379=""),"",IFERROR(INDEX(Vöruskrá!N:N,MATCH(B379,Vöruskrá!B:B,0))*C379/100000,""))</f>
        <v>1.0669999999999999</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201"/>
      <c r="R379" s="202"/>
    </row>
    <row r="380" spans="1:18" ht="48">
      <c r="A380" s="147" t="s">
        <v>1724</v>
      </c>
      <c r="B380" s="147"/>
      <c r="C380" s="148"/>
      <c r="D380" s="165" t="s">
        <v>1725</v>
      </c>
      <c r="E380" s="165" t="s">
        <v>621</v>
      </c>
      <c r="F380" s="165"/>
      <c r="G380" s="166">
        <v>120.69</v>
      </c>
      <c r="H380" s="166">
        <v>5.3</v>
      </c>
      <c r="I380" s="166">
        <v>0.42</v>
      </c>
      <c r="J380" s="166">
        <v>3.86</v>
      </c>
      <c r="K380" s="166"/>
      <c r="L380" s="166">
        <v>17.329999999999998</v>
      </c>
      <c r="M380" s="166">
        <v>1.1499999999999999</v>
      </c>
      <c r="N380" s="166">
        <f>IFERROR(SUM(N381:N388)/(SUM($C$381:$C$388)/100000),"")</f>
        <v>0.32550325503255034</v>
      </c>
      <c r="O380" s="167" t="str">
        <f>IF(OR(B380="",C380=""),"",IFERROR(C380/1000*INDEX(Vöruskrá!R:R,MATCH(B380,Vöruskrá!B:B,0))/1000,""))</f>
        <v/>
      </c>
      <c r="P380" s="196" t="s">
        <v>1726</v>
      </c>
      <c r="Q380" s="195" t="s">
        <v>1727</v>
      </c>
      <c r="R380" s="194" t="s">
        <v>1728</v>
      </c>
    </row>
    <row r="381" spans="1:18" ht="15">
      <c r="A381" s="171"/>
      <c r="B381" s="171" t="s">
        <v>926</v>
      </c>
      <c r="C381" s="172">
        <v>74419</v>
      </c>
      <c r="D381" s="168" t="s">
        <v>926</v>
      </c>
      <c r="E381" s="168" t="s">
        <v>621</v>
      </c>
      <c r="F381" s="168"/>
      <c r="G381" s="169">
        <f>IF(OR(B381="",C381=""),"",IFERROR(INDEX(Vöruskrá!J:J,MATCH(B381,Vöruskrá!B:B,0))*C381/100000,""))</f>
        <v>74.418999999999997</v>
      </c>
      <c r="H381" s="169">
        <f>IF(OR(B381="",C381=""),"",IFERROR(INDEX(Vöruskrá!K:K,MATCH(B381,Vöruskrá!B:B,0))*C381/100000,""))</f>
        <v>0.52093299999999998</v>
      </c>
      <c r="I381" s="169">
        <f>IF(OR(B381="",C381=""),"",IFERROR(INDEX(Vöruskrá!L:L,MATCH(B381,Vöruskrá!B:B,0))*C381/100000,""))</f>
        <v>7.4418999999999999E-2</v>
      </c>
      <c r="J381" s="169">
        <f>IF(OR(B381="",C381=""),"",IFERROR(INDEX(Vöruskrá!M:M,MATCH(B381,Vöruskrá!B:B,0))*C381/100000,""))</f>
        <v>0</v>
      </c>
      <c r="K381" s="169">
        <f>IF(OR(B381="",C381=""),"",IFERROR(INDEX(Vöruskrá!N:N,MATCH(B381,Vöruskrá!B:B,0))*C381/100000,""))</f>
        <v>0</v>
      </c>
      <c r="L381" s="169">
        <f>IF(OR(B381="",C381=""),"",IFERROR(INDEX(Vöruskrá!O:O,MATCH(B381,Vöruskrá!B:B,0))*C381/100000,""))</f>
        <v>17.11637</v>
      </c>
      <c r="M381" s="169">
        <f>IF(OR(B381="",C381=""),"",IFERROR(INDEX(Vöruskrá!P:P,MATCH(B381,Vöruskrá!B:B,0))*C381/100000,""))</f>
        <v>0.22325700000000001</v>
      </c>
      <c r="N381" s="169">
        <f>IF(OR(B381="",C381=""),"",IFERROR(INDEX(Vöruskrá!Q:Q,MATCH(B381,Vöruskrá!B:B,0))*C381/100000,""))</f>
        <v>0</v>
      </c>
      <c r="O381" s="170">
        <f>IF(OR(B381="",C381=""),"",IFERROR(C381/1000*INDEX(Vöruskrá!R:R,MATCH(B381,Vöruskrá!B:B,0))/1000,""))</f>
        <v>0</v>
      </c>
      <c r="P381" s="171"/>
      <c r="Q381" s="203"/>
      <c r="R381" s="204"/>
    </row>
    <row r="382" spans="1:18" ht="15">
      <c r="A382" s="173"/>
      <c r="B382" s="173" t="s">
        <v>1465</v>
      </c>
      <c r="C382" s="174">
        <v>4651</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8"/>
      <c r="R382" s="6"/>
    </row>
    <row r="383" spans="1:18" ht="15">
      <c r="A383" s="171"/>
      <c r="B383" s="171" t="s">
        <v>1463</v>
      </c>
      <c r="C383" s="172">
        <v>4651</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1466</v>
      </c>
      <c r="C384" s="174">
        <v>9302</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1026</v>
      </c>
      <c r="C385" s="172">
        <v>930</v>
      </c>
      <c r="D385" s="168" t="s">
        <v>1027</v>
      </c>
      <c r="E385" s="168" t="s">
        <v>134</v>
      </c>
      <c r="F385" s="168" t="s">
        <v>1024</v>
      </c>
      <c r="G385" s="169">
        <f>IF(OR(B385="",C385=""),"",IFERROR(INDEX(Vöruskrá!J:J,MATCH(B385,Vöruskrá!B:B,0))*C385/100000,""))</f>
        <v>2.6225999999999998</v>
      </c>
      <c r="H385" s="169">
        <f>IF(OR(B385="",C385=""),"",IFERROR(INDEX(Vöruskrá!K:K,MATCH(B385,Vöruskrá!B:B,0))*C385/100000,""))</f>
        <v>0.12089999999999999</v>
      </c>
      <c r="I385" s="169">
        <f>IF(OR(B385="",C385=""),"",IFERROR(INDEX(Vöruskrá!L:L,MATCH(B385,Vöruskrá!B:B,0))*C385/100000,""))</f>
        <v>1.8599999999999998E-2</v>
      </c>
      <c r="J385" s="169">
        <f>IF(OR(B385="",C385=""),"",IFERROR(INDEX(Vöruskrá!M:M,MATCH(B385,Vöruskrá!B:B,0))*C385/100000,""))</f>
        <v>0.50219999999999998</v>
      </c>
      <c r="K385" s="169">
        <f>IF(OR(B385="",C385=""),"",IFERROR(INDEX(Vöruskrá!N:N,MATCH(B385,Vöruskrá!B:B,0))*C385/100000,""))</f>
        <v>9.2999999999999999E-2</v>
      </c>
      <c r="L385" s="169">
        <f>IF(OR(B385="",C385=""),"",IFERROR(INDEX(Vöruskrá!O:O,MATCH(B385,Vöruskrá!B:B,0))*C385/100000,""))</f>
        <v>0.13020000000000001</v>
      </c>
      <c r="M385" s="169">
        <f>IF(OR(B385="",C385=""),"",IFERROR(INDEX(Vöruskrá!P:P,MATCH(B385,Vöruskrá!B:B,0))*C385/100000,""))</f>
        <v>9.3000000000000005E-4</v>
      </c>
      <c r="N385" s="169">
        <f>IF(OR(B385="",C385=""),"",IFERROR(INDEX(Vöruskrá!Q:Q,MATCH(B385,Vöruskrá!B:B,0))*C385/100000,""))</f>
        <v>0.32550000000000001</v>
      </c>
      <c r="O385" s="170">
        <f>IF(OR(B385="",C385=""),"",IFERROR(C385/1000*INDEX(Vöruskrá!R:R,MATCH(B385,Vöruskrá!B:B,0))/1000,""))</f>
        <v>0</v>
      </c>
      <c r="P385" s="171"/>
      <c r="Q385" s="157"/>
      <c r="R385" s="27"/>
    </row>
    <row r="386" spans="1:18" ht="15">
      <c r="A386" s="173"/>
      <c r="B386" s="173" t="s">
        <v>315</v>
      </c>
      <c r="C386" s="174">
        <v>465</v>
      </c>
      <c r="D386" s="168" t="s">
        <v>316</v>
      </c>
      <c r="E386" s="168" t="s">
        <v>134</v>
      </c>
      <c r="F386" s="168" t="s">
        <v>311</v>
      </c>
      <c r="G386" s="169">
        <f>IF(OR(B386="",C386=""),"",IFERROR(INDEX(Vöruskrá!J:J,MATCH(B386,Vöruskrá!B:B,0))*C386/100000,""))</f>
        <v>1.7902499999999999</v>
      </c>
      <c r="H386" s="169">
        <f>IF(OR(B386="",C386=""),"",IFERROR(INDEX(Vöruskrá!K:K,MATCH(B386,Vöruskrá!B:B,0))*C386/100000,""))</f>
        <v>3.7200000000000002E-3</v>
      </c>
      <c r="I386" s="169">
        <f>IF(OR(B386="",C386=""),"",IFERROR(INDEX(Vöruskrá!L:L,MATCH(B386,Vöruskrá!B:B,0))*C386/100000,""))</f>
        <v>4.6500000000000003E-4</v>
      </c>
      <c r="J386" s="169">
        <f>IF(OR(B386="",C386=""),"",IFERROR(INDEX(Vöruskrá!M:M,MATCH(B386,Vöruskrá!B:B,0))*C386/100000,""))</f>
        <v>0.33944999999999997</v>
      </c>
      <c r="K386" s="169">
        <f>IF(OR(B386="",C386=""),"",IFERROR(INDEX(Vöruskrá!N:N,MATCH(B386,Vöruskrá!B:B,0))*C386/100000,""))</f>
        <v>0.1116</v>
      </c>
      <c r="L386" s="169">
        <f>IF(OR(B386="",C386=""),"",IFERROR(INDEX(Vöruskrá!O:O,MATCH(B386,Vöruskrá!B:B,0))*C386/100000,""))</f>
        <v>7.9049999999999995E-2</v>
      </c>
      <c r="M386" s="169">
        <f>IF(OR(B386="",C386=""),"",IFERROR(INDEX(Vöruskrá!P:P,MATCH(B386,Vöruskrá!B:B,0))*C386/100000,""))</f>
        <v>4.6500000000000003E-4</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299</v>
      </c>
      <c r="C387" s="172">
        <v>930</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0.93</v>
      </c>
      <c r="N387" s="169">
        <f>IF(OR(B387="",C387=""),"",IFERROR(INDEX(Vöruskrá!Q:Q,MATCH(B387,Vöruskrá!B:B,0))*C387/100000,""))</f>
        <v>0</v>
      </c>
      <c r="O387" s="170">
        <f>IF(OR(B387="",C387=""),"",IFERROR(C387/1000*INDEX(Vöruskrá!R:R,MATCH(B387,Vöruskrá!B:B,0))/1000,""))</f>
        <v>0</v>
      </c>
      <c r="P387" s="171"/>
      <c r="Q387" s="157"/>
      <c r="R387" s="27"/>
    </row>
    <row r="388" spans="1:18" ht="15">
      <c r="A388" s="173"/>
      <c r="B388" s="173" t="s">
        <v>1270</v>
      </c>
      <c r="C388" s="174">
        <v>4651</v>
      </c>
      <c r="D388" s="168" t="s">
        <v>1270</v>
      </c>
      <c r="E388" s="168" t="s">
        <v>134</v>
      </c>
      <c r="F388" s="168"/>
      <c r="G388" s="169">
        <f>IF(OR(B388="",C388=""),"",IFERROR(INDEX(Vöruskrá!J:J,MATCH(B388,Vöruskrá!B:B,0))*C388/100000,""))</f>
        <v>41.859000000000002</v>
      </c>
      <c r="H388" s="169">
        <f>IF(OR(B388="",C388=""),"",IFERROR(INDEX(Vöruskrá!K:K,MATCH(B388,Vöruskrá!B:B,0))*C388/100000,""))</f>
        <v>4.6509999999999998</v>
      </c>
      <c r="I388" s="169">
        <f>IF(OR(B388="",C388=""),"",IFERROR(INDEX(Vöruskrá!L:L,MATCH(B388,Vöruskrá!B:B,0))*C388/100000,""))</f>
        <v>0.32557000000000003</v>
      </c>
      <c r="J388" s="169">
        <f>IF(OR(B388="",C388=""),"",IFERROR(INDEX(Vöruskrá!M:M,MATCH(B388,Vöruskrá!B:B,0))*C388/100000,""))</f>
        <v>3.0231499999999998</v>
      </c>
      <c r="K388" s="169">
        <f>IF(OR(B388="",C388=""),"",IFERROR(INDEX(Vöruskrá!N:N,MATCH(B388,Vöruskrá!B:B,0))*C388/100000,""))</f>
        <v>1.2790250000000001</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3"/>
      <c r="Q388" s="200"/>
      <c r="R388" s="159"/>
    </row>
    <row r="389" spans="1:18" ht="60">
      <c r="A389" s="147" t="s">
        <v>1729</v>
      </c>
      <c r="B389" s="147"/>
      <c r="C389" s="148"/>
      <c r="D389" s="165" t="s">
        <v>1730</v>
      </c>
      <c r="E389" s="165" t="s">
        <v>1622</v>
      </c>
      <c r="F389" s="165"/>
      <c r="G389" s="166">
        <v>72.83</v>
      </c>
      <c r="H389" s="166">
        <v>2.0499999999999998</v>
      </c>
      <c r="I389" s="166">
        <v>1.06</v>
      </c>
      <c r="J389" s="166">
        <v>0.54</v>
      </c>
      <c r="K389" s="166"/>
      <c r="L389" s="166">
        <v>12.72</v>
      </c>
      <c r="M389" s="166">
        <v>1.5</v>
      </c>
      <c r="N389" s="166">
        <f>IFERROR(SUM(N390:N397)/(SUM($C$390:$C$397)/100000),"")</f>
        <v>0</v>
      </c>
      <c r="O389" s="167" t="str">
        <f>IF(OR(B389="",C389=""),"",IFERROR(C389/1000*INDEX(Vöruskrá!R:R,MATCH(B389,Vöruskrá!B:B,0))/1000,""))</f>
        <v/>
      </c>
      <c r="P389" s="196" t="s">
        <v>1731</v>
      </c>
      <c r="Q389" s="199" t="s">
        <v>1732</v>
      </c>
      <c r="R389" s="198" t="s">
        <v>1733</v>
      </c>
    </row>
    <row r="390" spans="1:18" ht="15">
      <c r="A390" s="171"/>
      <c r="B390" s="171" t="s">
        <v>926</v>
      </c>
      <c r="C390" s="172">
        <v>54397</v>
      </c>
      <c r="D390" s="168" t="s">
        <v>926</v>
      </c>
      <c r="E390" s="168" t="s">
        <v>621</v>
      </c>
      <c r="F390" s="168"/>
      <c r="G390" s="169">
        <f>IF(OR(B390="",C390=""),"",IFERROR(INDEX(Vöruskrá!J:J,MATCH(B390,Vöruskrá!B:B,0))*C390/100000,""))</f>
        <v>54.396999999999998</v>
      </c>
      <c r="H390" s="169">
        <f>IF(OR(B390="",C390=""),"",IFERROR(INDEX(Vöruskrá!K:K,MATCH(B390,Vöruskrá!B:B,0))*C390/100000,""))</f>
        <v>0.38077899999999992</v>
      </c>
      <c r="I390" s="169">
        <f>IF(OR(B390="",C390=""),"",IFERROR(INDEX(Vöruskrá!L:L,MATCH(B390,Vöruskrá!B:B,0))*C390/100000,""))</f>
        <v>5.4397000000000008E-2</v>
      </c>
      <c r="J390" s="169">
        <f>IF(OR(B390="",C390=""),"",IFERROR(INDEX(Vöruskrá!M:M,MATCH(B390,Vöruskrá!B:B,0))*C390/100000,""))</f>
        <v>0</v>
      </c>
      <c r="K390" s="169">
        <f>IF(OR(B390="",C390=""),"",IFERROR(INDEX(Vöruskrá!N:N,MATCH(B390,Vöruskrá!B:B,0))*C390/100000,""))</f>
        <v>0</v>
      </c>
      <c r="L390" s="169">
        <f>IF(OR(B390="",C390=""),"",IFERROR(INDEX(Vöruskrá!O:O,MATCH(B390,Vöruskrá!B:B,0))*C390/100000,""))</f>
        <v>12.51131</v>
      </c>
      <c r="M390" s="169">
        <f>IF(OR(B390="",C390=""),"",IFERROR(INDEX(Vöruskrá!P:P,MATCH(B390,Vöruskrá!B:B,0))*C390/100000,""))</f>
        <v>0.16319099999999997</v>
      </c>
      <c r="N390" s="169">
        <f>IF(OR(B390="",C390=""),"",IFERROR(INDEX(Vöruskrá!Q:Q,MATCH(B390,Vöruskrá!B:B,0))*C390/100000,""))</f>
        <v>0</v>
      </c>
      <c r="O390" s="170">
        <f>IF(OR(B390="",C390=""),"",IFERROR(C390/1000*INDEX(Vöruskrá!R:R,MATCH(B390,Vöruskrá!B:B,0))/1000,""))</f>
        <v>0</v>
      </c>
      <c r="P390" s="171"/>
      <c r="Q390" s="197"/>
      <c r="R390" s="164"/>
    </row>
    <row r="391" spans="1:18">
      <c r="A391" s="173"/>
      <c r="B391" s="173" t="s">
        <v>1734</v>
      </c>
      <c r="C391" s="174">
        <v>27199</v>
      </c>
      <c r="D391" s="168"/>
      <c r="E391" s="168"/>
      <c r="F391" s="168"/>
      <c r="G391" s="169" t="str">
        <f>IF(OR(B391="",C391=""),"",IFERROR(INDEX(Vöruskrá!J:J,MATCH(B391,Vöruskrá!B:B,0))*C391/100000,""))</f>
        <v/>
      </c>
      <c r="H391" s="169" t="str">
        <f>IF(OR(B391="",C391=""),"",IFERROR(INDEX(Vöruskrá!K:K,MATCH(B391,Vöruskrá!B:B,0))*C391/100000,""))</f>
        <v/>
      </c>
      <c r="I391" s="169" t="str">
        <f>IF(OR(B391="",C391=""),"",IFERROR(INDEX(Vöruskrá!L:L,MATCH(B391,Vöruskrá!B:B,0))*C391/100000,""))</f>
        <v/>
      </c>
      <c r="J391" s="169" t="str">
        <f>IF(OR(B391="",C391=""),"",IFERROR(INDEX(Vöruskrá!M:M,MATCH(B391,Vöruskrá!B:B,0))*C391/100000,""))</f>
        <v/>
      </c>
      <c r="K391" s="169" t="str">
        <f>IF(OR(B391="",C391=""),"",IFERROR(INDEX(Vöruskrá!N:N,MATCH(B391,Vöruskrá!B:B,0))*C391/100000,""))</f>
        <v/>
      </c>
      <c r="L391" s="169" t="str">
        <f>IF(OR(B391="",C391=""),"",IFERROR(INDEX(Vöruskrá!O:O,MATCH(B391,Vöruskrá!B:B,0))*C391/100000,""))</f>
        <v/>
      </c>
      <c r="M391" s="169" t="str">
        <f>IF(OR(B391="",C391=""),"",IFERROR(INDEX(Vöruskrá!P:P,MATCH(B391,Vöruskrá!B:B,0))*C391/100000,""))</f>
        <v/>
      </c>
      <c r="N391" s="169" t="str">
        <f>IF(OR(B391="",C391=""),"",IFERROR(INDEX(Vöruskrá!Q:Q,MATCH(B391,Vöruskrá!B:B,0))*C391/100000,""))</f>
        <v/>
      </c>
      <c r="O391" s="170" t="str">
        <f>IF(OR(B391="",C391=""),"",IFERROR(C391/1000*INDEX(Vöruskrá!R:R,MATCH(B391,Vöruskrá!B:B,0))/1000,""))</f>
        <v/>
      </c>
      <c r="P391" s="173"/>
      <c r="Q391" s="157"/>
      <c r="R391" s="27"/>
    </row>
    <row r="392" spans="1:18" ht="15">
      <c r="A392" s="171"/>
      <c r="B392" s="171" t="s">
        <v>1469</v>
      </c>
      <c r="C392" s="172">
        <v>9066</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ht="15">
      <c r="A393" s="173"/>
      <c r="B393" s="173" t="s">
        <v>1058</v>
      </c>
      <c r="C393" s="174">
        <v>4533</v>
      </c>
      <c r="D393" s="168" t="s">
        <v>1059</v>
      </c>
      <c r="E393" s="168" t="s">
        <v>120</v>
      </c>
      <c r="F393" s="168"/>
      <c r="G393" s="169">
        <f>IF(OR(B393="",C393=""),"",IFERROR(INDEX(Vöruskrá!J:J,MATCH(B393,Vöruskrá!B:B,0))*C393/100000,""))</f>
        <v>15.4122</v>
      </c>
      <c r="H393" s="169">
        <f>IF(OR(B393="",C393=""),"",IFERROR(INDEX(Vöruskrá!K:K,MATCH(B393,Vöruskrá!B:B,0))*C393/100000,""))</f>
        <v>1.5865499999999999</v>
      </c>
      <c r="I393" s="169">
        <f>IF(OR(B393="",C393=""),"",IFERROR(INDEX(Vöruskrá!L:L,MATCH(B393,Vöruskrá!B:B,0))*C393/100000,""))</f>
        <v>0.99726000000000004</v>
      </c>
      <c r="J393" s="169">
        <f>IF(OR(B393="",C393=""),"",IFERROR(INDEX(Vöruskrá!M:M,MATCH(B393,Vöruskrá!B:B,0))*C393/100000,""))</f>
        <v>0.13599</v>
      </c>
      <c r="K393" s="169">
        <f>IF(OR(B393="",C393=""),"",IFERROR(INDEX(Vöruskrá!N:N,MATCH(B393,Vöruskrá!B:B,0))*C393/100000,""))</f>
        <v>0.13599</v>
      </c>
      <c r="L393" s="169">
        <f>IF(OR(B393="",C393=""),"",IFERROR(INDEX(Vöruskrá!O:O,MATCH(B393,Vöruskrá!B:B,0))*C393/100000,""))</f>
        <v>0.113325</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3"/>
      <c r="Q393" s="157"/>
      <c r="R393" s="27"/>
    </row>
    <row r="394" spans="1:18" ht="15">
      <c r="A394" s="171"/>
      <c r="B394" s="171" t="s">
        <v>1470</v>
      </c>
      <c r="C394" s="172">
        <v>1813</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8"/>
      <c r="R394" s="6"/>
    </row>
    <row r="395" spans="1:18" ht="15">
      <c r="A395" s="173"/>
      <c r="B395" s="173" t="s">
        <v>489</v>
      </c>
      <c r="C395" s="174">
        <v>1360</v>
      </c>
      <c r="D395" s="168" t="s">
        <v>490</v>
      </c>
      <c r="E395" s="168" t="s">
        <v>134</v>
      </c>
      <c r="F395" s="168" t="s">
        <v>311</v>
      </c>
      <c r="G395" s="169">
        <f>IF(OR(B395="",C395=""),"",IFERROR(INDEX(Vöruskrá!J:J,MATCH(B395,Vöruskrá!B:B,0))*C395/100000,""))</f>
        <v>3.0192000000000001</v>
      </c>
      <c r="H395" s="169">
        <f>IF(OR(B395="",C395=""),"",IFERROR(INDEX(Vöruskrá!K:K,MATCH(B395,Vöruskrá!B:B,0))*C395/100000,""))</f>
        <v>8.1600000000000006E-2</v>
      </c>
      <c r="I395" s="169">
        <f>IF(OR(B395="",C395=""),"",IFERROR(INDEX(Vöruskrá!L:L,MATCH(B395,Vöruskrá!B:B,0))*C395/100000,""))</f>
        <v>1.2239999999999999E-2</v>
      </c>
      <c r="J395" s="169">
        <f>IF(OR(B395="",C395=""),"",IFERROR(INDEX(Vöruskrá!M:M,MATCH(B395,Vöruskrá!B:B,0))*C395/100000,""))</f>
        <v>0.40799999999999997</v>
      </c>
      <c r="K395" s="169">
        <f>IF(OR(B395="",C395=""),"",IFERROR(INDEX(Vöruskrá!N:N,MATCH(B395,Vöruskrá!B:B,0))*C395/100000,""))</f>
        <v>6.2559999999999991E-2</v>
      </c>
      <c r="L395" s="169">
        <f>IF(OR(B395="",C395=""),"",IFERROR(INDEX(Vöruskrá!O:O,MATCH(B395,Vöruskrá!B:B,0))*C395/100000,""))</f>
        <v>9.6560000000000007E-2</v>
      </c>
      <c r="M395" s="169">
        <f>IF(OR(B395="",C395=""),"",IFERROR(INDEX(Vöruskrá!P:P,MATCH(B395,Vöruskrá!B:B,0))*C395/100000,""))</f>
        <v>0.61199999999999999</v>
      </c>
      <c r="N395" s="169">
        <f>IF(OR(B395="",C395=""),"",IFERROR(INDEX(Vöruskrá!Q:Q,MATCH(B395,Vöruskrá!B:B,0))*C395/100000,""))</f>
        <v>0</v>
      </c>
      <c r="O395" s="170">
        <f>IF(OR(B395="",C395=""),"",IFERROR(C395/1000*INDEX(Vöruskrá!R:R,MATCH(B395,Vöruskrá!B:B,0))/1000,""))</f>
        <v>0</v>
      </c>
      <c r="P395" s="173"/>
      <c r="Q395" s="157"/>
      <c r="R395" s="27"/>
    </row>
    <row r="396" spans="1:18" ht="15">
      <c r="A396" s="171"/>
      <c r="B396" s="171" t="s">
        <v>299</v>
      </c>
      <c r="C396" s="172">
        <v>725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0.72499999999999998</v>
      </c>
      <c r="N396" s="169">
        <f>IF(OR(B396="",C396=""),"",IFERROR(INDEX(Vöruskrá!Q:Q,MATCH(B396,Vöruskrá!B:B,0))*C396/100000,""))</f>
        <v>0</v>
      </c>
      <c r="O396" s="170">
        <f>IF(OR(B396="",C396=""),"",IFERROR(C396/1000*INDEX(Vöruskrá!R:R,MATCH(B396,Vöruskrá!B:B,0))/1000,""))</f>
        <v>0</v>
      </c>
      <c r="P396" s="171"/>
      <c r="Q396" s="158"/>
      <c r="R396" s="6"/>
    </row>
    <row r="397" spans="1:18" ht="15">
      <c r="A397" s="173"/>
      <c r="B397" s="173" t="s">
        <v>1471</v>
      </c>
      <c r="C397" s="174">
        <v>907</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3"/>
      <c r="Q397" s="201"/>
      <c r="R397" s="202"/>
    </row>
    <row r="398" spans="1:18" ht="48">
      <c r="A398" s="147" t="s">
        <v>1735</v>
      </c>
      <c r="B398" s="147"/>
      <c r="C398" s="148"/>
      <c r="D398" s="165" t="s">
        <v>1687</v>
      </c>
      <c r="E398" s="165" t="s">
        <v>1622</v>
      </c>
      <c r="F398" s="165"/>
      <c r="G398" s="166">
        <v>121.08</v>
      </c>
      <c r="H398" s="166">
        <v>5.43</v>
      </c>
      <c r="I398" s="166">
        <v>0.51</v>
      </c>
      <c r="J398" s="166">
        <v>3.29</v>
      </c>
      <c r="K398" s="166"/>
      <c r="L398" s="166">
        <v>17.510000000000002</v>
      </c>
      <c r="M398" s="166">
        <v>0.99</v>
      </c>
      <c r="N398" s="166">
        <f>IFERROR(SUM(N399:N405)/(SUM($C$399:$C$405)/100000),"")</f>
        <v>0</v>
      </c>
      <c r="O398" s="167" t="str">
        <f>IF(OR(B398="",C398=""),"",IFERROR(C398/1000*INDEX(Vöruskrá!R:R,MATCH(B398,Vöruskrá!B:B,0))/1000,""))</f>
        <v/>
      </c>
      <c r="P398" s="196" t="s">
        <v>1736</v>
      </c>
      <c r="Q398" s="195" t="s">
        <v>1737</v>
      </c>
      <c r="R398" s="194" t="s">
        <v>1738</v>
      </c>
    </row>
    <row r="399" spans="1:18" ht="15">
      <c r="A399" s="171"/>
      <c r="B399" s="171" t="s">
        <v>926</v>
      </c>
      <c r="C399" s="172">
        <v>75472</v>
      </c>
      <c r="D399" s="168" t="s">
        <v>926</v>
      </c>
      <c r="E399" s="168" t="s">
        <v>621</v>
      </c>
      <c r="F399" s="168"/>
      <c r="G399" s="169">
        <f>IF(OR(B399="",C399=""),"",IFERROR(INDEX(Vöruskrá!J:J,MATCH(B399,Vöruskrá!B:B,0))*C399/100000,""))</f>
        <v>75.471999999999994</v>
      </c>
      <c r="H399" s="169">
        <f>IF(OR(B399="",C399=""),"",IFERROR(INDEX(Vöruskrá!K:K,MATCH(B399,Vöruskrá!B:B,0))*C399/100000,""))</f>
        <v>0.528304</v>
      </c>
      <c r="I399" s="169">
        <f>IF(OR(B399="",C399=""),"",IFERROR(INDEX(Vöruskrá!L:L,MATCH(B399,Vöruskrá!B:B,0))*C399/100000,""))</f>
        <v>7.5472000000000011E-2</v>
      </c>
      <c r="J399" s="169">
        <f>IF(OR(B399="",C399=""),"",IFERROR(INDEX(Vöruskrá!M:M,MATCH(B399,Vöruskrá!B:B,0))*C399/100000,""))</f>
        <v>0</v>
      </c>
      <c r="K399" s="169">
        <f>IF(OR(B399="",C399=""),"",IFERROR(INDEX(Vöruskrá!N:N,MATCH(B399,Vöruskrá!B:B,0))*C399/100000,""))</f>
        <v>0</v>
      </c>
      <c r="L399" s="169">
        <f>IF(OR(B399="",C399=""),"",IFERROR(INDEX(Vöruskrá!O:O,MATCH(B399,Vöruskrá!B:B,0))*C399/100000,""))</f>
        <v>17.358560000000001</v>
      </c>
      <c r="M399" s="169">
        <f>IF(OR(B399="",C399=""),"",IFERROR(INDEX(Vöruskrá!P:P,MATCH(B399,Vöruskrá!B:B,0))*C399/100000,""))</f>
        <v>0.22641599999999998</v>
      </c>
      <c r="N399" s="169">
        <f>IF(OR(B399="",C399=""),"",IFERROR(INDEX(Vöruskrá!Q:Q,MATCH(B399,Vöruskrá!B:B,0))*C399/100000,""))</f>
        <v>0</v>
      </c>
      <c r="O399" s="170">
        <f>IF(OR(B399="",C399=""),"",IFERROR(C399/1000*INDEX(Vöruskrá!R:R,MATCH(B399,Vöruskrá!B:B,0))/1000,""))</f>
        <v>0</v>
      </c>
      <c r="P399" s="171"/>
      <c r="Q399" s="203"/>
      <c r="R399" s="204"/>
    </row>
    <row r="400" spans="1:18" ht="15">
      <c r="A400" s="173"/>
      <c r="B400" s="173" t="s">
        <v>1465</v>
      </c>
      <c r="C400" s="174">
        <v>9434</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8"/>
      <c r="R400" s="6"/>
    </row>
    <row r="401" spans="1:18" ht="15">
      <c r="A401" s="171"/>
      <c r="B401" s="171" t="s">
        <v>1463</v>
      </c>
      <c r="C401" s="172">
        <v>4717</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849</v>
      </c>
      <c r="C402" s="174">
        <v>4717</v>
      </c>
      <c r="D402" s="168" t="s">
        <v>850</v>
      </c>
      <c r="E402" s="168" t="s">
        <v>120</v>
      </c>
      <c r="F402" s="168"/>
      <c r="G402" s="169">
        <f>IF(OR(B402="",C402=""),"",IFERROR(INDEX(Vöruskrá!J:J,MATCH(B402,Vöruskrá!B:B,0))*C402/100000,""))</f>
        <v>3.16039</v>
      </c>
      <c r="H402" s="169">
        <f>IF(OR(B402="",C402=""),"",IFERROR(INDEX(Vöruskrá!K:K,MATCH(B402,Vöruskrá!B:B,0))*C402/100000,""))</f>
        <v>0.18396299999999999</v>
      </c>
      <c r="I402" s="169">
        <f>IF(OR(B402="",C402=""),"",IFERROR(INDEX(Vöruskrá!L:L,MATCH(B402,Vöruskrá!B:B,0))*C402/100000,""))</f>
        <v>0.10849099999999999</v>
      </c>
      <c r="J402" s="169">
        <f>IF(OR(B402="",C402=""),"",IFERROR(INDEX(Vöruskrá!M:M,MATCH(B402,Vöruskrá!B:B,0))*C402/100000,""))</f>
        <v>0.22169900000000001</v>
      </c>
      <c r="K402" s="169">
        <f>IF(OR(B402="",C402=""),"",IFERROR(INDEX(Vöruskrá!N:N,MATCH(B402,Vöruskrá!B:B,0))*C402/100000,""))</f>
        <v>0.22169900000000001</v>
      </c>
      <c r="L402" s="169">
        <f>IF(OR(B402="",C402=""),"",IFERROR(INDEX(Vöruskrá!O:O,MATCH(B402,Vöruskrá!B:B,0))*C402/100000,""))</f>
        <v>0.15566099999999999</v>
      </c>
      <c r="M402" s="169">
        <f>IF(OR(B402="",C402=""),"",IFERROR(INDEX(Vöruskrá!P:P,MATCH(B402,Vöruskrá!B:B,0))*C402/100000,""))</f>
        <v>4.7170000000000007E-3</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1472</v>
      </c>
      <c r="C403" s="172">
        <v>189</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157"/>
      <c r="R403" s="27"/>
    </row>
    <row r="404" spans="1:18" ht="15">
      <c r="A404" s="173"/>
      <c r="B404" s="173" t="s">
        <v>299</v>
      </c>
      <c r="C404" s="174">
        <v>755</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0.755</v>
      </c>
      <c r="N404" s="169">
        <f>IF(OR(B404="",C404=""),"",IFERROR(INDEX(Vöruskrá!Q:Q,MATCH(B404,Vöruskrá!B:B,0))*C404/100000,""))</f>
        <v>0</v>
      </c>
      <c r="O404" s="170">
        <f>IF(OR(B404="",C404=""),"",IFERROR(C404/1000*INDEX(Vöruskrá!R:R,MATCH(B404,Vöruskrá!B:B,0))/1000,""))</f>
        <v>0</v>
      </c>
      <c r="P404" s="173"/>
      <c r="Q404" s="158"/>
      <c r="R404" s="6"/>
    </row>
    <row r="405" spans="1:18" ht="15">
      <c r="A405" s="171"/>
      <c r="B405" s="171" t="s">
        <v>1270</v>
      </c>
      <c r="C405" s="172">
        <v>4717</v>
      </c>
      <c r="D405" s="168" t="s">
        <v>1270</v>
      </c>
      <c r="E405" s="168" t="s">
        <v>134</v>
      </c>
      <c r="F405" s="168"/>
      <c r="G405" s="169">
        <f>IF(OR(B405="",C405=""),"",IFERROR(INDEX(Vöruskrá!J:J,MATCH(B405,Vöruskrá!B:B,0))*C405/100000,""))</f>
        <v>42.453000000000003</v>
      </c>
      <c r="H405" s="169">
        <f>IF(OR(B405="",C405=""),"",IFERROR(INDEX(Vöruskrá!K:K,MATCH(B405,Vöruskrá!B:B,0))*C405/100000,""))</f>
        <v>4.7169999999999996</v>
      </c>
      <c r="I405" s="169">
        <f>IF(OR(B405="",C405=""),"",IFERROR(INDEX(Vöruskrá!L:L,MATCH(B405,Vöruskrá!B:B,0))*C405/100000,""))</f>
        <v>0.33018999999999998</v>
      </c>
      <c r="J405" s="169">
        <f>IF(OR(B405="",C405=""),"",IFERROR(INDEX(Vöruskrá!M:M,MATCH(B405,Vöruskrá!B:B,0))*C405/100000,""))</f>
        <v>3.0660500000000002</v>
      </c>
      <c r="K405" s="169">
        <f>IF(OR(B405="",C405=""),"",IFERROR(INDEX(Vöruskrá!N:N,MATCH(B405,Vöruskrá!B:B,0))*C405/100000,""))</f>
        <v>1.297175</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1"/>
      <c r="Q405" s="201"/>
      <c r="R405" s="202"/>
    </row>
    <row r="406" spans="1:18" ht="48">
      <c r="A406" s="147" t="s">
        <v>1739</v>
      </c>
      <c r="B406" s="147"/>
      <c r="C406" s="148"/>
      <c r="D406" s="165" t="s">
        <v>1740</v>
      </c>
      <c r="E406" s="165" t="s">
        <v>120</v>
      </c>
      <c r="F406" s="165"/>
      <c r="G406" s="166">
        <v>41.29</v>
      </c>
      <c r="H406" s="166">
        <v>3.73</v>
      </c>
      <c r="I406" s="166">
        <v>2.19</v>
      </c>
      <c r="J406" s="166">
        <v>1.68</v>
      </c>
      <c r="K406" s="166"/>
      <c r="L406" s="166">
        <v>0.5</v>
      </c>
      <c r="M406" s="166">
        <v>0.94</v>
      </c>
      <c r="N406" s="166">
        <f>IFERROR(SUM(N407:N413)/(SUM($C$407:$C$413)/100000),"")</f>
        <v>0.34298657013429867</v>
      </c>
      <c r="O406" s="167" t="str">
        <f>IF(OR(B406="",C406=""),"",IFERROR(C406/1000*INDEX(Vöruskrá!R:R,MATCH(B406,Vöruskrá!B:B,0))/1000,""))</f>
        <v/>
      </c>
      <c r="P406" s="196" t="s">
        <v>1741</v>
      </c>
      <c r="Q406" s="199" t="s">
        <v>1742</v>
      </c>
      <c r="R406" s="198" t="s">
        <v>1743</v>
      </c>
    </row>
    <row r="407" spans="1:18" ht="15">
      <c r="A407" s="171"/>
      <c r="B407" s="171" t="s">
        <v>1473</v>
      </c>
      <c r="C407" s="172">
        <v>88790</v>
      </c>
      <c r="D407" s="168"/>
      <c r="E407" s="168"/>
      <c r="F407" s="168"/>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1"/>
      <c r="Q407" s="203"/>
      <c r="R407" s="204"/>
    </row>
    <row r="408" spans="1:18" ht="15">
      <c r="A408" s="173"/>
      <c r="B408" s="173" t="s">
        <v>1017</v>
      </c>
      <c r="C408" s="174">
        <v>2220</v>
      </c>
      <c r="D408" s="168" t="s">
        <v>1017</v>
      </c>
      <c r="E408" s="168" t="s">
        <v>134</v>
      </c>
      <c r="F408" s="168"/>
      <c r="G408" s="169">
        <f>IF(OR(B408="",C408=""),"",IFERROR(INDEX(Vöruskrá!J:J,MATCH(B408,Vöruskrá!B:B,0))*C408/100000,""))</f>
        <v>3.3077999999999999</v>
      </c>
      <c r="H408" s="169">
        <f>IF(OR(B408="",C408=""),"",IFERROR(INDEX(Vöruskrá!K:K,MATCH(B408,Vöruskrá!B:B,0))*C408/100000,""))</f>
        <v>1.11E-2</v>
      </c>
      <c r="I408" s="169">
        <f>IF(OR(B408="",C408=""),"",IFERROR(INDEX(Vöruskrá!L:L,MATCH(B408,Vöruskrá!B:B,0))*C408/100000,""))</f>
        <v>2.2200000000000002E-3</v>
      </c>
      <c r="J408" s="169">
        <f>IF(OR(B408="",C408=""),"",IFERROR(INDEX(Vöruskrá!M:M,MATCH(B408,Vöruskrá!B:B,0))*C408/100000,""))</f>
        <v>0.73482000000000003</v>
      </c>
      <c r="K408" s="169">
        <f>IF(OR(B408="",C408=""),"",IFERROR(INDEX(Vöruskrá!N:N,MATCH(B408,Vöruskrá!B:B,0))*C408/100000,""))</f>
        <v>2.2200000000000001E-2</v>
      </c>
      <c r="L408" s="169">
        <f>IF(OR(B408="",C408=""),"",IFERROR(INDEX(Vöruskrá!O:O,MATCH(B408,Vöruskrá!B:B,0))*C408/100000,""))</f>
        <v>0.14208000000000001</v>
      </c>
      <c r="M408" s="169">
        <f>IF(OR(B408="",C408=""),"",IFERROR(INDEX(Vöruskrá!P:P,MATCH(B408,Vöruskrá!B:B,0))*C408/100000,""))</f>
        <v>0</v>
      </c>
      <c r="N408" s="169">
        <f>IF(OR(B408="",C408=""),"",IFERROR(INDEX(Vöruskrá!Q:Q,MATCH(B408,Vöruskrá!B:B,0))*C408/100000,""))</f>
        <v>4.6620000000000002E-2</v>
      </c>
      <c r="O408" s="170">
        <f>IF(OR(B408="",C408=""),"",IFERROR(C408/1000*INDEX(Vöruskrá!R:R,MATCH(B408,Vöruskrá!B:B,0))/1000,""))</f>
        <v>0</v>
      </c>
      <c r="P408" s="173"/>
      <c r="Q408" s="158"/>
      <c r="R408" s="6"/>
    </row>
    <row r="409" spans="1:18" ht="15">
      <c r="A409" s="171"/>
      <c r="B409" s="171" t="s">
        <v>445</v>
      </c>
      <c r="C409" s="172">
        <v>4440</v>
      </c>
      <c r="D409" s="168" t="s">
        <v>448</v>
      </c>
      <c r="E409" s="168" t="s">
        <v>120</v>
      </c>
      <c r="F409" s="168"/>
      <c r="G409" s="169">
        <f>IF(OR(B409="",C409=""),"",IFERROR(INDEX(Vöruskrá!J:J,MATCH(B409,Vöruskrá!B:B,0))*C409/100000,""))</f>
        <v>32.767200000000003</v>
      </c>
      <c r="H409" s="169">
        <f>IF(OR(B409="",C409=""),"",IFERROR(INDEX(Vöruskrá!K:K,MATCH(B409,Vöruskrá!B:B,0))*C409/100000,""))</f>
        <v>3.6408</v>
      </c>
      <c r="I409" s="169">
        <f>IF(OR(B409="",C409=""),"",IFERROR(INDEX(Vöruskrá!L:L,MATCH(B409,Vöruskrá!B:B,0))*C409/100000,""))</f>
        <v>2.1756000000000002</v>
      </c>
      <c r="J409" s="169">
        <f>IF(OR(B409="",C409=""),"",IFERROR(INDEX(Vöruskrá!M:M,MATCH(B409,Vöruskrá!B:B,0))*C409/100000,""))</f>
        <v>1.7760000000000001E-2</v>
      </c>
      <c r="K409" s="169">
        <f>IF(OR(B409="",C409=""),"",IFERROR(INDEX(Vöruskrá!N:N,MATCH(B409,Vöruskrá!B:B,0))*C409/100000,""))</f>
        <v>1.7760000000000001E-2</v>
      </c>
      <c r="L409" s="169">
        <f>IF(OR(B409="",C409=""),"",IFERROR(INDEX(Vöruskrá!O:O,MATCH(B409,Vöruskrá!B:B,0))*C409/100000,""))</f>
        <v>2.664E-2</v>
      </c>
      <c r="M409" s="169">
        <f>IF(OR(B409="",C409=""),"",IFERROR(INDEX(Vöruskrá!P:P,MATCH(B409,Vöruskrá!B:B,0))*C409/100000,""))</f>
        <v>5.3280000000000001E-2</v>
      </c>
      <c r="N409" s="169">
        <f>IF(OR(B409="",C409=""),"",IFERROR(INDEX(Vöruskrá!Q:Q,MATCH(B409,Vöruskrá!B:B,0))*C409/100000,""))</f>
        <v>0</v>
      </c>
      <c r="O409" s="170">
        <f>IF(OR(B409="",C409=""),"",IFERROR(C409/1000*INDEX(Vöruskrá!R:R,MATCH(B409,Vöruskrá!B:B,0))/1000,""))</f>
        <v>0</v>
      </c>
      <c r="P409" s="171"/>
      <c r="Q409" s="157"/>
      <c r="R409" s="27"/>
    </row>
    <row r="410" spans="1:18" ht="15">
      <c r="A410" s="173"/>
      <c r="B410" s="173" t="s">
        <v>833</v>
      </c>
      <c r="C410" s="174">
        <v>2220</v>
      </c>
      <c r="D410" s="168" t="s">
        <v>835</v>
      </c>
      <c r="E410" s="168"/>
      <c r="F410" s="168"/>
      <c r="G410" s="169">
        <f>IF(OR(B410="",C410=""),"",IFERROR(INDEX(Vöruskrá!J:J,MATCH(B410,Vöruskrá!B:B,0))*C410/100000,""))</f>
        <v>0.68820000000000003</v>
      </c>
      <c r="H410" s="169">
        <f>IF(OR(B410="",C410=""),"",IFERROR(INDEX(Vöruskrá!K:K,MATCH(B410,Vöruskrá!B:B,0))*C410/100000,""))</f>
        <v>4.4400000000000004E-3</v>
      </c>
      <c r="I410" s="169">
        <f>IF(OR(B410="",C410=""),"",IFERROR(INDEX(Vöruskrá!L:L,MATCH(B410,Vöruskrá!B:B,0))*C410/100000,""))</f>
        <v>0</v>
      </c>
      <c r="J410" s="169">
        <f>IF(OR(B410="",C410=""),"",IFERROR(INDEX(Vöruskrá!M:M,MATCH(B410,Vöruskrá!B:B,0))*C410/100000,""))</f>
        <v>0.15318000000000001</v>
      </c>
      <c r="K410" s="169">
        <f>IF(OR(B410="",C410=""),"",IFERROR(INDEX(Vöruskrá!N:N,MATCH(B410,Vöruskrá!B:B,0))*C410/100000,""))</f>
        <v>5.3280000000000001E-2</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8"/>
      <c r="R410" s="6"/>
    </row>
    <row r="411" spans="1:18" ht="15">
      <c r="A411" s="171"/>
      <c r="B411" s="171" t="s">
        <v>1030</v>
      </c>
      <c r="C411" s="172">
        <v>1110</v>
      </c>
      <c r="D411" s="168" t="s">
        <v>1032</v>
      </c>
      <c r="E411" s="168" t="s">
        <v>134</v>
      </c>
      <c r="F411" s="168" t="s">
        <v>1024</v>
      </c>
      <c r="G411" s="169">
        <f>IF(OR(B411="",C411=""),"",IFERROR(INDEX(Vöruskrá!J:J,MATCH(B411,Vöruskrá!B:B,0))*C411/100000,""))</f>
        <v>3.2412000000000001</v>
      </c>
      <c r="H411" s="169">
        <f>IF(OR(B411="",C411=""),"",IFERROR(INDEX(Vöruskrá!K:K,MATCH(B411,Vöruskrá!B:B,0))*C411/100000,""))</f>
        <v>6.105E-2</v>
      </c>
      <c r="I411" s="169">
        <f>IF(OR(B411="",C411=""),"",IFERROR(INDEX(Vöruskrá!L:L,MATCH(B411,Vöruskrá!B:B,0))*C411/100000,""))</f>
        <v>9.9900000000000006E-3</v>
      </c>
      <c r="J411" s="169">
        <f>IF(OR(B411="",C411=""),"",IFERROR(INDEX(Vöruskrá!M:M,MATCH(B411,Vöruskrá!B:B,0))*C411/100000,""))</f>
        <v>0.55500000000000005</v>
      </c>
      <c r="K411" s="169">
        <f>IF(OR(B411="",C411=""),"",IFERROR(INDEX(Vöruskrá!N:N,MATCH(B411,Vöruskrá!B:B,0))*C411/100000,""))</f>
        <v>4.4400000000000002E-2</v>
      </c>
      <c r="L411" s="169">
        <f>IF(OR(B411="",C411=""),"",IFERROR(INDEX(Vöruskrá!O:O,MATCH(B411,Vöruskrá!B:B,0))*C411/100000,""))</f>
        <v>0.29526000000000002</v>
      </c>
      <c r="M411" s="169">
        <f>IF(OR(B411="",C411=""),"",IFERROR(INDEX(Vöruskrá!P:P,MATCH(B411,Vöruskrá!B:B,0))*C411/100000,""))</f>
        <v>1.1100000000000001E-3</v>
      </c>
      <c r="N411" s="169">
        <f>IF(OR(B411="",C411=""),"",IFERROR(INDEX(Vöruskrá!Q:Q,MATCH(B411,Vöruskrá!B:B,0))*C411/100000,""))</f>
        <v>0.29637000000000002</v>
      </c>
      <c r="O411" s="170">
        <f>IF(OR(B411="",C411=""),"",IFERROR(C411/1000*INDEX(Vöruskrá!R:R,MATCH(B411,Vöruskrá!B:B,0))/1000,""))</f>
        <v>0</v>
      </c>
      <c r="P411" s="171"/>
      <c r="Q411" s="157"/>
      <c r="R411" s="27"/>
    </row>
    <row r="412" spans="1:18" ht="15">
      <c r="A412" s="173"/>
      <c r="B412" s="173" t="s">
        <v>299</v>
      </c>
      <c r="C412" s="174">
        <v>888</v>
      </c>
      <c r="D412" s="168" t="s">
        <v>302</v>
      </c>
      <c r="E412" s="168" t="s">
        <v>134</v>
      </c>
      <c r="F412" s="168" t="s">
        <v>303</v>
      </c>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0.88800000000000001</v>
      </c>
      <c r="N412" s="169">
        <f>IF(OR(B412="",C412=""),"",IFERROR(INDEX(Vöruskrá!Q:Q,MATCH(B412,Vöruskrá!B:B,0))*C412/100000,""))</f>
        <v>0</v>
      </c>
      <c r="O412" s="170">
        <f>IF(OR(B412="",C412=""),"",IFERROR(C412/1000*INDEX(Vöruskrá!R:R,MATCH(B412,Vöruskrá!B:B,0))/1000,""))</f>
        <v>0</v>
      </c>
      <c r="P412" s="173"/>
      <c r="Q412" s="158"/>
      <c r="R412" s="6"/>
    </row>
    <row r="413" spans="1:18" ht="15">
      <c r="A413" s="175"/>
      <c r="B413" s="175" t="s">
        <v>819</v>
      </c>
      <c r="C413" s="176">
        <v>333</v>
      </c>
      <c r="D413" s="177" t="s">
        <v>820</v>
      </c>
      <c r="E413" s="177"/>
      <c r="F413" s="177" t="s">
        <v>311</v>
      </c>
      <c r="G413" s="178">
        <f>IF(OR(B413="",C413=""),"",IFERROR(INDEX(Vöruskrá!J:J,MATCH(B413,Vöruskrá!B:B,0))*C413/100000,""))</f>
        <v>1.28538</v>
      </c>
      <c r="H413" s="178">
        <f>IF(OR(B413="",C413=""),"",IFERROR(INDEX(Vöruskrá!K:K,MATCH(B413,Vöruskrá!B:B,0))*C413/100000,""))</f>
        <v>1.0988999999999999E-2</v>
      </c>
      <c r="I413" s="178">
        <f>IF(OR(B413="",C413=""),"",IFERROR(INDEX(Vöruskrá!L:L,MATCH(B413,Vöruskrá!B:B,0))*C413/100000,""))</f>
        <v>3.3300000000000001E-3</v>
      </c>
      <c r="J413" s="178">
        <f>IF(OR(B413="",C413=""),"",IFERROR(INDEX(Vöruskrá!M:M,MATCH(B413,Vöruskrá!B:B,0))*C413/100000,""))</f>
        <v>0.21645</v>
      </c>
      <c r="K413" s="178">
        <f>IF(OR(B413="",C413=""),"",IFERROR(INDEX(Vöruskrá!N:N,MATCH(B413,Vöruskrá!B:B,0))*C413/100000,""))</f>
        <v>1.9979999999999998E-3</v>
      </c>
      <c r="L413" s="178">
        <f>IF(OR(B413="",C413=""),"",IFERROR(INDEX(Vöruskrá!O:O,MATCH(B413,Vöruskrá!B:B,0))*C413/100000,""))</f>
        <v>3.6630000000000003E-2</v>
      </c>
      <c r="M413" s="178">
        <f>IF(OR(B413="",C413=""),"",IFERROR(INDEX(Vöruskrá!P:P,MATCH(B413,Vöruskrá!B:B,0))*C413/100000,""))</f>
        <v>3.3300000000000002E-4</v>
      </c>
      <c r="N413" s="178">
        <f>IF(OR(B413="",C413=""),"",IFERROR(INDEX(Vöruskrá!Q:Q,MATCH(B413,Vöruskrá!B:B,0))*C413/100000,""))</f>
        <v>0</v>
      </c>
      <c r="O413" s="179">
        <f>IF(OR(B413="",C413=""),"",IFERROR(C413/1000*INDEX(Vöruskrá!R:R,MATCH(B413,Vöruskrá!B:B,0))/1000,""))</f>
        <v>0</v>
      </c>
      <c r="P413" s="175"/>
      <c r="Q413" s="201"/>
      <c r="R413" s="202"/>
    </row>
    <row r="414" spans="1:18" ht="48">
      <c r="A414" s="147" t="s">
        <v>1744</v>
      </c>
      <c r="B414" s="147"/>
      <c r="C414" s="148"/>
      <c r="D414" s="165" t="s">
        <v>1745</v>
      </c>
      <c r="E414" s="165" t="s">
        <v>120</v>
      </c>
      <c r="F414" s="165"/>
      <c r="G414" s="166">
        <v>187.7</v>
      </c>
      <c r="H414" s="166">
        <v>13.65</v>
      </c>
      <c r="I414" s="166">
        <v>6.16</v>
      </c>
      <c r="J414" s="166">
        <v>1.56</v>
      </c>
      <c r="K414" s="166"/>
      <c r="L414" s="166">
        <v>14.5</v>
      </c>
      <c r="M414" s="166">
        <v>0.99</v>
      </c>
      <c r="N414" s="166">
        <f>IFERROR(SUM(N415:N422)/(SUM($C$415:$C$422)/100000),"")</f>
        <v>0.1294732947329473</v>
      </c>
      <c r="O414" s="167" t="str">
        <f>IF(OR(B414="",C414=""),"",IFERROR(C414/1000*INDEX(Vöruskrá!R:R,MATCH(B414,Vöruskrá!B:B,0))/1000,""))</f>
        <v/>
      </c>
      <c r="P414" s="196" t="s">
        <v>1746</v>
      </c>
      <c r="Q414" s="195" t="s">
        <v>1747</v>
      </c>
      <c r="R414" s="194" t="s">
        <v>1748</v>
      </c>
    </row>
    <row r="415" spans="1:18" ht="15">
      <c r="A415" s="171"/>
      <c r="B415" s="171" t="s">
        <v>542</v>
      </c>
      <c r="C415" s="172">
        <v>60929</v>
      </c>
      <c r="D415" s="168" t="s">
        <v>543</v>
      </c>
      <c r="E415" s="168" t="s">
        <v>134</v>
      </c>
      <c r="F415" s="168"/>
      <c r="G415" s="169">
        <f>IF(OR(B415="",C415=""),"",IFERROR(INDEX(Vöruskrá!J:J,MATCH(B415,Vöruskrá!B:B,0))*C415/100000,""))</f>
        <v>109.06291</v>
      </c>
      <c r="H415" s="169">
        <f>IF(OR(B415="",C415=""),"",IFERROR(INDEX(Vöruskrá!K:K,MATCH(B415,Vöruskrá!B:B,0))*C415/100000,""))</f>
        <v>6.7021899999999999</v>
      </c>
      <c r="I415" s="169">
        <f>IF(OR(B415="",C415=""),"",IFERROR(INDEX(Vöruskrá!L:L,MATCH(B415,Vöruskrá!B:B,0))*C415/100000,""))</f>
        <v>1.8887989999999999</v>
      </c>
      <c r="J415" s="169">
        <f>IF(OR(B415="",C415=""),"",IFERROR(INDEX(Vöruskrá!M:M,MATCH(B415,Vöruskrá!B:B,0))*C415/100000,""))</f>
        <v>0</v>
      </c>
      <c r="K415" s="169">
        <f>IF(OR(B415="",C415=""),"",IFERROR(INDEX(Vöruskrá!N:N,MATCH(B415,Vöruskrá!B:B,0))*C415/100000,""))</f>
        <v>0</v>
      </c>
      <c r="L415" s="169">
        <f>IF(OR(B415="",C415=""),"",IFERROR(INDEX(Vöruskrá!O:O,MATCH(B415,Vöruskrá!B:B,0))*C415/100000,""))</f>
        <v>12.1858</v>
      </c>
      <c r="M415" s="169">
        <f>IF(OR(B415="",C415=""),"",IFERROR(INDEX(Vöruskrá!P:P,MATCH(B415,Vöruskrá!B:B,0))*C415/100000,""))</f>
        <v>0.12185800000000001</v>
      </c>
      <c r="N415" s="169">
        <f>IF(OR(B415="",C415=""),"",IFERROR(INDEX(Vöruskrá!Q:Q,MATCH(B415,Vöruskrá!B:B,0))*C415/100000,""))</f>
        <v>0</v>
      </c>
      <c r="O415" s="170">
        <f>IF(OR(B415="",C415=""),"",IFERROR(C415/1000*INDEX(Vöruskrá!R:R,MATCH(B415,Vöruskrá!B:B,0))/1000,""))</f>
        <v>0</v>
      </c>
      <c r="P415" s="171"/>
      <c r="Q415" s="203"/>
      <c r="R415" s="204"/>
    </row>
    <row r="416" spans="1:18" ht="15">
      <c r="A416" s="173"/>
      <c r="B416" s="173" t="s">
        <v>1010</v>
      </c>
      <c r="C416" s="174">
        <v>7616</v>
      </c>
      <c r="D416" s="168" t="s">
        <v>1010</v>
      </c>
      <c r="E416" s="168" t="s">
        <v>134</v>
      </c>
      <c r="F416" s="168"/>
      <c r="G416" s="169">
        <f>IF(OR(B416="",C416=""),"",IFERROR(INDEX(Vöruskrá!J:J,MATCH(B416,Vöruskrá!B:B,0))*C416/100000,""))</f>
        <v>3.0464000000000002</v>
      </c>
      <c r="H416" s="169">
        <f>IF(OR(B416="",C416=""),"",IFERROR(INDEX(Vöruskrá!K:K,MATCH(B416,Vöruskrá!B:B,0))*C416/100000,""))</f>
        <v>7.6160000000000004E-3</v>
      </c>
      <c r="I416" s="169">
        <f>IF(OR(B416="",C416=""),"",IFERROR(INDEX(Vöruskrá!L:L,MATCH(B416,Vöruskrá!B:B,0))*C416/100000,""))</f>
        <v>0</v>
      </c>
      <c r="J416" s="169">
        <f>IF(OR(B416="",C416=""),"",IFERROR(INDEX(Vöruskrá!M:M,MATCH(B416,Vöruskrá!B:B,0))*C416/100000,""))</f>
        <v>0.70828800000000003</v>
      </c>
      <c r="K416" s="169">
        <f>IF(OR(B416="",C416=""),"",IFERROR(INDEX(Vöruskrá!N:N,MATCH(B416,Vöruskrá!B:B,0))*C416/100000,""))</f>
        <v>0.31987199999999999</v>
      </c>
      <c r="L416" s="169">
        <f>IF(OR(B416="",C416=""),"",IFERROR(INDEX(Vöruskrá!O:O,MATCH(B416,Vöruskrá!B:B,0))*C416/100000,""))</f>
        <v>8.3776000000000003E-2</v>
      </c>
      <c r="M416" s="169">
        <f>IF(OR(B416="",C416=""),"",IFERROR(INDEX(Vöruskrá!P:P,MATCH(B416,Vöruskrá!B:B,0))*C416/100000,""))</f>
        <v>0</v>
      </c>
      <c r="N416" s="169">
        <f>IF(OR(B416="",C416=""),"",IFERROR(INDEX(Vöruskrá!Q:Q,MATCH(B416,Vöruskrá!B:B,0))*C416/100000,""))</f>
        <v>0.12947199999999998</v>
      </c>
      <c r="O416" s="170">
        <f>IF(OR(B416="",C416=""),"",IFERROR(C416/1000*INDEX(Vöruskrá!R:R,MATCH(B416,Vöruskrá!B:B,0))/1000,""))</f>
        <v>0</v>
      </c>
      <c r="P416" s="173"/>
      <c r="Q416" s="158"/>
      <c r="R416" s="6"/>
    </row>
    <row r="417" spans="1:18" ht="15">
      <c r="A417" s="171"/>
      <c r="B417" s="171" t="s">
        <v>1463</v>
      </c>
      <c r="C417" s="172">
        <v>3808</v>
      </c>
      <c r="D417" s="168"/>
      <c r="E417" s="168"/>
      <c r="F417" s="168"/>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7"/>
      <c r="R417" s="27"/>
    </row>
    <row r="418" spans="1:18" ht="15">
      <c r="A418" s="173"/>
      <c r="B418" s="173" t="s">
        <v>1466</v>
      </c>
      <c r="C418" s="174">
        <v>3808</v>
      </c>
      <c r="D418" s="168"/>
      <c r="E418" s="168"/>
      <c r="F418" s="168"/>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3"/>
      <c r="Q418" s="158"/>
      <c r="R418" s="6"/>
    </row>
    <row r="419" spans="1:18" ht="15">
      <c r="A419" s="171"/>
      <c r="B419" s="171" t="s">
        <v>1058</v>
      </c>
      <c r="C419" s="172">
        <v>15232</v>
      </c>
      <c r="D419" s="168" t="s">
        <v>1059</v>
      </c>
      <c r="E419" s="168" t="s">
        <v>120</v>
      </c>
      <c r="F419" s="168"/>
      <c r="G419" s="169">
        <f>IF(OR(B419="",C419=""),"",IFERROR(INDEX(Vöruskrá!J:J,MATCH(B419,Vöruskrá!B:B,0))*C419/100000,""))</f>
        <v>51.788800000000002</v>
      </c>
      <c r="H419" s="169">
        <f>IF(OR(B419="",C419=""),"",IFERROR(INDEX(Vöruskrá!K:K,MATCH(B419,Vöruskrá!B:B,0))*C419/100000,""))</f>
        <v>5.3311999999999999</v>
      </c>
      <c r="I419" s="169">
        <f>IF(OR(B419="",C419=""),"",IFERROR(INDEX(Vöruskrá!L:L,MATCH(B419,Vöruskrá!B:B,0))*C419/100000,""))</f>
        <v>3.3510399999999998</v>
      </c>
      <c r="J419" s="169">
        <f>IF(OR(B419="",C419=""),"",IFERROR(INDEX(Vöruskrá!M:M,MATCH(B419,Vöruskrá!B:B,0))*C419/100000,""))</f>
        <v>0.45695999999999998</v>
      </c>
      <c r="K419" s="169">
        <f>IF(OR(B419="",C419=""),"",IFERROR(INDEX(Vöruskrá!N:N,MATCH(B419,Vöruskrá!B:B,0))*C419/100000,""))</f>
        <v>0.45695999999999998</v>
      </c>
      <c r="L419" s="169">
        <f>IF(OR(B419="",C419=""),"",IFERROR(INDEX(Vöruskrá!O:O,MATCH(B419,Vöruskrá!B:B,0))*C419/100000,""))</f>
        <v>0.38080000000000003</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895</v>
      </c>
      <c r="C420" s="174">
        <v>7616</v>
      </c>
      <c r="D420" s="168" t="s">
        <v>897</v>
      </c>
      <c r="E420" s="168" t="s">
        <v>120</v>
      </c>
      <c r="F420" s="168"/>
      <c r="G420" s="169">
        <f>IF(OR(B420="",C420=""),"",IFERROR(INDEX(Vöruskrá!J:J,MATCH(B420,Vöruskrá!B:B,0))*C420/100000,""))</f>
        <v>22.924160000000001</v>
      </c>
      <c r="H420" s="169">
        <f>IF(OR(B420="",C420=""),"",IFERROR(INDEX(Vöruskrá!K:K,MATCH(B420,Vöruskrá!B:B,0))*C420/100000,""))</f>
        <v>1.5993599999999999</v>
      </c>
      <c r="I420" s="169">
        <f>IF(OR(B420="",C420=""),"",IFERROR(INDEX(Vöruskrá!L:L,MATCH(B420,Vöruskrá!B:B,0))*C420/100000,""))</f>
        <v>0.91391999999999995</v>
      </c>
      <c r="J420" s="169">
        <f>IF(OR(B420="",C420=""),"",IFERROR(INDEX(Vöruskrá!M:M,MATCH(B420,Vöruskrá!B:B,0))*C420/100000,""))</f>
        <v>0.24371200000000001</v>
      </c>
      <c r="K420" s="169">
        <f>IF(OR(B420="",C420=""),"",IFERROR(INDEX(Vöruskrá!N:N,MATCH(B420,Vöruskrá!B:B,0))*C420/100000,""))</f>
        <v>7.6160000000000005E-2</v>
      </c>
      <c r="L420" s="169">
        <f>IF(OR(B420="",C420=""),"",IFERROR(INDEX(Vöruskrá!O:O,MATCH(B420,Vöruskrá!B:B,0))*C420/100000,""))</f>
        <v>1.8278399999999999</v>
      </c>
      <c r="M420" s="169">
        <f>IF(OR(B420="",C420=""),"",IFERROR(INDEX(Vöruskrá!P:P,MATCH(B420,Vöruskrá!B:B,0))*C420/100000,""))</f>
        <v>0.106624</v>
      </c>
      <c r="N420" s="169">
        <f>IF(OR(B420="",C420=""),"",IFERROR(INDEX(Vöruskrá!Q:Q,MATCH(B420,Vöruskrá!B:B,0))*C420/100000,""))</f>
        <v>0</v>
      </c>
      <c r="O420" s="170">
        <f>IF(OR(B420="",C420=""),"",IFERROR(C420/1000*INDEX(Vöruskrá!R:R,MATCH(B420,Vöruskrá!B:B,0))/1000,""))</f>
        <v>0</v>
      </c>
      <c r="P420" s="173"/>
      <c r="Q420" s="158"/>
      <c r="R420" s="6"/>
    </row>
    <row r="421" spans="1:18" ht="15">
      <c r="A421" s="171"/>
      <c r="B421" s="171" t="s">
        <v>299</v>
      </c>
      <c r="C421" s="172">
        <v>762</v>
      </c>
      <c r="D421" s="168" t="s">
        <v>302</v>
      </c>
      <c r="E421" s="168" t="s">
        <v>134</v>
      </c>
      <c r="F421" s="168" t="s">
        <v>303</v>
      </c>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0.76200000000000001</v>
      </c>
      <c r="N421" s="169">
        <f>IF(OR(B421="",C421=""),"",IFERROR(INDEX(Vöruskrá!Q:Q,MATCH(B421,Vöruskrá!B:B,0))*C421/100000,""))</f>
        <v>0</v>
      </c>
      <c r="O421" s="170">
        <f>IF(OR(B421="",C421=""),"",IFERROR(C421/1000*INDEX(Vöruskrá!R:R,MATCH(B421,Vöruskrá!B:B,0))/1000,""))</f>
        <v>0</v>
      </c>
      <c r="P421" s="171"/>
      <c r="Q421" s="157"/>
      <c r="R421" s="27"/>
    </row>
    <row r="422" spans="1:18" ht="15">
      <c r="A422" s="173"/>
      <c r="B422" s="173" t="s">
        <v>819</v>
      </c>
      <c r="C422" s="174">
        <v>228</v>
      </c>
      <c r="D422" s="168" t="s">
        <v>820</v>
      </c>
      <c r="E422" s="168"/>
      <c r="F422" s="168" t="s">
        <v>311</v>
      </c>
      <c r="G422" s="169">
        <f>IF(OR(B422="",C422=""),"",IFERROR(INDEX(Vöruskrá!J:J,MATCH(B422,Vöruskrá!B:B,0))*C422/100000,""))</f>
        <v>0.88007999999999997</v>
      </c>
      <c r="H422" s="169">
        <f>IF(OR(B422="",C422=""),"",IFERROR(INDEX(Vöruskrá!K:K,MATCH(B422,Vöruskrá!B:B,0))*C422/100000,""))</f>
        <v>7.5239999999999994E-3</v>
      </c>
      <c r="I422" s="169">
        <f>IF(OR(B422="",C422=""),"",IFERROR(INDEX(Vöruskrá!L:L,MATCH(B422,Vöruskrá!B:B,0))*C422/100000,""))</f>
        <v>2.2799999999999999E-3</v>
      </c>
      <c r="J422" s="169">
        <f>IF(OR(B422="",C422=""),"",IFERROR(INDEX(Vöruskrá!M:M,MATCH(B422,Vöruskrá!B:B,0))*C422/100000,""))</f>
        <v>0.1482</v>
      </c>
      <c r="K422" s="169">
        <f>IF(OR(B422="",C422=""),"",IFERROR(INDEX(Vöruskrá!N:N,MATCH(B422,Vöruskrá!B:B,0))*C422/100000,""))</f>
        <v>1.3679999999999999E-3</v>
      </c>
      <c r="L422" s="169">
        <f>IF(OR(B422="",C422=""),"",IFERROR(INDEX(Vöruskrá!O:O,MATCH(B422,Vöruskrá!B:B,0))*C422/100000,""))</f>
        <v>2.5080000000000002E-2</v>
      </c>
      <c r="M422" s="169">
        <f>IF(OR(B422="",C422=""),"",IFERROR(INDEX(Vöruskrá!P:P,MATCH(B422,Vöruskrá!B:B,0))*C422/100000,""))</f>
        <v>2.2800000000000001E-4</v>
      </c>
      <c r="N422" s="169">
        <f>IF(OR(B422="",C422=""),"",IFERROR(INDEX(Vöruskrá!Q:Q,MATCH(B422,Vöruskrá!B:B,0))*C422/100000,""))</f>
        <v>0</v>
      </c>
      <c r="O422" s="170">
        <f>IF(OR(B422="",C422=""),"",IFERROR(C422/1000*INDEX(Vöruskrá!R:R,MATCH(B422,Vöruskrá!B:B,0))/1000,""))</f>
        <v>0</v>
      </c>
      <c r="P422" s="173"/>
      <c r="Q422" s="200"/>
      <c r="R422" s="159"/>
    </row>
    <row r="423" spans="1:18" ht="60">
      <c r="A423" s="147" t="s">
        <v>1749</v>
      </c>
      <c r="B423" s="147"/>
      <c r="C423" s="148"/>
      <c r="D423" s="165" t="s">
        <v>1750</v>
      </c>
      <c r="E423" s="165" t="s">
        <v>134</v>
      </c>
      <c r="F423" s="165"/>
      <c r="G423" s="166">
        <v>118.43</v>
      </c>
      <c r="H423" s="166">
        <v>6.65</v>
      </c>
      <c r="I423" s="166">
        <v>1.86</v>
      </c>
      <c r="J423" s="166">
        <v>2.2000000000000002</v>
      </c>
      <c r="K423" s="166"/>
      <c r="L423" s="166">
        <v>12.49</v>
      </c>
      <c r="M423" s="166">
        <v>1.1200000000000001</v>
      </c>
      <c r="N423" s="166">
        <f>IFERROR(SUM(N424:N430)/(SUM($C$424:$C$430)/100000),"")</f>
        <v>0.18716975317289106</v>
      </c>
      <c r="O423" s="167" t="str">
        <f>IF(OR(B423="",C423=""),"",IFERROR(C423/1000*INDEX(Vöruskrá!R:R,MATCH(B423,Vöruskrá!B:B,0))/1000,""))</f>
        <v/>
      </c>
      <c r="P423" s="196" t="s">
        <v>1751</v>
      </c>
      <c r="Q423" s="199" t="s">
        <v>1752</v>
      </c>
      <c r="R423" s="198" t="s">
        <v>1753</v>
      </c>
    </row>
    <row r="424" spans="1:18" ht="15">
      <c r="A424" s="171"/>
      <c r="B424" s="171" t="s">
        <v>542</v>
      </c>
      <c r="C424" s="172">
        <v>42918</v>
      </c>
      <c r="D424" s="168" t="s">
        <v>543</v>
      </c>
      <c r="E424" s="168" t="s">
        <v>134</v>
      </c>
      <c r="F424" s="168"/>
      <c r="G424" s="169">
        <f>IF(OR(B424="",C424=""),"",IFERROR(INDEX(Vöruskrá!J:J,MATCH(B424,Vöruskrá!B:B,0))*C424/100000,""))</f>
        <v>76.823220000000006</v>
      </c>
      <c r="H424" s="169">
        <f>IF(OR(B424="",C424=""),"",IFERROR(INDEX(Vöruskrá!K:K,MATCH(B424,Vöruskrá!B:B,0))*C424/100000,""))</f>
        <v>4.72098</v>
      </c>
      <c r="I424" s="169">
        <f>IF(OR(B424="",C424=""),"",IFERROR(INDEX(Vöruskrá!L:L,MATCH(B424,Vöruskrá!B:B,0))*C424/100000,""))</f>
        <v>1.3304580000000001</v>
      </c>
      <c r="J424" s="169">
        <f>IF(OR(B424="",C424=""),"",IFERROR(INDEX(Vöruskrá!M:M,MATCH(B424,Vöruskrá!B:B,0))*C424/100000,""))</f>
        <v>0</v>
      </c>
      <c r="K424" s="169">
        <f>IF(OR(B424="",C424=""),"",IFERROR(INDEX(Vöruskrá!N:N,MATCH(B424,Vöruskrá!B:B,0))*C424/100000,""))</f>
        <v>0</v>
      </c>
      <c r="L424" s="169">
        <f>IF(OR(B424="",C424=""),"",IFERROR(INDEX(Vöruskrá!O:O,MATCH(B424,Vöruskrá!B:B,0))*C424/100000,""))</f>
        <v>8.5836000000000006</v>
      </c>
      <c r="M424" s="169">
        <f>IF(OR(B424="",C424=""),"",IFERROR(INDEX(Vöruskrá!P:P,MATCH(B424,Vöruskrá!B:B,0))*C424/100000,""))</f>
        <v>8.583600000000001E-2</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1010</v>
      </c>
      <c r="C425" s="174">
        <v>7153</v>
      </c>
      <c r="D425" s="168" t="s">
        <v>1010</v>
      </c>
      <c r="E425" s="168" t="s">
        <v>134</v>
      </c>
      <c r="F425" s="168"/>
      <c r="G425" s="169">
        <f>IF(OR(B425="",C425=""),"",IFERROR(INDEX(Vöruskrá!J:J,MATCH(B425,Vöruskrá!B:B,0))*C425/100000,""))</f>
        <v>2.8612000000000002</v>
      </c>
      <c r="H425" s="169">
        <f>IF(OR(B425="",C425=""),"",IFERROR(INDEX(Vöruskrá!K:K,MATCH(B425,Vöruskrá!B:B,0))*C425/100000,""))</f>
        <v>7.1530000000000005E-3</v>
      </c>
      <c r="I425" s="169">
        <f>IF(OR(B425="",C425=""),"",IFERROR(INDEX(Vöruskrá!L:L,MATCH(B425,Vöruskrá!B:B,0))*C425/100000,""))</f>
        <v>0</v>
      </c>
      <c r="J425" s="169">
        <f>IF(OR(B425="",C425=""),"",IFERROR(INDEX(Vöruskrá!M:M,MATCH(B425,Vöruskrá!B:B,0))*C425/100000,""))</f>
        <v>0.66522900000000007</v>
      </c>
      <c r="K425" s="169">
        <f>IF(OR(B425="",C425=""),"",IFERROR(INDEX(Vöruskrá!N:N,MATCH(B425,Vöruskrá!B:B,0))*C425/100000,""))</f>
        <v>0.30042600000000003</v>
      </c>
      <c r="L425" s="169">
        <f>IF(OR(B425="",C425=""),"",IFERROR(INDEX(Vöruskrá!O:O,MATCH(B425,Vöruskrá!B:B,0))*C425/100000,""))</f>
        <v>7.8683000000000003E-2</v>
      </c>
      <c r="M425" s="169">
        <f>IF(OR(B425="",C425=""),"",IFERROR(INDEX(Vöruskrá!P:P,MATCH(B425,Vöruskrá!B:B,0))*C425/100000,""))</f>
        <v>0</v>
      </c>
      <c r="N425" s="169">
        <f>IF(OR(B425="",C425=""),"",IFERROR(INDEX(Vöruskrá!Q:Q,MATCH(B425,Vöruskrá!B:B,0))*C425/100000,""))</f>
        <v>0.121601</v>
      </c>
      <c r="O425" s="170">
        <f>IF(OR(B425="",C425=""),"",IFERROR(C425/1000*INDEX(Vöruskrá!R:R,MATCH(B425,Vöruskrá!B:B,0))/1000,""))</f>
        <v>0</v>
      </c>
      <c r="P425" s="173"/>
      <c r="Q425" s="157"/>
      <c r="R425" s="27"/>
    </row>
    <row r="426" spans="1:18" ht="15">
      <c r="A426" s="171"/>
      <c r="B426" s="171" t="s">
        <v>743</v>
      </c>
      <c r="C426" s="172">
        <v>14306</v>
      </c>
      <c r="D426" s="168" t="s">
        <v>745</v>
      </c>
      <c r="E426" s="168"/>
      <c r="F426" s="168"/>
      <c r="G426" s="169">
        <f>IF(OR(B426="",C426=""),"",IFERROR(INDEX(Vöruskrá!J:J,MATCH(B426,Vöruskrá!B:B,0))*C426/100000,""))</f>
        <v>4.0056799999999999</v>
      </c>
      <c r="H426" s="169">
        <f>IF(OR(B426="",C426=""),"",IFERROR(INDEX(Vöruskrá!K:K,MATCH(B426,Vöruskrá!B:B,0))*C426/100000,""))</f>
        <v>1.4306000000000001E-2</v>
      </c>
      <c r="I426" s="169">
        <f>IF(OR(B426="",C426=""),"",IFERROR(INDEX(Vöruskrá!L:L,MATCH(B426,Vöruskrá!B:B,0))*C426/100000,""))</f>
        <v>0</v>
      </c>
      <c r="J426" s="169">
        <f>IF(OR(B426="",C426=""),"",IFERROR(INDEX(Vöruskrá!M:M,MATCH(B426,Vöruskrá!B:B,0))*C426/100000,""))</f>
        <v>0.71530000000000005</v>
      </c>
      <c r="K426" s="169">
        <f>IF(OR(B426="",C426=""),"",IFERROR(INDEX(Vöruskrá!N:N,MATCH(B426,Vöruskrá!B:B,0))*C426/100000,""))</f>
        <v>0.486404</v>
      </c>
      <c r="L426" s="169">
        <f>IF(OR(B426="",C426=""),"",IFERROR(INDEX(Vöruskrá!O:O,MATCH(B426,Vöruskrá!B:B,0))*C426/100000,""))</f>
        <v>0.21459</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1"/>
      <c r="Q426" s="158"/>
      <c r="R426" s="6"/>
    </row>
    <row r="427" spans="1:18" ht="15">
      <c r="A427" s="173"/>
      <c r="B427" s="173" t="s">
        <v>1017</v>
      </c>
      <c r="C427" s="174">
        <v>572</v>
      </c>
      <c r="D427" s="168" t="s">
        <v>1017</v>
      </c>
      <c r="E427" s="168" t="s">
        <v>134</v>
      </c>
      <c r="F427" s="168"/>
      <c r="G427" s="169">
        <f>IF(OR(B427="",C427=""),"",IFERROR(INDEX(Vöruskrá!J:J,MATCH(B427,Vöruskrá!B:B,0))*C427/100000,""))</f>
        <v>0.85228000000000004</v>
      </c>
      <c r="H427" s="169">
        <f>IF(OR(B427="",C427=""),"",IFERROR(INDEX(Vöruskrá!K:K,MATCH(B427,Vöruskrá!B:B,0))*C427/100000,""))</f>
        <v>2.8600000000000001E-3</v>
      </c>
      <c r="I427" s="169">
        <f>IF(OR(B427="",C427=""),"",IFERROR(INDEX(Vöruskrá!L:L,MATCH(B427,Vöruskrá!B:B,0))*C427/100000,""))</f>
        <v>5.7200000000000003E-4</v>
      </c>
      <c r="J427" s="169">
        <f>IF(OR(B427="",C427=""),"",IFERROR(INDEX(Vöruskrá!M:M,MATCH(B427,Vöruskrá!B:B,0))*C427/100000,""))</f>
        <v>0.189332</v>
      </c>
      <c r="K427" s="169">
        <f>IF(OR(B427="",C427=""),"",IFERROR(INDEX(Vöruskrá!N:N,MATCH(B427,Vöruskrá!B:B,0))*C427/100000,""))</f>
        <v>5.7200000000000003E-3</v>
      </c>
      <c r="L427" s="169">
        <f>IF(OR(B427="",C427=""),"",IFERROR(INDEX(Vöruskrá!O:O,MATCH(B427,Vöruskrá!B:B,0))*C427/100000,""))</f>
        <v>3.6608000000000002E-2</v>
      </c>
      <c r="M427" s="169">
        <f>IF(OR(B427="",C427=""),"",IFERROR(INDEX(Vöruskrá!P:P,MATCH(B427,Vöruskrá!B:B,0))*C427/100000,""))</f>
        <v>0</v>
      </c>
      <c r="N427" s="169">
        <f>IF(OR(B427="",C427=""),"",IFERROR(INDEX(Vöruskrá!Q:Q,MATCH(B427,Vöruskrá!B:B,0))*C427/100000,""))</f>
        <v>1.2012E-2</v>
      </c>
      <c r="O427" s="170">
        <f>IF(OR(B427="",C427=""),"",IFERROR(C427/1000*INDEX(Vöruskrá!R:R,MATCH(B427,Vöruskrá!B:B,0))/1000,""))</f>
        <v>0</v>
      </c>
      <c r="P427" s="173"/>
      <c r="Q427" s="157"/>
      <c r="R427" s="27"/>
    </row>
    <row r="428" spans="1:18" ht="15">
      <c r="A428" s="171"/>
      <c r="B428" s="171" t="s">
        <v>1466</v>
      </c>
      <c r="C428" s="172">
        <v>2861</v>
      </c>
      <c r="D428" s="168"/>
      <c r="E428" s="168"/>
      <c r="F428" s="168"/>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1"/>
      <c r="Q428" s="158"/>
      <c r="R428" s="6"/>
    </row>
    <row r="429" spans="1:18" ht="15">
      <c r="A429" s="173"/>
      <c r="B429" s="173" t="s">
        <v>1463</v>
      </c>
      <c r="C429" s="174">
        <v>2861</v>
      </c>
      <c r="D429" s="168"/>
      <c r="E429" s="168"/>
      <c r="F429" s="168"/>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3"/>
      <c r="Q429" s="157"/>
      <c r="R429" s="27"/>
    </row>
    <row r="430" spans="1:18" ht="15">
      <c r="A430" s="171"/>
      <c r="B430" s="171" t="s">
        <v>299</v>
      </c>
      <c r="C430" s="172">
        <v>715</v>
      </c>
      <c r="D430" s="168" t="s">
        <v>302</v>
      </c>
      <c r="E430" s="168" t="s">
        <v>134</v>
      </c>
      <c r="F430" s="168" t="s">
        <v>303</v>
      </c>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0.71499999999999997</v>
      </c>
      <c r="N430" s="169">
        <f>IF(OR(B430="",C430=""),"",IFERROR(INDEX(Vöruskrá!Q:Q,MATCH(B430,Vöruskrá!B:B,0))*C430/100000,""))</f>
        <v>0</v>
      </c>
      <c r="O430" s="170">
        <f>IF(OR(B430="",C430=""),"",IFERROR(C430/1000*INDEX(Vöruskrá!R:R,MATCH(B430,Vöruskrá!B:B,0))/1000,""))</f>
        <v>0</v>
      </c>
      <c r="P430" s="171"/>
      <c r="Q430" s="200"/>
      <c r="R430" s="159"/>
    </row>
    <row r="431" spans="1:18" ht="60">
      <c r="A431" s="147" t="s">
        <v>1754</v>
      </c>
      <c r="B431" s="147"/>
      <c r="C431" s="148"/>
      <c r="D431" s="165" t="s">
        <v>1755</v>
      </c>
      <c r="E431" s="165" t="s">
        <v>252</v>
      </c>
      <c r="F431" s="165"/>
      <c r="G431" s="166">
        <v>126.69</v>
      </c>
      <c r="H431" s="166">
        <v>7.23</v>
      </c>
      <c r="I431" s="166">
        <v>1.7</v>
      </c>
      <c r="J431" s="166">
        <v>5.05</v>
      </c>
      <c r="K431" s="166"/>
      <c r="L431" s="166">
        <v>10.76</v>
      </c>
      <c r="M431" s="166">
        <v>1.9</v>
      </c>
      <c r="N431" s="166">
        <f>IFERROR(SUM(N432:N443)/(SUM($C$432:$C$443)/100000),"")</f>
        <v>0.16699999999999998</v>
      </c>
      <c r="O431" s="167" t="str">
        <f>IF(OR(B431="",C431=""),"",IFERROR(C431/1000*INDEX(Vöruskrá!R:R,MATCH(B431,Vöruskrá!B:B,0))/1000,""))</f>
        <v/>
      </c>
      <c r="P431" s="196" t="s">
        <v>1756</v>
      </c>
      <c r="Q431" s="195" t="s">
        <v>1757</v>
      </c>
      <c r="R431" s="194" t="s">
        <v>1758</v>
      </c>
    </row>
    <row r="432" spans="1:18" ht="15">
      <c r="A432" s="171"/>
      <c r="B432" s="171" t="s">
        <v>542</v>
      </c>
      <c r="C432" s="172">
        <v>50000</v>
      </c>
      <c r="D432" s="168" t="s">
        <v>543</v>
      </c>
      <c r="E432" s="168" t="s">
        <v>134</v>
      </c>
      <c r="F432" s="168"/>
      <c r="G432" s="169">
        <f>IF(OR(B432="",C432=""),"",IFERROR(INDEX(Vöruskrá!J:J,MATCH(B432,Vöruskrá!B:B,0))*C432/100000,""))</f>
        <v>89.5</v>
      </c>
      <c r="H432" s="169">
        <f>IF(OR(B432="",C432=""),"",IFERROR(INDEX(Vöruskrá!K:K,MATCH(B432,Vöruskrá!B:B,0))*C432/100000,""))</f>
        <v>5.5</v>
      </c>
      <c r="I432" s="169">
        <f>IF(OR(B432="",C432=""),"",IFERROR(INDEX(Vöruskrá!L:L,MATCH(B432,Vöruskrá!B:B,0))*C432/100000,""))</f>
        <v>1.55</v>
      </c>
      <c r="J432" s="169">
        <f>IF(OR(B432="",C432=""),"",IFERROR(INDEX(Vöruskrá!M:M,MATCH(B432,Vöruskrá!B:B,0))*C432/100000,""))</f>
        <v>0</v>
      </c>
      <c r="K432" s="169">
        <f>IF(OR(B432="",C432=""),"",IFERROR(INDEX(Vöruskrá!N:N,MATCH(B432,Vöruskrá!B:B,0))*C432/100000,""))</f>
        <v>0</v>
      </c>
      <c r="L432" s="169">
        <f>IF(OR(B432="",C432=""),"",IFERROR(INDEX(Vöruskrá!O:O,MATCH(B432,Vöruskrá!B:B,0))*C432/100000,""))</f>
        <v>10</v>
      </c>
      <c r="M432" s="169">
        <f>IF(OR(B432="",C432=""),"",IFERROR(INDEX(Vöruskrá!P:P,MATCH(B432,Vöruskrá!B:B,0))*C432/100000,""))</f>
        <v>0.1</v>
      </c>
      <c r="N432" s="169">
        <f>IF(OR(B432="",C432=""),"",IFERROR(INDEX(Vöruskrá!Q:Q,MATCH(B432,Vöruskrá!B:B,0))*C432/100000,""))</f>
        <v>0</v>
      </c>
      <c r="O432" s="170">
        <f>IF(OR(B432="",C432=""),"",IFERROR(C432/1000*INDEX(Vöruskrá!R:R,MATCH(B432,Vöruskrá!B:B,0))/1000,""))</f>
        <v>0</v>
      </c>
      <c r="P432" s="171"/>
      <c r="Q432" s="197"/>
      <c r="R432" s="164"/>
    </row>
    <row r="433" spans="1:18" ht="15">
      <c r="A433" s="173"/>
      <c r="B433" s="173" t="s">
        <v>247</v>
      </c>
      <c r="C433" s="174">
        <v>20000</v>
      </c>
      <c r="D433" s="168" t="s">
        <v>251</v>
      </c>
      <c r="E433" s="168" t="s">
        <v>252</v>
      </c>
      <c r="F433" s="168"/>
      <c r="G433" s="169" t="str">
        <f>IF(OR(B433="",C433=""),"",IFERROR(INDEX(Vöruskrá!J:J,MATCH(B433,Vöruskrá!B:B,0))*C433/100000,""))</f>
        <v/>
      </c>
      <c r="H433" s="169" t="str">
        <f>IF(OR(B433="",C433=""),"",IFERROR(INDEX(Vöruskrá!K:K,MATCH(B433,Vöruskrá!B:B,0))*C433/100000,""))</f>
        <v/>
      </c>
      <c r="I433" s="169" t="str">
        <f>IF(OR(B433="",C433=""),"",IFERROR(INDEX(Vöruskrá!L:L,MATCH(B433,Vöruskrá!B:B,0))*C433/100000,""))</f>
        <v/>
      </c>
      <c r="J433" s="169" t="str">
        <f>IF(OR(B433="",C433=""),"",IFERROR(INDEX(Vöruskrá!M:M,MATCH(B433,Vöruskrá!B:B,0))*C433/100000,""))</f>
        <v/>
      </c>
      <c r="K433" s="169" t="str">
        <f>IF(OR(B433="",C433=""),"",IFERROR(INDEX(Vöruskrá!N:N,MATCH(B433,Vöruskrá!B:B,0))*C433/100000,""))</f>
        <v/>
      </c>
      <c r="L433" s="169" t="str">
        <f>IF(OR(B433="",C433=""),"",IFERROR(INDEX(Vöruskrá!O:O,MATCH(B433,Vöruskrá!B:B,0))*C433/100000,""))</f>
        <v/>
      </c>
      <c r="M433" s="169" t="str">
        <f>IF(OR(B433="",C433=""),"",IFERROR(INDEX(Vöruskrá!P:P,MATCH(B433,Vöruskrá!B:B,0))*C433/100000,""))</f>
        <v/>
      </c>
      <c r="N433" s="169" t="str">
        <f>IF(OR(B433="",C433=""),"",IFERROR(INDEX(Vöruskrá!Q:Q,MATCH(B433,Vöruskrá!B:B,0))*C433/100000,""))</f>
        <v/>
      </c>
      <c r="O433" s="170" t="str">
        <f>IF(OR(B433="",C433=""),"",IFERROR(C433/1000*INDEX(Vöruskrá!R:R,MATCH(B433,Vöruskrá!B:B,0))/1000,""))</f>
        <v/>
      </c>
      <c r="P433" s="173"/>
      <c r="Q433" s="157"/>
      <c r="R433" s="27"/>
    </row>
    <row r="434" spans="1:18">
      <c r="A434" s="171"/>
      <c r="B434" s="171" t="s">
        <v>1759</v>
      </c>
      <c r="C434" s="172">
        <v>12000</v>
      </c>
      <c r="D434" s="168"/>
      <c r="E434" s="168"/>
      <c r="F434" s="168"/>
      <c r="G434" s="169" t="str">
        <f>IF(OR(B434="",C434=""),"",IFERROR(INDEX(Vöruskrá!J:J,MATCH(B434,Vöruskrá!B:B,0))*C434/100000,""))</f>
        <v/>
      </c>
      <c r="H434" s="169" t="str">
        <f>IF(OR(B434="",C434=""),"",IFERROR(INDEX(Vöruskrá!K:K,MATCH(B434,Vöruskrá!B:B,0))*C434/100000,""))</f>
        <v/>
      </c>
      <c r="I434" s="169" t="str">
        <f>IF(OR(B434="",C434=""),"",IFERROR(INDEX(Vöruskrá!L:L,MATCH(B434,Vöruskrá!B:B,0))*C434/100000,""))</f>
        <v/>
      </c>
      <c r="J434" s="169" t="str">
        <f>IF(OR(B434="",C434=""),"",IFERROR(INDEX(Vöruskrá!M:M,MATCH(B434,Vöruskrá!B:B,0))*C434/100000,""))</f>
        <v/>
      </c>
      <c r="K434" s="169" t="str">
        <f>IF(OR(B434="",C434=""),"",IFERROR(INDEX(Vöruskrá!N:N,MATCH(B434,Vöruskrá!B:B,0))*C434/100000,""))</f>
        <v/>
      </c>
      <c r="L434" s="169" t="str">
        <f>IF(OR(B434="",C434=""),"",IFERROR(INDEX(Vöruskrá!O:O,MATCH(B434,Vöruskrá!B:B,0))*C434/100000,""))</f>
        <v/>
      </c>
      <c r="M434" s="169" t="str">
        <f>IF(OR(B434="",C434=""),"",IFERROR(INDEX(Vöruskrá!P:P,MATCH(B434,Vöruskrá!B:B,0))*C434/100000,""))</f>
        <v/>
      </c>
      <c r="N434" s="169" t="str">
        <f>IF(OR(B434="",C434=""),"",IFERROR(INDEX(Vöruskrá!Q:Q,MATCH(B434,Vöruskrá!B:B,0))*C434/100000,""))</f>
        <v/>
      </c>
      <c r="O434" s="170" t="str">
        <f>IF(OR(B434="",C434=""),"",IFERROR(C434/1000*INDEX(Vöruskrá!R:R,MATCH(B434,Vöruskrá!B:B,0))/1000,""))</f>
        <v/>
      </c>
      <c r="P434" s="171"/>
      <c r="Q434" s="158"/>
      <c r="R434" s="6"/>
    </row>
    <row r="435" spans="1:18" ht="15">
      <c r="A435" s="173"/>
      <c r="B435" s="173" t="s">
        <v>420</v>
      </c>
      <c r="C435" s="174">
        <v>8000</v>
      </c>
      <c r="D435" s="168" t="s">
        <v>421</v>
      </c>
      <c r="E435" s="168" t="s">
        <v>134</v>
      </c>
      <c r="F435" s="168"/>
      <c r="G435" s="169">
        <f>IF(OR(B435="",C435=""),"",IFERROR(INDEX(Vöruskrá!J:J,MATCH(B435,Vöruskrá!B:B,0))*C435/100000,""))</f>
        <v>2.64</v>
      </c>
      <c r="H435" s="169">
        <f>IF(OR(B435="",C435=""),"",IFERROR(INDEX(Vöruskrá!K:K,MATCH(B435,Vöruskrá!B:B,0))*C435/100000,""))</f>
        <v>0</v>
      </c>
      <c r="I435" s="169">
        <f>IF(OR(B435="",C435=""),"",IFERROR(INDEX(Vöruskrá!L:L,MATCH(B435,Vöruskrá!B:B,0))*C435/100000,""))</f>
        <v>0</v>
      </c>
      <c r="J435" s="169">
        <f>IF(OR(B435="",C435=""),"",IFERROR(INDEX(Vöruskrá!M:M,MATCH(B435,Vöruskrá!B:B,0))*C435/100000,""))</f>
        <v>0.44</v>
      </c>
      <c r="K435" s="169">
        <f>IF(OR(B435="",C435=""),"",IFERROR(INDEX(Vöruskrá!N:N,MATCH(B435,Vöruskrá!B:B,0))*C435/100000,""))</f>
        <v>0.38400000000000001</v>
      </c>
      <c r="L435" s="169">
        <f>IF(OR(B435="",C435=""),"",IFERROR(INDEX(Vöruskrá!O:O,MATCH(B435,Vöruskrá!B:B,0))*C435/100000,""))</f>
        <v>0.128</v>
      </c>
      <c r="M435" s="169">
        <f>IF(OR(B435="",C435=""),"",IFERROR(INDEX(Vöruskrá!P:P,MATCH(B435,Vöruskrá!B:B,0))*C435/100000,""))</f>
        <v>0.08</v>
      </c>
      <c r="N435" s="169">
        <f>IF(OR(B435="",C435=""),"",IFERROR(INDEX(Vöruskrá!Q:Q,MATCH(B435,Vöruskrá!B:B,0))*C435/100000,""))</f>
        <v>0.152</v>
      </c>
      <c r="O435" s="170">
        <f>IF(OR(B435="",C435=""),"",IFERROR(C435/1000*INDEX(Vöruskrá!R:R,MATCH(B435,Vöruskrá!B:B,0))/1000,""))</f>
        <v>0</v>
      </c>
      <c r="P435" s="173"/>
      <c r="Q435" s="157"/>
      <c r="R435" s="27"/>
    </row>
    <row r="436" spans="1:18" ht="15">
      <c r="A436" s="171"/>
      <c r="B436" s="171" t="s">
        <v>504</v>
      </c>
      <c r="C436" s="172">
        <v>3000</v>
      </c>
      <c r="D436" s="168" t="s">
        <v>500</v>
      </c>
      <c r="E436" s="168" t="s">
        <v>134</v>
      </c>
      <c r="F436" s="168"/>
      <c r="G436" s="169">
        <f>IF(OR(B436="",C436=""),"",IFERROR(INDEX(Vöruskrá!J:J,MATCH(B436,Vöruskrá!B:B,0))*C436/100000,""))</f>
        <v>3.39</v>
      </c>
      <c r="H436" s="169">
        <f>IF(OR(B436="",C436=""),"",IFERROR(INDEX(Vöruskrá!K:K,MATCH(B436,Vöruskrá!B:B,0))*C436/100000,""))</f>
        <v>1.2E-2</v>
      </c>
      <c r="I436" s="169">
        <f>IF(OR(B436="",C436=""),"",IFERROR(INDEX(Vöruskrá!L:L,MATCH(B436,Vöruskrá!B:B,0))*C436/100000,""))</f>
        <v>0</v>
      </c>
      <c r="J436" s="169">
        <f>IF(OR(B436="",C436=""),"",IFERROR(INDEX(Vöruskrá!M:M,MATCH(B436,Vöruskrá!B:B,0))*C436/100000,""))</f>
        <v>0.56999999999999995</v>
      </c>
      <c r="K436" s="169">
        <f>IF(OR(B436="",C436=""),"",IFERROR(INDEX(Vöruskrá!N:N,MATCH(B436,Vöruskrá!B:B,0))*C436/100000,""))</f>
        <v>0.42</v>
      </c>
      <c r="L436" s="169">
        <f>IF(OR(B436="",C436=""),"",IFERROR(INDEX(Vöruskrá!O:O,MATCH(B436,Vöruskrá!B:B,0))*C436/100000,""))</f>
        <v>0.18</v>
      </c>
      <c r="M436" s="169">
        <f>IF(OR(B436="",C436=""),"",IFERROR(INDEX(Vöruskrá!P:P,MATCH(B436,Vöruskrá!B:B,0))*C436/100000,""))</f>
        <v>3.0000000000000001E-3</v>
      </c>
      <c r="N436" s="169">
        <f>IF(OR(B436="",C436=""),"",IFERROR(INDEX(Vöruskrá!Q:Q,MATCH(B436,Vöruskrá!B:B,0))*C436/100000,""))</f>
        <v>0</v>
      </c>
      <c r="O436" s="170">
        <f>IF(OR(B436="",C436=""),"",IFERROR(C436/1000*INDEX(Vöruskrá!R:R,MATCH(B436,Vöruskrá!B:B,0))/1000,""))</f>
        <v>0</v>
      </c>
      <c r="P436" s="171"/>
      <c r="Q436" s="158"/>
      <c r="R436" s="6"/>
    </row>
    <row r="437" spans="1:18" ht="15">
      <c r="A437" s="173"/>
      <c r="B437" s="173" t="s">
        <v>489</v>
      </c>
      <c r="C437" s="174">
        <v>2000</v>
      </c>
      <c r="D437" s="168" t="s">
        <v>490</v>
      </c>
      <c r="E437" s="168" t="s">
        <v>134</v>
      </c>
      <c r="F437" s="168" t="s">
        <v>311</v>
      </c>
      <c r="G437" s="169">
        <f>IF(OR(B437="",C437=""),"",IFERROR(INDEX(Vöruskrá!J:J,MATCH(B437,Vöruskrá!B:B,0))*C437/100000,""))</f>
        <v>4.4400000000000004</v>
      </c>
      <c r="H437" s="169">
        <f>IF(OR(B437="",C437=""),"",IFERROR(INDEX(Vöruskrá!K:K,MATCH(B437,Vöruskrá!B:B,0))*C437/100000,""))</f>
        <v>0.12</v>
      </c>
      <c r="I437" s="169">
        <f>IF(OR(B437="",C437=""),"",IFERROR(INDEX(Vöruskrá!L:L,MATCH(B437,Vöruskrá!B:B,0))*C437/100000,""))</f>
        <v>1.7999999999999999E-2</v>
      </c>
      <c r="J437" s="169">
        <f>IF(OR(B437="",C437=""),"",IFERROR(INDEX(Vöruskrá!M:M,MATCH(B437,Vöruskrá!B:B,0))*C437/100000,""))</f>
        <v>0.6</v>
      </c>
      <c r="K437" s="169">
        <f>IF(OR(B437="",C437=""),"",IFERROR(INDEX(Vöruskrá!N:N,MATCH(B437,Vöruskrá!B:B,0))*C437/100000,""))</f>
        <v>9.1999999999999998E-2</v>
      </c>
      <c r="L437" s="169">
        <f>IF(OR(B437="",C437=""),"",IFERROR(INDEX(Vöruskrá!O:O,MATCH(B437,Vöruskrá!B:B,0))*C437/100000,""))</f>
        <v>0.14199999999999999</v>
      </c>
      <c r="M437" s="169">
        <f>IF(OR(B437="",C437=""),"",IFERROR(INDEX(Vöruskrá!P:P,MATCH(B437,Vöruskrá!B:B,0))*C437/100000,""))</f>
        <v>0.9</v>
      </c>
      <c r="N437" s="169">
        <f>IF(OR(B437="",C437=""),"",IFERROR(INDEX(Vöruskrá!Q:Q,MATCH(B437,Vöruskrá!B:B,0))*C437/100000,""))</f>
        <v>0</v>
      </c>
      <c r="O437" s="170">
        <f>IF(OR(B437="",C437=""),"",IFERROR(C437/1000*INDEX(Vöruskrá!R:R,MATCH(B437,Vöruskrá!B:B,0))/1000,""))</f>
        <v>0</v>
      </c>
      <c r="P437" s="173"/>
      <c r="Q437" s="157"/>
      <c r="R437" s="27"/>
    </row>
    <row r="438" spans="1:18" ht="15">
      <c r="A438" s="171"/>
      <c r="B438" s="171" t="s">
        <v>349</v>
      </c>
      <c r="C438" s="172">
        <v>1500</v>
      </c>
      <c r="D438" s="168" t="s">
        <v>351</v>
      </c>
      <c r="E438" s="168" t="s">
        <v>134</v>
      </c>
      <c r="F438" s="168"/>
      <c r="G438" s="169">
        <f>IF(OR(B438="",C438=""),"",IFERROR(INDEX(Vöruskrá!J:J,MATCH(B438,Vöruskrá!B:B,0))*C438/100000,""))</f>
        <v>5.3250000000000002</v>
      </c>
      <c r="H438" s="169">
        <f>IF(OR(B438="",C438=""),"",IFERROR(INDEX(Vöruskrá!K:K,MATCH(B438,Vöruskrá!B:B,0))*C438/100000,""))</f>
        <v>7.4999999999999997E-3</v>
      </c>
      <c r="I438" s="169">
        <f>IF(OR(B438="",C438=""),"",IFERROR(INDEX(Vöruskrá!L:L,MATCH(B438,Vöruskrá!B:B,0))*C438/100000,""))</f>
        <v>0</v>
      </c>
      <c r="J438" s="169">
        <f>IF(OR(B438="",C438=""),"",IFERROR(INDEX(Vöruskrá!M:M,MATCH(B438,Vöruskrá!B:B,0))*C438/100000,""))</f>
        <v>1.29</v>
      </c>
      <c r="K438" s="169">
        <f>IF(OR(B438="",C438=""),"",IFERROR(INDEX(Vöruskrá!N:N,MATCH(B438,Vöruskrá!B:B,0))*C438/100000,""))</f>
        <v>0</v>
      </c>
      <c r="L438" s="169">
        <f>IF(OR(B438="",C438=""),"",IFERROR(INDEX(Vöruskrá!O:O,MATCH(B438,Vöruskrá!B:B,0))*C438/100000,""))</f>
        <v>7.4999999999999997E-3</v>
      </c>
      <c r="M438" s="169">
        <f>IF(OR(B438="",C438=""),"",IFERROR(INDEX(Vöruskrá!P:P,MATCH(B438,Vöruskrá!B:B,0))*C438/100000,""))</f>
        <v>0</v>
      </c>
      <c r="N438" s="169">
        <f>IF(OR(B438="",C438=""),"",IFERROR(INDEX(Vöruskrá!Q:Q,MATCH(B438,Vöruskrá!B:B,0))*C438/100000,""))</f>
        <v>1.4999999999999999E-2</v>
      </c>
      <c r="O438" s="170">
        <f>IF(OR(B438="",C438=""),"",IFERROR(C438/1000*INDEX(Vöruskrá!R:R,MATCH(B438,Vöruskrá!B:B,0))/1000,""))</f>
        <v>0</v>
      </c>
      <c r="P438" s="171"/>
      <c r="Q438" s="158"/>
      <c r="R438" s="6"/>
    </row>
    <row r="439" spans="1:18" ht="15">
      <c r="A439" s="173"/>
      <c r="B439" s="173" t="s">
        <v>1270</v>
      </c>
      <c r="C439" s="174">
        <v>1500</v>
      </c>
      <c r="D439" s="168" t="s">
        <v>1270</v>
      </c>
      <c r="E439" s="168" t="s">
        <v>134</v>
      </c>
      <c r="F439" s="168"/>
      <c r="G439" s="169">
        <f>IF(OR(B439="",C439=""),"",IFERROR(INDEX(Vöruskrá!J:J,MATCH(B439,Vöruskrá!B:B,0))*C439/100000,""))</f>
        <v>13.5</v>
      </c>
      <c r="H439" s="169">
        <f>IF(OR(B439="",C439=""),"",IFERROR(INDEX(Vöruskrá!K:K,MATCH(B439,Vöruskrá!B:B,0))*C439/100000,""))</f>
        <v>1.5</v>
      </c>
      <c r="I439" s="169">
        <f>IF(OR(B439="",C439=""),"",IFERROR(INDEX(Vöruskrá!L:L,MATCH(B439,Vöruskrá!B:B,0))*C439/100000,""))</f>
        <v>0.105</v>
      </c>
      <c r="J439" s="169">
        <f>IF(OR(B439="",C439=""),"",IFERROR(INDEX(Vöruskrá!M:M,MATCH(B439,Vöruskrá!B:B,0))*C439/100000,""))</f>
        <v>0.97499999999999998</v>
      </c>
      <c r="K439" s="169">
        <f>IF(OR(B439="",C439=""),"",IFERROR(INDEX(Vöruskrá!N:N,MATCH(B439,Vöruskrá!B:B,0))*C439/100000,""))</f>
        <v>0.41249999999999998</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3"/>
      <c r="Q439" s="157"/>
      <c r="R439" s="27"/>
    </row>
    <row r="440" spans="1:18" ht="15">
      <c r="A440" s="171"/>
      <c r="B440" s="171" t="s">
        <v>315</v>
      </c>
      <c r="C440" s="172">
        <v>500</v>
      </c>
      <c r="D440" s="168" t="s">
        <v>316</v>
      </c>
      <c r="E440" s="168" t="s">
        <v>134</v>
      </c>
      <c r="F440" s="168" t="s">
        <v>311</v>
      </c>
      <c r="G440" s="169">
        <f>IF(OR(B440="",C440=""),"",IFERROR(INDEX(Vöruskrá!J:J,MATCH(B440,Vöruskrá!B:B,0))*C440/100000,""))</f>
        <v>1.925</v>
      </c>
      <c r="H440" s="169">
        <f>IF(OR(B440="",C440=""),"",IFERROR(INDEX(Vöruskrá!K:K,MATCH(B440,Vöruskrá!B:B,0))*C440/100000,""))</f>
        <v>4.0000000000000001E-3</v>
      </c>
      <c r="I440" s="169">
        <f>IF(OR(B440="",C440=""),"",IFERROR(INDEX(Vöruskrá!L:L,MATCH(B440,Vöruskrá!B:B,0))*C440/100000,""))</f>
        <v>5.0000000000000001E-4</v>
      </c>
      <c r="J440" s="169">
        <f>IF(OR(B440="",C440=""),"",IFERROR(INDEX(Vöruskrá!M:M,MATCH(B440,Vöruskrá!B:B,0))*C440/100000,""))</f>
        <v>0.36499999999999999</v>
      </c>
      <c r="K440" s="169">
        <f>IF(OR(B440="",C440=""),"",IFERROR(INDEX(Vöruskrá!N:N,MATCH(B440,Vöruskrá!B:B,0))*C440/100000,""))</f>
        <v>0.12</v>
      </c>
      <c r="L440" s="169">
        <f>IF(OR(B440="",C440=""),"",IFERROR(INDEX(Vöruskrá!O:O,MATCH(B440,Vöruskrá!B:B,0))*C440/100000,""))</f>
        <v>8.5000000000000006E-2</v>
      </c>
      <c r="M440" s="169">
        <f>IF(OR(B440="",C440=""),"",IFERROR(INDEX(Vöruskrá!P:P,MATCH(B440,Vöruskrá!B:B,0))*C440/100000,""))</f>
        <v>5.0000000000000001E-4</v>
      </c>
      <c r="N440" s="169">
        <f>IF(OR(B440="",C440=""),"",IFERROR(INDEX(Vöruskrá!Q:Q,MATCH(B440,Vöruskrá!B:B,0))*C440/100000,""))</f>
        <v>0</v>
      </c>
      <c r="O440" s="170">
        <f>IF(OR(B440="",C440=""),"",IFERROR(C440/1000*INDEX(Vöruskrá!R:R,MATCH(B440,Vöruskrá!B:B,0))/1000,""))</f>
        <v>0</v>
      </c>
      <c r="P440" s="171"/>
      <c r="Q440" s="158"/>
      <c r="R440" s="6"/>
    </row>
    <row r="441" spans="1:18" ht="15">
      <c r="A441" s="173"/>
      <c r="B441" s="173" t="s">
        <v>299</v>
      </c>
      <c r="C441" s="174">
        <v>800</v>
      </c>
      <c r="D441" s="168" t="s">
        <v>302</v>
      </c>
      <c r="E441" s="168" t="s">
        <v>134</v>
      </c>
      <c r="F441" s="168" t="s">
        <v>303</v>
      </c>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0.8</v>
      </c>
      <c r="N441" s="169">
        <f>IF(OR(B441="",C441=""),"",IFERROR(INDEX(Vöruskrá!Q:Q,MATCH(B441,Vöruskrá!B:B,0))*C441/100000,""))</f>
        <v>0</v>
      </c>
      <c r="O441" s="170">
        <f>IF(OR(B441="",C441=""),"",IFERROR(C441/1000*INDEX(Vöruskrá!R:R,MATCH(B441,Vöruskrá!B:B,0))/1000,""))</f>
        <v>0</v>
      </c>
      <c r="P441" s="173"/>
      <c r="Q441" s="157"/>
      <c r="R441" s="27"/>
    </row>
    <row r="442" spans="1:18" ht="15">
      <c r="A442" s="171"/>
      <c r="B442" s="171" t="s">
        <v>819</v>
      </c>
      <c r="C442" s="172">
        <v>200</v>
      </c>
      <c r="D442" s="168" t="s">
        <v>820</v>
      </c>
      <c r="E442" s="168"/>
      <c r="F442" s="168" t="s">
        <v>311</v>
      </c>
      <c r="G442" s="169">
        <f>IF(OR(B442="",C442=""),"",IFERROR(INDEX(Vöruskrá!J:J,MATCH(B442,Vöruskrá!B:B,0))*C442/100000,""))</f>
        <v>0.77200000000000002</v>
      </c>
      <c r="H442" s="169">
        <f>IF(OR(B442="",C442=""),"",IFERROR(INDEX(Vöruskrá!K:K,MATCH(B442,Vöruskrá!B:B,0))*C442/100000,""))</f>
        <v>6.6E-3</v>
      </c>
      <c r="I442" s="169">
        <f>IF(OR(B442="",C442=""),"",IFERROR(INDEX(Vöruskrá!L:L,MATCH(B442,Vöruskrá!B:B,0))*C442/100000,""))</f>
        <v>2E-3</v>
      </c>
      <c r="J442" s="169">
        <f>IF(OR(B442="",C442=""),"",IFERROR(INDEX(Vöruskrá!M:M,MATCH(B442,Vöruskrá!B:B,0))*C442/100000,""))</f>
        <v>0.13</v>
      </c>
      <c r="K442" s="169">
        <f>IF(OR(B442="",C442=""),"",IFERROR(INDEX(Vöruskrá!N:N,MATCH(B442,Vöruskrá!B:B,0))*C442/100000,""))</f>
        <v>1.1999999999999999E-3</v>
      </c>
      <c r="L442" s="169">
        <f>IF(OR(B442="",C442=""),"",IFERROR(INDEX(Vöruskrá!O:O,MATCH(B442,Vöruskrá!B:B,0))*C442/100000,""))</f>
        <v>2.1999999999999999E-2</v>
      </c>
      <c r="M442" s="169">
        <f>IF(OR(B442="",C442=""),"",IFERROR(INDEX(Vöruskrá!P:P,MATCH(B442,Vöruskrá!B:B,0))*C442/100000,""))</f>
        <v>2.0000000000000001E-4</v>
      </c>
      <c r="N442" s="169">
        <f>IF(OR(B442="",C442=""),"",IFERROR(INDEX(Vöruskrá!Q:Q,MATCH(B442,Vöruskrá!B:B,0))*C442/100000,""))</f>
        <v>0</v>
      </c>
      <c r="O442" s="170">
        <f>IF(OR(B442="",C442=""),"",IFERROR(C442/1000*INDEX(Vöruskrá!R:R,MATCH(B442,Vöruskrá!B:B,0))/1000,""))</f>
        <v>0</v>
      </c>
      <c r="P442" s="171"/>
      <c r="Q442" s="158"/>
      <c r="R442" s="6"/>
    </row>
    <row r="443" spans="1:18" ht="15">
      <c r="A443" s="173"/>
      <c r="B443" s="173" t="s">
        <v>1020</v>
      </c>
      <c r="C443" s="174">
        <v>500</v>
      </c>
      <c r="D443" s="168" t="s">
        <v>1020</v>
      </c>
      <c r="E443" s="168" t="s">
        <v>134</v>
      </c>
      <c r="F443" s="168"/>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v>
      </c>
      <c r="N443" s="169">
        <f>IF(OR(B443="",C443=""),"",IFERROR(INDEX(Vöruskrá!Q:Q,MATCH(B443,Vöruskrá!B:B,0))*C443/100000,""))</f>
        <v>0</v>
      </c>
      <c r="O443" s="170">
        <f>IF(OR(B443="",C443=""),"",IFERROR(C443/1000*INDEX(Vöruskrá!R:R,MATCH(B443,Vöruskrá!B:B,0))/1000,""))</f>
        <v>0</v>
      </c>
      <c r="P443" s="173"/>
      <c r="Q443" s="201"/>
      <c r="R443" s="202"/>
    </row>
    <row r="444" spans="1:18" ht="60">
      <c r="A444" s="147" t="s">
        <v>1760</v>
      </c>
      <c r="B444" s="147"/>
      <c r="C444" s="148"/>
      <c r="D444" s="165" t="s">
        <v>1761</v>
      </c>
      <c r="E444" s="165" t="s">
        <v>1762</v>
      </c>
      <c r="F444" s="165"/>
      <c r="G444" s="166">
        <v>109.41</v>
      </c>
      <c r="H444" s="166">
        <v>6.49</v>
      </c>
      <c r="I444" s="166">
        <v>0.97</v>
      </c>
      <c r="J444" s="166">
        <v>4</v>
      </c>
      <c r="K444" s="166"/>
      <c r="L444" s="166">
        <v>8.6300000000000008</v>
      </c>
      <c r="M444" s="166">
        <v>2.5299999999999998</v>
      </c>
      <c r="N444" s="166">
        <f>IFERROR(SUM(N445:N456)/(SUM($C$445:$C$456)/100000),"")</f>
        <v>1.5085</v>
      </c>
      <c r="O444" s="167" t="str">
        <f>IF(OR(B444="",C444=""),"",IFERROR(C444/1000*INDEX(Vöruskrá!R:R,MATCH(B444,Vöruskrá!B:B,0))/1000,""))</f>
        <v/>
      </c>
      <c r="P444" s="196" t="s">
        <v>1763</v>
      </c>
      <c r="Q444" s="199" t="s">
        <v>1764</v>
      </c>
      <c r="R444" s="198" t="s">
        <v>1765</v>
      </c>
    </row>
    <row r="445" spans="1:18" ht="15">
      <c r="A445" s="171"/>
      <c r="B445" s="171" t="s">
        <v>376</v>
      </c>
      <c r="C445" s="172">
        <v>30000</v>
      </c>
      <c r="D445" s="168" t="s">
        <v>377</v>
      </c>
      <c r="E445" s="168" t="s">
        <v>213</v>
      </c>
      <c r="F445" s="168"/>
      <c r="G445" s="169">
        <f>IF(OR(B445="",C445=""),"",IFERROR(INDEX(Vöruskrá!J:J,MATCH(B445,Vöruskrá!B:B,0))*C445/100000,""))</f>
        <v>39.299999999999997</v>
      </c>
      <c r="H445" s="169">
        <f>IF(OR(B445="",C445=""),"",IFERROR(INDEX(Vöruskrá!K:K,MATCH(B445,Vöruskrá!B:B,0))*C445/100000,""))</f>
        <v>2.16</v>
      </c>
      <c r="I445" s="169">
        <f>IF(OR(B445="",C445=""),"",IFERROR(INDEX(Vöruskrá!L:L,MATCH(B445,Vöruskrá!B:B,0))*C445/100000,""))</f>
        <v>0.15</v>
      </c>
      <c r="J445" s="169">
        <f>IF(OR(B445="",C445=""),"",IFERROR(INDEX(Vöruskrá!M:M,MATCH(B445,Vöruskrá!B:B,0))*C445/100000,""))</f>
        <v>0.42</v>
      </c>
      <c r="K445" s="169">
        <f>IF(OR(B445="",C445=""),"",IFERROR(INDEX(Vöruskrá!N:N,MATCH(B445,Vöruskrá!B:B,0))*C445/100000,""))</f>
        <v>0.18</v>
      </c>
      <c r="L445" s="169">
        <f>IF(OR(B445="",C445=""),"",IFERROR(INDEX(Vöruskrá!O:O,MATCH(B445,Vöruskrá!B:B,0))*C445/100000,""))</f>
        <v>3.9</v>
      </c>
      <c r="M445" s="169">
        <f>IF(OR(B445="",C445=""),"",IFERROR(INDEX(Vöruskrá!P:P,MATCH(B445,Vöruskrá!B:B,0))*C445/100000,""))</f>
        <v>0.27</v>
      </c>
      <c r="N445" s="169">
        <f>IF(OR(B445="",C445=""),"",IFERROR(INDEX(Vöruskrá!Q:Q,MATCH(B445,Vöruskrá!B:B,0))*C445/100000,""))</f>
        <v>1.26</v>
      </c>
      <c r="O445" s="170">
        <f>IF(OR(B445="",C445=""),"",IFERROR(C445/1000*INDEX(Vöruskrá!R:R,MATCH(B445,Vöruskrá!B:B,0))/1000,""))</f>
        <v>0</v>
      </c>
      <c r="P445" s="171"/>
      <c r="Q445" s="203"/>
      <c r="R445" s="204"/>
    </row>
    <row r="446" spans="1:18" ht="15">
      <c r="A446" s="173"/>
      <c r="B446" s="173" t="s">
        <v>542</v>
      </c>
      <c r="C446" s="174">
        <v>20000</v>
      </c>
      <c r="D446" s="168" t="s">
        <v>543</v>
      </c>
      <c r="E446" s="168" t="s">
        <v>134</v>
      </c>
      <c r="F446" s="168"/>
      <c r="G446" s="169">
        <f>IF(OR(B446="",C446=""),"",IFERROR(INDEX(Vöruskrá!J:J,MATCH(B446,Vöruskrá!B:B,0))*C446/100000,""))</f>
        <v>35.799999999999997</v>
      </c>
      <c r="H446" s="169">
        <f>IF(OR(B446="",C446=""),"",IFERROR(INDEX(Vöruskrá!K:K,MATCH(B446,Vöruskrá!B:B,0))*C446/100000,""))</f>
        <v>2.2000000000000002</v>
      </c>
      <c r="I446" s="169">
        <f>IF(OR(B446="",C446=""),"",IFERROR(INDEX(Vöruskrá!L:L,MATCH(B446,Vöruskrá!B:B,0))*C446/100000,""))</f>
        <v>0.62</v>
      </c>
      <c r="J446" s="169">
        <f>IF(OR(B446="",C446=""),"",IFERROR(INDEX(Vöruskrá!M:M,MATCH(B446,Vöruskrá!B:B,0))*C446/100000,""))</f>
        <v>0</v>
      </c>
      <c r="K446" s="169">
        <f>IF(OR(B446="",C446=""),"",IFERROR(INDEX(Vöruskrá!N:N,MATCH(B446,Vöruskrá!B:B,0))*C446/100000,""))</f>
        <v>0</v>
      </c>
      <c r="L446" s="169">
        <f>IF(OR(B446="",C446=""),"",IFERROR(INDEX(Vöruskrá!O:O,MATCH(B446,Vöruskrá!B:B,0))*C446/100000,""))</f>
        <v>4</v>
      </c>
      <c r="M446" s="169">
        <f>IF(OR(B446="",C446=""),"",IFERROR(INDEX(Vöruskrá!P:P,MATCH(B446,Vöruskrá!B:B,0))*C446/100000,""))</f>
        <v>0.04</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247</v>
      </c>
      <c r="C447" s="172">
        <v>15000</v>
      </c>
      <c r="D447" s="168" t="s">
        <v>251</v>
      </c>
      <c r="E447" s="168" t="s">
        <v>252</v>
      </c>
      <c r="F447" s="168"/>
      <c r="G447" s="169" t="str">
        <f>IF(OR(B447="",C447=""),"",IFERROR(INDEX(Vöruskrá!J:J,MATCH(B447,Vöruskrá!B:B,0))*C447/100000,""))</f>
        <v/>
      </c>
      <c r="H447" s="169" t="str">
        <f>IF(OR(B447="",C447=""),"",IFERROR(INDEX(Vöruskrá!K:K,MATCH(B447,Vöruskrá!B:B,0))*C447/100000,""))</f>
        <v/>
      </c>
      <c r="I447" s="169" t="str">
        <f>IF(OR(B447="",C447=""),"",IFERROR(INDEX(Vöruskrá!L:L,MATCH(B447,Vöruskrá!B:B,0))*C447/100000,""))</f>
        <v/>
      </c>
      <c r="J447" s="169" t="str">
        <f>IF(OR(B447="",C447=""),"",IFERROR(INDEX(Vöruskrá!M:M,MATCH(B447,Vöruskrá!B:B,0))*C447/100000,""))</f>
        <v/>
      </c>
      <c r="K447" s="169" t="str">
        <f>IF(OR(B447="",C447=""),"",IFERROR(INDEX(Vöruskrá!N:N,MATCH(B447,Vöruskrá!B:B,0))*C447/100000,""))</f>
        <v/>
      </c>
      <c r="L447" s="169" t="str">
        <f>IF(OR(B447="",C447=""),"",IFERROR(INDEX(Vöruskrá!O:O,MATCH(B447,Vöruskrá!B:B,0))*C447/100000,""))</f>
        <v/>
      </c>
      <c r="M447" s="169" t="str">
        <f>IF(OR(B447="",C447=""),"",IFERROR(INDEX(Vöruskrá!P:P,MATCH(B447,Vöruskrá!B:B,0))*C447/100000,""))</f>
        <v/>
      </c>
      <c r="N447" s="169" t="str">
        <f>IF(OR(B447="",C447=""),"",IFERROR(INDEX(Vöruskrá!Q:Q,MATCH(B447,Vöruskrá!B:B,0))*C447/100000,""))</f>
        <v/>
      </c>
      <c r="O447" s="170" t="str">
        <f>IF(OR(B447="",C447=""),"",IFERROR(C447/1000*INDEX(Vöruskrá!R:R,MATCH(B447,Vöruskrá!B:B,0))/1000,""))</f>
        <v/>
      </c>
      <c r="P447" s="171"/>
      <c r="Q447" s="157"/>
      <c r="R447" s="27"/>
    </row>
    <row r="448" spans="1:18">
      <c r="A448" s="173"/>
      <c r="B448" s="173" t="s">
        <v>1766</v>
      </c>
      <c r="C448" s="174">
        <v>10000</v>
      </c>
      <c r="D448" s="168"/>
      <c r="E448" s="168"/>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3"/>
      <c r="Q448" s="158"/>
      <c r="R448" s="6"/>
    </row>
    <row r="449" spans="1:18" ht="15">
      <c r="A449" s="171"/>
      <c r="B449" s="171" t="s">
        <v>564</v>
      </c>
      <c r="C449" s="172">
        <v>5000</v>
      </c>
      <c r="D449" s="168" t="s">
        <v>565</v>
      </c>
      <c r="E449" s="168" t="s">
        <v>134</v>
      </c>
      <c r="F449" s="168"/>
      <c r="G449" s="169">
        <f>IF(OR(B449="",C449=""),"",IFERROR(INDEX(Vöruskrá!J:J,MATCH(B449,Vöruskrá!B:B,0))*C449/100000,""))</f>
        <v>5.7</v>
      </c>
      <c r="H449" s="169">
        <f>IF(OR(B449="",C449=""),"",IFERROR(INDEX(Vöruskrá!K:K,MATCH(B449,Vöruskrá!B:B,0))*C449/100000,""))</f>
        <v>0.43</v>
      </c>
      <c r="I449" s="169">
        <f>IF(OR(B449="",C449=""),"",IFERROR(INDEX(Vöruskrá!L:L,MATCH(B449,Vöruskrá!B:B,0))*C449/100000,""))</f>
        <v>5.5E-2</v>
      </c>
      <c r="J449" s="169">
        <f>IF(OR(B449="",C449=""),"",IFERROR(INDEX(Vöruskrá!M:M,MATCH(B449,Vöruskrá!B:B,0))*C449/100000,""))</f>
        <v>0.34499999999999997</v>
      </c>
      <c r="K449" s="169">
        <f>IF(OR(B449="",C449=""),"",IFERROR(INDEX(Vöruskrá!N:N,MATCH(B449,Vöruskrá!B:B,0))*C449/100000,""))</f>
        <v>0.19500000000000001</v>
      </c>
      <c r="L449" s="169">
        <f>IF(OR(B449="",C449=""),"",IFERROR(INDEX(Vöruskrá!O:O,MATCH(B449,Vöruskrá!B:B,0))*C449/100000,""))</f>
        <v>0.06</v>
      </c>
      <c r="M449" s="169">
        <f>IF(OR(B449="",C449=""),"",IFERROR(INDEX(Vöruskrá!P:P,MATCH(B449,Vöruskrá!B:B,0))*C449/100000,""))</f>
        <v>0</v>
      </c>
      <c r="N449" s="169">
        <f>IF(OR(B449="",C449=""),"",IFERROR(INDEX(Vöruskrá!Q:Q,MATCH(B449,Vöruskrá!B:B,0))*C449/100000,""))</f>
        <v>9.5000000000000001E-2</v>
      </c>
      <c r="O449" s="170">
        <f>IF(OR(B449="",C449=""),"",IFERROR(C449/1000*INDEX(Vöruskrá!R:R,MATCH(B449,Vöruskrá!B:B,0))/1000,""))</f>
        <v>0</v>
      </c>
      <c r="P449" s="171"/>
      <c r="Q449" s="157"/>
      <c r="R449" s="27"/>
    </row>
    <row r="450" spans="1:18" ht="15">
      <c r="A450" s="173"/>
      <c r="B450" s="173" t="s">
        <v>420</v>
      </c>
      <c r="C450" s="174">
        <v>8000</v>
      </c>
      <c r="D450" s="168" t="s">
        <v>421</v>
      </c>
      <c r="E450" s="168" t="s">
        <v>134</v>
      </c>
      <c r="F450" s="168"/>
      <c r="G450" s="169">
        <f>IF(OR(B450="",C450=""),"",IFERROR(INDEX(Vöruskrá!J:J,MATCH(B450,Vöruskrá!B:B,0))*C450/100000,""))</f>
        <v>2.64</v>
      </c>
      <c r="H450" s="169">
        <f>IF(OR(B450="",C450=""),"",IFERROR(INDEX(Vöruskrá!K:K,MATCH(B450,Vöruskrá!B:B,0))*C450/100000,""))</f>
        <v>0</v>
      </c>
      <c r="I450" s="169">
        <f>IF(OR(B450="",C450=""),"",IFERROR(INDEX(Vöruskrá!L:L,MATCH(B450,Vöruskrá!B:B,0))*C450/100000,""))</f>
        <v>0</v>
      </c>
      <c r="J450" s="169">
        <f>IF(OR(B450="",C450=""),"",IFERROR(INDEX(Vöruskrá!M:M,MATCH(B450,Vöruskrá!B:B,0))*C450/100000,""))</f>
        <v>0.44</v>
      </c>
      <c r="K450" s="169">
        <f>IF(OR(B450="",C450=""),"",IFERROR(INDEX(Vöruskrá!N:N,MATCH(B450,Vöruskrá!B:B,0))*C450/100000,""))</f>
        <v>0.38400000000000001</v>
      </c>
      <c r="L450" s="169">
        <f>IF(OR(B450="",C450=""),"",IFERROR(INDEX(Vöruskrá!O:O,MATCH(B450,Vöruskrá!B:B,0))*C450/100000,""))</f>
        <v>0.128</v>
      </c>
      <c r="M450" s="169">
        <f>IF(OR(B450="",C450=""),"",IFERROR(INDEX(Vöruskrá!P:P,MATCH(B450,Vöruskrá!B:B,0))*C450/100000,""))</f>
        <v>0.08</v>
      </c>
      <c r="N450" s="169">
        <f>IF(OR(B450="",C450=""),"",IFERROR(INDEX(Vöruskrá!Q:Q,MATCH(B450,Vöruskrá!B:B,0))*C450/100000,""))</f>
        <v>0.152</v>
      </c>
      <c r="O450" s="170">
        <f>IF(OR(B450="",C450=""),"",IFERROR(C450/1000*INDEX(Vöruskrá!R:R,MATCH(B450,Vöruskrá!B:B,0))/1000,""))</f>
        <v>0</v>
      </c>
      <c r="P450" s="173"/>
      <c r="Q450" s="158"/>
      <c r="R450" s="6"/>
    </row>
    <row r="451" spans="1:18" ht="15">
      <c r="A451" s="171"/>
      <c r="B451" s="171" t="s">
        <v>1072</v>
      </c>
      <c r="C451" s="172">
        <v>1500</v>
      </c>
      <c r="D451" s="168" t="s">
        <v>1075</v>
      </c>
      <c r="E451" s="168" t="s">
        <v>252</v>
      </c>
      <c r="F451" s="168"/>
      <c r="G451" s="169">
        <f>IF(OR(B451="",C451=""),"",IFERROR(INDEX(Vöruskrá!J:J,MATCH(B451,Vöruskrá!B:B,0))*C451/100000,""))</f>
        <v>3.5550000000000002</v>
      </c>
      <c r="H451" s="169">
        <f>IF(OR(B451="",C451=""),"",IFERROR(INDEX(Vöruskrá!K:K,MATCH(B451,Vöruskrá!B:B,0))*C451/100000,""))</f>
        <v>1.7999999999999999E-2</v>
      </c>
      <c r="I451" s="169">
        <f>IF(OR(B451="",C451=""),"",IFERROR(INDEX(Vöruskrá!L:L,MATCH(B451,Vöruskrá!B:B,0))*C451/100000,""))</f>
        <v>1.5E-3</v>
      </c>
      <c r="J451" s="169">
        <f>IF(OR(B451="",C451=""),"",IFERROR(INDEX(Vöruskrá!M:M,MATCH(B451,Vöruskrá!B:B,0))*C451/100000,""))</f>
        <v>0.61499999999999999</v>
      </c>
      <c r="K451" s="169">
        <f>IF(OR(B451="",C451=""),"",IFERROR(INDEX(Vöruskrá!N:N,MATCH(B451,Vöruskrá!B:B,0))*C451/100000,""))</f>
        <v>0.432</v>
      </c>
      <c r="L451" s="169">
        <f>IF(OR(B451="",C451=""),"",IFERROR(INDEX(Vöruskrá!O:O,MATCH(B451,Vöruskrá!B:B,0))*C451/100000,""))</f>
        <v>0.23400000000000001</v>
      </c>
      <c r="M451" s="169">
        <f>IF(OR(B451="",C451=""),"",IFERROR(INDEX(Vöruskrá!P:P,MATCH(B451,Vöruskrá!B:B,0))*C451/100000,""))</f>
        <v>0.52500000000000002</v>
      </c>
      <c r="N451" s="169">
        <f>IF(OR(B451="",C451=""),"",IFERROR(INDEX(Vöruskrá!Q:Q,MATCH(B451,Vöruskrá!B:B,0))*C451/100000,""))</f>
        <v>1.5E-3</v>
      </c>
      <c r="O451" s="170">
        <f>IF(OR(B451="",C451=""),"",IFERROR(C451/1000*INDEX(Vöruskrá!R:R,MATCH(B451,Vöruskrá!B:B,0))/1000,""))</f>
        <v>0</v>
      </c>
      <c r="P451" s="171"/>
      <c r="Q451" s="157"/>
      <c r="R451" s="27"/>
    </row>
    <row r="452" spans="1:18" ht="15">
      <c r="A452" s="173"/>
      <c r="B452" s="173" t="s">
        <v>489</v>
      </c>
      <c r="C452" s="174">
        <v>2000</v>
      </c>
      <c r="D452" s="168" t="s">
        <v>490</v>
      </c>
      <c r="E452" s="168" t="s">
        <v>134</v>
      </c>
      <c r="F452" s="168" t="s">
        <v>311</v>
      </c>
      <c r="G452" s="169">
        <f>IF(OR(B452="",C452=""),"",IFERROR(INDEX(Vöruskrá!J:J,MATCH(B452,Vöruskrá!B:B,0))*C452/100000,""))</f>
        <v>4.4400000000000004</v>
      </c>
      <c r="H452" s="169">
        <f>IF(OR(B452="",C452=""),"",IFERROR(INDEX(Vöruskrá!K:K,MATCH(B452,Vöruskrá!B:B,0))*C452/100000,""))</f>
        <v>0.12</v>
      </c>
      <c r="I452" s="169">
        <f>IF(OR(B452="",C452=""),"",IFERROR(INDEX(Vöruskrá!L:L,MATCH(B452,Vöruskrá!B:B,0))*C452/100000,""))</f>
        <v>1.7999999999999999E-2</v>
      </c>
      <c r="J452" s="169">
        <f>IF(OR(B452="",C452=""),"",IFERROR(INDEX(Vöruskrá!M:M,MATCH(B452,Vöruskrá!B:B,0))*C452/100000,""))</f>
        <v>0.6</v>
      </c>
      <c r="K452" s="169">
        <f>IF(OR(B452="",C452=""),"",IFERROR(INDEX(Vöruskrá!N:N,MATCH(B452,Vöruskrá!B:B,0))*C452/100000,""))</f>
        <v>9.1999999999999998E-2</v>
      </c>
      <c r="L452" s="169">
        <f>IF(OR(B452="",C452=""),"",IFERROR(INDEX(Vöruskrá!O:O,MATCH(B452,Vöruskrá!B:B,0))*C452/100000,""))</f>
        <v>0.14199999999999999</v>
      </c>
      <c r="M452" s="169">
        <f>IF(OR(B452="",C452=""),"",IFERROR(INDEX(Vöruskrá!P:P,MATCH(B452,Vöruskrá!B:B,0))*C452/100000,""))</f>
        <v>0.9</v>
      </c>
      <c r="N452" s="169">
        <f>IF(OR(B452="",C452=""),"",IFERROR(INDEX(Vöruskrá!Q:Q,MATCH(B452,Vöruskrá!B:B,0))*C452/100000,""))</f>
        <v>0</v>
      </c>
      <c r="O452" s="170">
        <f>IF(OR(B452="",C452=""),"",IFERROR(C452/1000*INDEX(Vöruskrá!R:R,MATCH(B452,Vöruskrá!B:B,0))/1000,""))</f>
        <v>0</v>
      </c>
      <c r="P452" s="173"/>
      <c r="Q452" s="158"/>
      <c r="R452" s="6"/>
    </row>
    <row r="453" spans="1:18" ht="15">
      <c r="A453" s="171"/>
      <c r="B453" s="171" t="s">
        <v>1270</v>
      </c>
      <c r="C453" s="172">
        <v>1500</v>
      </c>
      <c r="D453" s="168" t="s">
        <v>1270</v>
      </c>
      <c r="E453" s="168" t="s">
        <v>134</v>
      </c>
      <c r="F453" s="168"/>
      <c r="G453" s="169">
        <f>IF(OR(B453="",C453=""),"",IFERROR(INDEX(Vöruskrá!J:J,MATCH(B453,Vöruskrá!B:B,0))*C453/100000,""))</f>
        <v>13.5</v>
      </c>
      <c r="H453" s="169">
        <f>IF(OR(B453="",C453=""),"",IFERROR(INDEX(Vöruskrá!K:K,MATCH(B453,Vöruskrá!B:B,0))*C453/100000,""))</f>
        <v>1.5</v>
      </c>
      <c r="I453" s="169">
        <f>IF(OR(B453="",C453=""),"",IFERROR(INDEX(Vöruskrá!L:L,MATCH(B453,Vöruskrá!B:B,0))*C453/100000,""))</f>
        <v>0.105</v>
      </c>
      <c r="J453" s="169">
        <f>IF(OR(B453="",C453=""),"",IFERROR(INDEX(Vöruskrá!M:M,MATCH(B453,Vöruskrá!B:B,0))*C453/100000,""))</f>
        <v>0.97499999999999998</v>
      </c>
      <c r="K453" s="169">
        <f>IF(OR(B453="",C453=""),"",IFERROR(INDEX(Vöruskrá!N:N,MATCH(B453,Vöruskrá!B:B,0))*C453/100000,""))</f>
        <v>0.41249999999999998</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1"/>
      <c r="Q453" s="157"/>
      <c r="R453" s="27"/>
    </row>
    <row r="454" spans="1:18" ht="15">
      <c r="A454" s="173"/>
      <c r="B454" s="173" t="s">
        <v>299</v>
      </c>
      <c r="C454" s="174">
        <v>700</v>
      </c>
      <c r="D454" s="168" t="s">
        <v>302</v>
      </c>
      <c r="E454" s="168" t="s">
        <v>134</v>
      </c>
      <c r="F454" s="168" t="s">
        <v>303</v>
      </c>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0.7</v>
      </c>
      <c r="N454" s="169">
        <f>IF(OR(B454="",C454=""),"",IFERROR(INDEX(Vöruskrá!Q:Q,MATCH(B454,Vöruskrá!B:B,0))*C454/100000,""))</f>
        <v>0</v>
      </c>
      <c r="O454" s="170">
        <f>IF(OR(B454="",C454=""),"",IFERROR(C454/1000*INDEX(Vöruskrá!R:R,MATCH(B454,Vöruskrá!B:B,0))/1000,""))</f>
        <v>0</v>
      </c>
      <c r="P454" s="173"/>
      <c r="Q454" s="158"/>
      <c r="R454" s="6"/>
    </row>
    <row r="455" spans="1:18" ht="15">
      <c r="A455" s="171"/>
      <c r="B455" s="171" t="s">
        <v>819</v>
      </c>
      <c r="C455" s="172">
        <v>150</v>
      </c>
      <c r="D455" s="168" t="s">
        <v>820</v>
      </c>
      <c r="E455" s="168"/>
      <c r="F455" s="168" t="s">
        <v>311</v>
      </c>
      <c r="G455" s="169">
        <f>IF(OR(B455="",C455=""),"",IFERROR(INDEX(Vöruskrá!J:J,MATCH(B455,Vöruskrá!B:B,0))*C455/100000,""))</f>
        <v>0.57899999999999996</v>
      </c>
      <c r="H455" s="169">
        <f>IF(OR(B455="",C455=""),"",IFERROR(INDEX(Vöruskrá!K:K,MATCH(B455,Vöruskrá!B:B,0))*C455/100000,""))</f>
        <v>4.9500000000000004E-3</v>
      </c>
      <c r="I455" s="169">
        <f>IF(OR(B455="",C455=""),"",IFERROR(INDEX(Vöruskrá!L:L,MATCH(B455,Vöruskrá!B:B,0))*C455/100000,""))</f>
        <v>1.5E-3</v>
      </c>
      <c r="J455" s="169">
        <f>IF(OR(B455="",C455=""),"",IFERROR(INDEX(Vöruskrá!M:M,MATCH(B455,Vöruskrá!B:B,0))*C455/100000,""))</f>
        <v>9.7500000000000003E-2</v>
      </c>
      <c r="K455" s="169">
        <f>IF(OR(B455="",C455=""),"",IFERROR(INDEX(Vöruskrá!N:N,MATCH(B455,Vöruskrá!B:B,0))*C455/100000,""))</f>
        <v>8.9999999999999998E-4</v>
      </c>
      <c r="L455" s="169">
        <f>IF(OR(B455="",C455=""),"",IFERROR(INDEX(Vöruskrá!O:O,MATCH(B455,Vöruskrá!B:B,0))*C455/100000,""))</f>
        <v>1.6500000000000001E-2</v>
      </c>
      <c r="M455" s="169">
        <f>IF(OR(B455="",C455=""),"",IFERROR(INDEX(Vöruskrá!P:P,MATCH(B455,Vöruskrá!B:B,0))*C455/100000,""))</f>
        <v>1.4999999999999999E-4</v>
      </c>
      <c r="N455" s="169">
        <f>IF(OR(B455="",C455=""),"",IFERROR(INDEX(Vöruskrá!Q:Q,MATCH(B455,Vöruskrá!B:B,0))*C455/100000,""))</f>
        <v>0</v>
      </c>
      <c r="O455" s="170">
        <f>IF(OR(B455="",C455=""),"",IFERROR(C455/1000*INDEX(Vöruskrá!R:R,MATCH(B455,Vöruskrá!B:B,0))/1000,""))</f>
        <v>0</v>
      </c>
      <c r="P455" s="171"/>
      <c r="Q455" s="157"/>
      <c r="R455" s="27"/>
    </row>
    <row r="456" spans="1:18" ht="15">
      <c r="A456" s="173"/>
      <c r="B456" s="173" t="s">
        <v>1020</v>
      </c>
      <c r="C456" s="174">
        <v>6150</v>
      </c>
      <c r="D456" s="168" t="s">
        <v>1020</v>
      </c>
      <c r="E456" s="168" t="s">
        <v>134</v>
      </c>
      <c r="F456" s="168"/>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3"/>
      <c r="Q456" s="200"/>
      <c r="R456" s="159"/>
    </row>
    <row r="457" spans="1:18" ht="60">
      <c r="A457" s="147" t="s">
        <v>1767</v>
      </c>
      <c r="B457" s="147"/>
      <c r="C457" s="148"/>
      <c r="D457" s="165" t="s">
        <v>1768</v>
      </c>
      <c r="E457" s="165" t="s">
        <v>1769</v>
      </c>
      <c r="F457" s="165"/>
      <c r="G457" s="166">
        <v>69.930000000000007</v>
      </c>
      <c r="H457" s="166">
        <v>3.56</v>
      </c>
      <c r="I457" s="166">
        <v>1.07</v>
      </c>
      <c r="J457" s="166">
        <v>3.99</v>
      </c>
      <c r="K457" s="166"/>
      <c r="L457" s="166">
        <v>5.23</v>
      </c>
      <c r="M457" s="166">
        <v>0.86</v>
      </c>
      <c r="N457" s="166">
        <f>IFERROR(SUM(N458:N473)/(SUM($C$458:$C$473)/100000),"")</f>
        <v>0.4998359658377679</v>
      </c>
      <c r="O457" s="167" t="str">
        <f>IF(OR(B457="",C457=""),"",IFERROR(C457/1000*INDEX(Vöruskrá!R:R,MATCH(B457,Vöruskrá!B:B,0))/1000,""))</f>
        <v/>
      </c>
      <c r="P457" s="196" t="s">
        <v>1770</v>
      </c>
      <c r="Q457" s="195" t="s">
        <v>1771</v>
      </c>
      <c r="R457" s="194" t="s">
        <v>1772</v>
      </c>
    </row>
    <row r="458" spans="1:18" ht="15">
      <c r="A458" s="171"/>
      <c r="B458" s="171" t="s">
        <v>875</v>
      </c>
      <c r="C458" s="172">
        <v>15600</v>
      </c>
      <c r="D458" s="168" t="s">
        <v>877</v>
      </c>
      <c r="E458" s="168"/>
      <c r="F458" s="168" t="s">
        <v>878</v>
      </c>
      <c r="G458" s="169">
        <f>IF(OR(B458="",C458=""),"",IFERROR(INDEX(Vöruskrá!J:J,MATCH(B458,Vöruskrá!B:B,0))*C458/100000,""))</f>
        <v>29.64</v>
      </c>
      <c r="H458" s="169">
        <f>IF(OR(B458="",C458=""),"",IFERROR(INDEX(Vöruskrá!K:K,MATCH(B458,Vöruskrá!B:B,0))*C458/100000,""))</f>
        <v>1.95</v>
      </c>
      <c r="I458" s="169">
        <f>IF(OR(B458="",C458=""),"",IFERROR(INDEX(Vöruskrá!L:L,MATCH(B458,Vöruskrá!B:B,0))*C458/100000,""))</f>
        <v>0.78</v>
      </c>
      <c r="J458" s="169">
        <f>IF(OR(B458="",C458=""),"",IFERROR(INDEX(Vöruskrá!M:M,MATCH(B458,Vöruskrá!B:B,0))*C458/100000,""))</f>
        <v>0</v>
      </c>
      <c r="K458" s="169">
        <f>IF(OR(B458="",C458=""),"",IFERROR(INDEX(Vöruskrá!N:N,MATCH(B458,Vöruskrá!B:B,0))*C458/100000,""))</f>
        <v>0</v>
      </c>
      <c r="L458" s="169">
        <f>IF(OR(B458="",C458=""),"",IFERROR(INDEX(Vöruskrá!O:O,MATCH(B458,Vöruskrá!B:B,0))*C458/100000,""))</f>
        <v>3.0419999999999998</v>
      </c>
      <c r="M458" s="169">
        <f>IF(OR(B458="",C458=""),"",IFERROR(INDEX(Vöruskrá!P:P,MATCH(B458,Vöruskrá!B:B,0))*C458/100000,""))</f>
        <v>1.5599999999999999E-2</v>
      </c>
      <c r="N458" s="169">
        <f>IF(OR(B458="",C458=""),"",IFERROR(INDEX(Vöruskrá!Q:Q,MATCH(B458,Vöruskrá!B:B,0))*C458/100000,""))</f>
        <v>0</v>
      </c>
      <c r="O458" s="170">
        <f>IF(OR(B458="",C458=""),"",IFERROR(C458/1000*INDEX(Vöruskrá!R:R,MATCH(B458,Vöruskrá!B:B,0))/1000,""))</f>
        <v>0</v>
      </c>
      <c r="P458" s="171"/>
      <c r="Q458" s="197"/>
      <c r="R458" s="164"/>
    </row>
    <row r="459" spans="1:18" ht="15">
      <c r="A459" s="173"/>
      <c r="B459" s="173" t="s">
        <v>1111</v>
      </c>
      <c r="C459" s="174">
        <v>15600</v>
      </c>
      <c r="D459" s="168" t="s">
        <v>1112</v>
      </c>
      <c r="E459" s="168" t="s">
        <v>1099</v>
      </c>
      <c r="F459" s="168" t="s">
        <v>1113</v>
      </c>
      <c r="G459" s="169">
        <f>IF(OR(B459="",C459=""),"",IFERROR(INDEX(Vöruskrá!J:J,MATCH(B459,Vöruskrá!B:B,0))*C459/100000,""))</f>
        <v>27.923999999999999</v>
      </c>
      <c r="H459" s="169">
        <f>IF(OR(B459="",C459=""),"",IFERROR(INDEX(Vöruskrá!K:K,MATCH(B459,Vöruskrá!B:B,0))*C459/100000,""))</f>
        <v>1.716</v>
      </c>
      <c r="I459" s="169">
        <f>IF(OR(B459="",C459=""),"",IFERROR(INDEX(Vöruskrá!L:L,MATCH(B459,Vöruskrá!B:B,0))*C459/100000,""))</f>
        <v>0.48359999999999997</v>
      </c>
      <c r="J459" s="169">
        <f>IF(OR(B459="",C459=""),"",IFERROR(INDEX(Vöruskrá!M:M,MATCH(B459,Vöruskrá!B:B,0))*C459/100000,""))</f>
        <v>0</v>
      </c>
      <c r="K459" s="169">
        <f>IF(OR(B459="",C459=""),"",IFERROR(INDEX(Vöruskrá!N:N,MATCH(B459,Vöruskrá!B:B,0))*C459/100000,""))</f>
        <v>0</v>
      </c>
      <c r="L459" s="169">
        <f>IF(OR(B459="",C459=""),"",IFERROR(INDEX(Vöruskrá!O:O,MATCH(B459,Vöruskrá!B:B,0))*C459/100000,""))</f>
        <v>3.12</v>
      </c>
      <c r="M459" s="169">
        <f>IF(OR(B459="",C459=""),"",IFERROR(INDEX(Vöruskrá!P:P,MATCH(B459,Vöruskrá!B:B,0))*C459/100000,""))</f>
        <v>3.1199999999999999E-2</v>
      </c>
      <c r="N459" s="169">
        <f>IF(OR(B459="",C459=""),"",IFERROR(INDEX(Vöruskrá!Q:Q,MATCH(B459,Vöruskrá!B:B,0))*C459/100000,""))</f>
        <v>0</v>
      </c>
      <c r="O459" s="170">
        <f>IF(OR(B459="",C459=""),"",IFERROR(C459/1000*INDEX(Vöruskrá!R:R,MATCH(B459,Vöruskrá!B:B,0))/1000,""))</f>
        <v>0</v>
      </c>
      <c r="P459" s="173"/>
      <c r="Q459" s="157"/>
      <c r="R459" s="27"/>
    </row>
    <row r="460" spans="1:18">
      <c r="A460" s="171"/>
      <c r="B460" s="171" t="s">
        <v>1773</v>
      </c>
      <c r="C460" s="172">
        <v>18300</v>
      </c>
      <c r="D460" s="168"/>
      <c r="E460" s="168"/>
      <c r="F460" s="168"/>
      <c r="G460" s="169" t="str">
        <f>IF(OR(B460="",C460=""),"",IFERROR(INDEX(Vöruskrá!J:J,MATCH(B460,Vöruskrá!B:B,0))*C460/100000,""))</f>
        <v/>
      </c>
      <c r="H460" s="169" t="str">
        <f>IF(OR(B460="",C460=""),"",IFERROR(INDEX(Vöruskrá!K:K,MATCH(B460,Vöruskrá!B:B,0))*C460/100000,""))</f>
        <v/>
      </c>
      <c r="I460" s="169" t="str">
        <f>IF(OR(B460="",C460=""),"",IFERROR(INDEX(Vöruskrá!L:L,MATCH(B460,Vöruskrá!B:B,0))*C460/100000,""))</f>
        <v/>
      </c>
      <c r="J460" s="169" t="str">
        <f>IF(OR(B460="",C460=""),"",IFERROR(INDEX(Vöruskrá!M:M,MATCH(B460,Vöruskrá!B:B,0))*C460/100000,""))</f>
        <v/>
      </c>
      <c r="K460" s="169" t="str">
        <f>IF(OR(B460="",C460=""),"",IFERROR(INDEX(Vöruskrá!N:N,MATCH(B460,Vöruskrá!B:B,0))*C460/100000,""))</f>
        <v/>
      </c>
      <c r="L460" s="169" t="str">
        <f>IF(OR(B460="",C460=""),"",IFERROR(INDEX(Vöruskrá!O:O,MATCH(B460,Vöruskrá!B:B,0))*C460/100000,""))</f>
        <v/>
      </c>
      <c r="M460" s="169" t="str">
        <f>IF(OR(B460="",C460=""),"",IFERROR(INDEX(Vöruskrá!P:P,MATCH(B460,Vöruskrá!B:B,0))*C460/100000,""))</f>
        <v/>
      </c>
      <c r="N460" s="169" t="str">
        <f>IF(OR(B460="",C460=""),"",IFERROR(INDEX(Vöruskrá!Q:Q,MATCH(B460,Vöruskrá!B:B,0))*C460/100000,""))</f>
        <v/>
      </c>
      <c r="O460" s="170" t="str">
        <f>IF(OR(B460="",C460=""),"",IFERROR(C460/1000*INDEX(Vöruskrá!R:R,MATCH(B460,Vöruskrá!B:B,0))/1000,""))</f>
        <v/>
      </c>
      <c r="P460" s="171"/>
      <c r="Q460" s="158"/>
      <c r="R460" s="6"/>
    </row>
    <row r="461" spans="1:18" ht="15">
      <c r="A461" s="173"/>
      <c r="B461" s="173" t="s">
        <v>603</v>
      </c>
      <c r="C461" s="174">
        <v>10700</v>
      </c>
      <c r="D461" s="168" t="s">
        <v>605</v>
      </c>
      <c r="E461" s="168"/>
      <c r="F461" s="168"/>
      <c r="G461" s="169">
        <f>IF(OR(B461="",C461=""),"",IFERROR(INDEX(Vöruskrá!J:J,MATCH(B461,Vöruskrá!B:B,0))*C461/100000,""))</f>
        <v>4.4939999999999998</v>
      </c>
      <c r="H461" s="169">
        <f>IF(OR(B461="",C461=""),"",IFERROR(INDEX(Vöruskrá!K:K,MATCH(B461,Vöruskrá!B:B,0))*C461/100000,""))</f>
        <v>3.2099999999999997E-2</v>
      </c>
      <c r="I461" s="169">
        <f>IF(OR(B461="",C461=""),"",IFERROR(INDEX(Vöruskrá!L:L,MATCH(B461,Vöruskrá!B:B,0))*C461/100000,""))</f>
        <v>1.0699999999999999E-2</v>
      </c>
      <c r="J461" s="169">
        <f>IF(OR(B461="",C461=""),"",IFERROR(INDEX(Vöruskrá!M:M,MATCH(B461,Vöruskrá!B:B,0))*C461/100000,""))</f>
        <v>0.84530000000000005</v>
      </c>
      <c r="K461" s="169">
        <f>IF(OR(B461="",C461=""),"",IFERROR(INDEX(Vöruskrá!N:N,MATCH(B461,Vöruskrá!B:B,0))*C461/100000,""))</f>
        <v>0.79179999999999995</v>
      </c>
      <c r="L461" s="169">
        <f>IF(OR(B461="",C461=""),"",IFERROR(INDEX(Vöruskrá!O:O,MATCH(B461,Vöruskrá!B:B,0))*C461/100000,""))</f>
        <v>6.4199999999999993E-2</v>
      </c>
      <c r="M461" s="169">
        <f>IF(OR(B461="",C461=""),"",IFERROR(INDEX(Vöruskrá!P:P,MATCH(B461,Vöruskrá!B:B,0))*C461/100000,""))</f>
        <v>1.0699999999999999E-2</v>
      </c>
      <c r="N461" s="169">
        <f>IF(OR(B461="",C461=""),"",IFERROR(INDEX(Vöruskrá!Q:Q,MATCH(B461,Vöruskrá!B:B,0))*C461/100000,""))</f>
        <v>0.25679999999999997</v>
      </c>
      <c r="O461" s="170">
        <f>IF(OR(B461="",C461=""),"",IFERROR(C461/1000*INDEX(Vöruskrá!R:R,MATCH(B461,Vöruskrá!B:B,0))/1000,""))</f>
        <v>0</v>
      </c>
      <c r="P461" s="173"/>
      <c r="Q461" s="157"/>
      <c r="R461" s="27"/>
    </row>
    <row r="462" spans="1:18" ht="15">
      <c r="A462" s="171"/>
      <c r="B462" s="171" t="s">
        <v>564</v>
      </c>
      <c r="C462" s="172">
        <v>8300</v>
      </c>
      <c r="D462" s="168" t="s">
        <v>565</v>
      </c>
      <c r="E462" s="168" t="s">
        <v>134</v>
      </c>
      <c r="F462" s="168"/>
      <c r="G462" s="169">
        <f>IF(OR(B462="",C462=""),"",IFERROR(INDEX(Vöruskrá!J:J,MATCH(B462,Vöruskrá!B:B,0))*C462/100000,""))</f>
        <v>9.4619999999999997</v>
      </c>
      <c r="H462" s="169">
        <f>IF(OR(B462="",C462=""),"",IFERROR(INDEX(Vöruskrá!K:K,MATCH(B462,Vöruskrá!B:B,0))*C462/100000,""))</f>
        <v>0.71379999999999999</v>
      </c>
      <c r="I462" s="169">
        <f>IF(OR(B462="",C462=""),"",IFERROR(INDEX(Vöruskrá!L:L,MATCH(B462,Vöruskrá!B:B,0))*C462/100000,""))</f>
        <v>9.1300000000000006E-2</v>
      </c>
      <c r="J462" s="169">
        <f>IF(OR(B462="",C462=""),"",IFERROR(INDEX(Vöruskrá!M:M,MATCH(B462,Vöruskrá!B:B,0))*C462/100000,""))</f>
        <v>0.57269999999999999</v>
      </c>
      <c r="K462" s="169">
        <f>IF(OR(B462="",C462=""),"",IFERROR(INDEX(Vöruskrá!N:N,MATCH(B462,Vöruskrá!B:B,0))*C462/100000,""))</f>
        <v>0.32369999999999999</v>
      </c>
      <c r="L462" s="169">
        <f>IF(OR(B462="",C462=""),"",IFERROR(INDEX(Vöruskrá!O:O,MATCH(B462,Vöruskrá!B:B,0))*C462/100000,""))</f>
        <v>9.9599999999999994E-2</v>
      </c>
      <c r="M462" s="169">
        <f>IF(OR(B462="",C462=""),"",IFERROR(INDEX(Vöruskrá!P:P,MATCH(B462,Vöruskrá!B:B,0))*C462/100000,""))</f>
        <v>0</v>
      </c>
      <c r="N462" s="169">
        <f>IF(OR(B462="",C462=""),"",IFERROR(INDEX(Vöruskrá!Q:Q,MATCH(B462,Vöruskrá!B:B,0))*C462/100000,""))</f>
        <v>0.15770000000000001</v>
      </c>
      <c r="O462" s="170">
        <f>IF(OR(B462="",C462=""),"",IFERROR(C462/1000*INDEX(Vöruskrá!R:R,MATCH(B462,Vöruskrá!B:B,0))/1000,""))</f>
        <v>0</v>
      </c>
      <c r="P462" s="171"/>
      <c r="Q462" s="158"/>
      <c r="R462" s="6"/>
    </row>
    <row r="463" spans="1:18" ht="15">
      <c r="A463" s="173"/>
      <c r="B463" s="173" t="s">
        <v>504</v>
      </c>
      <c r="C463" s="174">
        <v>4000</v>
      </c>
      <c r="D463" s="168" t="s">
        <v>500</v>
      </c>
      <c r="E463" s="168" t="s">
        <v>134</v>
      </c>
      <c r="F463" s="168"/>
      <c r="G463" s="169">
        <f>IF(OR(B463="",C463=""),"",IFERROR(INDEX(Vöruskrá!J:J,MATCH(B463,Vöruskrá!B:B,0))*C463/100000,""))</f>
        <v>4.5199999999999996</v>
      </c>
      <c r="H463" s="169">
        <f>IF(OR(B463="",C463=""),"",IFERROR(INDEX(Vöruskrá!K:K,MATCH(B463,Vöruskrá!B:B,0))*C463/100000,""))</f>
        <v>1.6E-2</v>
      </c>
      <c r="I463" s="169">
        <f>IF(OR(B463="",C463=""),"",IFERROR(INDEX(Vöruskrá!L:L,MATCH(B463,Vöruskrá!B:B,0))*C463/100000,""))</f>
        <v>0</v>
      </c>
      <c r="J463" s="169">
        <f>IF(OR(B463="",C463=""),"",IFERROR(INDEX(Vöruskrá!M:M,MATCH(B463,Vöruskrá!B:B,0))*C463/100000,""))</f>
        <v>0.76</v>
      </c>
      <c r="K463" s="169">
        <f>IF(OR(B463="",C463=""),"",IFERROR(INDEX(Vöruskrá!N:N,MATCH(B463,Vöruskrá!B:B,0))*C463/100000,""))</f>
        <v>0.56000000000000005</v>
      </c>
      <c r="L463" s="169">
        <f>IF(OR(B463="",C463=""),"",IFERROR(INDEX(Vöruskrá!O:O,MATCH(B463,Vöruskrá!B:B,0))*C463/100000,""))</f>
        <v>0.24</v>
      </c>
      <c r="M463" s="169">
        <f>IF(OR(B463="",C463=""),"",IFERROR(INDEX(Vöruskrá!P:P,MATCH(B463,Vöruskrá!B:B,0))*C463/100000,""))</f>
        <v>4.0000000000000001E-3</v>
      </c>
      <c r="N463" s="169">
        <f>IF(OR(B463="",C463=""),"",IFERROR(INDEX(Vöruskrá!Q:Q,MATCH(B463,Vöruskrá!B:B,0))*C463/100000,""))</f>
        <v>0</v>
      </c>
      <c r="O463" s="170">
        <f>IF(OR(B463="",C463=""),"",IFERROR(C463/1000*INDEX(Vöruskrá!R:R,MATCH(B463,Vöruskrá!B:B,0))/1000,""))</f>
        <v>0</v>
      </c>
      <c r="P463" s="173"/>
      <c r="Q463" s="157"/>
      <c r="R463" s="27"/>
    </row>
    <row r="464" spans="1:18">
      <c r="A464" s="171"/>
      <c r="B464" s="171" t="s">
        <v>1759</v>
      </c>
      <c r="C464" s="172">
        <v>3000</v>
      </c>
      <c r="D464" s="168"/>
      <c r="E464" s="168"/>
      <c r="F464" s="168"/>
      <c r="G464" s="169" t="str">
        <f>IF(OR(B464="",C464=""),"",IFERROR(INDEX(Vöruskrá!J:J,MATCH(B464,Vöruskrá!B:B,0))*C464/100000,""))</f>
        <v/>
      </c>
      <c r="H464" s="169" t="str">
        <f>IF(OR(B464="",C464=""),"",IFERROR(INDEX(Vöruskrá!K:K,MATCH(B464,Vöruskrá!B:B,0))*C464/100000,""))</f>
        <v/>
      </c>
      <c r="I464" s="169" t="str">
        <f>IF(OR(B464="",C464=""),"",IFERROR(INDEX(Vöruskrá!L:L,MATCH(B464,Vöruskrá!B:B,0))*C464/100000,""))</f>
        <v/>
      </c>
      <c r="J464" s="169" t="str">
        <f>IF(OR(B464="",C464=""),"",IFERROR(INDEX(Vöruskrá!M:M,MATCH(B464,Vöruskrá!B:B,0))*C464/100000,""))</f>
        <v/>
      </c>
      <c r="K464" s="169" t="str">
        <f>IF(OR(B464="",C464=""),"",IFERROR(INDEX(Vöruskrá!N:N,MATCH(B464,Vöruskrá!B:B,0))*C464/100000,""))</f>
        <v/>
      </c>
      <c r="L464" s="169" t="str">
        <f>IF(OR(B464="",C464=""),"",IFERROR(INDEX(Vöruskrá!O:O,MATCH(B464,Vöruskrá!B:B,0))*C464/100000,""))</f>
        <v/>
      </c>
      <c r="M464" s="169" t="str">
        <f>IF(OR(B464="",C464=""),"",IFERROR(INDEX(Vöruskrá!P:P,MATCH(B464,Vöruskrá!B:B,0))*C464/100000,""))</f>
        <v/>
      </c>
      <c r="N464" s="169" t="str">
        <f>IF(OR(B464="",C464=""),"",IFERROR(INDEX(Vöruskrá!Q:Q,MATCH(B464,Vöruskrá!B:B,0))*C464/100000,""))</f>
        <v/>
      </c>
      <c r="O464" s="170" t="str">
        <f>IF(OR(B464="",C464=""),"",IFERROR(C464/1000*INDEX(Vöruskrá!R:R,MATCH(B464,Vöruskrá!B:B,0))/1000,""))</f>
        <v/>
      </c>
      <c r="P464" s="171"/>
      <c r="Q464" s="158"/>
      <c r="R464" s="6"/>
    </row>
    <row r="465" spans="1:18" ht="15">
      <c r="A465" s="173"/>
      <c r="B465" s="173" t="s">
        <v>1020</v>
      </c>
      <c r="C465" s="174">
        <v>48300</v>
      </c>
      <c r="D465" s="168" t="s">
        <v>1020</v>
      </c>
      <c r="E465" s="168" t="s">
        <v>134</v>
      </c>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7"/>
      <c r="R465" s="27"/>
    </row>
    <row r="466" spans="1:18" ht="15">
      <c r="A466" s="171"/>
      <c r="B466" s="171" t="s">
        <v>1157</v>
      </c>
      <c r="C466" s="172">
        <v>1300</v>
      </c>
      <c r="D466" s="168" t="s">
        <v>1160</v>
      </c>
      <c r="E466" s="168" t="s">
        <v>1161</v>
      </c>
      <c r="F466" s="168"/>
      <c r="G466" s="169">
        <f>IF(OR(B466="",C466=""),"",IFERROR(INDEX(Vöruskrá!J:J,MATCH(B466,Vöruskrá!B:B,0))*C466/100000,""))</f>
        <v>1.69</v>
      </c>
      <c r="H466" s="169">
        <f>IF(OR(B466="",C466=""),"",IFERROR(INDEX(Vöruskrá!K:K,MATCH(B466,Vöruskrá!B:B,0))*C466/100000,""))</f>
        <v>0.104</v>
      </c>
      <c r="I466" s="169">
        <f>IF(OR(B466="",C466=""),"",IFERROR(INDEX(Vöruskrá!L:L,MATCH(B466,Vöruskrá!B:B,0))*C466/100000,""))</f>
        <v>6.4999999999999997E-3</v>
      </c>
      <c r="J466" s="169">
        <f>IF(OR(B466="",C466=""),"",IFERROR(INDEX(Vöruskrá!M:M,MATCH(B466,Vöruskrá!B:B,0))*C466/100000,""))</f>
        <v>7.8E-2</v>
      </c>
      <c r="K466" s="169">
        <f>IF(OR(B466="",C466=""),"",IFERROR(INDEX(Vöruskrá!N:N,MATCH(B466,Vöruskrá!B:B,0))*C466/100000,""))</f>
        <v>2.5999999999999999E-2</v>
      </c>
      <c r="L466" s="169">
        <f>IF(OR(B466="",C466=""),"",IFERROR(INDEX(Vöruskrá!O:O,MATCH(B466,Vöruskrá!B:B,0))*C466/100000,""))</f>
        <v>7.8E-2</v>
      </c>
      <c r="M466" s="169">
        <f>IF(OR(B466="",C466=""),"",IFERROR(INDEX(Vöruskrá!P:P,MATCH(B466,Vöruskrá!B:B,0))*C466/100000,""))</f>
        <v>5.8500000000000003E-2</v>
      </c>
      <c r="N466" s="169">
        <f>IF(OR(B466="",C466=""),"",IFERROR(INDEX(Vöruskrá!Q:Q,MATCH(B466,Vöruskrá!B:B,0))*C466/100000,""))</f>
        <v>3.9E-2</v>
      </c>
      <c r="O466" s="170">
        <f>IF(OR(B466="",C466=""),"",IFERROR(C466/1000*INDEX(Vöruskrá!R:R,MATCH(B466,Vöruskrá!B:B,0))/1000,""))</f>
        <v>0</v>
      </c>
      <c r="P466" s="171"/>
      <c r="Q466" s="158"/>
      <c r="R466" s="6"/>
    </row>
    <row r="467" spans="1:18" ht="15">
      <c r="A467" s="173"/>
      <c r="B467" s="173" t="s">
        <v>349</v>
      </c>
      <c r="C467" s="174">
        <v>2700</v>
      </c>
      <c r="D467" s="168" t="s">
        <v>351</v>
      </c>
      <c r="E467" s="168" t="s">
        <v>134</v>
      </c>
      <c r="F467" s="168"/>
      <c r="G467" s="169">
        <f>IF(OR(B467="",C467=""),"",IFERROR(INDEX(Vöruskrá!J:J,MATCH(B467,Vöruskrá!B:B,0))*C467/100000,""))</f>
        <v>9.5850000000000009</v>
      </c>
      <c r="H467" s="169">
        <f>IF(OR(B467="",C467=""),"",IFERROR(INDEX(Vöruskrá!K:K,MATCH(B467,Vöruskrá!B:B,0))*C467/100000,""))</f>
        <v>1.35E-2</v>
      </c>
      <c r="I467" s="169">
        <f>IF(OR(B467="",C467=""),"",IFERROR(INDEX(Vöruskrá!L:L,MATCH(B467,Vöruskrá!B:B,0))*C467/100000,""))</f>
        <v>0</v>
      </c>
      <c r="J467" s="169">
        <f>IF(OR(B467="",C467=""),"",IFERROR(INDEX(Vöruskrá!M:M,MATCH(B467,Vöruskrá!B:B,0))*C467/100000,""))</f>
        <v>2.3220000000000001</v>
      </c>
      <c r="K467" s="169">
        <f>IF(OR(B467="",C467=""),"",IFERROR(INDEX(Vöruskrá!N:N,MATCH(B467,Vöruskrá!B:B,0))*C467/100000,""))</f>
        <v>0</v>
      </c>
      <c r="L467" s="169">
        <f>IF(OR(B467="",C467=""),"",IFERROR(INDEX(Vöruskrá!O:O,MATCH(B467,Vöruskrá!B:B,0))*C467/100000,""))</f>
        <v>1.35E-2</v>
      </c>
      <c r="M467" s="169">
        <f>IF(OR(B467="",C467=""),"",IFERROR(INDEX(Vöruskrá!P:P,MATCH(B467,Vöruskrá!B:B,0))*C467/100000,""))</f>
        <v>0</v>
      </c>
      <c r="N467" s="169">
        <f>IF(OR(B467="",C467=""),"",IFERROR(INDEX(Vöruskrá!Q:Q,MATCH(B467,Vöruskrá!B:B,0))*C467/100000,""))</f>
        <v>2.7E-2</v>
      </c>
      <c r="O467" s="170">
        <f>IF(OR(B467="",C467=""),"",IFERROR(C467/1000*INDEX(Vöruskrá!R:R,MATCH(B467,Vöruskrá!B:B,0))/1000,""))</f>
        <v>0</v>
      </c>
      <c r="P467" s="173"/>
      <c r="Q467" s="157"/>
      <c r="R467" s="27"/>
    </row>
    <row r="468" spans="1:18" ht="15">
      <c r="A468" s="171"/>
      <c r="B468" s="171" t="s">
        <v>299</v>
      </c>
      <c r="C468" s="172">
        <v>1000</v>
      </c>
      <c r="D468" s="168" t="s">
        <v>302</v>
      </c>
      <c r="E468" s="168" t="s">
        <v>134</v>
      </c>
      <c r="F468" s="168" t="s">
        <v>303</v>
      </c>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1</v>
      </c>
      <c r="N468" s="169">
        <f>IF(OR(B468="",C468=""),"",IFERROR(INDEX(Vöruskrá!Q:Q,MATCH(B468,Vöruskrá!B:B,0))*C468/100000,""))</f>
        <v>0</v>
      </c>
      <c r="O468" s="170">
        <f>IF(OR(B468="",C468=""),"",IFERROR(C468/1000*INDEX(Vöruskrá!R:R,MATCH(B468,Vöruskrá!B:B,0))/1000,""))</f>
        <v>0</v>
      </c>
      <c r="P468" s="171"/>
      <c r="Q468" s="158"/>
      <c r="R468" s="6"/>
    </row>
    <row r="469" spans="1:18" ht="15">
      <c r="A469" s="173"/>
      <c r="B469" s="173" t="s">
        <v>1153</v>
      </c>
      <c r="C469" s="174">
        <v>400</v>
      </c>
      <c r="D469" s="168" t="s">
        <v>1154</v>
      </c>
      <c r="E469" s="168" t="s">
        <v>134</v>
      </c>
      <c r="F469" s="168"/>
      <c r="G469" s="169">
        <f>IF(OR(B469="",C469=""),"",IFERROR(INDEX(Vöruskrá!J:J,MATCH(B469,Vöruskrá!B:B,0))*C469/100000,""))</f>
        <v>1.1279999999999999</v>
      </c>
      <c r="H469" s="169">
        <f>IF(OR(B469="",C469=""),"",IFERROR(INDEX(Vöruskrá!K:K,MATCH(B469,Vöruskrá!B:B,0))*C469/100000,""))</f>
        <v>5.1999999999999998E-2</v>
      </c>
      <c r="I469" s="169">
        <f>IF(OR(B469="",C469=""),"",IFERROR(INDEX(Vöruskrá!L:L,MATCH(B469,Vöruskrá!B:B,0))*C469/100000,""))</f>
        <v>8.0000000000000002E-3</v>
      </c>
      <c r="J469" s="169">
        <f>IF(OR(B469="",C469=""),"",IFERROR(INDEX(Vöruskrá!M:M,MATCH(B469,Vöruskrá!B:B,0))*C469/100000,""))</f>
        <v>0.216</v>
      </c>
      <c r="K469" s="169">
        <f>IF(OR(B469="",C469=""),"",IFERROR(INDEX(Vöruskrá!N:N,MATCH(B469,Vöruskrá!B:B,0))*C469/100000,""))</f>
        <v>0.04</v>
      </c>
      <c r="L469" s="169">
        <f>IF(OR(B469="",C469=""),"",IFERROR(INDEX(Vöruskrá!O:O,MATCH(B469,Vöruskrá!B:B,0))*C469/100000,""))</f>
        <v>5.6000000000000001E-2</v>
      </c>
      <c r="M469" s="169">
        <f>IF(OR(B469="",C469=""),"",IFERROR(INDEX(Vöruskrá!P:P,MATCH(B469,Vöruskrá!B:B,0))*C469/100000,""))</f>
        <v>4.0000000000000002E-4</v>
      </c>
      <c r="N469" s="169">
        <f>IF(OR(B469="",C469=""),"",IFERROR(INDEX(Vöruskrá!Q:Q,MATCH(B469,Vöruskrá!B:B,0))*C469/100000,""))</f>
        <v>0.14000000000000001</v>
      </c>
      <c r="O469" s="170">
        <f>IF(OR(B469="",C469=""),"",IFERROR(C469/1000*INDEX(Vöruskrá!R:R,MATCH(B469,Vöruskrá!B:B,0))/1000,""))</f>
        <v>0</v>
      </c>
      <c r="P469" s="173"/>
      <c r="Q469" s="157"/>
      <c r="R469" s="27"/>
    </row>
    <row r="470" spans="1:18" ht="15">
      <c r="A470" s="171"/>
      <c r="B470" s="171" t="s">
        <v>819</v>
      </c>
      <c r="C470" s="172">
        <v>267</v>
      </c>
      <c r="D470" s="168" t="s">
        <v>820</v>
      </c>
      <c r="E470" s="168"/>
      <c r="F470" s="168" t="s">
        <v>311</v>
      </c>
      <c r="G470" s="169">
        <f>IF(OR(B470="",C470=""),"",IFERROR(INDEX(Vöruskrá!J:J,MATCH(B470,Vöruskrá!B:B,0))*C470/100000,""))</f>
        <v>1.0306200000000001</v>
      </c>
      <c r="H470" s="169">
        <f>IF(OR(B470="",C470=""),"",IFERROR(INDEX(Vöruskrá!K:K,MATCH(B470,Vöruskrá!B:B,0))*C470/100000,""))</f>
        <v>8.8109999999999994E-3</v>
      </c>
      <c r="I470" s="169">
        <f>IF(OR(B470="",C470=""),"",IFERROR(INDEX(Vöruskrá!L:L,MATCH(B470,Vöruskrá!B:B,0))*C470/100000,""))</f>
        <v>2.6700000000000001E-3</v>
      </c>
      <c r="J470" s="169">
        <f>IF(OR(B470="",C470=""),"",IFERROR(INDEX(Vöruskrá!M:M,MATCH(B470,Vöruskrá!B:B,0))*C470/100000,""))</f>
        <v>0.17355000000000001</v>
      </c>
      <c r="K470" s="169">
        <f>IF(OR(B470="",C470=""),"",IFERROR(INDEX(Vöruskrá!N:N,MATCH(B470,Vöruskrá!B:B,0))*C470/100000,""))</f>
        <v>1.6019999999999999E-3</v>
      </c>
      <c r="L470" s="169">
        <f>IF(OR(B470="",C470=""),"",IFERROR(INDEX(Vöruskrá!O:O,MATCH(B470,Vöruskrá!B:B,0))*C470/100000,""))</f>
        <v>2.937E-2</v>
      </c>
      <c r="M470" s="169">
        <f>IF(OR(B470="",C470=""),"",IFERROR(INDEX(Vöruskrá!P:P,MATCH(B470,Vöruskrá!B:B,0))*C470/100000,""))</f>
        <v>2.6700000000000004E-4</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315</v>
      </c>
      <c r="C471" s="174">
        <v>200</v>
      </c>
      <c r="D471" s="168" t="s">
        <v>316</v>
      </c>
      <c r="E471" s="168" t="s">
        <v>134</v>
      </c>
      <c r="F471" s="168" t="s">
        <v>311</v>
      </c>
      <c r="G471" s="169">
        <f>IF(OR(B471="",C471=""),"",IFERROR(INDEX(Vöruskrá!J:J,MATCH(B471,Vöruskrá!B:B,0))*C471/100000,""))</f>
        <v>0.77</v>
      </c>
      <c r="H471" s="169">
        <f>IF(OR(B471="",C471=""),"",IFERROR(INDEX(Vöruskrá!K:K,MATCH(B471,Vöruskrá!B:B,0))*C471/100000,""))</f>
        <v>1.6000000000000001E-3</v>
      </c>
      <c r="I471" s="169">
        <f>IF(OR(B471="",C471=""),"",IFERROR(INDEX(Vöruskrá!L:L,MATCH(B471,Vöruskrá!B:B,0))*C471/100000,""))</f>
        <v>2.0000000000000001E-4</v>
      </c>
      <c r="J471" s="169">
        <f>IF(OR(B471="",C471=""),"",IFERROR(INDEX(Vöruskrá!M:M,MATCH(B471,Vöruskrá!B:B,0))*C471/100000,""))</f>
        <v>0.14599999999999999</v>
      </c>
      <c r="K471" s="169">
        <f>IF(OR(B471="",C471=""),"",IFERROR(INDEX(Vöruskrá!N:N,MATCH(B471,Vöruskrá!B:B,0))*C471/100000,""))</f>
        <v>4.8000000000000001E-2</v>
      </c>
      <c r="L471" s="169">
        <f>IF(OR(B471="",C471=""),"",IFERROR(INDEX(Vöruskrá!O:O,MATCH(B471,Vöruskrá!B:B,0))*C471/100000,""))</f>
        <v>3.4000000000000002E-2</v>
      </c>
      <c r="M471" s="169">
        <f>IF(OR(B471="",C471=""),"",IFERROR(INDEX(Vöruskrá!P:P,MATCH(B471,Vöruskrá!B:B,0))*C471/100000,""))</f>
        <v>2.0000000000000001E-4</v>
      </c>
      <c r="N471" s="169">
        <f>IF(OR(B471="",C471=""),"",IFERROR(INDEX(Vöruskrá!Q:Q,MATCH(B471,Vöruskrá!B:B,0))*C471/100000,""))</f>
        <v>0</v>
      </c>
      <c r="O471" s="170">
        <f>IF(OR(B471="",C471=""),"",IFERROR(C471/1000*INDEX(Vöruskrá!R:R,MATCH(B471,Vöruskrá!B:B,0))/1000,""))</f>
        <v>0</v>
      </c>
      <c r="P471" s="173"/>
      <c r="Q471" s="157"/>
      <c r="R471" s="27"/>
    </row>
    <row r="472" spans="1:18" ht="15">
      <c r="A472" s="171"/>
      <c r="B472" s="171" t="s">
        <v>823</v>
      </c>
      <c r="C472" s="172">
        <v>117</v>
      </c>
      <c r="D472" s="168" t="s">
        <v>824</v>
      </c>
      <c r="E472" s="168"/>
      <c r="F472" s="168" t="s">
        <v>311</v>
      </c>
      <c r="G472" s="169">
        <f>IF(OR(B472="",C472=""),"",IFERROR(INDEX(Vöruskrá!J:J,MATCH(B472,Vöruskrá!B:B,0))*C472/100000,""))</f>
        <v>0.33345000000000002</v>
      </c>
      <c r="H472" s="169">
        <f>IF(OR(B472="",C472=""),"",IFERROR(INDEX(Vöruskrá!K:K,MATCH(B472,Vöruskrá!B:B,0))*C472/100000,""))</f>
        <v>8.6580000000000008E-3</v>
      </c>
      <c r="I472" s="169">
        <f>IF(OR(B472="",C472=""),"",IFERROR(INDEX(Vöruskrá!L:L,MATCH(B472,Vöruskrá!B:B,0))*C472/100000,""))</f>
        <v>3.1590000000000003E-3</v>
      </c>
      <c r="J472" s="169">
        <f>IF(OR(B472="",C472=""),"",IFERROR(INDEX(Vöruskrá!M:M,MATCH(B472,Vöruskrá!B:B,0))*C472/100000,""))</f>
        <v>3.159E-2</v>
      </c>
      <c r="K472" s="169">
        <f>IF(OR(B472="",C472=""),"",IFERROR(INDEX(Vöruskrá!N:N,MATCH(B472,Vöruskrá!B:B,0))*C472/100000,""))</f>
        <v>1.9889999999999999E-3</v>
      </c>
      <c r="L472" s="169">
        <f>IF(OR(B472="",C472=""),"",IFERROR(INDEX(Vöruskrá!O:O,MATCH(B472,Vöruskrá!B:B,0))*C472/100000,""))</f>
        <v>1.0647E-2</v>
      </c>
      <c r="M472" s="169">
        <f>IF(OR(B472="",C472=""),"",IFERROR(INDEX(Vöruskrá!P:P,MATCH(B472,Vöruskrá!B:B,0))*C472/100000,""))</f>
        <v>1.1700000000000001E-4</v>
      </c>
      <c r="N472" s="169">
        <f>IF(OR(B472="",C472=""),"",IFERROR(INDEX(Vöruskrá!Q:Q,MATCH(B472,Vöruskrá!B:B,0))*C472/100000,""))</f>
        <v>0</v>
      </c>
      <c r="O472" s="170">
        <f>IF(OR(B472="",C472=""),"",IFERROR(C472/1000*INDEX(Vöruskrá!R:R,MATCH(B472,Vöruskrá!B:B,0))/1000,""))</f>
        <v>0</v>
      </c>
      <c r="P472" s="171"/>
      <c r="Q472" s="158"/>
      <c r="R472" s="6"/>
    </row>
    <row r="473" spans="1:18" ht="15">
      <c r="A473" s="173"/>
      <c r="B473" s="173" t="s">
        <v>1035</v>
      </c>
      <c r="C473" s="174">
        <v>67</v>
      </c>
      <c r="D473" s="168" t="s">
        <v>1036</v>
      </c>
      <c r="E473" s="168" t="s">
        <v>134</v>
      </c>
      <c r="F473" s="168" t="s">
        <v>1024</v>
      </c>
      <c r="G473" s="169">
        <f>IF(OR(B473="",C473=""),"",IFERROR(INDEX(Vöruskrá!J:J,MATCH(B473,Vöruskrá!B:B,0))*C473/100000,""))</f>
        <v>0.22176999999999999</v>
      </c>
      <c r="H473" s="169">
        <f>IF(OR(B473="",C473=""),"",IFERROR(INDEX(Vöruskrá!K:K,MATCH(B473,Vöruskrá!B:B,0))*C473/100000,""))</f>
        <v>1.0184E-2</v>
      </c>
      <c r="I473" s="169">
        <f>IF(OR(B473="",C473=""),"",IFERROR(INDEX(Vöruskrá!L:L,MATCH(B473,Vöruskrá!B:B,0))*C473/100000,""))</f>
        <v>4.9579999999999997E-3</v>
      </c>
      <c r="J473" s="169">
        <f>IF(OR(B473="",C473=""),"",IFERROR(INDEX(Vöruskrá!M:M,MATCH(B473,Vöruskrá!B:B,0))*C473/100000,""))</f>
        <v>3.1087999999999998E-2</v>
      </c>
      <c r="K473" s="169">
        <f>IF(OR(B473="",C473=""),"",IFERROR(INDEX(Vöruskrá!N:N,MATCH(B473,Vöruskrá!B:B,0))*C473/100000,""))</f>
        <v>0</v>
      </c>
      <c r="L473" s="169">
        <f>IF(OR(B473="",C473=""),"",IFERROR(INDEX(Vöruskrá!O:O,MATCH(B473,Vöruskrá!B:B,0))*C473/100000,""))</f>
        <v>3.2830000000000003E-3</v>
      </c>
      <c r="M473" s="169">
        <f>IF(OR(B473="",C473=""),"",IFERROR(INDEX(Vöruskrá!P:P,MATCH(B473,Vöruskrá!B:B,0))*C473/100000,""))</f>
        <v>0</v>
      </c>
      <c r="N473" s="169">
        <f>IF(OR(B473="",C473=""),"",IFERROR(INDEX(Vöruskrá!Q:Q,MATCH(B473,Vöruskrá!B:B,0))*C473/100000,""))</f>
        <v>2.8542000000000001E-2</v>
      </c>
      <c r="O473" s="170">
        <f>IF(OR(B473="",C473=""),"",IFERROR(C473/1000*INDEX(Vöruskrá!R:R,MATCH(B473,Vöruskrá!B:B,0))/1000,""))</f>
        <v>0</v>
      </c>
      <c r="P473" s="173"/>
      <c r="Q473" s="201"/>
      <c r="R473" s="202"/>
    </row>
    <row r="474" spans="1:18" ht="60">
      <c r="A474" s="147" t="s">
        <v>1774</v>
      </c>
      <c r="B474" s="147"/>
      <c r="C474" s="148"/>
      <c r="D474" s="165" t="s">
        <v>1775</v>
      </c>
      <c r="E474" s="165" t="s">
        <v>134</v>
      </c>
      <c r="F474" s="165"/>
      <c r="G474" s="166">
        <v>102.26</v>
      </c>
      <c r="H474" s="166">
        <v>6.04</v>
      </c>
      <c r="I474" s="166">
        <v>1.7</v>
      </c>
      <c r="J474" s="166">
        <v>0.94</v>
      </c>
      <c r="K474" s="166"/>
      <c r="L474" s="166">
        <v>11.05</v>
      </c>
      <c r="M474" s="166">
        <v>0.81</v>
      </c>
      <c r="N474" s="166">
        <f>IFERROR(SUM(N475:N482)/(SUM($C$475:$C$482)/100000),"")</f>
        <v>0.11961180388196119</v>
      </c>
      <c r="O474" s="167" t="str">
        <f>IF(OR(B474="",C474=""),"",IFERROR(C474/1000*INDEX(Vöruskrá!R:R,MATCH(B474,Vöruskrá!B:B,0))/1000,""))</f>
        <v/>
      </c>
      <c r="P474" s="196" t="s">
        <v>1776</v>
      </c>
      <c r="Q474" s="199" t="s">
        <v>1777</v>
      </c>
      <c r="R474" s="198" t="s">
        <v>1778</v>
      </c>
    </row>
    <row r="475" spans="1:18" ht="15">
      <c r="A475" s="171"/>
      <c r="B475" s="171" t="s">
        <v>542</v>
      </c>
      <c r="C475" s="172">
        <v>54682</v>
      </c>
      <c r="D475" s="168" t="s">
        <v>543</v>
      </c>
      <c r="E475" s="168" t="s">
        <v>134</v>
      </c>
      <c r="F475" s="168"/>
      <c r="G475" s="169">
        <f>IF(OR(B475="",C475=""),"",IFERROR(INDEX(Vöruskrá!J:J,MATCH(B475,Vöruskrá!B:B,0))*C475/100000,""))</f>
        <v>97.880780000000001</v>
      </c>
      <c r="H475" s="169">
        <f>IF(OR(B475="",C475=""),"",IFERROR(INDEX(Vöruskrá!K:K,MATCH(B475,Vöruskrá!B:B,0))*C475/100000,""))</f>
        <v>6.0150199999999998</v>
      </c>
      <c r="I475" s="169">
        <f>IF(OR(B475="",C475=""),"",IFERROR(INDEX(Vöruskrá!L:L,MATCH(B475,Vöruskrá!B:B,0))*C475/100000,""))</f>
        <v>1.6951420000000001</v>
      </c>
      <c r="J475" s="169">
        <f>IF(OR(B475="",C475=""),"",IFERROR(INDEX(Vöruskrá!M:M,MATCH(B475,Vöruskrá!B:B,0))*C475/100000,""))</f>
        <v>0</v>
      </c>
      <c r="K475" s="169">
        <f>IF(OR(B475="",C475=""),"",IFERROR(INDEX(Vöruskrá!N:N,MATCH(B475,Vöruskrá!B:B,0))*C475/100000,""))</f>
        <v>0</v>
      </c>
      <c r="L475" s="169">
        <f>IF(OR(B475="",C475=""),"",IFERROR(INDEX(Vöruskrá!O:O,MATCH(B475,Vöruskrá!B:B,0))*C475/100000,""))</f>
        <v>10.936400000000001</v>
      </c>
      <c r="M475" s="169">
        <f>IF(OR(B475="",C475=""),"",IFERROR(INDEX(Vöruskrá!P:P,MATCH(B475,Vöruskrá!B:B,0))*C475/100000,""))</f>
        <v>0.10936400000000002</v>
      </c>
      <c r="N475" s="169">
        <f>IF(OR(B475="",C475=""),"",IFERROR(INDEX(Vöruskrá!Q:Q,MATCH(B475,Vöruskrá!B:B,0))*C475/100000,""))</f>
        <v>0</v>
      </c>
      <c r="O475" s="170">
        <f>IF(OR(B475="",C475=""),"",IFERROR(C475/1000*INDEX(Vöruskrá!R:R,MATCH(B475,Vöruskrá!B:B,0))/1000,""))</f>
        <v>0</v>
      </c>
      <c r="P475" s="171"/>
      <c r="Q475" s="203"/>
      <c r="R475" s="204"/>
    </row>
    <row r="476" spans="1:18" ht="15">
      <c r="A476" s="173"/>
      <c r="B476" s="173" t="s">
        <v>1010</v>
      </c>
      <c r="C476" s="174">
        <v>6835</v>
      </c>
      <c r="D476" s="168" t="s">
        <v>1010</v>
      </c>
      <c r="E476" s="168" t="s">
        <v>134</v>
      </c>
      <c r="F476" s="168"/>
      <c r="G476" s="169">
        <f>IF(OR(B476="",C476=""),"",IFERROR(INDEX(Vöruskrá!J:J,MATCH(B476,Vöruskrá!B:B,0))*C476/100000,""))</f>
        <v>2.734</v>
      </c>
      <c r="H476" s="169">
        <f>IF(OR(B476="",C476=""),"",IFERROR(INDEX(Vöruskrá!K:K,MATCH(B476,Vöruskrá!B:B,0))*C476/100000,""))</f>
        <v>6.8349999999999999E-3</v>
      </c>
      <c r="I476" s="169">
        <f>IF(OR(B476="",C476=""),"",IFERROR(INDEX(Vöruskrá!L:L,MATCH(B476,Vöruskrá!B:B,0))*C476/100000,""))</f>
        <v>0</v>
      </c>
      <c r="J476" s="169">
        <f>IF(OR(B476="",C476=""),"",IFERROR(INDEX(Vöruskrá!M:M,MATCH(B476,Vöruskrá!B:B,0))*C476/100000,""))</f>
        <v>0.63565500000000008</v>
      </c>
      <c r="K476" s="169">
        <f>IF(OR(B476="",C476=""),"",IFERROR(INDEX(Vöruskrá!N:N,MATCH(B476,Vöruskrá!B:B,0))*C476/100000,""))</f>
        <v>0.28706999999999999</v>
      </c>
      <c r="L476" s="169">
        <f>IF(OR(B476="",C476=""),"",IFERROR(INDEX(Vöruskrá!O:O,MATCH(B476,Vöruskrá!B:B,0))*C476/100000,""))</f>
        <v>7.5185000000000016E-2</v>
      </c>
      <c r="M476" s="169">
        <f>IF(OR(B476="",C476=""),"",IFERROR(INDEX(Vöruskrá!P:P,MATCH(B476,Vöruskrá!B:B,0))*C476/100000,""))</f>
        <v>0</v>
      </c>
      <c r="N476" s="169">
        <f>IF(OR(B476="",C476=""),"",IFERROR(INDEX(Vöruskrá!Q:Q,MATCH(B476,Vöruskrá!B:B,0))*C476/100000,""))</f>
        <v>0.11619500000000001</v>
      </c>
      <c r="O476" s="170">
        <f>IF(OR(B476="",C476=""),"",IFERROR(C476/1000*INDEX(Vöruskrá!R:R,MATCH(B476,Vöruskrá!B:B,0))/1000,""))</f>
        <v>0</v>
      </c>
      <c r="P476" s="173"/>
      <c r="Q476" s="158"/>
      <c r="R476" s="6"/>
    </row>
    <row r="477" spans="1:18" ht="15">
      <c r="A477" s="171"/>
      <c r="B477" s="171" t="s">
        <v>1463</v>
      </c>
      <c r="C477" s="172">
        <v>3418</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157"/>
      <c r="R477" s="27"/>
    </row>
    <row r="478" spans="1:18" ht="15">
      <c r="A478" s="173"/>
      <c r="B478" s="173" t="s">
        <v>1466</v>
      </c>
      <c r="C478" s="174">
        <v>3418</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158"/>
      <c r="R478" s="6"/>
    </row>
    <row r="479" spans="1:18" ht="15">
      <c r="A479" s="171"/>
      <c r="B479" s="171" t="s">
        <v>293</v>
      </c>
      <c r="C479" s="172">
        <v>3418</v>
      </c>
      <c r="D479" s="168" t="s">
        <v>295</v>
      </c>
      <c r="E479" s="168" t="s">
        <v>134</v>
      </c>
      <c r="F479" s="168"/>
      <c r="G479" s="169">
        <f>IF(OR(B479="",C479=""),"",IFERROR(INDEX(Vöruskrá!J:J,MATCH(B479,Vöruskrá!B:B,0))*C479/100000,""))</f>
        <v>0.85450000000000004</v>
      </c>
      <c r="H479" s="169">
        <f>IF(OR(B479="",C479=""),"",IFERROR(INDEX(Vöruskrá!K:K,MATCH(B479,Vöruskrá!B:B,0))*C479/100000,""))</f>
        <v>1.0253999999999999E-2</v>
      </c>
      <c r="I479" s="169">
        <f>IF(OR(B479="",C479=""),"",IFERROR(INDEX(Vöruskrá!L:L,MATCH(B479,Vöruskrá!B:B,0))*C479/100000,""))</f>
        <v>0</v>
      </c>
      <c r="J479" s="169">
        <f>IF(OR(B479="",C479=""),"",IFERROR(INDEX(Vöruskrá!M:M,MATCH(B479,Vöruskrá!B:B,0))*C479/100000,""))</f>
        <v>0.1709</v>
      </c>
      <c r="K479" s="169">
        <f>IF(OR(B479="",C479=""),"",IFERROR(INDEX(Vöruskrá!N:N,MATCH(B479,Vöruskrá!B:B,0))*C479/100000,""))</f>
        <v>2.3925999999999999E-2</v>
      </c>
      <c r="L479" s="169">
        <f>IF(OR(B479="",C479=""),"",IFERROR(INDEX(Vöruskrá!O:O,MATCH(B479,Vöruskrá!B:B,0))*C479/100000,""))</f>
        <v>1.7090000000000001E-2</v>
      </c>
      <c r="M479" s="169">
        <f>IF(OR(B479="",C479=""),"",IFERROR(INDEX(Vöruskrá!P:P,MATCH(B479,Vöruskrá!B:B,0))*C479/100000,""))</f>
        <v>1.7090000000000001E-2</v>
      </c>
      <c r="N479" s="169">
        <f>IF(OR(B479="",C479=""),"",IFERROR(INDEX(Vöruskrá!Q:Q,MATCH(B479,Vöruskrá!B:B,0))*C479/100000,""))</f>
        <v>3.418E-3</v>
      </c>
      <c r="O479" s="170">
        <f>IF(OR(B479="",C479=""),"",IFERROR(C479/1000*INDEX(Vöruskrá!R:R,MATCH(B479,Vöruskrá!B:B,0))/1000,""))</f>
        <v>0</v>
      </c>
      <c r="P479" s="171"/>
      <c r="Q479" s="157"/>
      <c r="R479" s="27"/>
    </row>
    <row r="480" spans="1:18" ht="15">
      <c r="A480" s="173"/>
      <c r="B480" s="173" t="s">
        <v>1020</v>
      </c>
      <c r="C480" s="174">
        <v>27341</v>
      </c>
      <c r="D480" s="168" t="s">
        <v>1020</v>
      </c>
      <c r="E480" s="168" t="s">
        <v>134</v>
      </c>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8"/>
      <c r="R480" s="6"/>
    </row>
    <row r="481" spans="1:18" ht="15">
      <c r="A481" s="171"/>
      <c r="B481" s="171" t="s">
        <v>299</v>
      </c>
      <c r="C481" s="172">
        <v>684</v>
      </c>
      <c r="D481" s="168" t="s">
        <v>302</v>
      </c>
      <c r="E481" s="168" t="s">
        <v>134</v>
      </c>
      <c r="F481" s="168" t="s">
        <v>303</v>
      </c>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0.68400000000000005</v>
      </c>
      <c r="N481" s="169">
        <f>IF(OR(B481="",C481=""),"",IFERROR(INDEX(Vöruskrá!Q:Q,MATCH(B481,Vöruskrá!B:B,0))*C481/100000,""))</f>
        <v>0</v>
      </c>
      <c r="O481" s="170">
        <f>IF(OR(B481="",C481=""),"",IFERROR(C481/1000*INDEX(Vöruskrá!R:R,MATCH(B481,Vöruskrá!B:B,0))/1000,""))</f>
        <v>0</v>
      </c>
      <c r="P481" s="171"/>
      <c r="Q481" s="157"/>
      <c r="R481" s="27"/>
    </row>
    <row r="482" spans="1:18" ht="15">
      <c r="A482" s="173"/>
      <c r="B482" s="173" t="s">
        <v>819</v>
      </c>
      <c r="C482" s="174">
        <v>205</v>
      </c>
      <c r="D482" s="168" t="s">
        <v>820</v>
      </c>
      <c r="E482" s="168"/>
      <c r="F482" s="168" t="s">
        <v>311</v>
      </c>
      <c r="G482" s="169">
        <f>IF(OR(B482="",C482=""),"",IFERROR(INDEX(Vöruskrá!J:J,MATCH(B482,Vöruskrá!B:B,0))*C482/100000,""))</f>
        <v>0.7913</v>
      </c>
      <c r="H482" s="169">
        <f>IF(OR(B482="",C482=""),"",IFERROR(INDEX(Vöruskrá!K:K,MATCH(B482,Vöruskrá!B:B,0))*C482/100000,""))</f>
        <v>6.7650000000000002E-3</v>
      </c>
      <c r="I482" s="169">
        <f>IF(OR(B482="",C482=""),"",IFERROR(INDEX(Vöruskrá!L:L,MATCH(B482,Vöruskrá!B:B,0))*C482/100000,""))</f>
        <v>2.0500000000000002E-3</v>
      </c>
      <c r="J482" s="169">
        <f>IF(OR(B482="",C482=""),"",IFERROR(INDEX(Vöruskrá!M:M,MATCH(B482,Vöruskrá!B:B,0))*C482/100000,""))</f>
        <v>0.13325000000000001</v>
      </c>
      <c r="K482" s="169">
        <f>IF(OR(B482="",C482=""),"",IFERROR(INDEX(Vöruskrá!N:N,MATCH(B482,Vöruskrá!B:B,0))*C482/100000,""))</f>
        <v>1.23E-3</v>
      </c>
      <c r="L482" s="169">
        <f>IF(OR(B482="",C482=""),"",IFERROR(INDEX(Vöruskrá!O:O,MATCH(B482,Vöruskrá!B:B,0))*C482/100000,""))</f>
        <v>2.2550000000000001E-2</v>
      </c>
      <c r="M482" s="169">
        <f>IF(OR(B482="",C482=""),"",IFERROR(INDEX(Vöruskrá!P:P,MATCH(B482,Vöruskrá!B:B,0))*C482/100000,""))</f>
        <v>2.05E-4</v>
      </c>
      <c r="N482" s="169">
        <f>IF(OR(B482="",C482=""),"",IFERROR(INDEX(Vöruskrá!Q:Q,MATCH(B482,Vöruskrá!B:B,0))*C482/100000,""))</f>
        <v>0</v>
      </c>
      <c r="O482" s="170">
        <f>IF(OR(B482="",C482=""),"",IFERROR(C482/1000*INDEX(Vöruskrá!R:R,MATCH(B482,Vöruskrá!B:B,0))/1000,""))</f>
        <v>0</v>
      </c>
      <c r="P482" s="173"/>
      <c r="Q482" s="200"/>
      <c r="R482" s="159"/>
    </row>
    <row r="483" spans="1:18" ht="48">
      <c r="A483" s="147" t="s">
        <v>1779</v>
      </c>
      <c r="B483" s="147"/>
      <c r="C483" s="148"/>
      <c r="D483" s="165" t="s">
        <v>1780</v>
      </c>
      <c r="E483" s="165" t="s">
        <v>1781</v>
      </c>
      <c r="F483" s="165"/>
      <c r="G483" s="166">
        <v>113.19</v>
      </c>
      <c r="H483" s="166">
        <v>5.44</v>
      </c>
      <c r="I483" s="166">
        <v>1.3</v>
      </c>
      <c r="J483" s="166">
        <v>6.3</v>
      </c>
      <c r="K483" s="166"/>
      <c r="L483" s="166">
        <v>9.4</v>
      </c>
      <c r="M483" s="166">
        <v>3.34</v>
      </c>
      <c r="N483" s="166">
        <f>IFERROR(SUM(N484:N499)/(SUM($C$484:$C$499)/100000),"")</f>
        <v>7.5525264565911715E-3</v>
      </c>
      <c r="O483" s="167" t="str">
        <f>IF(OR(B483="",C483=""),"",IFERROR(C483/1000*INDEX(Vöruskrá!R:R,MATCH(B483,Vöruskrá!B:B,0))/1000,""))</f>
        <v/>
      </c>
      <c r="P483" s="196" t="s">
        <v>1782</v>
      </c>
      <c r="Q483" s="195" t="s">
        <v>1783</v>
      </c>
      <c r="R483" s="194" t="s">
        <v>1784</v>
      </c>
    </row>
    <row r="484" spans="1:18" ht="15">
      <c r="A484" s="171"/>
      <c r="B484" s="171" t="s">
        <v>542</v>
      </c>
      <c r="C484" s="172">
        <v>20000</v>
      </c>
      <c r="D484" s="168" t="s">
        <v>543</v>
      </c>
      <c r="E484" s="168" t="s">
        <v>134</v>
      </c>
      <c r="F484" s="168"/>
      <c r="G484" s="169">
        <f>IF(OR(B484="",C484=""),"",IFERROR(INDEX(Vöruskrá!J:J,MATCH(B484,Vöruskrá!B:B,0))*C484/100000,""))</f>
        <v>35.799999999999997</v>
      </c>
      <c r="H484" s="169">
        <f>IF(OR(B484="",C484=""),"",IFERROR(INDEX(Vöruskrá!K:K,MATCH(B484,Vöruskrá!B:B,0))*C484/100000,""))</f>
        <v>2.2000000000000002</v>
      </c>
      <c r="I484" s="169">
        <f>IF(OR(B484="",C484=""),"",IFERROR(INDEX(Vöruskrá!L:L,MATCH(B484,Vöruskrá!B:B,0))*C484/100000,""))</f>
        <v>0.62</v>
      </c>
      <c r="J484" s="169">
        <f>IF(OR(B484="",C484=""),"",IFERROR(INDEX(Vöruskrá!M:M,MATCH(B484,Vöruskrá!B:B,0))*C484/100000,""))</f>
        <v>0</v>
      </c>
      <c r="K484" s="169">
        <f>IF(OR(B484="",C484=""),"",IFERROR(INDEX(Vöruskrá!N:N,MATCH(B484,Vöruskrá!B:B,0))*C484/100000,""))</f>
        <v>0</v>
      </c>
      <c r="L484" s="169">
        <f>IF(OR(B484="",C484=""),"",IFERROR(INDEX(Vöruskrá!O:O,MATCH(B484,Vöruskrá!B:B,0))*C484/100000,""))</f>
        <v>4</v>
      </c>
      <c r="M484" s="169">
        <f>IF(OR(B484="",C484=""),"",IFERROR(INDEX(Vöruskrá!P:P,MATCH(B484,Vöruskrá!B:B,0))*C484/100000,""))</f>
        <v>0.04</v>
      </c>
      <c r="N484" s="169">
        <f>IF(OR(B484="",C484=""),"",IFERROR(INDEX(Vöruskrá!Q:Q,MATCH(B484,Vöruskrá!B:B,0))*C484/100000,""))</f>
        <v>0</v>
      </c>
      <c r="O484" s="170">
        <f>IF(OR(B484="",C484=""),"",IFERROR(C484/1000*INDEX(Vöruskrá!R:R,MATCH(B484,Vöruskrá!B:B,0))/1000,""))</f>
        <v>0</v>
      </c>
      <c r="P484" s="171"/>
      <c r="Q484" s="197"/>
      <c r="R484" s="164"/>
    </row>
    <row r="485" spans="1:18" ht="15">
      <c r="A485" s="173"/>
      <c r="B485" s="173" t="s">
        <v>1111</v>
      </c>
      <c r="C485" s="174">
        <v>20000</v>
      </c>
      <c r="D485" s="168" t="s">
        <v>1112</v>
      </c>
      <c r="E485" s="168" t="s">
        <v>1099</v>
      </c>
      <c r="F485" s="168" t="s">
        <v>1113</v>
      </c>
      <c r="G485" s="169">
        <f>IF(OR(B485="",C485=""),"",IFERROR(INDEX(Vöruskrá!J:J,MATCH(B485,Vöruskrá!B:B,0))*C485/100000,""))</f>
        <v>35.799999999999997</v>
      </c>
      <c r="H485" s="169">
        <f>IF(OR(B485="",C485=""),"",IFERROR(INDEX(Vöruskrá!K:K,MATCH(B485,Vöruskrá!B:B,0))*C485/100000,""))</f>
        <v>2.2000000000000002</v>
      </c>
      <c r="I485" s="169">
        <f>IF(OR(B485="",C485=""),"",IFERROR(INDEX(Vöruskrá!L:L,MATCH(B485,Vöruskrá!B:B,0))*C485/100000,""))</f>
        <v>0.62</v>
      </c>
      <c r="J485" s="169">
        <f>IF(OR(B485="",C485=""),"",IFERROR(INDEX(Vöruskrá!M:M,MATCH(B485,Vöruskrá!B:B,0))*C485/100000,""))</f>
        <v>0</v>
      </c>
      <c r="K485" s="169">
        <f>IF(OR(B485="",C485=""),"",IFERROR(INDEX(Vöruskrá!N:N,MATCH(B485,Vöruskrá!B:B,0))*C485/100000,""))</f>
        <v>0</v>
      </c>
      <c r="L485" s="169">
        <f>IF(OR(B485="",C485=""),"",IFERROR(INDEX(Vöruskrá!O:O,MATCH(B485,Vöruskrá!B:B,0))*C485/100000,""))</f>
        <v>4</v>
      </c>
      <c r="M485" s="169">
        <f>IF(OR(B485="",C485=""),"",IFERROR(INDEX(Vöruskrá!P:P,MATCH(B485,Vöruskrá!B:B,0))*C485/100000,""))</f>
        <v>0.04</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718</v>
      </c>
      <c r="C486" s="172">
        <v>10000</v>
      </c>
      <c r="D486" s="168" t="s">
        <v>720</v>
      </c>
      <c r="E486" s="168"/>
      <c r="F486" s="168"/>
      <c r="G486" s="169" t="str">
        <f>IF(OR(B486="",C486=""),"",IFERROR(INDEX(Vöruskrá!J:J,MATCH(B486,Vöruskrá!B:B,0))*C486/100000,""))</f>
        <v/>
      </c>
      <c r="H486" s="169" t="str">
        <f>IF(OR(B486="",C486=""),"",IFERROR(INDEX(Vöruskrá!K:K,MATCH(B486,Vöruskrá!B:B,0))*C486/100000,""))</f>
        <v/>
      </c>
      <c r="I486" s="169" t="str">
        <f>IF(OR(B486="",C486=""),"",IFERROR(INDEX(Vöruskrá!L:L,MATCH(B486,Vöruskrá!B:B,0))*C486/100000,""))</f>
        <v/>
      </c>
      <c r="J486" s="169" t="str">
        <f>IF(OR(B486="",C486=""),"",IFERROR(INDEX(Vöruskrá!M:M,MATCH(B486,Vöruskrá!B:B,0))*C486/100000,""))</f>
        <v/>
      </c>
      <c r="K486" s="169" t="str">
        <f>IF(OR(B486="",C486=""),"",IFERROR(INDEX(Vöruskrá!N:N,MATCH(B486,Vöruskrá!B:B,0))*C486/100000,""))</f>
        <v/>
      </c>
      <c r="L486" s="169" t="str">
        <f>IF(OR(B486="",C486=""),"",IFERROR(INDEX(Vöruskrá!O:O,MATCH(B486,Vöruskrá!B:B,0))*C486/100000,""))</f>
        <v/>
      </c>
      <c r="M486" s="169" t="str">
        <f>IF(OR(B486="",C486=""),"",IFERROR(INDEX(Vöruskrá!P:P,MATCH(B486,Vöruskrá!B:B,0))*C486/100000,""))</f>
        <v/>
      </c>
      <c r="N486" s="169" t="str">
        <f>IF(OR(B486="",C486=""),"",IFERROR(INDEX(Vöruskrá!Q:Q,MATCH(B486,Vöruskrá!B:B,0))*C486/100000,""))</f>
        <v/>
      </c>
      <c r="O486" s="170" t="str">
        <f>IF(OR(B486="",C486=""),"",IFERROR(C486/1000*INDEX(Vöruskrá!R:R,MATCH(B486,Vöruskrá!B:B,0))/1000,""))</f>
        <v/>
      </c>
      <c r="P486" s="171"/>
      <c r="Q486" s="158"/>
      <c r="R486" s="6"/>
    </row>
    <row r="487" spans="1:18" ht="15">
      <c r="A487" s="173"/>
      <c r="B487" s="173" t="s">
        <v>247</v>
      </c>
      <c r="C487" s="174">
        <v>6700</v>
      </c>
      <c r="D487" s="168" t="s">
        <v>251</v>
      </c>
      <c r="E487" s="168" t="s">
        <v>252</v>
      </c>
      <c r="F487" s="168"/>
      <c r="G487" s="169" t="str">
        <f>IF(OR(B487="",C487=""),"",IFERROR(INDEX(Vöruskrá!J:J,MATCH(B487,Vöruskrá!B:B,0))*C487/100000,""))</f>
        <v/>
      </c>
      <c r="H487" s="169" t="str">
        <f>IF(OR(B487="",C487=""),"",IFERROR(INDEX(Vöruskrá!K:K,MATCH(B487,Vöruskrá!B:B,0))*C487/100000,""))</f>
        <v/>
      </c>
      <c r="I487" s="169" t="str">
        <f>IF(OR(B487="",C487=""),"",IFERROR(INDEX(Vöruskrá!L:L,MATCH(B487,Vöruskrá!B:B,0))*C487/100000,""))</f>
        <v/>
      </c>
      <c r="J487" s="169" t="str">
        <f>IF(OR(B487="",C487=""),"",IFERROR(INDEX(Vöruskrá!M:M,MATCH(B487,Vöruskrá!B:B,0))*C487/100000,""))</f>
        <v/>
      </c>
      <c r="K487" s="169" t="str">
        <f>IF(OR(B487="",C487=""),"",IFERROR(INDEX(Vöruskrá!N:N,MATCH(B487,Vöruskrá!B:B,0))*C487/100000,""))</f>
        <v/>
      </c>
      <c r="L487" s="169" t="str">
        <f>IF(OR(B487="",C487=""),"",IFERROR(INDEX(Vöruskrá!O:O,MATCH(B487,Vöruskrá!B:B,0))*C487/100000,""))</f>
        <v/>
      </c>
      <c r="M487" s="169" t="str">
        <f>IF(OR(B487="",C487=""),"",IFERROR(INDEX(Vöruskrá!P:P,MATCH(B487,Vöruskrá!B:B,0))*C487/100000,""))</f>
        <v/>
      </c>
      <c r="N487" s="169" t="str">
        <f>IF(OR(B487="",C487=""),"",IFERROR(INDEX(Vöruskrá!Q:Q,MATCH(B487,Vöruskrá!B:B,0))*C487/100000,""))</f>
        <v/>
      </c>
      <c r="O487" s="170" t="str">
        <f>IF(OR(B487="",C487=""),"",IFERROR(C487/1000*INDEX(Vöruskrá!R:R,MATCH(B487,Vöruskrá!B:B,0))/1000,""))</f>
        <v/>
      </c>
      <c r="P487" s="173"/>
      <c r="Q487" s="157"/>
      <c r="R487" s="27"/>
    </row>
    <row r="488" spans="1:18" ht="15">
      <c r="A488" s="171"/>
      <c r="B488" s="171" t="s">
        <v>743</v>
      </c>
      <c r="C488" s="172">
        <v>33300</v>
      </c>
      <c r="D488" s="168" t="s">
        <v>745</v>
      </c>
      <c r="E488" s="168"/>
      <c r="F488" s="168"/>
      <c r="G488" s="169">
        <f>IF(OR(B488="",C488=""),"",IFERROR(INDEX(Vöruskrá!J:J,MATCH(B488,Vöruskrá!B:B,0))*C488/100000,""))</f>
        <v>9.3239999999999998</v>
      </c>
      <c r="H488" s="169">
        <f>IF(OR(B488="",C488=""),"",IFERROR(INDEX(Vöruskrá!K:K,MATCH(B488,Vöruskrá!B:B,0))*C488/100000,""))</f>
        <v>3.3300000000000003E-2</v>
      </c>
      <c r="I488" s="169">
        <f>IF(OR(B488="",C488=""),"",IFERROR(INDEX(Vöruskrá!L:L,MATCH(B488,Vöruskrá!B:B,0))*C488/100000,""))</f>
        <v>0</v>
      </c>
      <c r="J488" s="169">
        <f>IF(OR(B488="",C488=""),"",IFERROR(INDEX(Vöruskrá!M:M,MATCH(B488,Vöruskrá!B:B,0))*C488/100000,""))</f>
        <v>1.665</v>
      </c>
      <c r="K488" s="169">
        <f>IF(OR(B488="",C488=""),"",IFERROR(INDEX(Vöruskrá!N:N,MATCH(B488,Vöruskrá!B:B,0))*C488/100000,""))</f>
        <v>1.1322000000000001</v>
      </c>
      <c r="L488" s="169">
        <f>IF(OR(B488="",C488=""),"",IFERROR(INDEX(Vöruskrá!O:O,MATCH(B488,Vöruskrá!B:B,0))*C488/100000,""))</f>
        <v>0.4995</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504</v>
      </c>
      <c r="C489" s="174">
        <v>5000</v>
      </c>
      <c r="D489" s="168" t="s">
        <v>500</v>
      </c>
      <c r="E489" s="168" t="s">
        <v>134</v>
      </c>
      <c r="F489" s="168"/>
      <c r="G489" s="169">
        <f>IF(OR(B489="",C489=""),"",IFERROR(INDEX(Vöruskrá!J:J,MATCH(B489,Vöruskrá!B:B,0))*C489/100000,""))</f>
        <v>5.65</v>
      </c>
      <c r="H489" s="169">
        <f>IF(OR(B489="",C489=""),"",IFERROR(INDEX(Vöruskrá!K:K,MATCH(B489,Vöruskrá!B:B,0))*C489/100000,""))</f>
        <v>0.02</v>
      </c>
      <c r="I489" s="169">
        <f>IF(OR(B489="",C489=""),"",IFERROR(INDEX(Vöruskrá!L:L,MATCH(B489,Vöruskrá!B:B,0))*C489/100000,""))</f>
        <v>0</v>
      </c>
      <c r="J489" s="169">
        <f>IF(OR(B489="",C489=""),"",IFERROR(INDEX(Vöruskrá!M:M,MATCH(B489,Vöruskrá!B:B,0))*C489/100000,""))</f>
        <v>0.95</v>
      </c>
      <c r="K489" s="169">
        <f>IF(OR(B489="",C489=""),"",IFERROR(INDEX(Vöruskrá!N:N,MATCH(B489,Vöruskrá!B:B,0))*C489/100000,""))</f>
        <v>0.7</v>
      </c>
      <c r="L489" s="169">
        <f>IF(OR(B489="",C489=""),"",IFERROR(INDEX(Vöruskrá!O:O,MATCH(B489,Vöruskrá!B:B,0))*C489/100000,""))</f>
        <v>0.3</v>
      </c>
      <c r="M489" s="169">
        <f>IF(OR(B489="",C489=""),"",IFERROR(INDEX(Vöruskrá!P:P,MATCH(B489,Vöruskrá!B:B,0))*C489/100000,""))</f>
        <v>5.0000000000000001E-3</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1072</v>
      </c>
      <c r="C490" s="172">
        <v>8300</v>
      </c>
      <c r="D490" s="168" t="s">
        <v>1075</v>
      </c>
      <c r="E490" s="168" t="s">
        <v>252</v>
      </c>
      <c r="F490" s="168"/>
      <c r="G490" s="169">
        <f>IF(OR(B490="",C490=""),"",IFERROR(INDEX(Vöruskrá!J:J,MATCH(B490,Vöruskrá!B:B,0))*C490/100000,""))</f>
        <v>19.670999999999999</v>
      </c>
      <c r="H490" s="169">
        <f>IF(OR(B490="",C490=""),"",IFERROR(INDEX(Vöruskrá!K:K,MATCH(B490,Vöruskrá!B:B,0))*C490/100000,""))</f>
        <v>9.9599999999999994E-2</v>
      </c>
      <c r="I490" s="169">
        <f>IF(OR(B490="",C490=""),"",IFERROR(INDEX(Vöruskrá!L:L,MATCH(B490,Vöruskrá!B:B,0))*C490/100000,""))</f>
        <v>8.3000000000000001E-3</v>
      </c>
      <c r="J490" s="169">
        <f>IF(OR(B490="",C490=""),"",IFERROR(INDEX(Vöruskrá!M:M,MATCH(B490,Vöruskrá!B:B,0))*C490/100000,""))</f>
        <v>3.403</v>
      </c>
      <c r="K490" s="169">
        <f>IF(OR(B490="",C490=""),"",IFERROR(INDEX(Vöruskrá!N:N,MATCH(B490,Vöruskrá!B:B,0))*C490/100000,""))</f>
        <v>2.3904000000000001</v>
      </c>
      <c r="L490" s="169">
        <f>IF(OR(B490="",C490=""),"",IFERROR(INDEX(Vöruskrá!O:O,MATCH(B490,Vöruskrá!B:B,0))*C490/100000,""))</f>
        <v>1.2948</v>
      </c>
      <c r="M490" s="169">
        <f>IF(OR(B490="",C490=""),"",IFERROR(INDEX(Vöruskrá!P:P,MATCH(B490,Vöruskrá!B:B,0))*C490/100000,""))</f>
        <v>2.9049999999999998</v>
      </c>
      <c r="N490" s="169">
        <f>IF(OR(B490="",C490=""),"",IFERROR(INDEX(Vöruskrá!Q:Q,MATCH(B490,Vöruskrá!B:B,0))*C490/100000,""))</f>
        <v>8.3000000000000001E-3</v>
      </c>
      <c r="O490" s="170">
        <f>IF(OR(B490="",C490=""),"",IFERROR(C490/1000*INDEX(Vöruskrá!R:R,MATCH(B490,Vöruskrá!B:B,0))/1000,""))</f>
        <v>0</v>
      </c>
      <c r="P490" s="171"/>
      <c r="Q490" s="158"/>
      <c r="R490" s="6"/>
    </row>
    <row r="491" spans="1:18" ht="15">
      <c r="A491" s="173"/>
      <c r="B491" s="173" t="s">
        <v>574</v>
      </c>
      <c r="C491" s="174">
        <v>830</v>
      </c>
      <c r="D491" s="168" t="s">
        <v>576</v>
      </c>
      <c r="E491" s="168" t="s">
        <v>577</v>
      </c>
      <c r="F491" s="168"/>
      <c r="G491" s="169">
        <f>IF(OR(B491="",C491=""),"",IFERROR(INDEX(Vöruskrá!J:J,MATCH(B491,Vöruskrá!B:B,0))*C491/100000,""))</f>
        <v>1.2699</v>
      </c>
      <c r="H491" s="169">
        <f>IF(OR(B491="",C491=""),"",IFERROR(INDEX(Vöruskrá!K:K,MATCH(B491,Vöruskrá!B:B,0))*C491/100000,""))</f>
        <v>3.4860000000000002E-2</v>
      </c>
      <c r="I491" s="169">
        <f>IF(OR(B491="",C491=""),"",IFERROR(INDEX(Vöruskrá!L:L,MATCH(B491,Vöruskrá!B:B,0))*C491/100000,""))</f>
        <v>0</v>
      </c>
      <c r="J491" s="169">
        <f>IF(OR(B491="",C491=""),"",IFERROR(INDEX(Vöruskrá!M:M,MATCH(B491,Vöruskrá!B:B,0))*C491/100000,""))</f>
        <v>0.19422</v>
      </c>
      <c r="K491" s="169">
        <f>IF(OR(B491="",C491=""),"",IFERROR(INDEX(Vöruskrá!N:N,MATCH(B491,Vöruskrá!B:B,0))*C491/100000,""))</f>
        <v>0</v>
      </c>
      <c r="L491" s="169">
        <f>IF(OR(B491="",C491=""),"",IFERROR(INDEX(Vöruskrá!O:O,MATCH(B491,Vöruskrá!B:B,0))*C491/100000,""))</f>
        <v>4.233E-2</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1018</v>
      </c>
      <c r="C492" s="172">
        <v>1300</v>
      </c>
      <c r="D492" s="168" t="s">
        <v>1018</v>
      </c>
      <c r="E492" s="168" t="s">
        <v>134</v>
      </c>
      <c r="F492" s="168"/>
      <c r="G492" s="169">
        <f>IF(OR(B492="",C492=""),"",IFERROR(INDEX(Vöruskrá!J:J,MATCH(B492,Vöruskrá!B:B,0))*C492/100000,""))</f>
        <v>11.7</v>
      </c>
      <c r="H492" s="169">
        <f>IF(OR(B492="",C492=""),"",IFERROR(INDEX(Vöruskrá!K:K,MATCH(B492,Vöruskrá!B:B,0))*C492/100000,""))</f>
        <v>1.3</v>
      </c>
      <c r="I492" s="169">
        <f>IF(OR(B492="",C492=""),"",IFERROR(INDEX(Vöruskrá!L:L,MATCH(B492,Vöruskrá!B:B,0))*C492/100000,""))</f>
        <v>0.14299999999999999</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158"/>
      <c r="R492" s="6"/>
    </row>
    <row r="493" spans="1:18" ht="15">
      <c r="A493" s="173"/>
      <c r="B493" s="173" t="s">
        <v>299</v>
      </c>
      <c r="C493" s="174">
        <v>670</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0.67</v>
      </c>
      <c r="N493" s="169">
        <f>IF(OR(B493="",C493=""),"",IFERROR(INDEX(Vöruskrá!Q:Q,MATCH(B493,Vöruskrá!B:B,0))*C493/100000,""))</f>
        <v>0</v>
      </c>
      <c r="O493" s="170">
        <f>IF(OR(B493="",C493=""),"",IFERROR(C493/1000*INDEX(Vöruskrá!R:R,MATCH(B493,Vöruskrá!B:B,0))/1000,""))</f>
        <v>0</v>
      </c>
      <c r="P493" s="173"/>
      <c r="Q493" s="157"/>
      <c r="R493" s="27"/>
    </row>
    <row r="494" spans="1:18" ht="15">
      <c r="A494" s="171"/>
      <c r="B494" s="171" t="s">
        <v>819</v>
      </c>
      <c r="C494" s="172">
        <v>133</v>
      </c>
      <c r="D494" s="168" t="s">
        <v>820</v>
      </c>
      <c r="E494" s="168"/>
      <c r="F494" s="168" t="s">
        <v>311</v>
      </c>
      <c r="G494" s="169">
        <f>IF(OR(B494="",C494=""),"",IFERROR(INDEX(Vöruskrá!J:J,MATCH(B494,Vöruskrá!B:B,0))*C494/100000,""))</f>
        <v>0.51337999999999995</v>
      </c>
      <c r="H494" s="169">
        <f>IF(OR(B494="",C494=""),"",IFERROR(INDEX(Vöruskrá!K:K,MATCH(B494,Vöruskrá!B:B,0))*C494/100000,""))</f>
        <v>4.3889999999999997E-3</v>
      </c>
      <c r="I494" s="169">
        <f>IF(OR(B494="",C494=""),"",IFERROR(INDEX(Vöruskrá!L:L,MATCH(B494,Vöruskrá!B:B,0))*C494/100000,""))</f>
        <v>1.33E-3</v>
      </c>
      <c r="J494" s="169">
        <f>IF(OR(B494="",C494=""),"",IFERROR(INDEX(Vöruskrá!M:M,MATCH(B494,Vöruskrá!B:B,0))*C494/100000,""))</f>
        <v>8.6449999999999999E-2</v>
      </c>
      <c r="K494" s="169">
        <f>IF(OR(B494="",C494=""),"",IFERROR(INDEX(Vöruskrá!N:N,MATCH(B494,Vöruskrá!B:B,0))*C494/100000,""))</f>
        <v>7.9799999999999999E-4</v>
      </c>
      <c r="L494" s="169">
        <f>IF(OR(B494="",C494=""),"",IFERROR(INDEX(Vöruskrá!O:O,MATCH(B494,Vöruskrá!B:B,0))*C494/100000,""))</f>
        <v>1.4630000000000001E-2</v>
      </c>
      <c r="M494" s="169">
        <f>IF(OR(B494="",C494=""),"",IFERROR(INDEX(Vöruskrá!P:P,MATCH(B494,Vöruskrá!B:B,0))*C494/100000,""))</f>
        <v>1.3300000000000001E-4</v>
      </c>
      <c r="N494" s="169">
        <f>IF(OR(B494="",C494=""),"",IFERROR(INDEX(Vöruskrá!Q:Q,MATCH(B494,Vöruskrá!B:B,0))*C494/100000,""))</f>
        <v>0</v>
      </c>
      <c r="O494" s="170">
        <f>IF(OR(B494="",C494=""),"",IFERROR(C494/1000*INDEX(Vöruskrá!R:R,MATCH(B494,Vöruskrá!B:B,0))/1000,""))</f>
        <v>0</v>
      </c>
      <c r="P494" s="171"/>
      <c r="Q494" s="158"/>
      <c r="R494" s="6"/>
    </row>
    <row r="495" spans="1:18" ht="15">
      <c r="A495" s="173"/>
      <c r="B495" s="173" t="s">
        <v>812</v>
      </c>
      <c r="C495" s="174">
        <v>50</v>
      </c>
      <c r="D495" s="168" t="s">
        <v>813</v>
      </c>
      <c r="E495" s="168"/>
      <c r="F495" s="168" t="s">
        <v>311</v>
      </c>
      <c r="G495" s="169">
        <f>IF(OR(B495="",C495=""),"",IFERROR(INDEX(Vöruskrá!J:J,MATCH(B495,Vöruskrá!B:B,0))*C495/100000,""))</f>
        <v>0.26750000000000002</v>
      </c>
      <c r="H495" s="169">
        <f>IF(OR(B495="",C495=""),"",IFERROR(INDEX(Vöruskrá!K:K,MATCH(B495,Vöruskrá!B:B,0))*C495/100000,""))</f>
        <v>1.7999999999999999E-2</v>
      </c>
      <c r="I495" s="169">
        <f>IF(OR(B495="",C495=""),"",IFERROR(INDEX(Vöruskrá!L:L,MATCH(B495,Vöruskrá!B:B,0))*C495/100000,""))</f>
        <v>1.2999999999999999E-2</v>
      </c>
      <c r="J495" s="169">
        <f>IF(OR(B495="",C495=""),"",IFERROR(INDEX(Vöruskrá!M:M,MATCH(B495,Vöruskrá!B:B,0))*C495/100000,""))</f>
        <v>2.2499999999999999E-2</v>
      </c>
      <c r="K495" s="169">
        <f>IF(OR(B495="",C495=""),"",IFERROR(INDEX(Vöruskrá!N:N,MATCH(B495,Vöruskrá!B:B,0))*C495/100000,""))</f>
        <v>1.15E-2</v>
      </c>
      <c r="L495" s="169">
        <f>IF(OR(B495="",C495=""),"",IFERROR(INDEX(Vöruskrá!O:O,MATCH(B495,Vöruskrá!B:B,0))*C495/100000,""))</f>
        <v>2.8999999999999998E-3</v>
      </c>
      <c r="M495" s="169">
        <f>IF(OR(B495="",C495=""),"",IFERROR(INDEX(Vöruskrá!P:P,MATCH(B495,Vöruskrá!B:B,0))*C495/100000,""))</f>
        <v>5.0000000000000002E-5</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808</v>
      </c>
      <c r="C496" s="172">
        <v>10</v>
      </c>
      <c r="D496" s="168" t="s">
        <v>809</v>
      </c>
      <c r="E496" s="168"/>
      <c r="F496" s="168" t="s">
        <v>311</v>
      </c>
      <c r="G496" s="169">
        <f>IF(OR(B496="",C496=""),"",IFERROR(INDEX(Vöruskrá!J:J,MATCH(B496,Vöruskrá!B:B,0))*C496/100000,""))</f>
        <v>3.5299999999999998E-2</v>
      </c>
      <c r="H496" s="169">
        <f>IF(OR(B496="",C496=""),"",IFERROR(INDEX(Vöruskrá!K:K,MATCH(B496,Vöruskrá!B:B,0))*C496/100000,""))</f>
        <v>8.4000000000000003E-4</v>
      </c>
      <c r="I496" s="169">
        <f>IF(OR(B496="",C496=""),"",IFERROR(INDEX(Vöruskrá!L:L,MATCH(B496,Vöruskrá!B:B,0))*C496/100000,""))</f>
        <v>2.3000000000000001E-4</v>
      </c>
      <c r="J496" s="169">
        <f>IF(OR(B496="",C496=""),"",IFERROR(INDEX(Vöruskrá!M:M,MATCH(B496,Vöruskrá!B:B,0))*C496/100000,""))</f>
        <v>4.8999999999999998E-3</v>
      </c>
      <c r="K496" s="169">
        <f>IF(OR(B496="",C496=""),"",IFERROR(INDEX(Vöruskrá!N:N,MATCH(B496,Vöruskrá!B:B,0))*C496/100000,""))</f>
        <v>0</v>
      </c>
      <c r="L496" s="169">
        <f>IF(OR(B496="",C496=""),"",IFERROR(INDEX(Vöruskrá!O:O,MATCH(B496,Vöruskrá!B:B,0))*C496/100000,""))</f>
        <v>7.6000000000000004E-4</v>
      </c>
      <c r="M496" s="169">
        <f>IF(OR(B496="",C496=""),"",IFERROR(INDEX(Vöruskrá!P:P,MATCH(B496,Vöruskrá!B:B,0))*C496/100000,""))</f>
        <v>1.0000000000000001E-5</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815</v>
      </c>
      <c r="C497" s="174">
        <v>67</v>
      </c>
      <c r="D497" s="168" t="s">
        <v>816</v>
      </c>
      <c r="E497" s="168"/>
      <c r="F497" s="168" t="s">
        <v>311</v>
      </c>
      <c r="G497" s="169">
        <f>IF(OR(B497="",C497=""),"",IFERROR(INDEX(Vöruskrá!J:J,MATCH(B497,Vöruskrá!B:B,0))*C497/100000,""))</f>
        <v>0.3216</v>
      </c>
      <c r="H497" s="169">
        <f>IF(OR(B497="",C497=""),"",IFERROR(INDEX(Vöruskrá!K:K,MATCH(B497,Vöruskrá!B:B,0))*C497/100000,""))</f>
        <v>6.7000000000000002E-3</v>
      </c>
      <c r="I497" s="169">
        <f>IF(OR(B497="",C497=""),"",IFERROR(INDEX(Vöruskrá!L:L,MATCH(B497,Vöruskrá!B:B,0))*C497/100000,""))</f>
        <v>1.8090000000000001E-3</v>
      </c>
      <c r="J497" s="169">
        <f>IF(OR(B497="",C497=""),"",IFERROR(INDEX(Vöruskrá!M:M,MATCH(B497,Vöruskrá!B:B,0))*C497/100000,""))</f>
        <v>4.2880000000000001E-2</v>
      </c>
      <c r="K497" s="169">
        <f>IF(OR(B497="",C497=""),"",IFERROR(INDEX(Vöruskrá!N:N,MATCH(B497,Vöruskrá!B:B,0))*C497/100000,""))</f>
        <v>2.7469999999999999E-3</v>
      </c>
      <c r="L497" s="169">
        <f>IF(OR(B497="",C497=""),"",IFERROR(INDEX(Vöruskrá!O:O,MATCH(B497,Vöruskrá!B:B,0))*C497/100000,""))</f>
        <v>7.3699999999999998E-3</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3"/>
      <c r="Q497" s="157"/>
      <c r="R497" s="27"/>
    </row>
    <row r="498" spans="1:18">
      <c r="A498" s="171"/>
      <c r="B498" s="171" t="s">
        <v>1785</v>
      </c>
      <c r="C498" s="172">
        <v>125</v>
      </c>
      <c r="D498" s="168"/>
      <c r="E498" s="168"/>
      <c r="F498" s="168"/>
      <c r="G498" s="169" t="str">
        <f>IF(OR(B498="",C498=""),"",IFERROR(INDEX(Vöruskrá!J:J,MATCH(B498,Vöruskrá!B:B,0))*C498/100000,""))</f>
        <v/>
      </c>
      <c r="H498" s="169" t="str">
        <f>IF(OR(B498="",C498=""),"",IFERROR(INDEX(Vöruskrá!K:K,MATCH(B498,Vöruskrá!B:B,0))*C498/100000,""))</f>
        <v/>
      </c>
      <c r="I498" s="169" t="str">
        <f>IF(OR(B498="",C498=""),"",IFERROR(INDEX(Vöruskrá!L:L,MATCH(B498,Vöruskrá!B:B,0))*C498/100000,""))</f>
        <v/>
      </c>
      <c r="J498" s="169" t="str">
        <f>IF(OR(B498="",C498=""),"",IFERROR(INDEX(Vöruskrá!M:M,MATCH(B498,Vöruskrá!B:B,0))*C498/100000,""))</f>
        <v/>
      </c>
      <c r="K498" s="169" t="str">
        <f>IF(OR(B498="",C498=""),"",IFERROR(INDEX(Vöruskrá!N:N,MATCH(B498,Vöruskrá!B:B,0))*C498/100000,""))</f>
        <v/>
      </c>
      <c r="L498" s="169" t="str">
        <f>IF(OR(B498="",C498=""),"",IFERROR(INDEX(Vöruskrá!O:O,MATCH(B498,Vöruskrá!B:B,0))*C498/100000,""))</f>
        <v/>
      </c>
      <c r="M498" s="169" t="str">
        <f>IF(OR(B498="",C498=""),"",IFERROR(INDEX(Vöruskrá!P:P,MATCH(B498,Vöruskrá!B:B,0))*C498/100000,""))</f>
        <v/>
      </c>
      <c r="N498" s="169" t="str">
        <f>IF(OR(B498="",C498=""),"",IFERROR(INDEX(Vöruskrá!Q:Q,MATCH(B498,Vöruskrá!B:B,0))*C498/100000,""))</f>
        <v/>
      </c>
      <c r="O498" s="170" t="str">
        <f>IF(OR(B498="",C498=""),"",IFERROR(C498/1000*INDEX(Vöruskrá!R:R,MATCH(B498,Vöruskrá!B:B,0))/1000,""))</f>
        <v/>
      </c>
      <c r="P498" s="171"/>
      <c r="Q498" s="158"/>
      <c r="R498" s="6"/>
    </row>
    <row r="499" spans="1:18" ht="15">
      <c r="A499" s="173"/>
      <c r="B499" s="173" t="s">
        <v>1020</v>
      </c>
      <c r="C499" s="174">
        <v>3412</v>
      </c>
      <c r="D499" s="168" t="s">
        <v>1020</v>
      </c>
      <c r="E499" s="168" t="s">
        <v>134</v>
      </c>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201"/>
      <c r="R499" s="202"/>
    </row>
    <row r="500" spans="1:18" ht="60">
      <c r="A500" s="147" t="s">
        <v>1786</v>
      </c>
      <c r="B500" s="147"/>
      <c r="C500" s="148"/>
      <c r="D500" s="165" t="s">
        <v>1787</v>
      </c>
      <c r="E500" s="165" t="s">
        <v>134</v>
      </c>
      <c r="F500" s="165"/>
      <c r="G500" s="166">
        <v>5.37</v>
      </c>
      <c r="H500" s="166">
        <v>0.01</v>
      </c>
      <c r="I500" s="166">
        <v>0</v>
      </c>
      <c r="J500" s="166">
        <v>1.23</v>
      </c>
      <c r="K500" s="166"/>
      <c r="L500" s="166">
        <v>0.17</v>
      </c>
      <c r="M500" s="166">
        <v>0.78</v>
      </c>
      <c r="N500" s="166">
        <f>IFERROR(SUM(N501:N508)/(SUM($C$501:$C$508)/100000),"")</f>
        <v>0.18671113288867108</v>
      </c>
      <c r="O500" s="167" t="str">
        <f>IF(OR(B500="",C500=""),"",IFERROR(C500/1000*INDEX(Vöruskrá!R:R,MATCH(B500,Vöruskrá!B:B,0))/1000,""))</f>
        <v/>
      </c>
      <c r="P500" s="196" t="s">
        <v>1788</v>
      </c>
      <c r="Q500" s="199" t="s">
        <v>1789</v>
      </c>
      <c r="R500" s="198" t="s">
        <v>1790</v>
      </c>
    </row>
    <row r="501" spans="1:18" ht="15">
      <c r="A501" s="171"/>
      <c r="B501" s="171" t="s">
        <v>1474</v>
      </c>
      <c r="C501" s="172">
        <v>78201</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203"/>
      <c r="R501" s="204"/>
    </row>
    <row r="502" spans="1:18" ht="15">
      <c r="A502" s="173"/>
      <c r="B502" s="173" t="s">
        <v>1010</v>
      </c>
      <c r="C502" s="174">
        <v>9775</v>
      </c>
      <c r="D502" s="168" t="s">
        <v>1010</v>
      </c>
      <c r="E502" s="168" t="s">
        <v>134</v>
      </c>
      <c r="F502" s="168"/>
      <c r="G502" s="169">
        <f>IF(OR(B502="",C502=""),"",IFERROR(INDEX(Vöruskrá!J:J,MATCH(B502,Vöruskrá!B:B,0))*C502/100000,""))</f>
        <v>3.91</v>
      </c>
      <c r="H502" s="169">
        <f>IF(OR(B502="",C502=""),"",IFERROR(INDEX(Vöruskrá!K:K,MATCH(B502,Vöruskrá!B:B,0))*C502/100000,""))</f>
        <v>9.7750000000000007E-3</v>
      </c>
      <c r="I502" s="169">
        <f>IF(OR(B502="",C502=""),"",IFERROR(INDEX(Vöruskrá!L:L,MATCH(B502,Vöruskrá!B:B,0))*C502/100000,""))</f>
        <v>0</v>
      </c>
      <c r="J502" s="169">
        <f>IF(OR(B502="",C502=""),"",IFERROR(INDEX(Vöruskrá!M:M,MATCH(B502,Vöruskrá!B:B,0))*C502/100000,""))</f>
        <v>0.90907499999999997</v>
      </c>
      <c r="K502" s="169">
        <f>IF(OR(B502="",C502=""),"",IFERROR(INDEX(Vöruskrá!N:N,MATCH(B502,Vöruskrá!B:B,0))*C502/100000,""))</f>
        <v>0.41055000000000003</v>
      </c>
      <c r="L502" s="169">
        <f>IF(OR(B502="",C502=""),"",IFERROR(INDEX(Vöruskrá!O:O,MATCH(B502,Vöruskrá!B:B,0))*C502/100000,""))</f>
        <v>0.107525</v>
      </c>
      <c r="M502" s="169">
        <f>IF(OR(B502="",C502=""),"",IFERROR(INDEX(Vöruskrá!P:P,MATCH(B502,Vöruskrá!B:B,0))*C502/100000,""))</f>
        <v>0</v>
      </c>
      <c r="N502" s="169">
        <f>IF(OR(B502="",C502=""),"",IFERROR(INDEX(Vöruskrá!Q:Q,MATCH(B502,Vöruskrá!B:B,0))*C502/100000,""))</f>
        <v>0.16617499999999999</v>
      </c>
      <c r="O502" s="170">
        <f>IF(OR(B502="",C502=""),"",IFERROR(C502/1000*INDEX(Vöruskrá!R:R,MATCH(B502,Vöruskrá!B:B,0))/1000,""))</f>
        <v>0</v>
      </c>
      <c r="P502" s="173"/>
      <c r="Q502" s="158"/>
      <c r="R502" s="6"/>
    </row>
    <row r="503" spans="1:18" ht="15">
      <c r="A503" s="171"/>
      <c r="B503" s="171" t="s">
        <v>1475</v>
      </c>
      <c r="C503" s="172">
        <v>489</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157"/>
      <c r="R503" s="27"/>
    </row>
    <row r="504" spans="1:18" ht="15">
      <c r="A504" s="173"/>
      <c r="B504" s="173" t="s">
        <v>1476</v>
      </c>
      <c r="C504" s="174">
        <v>2933</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1017</v>
      </c>
      <c r="C505" s="172">
        <v>978</v>
      </c>
      <c r="D505" s="168" t="s">
        <v>1017</v>
      </c>
      <c r="E505" s="168" t="s">
        <v>134</v>
      </c>
      <c r="F505" s="168"/>
      <c r="G505" s="169">
        <f>IF(OR(B505="",C505=""),"",IFERROR(INDEX(Vöruskrá!J:J,MATCH(B505,Vöruskrá!B:B,0))*C505/100000,""))</f>
        <v>1.45722</v>
      </c>
      <c r="H505" s="169">
        <f>IF(OR(B505="",C505=""),"",IFERROR(INDEX(Vöruskrá!K:K,MATCH(B505,Vöruskrá!B:B,0))*C505/100000,""))</f>
        <v>4.8900000000000002E-3</v>
      </c>
      <c r="I505" s="169">
        <f>IF(OR(B505="",C505=""),"",IFERROR(INDEX(Vöruskrá!L:L,MATCH(B505,Vöruskrá!B:B,0))*C505/100000,""))</f>
        <v>9.7800000000000014E-4</v>
      </c>
      <c r="J505" s="169">
        <f>IF(OR(B505="",C505=""),"",IFERROR(INDEX(Vöruskrá!M:M,MATCH(B505,Vöruskrá!B:B,0))*C505/100000,""))</f>
        <v>0.32371800000000001</v>
      </c>
      <c r="K505" s="169">
        <f>IF(OR(B505="",C505=""),"",IFERROR(INDEX(Vöruskrá!N:N,MATCH(B505,Vöruskrá!B:B,0))*C505/100000,""))</f>
        <v>9.7800000000000005E-3</v>
      </c>
      <c r="L505" s="169">
        <f>IF(OR(B505="",C505=""),"",IFERROR(INDEX(Vöruskrá!O:O,MATCH(B505,Vöruskrá!B:B,0))*C505/100000,""))</f>
        <v>6.2592000000000009E-2</v>
      </c>
      <c r="M505" s="169">
        <f>IF(OR(B505="",C505=""),"",IFERROR(INDEX(Vöruskrá!P:P,MATCH(B505,Vöruskrá!B:B,0))*C505/100000,""))</f>
        <v>0</v>
      </c>
      <c r="N505" s="169">
        <f>IF(OR(B505="",C505=""),"",IFERROR(INDEX(Vöruskrá!Q:Q,MATCH(B505,Vöruskrá!B:B,0))*C505/100000,""))</f>
        <v>2.0538000000000001E-2</v>
      </c>
      <c r="O505" s="170">
        <f>IF(OR(B505="",C505=""),"",IFERROR(C505/1000*INDEX(Vöruskrá!R:R,MATCH(B505,Vöruskrá!B:B,0))/1000,""))</f>
        <v>0</v>
      </c>
      <c r="P505" s="171"/>
      <c r="Q505" s="157"/>
      <c r="R505" s="27"/>
    </row>
    <row r="506" spans="1:18" ht="15">
      <c r="A506" s="173"/>
      <c r="B506" s="173" t="s">
        <v>1463</v>
      </c>
      <c r="C506" s="174">
        <v>3910</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8"/>
      <c r="R506" s="6"/>
    </row>
    <row r="507" spans="1:18" ht="15">
      <c r="A507" s="171"/>
      <c r="B507" s="171" t="s">
        <v>1466</v>
      </c>
      <c r="C507" s="172">
        <v>2933</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1"/>
      <c r="Q507" s="157"/>
      <c r="R507" s="27"/>
    </row>
    <row r="508" spans="1:18" ht="15">
      <c r="A508" s="173"/>
      <c r="B508" s="173" t="s">
        <v>299</v>
      </c>
      <c r="C508" s="174">
        <v>782</v>
      </c>
      <c r="D508" s="168" t="s">
        <v>302</v>
      </c>
      <c r="E508" s="168" t="s">
        <v>134</v>
      </c>
      <c r="F508" s="168" t="s">
        <v>303</v>
      </c>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0.78200000000000003</v>
      </c>
      <c r="N508" s="169">
        <f>IF(OR(B508="",C508=""),"",IFERROR(INDEX(Vöruskrá!Q:Q,MATCH(B508,Vöruskrá!B:B,0))*C508/100000,""))</f>
        <v>0</v>
      </c>
      <c r="O508" s="170">
        <f>IF(OR(B508="",C508=""),"",IFERROR(C508/1000*INDEX(Vöruskrá!R:R,MATCH(B508,Vöruskrá!B:B,0))/1000,""))</f>
        <v>0</v>
      </c>
      <c r="P508" s="173"/>
      <c r="Q508" s="200"/>
      <c r="R508" s="159"/>
    </row>
    <row r="509" spans="1:18" ht="72">
      <c r="A509" s="147" t="s">
        <v>1791</v>
      </c>
      <c r="B509" s="147"/>
      <c r="C509" s="148"/>
      <c r="D509" s="165" t="s">
        <v>1792</v>
      </c>
      <c r="E509" s="165" t="s">
        <v>120</v>
      </c>
      <c r="F509" s="165"/>
      <c r="G509" s="166">
        <v>108.55</v>
      </c>
      <c r="H509" s="166">
        <v>6.99</v>
      </c>
      <c r="I509" s="166">
        <v>2.95</v>
      </c>
      <c r="J509" s="166">
        <v>2.36</v>
      </c>
      <c r="K509" s="166"/>
      <c r="L509" s="166">
        <v>9.02</v>
      </c>
      <c r="M509" s="166">
        <v>0.75</v>
      </c>
      <c r="N509" s="166">
        <f>IFERROR(SUM(N510:N518)/(SUM($C$510:$C$518)/100000),"")</f>
        <v>9.6049999999999996E-2</v>
      </c>
      <c r="O509" s="167" t="str">
        <f>IF(OR(B509="",C509=""),"",IFERROR(C509/1000*INDEX(Vöruskrá!R:R,MATCH(B509,Vöruskrá!B:B,0))/1000,""))</f>
        <v/>
      </c>
      <c r="P509" s="196" t="s">
        <v>1793</v>
      </c>
      <c r="Q509" s="195" t="s">
        <v>1794</v>
      </c>
      <c r="R509" s="194" t="s">
        <v>1795</v>
      </c>
    </row>
    <row r="510" spans="1:18" ht="15">
      <c r="A510" s="171"/>
      <c r="B510" s="171" t="s">
        <v>542</v>
      </c>
      <c r="C510" s="172">
        <v>33898</v>
      </c>
      <c r="D510" s="168" t="s">
        <v>543</v>
      </c>
      <c r="E510" s="168" t="s">
        <v>134</v>
      </c>
      <c r="F510" s="168"/>
      <c r="G510" s="169">
        <f>IF(OR(B510="",C510=""),"",IFERROR(INDEX(Vöruskrá!J:J,MATCH(B510,Vöruskrá!B:B,0))*C510/100000,""))</f>
        <v>60.677419999999998</v>
      </c>
      <c r="H510" s="169">
        <f>IF(OR(B510="",C510=""),"",IFERROR(INDEX(Vöruskrá!K:K,MATCH(B510,Vöruskrá!B:B,0))*C510/100000,""))</f>
        <v>3.72878</v>
      </c>
      <c r="I510" s="169">
        <f>IF(OR(B510="",C510=""),"",IFERROR(INDEX(Vöruskrá!L:L,MATCH(B510,Vöruskrá!B:B,0))*C510/100000,""))</f>
        <v>1.0508379999999999</v>
      </c>
      <c r="J510" s="169">
        <f>IF(OR(B510="",C510=""),"",IFERROR(INDEX(Vöruskrá!M:M,MATCH(B510,Vöruskrá!B:B,0))*C510/100000,""))</f>
        <v>0</v>
      </c>
      <c r="K510" s="169">
        <f>IF(OR(B510="",C510=""),"",IFERROR(INDEX(Vöruskrá!N:N,MATCH(B510,Vöruskrá!B:B,0))*C510/100000,""))</f>
        <v>0</v>
      </c>
      <c r="L510" s="169">
        <f>IF(OR(B510="",C510=""),"",IFERROR(INDEX(Vöruskrá!O:O,MATCH(B510,Vöruskrá!B:B,0))*C510/100000,""))</f>
        <v>6.7796000000000003</v>
      </c>
      <c r="M510" s="169">
        <f>IF(OR(B510="",C510=""),"",IFERROR(INDEX(Vöruskrá!P:P,MATCH(B510,Vöruskrá!B:B,0))*C510/100000,""))</f>
        <v>6.7796000000000009E-2</v>
      </c>
      <c r="N510" s="169">
        <f>IF(OR(B510="",C510=""),"",IFERROR(INDEX(Vöruskrá!Q:Q,MATCH(B510,Vöruskrá!B:B,0))*C510/100000,""))</f>
        <v>0</v>
      </c>
      <c r="O510" s="170">
        <f>IF(OR(B510="",C510=""),"",IFERROR(C510/1000*INDEX(Vöruskrá!R:R,MATCH(B510,Vöruskrá!B:B,0))/1000,""))</f>
        <v>0</v>
      </c>
      <c r="P510" s="171"/>
      <c r="Q510" s="197"/>
      <c r="R510" s="164"/>
    </row>
    <row r="511" spans="1:18" ht="15">
      <c r="A511" s="173"/>
      <c r="B511" s="173" t="s">
        <v>1477</v>
      </c>
      <c r="C511" s="174">
        <v>16949</v>
      </c>
      <c r="D511" s="168"/>
      <c r="E511" s="168"/>
      <c r="F511" s="168"/>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v>
      </c>
      <c r="N511" s="169">
        <f>IF(OR(B511="",C511=""),"",IFERROR(INDEX(Vöruskrá!Q:Q,MATCH(B511,Vöruskrá!B:B,0))*C511/100000,""))</f>
        <v>0</v>
      </c>
      <c r="O511" s="170">
        <f>IF(OR(B511="",C511=""),"",IFERROR(C511/1000*INDEX(Vöruskrá!R:R,MATCH(B511,Vöruskrá!B:B,0))/1000,""))</f>
        <v>0</v>
      </c>
      <c r="P511" s="173"/>
      <c r="Q511" s="157"/>
      <c r="R511" s="27"/>
    </row>
    <row r="512" spans="1:18" ht="15">
      <c r="A512" s="171"/>
      <c r="B512" s="171" t="s">
        <v>743</v>
      </c>
      <c r="C512" s="172">
        <v>16949</v>
      </c>
      <c r="D512" s="168" t="s">
        <v>745</v>
      </c>
      <c r="E512" s="168"/>
      <c r="F512" s="168"/>
      <c r="G512" s="169">
        <f>IF(OR(B512="",C512=""),"",IFERROR(INDEX(Vöruskrá!J:J,MATCH(B512,Vöruskrá!B:B,0))*C512/100000,""))</f>
        <v>4.7457200000000004</v>
      </c>
      <c r="H512" s="169">
        <f>IF(OR(B512="",C512=""),"",IFERROR(INDEX(Vöruskrá!K:K,MATCH(B512,Vöruskrá!B:B,0))*C512/100000,""))</f>
        <v>1.6949000000000002E-2</v>
      </c>
      <c r="I512" s="169">
        <f>IF(OR(B512="",C512=""),"",IFERROR(INDEX(Vöruskrá!L:L,MATCH(B512,Vöruskrá!B:B,0))*C512/100000,""))</f>
        <v>0</v>
      </c>
      <c r="J512" s="169">
        <f>IF(OR(B512="",C512=""),"",IFERROR(INDEX(Vöruskrá!M:M,MATCH(B512,Vöruskrá!B:B,0))*C512/100000,""))</f>
        <v>0.84745000000000004</v>
      </c>
      <c r="K512" s="169">
        <f>IF(OR(B512="",C512=""),"",IFERROR(INDEX(Vöruskrá!N:N,MATCH(B512,Vöruskrá!B:B,0))*C512/100000,""))</f>
        <v>0.57626599999999994</v>
      </c>
      <c r="L512" s="169">
        <f>IF(OR(B512="",C512=""),"",IFERROR(INDEX(Vöruskrá!O:O,MATCH(B512,Vöruskrá!B:B,0))*C512/100000,""))</f>
        <v>0.25423499999999999</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1"/>
      <c r="Q512" s="158"/>
      <c r="R512" s="6"/>
    </row>
    <row r="513" spans="1:18" ht="15">
      <c r="A513" s="173"/>
      <c r="B513" s="173" t="s">
        <v>849</v>
      </c>
      <c r="C513" s="174">
        <v>16949</v>
      </c>
      <c r="D513" s="168" t="s">
        <v>850</v>
      </c>
      <c r="E513" s="168" t="s">
        <v>120</v>
      </c>
      <c r="F513" s="168"/>
      <c r="G513" s="169">
        <f>IF(OR(B513="",C513=""),"",IFERROR(INDEX(Vöruskrá!J:J,MATCH(B513,Vöruskrá!B:B,0))*C513/100000,""))</f>
        <v>11.355829999999999</v>
      </c>
      <c r="H513" s="169">
        <f>IF(OR(B513="",C513=""),"",IFERROR(INDEX(Vöruskrá!K:K,MATCH(B513,Vöruskrá!B:B,0))*C513/100000,""))</f>
        <v>0.6610109999999999</v>
      </c>
      <c r="I513" s="169">
        <f>IF(OR(B513="",C513=""),"",IFERROR(INDEX(Vöruskrá!L:L,MATCH(B513,Vöruskrá!B:B,0))*C513/100000,""))</f>
        <v>0.38982699999999998</v>
      </c>
      <c r="J513" s="169">
        <f>IF(OR(B513="",C513=""),"",IFERROR(INDEX(Vöruskrá!M:M,MATCH(B513,Vöruskrá!B:B,0))*C513/100000,""))</f>
        <v>0.79660300000000006</v>
      </c>
      <c r="K513" s="169">
        <f>IF(OR(B513="",C513=""),"",IFERROR(INDEX(Vöruskrá!N:N,MATCH(B513,Vöruskrá!B:B,0))*C513/100000,""))</f>
        <v>0.79660300000000006</v>
      </c>
      <c r="L513" s="169">
        <f>IF(OR(B513="",C513=""),"",IFERROR(INDEX(Vöruskrá!O:O,MATCH(B513,Vöruskrá!B:B,0))*C513/100000,""))</f>
        <v>0.55931699999999995</v>
      </c>
      <c r="M513" s="169">
        <f>IF(OR(B513="",C513=""),"",IFERROR(INDEX(Vöruskrá!P:P,MATCH(B513,Vöruskrá!B:B,0))*C513/100000,""))</f>
        <v>1.6949000000000002E-2</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1465</v>
      </c>
      <c r="C514" s="172">
        <v>1695</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445</v>
      </c>
      <c r="C515" s="174">
        <v>1695</v>
      </c>
      <c r="D515" s="168" t="s">
        <v>448</v>
      </c>
      <c r="E515" s="168" t="s">
        <v>120</v>
      </c>
      <c r="F515" s="168"/>
      <c r="G515" s="169">
        <f>IF(OR(B515="",C515=""),"",IFERROR(INDEX(Vöruskrá!J:J,MATCH(B515,Vöruskrá!B:B,0))*C515/100000,""))</f>
        <v>12.5091</v>
      </c>
      <c r="H515" s="169">
        <f>IF(OR(B515="",C515=""),"",IFERROR(INDEX(Vöruskrá!K:K,MATCH(B515,Vöruskrá!B:B,0))*C515/100000,""))</f>
        <v>1.3898999999999999</v>
      </c>
      <c r="I515" s="169">
        <f>IF(OR(B515="",C515=""),"",IFERROR(INDEX(Vöruskrá!L:L,MATCH(B515,Vöruskrá!B:B,0))*C515/100000,""))</f>
        <v>0.83055000000000001</v>
      </c>
      <c r="J515" s="169">
        <f>IF(OR(B515="",C515=""),"",IFERROR(INDEX(Vöruskrá!M:M,MATCH(B515,Vöruskrá!B:B,0))*C515/100000,""))</f>
        <v>6.7799999999999996E-3</v>
      </c>
      <c r="K515" s="169">
        <f>IF(OR(B515="",C515=""),"",IFERROR(INDEX(Vöruskrá!N:N,MATCH(B515,Vöruskrá!B:B,0))*C515/100000,""))</f>
        <v>6.7799999999999996E-3</v>
      </c>
      <c r="L515" s="169">
        <f>IF(OR(B515="",C515=""),"",IFERROR(INDEX(Vöruskrá!O:O,MATCH(B515,Vöruskrá!B:B,0))*C515/100000,""))</f>
        <v>1.017E-2</v>
      </c>
      <c r="M515" s="169">
        <f>IF(OR(B515="",C515=""),"",IFERROR(INDEX(Vöruskrá!P:P,MATCH(B515,Vöruskrá!B:B,0))*C515/100000,""))</f>
        <v>2.034E-2</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895</v>
      </c>
      <c r="C516" s="172">
        <v>5650</v>
      </c>
      <c r="D516" s="168" t="s">
        <v>897</v>
      </c>
      <c r="E516" s="168" t="s">
        <v>120</v>
      </c>
      <c r="F516" s="168"/>
      <c r="G516" s="169">
        <f>IF(OR(B516="",C516=""),"",IFERROR(INDEX(Vöruskrá!J:J,MATCH(B516,Vöruskrá!B:B,0))*C516/100000,""))</f>
        <v>17.006499999999999</v>
      </c>
      <c r="H516" s="169">
        <f>IF(OR(B516="",C516=""),"",IFERROR(INDEX(Vöruskrá!K:K,MATCH(B516,Vöruskrá!B:B,0))*C516/100000,""))</f>
        <v>1.1865000000000001</v>
      </c>
      <c r="I516" s="169">
        <f>IF(OR(B516="",C516=""),"",IFERROR(INDEX(Vöruskrá!L:L,MATCH(B516,Vöruskrá!B:B,0))*C516/100000,""))</f>
        <v>0.67800000000000005</v>
      </c>
      <c r="J516" s="169">
        <f>IF(OR(B516="",C516=""),"",IFERROR(INDEX(Vöruskrá!M:M,MATCH(B516,Vöruskrá!B:B,0))*C516/100000,""))</f>
        <v>0.18079999999999999</v>
      </c>
      <c r="K516" s="169">
        <f>IF(OR(B516="",C516=""),"",IFERROR(INDEX(Vöruskrá!N:N,MATCH(B516,Vöruskrá!B:B,0))*C516/100000,""))</f>
        <v>5.6500000000000002E-2</v>
      </c>
      <c r="L516" s="169">
        <f>IF(OR(B516="",C516=""),"",IFERROR(INDEX(Vöruskrá!O:O,MATCH(B516,Vöruskrá!B:B,0))*C516/100000,""))</f>
        <v>1.3560000000000001</v>
      </c>
      <c r="M516" s="169">
        <f>IF(OR(B516="",C516=""),"",IFERROR(INDEX(Vöruskrá!P:P,MATCH(B516,Vöruskrá!B:B,0))*C516/100000,""))</f>
        <v>7.909999999999999E-2</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1010</v>
      </c>
      <c r="C517" s="174">
        <v>5650</v>
      </c>
      <c r="D517" s="168" t="s">
        <v>1010</v>
      </c>
      <c r="E517" s="168" t="s">
        <v>134</v>
      </c>
      <c r="F517" s="168"/>
      <c r="G517" s="169">
        <f>IF(OR(B517="",C517=""),"",IFERROR(INDEX(Vöruskrá!J:J,MATCH(B517,Vöruskrá!B:B,0))*C517/100000,""))</f>
        <v>2.2599999999999998</v>
      </c>
      <c r="H517" s="169">
        <f>IF(OR(B517="",C517=""),"",IFERROR(INDEX(Vöruskrá!K:K,MATCH(B517,Vöruskrá!B:B,0))*C517/100000,""))</f>
        <v>5.6499999999999996E-3</v>
      </c>
      <c r="I517" s="169">
        <f>IF(OR(B517="",C517=""),"",IFERROR(INDEX(Vöruskrá!L:L,MATCH(B517,Vöruskrá!B:B,0))*C517/100000,""))</f>
        <v>0</v>
      </c>
      <c r="J517" s="169">
        <f>IF(OR(B517="",C517=""),"",IFERROR(INDEX(Vöruskrá!M:M,MATCH(B517,Vöruskrá!B:B,0))*C517/100000,""))</f>
        <v>0.52545000000000008</v>
      </c>
      <c r="K517" s="169">
        <f>IF(OR(B517="",C517=""),"",IFERROR(INDEX(Vöruskrá!N:N,MATCH(B517,Vöruskrá!B:B,0))*C517/100000,""))</f>
        <v>0.23730000000000001</v>
      </c>
      <c r="L517" s="169">
        <f>IF(OR(B517="",C517=""),"",IFERROR(INDEX(Vöruskrá!O:O,MATCH(B517,Vöruskrá!B:B,0))*C517/100000,""))</f>
        <v>6.2150000000000011E-2</v>
      </c>
      <c r="M517" s="169">
        <f>IF(OR(B517="",C517=""),"",IFERROR(INDEX(Vöruskrá!P:P,MATCH(B517,Vöruskrá!B:B,0))*C517/100000,""))</f>
        <v>0</v>
      </c>
      <c r="N517" s="169">
        <f>IF(OR(B517="",C517=""),"",IFERROR(INDEX(Vöruskrá!Q:Q,MATCH(B517,Vöruskrá!B:B,0))*C517/100000,""))</f>
        <v>9.6049999999999996E-2</v>
      </c>
      <c r="O517" s="170">
        <f>IF(OR(B517="",C517=""),"",IFERROR(C517/1000*INDEX(Vöruskrá!R:R,MATCH(B517,Vöruskrá!B:B,0))/1000,""))</f>
        <v>0</v>
      </c>
      <c r="P517" s="173"/>
      <c r="Q517" s="157"/>
      <c r="R517" s="27"/>
    </row>
    <row r="518" spans="1:18" ht="15">
      <c r="A518" s="171"/>
      <c r="B518" s="171" t="s">
        <v>299</v>
      </c>
      <c r="C518" s="172">
        <v>565</v>
      </c>
      <c r="D518" s="168" t="s">
        <v>302</v>
      </c>
      <c r="E518" s="168" t="s">
        <v>134</v>
      </c>
      <c r="F518" s="168" t="s">
        <v>303</v>
      </c>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0.56499999999999995</v>
      </c>
      <c r="N518" s="169">
        <f>IF(OR(B518="",C518=""),"",IFERROR(INDEX(Vöruskrá!Q:Q,MATCH(B518,Vöruskrá!B:B,0))*C518/100000,""))</f>
        <v>0</v>
      </c>
      <c r="O518" s="170">
        <f>IF(OR(B518="",C518=""),"",IFERROR(C518/1000*INDEX(Vöruskrá!R:R,MATCH(B518,Vöruskrá!B:B,0))/1000,""))</f>
        <v>0</v>
      </c>
      <c r="P518" s="171"/>
      <c r="Q518" s="200"/>
      <c r="R518" s="159"/>
    </row>
    <row r="519" spans="1:18" ht="60">
      <c r="A519" s="147" t="s">
        <v>1796</v>
      </c>
      <c r="B519" s="147"/>
      <c r="C519" s="148"/>
      <c r="D519" s="165" t="s">
        <v>1797</v>
      </c>
      <c r="E519" s="165" t="s">
        <v>1798</v>
      </c>
      <c r="F519" s="165"/>
      <c r="G519" s="166">
        <v>122.06</v>
      </c>
      <c r="H519" s="166">
        <v>7.12</v>
      </c>
      <c r="I519" s="166">
        <v>2.57</v>
      </c>
      <c r="J519" s="166">
        <v>3.01</v>
      </c>
      <c r="K519" s="166"/>
      <c r="L519" s="166">
        <v>11.56</v>
      </c>
      <c r="M519" s="166">
        <v>1.49</v>
      </c>
      <c r="N519" s="166">
        <f>IFERROR(SUM(N520:N527)/(SUM($C$520:$C$527)/100000),"")</f>
        <v>0.15060150601506014</v>
      </c>
      <c r="O519" s="167" t="str">
        <f>IF(OR(B519="",C519=""),"",IFERROR(C519/1000*INDEX(Vöruskrá!R:R,MATCH(B519,Vöruskrá!B:B,0))/1000,""))</f>
        <v/>
      </c>
      <c r="P519" s="196" t="s">
        <v>1799</v>
      </c>
      <c r="Q519" s="199" t="s">
        <v>1800</v>
      </c>
      <c r="R519" s="198" t="s">
        <v>1801</v>
      </c>
    </row>
    <row r="520" spans="1:18" ht="15">
      <c r="A520" s="171"/>
      <c r="B520" s="171" t="s">
        <v>542</v>
      </c>
      <c r="C520" s="172">
        <v>45181</v>
      </c>
      <c r="D520" s="168" t="s">
        <v>543</v>
      </c>
      <c r="E520" s="168" t="s">
        <v>134</v>
      </c>
      <c r="F520" s="168"/>
      <c r="G520" s="169">
        <f>IF(OR(B520="",C520=""),"",IFERROR(INDEX(Vöruskrá!J:J,MATCH(B520,Vöruskrá!B:B,0))*C520/100000,""))</f>
        <v>80.873990000000006</v>
      </c>
      <c r="H520" s="169">
        <f>IF(OR(B520="",C520=""),"",IFERROR(INDEX(Vöruskrá!K:K,MATCH(B520,Vöruskrá!B:B,0))*C520/100000,""))</f>
        <v>4.9699099999999996</v>
      </c>
      <c r="I520" s="169">
        <f>IF(OR(B520="",C520=""),"",IFERROR(INDEX(Vöruskrá!L:L,MATCH(B520,Vöruskrá!B:B,0))*C520/100000,""))</f>
        <v>1.4006110000000001</v>
      </c>
      <c r="J520" s="169">
        <f>IF(OR(B520="",C520=""),"",IFERROR(INDEX(Vöruskrá!M:M,MATCH(B520,Vöruskrá!B:B,0))*C520/100000,""))</f>
        <v>0</v>
      </c>
      <c r="K520" s="169">
        <f>IF(OR(B520="",C520=""),"",IFERROR(INDEX(Vöruskrá!N:N,MATCH(B520,Vöruskrá!B:B,0))*C520/100000,""))</f>
        <v>0</v>
      </c>
      <c r="L520" s="169">
        <f>IF(OR(B520="",C520=""),"",IFERROR(INDEX(Vöruskrá!O:O,MATCH(B520,Vöruskrá!B:B,0))*C520/100000,""))</f>
        <v>9.0361999999999991</v>
      </c>
      <c r="M520" s="169">
        <f>IF(OR(B520="",C520=""),"",IFERROR(INDEX(Vöruskrá!P:P,MATCH(B520,Vöruskrá!B:B,0))*C520/100000,""))</f>
        <v>9.0362000000000012E-2</v>
      </c>
      <c r="N520" s="169">
        <f>IF(OR(B520="",C520=""),"",IFERROR(INDEX(Vöruskrá!Q:Q,MATCH(B520,Vöruskrá!B:B,0))*C520/100000,""))</f>
        <v>0</v>
      </c>
      <c r="O520" s="170">
        <f>IF(OR(B520="",C520=""),"",IFERROR(C520/1000*INDEX(Vöruskrá!R:R,MATCH(B520,Vöruskrá!B:B,0))/1000,""))</f>
        <v>0</v>
      </c>
      <c r="P520" s="171"/>
      <c r="Q520" s="197"/>
      <c r="R520" s="164"/>
    </row>
    <row r="521" spans="1:18" ht="15">
      <c r="A521" s="173"/>
      <c r="B521" s="173" t="s">
        <v>1477</v>
      </c>
      <c r="C521" s="174">
        <v>18825</v>
      </c>
      <c r="D521" s="168"/>
      <c r="E521" s="168"/>
      <c r="F521" s="168"/>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v>
      </c>
      <c r="N521" s="169">
        <f>IF(OR(B521="",C521=""),"",IFERROR(INDEX(Vöruskrá!Q:Q,MATCH(B521,Vöruskrá!B:B,0))*C521/100000,""))</f>
        <v>0</v>
      </c>
      <c r="O521" s="170">
        <f>IF(OR(B521="",C521=""),"",IFERROR(C521/1000*INDEX(Vöruskrá!R:R,MATCH(B521,Vöruskrá!B:B,0))/1000,""))</f>
        <v>0</v>
      </c>
      <c r="P521" s="173"/>
      <c r="Q521" s="157"/>
      <c r="R521" s="27"/>
    </row>
    <row r="522" spans="1:18" ht="15">
      <c r="A522" s="171"/>
      <c r="B522" s="171" t="s">
        <v>743</v>
      </c>
      <c r="C522" s="172">
        <v>15060</v>
      </c>
      <c r="D522" s="168" t="s">
        <v>745</v>
      </c>
      <c r="E522" s="168"/>
      <c r="F522" s="168"/>
      <c r="G522" s="169">
        <f>IF(OR(B522="",C522=""),"",IFERROR(INDEX(Vöruskrá!J:J,MATCH(B522,Vöruskrá!B:B,0))*C522/100000,""))</f>
        <v>4.2168000000000001</v>
      </c>
      <c r="H522" s="169">
        <f>IF(OR(B522="",C522=""),"",IFERROR(INDEX(Vöruskrá!K:K,MATCH(B522,Vöruskrá!B:B,0))*C522/100000,""))</f>
        <v>1.506E-2</v>
      </c>
      <c r="I522" s="169">
        <f>IF(OR(B522="",C522=""),"",IFERROR(INDEX(Vöruskrá!L:L,MATCH(B522,Vöruskrá!B:B,0))*C522/100000,""))</f>
        <v>0</v>
      </c>
      <c r="J522" s="169">
        <f>IF(OR(B522="",C522=""),"",IFERROR(INDEX(Vöruskrá!M:M,MATCH(B522,Vöruskrá!B:B,0))*C522/100000,""))</f>
        <v>0.753</v>
      </c>
      <c r="K522" s="169">
        <f>IF(OR(B522="",C522=""),"",IFERROR(INDEX(Vöruskrá!N:N,MATCH(B522,Vöruskrá!B:B,0))*C522/100000,""))</f>
        <v>0.51204000000000005</v>
      </c>
      <c r="L522" s="169">
        <f>IF(OR(B522="",C522=""),"",IFERROR(INDEX(Vöruskrá!O:O,MATCH(B522,Vöruskrá!B:B,0))*C522/100000,""))</f>
        <v>0.22589999999999999</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1"/>
      <c r="Q522" s="158"/>
      <c r="R522" s="6"/>
    </row>
    <row r="523" spans="1:18" ht="15">
      <c r="A523" s="173"/>
      <c r="B523" s="173" t="s">
        <v>489</v>
      </c>
      <c r="C523" s="174">
        <v>1506</v>
      </c>
      <c r="D523" s="168" t="s">
        <v>490</v>
      </c>
      <c r="E523" s="168" t="s">
        <v>134</v>
      </c>
      <c r="F523" s="168" t="s">
        <v>311</v>
      </c>
      <c r="G523" s="169">
        <f>IF(OR(B523="",C523=""),"",IFERROR(INDEX(Vöruskrá!J:J,MATCH(B523,Vöruskrá!B:B,0))*C523/100000,""))</f>
        <v>3.3433199999999998</v>
      </c>
      <c r="H523" s="169">
        <f>IF(OR(B523="",C523=""),"",IFERROR(INDEX(Vöruskrá!K:K,MATCH(B523,Vöruskrá!B:B,0))*C523/100000,""))</f>
        <v>9.0359999999999996E-2</v>
      </c>
      <c r="I523" s="169">
        <f>IF(OR(B523="",C523=""),"",IFERROR(INDEX(Vöruskrá!L:L,MATCH(B523,Vöruskrá!B:B,0))*C523/100000,""))</f>
        <v>1.3554E-2</v>
      </c>
      <c r="J523" s="169">
        <f>IF(OR(B523="",C523=""),"",IFERROR(INDEX(Vöruskrá!M:M,MATCH(B523,Vöruskrá!B:B,0))*C523/100000,""))</f>
        <v>0.45179999999999998</v>
      </c>
      <c r="K523" s="169">
        <f>IF(OR(B523="",C523=""),"",IFERROR(INDEX(Vöruskrá!N:N,MATCH(B523,Vöruskrá!B:B,0))*C523/100000,""))</f>
        <v>6.927599999999999E-2</v>
      </c>
      <c r="L523" s="169">
        <f>IF(OR(B523="",C523=""),"",IFERROR(INDEX(Vöruskrá!O:O,MATCH(B523,Vöruskrá!B:B,0))*C523/100000,""))</f>
        <v>0.10692600000000001</v>
      </c>
      <c r="M523" s="169">
        <f>IF(OR(B523="",C523=""),"",IFERROR(INDEX(Vöruskrá!P:P,MATCH(B523,Vöruskrá!B:B,0))*C523/100000,""))</f>
        <v>0.67769999999999997</v>
      </c>
      <c r="N523" s="169">
        <f>IF(OR(B523="",C523=""),"",IFERROR(INDEX(Vöruskrá!Q:Q,MATCH(B523,Vöruskrá!B:B,0))*C523/100000,""))</f>
        <v>0</v>
      </c>
      <c r="O523" s="170">
        <f>IF(OR(B523="",C523=""),"",IFERROR(C523/1000*INDEX(Vöruskrá!R:R,MATCH(B523,Vöruskrá!B:B,0))/1000,""))</f>
        <v>0</v>
      </c>
      <c r="P523" s="173"/>
      <c r="Q523" s="157"/>
      <c r="R523" s="27"/>
    </row>
    <row r="524" spans="1:18" ht="15">
      <c r="A524" s="171"/>
      <c r="B524" s="171" t="s">
        <v>895</v>
      </c>
      <c r="C524" s="172">
        <v>7530</v>
      </c>
      <c r="D524" s="168" t="s">
        <v>897</v>
      </c>
      <c r="E524" s="168" t="s">
        <v>120</v>
      </c>
      <c r="F524" s="168"/>
      <c r="G524" s="169">
        <f>IF(OR(B524="",C524=""),"",IFERROR(INDEX(Vöruskrá!J:J,MATCH(B524,Vöruskrá!B:B,0))*C524/100000,""))</f>
        <v>22.665299999999998</v>
      </c>
      <c r="H524" s="169">
        <f>IF(OR(B524="",C524=""),"",IFERROR(INDEX(Vöruskrá!K:K,MATCH(B524,Vöruskrá!B:B,0))*C524/100000,""))</f>
        <v>1.5812999999999999</v>
      </c>
      <c r="I524" s="169">
        <f>IF(OR(B524="",C524=""),"",IFERROR(INDEX(Vöruskrá!L:L,MATCH(B524,Vöruskrá!B:B,0))*C524/100000,""))</f>
        <v>0.90359999999999996</v>
      </c>
      <c r="J524" s="169">
        <f>IF(OR(B524="",C524=""),"",IFERROR(INDEX(Vöruskrá!M:M,MATCH(B524,Vöruskrá!B:B,0))*C524/100000,""))</f>
        <v>0.24096000000000001</v>
      </c>
      <c r="K524" s="169">
        <f>IF(OR(B524="",C524=""),"",IFERROR(INDEX(Vöruskrá!N:N,MATCH(B524,Vöruskrá!B:B,0))*C524/100000,""))</f>
        <v>7.5300000000000006E-2</v>
      </c>
      <c r="L524" s="169">
        <f>IF(OR(B524="",C524=""),"",IFERROR(INDEX(Vöruskrá!O:O,MATCH(B524,Vöruskrá!B:B,0))*C524/100000,""))</f>
        <v>1.8071999999999999</v>
      </c>
      <c r="M524" s="169">
        <f>IF(OR(B524="",C524=""),"",IFERROR(INDEX(Vöruskrá!P:P,MATCH(B524,Vöruskrá!B:B,0))*C524/100000,""))</f>
        <v>0.10542</v>
      </c>
      <c r="N524" s="169">
        <f>IF(OR(B524="",C524=""),"",IFERROR(INDEX(Vöruskrá!Q:Q,MATCH(B524,Vöruskrá!B:B,0))*C524/100000,""))</f>
        <v>0</v>
      </c>
      <c r="O524" s="170">
        <f>IF(OR(B524="",C524=""),"",IFERROR(C524/1000*INDEX(Vöruskrá!R:R,MATCH(B524,Vöruskrá!B:B,0))/1000,""))</f>
        <v>0</v>
      </c>
      <c r="P524" s="171"/>
      <c r="Q524" s="158"/>
      <c r="R524" s="6"/>
    </row>
    <row r="525" spans="1:18" ht="15">
      <c r="A525" s="173"/>
      <c r="B525" s="173" t="s">
        <v>483</v>
      </c>
      <c r="C525" s="174">
        <v>3765</v>
      </c>
      <c r="D525" s="168" t="s">
        <v>485</v>
      </c>
      <c r="E525" s="168" t="s">
        <v>120</v>
      </c>
      <c r="F525" s="168"/>
      <c r="G525" s="169">
        <f>IF(OR(B525="",C525=""),"",IFERROR(INDEX(Vöruskrá!J:J,MATCH(B525,Vöruskrá!B:B,0))*C525/100000,""))</f>
        <v>4.4803499999999996</v>
      </c>
      <c r="H525" s="169">
        <f>IF(OR(B525="",C525=""),"",IFERROR(INDEX(Vöruskrá!K:K,MATCH(B525,Vöruskrá!B:B,0))*C525/100000,""))</f>
        <v>0.3765</v>
      </c>
      <c r="I525" s="169">
        <f>IF(OR(B525="",C525=""),"",IFERROR(INDEX(Vöruskrá!L:L,MATCH(B525,Vöruskrá!B:B,0))*C525/100000,""))</f>
        <v>0.24096000000000001</v>
      </c>
      <c r="J525" s="169">
        <f>IF(OR(B525="",C525=""),"",IFERROR(INDEX(Vöruskrá!M:M,MATCH(B525,Vöruskrá!B:B,0))*C525/100000,""))</f>
        <v>0.131775</v>
      </c>
      <c r="K525" s="169">
        <f>IF(OR(B525="",C525=""),"",IFERROR(INDEX(Vöruskrá!N:N,MATCH(B525,Vöruskrá!B:B,0))*C525/100000,""))</f>
        <v>0.131775</v>
      </c>
      <c r="L525" s="169">
        <f>IF(OR(B525="",C525=""),"",IFERROR(INDEX(Vöruskrá!O:O,MATCH(B525,Vöruskrá!B:B,0))*C525/100000,""))</f>
        <v>0.14307</v>
      </c>
      <c r="M525" s="169">
        <f>IF(OR(B525="",C525=""),"",IFERROR(INDEX(Vöruskrá!P:P,MATCH(B525,Vöruskrá!B:B,0))*C525/100000,""))</f>
        <v>3.7650000000000001E-3</v>
      </c>
      <c r="N525" s="169">
        <f>IF(OR(B525="",C525=""),"",IFERROR(INDEX(Vöruskrá!Q:Q,MATCH(B525,Vöruskrá!B:B,0))*C525/100000,""))</f>
        <v>0</v>
      </c>
      <c r="O525" s="170">
        <f>IF(OR(B525="",C525=""),"",IFERROR(C525/1000*INDEX(Vöruskrá!R:R,MATCH(B525,Vöruskrá!B:B,0))/1000,""))</f>
        <v>0</v>
      </c>
      <c r="P525" s="173"/>
      <c r="Q525" s="157"/>
      <c r="R525" s="27"/>
    </row>
    <row r="526" spans="1:18" ht="15">
      <c r="A526" s="171"/>
      <c r="B526" s="171" t="s">
        <v>1097</v>
      </c>
      <c r="C526" s="172">
        <v>7530</v>
      </c>
      <c r="D526" s="168" t="s">
        <v>1098</v>
      </c>
      <c r="E526" s="168" t="s">
        <v>1099</v>
      </c>
      <c r="F526" s="168" t="s">
        <v>1100</v>
      </c>
      <c r="G526" s="169">
        <f>IF(OR(B526="",C526=""),"",IFERROR(INDEX(Vöruskrá!J:J,MATCH(B526,Vöruskrá!B:B,0))*C526/100000,""))</f>
        <v>6.4757999999999996</v>
      </c>
      <c r="H526" s="169">
        <f>IF(OR(B526="",C526=""),"",IFERROR(INDEX(Vöruskrá!K:K,MATCH(B526,Vöruskrá!B:B,0))*C526/100000,""))</f>
        <v>9.0359999999999996E-2</v>
      </c>
      <c r="I526" s="169">
        <f>IF(OR(B526="",C526=""),"",IFERROR(INDEX(Vöruskrá!L:L,MATCH(B526,Vöruskrá!B:B,0))*C526/100000,""))</f>
        <v>1.506E-2</v>
      </c>
      <c r="J526" s="169">
        <f>IF(OR(B526="",C526=""),"",IFERROR(INDEX(Vöruskrá!M:M,MATCH(B526,Vöruskrá!B:B,0))*C526/100000,""))</f>
        <v>1.4307000000000001</v>
      </c>
      <c r="K526" s="169">
        <f>IF(OR(B526="",C526=""),"",IFERROR(INDEX(Vöruskrá!N:N,MATCH(B526,Vöruskrá!B:B,0))*C526/100000,""))</f>
        <v>0.24096000000000001</v>
      </c>
      <c r="L526" s="169">
        <f>IF(OR(B526="",C526=""),"",IFERROR(INDEX(Vöruskrá!O:O,MATCH(B526,Vöruskrá!B:B,0))*C526/100000,""))</f>
        <v>0.24096000000000001</v>
      </c>
      <c r="M526" s="169">
        <f>IF(OR(B526="",C526=""),"",IFERROR(INDEX(Vöruskrá!P:P,MATCH(B526,Vöruskrá!B:B,0))*C526/100000,""))</f>
        <v>7.5300000000000002E-3</v>
      </c>
      <c r="N526" s="169">
        <f>IF(OR(B526="",C526=""),"",IFERROR(INDEX(Vöruskrá!Q:Q,MATCH(B526,Vöruskrá!B:B,0))*C526/100000,""))</f>
        <v>0.15060000000000001</v>
      </c>
      <c r="O526" s="170">
        <f>IF(OR(B526="",C526=""),"",IFERROR(C526/1000*INDEX(Vöruskrá!R:R,MATCH(B526,Vöruskrá!B:B,0))/1000,""))</f>
        <v>0</v>
      </c>
      <c r="P526" s="171"/>
      <c r="Q526" s="158"/>
      <c r="R526" s="6"/>
    </row>
    <row r="527" spans="1:18" ht="15">
      <c r="A527" s="173"/>
      <c r="B527" s="173" t="s">
        <v>299</v>
      </c>
      <c r="C527" s="174">
        <v>602</v>
      </c>
      <c r="D527" s="168" t="s">
        <v>302</v>
      </c>
      <c r="E527" s="168" t="s">
        <v>134</v>
      </c>
      <c r="F527" s="168" t="s">
        <v>303</v>
      </c>
      <c r="G527" s="169">
        <f>IF(OR(B527="",C527=""),"",IFERROR(INDEX(Vöruskrá!J:J,MATCH(B527,Vöruskrá!B:B,0))*C527/100000,""))</f>
        <v>0</v>
      </c>
      <c r="H527" s="169">
        <f>IF(OR(B527="",C527=""),"",IFERROR(INDEX(Vöruskrá!K:K,MATCH(B527,Vöruskrá!B:B,0))*C527/100000,""))</f>
        <v>0</v>
      </c>
      <c r="I527" s="169">
        <f>IF(OR(B527="",C527=""),"",IFERROR(INDEX(Vöruskrá!L:L,MATCH(B527,Vöruskrá!B:B,0))*C527/100000,""))</f>
        <v>0</v>
      </c>
      <c r="J527" s="169">
        <f>IF(OR(B527="",C527=""),"",IFERROR(INDEX(Vöruskrá!M:M,MATCH(B527,Vöruskrá!B:B,0))*C527/100000,""))</f>
        <v>0</v>
      </c>
      <c r="K527" s="169">
        <f>IF(OR(B527="",C527=""),"",IFERROR(INDEX(Vöruskrá!N:N,MATCH(B527,Vöruskrá!B:B,0))*C527/100000,""))</f>
        <v>0</v>
      </c>
      <c r="L527" s="169">
        <f>IF(OR(B527="",C527=""),"",IFERROR(INDEX(Vöruskrá!O:O,MATCH(B527,Vöruskrá!B:B,0))*C527/100000,""))</f>
        <v>0</v>
      </c>
      <c r="M527" s="169">
        <f>IF(OR(B527="",C527=""),"",IFERROR(INDEX(Vöruskrá!P:P,MATCH(B527,Vöruskrá!B:B,0))*C527/100000,""))</f>
        <v>0.60199999999999998</v>
      </c>
      <c r="N527" s="169">
        <f>IF(OR(B527="",C527=""),"",IFERROR(INDEX(Vöruskrá!Q:Q,MATCH(B527,Vöruskrá!B:B,0))*C527/100000,""))</f>
        <v>0</v>
      </c>
      <c r="O527" s="170">
        <f>IF(OR(B527="",C527=""),"",IFERROR(C527/1000*INDEX(Vöruskrá!R:R,MATCH(B527,Vöruskrá!B:B,0))/1000,""))</f>
        <v>0</v>
      </c>
      <c r="P527" s="173"/>
      <c r="Q527" s="201"/>
      <c r="R527" s="202"/>
    </row>
    <row r="528" spans="1:18" ht="36">
      <c r="A528" s="147" t="s">
        <v>1802</v>
      </c>
      <c r="B528" s="147"/>
      <c r="C528" s="148"/>
      <c r="D528" s="165" t="s">
        <v>1803</v>
      </c>
      <c r="E528" s="165" t="s">
        <v>134</v>
      </c>
      <c r="F528" s="165"/>
      <c r="G528" s="166">
        <v>119.5</v>
      </c>
      <c r="H528" s="166">
        <v>6.33</v>
      </c>
      <c r="I528" s="166">
        <v>1.77</v>
      </c>
      <c r="J528" s="166">
        <v>3.35</v>
      </c>
      <c r="K528" s="166"/>
      <c r="L528" s="166">
        <v>12.19</v>
      </c>
      <c r="M528" s="166">
        <v>1.07</v>
      </c>
      <c r="N528" s="166">
        <f>IFERROR(SUM(N529:N535)/(SUM($C$529:$C$535)/100000),"")</f>
        <v>0.18137436180488478</v>
      </c>
      <c r="O528" s="167" t="str">
        <f>IF(OR(B528="",C528=""),"",IFERROR(C528/1000*INDEX(Vöruskrá!R:R,MATCH(B528,Vöruskrá!B:B,0))/1000,""))</f>
        <v/>
      </c>
      <c r="P528" s="196" t="s">
        <v>1804</v>
      </c>
      <c r="Q528" s="195" t="s">
        <v>1805</v>
      </c>
      <c r="R528" s="194" t="s">
        <v>1806</v>
      </c>
    </row>
    <row r="529" spans="1:18" ht="15">
      <c r="A529" s="171"/>
      <c r="B529" s="171" t="s">
        <v>542</v>
      </c>
      <c r="C529" s="172">
        <v>41294</v>
      </c>
      <c r="D529" s="168" t="s">
        <v>543</v>
      </c>
      <c r="E529" s="168" t="s">
        <v>134</v>
      </c>
      <c r="F529" s="168"/>
      <c r="G529" s="169">
        <f>IF(OR(B529="",C529=""),"",IFERROR(INDEX(Vöruskrá!J:J,MATCH(B529,Vöruskrá!B:B,0))*C529/100000,""))</f>
        <v>73.916259999999994</v>
      </c>
      <c r="H529" s="169">
        <f>IF(OR(B529="",C529=""),"",IFERROR(INDEX(Vöruskrá!K:K,MATCH(B529,Vöruskrá!B:B,0))*C529/100000,""))</f>
        <v>4.5423400000000003</v>
      </c>
      <c r="I529" s="169">
        <f>IF(OR(B529="",C529=""),"",IFERROR(INDEX(Vöruskrá!L:L,MATCH(B529,Vöruskrá!B:B,0))*C529/100000,""))</f>
        <v>1.2801140000000002</v>
      </c>
      <c r="J529" s="169">
        <f>IF(OR(B529="",C529=""),"",IFERROR(INDEX(Vöruskrá!M:M,MATCH(B529,Vöruskrá!B:B,0))*C529/100000,""))</f>
        <v>0</v>
      </c>
      <c r="K529" s="169">
        <f>IF(OR(B529="",C529=""),"",IFERROR(INDEX(Vöruskrá!N:N,MATCH(B529,Vöruskrá!B:B,0))*C529/100000,""))</f>
        <v>0</v>
      </c>
      <c r="L529" s="169">
        <f>IF(OR(B529="",C529=""),"",IFERROR(INDEX(Vöruskrá!O:O,MATCH(B529,Vöruskrá!B:B,0))*C529/100000,""))</f>
        <v>8.2588000000000008</v>
      </c>
      <c r="M529" s="169">
        <f>IF(OR(B529="",C529=""),"",IFERROR(INDEX(Vöruskrá!P:P,MATCH(B529,Vöruskrá!B:B,0))*C529/100000,""))</f>
        <v>8.2588000000000009E-2</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743</v>
      </c>
      <c r="C530" s="174">
        <v>20647</v>
      </c>
      <c r="D530" s="168" t="s">
        <v>745</v>
      </c>
      <c r="E530" s="168"/>
      <c r="F530" s="168"/>
      <c r="G530" s="169">
        <f>IF(OR(B530="",C530=""),"",IFERROR(INDEX(Vöruskrá!J:J,MATCH(B530,Vöruskrá!B:B,0))*C530/100000,""))</f>
        <v>5.7811599999999999</v>
      </c>
      <c r="H530" s="169">
        <f>IF(OR(B530="",C530=""),"",IFERROR(INDEX(Vöruskrá!K:K,MATCH(B530,Vöruskrá!B:B,0))*C530/100000,""))</f>
        <v>2.0647000000000002E-2</v>
      </c>
      <c r="I530" s="169">
        <f>IF(OR(B530="",C530=""),"",IFERROR(INDEX(Vöruskrá!L:L,MATCH(B530,Vöruskrá!B:B,0))*C530/100000,""))</f>
        <v>0</v>
      </c>
      <c r="J530" s="169">
        <f>IF(OR(B530="",C530=""),"",IFERROR(INDEX(Vöruskrá!M:M,MATCH(B530,Vöruskrá!B:B,0))*C530/100000,""))</f>
        <v>1.0323500000000001</v>
      </c>
      <c r="K530" s="169">
        <f>IF(OR(B530="",C530=""),"",IFERROR(INDEX(Vöruskrá!N:N,MATCH(B530,Vöruskrá!B:B,0))*C530/100000,""))</f>
        <v>0.70199800000000001</v>
      </c>
      <c r="L530" s="169">
        <f>IF(OR(B530="",C530=""),"",IFERROR(INDEX(Vöruskrá!O:O,MATCH(B530,Vöruskrá!B:B,0))*C530/100000,""))</f>
        <v>0.30970500000000001</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3"/>
      <c r="Q530" s="158"/>
      <c r="R530" s="6"/>
    </row>
    <row r="531" spans="1:18" ht="15">
      <c r="A531" s="171"/>
      <c r="B531" s="171" t="s">
        <v>1010</v>
      </c>
      <c r="C531" s="172">
        <v>6882</v>
      </c>
      <c r="D531" s="168" t="s">
        <v>1010</v>
      </c>
      <c r="E531" s="168" t="s">
        <v>134</v>
      </c>
      <c r="F531" s="168"/>
      <c r="G531" s="169">
        <f>IF(OR(B531="",C531=""),"",IFERROR(INDEX(Vöruskrá!J:J,MATCH(B531,Vöruskrá!B:B,0))*C531/100000,""))</f>
        <v>2.7528000000000001</v>
      </c>
      <c r="H531" s="169">
        <f>IF(OR(B531="",C531=""),"",IFERROR(INDEX(Vöruskrá!K:K,MATCH(B531,Vöruskrá!B:B,0))*C531/100000,""))</f>
        <v>6.8820000000000001E-3</v>
      </c>
      <c r="I531" s="169">
        <f>IF(OR(B531="",C531=""),"",IFERROR(INDEX(Vöruskrá!L:L,MATCH(B531,Vöruskrá!B:B,0))*C531/100000,""))</f>
        <v>0</v>
      </c>
      <c r="J531" s="169">
        <f>IF(OR(B531="",C531=""),"",IFERROR(INDEX(Vöruskrá!M:M,MATCH(B531,Vöruskrá!B:B,0))*C531/100000,""))</f>
        <v>0.64002600000000009</v>
      </c>
      <c r="K531" s="169">
        <f>IF(OR(B531="",C531=""),"",IFERROR(INDEX(Vöruskrá!N:N,MATCH(B531,Vöruskrá!B:B,0))*C531/100000,""))</f>
        <v>0.28904400000000002</v>
      </c>
      <c r="L531" s="169">
        <f>IF(OR(B531="",C531=""),"",IFERROR(INDEX(Vöruskrá!O:O,MATCH(B531,Vöruskrá!B:B,0))*C531/100000,""))</f>
        <v>7.5702000000000005E-2</v>
      </c>
      <c r="M531" s="169">
        <f>IF(OR(B531="",C531=""),"",IFERROR(INDEX(Vöruskrá!P:P,MATCH(B531,Vöruskrá!B:B,0))*C531/100000,""))</f>
        <v>0</v>
      </c>
      <c r="N531" s="169">
        <f>IF(OR(B531="",C531=""),"",IFERROR(INDEX(Vöruskrá!Q:Q,MATCH(B531,Vöruskrá!B:B,0))*C531/100000,""))</f>
        <v>0.116994</v>
      </c>
      <c r="O531" s="170">
        <f>IF(OR(B531="",C531=""),"",IFERROR(C531/1000*INDEX(Vöruskrá!R:R,MATCH(B531,Vöruskrá!B:B,0))/1000,""))</f>
        <v>0</v>
      </c>
      <c r="P531" s="171"/>
      <c r="Q531" s="157"/>
      <c r="R531" s="27"/>
    </row>
    <row r="532" spans="1:18" ht="15">
      <c r="A532" s="173"/>
      <c r="B532" s="173" t="s">
        <v>1017</v>
      </c>
      <c r="C532" s="174">
        <v>688</v>
      </c>
      <c r="D532" s="168" t="s">
        <v>1017</v>
      </c>
      <c r="E532" s="168" t="s">
        <v>134</v>
      </c>
      <c r="F532" s="168"/>
      <c r="G532" s="169">
        <f>IF(OR(B532="",C532=""),"",IFERROR(INDEX(Vöruskrá!J:J,MATCH(B532,Vöruskrá!B:B,0))*C532/100000,""))</f>
        <v>1.02512</v>
      </c>
      <c r="H532" s="169">
        <f>IF(OR(B532="",C532=""),"",IFERROR(INDEX(Vöruskrá!K:K,MATCH(B532,Vöruskrá!B:B,0))*C532/100000,""))</f>
        <v>3.4399999999999999E-3</v>
      </c>
      <c r="I532" s="169">
        <f>IF(OR(B532="",C532=""),"",IFERROR(INDEX(Vöruskrá!L:L,MATCH(B532,Vöruskrá!B:B,0))*C532/100000,""))</f>
        <v>6.8799999999999992E-4</v>
      </c>
      <c r="J532" s="169">
        <f>IF(OR(B532="",C532=""),"",IFERROR(INDEX(Vöruskrá!M:M,MATCH(B532,Vöruskrá!B:B,0))*C532/100000,""))</f>
        <v>0.22772799999999999</v>
      </c>
      <c r="K532" s="169">
        <f>IF(OR(B532="",C532=""),"",IFERROR(INDEX(Vöruskrá!N:N,MATCH(B532,Vöruskrá!B:B,0))*C532/100000,""))</f>
        <v>6.8799999999999998E-3</v>
      </c>
      <c r="L532" s="169">
        <f>IF(OR(B532="",C532=""),"",IFERROR(INDEX(Vöruskrá!O:O,MATCH(B532,Vöruskrá!B:B,0))*C532/100000,""))</f>
        <v>4.4031999999999995E-2</v>
      </c>
      <c r="M532" s="169">
        <f>IF(OR(B532="",C532=""),"",IFERROR(INDEX(Vöruskrá!P:P,MATCH(B532,Vöruskrá!B:B,0))*C532/100000,""))</f>
        <v>0</v>
      </c>
      <c r="N532" s="169">
        <f>IF(OR(B532="",C532=""),"",IFERROR(INDEX(Vöruskrá!Q:Q,MATCH(B532,Vöruskrá!B:B,0))*C532/100000,""))</f>
        <v>1.4447999999999999E-2</v>
      </c>
      <c r="O532" s="170">
        <f>IF(OR(B532="",C532=""),"",IFERROR(C532/1000*INDEX(Vöruskrá!R:R,MATCH(B532,Vöruskrá!B:B,0))/1000,""))</f>
        <v>0</v>
      </c>
      <c r="P532" s="173"/>
      <c r="Q532" s="158"/>
      <c r="R532" s="6"/>
    </row>
    <row r="533" spans="1:18" ht="15">
      <c r="A533" s="171"/>
      <c r="B533" s="171" t="s">
        <v>504</v>
      </c>
      <c r="C533" s="172">
        <v>2065</v>
      </c>
      <c r="D533" s="168" t="s">
        <v>500</v>
      </c>
      <c r="E533" s="168" t="s">
        <v>134</v>
      </c>
      <c r="F533" s="168"/>
      <c r="G533" s="169">
        <f>IF(OR(B533="",C533=""),"",IFERROR(INDEX(Vöruskrá!J:J,MATCH(B533,Vöruskrá!B:B,0))*C533/100000,""))</f>
        <v>2.33345</v>
      </c>
      <c r="H533" s="169">
        <f>IF(OR(B533="",C533=""),"",IFERROR(INDEX(Vöruskrá!K:K,MATCH(B533,Vöruskrá!B:B,0))*C533/100000,""))</f>
        <v>8.26E-3</v>
      </c>
      <c r="I533" s="169">
        <f>IF(OR(B533="",C533=""),"",IFERROR(INDEX(Vöruskrá!L:L,MATCH(B533,Vöruskrá!B:B,0))*C533/100000,""))</f>
        <v>0</v>
      </c>
      <c r="J533" s="169">
        <f>IF(OR(B533="",C533=""),"",IFERROR(INDEX(Vöruskrá!M:M,MATCH(B533,Vöruskrá!B:B,0))*C533/100000,""))</f>
        <v>0.39234999999999998</v>
      </c>
      <c r="K533" s="169">
        <f>IF(OR(B533="",C533=""),"",IFERROR(INDEX(Vöruskrá!N:N,MATCH(B533,Vöruskrá!B:B,0))*C533/100000,""))</f>
        <v>0.28910000000000002</v>
      </c>
      <c r="L533" s="169">
        <f>IF(OR(B533="",C533=""),"",IFERROR(INDEX(Vöruskrá!O:O,MATCH(B533,Vöruskrá!B:B,0))*C533/100000,""))</f>
        <v>0.1239</v>
      </c>
      <c r="M533" s="169">
        <f>IF(OR(B533="",C533=""),"",IFERROR(INDEX(Vöruskrá!P:P,MATCH(B533,Vöruskrá!B:B,0))*C533/100000,""))</f>
        <v>2.065E-3</v>
      </c>
      <c r="N533" s="169">
        <f>IF(OR(B533="",C533=""),"",IFERROR(INDEX(Vöruskrá!Q:Q,MATCH(B533,Vöruskrá!B:B,0))*C533/100000,""))</f>
        <v>0</v>
      </c>
      <c r="O533" s="170">
        <f>IF(OR(B533="",C533=""),"",IFERROR(C533/1000*INDEX(Vöruskrá!R:R,MATCH(B533,Vöruskrá!B:B,0))/1000,""))</f>
        <v>0</v>
      </c>
      <c r="P533" s="171"/>
      <c r="Q533" s="157"/>
      <c r="R533" s="27"/>
    </row>
    <row r="534" spans="1:18" ht="15">
      <c r="A534" s="173"/>
      <c r="B534" s="173" t="s">
        <v>299</v>
      </c>
      <c r="C534" s="174">
        <v>688</v>
      </c>
      <c r="D534" s="168" t="s">
        <v>302</v>
      </c>
      <c r="E534" s="168" t="s">
        <v>134</v>
      </c>
      <c r="F534" s="168" t="s">
        <v>303</v>
      </c>
      <c r="G534" s="169">
        <f>IF(OR(B534="",C534=""),"",IFERROR(INDEX(Vöruskrá!J:J,MATCH(B534,Vöruskrá!B:B,0))*C534/100000,""))</f>
        <v>0</v>
      </c>
      <c r="H534" s="169">
        <f>IF(OR(B534="",C534=""),"",IFERROR(INDEX(Vöruskrá!K:K,MATCH(B534,Vöruskrá!B:B,0))*C534/100000,""))</f>
        <v>0</v>
      </c>
      <c r="I534" s="169">
        <f>IF(OR(B534="",C534=""),"",IFERROR(INDEX(Vöruskrá!L:L,MATCH(B534,Vöruskrá!B:B,0))*C534/100000,""))</f>
        <v>0</v>
      </c>
      <c r="J534" s="169">
        <f>IF(OR(B534="",C534=""),"",IFERROR(INDEX(Vöruskrá!M:M,MATCH(B534,Vöruskrá!B:B,0))*C534/100000,""))</f>
        <v>0</v>
      </c>
      <c r="K534" s="169">
        <f>IF(OR(B534="",C534=""),"",IFERROR(INDEX(Vöruskrá!N:N,MATCH(B534,Vöruskrá!B:B,0))*C534/100000,""))</f>
        <v>0</v>
      </c>
      <c r="L534" s="169">
        <f>IF(OR(B534="",C534=""),"",IFERROR(INDEX(Vöruskrá!O:O,MATCH(B534,Vöruskrá!B:B,0))*C534/100000,""))</f>
        <v>0</v>
      </c>
      <c r="M534" s="169">
        <f>IF(OR(B534="",C534=""),"",IFERROR(INDEX(Vöruskrá!P:P,MATCH(B534,Vöruskrá!B:B,0))*C534/100000,""))</f>
        <v>0.68799999999999994</v>
      </c>
      <c r="N534" s="169">
        <f>IF(OR(B534="",C534=""),"",IFERROR(INDEX(Vöruskrá!Q:Q,MATCH(B534,Vöruskrá!B:B,0))*C534/100000,""))</f>
        <v>0</v>
      </c>
      <c r="O534" s="170">
        <f>IF(OR(B534="",C534=""),"",IFERROR(C534/1000*INDEX(Vöruskrá!R:R,MATCH(B534,Vöruskrá!B:B,0))/1000,""))</f>
        <v>0</v>
      </c>
      <c r="P534" s="173"/>
      <c r="Q534" s="158"/>
      <c r="R534" s="6"/>
    </row>
    <row r="535" spans="1:18" ht="15">
      <c r="A535" s="171"/>
      <c r="B535" s="171" t="s">
        <v>819</v>
      </c>
      <c r="C535" s="172">
        <v>206</v>
      </c>
      <c r="D535" s="168" t="s">
        <v>820</v>
      </c>
      <c r="E535" s="168"/>
      <c r="F535" s="168" t="s">
        <v>311</v>
      </c>
      <c r="G535" s="169">
        <f>IF(OR(B535="",C535=""),"",IFERROR(INDEX(Vöruskrá!J:J,MATCH(B535,Vöruskrá!B:B,0))*C535/100000,""))</f>
        <v>0.79515999999999998</v>
      </c>
      <c r="H535" s="169">
        <f>IF(OR(B535="",C535=""),"",IFERROR(INDEX(Vöruskrá!K:K,MATCH(B535,Vöruskrá!B:B,0))*C535/100000,""))</f>
        <v>6.7979999999999994E-3</v>
      </c>
      <c r="I535" s="169">
        <f>IF(OR(B535="",C535=""),"",IFERROR(INDEX(Vöruskrá!L:L,MATCH(B535,Vöruskrá!B:B,0))*C535/100000,""))</f>
        <v>2.0600000000000002E-3</v>
      </c>
      <c r="J535" s="169">
        <f>IF(OR(B535="",C535=""),"",IFERROR(INDEX(Vöruskrá!M:M,MATCH(B535,Vöruskrá!B:B,0))*C535/100000,""))</f>
        <v>0.13389999999999999</v>
      </c>
      <c r="K535" s="169">
        <f>IF(OR(B535="",C535=""),"",IFERROR(INDEX(Vöruskrá!N:N,MATCH(B535,Vöruskrá!B:B,0))*C535/100000,""))</f>
        <v>1.2359999999999999E-3</v>
      </c>
      <c r="L535" s="169">
        <f>IF(OR(B535="",C535=""),"",IFERROR(INDEX(Vöruskrá!O:O,MATCH(B535,Vöruskrá!B:B,0))*C535/100000,""))</f>
        <v>2.266E-2</v>
      </c>
      <c r="M535" s="169">
        <f>IF(OR(B535="",C535=""),"",IFERROR(INDEX(Vöruskrá!P:P,MATCH(B535,Vöruskrá!B:B,0))*C535/100000,""))</f>
        <v>2.0600000000000002E-4</v>
      </c>
      <c r="N535" s="169">
        <f>IF(OR(B535="",C535=""),"",IFERROR(INDEX(Vöruskrá!Q:Q,MATCH(B535,Vöruskrá!B:B,0))*C535/100000,""))</f>
        <v>0</v>
      </c>
      <c r="O535" s="170">
        <f>IF(OR(B535="",C535=""),"",IFERROR(C535/1000*INDEX(Vöruskrá!R:R,MATCH(B535,Vöruskrá!B:B,0))/1000,""))</f>
        <v>0</v>
      </c>
      <c r="P535" s="171"/>
      <c r="Q535" s="201"/>
      <c r="R535" s="202"/>
    </row>
    <row r="536" spans="1:18" ht="48">
      <c r="A536" s="147" t="s">
        <v>1807</v>
      </c>
      <c r="B536" s="147"/>
      <c r="C536" s="148"/>
      <c r="D536" s="165" t="s">
        <v>1808</v>
      </c>
      <c r="E536" s="165" t="s">
        <v>1099</v>
      </c>
      <c r="F536" s="165"/>
      <c r="G536" s="166">
        <v>99.21</v>
      </c>
      <c r="H536" s="166">
        <v>5.0599999999999996</v>
      </c>
      <c r="I536" s="166">
        <v>1.4</v>
      </c>
      <c r="J536" s="166">
        <v>3.92</v>
      </c>
      <c r="K536" s="166"/>
      <c r="L536" s="166">
        <v>9.64</v>
      </c>
      <c r="M536" s="166">
        <v>0.76</v>
      </c>
      <c r="N536" s="166">
        <f>IFERROR(SUM(N537:N544)/(SUM($C$537:$C$544)/100000),"")</f>
        <v>0.28749312506874924</v>
      </c>
      <c r="O536" s="167" t="str">
        <f>IF(OR(B536="",C536=""),"",IFERROR(C536/1000*INDEX(Vöruskrá!R:R,MATCH(B536,Vöruskrá!B:B,0))/1000,""))</f>
        <v/>
      </c>
      <c r="P536" s="196" t="s">
        <v>1809</v>
      </c>
      <c r="Q536" s="199" t="s">
        <v>1810</v>
      </c>
      <c r="R536" s="198" t="s">
        <v>1811</v>
      </c>
    </row>
    <row r="537" spans="1:18" ht="15">
      <c r="A537" s="171"/>
      <c r="B537" s="171" t="s">
        <v>542</v>
      </c>
      <c r="C537" s="172">
        <v>44118</v>
      </c>
      <c r="D537" s="168" t="s">
        <v>543</v>
      </c>
      <c r="E537" s="168" t="s">
        <v>134</v>
      </c>
      <c r="F537" s="168"/>
      <c r="G537" s="169">
        <f>IF(OR(B537="",C537=""),"",IFERROR(INDEX(Vöruskrá!J:J,MATCH(B537,Vöruskrá!B:B,0))*C537/100000,""))</f>
        <v>78.971220000000002</v>
      </c>
      <c r="H537" s="169">
        <f>IF(OR(B537="",C537=""),"",IFERROR(INDEX(Vöruskrá!K:K,MATCH(B537,Vöruskrá!B:B,0))*C537/100000,""))</f>
        <v>4.8529799999999996</v>
      </c>
      <c r="I537" s="169">
        <f>IF(OR(B537="",C537=""),"",IFERROR(INDEX(Vöruskrá!L:L,MATCH(B537,Vöruskrá!B:B,0))*C537/100000,""))</f>
        <v>1.3676580000000003</v>
      </c>
      <c r="J537" s="169">
        <f>IF(OR(B537="",C537=""),"",IFERROR(INDEX(Vöruskrá!M:M,MATCH(B537,Vöruskrá!B:B,0))*C537/100000,""))</f>
        <v>0</v>
      </c>
      <c r="K537" s="169">
        <f>IF(OR(B537="",C537=""),"",IFERROR(INDEX(Vöruskrá!N:N,MATCH(B537,Vöruskrá!B:B,0))*C537/100000,""))</f>
        <v>0</v>
      </c>
      <c r="L537" s="169">
        <f>IF(OR(B537="",C537=""),"",IFERROR(INDEX(Vöruskrá!O:O,MATCH(B537,Vöruskrá!B:B,0))*C537/100000,""))</f>
        <v>8.8236000000000008</v>
      </c>
      <c r="M537" s="169">
        <f>IF(OR(B537="",C537=""),"",IFERROR(INDEX(Vöruskrá!P:P,MATCH(B537,Vöruskrá!B:B,0))*C537/100000,""))</f>
        <v>8.8236000000000009E-2</v>
      </c>
      <c r="N537" s="169">
        <f>IF(OR(B537="",C537=""),"",IFERROR(INDEX(Vöruskrá!Q:Q,MATCH(B537,Vöruskrá!B:B,0))*C537/100000,""))</f>
        <v>0</v>
      </c>
      <c r="O537" s="170">
        <f>IF(OR(B537="",C537=""),"",IFERROR(C537/1000*INDEX(Vöruskrá!R:R,MATCH(B537,Vöruskrá!B:B,0))/1000,""))</f>
        <v>0</v>
      </c>
      <c r="P537" s="171"/>
      <c r="Q537" s="203"/>
      <c r="R537" s="204"/>
    </row>
    <row r="538" spans="1:18" ht="15">
      <c r="A538" s="173"/>
      <c r="B538" s="173" t="s">
        <v>1478</v>
      </c>
      <c r="C538" s="174">
        <v>22059</v>
      </c>
      <c r="D538" s="168"/>
      <c r="E538" s="168"/>
      <c r="F538" s="168"/>
      <c r="G538" s="169">
        <f>IF(OR(B538="",C538=""),"",IFERROR(INDEX(Vöruskrá!J:J,MATCH(B538,Vöruskrá!B:B,0))*C538/100000,""))</f>
        <v>0</v>
      </c>
      <c r="H538" s="169">
        <f>IF(OR(B538="",C538=""),"",IFERROR(INDEX(Vöruskrá!K:K,MATCH(B538,Vöruskrá!B:B,0))*C538/100000,""))</f>
        <v>0</v>
      </c>
      <c r="I538" s="169">
        <f>IF(OR(B538="",C538=""),"",IFERROR(INDEX(Vöruskrá!L:L,MATCH(B538,Vöruskrá!B:B,0))*C538/100000,""))</f>
        <v>0</v>
      </c>
      <c r="J538" s="169">
        <f>IF(OR(B538="",C538=""),"",IFERROR(INDEX(Vöruskrá!M:M,MATCH(B538,Vöruskrá!B:B,0))*C538/100000,""))</f>
        <v>0</v>
      </c>
      <c r="K538" s="169">
        <f>IF(OR(B538="",C538=""),"",IFERROR(INDEX(Vöruskrá!N:N,MATCH(B538,Vöruskrá!B:B,0))*C538/100000,""))</f>
        <v>0</v>
      </c>
      <c r="L538" s="169">
        <f>IF(OR(B538="",C538=""),"",IFERROR(INDEX(Vöruskrá!O:O,MATCH(B538,Vöruskrá!B:B,0))*C538/100000,""))</f>
        <v>0</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3"/>
      <c r="Q538" s="158"/>
      <c r="R538" s="6"/>
    </row>
    <row r="539" spans="1:18" ht="15">
      <c r="A539" s="171"/>
      <c r="B539" s="171" t="s">
        <v>743</v>
      </c>
      <c r="C539" s="172">
        <v>14706</v>
      </c>
      <c r="D539" s="168" t="s">
        <v>745</v>
      </c>
      <c r="E539" s="168"/>
      <c r="F539" s="168"/>
      <c r="G539" s="169">
        <f>IF(OR(B539="",C539=""),"",IFERROR(INDEX(Vöruskrá!J:J,MATCH(B539,Vöruskrá!B:B,0))*C539/100000,""))</f>
        <v>4.11768</v>
      </c>
      <c r="H539" s="169">
        <f>IF(OR(B539="",C539=""),"",IFERROR(INDEX(Vöruskrá!K:K,MATCH(B539,Vöruskrá!B:B,0))*C539/100000,""))</f>
        <v>1.4706000000000002E-2</v>
      </c>
      <c r="I539" s="169">
        <f>IF(OR(B539="",C539=""),"",IFERROR(INDEX(Vöruskrá!L:L,MATCH(B539,Vöruskrá!B:B,0))*C539/100000,""))</f>
        <v>0</v>
      </c>
      <c r="J539" s="169">
        <f>IF(OR(B539="",C539=""),"",IFERROR(INDEX(Vöruskrá!M:M,MATCH(B539,Vöruskrá!B:B,0))*C539/100000,""))</f>
        <v>0.73529999999999995</v>
      </c>
      <c r="K539" s="169">
        <f>IF(OR(B539="",C539=""),"",IFERROR(INDEX(Vöruskrá!N:N,MATCH(B539,Vöruskrá!B:B,0))*C539/100000,""))</f>
        <v>0.500004</v>
      </c>
      <c r="L539" s="169">
        <f>IF(OR(B539="",C539=""),"",IFERROR(INDEX(Vöruskrá!O:O,MATCH(B539,Vöruskrá!B:B,0))*C539/100000,""))</f>
        <v>0.22059000000000001</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1"/>
      <c r="Q539" s="157"/>
      <c r="R539" s="27"/>
    </row>
    <row r="540" spans="1:18" ht="15">
      <c r="A540" s="173"/>
      <c r="B540" s="173" t="s">
        <v>489</v>
      </c>
      <c r="C540" s="174">
        <v>1471</v>
      </c>
      <c r="D540" s="168" t="s">
        <v>490</v>
      </c>
      <c r="E540" s="168" t="s">
        <v>134</v>
      </c>
      <c r="F540" s="168" t="s">
        <v>311</v>
      </c>
      <c r="G540" s="169">
        <f>IF(OR(B540="",C540=""),"",IFERROR(INDEX(Vöruskrá!J:J,MATCH(B540,Vöruskrá!B:B,0))*C540/100000,""))</f>
        <v>3.2656200000000002</v>
      </c>
      <c r="H540" s="169">
        <f>IF(OR(B540="",C540=""),"",IFERROR(INDEX(Vöruskrá!K:K,MATCH(B540,Vöruskrá!B:B,0))*C540/100000,""))</f>
        <v>8.8260000000000005E-2</v>
      </c>
      <c r="I540" s="169">
        <f>IF(OR(B540="",C540=""),"",IFERROR(INDEX(Vöruskrá!L:L,MATCH(B540,Vöruskrá!B:B,0))*C540/100000,""))</f>
        <v>1.3239000000000001E-2</v>
      </c>
      <c r="J540" s="169">
        <f>IF(OR(B540="",C540=""),"",IFERROR(INDEX(Vöruskrá!M:M,MATCH(B540,Vöruskrá!B:B,0))*C540/100000,""))</f>
        <v>0.44130000000000003</v>
      </c>
      <c r="K540" s="169">
        <f>IF(OR(B540="",C540=""),"",IFERROR(INDEX(Vöruskrá!N:N,MATCH(B540,Vöruskrá!B:B,0))*C540/100000,""))</f>
        <v>6.766599999999999E-2</v>
      </c>
      <c r="L540" s="169">
        <f>IF(OR(B540="",C540=""),"",IFERROR(INDEX(Vöruskrá!O:O,MATCH(B540,Vöruskrá!B:B,0))*C540/100000,""))</f>
        <v>0.10444100000000001</v>
      </c>
      <c r="M540" s="169">
        <f>IF(OR(B540="",C540=""),"",IFERROR(INDEX(Vöruskrá!P:P,MATCH(B540,Vöruskrá!B:B,0))*C540/100000,""))</f>
        <v>0.66195000000000004</v>
      </c>
      <c r="N540" s="169">
        <f>IF(OR(B540="",C540=""),"",IFERROR(INDEX(Vöruskrá!Q:Q,MATCH(B540,Vöruskrá!B:B,0))*C540/100000,""))</f>
        <v>0</v>
      </c>
      <c r="O540" s="170">
        <f>IF(OR(B540="",C540=""),"",IFERROR(C540/1000*INDEX(Vöruskrá!R:R,MATCH(B540,Vöruskrá!B:B,0))/1000,""))</f>
        <v>0</v>
      </c>
      <c r="P540" s="173"/>
      <c r="Q540" s="158"/>
      <c r="R540" s="6"/>
    </row>
    <row r="541" spans="1:18" ht="15">
      <c r="A541" s="171"/>
      <c r="B541" s="171" t="s">
        <v>1010</v>
      </c>
      <c r="C541" s="172">
        <v>7353</v>
      </c>
      <c r="D541" s="168" t="s">
        <v>1010</v>
      </c>
      <c r="E541" s="168" t="s">
        <v>134</v>
      </c>
      <c r="F541" s="168"/>
      <c r="G541" s="169">
        <f>IF(OR(B541="",C541=""),"",IFERROR(INDEX(Vöruskrá!J:J,MATCH(B541,Vöruskrá!B:B,0))*C541/100000,""))</f>
        <v>2.9411999999999998</v>
      </c>
      <c r="H541" s="169">
        <f>IF(OR(B541="",C541=""),"",IFERROR(INDEX(Vöruskrá!K:K,MATCH(B541,Vöruskrá!B:B,0))*C541/100000,""))</f>
        <v>7.353000000000001E-3</v>
      </c>
      <c r="I541" s="169">
        <f>IF(OR(B541="",C541=""),"",IFERROR(INDEX(Vöruskrá!L:L,MATCH(B541,Vöruskrá!B:B,0))*C541/100000,""))</f>
        <v>0</v>
      </c>
      <c r="J541" s="169">
        <f>IF(OR(B541="",C541=""),"",IFERROR(INDEX(Vöruskrá!M:M,MATCH(B541,Vöruskrá!B:B,0))*C541/100000,""))</f>
        <v>0.68382900000000013</v>
      </c>
      <c r="K541" s="169">
        <f>IF(OR(B541="",C541=""),"",IFERROR(INDEX(Vöruskrá!N:N,MATCH(B541,Vöruskrá!B:B,0))*C541/100000,""))</f>
        <v>0.30882600000000004</v>
      </c>
      <c r="L541" s="169">
        <f>IF(OR(B541="",C541=""),"",IFERROR(INDEX(Vöruskrá!O:O,MATCH(B541,Vöruskrá!B:B,0))*C541/100000,""))</f>
        <v>8.088300000000001E-2</v>
      </c>
      <c r="M541" s="169">
        <f>IF(OR(B541="",C541=""),"",IFERROR(INDEX(Vöruskrá!P:P,MATCH(B541,Vöruskrá!B:B,0))*C541/100000,""))</f>
        <v>0</v>
      </c>
      <c r="N541" s="169">
        <f>IF(OR(B541="",C541=""),"",IFERROR(INDEX(Vöruskrá!Q:Q,MATCH(B541,Vöruskrá!B:B,0))*C541/100000,""))</f>
        <v>0.125001</v>
      </c>
      <c r="O541" s="170">
        <f>IF(OR(B541="",C541=""),"",IFERROR(C541/1000*INDEX(Vöruskrá!R:R,MATCH(B541,Vöruskrá!B:B,0))/1000,""))</f>
        <v>0</v>
      </c>
      <c r="P541" s="171"/>
      <c r="Q541" s="157"/>
      <c r="R541" s="27"/>
    </row>
    <row r="542" spans="1:18" ht="15">
      <c r="A542" s="173"/>
      <c r="B542" s="173" t="s">
        <v>1017</v>
      </c>
      <c r="C542" s="174">
        <v>735</v>
      </c>
      <c r="D542" s="168" t="s">
        <v>1017</v>
      </c>
      <c r="E542" s="168" t="s">
        <v>134</v>
      </c>
      <c r="F542" s="168"/>
      <c r="G542" s="169">
        <f>IF(OR(B542="",C542=""),"",IFERROR(INDEX(Vöruskrá!J:J,MATCH(B542,Vöruskrá!B:B,0))*C542/100000,""))</f>
        <v>1.0951500000000001</v>
      </c>
      <c r="H542" s="169">
        <f>IF(OR(B542="",C542=""),"",IFERROR(INDEX(Vöruskrá!K:K,MATCH(B542,Vöruskrá!B:B,0))*C542/100000,""))</f>
        <v>3.6749999999999999E-3</v>
      </c>
      <c r="I542" s="169">
        <f>IF(OR(B542="",C542=""),"",IFERROR(INDEX(Vöruskrá!L:L,MATCH(B542,Vöruskrá!B:B,0))*C542/100000,""))</f>
        <v>7.3499999999999998E-4</v>
      </c>
      <c r="J542" s="169">
        <f>IF(OR(B542="",C542=""),"",IFERROR(INDEX(Vöruskrá!M:M,MATCH(B542,Vöruskrá!B:B,0))*C542/100000,""))</f>
        <v>0.243285</v>
      </c>
      <c r="K542" s="169">
        <f>IF(OR(B542="",C542=""),"",IFERROR(INDEX(Vöruskrá!N:N,MATCH(B542,Vöruskrá!B:B,0))*C542/100000,""))</f>
        <v>7.3499999999999998E-3</v>
      </c>
      <c r="L542" s="169">
        <f>IF(OR(B542="",C542=""),"",IFERROR(INDEX(Vöruskrá!O:O,MATCH(B542,Vöruskrá!B:B,0))*C542/100000,""))</f>
        <v>4.7039999999999998E-2</v>
      </c>
      <c r="M542" s="169">
        <f>IF(OR(B542="",C542=""),"",IFERROR(INDEX(Vöruskrá!P:P,MATCH(B542,Vöruskrá!B:B,0))*C542/100000,""))</f>
        <v>0</v>
      </c>
      <c r="N542" s="169">
        <f>IF(OR(B542="",C542=""),"",IFERROR(INDEX(Vöruskrá!Q:Q,MATCH(B542,Vöruskrá!B:B,0))*C542/100000,""))</f>
        <v>1.5435000000000001E-2</v>
      </c>
      <c r="O542" s="170">
        <f>IF(OR(B542="",C542=""),"",IFERROR(C542/1000*INDEX(Vöruskrá!R:R,MATCH(B542,Vöruskrá!B:B,0))/1000,""))</f>
        <v>0</v>
      </c>
      <c r="P542" s="173"/>
      <c r="Q542" s="158"/>
      <c r="R542" s="6"/>
    </row>
    <row r="543" spans="1:18" ht="15">
      <c r="A543" s="171"/>
      <c r="B543" s="171" t="s">
        <v>504</v>
      </c>
      <c r="C543" s="172">
        <v>2206</v>
      </c>
      <c r="D543" s="168" t="s">
        <v>500</v>
      </c>
      <c r="E543" s="168" t="s">
        <v>134</v>
      </c>
      <c r="F543" s="168"/>
      <c r="G543" s="169">
        <f>IF(OR(B543="",C543=""),"",IFERROR(INDEX(Vöruskrá!J:J,MATCH(B543,Vöruskrá!B:B,0))*C543/100000,""))</f>
        <v>2.4927800000000002</v>
      </c>
      <c r="H543" s="169">
        <f>IF(OR(B543="",C543=""),"",IFERROR(INDEX(Vöruskrá!K:K,MATCH(B543,Vöruskrá!B:B,0))*C543/100000,""))</f>
        <v>8.8240000000000002E-3</v>
      </c>
      <c r="I543" s="169">
        <f>IF(OR(B543="",C543=""),"",IFERROR(INDEX(Vöruskrá!L:L,MATCH(B543,Vöruskrá!B:B,0))*C543/100000,""))</f>
        <v>0</v>
      </c>
      <c r="J543" s="169">
        <f>IF(OR(B543="",C543=""),"",IFERROR(INDEX(Vöruskrá!M:M,MATCH(B543,Vöruskrá!B:B,0))*C543/100000,""))</f>
        <v>0.41914000000000001</v>
      </c>
      <c r="K543" s="169">
        <f>IF(OR(B543="",C543=""),"",IFERROR(INDEX(Vöruskrá!N:N,MATCH(B543,Vöruskrá!B:B,0))*C543/100000,""))</f>
        <v>0.30884</v>
      </c>
      <c r="L543" s="169">
        <f>IF(OR(B543="",C543=""),"",IFERROR(INDEX(Vöruskrá!O:O,MATCH(B543,Vöruskrá!B:B,0))*C543/100000,""))</f>
        <v>0.13236000000000001</v>
      </c>
      <c r="M543" s="169">
        <f>IF(OR(B543="",C543=""),"",IFERROR(INDEX(Vöruskrá!P:P,MATCH(B543,Vöruskrá!B:B,0))*C543/100000,""))</f>
        <v>2.2060000000000001E-3</v>
      </c>
      <c r="N543" s="169">
        <f>IF(OR(B543="",C543=""),"",IFERROR(INDEX(Vöruskrá!Q:Q,MATCH(B543,Vöruskrá!B:B,0))*C543/100000,""))</f>
        <v>0</v>
      </c>
      <c r="O543" s="170">
        <f>IF(OR(B543="",C543=""),"",IFERROR(C543/1000*INDEX(Vöruskrá!R:R,MATCH(B543,Vöruskrá!B:B,0))/1000,""))</f>
        <v>0</v>
      </c>
      <c r="P543" s="171"/>
      <c r="Q543" s="157"/>
      <c r="R543" s="27"/>
    </row>
    <row r="544" spans="1:18" ht="15">
      <c r="A544" s="173"/>
      <c r="B544" s="173" t="s">
        <v>1097</v>
      </c>
      <c r="C544" s="174">
        <v>7353</v>
      </c>
      <c r="D544" s="168" t="s">
        <v>1098</v>
      </c>
      <c r="E544" s="168" t="s">
        <v>1099</v>
      </c>
      <c r="F544" s="168" t="s">
        <v>1100</v>
      </c>
      <c r="G544" s="169">
        <f>IF(OR(B544="",C544=""),"",IFERROR(INDEX(Vöruskrá!J:J,MATCH(B544,Vöruskrá!B:B,0))*C544/100000,""))</f>
        <v>6.3235799999999998</v>
      </c>
      <c r="H544" s="169">
        <f>IF(OR(B544="",C544=""),"",IFERROR(INDEX(Vöruskrá!K:K,MATCH(B544,Vöruskrá!B:B,0))*C544/100000,""))</f>
        <v>8.8236000000000009E-2</v>
      </c>
      <c r="I544" s="169">
        <f>IF(OR(B544="",C544=""),"",IFERROR(INDEX(Vöruskrá!L:L,MATCH(B544,Vöruskrá!B:B,0))*C544/100000,""))</f>
        <v>1.4706000000000002E-2</v>
      </c>
      <c r="J544" s="169">
        <f>IF(OR(B544="",C544=""),"",IFERROR(INDEX(Vöruskrá!M:M,MATCH(B544,Vöruskrá!B:B,0))*C544/100000,""))</f>
        <v>1.39707</v>
      </c>
      <c r="K544" s="169">
        <f>IF(OR(B544="",C544=""),"",IFERROR(INDEX(Vöruskrá!N:N,MATCH(B544,Vöruskrá!B:B,0))*C544/100000,""))</f>
        <v>0.23529600000000003</v>
      </c>
      <c r="L544" s="169">
        <f>IF(OR(B544="",C544=""),"",IFERROR(INDEX(Vöruskrá!O:O,MATCH(B544,Vöruskrá!B:B,0))*C544/100000,""))</f>
        <v>0.23529600000000003</v>
      </c>
      <c r="M544" s="169">
        <f>IF(OR(B544="",C544=""),"",IFERROR(INDEX(Vöruskrá!P:P,MATCH(B544,Vöruskrá!B:B,0))*C544/100000,""))</f>
        <v>7.353000000000001E-3</v>
      </c>
      <c r="N544" s="169">
        <f>IF(OR(B544="",C544=""),"",IFERROR(INDEX(Vöruskrá!Q:Q,MATCH(B544,Vöruskrá!B:B,0))*C544/100000,""))</f>
        <v>0.14706</v>
      </c>
      <c r="O544" s="170">
        <f>IF(OR(B544="",C544=""),"",IFERROR(C544/1000*INDEX(Vöruskrá!R:R,MATCH(B544,Vöruskrá!B:B,0))/1000,""))</f>
        <v>0</v>
      </c>
      <c r="P544" s="173"/>
      <c r="Q544" s="200"/>
      <c r="R544" s="159"/>
    </row>
    <row r="545" spans="1:18" ht="48">
      <c r="A545" s="147" t="s">
        <v>1812</v>
      </c>
      <c r="B545" s="147"/>
      <c r="C545" s="148"/>
      <c r="D545" s="165" t="s">
        <v>1813</v>
      </c>
      <c r="E545" s="165" t="s">
        <v>1099</v>
      </c>
      <c r="F545" s="165"/>
      <c r="G545" s="166">
        <v>127.95</v>
      </c>
      <c r="H545" s="166">
        <v>8.08</v>
      </c>
      <c r="I545" s="166">
        <v>1.95</v>
      </c>
      <c r="J545" s="166">
        <v>2.67</v>
      </c>
      <c r="K545" s="166"/>
      <c r="L545" s="166">
        <v>12.11</v>
      </c>
      <c r="M545" s="166">
        <v>1.21</v>
      </c>
      <c r="N545" s="166">
        <f>IFERROR(SUM(N546:N553)/(SUM($C$546:$C$553)/100000),"")</f>
        <v>0.296377</v>
      </c>
      <c r="O545" s="167" t="str">
        <f>IF(OR(B545="",C545=""),"",IFERROR(C545/1000*INDEX(Vöruskrá!R:R,MATCH(B545,Vöruskrá!B:B,0))/1000,""))</f>
        <v/>
      </c>
      <c r="P545" s="196" t="s">
        <v>1814</v>
      </c>
      <c r="Q545" s="195" t="s">
        <v>1815</v>
      </c>
      <c r="R545" s="194" t="s">
        <v>1816</v>
      </c>
    </row>
    <row r="546" spans="1:18" ht="15">
      <c r="A546" s="171"/>
      <c r="B546" s="171" t="s">
        <v>1111</v>
      </c>
      <c r="C546" s="172">
        <v>59128</v>
      </c>
      <c r="D546" s="168" t="s">
        <v>1112</v>
      </c>
      <c r="E546" s="168" t="s">
        <v>1099</v>
      </c>
      <c r="F546" s="168" t="s">
        <v>1113</v>
      </c>
      <c r="G546" s="169">
        <f>IF(OR(B546="",C546=""),"",IFERROR(INDEX(Vöruskrá!J:J,MATCH(B546,Vöruskrá!B:B,0))*C546/100000,""))</f>
        <v>105.83911999999999</v>
      </c>
      <c r="H546" s="169">
        <f>IF(OR(B546="",C546=""),"",IFERROR(INDEX(Vöruskrá!K:K,MATCH(B546,Vöruskrá!B:B,0))*C546/100000,""))</f>
        <v>6.5040800000000001</v>
      </c>
      <c r="I546" s="169">
        <f>IF(OR(B546="",C546=""),"",IFERROR(INDEX(Vöruskrá!L:L,MATCH(B546,Vöruskrá!B:B,0))*C546/100000,""))</f>
        <v>1.8329680000000002</v>
      </c>
      <c r="J546" s="169">
        <f>IF(OR(B546="",C546=""),"",IFERROR(INDEX(Vöruskrá!M:M,MATCH(B546,Vöruskrá!B:B,0))*C546/100000,""))</f>
        <v>0</v>
      </c>
      <c r="K546" s="169">
        <f>IF(OR(B546="",C546=""),"",IFERROR(INDEX(Vöruskrá!N:N,MATCH(B546,Vöruskrá!B:B,0))*C546/100000,""))</f>
        <v>0</v>
      </c>
      <c r="L546" s="169">
        <f>IF(OR(B546="",C546=""),"",IFERROR(INDEX(Vöruskrá!O:O,MATCH(B546,Vöruskrá!B:B,0))*C546/100000,""))</f>
        <v>11.8256</v>
      </c>
      <c r="M546" s="169">
        <f>IF(OR(B546="",C546=""),"",IFERROR(INDEX(Vöruskrá!P:P,MATCH(B546,Vöruskrá!B:B,0))*C546/100000,""))</f>
        <v>0.118256</v>
      </c>
      <c r="N546" s="169">
        <f>IF(OR(B546="",C546=""),"",IFERROR(INDEX(Vöruskrá!Q:Q,MATCH(B546,Vöruskrá!B:B,0))*C546/100000,""))</f>
        <v>0</v>
      </c>
      <c r="O546" s="170">
        <f>IF(OR(B546="",C546=""),"",IFERROR(C546/1000*INDEX(Vöruskrá!R:R,MATCH(B546,Vöruskrá!B:B,0))/1000,""))</f>
        <v>0</v>
      </c>
      <c r="P546" s="171"/>
      <c r="Q546" s="197"/>
      <c r="R546" s="164"/>
    </row>
    <row r="547" spans="1:18">
      <c r="A547" s="173"/>
      <c r="B547" s="173" t="s">
        <v>1734</v>
      </c>
      <c r="C547" s="174">
        <v>22173</v>
      </c>
      <c r="D547" s="168"/>
      <c r="E547" s="168"/>
      <c r="F547" s="168"/>
      <c r="G547" s="169" t="str">
        <f>IF(OR(B547="",C547=""),"",IFERROR(INDEX(Vöruskrá!J:J,MATCH(B547,Vöruskrá!B:B,0))*C547/100000,""))</f>
        <v/>
      </c>
      <c r="H547" s="169" t="str">
        <f>IF(OR(B547="",C547=""),"",IFERROR(INDEX(Vöruskrá!K:K,MATCH(B547,Vöruskrá!B:B,0))*C547/100000,""))</f>
        <v/>
      </c>
      <c r="I547" s="169" t="str">
        <f>IF(OR(B547="",C547=""),"",IFERROR(INDEX(Vöruskrá!L:L,MATCH(B547,Vöruskrá!B:B,0))*C547/100000,""))</f>
        <v/>
      </c>
      <c r="J547" s="169" t="str">
        <f>IF(OR(B547="",C547=""),"",IFERROR(INDEX(Vöruskrá!M:M,MATCH(B547,Vöruskrá!B:B,0))*C547/100000,""))</f>
        <v/>
      </c>
      <c r="K547" s="169" t="str">
        <f>IF(OR(B547="",C547=""),"",IFERROR(INDEX(Vöruskrá!N:N,MATCH(B547,Vöruskrá!B:B,0))*C547/100000,""))</f>
        <v/>
      </c>
      <c r="L547" s="169" t="str">
        <f>IF(OR(B547="",C547=""),"",IFERROR(INDEX(Vöruskrá!O:O,MATCH(B547,Vöruskrá!B:B,0))*C547/100000,""))</f>
        <v/>
      </c>
      <c r="M547" s="169" t="str">
        <f>IF(OR(B547="",C547=""),"",IFERROR(INDEX(Vöruskrá!P:P,MATCH(B547,Vöruskrá!B:B,0))*C547/100000,""))</f>
        <v/>
      </c>
      <c r="N547" s="169" t="str">
        <f>IF(OR(B547="",C547=""),"",IFERROR(INDEX(Vöruskrá!Q:Q,MATCH(B547,Vöruskrá!B:B,0))*C547/100000,""))</f>
        <v/>
      </c>
      <c r="O547" s="170" t="str">
        <f>IF(OR(B547="",C547=""),"",IFERROR(C547/1000*INDEX(Vöruskrá!R:R,MATCH(B547,Vöruskrá!B:B,0))/1000,""))</f>
        <v/>
      </c>
      <c r="P547" s="173"/>
      <c r="Q547" s="157"/>
      <c r="R547" s="27"/>
    </row>
    <row r="548" spans="1:18" ht="15">
      <c r="A548" s="171"/>
      <c r="B548" s="171" t="s">
        <v>1010</v>
      </c>
      <c r="C548" s="172">
        <v>7391</v>
      </c>
      <c r="D548" s="168" t="s">
        <v>1010</v>
      </c>
      <c r="E548" s="168" t="s">
        <v>134</v>
      </c>
      <c r="F548" s="168"/>
      <c r="G548" s="169">
        <f>IF(OR(B548="",C548=""),"",IFERROR(INDEX(Vöruskrá!J:J,MATCH(B548,Vöruskrá!B:B,0))*C548/100000,""))</f>
        <v>2.9563999999999999</v>
      </c>
      <c r="H548" s="169">
        <f>IF(OR(B548="",C548=""),"",IFERROR(INDEX(Vöruskrá!K:K,MATCH(B548,Vöruskrá!B:B,0))*C548/100000,""))</f>
        <v>7.391E-3</v>
      </c>
      <c r="I548" s="169">
        <f>IF(OR(B548="",C548=""),"",IFERROR(INDEX(Vöruskrá!L:L,MATCH(B548,Vöruskrá!B:B,0))*C548/100000,""))</f>
        <v>0</v>
      </c>
      <c r="J548" s="169">
        <f>IF(OR(B548="",C548=""),"",IFERROR(INDEX(Vöruskrá!M:M,MATCH(B548,Vöruskrá!B:B,0))*C548/100000,""))</f>
        <v>0.68736300000000006</v>
      </c>
      <c r="K548" s="169">
        <f>IF(OR(B548="",C548=""),"",IFERROR(INDEX(Vöruskrá!N:N,MATCH(B548,Vöruskrá!B:B,0))*C548/100000,""))</f>
        <v>0.31042200000000003</v>
      </c>
      <c r="L548" s="169">
        <f>IF(OR(B548="",C548=""),"",IFERROR(INDEX(Vöruskrá!O:O,MATCH(B548,Vöruskrá!B:B,0))*C548/100000,""))</f>
        <v>8.1300999999999998E-2</v>
      </c>
      <c r="M548" s="169">
        <f>IF(OR(B548="",C548=""),"",IFERROR(INDEX(Vöruskrá!P:P,MATCH(B548,Vöruskrá!B:B,0))*C548/100000,""))</f>
        <v>0</v>
      </c>
      <c r="N548" s="169">
        <f>IF(OR(B548="",C548=""),"",IFERROR(INDEX(Vöruskrá!Q:Q,MATCH(B548,Vöruskrá!B:B,0))*C548/100000,""))</f>
        <v>0.12564699999999998</v>
      </c>
      <c r="O548" s="170">
        <f>IF(OR(B548="",C548=""),"",IFERROR(C548/1000*INDEX(Vöruskrá!R:R,MATCH(B548,Vöruskrá!B:B,0))/1000,""))</f>
        <v>0</v>
      </c>
      <c r="P548" s="171"/>
      <c r="Q548" s="158"/>
      <c r="R548" s="6"/>
    </row>
    <row r="549" spans="1:18" ht="15">
      <c r="A549" s="173"/>
      <c r="B549" s="173" t="s">
        <v>1116</v>
      </c>
      <c r="C549" s="174">
        <v>7391</v>
      </c>
      <c r="D549" s="168" t="s">
        <v>1117</v>
      </c>
      <c r="E549" s="168" t="s">
        <v>1099</v>
      </c>
      <c r="F549" s="168"/>
      <c r="G549" s="169">
        <f>IF(OR(B549="",C549=""),"",IFERROR(INDEX(Vöruskrá!J:J,MATCH(B549,Vöruskrá!B:B,0))*C549/100000,""))</f>
        <v>2.29121</v>
      </c>
      <c r="H549" s="169">
        <f>IF(OR(B549="",C549=""),"",IFERROR(INDEX(Vöruskrá!K:K,MATCH(B549,Vöruskrá!B:B,0))*C549/100000,""))</f>
        <v>2.2172999999999998E-2</v>
      </c>
      <c r="I549" s="169">
        <f>IF(OR(B549="",C549=""),"",IFERROR(INDEX(Vöruskrá!L:L,MATCH(B549,Vöruskrá!B:B,0))*C549/100000,""))</f>
        <v>0</v>
      </c>
      <c r="J549" s="169">
        <f>IF(OR(B549="",C549=""),"",IFERROR(INDEX(Vöruskrá!M:M,MATCH(B549,Vöruskrá!B:B,0))*C549/100000,""))</f>
        <v>0.44346000000000002</v>
      </c>
      <c r="K549" s="169">
        <f>IF(OR(B549="",C549=""),"",IFERROR(INDEX(Vöruskrá!N:N,MATCH(B549,Vöruskrá!B:B,0))*C549/100000,""))</f>
        <v>0.31042200000000003</v>
      </c>
      <c r="L549" s="169">
        <f>IF(OR(B549="",C549=""),"",IFERROR(INDEX(Vöruskrá!O:O,MATCH(B549,Vöruskrá!B:B,0))*C549/100000,""))</f>
        <v>7.3910000000000003E-2</v>
      </c>
      <c r="M549" s="169">
        <f>IF(OR(B549="",C549=""),"",IFERROR(INDEX(Vöruskrá!P:P,MATCH(B549,Vöruskrá!B:B,0))*C549/100000,""))</f>
        <v>0</v>
      </c>
      <c r="N549" s="169">
        <f>IF(OR(B549="",C549=""),"",IFERROR(INDEX(Vöruskrá!Q:Q,MATCH(B549,Vöruskrá!B:B,0))*C549/100000,""))</f>
        <v>0.15521100000000002</v>
      </c>
      <c r="O549" s="170">
        <f>IF(OR(B549="",C549=""),"",IFERROR(C549/1000*INDEX(Vöruskrá!R:R,MATCH(B549,Vöruskrá!B:B,0))/1000,""))</f>
        <v>0</v>
      </c>
      <c r="P549" s="173"/>
      <c r="Q549" s="157"/>
      <c r="R549" s="27"/>
    </row>
    <row r="550" spans="1:18" ht="15">
      <c r="A550" s="171"/>
      <c r="B550" s="171" t="s">
        <v>1017</v>
      </c>
      <c r="C550" s="172">
        <v>739</v>
      </c>
      <c r="D550" s="168" t="s">
        <v>1017</v>
      </c>
      <c r="E550" s="168" t="s">
        <v>134</v>
      </c>
      <c r="F550" s="168"/>
      <c r="G550" s="169">
        <f>IF(OR(B550="",C550=""),"",IFERROR(INDEX(Vöruskrá!J:J,MATCH(B550,Vöruskrá!B:B,0))*C550/100000,""))</f>
        <v>1.10111</v>
      </c>
      <c r="H550" s="169">
        <f>IF(OR(B550="",C550=""),"",IFERROR(INDEX(Vöruskrá!K:K,MATCH(B550,Vöruskrá!B:B,0))*C550/100000,""))</f>
        <v>3.6949999999999999E-3</v>
      </c>
      <c r="I550" s="169">
        <f>IF(OR(B550="",C550=""),"",IFERROR(INDEX(Vöruskrá!L:L,MATCH(B550,Vöruskrá!B:B,0))*C550/100000,""))</f>
        <v>7.3900000000000007E-4</v>
      </c>
      <c r="J550" s="169">
        <f>IF(OR(B550="",C550=""),"",IFERROR(INDEX(Vöruskrá!M:M,MATCH(B550,Vöruskrá!B:B,0))*C550/100000,""))</f>
        <v>0.24460900000000002</v>
      </c>
      <c r="K550" s="169">
        <f>IF(OR(B550="",C550=""),"",IFERROR(INDEX(Vöruskrá!N:N,MATCH(B550,Vöruskrá!B:B,0))*C550/100000,""))</f>
        <v>7.3899999999999999E-3</v>
      </c>
      <c r="L550" s="169">
        <f>IF(OR(B550="",C550=""),"",IFERROR(INDEX(Vöruskrá!O:O,MATCH(B550,Vöruskrá!B:B,0))*C550/100000,""))</f>
        <v>4.7296000000000005E-2</v>
      </c>
      <c r="M550" s="169">
        <f>IF(OR(B550="",C550=""),"",IFERROR(INDEX(Vöruskrá!P:P,MATCH(B550,Vöruskrá!B:B,0))*C550/100000,""))</f>
        <v>0</v>
      </c>
      <c r="N550" s="169">
        <f>IF(OR(B550="",C550=""),"",IFERROR(INDEX(Vöruskrá!Q:Q,MATCH(B550,Vöruskrá!B:B,0))*C550/100000,""))</f>
        <v>1.5519000000000002E-2</v>
      </c>
      <c r="O550" s="170">
        <f>IF(OR(B550="",C550=""),"",IFERROR(C550/1000*INDEX(Vöruskrá!R:R,MATCH(B550,Vöruskrá!B:B,0))/1000,""))</f>
        <v>0</v>
      </c>
      <c r="P550" s="171"/>
      <c r="Q550" s="158"/>
      <c r="R550" s="6"/>
    </row>
    <row r="551" spans="1:18" ht="15">
      <c r="A551" s="173"/>
      <c r="B551" s="173" t="s">
        <v>489</v>
      </c>
      <c r="C551" s="174">
        <v>1109</v>
      </c>
      <c r="D551" s="168" t="s">
        <v>490</v>
      </c>
      <c r="E551" s="168" t="s">
        <v>134</v>
      </c>
      <c r="F551" s="168" t="s">
        <v>311</v>
      </c>
      <c r="G551" s="169">
        <f>IF(OR(B551="",C551=""),"",IFERROR(INDEX(Vöruskrá!J:J,MATCH(B551,Vöruskrá!B:B,0))*C551/100000,""))</f>
        <v>2.4619800000000001</v>
      </c>
      <c r="H551" s="169">
        <f>IF(OR(B551="",C551=""),"",IFERROR(INDEX(Vöruskrá!K:K,MATCH(B551,Vöruskrá!B:B,0))*C551/100000,""))</f>
        <v>6.6540000000000002E-2</v>
      </c>
      <c r="I551" s="169">
        <f>IF(OR(B551="",C551=""),"",IFERROR(INDEX(Vöruskrá!L:L,MATCH(B551,Vöruskrá!B:B,0))*C551/100000,""))</f>
        <v>9.9810000000000003E-3</v>
      </c>
      <c r="J551" s="169">
        <f>IF(OR(B551="",C551=""),"",IFERROR(INDEX(Vöruskrá!M:M,MATCH(B551,Vöruskrá!B:B,0))*C551/100000,""))</f>
        <v>0.3327</v>
      </c>
      <c r="K551" s="169">
        <f>IF(OR(B551="",C551=""),"",IFERROR(INDEX(Vöruskrá!N:N,MATCH(B551,Vöruskrá!B:B,0))*C551/100000,""))</f>
        <v>5.1013999999999997E-2</v>
      </c>
      <c r="L551" s="169">
        <f>IF(OR(B551="",C551=""),"",IFERROR(INDEX(Vöruskrá!O:O,MATCH(B551,Vöruskrá!B:B,0))*C551/100000,""))</f>
        <v>7.873899999999999E-2</v>
      </c>
      <c r="M551" s="169">
        <f>IF(OR(B551="",C551=""),"",IFERROR(INDEX(Vöruskrá!P:P,MATCH(B551,Vöruskrá!B:B,0))*C551/100000,""))</f>
        <v>0.49904999999999999</v>
      </c>
      <c r="N551" s="169">
        <f>IF(OR(B551="",C551=""),"",IFERROR(INDEX(Vöruskrá!Q:Q,MATCH(B551,Vöruskrá!B:B,0))*C551/100000,""))</f>
        <v>0</v>
      </c>
      <c r="O551" s="170">
        <f>IF(OR(B551="",C551=""),"",IFERROR(C551/1000*INDEX(Vöruskrá!R:R,MATCH(B551,Vöruskrá!B:B,0))/1000,""))</f>
        <v>0</v>
      </c>
      <c r="P551" s="173"/>
      <c r="Q551" s="157"/>
      <c r="R551" s="27"/>
    </row>
    <row r="552" spans="1:18" ht="15">
      <c r="A552" s="171"/>
      <c r="B552" s="171" t="s">
        <v>299</v>
      </c>
      <c r="C552" s="172">
        <v>591</v>
      </c>
      <c r="D552" s="168" t="s">
        <v>302</v>
      </c>
      <c r="E552" s="168" t="s">
        <v>134</v>
      </c>
      <c r="F552" s="168" t="s">
        <v>303</v>
      </c>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0.59099999999999997</v>
      </c>
      <c r="N552" s="169">
        <f>IF(OR(B552="",C552=""),"",IFERROR(INDEX(Vöruskrá!Q:Q,MATCH(B552,Vöruskrá!B:B,0))*C552/100000,""))</f>
        <v>0</v>
      </c>
      <c r="O552" s="170">
        <f>IF(OR(B552="",C552=""),"",IFERROR(C552/1000*INDEX(Vöruskrá!R:R,MATCH(B552,Vöruskrá!B:B,0))/1000,""))</f>
        <v>0</v>
      </c>
      <c r="P552" s="171"/>
      <c r="Q552" s="158"/>
      <c r="R552" s="6"/>
    </row>
    <row r="553" spans="1:18" ht="15">
      <c r="A553" s="173"/>
      <c r="B553" s="173" t="s">
        <v>1270</v>
      </c>
      <c r="C553" s="174">
        <v>1478</v>
      </c>
      <c r="D553" s="168" t="s">
        <v>1270</v>
      </c>
      <c r="E553" s="168" t="s">
        <v>134</v>
      </c>
      <c r="F553" s="168"/>
      <c r="G553" s="169">
        <f>IF(OR(B553="",C553=""),"",IFERROR(INDEX(Vöruskrá!J:J,MATCH(B553,Vöruskrá!B:B,0))*C553/100000,""))</f>
        <v>13.302</v>
      </c>
      <c r="H553" s="169">
        <f>IF(OR(B553="",C553=""),"",IFERROR(INDEX(Vöruskrá!K:K,MATCH(B553,Vöruskrá!B:B,0))*C553/100000,""))</f>
        <v>1.478</v>
      </c>
      <c r="I553" s="169">
        <f>IF(OR(B553="",C553=""),"",IFERROR(INDEX(Vöruskrá!L:L,MATCH(B553,Vöruskrá!B:B,0))*C553/100000,""))</f>
        <v>0.10346</v>
      </c>
      <c r="J553" s="169">
        <f>IF(OR(B553="",C553=""),"",IFERROR(INDEX(Vöruskrá!M:M,MATCH(B553,Vöruskrá!B:B,0))*C553/100000,""))</f>
        <v>0.9607</v>
      </c>
      <c r="K553" s="169">
        <f>IF(OR(B553="",C553=""),"",IFERROR(INDEX(Vöruskrá!N:N,MATCH(B553,Vöruskrá!B:B,0))*C553/100000,""))</f>
        <v>0.40644999999999998</v>
      </c>
      <c r="L553" s="169">
        <f>IF(OR(B553="",C553=""),"",IFERROR(INDEX(Vöruskrá!O:O,MATCH(B553,Vöruskrá!B:B,0))*C553/100000,""))</f>
        <v>0</v>
      </c>
      <c r="M553" s="169">
        <f>IF(OR(B553="",C553=""),"",IFERROR(INDEX(Vöruskrá!P:P,MATCH(B553,Vöruskrá!B:B,0))*C553/100000,""))</f>
        <v>0</v>
      </c>
      <c r="N553" s="169">
        <f>IF(OR(B553="",C553=""),"",IFERROR(INDEX(Vöruskrá!Q:Q,MATCH(B553,Vöruskrá!B:B,0))*C553/100000,""))</f>
        <v>0</v>
      </c>
      <c r="O553" s="170">
        <f>IF(OR(B553="",C553=""),"",IFERROR(C553/1000*INDEX(Vöruskrá!R:R,MATCH(B553,Vöruskrá!B:B,0))/1000,""))</f>
        <v>0</v>
      </c>
      <c r="P553" s="173"/>
      <c r="Q553" s="201"/>
      <c r="R553" s="202"/>
    </row>
    <row r="554" spans="1:18" ht="48">
      <c r="A554" s="147" t="s">
        <v>1817</v>
      </c>
      <c r="B554" s="147"/>
      <c r="C554" s="148"/>
      <c r="D554" s="165" t="s">
        <v>1818</v>
      </c>
      <c r="E554" s="165" t="s">
        <v>1099</v>
      </c>
      <c r="F554" s="165"/>
      <c r="G554" s="166">
        <v>118.03</v>
      </c>
      <c r="H554" s="166">
        <v>6.12</v>
      </c>
      <c r="I554" s="166">
        <v>1.68</v>
      </c>
      <c r="J554" s="166">
        <v>4.46</v>
      </c>
      <c r="K554" s="166"/>
      <c r="L554" s="166">
        <v>11.5</v>
      </c>
      <c r="M554" s="166">
        <v>1.62</v>
      </c>
      <c r="N554" s="166">
        <f>IFERROR(SUM(N555:N561)/(SUM($C$555:$C$561)/100000),"")</f>
        <v>0.51420947117468574</v>
      </c>
      <c r="O554" s="167" t="str">
        <f>IF(OR(B554="",C554=""),"",IFERROR(C554/1000*INDEX(Vöruskrá!R:R,MATCH(B554,Vöruskrá!B:B,0))/1000,""))</f>
        <v/>
      </c>
      <c r="P554" s="196" t="s">
        <v>1819</v>
      </c>
      <c r="Q554" s="199" t="s">
        <v>1820</v>
      </c>
      <c r="R554" s="198" t="s">
        <v>1821</v>
      </c>
    </row>
    <row r="555" spans="1:18" ht="15">
      <c r="A555" s="171"/>
      <c r="B555" s="171" t="s">
        <v>542</v>
      </c>
      <c r="C555" s="172">
        <v>39267</v>
      </c>
      <c r="D555" s="168" t="s">
        <v>543</v>
      </c>
      <c r="E555" s="168" t="s">
        <v>134</v>
      </c>
      <c r="F555" s="168"/>
      <c r="G555" s="169">
        <f>IF(OR(B555="",C555=""),"",IFERROR(INDEX(Vöruskrá!J:J,MATCH(B555,Vöruskrá!B:B,0))*C555/100000,""))</f>
        <v>70.287930000000003</v>
      </c>
      <c r="H555" s="169">
        <f>IF(OR(B555="",C555=""),"",IFERROR(INDEX(Vöruskrá!K:K,MATCH(B555,Vöruskrá!B:B,0))*C555/100000,""))</f>
        <v>4.3193700000000002</v>
      </c>
      <c r="I555" s="169">
        <f>IF(OR(B555="",C555=""),"",IFERROR(INDEX(Vöruskrá!L:L,MATCH(B555,Vöruskrá!B:B,0))*C555/100000,""))</f>
        <v>1.2172769999999999</v>
      </c>
      <c r="J555" s="169">
        <f>IF(OR(B555="",C555=""),"",IFERROR(INDEX(Vöruskrá!M:M,MATCH(B555,Vöruskrá!B:B,0))*C555/100000,""))</f>
        <v>0</v>
      </c>
      <c r="K555" s="169">
        <f>IF(OR(B555="",C555=""),"",IFERROR(INDEX(Vöruskrá!N:N,MATCH(B555,Vöruskrá!B:B,0))*C555/100000,""))</f>
        <v>0</v>
      </c>
      <c r="L555" s="169">
        <f>IF(OR(B555="",C555=""),"",IFERROR(INDEX(Vöruskrá!O:O,MATCH(B555,Vöruskrá!B:B,0))*C555/100000,""))</f>
        <v>7.8533999999999997</v>
      </c>
      <c r="M555" s="169">
        <f>IF(OR(B555="",C555=""),"",IFERROR(INDEX(Vöruskrá!P:P,MATCH(B555,Vöruskrá!B:B,0))*C555/100000,""))</f>
        <v>7.8534000000000007E-2</v>
      </c>
      <c r="N555" s="169">
        <f>IF(OR(B555="",C555=""),"",IFERROR(INDEX(Vöruskrá!Q:Q,MATCH(B555,Vöruskrá!B:B,0))*C555/100000,""))</f>
        <v>0</v>
      </c>
      <c r="O555" s="170">
        <f>IF(OR(B555="",C555=""),"",IFERROR(C555/1000*INDEX(Vöruskrá!R:R,MATCH(B555,Vöruskrá!B:B,0))/1000,""))</f>
        <v>0</v>
      </c>
      <c r="P555" s="171"/>
      <c r="Q555" s="203"/>
      <c r="R555" s="204"/>
    </row>
    <row r="556" spans="1:18" ht="15">
      <c r="A556" s="173"/>
      <c r="B556" s="173" t="s">
        <v>489</v>
      </c>
      <c r="C556" s="174">
        <v>1309</v>
      </c>
      <c r="D556" s="168" t="s">
        <v>490</v>
      </c>
      <c r="E556" s="168" t="s">
        <v>134</v>
      </c>
      <c r="F556" s="168" t="s">
        <v>311</v>
      </c>
      <c r="G556" s="169">
        <f>IF(OR(B556="",C556=""),"",IFERROR(INDEX(Vöruskrá!J:J,MATCH(B556,Vöruskrá!B:B,0))*C556/100000,""))</f>
        <v>2.90598</v>
      </c>
      <c r="H556" s="169">
        <f>IF(OR(B556="",C556=""),"",IFERROR(INDEX(Vöruskrá!K:K,MATCH(B556,Vöruskrá!B:B,0))*C556/100000,""))</f>
        <v>7.8539999999999999E-2</v>
      </c>
      <c r="I556" s="169">
        <f>IF(OR(B556="",C556=""),"",IFERROR(INDEX(Vöruskrá!L:L,MATCH(B556,Vöruskrá!B:B,0))*C556/100000,""))</f>
        <v>1.1781000000000002E-2</v>
      </c>
      <c r="J556" s="169">
        <f>IF(OR(B556="",C556=""),"",IFERROR(INDEX(Vöruskrá!M:M,MATCH(B556,Vöruskrá!B:B,0))*C556/100000,""))</f>
        <v>0.39269999999999999</v>
      </c>
      <c r="K556" s="169">
        <f>IF(OR(B556="",C556=""),"",IFERROR(INDEX(Vöruskrá!N:N,MATCH(B556,Vöruskrá!B:B,0))*C556/100000,""))</f>
        <v>6.0213999999999997E-2</v>
      </c>
      <c r="L556" s="169">
        <f>IF(OR(B556="",C556=""),"",IFERROR(INDEX(Vöruskrá!O:O,MATCH(B556,Vöruskrá!B:B,0))*C556/100000,""))</f>
        <v>9.2938999999999994E-2</v>
      </c>
      <c r="M556" s="169">
        <f>IF(OR(B556="",C556=""),"",IFERROR(INDEX(Vöruskrá!P:P,MATCH(B556,Vöruskrá!B:B,0))*C556/100000,""))</f>
        <v>0.58904999999999996</v>
      </c>
      <c r="N556" s="169">
        <f>IF(OR(B556="",C556=""),"",IFERROR(INDEX(Vöruskrá!Q:Q,MATCH(B556,Vöruskrá!B:B,0))*C556/100000,""))</f>
        <v>0</v>
      </c>
      <c r="O556" s="170">
        <f>IF(OR(B556="",C556=""),"",IFERROR(C556/1000*INDEX(Vöruskrá!R:R,MATCH(B556,Vöruskrá!B:B,0))/1000,""))</f>
        <v>0</v>
      </c>
      <c r="P556" s="173"/>
      <c r="Q556" s="158"/>
      <c r="R556" s="6"/>
    </row>
    <row r="557" spans="1:18" ht="15">
      <c r="A557" s="171"/>
      <c r="B557" s="171" t="s">
        <v>1116</v>
      </c>
      <c r="C557" s="172">
        <v>6545</v>
      </c>
      <c r="D557" s="168" t="s">
        <v>1117</v>
      </c>
      <c r="E557" s="168" t="s">
        <v>1099</v>
      </c>
      <c r="F557" s="168"/>
      <c r="G557" s="169">
        <f>IF(OR(B557="",C557=""),"",IFERROR(INDEX(Vöruskrá!J:J,MATCH(B557,Vöruskrá!B:B,0))*C557/100000,""))</f>
        <v>2.02895</v>
      </c>
      <c r="H557" s="169">
        <f>IF(OR(B557="",C557=""),"",IFERROR(INDEX(Vöruskrá!K:K,MATCH(B557,Vöruskrá!B:B,0))*C557/100000,""))</f>
        <v>1.9635E-2</v>
      </c>
      <c r="I557" s="169">
        <f>IF(OR(B557="",C557=""),"",IFERROR(INDEX(Vöruskrá!L:L,MATCH(B557,Vöruskrá!B:B,0))*C557/100000,""))</f>
        <v>0</v>
      </c>
      <c r="J557" s="169">
        <f>IF(OR(B557="",C557=""),"",IFERROR(INDEX(Vöruskrá!M:M,MATCH(B557,Vöruskrá!B:B,0))*C557/100000,""))</f>
        <v>0.39269999999999999</v>
      </c>
      <c r="K557" s="169">
        <f>IF(OR(B557="",C557=""),"",IFERROR(INDEX(Vöruskrá!N:N,MATCH(B557,Vöruskrá!B:B,0))*C557/100000,""))</f>
        <v>0.27489000000000002</v>
      </c>
      <c r="L557" s="169">
        <f>IF(OR(B557="",C557=""),"",IFERROR(INDEX(Vöruskrá!O:O,MATCH(B557,Vöruskrá!B:B,0))*C557/100000,""))</f>
        <v>6.5449999999999994E-2</v>
      </c>
      <c r="M557" s="169">
        <f>IF(OR(B557="",C557=""),"",IFERROR(INDEX(Vöruskrá!P:P,MATCH(B557,Vöruskrá!B:B,0))*C557/100000,""))</f>
        <v>0</v>
      </c>
      <c r="N557" s="169">
        <f>IF(OR(B557="",C557=""),"",IFERROR(INDEX(Vöruskrá!Q:Q,MATCH(B557,Vöruskrá!B:B,0))*C557/100000,""))</f>
        <v>0.13744500000000001</v>
      </c>
      <c r="O557" s="170">
        <f>IF(OR(B557="",C557=""),"",IFERROR(C557/1000*INDEX(Vöruskrá!R:R,MATCH(B557,Vöruskrá!B:B,0))/1000,""))</f>
        <v>0</v>
      </c>
      <c r="P557" s="171"/>
      <c r="Q557" s="157"/>
      <c r="R557" s="27"/>
    </row>
    <row r="558" spans="1:18" ht="15">
      <c r="A558" s="173"/>
      <c r="B558" s="173" t="s">
        <v>1010</v>
      </c>
      <c r="C558" s="174">
        <v>6545</v>
      </c>
      <c r="D558" s="168" t="s">
        <v>1010</v>
      </c>
      <c r="E558" s="168" t="s">
        <v>134</v>
      </c>
      <c r="F558" s="168"/>
      <c r="G558" s="169">
        <f>IF(OR(B558="",C558=""),"",IFERROR(INDEX(Vöruskrá!J:J,MATCH(B558,Vöruskrá!B:B,0))*C558/100000,""))</f>
        <v>2.6179999999999999</v>
      </c>
      <c r="H558" s="169">
        <f>IF(OR(B558="",C558=""),"",IFERROR(INDEX(Vöruskrá!K:K,MATCH(B558,Vöruskrá!B:B,0))*C558/100000,""))</f>
        <v>6.5449999999999996E-3</v>
      </c>
      <c r="I558" s="169">
        <f>IF(OR(B558="",C558=""),"",IFERROR(INDEX(Vöruskrá!L:L,MATCH(B558,Vöruskrá!B:B,0))*C558/100000,""))</f>
        <v>0</v>
      </c>
      <c r="J558" s="169">
        <f>IF(OR(B558="",C558=""),"",IFERROR(INDEX(Vöruskrá!M:M,MATCH(B558,Vöruskrá!B:B,0))*C558/100000,""))</f>
        <v>0.60868500000000003</v>
      </c>
      <c r="K558" s="169">
        <f>IF(OR(B558="",C558=""),"",IFERROR(INDEX(Vöruskrá!N:N,MATCH(B558,Vöruskrá!B:B,0))*C558/100000,""))</f>
        <v>0.27489000000000002</v>
      </c>
      <c r="L558" s="169">
        <f>IF(OR(B558="",C558=""),"",IFERROR(INDEX(Vöruskrá!O:O,MATCH(B558,Vöruskrá!B:B,0))*C558/100000,""))</f>
        <v>7.1995000000000003E-2</v>
      </c>
      <c r="M558" s="169">
        <f>IF(OR(B558="",C558=""),"",IFERROR(INDEX(Vöruskrá!P:P,MATCH(B558,Vöruskrá!B:B,0))*C558/100000,""))</f>
        <v>0</v>
      </c>
      <c r="N558" s="169">
        <f>IF(OR(B558="",C558=""),"",IFERROR(INDEX(Vöruskrá!Q:Q,MATCH(B558,Vöruskrá!B:B,0))*C558/100000,""))</f>
        <v>0.111265</v>
      </c>
      <c r="O558" s="170">
        <f>IF(OR(B558="",C558=""),"",IFERROR(C558/1000*INDEX(Vöruskrá!R:R,MATCH(B558,Vöruskrá!B:B,0))/1000,""))</f>
        <v>0</v>
      </c>
      <c r="P558" s="173"/>
      <c r="Q558" s="158"/>
      <c r="R558" s="6"/>
    </row>
    <row r="559" spans="1:18" ht="15">
      <c r="A559" s="171"/>
      <c r="B559" s="171" t="s">
        <v>743</v>
      </c>
      <c r="C559" s="172">
        <v>13089</v>
      </c>
      <c r="D559" s="168" t="s">
        <v>745</v>
      </c>
      <c r="E559" s="168"/>
      <c r="F559" s="168"/>
      <c r="G559" s="169">
        <f>IF(OR(B559="",C559=""),"",IFERROR(INDEX(Vöruskrá!J:J,MATCH(B559,Vöruskrá!B:B,0))*C559/100000,""))</f>
        <v>3.66492</v>
      </c>
      <c r="H559" s="169">
        <f>IF(OR(B559="",C559=""),"",IFERROR(INDEX(Vöruskrá!K:K,MATCH(B559,Vöruskrá!B:B,0))*C559/100000,""))</f>
        <v>1.3089000000000002E-2</v>
      </c>
      <c r="I559" s="169">
        <f>IF(OR(B559="",C559=""),"",IFERROR(INDEX(Vöruskrá!L:L,MATCH(B559,Vöruskrá!B:B,0))*C559/100000,""))</f>
        <v>0</v>
      </c>
      <c r="J559" s="169">
        <f>IF(OR(B559="",C559=""),"",IFERROR(INDEX(Vöruskrá!M:M,MATCH(B559,Vöruskrá!B:B,0))*C559/100000,""))</f>
        <v>0.65444999999999998</v>
      </c>
      <c r="K559" s="169">
        <f>IF(OR(B559="",C559=""),"",IFERROR(INDEX(Vöruskrá!N:N,MATCH(B559,Vöruskrá!B:B,0))*C559/100000,""))</f>
        <v>0.44502599999999998</v>
      </c>
      <c r="L559" s="169">
        <f>IF(OR(B559="",C559=""),"",IFERROR(INDEX(Vöruskrá!O:O,MATCH(B559,Vöruskrá!B:B,0))*C559/100000,""))</f>
        <v>0.19633500000000001</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157"/>
      <c r="R559" s="27"/>
    </row>
    <row r="560" spans="1:18" ht="15">
      <c r="A560" s="173"/>
      <c r="B560" s="173" t="s">
        <v>1097</v>
      </c>
      <c r="C560" s="174">
        <v>6545</v>
      </c>
      <c r="D560" s="168" t="s">
        <v>1098</v>
      </c>
      <c r="E560" s="168" t="s">
        <v>1099</v>
      </c>
      <c r="F560" s="168" t="s">
        <v>1100</v>
      </c>
      <c r="G560" s="169">
        <f>IF(OR(B560="",C560=""),"",IFERROR(INDEX(Vöruskrá!J:J,MATCH(B560,Vöruskrá!B:B,0))*C560/100000,""))</f>
        <v>5.6287000000000003</v>
      </c>
      <c r="H560" s="169">
        <f>IF(OR(B560="",C560=""),"",IFERROR(INDEX(Vöruskrá!K:K,MATCH(B560,Vöruskrá!B:B,0))*C560/100000,""))</f>
        <v>7.8539999999999999E-2</v>
      </c>
      <c r="I560" s="169">
        <f>IF(OR(B560="",C560=""),"",IFERROR(INDEX(Vöruskrá!L:L,MATCH(B560,Vöruskrá!B:B,0))*C560/100000,""))</f>
        <v>1.3089999999999999E-2</v>
      </c>
      <c r="J560" s="169">
        <f>IF(OR(B560="",C560=""),"",IFERROR(INDEX(Vöruskrá!M:M,MATCH(B560,Vöruskrá!B:B,0))*C560/100000,""))</f>
        <v>1.2435499999999999</v>
      </c>
      <c r="K560" s="169">
        <f>IF(OR(B560="",C560=""),"",IFERROR(INDEX(Vöruskrá!N:N,MATCH(B560,Vöruskrá!B:B,0))*C560/100000,""))</f>
        <v>0.20943999999999999</v>
      </c>
      <c r="L560" s="169">
        <f>IF(OR(B560="",C560=""),"",IFERROR(INDEX(Vöruskrá!O:O,MATCH(B560,Vöruskrá!B:B,0))*C560/100000,""))</f>
        <v>0.20943999999999999</v>
      </c>
      <c r="M560" s="169">
        <f>IF(OR(B560="",C560=""),"",IFERROR(INDEX(Vöruskrá!P:P,MATCH(B560,Vöruskrá!B:B,0))*C560/100000,""))</f>
        <v>6.5449999999999996E-3</v>
      </c>
      <c r="N560" s="169">
        <f>IF(OR(B560="",C560=""),"",IFERROR(INDEX(Vöruskrá!Q:Q,MATCH(B560,Vöruskrá!B:B,0))*C560/100000,""))</f>
        <v>0.13089999999999999</v>
      </c>
      <c r="O560" s="170">
        <f>IF(OR(B560="",C560=""),"",IFERROR(C560/1000*INDEX(Vöruskrá!R:R,MATCH(B560,Vöruskrá!B:B,0))/1000,""))</f>
        <v>0</v>
      </c>
      <c r="P560" s="173"/>
      <c r="Q560" s="158"/>
      <c r="R560" s="6"/>
    </row>
    <row r="561" spans="1:18" ht="15">
      <c r="A561" s="171"/>
      <c r="B561" s="171" t="s">
        <v>299</v>
      </c>
      <c r="C561" s="172">
        <v>524</v>
      </c>
      <c r="D561" s="168" t="s">
        <v>302</v>
      </c>
      <c r="E561" s="168" t="s">
        <v>134</v>
      </c>
      <c r="F561" s="168" t="s">
        <v>303</v>
      </c>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0.52400000000000002</v>
      </c>
      <c r="N561" s="169">
        <f>IF(OR(B561="",C561=""),"",IFERROR(INDEX(Vöruskrá!Q:Q,MATCH(B561,Vöruskrá!B:B,0))*C561/100000,""))</f>
        <v>0</v>
      </c>
      <c r="O561" s="170">
        <f>IF(OR(B561="",C561=""),"",IFERROR(C561/1000*INDEX(Vöruskrá!R:R,MATCH(B561,Vöruskrá!B:B,0))/1000,""))</f>
        <v>0</v>
      </c>
      <c r="P561" s="171"/>
      <c r="Q561" s="201"/>
      <c r="R561" s="202"/>
    </row>
    <row r="562" spans="1:18" ht="60">
      <c r="A562" s="147" t="s">
        <v>1822</v>
      </c>
      <c r="B562" s="147"/>
      <c r="C562" s="148"/>
      <c r="D562" s="165" t="s">
        <v>1823</v>
      </c>
      <c r="E562" s="165" t="s">
        <v>1824</v>
      </c>
      <c r="F562" s="165"/>
      <c r="G562" s="166">
        <v>197.85</v>
      </c>
      <c r="H562" s="166">
        <v>13.2</v>
      </c>
      <c r="I562" s="166">
        <v>4.6399999999999997</v>
      </c>
      <c r="J562" s="166">
        <v>0.94</v>
      </c>
      <c r="K562" s="166"/>
      <c r="L562" s="166">
        <v>18.82</v>
      </c>
      <c r="M562" s="166">
        <v>1.39</v>
      </c>
      <c r="N562" s="166">
        <f>IFERROR(SUM(N563:N568)/(SUM($C$563:$C$568)/100000),"")</f>
        <v>0.17358252834943305</v>
      </c>
      <c r="O562" s="167" t="str">
        <f>IF(OR(B562="",C562=""),"",IFERROR(C562/1000*INDEX(Vöruskrá!R:R,MATCH(B562,Vöruskrá!B:B,0))/1000,""))</f>
        <v/>
      </c>
      <c r="P562" s="196" t="s">
        <v>1825</v>
      </c>
      <c r="Q562" s="195" t="s">
        <v>1826</v>
      </c>
      <c r="R562" s="194" t="s">
        <v>1827</v>
      </c>
    </row>
    <row r="563" spans="1:18" ht="15">
      <c r="A563" s="171"/>
      <c r="B563" s="171" t="s">
        <v>1111</v>
      </c>
      <c r="C563" s="172">
        <v>93240</v>
      </c>
      <c r="D563" s="168" t="s">
        <v>1112</v>
      </c>
      <c r="E563" s="168" t="s">
        <v>1099</v>
      </c>
      <c r="F563" s="168" t="s">
        <v>1113</v>
      </c>
      <c r="G563" s="169">
        <f>IF(OR(B563="",C563=""),"",IFERROR(INDEX(Vöruskrá!J:J,MATCH(B563,Vöruskrá!B:B,0))*C563/100000,""))</f>
        <v>166.89959999999999</v>
      </c>
      <c r="H563" s="169">
        <f>IF(OR(B563="",C563=""),"",IFERROR(INDEX(Vöruskrá!K:K,MATCH(B563,Vöruskrá!B:B,0))*C563/100000,""))</f>
        <v>10.256399999999999</v>
      </c>
      <c r="I563" s="169">
        <f>IF(OR(B563="",C563=""),"",IFERROR(INDEX(Vöruskrá!L:L,MATCH(B563,Vöruskrá!B:B,0))*C563/100000,""))</f>
        <v>2.8904399999999999</v>
      </c>
      <c r="J563" s="169">
        <f>IF(OR(B563="",C563=""),"",IFERROR(INDEX(Vöruskrá!M:M,MATCH(B563,Vöruskrá!B:B,0))*C563/100000,""))</f>
        <v>0</v>
      </c>
      <c r="K563" s="169">
        <f>IF(OR(B563="",C563=""),"",IFERROR(INDEX(Vöruskrá!N:N,MATCH(B563,Vöruskrá!B:B,0))*C563/100000,""))</f>
        <v>0</v>
      </c>
      <c r="L563" s="169">
        <f>IF(OR(B563="",C563=""),"",IFERROR(INDEX(Vöruskrá!O:O,MATCH(B563,Vöruskrá!B:B,0))*C563/100000,""))</f>
        <v>18.648</v>
      </c>
      <c r="M563" s="169">
        <f>IF(OR(B563="",C563=""),"",IFERROR(INDEX(Vöruskrá!P:P,MATCH(B563,Vöruskrá!B:B,0))*C563/100000,""))</f>
        <v>0.18648000000000001</v>
      </c>
      <c r="N563" s="169">
        <f>IF(OR(B563="",C563=""),"",IFERROR(INDEX(Vöruskrá!Q:Q,MATCH(B563,Vöruskrá!B:B,0))*C563/100000,""))</f>
        <v>0</v>
      </c>
      <c r="O563" s="170">
        <f>IF(OR(B563="",C563=""),"",IFERROR(C563/1000*INDEX(Vöruskrá!R:R,MATCH(B563,Vöruskrá!B:B,0))/1000,""))</f>
        <v>0</v>
      </c>
      <c r="P563" s="171"/>
      <c r="Q563" s="203"/>
      <c r="R563" s="204"/>
    </row>
    <row r="564" spans="1:18" ht="15">
      <c r="A564" s="173"/>
      <c r="B564" s="173" t="s">
        <v>1017</v>
      </c>
      <c r="C564" s="174">
        <v>1166</v>
      </c>
      <c r="D564" s="168" t="s">
        <v>1017</v>
      </c>
      <c r="E564" s="168" t="s">
        <v>134</v>
      </c>
      <c r="F564" s="168"/>
      <c r="G564" s="169">
        <f>IF(OR(B564="",C564=""),"",IFERROR(INDEX(Vöruskrá!J:J,MATCH(B564,Vöruskrá!B:B,0))*C564/100000,""))</f>
        <v>1.7373400000000001</v>
      </c>
      <c r="H564" s="169">
        <f>IF(OR(B564="",C564=""),"",IFERROR(INDEX(Vöruskrá!K:K,MATCH(B564,Vöruskrá!B:B,0))*C564/100000,""))</f>
        <v>5.8300000000000001E-3</v>
      </c>
      <c r="I564" s="169">
        <f>IF(OR(B564="",C564=""),"",IFERROR(INDEX(Vöruskrá!L:L,MATCH(B564,Vöruskrá!B:B,0))*C564/100000,""))</f>
        <v>1.1660000000000002E-3</v>
      </c>
      <c r="J564" s="169">
        <f>IF(OR(B564="",C564=""),"",IFERROR(INDEX(Vöruskrá!M:M,MATCH(B564,Vöruskrá!B:B,0))*C564/100000,""))</f>
        <v>0.38594600000000001</v>
      </c>
      <c r="K564" s="169">
        <f>IF(OR(B564="",C564=""),"",IFERROR(INDEX(Vöruskrá!N:N,MATCH(B564,Vöruskrá!B:B,0))*C564/100000,""))</f>
        <v>1.166E-2</v>
      </c>
      <c r="L564" s="169">
        <f>IF(OR(B564="",C564=""),"",IFERROR(INDEX(Vöruskrá!O:O,MATCH(B564,Vöruskrá!B:B,0))*C564/100000,""))</f>
        <v>7.462400000000001E-2</v>
      </c>
      <c r="M564" s="169">
        <f>IF(OR(B564="",C564=""),"",IFERROR(INDEX(Vöruskrá!P:P,MATCH(B564,Vöruskrá!B:B,0))*C564/100000,""))</f>
        <v>0</v>
      </c>
      <c r="N564" s="169">
        <f>IF(OR(B564="",C564=""),"",IFERROR(INDEX(Vöruskrá!Q:Q,MATCH(B564,Vöruskrá!B:B,0))*C564/100000,""))</f>
        <v>2.4486000000000001E-2</v>
      </c>
      <c r="O564" s="170">
        <f>IF(OR(B564="",C564=""),"",IFERROR(C564/1000*INDEX(Vöruskrá!R:R,MATCH(B564,Vöruskrá!B:B,0))/1000,""))</f>
        <v>0</v>
      </c>
      <c r="P564" s="173"/>
      <c r="Q564" s="158"/>
      <c r="R564" s="6"/>
    </row>
    <row r="565" spans="1:18" ht="15">
      <c r="A565" s="171"/>
      <c r="B565" s="171" t="s">
        <v>445</v>
      </c>
      <c r="C565" s="172">
        <v>3497</v>
      </c>
      <c r="D565" s="168" t="s">
        <v>448</v>
      </c>
      <c r="E565" s="168" t="s">
        <v>120</v>
      </c>
      <c r="F565" s="168"/>
      <c r="G565" s="169">
        <f>IF(OR(B565="",C565=""),"",IFERROR(INDEX(Vöruskrá!J:J,MATCH(B565,Vöruskrá!B:B,0))*C565/100000,""))</f>
        <v>25.807860000000002</v>
      </c>
      <c r="H565" s="169">
        <f>IF(OR(B565="",C565=""),"",IFERROR(INDEX(Vöruskrá!K:K,MATCH(B565,Vöruskrá!B:B,0))*C565/100000,""))</f>
        <v>2.86754</v>
      </c>
      <c r="I565" s="169">
        <f>IF(OR(B565="",C565=""),"",IFERROR(INDEX(Vöruskrá!L:L,MATCH(B565,Vöruskrá!B:B,0))*C565/100000,""))</f>
        <v>1.71353</v>
      </c>
      <c r="J565" s="169">
        <f>IF(OR(B565="",C565=""),"",IFERROR(INDEX(Vöruskrá!M:M,MATCH(B565,Vöruskrá!B:B,0))*C565/100000,""))</f>
        <v>1.3988000000000002E-2</v>
      </c>
      <c r="K565" s="169">
        <f>IF(OR(B565="",C565=""),"",IFERROR(INDEX(Vöruskrá!N:N,MATCH(B565,Vöruskrá!B:B,0))*C565/100000,""))</f>
        <v>1.3988000000000002E-2</v>
      </c>
      <c r="L565" s="169">
        <f>IF(OR(B565="",C565=""),"",IFERROR(INDEX(Vöruskrá!O:O,MATCH(B565,Vöruskrá!B:B,0))*C565/100000,""))</f>
        <v>2.0981999999999997E-2</v>
      </c>
      <c r="M565" s="169">
        <f>IF(OR(B565="",C565=""),"",IFERROR(INDEX(Vöruskrá!P:P,MATCH(B565,Vöruskrá!B:B,0))*C565/100000,""))</f>
        <v>4.1963999999999994E-2</v>
      </c>
      <c r="N565" s="169">
        <f>IF(OR(B565="",C565=""),"",IFERROR(INDEX(Vöruskrá!Q:Q,MATCH(B565,Vöruskrá!B:B,0))*C565/100000,""))</f>
        <v>0</v>
      </c>
      <c r="O565" s="170">
        <f>IF(OR(B565="",C565=""),"",IFERROR(C565/1000*INDEX(Vöruskrá!R:R,MATCH(B565,Vöruskrá!B:B,0))/1000,""))</f>
        <v>0</v>
      </c>
      <c r="P565" s="171"/>
      <c r="Q565" s="157"/>
      <c r="R565" s="27"/>
    </row>
    <row r="566" spans="1:18" ht="15">
      <c r="A566" s="173"/>
      <c r="B566" s="173" t="s">
        <v>1035</v>
      </c>
      <c r="C566" s="174">
        <v>350</v>
      </c>
      <c r="D566" s="168" t="s">
        <v>1036</v>
      </c>
      <c r="E566" s="168" t="s">
        <v>134</v>
      </c>
      <c r="F566" s="168" t="s">
        <v>1024</v>
      </c>
      <c r="G566" s="169">
        <f>IF(OR(B566="",C566=""),"",IFERROR(INDEX(Vöruskrá!J:J,MATCH(B566,Vöruskrá!B:B,0))*C566/100000,""))</f>
        <v>1.1585000000000001</v>
      </c>
      <c r="H566" s="169">
        <f>IF(OR(B566="",C566=""),"",IFERROR(INDEX(Vöruskrá!K:K,MATCH(B566,Vöruskrá!B:B,0))*C566/100000,""))</f>
        <v>5.3199999999999997E-2</v>
      </c>
      <c r="I566" s="169">
        <f>IF(OR(B566="",C566=""),"",IFERROR(INDEX(Vöruskrá!L:L,MATCH(B566,Vöruskrá!B:B,0))*C566/100000,""))</f>
        <v>2.5899999999999999E-2</v>
      </c>
      <c r="J566" s="169">
        <f>IF(OR(B566="",C566=""),"",IFERROR(INDEX(Vöruskrá!M:M,MATCH(B566,Vöruskrá!B:B,0))*C566/100000,""))</f>
        <v>0.16239999999999999</v>
      </c>
      <c r="K566" s="169">
        <f>IF(OR(B566="",C566=""),"",IFERROR(INDEX(Vöruskrá!N:N,MATCH(B566,Vöruskrá!B:B,0))*C566/100000,""))</f>
        <v>0</v>
      </c>
      <c r="L566" s="169">
        <f>IF(OR(B566="",C566=""),"",IFERROR(INDEX(Vöruskrá!O:O,MATCH(B566,Vöruskrá!B:B,0))*C566/100000,""))</f>
        <v>1.7150000000000002E-2</v>
      </c>
      <c r="M566" s="169">
        <f>IF(OR(B566="",C566=""),"",IFERROR(INDEX(Vöruskrá!P:P,MATCH(B566,Vöruskrá!B:B,0))*C566/100000,""))</f>
        <v>0</v>
      </c>
      <c r="N566" s="169">
        <f>IF(OR(B566="",C566=""),"",IFERROR(INDEX(Vöruskrá!Q:Q,MATCH(B566,Vöruskrá!B:B,0))*C566/100000,""))</f>
        <v>0.14910000000000001</v>
      </c>
      <c r="O566" s="170">
        <f>IF(OR(B566="",C566=""),"",IFERROR(C566/1000*INDEX(Vöruskrá!R:R,MATCH(B566,Vöruskrá!B:B,0))/1000,""))</f>
        <v>0</v>
      </c>
      <c r="P566" s="173"/>
      <c r="Q566" s="158"/>
      <c r="R566" s="6"/>
    </row>
    <row r="567" spans="1:18" ht="15">
      <c r="A567" s="171"/>
      <c r="B567" s="171" t="s">
        <v>299</v>
      </c>
      <c r="C567" s="172">
        <v>1166</v>
      </c>
      <c r="D567" s="168" t="s">
        <v>302</v>
      </c>
      <c r="E567" s="168" t="s">
        <v>134</v>
      </c>
      <c r="F567" s="168" t="s">
        <v>303</v>
      </c>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1.1659999999999999</v>
      </c>
      <c r="N567" s="169">
        <f>IF(OR(B567="",C567=""),"",IFERROR(INDEX(Vöruskrá!Q:Q,MATCH(B567,Vöruskrá!B:B,0))*C567/100000,""))</f>
        <v>0</v>
      </c>
      <c r="O567" s="170">
        <f>IF(OR(B567="",C567=""),"",IFERROR(C567/1000*INDEX(Vöruskrá!R:R,MATCH(B567,Vöruskrá!B:B,0))/1000,""))</f>
        <v>0</v>
      </c>
      <c r="P567" s="171"/>
      <c r="Q567" s="157"/>
      <c r="R567" s="27"/>
    </row>
    <row r="568" spans="1:18" ht="15">
      <c r="A568" s="173"/>
      <c r="B568" s="173" t="s">
        <v>819</v>
      </c>
      <c r="C568" s="174">
        <v>583</v>
      </c>
      <c r="D568" s="168" t="s">
        <v>820</v>
      </c>
      <c r="E568" s="168"/>
      <c r="F568" s="168" t="s">
        <v>311</v>
      </c>
      <c r="G568" s="169">
        <f>IF(OR(B568="",C568=""),"",IFERROR(INDEX(Vöruskrá!J:J,MATCH(B568,Vöruskrá!B:B,0))*C568/100000,""))</f>
        <v>2.2503799999999998</v>
      </c>
      <c r="H568" s="169">
        <f>IF(OR(B568="",C568=""),"",IFERROR(INDEX(Vöruskrá!K:K,MATCH(B568,Vöruskrá!B:B,0))*C568/100000,""))</f>
        <v>1.9238999999999999E-2</v>
      </c>
      <c r="I568" s="169">
        <f>IF(OR(B568="",C568=""),"",IFERROR(INDEX(Vöruskrá!L:L,MATCH(B568,Vöruskrá!B:B,0))*C568/100000,""))</f>
        <v>5.8300000000000001E-3</v>
      </c>
      <c r="J568" s="169">
        <f>IF(OR(B568="",C568=""),"",IFERROR(INDEX(Vöruskrá!M:M,MATCH(B568,Vöruskrá!B:B,0))*C568/100000,""))</f>
        <v>0.37895000000000001</v>
      </c>
      <c r="K568" s="169">
        <f>IF(OR(B568="",C568=""),"",IFERROR(INDEX(Vöruskrá!N:N,MATCH(B568,Vöruskrá!B:B,0))*C568/100000,""))</f>
        <v>3.4980000000000002E-3</v>
      </c>
      <c r="L568" s="169">
        <f>IF(OR(B568="",C568=""),"",IFERROR(INDEX(Vöruskrá!O:O,MATCH(B568,Vöruskrá!B:B,0))*C568/100000,""))</f>
        <v>6.4130000000000006E-2</v>
      </c>
      <c r="M568" s="169">
        <f>IF(OR(B568="",C568=""),"",IFERROR(INDEX(Vöruskrá!P:P,MATCH(B568,Vöruskrá!B:B,0))*C568/100000,""))</f>
        <v>5.8300000000000008E-4</v>
      </c>
      <c r="N568" s="169">
        <f>IF(OR(B568="",C568=""),"",IFERROR(INDEX(Vöruskrá!Q:Q,MATCH(B568,Vöruskrá!B:B,0))*C568/100000,""))</f>
        <v>0</v>
      </c>
      <c r="O568" s="170">
        <f>IF(OR(B568="",C568=""),"",IFERROR(C568/1000*INDEX(Vöruskrá!R:R,MATCH(B568,Vöruskrá!B:B,0))/1000,""))</f>
        <v>0</v>
      </c>
      <c r="P568" s="173"/>
      <c r="Q568" s="200"/>
      <c r="R568" s="159"/>
    </row>
    <row r="569" spans="1:18" ht="48">
      <c r="A569" s="147" t="s">
        <v>1828</v>
      </c>
      <c r="B569" s="147"/>
      <c r="C569" s="148"/>
      <c r="D569" s="165" t="s">
        <v>1829</v>
      </c>
      <c r="E569" s="165" t="s">
        <v>1830</v>
      </c>
      <c r="F569" s="165"/>
      <c r="G569" s="166">
        <v>167.9</v>
      </c>
      <c r="H569" s="166">
        <v>7.33</v>
      </c>
      <c r="I569" s="166">
        <v>1.95</v>
      </c>
      <c r="J569" s="166">
        <v>10.78</v>
      </c>
      <c r="K569" s="166"/>
      <c r="L569" s="166">
        <v>14.3</v>
      </c>
      <c r="M569" s="166">
        <v>1.1100000000000001</v>
      </c>
      <c r="N569" s="166">
        <f>IFERROR(SUM(N570:N577)/(SUM($C$570:$C$577)/100000),"")</f>
        <v>0.55926640733592659</v>
      </c>
      <c r="O569" s="167" t="str">
        <f>IF(OR(B569="",C569=""),"",IFERROR(C569/1000*INDEX(Vöruskrá!R:R,MATCH(B569,Vöruskrá!B:B,0))/1000,""))</f>
        <v/>
      </c>
      <c r="P569" s="196" t="s">
        <v>1831</v>
      </c>
      <c r="Q569" s="199" t="s">
        <v>1832</v>
      </c>
      <c r="R569" s="198" t="s">
        <v>1833</v>
      </c>
    </row>
    <row r="570" spans="1:18" ht="15">
      <c r="A570" s="171"/>
      <c r="B570" s="171" t="s">
        <v>542</v>
      </c>
      <c r="C570" s="172">
        <v>59657</v>
      </c>
      <c r="D570" s="168" t="s">
        <v>543</v>
      </c>
      <c r="E570" s="168" t="s">
        <v>134</v>
      </c>
      <c r="F570" s="168"/>
      <c r="G570" s="169">
        <f>IF(OR(B570="",C570=""),"",IFERROR(INDEX(Vöruskrá!J:J,MATCH(B570,Vöruskrá!B:B,0))*C570/100000,""))</f>
        <v>106.78603</v>
      </c>
      <c r="H570" s="169">
        <f>IF(OR(B570="",C570=""),"",IFERROR(INDEX(Vöruskrá!K:K,MATCH(B570,Vöruskrá!B:B,0))*C570/100000,""))</f>
        <v>6.5622699999999998</v>
      </c>
      <c r="I570" s="169">
        <f>IF(OR(B570="",C570=""),"",IFERROR(INDEX(Vöruskrá!L:L,MATCH(B570,Vöruskrá!B:B,0))*C570/100000,""))</f>
        <v>1.8493670000000002</v>
      </c>
      <c r="J570" s="169">
        <f>IF(OR(B570="",C570=""),"",IFERROR(INDEX(Vöruskrá!M:M,MATCH(B570,Vöruskrá!B:B,0))*C570/100000,""))</f>
        <v>0</v>
      </c>
      <c r="K570" s="169">
        <f>IF(OR(B570="",C570=""),"",IFERROR(INDEX(Vöruskrá!N:N,MATCH(B570,Vöruskrá!B:B,0))*C570/100000,""))</f>
        <v>0</v>
      </c>
      <c r="L570" s="169">
        <f>IF(OR(B570="",C570=""),"",IFERROR(INDEX(Vöruskrá!O:O,MATCH(B570,Vöruskrá!B:B,0))*C570/100000,""))</f>
        <v>11.9314</v>
      </c>
      <c r="M570" s="169">
        <f>IF(OR(B570="",C570=""),"",IFERROR(INDEX(Vöruskrá!P:P,MATCH(B570,Vöruskrá!B:B,0))*C570/100000,""))</f>
        <v>0.11931400000000002</v>
      </c>
      <c r="N570" s="169">
        <f>IF(OR(B570="",C570=""),"",IFERROR(INDEX(Vöruskrá!Q:Q,MATCH(B570,Vöruskrá!B:B,0))*C570/100000,""))</f>
        <v>0</v>
      </c>
      <c r="O570" s="170">
        <f>IF(OR(B570="",C570=""),"",IFERROR(C570/1000*INDEX(Vöruskrá!R:R,MATCH(B570,Vöruskrá!B:B,0))/1000,""))</f>
        <v>0</v>
      </c>
      <c r="P570" s="171"/>
      <c r="Q570" s="197"/>
      <c r="R570" s="164"/>
    </row>
    <row r="571" spans="1:18" ht="15">
      <c r="A571" s="173"/>
      <c r="B571" s="173" t="s">
        <v>463</v>
      </c>
      <c r="C571" s="174">
        <v>22371</v>
      </c>
      <c r="D571" s="168" t="s">
        <v>465</v>
      </c>
      <c r="E571" s="168" t="s">
        <v>466</v>
      </c>
      <c r="F571" s="168" t="s">
        <v>467</v>
      </c>
      <c r="G571" s="169">
        <f>IF(OR(B571="",C571=""),"",IFERROR(INDEX(Vöruskrá!J:J,MATCH(B571,Vöruskrá!B:B,0))*C571/100000,""))</f>
        <v>54.137819999999998</v>
      </c>
      <c r="H571" s="169">
        <f>IF(OR(B571="",C571=""),"",IFERROR(INDEX(Vöruskrá!K:K,MATCH(B571,Vöruskrá!B:B,0))*C571/100000,""))</f>
        <v>0.55927499999999997</v>
      </c>
      <c r="I571" s="169">
        <f>IF(OR(B571="",C571=""),"",IFERROR(INDEX(Vöruskrá!L:L,MATCH(B571,Vöruskrá!B:B,0))*C571/100000,""))</f>
        <v>8.9483999999999994E-2</v>
      </c>
      <c r="J571" s="169">
        <f>IF(OR(B571="",C571=""),"",IFERROR(INDEX(Vöruskrá!M:M,MATCH(B571,Vöruskrá!B:B,0))*C571/100000,""))</f>
        <v>9.8432399999999998</v>
      </c>
      <c r="K571" s="169">
        <f>IF(OR(B571="",C571=""),"",IFERROR(INDEX(Vöruskrá!N:N,MATCH(B571,Vöruskrá!B:B,0))*C571/100000,""))</f>
        <v>0.13422600000000001</v>
      </c>
      <c r="L571" s="169">
        <f>IF(OR(B571="",C571=""),"",IFERROR(INDEX(Vöruskrá!O:O,MATCH(B571,Vöruskrá!B:B,0))*C571/100000,""))</f>
        <v>2.1028739999999999</v>
      </c>
      <c r="M571" s="169">
        <f>IF(OR(B571="",C571=""),"",IFERROR(INDEX(Vöruskrá!P:P,MATCH(B571,Vöruskrá!B:B,0))*C571/100000,""))</f>
        <v>0.290823</v>
      </c>
      <c r="N571" s="169">
        <f>IF(OR(B571="",C571=""),"",IFERROR(INDEX(Vöruskrá!Q:Q,MATCH(B571,Vöruskrá!B:B,0))*C571/100000,""))</f>
        <v>0.40267800000000004</v>
      </c>
      <c r="O571" s="170">
        <f>IF(OR(B571="",C571=""),"",IFERROR(C571/1000*INDEX(Vöruskrá!R:R,MATCH(B571,Vöruskrá!B:B,0))/1000,""))</f>
        <v>0</v>
      </c>
      <c r="P571" s="173"/>
      <c r="Q571" s="157"/>
      <c r="R571" s="27"/>
    </row>
    <row r="572" spans="1:18" ht="15">
      <c r="A572" s="171"/>
      <c r="B572" s="171" t="s">
        <v>627</v>
      </c>
      <c r="C572" s="172">
        <v>3729</v>
      </c>
      <c r="D572" s="168" t="s">
        <v>629</v>
      </c>
      <c r="E572" s="168"/>
      <c r="F572" s="168"/>
      <c r="G572" s="169">
        <f>IF(OR(B572="",C572=""),"",IFERROR(INDEX(Vöruskrá!J:J,MATCH(B572,Vöruskrá!B:B,0))*C572/100000,""))</f>
        <v>1.8645</v>
      </c>
      <c r="H572" s="169">
        <f>IF(OR(B572="",C572=""),"",IFERROR(INDEX(Vöruskrá!K:K,MATCH(B572,Vöruskrá!B:B,0))*C572/100000,""))</f>
        <v>7.4580000000000011E-3</v>
      </c>
      <c r="I572" s="169">
        <f>IF(OR(B572="",C572=""),"",IFERROR(INDEX(Vöruskrá!L:L,MATCH(B572,Vöruskrá!B:B,0))*C572/100000,""))</f>
        <v>0</v>
      </c>
      <c r="J572" s="169">
        <f>IF(OR(B572="",C572=""),"",IFERROR(INDEX(Vöruskrá!M:M,MATCH(B572,Vöruskrá!B:B,0))*C572/100000,""))</f>
        <v>0.36917099999999997</v>
      </c>
      <c r="K572" s="169">
        <f>IF(OR(B572="",C572=""),"",IFERROR(INDEX(Vöruskrá!N:N,MATCH(B572,Vöruskrá!B:B,0))*C572/100000,""))</f>
        <v>0.36171299999999995</v>
      </c>
      <c r="L572" s="169">
        <f>IF(OR(B572="",C572=""),"",IFERROR(INDEX(Vöruskrá!O:O,MATCH(B572,Vöruskrá!B:B,0))*C572/100000,""))</f>
        <v>3.7289999999999997E-2</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158"/>
      <c r="R572" s="6"/>
    </row>
    <row r="573" spans="1:18" ht="15">
      <c r="A573" s="173"/>
      <c r="B573" s="173" t="s">
        <v>500</v>
      </c>
      <c r="C573" s="174">
        <v>7457</v>
      </c>
      <c r="D573" s="168" t="s">
        <v>1129</v>
      </c>
      <c r="E573" s="168" t="s">
        <v>1099</v>
      </c>
      <c r="F573" s="168"/>
      <c r="G573" s="169">
        <f>IF(OR(B573="",C573=""),"",IFERROR(INDEX(Vöruskrá!J:J,MATCH(B573,Vöruskrá!B:B,0))*C573/100000,""))</f>
        <v>1.34226</v>
      </c>
      <c r="H573" s="169">
        <f>IF(OR(B573="",C573=""),"",IFERROR(INDEX(Vöruskrá!K:K,MATCH(B573,Vöruskrá!B:B,0))*C573/100000,""))</f>
        <v>1.4914E-2</v>
      </c>
      <c r="I573" s="169">
        <f>IF(OR(B573="",C573=""),"",IFERROR(INDEX(Vöruskrá!L:L,MATCH(B573,Vöruskrá!B:B,0))*C573/100000,""))</f>
        <v>0</v>
      </c>
      <c r="J573" s="169">
        <f>IF(OR(B573="",C573=""),"",IFERROR(INDEX(Vöruskrá!M:M,MATCH(B573,Vöruskrá!B:B,0))*C573/100000,""))</f>
        <v>0.290823</v>
      </c>
      <c r="K573" s="169">
        <f>IF(OR(B573="",C573=""),"",IFERROR(INDEX(Vöruskrá!N:N,MATCH(B573,Vöruskrá!B:B,0))*C573/100000,""))</f>
        <v>0.193882</v>
      </c>
      <c r="L573" s="169">
        <f>IF(OR(B573="",C573=""),"",IFERROR(INDEX(Vöruskrá!O:O,MATCH(B573,Vöruskrá!B:B,0))*C573/100000,""))</f>
        <v>6.7113000000000006E-2</v>
      </c>
      <c r="M573" s="169">
        <f>IF(OR(B573="",C573=""),"",IFERROR(INDEX(Vöruskrá!P:P,MATCH(B573,Vöruskrá!B:B,0))*C573/100000,""))</f>
        <v>0</v>
      </c>
      <c r="N573" s="169">
        <f>IF(OR(B573="",C573=""),"",IFERROR(INDEX(Vöruskrá!Q:Q,MATCH(B573,Vöruskrá!B:B,0))*C573/100000,""))</f>
        <v>8.9483999999999994E-2</v>
      </c>
      <c r="O573" s="170">
        <f>IF(OR(B573="",C573=""),"",IFERROR(C573/1000*INDEX(Vöruskrá!R:R,MATCH(B573,Vöruskrá!B:B,0))/1000,""))</f>
        <v>0</v>
      </c>
      <c r="P573" s="173"/>
      <c r="Q573" s="157"/>
      <c r="R573" s="27"/>
    </row>
    <row r="574" spans="1:18" ht="15">
      <c r="A574" s="171"/>
      <c r="B574" s="171" t="s">
        <v>1157</v>
      </c>
      <c r="C574" s="172">
        <v>2237</v>
      </c>
      <c r="D574" s="168" t="s">
        <v>1160</v>
      </c>
      <c r="E574" s="168" t="s">
        <v>1161</v>
      </c>
      <c r="F574" s="168"/>
      <c r="G574" s="169">
        <f>IF(OR(B574="",C574=""),"",IFERROR(INDEX(Vöruskrá!J:J,MATCH(B574,Vöruskrá!B:B,0))*C574/100000,""))</f>
        <v>2.9081000000000001</v>
      </c>
      <c r="H574" s="169">
        <f>IF(OR(B574="",C574=""),"",IFERROR(INDEX(Vöruskrá!K:K,MATCH(B574,Vöruskrá!B:B,0))*C574/100000,""))</f>
        <v>0.17896000000000001</v>
      </c>
      <c r="I574" s="169">
        <f>IF(OR(B574="",C574=""),"",IFERROR(INDEX(Vöruskrá!L:L,MATCH(B574,Vöruskrá!B:B,0))*C574/100000,""))</f>
        <v>1.1185E-2</v>
      </c>
      <c r="J574" s="169">
        <f>IF(OR(B574="",C574=""),"",IFERROR(INDEX(Vöruskrá!M:M,MATCH(B574,Vöruskrá!B:B,0))*C574/100000,""))</f>
        <v>0.13422000000000001</v>
      </c>
      <c r="K574" s="169">
        <f>IF(OR(B574="",C574=""),"",IFERROR(INDEX(Vöruskrá!N:N,MATCH(B574,Vöruskrá!B:B,0))*C574/100000,""))</f>
        <v>4.4740000000000002E-2</v>
      </c>
      <c r="L574" s="169">
        <f>IF(OR(B574="",C574=""),"",IFERROR(INDEX(Vöruskrá!O:O,MATCH(B574,Vöruskrá!B:B,0))*C574/100000,""))</f>
        <v>0.13422000000000001</v>
      </c>
      <c r="M574" s="169">
        <f>IF(OR(B574="",C574=""),"",IFERROR(INDEX(Vöruskrá!P:P,MATCH(B574,Vöruskrá!B:B,0))*C574/100000,""))</f>
        <v>0.100665</v>
      </c>
      <c r="N574" s="169">
        <f>IF(OR(B574="",C574=""),"",IFERROR(INDEX(Vöruskrá!Q:Q,MATCH(B574,Vöruskrá!B:B,0))*C574/100000,""))</f>
        <v>6.7110000000000003E-2</v>
      </c>
      <c r="O574" s="170">
        <f>IF(OR(B574="",C574=""),"",IFERROR(C574/1000*INDEX(Vöruskrá!R:R,MATCH(B574,Vöruskrá!B:B,0))/1000,""))</f>
        <v>0</v>
      </c>
      <c r="P574" s="171"/>
      <c r="Q574" s="158"/>
      <c r="R574" s="6"/>
    </row>
    <row r="575" spans="1:18" ht="15">
      <c r="A575" s="173"/>
      <c r="B575" s="173" t="s">
        <v>1483</v>
      </c>
      <c r="C575" s="174">
        <v>3729</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7"/>
      <c r="R575" s="27"/>
    </row>
    <row r="576" spans="1:18" ht="15">
      <c r="A576" s="171"/>
      <c r="B576" s="171" t="s">
        <v>299</v>
      </c>
      <c r="C576" s="172">
        <v>597</v>
      </c>
      <c r="D576" s="168" t="s">
        <v>302</v>
      </c>
      <c r="E576" s="168" t="s">
        <v>134</v>
      </c>
      <c r="F576" s="168" t="s">
        <v>303</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0.59699999999999998</v>
      </c>
      <c r="N576" s="169">
        <f>IF(OR(B576="",C576=""),"",IFERROR(INDEX(Vöruskrá!Q:Q,MATCH(B576,Vöruskrá!B:B,0))*C576/100000,""))</f>
        <v>0</v>
      </c>
      <c r="O576" s="170">
        <f>IF(OR(B576="",C576=""),"",IFERROR(C576/1000*INDEX(Vöruskrá!R:R,MATCH(B576,Vöruskrá!B:B,0))/1000,""))</f>
        <v>0</v>
      </c>
      <c r="P576" s="171"/>
      <c r="Q576" s="158"/>
      <c r="R576" s="6"/>
    </row>
    <row r="577" spans="1:18" ht="15">
      <c r="A577" s="173"/>
      <c r="B577" s="173" t="s">
        <v>819</v>
      </c>
      <c r="C577" s="174">
        <v>224</v>
      </c>
      <c r="D577" s="168" t="s">
        <v>820</v>
      </c>
      <c r="E577" s="168"/>
      <c r="F577" s="168" t="s">
        <v>311</v>
      </c>
      <c r="G577" s="169">
        <f>IF(OR(B577="",C577=""),"",IFERROR(INDEX(Vöruskrá!J:J,MATCH(B577,Vöruskrá!B:B,0))*C577/100000,""))</f>
        <v>0.86463999999999996</v>
      </c>
      <c r="H577" s="169">
        <f>IF(OR(B577="",C577=""),"",IFERROR(INDEX(Vöruskrá!K:K,MATCH(B577,Vöruskrá!B:B,0))*C577/100000,""))</f>
        <v>7.3919999999999993E-3</v>
      </c>
      <c r="I577" s="169">
        <f>IF(OR(B577="",C577=""),"",IFERROR(INDEX(Vöruskrá!L:L,MATCH(B577,Vöruskrá!B:B,0))*C577/100000,""))</f>
        <v>2.2399999999999998E-3</v>
      </c>
      <c r="J577" s="169">
        <f>IF(OR(B577="",C577=""),"",IFERROR(INDEX(Vöruskrá!M:M,MATCH(B577,Vöruskrá!B:B,0))*C577/100000,""))</f>
        <v>0.14560000000000001</v>
      </c>
      <c r="K577" s="169">
        <f>IF(OR(B577="",C577=""),"",IFERROR(INDEX(Vöruskrá!N:N,MATCH(B577,Vöruskrá!B:B,0))*C577/100000,""))</f>
        <v>1.3440000000000001E-3</v>
      </c>
      <c r="L577" s="169">
        <f>IF(OR(B577="",C577=""),"",IFERROR(INDEX(Vöruskrá!O:O,MATCH(B577,Vöruskrá!B:B,0))*C577/100000,""))</f>
        <v>2.4639999999999999E-2</v>
      </c>
      <c r="M577" s="169">
        <f>IF(OR(B577="",C577=""),"",IFERROR(INDEX(Vöruskrá!P:P,MATCH(B577,Vöruskrá!B:B,0))*C577/100000,""))</f>
        <v>2.2400000000000002E-4</v>
      </c>
      <c r="N577" s="169">
        <f>IF(OR(B577="",C577=""),"",IFERROR(INDEX(Vöruskrá!Q:Q,MATCH(B577,Vöruskrá!B:B,0))*C577/100000,""))</f>
        <v>0</v>
      </c>
      <c r="O577" s="170">
        <f>IF(OR(B577="",C577=""),"",IFERROR(C577/1000*INDEX(Vöruskrá!R:R,MATCH(B577,Vöruskrá!B:B,0))/1000,""))</f>
        <v>0</v>
      </c>
      <c r="P577" s="173"/>
      <c r="Q577" s="201"/>
      <c r="R577" s="202"/>
    </row>
    <row r="578" spans="1:18" ht="60">
      <c r="A578" s="147" t="s">
        <v>1834</v>
      </c>
      <c r="B578" s="147"/>
      <c r="C578" s="148"/>
      <c r="D578" s="165" t="s">
        <v>1835</v>
      </c>
      <c r="E578" s="165" t="s">
        <v>1798</v>
      </c>
      <c r="F578" s="165"/>
      <c r="G578" s="166">
        <v>214.69</v>
      </c>
      <c r="H578" s="166">
        <v>12.26</v>
      </c>
      <c r="I578" s="166">
        <v>3.3</v>
      </c>
      <c r="J578" s="166">
        <v>11.57</v>
      </c>
      <c r="K578" s="166"/>
      <c r="L578" s="166">
        <v>13.78</v>
      </c>
      <c r="M578" s="166">
        <v>1.29</v>
      </c>
      <c r="N578" s="166">
        <f>IFERROR(SUM(N579:N586)/(SUM($C$579:$C$586)/100000),"")</f>
        <v>1.2905900940990589</v>
      </c>
      <c r="O578" s="167" t="str">
        <f>IF(OR(B578="",C578=""),"",IFERROR(C578/1000*INDEX(Vöruskrá!R:R,MATCH(B578,Vöruskrá!B:B,0))/1000,""))</f>
        <v/>
      </c>
      <c r="P578" s="196" t="s">
        <v>1836</v>
      </c>
      <c r="Q578" s="195" t="s">
        <v>1837</v>
      </c>
      <c r="R578" s="194" t="s">
        <v>1838</v>
      </c>
    </row>
    <row r="579" spans="1:18" ht="15">
      <c r="A579" s="171"/>
      <c r="B579" s="171" t="s">
        <v>542</v>
      </c>
      <c r="C579" s="172">
        <v>51282</v>
      </c>
      <c r="D579" s="168" t="s">
        <v>543</v>
      </c>
      <c r="E579" s="168" t="s">
        <v>134</v>
      </c>
      <c r="F579" s="168"/>
      <c r="G579" s="169">
        <f>IF(OR(B579="",C579=""),"",IFERROR(INDEX(Vöruskrá!J:J,MATCH(B579,Vöruskrá!B:B,0))*C579/100000,""))</f>
        <v>91.794780000000003</v>
      </c>
      <c r="H579" s="169">
        <f>IF(OR(B579="",C579=""),"",IFERROR(INDEX(Vöruskrá!K:K,MATCH(B579,Vöruskrá!B:B,0))*C579/100000,""))</f>
        <v>5.6410200000000001</v>
      </c>
      <c r="I579" s="169">
        <f>IF(OR(B579="",C579=""),"",IFERROR(INDEX(Vöruskrá!L:L,MATCH(B579,Vöruskrá!B:B,0))*C579/100000,""))</f>
        <v>1.5897420000000002</v>
      </c>
      <c r="J579" s="169">
        <f>IF(OR(B579="",C579=""),"",IFERROR(INDEX(Vöruskrá!M:M,MATCH(B579,Vöruskrá!B:B,0))*C579/100000,""))</f>
        <v>0</v>
      </c>
      <c r="K579" s="169">
        <f>IF(OR(B579="",C579=""),"",IFERROR(INDEX(Vöruskrá!N:N,MATCH(B579,Vöruskrá!B:B,0))*C579/100000,""))</f>
        <v>0</v>
      </c>
      <c r="L579" s="169">
        <f>IF(OR(B579="",C579=""),"",IFERROR(INDEX(Vöruskrá!O:O,MATCH(B579,Vöruskrá!B:B,0))*C579/100000,""))</f>
        <v>10.256399999999999</v>
      </c>
      <c r="M579" s="169">
        <f>IF(OR(B579="",C579=""),"",IFERROR(INDEX(Vöruskrá!P:P,MATCH(B579,Vöruskrá!B:B,0))*C579/100000,""))</f>
        <v>0.10256400000000002</v>
      </c>
      <c r="N579" s="169">
        <f>IF(OR(B579="",C579=""),"",IFERROR(INDEX(Vöruskrá!Q:Q,MATCH(B579,Vöruskrá!B:B,0))*C579/100000,""))</f>
        <v>0</v>
      </c>
      <c r="O579" s="170">
        <f>IF(OR(B579="",C579=""),"",IFERROR(C579/1000*INDEX(Vöruskrá!R:R,MATCH(B579,Vöruskrá!B:B,0))/1000,""))</f>
        <v>0</v>
      </c>
      <c r="P579" s="171"/>
      <c r="Q579" s="203"/>
      <c r="R579" s="204"/>
    </row>
    <row r="580" spans="1:18" ht="15">
      <c r="A580" s="173"/>
      <c r="B580" s="173" t="s">
        <v>494</v>
      </c>
      <c r="C580" s="174">
        <v>17094</v>
      </c>
      <c r="D580" s="168" t="s">
        <v>495</v>
      </c>
      <c r="E580" s="168" t="s">
        <v>134</v>
      </c>
      <c r="F580" s="168"/>
      <c r="G580" s="169">
        <f>IF(OR(B580="",C580=""),"",IFERROR(INDEX(Vöruskrá!J:J,MATCH(B580,Vöruskrá!B:B,0))*C580/100000,""))</f>
        <v>82.564019999999999</v>
      </c>
      <c r="H580" s="169">
        <f>IF(OR(B580="",C580=""),"",IFERROR(INDEX(Vöruskrá!K:K,MATCH(B580,Vöruskrá!B:B,0))*C580/100000,""))</f>
        <v>4.2735000000000003</v>
      </c>
      <c r="I580" s="169">
        <f>IF(OR(B580="",C580=""),"",IFERROR(INDEX(Vöruskrá!L:L,MATCH(B580,Vöruskrá!B:B,0))*C580/100000,""))</f>
        <v>0.39316199999999996</v>
      </c>
      <c r="J580" s="169">
        <f>IF(OR(B580="",C580=""),"",IFERROR(INDEX(Vöruskrá!M:M,MATCH(B580,Vöruskrá!B:B,0))*C580/100000,""))</f>
        <v>9.5726399999999998</v>
      </c>
      <c r="K580" s="169">
        <f>IF(OR(B580="",C580=""),"",IFERROR(INDEX(Vöruskrá!N:N,MATCH(B580,Vöruskrá!B:B,0))*C580/100000,""))</f>
        <v>0.18803400000000001</v>
      </c>
      <c r="L580" s="169">
        <f>IF(OR(B580="",C580=""),"",IFERROR(INDEX(Vöruskrá!O:O,MATCH(B580,Vöruskrá!B:B,0))*C580/100000,""))</f>
        <v>0.97435800000000006</v>
      </c>
      <c r="M580" s="169">
        <f>IF(OR(B580="",C580=""),"",IFERROR(INDEX(Vöruskrá!P:P,MATCH(B580,Vöruskrá!B:B,0))*C580/100000,""))</f>
        <v>0.205128</v>
      </c>
      <c r="N580" s="169">
        <f>IF(OR(B580="",C580=""),"",IFERROR(INDEX(Vöruskrá!Q:Q,MATCH(B580,Vöruskrá!B:B,0))*C580/100000,""))</f>
        <v>1.0769219999999999</v>
      </c>
      <c r="O580" s="170">
        <f>IF(OR(B580="",C580=""),"",IFERROR(C580/1000*INDEX(Vöruskrá!R:R,MATCH(B580,Vöruskrá!B:B,0))/1000,""))</f>
        <v>0</v>
      </c>
      <c r="P580" s="173"/>
      <c r="Q580" s="158"/>
      <c r="R580" s="6"/>
    </row>
    <row r="581" spans="1:18" ht="15">
      <c r="A581" s="171"/>
      <c r="B581" s="171" t="s">
        <v>489</v>
      </c>
      <c r="C581" s="172">
        <v>1709</v>
      </c>
      <c r="D581" s="168" t="s">
        <v>490</v>
      </c>
      <c r="E581" s="168" t="s">
        <v>134</v>
      </c>
      <c r="F581" s="168" t="s">
        <v>311</v>
      </c>
      <c r="G581" s="169">
        <f>IF(OR(B581="",C581=""),"",IFERROR(INDEX(Vöruskrá!J:J,MATCH(B581,Vöruskrá!B:B,0))*C581/100000,""))</f>
        <v>3.7939799999999999</v>
      </c>
      <c r="H581" s="169">
        <f>IF(OR(B581="",C581=""),"",IFERROR(INDEX(Vöruskrá!K:K,MATCH(B581,Vöruskrá!B:B,0))*C581/100000,""))</f>
        <v>0.10254000000000001</v>
      </c>
      <c r="I581" s="169">
        <f>IF(OR(B581="",C581=""),"",IFERROR(INDEX(Vöruskrá!L:L,MATCH(B581,Vöruskrá!B:B,0))*C581/100000,""))</f>
        <v>1.5381000000000001E-2</v>
      </c>
      <c r="J581" s="169">
        <f>IF(OR(B581="",C581=""),"",IFERROR(INDEX(Vöruskrá!M:M,MATCH(B581,Vöruskrá!B:B,0))*C581/100000,""))</f>
        <v>0.51270000000000004</v>
      </c>
      <c r="K581" s="169">
        <f>IF(OR(B581="",C581=""),"",IFERROR(INDEX(Vöruskrá!N:N,MATCH(B581,Vöruskrá!B:B,0))*C581/100000,""))</f>
        <v>7.8613999999999989E-2</v>
      </c>
      <c r="L581" s="169">
        <f>IF(OR(B581="",C581=""),"",IFERROR(INDEX(Vöruskrá!O:O,MATCH(B581,Vöruskrá!B:B,0))*C581/100000,""))</f>
        <v>0.121339</v>
      </c>
      <c r="M581" s="169">
        <f>IF(OR(B581="",C581=""),"",IFERROR(INDEX(Vöruskrá!P:P,MATCH(B581,Vöruskrá!B:B,0))*C581/100000,""))</f>
        <v>0.76905000000000001</v>
      </c>
      <c r="N581" s="169">
        <f>IF(OR(B581="",C581=""),"",IFERROR(INDEX(Vöruskrá!Q:Q,MATCH(B581,Vöruskrá!B:B,0))*C581/100000,""))</f>
        <v>0</v>
      </c>
      <c r="O581" s="170">
        <f>IF(OR(B581="",C581=""),"",IFERROR(C581/1000*INDEX(Vöruskrá!R:R,MATCH(B581,Vöruskrá!B:B,0))/1000,""))</f>
        <v>0</v>
      </c>
      <c r="P581" s="171"/>
      <c r="Q581" s="157"/>
      <c r="R581" s="27"/>
    </row>
    <row r="582" spans="1:18" ht="15">
      <c r="A582" s="173"/>
      <c r="B582" s="173" t="s">
        <v>895</v>
      </c>
      <c r="C582" s="174">
        <v>8547</v>
      </c>
      <c r="D582" s="168" t="s">
        <v>897</v>
      </c>
      <c r="E582" s="168" t="s">
        <v>120</v>
      </c>
      <c r="F582" s="168"/>
      <c r="G582" s="169">
        <f>IF(OR(B582="",C582=""),"",IFERROR(INDEX(Vöruskrá!J:J,MATCH(B582,Vöruskrá!B:B,0))*C582/100000,""))</f>
        <v>25.726469999999999</v>
      </c>
      <c r="H582" s="169">
        <f>IF(OR(B582="",C582=""),"",IFERROR(INDEX(Vöruskrá!K:K,MATCH(B582,Vöruskrá!B:B,0))*C582/100000,""))</f>
        <v>1.79487</v>
      </c>
      <c r="I582" s="169">
        <f>IF(OR(B582="",C582=""),"",IFERROR(INDEX(Vöruskrá!L:L,MATCH(B582,Vöruskrá!B:B,0))*C582/100000,""))</f>
        <v>1.0256400000000001</v>
      </c>
      <c r="J582" s="169">
        <f>IF(OR(B582="",C582=""),"",IFERROR(INDEX(Vöruskrá!M:M,MATCH(B582,Vöruskrá!B:B,0))*C582/100000,""))</f>
        <v>0.27350400000000002</v>
      </c>
      <c r="K582" s="169">
        <f>IF(OR(B582="",C582=""),"",IFERROR(INDEX(Vöruskrá!N:N,MATCH(B582,Vöruskrá!B:B,0))*C582/100000,""))</f>
        <v>8.5470000000000004E-2</v>
      </c>
      <c r="L582" s="169">
        <f>IF(OR(B582="",C582=""),"",IFERROR(INDEX(Vöruskrá!O:O,MATCH(B582,Vöruskrá!B:B,0))*C582/100000,""))</f>
        <v>2.0512800000000002</v>
      </c>
      <c r="M582" s="169">
        <f>IF(OR(B582="",C582=""),"",IFERROR(INDEX(Vöruskrá!P:P,MATCH(B582,Vöruskrá!B:B,0))*C582/100000,""))</f>
        <v>0.11965799999999999</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420</v>
      </c>
      <c r="C583" s="172">
        <v>8547</v>
      </c>
      <c r="D583" s="168" t="s">
        <v>421</v>
      </c>
      <c r="E583" s="168" t="s">
        <v>134</v>
      </c>
      <c r="F583" s="168"/>
      <c r="G583" s="169">
        <f>IF(OR(B583="",C583=""),"",IFERROR(INDEX(Vöruskrá!J:J,MATCH(B583,Vöruskrá!B:B,0))*C583/100000,""))</f>
        <v>2.8205100000000001</v>
      </c>
      <c r="H583" s="169">
        <f>IF(OR(B583="",C583=""),"",IFERROR(INDEX(Vöruskrá!K:K,MATCH(B583,Vöruskrá!B:B,0))*C583/100000,""))</f>
        <v>0</v>
      </c>
      <c r="I583" s="169">
        <f>IF(OR(B583="",C583=""),"",IFERROR(INDEX(Vöruskrá!L:L,MATCH(B583,Vöruskrá!B:B,0))*C583/100000,""))</f>
        <v>0</v>
      </c>
      <c r="J583" s="169">
        <f>IF(OR(B583="",C583=""),"",IFERROR(INDEX(Vöruskrá!M:M,MATCH(B583,Vöruskrá!B:B,0))*C583/100000,""))</f>
        <v>0.47008499999999998</v>
      </c>
      <c r="K583" s="169">
        <f>IF(OR(B583="",C583=""),"",IFERROR(INDEX(Vöruskrá!N:N,MATCH(B583,Vöruskrá!B:B,0))*C583/100000,""))</f>
        <v>0.41025600000000001</v>
      </c>
      <c r="L583" s="169">
        <f>IF(OR(B583="",C583=""),"",IFERROR(INDEX(Vöruskrá!O:O,MATCH(B583,Vöruskrá!B:B,0))*C583/100000,""))</f>
        <v>0.13675200000000001</v>
      </c>
      <c r="M583" s="169">
        <f>IF(OR(B583="",C583=""),"",IFERROR(INDEX(Vöruskrá!P:P,MATCH(B583,Vöruskrá!B:B,0))*C583/100000,""))</f>
        <v>8.5470000000000004E-2</v>
      </c>
      <c r="N583" s="169">
        <f>IF(OR(B583="",C583=""),"",IFERROR(INDEX(Vöruskrá!Q:Q,MATCH(B583,Vöruskrá!B:B,0))*C583/100000,""))</f>
        <v>0.16239299999999998</v>
      </c>
      <c r="O583" s="170">
        <f>IF(OR(B583="",C583=""),"",IFERROR(C583/1000*INDEX(Vöruskrá!R:R,MATCH(B583,Vöruskrá!B:B,0))/1000,""))</f>
        <v>0</v>
      </c>
      <c r="P583" s="171"/>
      <c r="Q583" s="157"/>
      <c r="R583" s="27"/>
    </row>
    <row r="584" spans="1:18" ht="15">
      <c r="A584" s="173"/>
      <c r="B584" s="173" t="s">
        <v>627</v>
      </c>
      <c r="C584" s="174">
        <v>4274</v>
      </c>
      <c r="D584" s="168" t="s">
        <v>629</v>
      </c>
      <c r="E584" s="168"/>
      <c r="F584" s="168"/>
      <c r="G584" s="169">
        <f>IF(OR(B584="",C584=""),"",IFERROR(INDEX(Vöruskrá!J:J,MATCH(B584,Vöruskrá!B:B,0))*C584/100000,""))</f>
        <v>2.137</v>
      </c>
      <c r="H584" s="169">
        <f>IF(OR(B584="",C584=""),"",IFERROR(INDEX(Vöruskrá!K:K,MATCH(B584,Vöruskrá!B:B,0))*C584/100000,""))</f>
        <v>8.548E-3</v>
      </c>
      <c r="I584" s="169">
        <f>IF(OR(B584="",C584=""),"",IFERROR(INDEX(Vöruskrá!L:L,MATCH(B584,Vöruskrá!B:B,0))*C584/100000,""))</f>
        <v>0</v>
      </c>
      <c r="J584" s="169">
        <f>IF(OR(B584="",C584=""),"",IFERROR(INDEX(Vöruskrá!M:M,MATCH(B584,Vöruskrá!B:B,0))*C584/100000,""))</f>
        <v>0.423126</v>
      </c>
      <c r="K584" s="169">
        <f>IF(OR(B584="",C584=""),"",IFERROR(INDEX(Vöruskrá!N:N,MATCH(B584,Vöruskrá!B:B,0))*C584/100000,""))</f>
        <v>0.41457799999999995</v>
      </c>
      <c r="L584" s="169">
        <f>IF(OR(B584="",C584=""),"",IFERROR(INDEX(Vöruskrá!O:O,MATCH(B584,Vöruskrá!B:B,0))*C584/100000,""))</f>
        <v>4.274E-2</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483</v>
      </c>
      <c r="C585" s="172">
        <v>4274</v>
      </c>
      <c r="D585" s="168" t="s">
        <v>485</v>
      </c>
      <c r="E585" s="168" t="s">
        <v>120</v>
      </c>
      <c r="F585" s="168"/>
      <c r="G585" s="169">
        <f>IF(OR(B585="",C585=""),"",IFERROR(INDEX(Vöruskrá!J:J,MATCH(B585,Vöruskrá!B:B,0))*C585/100000,""))</f>
        <v>5.0860599999999998</v>
      </c>
      <c r="H585" s="169">
        <f>IF(OR(B585="",C585=""),"",IFERROR(INDEX(Vöruskrá!K:K,MATCH(B585,Vöruskrá!B:B,0))*C585/100000,""))</f>
        <v>0.4274</v>
      </c>
      <c r="I585" s="169">
        <f>IF(OR(B585="",C585=""),"",IFERROR(INDEX(Vöruskrá!L:L,MATCH(B585,Vöruskrá!B:B,0))*C585/100000,""))</f>
        <v>0.273536</v>
      </c>
      <c r="J585" s="169">
        <f>IF(OR(B585="",C585=""),"",IFERROR(INDEX(Vöruskrá!M:M,MATCH(B585,Vöruskrá!B:B,0))*C585/100000,""))</f>
        <v>0.14959</v>
      </c>
      <c r="K585" s="169">
        <f>IF(OR(B585="",C585=""),"",IFERROR(INDEX(Vöruskrá!N:N,MATCH(B585,Vöruskrá!B:B,0))*C585/100000,""))</f>
        <v>0.14959</v>
      </c>
      <c r="L585" s="169">
        <f>IF(OR(B585="",C585=""),"",IFERROR(INDEX(Vöruskrá!O:O,MATCH(B585,Vöruskrá!B:B,0))*C585/100000,""))</f>
        <v>0.162412</v>
      </c>
      <c r="M585" s="169">
        <f>IF(OR(B585="",C585=""),"",IFERROR(INDEX(Vöruskrá!P:P,MATCH(B585,Vöruskrá!B:B,0))*C585/100000,""))</f>
        <v>4.274E-3</v>
      </c>
      <c r="N585" s="169">
        <f>IF(OR(B585="",C585=""),"",IFERROR(INDEX(Vöruskrá!Q:Q,MATCH(B585,Vöruskrá!B:B,0))*C585/100000,""))</f>
        <v>0</v>
      </c>
      <c r="O585" s="170">
        <f>IF(OR(B585="",C585=""),"",IFERROR(C585/1000*INDEX(Vöruskrá!R:R,MATCH(B585,Vöruskrá!B:B,0))/1000,""))</f>
        <v>0</v>
      </c>
      <c r="P585" s="171"/>
      <c r="Q585" s="157"/>
      <c r="R585" s="27"/>
    </row>
    <row r="586" spans="1:18" ht="15">
      <c r="A586" s="180"/>
      <c r="B586" s="180" t="s">
        <v>500</v>
      </c>
      <c r="C586" s="181">
        <v>4274</v>
      </c>
      <c r="D586" s="177" t="s">
        <v>1129</v>
      </c>
      <c r="E586" s="177" t="s">
        <v>1099</v>
      </c>
      <c r="F586" s="177"/>
      <c r="G586" s="178">
        <f>IF(OR(B586="",C586=""),"",IFERROR(INDEX(Vöruskrá!J:J,MATCH(B586,Vöruskrá!B:B,0))*C586/100000,""))</f>
        <v>0.76932</v>
      </c>
      <c r="H586" s="178">
        <f>IF(OR(B586="",C586=""),"",IFERROR(INDEX(Vöruskrá!K:K,MATCH(B586,Vöruskrá!B:B,0))*C586/100000,""))</f>
        <v>8.548E-3</v>
      </c>
      <c r="I586" s="178">
        <f>IF(OR(B586="",C586=""),"",IFERROR(INDEX(Vöruskrá!L:L,MATCH(B586,Vöruskrá!B:B,0))*C586/100000,""))</f>
        <v>0</v>
      </c>
      <c r="J586" s="178">
        <f>IF(OR(B586="",C586=""),"",IFERROR(INDEX(Vöruskrá!M:M,MATCH(B586,Vöruskrá!B:B,0))*C586/100000,""))</f>
        <v>0.16668599999999997</v>
      </c>
      <c r="K586" s="178">
        <f>IF(OR(B586="",C586=""),"",IFERROR(INDEX(Vöruskrá!N:N,MATCH(B586,Vöruskrá!B:B,0))*C586/100000,""))</f>
        <v>0.111124</v>
      </c>
      <c r="L586" s="178">
        <f>IF(OR(B586="",C586=""),"",IFERROR(INDEX(Vöruskrá!O:O,MATCH(B586,Vöruskrá!B:B,0))*C586/100000,""))</f>
        <v>3.8466E-2</v>
      </c>
      <c r="M586" s="178">
        <f>IF(OR(B586="",C586=""),"",IFERROR(INDEX(Vöruskrá!P:P,MATCH(B586,Vöruskrá!B:B,0))*C586/100000,""))</f>
        <v>0</v>
      </c>
      <c r="N586" s="178">
        <f>IF(OR(B586="",C586=""),"",IFERROR(INDEX(Vöruskrá!Q:Q,MATCH(B586,Vöruskrá!B:B,0))*C586/100000,""))</f>
        <v>5.1288E-2</v>
      </c>
      <c r="O586" s="179">
        <f>IF(OR(B586="",C586=""),"",IFERROR(C586/1000*INDEX(Vöruskrá!R:R,MATCH(B586,Vöruskrá!B:B,0))/1000,""))</f>
        <v>0</v>
      </c>
      <c r="P586" s="180"/>
      <c r="Q586" s="200"/>
      <c r="R586" s="159"/>
    </row>
    <row r="587" spans="1:18" ht="48">
      <c r="A587" s="147" t="s">
        <v>1839</v>
      </c>
      <c r="B587" s="147"/>
      <c r="C587" s="148"/>
      <c r="D587" s="165" t="s">
        <v>1840</v>
      </c>
      <c r="E587" s="165" t="s">
        <v>134</v>
      </c>
      <c r="F587" s="165"/>
      <c r="G587" s="166">
        <v>3.17</v>
      </c>
      <c r="H587" s="166">
        <v>0.02</v>
      </c>
      <c r="I587" s="166">
        <v>0</v>
      </c>
      <c r="J587" s="166">
        <v>0.65</v>
      </c>
      <c r="K587" s="166"/>
      <c r="L587" s="166">
        <v>0.08</v>
      </c>
      <c r="M587" s="166">
        <v>0.59</v>
      </c>
      <c r="N587" s="166">
        <f>IFERROR(SUM(N588:N595)/(SUM($C$588:$C$595)/100000),"")</f>
        <v>6.4708705825883492E-2</v>
      </c>
      <c r="O587" s="167" t="str">
        <f>IF(OR(B587="",C587=""),"",IFERROR(C587/1000*INDEX(Vöruskrá!R:R,MATCH(B587,Vöruskrá!B:B,0))/1000,""))</f>
        <v/>
      </c>
      <c r="P587" s="196" t="s">
        <v>1776</v>
      </c>
      <c r="Q587" s="195" t="s">
        <v>1841</v>
      </c>
      <c r="R587" s="194" t="s">
        <v>1842</v>
      </c>
    </row>
    <row r="588" spans="1:18" ht="15">
      <c r="A588" s="171"/>
      <c r="B588" s="171" t="s">
        <v>1484</v>
      </c>
      <c r="C588" s="172">
        <v>57513</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97"/>
      <c r="R588" s="164"/>
    </row>
    <row r="589" spans="1:18" ht="15">
      <c r="A589" s="173"/>
      <c r="B589" s="173" t="s">
        <v>1010</v>
      </c>
      <c r="C589" s="174">
        <v>3595</v>
      </c>
      <c r="D589" s="168" t="s">
        <v>1010</v>
      </c>
      <c r="E589" s="168" t="s">
        <v>134</v>
      </c>
      <c r="F589" s="168"/>
      <c r="G589" s="169">
        <f>IF(OR(B589="",C589=""),"",IFERROR(INDEX(Vöruskrá!J:J,MATCH(B589,Vöruskrá!B:B,0))*C589/100000,""))</f>
        <v>1.4379999999999999</v>
      </c>
      <c r="H589" s="169">
        <f>IF(OR(B589="",C589=""),"",IFERROR(INDEX(Vöruskrá!K:K,MATCH(B589,Vöruskrá!B:B,0))*C589/100000,""))</f>
        <v>3.5950000000000001E-3</v>
      </c>
      <c r="I589" s="169">
        <f>IF(OR(B589="",C589=""),"",IFERROR(INDEX(Vöruskrá!L:L,MATCH(B589,Vöruskrá!B:B,0))*C589/100000,""))</f>
        <v>0</v>
      </c>
      <c r="J589" s="169">
        <f>IF(OR(B589="",C589=""),"",IFERROR(INDEX(Vöruskrá!M:M,MATCH(B589,Vöruskrá!B:B,0))*C589/100000,""))</f>
        <v>0.33433499999999999</v>
      </c>
      <c r="K589" s="169">
        <f>IF(OR(B589="",C589=""),"",IFERROR(INDEX(Vöruskrá!N:N,MATCH(B589,Vöruskrá!B:B,0))*C589/100000,""))</f>
        <v>0.15099000000000001</v>
      </c>
      <c r="L589" s="169">
        <f>IF(OR(B589="",C589=""),"",IFERROR(INDEX(Vöruskrá!O:O,MATCH(B589,Vöruskrá!B:B,0))*C589/100000,""))</f>
        <v>3.9545000000000004E-2</v>
      </c>
      <c r="M589" s="169">
        <f>IF(OR(B589="",C589=""),"",IFERROR(INDEX(Vöruskrá!P:P,MATCH(B589,Vöruskrá!B:B,0))*C589/100000,""))</f>
        <v>0</v>
      </c>
      <c r="N589" s="169">
        <f>IF(OR(B589="",C589=""),"",IFERROR(INDEX(Vöruskrá!Q:Q,MATCH(B589,Vöruskrá!B:B,0))*C589/100000,""))</f>
        <v>6.1115000000000003E-2</v>
      </c>
      <c r="O589" s="170">
        <f>IF(OR(B589="",C589=""),"",IFERROR(C589/1000*INDEX(Vöruskrá!R:R,MATCH(B589,Vöruskrá!B:B,0))/1000,""))</f>
        <v>0</v>
      </c>
      <c r="P589" s="173"/>
      <c r="Q589" s="157"/>
      <c r="R589" s="27"/>
    </row>
    <row r="590" spans="1:18" ht="15">
      <c r="A590" s="171"/>
      <c r="B590" s="171" t="s">
        <v>1463</v>
      </c>
      <c r="C590" s="172">
        <v>2876</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158"/>
      <c r="R590" s="6"/>
    </row>
    <row r="591" spans="1:18" ht="15">
      <c r="A591" s="173"/>
      <c r="B591" s="173" t="s">
        <v>1466</v>
      </c>
      <c r="C591" s="174">
        <v>2876</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7"/>
      <c r="R591" s="27"/>
    </row>
    <row r="592" spans="1:18" ht="15">
      <c r="A592" s="171"/>
      <c r="B592" s="171" t="s">
        <v>293</v>
      </c>
      <c r="C592" s="172">
        <v>3595</v>
      </c>
      <c r="D592" s="168" t="s">
        <v>295</v>
      </c>
      <c r="E592" s="168" t="s">
        <v>134</v>
      </c>
      <c r="F592" s="168"/>
      <c r="G592" s="169">
        <f>IF(OR(B592="",C592=""),"",IFERROR(INDEX(Vöruskrá!J:J,MATCH(B592,Vöruskrá!B:B,0))*C592/100000,""))</f>
        <v>0.89875000000000005</v>
      </c>
      <c r="H592" s="169">
        <f>IF(OR(B592="",C592=""),"",IFERROR(INDEX(Vöruskrá!K:K,MATCH(B592,Vöruskrá!B:B,0))*C592/100000,""))</f>
        <v>1.0784999999999999E-2</v>
      </c>
      <c r="I592" s="169">
        <f>IF(OR(B592="",C592=""),"",IFERROR(INDEX(Vöruskrá!L:L,MATCH(B592,Vöruskrá!B:B,0))*C592/100000,""))</f>
        <v>0</v>
      </c>
      <c r="J592" s="169">
        <f>IF(OR(B592="",C592=""),"",IFERROR(INDEX(Vöruskrá!M:M,MATCH(B592,Vöruskrá!B:B,0))*C592/100000,""))</f>
        <v>0.17974999999999999</v>
      </c>
      <c r="K592" s="169">
        <f>IF(OR(B592="",C592=""),"",IFERROR(INDEX(Vöruskrá!N:N,MATCH(B592,Vöruskrá!B:B,0))*C592/100000,""))</f>
        <v>2.5165E-2</v>
      </c>
      <c r="L592" s="169">
        <f>IF(OR(B592="",C592=""),"",IFERROR(INDEX(Vöruskrá!O:O,MATCH(B592,Vöruskrá!B:B,0))*C592/100000,""))</f>
        <v>1.7975000000000001E-2</v>
      </c>
      <c r="M592" s="169">
        <f>IF(OR(B592="",C592=""),"",IFERROR(INDEX(Vöruskrá!P:P,MATCH(B592,Vöruskrá!B:B,0))*C592/100000,""))</f>
        <v>1.7975000000000001E-2</v>
      </c>
      <c r="N592" s="169">
        <f>IF(OR(B592="",C592=""),"",IFERROR(INDEX(Vöruskrá!Q:Q,MATCH(B592,Vöruskrá!B:B,0))*C592/100000,""))</f>
        <v>3.5950000000000001E-3</v>
      </c>
      <c r="O592" s="170">
        <f>IF(OR(B592="",C592=""),"",IFERROR(C592/1000*INDEX(Vöruskrá!R:R,MATCH(B592,Vöruskrá!B:B,0))/1000,""))</f>
        <v>0</v>
      </c>
      <c r="P592" s="171"/>
      <c r="Q592" s="158"/>
      <c r="R592" s="6"/>
    </row>
    <row r="593" spans="1:18" ht="15">
      <c r="A593" s="173"/>
      <c r="B593" s="173" t="s">
        <v>1020</v>
      </c>
      <c r="C593" s="174">
        <v>28756</v>
      </c>
      <c r="D593" s="168" t="s">
        <v>1020</v>
      </c>
      <c r="E593" s="168" t="s">
        <v>134</v>
      </c>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7"/>
      <c r="R593" s="27"/>
    </row>
    <row r="594" spans="1:18" ht="15">
      <c r="A594" s="171"/>
      <c r="B594" s="171" t="s">
        <v>299</v>
      </c>
      <c r="C594" s="172">
        <v>575</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0.57499999999999996</v>
      </c>
      <c r="N594" s="169">
        <f>IF(OR(B594="",C594=""),"",IFERROR(INDEX(Vöruskrá!Q:Q,MATCH(B594,Vöruskrá!B:B,0))*C594/100000,""))</f>
        <v>0</v>
      </c>
      <c r="O594" s="170">
        <f>IF(OR(B594="",C594=""),"",IFERROR(C594/1000*INDEX(Vöruskrá!R:R,MATCH(B594,Vöruskrá!B:B,0))/1000,""))</f>
        <v>0</v>
      </c>
      <c r="P594" s="171"/>
      <c r="Q594" s="158"/>
      <c r="R594" s="6"/>
    </row>
    <row r="595" spans="1:18" ht="15">
      <c r="A595" s="173"/>
      <c r="B595" s="173" t="s">
        <v>819</v>
      </c>
      <c r="C595" s="174">
        <v>216</v>
      </c>
      <c r="D595" s="168" t="s">
        <v>820</v>
      </c>
      <c r="E595" s="168"/>
      <c r="F595" s="168" t="s">
        <v>311</v>
      </c>
      <c r="G595" s="169">
        <f>IF(OR(B595="",C595=""),"",IFERROR(INDEX(Vöruskrá!J:J,MATCH(B595,Vöruskrá!B:B,0))*C595/100000,""))</f>
        <v>0.83375999999999995</v>
      </c>
      <c r="H595" s="169">
        <f>IF(OR(B595="",C595=""),"",IFERROR(INDEX(Vöruskrá!K:K,MATCH(B595,Vöruskrá!B:B,0))*C595/100000,""))</f>
        <v>7.1279999999999998E-3</v>
      </c>
      <c r="I595" s="169">
        <f>IF(OR(B595="",C595=""),"",IFERROR(INDEX(Vöruskrá!L:L,MATCH(B595,Vöruskrá!B:B,0))*C595/100000,""))</f>
        <v>2.16E-3</v>
      </c>
      <c r="J595" s="169">
        <f>IF(OR(B595="",C595=""),"",IFERROR(INDEX(Vöruskrá!M:M,MATCH(B595,Vöruskrá!B:B,0))*C595/100000,""))</f>
        <v>0.1404</v>
      </c>
      <c r="K595" s="169">
        <f>IF(OR(B595="",C595=""),"",IFERROR(INDEX(Vöruskrá!N:N,MATCH(B595,Vöruskrá!B:B,0))*C595/100000,""))</f>
        <v>1.2959999999999998E-3</v>
      </c>
      <c r="L595" s="169">
        <f>IF(OR(B595="",C595=""),"",IFERROR(INDEX(Vöruskrá!O:O,MATCH(B595,Vöruskrá!B:B,0))*C595/100000,""))</f>
        <v>2.376E-2</v>
      </c>
      <c r="M595" s="169">
        <f>IF(OR(B595="",C595=""),"",IFERROR(INDEX(Vöruskrá!P:P,MATCH(B595,Vöruskrá!B:B,0))*C595/100000,""))</f>
        <v>2.1600000000000002E-4</v>
      </c>
      <c r="N595" s="169">
        <f>IF(OR(B595="",C595=""),"",IFERROR(INDEX(Vöruskrá!Q:Q,MATCH(B595,Vöruskrá!B:B,0))*C595/100000,""))</f>
        <v>0</v>
      </c>
      <c r="O595" s="170">
        <f>IF(OR(B595="",C595=""),"",IFERROR(C595/1000*INDEX(Vöruskrá!R:R,MATCH(B595,Vöruskrá!B:B,0))/1000,""))</f>
        <v>0</v>
      </c>
      <c r="P595" s="173"/>
      <c r="Q595" s="201"/>
      <c r="R595" s="202"/>
    </row>
    <row r="596" spans="1:18" ht="60">
      <c r="A596" s="147" t="s">
        <v>1843</v>
      </c>
      <c r="B596" s="147"/>
      <c r="C596" s="148"/>
      <c r="D596" s="165" t="s">
        <v>1844</v>
      </c>
      <c r="E596" s="165" t="s">
        <v>1093</v>
      </c>
      <c r="F596" s="165"/>
      <c r="G596" s="166">
        <v>84.86</v>
      </c>
      <c r="H596" s="166">
        <v>7.86</v>
      </c>
      <c r="I596" s="166">
        <v>4.92</v>
      </c>
      <c r="J596" s="166">
        <v>0.92</v>
      </c>
      <c r="K596" s="166"/>
      <c r="L596" s="166">
        <v>2.4500000000000002</v>
      </c>
      <c r="M596" s="166">
        <v>1.03</v>
      </c>
      <c r="N596" s="166">
        <f>IFERROR(SUM(N597:N603)/(SUM($C$597:$C$603)/100000),"")</f>
        <v>2.4616966580976868E-2</v>
      </c>
      <c r="O596" s="167" t="str">
        <f>IF(OR(B596="",C596=""),"",IFERROR(C596/1000*INDEX(Vöruskrá!R:R,MATCH(B596,Vöruskrá!B:B,0))/1000,""))</f>
        <v/>
      </c>
      <c r="P596" s="196" t="s">
        <v>1845</v>
      </c>
      <c r="Q596" s="199" t="s">
        <v>1846</v>
      </c>
      <c r="R596" s="198" t="s">
        <v>1847</v>
      </c>
    </row>
    <row r="597" spans="1:18" ht="15">
      <c r="A597" s="171"/>
      <c r="B597" s="171" t="s">
        <v>1485</v>
      </c>
      <c r="C597" s="172">
        <v>47885</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1058</v>
      </c>
      <c r="C598" s="174">
        <v>11971</v>
      </c>
      <c r="D598" s="168" t="s">
        <v>1059</v>
      </c>
      <c r="E598" s="168" t="s">
        <v>120</v>
      </c>
      <c r="F598" s="168"/>
      <c r="G598" s="169">
        <f>IF(OR(B598="",C598=""),"",IFERROR(INDEX(Vöruskrá!J:J,MATCH(B598,Vöruskrá!B:B,0))*C598/100000,""))</f>
        <v>40.7014</v>
      </c>
      <c r="H598" s="169">
        <f>IF(OR(B598="",C598=""),"",IFERROR(INDEX(Vöruskrá!K:K,MATCH(B598,Vöruskrá!B:B,0))*C598/100000,""))</f>
        <v>4.1898499999999999</v>
      </c>
      <c r="I598" s="169">
        <f>IF(OR(B598="",C598=""),"",IFERROR(INDEX(Vöruskrá!L:L,MATCH(B598,Vöruskrá!B:B,0))*C598/100000,""))</f>
        <v>2.6336200000000001</v>
      </c>
      <c r="J598" s="169">
        <f>IF(OR(B598="",C598=""),"",IFERROR(INDEX(Vöruskrá!M:M,MATCH(B598,Vöruskrá!B:B,0))*C598/100000,""))</f>
        <v>0.35913</v>
      </c>
      <c r="K598" s="169">
        <f>IF(OR(B598="",C598=""),"",IFERROR(INDEX(Vöruskrá!N:N,MATCH(B598,Vöruskrá!B:B,0))*C598/100000,""))</f>
        <v>0.35913</v>
      </c>
      <c r="L598" s="169">
        <f>IF(OR(B598="",C598=""),"",IFERROR(INDEX(Vöruskrá!O:O,MATCH(B598,Vöruskrá!B:B,0))*C598/100000,""))</f>
        <v>0.29927500000000001</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1487</v>
      </c>
      <c r="C599" s="172">
        <v>2394</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57"/>
      <c r="R599" s="27"/>
    </row>
    <row r="600" spans="1:18" ht="15">
      <c r="A600" s="173"/>
      <c r="B600" s="173" t="s">
        <v>1090</v>
      </c>
      <c r="C600" s="174">
        <v>3990</v>
      </c>
      <c r="D600" s="168" t="s">
        <v>1092</v>
      </c>
      <c r="E600" s="168" t="s">
        <v>1093</v>
      </c>
      <c r="F600" s="168" t="s">
        <v>1094</v>
      </c>
      <c r="G600" s="169">
        <f>IF(OR(B600="",C600=""),"",IFERROR(INDEX(Vöruskrá!J:J,MATCH(B600,Vöruskrá!B:B,0))*C600/100000,""))</f>
        <v>15.8802</v>
      </c>
      <c r="H600" s="169">
        <f>IF(OR(B600="",C600=""),"",IFERROR(INDEX(Vöruskrá!K:K,MATCH(B600,Vöruskrá!B:B,0))*C600/100000,""))</f>
        <v>1.1571</v>
      </c>
      <c r="I600" s="169">
        <f>IF(OR(B600="",C600=""),"",IFERROR(INDEX(Vöruskrá!L:L,MATCH(B600,Vöruskrá!B:B,0))*C600/100000,""))</f>
        <v>0.71819999999999995</v>
      </c>
      <c r="J600" s="169">
        <f>IF(OR(B600="",C600=""),"",IFERROR(INDEX(Vöruskrá!M:M,MATCH(B600,Vöruskrá!B:B,0))*C600/100000,""))</f>
        <v>0</v>
      </c>
      <c r="K600" s="169">
        <f>IF(OR(B600="",C600=""),"",IFERROR(INDEX(Vöruskrá!N:N,MATCH(B600,Vöruskrá!B:B,0))*C600/100000,""))</f>
        <v>0</v>
      </c>
      <c r="L600" s="169">
        <f>IF(OR(B600="",C600=""),"",IFERROR(INDEX(Vöruskrá!O:O,MATCH(B600,Vöruskrá!B:B,0))*C600/100000,""))</f>
        <v>1.3167</v>
      </c>
      <c r="M600" s="169">
        <f>IF(OR(B600="",C600=""),"",IFERROR(INDEX(Vöruskrá!P:P,MATCH(B600,Vöruskrá!B:B,0))*C600/100000,""))</f>
        <v>5.985E-2</v>
      </c>
      <c r="N600" s="169">
        <f>IF(OR(B600="",C600=""),"",IFERROR(INDEX(Vöruskrá!Q:Q,MATCH(B600,Vöruskrá!B:B,0))*C600/100000,""))</f>
        <v>0</v>
      </c>
      <c r="O600" s="170">
        <f>IF(OR(B600="",C600=""),"",IFERROR(C600/1000*INDEX(Vöruskrá!R:R,MATCH(B600,Vöruskrá!B:B,0))/1000,""))</f>
        <v>0</v>
      </c>
      <c r="P600" s="173"/>
      <c r="Q600" s="158"/>
      <c r="R600" s="6"/>
    </row>
    <row r="601" spans="1:18" ht="15">
      <c r="A601" s="171"/>
      <c r="B601" s="171" t="s">
        <v>1017</v>
      </c>
      <c r="C601" s="172">
        <v>798</v>
      </c>
      <c r="D601" s="168" t="s">
        <v>1017</v>
      </c>
      <c r="E601" s="168" t="s">
        <v>134</v>
      </c>
      <c r="F601" s="168"/>
      <c r="G601" s="169">
        <f>IF(OR(B601="",C601=""),"",IFERROR(INDEX(Vöruskrá!J:J,MATCH(B601,Vöruskrá!B:B,0))*C601/100000,""))</f>
        <v>1.18902</v>
      </c>
      <c r="H601" s="169">
        <f>IF(OR(B601="",C601=""),"",IFERROR(INDEX(Vöruskrá!K:K,MATCH(B601,Vöruskrá!B:B,0))*C601/100000,""))</f>
        <v>3.9899999999999996E-3</v>
      </c>
      <c r="I601" s="169">
        <f>IF(OR(B601="",C601=""),"",IFERROR(INDEX(Vöruskrá!L:L,MATCH(B601,Vöruskrá!B:B,0))*C601/100000,""))</f>
        <v>7.980000000000001E-4</v>
      </c>
      <c r="J601" s="169">
        <f>IF(OR(B601="",C601=""),"",IFERROR(INDEX(Vöruskrá!M:M,MATCH(B601,Vöruskrá!B:B,0))*C601/100000,""))</f>
        <v>0.26413800000000004</v>
      </c>
      <c r="K601" s="169">
        <f>IF(OR(B601="",C601=""),"",IFERROR(INDEX(Vöruskrá!N:N,MATCH(B601,Vöruskrá!B:B,0))*C601/100000,""))</f>
        <v>7.9799999999999992E-3</v>
      </c>
      <c r="L601" s="169">
        <f>IF(OR(B601="",C601=""),"",IFERROR(INDEX(Vöruskrá!O:O,MATCH(B601,Vöruskrá!B:B,0))*C601/100000,""))</f>
        <v>5.1072000000000006E-2</v>
      </c>
      <c r="M601" s="169">
        <f>IF(OR(B601="",C601=""),"",IFERROR(INDEX(Vöruskrá!P:P,MATCH(B601,Vöruskrá!B:B,0))*C601/100000,""))</f>
        <v>0</v>
      </c>
      <c r="N601" s="169">
        <f>IF(OR(B601="",C601=""),"",IFERROR(INDEX(Vöruskrá!Q:Q,MATCH(B601,Vöruskrá!B:B,0))*C601/100000,""))</f>
        <v>1.6758000000000002E-2</v>
      </c>
      <c r="O601" s="170">
        <f>IF(OR(B601="",C601=""),"",IFERROR(C601/1000*INDEX(Vöruskrá!R:R,MATCH(B601,Vöruskrá!B:B,0))/1000,""))</f>
        <v>0</v>
      </c>
      <c r="P601" s="171"/>
      <c r="Q601" s="157"/>
      <c r="R601" s="27"/>
    </row>
    <row r="602" spans="1:18" ht="15">
      <c r="A602" s="173"/>
      <c r="B602" s="173" t="s">
        <v>1336</v>
      </c>
      <c r="C602" s="174">
        <v>399</v>
      </c>
      <c r="D602" s="168" t="s">
        <v>1337</v>
      </c>
      <c r="E602" s="168" t="s">
        <v>134</v>
      </c>
      <c r="F602" s="168" t="s">
        <v>311</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299</v>
      </c>
      <c r="C603" s="172">
        <v>638</v>
      </c>
      <c r="D603" s="168" t="s">
        <v>302</v>
      </c>
      <c r="E603" s="168" t="s">
        <v>134</v>
      </c>
      <c r="F603" s="168" t="s">
        <v>303</v>
      </c>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0.63800000000000001</v>
      </c>
      <c r="N603" s="169">
        <f>IF(OR(B603="",C603=""),"",IFERROR(INDEX(Vöruskrá!Q:Q,MATCH(B603,Vöruskrá!B:B,0))*C603/100000,""))</f>
        <v>0</v>
      </c>
      <c r="O603" s="170">
        <f>IF(OR(B603="",C603=""),"",IFERROR(C603/1000*INDEX(Vöruskrá!R:R,MATCH(B603,Vöruskrá!B:B,0))/1000,""))</f>
        <v>0</v>
      </c>
      <c r="P603" s="171"/>
      <c r="Q603" s="201"/>
      <c r="R603" s="202"/>
    </row>
    <row r="604" spans="1:18" ht="60">
      <c r="A604" s="147" t="s">
        <v>1848</v>
      </c>
      <c r="B604" s="147"/>
      <c r="C604" s="148"/>
      <c r="D604" s="165" t="s">
        <v>1849</v>
      </c>
      <c r="E604" s="165" t="s">
        <v>1850</v>
      </c>
      <c r="F604" s="165"/>
      <c r="G604" s="166">
        <v>23.14</v>
      </c>
      <c r="H604" s="166">
        <v>0.15</v>
      </c>
      <c r="I604" s="166">
        <v>0.03</v>
      </c>
      <c r="J604" s="166">
        <v>5.28</v>
      </c>
      <c r="K604" s="166"/>
      <c r="L604" s="166">
        <v>0.32</v>
      </c>
      <c r="M604" s="166">
        <v>1.18</v>
      </c>
      <c r="N604" s="166">
        <f>IFERROR(SUM(N605:N611)/(SUM($C$605:$C$611)/100000),"")</f>
        <v>0.39436905630943686</v>
      </c>
      <c r="O604" s="167" t="str">
        <f>IF(OR(B604="",C604=""),"",IFERROR(C604/1000*INDEX(Vöruskrá!R:R,MATCH(B604,Vöruskrá!B:B,0))/1000,""))</f>
        <v/>
      </c>
      <c r="P604" s="196" t="s">
        <v>1851</v>
      </c>
      <c r="Q604" s="195" t="s">
        <v>1852</v>
      </c>
      <c r="R604" s="194" t="s">
        <v>1853</v>
      </c>
    </row>
    <row r="605" spans="1:18" ht="15">
      <c r="A605" s="171"/>
      <c r="B605" s="171" t="s">
        <v>1485</v>
      </c>
      <c r="C605" s="172">
        <v>85016</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3"/>
      <c r="R605" s="204"/>
    </row>
    <row r="606" spans="1:18" ht="15">
      <c r="A606" s="173"/>
      <c r="B606" s="173" t="s">
        <v>1001</v>
      </c>
      <c r="C606" s="174">
        <v>10627</v>
      </c>
      <c r="D606" s="168" t="s">
        <v>1003</v>
      </c>
      <c r="E606" s="168" t="s">
        <v>252</v>
      </c>
      <c r="F606" s="168"/>
      <c r="G606" s="169">
        <f>IF(OR(B606="",C606=""),"",IFERROR(INDEX(Vöruskrá!J:J,MATCH(B606,Vöruskrá!B:B,0))*C606/100000,""))</f>
        <v>13.071210000000001</v>
      </c>
      <c r="H606" s="169">
        <f>IF(OR(B606="",C606=""),"",IFERROR(INDEX(Vöruskrá!K:K,MATCH(B606,Vöruskrá!B:B,0))*C606/100000,""))</f>
        <v>0</v>
      </c>
      <c r="I606" s="169">
        <f>IF(OR(B606="",C606=""),"",IFERROR(INDEX(Vöruskrá!L:L,MATCH(B606,Vöruskrá!B:B,0))*C606/100000,""))</f>
        <v>0</v>
      </c>
      <c r="J606" s="169">
        <f>IF(OR(B606="",C606=""),"",IFERROR(INDEX(Vöruskrá!M:M,MATCH(B606,Vöruskrá!B:B,0))*C606/100000,""))</f>
        <v>3.0818300000000001</v>
      </c>
      <c r="K606" s="169">
        <f>IF(OR(B606="",C606=""),"",IFERROR(INDEX(Vöruskrá!N:N,MATCH(B606,Vöruskrá!B:B,0))*C606/100000,""))</f>
        <v>2.6567500000000002</v>
      </c>
      <c r="L606" s="169">
        <f>IF(OR(B606="",C606=""),"",IFERROR(INDEX(Vöruskrá!O:O,MATCH(B606,Vöruskrá!B:B,0))*C606/100000,""))</f>
        <v>6.3761999999999999E-2</v>
      </c>
      <c r="M606" s="169">
        <f>IF(OR(B606="",C606=""),"",IFERROR(INDEX(Vöruskrá!P:P,MATCH(B606,Vöruskrá!B:B,0))*C606/100000,""))</f>
        <v>0.32943700000000004</v>
      </c>
      <c r="N606" s="169">
        <f>IF(OR(B606="",C606=""),"",IFERROR(INDEX(Vöruskrá!Q:Q,MATCH(B606,Vöruskrá!B:B,0))*C606/100000,""))</f>
        <v>0</v>
      </c>
      <c r="O606" s="170">
        <f>IF(OR(B606="",C606=""),"",IFERROR(C606/1000*INDEX(Vöruskrá!R:R,MATCH(B606,Vöruskrá!B:B,0))/1000,""))</f>
        <v>0</v>
      </c>
      <c r="P606" s="173"/>
      <c r="Q606" s="158"/>
      <c r="R606" s="6"/>
    </row>
    <row r="607" spans="1:18" ht="15">
      <c r="A607" s="171"/>
      <c r="B607" s="171" t="s">
        <v>1017</v>
      </c>
      <c r="C607" s="172">
        <v>1063</v>
      </c>
      <c r="D607" s="168" t="s">
        <v>1017</v>
      </c>
      <c r="E607" s="168" t="s">
        <v>134</v>
      </c>
      <c r="F607" s="168"/>
      <c r="G607" s="169">
        <f>IF(OR(B607="",C607=""),"",IFERROR(INDEX(Vöruskrá!J:J,MATCH(B607,Vöruskrá!B:B,0))*C607/100000,""))</f>
        <v>1.5838699999999999</v>
      </c>
      <c r="H607" s="169">
        <f>IF(OR(B607="",C607=""),"",IFERROR(INDEX(Vöruskrá!K:K,MATCH(B607,Vöruskrá!B:B,0))*C607/100000,""))</f>
        <v>5.3150000000000003E-3</v>
      </c>
      <c r="I607" s="169">
        <f>IF(OR(B607="",C607=""),"",IFERROR(INDEX(Vöruskrá!L:L,MATCH(B607,Vöruskrá!B:B,0))*C607/100000,""))</f>
        <v>1.0630000000000001E-3</v>
      </c>
      <c r="J607" s="169">
        <f>IF(OR(B607="",C607=""),"",IFERROR(INDEX(Vöruskrá!M:M,MATCH(B607,Vöruskrá!B:B,0))*C607/100000,""))</f>
        <v>0.35185300000000003</v>
      </c>
      <c r="K607" s="169">
        <f>IF(OR(B607="",C607=""),"",IFERROR(INDEX(Vöruskrá!N:N,MATCH(B607,Vöruskrá!B:B,0))*C607/100000,""))</f>
        <v>1.0630000000000001E-2</v>
      </c>
      <c r="L607" s="169">
        <f>IF(OR(B607="",C607=""),"",IFERROR(INDEX(Vöruskrá!O:O,MATCH(B607,Vöruskrá!B:B,0))*C607/100000,""))</f>
        <v>6.8032000000000009E-2</v>
      </c>
      <c r="M607" s="169">
        <f>IF(OR(B607="",C607=""),"",IFERROR(INDEX(Vöruskrá!P:P,MATCH(B607,Vöruskrá!B:B,0))*C607/100000,""))</f>
        <v>0</v>
      </c>
      <c r="N607" s="169">
        <f>IF(OR(B607="",C607=""),"",IFERROR(INDEX(Vöruskrá!Q:Q,MATCH(B607,Vöruskrá!B:B,0))*C607/100000,""))</f>
        <v>2.2323000000000003E-2</v>
      </c>
      <c r="O607" s="170">
        <f>IF(OR(B607="",C607=""),"",IFERROR(C607/1000*INDEX(Vöruskrá!R:R,MATCH(B607,Vöruskrá!B:B,0))/1000,""))</f>
        <v>0</v>
      </c>
      <c r="P607" s="171"/>
      <c r="Q607" s="157"/>
      <c r="R607" s="27"/>
    </row>
    <row r="608" spans="1:18" ht="15">
      <c r="A608" s="173"/>
      <c r="B608" s="173" t="s">
        <v>1026</v>
      </c>
      <c r="C608" s="174">
        <v>1063</v>
      </c>
      <c r="D608" s="168" t="s">
        <v>1027</v>
      </c>
      <c r="E608" s="168" t="s">
        <v>134</v>
      </c>
      <c r="F608" s="168" t="s">
        <v>1024</v>
      </c>
      <c r="G608" s="169">
        <f>IF(OR(B608="",C608=""),"",IFERROR(INDEX(Vöruskrá!J:J,MATCH(B608,Vöruskrá!B:B,0))*C608/100000,""))</f>
        <v>2.9976600000000002</v>
      </c>
      <c r="H608" s="169">
        <f>IF(OR(B608="",C608=""),"",IFERROR(INDEX(Vöruskrá!K:K,MATCH(B608,Vöruskrá!B:B,0))*C608/100000,""))</f>
        <v>0.13819000000000001</v>
      </c>
      <c r="I608" s="169">
        <f>IF(OR(B608="",C608=""),"",IFERROR(INDEX(Vöruskrá!L:L,MATCH(B608,Vöruskrá!B:B,0))*C608/100000,""))</f>
        <v>2.1260000000000001E-2</v>
      </c>
      <c r="J608" s="169">
        <f>IF(OR(B608="",C608=""),"",IFERROR(INDEX(Vöruskrá!M:M,MATCH(B608,Vöruskrá!B:B,0))*C608/100000,""))</f>
        <v>0.57401999999999997</v>
      </c>
      <c r="K608" s="169">
        <f>IF(OR(B608="",C608=""),"",IFERROR(INDEX(Vöruskrá!N:N,MATCH(B608,Vöruskrá!B:B,0))*C608/100000,""))</f>
        <v>0.10630000000000001</v>
      </c>
      <c r="L608" s="169">
        <f>IF(OR(B608="",C608=""),"",IFERROR(INDEX(Vöruskrá!O:O,MATCH(B608,Vöruskrá!B:B,0))*C608/100000,""))</f>
        <v>0.14882000000000001</v>
      </c>
      <c r="M608" s="169">
        <f>IF(OR(B608="",C608=""),"",IFERROR(INDEX(Vöruskrá!P:P,MATCH(B608,Vöruskrá!B:B,0))*C608/100000,""))</f>
        <v>1.0630000000000001E-3</v>
      </c>
      <c r="N608" s="169">
        <f>IF(OR(B608="",C608=""),"",IFERROR(INDEX(Vöruskrá!Q:Q,MATCH(B608,Vöruskrá!B:B,0))*C608/100000,""))</f>
        <v>0.37204999999999999</v>
      </c>
      <c r="O608" s="170">
        <f>IF(OR(B608="",C608=""),"",IFERROR(C608/1000*INDEX(Vöruskrá!R:R,MATCH(B608,Vöruskrá!B:B,0))/1000,""))</f>
        <v>0</v>
      </c>
      <c r="P608" s="173"/>
      <c r="Q608" s="158"/>
      <c r="R608" s="6"/>
    </row>
    <row r="609" spans="1:18" ht="15">
      <c r="A609" s="171"/>
      <c r="B609" s="171" t="s">
        <v>1125</v>
      </c>
      <c r="C609" s="172">
        <v>1063</v>
      </c>
      <c r="D609" s="168" t="s">
        <v>1126</v>
      </c>
      <c r="E609" s="168" t="s">
        <v>1099</v>
      </c>
      <c r="F609" s="168"/>
      <c r="G609" s="169">
        <f>IF(OR(B609="",C609=""),"",IFERROR(INDEX(Vöruskrá!J:J,MATCH(B609,Vöruskrá!B:B,0))*C609/100000,""))</f>
        <v>4.2519999999999998</v>
      </c>
      <c r="H609" s="169">
        <f>IF(OR(B609="",C609=""),"",IFERROR(INDEX(Vöruskrá!K:K,MATCH(B609,Vöruskrá!B:B,0))*C609/100000,""))</f>
        <v>0</v>
      </c>
      <c r="I609" s="169">
        <f>IF(OR(B609="",C609=""),"",IFERROR(INDEX(Vöruskrá!L:L,MATCH(B609,Vöruskrá!B:B,0))*C609/100000,""))</f>
        <v>0</v>
      </c>
      <c r="J609" s="169">
        <f>IF(OR(B609="",C609=""),"",IFERROR(INDEX(Vöruskrá!M:M,MATCH(B609,Vöruskrá!B:B,0))*C609/100000,""))</f>
        <v>1.0629999999999999</v>
      </c>
      <c r="K609" s="169">
        <f>IF(OR(B609="",C609=""),"",IFERROR(INDEX(Vöruskrá!N:N,MATCH(B609,Vöruskrá!B:B,0))*C609/100000,""))</f>
        <v>1.0629999999999999</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7"/>
      <c r="R609" s="27"/>
    </row>
    <row r="610" spans="1:18" ht="15">
      <c r="A610" s="173"/>
      <c r="B610" s="173" t="s">
        <v>299</v>
      </c>
      <c r="C610" s="174">
        <v>850</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0.85</v>
      </c>
      <c r="N610" s="169">
        <f>IF(OR(B610="",C610=""),"",IFERROR(INDEX(Vöruskrá!Q:Q,MATCH(B610,Vöruskrá!B:B,0))*C610/100000,""))</f>
        <v>0</v>
      </c>
      <c r="O610" s="170">
        <f>IF(OR(B610="",C610=""),"",IFERROR(C610/1000*INDEX(Vöruskrá!R:R,MATCH(B610,Vöruskrá!B:B,0))/1000,""))</f>
        <v>0</v>
      </c>
      <c r="P610" s="173"/>
      <c r="Q610" s="158"/>
      <c r="R610" s="6"/>
    </row>
    <row r="611" spans="1:18" ht="15">
      <c r="A611" s="171"/>
      <c r="B611" s="171" t="s">
        <v>819</v>
      </c>
      <c r="C611" s="172">
        <v>319</v>
      </c>
      <c r="D611" s="168" t="s">
        <v>820</v>
      </c>
      <c r="E611" s="168"/>
      <c r="F611" s="168" t="s">
        <v>311</v>
      </c>
      <c r="G611" s="169">
        <f>IF(OR(B611="",C611=""),"",IFERROR(INDEX(Vöruskrá!J:J,MATCH(B611,Vöruskrá!B:B,0))*C611/100000,""))</f>
        <v>1.2313400000000001</v>
      </c>
      <c r="H611" s="169">
        <f>IF(OR(B611="",C611=""),"",IFERROR(INDEX(Vöruskrá!K:K,MATCH(B611,Vöruskrá!B:B,0))*C611/100000,""))</f>
        <v>1.0527E-2</v>
      </c>
      <c r="I611" s="169">
        <f>IF(OR(B611="",C611=""),"",IFERROR(INDEX(Vöruskrá!L:L,MATCH(B611,Vöruskrá!B:B,0))*C611/100000,""))</f>
        <v>3.1900000000000001E-3</v>
      </c>
      <c r="J611" s="169">
        <f>IF(OR(B611="",C611=""),"",IFERROR(INDEX(Vöruskrá!M:M,MATCH(B611,Vöruskrá!B:B,0))*C611/100000,""))</f>
        <v>0.20735000000000001</v>
      </c>
      <c r="K611" s="169">
        <f>IF(OR(B611="",C611=""),"",IFERROR(INDEX(Vöruskrá!N:N,MATCH(B611,Vöruskrá!B:B,0))*C611/100000,""))</f>
        <v>1.9140000000000001E-3</v>
      </c>
      <c r="L611" s="169">
        <f>IF(OR(B611="",C611=""),"",IFERROR(INDEX(Vöruskrá!O:O,MATCH(B611,Vöruskrá!B:B,0))*C611/100000,""))</f>
        <v>3.5090000000000003E-2</v>
      </c>
      <c r="M611" s="169">
        <f>IF(OR(B611="",C611=""),"",IFERROR(INDEX(Vöruskrá!P:P,MATCH(B611,Vöruskrá!B:B,0))*C611/100000,""))</f>
        <v>3.19E-4</v>
      </c>
      <c r="N611" s="169">
        <f>IF(OR(B611="",C611=""),"",IFERROR(INDEX(Vöruskrá!Q:Q,MATCH(B611,Vöruskrá!B:B,0))*C611/100000,""))</f>
        <v>0</v>
      </c>
      <c r="O611" s="170">
        <f>IF(OR(B611="",C611=""),"",IFERROR(C611/1000*INDEX(Vöruskrá!R:R,MATCH(B611,Vöruskrá!B:B,0))/1000,""))</f>
        <v>0</v>
      </c>
      <c r="P611" s="171"/>
      <c r="Q611" s="201"/>
      <c r="R611" s="202"/>
    </row>
    <row r="612" spans="1:18" ht="48">
      <c r="A612" s="147" t="s">
        <v>1854</v>
      </c>
      <c r="B612" s="147"/>
      <c r="C612" s="148"/>
      <c r="D612" s="165" t="s">
        <v>1855</v>
      </c>
      <c r="E612" s="165" t="s">
        <v>134</v>
      </c>
      <c r="F612" s="165"/>
      <c r="G612" s="166">
        <v>9.93</v>
      </c>
      <c r="H612" s="166">
        <v>0.08</v>
      </c>
      <c r="I612" s="166">
        <v>0</v>
      </c>
      <c r="J612" s="166">
        <v>1.46</v>
      </c>
      <c r="K612" s="166"/>
      <c r="L612" s="166">
        <v>0.68</v>
      </c>
      <c r="M612" s="166">
        <v>0.57999999999999996</v>
      </c>
      <c r="N612" s="166">
        <f>IFERROR(SUM(N613:N619)/(SUM($C$613:$C$619)/100000),"")</f>
        <v>0.4456191068003133</v>
      </c>
      <c r="O612" s="167" t="str">
        <f>IF(OR(B612="",C612=""),"",IFERROR(C612/1000*INDEX(Vöruskrá!R:R,MATCH(B612,Vöruskrá!B:B,0))/1000,""))</f>
        <v/>
      </c>
      <c r="P612" s="196" t="s">
        <v>1856</v>
      </c>
      <c r="Q612" s="199" t="s">
        <v>1857</v>
      </c>
      <c r="R612" s="198" t="s">
        <v>1858</v>
      </c>
    </row>
    <row r="613" spans="1:18" ht="15">
      <c r="A613" s="171"/>
      <c r="B613" s="171" t="s">
        <v>1485</v>
      </c>
      <c r="C613" s="172">
        <v>51948</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15">
      <c r="A614" s="173"/>
      <c r="B614" s="173" t="s">
        <v>1476</v>
      </c>
      <c r="C614" s="174">
        <v>2597</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1282</v>
      </c>
      <c r="C615" s="172">
        <v>17316</v>
      </c>
      <c r="D615" s="168" t="s">
        <v>1283</v>
      </c>
      <c r="E615" s="168"/>
      <c r="F615" s="168"/>
      <c r="G615" s="169">
        <f>IF(OR(B615="",C615=""),"",IFERROR(INDEX(Vöruskrá!J:J,MATCH(B615,Vöruskrá!B:B,0))*C615/100000,""))</f>
        <v>6.0606</v>
      </c>
      <c r="H615" s="169">
        <f>IF(OR(B615="",C615=""),"",IFERROR(INDEX(Vöruskrá!K:K,MATCH(B615,Vöruskrá!B:B,0))*C615/100000,""))</f>
        <v>5.1948000000000001E-2</v>
      </c>
      <c r="I615" s="169">
        <f>IF(OR(B615="",C615=""),"",IFERROR(INDEX(Vöruskrá!L:L,MATCH(B615,Vöruskrá!B:B,0))*C615/100000,""))</f>
        <v>0</v>
      </c>
      <c r="J615" s="169">
        <f>IF(OR(B615="",C615=""),"",IFERROR(INDEX(Vöruskrá!M:M,MATCH(B615,Vöruskrá!B:B,0))*C615/100000,""))</f>
        <v>0.79653599999999991</v>
      </c>
      <c r="K615" s="169">
        <f>IF(OR(B615="",C615=""),"",IFERROR(INDEX(Vöruskrá!N:N,MATCH(B615,Vöruskrá!B:B,0))*C615/100000,""))</f>
        <v>0.62337599999999993</v>
      </c>
      <c r="L615" s="169">
        <f>IF(OR(B615="",C615=""),"",IFERROR(INDEX(Vöruskrá!O:O,MATCH(B615,Vöruskrá!B:B,0))*C615/100000,""))</f>
        <v>0.45021600000000001</v>
      </c>
      <c r="M615" s="169">
        <f>IF(OR(B615="",C615=""),"",IFERROR(INDEX(Vöruskrá!P:P,MATCH(B615,Vöruskrá!B:B,0))*C615/100000,""))</f>
        <v>0</v>
      </c>
      <c r="N615" s="169">
        <f>IF(OR(B615="",C615=""),"",IFERROR(INDEX(Vöruskrá!Q:Q,MATCH(B615,Vöruskrá!B:B,0))*C615/100000,""))</f>
        <v>0.31168799999999997</v>
      </c>
      <c r="O615" s="170">
        <f>IF(OR(B615="",C615=""),"",IFERROR(C615/1000*INDEX(Vöruskrá!R:R,MATCH(B615,Vöruskrá!B:B,0))/1000,""))</f>
        <v>0</v>
      </c>
      <c r="P615" s="171"/>
      <c r="Q615" s="157"/>
      <c r="R615" s="27"/>
    </row>
    <row r="616" spans="1:18" ht="15">
      <c r="A616" s="173"/>
      <c r="B616" s="173" t="s">
        <v>1488</v>
      </c>
      <c r="C616" s="174">
        <v>433</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8"/>
      <c r="R616" s="6"/>
    </row>
    <row r="617" spans="1:18" ht="15">
      <c r="A617" s="171"/>
      <c r="B617" s="171" t="s">
        <v>1017</v>
      </c>
      <c r="C617" s="172">
        <v>866</v>
      </c>
      <c r="D617" s="168" t="s">
        <v>1017</v>
      </c>
      <c r="E617" s="168" t="s">
        <v>134</v>
      </c>
      <c r="F617" s="168"/>
      <c r="G617" s="169">
        <f>IF(OR(B617="",C617=""),"",IFERROR(INDEX(Vöruskrá!J:J,MATCH(B617,Vöruskrá!B:B,0))*C617/100000,""))</f>
        <v>1.29034</v>
      </c>
      <c r="H617" s="169">
        <f>IF(OR(B617="",C617=""),"",IFERROR(INDEX(Vöruskrá!K:K,MATCH(B617,Vöruskrá!B:B,0))*C617/100000,""))</f>
        <v>4.3299999999999996E-3</v>
      </c>
      <c r="I617" s="169">
        <f>IF(OR(B617="",C617=""),"",IFERROR(INDEX(Vöruskrá!L:L,MATCH(B617,Vöruskrá!B:B,0))*C617/100000,""))</f>
        <v>8.6600000000000012E-4</v>
      </c>
      <c r="J617" s="169">
        <f>IF(OR(B617="",C617=""),"",IFERROR(INDEX(Vöruskrá!M:M,MATCH(B617,Vöruskrá!B:B,0))*C617/100000,""))</f>
        <v>0.28664600000000001</v>
      </c>
      <c r="K617" s="169">
        <f>IF(OR(B617="",C617=""),"",IFERROR(INDEX(Vöruskrá!N:N,MATCH(B617,Vöruskrá!B:B,0))*C617/100000,""))</f>
        <v>8.6599999999999993E-3</v>
      </c>
      <c r="L617" s="169">
        <f>IF(OR(B617="",C617=""),"",IFERROR(INDEX(Vöruskrá!O:O,MATCH(B617,Vöruskrá!B:B,0))*C617/100000,""))</f>
        <v>5.5424000000000008E-2</v>
      </c>
      <c r="M617" s="169">
        <f>IF(OR(B617="",C617=""),"",IFERROR(INDEX(Vöruskrá!P:P,MATCH(B617,Vöruskrá!B:B,0))*C617/100000,""))</f>
        <v>0</v>
      </c>
      <c r="N617" s="169">
        <f>IF(OR(B617="",C617=""),"",IFERROR(INDEX(Vöruskrá!Q:Q,MATCH(B617,Vöruskrá!B:B,0))*C617/100000,""))</f>
        <v>1.8186000000000001E-2</v>
      </c>
      <c r="O617" s="170">
        <f>IF(OR(B617="",C617=""),"",IFERROR(C617/1000*INDEX(Vöruskrá!R:R,MATCH(B617,Vöruskrá!B:B,0))/1000,""))</f>
        <v>0</v>
      </c>
      <c r="P617" s="171"/>
      <c r="Q617" s="157"/>
      <c r="R617" s="27"/>
    </row>
    <row r="618" spans="1:18" ht="15">
      <c r="A618" s="173"/>
      <c r="B618" s="173" t="s">
        <v>1475</v>
      </c>
      <c r="C618" s="174">
        <v>433</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3"/>
      <c r="Q618" s="158"/>
      <c r="R618" s="6"/>
    </row>
    <row r="619" spans="1:18" ht="15">
      <c r="A619" s="171"/>
      <c r="B619" s="171" t="s">
        <v>299</v>
      </c>
      <c r="C619" s="172">
        <v>433</v>
      </c>
      <c r="D619" s="168" t="s">
        <v>302</v>
      </c>
      <c r="E619" s="168" t="s">
        <v>134</v>
      </c>
      <c r="F619" s="168" t="s">
        <v>303</v>
      </c>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0.433</v>
      </c>
      <c r="N619" s="169">
        <f>IF(OR(B619="",C619=""),"",IFERROR(INDEX(Vöruskrá!Q:Q,MATCH(B619,Vöruskrá!B:B,0))*C619/100000,""))</f>
        <v>0</v>
      </c>
      <c r="O619" s="170">
        <f>IF(OR(B619="",C619=""),"",IFERROR(C619/1000*INDEX(Vöruskrá!R:R,MATCH(B619,Vöruskrá!B:B,0))/1000,""))</f>
        <v>0</v>
      </c>
      <c r="P619" s="171"/>
      <c r="Q619" s="201"/>
      <c r="R619" s="202"/>
    </row>
    <row r="620" spans="1:18" ht="60">
      <c r="A620" s="147" t="s">
        <v>1859</v>
      </c>
      <c r="B620" s="147"/>
      <c r="C620" s="148"/>
      <c r="D620" s="165" t="s">
        <v>1860</v>
      </c>
      <c r="E620" s="165" t="s">
        <v>1861</v>
      </c>
      <c r="F620" s="165"/>
      <c r="G620" s="166">
        <v>27.7</v>
      </c>
      <c r="H620" s="166">
        <v>2.2999999999999998</v>
      </c>
      <c r="I620" s="166">
        <v>0.15</v>
      </c>
      <c r="J620" s="166">
        <v>1.6</v>
      </c>
      <c r="K620" s="166"/>
      <c r="L620" s="166">
        <v>0.19</v>
      </c>
      <c r="M620" s="166">
        <v>0.65</v>
      </c>
      <c r="N620" s="166">
        <f>IFERROR(SUM(N621:N628)/(SUM($C$621:$C$628)/100000),"")</f>
        <v>0.15495100000000001</v>
      </c>
      <c r="O620" s="167" t="str">
        <f>IF(OR(B620="",C620=""),"",IFERROR(C620/1000*INDEX(Vöruskrá!R:R,MATCH(B620,Vöruskrá!B:B,0))/1000,""))</f>
        <v/>
      </c>
      <c r="P620" s="196" t="s">
        <v>1862</v>
      </c>
      <c r="Q620" s="195" t="s">
        <v>1863</v>
      </c>
      <c r="R620" s="194" t="s">
        <v>1864</v>
      </c>
    </row>
    <row r="621" spans="1:18" ht="15">
      <c r="A621" s="171"/>
      <c r="B621" s="171" t="s">
        <v>1485</v>
      </c>
      <c r="C621" s="172">
        <v>45351</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203"/>
      <c r="R621" s="204"/>
    </row>
    <row r="622" spans="1:18" ht="15">
      <c r="A622" s="173"/>
      <c r="B622" s="173" t="s">
        <v>1489</v>
      </c>
      <c r="C622" s="174">
        <v>30234</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3"/>
      <c r="Q622" s="158"/>
      <c r="R622" s="6"/>
    </row>
    <row r="623" spans="1:18" ht="15">
      <c r="A623" s="171"/>
      <c r="B623" s="171" t="s">
        <v>627</v>
      </c>
      <c r="C623" s="172">
        <v>7559</v>
      </c>
      <c r="D623" s="168" t="s">
        <v>629</v>
      </c>
      <c r="E623" s="168"/>
      <c r="F623" s="168"/>
      <c r="G623" s="169">
        <f>IF(OR(B623="",C623=""),"",IFERROR(INDEX(Vöruskrá!J:J,MATCH(B623,Vöruskrá!B:B,0))*C623/100000,""))</f>
        <v>3.7795000000000001</v>
      </c>
      <c r="H623" s="169">
        <f>IF(OR(B623="",C623=""),"",IFERROR(INDEX(Vöruskrá!K:K,MATCH(B623,Vöruskrá!B:B,0))*C623/100000,""))</f>
        <v>1.5118000000000001E-2</v>
      </c>
      <c r="I623" s="169">
        <f>IF(OR(B623="",C623=""),"",IFERROR(INDEX(Vöruskrá!L:L,MATCH(B623,Vöruskrá!B:B,0))*C623/100000,""))</f>
        <v>0</v>
      </c>
      <c r="J623" s="169">
        <f>IF(OR(B623="",C623=""),"",IFERROR(INDEX(Vöruskrá!M:M,MATCH(B623,Vöruskrá!B:B,0))*C623/100000,""))</f>
        <v>0.74834100000000003</v>
      </c>
      <c r="K623" s="169">
        <f>IF(OR(B623="",C623=""),"",IFERROR(INDEX(Vöruskrá!N:N,MATCH(B623,Vöruskrá!B:B,0))*C623/100000,""))</f>
        <v>0.73322299999999985</v>
      </c>
      <c r="L623" s="169">
        <f>IF(OR(B623="",C623=""),"",IFERROR(INDEX(Vöruskrá!O:O,MATCH(B623,Vöruskrá!B:B,0))*C623/100000,""))</f>
        <v>7.5590000000000004E-2</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57"/>
      <c r="R623" s="27"/>
    </row>
    <row r="624" spans="1:18" ht="15">
      <c r="A624" s="173"/>
      <c r="B624" s="173" t="s">
        <v>500</v>
      </c>
      <c r="C624" s="174">
        <v>7559</v>
      </c>
      <c r="D624" s="168" t="s">
        <v>1129</v>
      </c>
      <c r="E624" s="168" t="s">
        <v>1099</v>
      </c>
      <c r="F624" s="168"/>
      <c r="G624" s="169">
        <f>IF(OR(B624="",C624=""),"",IFERROR(INDEX(Vöruskrá!J:J,MATCH(B624,Vöruskrá!B:B,0))*C624/100000,""))</f>
        <v>1.3606199999999999</v>
      </c>
      <c r="H624" s="169">
        <f>IF(OR(B624="",C624=""),"",IFERROR(INDEX(Vöruskrá!K:K,MATCH(B624,Vöruskrá!B:B,0))*C624/100000,""))</f>
        <v>1.5118000000000001E-2</v>
      </c>
      <c r="I624" s="169">
        <f>IF(OR(B624="",C624=""),"",IFERROR(INDEX(Vöruskrá!L:L,MATCH(B624,Vöruskrá!B:B,0))*C624/100000,""))</f>
        <v>0</v>
      </c>
      <c r="J624" s="169">
        <f>IF(OR(B624="",C624=""),"",IFERROR(INDEX(Vöruskrá!M:M,MATCH(B624,Vöruskrá!B:B,0))*C624/100000,""))</f>
        <v>0.29480099999999998</v>
      </c>
      <c r="K624" s="169">
        <f>IF(OR(B624="",C624=""),"",IFERROR(INDEX(Vöruskrá!N:N,MATCH(B624,Vöruskrá!B:B,0))*C624/100000,""))</f>
        <v>0.19653400000000001</v>
      </c>
      <c r="L624" s="169">
        <f>IF(OR(B624="",C624=""),"",IFERROR(INDEX(Vöruskrá!O:O,MATCH(B624,Vöruskrá!B:B,0))*C624/100000,""))</f>
        <v>6.8031000000000008E-2</v>
      </c>
      <c r="M624" s="169">
        <f>IF(OR(B624="",C624=""),"",IFERROR(INDEX(Vöruskrá!P:P,MATCH(B624,Vöruskrá!B:B,0))*C624/100000,""))</f>
        <v>0</v>
      </c>
      <c r="N624" s="169">
        <f>IF(OR(B624="",C624=""),"",IFERROR(INDEX(Vöruskrá!Q:Q,MATCH(B624,Vöruskrá!B:B,0))*C624/100000,""))</f>
        <v>9.0707999999999997E-2</v>
      </c>
      <c r="O624" s="170">
        <f>IF(OR(B624="",C624=""),"",IFERROR(C624/1000*INDEX(Vöruskrá!R:R,MATCH(B624,Vöruskrá!B:B,0))/1000,""))</f>
        <v>0</v>
      </c>
      <c r="P624" s="173"/>
      <c r="Q624" s="158"/>
      <c r="R624" s="6"/>
    </row>
    <row r="625" spans="1:18" ht="24">
      <c r="A625" s="171"/>
      <c r="B625" s="171" t="s">
        <v>757</v>
      </c>
      <c r="C625" s="172">
        <v>3779</v>
      </c>
      <c r="D625" s="168" t="s">
        <v>758</v>
      </c>
      <c r="E625" s="168" t="s">
        <v>148</v>
      </c>
      <c r="F625" s="168"/>
      <c r="G625" s="169">
        <f>IF(OR(B625="",C625=""),"",IFERROR(INDEX(Vöruskrá!J:J,MATCH(B625,Vöruskrá!B:B,0))*C625/100000,""))</f>
        <v>21.049029999999998</v>
      </c>
      <c r="H625" s="169">
        <f>IF(OR(B625="",C625=""),"",IFERROR(INDEX(Vöruskrá!K:K,MATCH(B625,Vöruskrá!B:B,0))*C625/100000,""))</f>
        <v>2.2673999999999999</v>
      </c>
      <c r="I625" s="169">
        <f>IF(OR(B625="",C625=""),"",IFERROR(INDEX(Vöruskrá!L:L,MATCH(B625,Vöruskrá!B:B,0))*C625/100000,""))</f>
        <v>0.14738100000000001</v>
      </c>
      <c r="J625" s="169">
        <f>IF(OR(B625="",C625=""),"",IFERROR(INDEX(Vöruskrá!M:M,MATCH(B625,Vöruskrá!B:B,0))*C625/100000,""))</f>
        <v>0.20406600000000003</v>
      </c>
      <c r="K625" s="169">
        <f>IF(OR(B625="",C625=""),"",IFERROR(INDEX(Vöruskrá!N:N,MATCH(B625,Vöruskrá!B:B,0))*C625/100000,""))</f>
        <v>0.136044</v>
      </c>
      <c r="L625" s="169">
        <f>IF(OR(B625="",C625=""),"",IFERROR(INDEX(Vöruskrá!O:O,MATCH(B625,Vöruskrá!B:B,0))*C625/100000,""))</f>
        <v>0</v>
      </c>
      <c r="M625" s="169">
        <f>IF(OR(B625="",C625=""),"",IFERROR(INDEX(Vöruskrá!P:P,MATCH(B625,Vöruskrá!B:B,0))*C625/100000,""))</f>
        <v>4.5347999999999999E-2</v>
      </c>
      <c r="N625" s="169">
        <f>IF(OR(B625="",C625=""),"",IFERROR(INDEX(Vöruskrá!Q:Q,MATCH(B625,Vöruskrá!B:B,0))*C625/100000,""))</f>
        <v>0</v>
      </c>
      <c r="O625" s="170">
        <f>IF(OR(B625="",C625=""),"",IFERROR(C625/1000*INDEX(Vöruskrá!R:R,MATCH(B625,Vöruskrá!B:B,0))/1000,""))</f>
        <v>0</v>
      </c>
      <c r="P625" s="171"/>
      <c r="Q625" s="157"/>
      <c r="R625" s="27"/>
    </row>
    <row r="626" spans="1:18" ht="15">
      <c r="A626" s="173"/>
      <c r="B626" s="173" t="s">
        <v>1010</v>
      </c>
      <c r="C626" s="174">
        <v>3779</v>
      </c>
      <c r="D626" s="168" t="s">
        <v>1010</v>
      </c>
      <c r="E626" s="168" t="s">
        <v>134</v>
      </c>
      <c r="F626" s="168"/>
      <c r="G626" s="169">
        <f>IF(OR(B626="",C626=""),"",IFERROR(INDEX(Vöruskrá!J:J,MATCH(B626,Vöruskrá!B:B,0))*C626/100000,""))</f>
        <v>1.5116000000000001</v>
      </c>
      <c r="H626" s="169">
        <f>IF(OR(B626="",C626=""),"",IFERROR(INDEX(Vöruskrá!K:K,MATCH(B626,Vöruskrá!B:B,0))*C626/100000,""))</f>
        <v>3.7790000000000002E-3</v>
      </c>
      <c r="I626" s="169">
        <f>IF(OR(B626="",C626=""),"",IFERROR(INDEX(Vöruskrá!L:L,MATCH(B626,Vöruskrá!B:B,0))*C626/100000,""))</f>
        <v>0</v>
      </c>
      <c r="J626" s="169">
        <f>IF(OR(B626="",C626=""),"",IFERROR(INDEX(Vöruskrá!M:M,MATCH(B626,Vöruskrá!B:B,0))*C626/100000,""))</f>
        <v>0.35144700000000006</v>
      </c>
      <c r="K626" s="169">
        <f>IF(OR(B626="",C626=""),"",IFERROR(INDEX(Vöruskrá!N:N,MATCH(B626,Vöruskrá!B:B,0))*C626/100000,""))</f>
        <v>0.158718</v>
      </c>
      <c r="L626" s="169">
        <f>IF(OR(B626="",C626=""),"",IFERROR(INDEX(Vöruskrá!O:O,MATCH(B626,Vöruskrá!B:B,0))*C626/100000,""))</f>
        <v>4.1569000000000009E-2</v>
      </c>
      <c r="M626" s="169">
        <f>IF(OR(B626="",C626=""),"",IFERROR(INDEX(Vöruskrá!P:P,MATCH(B626,Vöruskrá!B:B,0))*C626/100000,""))</f>
        <v>0</v>
      </c>
      <c r="N626" s="169">
        <f>IF(OR(B626="",C626=""),"",IFERROR(INDEX(Vöruskrá!Q:Q,MATCH(B626,Vöruskrá!B:B,0))*C626/100000,""))</f>
        <v>6.4243000000000008E-2</v>
      </c>
      <c r="O626" s="170">
        <f>IF(OR(B626="",C626=""),"",IFERROR(C626/1000*INDEX(Vöruskrá!R:R,MATCH(B626,Vöruskrá!B:B,0))/1000,""))</f>
        <v>0</v>
      </c>
      <c r="P626" s="173"/>
      <c r="Q626" s="158"/>
      <c r="R626" s="6"/>
    </row>
    <row r="627" spans="1:18" ht="15">
      <c r="A627" s="171"/>
      <c r="B627" s="171" t="s">
        <v>1490</v>
      </c>
      <c r="C627" s="172">
        <v>1134</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7"/>
      <c r="R627" s="27"/>
    </row>
    <row r="628" spans="1:18" ht="15">
      <c r="A628" s="173"/>
      <c r="B628" s="173" t="s">
        <v>299</v>
      </c>
      <c r="C628" s="174">
        <v>605</v>
      </c>
      <c r="D628" s="168" t="s">
        <v>302</v>
      </c>
      <c r="E628" s="168" t="s">
        <v>134</v>
      </c>
      <c r="F628" s="168" t="s">
        <v>303</v>
      </c>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0.60499999999999998</v>
      </c>
      <c r="N628" s="169">
        <f>IF(OR(B628="",C628=""),"",IFERROR(INDEX(Vöruskrá!Q:Q,MATCH(B628,Vöruskrá!B:B,0))*C628/100000,""))</f>
        <v>0</v>
      </c>
      <c r="O628" s="170">
        <f>IF(OR(B628="",C628=""),"",IFERROR(C628/1000*INDEX(Vöruskrá!R:R,MATCH(B628,Vöruskrá!B:B,0))/1000,""))</f>
        <v>0</v>
      </c>
      <c r="P628" s="173"/>
      <c r="Q628" s="200"/>
      <c r="R628" s="159"/>
    </row>
    <row r="629" spans="1:18" ht="48">
      <c r="A629" s="147" t="s">
        <v>1865</v>
      </c>
      <c r="B629" s="147"/>
      <c r="C629" s="148"/>
      <c r="D629" s="165" t="s">
        <v>1866</v>
      </c>
      <c r="E629" s="165" t="s">
        <v>134</v>
      </c>
      <c r="F629" s="165"/>
      <c r="G629" s="166">
        <v>34.69</v>
      </c>
      <c r="H629" s="166">
        <v>3.85</v>
      </c>
      <c r="I629" s="166">
        <v>0.27</v>
      </c>
      <c r="J629" s="166">
        <v>2.5099999999999998</v>
      </c>
      <c r="K629" s="166"/>
      <c r="L629" s="166">
        <v>0</v>
      </c>
      <c r="M629" s="166">
        <v>0.77</v>
      </c>
      <c r="N629" s="166">
        <f>IFERROR(SUM(N630:N636)/(SUM($C$630:$C$636)/100000),"")</f>
        <v>0</v>
      </c>
      <c r="O629" s="167" t="str">
        <f>IF(OR(B629="",C629=""),"",IFERROR(C629/1000*INDEX(Vöruskrá!R:R,MATCH(B629,Vöruskrá!B:B,0))/1000,""))</f>
        <v/>
      </c>
      <c r="P629" s="196" t="s">
        <v>1867</v>
      </c>
      <c r="Q629" s="199" t="s">
        <v>1868</v>
      </c>
      <c r="R629" s="198" t="s">
        <v>1869</v>
      </c>
    </row>
    <row r="630" spans="1:18" ht="15">
      <c r="A630" s="171"/>
      <c r="B630" s="171" t="s">
        <v>1485</v>
      </c>
      <c r="C630" s="172">
        <v>77071</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97"/>
      <c r="R630" s="164"/>
    </row>
    <row r="631" spans="1:18" ht="15">
      <c r="A631" s="173"/>
      <c r="B631" s="173" t="s">
        <v>1466</v>
      </c>
      <c r="C631" s="174">
        <v>9634</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3"/>
      <c r="Q631" s="157"/>
      <c r="R631" s="27"/>
    </row>
    <row r="632" spans="1:18" ht="15">
      <c r="A632" s="171"/>
      <c r="B632" s="171" t="s">
        <v>1463</v>
      </c>
      <c r="C632" s="172">
        <v>4817</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1465</v>
      </c>
      <c r="C633" s="174">
        <v>2890</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3"/>
      <c r="Q633" s="157"/>
      <c r="R633" s="27"/>
    </row>
    <row r="634" spans="1:18" ht="15">
      <c r="A634" s="171"/>
      <c r="B634" s="171" t="s">
        <v>1491</v>
      </c>
      <c r="C634" s="172">
        <v>963</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299</v>
      </c>
      <c r="C635" s="174">
        <v>771</v>
      </c>
      <c r="D635" s="168" t="s">
        <v>302</v>
      </c>
      <c r="E635" s="168" t="s">
        <v>134</v>
      </c>
      <c r="F635" s="168" t="s">
        <v>303</v>
      </c>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0.77100000000000002</v>
      </c>
      <c r="N635" s="169">
        <f>IF(OR(B635="",C635=""),"",IFERROR(INDEX(Vöruskrá!Q:Q,MATCH(B635,Vöruskrá!B:B,0))*C635/100000,""))</f>
        <v>0</v>
      </c>
      <c r="O635" s="170">
        <f>IF(OR(B635="",C635=""),"",IFERROR(C635/1000*INDEX(Vöruskrá!R:R,MATCH(B635,Vöruskrá!B:B,0))/1000,""))</f>
        <v>0</v>
      </c>
      <c r="P635" s="173"/>
      <c r="Q635" s="157"/>
      <c r="R635" s="27"/>
    </row>
    <row r="636" spans="1:18" ht="15">
      <c r="A636" s="171"/>
      <c r="B636" s="171" t="s">
        <v>1270</v>
      </c>
      <c r="C636" s="172">
        <v>3854</v>
      </c>
      <c r="D636" s="168" t="s">
        <v>1270</v>
      </c>
      <c r="E636" s="168" t="s">
        <v>134</v>
      </c>
      <c r="F636" s="168"/>
      <c r="G636" s="169">
        <f>IF(OR(B636="",C636=""),"",IFERROR(INDEX(Vöruskrá!J:J,MATCH(B636,Vöruskrá!B:B,0))*C636/100000,""))</f>
        <v>34.686</v>
      </c>
      <c r="H636" s="169">
        <f>IF(OR(B636="",C636=""),"",IFERROR(INDEX(Vöruskrá!K:K,MATCH(B636,Vöruskrá!B:B,0))*C636/100000,""))</f>
        <v>3.8540000000000001</v>
      </c>
      <c r="I636" s="169">
        <f>IF(OR(B636="",C636=""),"",IFERROR(INDEX(Vöruskrá!L:L,MATCH(B636,Vöruskrá!B:B,0))*C636/100000,""))</f>
        <v>0.26978000000000002</v>
      </c>
      <c r="J636" s="169">
        <f>IF(OR(B636="",C636=""),"",IFERROR(INDEX(Vöruskrá!M:M,MATCH(B636,Vöruskrá!B:B,0))*C636/100000,""))</f>
        <v>2.5051000000000001</v>
      </c>
      <c r="K636" s="169">
        <f>IF(OR(B636="",C636=""),"",IFERROR(INDEX(Vöruskrá!N:N,MATCH(B636,Vöruskrá!B:B,0))*C636/100000,""))</f>
        <v>1.05985</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200"/>
      <c r="R636" s="159"/>
    </row>
    <row r="637" spans="1:18" ht="48">
      <c r="A637" s="147" t="s">
        <v>1870</v>
      </c>
      <c r="B637" s="147"/>
      <c r="C637" s="148"/>
      <c r="D637" s="165" t="s">
        <v>1871</v>
      </c>
      <c r="E637" s="165" t="s">
        <v>1830</v>
      </c>
      <c r="F637" s="165"/>
      <c r="G637" s="166">
        <v>60.6</v>
      </c>
      <c r="H637" s="166">
        <v>0.71</v>
      </c>
      <c r="I637" s="166">
        <v>0.1</v>
      </c>
      <c r="J637" s="166">
        <v>10.82</v>
      </c>
      <c r="K637" s="166"/>
      <c r="L637" s="166">
        <v>2.34</v>
      </c>
      <c r="M637" s="166">
        <v>0.96</v>
      </c>
      <c r="N637" s="166">
        <f>IFERROR(SUM(N638:N645)/(SUM($C$638:$C$645)/100000),"")</f>
        <v>0.5409480000000001</v>
      </c>
      <c r="O637" s="167" t="str">
        <f>IF(OR(B637="",C637=""),"",IFERROR(C637/1000*INDEX(Vöruskrá!R:R,MATCH(B637,Vöruskrá!B:B,0))/1000,""))</f>
        <v/>
      </c>
      <c r="P637" s="196" t="s">
        <v>1831</v>
      </c>
      <c r="Q637" s="195" t="s">
        <v>1872</v>
      </c>
      <c r="R637" s="194" t="s">
        <v>1873</v>
      </c>
    </row>
    <row r="638" spans="1:18" ht="15">
      <c r="A638" s="171"/>
      <c r="B638" s="171" t="s">
        <v>1485</v>
      </c>
      <c r="C638" s="172">
        <v>60105</v>
      </c>
      <c r="D638" s="168"/>
      <c r="E638" s="168"/>
      <c r="F638" s="168"/>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97"/>
      <c r="R638" s="164"/>
    </row>
    <row r="639" spans="1:18" ht="15">
      <c r="A639" s="173"/>
      <c r="B639" s="173" t="s">
        <v>463</v>
      </c>
      <c r="C639" s="174">
        <v>22539</v>
      </c>
      <c r="D639" s="168" t="s">
        <v>465</v>
      </c>
      <c r="E639" s="168" t="s">
        <v>466</v>
      </c>
      <c r="F639" s="168" t="s">
        <v>467</v>
      </c>
      <c r="G639" s="169">
        <f>IF(OR(B639="",C639=""),"",IFERROR(INDEX(Vöruskrá!J:J,MATCH(B639,Vöruskrá!B:B,0))*C639/100000,""))</f>
        <v>54.544379999999997</v>
      </c>
      <c r="H639" s="169">
        <f>IF(OR(B639="",C639=""),"",IFERROR(INDEX(Vöruskrá!K:K,MATCH(B639,Vöruskrá!B:B,0))*C639/100000,""))</f>
        <v>0.56347499999999995</v>
      </c>
      <c r="I639" s="169">
        <f>IF(OR(B639="",C639=""),"",IFERROR(INDEX(Vöruskrá!L:L,MATCH(B639,Vöruskrá!B:B,0))*C639/100000,""))</f>
        <v>9.0156E-2</v>
      </c>
      <c r="J639" s="169">
        <f>IF(OR(B639="",C639=""),"",IFERROR(INDEX(Vöruskrá!M:M,MATCH(B639,Vöruskrá!B:B,0))*C639/100000,""))</f>
        <v>9.9171600000000009</v>
      </c>
      <c r="K639" s="169">
        <f>IF(OR(B639="",C639=""),"",IFERROR(INDEX(Vöruskrá!N:N,MATCH(B639,Vöruskrá!B:B,0))*C639/100000,""))</f>
        <v>0.13523399999999999</v>
      </c>
      <c r="L639" s="169">
        <f>IF(OR(B639="",C639=""),"",IFERROR(INDEX(Vöruskrá!O:O,MATCH(B639,Vöruskrá!B:B,0))*C639/100000,""))</f>
        <v>2.1186660000000002</v>
      </c>
      <c r="M639" s="169">
        <f>IF(OR(B639="",C639=""),"",IFERROR(INDEX(Vöruskrá!P:P,MATCH(B639,Vöruskrá!B:B,0))*C639/100000,""))</f>
        <v>0.29300700000000002</v>
      </c>
      <c r="N639" s="169">
        <f>IF(OR(B639="",C639=""),"",IFERROR(INDEX(Vöruskrá!Q:Q,MATCH(B639,Vöruskrá!B:B,0))*C639/100000,""))</f>
        <v>0.40570200000000006</v>
      </c>
      <c r="O639" s="170">
        <f>IF(OR(B639="",C639=""),"",IFERROR(C639/1000*INDEX(Vöruskrá!R:R,MATCH(B639,Vöruskrá!B:B,0))/1000,""))</f>
        <v>0</v>
      </c>
      <c r="P639" s="173"/>
      <c r="Q639" s="157"/>
      <c r="R639" s="27"/>
    </row>
    <row r="640" spans="1:18" ht="15">
      <c r="A640" s="171"/>
      <c r="B640" s="171" t="s">
        <v>627</v>
      </c>
      <c r="C640" s="172">
        <v>3757</v>
      </c>
      <c r="D640" s="168" t="s">
        <v>629</v>
      </c>
      <c r="E640" s="168"/>
      <c r="F640" s="168"/>
      <c r="G640" s="169">
        <f>IF(OR(B640="",C640=""),"",IFERROR(INDEX(Vöruskrá!J:J,MATCH(B640,Vöruskrá!B:B,0))*C640/100000,""))</f>
        <v>1.8785000000000001</v>
      </c>
      <c r="H640" s="169">
        <f>IF(OR(B640="",C640=""),"",IFERROR(INDEX(Vöruskrá!K:K,MATCH(B640,Vöruskrá!B:B,0))*C640/100000,""))</f>
        <v>7.5140000000000007E-3</v>
      </c>
      <c r="I640" s="169">
        <f>IF(OR(B640="",C640=""),"",IFERROR(INDEX(Vöruskrá!L:L,MATCH(B640,Vöruskrá!B:B,0))*C640/100000,""))</f>
        <v>0</v>
      </c>
      <c r="J640" s="169">
        <f>IF(OR(B640="",C640=""),"",IFERROR(INDEX(Vöruskrá!M:M,MATCH(B640,Vöruskrá!B:B,0))*C640/100000,""))</f>
        <v>0.37194300000000002</v>
      </c>
      <c r="K640" s="169">
        <f>IF(OR(B640="",C640=""),"",IFERROR(INDEX(Vöruskrá!N:N,MATCH(B640,Vöruskrá!B:B,0))*C640/100000,""))</f>
        <v>0.36442899999999995</v>
      </c>
      <c r="L640" s="169">
        <f>IF(OR(B640="",C640=""),"",IFERROR(INDEX(Vöruskrá!O:O,MATCH(B640,Vöruskrá!B:B,0))*C640/100000,""))</f>
        <v>3.7569999999999999E-2</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58"/>
      <c r="R640" s="6"/>
    </row>
    <row r="641" spans="1:18" ht="15">
      <c r="A641" s="173"/>
      <c r="B641" s="173" t="s">
        <v>500</v>
      </c>
      <c r="C641" s="174">
        <v>7513</v>
      </c>
      <c r="D641" s="168" t="s">
        <v>1129</v>
      </c>
      <c r="E641" s="168" t="s">
        <v>1099</v>
      </c>
      <c r="F641" s="168"/>
      <c r="G641" s="169">
        <f>IF(OR(B641="",C641=""),"",IFERROR(INDEX(Vöruskrá!J:J,MATCH(B641,Vöruskrá!B:B,0))*C641/100000,""))</f>
        <v>1.3523400000000001</v>
      </c>
      <c r="H641" s="169">
        <f>IF(OR(B641="",C641=""),"",IFERROR(INDEX(Vöruskrá!K:K,MATCH(B641,Vöruskrá!B:B,0))*C641/100000,""))</f>
        <v>1.5026000000000001E-2</v>
      </c>
      <c r="I641" s="169">
        <f>IF(OR(B641="",C641=""),"",IFERROR(INDEX(Vöruskrá!L:L,MATCH(B641,Vöruskrá!B:B,0))*C641/100000,""))</f>
        <v>0</v>
      </c>
      <c r="J641" s="169">
        <f>IF(OR(B641="",C641=""),"",IFERROR(INDEX(Vöruskrá!M:M,MATCH(B641,Vöruskrá!B:B,0))*C641/100000,""))</f>
        <v>0.29300700000000002</v>
      </c>
      <c r="K641" s="169">
        <f>IF(OR(B641="",C641=""),"",IFERROR(INDEX(Vöruskrá!N:N,MATCH(B641,Vöruskrá!B:B,0))*C641/100000,""))</f>
        <v>0.19533799999999998</v>
      </c>
      <c r="L641" s="169">
        <f>IF(OR(B641="",C641=""),"",IFERROR(INDEX(Vöruskrá!O:O,MATCH(B641,Vöruskrá!B:B,0))*C641/100000,""))</f>
        <v>6.7616999999999997E-2</v>
      </c>
      <c r="M641" s="169">
        <f>IF(OR(B641="",C641=""),"",IFERROR(INDEX(Vöruskrá!P:P,MATCH(B641,Vöruskrá!B:B,0))*C641/100000,""))</f>
        <v>0</v>
      </c>
      <c r="N641" s="169">
        <f>IF(OR(B641="",C641=""),"",IFERROR(INDEX(Vöruskrá!Q:Q,MATCH(B641,Vöruskrá!B:B,0))*C641/100000,""))</f>
        <v>9.0156E-2</v>
      </c>
      <c r="O641" s="170">
        <f>IF(OR(B641="",C641=""),"",IFERROR(C641/1000*INDEX(Vöruskrá!R:R,MATCH(B641,Vöruskrá!B:B,0))/1000,""))</f>
        <v>0</v>
      </c>
      <c r="P641" s="173"/>
      <c r="Q641" s="157"/>
      <c r="R641" s="27"/>
    </row>
    <row r="642" spans="1:18" ht="15">
      <c r="A642" s="171"/>
      <c r="B642" s="171" t="s">
        <v>1483</v>
      </c>
      <c r="C642" s="172">
        <v>3757</v>
      </c>
      <c r="D642" s="168"/>
      <c r="E642" s="168"/>
      <c r="F642" s="168"/>
      <c r="G642" s="169">
        <f>IF(OR(B642="",C642=""),"",IFERROR(INDEX(Vöruskrá!J:J,MATCH(B642,Vöruskrá!B:B,0))*C642/100000,""))</f>
        <v>0</v>
      </c>
      <c r="H642" s="169">
        <f>IF(OR(B642="",C642=""),"",IFERROR(INDEX(Vöruskrá!K:K,MATCH(B642,Vöruskrá!B:B,0))*C642/100000,""))</f>
        <v>0</v>
      </c>
      <c r="I642" s="169">
        <f>IF(OR(B642="",C642=""),"",IFERROR(INDEX(Vöruskrá!L:L,MATCH(B642,Vöruskrá!B:B,0))*C642/100000,""))</f>
        <v>0</v>
      </c>
      <c r="J642" s="169">
        <f>IF(OR(B642="",C642=""),"",IFERROR(INDEX(Vöruskrá!M:M,MATCH(B642,Vöruskrá!B:B,0))*C642/100000,""))</f>
        <v>0</v>
      </c>
      <c r="K642" s="169">
        <f>IF(OR(B642="",C642=""),"",IFERROR(INDEX(Vöruskrá!N:N,MATCH(B642,Vöruskrá!B:B,0))*C642/100000,""))</f>
        <v>0</v>
      </c>
      <c r="L642" s="169">
        <f>IF(OR(B642="",C642=""),"",IFERROR(INDEX(Vöruskrá!O:O,MATCH(B642,Vöruskrá!B:B,0))*C642/100000,""))</f>
        <v>0</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1"/>
      <c r="Q642" s="158"/>
      <c r="R642" s="6"/>
    </row>
    <row r="643" spans="1:18" ht="15">
      <c r="A643" s="173"/>
      <c r="B643" s="173" t="s">
        <v>1157</v>
      </c>
      <c r="C643" s="174">
        <v>1503</v>
      </c>
      <c r="D643" s="168" t="s">
        <v>1160</v>
      </c>
      <c r="E643" s="168" t="s">
        <v>1161</v>
      </c>
      <c r="F643" s="168"/>
      <c r="G643" s="169">
        <f>IF(OR(B643="",C643=""),"",IFERROR(INDEX(Vöruskrá!J:J,MATCH(B643,Vöruskrá!B:B,0))*C643/100000,""))</f>
        <v>1.9539</v>
      </c>
      <c r="H643" s="169">
        <f>IF(OR(B643="",C643=""),"",IFERROR(INDEX(Vöruskrá!K:K,MATCH(B643,Vöruskrá!B:B,0))*C643/100000,""))</f>
        <v>0.12024</v>
      </c>
      <c r="I643" s="169">
        <f>IF(OR(B643="",C643=""),"",IFERROR(INDEX(Vöruskrá!L:L,MATCH(B643,Vöruskrá!B:B,0))*C643/100000,""))</f>
        <v>7.515E-3</v>
      </c>
      <c r="J643" s="169">
        <f>IF(OR(B643="",C643=""),"",IFERROR(INDEX(Vöruskrá!M:M,MATCH(B643,Vöruskrá!B:B,0))*C643/100000,""))</f>
        <v>9.0179999999999996E-2</v>
      </c>
      <c r="K643" s="169">
        <f>IF(OR(B643="",C643=""),"",IFERROR(INDEX(Vöruskrá!N:N,MATCH(B643,Vöruskrá!B:B,0))*C643/100000,""))</f>
        <v>3.006E-2</v>
      </c>
      <c r="L643" s="169">
        <f>IF(OR(B643="",C643=""),"",IFERROR(INDEX(Vöruskrá!O:O,MATCH(B643,Vöruskrá!B:B,0))*C643/100000,""))</f>
        <v>9.0179999999999996E-2</v>
      </c>
      <c r="M643" s="169">
        <f>IF(OR(B643="",C643=""),"",IFERROR(INDEX(Vöruskrá!P:P,MATCH(B643,Vöruskrá!B:B,0))*C643/100000,""))</f>
        <v>6.7635000000000001E-2</v>
      </c>
      <c r="N643" s="169">
        <f>IF(OR(B643="",C643=""),"",IFERROR(INDEX(Vöruskrá!Q:Q,MATCH(B643,Vöruskrá!B:B,0))*C643/100000,""))</f>
        <v>4.5089999999999998E-2</v>
      </c>
      <c r="O643" s="170">
        <f>IF(OR(B643="",C643=""),"",IFERROR(C643/1000*INDEX(Vöruskrá!R:R,MATCH(B643,Vöruskrá!B:B,0))/1000,""))</f>
        <v>0</v>
      </c>
      <c r="P643" s="173"/>
      <c r="Q643" s="157"/>
      <c r="R643" s="27"/>
    </row>
    <row r="644" spans="1:18" ht="15">
      <c r="A644" s="171"/>
      <c r="B644" s="171" t="s">
        <v>299</v>
      </c>
      <c r="C644" s="172">
        <v>601</v>
      </c>
      <c r="D644" s="168" t="s">
        <v>302</v>
      </c>
      <c r="E644" s="168" t="s">
        <v>134</v>
      </c>
      <c r="F644" s="168" t="s">
        <v>303</v>
      </c>
      <c r="G644" s="169">
        <f>IF(OR(B644="",C644=""),"",IFERROR(INDEX(Vöruskrá!J:J,MATCH(B644,Vöruskrá!B:B,0))*C644/100000,""))</f>
        <v>0</v>
      </c>
      <c r="H644" s="169">
        <f>IF(OR(B644="",C644=""),"",IFERROR(INDEX(Vöruskrá!K:K,MATCH(B644,Vöruskrá!B:B,0))*C644/100000,""))</f>
        <v>0</v>
      </c>
      <c r="I644" s="169">
        <f>IF(OR(B644="",C644=""),"",IFERROR(INDEX(Vöruskrá!L:L,MATCH(B644,Vöruskrá!B:B,0))*C644/100000,""))</f>
        <v>0</v>
      </c>
      <c r="J644" s="169">
        <f>IF(OR(B644="",C644=""),"",IFERROR(INDEX(Vöruskrá!M:M,MATCH(B644,Vöruskrá!B:B,0))*C644/100000,""))</f>
        <v>0</v>
      </c>
      <c r="K644" s="169">
        <f>IF(OR(B644="",C644=""),"",IFERROR(INDEX(Vöruskrá!N:N,MATCH(B644,Vöruskrá!B:B,0))*C644/100000,""))</f>
        <v>0</v>
      </c>
      <c r="L644" s="169">
        <f>IF(OR(B644="",C644=""),"",IFERROR(INDEX(Vöruskrá!O:O,MATCH(B644,Vöruskrá!B:B,0))*C644/100000,""))</f>
        <v>0</v>
      </c>
      <c r="M644" s="169">
        <f>IF(OR(B644="",C644=""),"",IFERROR(INDEX(Vöruskrá!P:P,MATCH(B644,Vöruskrá!B:B,0))*C644/100000,""))</f>
        <v>0.60099999999999998</v>
      </c>
      <c r="N644" s="169">
        <f>IF(OR(B644="",C644=""),"",IFERROR(INDEX(Vöruskrá!Q:Q,MATCH(B644,Vöruskrá!B:B,0))*C644/100000,""))</f>
        <v>0</v>
      </c>
      <c r="O644" s="170">
        <f>IF(OR(B644="",C644=""),"",IFERROR(C644/1000*INDEX(Vöruskrá!R:R,MATCH(B644,Vöruskrá!B:B,0))/1000,""))</f>
        <v>0</v>
      </c>
      <c r="P644" s="171"/>
      <c r="Q644" s="158"/>
      <c r="R644" s="6"/>
    </row>
    <row r="645" spans="1:18" ht="15">
      <c r="A645" s="173"/>
      <c r="B645" s="173" t="s">
        <v>819</v>
      </c>
      <c r="C645" s="174">
        <v>225</v>
      </c>
      <c r="D645" s="168" t="s">
        <v>820</v>
      </c>
      <c r="E645" s="168"/>
      <c r="F645" s="168" t="s">
        <v>311</v>
      </c>
      <c r="G645" s="169">
        <f>IF(OR(B645="",C645=""),"",IFERROR(INDEX(Vöruskrá!J:J,MATCH(B645,Vöruskrá!B:B,0))*C645/100000,""))</f>
        <v>0.86850000000000005</v>
      </c>
      <c r="H645" s="169">
        <f>IF(OR(B645="",C645=""),"",IFERROR(INDEX(Vöruskrá!K:K,MATCH(B645,Vöruskrá!B:B,0))*C645/100000,""))</f>
        <v>7.4250000000000002E-3</v>
      </c>
      <c r="I645" s="169">
        <f>IF(OR(B645="",C645=""),"",IFERROR(INDEX(Vöruskrá!L:L,MATCH(B645,Vöruskrá!B:B,0))*C645/100000,""))</f>
        <v>2.2499999999999998E-3</v>
      </c>
      <c r="J645" s="169">
        <f>IF(OR(B645="",C645=""),"",IFERROR(INDEX(Vöruskrá!M:M,MATCH(B645,Vöruskrá!B:B,0))*C645/100000,""))</f>
        <v>0.14624999999999999</v>
      </c>
      <c r="K645" s="169">
        <f>IF(OR(B645="",C645=""),"",IFERROR(INDEX(Vöruskrá!N:N,MATCH(B645,Vöruskrá!B:B,0))*C645/100000,""))</f>
        <v>1.3500000000000001E-3</v>
      </c>
      <c r="L645" s="169">
        <f>IF(OR(B645="",C645=""),"",IFERROR(INDEX(Vöruskrá!O:O,MATCH(B645,Vöruskrá!B:B,0))*C645/100000,""))</f>
        <v>2.4750000000000001E-2</v>
      </c>
      <c r="M645" s="169">
        <f>IF(OR(B645="",C645=""),"",IFERROR(INDEX(Vöruskrá!P:P,MATCH(B645,Vöruskrá!B:B,0))*C645/100000,""))</f>
        <v>2.2499999999999999E-4</v>
      </c>
      <c r="N645" s="169">
        <f>IF(OR(B645="",C645=""),"",IFERROR(INDEX(Vöruskrá!Q:Q,MATCH(B645,Vöruskrá!B:B,0))*C645/100000,""))</f>
        <v>0</v>
      </c>
      <c r="O645" s="170">
        <f>IF(OR(B645="",C645=""),"",IFERROR(C645/1000*INDEX(Vöruskrá!R:R,MATCH(B645,Vöruskrá!B:B,0))/1000,""))</f>
        <v>0</v>
      </c>
      <c r="P645" s="173"/>
      <c r="Q645" s="201"/>
      <c r="R645" s="202"/>
    </row>
    <row r="646" spans="1:18" ht="48">
      <c r="A646" s="147" t="s">
        <v>1874</v>
      </c>
      <c r="B646" s="147"/>
      <c r="C646" s="148"/>
      <c r="D646" s="165" t="s">
        <v>1875</v>
      </c>
      <c r="E646" s="165" t="s">
        <v>1588</v>
      </c>
      <c r="F646" s="165"/>
      <c r="G646" s="166">
        <v>61.78</v>
      </c>
      <c r="H646" s="166">
        <v>5.33</v>
      </c>
      <c r="I646" s="166">
        <v>3.27</v>
      </c>
      <c r="J646" s="166">
        <v>2.6</v>
      </c>
      <c r="K646" s="166"/>
      <c r="L646" s="166">
        <v>0.75</v>
      </c>
      <c r="M646" s="166">
        <v>0.69</v>
      </c>
      <c r="N646" s="166">
        <f>IFERROR(SUM(N647:N654)/(SUM($C$647:$C$654)/100000),"")</f>
        <v>0.17663799999999999</v>
      </c>
      <c r="O646" s="167" t="str">
        <f>IF(OR(B646="",C646=""),"",IFERROR(C646/1000*INDEX(Vöruskrá!R:R,MATCH(B646,Vöruskrá!B:B,0))/1000,""))</f>
        <v/>
      </c>
      <c r="P646" s="196" t="s">
        <v>1876</v>
      </c>
      <c r="Q646" s="199" t="s">
        <v>1877</v>
      </c>
      <c r="R646" s="198" t="s">
        <v>1878</v>
      </c>
    </row>
    <row r="647" spans="1:18" ht="15">
      <c r="A647" s="171"/>
      <c r="B647" s="171" t="s">
        <v>1485</v>
      </c>
      <c r="C647" s="172">
        <v>59128</v>
      </c>
      <c r="D647" s="168"/>
      <c r="E647" s="168"/>
      <c r="F647" s="168"/>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v>
      </c>
      <c r="N647" s="169">
        <f>IF(OR(B647="",C647=""),"",IFERROR(INDEX(Vöruskrá!Q:Q,MATCH(B647,Vöruskrá!B:B,0))*C647/100000,""))</f>
        <v>0</v>
      </c>
      <c r="O647" s="170">
        <f>IF(OR(B647="",C647=""),"",IFERROR(C647/1000*INDEX(Vöruskrá!R:R,MATCH(B647,Vöruskrá!B:B,0))/1000,""))</f>
        <v>0</v>
      </c>
      <c r="P647" s="171"/>
      <c r="Q647" s="203"/>
      <c r="R647" s="204"/>
    </row>
    <row r="648" spans="1:18" ht="24">
      <c r="A648" s="173"/>
      <c r="B648" s="173" t="s">
        <v>434</v>
      </c>
      <c r="C648" s="174">
        <v>2217</v>
      </c>
      <c r="D648" s="168" t="s">
        <v>436</v>
      </c>
      <c r="E648" s="168" t="s">
        <v>148</v>
      </c>
      <c r="F648" s="168"/>
      <c r="G648" s="169">
        <f>IF(OR(B648="",C648=""),"",IFERROR(INDEX(Vöruskrá!J:J,MATCH(B648,Vöruskrá!B:B,0))*C648/100000,""))</f>
        <v>3.3254999999999999</v>
      </c>
      <c r="H648" s="169">
        <f>IF(OR(B648="",C648=""),"",IFERROR(INDEX(Vöruskrá!K:K,MATCH(B648,Vöruskrá!B:B,0))*C648/100000,""))</f>
        <v>0.130803</v>
      </c>
      <c r="I648" s="169">
        <f>IF(OR(B648="",C648=""),"",IFERROR(INDEX(Vöruskrá!L:L,MATCH(B648,Vöruskrá!B:B,0))*C648/100000,""))</f>
        <v>1.3302E-2</v>
      </c>
      <c r="J648" s="169">
        <f>IF(OR(B648="",C648=""),"",IFERROR(INDEX(Vöruskrá!M:M,MATCH(B648,Vöruskrá!B:B,0))*C648/100000,""))</f>
        <v>0.48774000000000001</v>
      </c>
      <c r="K648" s="169">
        <f>IF(OR(B648="",C648=""),"",IFERROR(INDEX(Vöruskrá!N:N,MATCH(B648,Vöruskrá!B:B,0))*C648/100000,""))</f>
        <v>0.39906000000000003</v>
      </c>
      <c r="L648" s="169">
        <f>IF(OR(B648="",C648=""),"",IFERROR(INDEX(Vöruskrá!O:O,MATCH(B648,Vöruskrá!B:B,0))*C648/100000,""))</f>
        <v>3.1037999999999996E-2</v>
      </c>
      <c r="M648" s="169">
        <f>IF(OR(B648="",C648=""),"",IFERROR(INDEX(Vöruskrá!P:P,MATCH(B648,Vöruskrá!B:B,0))*C648/100000,""))</f>
        <v>9.754800000000001E-2</v>
      </c>
      <c r="N648" s="169">
        <f>IF(OR(B648="",C648=""),"",IFERROR(INDEX(Vöruskrá!Q:Q,MATCH(B648,Vöruskrá!B:B,0))*C648/100000,""))</f>
        <v>3.5472000000000004E-2</v>
      </c>
      <c r="O648" s="170">
        <f>IF(OR(B648="",C648=""),"",IFERROR(C648/1000*INDEX(Vöruskrá!R:R,MATCH(B648,Vöruskrá!B:B,0))/1000,""))</f>
        <v>0</v>
      </c>
      <c r="P648" s="173"/>
      <c r="Q648" s="158"/>
      <c r="R648" s="6"/>
    </row>
    <row r="649" spans="1:18" ht="15">
      <c r="A649" s="171"/>
      <c r="B649" s="171" t="s">
        <v>1058</v>
      </c>
      <c r="C649" s="172">
        <v>14782</v>
      </c>
      <c r="D649" s="168" t="s">
        <v>1059</v>
      </c>
      <c r="E649" s="168" t="s">
        <v>120</v>
      </c>
      <c r="F649" s="168"/>
      <c r="G649" s="169">
        <f>IF(OR(B649="",C649=""),"",IFERROR(INDEX(Vöruskrá!J:J,MATCH(B649,Vöruskrá!B:B,0))*C649/100000,""))</f>
        <v>50.258800000000001</v>
      </c>
      <c r="H649" s="169">
        <f>IF(OR(B649="",C649=""),"",IFERROR(INDEX(Vöruskrá!K:K,MATCH(B649,Vöruskrá!B:B,0))*C649/100000,""))</f>
        <v>5.1737000000000002</v>
      </c>
      <c r="I649" s="169">
        <f>IF(OR(B649="",C649=""),"",IFERROR(INDEX(Vöruskrá!L:L,MATCH(B649,Vöruskrá!B:B,0))*C649/100000,""))</f>
        <v>3.25204</v>
      </c>
      <c r="J649" s="169">
        <f>IF(OR(B649="",C649=""),"",IFERROR(INDEX(Vöruskrá!M:M,MATCH(B649,Vöruskrá!B:B,0))*C649/100000,""))</f>
        <v>0.44346000000000002</v>
      </c>
      <c r="K649" s="169">
        <f>IF(OR(B649="",C649=""),"",IFERROR(INDEX(Vöruskrá!N:N,MATCH(B649,Vöruskrá!B:B,0))*C649/100000,""))</f>
        <v>0.44346000000000002</v>
      </c>
      <c r="L649" s="169">
        <f>IF(OR(B649="",C649=""),"",IFERROR(INDEX(Vöruskrá!O:O,MATCH(B649,Vöruskrá!B:B,0))*C649/100000,""))</f>
        <v>0.36954999999999999</v>
      </c>
      <c r="M649" s="169">
        <f>IF(OR(B649="",C649=""),"",IFERROR(INDEX(Vöruskrá!P:P,MATCH(B649,Vöruskrá!B:B,0))*C649/100000,""))</f>
        <v>0</v>
      </c>
      <c r="N649" s="169">
        <f>IF(OR(B649="",C649=""),"",IFERROR(INDEX(Vöruskrá!Q:Q,MATCH(B649,Vöruskrá!B:B,0))*C649/100000,""))</f>
        <v>0</v>
      </c>
      <c r="O649" s="170">
        <f>IF(OR(B649="",C649=""),"",IFERROR(C649/1000*INDEX(Vöruskrá!R:R,MATCH(B649,Vöruskrá!B:B,0))/1000,""))</f>
        <v>0</v>
      </c>
      <c r="P649" s="171"/>
      <c r="Q649" s="157"/>
      <c r="R649" s="27"/>
    </row>
    <row r="650" spans="1:18" ht="15">
      <c r="A650" s="173"/>
      <c r="B650" s="173" t="s">
        <v>743</v>
      </c>
      <c r="C650" s="174">
        <v>14782</v>
      </c>
      <c r="D650" s="168" t="s">
        <v>745</v>
      </c>
      <c r="E650" s="168"/>
      <c r="F650" s="168"/>
      <c r="G650" s="169">
        <f>IF(OR(B650="",C650=""),"",IFERROR(INDEX(Vöruskrá!J:J,MATCH(B650,Vöruskrá!B:B,0))*C650/100000,""))</f>
        <v>4.13896</v>
      </c>
      <c r="H650" s="169">
        <f>IF(OR(B650="",C650=""),"",IFERROR(INDEX(Vöruskrá!K:K,MATCH(B650,Vöruskrá!B:B,0))*C650/100000,""))</f>
        <v>1.4782E-2</v>
      </c>
      <c r="I650" s="169">
        <f>IF(OR(B650="",C650=""),"",IFERROR(INDEX(Vöruskrá!L:L,MATCH(B650,Vöruskrá!B:B,0))*C650/100000,""))</f>
        <v>0</v>
      </c>
      <c r="J650" s="169">
        <f>IF(OR(B650="",C650=""),"",IFERROR(INDEX(Vöruskrá!M:M,MATCH(B650,Vöruskrá!B:B,0))*C650/100000,""))</f>
        <v>0.73909999999999998</v>
      </c>
      <c r="K650" s="169">
        <f>IF(OR(B650="",C650=""),"",IFERROR(INDEX(Vöruskrá!N:N,MATCH(B650,Vöruskrá!B:B,0))*C650/100000,""))</f>
        <v>0.50258799999999992</v>
      </c>
      <c r="L650" s="169">
        <f>IF(OR(B650="",C650=""),"",IFERROR(INDEX(Vöruskrá!O:O,MATCH(B650,Vöruskrá!B:B,0))*C650/100000,""))</f>
        <v>0.22173000000000001</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3"/>
      <c r="Q650" s="158"/>
      <c r="R650" s="6"/>
    </row>
    <row r="651" spans="1:18" ht="15">
      <c r="A651" s="171"/>
      <c r="B651" s="171" t="s">
        <v>1010</v>
      </c>
      <c r="C651" s="172">
        <v>7391</v>
      </c>
      <c r="D651" s="168" t="s">
        <v>1010</v>
      </c>
      <c r="E651" s="168" t="s">
        <v>134</v>
      </c>
      <c r="F651" s="168"/>
      <c r="G651" s="169">
        <f>IF(OR(B651="",C651=""),"",IFERROR(INDEX(Vöruskrá!J:J,MATCH(B651,Vöruskrá!B:B,0))*C651/100000,""))</f>
        <v>2.9563999999999999</v>
      </c>
      <c r="H651" s="169">
        <f>IF(OR(B651="",C651=""),"",IFERROR(INDEX(Vöruskrá!K:K,MATCH(B651,Vöruskrá!B:B,0))*C651/100000,""))</f>
        <v>7.391E-3</v>
      </c>
      <c r="I651" s="169">
        <f>IF(OR(B651="",C651=""),"",IFERROR(INDEX(Vöruskrá!L:L,MATCH(B651,Vöruskrá!B:B,0))*C651/100000,""))</f>
        <v>0</v>
      </c>
      <c r="J651" s="169">
        <f>IF(OR(B651="",C651=""),"",IFERROR(INDEX(Vöruskrá!M:M,MATCH(B651,Vöruskrá!B:B,0))*C651/100000,""))</f>
        <v>0.68736300000000006</v>
      </c>
      <c r="K651" s="169">
        <f>IF(OR(B651="",C651=""),"",IFERROR(INDEX(Vöruskrá!N:N,MATCH(B651,Vöruskrá!B:B,0))*C651/100000,""))</f>
        <v>0.31042200000000003</v>
      </c>
      <c r="L651" s="169">
        <f>IF(OR(B651="",C651=""),"",IFERROR(INDEX(Vöruskrá!O:O,MATCH(B651,Vöruskrá!B:B,0))*C651/100000,""))</f>
        <v>8.1300999999999998E-2</v>
      </c>
      <c r="M651" s="169">
        <f>IF(OR(B651="",C651=""),"",IFERROR(INDEX(Vöruskrá!P:P,MATCH(B651,Vöruskrá!B:B,0))*C651/100000,""))</f>
        <v>0</v>
      </c>
      <c r="N651" s="169">
        <f>IF(OR(B651="",C651=""),"",IFERROR(INDEX(Vöruskrá!Q:Q,MATCH(B651,Vöruskrá!B:B,0))*C651/100000,""))</f>
        <v>0.12564699999999998</v>
      </c>
      <c r="O651" s="170">
        <f>IF(OR(B651="",C651=""),"",IFERROR(C651/1000*INDEX(Vöruskrá!R:R,MATCH(B651,Vöruskrá!B:B,0))/1000,""))</f>
        <v>0</v>
      </c>
      <c r="P651" s="171"/>
      <c r="Q651" s="157"/>
      <c r="R651" s="27"/>
    </row>
    <row r="652" spans="1:18" ht="15">
      <c r="A652" s="173"/>
      <c r="B652" s="173" t="s">
        <v>1017</v>
      </c>
      <c r="C652" s="174">
        <v>739</v>
      </c>
      <c r="D652" s="168" t="s">
        <v>1017</v>
      </c>
      <c r="E652" s="168" t="s">
        <v>134</v>
      </c>
      <c r="F652" s="168"/>
      <c r="G652" s="169">
        <f>IF(OR(B652="",C652=""),"",IFERROR(INDEX(Vöruskrá!J:J,MATCH(B652,Vöruskrá!B:B,0))*C652/100000,""))</f>
        <v>1.10111</v>
      </c>
      <c r="H652" s="169">
        <f>IF(OR(B652="",C652=""),"",IFERROR(INDEX(Vöruskrá!K:K,MATCH(B652,Vöruskrá!B:B,0))*C652/100000,""))</f>
        <v>3.6949999999999999E-3</v>
      </c>
      <c r="I652" s="169">
        <f>IF(OR(B652="",C652=""),"",IFERROR(INDEX(Vöruskrá!L:L,MATCH(B652,Vöruskrá!B:B,0))*C652/100000,""))</f>
        <v>7.3900000000000007E-4</v>
      </c>
      <c r="J652" s="169">
        <f>IF(OR(B652="",C652=""),"",IFERROR(INDEX(Vöruskrá!M:M,MATCH(B652,Vöruskrá!B:B,0))*C652/100000,""))</f>
        <v>0.24460900000000002</v>
      </c>
      <c r="K652" s="169">
        <f>IF(OR(B652="",C652=""),"",IFERROR(INDEX(Vöruskrá!N:N,MATCH(B652,Vöruskrá!B:B,0))*C652/100000,""))</f>
        <v>7.3899999999999999E-3</v>
      </c>
      <c r="L652" s="169">
        <f>IF(OR(B652="",C652=""),"",IFERROR(INDEX(Vöruskrá!O:O,MATCH(B652,Vöruskrá!B:B,0))*C652/100000,""))</f>
        <v>4.7296000000000005E-2</v>
      </c>
      <c r="M652" s="169">
        <f>IF(OR(B652="",C652=""),"",IFERROR(INDEX(Vöruskrá!P:P,MATCH(B652,Vöruskrá!B:B,0))*C652/100000,""))</f>
        <v>0</v>
      </c>
      <c r="N652" s="169">
        <f>IF(OR(B652="",C652=""),"",IFERROR(INDEX(Vöruskrá!Q:Q,MATCH(B652,Vöruskrá!B:B,0))*C652/100000,""))</f>
        <v>1.5519000000000002E-2</v>
      </c>
      <c r="O652" s="170">
        <f>IF(OR(B652="",C652=""),"",IFERROR(C652/1000*INDEX(Vöruskrá!R:R,MATCH(B652,Vöruskrá!B:B,0))/1000,""))</f>
        <v>0</v>
      </c>
      <c r="P652" s="173"/>
      <c r="Q652" s="158"/>
      <c r="R652" s="6"/>
    </row>
    <row r="653" spans="1:18" ht="15">
      <c r="A653" s="171"/>
      <c r="B653" s="171" t="s">
        <v>1475</v>
      </c>
      <c r="C653" s="172">
        <v>370</v>
      </c>
      <c r="D653" s="168"/>
      <c r="E653" s="168"/>
      <c r="F653" s="168"/>
      <c r="G653" s="169">
        <f>IF(OR(B653="",C653=""),"",IFERROR(INDEX(Vöruskrá!J:J,MATCH(B653,Vöruskrá!B:B,0))*C653/100000,""))</f>
        <v>0</v>
      </c>
      <c r="H653" s="169">
        <f>IF(OR(B653="",C653=""),"",IFERROR(INDEX(Vöruskrá!K:K,MATCH(B653,Vöruskrá!B:B,0))*C653/100000,""))</f>
        <v>0</v>
      </c>
      <c r="I653" s="169">
        <f>IF(OR(B653="",C653=""),"",IFERROR(INDEX(Vöruskrá!L:L,MATCH(B653,Vöruskrá!B:B,0))*C653/100000,""))</f>
        <v>0</v>
      </c>
      <c r="J653" s="169">
        <f>IF(OR(B653="",C653=""),"",IFERROR(INDEX(Vöruskrá!M:M,MATCH(B653,Vöruskrá!B:B,0))*C653/100000,""))</f>
        <v>0</v>
      </c>
      <c r="K653" s="169">
        <f>IF(OR(B653="",C653=""),"",IFERROR(INDEX(Vöruskrá!N:N,MATCH(B653,Vöruskrá!B:B,0))*C653/100000,""))</f>
        <v>0</v>
      </c>
      <c r="L653" s="169">
        <f>IF(OR(B653="",C653=""),"",IFERROR(INDEX(Vöruskrá!O:O,MATCH(B653,Vöruskrá!B:B,0))*C653/100000,""))</f>
        <v>0</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1"/>
      <c r="Q653" s="157"/>
      <c r="R653" s="27"/>
    </row>
    <row r="654" spans="1:18" ht="15">
      <c r="A654" s="173"/>
      <c r="B654" s="173" t="s">
        <v>299</v>
      </c>
      <c r="C654" s="174">
        <v>591</v>
      </c>
      <c r="D654" s="168" t="s">
        <v>302</v>
      </c>
      <c r="E654" s="168" t="s">
        <v>134</v>
      </c>
      <c r="F654" s="168" t="s">
        <v>303</v>
      </c>
      <c r="G654" s="169">
        <f>IF(OR(B654="",C654=""),"",IFERROR(INDEX(Vöruskrá!J:J,MATCH(B654,Vöruskrá!B:B,0))*C654/100000,""))</f>
        <v>0</v>
      </c>
      <c r="H654" s="169">
        <f>IF(OR(B654="",C654=""),"",IFERROR(INDEX(Vöruskrá!K:K,MATCH(B654,Vöruskrá!B:B,0))*C654/100000,""))</f>
        <v>0</v>
      </c>
      <c r="I654" s="169">
        <f>IF(OR(B654="",C654=""),"",IFERROR(INDEX(Vöruskrá!L:L,MATCH(B654,Vöruskrá!B:B,0))*C654/100000,""))</f>
        <v>0</v>
      </c>
      <c r="J654" s="169">
        <f>IF(OR(B654="",C654=""),"",IFERROR(INDEX(Vöruskrá!M:M,MATCH(B654,Vöruskrá!B:B,0))*C654/100000,""))</f>
        <v>0</v>
      </c>
      <c r="K654" s="169">
        <f>IF(OR(B654="",C654=""),"",IFERROR(INDEX(Vöruskrá!N:N,MATCH(B654,Vöruskrá!B:B,0))*C654/100000,""))</f>
        <v>0</v>
      </c>
      <c r="L654" s="169">
        <f>IF(OR(B654="",C654=""),"",IFERROR(INDEX(Vöruskrá!O:O,MATCH(B654,Vöruskrá!B:B,0))*C654/100000,""))</f>
        <v>0</v>
      </c>
      <c r="M654" s="169">
        <f>IF(OR(B654="",C654=""),"",IFERROR(INDEX(Vöruskrá!P:P,MATCH(B654,Vöruskrá!B:B,0))*C654/100000,""))</f>
        <v>0.59099999999999997</v>
      </c>
      <c r="N654" s="169">
        <f>IF(OR(B654="",C654=""),"",IFERROR(INDEX(Vöruskrá!Q:Q,MATCH(B654,Vöruskrá!B:B,0))*C654/100000,""))</f>
        <v>0</v>
      </c>
      <c r="O654" s="170">
        <f>IF(OR(B654="",C654=""),"",IFERROR(C654/1000*INDEX(Vöruskrá!R:R,MATCH(B654,Vöruskrá!B:B,0))/1000,""))</f>
        <v>0</v>
      </c>
      <c r="P654" s="173"/>
      <c r="Q654" s="200"/>
      <c r="R654" s="159"/>
    </row>
    <row r="655" spans="1:18" ht="48">
      <c r="A655" s="147" t="s">
        <v>1879</v>
      </c>
      <c r="B655" s="147"/>
      <c r="C655" s="148"/>
      <c r="D655" s="165" t="s">
        <v>1880</v>
      </c>
      <c r="E655" s="165" t="s">
        <v>1798</v>
      </c>
      <c r="F655" s="165"/>
      <c r="G655" s="166">
        <v>54.12</v>
      </c>
      <c r="H655" s="166">
        <v>3.39</v>
      </c>
      <c r="I655" s="166">
        <v>1.9</v>
      </c>
      <c r="J655" s="166">
        <v>1.68</v>
      </c>
      <c r="K655" s="166"/>
      <c r="L655" s="166">
        <v>4.01</v>
      </c>
      <c r="M655" s="166">
        <v>1.19</v>
      </c>
      <c r="N655" s="166">
        <f>IFERROR(SUM(N656:N663)/(SUM($C$656:$C$663)/100000),"")</f>
        <v>0.22440900000000003</v>
      </c>
      <c r="O655" s="167" t="str">
        <f>IF(OR(B655="",C655=""),"",IFERROR(C655/1000*INDEX(Vöruskrá!R:R,MATCH(B655,Vöruskrá!B:B,0))/1000,""))</f>
        <v/>
      </c>
      <c r="P655" s="196" t="s">
        <v>1881</v>
      </c>
      <c r="Q655" s="195" t="s">
        <v>1882</v>
      </c>
      <c r="R655" s="194" t="s">
        <v>1883</v>
      </c>
    </row>
    <row r="656" spans="1:18" ht="15">
      <c r="A656" s="171"/>
      <c r="B656" s="171" t="s">
        <v>1486</v>
      </c>
      <c r="C656" s="172">
        <v>47244</v>
      </c>
      <c r="D656" s="168"/>
      <c r="E656" s="168"/>
      <c r="F656" s="168"/>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v>
      </c>
      <c r="N656" s="169">
        <f>IF(OR(B656="",C656=""),"",IFERROR(INDEX(Vöruskrá!Q:Q,MATCH(B656,Vöruskrá!B:B,0))*C656/100000,""))</f>
        <v>0</v>
      </c>
      <c r="O656" s="170">
        <f>IF(OR(B656="",C656=""),"",IFERROR(C656/1000*INDEX(Vöruskrá!R:R,MATCH(B656,Vöruskrá!B:B,0))/1000,""))</f>
        <v>0</v>
      </c>
      <c r="P656" s="171"/>
      <c r="Q656" s="197"/>
      <c r="R656" s="164"/>
    </row>
    <row r="657" spans="1:18">
      <c r="A657" s="173"/>
      <c r="B657" s="173" t="s">
        <v>1734</v>
      </c>
      <c r="C657" s="174">
        <v>23622</v>
      </c>
      <c r="D657" s="168"/>
      <c r="E657" s="168"/>
      <c r="F657" s="168"/>
      <c r="G657" s="169" t="str">
        <f>IF(OR(B657="",C657=""),"",IFERROR(INDEX(Vöruskrá!J:J,MATCH(B657,Vöruskrá!B:B,0))*C657/100000,""))</f>
        <v/>
      </c>
      <c r="H657" s="169" t="str">
        <f>IF(OR(B657="",C657=""),"",IFERROR(INDEX(Vöruskrá!K:K,MATCH(B657,Vöruskrá!B:B,0))*C657/100000,""))</f>
        <v/>
      </c>
      <c r="I657" s="169" t="str">
        <f>IF(OR(B657="",C657=""),"",IFERROR(INDEX(Vöruskrá!L:L,MATCH(B657,Vöruskrá!B:B,0))*C657/100000,""))</f>
        <v/>
      </c>
      <c r="J657" s="169" t="str">
        <f>IF(OR(B657="",C657=""),"",IFERROR(INDEX(Vöruskrá!M:M,MATCH(B657,Vöruskrá!B:B,0))*C657/100000,""))</f>
        <v/>
      </c>
      <c r="K657" s="169" t="str">
        <f>IF(OR(B657="",C657=""),"",IFERROR(INDEX(Vöruskrá!N:N,MATCH(B657,Vöruskrá!B:B,0))*C657/100000,""))</f>
        <v/>
      </c>
      <c r="L657" s="169" t="str">
        <f>IF(OR(B657="",C657=""),"",IFERROR(INDEX(Vöruskrá!O:O,MATCH(B657,Vöruskrá!B:B,0))*C657/100000,""))</f>
        <v/>
      </c>
      <c r="M657" s="169" t="str">
        <f>IF(OR(B657="",C657=""),"",IFERROR(INDEX(Vöruskrá!P:P,MATCH(B657,Vöruskrá!B:B,0))*C657/100000,""))</f>
        <v/>
      </c>
      <c r="N657" s="169" t="str">
        <f>IF(OR(B657="",C657=""),"",IFERROR(INDEX(Vöruskrá!Q:Q,MATCH(B657,Vöruskrá!B:B,0))*C657/100000,""))</f>
        <v/>
      </c>
      <c r="O657" s="170" t="str">
        <f>IF(OR(B657="",C657=""),"",IFERROR(C657/1000*INDEX(Vöruskrá!R:R,MATCH(B657,Vöruskrá!B:B,0))/1000,""))</f>
        <v/>
      </c>
      <c r="P657" s="173"/>
      <c r="Q657" s="157"/>
      <c r="R657" s="27"/>
    </row>
    <row r="658" spans="1:18" ht="15">
      <c r="A658" s="171"/>
      <c r="B658" s="171" t="s">
        <v>895</v>
      </c>
      <c r="C658" s="172">
        <v>15748</v>
      </c>
      <c r="D658" s="168" t="s">
        <v>897</v>
      </c>
      <c r="E658" s="168" t="s">
        <v>120</v>
      </c>
      <c r="F658" s="168"/>
      <c r="G658" s="169">
        <f>IF(OR(B658="",C658=""),"",IFERROR(INDEX(Vöruskrá!J:J,MATCH(B658,Vöruskrá!B:B,0))*C658/100000,""))</f>
        <v>47.401479999999999</v>
      </c>
      <c r="H658" s="169">
        <f>IF(OR(B658="",C658=""),"",IFERROR(INDEX(Vöruskrá!K:K,MATCH(B658,Vöruskrá!B:B,0))*C658/100000,""))</f>
        <v>3.30708</v>
      </c>
      <c r="I658" s="169">
        <f>IF(OR(B658="",C658=""),"",IFERROR(INDEX(Vöruskrá!L:L,MATCH(B658,Vöruskrá!B:B,0))*C658/100000,""))</f>
        <v>1.8897600000000001</v>
      </c>
      <c r="J658" s="169">
        <f>IF(OR(B658="",C658=""),"",IFERROR(INDEX(Vöruskrá!M:M,MATCH(B658,Vöruskrá!B:B,0))*C658/100000,""))</f>
        <v>0.50393600000000005</v>
      </c>
      <c r="K658" s="169">
        <f>IF(OR(B658="",C658=""),"",IFERROR(INDEX(Vöruskrá!N:N,MATCH(B658,Vöruskrá!B:B,0))*C658/100000,""))</f>
        <v>0.15748000000000001</v>
      </c>
      <c r="L658" s="169">
        <f>IF(OR(B658="",C658=""),"",IFERROR(INDEX(Vöruskrá!O:O,MATCH(B658,Vöruskrá!B:B,0))*C658/100000,""))</f>
        <v>3.7795200000000002</v>
      </c>
      <c r="M658" s="169">
        <f>IF(OR(B658="",C658=""),"",IFERROR(INDEX(Vöruskrá!P:P,MATCH(B658,Vöruskrá!B:B,0))*C658/100000,""))</f>
        <v>0.22047199999999997</v>
      </c>
      <c r="N658" s="169">
        <f>IF(OR(B658="",C658=""),"",IFERROR(INDEX(Vöruskrá!Q:Q,MATCH(B658,Vöruskrá!B:B,0))*C658/100000,""))</f>
        <v>0</v>
      </c>
      <c r="O658" s="170">
        <f>IF(OR(B658="",C658=""),"",IFERROR(C658/1000*INDEX(Vöruskrá!R:R,MATCH(B658,Vöruskrá!B:B,0))/1000,""))</f>
        <v>0</v>
      </c>
      <c r="P658" s="171"/>
      <c r="Q658" s="158"/>
      <c r="R658" s="6"/>
    </row>
    <row r="659" spans="1:18" ht="15">
      <c r="A659" s="173"/>
      <c r="B659" s="173" t="s">
        <v>1116</v>
      </c>
      <c r="C659" s="174">
        <v>3937</v>
      </c>
      <c r="D659" s="168" t="s">
        <v>1117</v>
      </c>
      <c r="E659" s="168" t="s">
        <v>1099</v>
      </c>
      <c r="F659" s="168"/>
      <c r="G659" s="169">
        <f>IF(OR(B659="",C659=""),"",IFERROR(INDEX(Vöruskrá!J:J,MATCH(B659,Vöruskrá!B:B,0))*C659/100000,""))</f>
        <v>1.2204699999999999</v>
      </c>
      <c r="H659" s="169">
        <f>IF(OR(B659="",C659=""),"",IFERROR(INDEX(Vöruskrá!K:K,MATCH(B659,Vöruskrá!B:B,0))*C659/100000,""))</f>
        <v>1.1810999999999999E-2</v>
      </c>
      <c r="I659" s="169">
        <f>IF(OR(B659="",C659=""),"",IFERROR(INDEX(Vöruskrá!L:L,MATCH(B659,Vöruskrá!B:B,0))*C659/100000,""))</f>
        <v>0</v>
      </c>
      <c r="J659" s="169">
        <f>IF(OR(B659="",C659=""),"",IFERROR(INDEX(Vöruskrá!M:M,MATCH(B659,Vöruskrá!B:B,0))*C659/100000,""))</f>
        <v>0.23622000000000001</v>
      </c>
      <c r="K659" s="169">
        <f>IF(OR(B659="",C659=""),"",IFERROR(INDEX(Vöruskrá!N:N,MATCH(B659,Vöruskrá!B:B,0))*C659/100000,""))</f>
        <v>0.165354</v>
      </c>
      <c r="L659" s="169">
        <f>IF(OR(B659="",C659=""),"",IFERROR(INDEX(Vöruskrá!O:O,MATCH(B659,Vöruskrá!B:B,0))*C659/100000,""))</f>
        <v>3.9370000000000002E-2</v>
      </c>
      <c r="M659" s="169">
        <f>IF(OR(B659="",C659=""),"",IFERROR(INDEX(Vöruskrá!P:P,MATCH(B659,Vöruskrá!B:B,0))*C659/100000,""))</f>
        <v>0</v>
      </c>
      <c r="N659" s="169">
        <f>IF(OR(B659="",C659=""),"",IFERROR(INDEX(Vöruskrá!Q:Q,MATCH(B659,Vöruskrá!B:B,0))*C659/100000,""))</f>
        <v>8.2677E-2</v>
      </c>
      <c r="O659" s="170">
        <f>IF(OR(B659="",C659=""),"",IFERROR(C659/1000*INDEX(Vöruskrá!R:R,MATCH(B659,Vöruskrá!B:B,0))/1000,""))</f>
        <v>0</v>
      </c>
      <c r="P659" s="173"/>
      <c r="Q659" s="157"/>
      <c r="R659" s="27"/>
    </row>
    <row r="660" spans="1:18" ht="15">
      <c r="A660" s="171"/>
      <c r="B660" s="171" t="s">
        <v>489</v>
      </c>
      <c r="C660" s="172">
        <v>1181</v>
      </c>
      <c r="D660" s="168" t="s">
        <v>490</v>
      </c>
      <c r="E660" s="168" t="s">
        <v>134</v>
      </c>
      <c r="F660" s="168" t="s">
        <v>311</v>
      </c>
      <c r="G660" s="169">
        <f>IF(OR(B660="",C660=""),"",IFERROR(INDEX(Vöruskrá!J:J,MATCH(B660,Vöruskrá!B:B,0))*C660/100000,""))</f>
        <v>2.62182</v>
      </c>
      <c r="H660" s="169">
        <f>IF(OR(B660="",C660=""),"",IFERROR(INDEX(Vöruskrá!K:K,MATCH(B660,Vöruskrá!B:B,0))*C660/100000,""))</f>
        <v>7.0860000000000006E-2</v>
      </c>
      <c r="I660" s="169">
        <f>IF(OR(B660="",C660=""),"",IFERROR(INDEX(Vöruskrá!L:L,MATCH(B660,Vöruskrá!B:B,0))*C660/100000,""))</f>
        <v>1.0629000000000001E-2</v>
      </c>
      <c r="J660" s="169">
        <f>IF(OR(B660="",C660=""),"",IFERROR(INDEX(Vöruskrá!M:M,MATCH(B660,Vöruskrá!B:B,0))*C660/100000,""))</f>
        <v>0.3543</v>
      </c>
      <c r="K660" s="169">
        <f>IF(OR(B660="",C660=""),"",IFERROR(INDEX(Vöruskrá!N:N,MATCH(B660,Vöruskrá!B:B,0))*C660/100000,""))</f>
        <v>5.4325999999999992E-2</v>
      </c>
      <c r="L660" s="169">
        <f>IF(OR(B660="",C660=""),"",IFERROR(INDEX(Vöruskrá!O:O,MATCH(B660,Vöruskrá!B:B,0))*C660/100000,""))</f>
        <v>8.3851000000000009E-2</v>
      </c>
      <c r="M660" s="169">
        <f>IF(OR(B660="",C660=""),"",IFERROR(INDEX(Vöruskrá!P:P,MATCH(B660,Vöruskrá!B:B,0))*C660/100000,""))</f>
        <v>0.53144999999999998</v>
      </c>
      <c r="N660" s="169">
        <f>IF(OR(B660="",C660=""),"",IFERROR(INDEX(Vöruskrá!Q:Q,MATCH(B660,Vöruskrá!B:B,0))*C660/100000,""))</f>
        <v>0</v>
      </c>
      <c r="O660" s="170">
        <f>IF(OR(B660="",C660=""),"",IFERROR(C660/1000*INDEX(Vöruskrá!R:R,MATCH(B660,Vöruskrá!B:B,0))/1000,""))</f>
        <v>0</v>
      </c>
      <c r="P660" s="171"/>
      <c r="Q660" s="158"/>
      <c r="R660" s="6"/>
    </row>
    <row r="661" spans="1:18" ht="15">
      <c r="A661" s="173"/>
      <c r="B661" s="173" t="s">
        <v>1010</v>
      </c>
      <c r="C661" s="174">
        <v>3937</v>
      </c>
      <c r="D661" s="168" t="s">
        <v>1010</v>
      </c>
      <c r="E661" s="168" t="s">
        <v>134</v>
      </c>
      <c r="F661" s="168"/>
      <c r="G661" s="169">
        <f>IF(OR(B661="",C661=""),"",IFERROR(INDEX(Vöruskrá!J:J,MATCH(B661,Vöruskrá!B:B,0))*C661/100000,""))</f>
        <v>1.5748</v>
      </c>
      <c r="H661" s="169">
        <f>IF(OR(B661="",C661=""),"",IFERROR(INDEX(Vöruskrá!K:K,MATCH(B661,Vöruskrá!B:B,0))*C661/100000,""))</f>
        <v>3.9370000000000004E-3</v>
      </c>
      <c r="I661" s="169">
        <f>IF(OR(B661="",C661=""),"",IFERROR(INDEX(Vöruskrá!L:L,MATCH(B661,Vöruskrá!B:B,0))*C661/100000,""))</f>
        <v>0</v>
      </c>
      <c r="J661" s="169">
        <f>IF(OR(B661="",C661=""),"",IFERROR(INDEX(Vöruskrá!M:M,MATCH(B661,Vöruskrá!B:B,0))*C661/100000,""))</f>
        <v>0.36614100000000005</v>
      </c>
      <c r="K661" s="169">
        <f>IF(OR(B661="",C661=""),"",IFERROR(INDEX(Vöruskrá!N:N,MATCH(B661,Vöruskrá!B:B,0))*C661/100000,""))</f>
        <v>0.165354</v>
      </c>
      <c r="L661" s="169">
        <f>IF(OR(B661="",C661=""),"",IFERROR(INDEX(Vöruskrá!O:O,MATCH(B661,Vöruskrá!B:B,0))*C661/100000,""))</f>
        <v>4.3307000000000005E-2</v>
      </c>
      <c r="M661" s="169">
        <f>IF(OR(B661="",C661=""),"",IFERROR(INDEX(Vöruskrá!P:P,MATCH(B661,Vöruskrá!B:B,0))*C661/100000,""))</f>
        <v>0</v>
      </c>
      <c r="N661" s="169">
        <f>IF(OR(B661="",C661=""),"",IFERROR(INDEX(Vöruskrá!Q:Q,MATCH(B661,Vöruskrá!B:B,0))*C661/100000,""))</f>
        <v>6.6929000000000002E-2</v>
      </c>
      <c r="O661" s="170">
        <f>IF(OR(B661="",C661=""),"",IFERROR(C661/1000*INDEX(Vöruskrá!R:R,MATCH(B661,Vöruskrá!B:B,0))/1000,""))</f>
        <v>0</v>
      </c>
      <c r="P661" s="173"/>
      <c r="Q661" s="157"/>
      <c r="R661" s="27"/>
    </row>
    <row r="662" spans="1:18" ht="15">
      <c r="A662" s="171"/>
      <c r="B662" s="171" t="s">
        <v>420</v>
      </c>
      <c r="C662" s="172">
        <v>3937</v>
      </c>
      <c r="D662" s="168" t="s">
        <v>421</v>
      </c>
      <c r="E662" s="168" t="s">
        <v>134</v>
      </c>
      <c r="F662" s="168"/>
      <c r="G662" s="169">
        <f>IF(OR(B662="",C662=""),"",IFERROR(INDEX(Vöruskrá!J:J,MATCH(B662,Vöruskrá!B:B,0))*C662/100000,""))</f>
        <v>1.29921</v>
      </c>
      <c r="H662" s="169">
        <f>IF(OR(B662="",C662=""),"",IFERROR(INDEX(Vöruskrá!K:K,MATCH(B662,Vöruskrá!B:B,0))*C662/100000,""))</f>
        <v>0</v>
      </c>
      <c r="I662" s="169">
        <f>IF(OR(B662="",C662=""),"",IFERROR(INDEX(Vöruskrá!L:L,MATCH(B662,Vöruskrá!B:B,0))*C662/100000,""))</f>
        <v>0</v>
      </c>
      <c r="J662" s="169">
        <f>IF(OR(B662="",C662=""),"",IFERROR(INDEX(Vöruskrá!M:M,MATCH(B662,Vöruskrá!B:B,0))*C662/100000,""))</f>
        <v>0.21653500000000001</v>
      </c>
      <c r="K662" s="169">
        <f>IF(OR(B662="",C662=""),"",IFERROR(INDEX(Vöruskrá!N:N,MATCH(B662,Vöruskrá!B:B,0))*C662/100000,""))</f>
        <v>0.18897599999999998</v>
      </c>
      <c r="L662" s="169">
        <f>IF(OR(B662="",C662=""),"",IFERROR(INDEX(Vöruskrá!O:O,MATCH(B662,Vöruskrá!B:B,0))*C662/100000,""))</f>
        <v>6.2992000000000006E-2</v>
      </c>
      <c r="M662" s="169">
        <f>IF(OR(B662="",C662=""),"",IFERROR(INDEX(Vöruskrá!P:P,MATCH(B662,Vöruskrá!B:B,0))*C662/100000,""))</f>
        <v>3.9370000000000002E-2</v>
      </c>
      <c r="N662" s="169">
        <f>IF(OR(B662="",C662=""),"",IFERROR(INDEX(Vöruskrá!Q:Q,MATCH(B662,Vöruskrá!B:B,0))*C662/100000,""))</f>
        <v>7.4802999999999994E-2</v>
      </c>
      <c r="O662" s="170">
        <f>IF(OR(B662="",C662=""),"",IFERROR(C662/1000*INDEX(Vöruskrá!R:R,MATCH(B662,Vöruskrá!B:B,0))/1000,""))</f>
        <v>0</v>
      </c>
      <c r="P662" s="171"/>
      <c r="Q662" s="158"/>
      <c r="R662" s="6"/>
    </row>
    <row r="663" spans="1:18" ht="15">
      <c r="A663" s="180"/>
      <c r="B663" s="180" t="s">
        <v>299</v>
      </c>
      <c r="C663" s="181">
        <v>394</v>
      </c>
      <c r="D663" s="177" t="s">
        <v>302</v>
      </c>
      <c r="E663" s="177" t="s">
        <v>134</v>
      </c>
      <c r="F663" s="177" t="s">
        <v>303</v>
      </c>
      <c r="G663" s="178">
        <f>IF(OR(B663="",C663=""),"",IFERROR(INDEX(Vöruskrá!J:J,MATCH(B663,Vöruskrá!B:B,0))*C663/100000,""))</f>
        <v>0</v>
      </c>
      <c r="H663" s="178">
        <f>IF(OR(B663="",C663=""),"",IFERROR(INDEX(Vöruskrá!K:K,MATCH(B663,Vöruskrá!B:B,0))*C663/100000,""))</f>
        <v>0</v>
      </c>
      <c r="I663" s="178">
        <f>IF(OR(B663="",C663=""),"",IFERROR(INDEX(Vöruskrá!L:L,MATCH(B663,Vöruskrá!B:B,0))*C663/100000,""))</f>
        <v>0</v>
      </c>
      <c r="J663" s="178">
        <f>IF(OR(B663="",C663=""),"",IFERROR(INDEX(Vöruskrá!M:M,MATCH(B663,Vöruskrá!B:B,0))*C663/100000,""))</f>
        <v>0</v>
      </c>
      <c r="K663" s="178">
        <f>IF(OR(B663="",C663=""),"",IFERROR(INDEX(Vöruskrá!N:N,MATCH(B663,Vöruskrá!B:B,0))*C663/100000,""))</f>
        <v>0</v>
      </c>
      <c r="L663" s="178">
        <f>IF(OR(B663="",C663=""),"",IFERROR(INDEX(Vöruskrá!O:O,MATCH(B663,Vöruskrá!B:B,0))*C663/100000,""))</f>
        <v>0</v>
      </c>
      <c r="M663" s="178">
        <f>IF(OR(B663="",C663=""),"",IFERROR(INDEX(Vöruskrá!P:P,MATCH(B663,Vöruskrá!B:B,0))*C663/100000,""))</f>
        <v>0.39400000000000002</v>
      </c>
      <c r="N663" s="178">
        <f>IF(OR(B663="",C663=""),"",IFERROR(INDEX(Vöruskrá!Q:Q,MATCH(B663,Vöruskrá!B:B,0))*C663/100000,""))</f>
        <v>0</v>
      </c>
      <c r="O663" s="179">
        <f>IF(OR(B663="",C663=""),"",IFERROR(C663/1000*INDEX(Vöruskrá!R:R,MATCH(B663,Vöruskrá!B:B,0))/1000,""))</f>
        <v>0</v>
      </c>
      <c r="P663" s="180"/>
      <c r="Q663" s="201"/>
      <c r="R663" s="202"/>
    </row>
    <row r="664" spans="1:18" ht="48">
      <c r="A664" s="147" t="s">
        <v>1884</v>
      </c>
      <c r="B664" s="147"/>
      <c r="C664" s="148"/>
      <c r="D664" s="165" t="s">
        <v>1885</v>
      </c>
      <c r="E664" s="165" t="s">
        <v>1099</v>
      </c>
      <c r="F664" s="165"/>
      <c r="G664" s="166">
        <v>29.12</v>
      </c>
      <c r="H664" s="166">
        <v>0.33</v>
      </c>
      <c r="I664" s="166">
        <v>0.04</v>
      </c>
      <c r="J664" s="166">
        <v>5.84</v>
      </c>
      <c r="K664" s="166"/>
      <c r="L664" s="166">
        <v>1.1299999999999999</v>
      </c>
      <c r="M664" s="166">
        <v>0.67</v>
      </c>
      <c r="N664" s="166">
        <f>IFERROR(SUM(N665:N672)/(SUM($C$665:$C$672)/100000),"")</f>
        <v>0.65653043469565309</v>
      </c>
      <c r="O664" s="167" t="str">
        <f>IF(OR(B664="",C664=""),"",IFERROR(C664/1000*IFERROR(INDEX(Vöruskrá!R:R,MATCH(B664,Vöruskrá!B:B,0)),0)/1000,""))</f>
        <v/>
      </c>
      <c r="P664" s="196" t="s">
        <v>1886</v>
      </c>
      <c r="Q664" s="199" t="s">
        <v>1887</v>
      </c>
      <c r="R664" s="198" t="s">
        <v>1888</v>
      </c>
    </row>
    <row r="665" spans="1:18" ht="15">
      <c r="A665" s="171"/>
      <c r="B665" s="171" t="s">
        <v>1478</v>
      </c>
      <c r="C665" s="172">
        <v>28986</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203"/>
      <c r="R665" s="204"/>
    </row>
    <row r="666" spans="1:18" ht="15">
      <c r="A666" s="173"/>
      <c r="B666" s="173" t="s">
        <v>1479</v>
      </c>
      <c r="C666" s="174">
        <v>14493</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8"/>
      <c r="R666" s="6"/>
    </row>
    <row r="667" spans="1:18" ht="15">
      <c r="A667" s="171"/>
      <c r="B667" s="171" t="s">
        <v>1097</v>
      </c>
      <c r="C667" s="172">
        <v>14493</v>
      </c>
      <c r="D667" s="168" t="s">
        <v>1098</v>
      </c>
      <c r="E667" s="168" t="s">
        <v>1099</v>
      </c>
      <c r="F667" s="168" t="s">
        <v>1100</v>
      </c>
      <c r="G667" s="169">
        <f>IF(OR(B667="",C667=""),"",IFERROR(IFERROR(INDEX(Vöruskrá!J:J,MATCH(B667,Vöruskrá!B:B,0)),0)*C667/100000,""))</f>
        <v>12.463979999999999</v>
      </c>
      <c r="H667" s="169">
        <f>IF(OR(B667="",C667=""),"",IFERROR(IFERROR(INDEX(Vöruskrá!K:K,MATCH(B667,Vöruskrá!B:B,0)),0)*C667/100000,""))</f>
        <v>0.17391599999999999</v>
      </c>
      <c r="I667" s="169">
        <f>IF(OR(B667="",C667=""),"",IFERROR(IFERROR(INDEX(Vöruskrá!L:L,MATCH(B667,Vöruskrá!B:B,0)),0)*C667/100000,""))</f>
        <v>2.8986000000000005E-2</v>
      </c>
      <c r="J667" s="169">
        <f>IF(OR(B667="",C667=""),"",IFERROR(IFERROR(INDEX(Vöruskrá!M:M,MATCH(B667,Vöruskrá!B:B,0)),0)*C667/100000,""))</f>
        <v>2.7536700000000001</v>
      </c>
      <c r="K667" s="169">
        <f>IF(OR(B667="",C667=""),"",IFERROR(IFERROR(INDEX(Vöruskrá!N:N,MATCH(B667,Vöruskrá!B:B,0)),0)*C667/100000,""))</f>
        <v>0.46377600000000008</v>
      </c>
      <c r="L667" s="169">
        <f>IF(OR(B667="",C667=""),"",IFERROR(IFERROR(INDEX(Vöruskrá!O:O,MATCH(B667,Vöruskrá!B:B,0)),0)*C667/100000,""))</f>
        <v>0.46377600000000008</v>
      </c>
      <c r="M667" s="169">
        <f>IF(OR(B667="",C667=""),"",IFERROR(IFERROR(INDEX(Vöruskrá!P:P,MATCH(B667,Vöruskrá!B:B,0)),0)*C667/100000,""))</f>
        <v>1.4493000000000002E-2</v>
      </c>
      <c r="N667" s="169">
        <f>IF(OR(B667="",C667=""),"",IFERROR(IFERROR(INDEX(Vöruskrá!Q:Q,MATCH(B667,Vöruskrá!B:B,0)),0)*C667/100000,""))</f>
        <v>0.28986000000000001</v>
      </c>
      <c r="O667" s="170">
        <f>IF(OR(B667="",C667=""),"",IFERROR(C667/1000*IFERROR(INDEX(Vöruskrá!R:R,MATCH(B667,Vöruskrá!B:B,0)),0)/1000,""))</f>
        <v>0</v>
      </c>
      <c r="P667" s="171"/>
      <c r="Q667" s="157"/>
      <c r="R667" s="27"/>
    </row>
    <row r="668" spans="1:18" ht="15">
      <c r="A668" s="173"/>
      <c r="B668" s="173" t="s">
        <v>1116</v>
      </c>
      <c r="C668" s="174">
        <v>10870</v>
      </c>
      <c r="D668" s="168" t="s">
        <v>1117</v>
      </c>
      <c r="E668" s="168" t="s">
        <v>1099</v>
      </c>
      <c r="F668" s="168"/>
      <c r="G668" s="169">
        <f>IF(OR(B668="",C668=""),"",IFERROR(IFERROR(INDEX(Vöruskrá!J:J,MATCH(B668,Vöruskrá!B:B,0)),0)*C668/100000,""))</f>
        <v>3.3696999999999999</v>
      </c>
      <c r="H668" s="169">
        <f>IF(OR(B668="",C668=""),"",IFERROR(IFERROR(INDEX(Vöruskrá!K:K,MATCH(B668,Vöruskrá!B:B,0)),0)*C668/100000,""))</f>
        <v>3.261E-2</v>
      </c>
      <c r="I668" s="169">
        <f>IF(OR(B668="",C668=""),"",IFERROR(IFERROR(INDEX(Vöruskrá!L:L,MATCH(B668,Vöruskrá!B:B,0)),0)*C668/100000,""))</f>
        <v>0</v>
      </c>
      <c r="J668" s="169">
        <f>IF(OR(B668="",C668=""),"",IFERROR(IFERROR(INDEX(Vöruskrá!M:M,MATCH(B668,Vöruskrá!B:B,0)),0)*C668/100000,""))</f>
        <v>0.6522</v>
      </c>
      <c r="K668" s="169">
        <f>IF(OR(B668="",C668=""),"",IFERROR(IFERROR(INDEX(Vöruskrá!N:N,MATCH(B668,Vöruskrá!B:B,0)),0)*C668/100000,""))</f>
        <v>0.45654</v>
      </c>
      <c r="L668" s="169">
        <f>IF(OR(B668="",C668=""),"",IFERROR(IFERROR(INDEX(Vöruskrá!O:O,MATCH(B668,Vöruskrá!B:B,0)),0)*C668/100000,""))</f>
        <v>0.1087</v>
      </c>
      <c r="M668" s="169">
        <f>IF(OR(B668="",C668=""),"",IFERROR(IFERROR(INDEX(Vöruskrá!P:P,MATCH(B668,Vöruskrá!B:B,0)),0)*C668/100000,""))</f>
        <v>0</v>
      </c>
      <c r="N668" s="169">
        <f>IF(OR(B668="",C668=""),"",IFERROR(IFERROR(INDEX(Vöruskrá!Q:Q,MATCH(B668,Vöruskrá!B:B,0)),0)*C668/100000,""))</f>
        <v>0.22827</v>
      </c>
      <c r="O668" s="170">
        <f>IF(OR(B668="",C668=""),"",IFERROR(C668/1000*IFERROR(INDEX(Vöruskrá!R:R,MATCH(B668,Vöruskrá!B:B,0)),0)/1000,""))</f>
        <v>0</v>
      </c>
      <c r="P668" s="173"/>
      <c r="Q668" s="158"/>
      <c r="R668" s="6"/>
    </row>
    <row r="669" spans="1:18" ht="15">
      <c r="A669" s="171"/>
      <c r="B669" s="171" t="s">
        <v>1010</v>
      </c>
      <c r="C669" s="172">
        <v>7246</v>
      </c>
      <c r="D669" s="168" t="s">
        <v>1010</v>
      </c>
      <c r="E669" s="168" t="s">
        <v>134</v>
      </c>
      <c r="F669" s="168"/>
      <c r="G669" s="169">
        <f>IF(OR(B669="",C669=""),"",IFERROR(IFERROR(INDEX(Vöruskrá!J:J,MATCH(B669,Vöruskrá!B:B,0)),0)*C669/100000,""))</f>
        <v>2.8984000000000001</v>
      </c>
      <c r="H669" s="169">
        <f>IF(OR(B669="",C669=""),"",IFERROR(IFERROR(INDEX(Vöruskrá!K:K,MATCH(B669,Vöruskrá!B:B,0)),0)*C669/100000,""))</f>
        <v>7.2459999999999998E-3</v>
      </c>
      <c r="I669" s="169">
        <f>IF(OR(B669="",C669=""),"",IFERROR(IFERROR(INDEX(Vöruskrá!L:L,MATCH(B669,Vöruskrá!B:B,0)),0)*C669/100000,""))</f>
        <v>0</v>
      </c>
      <c r="J669" s="169">
        <f>IF(OR(B669="",C669=""),"",IFERROR(IFERROR(INDEX(Vöruskrá!M:M,MATCH(B669,Vöruskrá!B:B,0)),0)*C669/100000,""))</f>
        <v>0.67387799999999998</v>
      </c>
      <c r="K669" s="169">
        <f>IF(OR(B669="",C669=""),"",IFERROR(IFERROR(INDEX(Vöruskrá!N:N,MATCH(B669,Vöruskrá!B:B,0)),0)*C669/100000,""))</f>
        <v>0.30433199999999999</v>
      </c>
      <c r="L669" s="169">
        <f>IF(OR(B669="",C669=""),"",IFERROR(IFERROR(INDEX(Vöruskrá!O:O,MATCH(B669,Vöruskrá!B:B,0)),0)*C669/100000,""))</f>
        <v>7.9705999999999999E-2</v>
      </c>
      <c r="M669" s="169">
        <f>IF(OR(B669="",C669=""),"",IFERROR(IFERROR(INDEX(Vöruskrá!P:P,MATCH(B669,Vöruskrá!B:B,0)),0)*C669/100000,""))</f>
        <v>0</v>
      </c>
      <c r="N669" s="169">
        <f>IF(OR(B669="",C669=""),"",IFERROR(IFERROR(INDEX(Vöruskrá!Q:Q,MATCH(B669,Vöruskrá!B:B,0)),0)*C669/100000,""))</f>
        <v>0.12318199999999999</v>
      </c>
      <c r="O669" s="170">
        <f>IF(OR(B669="",C669=""),"",IFERROR(C669/1000*IFERROR(INDEX(Vöruskrá!R:R,MATCH(B669,Vöruskrá!B:B,0)),0)/1000,""))</f>
        <v>0</v>
      </c>
      <c r="P669" s="171"/>
      <c r="Q669" s="157"/>
      <c r="R669" s="27"/>
    </row>
    <row r="670" spans="1:18" ht="15">
      <c r="A670" s="173"/>
      <c r="B670" s="173" t="s">
        <v>743</v>
      </c>
      <c r="C670" s="174">
        <v>21739</v>
      </c>
      <c r="D670" s="168" t="s">
        <v>745</v>
      </c>
      <c r="E670" s="168"/>
      <c r="F670" s="168"/>
      <c r="G670" s="169">
        <f>IF(OR(B670="",C670=""),"",IFERROR(IFERROR(INDEX(Vöruskrá!J:J,MATCH(B670,Vöruskrá!B:B,0)),0)*C670/100000,""))</f>
        <v>6.0869200000000001</v>
      </c>
      <c r="H670" s="169">
        <f>IF(OR(B670="",C670=""),"",IFERROR(IFERROR(INDEX(Vöruskrá!K:K,MATCH(B670,Vöruskrá!B:B,0)),0)*C670/100000,""))</f>
        <v>2.1739000000000001E-2</v>
      </c>
      <c r="I670" s="169">
        <f>IF(OR(B670="",C670=""),"",IFERROR(IFERROR(INDEX(Vöruskrá!L:L,MATCH(B670,Vöruskrá!B:B,0)),0)*C670/100000,""))</f>
        <v>0</v>
      </c>
      <c r="J670" s="169">
        <f>IF(OR(B670="",C670=""),"",IFERROR(IFERROR(INDEX(Vöruskrá!M:M,MATCH(B670,Vöruskrá!B:B,0)),0)*C670/100000,""))</f>
        <v>1.0869500000000001</v>
      </c>
      <c r="K670" s="169">
        <f>IF(OR(B670="",C670=""),"",IFERROR(IFERROR(INDEX(Vöruskrá!N:N,MATCH(B670,Vöruskrá!B:B,0)),0)*C670/100000,""))</f>
        <v>0.73912599999999995</v>
      </c>
      <c r="L670" s="169">
        <f>IF(OR(B670="",C670=""),"",IFERROR(IFERROR(INDEX(Vöruskrá!O:O,MATCH(B670,Vöruskrá!B:B,0)),0)*C670/100000,""))</f>
        <v>0.32608500000000001</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158"/>
      <c r="R670" s="6"/>
    </row>
    <row r="671" spans="1:18" ht="15">
      <c r="A671" s="171"/>
      <c r="B671" s="171" t="s">
        <v>489</v>
      </c>
      <c r="C671" s="172">
        <v>1449</v>
      </c>
      <c r="D671" s="168" t="s">
        <v>490</v>
      </c>
      <c r="E671" s="168" t="s">
        <v>134</v>
      </c>
      <c r="F671" s="168" t="s">
        <v>311</v>
      </c>
      <c r="G671" s="169">
        <f>IF(OR(B671="",C671=""),"",IFERROR(IFERROR(INDEX(Vöruskrá!J:J,MATCH(B671,Vöruskrá!B:B,0)),0)*C671/100000,""))</f>
        <v>3.21678</v>
      </c>
      <c r="H671" s="169">
        <f>IF(OR(B671="",C671=""),"",IFERROR(IFERROR(INDEX(Vöruskrá!K:K,MATCH(B671,Vöruskrá!B:B,0)),0)*C671/100000,""))</f>
        <v>8.6940000000000003E-2</v>
      </c>
      <c r="I671" s="169">
        <f>IF(OR(B671="",C671=""),"",IFERROR(IFERROR(INDEX(Vöruskrá!L:L,MATCH(B671,Vöruskrá!B:B,0)),0)*C671/100000,""))</f>
        <v>1.3041000000000001E-2</v>
      </c>
      <c r="J671" s="169">
        <f>IF(OR(B671="",C671=""),"",IFERROR(IFERROR(INDEX(Vöruskrá!M:M,MATCH(B671,Vöruskrá!B:B,0)),0)*C671/100000,""))</f>
        <v>0.43469999999999998</v>
      </c>
      <c r="K671" s="169">
        <f>IF(OR(B671="",C671=""),"",IFERROR(IFERROR(INDEX(Vöruskrá!N:N,MATCH(B671,Vöruskrá!B:B,0)),0)*C671/100000,""))</f>
        <v>6.6653999999999991E-2</v>
      </c>
      <c r="L671" s="169">
        <f>IF(OR(B671="",C671=""),"",IFERROR(IFERROR(INDEX(Vöruskrá!O:O,MATCH(B671,Vöruskrá!B:B,0)),0)*C671/100000,""))</f>
        <v>0.102879</v>
      </c>
      <c r="M671" s="169">
        <f>IF(OR(B671="",C671=""),"",IFERROR(IFERROR(INDEX(Vöruskrá!P:P,MATCH(B671,Vöruskrá!B:B,0)),0)*C671/100000,""))</f>
        <v>0.65205000000000002</v>
      </c>
      <c r="N671" s="169">
        <f>IF(OR(B671="",C671=""),"",IFERROR(IFERROR(INDEX(Vöruskrá!Q:Q,MATCH(B671,Vöruskrá!B:B,0)),0)*C671/100000,""))</f>
        <v>0</v>
      </c>
      <c r="O671" s="170">
        <f>IF(OR(B671="",C671=""),"",IFERROR(C671/1000*IFERROR(INDEX(Vöruskrá!R:R,MATCH(B671,Vöruskrá!B:B,0)),0)/1000,""))</f>
        <v>0</v>
      </c>
      <c r="P671" s="171"/>
      <c r="Q671" s="157"/>
      <c r="R671" s="27"/>
    </row>
    <row r="672" spans="1:18" ht="15">
      <c r="A672" s="173"/>
      <c r="B672" s="173" t="s">
        <v>1017</v>
      </c>
      <c r="C672" s="174">
        <v>725</v>
      </c>
      <c r="D672" s="168" t="s">
        <v>1017</v>
      </c>
      <c r="E672" s="168" t="s">
        <v>134</v>
      </c>
      <c r="F672" s="168"/>
      <c r="G672" s="169">
        <f>IF(OR(B672="",C672=""),"",IFERROR(IFERROR(INDEX(Vöruskrá!J:J,MATCH(B672,Vöruskrá!B:B,0)),0)*C672/100000,""))</f>
        <v>1.0802499999999999</v>
      </c>
      <c r="H672" s="169">
        <f>IF(OR(B672="",C672=""),"",IFERROR(IFERROR(INDEX(Vöruskrá!K:K,MATCH(B672,Vöruskrá!B:B,0)),0)*C672/100000,""))</f>
        <v>3.6250000000000002E-3</v>
      </c>
      <c r="I672" s="169">
        <f>IF(OR(B672="",C672=""),"",IFERROR(IFERROR(INDEX(Vöruskrá!L:L,MATCH(B672,Vöruskrá!B:B,0)),0)*C672/100000,""))</f>
        <v>7.2499999999999995E-4</v>
      </c>
      <c r="J672" s="169">
        <f>IF(OR(B672="",C672=""),"",IFERROR(IFERROR(INDEX(Vöruskrá!M:M,MATCH(B672,Vöruskrá!B:B,0)),0)*C672/100000,""))</f>
        <v>0.23997499999999999</v>
      </c>
      <c r="K672" s="169">
        <f>IF(OR(B672="",C672=""),"",IFERROR(IFERROR(INDEX(Vöruskrá!N:N,MATCH(B672,Vöruskrá!B:B,0)),0)*C672/100000,""))</f>
        <v>7.2500000000000004E-3</v>
      </c>
      <c r="L672" s="169">
        <f>IF(OR(B672="",C672=""),"",IFERROR(IFERROR(INDEX(Vöruskrá!O:O,MATCH(B672,Vöruskrá!B:B,0)),0)*C672/100000,""))</f>
        <v>4.6399999999999997E-2</v>
      </c>
      <c r="M672" s="169">
        <f>IF(OR(B672="",C672=""),"",IFERROR(IFERROR(INDEX(Vöruskrá!P:P,MATCH(B672,Vöruskrá!B:B,0)),0)*C672/100000,""))</f>
        <v>0</v>
      </c>
      <c r="N672" s="169">
        <f>IF(OR(B672="",C672=""),"",IFERROR(IFERROR(INDEX(Vöruskrá!Q:Q,MATCH(B672,Vöruskrá!B:B,0)),0)*C672/100000,""))</f>
        <v>1.5225000000000001E-2</v>
      </c>
      <c r="O672" s="170">
        <f>IF(OR(B672="",C672=""),"",IFERROR(C672/1000*IFERROR(INDEX(Vöruskrá!R:R,MATCH(B672,Vöruskrá!B:B,0)),0)/1000,""))</f>
        <v>0</v>
      </c>
      <c r="P672" s="173"/>
      <c r="Q672" s="200"/>
      <c r="R672" s="159"/>
    </row>
    <row r="673" spans="1:18" ht="48">
      <c r="A673" s="147" t="s">
        <v>1889</v>
      </c>
      <c r="B673" s="147"/>
      <c r="C673" s="148"/>
      <c r="D673" s="165" t="s">
        <v>1890</v>
      </c>
      <c r="E673" s="165" t="s">
        <v>134</v>
      </c>
      <c r="F673" s="165"/>
      <c r="G673" s="166">
        <v>54.1</v>
      </c>
      <c r="H673" s="166">
        <v>4.66</v>
      </c>
      <c r="I673" s="166">
        <v>3.76</v>
      </c>
      <c r="J673" s="166">
        <v>2.56</v>
      </c>
      <c r="K673" s="166"/>
      <c r="L673" s="166">
        <v>0.87</v>
      </c>
      <c r="M673" s="166">
        <v>0</v>
      </c>
      <c r="N673" s="166">
        <f>IFERROR(SUM(N674:N680)/(SUM($C$674:$C$680)/100000),"")</f>
        <v>0.60032202491386166</v>
      </c>
      <c r="O673" s="167" t="str">
        <f>IF(OR(B673="",C673=""),"",IFERROR(C673/1000*IFERROR(INDEX(Vöruskrá!R:R,MATCH(B673,Vöruskrá!B:B,0)),0)/1000,""))</f>
        <v/>
      </c>
      <c r="P673" s="196" t="s">
        <v>1891</v>
      </c>
      <c r="Q673" s="195" t="s">
        <v>1892</v>
      </c>
      <c r="R673" s="194" t="s">
        <v>1893</v>
      </c>
    </row>
    <row r="674" spans="1:18">
      <c r="A674" s="171"/>
      <c r="B674" s="171" t="s">
        <v>1894</v>
      </c>
      <c r="C674" s="172">
        <v>30675</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97"/>
      <c r="R674" s="164"/>
    </row>
    <row r="675" spans="1:18" ht="15">
      <c r="A675" s="173"/>
      <c r="B675" s="173" t="s">
        <v>1481</v>
      </c>
      <c r="C675" s="174">
        <v>18405</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7"/>
      <c r="R675" s="27"/>
    </row>
    <row r="676" spans="1:18" ht="15">
      <c r="A676" s="171"/>
      <c r="B676" s="171" t="s">
        <v>335</v>
      </c>
      <c r="C676" s="172">
        <v>18405</v>
      </c>
      <c r="D676" s="168" t="s">
        <v>337</v>
      </c>
      <c r="E676" s="168" t="s">
        <v>134</v>
      </c>
      <c r="F676" s="168"/>
      <c r="G676" s="169">
        <f>IF(OR(B676="",C676=""),"",IFERROR(IFERROR(INDEX(Vöruskrá!J:J,MATCH(B676,Vöruskrá!B:B,0)),0)*C676/100000,""))</f>
        <v>33.313049999999997</v>
      </c>
      <c r="H676" s="169">
        <f>IF(OR(B676="",C676=""),"",IFERROR(IFERROR(INDEX(Vöruskrá!K:K,MATCH(B676,Vöruskrá!B:B,0)),0)*C676/100000,""))</f>
        <v>3.3129</v>
      </c>
      <c r="I676" s="169">
        <f>IF(OR(B676="",C676=""),"",IFERROR(IFERROR(INDEX(Vöruskrá!L:L,MATCH(B676,Vöruskrá!B:B,0)),0)*C676/100000,""))</f>
        <v>2.8159649999999998</v>
      </c>
      <c r="J676" s="169">
        <f>IF(OR(B676="",C676=""),"",IFERROR(IFERROR(INDEX(Vöruskrá!M:M,MATCH(B676,Vöruskrá!B:B,0)),0)*C676/100000,""))</f>
        <v>0.51534000000000002</v>
      </c>
      <c r="K676" s="169">
        <f>IF(OR(B676="",C676=""),"",IFERROR(IFERROR(INDEX(Vöruskrá!N:N,MATCH(B676,Vöruskrá!B:B,0)),0)*C676/100000,""))</f>
        <v>0.18404999999999999</v>
      </c>
      <c r="L676" s="169">
        <f>IF(OR(B676="",C676=""),"",IFERROR(IFERROR(INDEX(Vöruskrá!O:O,MATCH(B676,Vöruskrá!B:B,0)),0)*C676/100000,""))</f>
        <v>0.36809999999999998</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158"/>
      <c r="R676" s="6"/>
    </row>
    <row r="677" spans="1:18" ht="15">
      <c r="A677" s="173"/>
      <c r="B677" s="173" t="s">
        <v>1022</v>
      </c>
      <c r="C677" s="174">
        <v>920</v>
      </c>
      <c r="D677" s="168" t="s">
        <v>1023</v>
      </c>
      <c r="E677" s="168" t="s">
        <v>134</v>
      </c>
      <c r="F677" s="168" t="s">
        <v>1024</v>
      </c>
      <c r="G677" s="169">
        <f>IF(OR(B677="",C677=""),"",IFERROR(IFERROR(INDEX(Vöruskrá!J:J,MATCH(B677,Vöruskrá!B:B,0)),0)*C677/100000,""))</f>
        <v>2.99</v>
      </c>
      <c r="H677" s="169">
        <f>IF(OR(B677="",C677=""),"",IFERROR(IFERROR(INDEX(Vöruskrá!K:K,MATCH(B677,Vöruskrá!B:B,0)),0)*C677/100000,""))</f>
        <v>0.1288</v>
      </c>
      <c r="I677" s="169">
        <f>IF(OR(B677="",C677=""),"",IFERROR(IFERROR(INDEX(Vöruskrá!L:L,MATCH(B677,Vöruskrá!B:B,0)),0)*C677/100000,""))</f>
        <v>1.84E-2</v>
      </c>
      <c r="J677" s="169">
        <f>IF(OR(B677="",C677=""),"",IFERROR(IFERROR(INDEX(Vöruskrá!M:M,MATCH(B677,Vöruskrá!B:B,0)),0)*C677/100000,""))</f>
        <v>0.50600000000000001</v>
      </c>
      <c r="K677" s="169">
        <f>IF(OR(B677="",C677=""),"",IFERROR(IFERROR(INDEX(Vöruskrá!N:N,MATCH(B677,Vöruskrá!B:B,0)),0)*C677/100000,""))</f>
        <v>2.5760000000000002E-2</v>
      </c>
      <c r="L677" s="169">
        <f>IF(OR(B677="",C677=""),"",IFERROR(IFERROR(INDEX(Vöruskrá!O:O,MATCH(B677,Vöruskrá!B:B,0)),0)*C677/100000,""))</f>
        <v>0.1288</v>
      </c>
      <c r="M677" s="169">
        <f>IF(OR(B677="",C677=""),"",IFERROR(IFERROR(INDEX(Vöruskrá!P:P,MATCH(B677,Vöruskrá!B:B,0)),0)*C677/100000,""))</f>
        <v>9.2000000000000003E-4</v>
      </c>
      <c r="N677" s="169">
        <f>IF(OR(B677="",C677=""),"",IFERROR(IFERROR(INDEX(Vöruskrá!Q:Q,MATCH(B677,Vöruskrá!B:B,0)),0)*C677/100000,""))</f>
        <v>0.30359999999999998</v>
      </c>
      <c r="O677" s="170">
        <f>IF(OR(B677="",C677=""),"",IFERROR(C677/1000*IFERROR(INDEX(Vöruskrá!R:R,MATCH(B677,Vöruskrá!B:B,0)),0)/1000,""))</f>
        <v>0</v>
      </c>
      <c r="P677" s="173"/>
      <c r="Q677" s="157"/>
      <c r="R677" s="27"/>
    </row>
    <row r="678" spans="1:18" ht="15">
      <c r="A678" s="171"/>
      <c r="B678" s="171" t="s">
        <v>1062</v>
      </c>
      <c r="C678" s="172">
        <v>307</v>
      </c>
      <c r="D678" s="168" t="s">
        <v>1063</v>
      </c>
      <c r="E678" s="168" t="s">
        <v>134</v>
      </c>
      <c r="F678" s="168" t="s">
        <v>1024</v>
      </c>
      <c r="G678" s="169">
        <f>IF(OR(B678="",C678=""),"",IFERROR(IFERROR(INDEX(Vöruskrá!J:J,MATCH(B678,Vöruskrá!B:B,0)),0)*C678/100000,""))</f>
        <v>1.1512500000000001</v>
      </c>
      <c r="H678" s="169">
        <f>IF(OR(B678="",C678=""),"",IFERROR(IFERROR(INDEX(Vöruskrá!K:K,MATCH(B678,Vöruskrá!B:B,0)),0)*C678/100000,""))</f>
        <v>6.8461000000000008E-2</v>
      </c>
      <c r="I678" s="169">
        <f>IF(OR(B678="",C678=""),"",IFERROR(IFERROR(INDEX(Vöruskrá!L:L,MATCH(B678,Vöruskrá!B:B,0)),0)*C678/100000,""))</f>
        <v>3.9910000000000006E-3</v>
      </c>
      <c r="J678" s="169">
        <f>IF(OR(B678="",C678=""),"",IFERROR(IFERROR(INDEX(Vöruskrá!M:M,MATCH(B678,Vöruskrá!B:B,0)),0)*C678/100000,""))</f>
        <v>0.13569400000000001</v>
      </c>
      <c r="K678" s="169">
        <f>IF(OR(B678="",C678=""),"",IFERROR(IFERROR(INDEX(Vöruskrá!N:N,MATCH(B678,Vöruskrá!B:B,0)),0)*C678/100000,""))</f>
        <v>7.0609999999999987E-3</v>
      </c>
      <c r="L678" s="169">
        <f>IF(OR(B678="",C678=""),"",IFERROR(IFERROR(INDEX(Vöruskrá!O:O,MATCH(B678,Vöruskrá!B:B,0)),0)*C678/100000,""))</f>
        <v>5.4646000000000007E-2</v>
      </c>
      <c r="M678" s="169">
        <f>IF(OR(B678="",C678=""),"",IFERROR(IFERROR(INDEX(Vöruskrá!P:P,MATCH(B678,Vöruskrá!B:B,0)),0)*C678/100000,""))</f>
        <v>6.1400000000000007E-4</v>
      </c>
      <c r="N678" s="169">
        <f>IF(OR(B678="",C678=""),"",IFERROR(IFERROR(INDEX(Vöruskrá!Q:Q,MATCH(B678,Vöruskrá!B:B,0)),0)*C678/100000,""))</f>
        <v>3.2235E-2</v>
      </c>
      <c r="O678" s="170">
        <f>IF(OR(B678="",C678=""),"",IFERROR(C678/1000*IFERROR(INDEX(Vöruskrá!R:R,MATCH(B678,Vöruskrá!B:B,0)),0)/1000,""))</f>
        <v>0</v>
      </c>
      <c r="P678" s="171"/>
      <c r="Q678" s="158"/>
      <c r="R678" s="6"/>
    </row>
    <row r="679" spans="1:18" ht="15">
      <c r="A679" s="173"/>
      <c r="B679" s="173" t="s">
        <v>1010</v>
      </c>
      <c r="C679" s="174">
        <v>6135</v>
      </c>
      <c r="D679" s="168" t="s">
        <v>1010</v>
      </c>
      <c r="E679" s="168" t="s">
        <v>134</v>
      </c>
      <c r="F679" s="168"/>
      <c r="G679" s="169">
        <f>IF(OR(B679="",C679=""),"",IFERROR(IFERROR(INDEX(Vöruskrá!J:J,MATCH(B679,Vöruskrá!B:B,0)),0)*C679/100000,""))</f>
        <v>2.4540000000000002</v>
      </c>
      <c r="H679" s="169">
        <f>IF(OR(B679="",C679=""),"",IFERROR(IFERROR(INDEX(Vöruskrá!K:K,MATCH(B679,Vöruskrá!B:B,0)),0)*C679/100000,""))</f>
        <v>6.1349999999999998E-3</v>
      </c>
      <c r="I679" s="169">
        <f>IF(OR(B679="",C679=""),"",IFERROR(IFERROR(INDEX(Vöruskrá!L:L,MATCH(B679,Vöruskrá!B:B,0)),0)*C679/100000,""))</f>
        <v>0</v>
      </c>
      <c r="J679" s="169">
        <f>IF(OR(B679="",C679=""),"",IFERROR(IFERROR(INDEX(Vöruskrá!M:M,MATCH(B679,Vöruskrá!B:B,0)),0)*C679/100000,""))</f>
        <v>0.57055500000000003</v>
      </c>
      <c r="K679" s="169">
        <f>IF(OR(B679="",C679=""),"",IFERROR(IFERROR(INDEX(Vöruskrá!N:N,MATCH(B679,Vöruskrá!B:B,0)),0)*C679/100000,""))</f>
        <v>0.25767000000000001</v>
      </c>
      <c r="L679" s="169">
        <f>IF(OR(B679="",C679=""),"",IFERROR(IFERROR(INDEX(Vöruskrá!O:O,MATCH(B679,Vöruskrá!B:B,0)),0)*C679/100000,""))</f>
        <v>6.7485000000000003E-2</v>
      </c>
      <c r="M679" s="169">
        <f>IF(OR(B679="",C679=""),"",IFERROR(IFERROR(INDEX(Vöruskrá!P:P,MATCH(B679,Vöruskrá!B:B,0)),0)*C679/100000,""))</f>
        <v>0</v>
      </c>
      <c r="N679" s="169">
        <f>IF(OR(B679="",C679=""),"",IFERROR(IFERROR(INDEX(Vöruskrá!Q:Q,MATCH(B679,Vöruskrá!B:B,0)),0)*C679/100000,""))</f>
        <v>0.104295</v>
      </c>
      <c r="O679" s="170">
        <f>IF(OR(B679="",C679=""),"",IFERROR(C679/1000*IFERROR(INDEX(Vöruskrá!R:R,MATCH(B679,Vöruskrá!B:B,0)),0)/1000,""))</f>
        <v>0</v>
      </c>
      <c r="P679" s="173"/>
      <c r="Q679" s="157"/>
      <c r="R679" s="27"/>
    </row>
    <row r="680" spans="1:18" ht="15">
      <c r="A680" s="171"/>
      <c r="B680" s="171" t="s">
        <v>1017</v>
      </c>
      <c r="C680" s="172">
        <v>613</v>
      </c>
      <c r="D680" s="168" t="s">
        <v>1017</v>
      </c>
      <c r="E680" s="168" t="s">
        <v>134</v>
      </c>
      <c r="F680" s="168"/>
      <c r="G680" s="169">
        <f>IF(OR(B680="",C680=""),"",IFERROR(IFERROR(INDEX(Vöruskrá!J:J,MATCH(B680,Vöruskrá!B:B,0)),0)*C680/100000,""))</f>
        <v>0.91337000000000002</v>
      </c>
      <c r="H680" s="169">
        <f>IF(OR(B680="",C680=""),"",IFERROR(IFERROR(INDEX(Vöruskrá!K:K,MATCH(B680,Vöruskrá!B:B,0)),0)*C680/100000,""))</f>
        <v>3.065E-3</v>
      </c>
      <c r="I680" s="169">
        <f>IF(OR(B680="",C680=""),"",IFERROR(IFERROR(INDEX(Vöruskrá!L:L,MATCH(B680,Vöruskrá!B:B,0)),0)*C680/100000,""))</f>
        <v>6.1300000000000005E-4</v>
      </c>
      <c r="J680" s="169">
        <f>IF(OR(B680="",C680=""),"",IFERROR(IFERROR(INDEX(Vöruskrá!M:M,MATCH(B680,Vöruskrá!B:B,0)),0)*C680/100000,""))</f>
        <v>0.202903</v>
      </c>
      <c r="K680" s="169">
        <f>IF(OR(B680="",C680=""),"",IFERROR(IFERROR(INDEX(Vöruskrá!N:N,MATCH(B680,Vöruskrá!B:B,0)),0)*C680/100000,""))</f>
        <v>6.13E-3</v>
      </c>
      <c r="L680" s="169">
        <f>IF(OR(B680="",C680=""),"",IFERROR(IFERROR(INDEX(Vöruskrá!O:O,MATCH(B680,Vöruskrá!B:B,0)),0)*C680/100000,""))</f>
        <v>3.9232000000000003E-2</v>
      </c>
      <c r="M680" s="169">
        <f>IF(OR(B680="",C680=""),"",IFERROR(IFERROR(INDEX(Vöruskrá!P:P,MATCH(B680,Vöruskrá!B:B,0)),0)*C680/100000,""))</f>
        <v>0</v>
      </c>
      <c r="N680" s="169">
        <f>IF(OR(B680="",C680=""),"",IFERROR(IFERROR(INDEX(Vöruskrá!Q:Q,MATCH(B680,Vöruskrá!B:B,0)),0)*C680/100000,""))</f>
        <v>1.2872999999999999E-2</v>
      </c>
      <c r="O680" s="170">
        <f>IF(OR(B680="",C680=""),"",IFERROR(C680/1000*IFERROR(INDEX(Vöruskrá!R:R,MATCH(B680,Vöruskrá!B:B,0)),0)/1000,""))</f>
        <v>0</v>
      </c>
      <c r="P680" s="171"/>
      <c r="Q680" s="200"/>
      <c r="R680" s="159"/>
    </row>
    <row r="681" spans="1:18" ht="48">
      <c r="A681" s="147" t="s">
        <v>1895</v>
      </c>
      <c r="B681" s="147"/>
      <c r="C681" s="148"/>
      <c r="D681" s="165" t="s">
        <v>1896</v>
      </c>
      <c r="E681" s="165" t="s">
        <v>134</v>
      </c>
      <c r="F681" s="165"/>
      <c r="G681" s="166">
        <v>66.790000000000006</v>
      </c>
      <c r="H681" s="166">
        <v>5.44</v>
      </c>
      <c r="I681" s="166">
        <v>4.33</v>
      </c>
      <c r="J681" s="166">
        <v>3.84</v>
      </c>
      <c r="K681" s="166"/>
      <c r="L681" s="166">
        <v>1.22</v>
      </c>
      <c r="M681" s="166">
        <v>0.93</v>
      </c>
      <c r="N681" s="166">
        <f>IFERROR(SUM(N682:N689)/(SUM($C$682:$C$689)/100000),"")</f>
        <v>1.0987049870498704</v>
      </c>
      <c r="O681" s="167" t="str">
        <f>IF(OR(B681="",C681=""),"",IFERROR(C681/1000*IFERROR(INDEX(Vöruskrá!R:R,MATCH(B681,Vöruskrá!B:B,0)),0)/1000,""))</f>
        <v/>
      </c>
      <c r="P681" s="196" t="s">
        <v>1897</v>
      </c>
      <c r="Q681" s="199" t="s">
        <v>1898</v>
      </c>
      <c r="R681" s="198" t="s">
        <v>1899</v>
      </c>
    </row>
    <row r="682" spans="1:18">
      <c r="A682" s="171"/>
      <c r="B682" s="171" t="s">
        <v>1894</v>
      </c>
      <c r="C682" s="172">
        <v>55814</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1"/>
      <c r="Q682" s="197"/>
      <c r="R682" s="164"/>
    </row>
    <row r="683" spans="1:18" ht="15">
      <c r="A683" s="173"/>
      <c r="B683" s="173" t="s">
        <v>335</v>
      </c>
      <c r="C683" s="174">
        <v>27907</v>
      </c>
      <c r="D683" s="168" t="s">
        <v>337</v>
      </c>
      <c r="E683" s="168" t="s">
        <v>134</v>
      </c>
      <c r="F683" s="168"/>
      <c r="G683" s="169">
        <f>IF(OR(B683="",C683=""),"",IFERROR(IFERROR(INDEX(Vöruskrá!J:J,MATCH(B683,Vöruskrá!B:B,0)),0)*C683/100000,""))</f>
        <v>50.511670000000002</v>
      </c>
      <c r="H683" s="169">
        <f>IF(OR(B683="",C683=""),"",IFERROR(IFERROR(INDEX(Vöruskrá!K:K,MATCH(B683,Vöruskrá!B:B,0)),0)*C683/100000,""))</f>
        <v>5.0232599999999996</v>
      </c>
      <c r="I683" s="169">
        <f>IF(OR(B683="",C683=""),"",IFERROR(IFERROR(INDEX(Vöruskrá!L:L,MATCH(B683,Vöruskrá!B:B,0)),0)*C683/100000,""))</f>
        <v>4.2697710000000004</v>
      </c>
      <c r="J683" s="169">
        <f>IF(OR(B683="",C683=""),"",IFERROR(IFERROR(INDEX(Vöruskrá!M:M,MATCH(B683,Vöruskrá!B:B,0)),0)*C683/100000,""))</f>
        <v>0.78139599999999987</v>
      </c>
      <c r="K683" s="169">
        <f>IF(OR(B683="",C683=""),"",IFERROR(IFERROR(INDEX(Vöruskrá!N:N,MATCH(B683,Vöruskrá!B:B,0)),0)*C683/100000,""))</f>
        <v>0.27906999999999998</v>
      </c>
      <c r="L683" s="169">
        <f>IF(OR(B683="",C683=""),"",IFERROR(IFERROR(INDEX(Vöruskrá!O:O,MATCH(B683,Vöruskrá!B:B,0)),0)*C683/100000,""))</f>
        <v>0.55813999999999997</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3"/>
      <c r="Q683" s="157"/>
      <c r="R683" s="27"/>
    </row>
    <row r="684" spans="1:18" ht="15">
      <c r="A684" s="171"/>
      <c r="B684" s="171" t="s">
        <v>1022</v>
      </c>
      <c r="C684" s="172">
        <v>2791</v>
      </c>
      <c r="D684" s="168" t="s">
        <v>1023</v>
      </c>
      <c r="E684" s="168" t="s">
        <v>134</v>
      </c>
      <c r="F684" s="168" t="s">
        <v>1024</v>
      </c>
      <c r="G684" s="169">
        <f>IF(OR(B684="",C684=""),"",IFERROR(IFERROR(INDEX(Vöruskrá!J:J,MATCH(B684,Vöruskrá!B:B,0)),0)*C684/100000,""))</f>
        <v>9.0707500000000003</v>
      </c>
      <c r="H684" s="169">
        <f>IF(OR(B684="",C684=""),"",IFERROR(IFERROR(INDEX(Vöruskrá!K:K,MATCH(B684,Vöruskrá!B:B,0)),0)*C684/100000,""))</f>
        <v>0.39073999999999998</v>
      </c>
      <c r="I684" s="169">
        <f>IF(OR(B684="",C684=""),"",IFERROR(IFERROR(INDEX(Vöruskrá!L:L,MATCH(B684,Vöruskrá!B:B,0)),0)*C684/100000,""))</f>
        <v>5.5820000000000002E-2</v>
      </c>
      <c r="J684" s="169">
        <f>IF(OR(B684="",C684=""),"",IFERROR(IFERROR(INDEX(Vöruskrá!M:M,MATCH(B684,Vöruskrá!B:B,0)),0)*C684/100000,""))</f>
        <v>1.53505</v>
      </c>
      <c r="K684" s="169">
        <f>IF(OR(B684="",C684=""),"",IFERROR(IFERROR(INDEX(Vöruskrá!N:N,MATCH(B684,Vöruskrá!B:B,0)),0)*C684/100000,""))</f>
        <v>7.8147999999999995E-2</v>
      </c>
      <c r="L684" s="169">
        <f>IF(OR(B684="",C684=""),"",IFERROR(IFERROR(INDEX(Vöruskrá!O:O,MATCH(B684,Vöruskrá!B:B,0)),0)*C684/100000,""))</f>
        <v>0.39073999999999998</v>
      </c>
      <c r="M684" s="169">
        <f>IF(OR(B684="",C684=""),"",IFERROR(IFERROR(INDEX(Vöruskrá!P:P,MATCH(B684,Vöruskrá!B:B,0)),0)*C684/100000,""))</f>
        <v>2.7910000000000001E-3</v>
      </c>
      <c r="N684" s="169">
        <f>IF(OR(B684="",C684=""),"",IFERROR(IFERROR(INDEX(Vöruskrá!Q:Q,MATCH(B684,Vöruskrá!B:B,0)),0)*C684/100000,""))</f>
        <v>0.92103000000000002</v>
      </c>
      <c r="O684" s="170">
        <f>IF(OR(B684="",C684=""),"",IFERROR(C684/1000*IFERROR(INDEX(Vöruskrá!R:R,MATCH(B684,Vöruskrá!B:B,0)),0)/1000,""))</f>
        <v>0</v>
      </c>
      <c r="P684" s="171"/>
      <c r="Q684" s="158"/>
      <c r="R684" s="6"/>
    </row>
    <row r="685" spans="1:18" ht="15">
      <c r="A685" s="173"/>
      <c r="B685" s="173" t="s">
        <v>1010</v>
      </c>
      <c r="C685" s="174">
        <v>9302</v>
      </c>
      <c r="D685" s="168" t="s">
        <v>1010</v>
      </c>
      <c r="E685" s="168" t="s">
        <v>134</v>
      </c>
      <c r="F685" s="168"/>
      <c r="G685" s="169">
        <f>IF(OR(B685="",C685=""),"",IFERROR(IFERROR(INDEX(Vöruskrá!J:J,MATCH(B685,Vöruskrá!B:B,0)),0)*C685/100000,""))</f>
        <v>3.7208000000000001</v>
      </c>
      <c r="H685" s="169">
        <f>IF(OR(B685="",C685=""),"",IFERROR(IFERROR(INDEX(Vöruskrá!K:K,MATCH(B685,Vöruskrá!B:B,0)),0)*C685/100000,""))</f>
        <v>9.3020000000000012E-3</v>
      </c>
      <c r="I685" s="169">
        <f>IF(OR(B685="",C685=""),"",IFERROR(IFERROR(INDEX(Vöruskrá!L:L,MATCH(B685,Vöruskrá!B:B,0)),0)*C685/100000,""))</f>
        <v>0</v>
      </c>
      <c r="J685" s="169">
        <f>IF(OR(B685="",C685=""),"",IFERROR(IFERROR(INDEX(Vöruskrá!M:M,MATCH(B685,Vöruskrá!B:B,0)),0)*C685/100000,""))</f>
        <v>0.86508600000000002</v>
      </c>
      <c r="K685" s="169">
        <f>IF(OR(B685="",C685=""),"",IFERROR(IFERROR(INDEX(Vöruskrá!N:N,MATCH(B685,Vöruskrá!B:B,0)),0)*C685/100000,""))</f>
        <v>0.39068400000000003</v>
      </c>
      <c r="L685" s="169">
        <f>IF(OR(B685="",C685=""),"",IFERROR(IFERROR(INDEX(Vöruskrá!O:O,MATCH(B685,Vöruskrá!B:B,0)),0)*C685/100000,""))</f>
        <v>0.10232200000000001</v>
      </c>
      <c r="M685" s="169">
        <f>IF(OR(B685="",C685=""),"",IFERROR(IFERROR(INDEX(Vöruskrá!P:P,MATCH(B685,Vöruskrá!B:B,0)),0)*C685/100000,""))</f>
        <v>0</v>
      </c>
      <c r="N685" s="169">
        <f>IF(OR(B685="",C685=""),"",IFERROR(IFERROR(INDEX(Vöruskrá!Q:Q,MATCH(B685,Vöruskrá!B:B,0)),0)*C685/100000,""))</f>
        <v>0.158134</v>
      </c>
      <c r="O685" s="170">
        <f>IF(OR(B685="",C685=""),"",IFERROR(C685/1000*IFERROR(INDEX(Vöruskrá!R:R,MATCH(B685,Vöruskrá!B:B,0)),0)/1000,""))</f>
        <v>0</v>
      </c>
      <c r="P685" s="173"/>
      <c r="Q685" s="157"/>
      <c r="R685" s="27"/>
    </row>
    <row r="686" spans="1:18" ht="15">
      <c r="A686" s="171"/>
      <c r="B686" s="171" t="s">
        <v>1017</v>
      </c>
      <c r="C686" s="172">
        <v>930</v>
      </c>
      <c r="D686" s="168" t="s">
        <v>1017</v>
      </c>
      <c r="E686" s="168" t="s">
        <v>134</v>
      </c>
      <c r="F686" s="168"/>
      <c r="G686" s="169">
        <f>IF(OR(B686="",C686=""),"",IFERROR(IFERROR(INDEX(Vöruskrá!J:J,MATCH(B686,Vöruskrá!B:B,0)),0)*C686/100000,""))</f>
        <v>1.3856999999999999</v>
      </c>
      <c r="H686" s="169">
        <f>IF(OR(B686="",C686=""),"",IFERROR(IFERROR(INDEX(Vöruskrá!K:K,MATCH(B686,Vöruskrá!B:B,0)),0)*C686/100000,""))</f>
        <v>4.6499999999999996E-3</v>
      </c>
      <c r="I686" s="169">
        <f>IF(OR(B686="",C686=""),"",IFERROR(IFERROR(INDEX(Vöruskrá!L:L,MATCH(B686,Vöruskrá!B:B,0)),0)*C686/100000,""))</f>
        <v>9.3000000000000005E-4</v>
      </c>
      <c r="J686" s="169">
        <f>IF(OR(B686="",C686=""),"",IFERROR(IFERROR(INDEX(Vöruskrá!M:M,MATCH(B686,Vöruskrá!B:B,0)),0)*C686/100000,""))</f>
        <v>0.30782999999999999</v>
      </c>
      <c r="K686" s="169">
        <f>IF(OR(B686="",C686=""),"",IFERROR(IFERROR(INDEX(Vöruskrá!N:N,MATCH(B686,Vöruskrá!B:B,0)),0)*C686/100000,""))</f>
        <v>9.2999999999999992E-3</v>
      </c>
      <c r="L686" s="169">
        <f>IF(OR(B686="",C686=""),"",IFERROR(IFERROR(INDEX(Vöruskrá!O:O,MATCH(B686,Vöruskrá!B:B,0)),0)*C686/100000,""))</f>
        <v>5.9520000000000003E-2</v>
      </c>
      <c r="M686" s="169">
        <f>IF(OR(B686="",C686=""),"",IFERROR(IFERROR(INDEX(Vöruskrá!P:P,MATCH(B686,Vöruskrá!B:B,0)),0)*C686/100000,""))</f>
        <v>0</v>
      </c>
      <c r="N686" s="169">
        <f>IF(OR(B686="",C686=""),"",IFERROR(IFERROR(INDEX(Vöruskrá!Q:Q,MATCH(B686,Vöruskrá!B:B,0)),0)*C686/100000,""))</f>
        <v>1.9529999999999999E-2</v>
      </c>
      <c r="O686" s="170">
        <f>IF(OR(B686="",C686=""),"",IFERROR(C686/1000*IFERROR(INDEX(Vöruskrá!R:R,MATCH(B686,Vöruskrá!B:B,0)),0)/1000,""))</f>
        <v>0</v>
      </c>
      <c r="P686" s="171"/>
      <c r="Q686" s="158"/>
      <c r="R686" s="6"/>
    </row>
    <row r="687" spans="1:18" ht="15">
      <c r="A687" s="173"/>
      <c r="B687" s="173" t="s">
        <v>1475</v>
      </c>
      <c r="C687" s="174">
        <v>465</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7"/>
      <c r="R687" s="27"/>
    </row>
    <row r="688" spans="1:18" ht="15">
      <c r="A688" s="171"/>
      <c r="B688" s="171" t="s">
        <v>504</v>
      </c>
      <c r="C688" s="172">
        <v>1860</v>
      </c>
      <c r="D688" s="168" t="s">
        <v>500</v>
      </c>
      <c r="E688" s="168" t="s">
        <v>134</v>
      </c>
      <c r="F688" s="168"/>
      <c r="G688" s="169">
        <f>IF(OR(B688="",C688=""),"",IFERROR(IFERROR(INDEX(Vöruskrá!J:J,MATCH(B688,Vöruskrá!B:B,0)),0)*C688/100000,""))</f>
        <v>2.1017999999999999</v>
      </c>
      <c r="H688" s="169">
        <f>IF(OR(B688="",C688=""),"",IFERROR(IFERROR(INDEX(Vöruskrá!K:K,MATCH(B688,Vöruskrá!B:B,0)),0)*C688/100000,""))</f>
        <v>7.4400000000000004E-3</v>
      </c>
      <c r="I688" s="169">
        <f>IF(OR(B688="",C688=""),"",IFERROR(IFERROR(INDEX(Vöruskrá!L:L,MATCH(B688,Vöruskrá!B:B,0)),0)*C688/100000,""))</f>
        <v>0</v>
      </c>
      <c r="J688" s="169">
        <f>IF(OR(B688="",C688=""),"",IFERROR(IFERROR(INDEX(Vöruskrá!M:M,MATCH(B688,Vöruskrá!B:B,0)),0)*C688/100000,""))</f>
        <v>0.35339999999999999</v>
      </c>
      <c r="K688" s="169">
        <f>IF(OR(B688="",C688=""),"",IFERROR(IFERROR(INDEX(Vöruskrá!N:N,MATCH(B688,Vöruskrá!B:B,0)),0)*C688/100000,""))</f>
        <v>0.26040000000000002</v>
      </c>
      <c r="L688" s="169">
        <f>IF(OR(B688="",C688=""),"",IFERROR(IFERROR(INDEX(Vöruskrá!O:O,MATCH(B688,Vöruskrá!B:B,0)),0)*C688/100000,""))</f>
        <v>0.1116</v>
      </c>
      <c r="M688" s="169">
        <f>IF(OR(B688="",C688=""),"",IFERROR(IFERROR(INDEX(Vöruskrá!P:P,MATCH(B688,Vöruskrá!B:B,0)),0)*C688/100000,""))</f>
        <v>1.8600000000000001E-3</v>
      </c>
      <c r="N688" s="169">
        <f>IF(OR(B688="",C688=""),"",IFERROR(IFERROR(INDEX(Vöruskrá!Q:Q,MATCH(B688,Vöruskrá!B:B,0)),0)*C688/100000,""))</f>
        <v>0</v>
      </c>
      <c r="O688" s="170">
        <f>IF(OR(B688="",C688=""),"",IFERROR(C688/1000*IFERROR(INDEX(Vöruskrá!R:R,MATCH(B688,Vöruskrá!B:B,0)),0)/1000,""))</f>
        <v>0</v>
      </c>
      <c r="P688" s="171"/>
      <c r="Q688" s="158"/>
      <c r="R688" s="6"/>
    </row>
    <row r="689" spans="1:18" ht="15">
      <c r="A689" s="173"/>
      <c r="B689" s="173" t="s">
        <v>299</v>
      </c>
      <c r="C689" s="174">
        <v>930</v>
      </c>
      <c r="D689" s="168" t="s">
        <v>302</v>
      </c>
      <c r="E689" s="168" t="s">
        <v>134</v>
      </c>
      <c r="F689" s="168" t="s">
        <v>303</v>
      </c>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0.93</v>
      </c>
      <c r="N689" s="169">
        <f>IF(OR(B689="",C689=""),"",IFERROR(IFERROR(INDEX(Vöruskrá!Q:Q,MATCH(B689,Vöruskrá!B:B,0)),0)*C689/100000,""))</f>
        <v>0</v>
      </c>
      <c r="O689" s="170">
        <f>IF(OR(B689="",C689=""),"",IFERROR(C689/1000*IFERROR(INDEX(Vöruskrá!R:R,MATCH(B689,Vöruskrá!B:B,0)),0)/1000,""))</f>
        <v>0</v>
      </c>
      <c r="P689" s="173"/>
      <c r="Q689" s="201"/>
      <c r="R689" s="202"/>
    </row>
    <row r="690" spans="1:18" ht="60">
      <c r="A690" s="147" t="s">
        <v>1900</v>
      </c>
      <c r="B690" s="147"/>
      <c r="C690" s="148"/>
      <c r="D690" s="165" t="s">
        <v>1901</v>
      </c>
      <c r="E690" s="165" t="s">
        <v>1099</v>
      </c>
      <c r="F690" s="165"/>
      <c r="G690" s="166">
        <v>21.13</v>
      </c>
      <c r="H690" s="166">
        <v>0.24</v>
      </c>
      <c r="I690" s="166">
        <v>0.03</v>
      </c>
      <c r="J690" s="166">
        <v>4.16</v>
      </c>
      <c r="K690" s="166"/>
      <c r="L690" s="166">
        <v>0.82</v>
      </c>
      <c r="M690" s="166">
        <v>0.81</v>
      </c>
      <c r="N690" s="166">
        <f>IFERROR(SUM(N691:N697)/(SUM($C$691:$C$697)/100000),"")</f>
        <v>0.34293590160381443</v>
      </c>
      <c r="O690" s="167" t="str">
        <f>IF(OR(B690="",C690=""),"",IFERROR(C690/1000*IFERROR(INDEX(Vöruskrá!R:R,MATCH(B690,Vöruskrá!B:B,0)),0)/1000,""))</f>
        <v/>
      </c>
      <c r="P690" s="196" t="s">
        <v>1902</v>
      </c>
      <c r="Q690" s="195" t="s">
        <v>1903</v>
      </c>
      <c r="R690" s="194" t="s">
        <v>1904</v>
      </c>
    </row>
    <row r="691" spans="1:18">
      <c r="A691" s="171"/>
      <c r="B691" s="171" t="s">
        <v>1894</v>
      </c>
      <c r="C691" s="172">
        <v>26178</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1"/>
      <c r="Q691" s="203"/>
      <c r="R691" s="204"/>
    </row>
    <row r="692" spans="1:18" ht="15">
      <c r="A692" s="173"/>
      <c r="B692" s="173" t="s">
        <v>1478</v>
      </c>
      <c r="C692" s="174">
        <v>19634</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3"/>
      <c r="Q692" s="158"/>
      <c r="R692" s="6"/>
    </row>
    <row r="693" spans="1:18" ht="15">
      <c r="A693" s="171"/>
      <c r="B693" s="171" t="s">
        <v>489</v>
      </c>
      <c r="C693" s="172">
        <v>1309</v>
      </c>
      <c r="D693" s="168" t="s">
        <v>490</v>
      </c>
      <c r="E693" s="168" t="s">
        <v>134</v>
      </c>
      <c r="F693" s="168" t="s">
        <v>311</v>
      </c>
      <c r="G693" s="169">
        <f>IF(OR(B693="",C693=""),"",IFERROR(IFERROR(INDEX(Vöruskrá!J:J,MATCH(B693,Vöruskrá!B:B,0)),0)*C693/100000,""))</f>
        <v>2.90598</v>
      </c>
      <c r="H693" s="169">
        <f>IF(OR(B693="",C693=""),"",IFERROR(IFERROR(INDEX(Vöruskrá!K:K,MATCH(B693,Vöruskrá!B:B,0)),0)*C693/100000,""))</f>
        <v>7.8539999999999999E-2</v>
      </c>
      <c r="I693" s="169">
        <f>IF(OR(B693="",C693=""),"",IFERROR(IFERROR(INDEX(Vöruskrá!L:L,MATCH(B693,Vöruskrá!B:B,0)),0)*C693/100000,""))</f>
        <v>1.1781000000000002E-2</v>
      </c>
      <c r="J693" s="169">
        <f>IF(OR(B693="",C693=""),"",IFERROR(IFERROR(INDEX(Vöruskrá!M:M,MATCH(B693,Vöruskrá!B:B,0)),0)*C693/100000,""))</f>
        <v>0.39269999999999999</v>
      </c>
      <c r="K693" s="169">
        <f>IF(OR(B693="",C693=""),"",IFERROR(IFERROR(INDEX(Vöruskrá!N:N,MATCH(B693,Vöruskrá!B:B,0)),0)*C693/100000,""))</f>
        <v>6.0213999999999997E-2</v>
      </c>
      <c r="L693" s="169">
        <f>IF(OR(B693="",C693=""),"",IFERROR(IFERROR(INDEX(Vöruskrá!O:O,MATCH(B693,Vöruskrá!B:B,0)),0)*C693/100000,""))</f>
        <v>9.2938999999999994E-2</v>
      </c>
      <c r="M693" s="169">
        <f>IF(OR(B693="",C693=""),"",IFERROR(IFERROR(INDEX(Vöruskrá!P:P,MATCH(B693,Vöruskrá!B:B,0)),0)*C693/100000,""))</f>
        <v>0.58904999999999996</v>
      </c>
      <c r="N693" s="169">
        <f>IF(OR(B693="",C693=""),"",IFERROR(IFERROR(INDEX(Vöruskrá!Q:Q,MATCH(B693,Vöruskrá!B:B,0)),0)*C693/100000,""))</f>
        <v>0</v>
      </c>
      <c r="O693" s="170">
        <f>IF(OR(B693="",C693=""),"",IFERROR(C693/1000*IFERROR(INDEX(Vöruskrá!R:R,MATCH(B693,Vöruskrá!B:B,0)),0)/1000,""))</f>
        <v>0</v>
      </c>
      <c r="P693" s="171"/>
      <c r="Q693" s="157"/>
      <c r="R693" s="27"/>
    </row>
    <row r="694" spans="1:18" ht="15">
      <c r="A694" s="173"/>
      <c r="B694" s="173" t="s">
        <v>743</v>
      </c>
      <c r="C694" s="174">
        <v>13089</v>
      </c>
      <c r="D694" s="168" t="s">
        <v>745</v>
      </c>
      <c r="E694" s="168"/>
      <c r="F694" s="168"/>
      <c r="G694" s="169">
        <f>IF(OR(B694="",C694=""),"",IFERROR(IFERROR(INDEX(Vöruskrá!J:J,MATCH(B694,Vöruskrá!B:B,0)),0)*C694/100000,""))</f>
        <v>3.66492</v>
      </c>
      <c r="H694" s="169">
        <f>IF(OR(B694="",C694=""),"",IFERROR(IFERROR(INDEX(Vöruskrá!K:K,MATCH(B694,Vöruskrá!B:B,0)),0)*C694/100000,""))</f>
        <v>1.3089000000000002E-2</v>
      </c>
      <c r="I694" s="169">
        <f>IF(OR(B694="",C694=""),"",IFERROR(IFERROR(INDEX(Vöruskrá!L:L,MATCH(B694,Vöruskrá!B:B,0)),0)*C694/100000,""))</f>
        <v>0</v>
      </c>
      <c r="J694" s="169">
        <f>IF(OR(B694="",C694=""),"",IFERROR(IFERROR(INDEX(Vöruskrá!M:M,MATCH(B694,Vöruskrá!B:B,0)),0)*C694/100000,""))</f>
        <v>0.65444999999999998</v>
      </c>
      <c r="K694" s="169">
        <f>IF(OR(B694="",C694=""),"",IFERROR(IFERROR(INDEX(Vöruskrá!N:N,MATCH(B694,Vöruskrá!B:B,0)),0)*C694/100000,""))</f>
        <v>0.44502599999999998</v>
      </c>
      <c r="L694" s="169">
        <f>IF(OR(B694="",C694=""),"",IFERROR(IFERROR(INDEX(Vöruskrá!O:O,MATCH(B694,Vöruskrá!B:B,0)),0)*C694/100000,""))</f>
        <v>0.19633500000000001</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1097</v>
      </c>
      <c r="C695" s="172">
        <v>6545</v>
      </c>
      <c r="D695" s="168" t="s">
        <v>1098</v>
      </c>
      <c r="E695" s="168" t="s">
        <v>1099</v>
      </c>
      <c r="F695" s="168" t="s">
        <v>1100</v>
      </c>
      <c r="G695" s="169">
        <f>IF(OR(B695="",C695=""),"",IFERROR(IFERROR(INDEX(Vöruskrá!J:J,MATCH(B695,Vöruskrá!B:B,0)),0)*C695/100000,""))</f>
        <v>5.6287000000000003</v>
      </c>
      <c r="H695" s="169">
        <f>IF(OR(B695="",C695=""),"",IFERROR(IFERROR(INDEX(Vöruskrá!K:K,MATCH(B695,Vöruskrá!B:B,0)),0)*C695/100000,""))</f>
        <v>7.8539999999999999E-2</v>
      </c>
      <c r="I695" s="169">
        <f>IF(OR(B695="",C695=""),"",IFERROR(IFERROR(INDEX(Vöruskrá!L:L,MATCH(B695,Vöruskrá!B:B,0)),0)*C695/100000,""))</f>
        <v>1.3089999999999999E-2</v>
      </c>
      <c r="J695" s="169">
        <f>IF(OR(B695="",C695=""),"",IFERROR(IFERROR(INDEX(Vöruskrá!M:M,MATCH(B695,Vöruskrá!B:B,0)),0)*C695/100000,""))</f>
        <v>1.2435499999999999</v>
      </c>
      <c r="K695" s="169">
        <f>IF(OR(B695="",C695=""),"",IFERROR(IFERROR(INDEX(Vöruskrá!N:N,MATCH(B695,Vöruskrá!B:B,0)),0)*C695/100000,""))</f>
        <v>0.20943999999999999</v>
      </c>
      <c r="L695" s="169">
        <f>IF(OR(B695="",C695=""),"",IFERROR(IFERROR(INDEX(Vöruskrá!O:O,MATCH(B695,Vöruskrá!B:B,0)),0)*C695/100000,""))</f>
        <v>0.20943999999999999</v>
      </c>
      <c r="M695" s="169">
        <f>IF(OR(B695="",C695=""),"",IFERROR(IFERROR(INDEX(Vöruskrá!P:P,MATCH(B695,Vöruskrá!B:B,0)),0)*C695/100000,""))</f>
        <v>6.5449999999999996E-3</v>
      </c>
      <c r="N695" s="169">
        <f>IF(OR(B695="",C695=""),"",IFERROR(IFERROR(INDEX(Vöruskrá!Q:Q,MATCH(B695,Vöruskrá!B:B,0)),0)*C695/100000,""))</f>
        <v>0.13089999999999999</v>
      </c>
      <c r="O695" s="170">
        <f>IF(OR(B695="",C695=""),"",IFERROR(C695/1000*IFERROR(INDEX(Vöruskrá!R:R,MATCH(B695,Vöruskrá!B:B,0)),0)/1000,""))</f>
        <v>0</v>
      </c>
      <c r="P695" s="171"/>
      <c r="Q695" s="157"/>
      <c r="R695" s="27"/>
    </row>
    <row r="696" spans="1:18" ht="15">
      <c r="A696" s="173"/>
      <c r="B696" s="173" t="s">
        <v>1010</v>
      </c>
      <c r="C696" s="174">
        <v>6545</v>
      </c>
      <c r="D696" s="168" t="s">
        <v>1010</v>
      </c>
      <c r="E696" s="168" t="s">
        <v>134</v>
      </c>
      <c r="F696" s="168"/>
      <c r="G696" s="169">
        <f>IF(OR(B696="",C696=""),"",IFERROR(IFERROR(INDEX(Vöruskrá!J:J,MATCH(B696,Vöruskrá!B:B,0)),0)*C696/100000,""))</f>
        <v>2.6179999999999999</v>
      </c>
      <c r="H696" s="169">
        <f>IF(OR(B696="",C696=""),"",IFERROR(IFERROR(INDEX(Vöruskrá!K:K,MATCH(B696,Vöruskrá!B:B,0)),0)*C696/100000,""))</f>
        <v>6.5449999999999996E-3</v>
      </c>
      <c r="I696" s="169">
        <f>IF(OR(B696="",C696=""),"",IFERROR(IFERROR(INDEX(Vöruskrá!L:L,MATCH(B696,Vöruskrá!B:B,0)),0)*C696/100000,""))</f>
        <v>0</v>
      </c>
      <c r="J696" s="169">
        <f>IF(OR(B696="",C696=""),"",IFERROR(IFERROR(INDEX(Vöruskrá!M:M,MATCH(B696,Vöruskrá!B:B,0)),0)*C696/100000,""))</f>
        <v>0.60868500000000003</v>
      </c>
      <c r="K696" s="169">
        <f>IF(OR(B696="",C696=""),"",IFERROR(IFERROR(INDEX(Vöruskrá!N:N,MATCH(B696,Vöruskrá!B:B,0)),0)*C696/100000,""))</f>
        <v>0.27489000000000002</v>
      </c>
      <c r="L696" s="169">
        <f>IF(OR(B696="",C696=""),"",IFERROR(IFERROR(INDEX(Vöruskrá!O:O,MATCH(B696,Vöruskrá!B:B,0)),0)*C696/100000,""))</f>
        <v>7.1995000000000003E-2</v>
      </c>
      <c r="M696" s="169">
        <f>IF(OR(B696="",C696=""),"",IFERROR(IFERROR(INDEX(Vöruskrá!P:P,MATCH(B696,Vöruskrá!B:B,0)),0)*C696/100000,""))</f>
        <v>0</v>
      </c>
      <c r="N696" s="169">
        <f>IF(OR(B696="",C696=""),"",IFERROR(IFERROR(INDEX(Vöruskrá!Q:Q,MATCH(B696,Vöruskrá!B:B,0)),0)*C696/100000,""))</f>
        <v>0.111265</v>
      </c>
      <c r="O696" s="170">
        <f>IF(OR(B696="",C696=""),"",IFERROR(C696/1000*IFERROR(INDEX(Vöruskrá!R:R,MATCH(B696,Vöruskrá!B:B,0)),0)/1000,""))</f>
        <v>0</v>
      </c>
      <c r="P696" s="173"/>
      <c r="Q696" s="158"/>
      <c r="R696" s="6"/>
    </row>
    <row r="697" spans="1:18" ht="15">
      <c r="A697" s="171"/>
      <c r="B697" s="171" t="s">
        <v>1017</v>
      </c>
      <c r="C697" s="172">
        <v>524</v>
      </c>
      <c r="D697" s="168" t="s">
        <v>1017</v>
      </c>
      <c r="E697" s="168" t="s">
        <v>134</v>
      </c>
      <c r="F697" s="168"/>
      <c r="G697" s="169">
        <f>IF(OR(B697="",C697=""),"",IFERROR(IFERROR(INDEX(Vöruskrá!J:J,MATCH(B697,Vöruskrá!B:B,0)),0)*C697/100000,""))</f>
        <v>0.78076000000000001</v>
      </c>
      <c r="H697" s="169">
        <f>IF(OR(B697="",C697=""),"",IFERROR(IFERROR(INDEX(Vöruskrá!K:K,MATCH(B697,Vöruskrá!B:B,0)),0)*C697/100000,""))</f>
        <v>2.6199999999999999E-3</v>
      </c>
      <c r="I697" s="169">
        <f>IF(OR(B697="",C697=""),"",IFERROR(IFERROR(INDEX(Vöruskrá!L:L,MATCH(B697,Vöruskrá!B:B,0)),0)*C697/100000,""))</f>
        <v>5.2400000000000005E-4</v>
      </c>
      <c r="J697" s="169">
        <f>IF(OR(B697="",C697=""),"",IFERROR(IFERROR(INDEX(Vöruskrá!M:M,MATCH(B697,Vöruskrá!B:B,0)),0)*C697/100000,""))</f>
        <v>0.17344400000000001</v>
      </c>
      <c r="K697" s="169">
        <f>IF(OR(B697="",C697=""),"",IFERROR(IFERROR(INDEX(Vöruskrá!N:N,MATCH(B697,Vöruskrá!B:B,0)),0)*C697/100000,""))</f>
        <v>5.2399999999999999E-3</v>
      </c>
      <c r="L697" s="169">
        <f>IF(OR(B697="",C697=""),"",IFERROR(IFERROR(INDEX(Vöruskrá!O:O,MATCH(B697,Vöruskrá!B:B,0)),0)*C697/100000,""))</f>
        <v>3.3536000000000003E-2</v>
      </c>
      <c r="M697" s="169">
        <f>IF(OR(B697="",C697=""),"",IFERROR(IFERROR(INDEX(Vöruskrá!P:P,MATCH(B697,Vöruskrá!B:B,0)),0)*C697/100000,""))</f>
        <v>0</v>
      </c>
      <c r="N697" s="169">
        <f>IF(OR(B697="",C697=""),"",IFERROR(IFERROR(INDEX(Vöruskrá!Q:Q,MATCH(B697,Vöruskrá!B:B,0)),0)*C697/100000,""))</f>
        <v>1.1004000000000002E-2</v>
      </c>
      <c r="O697" s="170">
        <f>IF(OR(B697="",C697=""),"",IFERROR(C697/1000*IFERROR(INDEX(Vöruskrá!R:R,MATCH(B697,Vöruskrá!B:B,0)),0)/1000,""))</f>
        <v>0</v>
      </c>
      <c r="P697" s="171"/>
      <c r="Q697" s="201"/>
      <c r="R697" s="202"/>
    </row>
    <row r="698" spans="1:18" ht="60">
      <c r="A698" s="147" t="s">
        <v>1905</v>
      </c>
      <c r="B698" s="147"/>
      <c r="C698" s="148"/>
      <c r="D698" s="165" t="s">
        <v>1906</v>
      </c>
      <c r="E698" s="165" t="s">
        <v>134</v>
      </c>
      <c r="F698" s="165"/>
      <c r="G698" s="166">
        <v>81.78</v>
      </c>
      <c r="H698" s="166">
        <v>7.42</v>
      </c>
      <c r="I698" s="166">
        <v>0.52</v>
      </c>
      <c r="J698" s="166">
        <v>8.0399999999999991</v>
      </c>
      <c r="K698" s="166"/>
      <c r="L698" s="166">
        <v>0.91</v>
      </c>
      <c r="M698" s="166">
        <v>1.42</v>
      </c>
      <c r="N698" s="166">
        <f>IFERROR(SUM(N699:N706)/(SUM($C$699:$C$706)/100000),"")</f>
        <v>0.79510290205804113</v>
      </c>
      <c r="O698" s="167" t="str">
        <f>IF(OR(B698="",C698=""),"",IFERROR(C698/1000*IFERROR(INDEX(Vöruskrá!R:R,MATCH(B698,Vöruskrá!B:B,0)),0)/1000,""))</f>
        <v/>
      </c>
      <c r="P698" s="196" t="s">
        <v>1907</v>
      </c>
      <c r="Q698" s="199" t="s">
        <v>1908</v>
      </c>
      <c r="R698" s="198" t="s">
        <v>1909</v>
      </c>
    </row>
    <row r="699" spans="1:18" ht="15">
      <c r="A699" s="171"/>
      <c r="B699" s="171" t="s">
        <v>1481</v>
      </c>
      <c r="C699" s="172">
        <v>70621</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203"/>
      <c r="R699" s="204"/>
    </row>
    <row r="700" spans="1:18" ht="15">
      <c r="A700" s="173"/>
      <c r="B700" s="173" t="s">
        <v>1010</v>
      </c>
      <c r="C700" s="174">
        <v>14124</v>
      </c>
      <c r="D700" s="168" t="s">
        <v>1010</v>
      </c>
      <c r="E700" s="168" t="s">
        <v>134</v>
      </c>
      <c r="F700" s="168"/>
      <c r="G700" s="169">
        <f>IF(OR(B700="",C700=""),"",IFERROR(IFERROR(INDEX(Vöruskrá!J:J,MATCH(B700,Vöruskrá!B:B,0)),0)*C700/100000,""))</f>
        <v>5.6496000000000004</v>
      </c>
      <c r="H700" s="169">
        <f>IF(OR(B700="",C700=""),"",IFERROR(IFERROR(INDEX(Vöruskrá!K:K,MATCH(B700,Vöruskrá!B:B,0)),0)*C700/100000,""))</f>
        <v>1.4124000000000001E-2</v>
      </c>
      <c r="I700" s="169">
        <f>IF(OR(B700="",C700=""),"",IFERROR(IFERROR(INDEX(Vöruskrá!L:L,MATCH(B700,Vöruskrá!B:B,0)),0)*C700/100000,""))</f>
        <v>0</v>
      </c>
      <c r="J700" s="169">
        <f>IF(OR(B700="",C700=""),"",IFERROR(IFERROR(INDEX(Vöruskrá!M:M,MATCH(B700,Vöruskrá!B:B,0)),0)*C700/100000,""))</f>
        <v>1.3135320000000001</v>
      </c>
      <c r="K700" s="169">
        <f>IF(OR(B700="",C700=""),"",IFERROR(IFERROR(INDEX(Vöruskrá!N:N,MATCH(B700,Vöruskrá!B:B,0)),0)*C700/100000,""))</f>
        <v>0.59320800000000007</v>
      </c>
      <c r="L700" s="169">
        <f>IF(OR(B700="",C700=""),"",IFERROR(IFERROR(INDEX(Vöruskrá!O:O,MATCH(B700,Vöruskrá!B:B,0)),0)*C700/100000,""))</f>
        <v>0.155364</v>
      </c>
      <c r="M700" s="169">
        <f>IF(OR(B700="",C700=""),"",IFERROR(IFERROR(INDEX(Vöruskrá!P:P,MATCH(B700,Vöruskrá!B:B,0)),0)*C700/100000,""))</f>
        <v>0</v>
      </c>
      <c r="N700" s="169">
        <f>IF(OR(B700="",C700=""),"",IFERROR(IFERROR(INDEX(Vöruskrá!Q:Q,MATCH(B700,Vöruskrá!B:B,0)),0)*C700/100000,""))</f>
        <v>0.24010799999999999</v>
      </c>
      <c r="O700" s="170">
        <f>IF(OR(B700="",C700=""),"",IFERROR(C700/1000*IFERROR(INDEX(Vöruskrá!R:R,MATCH(B700,Vöruskrá!B:B,0)),0)/1000,""))</f>
        <v>0</v>
      </c>
      <c r="P700" s="173"/>
      <c r="Q700" s="158"/>
      <c r="R700" s="6"/>
    </row>
    <row r="701" spans="1:18" ht="15">
      <c r="A701" s="171"/>
      <c r="B701" s="171" t="s">
        <v>1017</v>
      </c>
      <c r="C701" s="172">
        <v>2825</v>
      </c>
      <c r="D701" s="168" t="s">
        <v>1017</v>
      </c>
      <c r="E701" s="168" t="s">
        <v>134</v>
      </c>
      <c r="F701" s="168"/>
      <c r="G701" s="169">
        <f>IF(OR(B701="",C701=""),"",IFERROR(IFERROR(INDEX(Vöruskrá!J:J,MATCH(B701,Vöruskrá!B:B,0)),0)*C701/100000,""))</f>
        <v>4.2092499999999999</v>
      </c>
      <c r="H701" s="169">
        <f>IF(OR(B701="",C701=""),"",IFERROR(IFERROR(INDEX(Vöruskrá!K:K,MATCH(B701,Vöruskrá!B:B,0)),0)*C701/100000,""))</f>
        <v>1.4125E-2</v>
      </c>
      <c r="I701" s="169">
        <f>IF(OR(B701="",C701=""),"",IFERROR(IFERROR(INDEX(Vöruskrá!L:L,MATCH(B701,Vöruskrá!B:B,0)),0)*C701/100000,""))</f>
        <v>2.8249999999999998E-3</v>
      </c>
      <c r="J701" s="169">
        <f>IF(OR(B701="",C701=""),"",IFERROR(IFERROR(INDEX(Vöruskrá!M:M,MATCH(B701,Vöruskrá!B:B,0)),0)*C701/100000,""))</f>
        <v>0.93507499999999999</v>
      </c>
      <c r="K701" s="169">
        <f>IF(OR(B701="",C701=""),"",IFERROR(IFERROR(INDEX(Vöruskrá!N:N,MATCH(B701,Vöruskrá!B:B,0)),0)*C701/100000,""))</f>
        <v>2.8250000000000001E-2</v>
      </c>
      <c r="L701" s="169">
        <f>IF(OR(B701="",C701=""),"",IFERROR(IFERROR(INDEX(Vöruskrá!O:O,MATCH(B701,Vöruskrá!B:B,0)),0)*C701/100000,""))</f>
        <v>0.18079999999999999</v>
      </c>
      <c r="M701" s="169">
        <f>IF(OR(B701="",C701=""),"",IFERROR(IFERROR(INDEX(Vöruskrá!P:P,MATCH(B701,Vöruskrá!B:B,0)),0)*C701/100000,""))</f>
        <v>0</v>
      </c>
      <c r="N701" s="169">
        <f>IF(OR(B701="",C701=""),"",IFERROR(IFERROR(INDEX(Vöruskrá!Q:Q,MATCH(B701,Vöruskrá!B:B,0)),0)*C701/100000,""))</f>
        <v>5.9325000000000003E-2</v>
      </c>
      <c r="O701" s="170">
        <f>IF(OR(B701="",C701=""),"",IFERROR(C701/1000*IFERROR(INDEX(Vöruskrá!R:R,MATCH(B701,Vöruskrá!B:B,0)),0)/1000,""))</f>
        <v>0</v>
      </c>
      <c r="P701" s="171"/>
      <c r="Q701" s="157"/>
      <c r="R701" s="27"/>
    </row>
    <row r="702" spans="1:18" ht="15">
      <c r="A702" s="173"/>
      <c r="B702" s="173" t="s">
        <v>1471</v>
      </c>
      <c r="C702" s="174">
        <v>1412</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8"/>
      <c r="R702" s="6"/>
    </row>
    <row r="703" spans="1:18" ht="15">
      <c r="A703" s="171"/>
      <c r="B703" s="171" t="s">
        <v>1062</v>
      </c>
      <c r="C703" s="172">
        <v>1130</v>
      </c>
      <c r="D703" s="168" t="s">
        <v>1063</v>
      </c>
      <c r="E703" s="168" t="s">
        <v>134</v>
      </c>
      <c r="F703" s="168" t="s">
        <v>1024</v>
      </c>
      <c r="G703" s="169">
        <f>IF(OR(B703="",C703=""),"",IFERROR(IFERROR(INDEX(Vöruskrá!J:J,MATCH(B703,Vöruskrá!B:B,0)),0)*C703/100000,""))</f>
        <v>4.2374999999999998</v>
      </c>
      <c r="H703" s="169">
        <f>IF(OR(B703="",C703=""),"",IFERROR(IFERROR(INDEX(Vöruskrá!K:K,MATCH(B703,Vöruskrá!B:B,0)),0)*C703/100000,""))</f>
        <v>0.25198999999999999</v>
      </c>
      <c r="I703" s="169">
        <f>IF(OR(B703="",C703=""),"",IFERROR(IFERROR(INDEX(Vöruskrá!L:L,MATCH(B703,Vöruskrá!B:B,0)),0)*C703/100000,""))</f>
        <v>1.469E-2</v>
      </c>
      <c r="J703" s="169">
        <f>IF(OR(B703="",C703=""),"",IFERROR(IFERROR(INDEX(Vöruskrá!M:M,MATCH(B703,Vöruskrá!B:B,0)),0)*C703/100000,""))</f>
        <v>0.49946000000000002</v>
      </c>
      <c r="K703" s="169">
        <f>IF(OR(B703="",C703=""),"",IFERROR(IFERROR(INDEX(Vöruskrá!N:N,MATCH(B703,Vöruskrá!B:B,0)),0)*C703/100000,""))</f>
        <v>2.5989999999999999E-2</v>
      </c>
      <c r="L703" s="169">
        <f>IF(OR(B703="",C703=""),"",IFERROR(IFERROR(INDEX(Vöruskrá!O:O,MATCH(B703,Vöruskrá!B:B,0)),0)*C703/100000,""))</f>
        <v>0.20114000000000001</v>
      </c>
      <c r="M703" s="169">
        <f>IF(OR(B703="",C703=""),"",IFERROR(IFERROR(INDEX(Vöruskrá!P:P,MATCH(B703,Vöruskrá!B:B,0)),0)*C703/100000,""))</f>
        <v>2.2599999999999999E-3</v>
      </c>
      <c r="N703" s="169">
        <f>IF(OR(B703="",C703=""),"",IFERROR(IFERROR(INDEX(Vöruskrá!Q:Q,MATCH(B703,Vöruskrá!B:B,0)),0)*C703/100000,""))</f>
        <v>0.11865000000000001</v>
      </c>
      <c r="O703" s="170">
        <f>IF(OR(B703="",C703=""),"",IFERROR(C703/1000*IFERROR(INDEX(Vöruskrá!R:R,MATCH(B703,Vöruskrá!B:B,0)),0)/1000,""))</f>
        <v>0</v>
      </c>
      <c r="P703" s="171"/>
      <c r="Q703" s="157"/>
      <c r="R703" s="27"/>
    </row>
    <row r="704" spans="1:18" ht="15">
      <c r="A704" s="173"/>
      <c r="B704" s="173" t="s">
        <v>1030</v>
      </c>
      <c r="C704" s="174">
        <v>1412</v>
      </c>
      <c r="D704" s="168" t="s">
        <v>1032</v>
      </c>
      <c r="E704" s="168" t="s">
        <v>134</v>
      </c>
      <c r="F704" s="168" t="s">
        <v>1024</v>
      </c>
      <c r="G704" s="169">
        <f>IF(OR(B704="",C704=""),"",IFERROR(IFERROR(INDEX(Vöruskrá!J:J,MATCH(B704,Vöruskrá!B:B,0)),0)*C704/100000,""))</f>
        <v>4.1230399999999996</v>
      </c>
      <c r="H704" s="169">
        <f>IF(OR(B704="",C704=""),"",IFERROR(IFERROR(INDEX(Vöruskrá!K:K,MATCH(B704,Vöruskrá!B:B,0)),0)*C704/100000,""))</f>
        <v>7.7660000000000007E-2</v>
      </c>
      <c r="I704" s="169">
        <f>IF(OR(B704="",C704=""),"",IFERROR(IFERROR(INDEX(Vöruskrá!L:L,MATCH(B704,Vöruskrá!B:B,0)),0)*C704/100000,""))</f>
        <v>1.2707999999999999E-2</v>
      </c>
      <c r="J704" s="169">
        <f>IF(OR(B704="",C704=""),"",IFERROR(IFERROR(INDEX(Vöruskrá!M:M,MATCH(B704,Vöruskrá!B:B,0)),0)*C704/100000,""))</f>
        <v>0.70599999999999996</v>
      </c>
      <c r="K704" s="169">
        <f>IF(OR(B704="",C704=""),"",IFERROR(IFERROR(INDEX(Vöruskrá!N:N,MATCH(B704,Vöruskrá!B:B,0)),0)*C704/100000,""))</f>
        <v>5.6480000000000002E-2</v>
      </c>
      <c r="L704" s="169">
        <f>IF(OR(B704="",C704=""),"",IFERROR(IFERROR(INDEX(Vöruskrá!O:O,MATCH(B704,Vöruskrá!B:B,0)),0)*C704/100000,""))</f>
        <v>0.37559200000000004</v>
      </c>
      <c r="M704" s="169">
        <f>IF(OR(B704="",C704=""),"",IFERROR(IFERROR(INDEX(Vöruskrá!P:P,MATCH(B704,Vöruskrá!B:B,0)),0)*C704/100000,""))</f>
        <v>1.4120000000000003E-3</v>
      </c>
      <c r="N704" s="169">
        <f>IF(OR(B704="",C704=""),"",IFERROR(IFERROR(INDEX(Vöruskrá!Q:Q,MATCH(B704,Vöruskrá!B:B,0)),0)*C704/100000,""))</f>
        <v>0.37700400000000001</v>
      </c>
      <c r="O704" s="170">
        <f>IF(OR(B704="",C704=""),"",IFERROR(C704/1000*IFERROR(INDEX(Vöruskrá!R:R,MATCH(B704,Vöruskrá!B:B,0)),0)/1000,""))</f>
        <v>0</v>
      </c>
      <c r="P704" s="173"/>
      <c r="Q704" s="158"/>
      <c r="R704" s="6"/>
    </row>
    <row r="705" spans="1:18" ht="15">
      <c r="A705" s="171"/>
      <c r="B705" s="171" t="s">
        <v>299</v>
      </c>
      <c r="C705" s="172">
        <v>1412</v>
      </c>
      <c r="D705" s="168" t="s">
        <v>302</v>
      </c>
      <c r="E705" s="168" t="s">
        <v>134</v>
      </c>
      <c r="F705" s="168" t="s">
        <v>303</v>
      </c>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1.4119999999999999</v>
      </c>
      <c r="N705" s="169">
        <f>IF(OR(B705="",C705=""),"",IFERROR(IFERROR(INDEX(Vöruskrá!Q:Q,MATCH(B705,Vöruskrá!B:B,0)),0)*C705/100000,""))</f>
        <v>0</v>
      </c>
      <c r="O705" s="170">
        <f>IF(OR(B705="",C705=""),"",IFERROR(C705/1000*IFERROR(INDEX(Vöruskrá!R:R,MATCH(B705,Vöruskrá!B:B,0)),0)/1000,""))</f>
        <v>0</v>
      </c>
      <c r="P705" s="171"/>
      <c r="Q705" s="157"/>
      <c r="R705" s="27"/>
    </row>
    <row r="706" spans="1:18" ht="15">
      <c r="A706" s="173"/>
      <c r="B706" s="173" t="s">
        <v>1270</v>
      </c>
      <c r="C706" s="174">
        <v>7062</v>
      </c>
      <c r="D706" s="168" t="s">
        <v>1270</v>
      </c>
      <c r="E706" s="168" t="s">
        <v>134</v>
      </c>
      <c r="F706" s="168"/>
      <c r="G706" s="169">
        <f>IF(OR(B706="",C706=""),"",IFERROR(IFERROR(INDEX(Vöruskrá!J:J,MATCH(B706,Vöruskrá!B:B,0)),0)*C706/100000,""))</f>
        <v>63.558</v>
      </c>
      <c r="H706" s="169">
        <f>IF(OR(B706="",C706=""),"",IFERROR(IFERROR(INDEX(Vöruskrá!K:K,MATCH(B706,Vöruskrá!B:B,0)),0)*C706/100000,""))</f>
        <v>7.0620000000000003</v>
      </c>
      <c r="I706" s="169">
        <f>IF(OR(B706="",C706=""),"",IFERROR(IFERROR(INDEX(Vöruskrá!L:L,MATCH(B706,Vöruskrá!B:B,0)),0)*C706/100000,""))</f>
        <v>0.49434</v>
      </c>
      <c r="J706" s="169">
        <f>IF(OR(B706="",C706=""),"",IFERROR(IFERROR(INDEX(Vöruskrá!M:M,MATCH(B706,Vöruskrá!B:B,0)),0)*C706/100000,""))</f>
        <v>4.5903</v>
      </c>
      <c r="K706" s="169">
        <f>IF(OR(B706="",C706=""),"",IFERROR(IFERROR(INDEX(Vöruskrá!N:N,MATCH(B706,Vöruskrá!B:B,0)),0)*C706/100000,""))</f>
        <v>1.9420500000000001</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200"/>
      <c r="R706" s="159"/>
    </row>
    <row r="707" spans="1:18" ht="72">
      <c r="A707" s="147" t="s">
        <v>1910</v>
      </c>
      <c r="B707" s="147"/>
      <c r="C707" s="148"/>
      <c r="D707" s="165" t="s">
        <v>1911</v>
      </c>
      <c r="E707" s="165" t="s">
        <v>1912</v>
      </c>
      <c r="F707" s="165"/>
      <c r="G707" s="166">
        <v>188.56</v>
      </c>
      <c r="H707" s="166">
        <v>7.96</v>
      </c>
      <c r="I707" s="166">
        <v>0.78</v>
      </c>
      <c r="J707" s="166">
        <v>23.37</v>
      </c>
      <c r="K707" s="166"/>
      <c r="L707" s="166">
        <v>4.78</v>
      </c>
      <c r="M707" s="166">
        <v>1.63</v>
      </c>
      <c r="N707" s="166">
        <f>IFERROR(SUM(N708:N715)/(SUM($C$708:$C$715)/100000),"")</f>
        <v>2.2615526155261554</v>
      </c>
      <c r="O707" s="167" t="str">
        <f>IF(OR(B707="",C707=""),"",IFERROR(C707/1000*IFERROR(INDEX(Vöruskrá!R:R,MATCH(B707,Vöruskrá!B:B,0)),0)/1000,""))</f>
        <v/>
      </c>
      <c r="P707" s="196" t="s">
        <v>1913</v>
      </c>
      <c r="Q707" s="195" t="s">
        <v>1914</v>
      </c>
      <c r="R707" s="194" t="s">
        <v>1915</v>
      </c>
    </row>
    <row r="708" spans="1:18" ht="15">
      <c r="A708" s="171"/>
      <c r="B708" s="171" t="s">
        <v>510</v>
      </c>
      <c r="C708" s="172">
        <v>41026</v>
      </c>
      <c r="D708" s="168" t="s">
        <v>512</v>
      </c>
      <c r="E708" s="168" t="s">
        <v>513</v>
      </c>
      <c r="F708" s="168"/>
      <c r="G708" s="169">
        <f>IF(OR(B708="",C708=""),"",IFERROR(IFERROR(INDEX(Vöruskrá!J:J,MATCH(B708,Vöruskrá!B:B,0)),0)*C708/100000,""))</f>
        <v>72.616020000000006</v>
      </c>
      <c r="H708" s="169">
        <f>IF(OR(B708="",C708=""),"",IFERROR(IFERROR(INDEX(Vöruskrá!K:K,MATCH(B708,Vöruskrá!B:B,0)),0)*C708/100000,""))</f>
        <v>3.4051580000000006</v>
      </c>
      <c r="I708" s="169">
        <f>IF(OR(B708="",C708=""),"",IFERROR(IFERROR(INDEX(Vöruskrá!L:L,MATCH(B708,Vöruskrá!B:B,0)),0)*C708/100000,""))</f>
        <v>0.41026000000000001</v>
      </c>
      <c r="J708" s="169">
        <f>IF(OR(B708="",C708=""),"",IFERROR(IFERROR(INDEX(Vöruskrá!M:M,MATCH(B708,Vöruskrá!B:B,0)),0)*C708/100000,""))</f>
        <v>8.2051999999999996</v>
      </c>
      <c r="K708" s="169">
        <f>IF(OR(B708="",C708=""),"",IFERROR(IFERROR(INDEX(Vöruskrá!N:N,MATCH(B708,Vöruskrá!B:B,0)),0)*C708/100000,""))</f>
        <v>1.6410400000000001</v>
      </c>
      <c r="L708" s="169">
        <f>IF(OR(B708="",C708=""),"",IFERROR(IFERROR(INDEX(Vöruskrá!O:O,MATCH(B708,Vöruskrá!B:B,0)),0)*C708/100000,""))</f>
        <v>1.5589879999999998</v>
      </c>
      <c r="M708" s="169">
        <f>IF(OR(B708="",C708=""),"",IFERROR(IFERROR(INDEX(Vöruskrá!P:P,MATCH(B708,Vöruskrá!B:B,0)),0)*C708/100000,""))</f>
        <v>0.57436399999999999</v>
      </c>
      <c r="N708" s="169">
        <f>IF(OR(B708="",C708=""),"",IFERROR(IFERROR(INDEX(Vöruskrá!Q:Q,MATCH(B708,Vöruskrá!B:B,0)),0)*C708/100000,""))</f>
        <v>1.43591</v>
      </c>
      <c r="O708" s="170">
        <f>IF(OR(B708="",C708=""),"",IFERROR(C708/1000*IFERROR(INDEX(Vöruskrá!R:R,MATCH(B708,Vöruskrá!B:B,0)),0)/1000,""))</f>
        <v>0</v>
      </c>
      <c r="P708" s="171"/>
      <c r="Q708" s="197"/>
      <c r="R708" s="164"/>
    </row>
    <row r="709" spans="1:18" ht="15">
      <c r="A709" s="173"/>
      <c r="B709" s="173" t="s">
        <v>463</v>
      </c>
      <c r="C709" s="174">
        <v>30769</v>
      </c>
      <c r="D709" s="168" t="s">
        <v>465</v>
      </c>
      <c r="E709" s="168" t="s">
        <v>466</v>
      </c>
      <c r="F709" s="168" t="s">
        <v>467</v>
      </c>
      <c r="G709" s="169">
        <f>IF(OR(B709="",C709=""),"",IFERROR(IFERROR(INDEX(Vöruskrá!J:J,MATCH(B709,Vöruskrá!B:B,0)),0)*C709/100000,""))</f>
        <v>74.460980000000006</v>
      </c>
      <c r="H709" s="169">
        <f>IF(OR(B709="",C709=""),"",IFERROR(IFERROR(INDEX(Vöruskrá!K:K,MATCH(B709,Vöruskrá!B:B,0)),0)*C709/100000,""))</f>
        <v>0.76922500000000005</v>
      </c>
      <c r="I709" s="169">
        <f>IF(OR(B709="",C709=""),"",IFERROR(IFERROR(INDEX(Vöruskrá!L:L,MATCH(B709,Vöruskrá!B:B,0)),0)*C709/100000,""))</f>
        <v>0.123076</v>
      </c>
      <c r="J709" s="169">
        <f>IF(OR(B709="",C709=""),"",IFERROR(IFERROR(INDEX(Vöruskrá!M:M,MATCH(B709,Vöruskrá!B:B,0)),0)*C709/100000,""))</f>
        <v>13.538360000000001</v>
      </c>
      <c r="K709" s="169">
        <f>IF(OR(B709="",C709=""),"",IFERROR(IFERROR(INDEX(Vöruskrá!N:N,MATCH(B709,Vöruskrá!B:B,0)),0)*C709/100000,""))</f>
        <v>0.18461399999999997</v>
      </c>
      <c r="L709" s="169">
        <f>IF(OR(B709="",C709=""),"",IFERROR(IFERROR(INDEX(Vöruskrá!O:O,MATCH(B709,Vöruskrá!B:B,0)),0)*C709/100000,""))</f>
        <v>2.8922860000000004</v>
      </c>
      <c r="M709" s="169">
        <f>IF(OR(B709="",C709=""),"",IFERROR(IFERROR(INDEX(Vöruskrá!P:P,MATCH(B709,Vöruskrá!B:B,0)),0)*C709/100000,""))</f>
        <v>0.39999700000000005</v>
      </c>
      <c r="N709" s="169">
        <f>IF(OR(B709="",C709=""),"",IFERROR(IFERROR(INDEX(Vöruskrá!Q:Q,MATCH(B709,Vöruskrá!B:B,0)),0)*C709/100000,""))</f>
        <v>0.55384200000000006</v>
      </c>
      <c r="O709" s="170">
        <f>IF(OR(B709="",C709=""),"",IFERROR(C709/1000*IFERROR(INDEX(Vöruskrá!R:R,MATCH(B709,Vöruskrá!B:B,0)),0)/1000,""))</f>
        <v>0</v>
      </c>
      <c r="P709" s="173"/>
      <c r="Q709" s="157"/>
      <c r="R709" s="27"/>
    </row>
    <row r="710" spans="1:18" ht="15">
      <c r="A710" s="171"/>
      <c r="B710" s="171" t="s">
        <v>627</v>
      </c>
      <c r="C710" s="172">
        <v>5128</v>
      </c>
      <c r="D710" s="168" t="s">
        <v>629</v>
      </c>
      <c r="E710" s="168"/>
      <c r="F710" s="168"/>
      <c r="G710" s="169">
        <f>IF(OR(B710="",C710=""),"",IFERROR(IFERROR(INDEX(Vöruskrá!J:J,MATCH(B710,Vöruskrá!B:B,0)),0)*C710/100000,""))</f>
        <v>2.5640000000000001</v>
      </c>
      <c r="H710" s="169">
        <f>IF(OR(B710="",C710=""),"",IFERROR(IFERROR(INDEX(Vöruskrá!K:K,MATCH(B710,Vöruskrá!B:B,0)),0)*C710/100000,""))</f>
        <v>1.0256000000000001E-2</v>
      </c>
      <c r="I710" s="169">
        <f>IF(OR(B710="",C710=""),"",IFERROR(IFERROR(INDEX(Vöruskrá!L:L,MATCH(B710,Vöruskrá!B:B,0)),0)*C710/100000,""))</f>
        <v>0</v>
      </c>
      <c r="J710" s="169">
        <f>IF(OR(B710="",C710=""),"",IFERROR(IFERROR(INDEX(Vöruskrá!M:M,MATCH(B710,Vöruskrá!B:B,0)),0)*C710/100000,""))</f>
        <v>0.50767200000000001</v>
      </c>
      <c r="K710" s="169">
        <f>IF(OR(B710="",C710=""),"",IFERROR(IFERROR(INDEX(Vöruskrá!N:N,MATCH(B710,Vöruskrá!B:B,0)),0)*C710/100000,""))</f>
        <v>0.49741599999999997</v>
      </c>
      <c r="L710" s="169">
        <f>IF(OR(B710="",C710=""),"",IFERROR(IFERROR(INDEX(Vöruskrá!O:O,MATCH(B710,Vöruskrá!B:B,0)),0)*C710/100000,""))</f>
        <v>5.1279999999999999E-2</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58"/>
      <c r="R710" s="6"/>
    </row>
    <row r="711" spans="1:18" ht="15">
      <c r="A711" s="173"/>
      <c r="B711" s="173" t="s">
        <v>500</v>
      </c>
      <c r="C711" s="174">
        <v>10256</v>
      </c>
      <c r="D711" s="168" t="s">
        <v>1129</v>
      </c>
      <c r="E711" s="168" t="s">
        <v>1099</v>
      </c>
      <c r="F711" s="168"/>
      <c r="G711" s="169">
        <f>IF(OR(B711="",C711=""),"",IFERROR(IFERROR(INDEX(Vöruskrá!J:J,MATCH(B711,Vöruskrá!B:B,0)),0)*C711/100000,""))</f>
        <v>1.8460799999999999</v>
      </c>
      <c r="H711" s="169">
        <f>IF(OR(B711="",C711=""),"",IFERROR(IFERROR(INDEX(Vöruskrá!K:K,MATCH(B711,Vöruskrá!B:B,0)),0)*C711/100000,""))</f>
        <v>2.0512000000000002E-2</v>
      </c>
      <c r="I711" s="169">
        <f>IF(OR(B711="",C711=""),"",IFERROR(IFERROR(INDEX(Vöruskrá!L:L,MATCH(B711,Vöruskrá!B:B,0)),0)*C711/100000,""))</f>
        <v>0</v>
      </c>
      <c r="J711" s="169">
        <f>IF(OR(B711="",C711=""),"",IFERROR(IFERROR(INDEX(Vöruskrá!M:M,MATCH(B711,Vöruskrá!B:B,0)),0)*C711/100000,""))</f>
        <v>0.39998400000000001</v>
      </c>
      <c r="K711" s="169">
        <f>IF(OR(B711="",C711=""),"",IFERROR(IFERROR(INDEX(Vöruskrá!N:N,MATCH(B711,Vöruskrá!B:B,0)),0)*C711/100000,""))</f>
        <v>0.266656</v>
      </c>
      <c r="L711" s="169">
        <f>IF(OR(B711="",C711=""),"",IFERROR(IFERROR(INDEX(Vöruskrá!O:O,MATCH(B711,Vöruskrá!B:B,0)),0)*C711/100000,""))</f>
        <v>9.2303999999999997E-2</v>
      </c>
      <c r="M711" s="169">
        <f>IF(OR(B711="",C711=""),"",IFERROR(IFERROR(INDEX(Vöruskrá!P:P,MATCH(B711,Vöruskrá!B:B,0)),0)*C711/100000,""))</f>
        <v>0</v>
      </c>
      <c r="N711" s="169">
        <f>IF(OR(B711="",C711=""),"",IFERROR(IFERROR(INDEX(Vöruskrá!Q:Q,MATCH(B711,Vöruskrá!B:B,0)),0)*C711/100000,""))</f>
        <v>0.12307199999999999</v>
      </c>
      <c r="O711" s="170">
        <f>IF(OR(B711="",C711=""),"",IFERROR(C711/1000*IFERROR(INDEX(Vöruskrá!R:R,MATCH(B711,Vöruskrá!B:B,0)),0)/1000,""))</f>
        <v>0</v>
      </c>
      <c r="P711" s="173"/>
      <c r="Q711" s="157"/>
      <c r="R711" s="27"/>
    </row>
    <row r="712" spans="1:18" ht="15">
      <c r="A712" s="171"/>
      <c r="B712" s="171" t="s">
        <v>1010</v>
      </c>
      <c r="C712" s="172">
        <v>5128</v>
      </c>
      <c r="D712" s="168" t="s">
        <v>1010</v>
      </c>
      <c r="E712" s="168" t="s">
        <v>134</v>
      </c>
      <c r="F712" s="168"/>
      <c r="G712" s="169">
        <f>IF(OR(B712="",C712=""),"",IFERROR(IFERROR(INDEX(Vöruskrá!J:J,MATCH(B712,Vöruskrá!B:B,0)),0)*C712/100000,""))</f>
        <v>2.0512000000000001</v>
      </c>
      <c r="H712" s="169">
        <f>IF(OR(B712="",C712=""),"",IFERROR(IFERROR(INDEX(Vöruskrá!K:K,MATCH(B712,Vöruskrá!B:B,0)),0)*C712/100000,""))</f>
        <v>5.1280000000000006E-3</v>
      </c>
      <c r="I712" s="169">
        <f>IF(OR(B712="",C712=""),"",IFERROR(IFERROR(INDEX(Vöruskrá!L:L,MATCH(B712,Vöruskrá!B:B,0)),0)*C712/100000,""))</f>
        <v>0</v>
      </c>
      <c r="J712" s="169">
        <f>IF(OR(B712="",C712=""),"",IFERROR(IFERROR(INDEX(Vöruskrá!M:M,MATCH(B712,Vöruskrá!B:B,0)),0)*C712/100000,""))</f>
        <v>0.47690399999999999</v>
      </c>
      <c r="K712" s="169">
        <f>IF(OR(B712="",C712=""),"",IFERROR(IFERROR(INDEX(Vöruskrá!N:N,MATCH(B712,Vöruskrá!B:B,0)),0)*C712/100000,""))</f>
        <v>0.21537600000000001</v>
      </c>
      <c r="L712" s="169">
        <f>IF(OR(B712="",C712=""),"",IFERROR(IFERROR(INDEX(Vöruskrá!O:O,MATCH(B712,Vöruskrá!B:B,0)),0)*C712/100000,""))</f>
        <v>5.6408E-2</v>
      </c>
      <c r="M712" s="169">
        <f>IF(OR(B712="",C712=""),"",IFERROR(IFERROR(INDEX(Vöruskrá!P:P,MATCH(B712,Vöruskrá!B:B,0)),0)*C712/100000,""))</f>
        <v>0</v>
      </c>
      <c r="N712" s="169">
        <f>IF(OR(B712="",C712=""),"",IFERROR(IFERROR(INDEX(Vöruskrá!Q:Q,MATCH(B712,Vöruskrá!B:B,0)),0)*C712/100000,""))</f>
        <v>8.7176000000000003E-2</v>
      </c>
      <c r="O712" s="170">
        <f>IF(OR(B712="",C712=""),"",IFERROR(C712/1000*IFERROR(INDEX(Vöruskrá!R:R,MATCH(B712,Vöruskrá!B:B,0)),0)/1000,""))</f>
        <v>0</v>
      </c>
      <c r="P712" s="171"/>
      <c r="Q712" s="158"/>
      <c r="R712" s="6"/>
    </row>
    <row r="713" spans="1:18" ht="15">
      <c r="A713" s="173"/>
      <c r="B713" s="173" t="s">
        <v>1405</v>
      </c>
      <c r="C713" s="174">
        <v>5128</v>
      </c>
      <c r="D713" s="168" t="s">
        <v>1407</v>
      </c>
      <c r="E713" s="168" t="s">
        <v>148</v>
      </c>
      <c r="F713" s="168"/>
      <c r="G713" s="169">
        <f>IF(OR(B713="",C713=""),"",IFERROR(IFERROR(INDEX(Vöruskrá!J:J,MATCH(B713,Vöruskrá!B:B,0)),0)*C713/100000,""))</f>
        <v>32.357680000000002</v>
      </c>
      <c r="H713" s="169">
        <f>IF(OR(B713="",C713=""),"",IFERROR(IFERROR(INDEX(Vöruskrá!K:K,MATCH(B713,Vöruskrá!B:B,0)),0)*C713/100000,""))</f>
        <v>3.5895999999999999</v>
      </c>
      <c r="I713" s="169">
        <f>IF(OR(B713="",C713=""),"",IFERROR(IFERROR(INDEX(Vöruskrá!L:L,MATCH(B713,Vöruskrá!B:B,0)),0)*C713/100000,""))</f>
        <v>0.24101600000000001</v>
      </c>
      <c r="J713" s="169">
        <f>IF(OR(B713="",C713=""),"",IFERROR(IFERROR(INDEX(Vöruskrá!M:M,MATCH(B713,Vöruskrá!B:B,0)),0)*C713/100000,""))</f>
        <v>0.12307199999999999</v>
      </c>
      <c r="K713" s="169">
        <f>IF(OR(B713="",C713=""),"",IFERROR(IFERROR(INDEX(Vöruskrá!N:N,MATCH(B713,Vöruskrá!B:B,0)),0)*C713/100000,""))</f>
        <v>7.6920000000000002E-2</v>
      </c>
      <c r="L713" s="169">
        <f>IF(OR(B713="",C713=""),"",IFERROR(IFERROR(INDEX(Vöruskrá!O:O,MATCH(B713,Vöruskrá!B:B,0)),0)*C713/100000,""))</f>
        <v>5.1280000000000006E-3</v>
      </c>
      <c r="M713" s="169">
        <f>IF(OR(B713="",C713=""),"",IFERROR(IFERROR(INDEX(Vöruskrá!P:P,MATCH(B713,Vöruskrá!B:B,0)),0)*C713/100000,""))</f>
        <v>5.1279999999999999E-2</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1157</v>
      </c>
      <c r="C714" s="172">
        <v>2051</v>
      </c>
      <c r="D714" s="168" t="s">
        <v>1160</v>
      </c>
      <c r="E714" s="168" t="s">
        <v>1161</v>
      </c>
      <c r="F714" s="168"/>
      <c r="G714" s="169">
        <f>IF(OR(B714="",C714=""),"",IFERROR(IFERROR(INDEX(Vöruskrá!J:J,MATCH(B714,Vöruskrá!B:B,0)),0)*C714/100000,""))</f>
        <v>2.6663000000000001</v>
      </c>
      <c r="H714" s="169">
        <f>IF(OR(B714="",C714=""),"",IFERROR(IFERROR(INDEX(Vöruskrá!K:K,MATCH(B714,Vöruskrá!B:B,0)),0)*C714/100000,""))</f>
        <v>0.16408</v>
      </c>
      <c r="I714" s="169">
        <f>IF(OR(B714="",C714=""),"",IFERROR(IFERROR(INDEX(Vöruskrá!L:L,MATCH(B714,Vöruskrá!B:B,0)),0)*C714/100000,""))</f>
        <v>1.0255E-2</v>
      </c>
      <c r="J714" s="169">
        <f>IF(OR(B714="",C714=""),"",IFERROR(IFERROR(INDEX(Vöruskrá!M:M,MATCH(B714,Vöruskrá!B:B,0)),0)*C714/100000,""))</f>
        <v>0.12306</v>
      </c>
      <c r="K714" s="169">
        <f>IF(OR(B714="",C714=""),"",IFERROR(IFERROR(INDEX(Vöruskrá!N:N,MATCH(B714,Vöruskrá!B:B,0)),0)*C714/100000,""))</f>
        <v>4.1020000000000001E-2</v>
      </c>
      <c r="L714" s="169">
        <f>IF(OR(B714="",C714=""),"",IFERROR(IFERROR(INDEX(Vöruskrá!O:O,MATCH(B714,Vöruskrá!B:B,0)),0)*C714/100000,""))</f>
        <v>0.12306</v>
      </c>
      <c r="M714" s="169">
        <f>IF(OR(B714="",C714=""),"",IFERROR(IFERROR(INDEX(Vöruskrá!P:P,MATCH(B714,Vöruskrá!B:B,0)),0)*C714/100000,""))</f>
        <v>9.2295000000000002E-2</v>
      </c>
      <c r="N714" s="169">
        <f>IF(OR(B714="",C714=""),"",IFERROR(IFERROR(INDEX(Vöruskrá!Q:Q,MATCH(B714,Vöruskrá!B:B,0)),0)*C714/100000,""))</f>
        <v>6.1530000000000001E-2</v>
      </c>
      <c r="O714" s="170">
        <f>IF(OR(B714="",C714=""),"",IFERROR(C714/1000*IFERROR(INDEX(Vöruskrá!R:R,MATCH(B714,Vöruskrá!B:B,0)),0)/1000,""))</f>
        <v>0</v>
      </c>
      <c r="P714" s="171"/>
      <c r="Q714" s="158"/>
      <c r="R714" s="6"/>
    </row>
    <row r="715" spans="1:18" ht="15">
      <c r="A715" s="173"/>
      <c r="B715" s="173" t="s">
        <v>299</v>
      </c>
      <c r="C715" s="174">
        <v>513</v>
      </c>
      <c r="D715" s="168" t="s">
        <v>302</v>
      </c>
      <c r="E715" s="168" t="s">
        <v>134</v>
      </c>
      <c r="F715" s="168" t="s">
        <v>303</v>
      </c>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0.51300000000000001</v>
      </c>
      <c r="N715" s="169">
        <f>IF(OR(B715="",C715=""),"",IFERROR(IFERROR(INDEX(Vöruskrá!Q:Q,MATCH(B715,Vöruskrá!B:B,0)),0)*C715/100000,""))</f>
        <v>0</v>
      </c>
      <c r="O715" s="170">
        <f>IF(OR(B715="",C715=""),"",IFERROR(C715/1000*IFERROR(INDEX(Vöruskrá!R:R,MATCH(B715,Vöruskrá!B:B,0)),0)/1000,""))</f>
        <v>0</v>
      </c>
      <c r="P715" s="173"/>
      <c r="Q715" s="201"/>
      <c r="R715" s="202"/>
    </row>
    <row r="716" spans="1:18" ht="60">
      <c r="A716" s="147" t="s">
        <v>1916</v>
      </c>
      <c r="B716" s="147"/>
      <c r="C716" s="148"/>
      <c r="D716" s="165" t="s">
        <v>1917</v>
      </c>
      <c r="E716" s="165" t="s">
        <v>1099</v>
      </c>
      <c r="F716" s="165"/>
      <c r="G716" s="166">
        <v>37.69</v>
      </c>
      <c r="H716" s="166">
        <v>1.94</v>
      </c>
      <c r="I716" s="166">
        <v>1.55</v>
      </c>
      <c r="J716" s="166">
        <v>4.5</v>
      </c>
      <c r="K716" s="166"/>
      <c r="L716" s="166">
        <v>0.67</v>
      </c>
      <c r="M716" s="166">
        <v>1.36</v>
      </c>
      <c r="N716" s="166">
        <f>IFERROR(SUM(N717:N724)/(SUM($C$717:$C$724)/100000),"")</f>
        <v>0.14513854861451383</v>
      </c>
      <c r="O716" s="167" t="str">
        <f>IF(OR(B716="",C716=""),"",IFERROR(C716/1000*IFERROR(INDEX(Vöruskrá!R:R,MATCH(B716,Vöruskrá!B:B,0)),0)/1000,""))</f>
        <v/>
      </c>
      <c r="P716" s="196" t="s">
        <v>1918</v>
      </c>
      <c r="Q716" s="199" t="s">
        <v>1919</v>
      </c>
      <c r="R716" s="198" t="s">
        <v>1920</v>
      </c>
    </row>
    <row r="717" spans="1:18">
      <c r="A717" s="171"/>
      <c r="B717" s="171" t="s">
        <v>1894</v>
      </c>
      <c r="C717" s="172">
        <v>29028</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203"/>
      <c r="R717" s="204"/>
    </row>
    <row r="718" spans="1:18" ht="15">
      <c r="A718" s="173"/>
      <c r="B718" s="173" t="s">
        <v>1478</v>
      </c>
      <c r="C718" s="174">
        <v>14514</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8"/>
      <c r="R718" s="6"/>
    </row>
    <row r="719" spans="1:18" ht="15">
      <c r="A719" s="171"/>
      <c r="B719" s="171" t="s">
        <v>1477</v>
      </c>
      <c r="C719" s="172">
        <v>18142</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57"/>
      <c r="R719" s="27"/>
    </row>
    <row r="720" spans="1:18" ht="15">
      <c r="A720" s="173"/>
      <c r="B720" s="173" t="s">
        <v>743</v>
      </c>
      <c r="C720" s="174">
        <v>21771</v>
      </c>
      <c r="D720" s="168" t="s">
        <v>745</v>
      </c>
      <c r="E720" s="168"/>
      <c r="F720" s="168"/>
      <c r="G720" s="169">
        <f>IF(OR(B720="",C720=""),"",IFERROR(IFERROR(INDEX(Vöruskrá!J:J,MATCH(B720,Vöruskrá!B:B,0)),0)*C720/100000,""))</f>
        <v>6.0958800000000002</v>
      </c>
      <c r="H720" s="169">
        <f>IF(OR(B720="",C720=""),"",IFERROR(IFERROR(INDEX(Vöruskrá!K:K,MATCH(B720,Vöruskrá!B:B,0)),0)*C720/100000,""))</f>
        <v>2.1770999999999999E-2</v>
      </c>
      <c r="I720" s="169">
        <f>IF(OR(B720="",C720=""),"",IFERROR(IFERROR(INDEX(Vöruskrá!L:L,MATCH(B720,Vöruskrá!B:B,0)),0)*C720/100000,""))</f>
        <v>0</v>
      </c>
      <c r="J720" s="169">
        <f>IF(OR(B720="",C720=""),"",IFERROR(IFERROR(INDEX(Vöruskrá!M:M,MATCH(B720,Vöruskrá!B:B,0)),0)*C720/100000,""))</f>
        <v>1.0885499999999999</v>
      </c>
      <c r="K720" s="169">
        <f>IF(OR(B720="",C720=""),"",IFERROR(IFERROR(INDEX(Vöruskrá!N:N,MATCH(B720,Vöruskrá!B:B,0)),0)*C720/100000,""))</f>
        <v>0.74021399999999993</v>
      </c>
      <c r="L720" s="169">
        <f>IF(OR(B720="",C720=""),"",IFERROR(IFERROR(INDEX(Vöruskrá!O:O,MATCH(B720,Vöruskrá!B:B,0)),0)*C720/100000,""))</f>
        <v>0.32656499999999999</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8"/>
      <c r="R720" s="6"/>
    </row>
    <row r="721" spans="1:18" ht="15">
      <c r="A721" s="171"/>
      <c r="B721" s="171" t="s">
        <v>489</v>
      </c>
      <c r="C721" s="172">
        <v>1451</v>
      </c>
      <c r="D721" s="168" t="s">
        <v>490</v>
      </c>
      <c r="E721" s="168" t="s">
        <v>134</v>
      </c>
      <c r="F721" s="168" t="s">
        <v>311</v>
      </c>
      <c r="G721" s="169">
        <f>IF(OR(B721="",C721=""),"",IFERROR(IFERROR(INDEX(Vöruskrá!J:J,MATCH(B721,Vöruskrá!B:B,0)),0)*C721/100000,""))</f>
        <v>3.2212200000000002</v>
      </c>
      <c r="H721" s="169">
        <f>IF(OR(B721="",C721=""),"",IFERROR(IFERROR(INDEX(Vöruskrá!K:K,MATCH(B721,Vöruskrá!B:B,0)),0)*C721/100000,""))</f>
        <v>8.7059999999999998E-2</v>
      </c>
      <c r="I721" s="169">
        <f>IF(OR(B721="",C721=""),"",IFERROR(IFERROR(INDEX(Vöruskrá!L:L,MATCH(B721,Vöruskrá!B:B,0)),0)*C721/100000,""))</f>
        <v>1.3059000000000001E-2</v>
      </c>
      <c r="J721" s="169">
        <f>IF(OR(B721="",C721=""),"",IFERROR(IFERROR(INDEX(Vöruskrá!M:M,MATCH(B721,Vöruskrá!B:B,0)),0)*C721/100000,""))</f>
        <v>0.43530000000000002</v>
      </c>
      <c r="K721" s="169">
        <f>IF(OR(B721="",C721=""),"",IFERROR(IFERROR(INDEX(Vöruskrá!N:N,MATCH(B721,Vöruskrá!B:B,0)),0)*C721/100000,""))</f>
        <v>6.6746E-2</v>
      </c>
      <c r="L721" s="169">
        <f>IF(OR(B721="",C721=""),"",IFERROR(IFERROR(INDEX(Vöruskrá!O:O,MATCH(B721,Vöruskrá!B:B,0)),0)*C721/100000,""))</f>
        <v>0.103021</v>
      </c>
      <c r="M721" s="169">
        <f>IF(OR(B721="",C721=""),"",IFERROR(IFERROR(INDEX(Vöruskrá!P:P,MATCH(B721,Vöruskrá!B:B,0)),0)*C721/100000,""))</f>
        <v>0.65295000000000003</v>
      </c>
      <c r="N721" s="169">
        <f>IF(OR(B721="",C721=""),"",IFERROR(IFERROR(INDEX(Vöruskrá!Q:Q,MATCH(B721,Vöruskrá!B:B,0)),0)*C721/100000,""))</f>
        <v>0</v>
      </c>
      <c r="O721" s="170">
        <f>IF(OR(B721="",C721=""),"",IFERROR(C721/1000*IFERROR(INDEX(Vöruskrá!R:R,MATCH(B721,Vöruskrá!B:B,0)),0)/1000,""))</f>
        <v>0</v>
      </c>
      <c r="P721" s="171"/>
      <c r="Q721" s="157"/>
      <c r="R721" s="27"/>
    </row>
    <row r="722" spans="1:18" ht="15">
      <c r="A722" s="173"/>
      <c r="B722" s="173" t="s">
        <v>1097</v>
      </c>
      <c r="C722" s="174">
        <v>7257</v>
      </c>
      <c r="D722" s="168" t="s">
        <v>1098</v>
      </c>
      <c r="E722" s="168" t="s">
        <v>1099</v>
      </c>
      <c r="F722" s="168" t="s">
        <v>1100</v>
      </c>
      <c r="G722" s="169">
        <f>IF(OR(B722="",C722=""),"",IFERROR(IFERROR(INDEX(Vöruskrá!J:J,MATCH(B722,Vöruskrá!B:B,0)),0)*C722/100000,""))</f>
        <v>6.2410199999999998</v>
      </c>
      <c r="H722" s="169">
        <f>IF(OR(B722="",C722=""),"",IFERROR(IFERROR(INDEX(Vöruskrá!K:K,MATCH(B722,Vöruskrá!B:B,0)),0)*C722/100000,""))</f>
        <v>8.7083999999999995E-2</v>
      </c>
      <c r="I722" s="169">
        <f>IF(OR(B722="",C722=""),"",IFERROR(IFERROR(INDEX(Vöruskrá!L:L,MATCH(B722,Vöruskrá!B:B,0)),0)*C722/100000,""))</f>
        <v>1.4514000000000001E-2</v>
      </c>
      <c r="J722" s="169">
        <f>IF(OR(B722="",C722=""),"",IFERROR(IFERROR(INDEX(Vöruskrá!M:M,MATCH(B722,Vöruskrá!B:B,0)),0)*C722/100000,""))</f>
        <v>1.37883</v>
      </c>
      <c r="K722" s="169">
        <f>IF(OR(B722="",C722=""),"",IFERROR(IFERROR(INDEX(Vöruskrá!N:N,MATCH(B722,Vöruskrá!B:B,0)),0)*C722/100000,""))</f>
        <v>0.23222400000000001</v>
      </c>
      <c r="L722" s="169">
        <f>IF(OR(B722="",C722=""),"",IFERROR(IFERROR(INDEX(Vöruskrá!O:O,MATCH(B722,Vöruskrá!B:B,0)),0)*C722/100000,""))</f>
        <v>0.23222400000000001</v>
      </c>
      <c r="M722" s="169">
        <f>IF(OR(B722="",C722=""),"",IFERROR(IFERROR(INDEX(Vöruskrá!P:P,MATCH(B722,Vöruskrá!B:B,0)),0)*C722/100000,""))</f>
        <v>7.2570000000000004E-3</v>
      </c>
      <c r="N722" s="169">
        <f>IF(OR(B722="",C722=""),"",IFERROR(IFERROR(INDEX(Vöruskrá!Q:Q,MATCH(B722,Vöruskrá!B:B,0)),0)*C722/100000,""))</f>
        <v>0.14513999999999999</v>
      </c>
      <c r="O722" s="170">
        <f>IF(OR(B722="",C722=""),"",IFERROR(C722/1000*IFERROR(INDEX(Vöruskrá!R:R,MATCH(B722,Vöruskrá!B:B,0)),0)/1000,""))</f>
        <v>0</v>
      </c>
      <c r="P722" s="173"/>
      <c r="Q722" s="158"/>
      <c r="R722" s="6"/>
    </row>
    <row r="723" spans="1:18" ht="15">
      <c r="A723" s="171"/>
      <c r="B723" s="171" t="s">
        <v>457</v>
      </c>
      <c r="C723" s="172">
        <v>7257</v>
      </c>
      <c r="D723" s="168" t="s">
        <v>459</v>
      </c>
      <c r="E723" s="168" t="s">
        <v>134</v>
      </c>
      <c r="F723" s="168"/>
      <c r="G723" s="169">
        <f>IF(OR(B723="",C723=""),"",IFERROR(IFERROR(INDEX(Vöruskrá!J:J,MATCH(B723,Vöruskrá!B:B,0)),0)*C723/100000,""))</f>
        <v>22.133849999999999</v>
      </c>
      <c r="H723" s="169">
        <f>IF(OR(B723="",C723=""),"",IFERROR(IFERROR(INDEX(Vöruskrá!K:K,MATCH(B723,Vöruskrá!B:B,0)),0)*C723/100000,""))</f>
        <v>1.7416799999999999</v>
      </c>
      <c r="I723" s="169">
        <f>IF(OR(B723="",C723=""),"",IFERROR(IFERROR(INDEX(Vöruskrá!L:L,MATCH(B723,Vöruskrá!B:B,0)),0)*C723/100000,""))</f>
        <v>1.52397</v>
      </c>
      <c r="J723" s="169">
        <f>IF(OR(B723="",C723=""),"",IFERROR(IFERROR(INDEX(Vöruskrá!M:M,MATCH(B723,Vöruskrá!B:B,0)),0)*C723/100000,""))</f>
        <v>1.5965400000000001</v>
      </c>
      <c r="K723" s="169">
        <f>IF(OR(B723="",C723=""),"",IFERROR(IFERROR(INDEX(Vöruskrá!N:N,MATCH(B723,Vöruskrá!B:B,0)),0)*C723/100000,""))</f>
        <v>0</v>
      </c>
      <c r="L723" s="169">
        <f>IF(OR(B723="",C723=""),"",IFERROR(IFERROR(INDEX(Vöruskrá!O:O,MATCH(B723,Vöruskrá!B:B,0)),0)*C723/100000,""))</f>
        <v>7.2570000000000004E-3</v>
      </c>
      <c r="M723" s="169">
        <f>IF(OR(B723="",C723=""),"",IFERROR(IFERROR(INDEX(Vöruskrá!P:P,MATCH(B723,Vöruskrá!B:B,0)),0)*C723/100000,""))</f>
        <v>0.12336899999999999</v>
      </c>
      <c r="N723" s="169">
        <f>IF(OR(B723="",C723=""),"",IFERROR(IFERROR(INDEX(Vöruskrá!Q:Q,MATCH(B723,Vöruskrá!B:B,0)),0)*C723/100000,""))</f>
        <v>0</v>
      </c>
      <c r="O723" s="170">
        <f>IF(OR(B723="",C723=""),"",IFERROR(C723/1000*IFERROR(INDEX(Vöruskrá!R:R,MATCH(B723,Vöruskrá!B:B,0)),0)/1000,""))</f>
        <v>0</v>
      </c>
      <c r="P723" s="171"/>
      <c r="Q723" s="157"/>
      <c r="R723" s="27"/>
    </row>
    <row r="724" spans="1:18" ht="15">
      <c r="A724" s="173"/>
      <c r="B724" s="173" t="s">
        <v>299</v>
      </c>
      <c r="C724" s="174">
        <v>581</v>
      </c>
      <c r="D724" s="168" t="s">
        <v>302</v>
      </c>
      <c r="E724" s="168" t="s">
        <v>134</v>
      </c>
      <c r="F724" s="168" t="s">
        <v>303</v>
      </c>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0.58099999999999996</v>
      </c>
      <c r="N724" s="169">
        <f>IF(OR(B724="",C724=""),"",IFERROR(IFERROR(INDEX(Vöruskrá!Q:Q,MATCH(B724,Vöruskrá!B:B,0)),0)*C724/100000,""))</f>
        <v>0</v>
      </c>
      <c r="O724" s="170">
        <f>IF(OR(B724="",C724=""),"",IFERROR(C724/1000*IFERROR(INDEX(Vöruskrá!R:R,MATCH(B724,Vöruskrá!B:B,0)),0)/1000,""))</f>
        <v>0</v>
      </c>
      <c r="P724" s="173"/>
      <c r="Q724" s="200"/>
      <c r="R724" s="159"/>
    </row>
    <row r="725" spans="1:18" ht="60">
      <c r="A725" s="147" t="s">
        <v>1921</v>
      </c>
      <c r="B725" s="147"/>
      <c r="C725" s="148"/>
      <c r="D725" s="165" t="s">
        <v>1922</v>
      </c>
      <c r="E725" s="165" t="s">
        <v>1099</v>
      </c>
      <c r="F725" s="165"/>
      <c r="G725" s="166">
        <v>7.59</v>
      </c>
      <c r="H725" s="166">
        <v>0.04</v>
      </c>
      <c r="I725" s="166">
        <v>0</v>
      </c>
      <c r="J725" s="166">
        <v>1.59</v>
      </c>
      <c r="K725" s="166"/>
      <c r="L725" s="166">
        <v>0.21</v>
      </c>
      <c r="M725" s="166">
        <v>0</v>
      </c>
      <c r="N725" s="166">
        <f>IFERROR(SUM(N726:N732)/(SUM($C$726:$C$732)/100000),"")</f>
        <v>0.17672199999999999</v>
      </c>
      <c r="O725" s="167" t="str">
        <f>IF(OR(B725="",C725=""),"",IFERROR(C725/1000*IFERROR(INDEX(Vöruskrá!R:R,MATCH(B725,Vöruskrá!B:B,0)),0)/1000,""))</f>
        <v/>
      </c>
      <c r="P725" s="196" t="s">
        <v>1923</v>
      </c>
      <c r="Q725" s="195" t="s">
        <v>1924</v>
      </c>
      <c r="R725" s="194" t="s">
        <v>1925</v>
      </c>
    </row>
    <row r="726" spans="1:18">
      <c r="A726" s="171"/>
      <c r="B726" s="171" t="s">
        <v>1894</v>
      </c>
      <c r="C726" s="172">
        <v>25862</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ht="15">
      <c r="A727" s="173"/>
      <c r="B727" s="173" t="s">
        <v>1489</v>
      </c>
      <c r="C727" s="174">
        <v>34483</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1493</v>
      </c>
      <c r="C728" s="172">
        <v>17241</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627</v>
      </c>
      <c r="C729" s="174">
        <v>8621</v>
      </c>
      <c r="D729" s="168" t="s">
        <v>629</v>
      </c>
      <c r="E729" s="168"/>
      <c r="F729" s="168"/>
      <c r="G729" s="169">
        <f>IF(OR(B729="",C729=""),"",IFERROR(IFERROR(INDEX(Vöruskrá!J:J,MATCH(B729,Vöruskrá!B:B,0)),0)*C729/100000,""))</f>
        <v>4.3105000000000002</v>
      </c>
      <c r="H729" s="169">
        <f>IF(OR(B729="",C729=""),"",IFERROR(IFERROR(INDEX(Vöruskrá!K:K,MATCH(B729,Vöruskrá!B:B,0)),0)*C729/100000,""))</f>
        <v>1.7242E-2</v>
      </c>
      <c r="I729" s="169">
        <f>IF(OR(B729="",C729=""),"",IFERROR(IFERROR(INDEX(Vöruskrá!L:L,MATCH(B729,Vöruskrá!B:B,0)),0)*C729/100000,""))</f>
        <v>0</v>
      </c>
      <c r="J729" s="169">
        <f>IF(OR(B729="",C729=""),"",IFERROR(IFERROR(INDEX(Vöruskrá!M:M,MATCH(B729,Vöruskrá!B:B,0)),0)*C729/100000,""))</f>
        <v>0.8534790000000001</v>
      </c>
      <c r="K729" s="169">
        <f>IF(OR(B729="",C729=""),"",IFERROR(IFERROR(INDEX(Vöruskrá!N:N,MATCH(B729,Vöruskrá!B:B,0)),0)*C729/100000,""))</f>
        <v>0.83623700000000001</v>
      </c>
      <c r="L729" s="169">
        <f>IF(OR(B729="",C729=""),"",IFERROR(IFERROR(INDEX(Vöruskrá!O:O,MATCH(B729,Vöruskrá!B:B,0)),0)*C729/100000,""))</f>
        <v>8.6209999999999995E-2</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500</v>
      </c>
      <c r="C730" s="172">
        <v>8621</v>
      </c>
      <c r="D730" s="168" t="s">
        <v>1129</v>
      </c>
      <c r="E730" s="168" t="s">
        <v>1099</v>
      </c>
      <c r="F730" s="168"/>
      <c r="G730" s="169">
        <f>IF(OR(B730="",C730=""),"",IFERROR(IFERROR(INDEX(Vöruskrá!J:J,MATCH(B730,Vöruskrá!B:B,0)),0)*C730/100000,""))</f>
        <v>1.5517799999999999</v>
      </c>
      <c r="H730" s="169">
        <f>IF(OR(B730="",C730=""),"",IFERROR(IFERROR(INDEX(Vöruskrá!K:K,MATCH(B730,Vöruskrá!B:B,0)),0)*C730/100000,""))</f>
        <v>1.7242E-2</v>
      </c>
      <c r="I730" s="169">
        <f>IF(OR(B730="",C730=""),"",IFERROR(IFERROR(INDEX(Vöruskrá!L:L,MATCH(B730,Vöruskrá!B:B,0)),0)*C730/100000,""))</f>
        <v>0</v>
      </c>
      <c r="J730" s="169">
        <f>IF(OR(B730="",C730=""),"",IFERROR(IFERROR(INDEX(Vöruskrá!M:M,MATCH(B730,Vöruskrá!B:B,0)),0)*C730/100000,""))</f>
        <v>0.33621899999999999</v>
      </c>
      <c r="K730" s="169">
        <f>IF(OR(B730="",C730=""),"",IFERROR(IFERROR(INDEX(Vöruskrá!N:N,MATCH(B730,Vöruskrá!B:B,0)),0)*C730/100000,""))</f>
        <v>0.22414600000000001</v>
      </c>
      <c r="L730" s="169">
        <f>IF(OR(B730="",C730=""),"",IFERROR(IFERROR(INDEX(Vöruskrá!O:O,MATCH(B730,Vöruskrá!B:B,0)),0)*C730/100000,""))</f>
        <v>7.7589000000000005E-2</v>
      </c>
      <c r="M730" s="169">
        <f>IF(OR(B730="",C730=""),"",IFERROR(IFERROR(INDEX(Vöruskrá!P:P,MATCH(B730,Vöruskrá!B:B,0)),0)*C730/100000,""))</f>
        <v>0</v>
      </c>
      <c r="N730" s="169">
        <f>IF(OR(B730="",C730=""),"",IFERROR(IFERROR(INDEX(Vöruskrá!Q:Q,MATCH(B730,Vöruskrá!B:B,0)),0)*C730/100000,""))</f>
        <v>0.10345199999999999</v>
      </c>
      <c r="O730" s="170">
        <f>IF(OR(B730="",C730=""),"",IFERROR(C730/1000*IFERROR(INDEX(Vöruskrá!R:R,MATCH(B730,Vöruskrá!B:B,0)),0)/1000,""))</f>
        <v>0</v>
      </c>
      <c r="P730" s="171"/>
      <c r="Q730" s="158"/>
      <c r="R730" s="6"/>
    </row>
    <row r="731" spans="1:18" ht="15">
      <c r="A731" s="173"/>
      <c r="B731" s="173" t="s">
        <v>1010</v>
      </c>
      <c r="C731" s="174">
        <v>4310</v>
      </c>
      <c r="D731" s="168" t="s">
        <v>1010</v>
      </c>
      <c r="E731" s="168" t="s">
        <v>134</v>
      </c>
      <c r="F731" s="168"/>
      <c r="G731" s="169">
        <f>IF(OR(B731="",C731=""),"",IFERROR(IFERROR(INDEX(Vöruskrá!J:J,MATCH(B731,Vöruskrá!B:B,0)),0)*C731/100000,""))</f>
        <v>1.724</v>
      </c>
      <c r="H731" s="169">
        <f>IF(OR(B731="",C731=""),"",IFERROR(IFERROR(INDEX(Vöruskrá!K:K,MATCH(B731,Vöruskrá!B:B,0)),0)*C731/100000,""))</f>
        <v>4.3099999999999996E-3</v>
      </c>
      <c r="I731" s="169">
        <f>IF(OR(B731="",C731=""),"",IFERROR(IFERROR(INDEX(Vöruskrá!L:L,MATCH(B731,Vöruskrá!B:B,0)),0)*C731/100000,""))</f>
        <v>0</v>
      </c>
      <c r="J731" s="169">
        <f>IF(OR(B731="",C731=""),"",IFERROR(IFERROR(INDEX(Vöruskrá!M:M,MATCH(B731,Vöruskrá!B:B,0)),0)*C731/100000,""))</f>
        <v>0.40083000000000002</v>
      </c>
      <c r="K731" s="169">
        <f>IF(OR(B731="",C731=""),"",IFERROR(IFERROR(INDEX(Vöruskrá!N:N,MATCH(B731,Vöruskrá!B:B,0)),0)*C731/100000,""))</f>
        <v>0.18101999999999999</v>
      </c>
      <c r="L731" s="169">
        <f>IF(OR(B731="",C731=""),"",IFERROR(IFERROR(INDEX(Vöruskrá!O:O,MATCH(B731,Vöruskrá!B:B,0)),0)*C731/100000,""))</f>
        <v>4.7410000000000001E-2</v>
      </c>
      <c r="M731" s="169">
        <f>IF(OR(B731="",C731=""),"",IFERROR(IFERROR(INDEX(Vöruskrá!P:P,MATCH(B731,Vöruskrá!B:B,0)),0)*C731/100000,""))</f>
        <v>0</v>
      </c>
      <c r="N731" s="169">
        <f>IF(OR(B731="",C731=""),"",IFERROR(IFERROR(INDEX(Vöruskrá!Q:Q,MATCH(B731,Vöruskrá!B:B,0)),0)*C731/100000,""))</f>
        <v>7.3270000000000002E-2</v>
      </c>
      <c r="O731" s="170">
        <f>IF(OR(B731="",C731=""),"",IFERROR(C731/1000*IFERROR(INDEX(Vöruskrá!R:R,MATCH(B731,Vöruskrá!B:B,0)),0)/1000,""))</f>
        <v>0</v>
      </c>
      <c r="P731" s="173"/>
      <c r="Q731" s="157"/>
      <c r="R731" s="27"/>
    </row>
    <row r="732" spans="1:18" ht="15">
      <c r="A732" s="171"/>
      <c r="B732" s="171" t="s">
        <v>1492</v>
      </c>
      <c r="C732" s="172">
        <v>862</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200"/>
      <c r="R732" s="159"/>
    </row>
    <row r="733" spans="1:18" ht="48">
      <c r="A733" s="147" t="s">
        <v>1926</v>
      </c>
      <c r="B733" s="147"/>
      <c r="C733" s="148"/>
      <c r="D733" s="165" t="s">
        <v>1927</v>
      </c>
      <c r="E733" s="165" t="s">
        <v>1099</v>
      </c>
      <c r="F733" s="165"/>
      <c r="G733" s="166">
        <v>58.43</v>
      </c>
      <c r="H733" s="166">
        <v>4.04</v>
      </c>
      <c r="I733" s="166">
        <v>3.47</v>
      </c>
      <c r="J733" s="166">
        <v>5.0999999999999996</v>
      </c>
      <c r="K733" s="166"/>
      <c r="L733" s="166">
        <v>0.3</v>
      </c>
      <c r="M733" s="166">
        <v>0.83</v>
      </c>
      <c r="N733" s="166">
        <f>IFERROR(SUM(N734:N740)/(SUM($C$734:$C$740)/100000),"")</f>
        <v>0.31320873582528352</v>
      </c>
      <c r="O733" s="167" t="str">
        <f>IF(OR(B733="",C733=""),"",IFERROR(C733/1000*IFERROR(INDEX(Vöruskrá!R:R,MATCH(B733,Vöruskrá!B:B,0)),0)/1000,""))</f>
        <v/>
      </c>
      <c r="P733" s="196" t="s">
        <v>1928</v>
      </c>
      <c r="Q733" s="199" t="s">
        <v>1929</v>
      </c>
      <c r="R733" s="198" t="s">
        <v>1930</v>
      </c>
    </row>
    <row r="734" spans="1:18">
      <c r="A734" s="171"/>
      <c r="B734" s="171" t="s">
        <v>1894</v>
      </c>
      <c r="C734" s="172">
        <v>32967</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197"/>
      <c r="R734" s="164"/>
    </row>
    <row r="735" spans="1:18">
      <c r="A735" s="173"/>
      <c r="B735" s="173" t="s">
        <v>1734</v>
      </c>
      <c r="C735" s="174">
        <v>32967</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457</v>
      </c>
      <c r="C736" s="172">
        <v>16484</v>
      </c>
      <c r="D736" s="168" t="s">
        <v>459</v>
      </c>
      <c r="E736" s="168" t="s">
        <v>134</v>
      </c>
      <c r="F736" s="168"/>
      <c r="G736" s="169">
        <f>IF(OR(B736="",C736=""),"",IFERROR(IFERROR(INDEX(Vöruskrá!J:J,MATCH(B736,Vöruskrá!B:B,0)),0)*C736/100000,""))</f>
        <v>50.276200000000003</v>
      </c>
      <c r="H736" s="169">
        <f>IF(OR(B736="",C736=""),"",IFERROR(IFERROR(INDEX(Vöruskrá!K:K,MATCH(B736,Vöruskrá!B:B,0)),0)*C736/100000,""))</f>
        <v>3.9561600000000001</v>
      </c>
      <c r="I736" s="169">
        <f>IF(OR(B736="",C736=""),"",IFERROR(IFERROR(INDEX(Vöruskrá!L:L,MATCH(B736,Vöruskrá!B:B,0)),0)*C736/100000,""))</f>
        <v>3.4616400000000001</v>
      </c>
      <c r="J736" s="169">
        <f>IF(OR(B736="",C736=""),"",IFERROR(IFERROR(INDEX(Vöruskrá!M:M,MATCH(B736,Vöruskrá!B:B,0)),0)*C736/100000,""))</f>
        <v>3.6264799999999999</v>
      </c>
      <c r="K736" s="169">
        <f>IF(OR(B736="",C736=""),"",IFERROR(IFERROR(INDEX(Vöruskrá!N:N,MATCH(B736,Vöruskrá!B:B,0)),0)*C736/100000,""))</f>
        <v>0</v>
      </c>
      <c r="L736" s="169">
        <f>IF(OR(B736="",C736=""),"",IFERROR(IFERROR(INDEX(Vöruskrá!O:O,MATCH(B736,Vöruskrá!B:B,0)),0)*C736/100000,""))</f>
        <v>1.6484000000000002E-2</v>
      </c>
      <c r="M736" s="169">
        <f>IF(OR(B736="",C736=""),"",IFERROR(IFERROR(INDEX(Vöruskrá!P:P,MATCH(B736,Vöruskrá!B:B,0)),0)*C736/100000,""))</f>
        <v>0.28022799999999998</v>
      </c>
      <c r="N736" s="169">
        <f>IF(OR(B736="",C736=""),"",IFERROR(IFERROR(INDEX(Vöruskrá!Q:Q,MATCH(B736,Vöruskrá!B:B,0)),0)*C736/100000,""))</f>
        <v>0</v>
      </c>
      <c r="O736" s="170">
        <f>IF(OR(B736="",C736=""),"",IFERROR(C736/1000*IFERROR(INDEX(Vöruskrá!R:R,MATCH(B736,Vöruskrá!B:B,0)),0)/1000,""))</f>
        <v>0</v>
      </c>
      <c r="P736" s="171"/>
      <c r="Q736" s="158"/>
      <c r="R736" s="6"/>
    </row>
    <row r="737" spans="1:18" ht="15">
      <c r="A737" s="173"/>
      <c r="B737" s="173" t="s">
        <v>1116</v>
      </c>
      <c r="C737" s="174">
        <v>5495</v>
      </c>
      <c r="D737" s="168" t="s">
        <v>1117</v>
      </c>
      <c r="E737" s="168" t="s">
        <v>1099</v>
      </c>
      <c r="F737" s="168"/>
      <c r="G737" s="169">
        <f>IF(OR(B737="",C737=""),"",IFERROR(IFERROR(INDEX(Vöruskrá!J:J,MATCH(B737,Vöruskrá!B:B,0)),0)*C737/100000,""))</f>
        <v>1.7034499999999999</v>
      </c>
      <c r="H737" s="169">
        <f>IF(OR(B737="",C737=""),"",IFERROR(IFERROR(INDEX(Vöruskrá!K:K,MATCH(B737,Vöruskrá!B:B,0)),0)*C737/100000,""))</f>
        <v>1.6485E-2</v>
      </c>
      <c r="I737" s="169">
        <f>IF(OR(B737="",C737=""),"",IFERROR(IFERROR(INDEX(Vöruskrá!L:L,MATCH(B737,Vöruskrá!B:B,0)),0)*C737/100000,""))</f>
        <v>0</v>
      </c>
      <c r="J737" s="169">
        <f>IF(OR(B737="",C737=""),"",IFERROR(IFERROR(INDEX(Vöruskrá!M:M,MATCH(B737,Vöruskrá!B:B,0)),0)*C737/100000,""))</f>
        <v>0.32969999999999999</v>
      </c>
      <c r="K737" s="169">
        <f>IF(OR(B737="",C737=""),"",IFERROR(IFERROR(INDEX(Vöruskrá!N:N,MATCH(B737,Vöruskrá!B:B,0)),0)*C737/100000,""))</f>
        <v>0.23079</v>
      </c>
      <c r="L737" s="169">
        <f>IF(OR(B737="",C737=""),"",IFERROR(IFERROR(INDEX(Vöruskrá!O:O,MATCH(B737,Vöruskrá!B:B,0)),0)*C737/100000,""))</f>
        <v>5.4949999999999999E-2</v>
      </c>
      <c r="M737" s="169">
        <f>IF(OR(B737="",C737=""),"",IFERROR(IFERROR(INDEX(Vöruskrá!P:P,MATCH(B737,Vöruskrá!B:B,0)),0)*C737/100000,""))</f>
        <v>0</v>
      </c>
      <c r="N737" s="169">
        <f>IF(OR(B737="",C737=""),"",IFERROR(IFERROR(INDEX(Vöruskrá!Q:Q,MATCH(B737,Vöruskrá!B:B,0)),0)*C737/100000,""))</f>
        <v>0.115395</v>
      </c>
      <c r="O737" s="170">
        <f>IF(OR(B737="",C737=""),"",IFERROR(C737/1000*IFERROR(INDEX(Vöruskrá!R:R,MATCH(B737,Vöruskrá!B:B,0)),0)/1000,""))</f>
        <v>0</v>
      </c>
      <c r="P737" s="173"/>
      <c r="Q737" s="157"/>
      <c r="R737" s="27"/>
    </row>
    <row r="738" spans="1:18" ht="15">
      <c r="A738" s="171"/>
      <c r="B738" s="171" t="s">
        <v>1010</v>
      </c>
      <c r="C738" s="172">
        <v>5495</v>
      </c>
      <c r="D738" s="168" t="s">
        <v>1010</v>
      </c>
      <c r="E738" s="168" t="s">
        <v>134</v>
      </c>
      <c r="F738" s="168"/>
      <c r="G738" s="169">
        <f>IF(OR(B738="",C738=""),"",IFERROR(IFERROR(INDEX(Vöruskrá!J:J,MATCH(B738,Vöruskrá!B:B,0)),0)*C738/100000,""))</f>
        <v>2.198</v>
      </c>
      <c r="H738" s="169">
        <f>IF(OR(B738="",C738=""),"",IFERROR(IFERROR(INDEX(Vöruskrá!K:K,MATCH(B738,Vöruskrá!B:B,0)),0)*C738/100000,""))</f>
        <v>5.4949999999999999E-3</v>
      </c>
      <c r="I738" s="169">
        <f>IF(OR(B738="",C738=""),"",IFERROR(IFERROR(INDEX(Vöruskrá!L:L,MATCH(B738,Vöruskrá!B:B,0)),0)*C738/100000,""))</f>
        <v>0</v>
      </c>
      <c r="J738" s="169">
        <f>IF(OR(B738="",C738=""),"",IFERROR(IFERROR(INDEX(Vöruskrá!M:M,MATCH(B738,Vöruskrá!B:B,0)),0)*C738/100000,""))</f>
        <v>0.51103500000000013</v>
      </c>
      <c r="K738" s="169">
        <f>IF(OR(B738="",C738=""),"",IFERROR(IFERROR(INDEX(Vöruskrá!N:N,MATCH(B738,Vöruskrá!B:B,0)),0)*C738/100000,""))</f>
        <v>0.23079</v>
      </c>
      <c r="L738" s="169">
        <f>IF(OR(B738="",C738=""),"",IFERROR(IFERROR(INDEX(Vöruskrá!O:O,MATCH(B738,Vöruskrá!B:B,0)),0)*C738/100000,""))</f>
        <v>6.0445000000000006E-2</v>
      </c>
      <c r="M738" s="169">
        <f>IF(OR(B738="",C738=""),"",IFERROR(IFERROR(INDEX(Vöruskrá!P:P,MATCH(B738,Vöruskrá!B:B,0)),0)*C738/100000,""))</f>
        <v>0</v>
      </c>
      <c r="N738" s="169">
        <f>IF(OR(B738="",C738=""),"",IFERROR(IFERROR(INDEX(Vöruskrá!Q:Q,MATCH(B738,Vöruskrá!B:B,0)),0)*C738/100000,""))</f>
        <v>9.3414999999999998E-2</v>
      </c>
      <c r="O738" s="170">
        <f>IF(OR(B738="",C738=""),"",IFERROR(C738/1000*IFERROR(INDEX(Vöruskrá!R:R,MATCH(B738,Vöruskrá!B:B,0)),0)/1000,""))</f>
        <v>0</v>
      </c>
      <c r="P738" s="171"/>
      <c r="Q738" s="158"/>
      <c r="R738" s="6"/>
    </row>
    <row r="739" spans="1:18" ht="15">
      <c r="A739" s="173"/>
      <c r="B739" s="173" t="s">
        <v>489</v>
      </c>
      <c r="C739" s="174">
        <v>1099</v>
      </c>
      <c r="D739" s="168" t="s">
        <v>490</v>
      </c>
      <c r="E739" s="168" t="s">
        <v>134</v>
      </c>
      <c r="F739" s="168" t="s">
        <v>311</v>
      </c>
      <c r="G739" s="169">
        <f>IF(OR(B739="",C739=""),"",IFERROR(IFERROR(INDEX(Vöruskrá!J:J,MATCH(B739,Vöruskrá!B:B,0)),0)*C739/100000,""))</f>
        <v>2.4397799999999998</v>
      </c>
      <c r="H739" s="169">
        <f>IF(OR(B739="",C739=""),"",IFERROR(IFERROR(INDEX(Vöruskrá!K:K,MATCH(B739,Vöruskrá!B:B,0)),0)*C739/100000,""))</f>
        <v>6.5939999999999999E-2</v>
      </c>
      <c r="I739" s="169">
        <f>IF(OR(B739="",C739=""),"",IFERROR(IFERROR(INDEX(Vöruskrá!L:L,MATCH(B739,Vöruskrá!B:B,0)),0)*C739/100000,""))</f>
        <v>9.8910000000000005E-3</v>
      </c>
      <c r="J739" s="169">
        <f>IF(OR(B739="",C739=""),"",IFERROR(IFERROR(INDEX(Vöruskrá!M:M,MATCH(B739,Vöruskrá!B:B,0)),0)*C739/100000,""))</f>
        <v>0.32969999999999999</v>
      </c>
      <c r="K739" s="169">
        <f>IF(OR(B739="",C739=""),"",IFERROR(IFERROR(INDEX(Vöruskrá!N:N,MATCH(B739,Vöruskrá!B:B,0)),0)*C739/100000,""))</f>
        <v>5.0553999999999995E-2</v>
      </c>
      <c r="L739" s="169">
        <f>IF(OR(B739="",C739=""),"",IFERROR(IFERROR(INDEX(Vöruskrá!O:O,MATCH(B739,Vöruskrá!B:B,0)),0)*C739/100000,""))</f>
        <v>7.8029000000000001E-2</v>
      </c>
      <c r="M739" s="169">
        <f>IF(OR(B739="",C739=""),"",IFERROR(IFERROR(INDEX(Vöruskrá!P:P,MATCH(B739,Vöruskrá!B:B,0)),0)*C739/100000,""))</f>
        <v>0.49454999999999999</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420</v>
      </c>
      <c r="C740" s="172">
        <v>5495</v>
      </c>
      <c r="D740" s="168" t="s">
        <v>421</v>
      </c>
      <c r="E740" s="168" t="s">
        <v>134</v>
      </c>
      <c r="F740" s="168"/>
      <c r="G740" s="169">
        <f>IF(OR(B740="",C740=""),"",IFERROR(IFERROR(INDEX(Vöruskrá!J:J,MATCH(B740,Vöruskrá!B:B,0)),0)*C740/100000,""))</f>
        <v>1.81335</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0.30222500000000002</v>
      </c>
      <c r="K740" s="169">
        <f>IF(OR(B740="",C740=""),"",IFERROR(IFERROR(INDEX(Vöruskrá!N:N,MATCH(B740,Vöruskrá!B:B,0)),0)*C740/100000,""))</f>
        <v>0.26375999999999999</v>
      </c>
      <c r="L740" s="169">
        <f>IF(OR(B740="",C740=""),"",IFERROR(IFERROR(INDEX(Vöruskrá!O:O,MATCH(B740,Vöruskrá!B:B,0)),0)*C740/100000,""))</f>
        <v>8.7919999999999998E-2</v>
      </c>
      <c r="M740" s="169">
        <f>IF(OR(B740="",C740=""),"",IFERROR(IFERROR(INDEX(Vöruskrá!P:P,MATCH(B740,Vöruskrá!B:B,0)),0)*C740/100000,""))</f>
        <v>5.4949999999999999E-2</v>
      </c>
      <c r="N740" s="169">
        <f>IF(OR(B740="",C740=""),"",IFERROR(IFERROR(INDEX(Vöruskrá!Q:Q,MATCH(B740,Vöruskrá!B:B,0)),0)*C740/100000,""))</f>
        <v>0.104405</v>
      </c>
      <c r="O740" s="170">
        <f>IF(OR(B740="",C740=""),"",IFERROR(C740/1000*IFERROR(INDEX(Vöruskrá!R:R,MATCH(B740,Vöruskrá!B:B,0)),0)/1000,""))</f>
        <v>0</v>
      </c>
      <c r="P740" s="171"/>
      <c r="Q740" s="200"/>
      <c r="R740" s="159"/>
    </row>
    <row r="741" spans="1:18" ht="60">
      <c r="A741" s="147" t="s">
        <v>1931</v>
      </c>
      <c r="B741" s="147"/>
      <c r="C741" s="148"/>
      <c r="D741" s="165" t="s">
        <v>1932</v>
      </c>
      <c r="E741" s="165" t="s">
        <v>1933</v>
      </c>
      <c r="F741" s="165"/>
      <c r="G741" s="166">
        <v>87.66</v>
      </c>
      <c r="H741" s="166">
        <v>4.33</v>
      </c>
      <c r="I741" s="166">
        <v>0.35</v>
      </c>
      <c r="J741" s="166">
        <v>4.55</v>
      </c>
      <c r="K741" s="166"/>
      <c r="L741" s="166">
        <v>6.44</v>
      </c>
      <c r="M741" s="166">
        <v>1.74</v>
      </c>
      <c r="N741" s="166">
        <f>IFERROR(SUM(N742:N752)/(SUM($C$742:$C$752)/100000),"")</f>
        <v>1.6819999999999999</v>
      </c>
      <c r="O741" s="167" t="str">
        <f>IF(OR(B741="",C741=""),"",IFERROR(C741/1000*IFERROR(INDEX(Vöruskrá!R:R,MATCH(B741,Vöruskrá!B:B,0)),0)/1000,""))</f>
        <v/>
      </c>
      <c r="P741" s="196" t="s">
        <v>1934</v>
      </c>
      <c r="Q741" s="195" t="s">
        <v>1935</v>
      </c>
      <c r="R741" s="194" t="s">
        <v>1936</v>
      </c>
    </row>
    <row r="742" spans="1:18" ht="15">
      <c r="A742" s="171"/>
      <c r="B742" s="171" t="s">
        <v>376</v>
      </c>
      <c r="C742" s="172">
        <v>40000</v>
      </c>
      <c r="D742" s="168" t="s">
        <v>377</v>
      </c>
      <c r="E742" s="168" t="s">
        <v>213</v>
      </c>
      <c r="F742" s="168"/>
      <c r="G742" s="169">
        <f>IF(OR(B742="",C742=""),"",IFERROR(IFERROR(INDEX(Vöruskrá!J:J,MATCH(B742,Vöruskrá!B:B,0)),0)*C742/100000,""))</f>
        <v>52.4</v>
      </c>
      <c r="H742" s="169">
        <f>IF(OR(B742="",C742=""),"",IFERROR(IFERROR(INDEX(Vöruskrá!K:K,MATCH(B742,Vöruskrá!B:B,0)),0)*C742/100000,""))</f>
        <v>2.88</v>
      </c>
      <c r="I742" s="169">
        <f>IF(OR(B742="",C742=""),"",IFERROR(IFERROR(INDEX(Vöruskrá!L:L,MATCH(B742,Vöruskrá!B:B,0)),0)*C742/100000,""))</f>
        <v>0.2</v>
      </c>
      <c r="J742" s="169">
        <f>IF(OR(B742="",C742=""),"",IFERROR(IFERROR(INDEX(Vöruskrá!M:M,MATCH(B742,Vöruskrá!B:B,0)),0)*C742/100000,""))</f>
        <v>0.56000000000000005</v>
      </c>
      <c r="K742" s="169">
        <f>IF(OR(B742="",C742=""),"",IFERROR(IFERROR(INDEX(Vöruskrá!N:N,MATCH(B742,Vöruskrá!B:B,0)),0)*C742/100000,""))</f>
        <v>0.24</v>
      </c>
      <c r="L742" s="169">
        <f>IF(OR(B742="",C742=""),"",IFERROR(IFERROR(INDEX(Vöruskrá!O:O,MATCH(B742,Vöruskrá!B:B,0)),0)*C742/100000,""))</f>
        <v>5.2</v>
      </c>
      <c r="M742" s="169">
        <f>IF(OR(B742="",C742=""),"",IFERROR(IFERROR(INDEX(Vöruskrá!P:P,MATCH(B742,Vöruskrá!B:B,0)),0)*C742/100000,""))</f>
        <v>0.36</v>
      </c>
      <c r="N742" s="169">
        <f>IF(OR(B742="",C742=""),"",IFERROR(IFERROR(INDEX(Vöruskrá!Q:Q,MATCH(B742,Vöruskrá!B:B,0)),0)*C742/100000,""))</f>
        <v>1.68</v>
      </c>
      <c r="O742" s="170">
        <f>IF(OR(B742="",C742=""),"",IFERROR(C742/1000*IFERROR(INDEX(Vöruskrá!R:R,MATCH(B742,Vöruskrá!B:B,0)),0)/1000,""))</f>
        <v>0</v>
      </c>
      <c r="P742" s="171"/>
      <c r="Q742" s="197"/>
      <c r="R742" s="164"/>
    </row>
    <row r="743" spans="1:18" ht="15">
      <c r="A743" s="173"/>
      <c r="B743" s="173" t="s">
        <v>743</v>
      </c>
      <c r="C743" s="174">
        <v>33300</v>
      </c>
      <c r="D743" s="168" t="s">
        <v>745</v>
      </c>
      <c r="E743" s="168"/>
      <c r="F743" s="168"/>
      <c r="G743" s="169">
        <f>IF(OR(B743="",C743=""),"",IFERROR(IFERROR(INDEX(Vöruskrá!J:J,MATCH(B743,Vöruskrá!B:B,0)),0)*C743/100000,""))</f>
        <v>9.3239999999999998</v>
      </c>
      <c r="H743" s="169">
        <f>IF(OR(B743="",C743=""),"",IFERROR(IFERROR(INDEX(Vöruskrá!K:K,MATCH(B743,Vöruskrá!B:B,0)),0)*C743/100000,""))</f>
        <v>3.3300000000000003E-2</v>
      </c>
      <c r="I743" s="169">
        <f>IF(OR(B743="",C743=""),"",IFERROR(IFERROR(INDEX(Vöruskrá!L:L,MATCH(B743,Vöruskrá!B:B,0)),0)*C743/100000,""))</f>
        <v>0</v>
      </c>
      <c r="J743" s="169">
        <f>IF(OR(B743="",C743=""),"",IFERROR(IFERROR(INDEX(Vöruskrá!M:M,MATCH(B743,Vöruskrá!B:B,0)),0)*C743/100000,""))</f>
        <v>1.665</v>
      </c>
      <c r="K743" s="169">
        <f>IF(OR(B743="",C743=""),"",IFERROR(IFERROR(INDEX(Vöruskrá!N:N,MATCH(B743,Vöruskrá!B:B,0)),0)*C743/100000,""))</f>
        <v>1.1322000000000001</v>
      </c>
      <c r="L743" s="169">
        <f>IF(OR(B743="",C743=""),"",IFERROR(IFERROR(INDEX(Vöruskrá!O:O,MATCH(B743,Vöruskrá!B:B,0)),0)*C743/100000,""))</f>
        <v>0.4995</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504</v>
      </c>
      <c r="C744" s="172">
        <v>5000</v>
      </c>
      <c r="D744" s="168" t="s">
        <v>500</v>
      </c>
      <c r="E744" s="168" t="s">
        <v>134</v>
      </c>
      <c r="F744" s="168"/>
      <c r="G744" s="169">
        <f>IF(OR(B744="",C744=""),"",IFERROR(IFERROR(INDEX(Vöruskrá!J:J,MATCH(B744,Vöruskrá!B:B,0)),0)*C744/100000,""))</f>
        <v>5.65</v>
      </c>
      <c r="H744" s="169">
        <f>IF(OR(B744="",C744=""),"",IFERROR(IFERROR(INDEX(Vöruskrá!K:K,MATCH(B744,Vöruskrá!B:B,0)),0)*C744/100000,""))</f>
        <v>0.02</v>
      </c>
      <c r="I744" s="169">
        <f>IF(OR(B744="",C744=""),"",IFERROR(IFERROR(INDEX(Vöruskrá!L:L,MATCH(B744,Vöruskrá!B:B,0)),0)*C744/100000,""))</f>
        <v>0</v>
      </c>
      <c r="J744" s="169">
        <f>IF(OR(B744="",C744=""),"",IFERROR(IFERROR(INDEX(Vöruskrá!M:M,MATCH(B744,Vöruskrá!B:B,0)),0)*C744/100000,""))</f>
        <v>0.95</v>
      </c>
      <c r="K744" s="169">
        <f>IF(OR(B744="",C744=""),"",IFERROR(IFERROR(INDEX(Vöruskrá!N:N,MATCH(B744,Vöruskrá!B:B,0)),0)*C744/100000,""))</f>
        <v>0.7</v>
      </c>
      <c r="L744" s="169">
        <f>IF(OR(B744="",C744=""),"",IFERROR(IFERROR(INDEX(Vöruskrá!O:O,MATCH(B744,Vöruskrá!B:B,0)),0)*C744/100000,""))</f>
        <v>0.3</v>
      </c>
      <c r="M744" s="169">
        <f>IF(OR(B744="",C744=""),"",IFERROR(IFERROR(INDEX(Vöruskrá!P:P,MATCH(B744,Vöruskrá!B:B,0)),0)*C744/100000,""))</f>
        <v>5.0000000000000001E-3</v>
      </c>
      <c r="N744" s="169">
        <f>IF(OR(B744="",C744=""),"",IFERROR(IFERROR(INDEX(Vöruskrá!Q:Q,MATCH(B744,Vöruskrá!B:B,0)),0)*C744/100000,""))</f>
        <v>0</v>
      </c>
      <c r="O744" s="170">
        <f>IF(OR(B744="",C744=""),"",IFERROR(C744/1000*IFERROR(INDEX(Vöruskrá!R:R,MATCH(B744,Vöruskrá!B:B,0)),0)/1000,""))</f>
        <v>0</v>
      </c>
      <c r="P744" s="171"/>
      <c r="Q744" s="158"/>
      <c r="R744" s="6"/>
    </row>
    <row r="745" spans="1:18" ht="15">
      <c r="A745" s="173"/>
      <c r="B745" s="173" t="s">
        <v>247</v>
      </c>
      <c r="C745" s="174">
        <v>6700</v>
      </c>
      <c r="D745" s="168" t="s">
        <v>251</v>
      </c>
      <c r="E745" s="168" t="s">
        <v>252</v>
      </c>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1072</v>
      </c>
      <c r="C746" s="172">
        <v>2000</v>
      </c>
      <c r="D746" s="168" t="s">
        <v>1075</v>
      </c>
      <c r="E746" s="168" t="s">
        <v>252</v>
      </c>
      <c r="F746" s="168"/>
      <c r="G746" s="169">
        <f>IF(OR(B746="",C746=""),"",IFERROR(IFERROR(INDEX(Vöruskrá!J:J,MATCH(B746,Vöruskrá!B:B,0)),0)*C746/100000,""))</f>
        <v>4.74</v>
      </c>
      <c r="H746" s="169">
        <f>IF(OR(B746="",C746=""),"",IFERROR(IFERROR(INDEX(Vöruskrá!K:K,MATCH(B746,Vöruskrá!B:B,0)),0)*C746/100000,""))</f>
        <v>2.4E-2</v>
      </c>
      <c r="I746" s="169">
        <f>IF(OR(B746="",C746=""),"",IFERROR(IFERROR(INDEX(Vöruskrá!L:L,MATCH(B746,Vöruskrá!B:B,0)),0)*C746/100000,""))</f>
        <v>2E-3</v>
      </c>
      <c r="J746" s="169">
        <f>IF(OR(B746="",C746=""),"",IFERROR(IFERROR(INDEX(Vöruskrá!M:M,MATCH(B746,Vöruskrá!B:B,0)),0)*C746/100000,""))</f>
        <v>0.82</v>
      </c>
      <c r="K746" s="169">
        <f>IF(OR(B746="",C746=""),"",IFERROR(IFERROR(INDEX(Vöruskrá!N:N,MATCH(B746,Vöruskrá!B:B,0)),0)*C746/100000,""))</f>
        <v>0.57599999999999996</v>
      </c>
      <c r="L746" s="169">
        <f>IF(OR(B746="",C746=""),"",IFERROR(IFERROR(INDEX(Vöruskrá!O:O,MATCH(B746,Vöruskrá!B:B,0)),0)*C746/100000,""))</f>
        <v>0.312</v>
      </c>
      <c r="M746" s="169">
        <f>IF(OR(B746="",C746=""),"",IFERROR(IFERROR(INDEX(Vöruskrá!P:P,MATCH(B746,Vöruskrá!B:B,0)),0)*C746/100000,""))</f>
        <v>0.7</v>
      </c>
      <c r="N746" s="169">
        <f>IF(OR(B746="",C746=""),"",IFERROR(IFERROR(INDEX(Vöruskrá!Q:Q,MATCH(B746,Vöruskrá!B:B,0)),0)*C746/100000,""))</f>
        <v>2E-3</v>
      </c>
      <c r="O746" s="170">
        <f>IF(OR(B746="",C746=""),"",IFERROR(C746/1000*IFERROR(INDEX(Vöruskrá!R:R,MATCH(B746,Vöruskrá!B:B,0)),0)/1000,""))</f>
        <v>0</v>
      </c>
      <c r="P746" s="171"/>
      <c r="Q746" s="158"/>
      <c r="R746" s="6"/>
    </row>
    <row r="747" spans="1:18" ht="15">
      <c r="A747" s="173"/>
      <c r="B747" s="173" t="s">
        <v>574</v>
      </c>
      <c r="C747" s="174">
        <v>830</v>
      </c>
      <c r="D747" s="168" t="s">
        <v>576</v>
      </c>
      <c r="E747" s="168" t="s">
        <v>577</v>
      </c>
      <c r="F747" s="168"/>
      <c r="G747" s="169">
        <f>IF(OR(B747="",C747=""),"",IFERROR(IFERROR(INDEX(Vöruskrá!J:J,MATCH(B747,Vöruskrá!B:B,0)),0)*C747/100000,""))</f>
        <v>1.2699</v>
      </c>
      <c r="H747" s="169">
        <f>IF(OR(B747="",C747=""),"",IFERROR(IFERROR(INDEX(Vöruskrá!K:K,MATCH(B747,Vöruskrá!B:B,0)),0)*C747/100000,""))</f>
        <v>3.4860000000000002E-2</v>
      </c>
      <c r="I747" s="169">
        <f>IF(OR(B747="",C747=""),"",IFERROR(IFERROR(INDEX(Vöruskrá!L:L,MATCH(B747,Vöruskrá!B:B,0)),0)*C747/100000,""))</f>
        <v>0</v>
      </c>
      <c r="J747" s="169">
        <f>IF(OR(B747="",C747=""),"",IFERROR(IFERROR(INDEX(Vöruskrá!M:M,MATCH(B747,Vöruskrá!B:B,0)),0)*C747/100000,""))</f>
        <v>0.19422</v>
      </c>
      <c r="K747" s="169">
        <f>IF(OR(B747="",C747=""),"",IFERROR(IFERROR(INDEX(Vöruskrá!N:N,MATCH(B747,Vöruskrá!B:B,0)),0)*C747/100000,""))</f>
        <v>0</v>
      </c>
      <c r="L747" s="169">
        <f>IF(OR(B747="",C747=""),"",IFERROR(IFERROR(INDEX(Vöruskrá!O:O,MATCH(B747,Vöruskrá!B:B,0)),0)*C747/100000,""))</f>
        <v>4.233E-2</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1018</v>
      </c>
      <c r="C748" s="172">
        <v>1300</v>
      </c>
      <c r="D748" s="168" t="s">
        <v>1018</v>
      </c>
      <c r="E748" s="168" t="s">
        <v>134</v>
      </c>
      <c r="F748" s="168"/>
      <c r="G748" s="169">
        <f>IF(OR(B748="",C748=""),"",IFERROR(IFERROR(INDEX(Vöruskrá!J:J,MATCH(B748,Vöruskrá!B:B,0)),0)*C748/100000,""))</f>
        <v>11.7</v>
      </c>
      <c r="H748" s="169">
        <f>IF(OR(B748="",C748=""),"",IFERROR(IFERROR(INDEX(Vöruskrá!K:K,MATCH(B748,Vöruskrá!B:B,0)),0)*C748/100000,""))</f>
        <v>1.3</v>
      </c>
      <c r="I748" s="169">
        <f>IF(OR(B748="",C748=""),"",IFERROR(IFERROR(INDEX(Vöruskrá!L:L,MATCH(B748,Vöruskrá!B:B,0)),0)*C748/100000,""))</f>
        <v>0.14299999999999999</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299</v>
      </c>
      <c r="C749" s="174">
        <v>670</v>
      </c>
      <c r="D749" s="168" t="s">
        <v>302</v>
      </c>
      <c r="E749" s="168" t="s">
        <v>134</v>
      </c>
      <c r="F749" s="168" t="s">
        <v>303</v>
      </c>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0.67</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819</v>
      </c>
      <c r="C750" s="172">
        <v>133</v>
      </c>
      <c r="D750" s="168" t="s">
        <v>820</v>
      </c>
      <c r="E750" s="168"/>
      <c r="F750" s="168" t="s">
        <v>311</v>
      </c>
      <c r="G750" s="169">
        <f>IF(OR(B750="",C750=""),"",IFERROR(IFERROR(INDEX(Vöruskrá!J:J,MATCH(B750,Vöruskrá!B:B,0)),0)*C750/100000,""))</f>
        <v>0.51337999999999995</v>
      </c>
      <c r="H750" s="169">
        <f>IF(OR(B750="",C750=""),"",IFERROR(IFERROR(INDEX(Vöruskrá!K:K,MATCH(B750,Vöruskrá!B:B,0)),0)*C750/100000,""))</f>
        <v>4.3889999999999997E-3</v>
      </c>
      <c r="I750" s="169">
        <f>IF(OR(B750="",C750=""),"",IFERROR(IFERROR(INDEX(Vöruskrá!L:L,MATCH(B750,Vöruskrá!B:B,0)),0)*C750/100000,""))</f>
        <v>1.33E-3</v>
      </c>
      <c r="J750" s="169">
        <f>IF(OR(B750="",C750=""),"",IFERROR(IFERROR(INDEX(Vöruskrá!M:M,MATCH(B750,Vöruskrá!B:B,0)),0)*C750/100000,""))</f>
        <v>8.6449999999999999E-2</v>
      </c>
      <c r="K750" s="169">
        <f>IF(OR(B750="",C750=""),"",IFERROR(IFERROR(INDEX(Vöruskrá!N:N,MATCH(B750,Vöruskrá!B:B,0)),0)*C750/100000,""))</f>
        <v>7.9799999999999999E-4</v>
      </c>
      <c r="L750" s="169">
        <f>IF(OR(B750="",C750=""),"",IFERROR(IFERROR(INDEX(Vöruskrá!O:O,MATCH(B750,Vöruskrá!B:B,0)),0)*C750/100000,""))</f>
        <v>1.4630000000000001E-2</v>
      </c>
      <c r="M750" s="169">
        <f>IF(OR(B750="",C750=""),"",IFERROR(IFERROR(INDEX(Vöruskrá!P:P,MATCH(B750,Vöruskrá!B:B,0)),0)*C750/100000,""))</f>
        <v>1.3300000000000001E-4</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815</v>
      </c>
      <c r="C751" s="174">
        <v>67</v>
      </c>
      <c r="D751" s="168" t="s">
        <v>816</v>
      </c>
      <c r="E751" s="168"/>
      <c r="F751" s="168" t="s">
        <v>311</v>
      </c>
      <c r="G751" s="169">
        <f>IF(OR(B751="",C751=""),"",IFERROR(IFERROR(INDEX(Vöruskrá!J:J,MATCH(B751,Vöruskrá!B:B,0)),0)*C751/100000,""))</f>
        <v>0.3216</v>
      </c>
      <c r="H751" s="169">
        <f>IF(OR(B751="",C751=""),"",IFERROR(IFERROR(INDEX(Vöruskrá!K:K,MATCH(B751,Vöruskrá!B:B,0)),0)*C751/100000,""))</f>
        <v>6.7000000000000002E-3</v>
      </c>
      <c r="I751" s="169">
        <f>IF(OR(B751="",C751=""),"",IFERROR(IFERROR(INDEX(Vöruskrá!L:L,MATCH(B751,Vöruskrá!B:B,0)),0)*C751/100000,""))</f>
        <v>1.8090000000000001E-3</v>
      </c>
      <c r="J751" s="169">
        <f>IF(OR(B751="",C751=""),"",IFERROR(IFERROR(INDEX(Vöruskrá!M:M,MATCH(B751,Vöruskrá!B:B,0)),0)*C751/100000,""))</f>
        <v>4.2880000000000001E-2</v>
      </c>
      <c r="K751" s="169">
        <f>IF(OR(B751="",C751=""),"",IFERROR(IFERROR(INDEX(Vöruskrá!N:N,MATCH(B751,Vöruskrá!B:B,0)),0)*C751/100000,""))</f>
        <v>2.7469999999999999E-3</v>
      </c>
      <c r="L751" s="169">
        <f>IF(OR(B751="",C751=""),"",IFERROR(IFERROR(INDEX(Vöruskrá!O:O,MATCH(B751,Vöruskrá!B:B,0)),0)*C751/100000,""))</f>
        <v>7.3699999999999998E-3</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1020</v>
      </c>
      <c r="C752" s="172">
        <v>10000</v>
      </c>
      <c r="D752" s="168" t="s">
        <v>1020</v>
      </c>
      <c r="E752" s="168" t="s">
        <v>134</v>
      </c>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200"/>
      <c r="R752" s="159"/>
    </row>
    <row r="753" spans="1:18" ht="48">
      <c r="A753" s="147" t="s">
        <v>1937</v>
      </c>
      <c r="B753" s="147"/>
      <c r="C753" s="148"/>
      <c r="D753" s="165" t="s">
        <v>1938</v>
      </c>
      <c r="E753" s="165" t="s">
        <v>1099</v>
      </c>
      <c r="F753" s="165"/>
      <c r="G753" s="166">
        <v>8.23</v>
      </c>
      <c r="H753" s="166">
        <v>0.05</v>
      </c>
      <c r="I753" s="166">
        <v>0</v>
      </c>
      <c r="J753" s="166">
        <v>1.64</v>
      </c>
      <c r="K753" s="166"/>
      <c r="L753" s="166">
        <v>0.22</v>
      </c>
      <c r="M753" s="166">
        <v>0.55000000000000004</v>
      </c>
      <c r="N753" s="166">
        <f>IFERROR(SUM(N754:N760)/(SUM($C$754:$C$760)/100000),"")</f>
        <v>0.18232500000000001</v>
      </c>
      <c r="O753" s="167" t="str">
        <f>IF(OR(B753="",C753=""),"",IFERROR(C753/1000*IFERROR(INDEX(Vöruskrá!R:R,MATCH(B753,Vöruskrá!B:B,0)),0)/1000,""))</f>
        <v/>
      </c>
      <c r="P753" s="196" t="s">
        <v>1939</v>
      </c>
      <c r="Q753" s="199" t="s">
        <v>1940</v>
      </c>
      <c r="R753" s="198" t="s">
        <v>1941</v>
      </c>
    </row>
    <row r="754" spans="1:18">
      <c r="A754" s="171"/>
      <c r="B754" s="171" t="s">
        <v>1894</v>
      </c>
      <c r="C754" s="172">
        <v>33149</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c r="A755" s="173"/>
      <c r="B755" s="173" t="s">
        <v>1734</v>
      </c>
      <c r="C755" s="174">
        <v>33149</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1493</v>
      </c>
      <c r="C756" s="172">
        <v>11050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58"/>
      <c r="R756" s="6"/>
    </row>
    <row r="757" spans="1:18" ht="15">
      <c r="A757" s="173"/>
      <c r="B757" s="173" t="s">
        <v>627</v>
      </c>
      <c r="C757" s="174">
        <v>11050</v>
      </c>
      <c r="D757" s="168" t="s">
        <v>629</v>
      </c>
      <c r="E757" s="168"/>
      <c r="F757" s="168"/>
      <c r="G757" s="169">
        <f>IF(OR(B757="",C757=""),"",IFERROR(IFERROR(INDEX(Vöruskrá!J:J,MATCH(B757,Vöruskrá!B:B,0)),0)*C757/100000,""))</f>
        <v>5.5250000000000004</v>
      </c>
      <c r="H757" s="169">
        <f>IF(OR(B757="",C757=""),"",IFERROR(IFERROR(INDEX(Vöruskrá!K:K,MATCH(B757,Vöruskrá!B:B,0)),0)*C757/100000,""))</f>
        <v>2.2100000000000002E-2</v>
      </c>
      <c r="I757" s="169">
        <f>IF(OR(B757="",C757=""),"",IFERROR(IFERROR(INDEX(Vöruskrá!L:L,MATCH(B757,Vöruskrá!B:B,0)),0)*C757/100000,""))</f>
        <v>0</v>
      </c>
      <c r="J757" s="169">
        <f>IF(OR(B757="",C757=""),"",IFERROR(IFERROR(INDEX(Vöruskrá!M:M,MATCH(B757,Vöruskrá!B:B,0)),0)*C757/100000,""))</f>
        <v>1.09395</v>
      </c>
      <c r="K757" s="169">
        <f>IF(OR(B757="",C757=""),"",IFERROR(IFERROR(INDEX(Vöruskrá!N:N,MATCH(B757,Vöruskrá!B:B,0)),0)*C757/100000,""))</f>
        <v>1.0718499999999997</v>
      </c>
      <c r="L757" s="169">
        <f>IF(OR(B757="",C757=""),"",IFERROR(IFERROR(INDEX(Vöruskrá!O:O,MATCH(B757,Vöruskrá!B:B,0)),0)*C757/100000,""))</f>
        <v>0.1105</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500</v>
      </c>
      <c r="C758" s="172">
        <v>5525</v>
      </c>
      <c r="D758" s="168" t="s">
        <v>1129</v>
      </c>
      <c r="E758" s="168" t="s">
        <v>1099</v>
      </c>
      <c r="F758" s="168"/>
      <c r="G758" s="169">
        <f>IF(OR(B758="",C758=""),"",IFERROR(IFERROR(INDEX(Vöruskrá!J:J,MATCH(B758,Vöruskrá!B:B,0)),0)*C758/100000,""))</f>
        <v>0.99450000000000005</v>
      </c>
      <c r="H758" s="169">
        <f>IF(OR(B758="",C758=""),"",IFERROR(IFERROR(INDEX(Vöruskrá!K:K,MATCH(B758,Vöruskrá!B:B,0)),0)*C758/100000,""))</f>
        <v>1.1050000000000001E-2</v>
      </c>
      <c r="I758" s="169">
        <f>IF(OR(B758="",C758=""),"",IFERROR(IFERROR(INDEX(Vöruskrá!L:L,MATCH(B758,Vöruskrá!B:B,0)),0)*C758/100000,""))</f>
        <v>0</v>
      </c>
      <c r="J758" s="169">
        <f>IF(OR(B758="",C758=""),"",IFERROR(IFERROR(INDEX(Vöruskrá!M:M,MATCH(B758,Vöruskrá!B:B,0)),0)*C758/100000,""))</f>
        <v>0.215475</v>
      </c>
      <c r="K758" s="169">
        <f>IF(OR(B758="",C758=""),"",IFERROR(IFERROR(INDEX(Vöruskrá!N:N,MATCH(B758,Vöruskrá!B:B,0)),0)*C758/100000,""))</f>
        <v>0.14365</v>
      </c>
      <c r="L758" s="169">
        <f>IF(OR(B758="",C758=""),"",IFERROR(IFERROR(INDEX(Vöruskrá!O:O,MATCH(B758,Vöruskrá!B:B,0)),0)*C758/100000,""))</f>
        <v>4.9724999999999998E-2</v>
      </c>
      <c r="M758" s="169">
        <f>IF(OR(B758="",C758=""),"",IFERROR(IFERROR(INDEX(Vöruskrá!P:P,MATCH(B758,Vöruskrá!B:B,0)),0)*C758/100000,""))</f>
        <v>0</v>
      </c>
      <c r="N758" s="169">
        <f>IF(OR(B758="",C758=""),"",IFERROR(IFERROR(INDEX(Vöruskrá!Q:Q,MATCH(B758,Vöruskrá!B:B,0)),0)*C758/100000,""))</f>
        <v>6.6299999999999998E-2</v>
      </c>
      <c r="O758" s="170">
        <f>IF(OR(B758="",C758=""),"",IFERROR(C758/1000*IFERROR(INDEX(Vöruskrá!R:R,MATCH(B758,Vöruskrá!B:B,0)),0)/1000,""))</f>
        <v>0</v>
      </c>
      <c r="P758" s="171"/>
      <c r="Q758" s="158"/>
      <c r="R758" s="6"/>
    </row>
    <row r="759" spans="1:18" ht="15">
      <c r="A759" s="173"/>
      <c r="B759" s="173" t="s">
        <v>1116</v>
      </c>
      <c r="C759" s="174">
        <v>5525</v>
      </c>
      <c r="D759" s="168" t="s">
        <v>1117</v>
      </c>
      <c r="E759" s="168" t="s">
        <v>1099</v>
      </c>
      <c r="F759" s="168"/>
      <c r="G759" s="169">
        <f>IF(OR(B759="",C759=""),"",IFERROR(IFERROR(INDEX(Vöruskrá!J:J,MATCH(B759,Vöruskrá!B:B,0)),0)*C759/100000,""))</f>
        <v>1.71275</v>
      </c>
      <c r="H759" s="169">
        <f>IF(OR(B759="",C759=""),"",IFERROR(IFERROR(INDEX(Vöruskrá!K:K,MATCH(B759,Vöruskrá!B:B,0)),0)*C759/100000,""))</f>
        <v>1.6574999999999999E-2</v>
      </c>
      <c r="I759" s="169">
        <f>IF(OR(B759="",C759=""),"",IFERROR(IFERROR(INDEX(Vöruskrá!L:L,MATCH(B759,Vöruskrá!B:B,0)),0)*C759/100000,""))</f>
        <v>0</v>
      </c>
      <c r="J759" s="169">
        <f>IF(OR(B759="",C759=""),"",IFERROR(IFERROR(INDEX(Vöruskrá!M:M,MATCH(B759,Vöruskrá!B:B,0)),0)*C759/100000,""))</f>
        <v>0.33150000000000002</v>
      </c>
      <c r="K759" s="169">
        <f>IF(OR(B759="",C759=""),"",IFERROR(IFERROR(INDEX(Vöruskrá!N:N,MATCH(B759,Vöruskrá!B:B,0)),0)*C759/100000,""))</f>
        <v>0.23205000000000001</v>
      </c>
      <c r="L759" s="169">
        <f>IF(OR(B759="",C759=""),"",IFERROR(IFERROR(INDEX(Vöruskrá!O:O,MATCH(B759,Vöruskrá!B:B,0)),0)*C759/100000,""))</f>
        <v>5.525E-2</v>
      </c>
      <c r="M759" s="169">
        <f>IF(OR(B759="",C759=""),"",IFERROR(IFERROR(INDEX(Vöruskrá!P:P,MATCH(B759,Vöruskrá!B:B,0)),0)*C759/100000,""))</f>
        <v>0</v>
      </c>
      <c r="N759" s="169">
        <f>IF(OR(B759="",C759=""),"",IFERROR(IFERROR(INDEX(Vöruskrá!Q:Q,MATCH(B759,Vöruskrá!B:B,0)),0)*C759/100000,""))</f>
        <v>0.116025</v>
      </c>
      <c r="O759" s="170">
        <f>IF(OR(B759="",C759=""),"",IFERROR(C759/1000*IFERROR(INDEX(Vöruskrá!R:R,MATCH(B759,Vöruskrá!B:B,0)),0)/1000,""))</f>
        <v>0</v>
      </c>
      <c r="P759" s="173"/>
      <c r="Q759" s="157"/>
      <c r="R759" s="27"/>
    </row>
    <row r="760" spans="1:18" ht="15">
      <c r="A760" s="171"/>
      <c r="B760" s="171" t="s">
        <v>299</v>
      </c>
      <c r="C760" s="172">
        <v>552</v>
      </c>
      <c r="D760" s="168" t="s">
        <v>302</v>
      </c>
      <c r="E760" s="168" t="s">
        <v>134</v>
      </c>
      <c r="F760" s="168" t="s">
        <v>303</v>
      </c>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0.55200000000000005</v>
      </c>
      <c r="N760" s="169">
        <f>IF(OR(B760="",C760=""),"",IFERROR(IFERROR(INDEX(Vöruskrá!Q:Q,MATCH(B760,Vöruskrá!B:B,0)),0)*C760/100000,""))</f>
        <v>0</v>
      </c>
      <c r="O760" s="170">
        <f>IF(OR(B760="",C760=""),"",IFERROR(C760/1000*IFERROR(INDEX(Vöruskrá!R:R,MATCH(B760,Vöruskrá!B:B,0)),0)/1000,""))</f>
        <v>0</v>
      </c>
      <c r="P760" s="171"/>
      <c r="Q760" s="200"/>
      <c r="R760" s="159"/>
    </row>
    <row r="761" spans="1:18" ht="72">
      <c r="A761" s="147" t="s">
        <v>1942</v>
      </c>
      <c r="B761" s="147"/>
      <c r="C761" s="148"/>
      <c r="D761" s="165" t="s">
        <v>1943</v>
      </c>
      <c r="E761" s="165" t="s">
        <v>120</v>
      </c>
      <c r="F761" s="165"/>
      <c r="G761" s="166">
        <v>47.77</v>
      </c>
      <c r="H761" s="166">
        <v>3.21</v>
      </c>
      <c r="I761" s="166">
        <v>1.85</v>
      </c>
      <c r="J761" s="166">
        <v>1.65</v>
      </c>
      <c r="K761" s="166"/>
      <c r="L761" s="166">
        <v>2.94</v>
      </c>
      <c r="M761" s="166">
        <v>0.66</v>
      </c>
      <c r="N761" s="166">
        <f>IFERROR(SUM(N762:N770)/(SUM($C$762:$C$770)/100000),"")</f>
        <v>0</v>
      </c>
      <c r="O761" s="167" t="str">
        <f>IF(OR(B761="",C761=""),"",IFERROR(C761/1000*IFERROR(INDEX(Vöruskrá!R:R,MATCH(B761,Vöruskrá!B:B,0)),0)/1000,""))</f>
        <v/>
      </c>
      <c r="P761" s="196" t="s">
        <v>1944</v>
      </c>
      <c r="Q761" s="195" t="s">
        <v>1945</v>
      </c>
      <c r="R761" s="194" t="s">
        <v>1946</v>
      </c>
    </row>
    <row r="762" spans="1:18" ht="15">
      <c r="A762" s="171"/>
      <c r="B762" s="171" t="s">
        <v>1477</v>
      </c>
      <c r="C762" s="172">
        <v>20000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97"/>
      <c r="R762" s="164"/>
    </row>
    <row r="763" spans="1:18" ht="15">
      <c r="A763" s="173"/>
      <c r="B763" s="173" t="s">
        <v>1494</v>
      </c>
      <c r="C763" s="174">
        <v>25000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743</v>
      </c>
      <c r="C764" s="172">
        <v>20000</v>
      </c>
      <c r="D764" s="168" t="s">
        <v>745</v>
      </c>
      <c r="E764" s="168"/>
      <c r="F764" s="168"/>
      <c r="G764" s="169">
        <f>IF(OR(B764="",C764=""),"",IFERROR(IFERROR(INDEX(Vöruskrá!J:J,MATCH(B764,Vöruskrá!B:B,0)),0)*C764/100000,""))</f>
        <v>5.6</v>
      </c>
      <c r="H764" s="169">
        <f>IF(OR(B764="",C764=""),"",IFERROR(IFERROR(INDEX(Vöruskrá!K:K,MATCH(B764,Vöruskrá!B:B,0)),0)*C764/100000,""))</f>
        <v>0.02</v>
      </c>
      <c r="I764" s="169">
        <f>IF(OR(B764="",C764=""),"",IFERROR(IFERROR(INDEX(Vöruskrá!L:L,MATCH(B764,Vöruskrá!B:B,0)),0)*C764/100000,""))</f>
        <v>0</v>
      </c>
      <c r="J764" s="169">
        <f>IF(OR(B764="",C764=""),"",IFERROR(IFERROR(INDEX(Vöruskrá!M:M,MATCH(B764,Vöruskrá!B:B,0)),0)*C764/100000,""))</f>
        <v>1</v>
      </c>
      <c r="K764" s="169">
        <f>IF(OR(B764="",C764=""),"",IFERROR(IFERROR(INDEX(Vöruskrá!N:N,MATCH(B764,Vöruskrá!B:B,0)),0)*C764/100000,""))</f>
        <v>0.68</v>
      </c>
      <c r="L764" s="169">
        <f>IF(OR(B764="",C764=""),"",IFERROR(IFERROR(INDEX(Vöruskrá!O:O,MATCH(B764,Vöruskrá!B:B,0)),0)*C764/100000,""))</f>
        <v>0.3</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58"/>
      <c r="R764" s="6"/>
    </row>
    <row r="765" spans="1:18">
      <c r="A765" s="173"/>
      <c r="B765" s="173" t="s">
        <v>1894</v>
      </c>
      <c r="C765" s="174">
        <v>15000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3"/>
      <c r="Q765" s="157"/>
      <c r="R765" s="27"/>
    </row>
    <row r="766" spans="1:18" ht="15">
      <c r="A766" s="171"/>
      <c r="B766" s="171" t="s">
        <v>895</v>
      </c>
      <c r="C766" s="172">
        <v>10000</v>
      </c>
      <c r="D766" s="168" t="s">
        <v>897</v>
      </c>
      <c r="E766" s="168" t="s">
        <v>120</v>
      </c>
      <c r="F766" s="168"/>
      <c r="G766" s="169">
        <f>IF(OR(B766="",C766=""),"",IFERROR(IFERROR(INDEX(Vöruskrá!J:J,MATCH(B766,Vöruskrá!B:B,0)),0)*C766/100000,""))</f>
        <v>30.1</v>
      </c>
      <c r="H766" s="169">
        <f>IF(OR(B766="",C766=""),"",IFERROR(IFERROR(INDEX(Vöruskrá!K:K,MATCH(B766,Vöruskrá!B:B,0)),0)*C766/100000,""))</f>
        <v>2.1</v>
      </c>
      <c r="I766" s="169">
        <f>IF(OR(B766="",C766=""),"",IFERROR(IFERROR(INDEX(Vöruskrá!L:L,MATCH(B766,Vöruskrá!B:B,0)),0)*C766/100000,""))</f>
        <v>1.2</v>
      </c>
      <c r="J766" s="169">
        <f>IF(OR(B766="",C766=""),"",IFERROR(IFERROR(INDEX(Vöruskrá!M:M,MATCH(B766,Vöruskrá!B:B,0)),0)*C766/100000,""))</f>
        <v>0.32</v>
      </c>
      <c r="K766" s="169">
        <f>IF(OR(B766="",C766=""),"",IFERROR(IFERROR(INDEX(Vöruskrá!N:N,MATCH(B766,Vöruskrá!B:B,0)),0)*C766/100000,""))</f>
        <v>0.1</v>
      </c>
      <c r="L766" s="169">
        <f>IF(OR(B766="",C766=""),"",IFERROR(IFERROR(INDEX(Vöruskrá!O:O,MATCH(B766,Vöruskrá!B:B,0)),0)*C766/100000,""))</f>
        <v>2.4</v>
      </c>
      <c r="M766" s="169">
        <f>IF(OR(B766="",C766=""),"",IFERROR(IFERROR(INDEX(Vöruskrá!P:P,MATCH(B766,Vöruskrá!B:B,0)),0)*C766/100000,""))</f>
        <v>0.14000000000000001</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849</v>
      </c>
      <c r="C767" s="174">
        <v>7000</v>
      </c>
      <c r="D767" s="168" t="s">
        <v>850</v>
      </c>
      <c r="E767" s="168" t="s">
        <v>120</v>
      </c>
      <c r="F767" s="168"/>
      <c r="G767" s="169">
        <f>IF(OR(B767="",C767=""),"",IFERROR(IFERROR(INDEX(Vöruskrá!J:J,MATCH(B767,Vöruskrá!B:B,0)),0)*C767/100000,""))</f>
        <v>4.6900000000000004</v>
      </c>
      <c r="H767" s="169">
        <f>IF(OR(B767="",C767=""),"",IFERROR(IFERROR(INDEX(Vöruskrá!K:K,MATCH(B767,Vöruskrá!B:B,0)),0)*C767/100000,""))</f>
        <v>0.27300000000000002</v>
      </c>
      <c r="I767" s="169">
        <f>IF(OR(B767="",C767=""),"",IFERROR(IFERROR(INDEX(Vöruskrá!L:L,MATCH(B767,Vöruskrá!B:B,0)),0)*C767/100000,""))</f>
        <v>0.16099999999999998</v>
      </c>
      <c r="J767" s="169">
        <f>IF(OR(B767="",C767=""),"",IFERROR(IFERROR(INDEX(Vöruskrá!M:M,MATCH(B767,Vöruskrá!B:B,0)),0)*C767/100000,""))</f>
        <v>0.32900000000000001</v>
      </c>
      <c r="K767" s="169">
        <f>IF(OR(B767="",C767=""),"",IFERROR(IFERROR(INDEX(Vöruskrá!N:N,MATCH(B767,Vöruskrá!B:B,0)),0)*C767/100000,""))</f>
        <v>0.32900000000000001</v>
      </c>
      <c r="L767" s="169">
        <f>IF(OR(B767="",C767=""),"",IFERROR(IFERROR(INDEX(Vöruskrá!O:O,MATCH(B767,Vöruskrá!B:B,0)),0)*C767/100000,""))</f>
        <v>0.23100000000000001</v>
      </c>
      <c r="M767" s="169">
        <f>IF(OR(B767="",C767=""),"",IFERROR(IFERROR(INDEX(Vöruskrá!P:P,MATCH(B767,Vöruskrá!B:B,0)),0)*C767/100000,""))</f>
        <v>7.0000000000000001E-3</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1465</v>
      </c>
      <c r="C768" s="172">
        <v>1500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58"/>
      <c r="R768" s="6"/>
    </row>
    <row r="769" spans="1:18" ht="15">
      <c r="A769" s="173"/>
      <c r="B769" s="173" t="s">
        <v>445</v>
      </c>
      <c r="C769" s="174">
        <v>1000</v>
      </c>
      <c r="D769" s="168" t="s">
        <v>448</v>
      </c>
      <c r="E769" s="168" t="s">
        <v>120</v>
      </c>
      <c r="F769" s="168"/>
      <c r="G769" s="169">
        <f>IF(OR(B769="",C769=""),"",IFERROR(IFERROR(INDEX(Vöruskrá!J:J,MATCH(B769,Vöruskrá!B:B,0)),0)*C769/100000,""))</f>
        <v>7.38</v>
      </c>
      <c r="H769" s="169">
        <f>IF(OR(B769="",C769=""),"",IFERROR(IFERROR(INDEX(Vöruskrá!K:K,MATCH(B769,Vöruskrá!B:B,0)),0)*C769/100000,""))</f>
        <v>0.82</v>
      </c>
      <c r="I769" s="169">
        <f>IF(OR(B769="",C769=""),"",IFERROR(IFERROR(INDEX(Vöruskrá!L:L,MATCH(B769,Vöruskrá!B:B,0)),0)*C769/100000,""))</f>
        <v>0.49</v>
      </c>
      <c r="J769" s="169">
        <f>IF(OR(B769="",C769=""),"",IFERROR(IFERROR(INDEX(Vöruskrá!M:M,MATCH(B769,Vöruskrá!B:B,0)),0)*C769/100000,""))</f>
        <v>4.0000000000000001E-3</v>
      </c>
      <c r="K769" s="169">
        <f>IF(OR(B769="",C769=""),"",IFERROR(IFERROR(INDEX(Vöruskrá!N:N,MATCH(B769,Vöruskrá!B:B,0)),0)*C769/100000,""))</f>
        <v>4.0000000000000001E-3</v>
      </c>
      <c r="L769" s="169">
        <f>IF(OR(B769="",C769=""),"",IFERROR(IFERROR(INDEX(Vöruskrá!O:O,MATCH(B769,Vöruskrá!B:B,0)),0)*C769/100000,""))</f>
        <v>6.0000000000000001E-3</v>
      </c>
      <c r="M769" s="169">
        <f>IF(OR(B769="",C769=""),"",IFERROR(IFERROR(INDEX(Vöruskrá!P:P,MATCH(B769,Vöruskrá!B:B,0)),0)*C769/100000,""))</f>
        <v>1.2E-2</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299</v>
      </c>
      <c r="C770" s="172">
        <v>500</v>
      </c>
      <c r="D770" s="168" t="s">
        <v>302</v>
      </c>
      <c r="E770" s="168" t="s">
        <v>134</v>
      </c>
      <c r="F770" s="168" t="s">
        <v>303</v>
      </c>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0.5</v>
      </c>
      <c r="N770" s="169">
        <f>IF(OR(B770="",C770=""),"",IFERROR(IFERROR(INDEX(Vöruskrá!Q:Q,MATCH(B770,Vöruskrá!B:B,0)),0)*C770/100000,""))</f>
        <v>0</v>
      </c>
      <c r="O770" s="170">
        <f>IF(OR(B770="",C770=""),"",IFERROR(C770/1000*IFERROR(INDEX(Vöruskrá!R:R,MATCH(B770,Vöruskrá!B:B,0)),0)/1000,""))</f>
        <v>0</v>
      </c>
      <c r="P770" s="171"/>
      <c r="Q770" s="200"/>
      <c r="R770" s="159"/>
    </row>
    <row r="771" spans="1:18" ht="48">
      <c r="A771" s="147" t="s">
        <v>1947</v>
      </c>
      <c r="B771" s="147"/>
      <c r="C771" s="148"/>
      <c r="D771" s="165" t="s">
        <v>1948</v>
      </c>
      <c r="E771" s="165" t="s">
        <v>1099</v>
      </c>
      <c r="F771" s="165"/>
      <c r="G771" s="166">
        <v>33.65</v>
      </c>
      <c r="H771" s="166">
        <v>0.09</v>
      </c>
      <c r="I771" s="166">
        <v>0.01</v>
      </c>
      <c r="J771" s="166">
        <v>6.97</v>
      </c>
      <c r="K771" s="166"/>
      <c r="L771" s="166">
        <v>0.69</v>
      </c>
      <c r="M771" s="166">
        <v>0.54</v>
      </c>
      <c r="N771" s="166">
        <f>IFERROR(SUM(N772:N780)/(SUM($C$772:$C$780)/100000),"")</f>
        <v>0.93500000000000005</v>
      </c>
      <c r="O771" s="167" t="str">
        <f>IF(OR(B771="",C771=""),"",IFERROR(C771/1000*IFERROR(INDEX(Vöruskrá!R:R,MATCH(B771,Vöruskrá!B:B,0)),0)/1000,""))</f>
        <v/>
      </c>
      <c r="P771" s="196" t="s">
        <v>1949</v>
      </c>
      <c r="Q771" s="199" t="s">
        <v>1950</v>
      </c>
      <c r="R771" s="198" t="s">
        <v>1951</v>
      </c>
    </row>
    <row r="772" spans="1:18" ht="15">
      <c r="A772" s="171"/>
      <c r="B772" s="171" t="s">
        <v>1496</v>
      </c>
      <c r="C772" s="172">
        <v>25000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97"/>
      <c r="R772" s="164"/>
    </row>
    <row r="773" spans="1:18" ht="15">
      <c r="A773" s="173"/>
      <c r="B773" s="173" t="s">
        <v>413</v>
      </c>
      <c r="C773" s="174">
        <v>35000</v>
      </c>
      <c r="D773" s="168" t="s">
        <v>416</v>
      </c>
      <c r="E773" s="168" t="s">
        <v>134</v>
      </c>
      <c r="F773" s="168"/>
      <c r="G773" s="169">
        <f>IF(OR(B773="",C773=""),"",IFERROR(IFERROR(INDEX(Vöruskrá!J:J,MATCH(B773,Vöruskrá!B:B,0)),0)*C773/100000,""))</f>
        <v>25.2</v>
      </c>
      <c r="H773" s="169">
        <f>IF(OR(B773="",C773=""),"",IFERROR(IFERROR(INDEX(Vöruskrá!K:K,MATCH(B773,Vöruskrá!B:B,0)),0)*C773/100000,""))</f>
        <v>3.5000000000000003E-2</v>
      </c>
      <c r="I773" s="169">
        <f>IF(OR(B773="",C773=""),"",IFERROR(IFERROR(INDEX(Vöruskrá!L:L,MATCH(B773,Vöruskrá!B:B,0)),0)*C773/100000,""))</f>
        <v>0</v>
      </c>
      <c r="J773" s="169">
        <f>IF(OR(B773="",C773=""),"",IFERROR(IFERROR(INDEX(Vöruskrá!M:M,MATCH(B773,Vöruskrá!B:B,0)),0)*C773/100000,""))</f>
        <v>5.32</v>
      </c>
      <c r="K773" s="169">
        <f>IF(OR(B773="",C773=""),"",IFERROR(IFERROR(INDEX(Vöruskrá!N:N,MATCH(B773,Vöruskrá!B:B,0)),0)*C773/100000,""))</f>
        <v>1.9950000000000001</v>
      </c>
      <c r="L773" s="169">
        <f>IF(OR(B773="",C773=""),"",IFERROR(IFERROR(INDEX(Vöruskrá!O:O,MATCH(B773,Vöruskrá!B:B,0)),0)*C773/100000,""))</f>
        <v>0.49</v>
      </c>
      <c r="M773" s="169">
        <f>IF(OR(B773="",C773=""),"",IFERROR(IFERROR(INDEX(Vöruskrá!P:P,MATCH(B773,Vöruskrá!B:B,0)),0)*C773/100000,""))</f>
        <v>3.5000000000000003E-2</v>
      </c>
      <c r="N773" s="169">
        <f>IF(OR(B773="",C773=""),"",IFERROR(IFERROR(INDEX(Vöruskrá!Q:Q,MATCH(B773,Vöruskrá!B:B,0)),0)*C773/100000,""))</f>
        <v>0.875</v>
      </c>
      <c r="O773" s="170">
        <f>IF(OR(B773="",C773=""),"",IFERROR(C773/1000*IFERROR(INDEX(Vöruskrá!R:R,MATCH(B773,Vöruskrá!B:B,0)),0)/1000,""))</f>
        <v>0</v>
      </c>
      <c r="P773" s="173"/>
      <c r="Q773" s="157"/>
      <c r="R773" s="27"/>
    </row>
    <row r="774" spans="1:18" ht="15">
      <c r="A774" s="171"/>
      <c r="B774" s="171" t="s">
        <v>1497</v>
      </c>
      <c r="C774" s="172">
        <v>20000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58"/>
      <c r="R774" s="6"/>
    </row>
    <row r="775" spans="1:18" ht="15">
      <c r="A775" s="173"/>
      <c r="B775" s="173" t="s">
        <v>627</v>
      </c>
      <c r="C775" s="174">
        <v>10000</v>
      </c>
      <c r="D775" s="168" t="s">
        <v>629</v>
      </c>
      <c r="E775" s="168"/>
      <c r="F775" s="168"/>
      <c r="G775" s="169">
        <f>IF(OR(B775="",C775=""),"",IFERROR(IFERROR(INDEX(Vöruskrá!J:J,MATCH(B775,Vöruskrá!B:B,0)),0)*C775/100000,""))</f>
        <v>5</v>
      </c>
      <c r="H775" s="169">
        <f>IF(OR(B775="",C775=""),"",IFERROR(IFERROR(INDEX(Vöruskrá!K:K,MATCH(B775,Vöruskrá!B:B,0)),0)*C775/100000,""))</f>
        <v>0.02</v>
      </c>
      <c r="I775" s="169">
        <f>IF(OR(B775="",C775=""),"",IFERROR(IFERROR(INDEX(Vöruskrá!L:L,MATCH(B775,Vöruskrá!B:B,0)),0)*C775/100000,""))</f>
        <v>0</v>
      </c>
      <c r="J775" s="169">
        <f>IF(OR(B775="",C775=""),"",IFERROR(IFERROR(INDEX(Vöruskrá!M:M,MATCH(B775,Vöruskrá!B:B,0)),0)*C775/100000,""))</f>
        <v>0.99</v>
      </c>
      <c r="K775" s="169">
        <f>IF(OR(B775="",C775=""),"",IFERROR(IFERROR(INDEX(Vöruskrá!N:N,MATCH(B775,Vöruskrá!B:B,0)),0)*C775/100000,""))</f>
        <v>0.97</v>
      </c>
      <c r="L775" s="169">
        <f>IF(OR(B775="",C775=""),"",IFERROR(IFERROR(INDEX(Vöruskrá!O:O,MATCH(B775,Vöruskrá!B:B,0)),0)*C775/100000,""))</f>
        <v>0.1</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7"/>
      <c r="R775" s="27"/>
    </row>
    <row r="776" spans="1:18" ht="15">
      <c r="A776" s="171"/>
      <c r="B776" s="171" t="s">
        <v>500</v>
      </c>
      <c r="C776" s="172">
        <v>5000</v>
      </c>
      <c r="D776" s="168" t="s">
        <v>1129</v>
      </c>
      <c r="E776" s="168" t="s">
        <v>1099</v>
      </c>
      <c r="F776" s="168"/>
      <c r="G776" s="169">
        <f>IF(OR(B776="",C776=""),"",IFERROR(IFERROR(INDEX(Vöruskrá!J:J,MATCH(B776,Vöruskrá!B:B,0)),0)*C776/100000,""))</f>
        <v>0.9</v>
      </c>
      <c r="H776" s="169">
        <f>IF(OR(B776="",C776=""),"",IFERROR(IFERROR(INDEX(Vöruskrá!K:K,MATCH(B776,Vöruskrá!B:B,0)),0)*C776/100000,""))</f>
        <v>0.01</v>
      </c>
      <c r="I776" s="169">
        <f>IF(OR(B776="",C776=""),"",IFERROR(IFERROR(INDEX(Vöruskrá!L:L,MATCH(B776,Vöruskrá!B:B,0)),0)*C776/100000,""))</f>
        <v>0</v>
      </c>
      <c r="J776" s="169">
        <f>IF(OR(B776="",C776=""),"",IFERROR(IFERROR(INDEX(Vöruskrá!M:M,MATCH(B776,Vöruskrá!B:B,0)),0)*C776/100000,""))</f>
        <v>0.19500000000000001</v>
      </c>
      <c r="K776" s="169">
        <f>IF(OR(B776="",C776=""),"",IFERROR(IFERROR(INDEX(Vöruskrá!N:N,MATCH(B776,Vöruskrá!B:B,0)),0)*C776/100000,""))</f>
        <v>0.13</v>
      </c>
      <c r="L776" s="169">
        <f>IF(OR(B776="",C776=""),"",IFERROR(IFERROR(INDEX(Vöruskrá!O:O,MATCH(B776,Vöruskrá!B:B,0)),0)*C776/100000,""))</f>
        <v>4.4999999999999998E-2</v>
      </c>
      <c r="M776" s="169">
        <f>IF(OR(B776="",C776=""),"",IFERROR(IFERROR(INDEX(Vöruskrá!P:P,MATCH(B776,Vöruskrá!B:B,0)),0)*C776/100000,""))</f>
        <v>0</v>
      </c>
      <c r="N776" s="169">
        <f>IF(OR(B776="",C776=""),"",IFERROR(IFERROR(INDEX(Vöruskrá!Q:Q,MATCH(B776,Vöruskrá!B:B,0)),0)*C776/100000,""))</f>
        <v>0.06</v>
      </c>
      <c r="O776" s="170">
        <f>IF(OR(B776="",C776=""),"",IFERROR(C776/1000*IFERROR(INDEX(Vöruskrá!R:R,MATCH(B776,Vöruskrá!B:B,0)),0)/1000,""))</f>
        <v>0</v>
      </c>
      <c r="P776" s="171"/>
      <c r="Q776" s="158"/>
      <c r="R776" s="6"/>
    </row>
    <row r="777" spans="1:18" ht="15">
      <c r="A777" s="173"/>
      <c r="B777" s="173" t="s">
        <v>833</v>
      </c>
      <c r="C777" s="174">
        <v>2000</v>
      </c>
      <c r="D777" s="168" t="s">
        <v>835</v>
      </c>
      <c r="E777" s="168"/>
      <c r="F777" s="168"/>
      <c r="G777" s="169">
        <f>IF(OR(B777="",C777=""),"",IFERROR(IFERROR(INDEX(Vöruskrá!J:J,MATCH(B777,Vöruskrá!B:B,0)),0)*C777/100000,""))</f>
        <v>0.62</v>
      </c>
      <c r="H777" s="169">
        <f>IF(OR(B777="",C777=""),"",IFERROR(IFERROR(INDEX(Vöruskrá!K:K,MATCH(B777,Vöruskrá!B:B,0)),0)*C777/100000,""))</f>
        <v>4.0000000000000001E-3</v>
      </c>
      <c r="I777" s="169">
        <f>IF(OR(B777="",C777=""),"",IFERROR(IFERROR(INDEX(Vöruskrá!L:L,MATCH(B777,Vöruskrá!B:B,0)),0)*C777/100000,""))</f>
        <v>0</v>
      </c>
      <c r="J777" s="169">
        <f>IF(OR(B777="",C777=""),"",IFERROR(IFERROR(INDEX(Vöruskrá!M:M,MATCH(B777,Vöruskrá!B:B,0)),0)*C777/100000,""))</f>
        <v>0.13800000000000001</v>
      </c>
      <c r="K777" s="169">
        <f>IF(OR(B777="",C777=""),"",IFERROR(IFERROR(INDEX(Vöruskrá!N:N,MATCH(B777,Vöruskrá!B:B,0)),0)*C777/100000,""))</f>
        <v>4.8000000000000001E-2</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1467</v>
      </c>
      <c r="C778" s="172">
        <v>2000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8"/>
      <c r="R778" s="6"/>
    </row>
    <row r="779" spans="1:18" ht="15">
      <c r="A779" s="173"/>
      <c r="B779" s="173" t="s">
        <v>299</v>
      </c>
      <c r="C779" s="174">
        <v>500</v>
      </c>
      <c r="D779" s="168" t="s">
        <v>302</v>
      </c>
      <c r="E779" s="168" t="s">
        <v>134</v>
      </c>
      <c r="F779" s="168" t="s">
        <v>303</v>
      </c>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0.5</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819</v>
      </c>
      <c r="C780" s="172">
        <v>500</v>
      </c>
      <c r="D780" s="168" t="s">
        <v>820</v>
      </c>
      <c r="E780" s="168"/>
      <c r="F780" s="168" t="s">
        <v>311</v>
      </c>
      <c r="G780" s="169">
        <f>IF(OR(B780="",C780=""),"",IFERROR(IFERROR(INDEX(Vöruskrá!J:J,MATCH(B780,Vöruskrá!B:B,0)),0)*C780/100000,""))</f>
        <v>1.93</v>
      </c>
      <c r="H780" s="169">
        <f>IF(OR(B780="",C780=""),"",IFERROR(IFERROR(INDEX(Vöruskrá!K:K,MATCH(B780,Vöruskrá!B:B,0)),0)*C780/100000,""))</f>
        <v>1.6500000000000001E-2</v>
      </c>
      <c r="I780" s="169">
        <f>IF(OR(B780="",C780=""),"",IFERROR(IFERROR(INDEX(Vöruskrá!L:L,MATCH(B780,Vöruskrá!B:B,0)),0)*C780/100000,""))</f>
        <v>5.0000000000000001E-3</v>
      </c>
      <c r="J780" s="169">
        <f>IF(OR(B780="",C780=""),"",IFERROR(IFERROR(INDEX(Vöruskrá!M:M,MATCH(B780,Vöruskrá!B:B,0)),0)*C780/100000,""))</f>
        <v>0.32500000000000001</v>
      </c>
      <c r="K780" s="169">
        <f>IF(OR(B780="",C780=""),"",IFERROR(IFERROR(INDEX(Vöruskrá!N:N,MATCH(B780,Vöruskrá!B:B,0)),0)*C780/100000,""))</f>
        <v>3.0000000000000001E-3</v>
      </c>
      <c r="L780" s="169">
        <f>IF(OR(B780="",C780=""),"",IFERROR(IFERROR(INDEX(Vöruskrá!O:O,MATCH(B780,Vöruskrá!B:B,0)),0)*C780/100000,""))</f>
        <v>5.5E-2</v>
      </c>
      <c r="M780" s="169">
        <f>IF(OR(B780="",C780=""),"",IFERROR(IFERROR(INDEX(Vöruskrá!P:P,MATCH(B780,Vöruskrá!B:B,0)),0)*C780/100000,""))</f>
        <v>5.0000000000000001E-4</v>
      </c>
      <c r="N780" s="169">
        <f>IF(OR(B780="",C780=""),"",IFERROR(IFERROR(INDEX(Vöruskrá!Q:Q,MATCH(B780,Vöruskrá!B:B,0)),0)*C780/100000,""))</f>
        <v>0</v>
      </c>
      <c r="O780" s="170">
        <f>IF(OR(B780="",C780=""),"",IFERROR(C780/1000*IFERROR(INDEX(Vöruskrá!R:R,MATCH(B780,Vöruskrá!B:B,0)),0)/1000,""))</f>
        <v>0</v>
      </c>
      <c r="P780" s="171"/>
      <c r="Q780" s="200"/>
      <c r="R780" s="159"/>
    </row>
    <row r="781" spans="1:18" ht="48">
      <c r="A781" s="147" t="s">
        <v>1952</v>
      </c>
      <c r="B781" s="147"/>
      <c r="C781" s="148"/>
      <c r="D781" s="165" t="s">
        <v>1953</v>
      </c>
      <c r="E781" s="165" t="s">
        <v>134</v>
      </c>
      <c r="F781" s="165"/>
      <c r="G781" s="166">
        <v>17.489999999999998</v>
      </c>
      <c r="H781" s="166">
        <v>0.11</v>
      </c>
      <c r="I781" s="166">
        <v>0</v>
      </c>
      <c r="J781" s="166">
        <v>2.83</v>
      </c>
      <c r="K781" s="166"/>
      <c r="L781" s="166">
        <v>1.02</v>
      </c>
      <c r="M781" s="166">
        <v>0.71</v>
      </c>
      <c r="N781" s="166">
        <f>IFERROR(SUM(N782:N790)/(SUM($C$782:$C$790)/100000),"")</f>
        <v>0.67285714285714293</v>
      </c>
      <c r="O781" s="167" t="str">
        <f>IF(OR(B781="",C781=""),"",IFERROR(C781/1000*IFERROR(INDEX(Vöruskrá!R:R,MATCH(B781,Vöruskrá!B:B,0)),0)/1000,""))</f>
        <v/>
      </c>
      <c r="P781" s="196" t="s">
        <v>1954</v>
      </c>
      <c r="Q781" s="195" t="s">
        <v>1955</v>
      </c>
      <c r="R781" s="194" t="s">
        <v>1956</v>
      </c>
    </row>
    <row r="782" spans="1:18" ht="15">
      <c r="A782" s="171"/>
      <c r="B782" s="171" t="s">
        <v>1498</v>
      </c>
      <c r="C782" s="172">
        <v>30000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97"/>
      <c r="R782" s="164"/>
    </row>
    <row r="783" spans="1:18" ht="15">
      <c r="A783" s="173"/>
      <c r="B783" s="173" t="s">
        <v>1282</v>
      </c>
      <c r="C783" s="174">
        <v>25000</v>
      </c>
      <c r="D783" s="168" t="s">
        <v>1283</v>
      </c>
      <c r="E783" s="168"/>
      <c r="F783" s="168"/>
      <c r="G783" s="169">
        <f>IF(OR(B783="",C783=""),"",IFERROR(IFERROR(INDEX(Vöruskrá!J:J,MATCH(B783,Vöruskrá!B:B,0)),0)*C783/100000,""))</f>
        <v>8.75</v>
      </c>
      <c r="H783" s="169">
        <f>IF(OR(B783="",C783=""),"",IFERROR(IFERROR(INDEX(Vöruskrá!K:K,MATCH(B783,Vöruskrá!B:B,0)),0)*C783/100000,""))</f>
        <v>7.4999999999999997E-2</v>
      </c>
      <c r="I783" s="169">
        <f>IF(OR(B783="",C783=""),"",IFERROR(IFERROR(INDEX(Vöruskrá!L:L,MATCH(B783,Vöruskrá!B:B,0)),0)*C783/100000,""))</f>
        <v>0</v>
      </c>
      <c r="J783" s="169">
        <f>IF(OR(B783="",C783=""),"",IFERROR(IFERROR(INDEX(Vöruskrá!M:M,MATCH(B783,Vöruskrá!B:B,0)),0)*C783/100000,""))</f>
        <v>1.1499999999999999</v>
      </c>
      <c r="K783" s="169">
        <f>IF(OR(B783="",C783=""),"",IFERROR(IFERROR(INDEX(Vöruskrá!N:N,MATCH(B783,Vöruskrá!B:B,0)),0)*C783/100000,""))</f>
        <v>0.9</v>
      </c>
      <c r="L783" s="169">
        <f>IF(OR(B783="",C783=""),"",IFERROR(IFERROR(INDEX(Vöruskrá!O:O,MATCH(B783,Vöruskrá!B:B,0)),0)*C783/100000,""))</f>
        <v>0.65</v>
      </c>
      <c r="M783" s="169">
        <f>IF(OR(B783="",C783=""),"",IFERROR(IFERROR(INDEX(Vöruskrá!P:P,MATCH(B783,Vöruskrá!B:B,0)),0)*C783/100000,""))</f>
        <v>0</v>
      </c>
      <c r="N783" s="169">
        <f>IF(OR(B783="",C783=""),"",IFERROR(IFERROR(INDEX(Vöruskrá!Q:Q,MATCH(B783,Vöruskrá!B:B,0)),0)*C783/100000,""))</f>
        <v>0.45</v>
      </c>
      <c r="O783" s="170">
        <f>IF(OR(B783="",C783=""),"",IFERROR(C783/1000*IFERROR(INDEX(Vöruskrá!R:R,MATCH(B783,Vöruskrá!B:B,0)),0)/1000,""))</f>
        <v>0</v>
      </c>
      <c r="P783" s="173"/>
      <c r="Q783" s="157"/>
      <c r="R783" s="27"/>
    </row>
    <row r="784" spans="1:18" ht="15">
      <c r="A784" s="171"/>
      <c r="B784" s="171" t="s">
        <v>1476</v>
      </c>
      <c r="C784" s="172">
        <v>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58"/>
      <c r="R784" s="6"/>
    </row>
    <row r="785" spans="1:18" ht="15">
      <c r="A785" s="173"/>
      <c r="B785" s="173" t="s">
        <v>1488</v>
      </c>
      <c r="C785" s="174">
        <v>2000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ht="15">
      <c r="A786" s="171"/>
      <c r="B786" s="171" t="s">
        <v>1017</v>
      </c>
      <c r="C786" s="172">
        <v>1000</v>
      </c>
      <c r="D786" s="168" t="s">
        <v>1017</v>
      </c>
      <c r="E786" s="168" t="s">
        <v>134</v>
      </c>
      <c r="F786" s="168"/>
      <c r="G786" s="169">
        <f>IF(OR(B786="",C786=""),"",IFERROR(IFERROR(INDEX(Vöruskrá!J:J,MATCH(B786,Vöruskrá!B:B,0)),0)*C786/100000,""))</f>
        <v>1.49</v>
      </c>
      <c r="H786" s="169">
        <f>IF(OR(B786="",C786=""),"",IFERROR(IFERROR(INDEX(Vöruskrá!K:K,MATCH(B786,Vöruskrá!B:B,0)),0)*C786/100000,""))</f>
        <v>5.0000000000000001E-3</v>
      </c>
      <c r="I786" s="169">
        <f>IF(OR(B786="",C786=""),"",IFERROR(IFERROR(INDEX(Vöruskrá!L:L,MATCH(B786,Vöruskrá!B:B,0)),0)*C786/100000,""))</f>
        <v>1E-3</v>
      </c>
      <c r="J786" s="169">
        <f>IF(OR(B786="",C786=""),"",IFERROR(IFERROR(INDEX(Vöruskrá!M:M,MATCH(B786,Vöruskrá!B:B,0)),0)*C786/100000,""))</f>
        <v>0.33100000000000002</v>
      </c>
      <c r="K786" s="169">
        <f>IF(OR(B786="",C786=""),"",IFERROR(IFERROR(INDEX(Vöruskrá!N:N,MATCH(B786,Vöruskrá!B:B,0)),0)*C786/100000,""))</f>
        <v>0.01</v>
      </c>
      <c r="L786" s="169">
        <f>IF(OR(B786="",C786=""),"",IFERROR(IFERROR(INDEX(Vöruskrá!O:O,MATCH(B786,Vöruskrá!B:B,0)),0)*C786/100000,""))</f>
        <v>6.4000000000000001E-2</v>
      </c>
      <c r="M786" s="169">
        <f>IF(OR(B786="",C786=""),"",IFERROR(IFERROR(INDEX(Vöruskrá!P:P,MATCH(B786,Vöruskrá!B:B,0)),0)*C786/100000,""))</f>
        <v>0</v>
      </c>
      <c r="N786" s="169">
        <f>IF(OR(B786="",C786=""),"",IFERROR(IFERROR(INDEX(Vöruskrá!Q:Q,MATCH(B786,Vöruskrá!B:B,0)),0)*C786/100000,""))</f>
        <v>2.1000000000000001E-2</v>
      </c>
      <c r="O786" s="170">
        <f>IF(OR(B786="",C786=""),"",IFERROR(C786/1000*IFERROR(INDEX(Vöruskrá!R:R,MATCH(B786,Vöruskrá!B:B,0)),0)/1000,""))</f>
        <v>0</v>
      </c>
      <c r="P786" s="171"/>
      <c r="Q786" s="158"/>
      <c r="R786" s="6"/>
    </row>
    <row r="787" spans="1:18" ht="15">
      <c r="A787" s="173"/>
      <c r="B787" s="173" t="s">
        <v>1475</v>
      </c>
      <c r="C787" s="174">
        <v>1000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477</v>
      </c>
      <c r="C788" s="172">
        <v>500</v>
      </c>
      <c r="D788" s="168" t="s">
        <v>479</v>
      </c>
      <c r="E788" s="168" t="s">
        <v>134</v>
      </c>
      <c r="F788" s="168"/>
      <c r="G788" s="169">
        <f>IF(OR(B788="",C788=""),"",IFERROR(IFERROR(INDEX(Vöruskrá!J:J,MATCH(B788,Vöruskrá!B:B,0)),0)*C788/100000,""))</f>
        <v>2</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0.5</v>
      </c>
      <c r="K788" s="169">
        <f>IF(OR(B788="",C788=""),"",IFERROR(IFERROR(INDEX(Vöruskrá!N:N,MATCH(B788,Vöruskrá!B:B,0)),0)*C788/100000,""))</f>
        <v>0.5</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ht="15">
      <c r="A789" s="173"/>
      <c r="B789" s="173" t="s">
        <v>299</v>
      </c>
      <c r="C789" s="174">
        <v>500</v>
      </c>
      <c r="D789" s="168" t="s">
        <v>302</v>
      </c>
      <c r="E789" s="168" t="s">
        <v>134</v>
      </c>
      <c r="F789" s="168" t="s">
        <v>303</v>
      </c>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0.5</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1020</v>
      </c>
      <c r="C790" s="172">
        <v>5000</v>
      </c>
      <c r="D790" s="168" t="s">
        <v>1020</v>
      </c>
      <c r="E790" s="168" t="s">
        <v>134</v>
      </c>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200"/>
      <c r="R790" s="159"/>
    </row>
    <row r="791" spans="1:18" ht="48">
      <c r="A791" s="147" t="s">
        <v>1957</v>
      </c>
      <c r="B791" s="147"/>
      <c r="C791" s="148"/>
      <c r="D791" s="165" t="s">
        <v>1958</v>
      </c>
      <c r="E791" s="165" t="s">
        <v>120</v>
      </c>
      <c r="F791" s="165"/>
      <c r="G791" s="166">
        <v>68.73</v>
      </c>
      <c r="H791" s="166">
        <v>4.28</v>
      </c>
      <c r="I791" s="166">
        <v>2.42</v>
      </c>
      <c r="J791" s="166">
        <v>2.04</v>
      </c>
      <c r="K791" s="166"/>
      <c r="L791" s="166">
        <v>5.14</v>
      </c>
      <c r="M791" s="166">
        <v>1.28</v>
      </c>
      <c r="N791" s="166">
        <f>IFERROR(SUM(N792:N799)/(SUM($C$792:$C$799)/100000),"")</f>
        <v>0</v>
      </c>
      <c r="O791" s="167" t="str">
        <f>IF(OR(B791="",C791=""),"",IFERROR(C791/1000*IFERROR(INDEX(Vöruskrá!R:R,MATCH(B791,Vöruskrá!B:B,0)),0)/1000,""))</f>
        <v/>
      </c>
      <c r="P791" s="196" t="s">
        <v>1959</v>
      </c>
      <c r="Q791" s="199" t="s">
        <v>1960</v>
      </c>
      <c r="R791" s="198" t="s">
        <v>1961</v>
      </c>
    </row>
    <row r="792" spans="1:18" ht="15">
      <c r="A792" s="171"/>
      <c r="B792" s="171" t="s">
        <v>1499</v>
      </c>
      <c r="C792" s="172">
        <v>45000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97"/>
      <c r="R792" s="164"/>
    </row>
    <row r="793" spans="1:18" ht="15">
      <c r="A793" s="173"/>
      <c r="B793" s="173" t="s">
        <v>743</v>
      </c>
      <c r="C793" s="174">
        <v>15000</v>
      </c>
      <c r="D793" s="168" t="s">
        <v>745</v>
      </c>
      <c r="E793" s="168"/>
      <c r="F793" s="168"/>
      <c r="G793" s="169">
        <f>IF(OR(B793="",C793=""),"",IFERROR(IFERROR(INDEX(Vöruskrá!J:J,MATCH(B793,Vöruskrá!B:B,0)),0)*C793/100000,""))</f>
        <v>4.2</v>
      </c>
      <c r="H793" s="169">
        <f>IF(OR(B793="",C793=""),"",IFERROR(IFERROR(INDEX(Vöruskrá!K:K,MATCH(B793,Vöruskrá!B:B,0)),0)*C793/100000,""))</f>
        <v>1.4999999999999999E-2</v>
      </c>
      <c r="I793" s="169">
        <f>IF(OR(B793="",C793=""),"",IFERROR(IFERROR(INDEX(Vöruskrá!L:L,MATCH(B793,Vöruskrá!B:B,0)),0)*C793/100000,""))</f>
        <v>0</v>
      </c>
      <c r="J793" s="169">
        <f>IF(OR(B793="",C793=""),"",IFERROR(IFERROR(INDEX(Vöruskrá!M:M,MATCH(B793,Vöruskrá!B:B,0)),0)*C793/100000,""))</f>
        <v>0.75</v>
      </c>
      <c r="K793" s="169">
        <f>IF(OR(B793="",C793=""),"",IFERROR(IFERROR(INDEX(Vöruskrá!N:N,MATCH(B793,Vöruskrá!B:B,0)),0)*C793/100000,""))</f>
        <v>0.51</v>
      </c>
      <c r="L793" s="169">
        <f>IF(OR(B793="",C793=""),"",IFERROR(IFERROR(INDEX(Vöruskrá!O:O,MATCH(B793,Vöruskrá!B:B,0)),0)*C793/100000,""))</f>
        <v>0.22500000000000001</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7"/>
      <c r="R793" s="27"/>
    </row>
    <row r="794" spans="1:18" ht="15">
      <c r="A794" s="171"/>
      <c r="B794" s="171" t="s">
        <v>895</v>
      </c>
      <c r="C794" s="172">
        <v>20000</v>
      </c>
      <c r="D794" s="168" t="s">
        <v>897</v>
      </c>
      <c r="E794" s="168" t="s">
        <v>120</v>
      </c>
      <c r="F794" s="168"/>
      <c r="G794" s="169">
        <f>IF(OR(B794="",C794=""),"",IFERROR(IFERROR(INDEX(Vöruskrá!J:J,MATCH(B794,Vöruskrá!B:B,0)),0)*C794/100000,""))</f>
        <v>60.2</v>
      </c>
      <c r="H794" s="169">
        <f>IF(OR(B794="",C794=""),"",IFERROR(IFERROR(INDEX(Vöruskrá!K:K,MATCH(B794,Vöruskrá!B:B,0)),0)*C794/100000,""))</f>
        <v>4.2</v>
      </c>
      <c r="I794" s="169">
        <f>IF(OR(B794="",C794=""),"",IFERROR(IFERROR(INDEX(Vöruskrá!L:L,MATCH(B794,Vöruskrá!B:B,0)),0)*C794/100000,""))</f>
        <v>2.4</v>
      </c>
      <c r="J794" s="169">
        <f>IF(OR(B794="",C794=""),"",IFERROR(IFERROR(INDEX(Vöruskrá!M:M,MATCH(B794,Vöruskrá!B:B,0)),0)*C794/100000,""))</f>
        <v>0.64</v>
      </c>
      <c r="K794" s="169">
        <f>IF(OR(B794="",C794=""),"",IFERROR(IFERROR(INDEX(Vöruskrá!N:N,MATCH(B794,Vöruskrá!B:B,0)),0)*C794/100000,""))</f>
        <v>0.2</v>
      </c>
      <c r="L794" s="169">
        <f>IF(OR(B794="",C794=""),"",IFERROR(IFERROR(INDEX(Vöruskrá!O:O,MATCH(B794,Vöruskrá!B:B,0)),0)*C794/100000,""))</f>
        <v>4.8</v>
      </c>
      <c r="M794" s="169">
        <f>IF(OR(B794="",C794=""),"",IFERROR(IFERROR(INDEX(Vöruskrá!P:P,MATCH(B794,Vöruskrá!B:B,0)),0)*C794/100000,""))</f>
        <v>0.28000000000000003</v>
      </c>
      <c r="N794" s="169">
        <f>IF(OR(B794="",C794=""),"",IFERROR(IFERROR(INDEX(Vöruskrá!Q:Q,MATCH(B794,Vöruskrá!B:B,0)),0)*C794/100000,""))</f>
        <v>0</v>
      </c>
      <c r="O794" s="170">
        <f>IF(OR(B794="",C794=""),"",IFERROR(C794/1000*IFERROR(INDEX(Vöruskrá!R:R,MATCH(B794,Vöruskrá!B:B,0)),0)/1000,""))</f>
        <v>0</v>
      </c>
      <c r="P794" s="171"/>
      <c r="Q794" s="158"/>
      <c r="R794" s="6"/>
    </row>
    <row r="795" spans="1:18">
      <c r="A795" s="173"/>
      <c r="B795" s="173" t="s">
        <v>1894</v>
      </c>
      <c r="C795" s="174">
        <v>15000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7"/>
      <c r="R795" s="27"/>
    </row>
    <row r="796" spans="1:18" ht="15">
      <c r="A796" s="171"/>
      <c r="B796" s="171" t="s">
        <v>1467</v>
      </c>
      <c r="C796" s="172">
        <v>3000</v>
      </c>
      <c r="D796" s="168"/>
      <c r="E796" s="168"/>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158"/>
      <c r="R796" s="6"/>
    </row>
    <row r="797" spans="1:18" ht="15">
      <c r="A797" s="173"/>
      <c r="B797" s="173" t="s">
        <v>815</v>
      </c>
      <c r="C797" s="174">
        <v>500</v>
      </c>
      <c r="D797" s="168" t="s">
        <v>816</v>
      </c>
      <c r="E797" s="168"/>
      <c r="F797" s="168" t="s">
        <v>311</v>
      </c>
      <c r="G797" s="169">
        <f>IF(OR(B797="",C797=""),"",IFERROR(IFERROR(INDEX(Vöruskrá!J:J,MATCH(B797,Vöruskrá!B:B,0)),0)*C797/100000,""))</f>
        <v>2.4</v>
      </c>
      <c r="H797" s="169">
        <f>IF(OR(B797="",C797=""),"",IFERROR(IFERROR(INDEX(Vöruskrá!K:K,MATCH(B797,Vöruskrá!B:B,0)),0)*C797/100000,""))</f>
        <v>0.05</v>
      </c>
      <c r="I797" s="169">
        <f>IF(OR(B797="",C797=""),"",IFERROR(IFERROR(INDEX(Vöruskrá!L:L,MATCH(B797,Vöruskrá!B:B,0)),0)*C797/100000,""))</f>
        <v>1.35E-2</v>
      </c>
      <c r="J797" s="169">
        <f>IF(OR(B797="",C797=""),"",IFERROR(IFERROR(INDEX(Vöruskrá!M:M,MATCH(B797,Vöruskrá!B:B,0)),0)*C797/100000,""))</f>
        <v>0.32</v>
      </c>
      <c r="K797" s="169">
        <f>IF(OR(B797="",C797=""),"",IFERROR(IFERROR(INDEX(Vöruskrá!N:N,MATCH(B797,Vöruskrá!B:B,0)),0)*C797/100000,""))</f>
        <v>2.0500000000000001E-2</v>
      </c>
      <c r="L797" s="169">
        <f>IF(OR(B797="",C797=""),"",IFERROR(IFERROR(INDEX(Vöruskrá!O:O,MATCH(B797,Vöruskrá!B:B,0)),0)*C797/100000,""))</f>
        <v>5.5E-2</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7"/>
      <c r="R797" s="27"/>
    </row>
    <row r="798" spans="1:18" ht="15">
      <c r="A798" s="171"/>
      <c r="B798" s="171" t="s">
        <v>299</v>
      </c>
      <c r="C798" s="172">
        <v>1000</v>
      </c>
      <c r="D798" s="168" t="s">
        <v>302</v>
      </c>
      <c r="E798" s="168" t="s">
        <v>134</v>
      </c>
      <c r="F798" s="168" t="s">
        <v>303</v>
      </c>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1</v>
      </c>
      <c r="N798" s="169">
        <f>IF(OR(B798="",C798=""),"",IFERROR(IFERROR(INDEX(Vöruskrá!Q:Q,MATCH(B798,Vöruskrá!B:B,0)),0)*C798/100000,""))</f>
        <v>0</v>
      </c>
      <c r="O798" s="170">
        <f>IF(OR(B798="",C798=""),"",IFERROR(C798/1000*IFERROR(INDEX(Vöruskrá!R:R,MATCH(B798,Vöruskrá!B:B,0)),0)/1000,""))</f>
        <v>0</v>
      </c>
      <c r="P798" s="171"/>
      <c r="Q798" s="158"/>
      <c r="R798" s="6"/>
    </row>
    <row r="799" spans="1:18" ht="15">
      <c r="A799" s="173"/>
      <c r="B799" s="173" t="s">
        <v>819</v>
      </c>
      <c r="C799" s="174">
        <v>500</v>
      </c>
      <c r="D799" s="168" t="s">
        <v>820</v>
      </c>
      <c r="E799" s="168"/>
      <c r="F799" s="168" t="s">
        <v>311</v>
      </c>
      <c r="G799" s="169">
        <f>IF(OR(B799="",C799=""),"",IFERROR(IFERROR(INDEX(Vöruskrá!J:J,MATCH(B799,Vöruskrá!B:B,0)),0)*C799/100000,""))</f>
        <v>1.93</v>
      </c>
      <c r="H799" s="169">
        <f>IF(OR(B799="",C799=""),"",IFERROR(IFERROR(INDEX(Vöruskrá!K:K,MATCH(B799,Vöruskrá!B:B,0)),0)*C799/100000,""))</f>
        <v>1.6500000000000001E-2</v>
      </c>
      <c r="I799" s="169">
        <f>IF(OR(B799="",C799=""),"",IFERROR(IFERROR(INDEX(Vöruskrá!L:L,MATCH(B799,Vöruskrá!B:B,0)),0)*C799/100000,""))</f>
        <v>5.0000000000000001E-3</v>
      </c>
      <c r="J799" s="169">
        <f>IF(OR(B799="",C799=""),"",IFERROR(IFERROR(INDEX(Vöruskrá!M:M,MATCH(B799,Vöruskrá!B:B,0)),0)*C799/100000,""))</f>
        <v>0.32500000000000001</v>
      </c>
      <c r="K799" s="169">
        <f>IF(OR(B799="",C799=""),"",IFERROR(IFERROR(INDEX(Vöruskrá!N:N,MATCH(B799,Vöruskrá!B:B,0)),0)*C799/100000,""))</f>
        <v>3.0000000000000001E-3</v>
      </c>
      <c r="L799" s="169">
        <f>IF(OR(B799="",C799=""),"",IFERROR(IFERROR(INDEX(Vöruskrá!O:O,MATCH(B799,Vöruskrá!B:B,0)),0)*C799/100000,""))</f>
        <v>5.5E-2</v>
      </c>
      <c r="M799" s="169">
        <f>IF(OR(B799="",C799=""),"",IFERROR(IFERROR(INDEX(Vöruskrá!P:P,MATCH(B799,Vöruskrá!B:B,0)),0)*C799/100000,""))</f>
        <v>5.0000000000000001E-4</v>
      </c>
      <c r="N799" s="169">
        <f>IF(OR(B799="",C799=""),"",IFERROR(IFERROR(INDEX(Vöruskrá!Q:Q,MATCH(B799,Vöruskrá!B:B,0)),0)*C799/100000,""))</f>
        <v>0</v>
      </c>
      <c r="O799" s="170">
        <f>IF(OR(B799="",C799=""),"",IFERROR(C799/1000*IFERROR(INDEX(Vöruskrá!R:R,MATCH(B799,Vöruskrá!B:B,0)),0)/1000,""))</f>
        <v>0</v>
      </c>
      <c r="P799" s="173"/>
      <c r="Q799" s="201"/>
      <c r="R799" s="202"/>
    </row>
    <row r="800" spans="1:18" ht="48">
      <c r="A800" s="147" t="s">
        <v>1962</v>
      </c>
      <c r="B800" s="147"/>
      <c r="C800" s="148"/>
      <c r="D800" s="165" t="s">
        <v>1963</v>
      </c>
      <c r="E800" s="165" t="s">
        <v>134</v>
      </c>
      <c r="F800" s="165"/>
      <c r="G800" s="166">
        <v>7.12</v>
      </c>
      <c r="H800" s="166">
        <v>0.11</v>
      </c>
      <c r="I800" s="166">
        <v>0.03</v>
      </c>
      <c r="J800" s="166">
        <v>1.08</v>
      </c>
      <c r="K800" s="166"/>
      <c r="L800" s="166">
        <v>0.19</v>
      </c>
      <c r="M800" s="166">
        <v>1</v>
      </c>
      <c r="N800" s="166">
        <f>IFERROR(SUM(N801:N811)/(SUM($C$801:$C$811)/100000),"")</f>
        <v>1.0500000000000001E-2</v>
      </c>
      <c r="O800" s="167" t="str">
        <f>IF(OR(B800="",C800=""),"",IFERROR(C800/1000*IFERROR(INDEX(Vöruskrá!R:R,MATCH(B800,Vöruskrá!B:B,0)),0)/1000,""))</f>
        <v/>
      </c>
      <c r="P800" s="196" t="s">
        <v>1964</v>
      </c>
      <c r="Q800" s="195" t="s">
        <v>1965</v>
      </c>
      <c r="R800" s="194" t="s">
        <v>1966</v>
      </c>
    </row>
    <row r="801" spans="1:18" ht="15">
      <c r="A801" s="171"/>
      <c r="B801" s="171" t="s">
        <v>1500</v>
      </c>
      <c r="C801" s="172">
        <v>30000</v>
      </c>
      <c r="D801" s="168"/>
      <c r="E801" s="168"/>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203"/>
      <c r="R801" s="204"/>
    </row>
    <row r="802" spans="1:18">
      <c r="A802" s="173"/>
      <c r="B802" s="173" t="s">
        <v>1894</v>
      </c>
      <c r="C802" s="174">
        <v>35000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1495</v>
      </c>
      <c r="C803" s="172">
        <v>15000</v>
      </c>
      <c r="D803" s="168"/>
      <c r="E803" s="168"/>
      <c r="F803" s="168"/>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7"/>
      <c r="R803" s="27"/>
    </row>
    <row r="804" spans="1:18" ht="15">
      <c r="A804" s="173"/>
      <c r="B804" s="173" t="s">
        <v>1020</v>
      </c>
      <c r="C804" s="174">
        <v>10000</v>
      </c>
      <c r="D804" s="168" t="s">
        <v>1020</v>
      </c>
      <c r="E804" s="168" t="s">
        <v>134</v>
      </c>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3"/>
      <c r="Q804" s="158"/>
      <c r="R804" s="6"/>
    </row>
    <row r="805" spans="1:18" ht="15">
      <c r="A805" s="171"/>
      <c r="B805" s="171" t="s">
        <v>1467</v>
      </c>
      <c r="C805" s="172">
        <v>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7"/>
      <c r="R805" s="27"/>
    </row>
    <row r="806" spans="1:18" ht="15">
      <c r="A806" s="173"/>
      <c r="B806" s="173" t="s">
        <v>823</v>
      </c>
      <c r="C806" s="174">
        <v>500</v>
      </c>
      <c r="D806" s="168" t="s">
        <v>824</v>
      </c>
      <c r="E806" s="168"/>
      <c r="F806" s="168" t="s">
        <v>311</v>
      </c>
      <c r="G806" s="169">
        <f>IF(OR(B806="",C806=""),"",IFERROR(IFERROR(INDEX(Vöruskrá!J:J,MATCH(B806,Vöruskrá!B:B,0)),0)*C806/100000,""))</f>
        <v>1.425</v>
      </c>
      <c r="H806" s="169">
        <f>IF(OR(B806="",C806=""),"",IFERROR(IFERROR(INDEX(Vöruskrá!K:K,MATCH(B806,Vöruskrá!B:B,0)),0)*C806/100000,""))</f>
        <v>3.6999999999999998E-2</v>
      </c>
      <c r="I806" s="169">
        <f>IF(OR(B806="",C806=""),"",IFERROR(IFERROR(INDEX(Vöruskrá!L:L,MATCH(B806,Vöruskrá!B:B,0)),0)*C806/100000,""))</f>
        <v>1.35E-2</v>
      </c>
      <c r="J806" s="169">
        <f>IF(OR(B806="",C806=""),"",IFERROR(IFERROR(INDEX(Vöruskrá!M:M,MATCH(B806,Vöruskrá!B:B,0)),0)*C806/100000,""))</f>
        <v>0.13500000000000001</v>
      </c>
      <c r="K806" s="169">
        <f>IF(OR(B806="",C806=""),"",IFERROR(IFERROR(INDEX(Vöruskrá!N:N,MATCH(B806,Vöruskrá!B:B,0)),0)*C806/100000,""))</f>
        <v>8.5000000000000006E-3</v>
      </c>
      <c r="L806" s="169">
        <f>IF(OR(B806="",C806=""),"",IFERROR(IFERROR(INDEX(Vöruskrá!O:O,MATCH(B806,Vöruskrá!B:B,0)),0)*C806/100000,""))</f>
        <v>4.5499999999999999E-2</v>
      </c>
      <c r="M806" s="169">
        <f>IF(OR(B806="",C806=""),"",IFERROR(IFERROR(INDEX(Vöruskrá!P:P,MATCH(B806,Vöruskrá!B:B,0)),0)*C806/100000,""))</f>
        <v>5.0000000000000001E-4</v>
      </c>
      <c r="N806" s="169">
        <f>IF(OR(B806="",C806=""),"",IFERROR(IFERROR(INDEX(Vöruskrá!Q:Q,MATCH(B806,Vöruskrá!B:B,0)),0)*C806/100000,""))</f>
        <v>0</v>
      </c>
      <c r="O806" s="170">
        <f>IF(OR(B806="",C806=""),"",IFERROR(C806/1000*IFERROR(INDEX(Vöruskrá!R:R,MATCH(B806,Vöruskrá!B:B,0)),0)/1000,""))</f>
        <v>0</v>
      </c>
      <c r="P806" s="173"/>
      <c r="Q806" s="158"/>
      <c r="R806" s="6"/>
    </row>
    <row r="807" spans="1:18" ht="15">
      <c r="A807" s="171"/>
      <c r="B807" s="171" t="s">
        <v>815</v>
      </c>
      <c r="C807" s="172">
        <v>500</v>
      </c>
      <c r="D807" s="168" t="s">
        <v>816</v>
      </c>
      <c r="E807" s="168"/>
      <c r="F807" s="168" t="s">
        <v>311</v>
      </c>
      <c r="G807" s="169">
        <f>IF(OR(B807="",C807=""),"",IFERROR(IFERROR(INDEX(Vöruskrá!J:J,MATCH(B807,Vöruskrá!B:B,0)),0)*C807/100000,""))</f>
        <v>2.4</v>
      </c>
      <c r="H807" s="169">
        <f>IF(OR(B807="",C807=""),"",IFERROR(IFERROR(INDEX(Vöruskrá!K:K,MATCH(B807,Vöruskrá!B:B,0)),0)*C807/100000,""))</f>
        <v>0.05</v>
      </c>
      <c r="I807" s="169">
        <f>IF(OR(B807="",C807=""),"",IFERROR(IFERROR(INDEX(Vöruskrá!L:L,MATCH(B807,Vöruskrá!B:B,0)),0)*C807/100000,""))</f>
        <v>1.35E-2</v>
      </c>
      <c r="J807" s="169">
        <f>IF(OR(B807="",C807=""),"",IFERROR(IFERROR(INDEX(Vöruskrá!M:M,MATCH(B807,Vöruskrá!B:B,0)),0)*C807/100000,""))</f>
        <v>0.32</v>
      </c>
      <c r="K807" s="169">
        <f>IF(OR(B807="",C807=""),"",IFERROR(IFERROR(INDEX(Vöruskrá!N:N,MATCH(B807,Vöruskrá!B:B,0)),0)*C807/100000,""))</f>
        <v>2.0500000000000001E-2</v>
      </c>
      <c r="L807" s="169">
        <f>IF(OR(B807="",C807=""),"",IFERROR(IFERROR(INDEX(Vöruskrá!O:O,MATCH(B807,Vöruskrá!B:B,0)),0)*C807/100000,""))</f>
        <v>5.5E-2</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299</v>
      </c>
      <c r="C808" s="174">
        <v>1000</v>
      </c>
      <c r="D808" s="168" t="s">
        <v>302</v>
      </c>
      <c r="E808" s="168" t="s">
        <v>134</v>
      </c>
      <c r="F808" s="168" t="s">
        <v>303</v>
      </c>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1</v>
      </c>
      <c r="N808" s="169">
        <f>IF(OR(B808="",C808=""),"",IFERROR(IFERROR(INDEX(Vöruskrá!Q:Q,MATCH(B808,Vöruskrá!B:B,0)),0)*C808/100000,""))</f>
        <v>0</v>
      </c>
      <c r="O808" s="170">
        <f>IF(OR(B808="",C808=""),"",IFERROR(C808/1000*IFERROR(INDEX(Vöruskrá!R:R,MATCH(B808,Vöruskrá!B:B,0)),0)/1000,""))</f>
        <v>0</v>
      </c>
      <c r="P808" s="173"/>
      <c r="Q808" s="158"/>
      <c r="R808" s="6"/>
    </row>
    <row r="809" spans="1:18" ht="15">
      <c r="A809" s="171"/>
      <c r="B809" s="171" t="s">
        <v>819</v>
      </c>
      <c r="C809" s="172">
        <v>500</v>
      </c>
      <c r="D809" s="168" t="s">
        <v>820</v>
      </c>
      <c r="E809" s="168"/>
      <c r="F809" s="168" t="s">
        <v>311</v>
      </c>
      <c r="G809" s="169">
        <f>IF(OR(B809="",C809=""),"",IFERROR(IFERROR(INDEX(Vöruskrá!J:J,MATCH(B809,Vöruskrá!B:B,0)),0)*C809/100000,""))</f>
        <v>1.93</v>
      </c>
      <c r="H809" s="169">
        <f>IF(OR(B809="",C809=""),"",IFERROR(IFERROR(INDEX(Vöruskrá!K:K,MATCH(B809,Vöruskrá!B:B,0)),0)*C809/100000,""))</f>
        <v>1.6500000000000001E-2</v>
      </c>
      <c r="I809" s="169">
        <f>IF(OR(B809="",C809=""),"",IFERROR(IFERROR(INDEX(Vöruskrá!L:L,MATCH(B809,Vöruskrá!B:B,0)),0)*C809/100000,""))</f>
        <v>5.0000000000000001E-3</v>
      </c>
      <c r="J809" s="169">
        <f>IF(OR(B809="",C809=""),"",IFERROR(IFERROR(INDEX(Vöruskrá!M:M,MATCH(B809,Vöruskrá!B:B,0)),0)*C809/100000,""))</f>
        <v>0.32500000000000001</v>
      </c>
      <c r="K809" s="169">
        <f>IF(OR(B809="",C809=""),"",IFERROR(IFERROR(INDEX(Vöruskrá!N:N,MATCH(B809,Vöruskrá!B:B,0)),0)*C809/100000,""))</f>
        <v>3.0000000000000001E-3</v>
      </c>
      <c r="L809" s="169">
        <f>IF(OR(B809="",C809=""),"",IFERROR(IFERROR(INDEX(Vöruskrá!O:O,MATCH(B809,Vöruskrá!B:B,0)),0)*C809/100000,""))</f>
        <v>5.5E-2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1"/>
      <c r="Q809" s="157"/>
      <c r="R809" s="27"/>
    </row>
    <row r="810" spans="1:18" ht="15">
      <c r="A810" s="173"/>
      <c r="B810" s="173" t="s">
        <v>833</v>
      </c>
      <c r="C810" s="174">
        <v>2000</v>
      </c>
      <c r="D810" s="168" t="s">
        <v>835</v>
      </c>
      <c r="E810" s="168"/>
      <c r="F810" s="168"/>
      <c r="G810" s="169">
        <f>IF(OR(B810="",C810=""),"",IFERROR(IFERROR(INDEX(Vöruskrá!J:J,MATCH(B810,Vöruskrá!B:B,0)),0)*C810/100000,""))</f>
        <v>0.62</v>
      </c>
      <c r="H810" s="169">
        <f>IF(OR(B810="",C810=""),"",IFERROR(IFERROR(INDEX(Vöruskrá!K:K,MATCH(B810,Vöruskrá!B:B,0)),0)*C810/100000,""))</f>
        <v>4.0000000000000001E-3</v>
      </c>
      <c r="I810" s="169">
        <f>IF(OR(B810="",C810=""),"",IFERROR(IFERROR(INDEX(Vöruskrá!L:L,MATCH(B810,Vöruskrá!B:B,0)),0)*C810/100000,""))</f>
        <v>0</v>
      </c>
      <c r="J810" s="169">
        <f>IF(OR(B810="",C810=""),"",IFERROR(IFERROR(INDEX(Vöruskrá!M:M,MATCH(B810,Vöruskrá!B:B,0)),0)*C810/100000,""))</f>
        <v>0.13800000000000001</v>
      </c>
      <c r="K810" s="169">
        <f>IF(OR(B810="",C810=""),"",IFERROR(IFERROR(INDEX(Vöruskrá!N:N,MATCH(B810,Vöruskrá!B:B,0)),0)*C810/100000,""))</f>
        <v>4.8000000000000001E-2</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8"/>
      <c r="R810" s="6"/>
    </row>
    <row r="811" spans="1:18" ht="15">
      <c r="A811" s="171"/>
      <c r="B811" s="171" t="s">
        <v>1017</v>
      </c>
      <c r="C811" s="172">
        <v>500</v>
      </c>
      <c r="D811" s="168" t="s">
        <v>1017</v>
      </c>
      <c r="E811" s="168" t="s">
        <v>134</v>
      </c>
      <c r="F811" s="168"/>
      <c r="G811" s="169">
        <f>IF(OR(B811="",C811=""),"",IFERROR(IFERROR(INDEX(Vöruskrá!J:J,MATCH(B811,Vöruskrá!B:B,0)),0)*C811/100000,""))</f>
        <v>0.745</v>
      </c>
      <c r="H811" s="169">
        <f>IF(OR(B811="",C811=""),"",IFERROR(IFERROR(INDEX(Vöruskrá!K:K,MATCH(B811,Vöruskrá!B:B,0)),0)*C811/100000,""))</f>
        <v>2.5000000000000001E-3</v>
      </c>
      <c r="I811" s="169">
        <f>IF(OR(B811="",C811=""),"",IFERROR(IFERROR(INDEX(Vöruskrá!L:L,MATCH(B811,Vöruskrá!B:B,0)),0)*C811/100000,""))</f>
        <v>5.0000000000000001E-4</v>
      </c>
      <c r="J811" s="169">
        <f>IF(OR(B811="",C811=""),"",IFERROR(IFERROR(INDEX(Vöruskrá!M:M,MATCH(B811,Vöruskrá!B:B,0)),0)*C811/100000,""))</f>
        <v>0.16550000000000001</v>
      </c>
      <c r="K811" s="169">
        <f>IF(OR(B811="",C811=""),"",IFERROR(IFERROR(INDEX(Vöruskrá!N:N,MATCH(B811,Vöruskrá!B:B,0)),0)*C811/100000,""))</f>
        <v>5.0000000000000001E-3</v>
      </c>
      <c r="L811" s="169">
        <f>IF(OR(B811="",C811=""),"",IFERROR(IFERROR(INDEX(Vöruskrá!O:O,MATCH(B811,Vöruskrá!B:B,0)),0)*C811/100000,""))</f>
        <v>3.2000000000000001E-2</v>
      </c>
      <c r="M811" s="169">
        <f>IF(OR(B811="",C811=""),"",IFERROR(IFERROR(INDEX(Vöruskrá!P:P,MATCH(B811,Vöruskrá!B:B,0)),0)*C811/100000,""))</f>
        <v>0</v>
      </c>
      <c r="N811" s="169">
        <f>IF(OR(B811="",C811=""),"",IFERROR(IFERROR(INDEX(Vöruskrá!Q:Q,MATCH(B811,Vöruskrá!B:B,0)),0)*C811/100000,""))</f>
        <v>1.0500000000000001E-2</v>
      </c>
      <c r="O811" s="170">
        <f>IF(OR(B811="",C811=""),"",IFERROR(C811/1000*IFERROR(INDEX(Vöruskrá!R:R,MATCH(B811,Vöruskrá!B:B,0)),0)/1000,""))</f>
        <v>0</v>
      </c>
      <c r="P811" s="171"/>
      <c r="Q811" s="201"/>
      <c r="R811" s="202"/>
    </row>
    <row r="812" spans="1:18" ht="60">
      <c r="A812" s="147" t="s">
        <v>1967</v>
      </c>
      <c r="B812" s="147"/>
      <c r="C812" s="148"/>
      <c r="D812" s="165" t="s">
        <v>1968</v>
      </c>
      <c r="E812" s="165" t="s">
        <v>1969</v>
      </c>
      <c r="F812" s="165"/>
      <c r="G812" s="166">
        <v>248.57</v>
      </c>
      <c r="H812" s="166">
        <v>16.3</v>
      </c>
      <c r="I812" s="166">
        <v>1.38</v>
      </c>
      <c r="J812" s="166">
        <v>24.28</v>
      </c>
      <c r="K812" s="166"/>
      <c r="L812" s="166">
        <v>3.99</v>
      </c>
      <c r="M812" s="166">
        <v>1.54</v>
      </c>
      <c r="N812" s="166">
        <f>IFERROR(SUM(N813:N820)/(SUM($C$813:$C$820)/100000),"")</f>
        <v>2.194</v>
      </c>
      <c r="O812" s="167" t="str">
        <f>IF(OR(B812="",C812=""),"",IFERROR(C812/1000*IFERROR(INDEX(Vöruskrá!R:R,MATCH(B812,Vöruskrá!B:B,0)),0)/1000,""))</f>
        <v/>
      </c>
      <c r="P812" s="196" t="s">
        <v>1970</v>
      </c>
      <c r="Q812" s="199" t="s">
        <v>1971</v>
      </c>
      <c r="R812" s="198" t="s">
        <v>1972</v>
      </c>
    </row>
    <row r="813" spans="1:18" ht="15">
      <c r="A813" s="171"/>
      <c r="B813" s="171" t="s">
        <v>510</v>
      </c>
      <c r="C813" s="172">
        <v>50000</v>
      </c>
      <c r="D813" s="168" t="s">
        <v>512</v>
      </c>
      <c r="E813" s="168" t="s">
        <v>513</v>
      </c>
      <c r="F813" s="168"/>
      <c r="G813" s="169">
        <f>IF(OR(B813="",C813=""),"",IFERROR(IFERROR(INDEX(Vöruskrá!J:J,MATCH(B813,Vöruskrá!B:B,0)),0)*C813/100000,""))</f>
        <v>88.5</v>
      </c>
      <c r="H813" s="169">
        <f>IF(OR(B813="",C813=""),"",IFERROR(IFERROR(INDEX(Vöruskrá!K:K,MATCH(B813,Vöruskrá!B:B,0)),0)*C813/100000,""))</f>
        <v>4.1500000000000004</v>
      </c>
      <c r="I813" s="169">
        <f>IF(OR(B813="",C813=""),"",IFERROR(IFERROR(INDEX(Vöruskrá!L:L,MATCH(B813,Vöruskrá!B:B,0)),0)*C813/100000,""))</f>
        <v>0.5</v>
      </c>
      <c r="J813" s="169">
        <f>IF(OR(B813="",C813=""),"",IFERROR(IFERROR(INDEX(Vöruskrá!M:M,MATCH(B813,Vöruskrá!B:B,0)),0)*C813/100000,""))</f>
        <v>10</v>
      </c>
      <c r="K813" s="169">
        <f>IF(OR(B813="",C813=""),"",IFERROR(IFERROR(INDEX(Vöruskrá!N:N,MATCH(B813,Vöruskrá!B:B,0)),0)*C813/100000,""))</f>
        <v>2</v>
      </c>
      <c r="L813" s="169">
        <f>IF(OR(B813="",C813=""),"",IFERROR(IFERROR(INDEX(Vöruskrá!O:O,MATCH(B813,Vöruskrá!B:B,0)),0)*C813/100000,""))</f>
        <v>1.9</v>
      </c>
      <c r="M813" s="169">
        <f>IF(OR(B813="",C813=""),"",IFERROR(IFERROR(INDEX(Vöruskrá!P:P,MATCH(B813,Vöruskrá!B:B,0)),0)*C813/100000,""))</f>
        <v>0.7</v>
      </c>
      <c r="N813" s="169">
        <f>IF(OR(B813="",C813=""),"",IFERROR(IFERROR(INDEX(Vöruskrá!Q:Q,MATCH(B813,Vöruskrá!B:B,0)),0)*C813/100000,""))</f>
        <v>1.75</v>
      </c>
      <c r="O813" s="170">
        <f>IF(OR(B813="",C813=""),"",IFERROR(C813/1000*IFERROR(INDEX(Vöruskrá!R:R,MATCH(B813,Vöruskrá!B:B,0)),0)/1000,""))</f>
        <v>0</v>
      </c>
      <c r="P813" s="171"/>
      <c r="Q813" s="203"/>
      <c r="R813" s="204"/>
    </row>
    <row r="814" spans="1:18" ht="15">
      <c r="A814" s="173"/>
      <c r="B814" s="173" t="s">
        <v>463</v>
      </c>
      <c r="C814" s="174">
        <v>20000</v>
      </c>
      <c r="D814" s="168" t="s">
        <v>465</v>
      </c>
      <c r="E814" s="168" t="s">
        <v>466</v>
      </c>
      <c r="F814" s="168" t="s">
        <v>467</v>
      </c>
      <c r="G814" s="169">
        <f>IF(OR(B814="",C814=""),"",IFERROR(IFERROR(INDEX(Vöruskrá!J:J,MATCH(B814,Vöruskrá!B:B,0)),0)*C814/100000,""))</f>
        <v>48.4</v>
      </c>
      <c r="H814" s="169">
        <f>IF(OR(B814="",C814=""),"",IFERROR(IFERROR(INDEX(Vöruskrá!K:K,MATCH(B814,Vöruskrá!B:B,0)),0)*C814/100000,""))</f>
        <v>0.5</v>
      </c>
      <c r="I814" s="169">
        <f>IF(OR(B814="",C814=""),"",IFERROR(IFERROR(INDEX(Vöruskrá!L:L,MATCH(B814,Vöruskrá!B:B,0)),0)*C814/100000,""))</f>
        <v>0.08</v>
      </c>
      <c r="J814" s="169">
        <f>IF(OR(B814="",C814=""),"",IFERROR(IFERROR(INDEX(Vöruskrá!M:M,MATCH(B814,Vöruskrá!B:B,0)),0)*C814/100000,""))</f>
        <v>8.8000000000000007</v>
      </c>
      <c r="K814" s="169">
        <f>IF(OR(B814="",C814=""),"",IFERROR(IFERROR(INDEX(Vöruskrá!N:N,MATCH(B814,Vöruskrá!B:B,0)),0)*C814/100000,""))</f>
        <v>0.12</v>
      </c>
      <c r="L814" s="169">
        <f>IF(OR(B814="",C814=""),"",IFERROR(IFERROR(INDEX(Vöruskrá!O:O,MATCH(B814,Vöruskrá!B:B,0)),0)*C814/100000,""))</f>
        <v>1.88</v>
      </c>
      <c r="M814" s="169">
        <f>IF(OR(B814="",C814=""),"",IFERROR(IFERROR(INDEX(Vöruskrá!P:P,MATCH(B814,Vöruskrá!B:B,0)),0)*C814/100000,""))</f>
        <v>0.26</v>
      </c>
      <c r="N814" s="169">
        <f>IF(OR(B814="",C814=""),"",IFERROR(IFERROR(INDEX(Vöruskrá!Q:Q,MATCH(B814,Vöruskrá!B:B,0)),0)*C814/100000,""))</f>
        <v>0.36</v>
      </c>
      <c r="O814" s="170">
        <f>IF(OR(B814="",C814=""),"",IFERROR(C814/1000*IFERROR(INDEX(Vöruskrá!R:R,MATCH(B814,Vöruskrá!B:B,0)),0)/1000,""))</f>
        <v>0</v>
      </c>
      <c r="P814" s="173"/>
      <c r="Q814" s="158"/>
      <c r="R814" s="6"/>
    </row>
    <row r="815" spans="1:18" ht="15">
      <c r="A815" s="171"/>
      <c r="B815" s="171" t="s">
        <v>627</v>
      </c>
      <c r="C815" s="172">
        <v>8000</v>
      </c>
      <c r="D815" s="168" t="s">
        <v>629</v>
      </c>
      <c r="E815" s="168"/>
      <c r="F815" s="168"/>
      <c r="G815" s="169">
        <f>IF(OR(B815="",C815=""),"",IFERROR(IFERROR(INDEX(Vöruskrá!J:J,MATCH(B815,Vöruskrá!B:B,0)),0)*C815/100000,""))</f>
        <v>4</v>
      </c>
      <c r="H815" s="169">
        <f>IF(OR(B815="",C815=""),"",IFERROR(IFERROR(INDEX(Vöruskrá!K:K,MATCH(B815,Vöruskrá!B:B,0)),0)*C815/100000,""))</f>
        <v>1.6E-2</v>
      </c>
      <c r="I815" s="169">
        <f>IF(OR(B815="",C815=""),"",IFERROR(IFERROR(INDEX(Vöruskrá!L:L,MATCH(B815,Vöruskrá!B:B,0)),0)*C815/100000,""))</f>
        <v>0</v>
      </c>
      <c r="J815" s="169">
        <f>IF(OR(B815="",C815=""),"",IFERROR(IFERROR(INDEX(Vöruskrá!M:M,MATCH(B815,Vöruskrá!B:B,0)),0)*C815/100000,""))</f>
        <v>0.79200000000000004</v>
      </c>
      <c r="K815" s="169">
        <f>IF(OR(B815="",C815=""),"",IFERROR(IFERROR(INDEX(Vöruskrá!N:N,MATCH(B815,Vöruskrá!B:B,0)),0)*C815/100000,""))</f>
        <v>0.77600000000000002</v>
      </c>
      <c r="L815" s="169">
        <f>IF(OR(B815="",C815=""),"",IFERROR(IFERROR(INDEX(Vöruskrá!O:O,MATCH(B815,Vöruskrá!B:B,0)),0)*C815/100000,""))</f>
        <v>0.08</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7"/>
      <c r="R815" s="27"/>
    </row>
    <row r="816" spans="1:18" ht="15">
      <c r="A816" s="173"/>
      <c r="B816" s="173" t="s">
        <v>500</v>
      </c>
      <c r="C816" s="174">
        <v>7000</v>
      </c>
      <c r="D816" s="168" t="s">
        <v>1129</v>
      </c>
      <c r="E816" s="168" t="s">
        <v>1099</v>
      </c>
      <c r="F816" s="168"/>
      <c r="G816" s="169">
        <f>IF(OR(B816="",C816=""),"",IFERROR(IFERROR(INDEX(Vöruskrá!J:J,MATCH(B816,Vöruskrá!B:B,0)),0)*C816/100000,""))</f>
        <v>1.26</v>
      </c>
      <c r="H816" s="169">
        <f>IF(OR(B816="",C816=""),"",IFERROR(IFERROR(INDEX(Vöruskrá!K:K,MATCH(B816,Vöruskrá!B:B,0)),0)*C816/100000,""))</f>
        <v>1.4E-2</v>
      </c>
      <c r="I816" s="169">
        <f>IF(OR(B816="",C816=""),"",IFERROR(IFERROR(INDEX(Vöruskrá!L:L,MATCH(B816,Vöruskrá!B:B,0)),0)*C816/100000,""))</f>
        <v>0</v>
      </c>
      <c r="J816" s="169">
        <f>IF(OR(B816="",C816=""),"",IFERROR(IFERROR(INDEX(Vöruskrá!M:M,MATCH(B816,Vöruskrá!B:B,0)),0)*C816/100000,""))</f>
        <v>0.27300000000000002</v>
      </c>
      <c r="K816" s="169">
        <f>IF(OR(B816="",C816=""),"",IFERROR(IFERROR(INDEX(Vöruskrá!N:N,MATCH(B816,Vöruskrá!B:B,0)),0)*C816/100000,""))</f>
        <v>0.182</v>
      </c>
      <c r="L816" s="169">
        <f>IF(OR(B816="",C816=""),"",IFERROR(IFERROR(INDEX(Vöruskrá!O:O,MATCH(B816,Vöruskrá!B:B,0)),0)*C816/100000,""))</f>
        <v>6.3E-2</v>
      </c>
      <c r="M816" s="169">
        <f>IF(OR(B816="",C816=""),"",IFERROR(IFERROR(INDEX(Vöruskrá!P:P,MATCH(B816,Vöruskrá!B:B,0)),0)*C816/100000,""))</f>
        <v>0</v>
      </c>
      <c r="N816" s="169">
        <f>IF(OR(B816="",C816=""),"",IFERROR(IFERROR(INDEX(Vöruskrá!Q:Q,MATCH(B816,Vöruskrá!B:B,0)),0)*C816/100000,""))</f>
        <v>8.4000000000000005E-2</v>
      </c>
      <c r="O816" s="170">
        <f>IF(OR(B816="",C816=""),"",IFERROR(C816/1000*IFERROR(INDEX(Vöruskrá!R:R,MATCH(B816,Vöruskrá!B:B,0)),0)/1000,""))</f>
        <v>0</v>
      </c>
      <c r="P816" s="173"/>
      <c r="Q816" s="158"/>
      <c r="R816" s="6"/>
    </row>
    <row r="817" spans="1:18" ht="15">
      <c r="A817" s="171"/>
      <c r="B817" s="171" t="s">
        <v>1405</v>
      </c>
      <c r="C817" s="172">
        <v>8000</v>
      </c>
      <c r="D817" s="168" t="s">
        <v>1407</v>
      </c>
      <c r="E817" s="168" t="s">
        <v>148</v>
      </c>
      <c r="F817" s="168"/>
      <c r="G817" s="169">
        <f>IF(OR(B817="",C817=""),"",IFERROR(IFERROR(INDEX(Vöruskrá!J:J,MATCH(B817,Vöruskrá!B:B,0)),0)*C817/100000,""))</f>
        <v>50.48</v>
      </c>
      <c r="H817" s="169">
        <f>IF(OR(B817="",C817=""),"",IFERROR(IFERROR(INDEX(Vöruskrá!K:K,MATCH(B817,Vöruskrá!B:B,0)),0)*C817/100000,""))</f>
        <v>5.6</v>
      </c>
      <c r="I817" s="169">
        <f>IF(OR(B817="",C817=""),"",IFERROR(IFERROR(INDEX(Vöruskrá!L:L,MATCH(B817,Vöruskrá!B:B,0)),0)*C817/100000,""))</f>
        <v>0.376</v>
      </c>
      <c r="J817" s="169">
        <f>IF(OR(B817="",C817=""),"",IFERROR(IFERROR(INDEX(Vöruskrá!M:M,MATCH(B817,Vöruskrá!B:B,0)),0)*C817/100000,""))</f>
        <v>0.192</v>
      </c>
      <c r="K817" s="169">
        <f>IF(OR(B817="",C817=""),"",IFERROR(IFERROR(INDEX(Vöruskrá!N:N,MATCH(B817,Vöruskrá!B:B,0)),0)*C817/100000,""))</f>
        <v>0.12</v>
      </c>
      <c r="L817" s="169">
        <f>IF(OR(B817="",C817=""),"",IFERROR(IFERROR(INDEX(Vöruskrá!O:O,MATCH(B817,Vöruskrá!B:B,0)),0)*C817/100000,""))</f>
        <v>8.0000000000000002E-3</v>
      </c>
      <c r="M817" s="169">
        <f>IF(OR(B817="",C817=""),"",IFERROR(IFERROR(INDEX(Vöruskrá!P:P,MATCH(B817,Vöruskrá!B:B,0)),0)*C817/100000,""))</f>
        <v>0.08</v>
      </c>
      <c r="N817" s="169">
        <f>IF(OR(B817="",C817=""),"",IFERROR(IFERROR(INDEX(Vöruskrá!Q:Q,MATCH(B817,Vöruskrá!B:B,0)),0)*C817/100000,""))</f>
        <v>0</v>
      </c>
      <c r="O817" s="170">
        <f>IF(OR(B817="",C817=""),"",IFERROR(C817/1000*IFERROR(INDEX(Vöruskrá!R:R,MATCH(B817,Vöruskrá!B:B,0)),0)/1000,""))</f>
        <v>0</v>
      </c>
      <c r="P817" s="171"/>
      <c r="Q817" s="157"/>
      <c r="R817" s="27"/>
    </row>
    <row r="818" spans="1:18" ht="15">
      <c r="A818" s="173"/>
      <c r="B818" s="173" t="s">
        <v>1270</v>
      </c>
      <c r="C818" s="174">
        <v>6000</v>
      </c>
      <c r="D818" s="168" t="s">
        <v>1270</v>
      </c>
      <c r="E818" s="168" t="s">
        <v>134</v>
      </c>
      <c r="F818" s="168"/>
      <c r="G818" s="169">
        <f>IF(OR(B818="",C818=""),"",IFERROR(IFERROR(INDEX(Vöruskrá!J:J,MATCH(B818,Vöruskrá!B:B,0)),0)*C818/100000,""))</f>
        <v>54</v>
      </c>
      <c r="H818" s="169">
        <f>IF(OR(B818="",C818=""),"",IFERROR(IFERROR(INDEX(Vöruskrá!K:K,MATCH(B818,Vöruskrá!B:B,0)),0)*C818/100000,""))</f>
        <v>6</v>
      </c>
      <c r="I818" s="169">
        <f>IF(OR(B818="",C818=""),"",IFERROR(IFERROR(INDEX(Vöruskrá!L:L,MATCH(B818,Vöruskrá!B:B,0)),0)*C818/100000,""))</f>
        <v>0.42</v>
      </c>
      <c r="J818" s="169">
        <f>IF(OR(B818="",C818=""),"",IFERROR(IFERROR(INDEX(Vöruskrá!M:M,MATCH(B818,Vöruskrá!B:B,0)),0)*C818/100000,""))</f>
        <v>3.9</v>
      </c>
      <c r="K818" s="169">
        <f>IF(OR(B818="",C818=""),"",IFERROR(IFERROR(INDEX(Vöruskrá!N:N,MATCH(B818,Vöruskrá!B:B,0)),0)*C818/100000,""))</f>
        <v>1.65</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3"/>
      <c r="Q818" s="158"/>
      <c r="R818" s="6"/>
    </row>
    <row r="819" spans="1:18" ht="15">
      <c r="A819" s="171"/>
      <c r="B819" s="171" t="s">
        <v>299</v>
      </c>
      <c r="C819" s="172">
        <v>500</v>
      </c>
      <c r="D819" s="168" t="s">
        <v>302</v>
      </c>
      <c r="E819" s="168" t="s">
        <v>134</v>
      </c>
      <c r="F819" s="168" t="s">
        <v>303</v>
      </c>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0.5</v>
      </c>
      <c r="N819" s="169">
        <f>IF(OR(B819="",C819=""),"",IFERROR(IFERROR(INDEX(Vöruskrá!Q:Q,MATCH(B819,Vöruskrá!B:B,0)),0)*C819/100000,""))</f>
        <v>0</v>
      </c>
      <c r="O819" s="170">
        <f>IF(OR(B819="",C819=""),"",IFERROR(C819/1000*IFERROR(INDEX(Vöruskrá!R:R,MATCH(B819,Vöruskrá!B:B,0)),0)/1000,""))</f>
        <v>0</v>
      </c>
      <c r="P819" s="171"/>
      <c r="Q819" s="157"/>
      <c r="R819" s="27"/>
    </row>
    <row r="820" spans="1:18" ht="15">
      <c r="A820" s="173"/>
      <c r="B820" s="173" t="s">
        <v>819</v>
      </c>
      <c r="C820" s="174">
        <v>500</v>
      </c>
      <c r="D820" s="168" t="s">
        <v>820</v>
      </c>
      <c r="E820" s="168"/>
      <c r="F820" s="168" t="s">
        <v>311</v>
      </c>
      <c r="G820" s="169">
        <f>IF(OR(B820="",C820=""),"",IFERROR(IFERROR(INDEX(Vöruskrá!J:J,MATCH(B820,Vöruskrá!B:B,0)),0)*C820/100000,""))</f>
        <v>1.93</v>
      </c>
      <c r="H820" s="169">
        <f>IF(OR(B820="",C820=""),"",IFERROR(IFERROR(INDEX(Vöruskrá!K:K,MATCH(B820,Vöruskrá!B:B,0)),0)*C820/100000,""))</f>
        <v>1.6500000000000001E-2</v>
      </c>
      <c r="I820" s="169">
        <f>IF(OR(B820="",C820=""),"",IFERROR(IFERROR(INDEX(Vöruskrá!L:L,MATCH(B820,Vöruskrá!B:B,0)),0)*C820/100000,""))</f>
        <v>5.0000000000000001E-3</v>
      </c>
      <c r="J820" s="169">
        <f>IF(OR(B820="",C820=""),"",IFERROR(IFERROR(INDEX(Vöruskrá!M:M,MATCH(B820,Vöruskrá!B:B,0)),0)*C820/100000,""))</f>
        <v>0.32500000000000001</v>
      </c>
      <c r="K820" s="169">
        <f>IF(OR(B820="",C820=""),"",IFERROR(IFERROR(INDEX(Vöruskrá!N:N,MATCH(B820,Vöruskrá!B:B,0)),0)*C820/100000,""))</f>
        <v>3.0000000000000001E-3</v>
      </c>
      <c r="L820" s="169">
        <f>IF(OR(B820="",C820=""),"",IFERROR(IFERROR(INDEX(Vöruskrá!O:O,MATCH(B820,Vöruskrá!B:B,0)),0)*C820/100000,""))</f>
        <v>5.5E-2</v>
      </c>
      <c r="M820" s="169">
        <f>IF(OR(B820="",C820=""),"",IFERROR(IFERROR(INDEX(Vöruskrá!P:P,MATCH(B820,Vöruskrá!B:B,0)),0)*C820/100000,""))</f>
        <v>5.0000000000000001E-4</v>
      </c>
      <c r="N820" s="169">
        <f>IF(OR(B820="",C820=""),"",IFERROR(IFERROR(INDEX(Vöruskrá!Q:Q,MATCH(B820,Vöruskrá!B:B,0)),0)*C820/100000,""))</f>
        <v>0</v>
      </c>
      <c r="O820" s="170">
        <f>IF(OR(B820="",C820=""),"",IFERROR(C820/1000*IFERROR(INDEX(Vöruskrá!R:R,MATCH(B820,Vöruskrá!B:B,0)),0)/1000,""))</f>
        <v>0</v>
      </c>
      <c r="P820" s="173"/>
      <c r="Q820" s="200"/>
      <c r="R820" s="159"/>
    </row>
    <row r="821" spans="1:18" ht="48">
      <c r="A821" s="147" t="s">
        <v>1973</v>
      </c>
      <c r="B821" s="147"/>
      <c r="C821" s="148"/>
      <c r="D821" s="165" t="s">
        <v>1974</v>
      </c>
      <c r="E821" s="165" t="s">
        <v>134</v>
      </c>
      <c r="F821" s="165"/>
      <c r="G821" s="166">
        <v>58.89</v>
      </c>
      <c r="H821" s="166">
        <v>4.71</v>
      </c>
      <c r="I821" s="166">
        <v>2.2200000000000002</v>
      </c>
      <c r="J821" s="166">
        <v>4.83</v>
      </c>
      <c r="K821" s="166"/>
      <c r="L821" s="166">
        <v>1.01</v>
      </c>
      <c r="M821" s="166">
        <v>0.67</v>
      </c>
      <c r="N821" s="166">
        <f>IFERROR(SUM(N822:N830)/(SUM($C$822:$C$830)/100000),"")</f>
        <v>0.80133333333333334</v>
      </c>
      <c r="O821" s="167" t="str">
        <f>IF(OR(B821="",C821=""),"",IFERROR(C821/1000*IFERROR(INDEX(Vöruskrá!R:R,MATCH(B821,Vöruskrá!B:B,0)),0)/1000,""))</f>
        <v/>
      </c>
      <c r="P821" s="196" t="s">
        <v>1975</v>
      </c>
      <c r="Q821" s="195" t="s">
        <v>1976</v>
      </c>
      <c r="R821" s="194" t="s">
        <v>1977</v>
      </c>
    </row>
    <row r="822" spans="1:18" ht="15">
      <c r="A822" s="171"/>
      <c r="B822" s="171" t="s">
        <v>1481</v>
      </c>
      <c r="C822" s="172">
        <v>40000</v>
      </c>
      <c r="D822" s="168"/>
      <c r="E822" s="168"/>
      <c r="F822" s="168"/>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197"/>
      <c r="R822" s="164"/>
    </row>
    <row r="823" spans="1:18" ht="15">
      <c r="A823" s="173"/>
      <c r="B823" s="173" t="s">
        <v>743</v>
      </c>
      <c r="C823" s="174">
        <v>15000</v>
      </c>
      <c r="D823" s="168" t="s">
        <v>745</v>
      </c>
      <c r="E823" s="168"/>
      <c r="F823" s="168"/>
      <c r="G823" s="169">
        <f>IF(OR(B823="",C823=""),"",IFERROR(IFERROR(INDEX(Vöruskrá!J:J,MATCH(B823,Vöruskrá!B:B,0)),0)*C823/100000,""))</f>
        <v>4.2</v>
      </c>
      <c r="H823" s="169">
        <f>IF(OR(B823="",C823=""),"",IFERROR(IFERROR(INDEX(Vöruskrá!K:K,MATCH(B823,Vöruskrá!B:B,0)),0)*C823/100000,""))</f>
        <v>1.4999999999999999E-2</v>
      </c>
      <c r="I823" s="169">
        <f>IF(OR(B823="",C823=""),"",IFERROR(IFERROR(INDEX(Vöruskrá!L:L,MATCH(B823,Vöruskrá!B:B,0)),0)*C823/100000,""))</f>
        <v>0</v>
      </c>
      <c r="J823" s="169">
        <f>IF(OR(B823="",C823=""),"",IFERROR(IFERROR(INDEX(Vöruskrá!M:M,MATCH(B823,Vöruskrá!B:B,0)),0)*C823/100000,""))</f>
        <v>0.75</v>
      </c>
      <c r="K823" s="169">
        <f>IF(OR(B823="",C823=""),"",IFERROR(IFERROR(INDEX(Vöruskrá!N:N,MATCH(B823,Vöruskrá!B:B,0)),0)*C823/100000,""))</f>
        <v>0.51</v>
      </c>
      <c r="L823" s="169">
        <f>IF(OR(B823="",C823=""),"",IFERROR(IFERROR(INDEX(Vöruskrá!O:O,MATCH(B823,Vöruskrá!B:B,0)),0)*C823/100000,""))</f>
        <v>0.22500000000000001</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3"/>
      <c r="Q823" s="157"/>
      <c r="R823" s="27"/>
    </row>
    <row r="824" spans="1:18" ht="15">
      <c r="A824" s="171"/>
      <c r="B824" s="171" t="s">
        <v>335</v>
      </c>
      <c r="C824" s="172">
        <v>10000</v>
      </c>
      <c r="D824" s="168" t="s">
        <v>337</v>
      </c>
      <c r="E824" s="168" t="s">
        <v>134</v>
      </c>
      <c r="F824" s="168"/>
      <c r="G824" s="169">
        <f>IF(OR(B824="",C824=""),"",IFERROR(IFERROR(INDEX(Vöruskrá!J:J,MATCH(B824,Vöruskrá!B:B,0)),0)*C824/100000,""))</f>
        <v>18.100000000000001</v>
      </c>
      <c r="H824" s="169">
        <f>IF(OR(B824="",C824=""),"",IFERROR(IFERROR(INDEX(Vöruskrá!K:K,MATCH(B824,Vöruskrá!B:B,0)),0)*C824/100000,""))</f>
        <v>1.8</v>
      </c>
      <c r="I824" s="169">
        <f>IF(OR(B824="",C824=""),"",IFERROR(IFERROR(INDEX(Vöruskrá!L:L,MATCH(B824,Vöruskrá!B:B,0)),0)*C824/100000,""))</f>
        <v>1.53</v>
      </c>
      <c r="J824" s="169">
        <f>IF(OR(B824="",C824=""),"",IFERROR(IFERROR(INDEX(Vöruskrá!M:M,MATCH(B824,Vöruskrá!B:B,0)),0)*C824/100000,""))</f>
        <v>0.28000000000000003</v>
      </c>
      <c r="K824" s="169">
        <f>IF(OR(B824="",C824=""),"",IFERROR(IFERROR(INDEX(Vöruskrá!N:N,MATCH(B824,Vöruskrá!B:B,0)),0)*C824/100000,""))</f>
        <v>0.1</v>
      </c>
      <c r="L824" s="169">
        <f>IF(OR(B824="",C824=""),"",IFERROR(IFERROR(INDEX(Vöruskrá!O:O,MATCH(B824,Vöruskrá!B:B,0)),0)*C824/100000,""))</f>
        <v>0.2</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58"/>
      <c r="R824" s="6"/>
    </row>
    <row r="825" spans="1:18" ht="15">
      <c r="A825" s="173"/>
      <c r="B825" s="173" t="s">
        <v>1010</v>
      </c>
      <c r="C825" s="174">
        <v>5000</v>
      </c>
      <c r="D825" s="168" t="s">
        <v>1010</v>
      </c>
      <c r="E825" s="168" t="s">
        <v>134</v>
      </c>
      <c r="F825" s="168"/>
      <c r="G825" s="169">
        <f>IF(OR(B825="",C825=""),"",IFERROR(IFERROR(INDEX(Vöruskrá!J:J,MATCH(B825,Vöruskrá!B:B,0)),0)*C825/100000,""))</f>
        <v>2</v>
      </c>
      <c r="H825" s="169">
        <f>IF(OR(B825="",C825=""),"",IFERROR(IFERROR(INDEX(Vöruskrá!K:K,MATCH(B825,Vöruskrá!B:B,0)),0)*C825/100000,""))</f>
        <v>5.0000000000000001E-3</v>
      </c>
      <c r="I825" s="169">
        <f>IF(OR(B825="",C825=""),"",IFERROR(IFERROR(INDEX(Vöruskrá!L:L,MATCH(B825,Vöruskrá!B:B,0)),0)*C825/100000,""))</f>
        <v>0</v>
      </c>
      <c r="J825" s="169">
        <f>IF(OR(B825="",C825=""),"",IFERROR(IFERROR(INDEX(Vöruskrá!M:M,MATCH(B825,Vöruskrá!B:B,0)),0)*C825/100000,""))</f>
        <v>0.46500000000000002</v>
      </c>
      <c r="K825" s="169">
        <f>IF(OR(B825="",C825=""),"",IFERROR(IFERROR(INDEX(Vöruskrá!N:N,MATCH(B825,Vöruskrá!B:B,0)),0)*C825/100000,""))</f>
        <v>0.21</v>
      </c>
      <c r="L825" s="169">
        <f>IF(OR(B825="",C825=""),"",IFERROR(IFERROR(INDEX(Vöruskrá!O:O,MATCH(B825,Vöruskrá!B:B,0)),0)*C825/100000,""))</f>
        <v>5.5E-2</v>
      </c>
      <c r="M825" s="169">
        <f>IF(OR(B825="",C825=""),"",IFERROR(IFERROR(INDEX(Vöruskrá!P:P,MATCH(B825,Vöruskrá!B:B,0)),0)*C825/100000,""))</f>
        <v>0</v>
      </c>
      <c r="N825" s="169">
        <f>IF(OR(B825="",C825=""),"",IFERROR(IFERROR(INDEX(Vöruskrá!Q:Q,MATCH(B825,Vöruskrá!B:B,0)),0)*C825/100000,""))</f>
        <v>8.5000000000000006E-2</v>
      </c>
      <c r="O825" s="170">
        <f>IF(OR(B825="",C825=""),"",IFERROR(C825/1000*IFERROR(INDEX(Vöruskrá!R:R,MATCH(B825,Vöruskrá!B:B,0)),0)/1000,""))</f>
        <v>0</v>
      </c>
      <c r="P825" s="173"/>
      <c r="Q825" s="157"/>
      <c r="R825" s="27"/>
    </row>
    <row r="826" spans="1:18" ht="15">
      <c r="A826" s="171"/>
      <c r="B826" s="171" t="s">
        <v>1017</v>
      </c>
      <c r="C826" s="172">
        <v>1000</v>
      </c>
      <c r="D826" s="168" t="s">
        <v>1017</v>
      </c>
      <c r="E826" s="168" t="s">
        <v>134</v>
      </c>
      <c r="F826" s="168"/>
      <c r="G826" s="169">
        <f>IF(OR(B826="",C826=""),"",IFERROR(IFERROR(INDEX(Vöruskrá!J:J,MATCH(B826,Vöruskrá!B:B,0)),0)*C826/100000,""))</f>
        <v>1.49</v>
      </c>
      <c r="H826" s="169">
        <f>IF(OR(B826="",C826=""),"",IFERROR(IFERROR(INDEX(Vöruskrá!K:K,MATCH(B826,Vöruskrá!B:B,0)),0)*C826/100000,""))</f>
        <v>5.0000000000000001E-3</v>
      </c>
      <c r="I826" s="169">
        <f>IF(OR(B826="",C826=""),"",IFERROR(IFERROR(INDEX(Vöruskrá!L:L,MATCH(B826,Vöruskrá!B:B,0)),0)*C826/100000,""))</f>
        <v>1E-3</v>
      </c>
      <c r="J826" s="169">
        <f>IF(OR(B826="",C826=""),"",IFERROR(IFERROR(INDEX(Vöruskrá!M:M,MATCH(B826,Vöruskrá!B:B,0)),0)*C826/100000,""))</f>
        <v>0.33100000000000002</v>
      </c>
      <c r="K826" s="169">
        <f>IF(OR(B826="",C826=""),"",IFERROR(IFERROR(INDEX(Vöruskrá!N:N,MATCH(B826,Vöruskrá!B:B,0)),0)*C826/100000,""))</f>
        <v>0.01</v>
      </c>
      <c r="L826" s="169">
        <f>IF(OR(B826="",C826=""),"",IFERROR(IFERROR(INDEX(Vöruskrá!O:O,MATCH(B826,Vöruskrá!B:B,0)),0)*C826/100000,""))</f>
        <v>6.4000000000000001E-2</v>
      </c>
      <c r="M826" s="169">
        <f>IF(OR(B826="",C826=""),"",IFERROR(IFERROR(INDEX(Vöruskrá!P:P,MATCH(B826,Vöruskrá!B:B,0)),0)*C826/100000,""))</f>
        <v>0</v>
      </c>
      <c r="N826" s="169">
        <f>IF(OR(B826="",C826=""),"",IFERROR(IFERROR(INDEX(Vöruskrá!Q:Q,MATCH(B826,Vöruskrá!B:B,0)),0)*C826/100000,""))</f>
        <v>2.1000000000000001E-2</v>
      </c>
      <c r="O826" s="170">
        <f>IF(OR(B826="",C826=""),"",IFERROR(C826/1000*IFERROR(INDEX(Vöruskrá!R:R,MATCH(B826,Vöruskrá!B:B,0)),0)/1000,""))</f>
        <v>0</v>
      </c>
      <c r="P826" s="171"/>
      <c r="Q826" s="158"/>
      <c r="R826" s="6"/>
    </row>
    <row r="827" spans="1:18" ht="15">
      <c r="A827" s="173"/>
      <c r="B827" s="173" t="s">
        <v>1022</v>
      </c>
      <c r="C827" s="174">
        <v>1500</v>
      </c>
      <c r="D827" s="168" t="s">
        <v>1023</v>
      </c>
      <c r="E827" s="168" t="s">
        <v>134</v>
      </c>
      <c r="F827" s="168" t="s">
        <v>1024</v>
      </c>
      <c r="G827" s="169">
        <f>IF(OR(B827="",C827=""),"",IFERROR(IFERROR(INDEX(Vöruskrá!J:J,MATCH(B827,Vöruskrá!B:B,0)),0)*C827/100000,""))</f>
        <v>4.875</v>
      </c>
      <c r="H827" s="169">
        <f>IF(OR(B827="",C827=""),"",IFERROR(IFERROR(INDEX(Vöruskrá!K:K,MATCH(B827,Vöruskrá!B:B,0)),0)*C827/100000,""))</f>
        <v>0.21</v>
      </c>
      <c r="I827" s="169">
        <f>IF(OR(B827="",C827=""),"",IFERROR(IFERROR(INDEX(Vöruskrá!L:L,MATCH(B827,Vöruskrá!B:B,0)),0)*C827/100000,""))</f>
        <v>0.03</v>
      </c>
      <c r="J827" s="169">
        <f>IF(OR(B827="",C827=""),"",IFERROR(IFERROR(INDEX(Vöruskrá!M:M,MATCH(B827,Vöruskrá!B:B,0)),0)*C827/100000,""))</f>
        <v>0.82499999999999996</v>
      </c>
      <c r="K827" s="169">
        <f>IF(OR(B827="",C827=""),"",IFERROR(IFERROR(INDEX(Vöruskrá!N:N,MATCH(B827,Vöruskrá!B:B,0)),0)*C827/100000,""))</f>
        <v>4.2000000000000003E-2</v>
      </c>
      <c r="L827" s="169">
        <f>IF(OR(B827="",C827=""),"",IFERROR(IFERROR(INDEX(Vöruskrá!O:O,MATCH(B827,Vöruskrá!B:B,0)),0)*C827/100000,""))</f>
        <v>0.21</v>
      </c>
      <c r="M827" s="169">
        <f>IF(OR(B827="",C827=""),"",IFERROR(IFERROR(INDEX(Vöruskrá!P:P,MATCH(B827,Vöruskrá!B:B,0)),0)*C827/100000,""))</f>
        <v>1.5E-3</v>
      </c>
      <c r="N827" s="169">
        <f>IF(OR(B827="",C827=""),"",IFERROR(IFERROR(INDEX(Vöruskrá!Q:Q,MATCH(B827,Vöruskrá!B:B,0)),0)*C827/100000,""))</f>
        <v>0.495</v>
      </c>
      <c r="O827" s="170">
        <f>IF(OR(B827="",C827=""),"",IFERROR(C827/1000*IFERROR(INDEX(Vöruskrá!R:R,MATCH(B827,Vöruskrá!B:B,0)),0)/1000,""))</f>
        <v>0</v>
      </c>
      <c r="P827" s="173"/>
      <c r="Q827" s="157"/>
      <c r="R827" s="27"/>
    </row>
    <row r="828" spans="1:18" ht="15">
      <c r="A828" s="171"/>
      <c r="B828" s="171" t="s">
        <v>1475</v>
      </c>
      <c r="C828" s="172">
        <v>500</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1"/>
      <c r="Q828" s="158"/>
      <c r="R828" s="6"/>
    </row>
    <row r="829" spans="1:18" ht="15">
      <c r="A829" s="173"/>
      <c r="B829" s="173" t="s">
        <v>299</v>
      </c>
      <c r="C829" s="174">
        <v>500</v>
      </c>
      <c r="D829" s="168" t="s">
        <v>302</v>
      </c>
      <c r="E829" s="168" t="s">
        <v>134</v>
      </c>
      <c r="F829" s="168" t="s">
        <v>303</v>
      </c>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0.5</v>
      </c>
      <c r="N829" s="169">
        <f>IF(OR(B829="",C829=""),"",IFERROR(IFERROR(INDEX(Vöruskrá!Q:Q,MATCH(B829,Vöruskrá!B:B,0)),0)*C829/100000,""))</f>
        <v>0</v>
      </c>
      <c r="O829" s="170">
        <f>IF(OR(B829="",C829=""),"",IFERROR(C829/1000*IFERROR(INDEX(Vöruskrá!R:R,MATCH(B829,Vöruskrá!B:B,0)),0)/1000,""))</f>
        <v>0</v>
      </c>
      <c r="P829" s="173"/>
      <c r="Q829" s="157"/>
      <c r="R829" s="27"/>
    </row>
    <row r="830" spans="1:18" ht="15">
      <c r="A830" s="171"/>
      <c r="B830" s="171" t="s">
        <v>1270</v>
      </c>
      <c r="C830" s="172">
        <v>1500</v>
      </c>
      <c r="D830" s="168" t="s">
        <v>1270</v>
      </c>
      <c r="E830" s="168" t="s">
        <v>134</v>
      </c>
      <c r="F830" s="168"/>
      <c r="G830" s="169">
        <f>IF(OR(B830="",C830=""),"",IFERROR(IFERROR(INDEX(Vöruskrá!J:J,MATCH(B830,Vöruskrá!B:B,0)),0)*C830/100000,""))</f>
        <v>13.5</v>
      </c>
      <c r="H830" s="169">
        <f>IF(OR(B830="",C830=""),"",IFERROR(IFERROR(INDEX(Vöruskrá!K:K,MATCH(B830,Vöruskrá!B:B,0)),0)*C830/100000,""))</f>
        <v>1.5</v>
      </c>
      <c r="I830" s="169">
        <f>IF(OR(B830="",C830=""),"",IFERROR(IFERROR(INDEX(Vöruskrá!L:L,MATCH(B830,Vöruskrá!B:B,0)),0)*C830/100000,""))</f>
        <v>0.105</v>
      </c>
      <c r="J830" s="169">
        <f>IF(OR(B830="",C830=""),"",IFERROR(IFERROR(INDEX(Vöruskrá!M:M,MATCH(B830,Vöruskrá!B:B,0)),0)*C830/100000,""))</f>
        <v>0.97499999999999998</v>
      </c>
      <c r="K830" s="169">
        <f>IF(OR(B830="",C830=""),"",IFERROR(IFERROR(INDEX(Vöruskrá!N:N,MATCH(B830,Vöruskrá!B:B,0)),0)*C830/100000,""))</f>
        <v>0.41249999999999998</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1"/>
      <c r="Q830" s="200"/>
      <c r="R830" s="159"/>
    </row>
    <row r="831" spans="1:18" ht="48">
      <c r="A831" s="147" t="s">
        <v>1978</v>
      </c>
      <c r="B831" s="147"/>
      <c r="C831" s="148"/>
      <c r="D831" s="165" t="s">
        <v>1979</v>
      </c>
      <c r="E831" s="165" t="s">
        <v>1655</v>
      </c>
      <c r="F831" s="165"/>
      <c r="G831" s="166">
        <v>184.6</v>
      </c>
      <c r="H831" s="166">
        <v>8.61</v>
      </c>
      <c r="I831" s="166">
        <v>3.09</v>
      </c>
      <c r="J831" s="166">
        <v>16.79</v>
      </c>
      <c r="K831" s="166"/>
      <c r="L831" s="166">
        <v>7.28</v>
      </c>
      <c r="M831" s="166">
        <v>2.2799999999999998</v>
      </c>
      <c r="N831" s="166">
        <f>IFERROR(SUM(N832:N838)/(SUM($C$832:$C$838)/100000),"")</f>
        <v>5.3630573248407645</v>
      </c>
      <c r="O831" s="167" t="str">
        <f>IF(OR(B831="",C831=""),"",IFERROR(C831/1000*IFERROR(INDEX(Vöruskrá!R:R,MATCH(B831,Vöruskrá!B:B,0)),0)/1000,""))</f>
        <v/>
      </c>
      <c r="P831" s="196" t="s">
        <v>1980</v>
      </c>
      <c r="Q831" s="199" t="s">
        <v>1981</v>
      </c>
      <c r="R831" s="198" t="s">
        <v>1982</v>
      </c>
    </row>
    <row r="832" spans="1:18" ht="15">
      <c r="A832" s="171"/>
      <c r="B832" s="171" t="s">
        <v>568</v>
      </c>
      <c r="C832" s="172">
        <v>40000</v>
      </c>
      <c r="D832" s="168" t="s">
        <v>569</v>
      </c>
      <c r="E832" s="168" t="s">
        <v>537</v>
      </c>
      <c r="F832" s="168" t="s">
        <v>570</v>
      </c>
      <c r="G832" s="169">
        <f>IF(OR(B832="",C832=""),"",IFERROR(IFERROR(INDEX(Vöruskrá!J:J,MATCH(B832,Vöruskrá!B:B,0)),0)*C832/100000,""))</f>
        <v>105.6</v>
      </c>
      <c r="H832" s="169">
        <f>IF(OR(B832="",C832=""),"",IFERROR(IFERROR(INDEX(Vöruskrá!K:K,MATCH(B832,Vöruskrá!B:B,0)),0)*C832/100000,""))</f>
        <v>3.12</v>
      </c>
      <c r="I832" s="169">
        <f>IF(OR(B832="",C832=""),"",IFERROR(IFERROR(INDEX(Vöruskrá!L:L,MATCH(B832,Vöruskrá!B:B,0)),0)*C832/100000,""))</f>
        <v>0.28000000000000003</v>
      </c>
      <c r="J832" s="169">
        <f>IF(OR(B832="",C832=""),"",IFERROR(IFERROR(INDEX(Vöruskrá!M:M,MATCH(B832,Vöruskrá!B:B,0)),0)*C832/100000,""))</f>
        <v>11.96</v>
      </c>
      <c r="K832" s="169">
        <f>IF(OR(B832="",C832=""),"",IFERROR(IFERROR(INDEX(Vöruskrá!N:N,MATCH(B832,Vöruskrá!B:B,0)),0)*C832/100000,""))</f>
        <v>1.1200000000000001</v>
      </c>
      <c r="L832" s="169">
        <f>IF(OR(B832="",C832=""),"",IFERROR(IFERROR(INDEX(Vöruskrá!O:O,MATCH(B832,Vöruskrá!B:B,0)),0)*C832/100000,""))</f>
        <v>5.32</v>
      </c>
      <c r="M832" s="169">
        <f>IF(OR(B832="",C832=""),"",IFERROR(IFERROR(INDEX(Vöruskrá!P:P,MATCH(B832,Vöruskrá!B:B,0)),0)*C832/100000,""))</f>
        <v>0.68</v>
      </c>
      <c r="N832" s="169">
        <f>IF(OR(B832="",C832=""),"",IFERROR(IFERROR(INDEX(Vöruskrá!Q:Q,MATCH(B832,Vöruskrá!B:B,0)),0)*C832/100000,""))</f>
        <v>4.2</v>
      </c>
      <c r="O832" s="170">
        <f>IF(OR(B832="",C832=""),"",IFERROR(C832/1000*IFERROR(INDEX(Vöruskrá!R:R,MATCH(B832,Vöruskrá!B:B,0)),0)/1000,""))</f>
        <v>0</v>
      </c>
      <c r="P832" s="171"/>
      <c r="Q832" s="197"/>
      <c r="R832" s="164"/>
    </row>
    <row r="833" spans="1:18" ht="15">
      <c r="A833" s="173"/>
      <c r="B833" s="173" t="s">
        <v>293</v>
      </c>
      <c r="C833" s="174">
        <v>10000</v>
      </c>
      <c r="D833" s="168" t="s">
        <v>295</v>
      </c>
      <c r="E833" s="168" t="s">
        <v>134</v>
      </c>
      <c r="F833" s="168"/>
      <c r="G833" s="169">
        <f>IF(OR(B833="",C833=""),"",IFERROR(IFERROR(INDEX(Vöruskrá!J:J,MATCH(B833,Vöruskrá!B:B,0)),0)*C833/100000,""))</f>
        <v>2.5</v>
      </c>
      <c r="H833" s="169">
        <f>IF(OR(B833="",C833=""),"",IFERROR(IFERROR(INDEX(Vöruskrá!K:K,MATCH(B833,Vöruskrá!B:B,0)),0)*C833/100000,""))</f>
        <v>0.03</v>
      </c>
      <c r="I833" s="169">
        <f>IF(OR(B833="",C833=""),"",IFERROR(IFERROR(INDEX(Vöruskrá!L:L,MATCH(B833,Vöruskrá!B:B,0)),0)*C833/100000,""))</f>
        <v>0</v>
      </c>
      <c r="J833" s="169">
        <f>IF(OR(B833="",C833=""),"",IFERROR(IFERROR(INDEX(Vöruskrá!M:M,MATCH(B833,Vöruskrá!B:B,0)),0)*C833/100000,""))</f>
        <v>0.5</v>
      </c>
      <c r="K833" s="169">
        <f>IF(OR(B833="",C833=""),"",IFERROR(IFERROR(INDEX(Vöruskrá!N:N,MATCH(B833,Vöruskrá!B:B,0)),0)*C833/100000,""))</f>
        <v>7.0000000000000007E-2</v>
      </c>
      <c r="L833" s="169">
        <f>IF(OR(B833="",C833=""),"",IFERROR(IFERROR(INDEX(Vöruskrá!O:O,MATCH(B833,Vöruskrá!B:B,0)),0)*C833/100000,""))</f>
        <v>0.05</v>
      </c>
      <c r="M833" s="169">
        <f>IF(OR(B833="",C833=""),"",IFERROR(IFERROR(INDEX(Vöruskrá!P:P,MATCH(B833,Vöruskrá!B:B,0)),0)*C833/100000,""))</f>
        <v>0.05</v>
      </c>
      <c r="N833" s="169">
        <f>IF(OR(B833="",C833=""),"",IFERROR(IFERROR(INDEX(Vöruskrá!Q:Q,MATCH(B833,Vöruskrá!B:B,0)),0)*C833/100000,""))</f>
        <v>0.01</v>
      </c>
      <c r="O833" s="170">
        <f>IF(OR(B833="",C833=""),"",IFERROR(C833/1000*IFERROR(INDEX(Vöruskrá!R:R,MATCH(B833,Vöruskrá!B:B,0)),0)/1000,""))</f>
        <v>0</v>
      </c>
      <c r="P833" s="173"/>
      <c r="Q833" s="157"/>
      <c r="R833" s="27"/>
    </row>
    <row r="834" spans="1:18" ht="15">
      <c r="A834" s="171"/>
      <c r="B834" s="171" t="s">
        <v>445</v>
      </c>
      <c r="C834" s="172">
        <v>4000</v>
      </c>
      <c r="D834" s="168" t="s">
        <v>448</v>
      </c>
      <c r="E834" s="168" t="s">
        <v>120</v>
      </c>
      <c r="F834" s="168"/>
      <c r="G834" s="169">
        <f>IF(OR(B834="",C834=""),"",IFERROR(IFERROR(INDEX(Vöruskrá!J:J,MATCH(B834,Vöruskrá!B:B,0)),0)*C834/100000,""))</f>
        <v>29.52</v>
      </c>
      <c r="H834" s="169">
        <f>IF(OR(B834="",C834=""),"",IFERROR(IFERROR(INDEX(Vöruskrá!K:K,MATCH(B834,Vöruskrá!B:B,0)),0)*C834/100000,""))</f>
        <v>3.28</v>
      </c>
      <c r="I834" s="169">
        <f>IF(OR(B834="",C834=""),"",IFERROR(IFERROR(INDEX(Vöruskrá!L:L,MATCH(B834,Vöruskrá!B:B,0)),0)*C834/100000,""))</f>
        <v>1.96</v>
      </c>
      <c r="J834" s="169">
        <f>IF(OR(B834="",C834=""),"",IFERROR(IFERROR(INDEX(Vöruskrá!M:M,MATCH(B834,Vöruskrá!B:B,0)),0)*C834/100000,""))</f>
        <v>1.6E-2</v>
      </c>
      <c r="K834" s="169">
        <f>IF(OR(B834="",C834=""),"",IFERROR(IFERROR(INDEX(Vöruskrá!N:N,MATCH(B834,Vöruskrá!B:B,0)),0)*C834/100000,""))</f>
        <v>1.6E-2</v>
      </c>
      <c r="L834" s="169">
        <f>IF(OR(B834="",C834=""),"",IFERROR(IFERROR(INDEX(Vöruskrá!O:O,MATCH(B834,Vöruskrá!B:B,0)),0)*C834/100000,""))</f>
        <v>2.4E-2</v>
      </c>
      <c r="M834" s="169">
        <f>IF(OR(B834="",C834=""),"",IFERROR(IFERROR(INDEX(Vöruskrá!P:P,MATCH(B834,Vöruskrá!B:B,0)),0)*C834/100000,""))</f>
        <v>4.8000000000000001E-2</v>
      </c>
      <c r="N834" s="169">
        <f>IF(OR(B834="",C834=""),"",IFERROR(IFERROR(INDEX(Vöruskrá!Q:Q,MATCH(B834,Vöruskrá!B:B,0)),0)*C834/100000,""))</f>
        <v>0</v>
      </c>
      <c r="O834" s="170">
        <f>IF(OR(B834="",C834=""),"",IFERROR(C834/1000*IFERROR(INDEX(Vöruskrá!R:R,MATCH(B834,Vöruskrá!B:B,0)),0)/1000,""))</f>
        <v>0</v>
      </c>
      <c r="P834" s="171"/>
      <c r="Q834" s="158"/>
      <c r="R834" s="6"/>
    </row>
    <row r="835" spans="1:18" ht="15">
      <c r="A835" s="173"/>
      <c r="B835" s="173" t="s">
        <v>849</v>
      </c>
      <c r="C835" s="174">
        <v>8000</v>
      </c>
      <c r="D835" s="168" t="s">
        <v>850</v>
      </c>
      <c r="E835" s="168" t="s">
        <v>120</v>
      </c>
      <c r="F835" s="168"/>
      <c r="G835" s="169">
        <f>IF(OR(B835="",C835=""),"",IFERROR(IFERROR(INDEX(Vöruskrá!J:J,MATCH(B835,Vöruskrá!B:B,0)),0)*C835/100000,""))</f>
        <v>5.36</v>
      </c>
      <c r="H835" s="169">
        <f>IF(OR(B835="",C835=""),"",IFERROR(IFERROR(INDEX(Vöruskrá!K:K,MATCH(B835,Vöruskrá!B:B,0)),0)*C835/100000,""))</f>
        <v>0.312</v>
      </c>
      <c r="I835" s="169">
        <f>IF(OR(B835="",C835=""),"",IFERROR(IFERROR(INDEX(Vöruskrá!L:L,MATCH(B835,Vöruskrá!B:B,0)),0)*C835/100000,""))</f>
        <v>0.184</v>
      </c>
      <c r="J835" s="169">
        <f>IF(OR(B835="",C835=""),"",IFERROR(IFERROR(INDEX(Vöruskrá!M:M,MATCH(B835,Vöruskrá!B:B,0)),0)*C835/100000,""))</f>
        <v>0.376</v>
      </c>
      <c r="K835" s="169">
        <f>IF(OR(B835="",C835=""),"",IFERROR(IFERROR(INDEX(Vöruskrá!N:N,MATCH(B835,Vöruskrá!B:B,0)),0)*C835/100000,""))</f>
        <v>0.376</v>
      </c>
      <c r="L835" s="169">
        <f>IF(OR(B835="",C835=""),"",IFERROR(IFERROR(INDEX(Vöruskrá!O:O,MATCH(B835,Vöruskrá!B:B,0)),0)*C835/100000,""))</f>
        <v>0.26400000000000001</v>
      </c>
      <c r="M835" s="169">
        <f>IF(OR(B835="",C835=""),"",IFERROR(IFERROR(INDEX(Vöruskrá!P:P,MATCH(B835,Vöruskrá!B:B,0)),0)*C835/100000,""))</f>
        <v>8.0000000000000002E-3</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299</v>
      </c>
      <c r="C836" s="172">
        <v>1000</v>
      </c>
      <c r="D836" s="168" t="s">
        <v>302</v>
      </c>
      <c r="E836" s="168" t="s">
        <v>134</v>
      </c>
      <c r="F836" s="168" t="s">
        <v>303</v>
      </c>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1</v>
      </c>
      <c r="N836" s="169">
        <f>IF(OR(B836="",C836=""),"",IFERROR(IFERROR(INDEX(Vöruskrá!Q:Q,MATCH(B836,Vöruskrá!B:B,0)),0)*C836/100000,""))</f>
        <v>0</v>
      </c>
      <c r="O836" s="170">
        <f>IF(OR(B836="",C836=""),"",IFERROR(C836/1000*IFERROR(INDEX(Vöruskrá!R:R,MATCH(B836,Vöruskrá!B:B,0)),0)/1000,""))</f>
        <v>0</v>
      </c>
      <c r="P836" s="171"/>
      <c r="Q836" s="158"/>
      <c r="R836" s="6"/>
    </row>
    <row r="837" spans="1:18" ht="15">
      <c r="A837" s="173"/>
      <c r="B837" s="173" t="s">
        <v>819</v>
      </c>
      <c r="C837" s="174">
        <v>500</v>
      </c>
      <c r="D837" s="168" t="s">
        <v>820</v>
      </c>
      <c r="E837" s="168"/>
      <c r="F837" s="168" t="s">
        <v>311</v>
      </c>
      <c r="G837" s="169">
        <f>IF(OR(B837="",C837=""),"",IFERROR(IFERROR(INDEX(Vöruskrá!J:J,MATCH(B837,Vöruskrá!B:B,0)),0)*C837/100000,""))</f>
        <v>1.93</v>
      </c>
      <c r="H837" s="169">
        <f>IF(OR(B837="",C837=""),"",IFERROR(IFERROR(INDEX(Vöruskrá!K:K,MATCH(B837,Vöruskrá!B:B,0)),0)*C837/100000,""))</f>
        <v>1.6500000000000001E-2</v>
      </c>
      <c r="I837" s="169">
        <f>IF(OR(B837="",C837=""),"",IFERROR(IFERROR(INDEX(Vöruskrá!L:L,MATCH(B837,Vöruskrá!B:B,0)),0)*C837/100000,""))</f>
        <v>5.0000000000000001E-3</v>
      </c>
      <c r="J837" s="169">
        <f>IF(OR(B837="",C837=""),"",IFERROR(IFERROR(INDEX(Vöruskrá!M:M,MATCH(B837,Vöruskrá!B:B,0)),0)*C837/100000,""))</f>
        <v>0.32500000000000001</v>
      </c>
      <c r="K837" s="169">
        <f>IF(OR(B837="",C837=""),"",IFERROR(IFERROR(INDEX(Vöruskrá!N:N,MATCH(B837,Vöruskrá!B:B,0)),0)*C837/100000,""))</f>
        <v>3.0000000000000001E-3</v>
      </c>
      <c r="L837" s="169">
        <f>IF(OR(B837="",C837=""),"",IFERROR(IFERROR(INDEX(Vöruskrá!O:O,MATCH(B837,Vöruskrá!B:B,0)),0)*C837/100000,""))</f>
        <v>5.5E-2</v>
      </c>
      <c r="M837" s="169">
        <f>IF(OR(B837="",C837=""),"",IFERROR(IFERROR(INDEX(Vöruskrá!P:P,MATCH(B837,Vöruskrá!B:B,0)),0)*C837/100000,""))</f>
        <v>5.0000000000000001E-4</v>
      </c>
      <c r="N837" s="169">
        <f>IF(OR(B837="",C837=""),"",IFERROR(IFERROR(INDEX(Vöruskrá!Q:Q,MATCH(B837,Vöruskrá!B:B,0)),0)*C837/100000,""))</f>
        <v>0</v>
      </c>
      <c r="O837" s="170">
        <f>IF(OR(B837="",C837=""),"",IFERROR(C837/1000*IFERROR(INDEX(Vöruskrá!R:R,MATCH(B837,Vöruskrá!B:B,0)),0)/1000,""))</f>
        <v>0</v>
      </c>
      <c r="P837" s="173"/>
      <c r="Q837" s="157"/>
      <c r="R837" s="27"/>
    </row>
    <row r="838" spans="1:18" ht="15">
      <c r="A838" s="175"/>
      <c r="B838" s="175" t="s">
        <v>1020</v>
      </c>
      <c r="C838" s="176">
        <v>15000</v>
      </c>
      <c r="D838" s="177" t="s">
        <v>1020</v>
      </c>
      <c r="E838" s="177" t="s">
        <v>134</v>
      </c>
      <c r="F838" s="177"/>
      <c r="G838" s="178">
        <f>IF(OR(B838="",C838=""),"",IFERROR(IFERROR(INDEX(Vöruskrá!J:J,MATCH(B838,Vöruskrá!B:B,0)),0)*C838/100000,""))</f>
        <v>0</v>
      </c>
      <c r="H838" s="178">
        <f>IF(OR(B838="",C838=""),"",IFERROR(IFERROR(INDEX(Vöruskrá!K:K,MATCH(B838,Vöruskrá!B:B,0)),0)*C838/100000,""))</f>
        <v>0</v>
      </c>
      <c r="I838" s="178">
        <f>IF(OR(B838="",C838=""),"",IFERROR(IFERROR(INDEX(Vöruskrá!L:L,MATCH(B838,Vöruskrá!B:B,0)),0)*C838/100000,""))</f>
        <v>0</v>
      </c>
      <c r="J838" s="178">
        <f>IF(OR(B838="",C838=""),"",IFERROR(IFERROR(INDEX(Vöruskrá!M:M,MATCH(B838,Vöruskrá!B:B,0)),0)*C838/100000,""))</f>
        <v>0</v>
      </c>
      <c r="K838" s="178">
        <f>IF(OR(B838="",C838=""),"",IFERROR(IFERROR(INDEX(Vöruskrá!N:N,MATCH(B838,Vöruskrá!B:B,0)),0)*C838/100000,""))</f>
        <v>0</v>
      </c>
      <c r="L838" s="178">
        <f>IF(OR(B838="",C838=""),"",IFERROR(IFERROR(INDEX(Vöruskrá!O:O,MATCH(B838,Vöruskrá!B:B,0)),0)*C838/100000,""))</f>
        <v>0</v>
      </c>
      <c r="M838" s="178">
        <f>IF(OR(B838="",C838=""),"",IFERROR(IFERROR(INDEX(Vöruskrá!P:P,MATCH(B838,Vöruskrá!B:B,0)),0)*C838/100000,""))</f>
        <v>0</v>
      </c>
      <c r="N838" s="178">
        <f>IF(OR(B838="",C838=""),"",IFERROR(IFERROR(INDEX(Vöruskrá!Q:Q,MATCH(B838,Vöruskrá!B:B,0)),0)*C838/100000,""))</f>
        <v>0</v>
      </c>
      <c r="O838" s="179">
        <f>IF(OR(B838="",C838=""),"",IFERROR(C838/1000*IFERROR(INDEX(Vöruskrá!R:R,MATCH(B838,Vöruskrá!B:B,0)),0)/1000,""))</f>
        <v>0</v>
      </c>
      <c r="P838" s="175"/>
      <c r="Q838" s="200"/>
      <c r="R838" s="159"/>
    </row>
    <row r="839" spans="1:18" ht="60">
      <c r="A839" s="147" t="s">
        <v>1983</v>
      </c>
      <c r="B839" s="147"/>
      <c r="C839" s="148"/>
      <c r="D839" s="165" t="s">
        <v>1984</v>
      </c>
      <c r="E839" s="165" t="s">
        <v>120</v>
      </c>
      <c r="F839" s="165"/>
      <c r="G839" s="166">
        <v>150.15</v>
      </c>
      <c r="H839" s="166">
        <v>3.8</v>
      </c>
      <c r="I839" s="166">
        <v>2.2000000000000002</v>
      </c>
      <c r="J839" s="166">
        <v>24.26</v>
      </c>
      <c r="K839" s="166"/>
      <c r="L839" s="166">
        <v>4.13</v>
      </c>
      <c r="M839" s="166">
        <v>0.47</v>
      </c>
      <c r="N839" s="166">
        <f>IFERROR(SUM(N840:N845)/(SUM($C$840:$C$845)/100000),"")</f>
        <v>0.315081</v>
      </c>
      <c r="O839" s="167" t="str">
        <f>IF(OR(B839="",C839=""),"",IFERROR(C839/1000*IFERROR(INDEX(Vöruskrá!R:R,MATCH(B839,Vöruskrá!B:B,0)),0)/1000,""))</f>
        <v/>
      </c>
      <c r="P839" s="196" t="s">
        <v>1985</v>
      </c>
      <c r="Q839" s="195" t="s">
        <v>1986</v>
      </c>
      <c r="R839" s="194" t="s">
        <v>1987</v>
      </c>
    </row>
    <row r="840" spans="1:18" ht="15">
      <c r="A840" s="171"/>
      <c r="B840" s="171" t="s">
        <v>341</v>
      </c>
      <c r="C840" s="172">
        <v>24237</v>
      </c>
      <c r="D840" s="168" t="s">
        <v>344</v>
      </c>
      <c r="E840" s="168" t="s">
        <v>134</v>
      </c>
      <c r="F840" s="168"/>
      <c r="G840" s="169">
        <f>IF(OR(B840="",C840=""),"",IFERROR(IFERROR(INDEX(Vöruskrá!J:J,MATCH(B840,Vöruskrá!B:B,0)),0)*C840/100000,""))</f>
        <v>88.465050000000005</v>
      </c>
      <c r="H840" s="169">
        <f>IF(OR(B840="",C840=""),"",IFERROR(IFERROR(INDEX(Vöruskrá!K:K,MATCH(B840,Vöruskrá!B:B,0)),0)*C840/100000,""))</f>
        <v>0.16965899999999998</v>
      </c>
      <c r="I840" s="169">
        <f>IF(OR(B840="",C840=""),"",IFERROR(IFERROR(INDEX(Vöruskrá!L:L,MATCH(B840,Vöruskrá!B:B,0)),0)*C840/100000,""))</f>
        <v>4.8474000000000003E-2</v>
      </c>
      <c r="J840" s="169">
        <f>IF(OR(B840="",C840=""),"",IFERROR(IFERROR(INDEX(Vöruskrá!M:M,MATCH(B840,Vöruskrá!B:B,0)),0)*C840/100000,""))</f>
        <v>19.389600000000002</v>
      </c>
      <c r="K840" s="169">
        <f>IF(OR(B840="",C840=""),"",IFERROR(IFERROR(INDEX(Vöruskrá!N:N,MATCH(B840,Vöruskrá!B:B,0)),0)*C840/100000,""))</f>
        <v>2.4237000000000002E-2</v>
      </c>
      <c r="L840" s="169">
        <f>IF(OR(B840="",C840=""),"",IFERROR(IFERROR(INDEX(Vöruskrá!O:O,MATCH(B840,Vöruskrá!B:B,0)),0)*C840/100000,""))</f>
        <v>1.7208269999999999</v>
      </c>
      <c r="M840" s="169">
        <f>IF(OR(B840="",C840=""),"",IFERROR(IFERROR(INDEX(Vöruskrá!P:P,MATCH(B840,Vöruskrá!B:B,0)),0)*C840/100000,""))</f>
        <v>0</v>
      </c>
      <c r="N840" s="169">
        <f>IF(OR(B840="",C840=""),"",IFERROR(IFERROR(INDEX(Vöruskrá!Q:Q,MATCH(B840,Vöruskrá!B:B,0)),0)*C840/100000,""))</f>
        <v>0.315081</v>
      </c>
      <c r="O840" s="170">
        <f>IF(OR(B840="",C840=""),"",IFERROR(C840/1000*IFERROR(INDEX(Vöruskrá!R:R,MATCH(B840,Vöruskrá!B:B,0)),0)/1000,""))</f>
        <v>0</v>
      </c>
      <c r="P840" s="171"/>
      <c r="Q840" s="197"/>
      <c r="R840" s="164"/>
    </row>
    <row r="841" spans="1:18" ht="15">
      <c r="A841" s="173"/>
      <c r="B841" s="173" t="s">
        <v>849</v>
      </c>
      <c r="C841" s="174">
        <v>72710</v>
      </c>
      <c r="D841" s="168" t="s">
        <v>850</v>
      </c>
      <c r="E841" s="168" t="s">
        <v>120</v>
      </c>
      <c r="F841" s="168"/>
      <c r="G841" s="169">
        <f>IF(OR(B841="",C841=""),"",IFERROR(IFERROR(INDEX(Vöruskrá!J:J,MATCH(B841,Vöruskrá!B:B,0)),0)*C841/100000,""))</f>
        <v>48.715699999999998</v>
      </c>
      <c r="H841" s="169">
        <f>IF(OR(B841="",C841=""),"",IFERROR(IFERROR(INDEX(Vöruskrá!K:K,MATCH(B841,Vöruskrá!B:B,0)),0)*C841/100000,""))</f>
        <v>2.83569</v>
      </c>
      <c r="I841" s="169">
        <f>IF(OR(B841="",C841=""),"",IFERROR(IFERROR(INDEX(Vöruskrá!L:L,MATCH(B841,Vöruskrá!B:B,0)),0)*C841/100000,""))</f>
        <v>1.6723300000000001</v>
      </c>
      <c r="J841" s="169">
        <f>IF(OR(B841="",C841=""),"",IFERROR(IFERROR(INDEX(Vöruskrá!M:M,MATCH(B841,Vöruskrá!B:B,0)),0)*C841/100000,""))</f>
        <v>3.41737</v>
      </c>
      <c r="K841" s="169">
        <f>IF(OR(B841="",C841=""),"",IFERROR(IFERROR(INDEX(Vöruskrá!N:N,MATCH(B841,Vöruskrá!B:B,0)),0)*C841/100000,""))</f>
        <v>3.41737</v>
      </c>
      <c r="L841" s="169">
        <f>IF(OR(B841="",C841=""),"",IFERROR(IFERROR(INDEX(Vöruskrá!O:O,MATCH(B841,Vöruskrá!B:B,0)),0)*C841/100000,""))</f>
        <v>2.3994300000000002</v>
      </c>
      <c r="M841" s="169">
        <f>IF(OR(B841="",C841=""),"",IFERROR(IFERROR(INDEX(Vöruskrá!P:P,MATCH(B841,Vöruskrá!B:B,0)),0)*C841/100000,""))</f>
        <v>7.2709999999999997E-2</v>
      </c>
      <c r="N841" s="169">
        <f>IF(OR(B841="",C841=""),"",IFERROR(IFERROR(INDEX(Vöruskrá!Q:Q,MATCH(B841,Vöruskrá!B:B,0)),0)*C841/100000,""))</f>
        <v>0</v>
      </c>
      <c r="O841" s="170">
        <f>IF(OR(B841="",C841=""),"",IFERROR(C841/1000*IFERROR(INDEX(Vöruskrá!R:R,MATCH(B841,Vöruskrá!B:B,0)),0)/1000,""))</f>
        <v>0</v>
      </c>
      <c r="P841" s="173"/>
      <c r="Q841" s="157"/>
      <c r="R841" s="27"/>
    </row>
    <row r="842" spans="1:18" ht="15">
      <c r="A842" s="171"/>
      <c r="B842" s="171" t="s">
        <v>477</v>
      </c>
      <c r="C842" s="172">
        <v>1454</v>
      </c>
      <c r="D842" s="168" t="s">
        <v>479</v>
      </c>
      <c r="E842" s="168" t="s">
        <v>134</v>
      </c>
      <c r="F842" s="168"/>
      <c r="G842" s="169">
        <f>IF(OR(B842="",C842=""),"",IFERROR(IFERROR(INDEX(Vöruskrá!J:J,MATCH(B842,Vöruskrá!B:B,0)),0)*C842/100000,""))</f>
        <v>5.8159999999999998</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1.454</v>
      </c>
      <c r="K842" s="169">
        <f>IF(OR(B842="",C842=""),"",IFERROR(IFERROR(INDEX(Vöruskrá!N:N,MATCH(B842,Vöruskrá!B:B,0)),0)*C842/100000,""))</f>
        <v>1.454</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1"/>
      <c r="Q842" s="158"/>
      <c r="R842" s="6"/>
    </row>
    <row r="843" spans="1:18" ht="15">
      <c r="A843" s="173"/>
      <c r="B843" s="173" t="s">
        <v>299</v>
      </c>
      <c r="C843" s="174">
        <v>388</v>
      </c>
      <c r="D843" s="168" t="s">
        <v>302</v>
      </c>
      <c r="E843" s="168" t="s">
        <v>134</v>
      </c>
      <c r="F843" s="168" t="s">
        <v>303</v>
      </c>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0.38800000000000001</v>
      </c>
      <c r="N843" s="169">
        <f>IF(OR(B843="",C843=""),"",IFERROR(IFERROR(INDEX(Vöruskrá!Q:Q,MATCH(B843,Vöruskrá!B:B,0)),0)*C843/100000,""))</f>
        <v>0</v>
      </c>
      <c r="O843" s="170">
        <f>IF(OR(B843="",C843=""),"",IFERROR(C843/1000*IFERROR(INDEX(Vöruskrá!R:R,MATCH(B843,Vöruskrá!B:B,0)),0)/1000,""))</f>
        <v>0</v>
      </c>
      <c r="P843" s="173"/>
      <c r="Q843" s="157"/>
      <c r="R843" s="27"/>
    </row>
    <row r="844" spans="1:18" ht="15">
      <c r="A844" s="171"/>
      <c r="B844" s="171" t="s">
        <v>1501</v>
      </c>
      <c r="C844" s="172">
        <v>242</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58"/>
      <c r="R844" s="6"/>
    </row>
    <row r="845" spans="1:18" ht="15">
      <c r="A845" s="173"/>
      <c r="B845" s="173" t="s">
        <v>445</v>
      </c>
      <c r="C845" s="174">
        <v>969</v>
      </c>
      <c r="D845" s="168" t="s">
        <v>448</v>
      </c>
      <c r="E845" s="168" t="s">
        <v>120</v>
      </c>
      <c r="F845" s="168"/>
      <c r="G845" s="169">
        <f>IF(OR(B845="",C845=""),"",IFERROR(IFERROR(INDEX(Vöruskrá!J:J,MATCH(B845,Vöruskrá!B:B,0)),0)*C845/100000,""))</f>
        <v>7.1512200000000004</v>
      </c>
      <c r="H845" s="169">
        <f>IF(OR(B845="",C845=""),"",IFERROR(IFERROR(INDEX(Vöruskrá!K:K,MATCH(B845,Vöruskrá!B:B,0)),0)*C845/100000,""))</f>
        <v>0.79457999999999995</v>
      </c>
      <c r="I845" s="169">
        <f>IF(OR(B845="",C845=""),"",IFERROR(IFERROR(INDEX(Vöruskrá!L:L,MATCH(B845,Vöruskrá!B:B,0)),0)*C845/100000,""))</f>
        <v>0.47481000000000001</v>
      </c>
      <c r="J845" s="169">
        <f>IF(OR(B845="",C845=""),"",IFERROR(IFERROR(INDEX(Vöruskrá!M:M,MATCH(B845,Vöruskrá!B:B,0)),0)*C845/100000,""))</f>
        <v>3.8760000000000001E-3</v>
      </c>
      <c r="K845" s="169">
        <f>IF(OR(B845="",C845=""),"",IFERROR(IFERROR(INDEX(Vöruskrá!N:N,MATCH(B845,Vöruskrá!B:B,0)),0)*C845/100000,""))</f>
        <v>3.8760000000000001E-3</v>
      </c>
      <c r="L845" s="169">
        <f>IF(OR(B845="",C845=""),"",IFERROR(IFERROR(INDEX(Vöruskrá!O:O,MATCH(B845,Vöruskrá!B:B,0)),0)*C845/100000,""))</f>
        <v>5.8139999999999997E-3</v>
      </c>
      <c r="M845" s="169">
        <f>IF(OR(B845="",C845=""),"",IFERROR(IFERROR(INDEX(Vöruskrá!P:P,MATCH(B845,Vöruskrá!B:B,0)),0)*C845/100000,""))</f>
        <v>1.1627999999999999E-2</v>
      </c>
      <c r="N845" s="169">
        <f>IF(OR(B845="",C845=""),"",IFERROR(IFERROR(INDEX(Vöruskrá!Q:Q,MATCH(B845,Vöruskrá!B:B,0)),0)*C845/100000,""))</f>
        <v>0</v>
      </c>
      <c r="O845" s="170">
        <f>IF(OR(B845="",C845=""),"",IFERROR(C845/1000*IFERROR(INDEX(Vöruskrá!R:R,MATCH(B845,Vöruskrá!B:B,0)),0)/1000,""))</f>
        <v>0</v>
      </c>
      <c r="P845" s="173"/>
      <c r="Q845" s="201"/>
      <c r="R845" s="202"/>
    </row>
    <row r="846" spans="1:18" ht="48">
      <c r="A846" s="147" t="s">
        <v>1988</v>
      </c>
      <c r="B846" s="147"/>
      <c r="C846" s="148"/>
      <c r="D846" s="165" t="s">
        <v>1989</v>
      </c>
      <c r="E846" s="165" t="s">
        <v>1990</v>
      </c>
      <c r="F846" s="165"/>
      <c r="G846" s="166">
        <v>87.72</v>
      </c>
      <c r="H846" s="166">
        <v>0.85</v>
      </c>
      <c r="I846" s="166">
        <v>0.52</v>
      </c>
      <c r="J846" s="166">
        <v>10.9</v>
      </c>
      <c r="K846" s="166"/>
      <c r="L846" s="166">
        <v>9.18</v>
      </c>
      <c r="M846" s="166">
        <v>0.09</v>
      </c>
      <c r="N846" s="166">
        <f>IFERROR(SUM(N847:N850)/(SUM($C$847:$C$850)/100000),"")</f>
        <v>0</v>
      </c>
      <c r="O846" s="167" t="str">
        <f>IF(OR(B846="",C846=""),"",IFERROR(C846/1000*IFERROR(INDEX(Vöruskrá!R:R,MATCH(B846,Vöruskrá!B:B,0)),0)/1000,""))</f>
        <v/>
      </c>
      <c r="P846" s="196" t="s">
        <v>1991</v>
      </c>
      <c r="Q846" s="199" t="s">
        <v>1992</v>
      </c>
      <c r="R846" s="198" t="s">
        <v>1993</v>
      </c>
    </row>
    <row r="847" spans="1:18" ht="15">
      <c r="A847" s="171"/>
      <c r="B847" s="171" t="s">
        <v>109</v>
      </c>
      <c r="C847" s="172">
        <v>78740</v>
      </c>
      <c r="D847" s="168" t="s">
        <v>112</v>
      </c>
      <c r="E847" s="168" t="s">
        <v>113</v>
      </c>
      <c r="F847" s="168"/>
      <c r="G847" s="169">
        <f>IF(OR(B847="",C847=""),"",IFERROR(IFERROR(INDEX(Vöruskrá!J:J,MATCH(B847,Vöruskrá!B:B,0)),0)*C847/100000,""))</f>
        <v>61.417200000000001</v>
      </c>
      <c r="H847" s="169">
        <f>IF(OR(B847="",C847=""),"",IFERROR(IFERROR(INDEX(Vöruskrá!K:K,MATCH(B847,Vöruskrá!B:B,0)),0)*C847/100000,""))</f>
        <v>0.23622000000000001</v>
      </c>
      <c r="I847" s="169">
        <f>IF(OR(B847="",C847=""),"",IFERROR(IFERROR(INDEX(Vöruskrá!L:L,MATCH(B847,Vöruskrá!B:B,0)),0)*C847/100000,""))</f>
        <v>0.15748000000000001</v>
      </c>
      <c r="J847" s="169">
        <f>IF(OR(B847="",C847=""),"",IFERROR(IFERROR(INDEX(Vöruskrá!M:M,MATCH(B847,Vöruskrá!B:B,0)),0)*C847/100000,""))</f>
        <v>6.2204600000000001</v>
      </c>
      <c r="K847" s="169">
        <f>IF(OR(B847="",C847=""),"",IFERROR(IFERROR(INDEX(Vöruskrá!N:N,MATCH(B847,Vöruskrá!B:B,0)),0)*C847/100000,""))</f>
        <v>6.2204600000000001</v>
      </c>
      <c r="L847" s="169">
        <f>IF(OR(B847="",C847=""),"",IFERROR(IFERROR(INDEX(Vöruskrá!O:O,MATCH(B847,Vöruskrá!B:B,0)),0)*C847/100000,""))</f>
        <v>8.6614000000000004</v>
      </c>
      <c r="M847" s="169">
        <f>IF(OR(B847="",C847=""),"",IFERROR(IFERROR(INDEX(Vöruskrá!P:P,MATCH(B847,Vöruskrá!B:B,0)),0)*C847/100000,""))</f>
        <v>7.8740000000000004E-2</v>
      </c>
      <c r="N847" s="169">
        <f>IF(OR(B847="",C847=""),"",IFERROR(IFERROR(INDEX(Vöruskrá!Q:Q,MATCH(B847,Vöruskrá!B:B,0)),0)*C847/100000,""))</f>
        <v>0</v>
      </c>
      <c r="O847" s="170">
        <f>IF(OR(B847="",C847=""),"",IFERROR(C847/1000*IFERROR(INDEX(Vöruskrá!R:R,MATCH(B847,Vöruskrá!B:B,0)),0)/1000,""))</f>
        <v>0</v>
      </c>
      <c r="P847" s="171"/>
      <c r="Q847" s="203"/>
      <c r="R847" s="204"/>
    </row>
    <row r="848" spans="1:18" ht="15">
      <c r="A848" s="173"/>
      <c r="B848" s="173" t="s">
        <v>1501</v>
      </c>
      <c r="C848" s="174">
        <v>1575</v>
      </c>
      <c r="D848" s="168"/>
      <c r="E848" s="168"/>
      <c r="F848" s="168"/>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8"/>
      <c r="R848" s="6"/>
    </row>
    <row r="849" spans="1:18" ht="15">
      <c r="A849" s="171"/>
      <c r="B849" s="171" t="s">
        <v>477</v>
      </c>
      <c r="C849" s="172">
        <v>3937</v>
      </c>
      <c r="D849" s="168" t="s">
        <v>479</v>
      </c>
      <c r="E849" s="168" t="s">
        <v>134</v>
      </c>
      <c r="F849" s="168"/>
      <c r="G849" s="169">
        <f>IF(OR(B849="",C849=""),"",IFERROR(IFERROR(INDEX(Vöruskrá!J:J,MATCH(B849,Vöruskrá!B:B,0)),0)*C849/100000,""))</f>
        <v>15.747999999999999</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3.9369999999999998</v>
      </c>
      <c r="K849" s="169">
        <f>IF(OR(B849="",C849=""),"",IFERROR(IFERROR(INDEX(Vöruskrá!N:N,MATCH(B849,Vöruskrá!B:B,0)),0)*C849/100000,""))</f>
        <v>3.9369999999999998</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157"/>
      <c r="R849" s="27"/>
    </row>
    <row r="850" spans="1:18" ht="15">
      <c r="A850" s="173"/>
      <c r="B850" s="173" t="s">
        <v>849</v>
      </c>
      <c r="C850" s="174">
        <v>15748</v>
      </c>
      <c r="D850" s="168" t="s">
        <v>850</v>
      </c>
      <c r="E850" s="168" t="s">
        <v>120</v>
      </c>
      <c r="F850" s="168"/>
      <c r="G850" s="169">
        <f>IF(OR(B850="",C850=""),"",IFERROR(IFERROR(INDEX(Vöruskrá!J:J,MATCH(B850,Vöruskrá!B:B,0)),0)*C850/100000,""))</f>
        <v>10.551159999999999</v>
      </c>
      <c r="H850" s="169">
        <f>IF(OR(B850="",C850=""),"",IFERROR(IFERROR(INDEX(Vöruskrá!K:K,MATCH(B850,Vöruskrá!B:B,0)),0)*C850/100000,""))</f>
        <v>0.61417199999999994</v>
      </c>
      <c r="I850" s="169">
        <f>IF(OR(B850="",C850=""),"",IFERROR(IFERROR(INDEX(Vöruskrá!L:L,MATCH(B850,Vöruskrá!B:B,0)),0)*C850/100000,""))</f>
        <v>0.36220399999999991</v>
      </c>
      <c r="J850" s="169">
        <f>IF(OR(B850="",C850=""),"",IFERROR(IFERROR(INDEX(Vöruskrá!M:M,MATCH(B850,Vöruskrá!B:B,0)),0)*C850/100000,""))</f>
        <v>0.74015600000000004</v>
      </c>
      <c r="K850" s="169">
        <f>IF(OR(B850="",C850=""),"",IFERROR(IFERROR(INDEX(Vöruskrá!N:N,MATCH(B850,Vöruskrá!B:B,0)),0)*C850/100000,""))</f>
        <v>0.74015600000000004</v>
      </c>
      <c r="L850" s="169">
        <f>IF(OR(B850="",C850=""),"",IFERROR(IFERROR(INDEX(Vöruskrá!O:O,MATCH(B850,Vöruskrá!B:B,0)),0)*C850/100000,""))</f>
        <v>0.51968399999999992</v>
      </c>
      <c r="M850" s="169">
        <f>IF(OR(B850="",C850=""),"",IFERROR(IFERROR(INDEX(Vöruskrá!P:P,MATCH(B850,Vöruskrá!B:B,0)),0)*C850/100000,""))</f>
        <v>1.5748000000000002E-2</v>
      </c>
      <c r="N850" s="169">
        <f>IF(OR(B850="",C850=""),"",IFERROR(IFERROR(INDEX(Vöruskrá!Q:Q,MATCH(B850,Vöruskrá!B:B,0)),0)*C850/100000,""))</f>
        <v>0</v>
      </c>
      <c r="O850" s="170">
        <f>IF(OR(B850="",C850=""),"",IFERROR(C850/1000*IFERROR(INDEX(Vöruskrá!R:R,MATCH(B850,Vöruskrá!B:B,0)),0)/1000,""))</f>
        <v>0</v>
      </c>
      <c r="P850" s="173"/>
      <c r="Q850" s="200"/>
      <c r="R850" s="159"/>
    </row>
    <row r="851" spans="1:18" ht="60">
      <c r="A851" s="147" t="s">
        <v>1994</v>
      </c>
      <c r="B851" s="147"/>
      <c r="C851" s="148"/>
      <c r="D851" s="165" t="s">
        <v>1995</v>
      </c>
      <c r="E851" s="165" t="s">
        <v>134</v>
      </c>
      <c r="F851" s="165"/>
      <c r="G851" s="166">
        <v>99.59</v>
      </c>
      <c r="H851" s="166">
        <v>0.95</v>
      </c>
      <c r="I851" s="166">
        <v>0.47</v>
      </c>
      <c r="J851" s="166">
        <v>19.940000000000001</v>
      </c>
      <c r="K851" s="166"/>
      <c r="L851" s="166">
        <v>3.07</v>
      </c>
      <c r="M851" s="166">
        <v>21.42</v>
      </c>
      <c r="N851" s="166">
        <f>IFERROR(SUM(N852:N858)/(SUM($C$852:$C$858)/100000),"")</f>
        <v>0.11116233554419919</v>
      </c>
      <c r="O851" s="167" t="str">
        <f>IF(OR(B851="",C851=""),"",IFERROR(C851/1000*IFERROR(INDEX(Vöruskrá!R:R,MATCH(B851,Vöruskrá!B:B,0)),0)/1000,""))</f>
        <v/>
      </c>
      <c r="P851" s="196" t="s">
        <v>1996</v>
      </c>
      <c r="Q851" s="195" t="s">
        <v>1997</v>
      </c>
      <c r="R851" s="194" t="s">
        <v>1998</v>
      </c>
    </row>
    <row r="852" spans="1:18">
      <c r="A852" s="171"/>
      <c r="B852" s="171" t="s">
        <v>1894</v>
      </c>
      <c r="C852" s="172">
        <v>26767</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97"/>
      <c r="R852" s="164"/>
    </row>
    <row r="853" spans="1:18" ht="15">
      <c r="A853" s="173"/>
      <c r="B853" s="173" t="s">
        <v>743</v>
      </c>
      <c r="C853" s="174">
        <v>10707</v>
      </c>
      <c r="D853" s="168" t="s">
        <v>745</v>
      </c>
      <c r="E853" s="168"/>
      <c r="F853" s="168"/>
      <c r="G853" s="169">
        <f>IF(OR(B853="",C853=""),"",IFERROR(IFERROR(INDEX(Vöruskrá!J:J,MATCH(B853,Vöruskrá!B:B,0)),0)*C853/100000,""))</f>
        <v>2.99796</v>
      </c>
      <c r="H853" s="169">
        <f>IF(OR(B853="",C853=""),"",IFERROR(IFERROR(INDEX(Vöruskrá!K:K,MATCH(B853,Vöruskrá!B:B,0)),0)*C853/100000,""))</f>
        <v>1.0707000000000001E-2</v>
      </c>
      <c r="I853" s="169">
        <f>IF(OR(B853="",C853=""),"",IFERROR(IFERROR(INDEX(Vöruskrá!L:L,MATCH(B853,Vöruskrá!B:B,0)),0)*C853/100000,""))</f>
        <v>0</v>
      </c>
      <c r="J853" s="169">
        <f>IF(OR(B853="",C853=""),"",IFERROR(IFERROR(INDEX(Vöruskrá!M:M,MATCH(B853,Vöruskrá!B:B,0)),0)*C853/100000,""))</f>
        <v>0.53534999999999999</v>
      </c>
      <c r="K853" s="169">
        <f>IF(OR(B853="",C853=""),"",IFERROR(IFERROR(INDEX(Vöruskrá!N:N,MATCH(B853,Vöruskrá!B:B,0)),0)*C853/100000,""))</f>
        <v>0.36403799999999997</v>
      </c>
      <c r="L853" s="169">
        <f>IF(OR(B853="",C853=""),"",IFERROR(IFERROR(INDEX(Vöruskrá!O:O,MATCH(B853,Vöruskrá!B:B,0)),0)*C853/100000,""))</f>
        <v>0.160605</v>
      </c>
      <c r="M853" s="169">
        <f>IF(OR(B853="",C853=""),"",IFERROR(IFERROR(INDEX(Vöruskrá!P:P,MATCH(B853,Vöruskrá!B:B,0)),0)*C853/100000,""))</f>
        <v>0</v>
      </c>
      <c r="N853" s="169">
        <f>IF(OR(B853="",C853=""),"",IFERROR(IFERROR(INDEX(Vöruskrá!Q:Q,MATCH(B853,Vöruskrá!B:B,0)),0)*C853/100000,""))</f>
        <v>0</v>
      </c>
      <c r="O853" s="170">
        <f>IF(OR(B853="",C853=""),"",IFERROR(C853/1000*IFERROR(INDEX(Vöruskrá!R:R,MATCH(B853,Vöruskrá!B:B,0)),0)/1000,""))</f>
        <v>0</v>
      </c>
      <c r="P853" s="173"/>
      <c r="Q853" s="157"/>
      <c r="R853" s="27"/>
    </row>
    <row r="854" spans="1:18" ht="15">
      <c r="A854" s="171"/>
      <c r="B854" s="171" t="s">
        <v>1017</v>
      </c>
      <c r="C854" s="172">
        <v>535</v>
      </c>
      <c r="D854" s="168" t="s">
        <v>1017</v>
      </c>
      <c r="E854" s="168" t="s">
        <v>134</v>
      </c>
      <c r="F854" s="168"/>
      <c r="G854" s="169">
        <f>IF(OR(B854="",C854=""),"",IFERROR(IFERROR(INDEX(Vöruskrá!J:J,MATCH(B854,Vöruskrá!B:B,0)),0)*C854/100000,""))</f>
        <v>0.79715000000000003</v>
      </c>
      <c r="H854" s="169">
        <f>IF(OR(B854="",C854=""),"",IFERROR(IFERROR(INDEX(Vöruskrá!K:K,MATCH(B854,Vöruskrá!B:B,0)),0)*C854/100000,""))</f>
        <v>2.6749999999999999E-3</v>
      </c>
      <c r="I854" s="169">
        <f>IF(OR(B854="",C854=""),"",IFERROR(IFERROR(INDEX(Vöruskrá!L:L,MATCH(B854,Vöruskrá!B:B,0)),0)*C854/100000,""))</f>
        <v>5.3499999999999999E-4</v>
      </c>
      <c r="J854" s="169">
        <f>IF(OR(B854="",C854=""),"",IFERROR(IFERROR(INDEX(Vöruskrá!M:M,MATCH(B854,Vöruskrá!B:B,0)),0)*C854/100000,""))</f>
        <v>0.17708499999999999</v>
      </c>
      <c r="K854" s="169">
        <f>IF(OR(B854="",C854=""),"",IFERROR(IFERROR(INDEX(Vöruskrá!N:N,MATCH(B854,Vöruskrá!B:B,0)),0)*C854/100000,""))</f>
        <v>5.3499999999999997E-3</v>
      </c>
      <c r="L854" s="169">
        <f>IF(OR(B854="",C854=""),"",IFERROR(IFERROR(INDEX(Vöruskrá!O:O,MATCH(B854,Vöruskrá!B:B,0)),0)*C854/100000,""))</f>
        <v>3.424E-2</v>
      </c>
      <c r="M854" s="169">
        <f>IF(OR(B854="",C854=""),"",IFERROR(IFERROR(INDEX(Vöruskrá!P:P,MATCH(B854,Vöruskrá!B:B,0)),0)*C854/100000,""))</f>
        <v>0</v>
      </c>
      <c r="N854" s="169">
        <f>IF(OR(B854="",C854=""),"",IFERROR(IFERROR(INDEX(Vöruskrá!Q:Q,MATCH(B854,Vöruskrá!B:B,0)),0)*C854/100000,""))</f>
        <v>1.1235E-2</v>
      </c>
      <c r="O854" s="170">
        <f>IF(OR(B854="",C854=""),"",IFERROR(C854/1000*IFERROR(INDEX(Vöruskrá!R:R,MATCH(B854,Vöruskrá!B:B,0)),0)/1000,""))</f>
        <v>0</v>
      </c>
      <c r="P854" s="171"/>
      <c r="Q854" s="158"/>
      <c r="R854" s="6"/>
    </row>
    <row r="855" spans="1:18" ht="15">
      <c r="A855" s="173"/>
      <c r="B855" s="173" t="s">
        <v>330</v>
      </c>
      <c r="C855" s="174">
        <v>42827</v>
      </c>
      <c r="D855" s="168" t="s">
        <v>331</v>
      </c>
      <c r="E855" s="168" t="s">
        <v>134</v>
      </c>
      <c r="F855" s="168"/>
      <c r="G855" s="169">
        <f>IF(OR(B855="",C855=""),"",IFERROR(IFERROR(INDEX(Vöruskrá!J:J,MATCH(B855,Vöruskrá!B:B,0)),0)*C855/100000,""))</f>
        <v>85.653999999999996</v>
      </c>
      <c r="H855" s="169">
        <f>IF(OR(B855="",C855=""),"",IFERROR(IFERROR(INDEX(Vöruskrá!K:K,MATCH(B855,Vöruskrá!B:B,0)),0)*C855/100000,""))</f>
        <v>0.85653999999999997</v>
      </c>
      <c r="I855" s="169">
        <f>IF(OR(B855="",C855=""),"",IFERROR(IFERROR(INDEX(Vöruskrá!L:L,MATCH(B855,Vöruskrá!B:B,0)),0)*C855/100000,""))</f>
        <v>0.42826999999999998</v>
      </c>
      <c r="J855" s="169">
        <f>IF(OR(B855="",C855=""),"",IFERROR(IFERROR(INDEX(Vöruskrá!M:M,MATCH(B855,Vöruskrá!B:B,0)),0)*C855/100000,""))</f>
        <v>17.130800000000001</v>
      </c>
      <c r="K855" s="169">
        <f>IF(OR(B855="",C855=""),"",IFERROR(IFERROR(INDEX(Vöruskrá!N:N,MATCH(B855,Vöruskrá!B:B,0)),0)*C855/100000,""))</f>
        <v>5.13924</v>
      </c>
      <c r="L855" s="169">
        <f>IF(OR(B855="",C855=""),"",IFERROR(IFERROR(INDEX(Vöruskrá!O:O,MATCH(B855,Vöruskrá!B:B,0)),0)*C855/100000,""))</f>
        <v>2.56962</v>
      </c>
      <c r="M855" s="169">
        <f>IF(OR(B855="",C855=""),"",IFERROR(IFERROR(INDEX(Vöruskrá!P:P,MATCH(B855,Vöruskrá!B:B,0)),0)*C855/100000,""))</f>
        <v>19.27215</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1010</v>
      </c>
      <c r="C856" s="172">
        <v>5353</v>
      </c>
      <c r="D856" s="168" t="s">
        <v>1010</v>
      </c>
      <c r="E856" s="168" t="s">
        <v>134</v>
      </c>
      <c r="F856" s="168"/>
      <c r="G856" s="169">
        <f>IF(OR(B856="",C856=""),"",IFERROR(IFERROR(INDEX(Vöruskrá!J:J,MATCH(B856,Vöruskrá!B:B,0)),0)*C856/100000,""))</f>
        <v>2.1412</v>
      </c>
      <c r="H856" s="169">
        <f>IF(OR(B856="",C856=""),"",IFERROR(IFERROR(INDEX(Vöruskrá!K:K,MATCH(B856,Vöruskrá!B:B,0)),0)*C856/100000,""))</f>
        <v>5.353000000000001E-3</v>
      </c>
      <c r="I856" s="169">
        <f>IF(OR(B856="",C856=""),"",IFERROR(IFERROR(INDEX(Vöruskrá!L:L,MATCH(B856,Vöruskrá!B:B,0)),0)*C856/100000,""))</f>
        <v>0</v>
      </c>
      <c r="J856" s="169">
        <f>IF(OR(B856="",C856=""),"",IFERROR(IFERROR(INDEX(Vöruskrá!M:M,MATCH(B856,Vöruskrá!B:B,0)),0)*C856/100000,""))</f>
        <v>0.49782900000000002</v>
      </c>
      <c r="K856" s="169">
        <f>IF(OR(B856="",C856=""),"",IFERROR(IFERROR(INDEX(Vöruskrá!N:N,MATCH(B856,Vöruskrá!B:B,0)),0)*C856/100000,""))</f>
        <v>0.22482600000000003</v>
      </c>
      <c r="L856" s="169">
        <f>IF(OR(B856="",C856=""),"",IFERROR(IFERROR(INDEX(Vöruskrá!O:O,MATCH(B856,Vöruskrá!B:B,0)),0)*C856/100000,""))</f>
        <v>5.8883000000000005E-2</v>
      </c>
      <c r="M856" s="169">
        <f>IF(OR(B856="",C856=""),"",IFERROR(IFERROR(INDEX(Vöruskrá!P:P,MATCH(B856,Vöruskrá!B:B,0)),0)*C856/100000,""))</f>
        <v>0</v>
      </c>
      <c r="N856" s="169">
        <f>IF(OR(B856="",C856=""),"",IFERROR(IFERROR(INDEX(Vöruskrá!Q:Q,MATCH(B856,Vöruskrá!B:B,0)),0)*C856/100000,""))</f>
        <v>9.1000999999999999E-2</v>
      </c>
      <c r="O856" s="170">
        <f>IF(OR(B856="",C856=""),"",IFERROR(C856/1000*IFERROR(INDEX(Vöruskrá!R:R,MATCH(B856,Vöruskrá!B:B,0)),0)/1000,""))</f>
        <v>0</v>
      </c>
      <c r="P856" s="171"/>
      <c r="Q856" s="158"/>
      <c r="R856" s="6"/>
    </row>
    <row r="857" spans="1:18" ht="15">
      <c r="A857" s="173"/>
      <c r="B857" s="173" t="s">
        <v>1480</v>
      </c>
      <c r="C857" s="174">
        <v>5353</v>
      </c>
      <c r="D857" s="168"/>
      <c r="E857" s="168"/>
      <c r="F857" s="168"/>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7"/>
      <c r="R857" s="27"/>
    </row>
    <row r="858" spans="1:18" ht="15">
      <c r="A858" s="171"/>
      <c r="B858" s="171" t="s">
        <v>299</v>
      </c>
      <c r="C858" s="172">
        <v>428</v>
      </c>
      <c r="D858" s="168" t="s">
        <v>302</v>
      </c>
      <c r="E858" s="168" t="s">
        <v>134</v>
      </c>
      <c r="F858" s="168" t="s">
        <v>303</v>
      </c>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0.42799999999999999</v>
      </c>
      <c r="N858" s="169">
        <f>IF(OR(B858="",C858=""),"",IFERROR(IFERROR(INDEX(Vöruskrá!Q:Q,MATCH(B858,Vöruskrá!B:B,0)),0)*C858/100000,""))</f>
        <v>0</v>
      </c>
      <c r="O858" s="170">
        <f>IF(OR(B858="",C858=""),"",IFERROR(C858/1000*IFERROR(INDEX(Vöruskrá!R:R,MATCH(B858,Vöruskrá!B:B,0)),0)/1000,""))</f>
        <v>0</v>
      </c>
      <c r="P858" s="171"/>
      <c r="Q858" s="200"/>
      <c r="R858" s="159"/>
    </row>
    <row r="859" spans="1:18" ht="48">
      <c r="A859" s="147" t="s">
        <v>1999</v>
      </c>
      <c r="B859" s="147"/>
      <c r="C859" s="148"/>
      <c r="D859" s="165" t="s">
        <v>2000</v>
      </c>
      <c r="E859" s="165" t="s">
        <v>134</v>
      </c>
      <c r="F859" s="165"/>
      <c r="G859" s="166">
        <v>221.33</v>
      </c>
      <c r="H859" s="166">
        <v>5.17</v>
      </c>
      <c r="I859" s="166">
        <v>2.16</v>
      </c>
      <c r="J859" s="166">
        <v>40.25</v>
      </c>
      <c r="K859" s="166"/>
      <c r="L859" s="166">
        <v>3.5</v>
      </c>
      <c r="M859" s="166">
        <v>7.25</v>
      </c>
      <c r="N859" s="166">
        <f>IFERROR(SUM(N860:N867)/(SUM($C$860:$C$867)/100000),"")</f>
        <v>0.37555899999999998</v>
      </c>
      <c r="O859" s="167" t="str">
        <f>IF(OR(B859="",C859=""),"",IFERROR(C859/1000*IFERROR(INDEX(Vöruskrá!R:R,MATCH(B859,Vöruskrá!B:B,0)),0)/1000,""))</f>
        <v/>
      </c>
      <c r="P859" s="196" t="s">
        <v>2001</v>
      </c>
      <c r="Q859" s="199" t="s">
        <v>2002</v>
      </c>
      <c r="R859" s="198" t="s">
        <v>2003</v>
      </c>
    </row>
    <row r="860" spans="1:18" ht="15">
      <c r="A860" s="171"/>
      <c r="B860" s="171" t="s">
        <v>1480</v>
      </c>
      <c r="C860" s="172">
        <v>23966</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197"/>
      <c r="R860" s="164"/>
    </row>
    <row r="861" spans="1:18" ht="15">
      <c r="A861" s="173"/>
      <c r="B861" s="173" t="s">
        <v>1010</v>
      </c>
      <c r="C861" s="174">
        <v>5992</v>
      </c>
      <c r="D861" s="168" t="s">
        <v>1010</v>
      </c>
      <c r="E861" s="168" t="s">
        <v>134</v>
      </c>
      <c r="F861" s="168"/>
      <c r="G861" s="169">
        <f>IF(OR(B861="",C861=""),"",IFERROR(IFERROR(INDEX(Vöruskrá!J:J,MATCH(B861,Vöruskrá!B:B,0)),0)*C861/100000,""))</f>
        <v>2.3967999999999998</v>
      </c>
      <c r="H861" s="169">
        <f>IF(OR(B861="",C861=""),"",IFERROR(IFERROR(INDEX(Vöruskrá!K:K,MATCH(B861,Vöruskrá!B:B,0)),0)*C861/100000,""))</f>
        <v>5.9920000000000008E-3</v>
      </c>
      <c r="I861" s="169">
        <f>IF(OR(B861="",C861=""),"",IFERROR(IFERROR(INDEX(Vöruskrá!L:L,MATCH(B861,Vöruskrá!B:B,0)),0)*C861/100000,""))</f>
        <v>0</v>
      </c>
      <c r="J861" s="169">
        <f>IF(OR(B861="",C861=""),"",IFERROR(IFERROR(INDEX(Vöruskrá!M:M,MATCH(B861,Vöruskrá!B:B,0)),0)*C861/100000,""))</f>
        <v>0.55725600000000008</v>
      </c>
      <c r="K861" s="169">
        <f>IF(OR(B861="",C861=""),"",IFERROR(IFERROR(INDEX(Vöruskrá!N:N,MATCH(B861,Vöruskrá!B:B,0)),0)*C861/100000,""))</f>
        <v>0.251664</v>
      </c>
      <c r="L861" s="169">
        <f>IF(OR(B861="",C861=""),"",IFERROR(IFERROR(INDEX(Vöruskrá!O:O,MATCH(B861,Vöruskrá!B:B,0)),0)*C861/100000,""))</f>
        <v>6.5912000000000012E-2</v>
      </c>
      <c r="M861" s="169">
        <f>IF(OR(B861="",C861=""),"",IFERROR(IFERROR(INDEX(Vöruskrá!P:P,MATCH(B861,Vöruskrá!B:B,0)),0)*C861/100000,""))</f>
        <v>0</v>
      </c>
      <c r="N861" s="169">
        <f>IF(OR(B861="",C861=""),"",IFERROR(IFERROR(INDEX(Vöruskrá!Q:Q,MATCH(B861,Vöruskrá!B:B,0)),0)*C861/100000,""))</f>
        <v>0.101864</v>
      </c>
      <c r="O861" s="170">
        <f>IF(OR(B861="",C861=""),"",IFERROR(C861/1000*IFERROR(INDEX(Vöruskrá!R:R,MATCH(B861,Vöruskrá!B:B,0)),0)/1000,""))</f>
        <v>0</v>
      </c>
      <c r="P861" s="173"/>
      <c r="Q861" s="157"/>
      <c r="R861" s="27"/>
    </row>
    <row r="862" spans="1:18" ht="15">
      <c r="A862" s="171"/>
      <c r="B862" s="171" t="s">
        <v>1017</v>
      </c>
      <c r="C862" s="172">
        <v>479</v>
      </c>
      <c r="D862" s="168" t="s">
        <v>1017</v>
      </c>
      <c r="E862" s="168" t="s">
        <v>134</v>
      </c>
      <c r="F862" s="168"/>
      <c r="G862" s="169">
        <f>IF(OR(B862="",C862=""),"",IFERROR(IFERROR(INDEX(Vöruskrá!J:J,MATCH(B862,Vöruskrá!B:B,0)),0)*C862/100000,""))</f>
        <v>0.71370999999999996</v>
      </c>
      <c r="H862" s="169">
        <f>IF(OR(B862="",C862=""),"",IFERROR(IFERROR(INDEX(Vöruskrá!K:K,MATCH(B862,Vöruskrá!B:B,0)),0)*C862/100000,""))</f>
        <v>2.395E-3</v>
      </c>
      <c r="I862" s="169">
        <f>IF(OR(B862="",C862=""),"",IFERROR(IFERROR(INDEX(Vöruskrá!L:L,MATCH(B862,Vöruskrá!B:B,0)),0)*C862/100000,""))</f>
        <v>4.7900000000000004E-4</v>
      </c>
      <c r="J862" s="169">
        <f>IF(OR(B862="",C862=""),"",IFERROR(IFERROR(INDEX(Vöruskrá!M:M,MATCH(B862,Vöruskrá!B:B,0)),0)*C862/100000,""))</f>
        <v>0.15854900000000002</v>
      </c>
      <c r="K862" s="169">
        <f>IF(OR(B862="",C862=""),"",IFERROR(IFERROR(INDEX(Vöruskrá!N:N,MATCH(B862,Vöruskrá!B:B,0)),0)*C862/100000,""))</f>
        <v>4.79E-3</v>
      </c>
      <c r="L862" s="169">
        <f>IF(OR(B862="",C862=""),"",IFERROR(IFERROR(INDEX(Vöruskrá!O:O,MATCH(B862,Vöruskrá!B:B,0)),0)*C862/100000,""))</f>
        <v>3.0656000000000003E-2</v>
      </c>
      <c r="M862" s="169">
        <f>IF(OR(B862="",C862=""),"",IFERROR(IFERROR(INDEX(Vöruskrá!P:P,MATCH(B862,Vöruskrá!B:B,0)),0)*C862/100000,""))</f>
        <v>0</v>
      </c>
      <c r="N862" s="169">
        <f>IF(OR(B862="",C862=""),"",IFERROR(IFERROR(INDEX(Vöruskrá!Q:Q,MATCH(B862,Vöruskrá!B:B,0)),0)*C862/100000,""))</f>
        <v>1.0059E-2</v>
      </c>
      <c r="O862" s="170">
        <f>IF(OR(B862="",C862=""),"",IFERROR(C862/1000*IFERROR(INDEX(Vöruskrá!R:R,MATCH(B862,Vöruskrá!B:B,0)),0)/1000,""))</f>
        <v>0</v>
      </c>
      <c r="P862" s="171"/>
      <c r="Q862" s="158"/>
      <c r="R862" s="6"/>
    </row>
    <row r="863" spans="1:18" ht="15">
      <c r="A863" s="173"/>
      <c r="B863" s="173" t="s">
        <v>1502</v>
      </c>
      <c r="C863" s="174">
        <v>5992</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3"/>
      <c r="Q863" s="157"/>
      <c r="R863" s="27"/>
    </row>
    <row r="864" spans="1:18" ht="15">
      <c r="A864" s="171"/>
      <c r="B864" s="171" t="s">
        <v>789</v>
      </c>
      <c r="C864" s="172">
        <v>59916</v>
      </c>
      <c r="D864" s="168" t="s">
        <v>792</v>
      </c>
      <c r="E864" s="168" t="s">
        <v>134</v>
      </c>
      <c r="F864" s="168"/>
      <c r="G864" s="169">
        <f>IF(OR(B864="",C864=""),"",IFERROR(IFERROR(INDEX(Vöruskrá!J:J,MATCH(B864,Vöruskrá!B:B,0)),0)*C864/100000,""))</f>
        <v>216.29676000000001</v>
      </c>
      <c r="H864" s="169">
        <f>IF(OR(B864="",C864=""),"",IFERROR(IFERROR(INDEX(Vöruskrá!K:K,MATCH(B864,Vöruskrá!B:B,0)),0)*C864/100000,""))</f>
        <v>5.1527759999999994</v>
      </c>
      <c r="I864" s="169">
        <f>IF(OR(B864="",C864=""),"",IFERROR(IFERROR(INDEX(Vöruskrá!L:L,MATCH(B864,Vöruskrá!B:B,0)),0)*C864/100000,""))</f>
        <v>2.1569760000000002</v>
      </c>
      <c r="J864" s="169">
        <f>IF(OR(B864="",C864=""),"",IFERROR(IFERROR(INDEX(Vöruskrá!M:M,MATCH(B864,Vöruskrá!B:B,0)),0)*C864/100000,""))</f>
        <v>39.125147999999996</v>
      </c>
      <c r="K864" s="169">
        <f>IF(OR(B864="",C864=""),"",IFERROR(IFERROR(INDEX(Vöruskrá!N:N,MATCH(B864,Vöruskrá!B:B,0)),0)*C864/100000,""))</f>
        <v>2.3966400000000001</v>
      </c>
      <c r="L864" s="169">
        <f>IF(OR(B864="",C864=""),"",IFERROR(IFERROR(INDEX(Vöruskrá!O:O,MATCH(B864,Vöruskrá!B:B,0)),0)*C864/100000,""))</f>
        <v>3.3552959999999996</v>
      </c>
      <c r="M864" s="169">
        <f>IF(OR(B864="",C864=""),"",IFERROR(IFERROR(INDEX(Vöruskrá!P:P,MATCH(B864,Vöruskrá!B:B,0)),0)*C864/100000,""))</f>
        <v>6.7705080000000004</v>
      </c>
      <c r="N864" s="169">
        <f>IF(OR(B864="",C864=""),"",IFERROR(IFERROR(INDEX(Vöruskrá!Q:Q,MATCH(B864,Vöruskrá!B:B,0)),0)*C864/100000,""))</f>
        <v>0.17974799999999999</v>
      </c>
      <c r="O864" s="170">
        <f>IF(OR(B864="",C864=""),"",IFERROR(C864/1000*IFERROR(INDEX(Vöruskrá!R:R,MATCH(B864,Vöruskrá!B:B,0)),0)/1000,""))</f>
        <v>0</v>
      </c>
      <c r="P864" s="171"/>
      <c r="Q864" s="158"/>
      <c r="R864" s="6"/>
    </row>
    <row r="865" spans="1:18" ht="15">
      <c r="A865" s="173"/>
      <c r="B865" s="173" t="s">
        <v>1006</v>
      </c>
      <c r="C865" s="174">
        <v>2996</v>
      </c>
      <c r="D865" s="168" t="s">
        <v>1006</v>
      </c>
      <c r="E865" s="168" t="s">
        <v>134</v>
      </c>
      <c r="F865" s="168"/>
      <c r="G865" s="169">
        <f>IF(OR(B865="",C865=""),"",IFERROR(IFERROR(INDEX(Vöruskrá!J:J,MATCH(B865,Vöruskrá!B:B,0)),0)*C865/100000,""))</f>
        <v>1.2283599999999999</v>
      </c>
      <c r="H865" s="169">
        <f>IF(OR(B865="",C865=""),"",IFERROR(IFERROR(INDEX(Vöruskrá!K:K,MATCH(B865,Vöruskrá!B:B,0)),0)*C865/100000,""))</f>
        <v>5.9920000000000008E-3</v>
      </c>
      <c r="I865" s="169">
        <f>IF(OR(B865="",C865=""),"",IFERROR(IFERROR(INDEX(Vöruskrá!L:L,MATCH(B865,Vöruskrá!B:B,0)),0)*C865/100000,""))</f>
        <v>0</v>
      </c>
      <c r="J865" s="169">
        <f>IF(OR(B865="",C865=""),"",IFERROR(IFERROR(INDEX(Vöruskrá!M:M,MATCH(B865,Vöruskrá!B:B,0)),0)*C865/100000,""))</f>
        <v>0.28761599999999998</v>
      </c>
      <c r="K865" s="169">
        <f>IF(OR(B865="",C865=""),"",IFERROR(IFERROR(INDEX(Vöruskrá!N:N,MATCH(B865,Vöruskrá!B:B,0)),0)*C865/100000,""))</f>
        <v>0.14081200000000002</v>
      </c>
      <c r="L865" s="169">
        <f>IF(OR(B865="",C865=""),"",IFERROR(IFERROR(INDEX(Vöruskrá!O:O,MATCH(B865,Vöruskrá!B:B,0)),0)*C865/100000,""))</f>
        <v>2.6964000000000002E-2</v>
      </c>
      <c r="M865" s="169">
        <f>IF(OR(B865="",C865=""),"",IFERROR(IFERROR(INDEX(Vöruskrá!P:P,MATCH(B865,Vöruskrá!B:B,0)),0)*C865/100000,""))</f>
        <v>2.9960000000000004E-3</v>
      </c>
      <c r="N865" s="169">
        <f>IF(OR(B865="",C865=""),"",IFERROR(IFERROR(INDEX(Vöruskrá!Q:Q,MATCH(B865,Vöruskrá!B:B,0)),0)*C865/100000,""))</f>
        <v>8.388799999999999E-2</v>
      </c>
      <c r="O865" s="170">
        <f>IF(OR(B865="",C865=""),"",IFERROR(C865/1000*IFERROR(INDEX(Vöruskrá!R:R,MATCH(B865,Vöruskrá!B:B,0)),0)/1000,""))</f>
        <v>0</v>
      </c>
      <c r="P865" s="173"/>
      <c r="Q865" s="157"/>
      <c r="R865" s="27"/>
    </row>
    <row r="866" spans="1:18" ht="15">
      <c r="A866" s="171"/>
      <c r="B866" s="171" t="s">
        <v>299</v>
      </c>
      <c r="C866" s="172">
        <v>479</v>
      </c>
      <c r="D866" s="168" t="s">
        <v>302</v>
      </c>
      <c r="E866" s="168" t="s">
        <v>134</v>
      </c>
      <c r="F866" s="168" t="s">
        <v>303</v>
      </c>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0.47899999999999998</v>
      </c>
      <c r="N866" s="169">
        <f>IF(OR(B866="",C866=""),"",IFERROR(IFERROR(INDEX(Vöruskrá!Q:Q,MATCH(B866,Vöruskrá!B:B,0)),0)*C866/100000,""))</f>
        <v>0</v>
      </c>
      <c r="O866" s="170">
        <f>IF(OR(B866="",C866=""),"",IFERROR(C866/1000*IFERROR(INDEX(Vöruskrá!R:R,MATCH(B866,Vöruskrá!B:B,0)),0)/1000,""))</f>
        <v>0</v>
      </c>
      <c r="P866" s="171"/>
      <c r="Q866" s="158"/>
      <c r="R866" s="6"/>
    </row>
    <row r="867" spans="1:18" ht="15">
      <c r="A867" s="173"/>
      <c r="B867" s="173" t="s">
        <v>819</v>
      </c>
      <c r="C867" s="174">
        <v>180</v>
      </c>
      <c r="D867" s="168" t="s">
        <v>820</v>
      </c>
      <c r="E867" s="168"/>
      <c r="F867" s="168" t="s">
        <v>311</v>
      </c>
      <c r="G867" s="169">
        <f>IF(OR(B867="",C867=""),"",IFERROR(IFERROR(INDEX(Vöruskrá!J:J,MATCH(B867,Vöruskrá!B:B,0)),0)*C867/100000,""))</f>
        <v>0.69479999999999997</v>
      </c>
      <c r="H867" s="169">
        <f>IF(OR(B867="",C867=""),"",IFERROR(IFERROR(INDEX(Vöruskrá!K:K,MATCH(B867,Vöruskrá!B:B,0)),0)*C867/100000,""))</f>
        <v>5.94E-3</v>
      </c>
      <c r="I867" s="169">
        <f>IF(OR(B867="",C867=""),"",IFERROR(IFERROR(INDEX(Vöruskrá!L:L,MATCH(B867,Vöruskrá!B:B,0)),0)*C867/100000,""))</f>
        <v>1.8E-3</v>
      </c>
      <c r="J867" s="169">
        <f>IF(OR(B867="",C867=""),"",IFERROR(IFERROR(INDEX(Vöruskrá!M:M,MATCH(B867,Vöruskrá!B:B,0)),0)*C867/100000,""))</f>
        <v>0.11700000000000001</v>
      </c>
      <c r="K867" s="169">
        <f>IF(OR(B867="",C867=""),"",IFERROR(IFERROR(INDEX(Vöruskrá!N:N,MATCH(B867,Vöruskrá!B:B,0)),0)*C867/100000,""))</f>
        <v>1.08E-3</v>
      </c>
      <c r="L867" s="169">
        <f>IF(OR(B867="",C867=""),"",IFERROR(IFERROR(INDEX(Vöruskrá!O:O,MATCH(B867,Vöruskrá!B:B,0)),0)*C867/100000,""))</f>
        <v>1.9800000000000002E-2</v>
      </c>
      <c r="M867" s="169">
        <f>IF(OR(B867="",C867=""),"",IFERROR(IFERROR(INDEX(Vöruskrá!P:P,MATCH(B867,Vöruskrá!B:B,0)),0)*C867/100000,""))</f>
        <v>1.8000000000000001E-4</v>
      </c>
      <c r="N867" s="169">
        <f>IF(OR(B867="",C867=""),"",IFERROR(IFERROR(INDEX(Vöruskrá!Q:Q,MATCH(B867,Vöruskrá!B:B,0)),0)*C867/100000,""))</f>
        <v>0</v>
      </c>
      <c r="O867" s="170">
        <f>IF(OR(B867="",C867=""),"",IFERROR(C867/1000*IFERROR(INDEX(Vöruskrá!R:R,MATCH(B867,Vöruskrá!B:B,0)),0)/1000,""))</f>
        <v>0</v>
      </c>
      <c r="P867" s="173"/>
      <c r="Q867" s="201"/>
      <c r="R867" s="202"/>
    </row>
    <row r="868" spans="1:18" ht="60">
      <c r="A868" s="147" t="s">
        <v>2004</v>
      </c>
      <c r="B868" s="147"/>
      <c r="C868" s="148"/>
      <c r="D868" s="165" t="s">
        <v>2005</v>
      </c>
      <c r="E868" s="165" t="s">
        <v>1798</v>
      </c>
      <c r="F868" s="165"/>
      <c r="G868" s="166">
        <v>541.66</v>
      </c>
      <c r="H868" s="166">
        <v>3.44</v>
      </c>
      <c r="I868" s="166">
        <v>1.62</v>
      </c>
      <c r="J868" s="166">
        <v>18.809999999999999</v>
      </c>
      <c r="K868" s="166"/>
      <c r="L868" s="166">
        <v>12.14</v>
      </c>
      <c r="M868" s="166">
        <v>17.760000000000002</v>
      </c>
      <c r="N868" s="166">
        <f>IFERROR(SUM(N869:N876)/(SUM($C$869:$C$876)/100000),"")</f>
        <v>0.47298154036919265</v>
      </c>
      <c r="O868" s="167" t="str">
        <f>IF(OR(B868="",C868=""),"",IFERROR(C868/1000*IFERROR(INDEX(Vöruskrá!R:R,MATCH(B868,Vöruskrá!B:B,0)),0)/1000,""))</f>
        <v/>
      </c>
      <c r="P868" s="196" t="s">
        <v>2006</v>
      </c>
      <c r="Q868" s="195" t="s">
        <v>2007</v>
      </c>
      <c r="R868" s="194" t="s">
        <v>2008</v>
      </c>
    </row>
    <row r="869" spans="1:18" ht="15">
      <c r="A869" s="171"/>
      <c r="B869" s="171" t="s">
        <v>1485</v>
      </c>
      <c r="C869" s="172">
        <v>24570</v>
      </c>
      <c r="D869" s="168"/>
      <c r="E869" s="168"/>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1"/>
      <c r="Q869" s="203"/>
      <c r="R869" s="204"/>
    </row>
    <row r="870" spans="1:18" ht="15">
      <c r="A870" s="173"/>
      <c r="B870" s="173" t="s">
        <v>1285</v>
      </c>
      <c r="C870" s="174">
        <v>49140</v>
      </c>
      <c r="D870" s="168" t="s">
        <v>1287</v>
      </c>
      <c r="E870" s="168"/>
      <c r="F870" s="168"/>
      <c r="G870" s="169">
        <f>IF(OR(B870="",C870=""),"",IFERROR(IFERROR(INDEX(Vöruskrá!J:J,MATCH(B870,Vöruskrá!B:B,0)),0)*C870/100000,""))</f>
        <v>508.59899999999999</v>
      </c>
      <c r="H870" s="169">
        <f>IF(OR(B870="",C870=""),"",IFERROR(IFERROR(INDEX(Vöruskrá!K:K,MATCH(B870,Vöruskrá!B:B,0)),0)*C870/100000,""))</f>
        <v>1.1302199999999998</v>
      </c>
      <c r="I870" s="169">
        <f>IF(OR(B870="",C870=""),"",IFERROR(IFERROR(INDEX(Vöruskrá!L:L,MATCH(B870,Vöruskrá!B:B,0)),0)*C870/100000,""))</f>
        <v>0.2457</v>
      </c>
      <c r="J870" s="169">
        <f>IF(OR(B870="",C870=""),"",IFERROR(IFERROR(INDEX(Vöruskrá!M:M,MATCH(B870,Vöruskrá!B:B,0)),0)*C870/100000,""))</f>
        <v>16.216200000000001</v>
      </c>
      <c r="K870" s="169">
        <f>IF(OR(B870="",C870=""),"",IFERROR(IFERROR(INDEX(Vöruskrá!N:N,MATCH(B870,Vöruskrá!B:B,0)),0)*C870/100000,""))</f>
        <v>13.41522</v>
      </c>
      <c r="L870" s="169">
        <f>IF(OR(B870="",C870=""),"",IFERROR(IFERROR(INDEX(Vöruskrá!O:O,MATCH(B870,Vöruskrá!B:B,0)),0)*C870/100000,""))</f>
        <v>11.5479</v>
      </c>
      <c r="M870" s="169">
        <f>IF(OR(B870="",C870=""),"",IFERROR(IFERROR(INDEX(Vöruskrá!P:P,MATCH(B870,Vöruskrá!B:B,0)),0)*C870/100000,""))</f>
        <v>16.707599999999999</v>
      </c>
      <c r="N870" s="169">
        <f>IF(OR(B870="",C870=""),"",IFERROR(IFERROR(INDEX(Vöruskrá!Q:Q,MATCH(B870,Vöruskrá!B:B,0)),0)*C870/100000,""))</f>
        <v>0.2457</v>
      </c>
      <c r="O870" s="170">
        <f>IF(OR(B870="",C870=""),"",IFERROR(C870/1000*IFERROR(INDEX(Vöruskrá!R:R,MATCH(B870,Vöruskrá!B:B,0)),0)/1000,""))</f>
        <v>0</v>
      </c>
      <c r="P870" s="173"/>
      <c r="Q870" s="158"/>
      <c r="R870" s="6"/>
    </row>
    <row r="871" spans="1:18" ht="15">
      <c r="A871" s="171"/>
      <c r="B871" s="171" t="s">
        <v>489</v>
      </c>
      <c r="C871" s="172">
        <v>1229</v>
      </c>
      <c r="D871" s="168" t="s">
        <v>490</v>
      </c>
      <c r="E871" s="168" t="s">
        <v>134</v>
      </c>
      <c r="F871" s="168" t="s">
        <v>311</v>
      </c>
      <c r="G871" s="169">
        <f>IF(OR(B871="",C871=""),"",IFERROR(IFERROR(INDEX(Vöruskrá!J:J,MATCH(B871,Vöruskrá!B:B,0)),0)*C871/100000,""))</f>
        <v>2.72838</v>
      </c>
      <c r="H871" s="169">
        <f>IF(OR(B871="",C871=""),"",IFERROR(IFERROR(INDEX(Vöruskrá!K:K,MATCH(B871,Vöruskrá!B:B,0)),0)*C871/100000,""))</f>
        <v>7.374E-2</v>
      </c>
      <c r="I871" s="169">
        <f>IF(OR(B871="",C871=""),"",IFERROR(IFERROR(INDEX(Vöruskrá!L:L,MATCH(B871,Vöruskrá!B:B,0)),0)*C871/100000,""))</f>
        <v>1.1061000000000001E-2</v>
      </c>
      <c r="J871" s="169">
        <f>IF(OR(B871="",C871=""),"",IFERROR(IFERROR(INDEX(Vöruskrá!M:M,MATCH(B871,Vöruskrá!B:B,0)),0)*C871/100000,""))</f>
        <v>0.36870000000000003</v>
      </c>
      <c r="K871" s="169">
        <f>IF(OR(B871="",C871=""),"",IFERROR(IFERROR(INDEX(Vöruskrá!N:N,MATCH(B871,Vöruskrá!B:B,0)),0)*C871/100000,""))</f>
        <v>5.6533999999999994E-2</v>
      </c>
      <c r="L871" s="169">
        <f>IF(OR(B871="",C871=""),"",IFERROR(IFERROR(INDEX(Vöruskrá!O:O,MATCH(B871,Vöruskrá!B:B,0)),0)*C871/100000,""))</f>
        <v>8.7259000000000003E-2</v>
      </c>
      <c r="M871" s="169">
        <f>IF(OR(B871="",C871=""),"",IFERROR(IFERROR(INDEX(Vöruskrá!P:P,MATCH(B871,Vöruskrá!B:B,0)),0)*C871/100000,""))</f>
        <v>0.55305000000000004</v>
      </c>
      <c r="N871" s="169">
        <f>IF(OR(B871="",C871=""),"",IFERROR(IFERROR(INDEX(Vöruskrá!Q:Q,MATCH(B871,Vöruskrá!B:B,0)),0)*C871/100000,""))</f>
        <v>0</v>
      </c>
      <c r="O871" s="170">
        <f>IF(OR(B871="",C871=""),"",IFERROR(C871/1000*IFERROR(INDEX(Vöruskrá!R:R,MATCH(B871,Vöruskrá!B:B,0)),0)/1000,""))</f>
        <v>0</v>
      </c>
      <c r="P871" s="171"/>
      <c r="Q871" s="157"/>
      <c r="R871" s="27"/>
    </row>
    <row r="872" spans="1:18" ht="15">
      <c r="A872" s="173"/>
      <c r="B872" s="173" t="s">
        <v>1058</v>
      </c>
      <c r="C872" s="174">
        <v>6143</v>
      </c>
      <c r="D872" s="168" t="s">
        <v>1059</v>
      </c>
      <c r="E872" s="168" t="s">
        <v>120</v>
      </c>
      <c r="F872" s="168"/>
      <c r="G872" s="169">
        <f>IF(OR(B872="",C872=""),"",IFERROR(IFERROR(INDEX(Vöruskrá!J:J,MATCH(B872,Vöruskrá!B:B,0)),0)*C872/100000,""))</f>
        <v>20.886199999999999</v>
      </c>
      <c r="H872" s="169">
        <f>IF(OR(B872="",C872=""),"",IFERROR(IFERROR(INDEX(Vöruskrá!K:K,MATCH(B872,Vöruskrá!B:B,0)),0)*C872/100000,""))</f>
        <v>2.1500499999999998</v>
      </c>
      <c r="I872" s="169">
        <f>IF(OR(B872="",C872=""),"",IFERROR(IFERROR(INDEX(Vöruskrá!L:L,MATCH(B872,Vöruskrá!B:B,0)),0)*C872/100000,""))</f>
        <v>1.3514600000000001</v>
      </c>
      <c r="J872" s="169">
        <f>IF(OR(B872="",C872=""),"",IFERROR(IFERROR(INDEX(Vöruskrá!M:M,MATCH(B872,Vöruskrá!B:B,0)),0)*C872/100000,""))</f>
        <v>0.18429000000000001</v>
      </c>
      <c r="K872" s="169">
        <f>IF(OR(B872="",C872=""),"",IFERROR(IFERROR(INDEX(Vöruskrá!N:N,MATCH(B872,Vöruskrá!B:B,0)),0)*C872/100000,""))</f>
        <v>0.18429000000000001</v>
      </c>
      <c r="L872" s="169">
        <f>IF(OR(B872="",C872=""),"",IFERROR(IFERROR(INDEX(Vöruskrá!O:O,MATCH(B872,Vöruskrá!B:B,0)),0)*C872/100000,""))</f>
        <v>0.15357499999999999</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158"/>
      <c r="R872" s="6"/>
    </row>
    <row r="873" spans="1:18" ht="15">
      <c r="A873" s="171"/>
      <c r="B873" s="171" t="s">
        <v>1097</v>
      </c>
      <c r="C873" s="172">
        <v>6143</v>
      </c>
      <c r="D873" s="168" t="s">
        <v>1098</v>
      </c>
      <c r="E873" s="168" t="s">
        <v>1099</v>
      </c>
      <c r="F873" s="168" t="s">
        <v>1100</v>
      </c>
      <c r="G873" s="169">
        <f>IF(OR(B873="",C873=""),"",IFERROR(IFERROR(INDEX(Vöruskrá!J:J,MATCH(B873,Vöruskrá!B:B,0)),0)*C873/100000,""))</f>
        <v>5.2829800000000002</v>
      </c>
      <c r="H873" s="169">
        <f>IF(OR(B873="",C873=""),"",IFERROR(IFERROR(INDEX(Vöruskrá!K:K,MATCH(B873,Vöruskrá!B:B,0)),0)*C873/100000,""))</f>
        <v>7.371599999999999E-2</v>
      </c>
      <c r="I873" s="169">
        <f>IF(OR(B873="",C873=""),"",IFERROR(IFERROR(INDEX(Vöruskrá!L:L,MATCH(B873,Vöruskrá!B:B,0)),0)*C873/100000,""))</f>
        <v>1.2286000000000002E-2</v>
      </c>
      <c r="J873" s="169">
        <f>IF(OR(B873="",C873=""),"",IFERROR(IFERROR(INDEX(Vöruskrá!M:M,MATCH(B873,Vöruskrá!B:B,0)),0)*C873/100000,""))</f>
        <v>1.16717</v>
      </c>
      <c r="K873" s="169">
        <f>IF(OR(B873="",C873=""),"",IFERROR(IFERROR(INDEX(Vöruskrá!N:N,MATCH(B873,Vöruskrá!B:B,0)),0)*C873/100000,""))</f>
        <v>0.19657600000000003</v>
      </c>
      <c r="L873" s="169">
        <f>IF(OR(B873="",C873=""),"",IFERROR(IFERROR(INDEX(Vöruskrá!O:O,MATCH(B873,Vöruskrá!B:B,0)),0)*C873/100000,""))</f>
        <v>0.19657600000000003</v>
      </c>
      <c r="M873" s="169">
        <f>IF(OR(B873="",C873=""),"",IFERROR(IFERROR(INDEX(Vöruskrá!P:P,MATCH(B873,Vöruskrá!B:B,0)),0)*C873/100000,""))</f>
        <v>6.1430000000000009E-3</v>
      </c>
      <c r="N873" s="169">
        <f>IF(OR(B873="",C873=""),"",IFERROR(IFERROR(INDEX(Vöruskrá!Q:Q,MATCH(B873,Vöruskrá!B:B,0)),0)*C873/100000,""))</f>
        <v>0.12286</v>
      </c>
      <c r="O873" s="170">
        <f>IF(OR(B873="",C873=""),"",IFERROR(C873/1000*IFERROR(INDEX(Vöruskrá!R:R,MATCH(B873,Vöruskrá!B:B,0)),0)/1000,""))</f>
        <v>0</v>
      </c>
      <c r="P873" s="171"/>
      <c r="Q873" s="157"/>
      <c r="R873" s="27"/>
    </row>
    <row r="874" spans="1:18" ht="15">
      <c r="A874" s="173"/>
      <c r="B874" s="173" t="s">
        <v>1010</v>
      </c>
      <c r="C874" s="174">
        <v>6143</v>
      </c>
      <c r="D874" s="168" t="s">
        <v>1010</v>
      </c>
      <c r="E874" s="168" t="s">
        <v>134</v>
      </c>
      <c r="F874" s="168"/>
      <c r="G874" s="169">
        <f>IF(OR(B874="",C874=""),"",IFERROR(IFERROR(INDEX(Vöruskrá!J:J,MATCH(B874,Vöruskrá!B:B,0)),0)*C874/100000,""))</f>
        <v>2.4571999999999998</v>
      </c>
      <c r="H874" s="169">
        <f>IF(OR(B874="",C874=""),"",IFERROR(IFERROR(INDEX(Vöruskrá!K:K,MATCH(B874,Vöruskrá!B:B,0)),0)*C874/100000,""))</f>
        <v>6.1430000000000009E-3</v>
      </c>
      <c r="I874" s="169">
        <f>IF(OR(B874="",C874=""),"",IFERROR(IFERROR(INDEX(Vöruskrá!L:L,MATCH(B874,Vöruskrá!B:B,0)),0)*C874/100000,""))</f>
        <v>0</v>
      </c>
      <c r="J874" s="169">
        <f>IF(OR(B874="",C874=""),"",IFERROR(IFERROR(INDEX(Vöruskrá!M:M,MATCH(B874,Vöruskrá!B:B,0)),0)*C874/100000,""))</f>
        <v>0.571299</v>
      </c>
      <c r="K874" s="169">
        <f>IF(OR(B874="",C874=""),"",IFERROR(IFERROR(INDEX(Vöruskrá!N:N,MATCH(B874,Vöruskrá!B:B,0)),0)*C874/100000,""))</f>
        <v>0.25800600000000001</v>
      </c>
      <c r="L874" s="169">
        <f>IF(OR(B874="",C874=""),"",IFERROR(IFERROR(INDEX(Vöruskrá!O:O,MATCH(B874,Vöruskrá!B:B,0)),0)*C874/100000,""))</f>
        <v>6.7573000000000008E-2</v>
      </c>
      <c r="M874" s="169">
        <f>IF(OR(B874="",C874=""),"",IFERROR(IFERROR(INDEX(Vöruskrá!P:P,MATCH(B874,Vöruskrá!B:B,0)),0)*C874/100000,""))</f>
        <v>0</v>
      </c>
      <c r="N874" s="169">
        <f>IF(OR(B874="",C874=""),"",IFERROR(IFERROR(INDEX(Vöruskrá!Q:Q,MATCH(B874,Vöruskrá!B:B,0)),0)*C874/100000,""))</f>
        <v>0.10443100000000001</v>
      </c>
      <c r="O874" s="170">
        <f>IF(OR(B874="",C874=""),"",IFERROR(C874/1000*IFERROR(INDEX(Vöruskrá!R:R,MATCH(B874,Vöruskrá!B:B,0)),0)/1000,""))</f>
        <v>0</v>
      </c>
      <c r="P874" s="173"/>
      <c r="Q874" s="158"/>
      <c r="R874" s="6"/>
    </row>
    <row r="875" spans="1:18" ht="15">
      <c r="A875" s="171"/>
      <c r="B875" s="171" t="s">
        <v>743</v>
      </c>
      <c r="C875" s="172">
        <v>6143</v>
      </c>
      <c r="D875" s="168" t="s">
        <v>745</v>
      </c>
      <c r="E875" s="168"/>
      <c r="F875" s="168"/>
      <c r="G875" s="169">
        <f>IF(OR(B875="",C875=""),"",IFERROR(IFERROR(INDEX(Vöruskrá!J:J,MATCH(B875,Vöruskrá!B:B,0)),0)*C875/100000,""))</f>
        <v>1.72004</v>
      </c>
      <c r="H875" s="169">
        <f>IF(OR(B875="",C875=""),"",IFERROR(IFERROR(INDEX(Vöruskrá!K:K,MATCH(B875,Vöruskrá!B:B,0)),0)*C875/100000,""))</f>
        <v>6.1430000000000009E-3</v>
      </c>
      <c r="I875" s="169">
        <f>IF(OR(B875="",C875=""),"",IFERROR(IFERROR(INDEX(Vöruskrá!L:L,MATCH(B875,Vöruskrá!B:B,0)),0)*C875/100000,""))</f>
        <v>0</v>
      </c>
      <c r="J875" s="169">
        <f>IF(OR(B875="",C875=""),"",IFERROR(IFERROR(INDEX(Vöruskrá!M:M,MATCH(B875,Vöruskrá!B:B,0)),0)*C875/100000,""))</f>
        <v>0.30714999999999998</v>
      </c>
      <c r="K875" s="169">
        <f>IF(OR(B875="",C875=""),"",IFERROR(IFERROR(INDEX(Vöruskrá!N:N,MATCH(B875,Vöruskrá!B:B,0)),0)*C875/100000,""))</f>
        <v>0.20886200000000002</v>
      </c>
      <c r="L875" s="169">
        <f>IF(OR(B875="",C875=""),"",IFERROR(IFERROR(INDEX(Vöruskrá!O:O,MATCH(B875,Vöruskrá!B:B,0)),0)*C875/100000,""))</f>
        <v>9.2145000000000005E-2</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1"/>
      <c r="Q875" s="157"/>
      <c r="R875" s="27"/>
    </row>
    <row r="876" spans="1:18" ht="15">
      <c r="A876" s="173"/>
      <c r="B876" s="173" t="s">
        <v>299</v>
      </c>
      <c r="C876" s="174">
        <v>491</v>
      </c>
      <c r="D876" s="168" t="s">
        <v>302</v>
      </c>
      <c r="E876" s="168" t="s">
        <v>134</v>
      </c>
      <c r="F876" s="168" t="s">
        <v>303</v>
      </c>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0.49099999999999999</v>
      </c>
      <c r="N876" s="169">
        <f>IF(OR(B876="",C876=""),"",IFERROR(IFERROR(INDEX(Vöruskrá!Q:Q,MATCH(B876,Vöruskrá!B:B,0)),0)*C876/100000,""))</f>
        <v>0</v>
      </c>
      <c r="O876" s="170">
        <f>IF(OR(B876="",C876=""),"",IFERROR(C876/1000*IFERROR(INDEX(Vöruskrá!R:R,MATCH(B876,Vöruskrá!B:B,0)),0)/1000,""))</f>
        <v>0</v>
      </c>
      <c r="P876" s="173"/>
      <c r="Q876" s="200"/>
      <c r="R876" s="159"/>
    </row>
    <row r="877" spans="1:18" ht="72">
      <c r="A877" s="147" t="s">
        <v>2009</v>
      </c>
      <c r="B877" s="147"/>
      <c r="C877" s="148"/>
      <c r="D877" s="165" t="s">
        <v>2010</v>
      </c>
      <c r="E877" s="165" t="s">
        <v>577</v>
      </c>
      <c r="F877" s="165"/>
      <c r="G877" s="166">
        <v>47.85</v>
      </c>
      <c r="H877" s="166">
        <v>1.93</v>
      </c>
      <c r="I877" s="166">
        <v>0.73</v>
      </c>
      <c r="J877" s="166">
        <v>6.24</v>
      </c>
      <c r="K877" s="166"/>
      <c r="L877" s="166">
        <v>1.21</v>
      </c>
      <c r="M877" s="166">
        <v>2.4</v>
      </c>
      <c r="N877" s="166">
        <f>IFERROR(SUM(N878:N895)/(SUM($C$878:$C$895)/100000),"")</f>
        <v>0.40865000000000001</v>
      </c>
      <c r="O877" s="167" t="str">
        <f>IF(OR(B877="",C877=""),"",IFERROR(C877/1000*IFERROR(INDEX(Vöruskrá!R:R,MATCH(B877,Vöruskrá!B:B,0)),0)/1000,""))</f>
        <v/>
      </c>
      <c r="P877" s="196" t="s">
        <v>2011</v>
      </c>
      <c r="Q877" s="199" t="s">
        <v>2012</v>
      </c>
      <c r="R877" s="198" t="s">
        <v>2013</v>
      </c>
    </row>
    <row r="878" spans="1:18" ht="15">
      <c r="A878" s="171"/>
      <c r="B878" s="171" t="s">
        <v>784</v>
      </c>
      <c r="C878" s="172">
        <v>5500</v>
      </c>
      <c r="D878" s="168" t="s">
        <v>786</v>
      </c>
      <c r="E878" s="168"/>
      <c r="F878" s="168"/>
      <c r="G878" s="169">
        <f>IF(OR(B878="",C878=""),"",IFERROR(IFERROR(INDEX(Vöruskrá!J:J,MATCH(B878,Vöruskrá!B:B,0)),0)*C878/100000,""))</f>
        <v>26.29</v>
      </c>
      <c r="H878" s="169">
        <f>IF(OR(B878="",C878=""),"",IFERROR(IFERROR(INDEX(Vöruskrá!K:K,MATCH(B878,Vöruskrá!B:B,0)),0)*C878/100000,""))</f>
        <v>1.617</v>
      </c>
      <c r="I878" s="169">
        <f>IF(OR(B878="",C878=""),"",IFERROR(IFERROR(INDEX(Vöruskrá!L:L,MATCH(B878,Vöruskrá!B:B,0)),0)*C878/100000,""))</f>
        <v>0.69850000000000001</v>
      </c>
      <c r="J878" s="169">
        <f>IF(OR(B878="",C878=""),"",IFERROR(IFERROR(INDEX(Vöruskrá!M:M,MATCH(B878,Vöruskrá!B:B,0)),0)*C878/100000,""))</f>
        <v>2.585</v>
      </c>
      <c r="K878" s="169">
        <f>IF(OR(B878="",C878=""),"",IFERROR(IFERROR(INDEX(Vöruskrá!N:N,MATCH(B878,Vöruskrá!B:B,0)),0)*C878/100000,""))</f>
        <v>1.0669999999999999</v>
      </c>
      <c r="L878" s="169">
        <f>IF(OR(B878="",C878=""),"",IFERROR(IFERROR(INDEX(Vöruskrá!O:O,MATCH(B878,Vöruskrá!B:B,0)),0)*C878/100000,""))</f>
        <v>0.26400000000000001</v>
      </c>
      <c r="M878" s="169">
        <f>IF(OR(B878="",C878=""),"",IFERROR(IFERROR(INDEX(Vöruskrá!P:P,MATCH(B878,Vöruskrá!B:B,0)),0)*C878/100000,""))</f>
        <v>0.51700000000000002</v>
      </c>
      <c r="N878" s="169">
        <f>IF(OR(B878="",C878=""),"",IFERROR(IFERROR(INDEX(Vöruskrá!Q:Q,MATCH(B878,Vöruskrá!B:B,0)),0)*C878/100000,""))</f>
        <v>0.18149999999999999</v>
      </c>
      <c r="O878" s="170">
        <f>IF(OR(B878="",C878=""),"",IFERROR(C878/1000*IFERROR(INDEX(Vöruskrá!R:R,MATCH(B878,Vöruskrá!B:B,0)),0)/1000,""))</f>
        <v>0</v>
      </c>
      <c r="P878" s="171"/>
      <c r="Q878" s="197"/>
      <c r="R878" s="164"/>
    </row>
    <row r="879" spans="1:18" ht="15">
      <c r="A879" s="173"/>
      <c r="B879" s="173" t="s">
        <v>743</v>
      </c>
      <c r="C879" s="174">
        <v>6000</v>
      </c>
      <c r="D879" s="168" t="s">
        <v>745</v>
      </c>
      <c r="E879" s="168"/>
      <c r="F879" s="168"/>
      <c r="G879" s="169">
        <f>IF(OR(B879="",C879=""),"",IFERROR(IFERROR(INDEX(Vöruskrá!J:J,MATCH(B879,Vöruskrá!B:B,0)),0)*C879/100000,""))</f>
        <v>1.68</v>
      </c>
      <c r="H879" s="169">
        <f>IF(OR(B879="",C879=""),"",IFERROR(IFERROR(INDEX(Vöruskrá!K:K,MATCH(B879,Vöruskrá!B:B,0)),0)*C879/100000,""))</f>
        <v>6.0000000000000001E-3</v>
      </c>
      <c r="I879" s="169">
        <f>IF(OR(B879="",C879=""),"",IFERROR(IFERROR(INDEX(Vöruskrá!L:L,MATCH(B879,Vöruskrá!B:B,0)),0)*C879/100000,""))</f>
        <v>0</v>
      </c>
      <c r="J879" s="169">
        <f>IF(OR(B879="",C879=""),"",IFERROR(IFERROR(INDEX(Vöruskrá!M:M,MATCH(B879,Vöruskrá!B:B,0)),0)*C879/100000,""))</f>
        <v>0.3</v>
      </c>
      <c r="K879" s="169">
        <f>IF(OR(B879="",C879=""),"",IFERROR(IFERROR(INDEX(Vöruskrá!N:N,MATCH(B879,Vöruskrá!B:B,0)),0)*C879/100000,""))</f>
        <v>0.20399999999999999</v>
      </c>
      <c r="L879" s="169">
        <f>IF(OR(B879="",C879=""),"",IFERROR(IFERROR(INDEX(Vöruskrá!O:O,MATCH(B879,Vöruskrá!B:B,0)),0)*C879/100000,""))</f>
        <v>0.09</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3"/>
      <c r="Q879" s="157"/>
      <c r="R879" s="27"/>
    </row>
    <row r="880" spans="1:18" ht="15">
      <c r="A880" s="171"/>
      <c r="B880" s="171" t="s">
        <v>420</v>
      </c>
      <c r="C880" s="172">
        <v>3000</v>
      </c>
      <c r="D880" s="168" t="s">
        <v>421</v>
      </c>
      <c r="E880" s="168" t="s">
        <v>134</v>
      </c>
      <c r="F880" s="168"/>
      <c r="G880" s="169">
        <f>IF(OR(B880="",C880=""),"",IFERROR(IFERROR(INDEX(Vöruskrá!J:J,MATCH(B880,Vöruskrá!B:B,0)),0)*C880/100000,""))</f>
        <v>0.99</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0.16500000000000001</v>
      </c>
      <c r="K880" s="169">
        <f>IF(OR(B880="",C880=""),"",IFERROR(IFERROR(INDEX(Vöruskrá!N:N,MATCH(B880,Vöruskrá!B:B,0)),0)*C880/100000,""))</f>
        <v>0.14399999999999999</v>
      </c>
      <c r="L880" s="169">
        <f>IF(OR(B880="",C880=""),"",IFERROR(IFERROR(INDEX(Vöruskrá!O:O,MATCH(B880,Vöruskrá!B:B,0)),0)*C880/100000,""))</f>
        <v>4.8000000000000001E-2</v>
      </c>
      <c r="M880" s="169">
        <f>IF(OR(B880="",C880=""),"",IFERROR(IFERROR(INDEX(Vöruskrá!P:P,MATCH(B880,Vöruskrá!B:B,0)),0)*C880/100000,""))</f>
        <v>0.03</v>
      </c>
      <c r="N880" s="169">
        <f>IF(OR(B880="",C880=""),"",IFERROR(IFERROR(INDEX(Vöruskrá!Q:Q,MATCH(B880,Vöruskrá!B:B,0)),0)*C880/100000,""))</f>
        <v>5.7000000000000002E-2</v>
      </c>
      <c r="O880" s="170">
        <f>IF(OR(B880="",C880=""),"",IFERROR(C880/1000*IFERROR(INDEX(Vöruskrá!R:R,MATCH(B880,Vöruskrá!B:B,0)),0)/1000,""))</f>
        <v>0</v>
      </c>
      <c r="P880" s="171"/>
      <c r="Q880" s="158"/>
      <c r="R880" s="6"/>
    </row>
    <row r="881" spans="1:18" ht="15">
      <c r="A881" s="173"/>
      <c r="B881" s="173" t="s">
        <v>739</v>
      </c>
      <c r="C881" s="174">
        <v>2500</v>
      </c>
      <c r="D881" s="168" t="s">
        <v>741</v>
      </c>
      <c r="E881" s="168"/>
      <c r="F881" s="168"/>
      <c r="G881" s="169">
        <f>IF(OR(B881="",C881=""),"",IFERROR(IFERROR(INDEX(Vöruskrá!J:J,MATCH(B881,Vöruskrá!B:B,0)),0)*C881/100000,""))</f>
        <v>0.7</v>
      </c>
      <c r="H881" s="169">
        <f>IF(OR(B881="",C881=""),"",IFERROR(IFERROR(INDEX(Vöruskrá!K:K,MATCH(B881,Vöruskrá!B:B,0)),0)*C881/100000,""))</f>
        <v>0.01</v>
      </c>
      <c r="I881" s="169">
        <f>IF(OR(B881="",C881=""),"",IFERROR(IFERROR(INDEX(Vöruskrá!L:L,MATCH(B881,Vöruskrá!B:B,0)),0)*C881/100000,""))</f>
        <v>2.5000000000000001E-3</v>
      </c>
      <c r="J881" s="169">
        <f>IF(OR(B881="",C881=""),"",IFERROR(IFERROR(INDEX(Vöruskrá!M:M,MATCH(B881,Vöruskrá!B:B,0)),0)*C881/100000,""))</f>
        <v>0.1125</v>
      </c>
      <c r="K881" s="169">
        <f>IF(OR(B881="",C881=""),"",IFERROR(IFERROR(INDEX(Vöruskrá!N:N,MATCH(B881,Vöruskrá!B:B,0)),0)*C881/100000,""))</f>
        <v>0.1075</v>
      </c>
      <c r="L881" s="169">
        <f>IF(OR(B881="",C881=""),"",IFERROR(IFERROR(INDEX(Vöruskrá!O:O,MATCH(B881,Vöruskrá!B:B,0)),0)*C881/100000,""))</f>
        <v>2.2499999999999999E-2</v>
      </c>
      <c r="M881" s="169">
        <f>IF(OR(B881="",C881=""),"",IFERROR(IFERROR(INDEX(Vöruskrá!P:P,MATCH(B881,Vöruskrá!B:B,0)),0)*C881/100000,""))</f>
        <v>0</v>
      </c>
      <c r="N881" s="169">
        <f>IF(OR(B881="",C881=""),"",IFERROR(IFERROR(INDEX(Vöruskrá!Q:Q,MATCH(B881,Vöruskrá!B:B,0)),0)*C881/100000,""))</f>
        <v>0.04</v>
      </c>
      <c r="O881" s="170">
        <f>IF(OR(B881="",C881=""),"",IFERROR(C881/1000*IFERROR(INDEX(Vöruskrá!R:R,MATCH(B881,Vöruskrá!B:B,0)),0)/1000,""))</f>
        <v>0</v>
      </c>
      <c r="P881" s="173"/>
      <c r="Q881" s="157"/>
      <c r="R881" s="27"/>
    </row>
    <row r="882" spans="1:18" ht="15">
      <c r="A882" s="171"/>
      <c r="B882" s="171" t="s">
        <v>564</v>
      </c>
      <c r="C882" s="172">
        <v>2000</v>
      </c>
      <c r="D882" s="168" t="s">
        <v>565</v>
      </c>
      <c r="E882" s="168" t="s">
        <v>134</v>
      </c>
      <c r="F882" s="168"/>
      <c r="G882" s="169">
        <f>IF(OR(B882="",C882=""),"",IFERROR(IFERROR(INDEX(Vöruskrá!J:J,MATCH(B882,Vöruskrá!B:B,0)),0)*C882/100000,""))</f>
        <v>2.2799999999999998</v>
      </c>
      <c r="H882" s="169">
        <f>IF(OR(B882="",C882=""),"",IFERROR(IFERROR(INDEX(Vöruskrá!K:K,MATCH(B882,Vöruskrá!B:B,0)),0)*C882/100000,""))</f>
        <v>0.17199999999999999</v>
      </c>
      <c r="I882" s="169">
        <f>IF(OR(B882="",C882=""),"",IFERROR(IFERROR(INDEX(Vöruskrá!L:L,MATCH(B882,Vöruskrá!B:B,0)),0)*C882/100000,""))</f>
        <v>2.1999999999999999E-2</v>
      </c>
      <c r="J882" s="169">
        <f>IF(OR(B882="",C882=""),"",IFERROR(IFERROR(INDEX(Vöruskrá!M:M,MATCH(B882,Vöruskrá!B:B,0)),0)*C882/100000,""))</f>
        <v>0.13800000000000001</v>
      </c>
      <c r="K882" s="169">
        <f>IF(OR(B882="",C882=""),"",IFERROR(IFERROR(INDEX(Vöruskrá!N:N,MATCH(B882,Vöruskrá!B:B,0)),0)*C882/100000,""))</f>
        <v>7.8E-2</v>
      </c>
      <c r="L882" s="169">
        <f>IF(OR(B882="",C882=""),"",IFERROR(IFERROR(INDEX(Vöruskrá!O:O,MATCH(B882,Vöruskrá!B:B,0)),0)*C882/100000,""))</f>
        <v>2.4E-2</v>
      </c>
      <c r="M882" s="169">
        <f>IF(OR(B882="",C882=""),"",IFERROR(IFERROR(INDEX(Vöruskrá!P:P,MATCH(B882,Vöruskrá!B:B,0)),0)*C882/100000,""))</f>
        <v>0</v>
      </c>
      <c r="N882" s="169">
        <f>IF(OR(B882="",C882=""),"",IFERROR(IFERROR(INDEX(Vöruskrá!Q:Q,MATCH(B882,Vöruskrá!B:B,0)),0)*C882/100000,""))</f>
        <v>3.7999999999999999E-2</v>
      </c>
      <c r="O882" s="170">
        <f>IF(OR(B882="",C882=""),"",IFERROR(C882/1000*IFERROR(INDEX(Vöruskrá!R:R,MATCH(B882,Vöruskrá!B:B,0)),0)/1000,""))</f>
        <v>0</v>
      </c>
      <c r="P882" s="171"/>
      <c r="Q882" s="158"/>
      <c r="R882" s="6"/>
    </row>
    <row r="883" spans="1:18" ht="15">
      <c r="A883" s="173"/>
      <c r="B883" s="173" t="s">
        <v>558</v>
      </c>
      <c r="C883" s="174">
        <v>1250</v>
      </c>
      <c r="D883" s="168" t="s">
        <v>560</v>
      </c>
      <c r="E883" s="168" t="s">
        <v>134</v>
      </c>
      <c r="F883" s="168"/>
      <c r="G883" s="169">
        <f>IF(OR(B883="",C883=""),"",IFERROR(IFERROR(INDEX(Vöruskrá!J:J,MATCH(B883,Vöruskrá!B:B,0)),0)*C883/100000,""))</f>
        <v>0.21249999999999999</v>
      </c>
      <c r="H883" s="169">
        <f>IF(OR(B883="",C883=""),"",IFERROR(IFERROR(INDEX(Vöruskrá!K:K,MATCH(B883,Vöruskrá!B:B,0)),0)*C883/100000,""))</f>
        <v>2.5000000000000001E-3</v>
      </c>
      <c r="I883" s="169">
        <f>IF(OR(B883="",C883=""),"",IFERROR(IFERROR(INDEX(Vöruskrá!L:L,MATCH(B883,Vöruskrá!B:B,0)),0)*C883/100000,""))</f>
        <v>0</v>
      </c>
      <c r="J883" s="169">
        <f>IF(OR(B883="",C883=""),"",IFERROR(IFERROR(INDEX(Vöruskrá!M:M,MATCH(B883,Vöruskrá!B:B,0)),0)*C883/100000,""))</f>
        <v>2.2499999999999999E-2</v>
      </c>
      <c r="K883" s="169">
        <f>IF(OR(B883="",C883=""),"",IFERROR(IFERROR(INDEX(Vöruskrá!N:N,MATCH(B883,Vöruskrá!B:B,0)),0)*C883/100000,""))</f>
        <v>2.1250000000000002E-2</v>
      </c>
      <c r="L883" s="169">
        <f>IF(OR(B883="",C883=""),"",IFERROR(IFERROR(INDEX(Vöruskrá!O:O,MATCH(B883,Vöruskrá!B:B,0)),0)*C883/100000,""))</f>
        <v>1.125E-2</v>
      </c>
      <c r="M883" s="169">
        <f>IF(OR(B883="",C883=""),"",IFERROR(IFERROR(INDEX(Vöruskrá!P:P,MATCH(B883,Vöruskrá!B:B,0)),0)*C883/100000,""))</f>
        <v>6.2500000000000003E-3</v>
      </c>
      <c r="N883" s="169">
        <f>IF(OR(B883="",C883=""),"",IFERROR(IFERROR(INDEX(Vöruskrá!Q:Q,MATCH(B883,Vöruskrá!B:B,0)),0)*C883/100000,""))</f>
        <v>2.8750000000000001E-2</v>
      </c>
      <c r="O883" s="170">
        <f>IF(OR(B883="",C883=""),"",IFERROR(C883/1000*IFERROR(INDEX(Vöruskrá!R:R,MATCH(B883,Vöruskrá!B:B,0)),0)/1000,""))</f>
        <v>0</v>
      </c>
      <c r="P883" s="173"/>
      <c r="Q883" s="157"/>
      <c r="R883" s="27"/>
    </row>
    <row r="884" spans="1:18" ht="15">
      <c r="A884" s="171"/>
      <c r="B884" s="171" t="s">
        <v>795</v>
      </c>
      <c r="C884" s="172">
        <v>5000</v>
      </c>
      <c r="D884" s="168" t="s">
        <v>797</v>
      </c>
      <c r="E884" s="168"/>
      <c r="F884" s="168"/>
      <c r="G884" s="169">
        <f>IF(OR(B884="",C884=""),"",IFERROR(IFERROR(INDEX(Vöruskrá!J:J,MATCH(B884,Vöruskrá!B:B,0)),0)*C884/100000,""))</f>
        <v>13.9</v>
      </c>
      <c r="H884" s="169">
        <f>IF(OR(B884="",C884=""),"",IFERROR(IFERROR(INDEX(Vöruskrá!K:K,MATCH(B884,Vöruskrá!B:B,0)),0)*C884/100000,""))</f>
        <v>6.5000000000000002E-2</v>
      </c>
      <c r="I884" s="169">
        <f>IF(OR(B884="",C884=""),"",IFERROR(IFERROR(INDEX(Vöruskrá!L:L,MATCH(B884,Vöruskrá!B:B,0)),0)*C884/100000,""))</f>
        <v>5.0000000000000001E-3</v>
      </c>
      <c r="J884" s="169">
        <f>IF(OR(B884="",C884=""),"",IFERROR(IFERROR(INDEX(Vöruskrá!M:M,MATCH(B884,Vöruskrá!B:B,0)),0)*C884/100000,""))</f>
        <v>2.63</v>
      </c>
      <c r="K884" s="169">
        <f>IF(OR(B884="",C884=""),"",IFERROR(IFERROR(INDEX(Vöruskrá!N:N,MATCH(B884,Vöruskrá!B:B,0)),0)*C884/100000,""))</f>
        <v>1.825</v>
      </c>
      <c r="L884" s="169">
        <f>IF(OR(B884="",C884=""),"",IFERROR(IFERROR(INDEX(Vöruskrá!O:O,MATCH(B884,Vöruskrá!B:B,0)),0)*C884/100000,""))</f>
        <v>0.69</v>
      </c>
      <c r="M884" s="169">
        <f>IF(OR(B884="",C884=""),"",IFERROR(IFERROR(INDEX(Vöruskrá!P:P,MATCH(B884,Vöruskrá!B:B,0)),0)*C884/100000,""))</f>
        <v>1.35</v>
      </c>
      <c r="N884" s="169">
        <f>IF(OR(B884="",C884=""),"",IFERROR(IFERROR(INDEX(Vöruskrá!Q:Q,MATCH(B884,Vöruskrá!B:B,0)),0)*C884/100000,""))</f>
        <v>0.02</v>
      </c>
      <c r="O884" s="170">
        <f>IF(OR(B884="",C884=""),"",IFERROR(C884/1000*IFERROR(INDEX(Vöruskrá!R:R,MATCH(B884,Vöruskrá!B:B,0)),0)/1000,""))</f>
        <v>0</v>
      </c>
      <c r="P884" s="171"/>
      <c r="Q884" s="158"/>
      <c r="R884" s="6"/>
    </row>
    <row r="885" spans="1:18" ht="15">
      <c r="A885" s="173"/>
      <c r="B885" s="173" t="s">
        <v>574</v>
      </c>
      <c r="C885" s="174">
        <v>400</v>
      </c>
      <c r="D885" s="168" t="s">
        <v>576</v>
      </c>
      <c r="E885" s="168" t="s">
        <v>577</v>
      </c>
      <c r="F885" s="168"/>
      <c r="G885" s="169">
        <f>IF(OR(B885="",C885=""),"",IFERROR(IFERROR(INDEX(Vöruskrá!J:J,MATCH(B885,Vöruskrá!B:B,0)),0)*C885/100000,""))</f>
        <v>0.61199999999999999</v>
      </c>
      <c r="H885" s="169">
        <f>IF(OR(B885="",C885=""),"",IFERROR(IFERROR(INDEX(Vöruskrá!K:K,MATCH(B885,Vöruskrá!B:B,0)),0)*C885/100000,""))</f>
        <v>1.6799999999999999E-2</v>
      </c>
      <c r="I885" s="169">
        <f>IF(OR(B885="",C885=""),"",IFERROR(IFERROR(INDEX(Vöruskrá!L:L,MATCH(B885,Vöruskrá!B:B,0)),0)*C885/100000,""))</f>
        <v>0</v>
      </c>
      <c r="J885" s="169">
        <f>IF(OR(B885="",C885=""),"",IFERROR(IFERROR(INDEX(Vöruskrá!M:M,MATCH(B885,Vöruskrá!B:B,0)),0)*C885/100000,""))</f>
        <v>9.3600000000000003E-2</v>
      </c>
      <c r="K885" s="169">
        <f>IF(OR(B885="",C885=""),"",IFERROR(IFERROR(INDEX(Vöruskrá!N:N,MATCH(B885,Vöruskrá!B:B,0)),0)*C885/100000,""))</f>
        <v>0</v>
      </c>
      <c r="L885" s="169">
        <f>IF(OR(B885="",C885=""),"",IFERROR(IFERROR(INDEX(Vöruskrá!O:O,MATCH(B885,Vöruskrá!B:B,0)),0)*C885/100000,""))</f>
        <v>2.0399999999999998E-2</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299</v>
      </c>
      <c r="C886" s="172">
        <v>500</v>
      </c>
      <c r="D886" s="168" t="s">
        <v>302</v>
      </c>
      <c r="E886" s="168" t="s">
        <v>134</v>
      </c>
      <c r="F886" s="168" t="s">
        <v>303</v>
      </c>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0.5</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1062</v>
      </c>
      <c r="C887" s="174">
        <v>80</v>
      </c>
      <c r="D887" s="168" t="s">
        <v>1063</v>
      </c>
      <c r="E887" s="168" t="s">
        <v>134</v>
      </c>
      <c r="F887" s="168" t="s">
        <v>1024</v>
      </c>
      <c r="G887" s="169">
        <f>IF(OR(B887="",C887=""),"",IFERROR(IFERROR(INDEX(Vöruskrá!J:J,MATCH(B887,Vöruskrá!B:B,0)),0)*C887/100000,""))</f>
        <v>0.3</v>
      </c>
      <c r="H887" s="169">
        <f>IF(OR(B887="",C887=""),"",IFERROR(IFERROR(INDEX(Vöruskrá!K:K,MATCH(B887,Vöruskrá!B:B,0)),0)*C887/100000,""))</f>
        <v>1.7840000000000002E-2</v>
      </c>
      <c r="I887" s="169">
        <f>IF(OR(B887="",C887=""),"",IFERROR(IFERROR(INDEX(Vöruskrá!L:L,MATCH(B887,Vöruskrá!B:B,0)),0)*C887/100000,""))</f>
        <v>1.0399999999999999E-3</v>
      </c>
      <c r="J887" s="169">
        <f>IF(OR(B887="",C887=""),"",IFERROR(IFERROR(INDEX(Vöruskrá!M:M,MATCH(B887,Vöruskrá!B:B,0)),0)*C887/100000,""))</f>
        <v>3.5360000000000003E-2</v>
      </c>
      <c r="K887" s="169">
        <f>IF(OR(B887="",C887=""),"",IFERROR(IFERROR(INDEX(Vöruskrá!N:N,MATCH(B887,Vöruskrá!B:B,0)),0)*C887/100000,""))</f>
        <v>1.8400000000000001E-3</v>
      </c>
      <c r="L887" s="169">
        <f>IF(OR(B887="",C887=""),"",IFERROR(IFERROR(INDEX(Vöruskrá!O:O,MATCH(B887,Vöruskrá!B:B,0)),0)*C887/100000,""))</f>
        <v>1.4239999999999999E-2</v>
      </c>
      <c r="M887" s="169">
        <f>IF(OR(B887="",C887=""),"",IFERROR(IFERROR(INDEX(Vöruskrá!P:P,MATCH(B887,Vöruskrá!B:B,0)),0)*C887/100000,""))</f>
        <v>1.6000000000000001E-4</v>
      </c>
      <c r="N887" s="169">
        <f>IF(OR(B887="",C887=""),"",IFERROR(IFERROR(INDEX(Vöruskrá!Q:Q,MATCH(B887,Vöruskrá!B:B,0)),0)*C887/100000,""))</f>
        <v>8.3999999999999995E-3</v>
      </c>
      <c r="O887" s="170">
        <f>IF(OR(B887="",C887=""),"",IFERROR(C887/1000*IFERROR(INDEX(Vöruskrá!R:R,MATCH(B887,Vöruskrá!B:B,0)),0)/1000,""))</f>
        <v>0</v>
      </c>
      <c r="P887" s="173"/>
      <c r="Q887" s="157"/>
      <c r="R887" s="27"/>
    </row>
    <row r="888" spans="1:18" ht="15">
      <c r="A888" s="171"/>
      <c r="B888" s="171" t="s">
        <v>819</v>
      </c>
      <c r="C888" s="172">
        <v>50</v>
      </c>
      <c r="D888" s="168" t="s">
        <v>820</v>
      </c>
      <c r="E888" s="168"/>
      <c r="F888" s="168" t="s">
        <v>311</v>
      </c>
      <c r="G888" s="169">
        <f>IF(OR(B888="",C888=""),"",IFERROR(IFERROR(INDEX(Vöruskrá!J:J,MATCH(B888,Vöruskrá!B:B,0)),0)*C888/100000,""))</f>
        <v>0.193</v>
      </c>
      <c r="H888" s="169">
        <f>IF(OR(B888="",C888=""),"",IFERROR(IFERROR(INDEX(Vöruskrá!K:K,MATCH(B888,Vöruskrá!B:B,0)),0)*C888/100000,""))</f>
        <v>1.65E-3</v>
      </c>
      <c r="I888" s="169">
        <f>IF(OR(B888="",C888=""),"",IFERROR(IFERROR(INDEX(Vöruskrá!L:L,MATCH(B888,Vöruskrá!B:B,0)),0)*C888/100000,""))</f>
        <v>5.0000000000000001E-4</v>
      </c>
      <c r="J888" s="169">
        <f>IF(OR(B888="",C888=""),"",IFERROR(IFERROR(INDEX(Vöruskrá!M:M,MATCH(B888,Vöruskrá!B:B,0)),0)*C888/100000,""))</f>
        <v>3.2500000000000001E-2</v>
      </c>
      <c r="K888" s="169">
        <f>IF(OR(B888="",C888=""),"",IFERROR(IFERROR(INDEX(Vöruskrá!N:N,MATCH(B888,Vöruskrá!B:B,0)),0)*C888/100000,""))</f>
        <v>2.9999999999999997E-4</v>
      </c>
      <c r="L888" s="169">
        <f>IF(OR(B888="",C888=""),"",IFERROR(IFERROR(INDEX(Vöruskrá!O:O,MATCH(B888,Vöruskrá!B:B,0)),0)*C888/100000,""))</f>
        <v>5.4999999999999997E-3</v>
      </c>
      <c r="M888" s="169">
        <f>IF(OR(B888="",C888=""),"",IFERROR(IFERROR(INDEX(Vöruskrá!P:P,MATCH(B888,Vöruskrá!B:B,0)),0)*C888/100000,""))</f>
        <v>5.0000000000000002E-5</v>
      </c>
      <c r="N888" s="169">
        <f>IF(OR(B888="",C888=""),"",IFERROR(IFERROR(INDEX(Vöruskrá!Q:Q,MATCH(B888,Vöruskrá!B:B,0)),0)*C888/100000,""))</f>
        <v>0</v>
      </c>
      <c r="O888" s="170">
        <f>IF(OR(B888="",C888=""),"",IFERROR(C888/1000*IFERROR(INDEX(Vöruskrá!R:R,MATCH(B888,Vöruskrá!B:B,0)),0)/1000,""))</f>
        <v>0</v>
      </c>
      <c r="P888" s="171"/>
      <c r="Q888" s="158"/>
      <c r="R888" s="6"/>
    </row>
    <row r="889" spans="1:18" ht="15">
      <c r="A889" s="173"/>
      <c r="B889" s="173" t="s">
        <v>1026</v>
      </c>
      <c r="C889" s="174">
        <v>60</v>
      </c>
      <c r="D889" s="168" t="s">
        <v>1027</v>
      </c>
      <c r="E889" s="168" t="s">
        <v>134</v>
      </c>
      <c r="F889" s="168" t="s">
        <v>1024</v>
      </c>
      <c r="G889" s="169">
        <f>IF(OR(B889="",C889=""),"",IFERROR(IFERROR(INDEX(Vöruskrá!J:J,MATCH(B889,Vöruskrá!B:B,0)),0)*C889/100000,""))</f>
        <v>0.16919999999999999</v>
      </c>
      <c r="H889" s="169">
        <f>IF(OR(B889="",C889=""),"",IFERROR(IFERROR(INDEX(Vöruskrá!K:K,MATCH(B889,Vöruskrá!B:B,0)),0)*C889/100000,""))</f>
        <v>7.7999999999999996E-3</v>
      </c>
      <c r="I889" s="169">
        <f>IF(OR(B889="",C889=""),"",IFERROR(IFERROR(INDEX(Vöruskrá!L:L,MATCH(B889,Vöruskrá!B:B,0)),0)*C889/100000,""))</f>
        <v>1.1999999999999999E-3</v>
      </c>
      <c r="J889" s="169">
        <f>IF(OR(B889="",C889=""),"",IFERROR(IFERROR(INDEX(Vöruskrá!M:M,MATCH(B889,Vöruskrá!B:B,0)),0)*C889/100000,""))</f>
        <v>3.2399999999999998E-2</v>
      </c>
      <c r="K889" s="169">
        <f>IF(OR(B889="",C889=""),"",IFERROR(IFERROR(INDEX(Vöruskrá!N:N,MATCH(B889,Vöruskrá!B:B,0)),0)*C889/100000,""))</f>
        <v>6.0000000000000001E-3</v>
      </c>
      <c r="L889" s="169">
        <f>IF(OR(B889="",C889=""),"",IFERROR(IFERROR(INDEX(Vöruskrá!O:O,MATCH(B889,Vöruskrá!B:B,0)),0)*C889/100000,""))</f>
        <v>8.3999999999999995E-3</v>
      </c>
      <c r="M889" s="169">
        <f>IF(OR(B889="",C889=""),"",IFERROR(IFERROR(INDEX(Vöruskrá!P:P,MATCH(B889,Vöruskrá!B:B,0)),0)*C889/100000,""))</f>
        <v>6.0000000000000002E-5</v>
      </c>
      <c r="N889" s="169">
        <f>IF(OR(B889="",C889=""),"",IFERROR(IFERROR(INDEX(Vöruskrá!Q:Q,MATCH(B889,Vöruskrá!B:B,0)),0)*C889/100000,""))</f>
        <v>2.1000000000000001E-2</v>
      </c>
      <c r="O889" s="170">
        <f>IF(OR(B889="",C889=""),"",IFERROR(C889/1000*IFERROR(INDEX(Vöruskrá!R:R,MATCH(B889,Vöruskrá!B:B,0)),0)/1000,""))</f>
        <v>0</v>
      </c>
      <c r="P889" s="173"/>
      <c r="Q889" s="157"/>
      <c r="R889" s="27"/>
    </row>
    <row r="890" spans="1:18" ht="15">
      <c r="A890" s="171"/>
      <c r="B890" s="171" t="s">
        <v>1148</v>
      </c>
      <c r="C890" s="172">
        <v>40</v>
      </c>
      <c r="D890" s="168" t="s">
        <v>1149</v>
      </c>
      <c r="E890" s="168" t="s">
        <v>134</v>
      </c>
      <c r="F890" s="168" t="s">
        <v>311</v>
      </c>
      <c r="G890" s="169">
        <f>IF(OR(B890="",C890=""),"",IFERROR(IFERROR(INDEX(Vöruskrá!J:J,MATCH(B890,Vöruskrá!B:B,0)),0)*C890/100000,""))</f>
        <v>0.1128</v>
      </c>
      <c r="H890" s="169">
        <f>IF(OR(B890="",C890=""),"",IFERROR(IFERROR(INDEX(Vöruskrá!K:K,MATCH(B890,Vöruskrá!B:B,0)),0)*C890/100000,""))</f>
        <v>4.7999999999999996E-3</v>
      </c>
      <c r="I890" s="169">
        <f>IF(OR(B890="",C890=""),"",IFERROR(IFERROR(INDEX(Vöruskrá!L:L,MATCH(B890,Vöruskrá!B:B,0)),0)*C890/100000,""))</f>
        <v>8.0000000000000004E-4</v>
      </c>
      <c r="J890" s="169">
        <f>IF(OR(B890="",C890=""),"",IFERROR(IFERROR(INDEX(Vöruskrá!M:M,MATCH(B890,Vöruskrá!B:B,0)),0)*C890/100000,""))</f>
        <v>0.02</v>
      </c>
      <c r="K890" s="169">
        <f>IF(OR(B890="",C890=""),"",IFERROR(IFERROR(INDEX(Vöruskrá!N:N,MATCH(B890,Vöruskrá!B:B,0)),0)*C890/100000,""))</f>
        <v>4.0000000000000001E-3</v>
      </c>
      <c r="L890" s="169">
        <f>IF(OR(B890="",C890=""),"",IFERROR(IFERROR(INDEX(Vöruskrá!O:O,MATCH(B890,Vöruskrá!B:B,0)),0)*C890/100000,""))</f>
        <v>5.5999999999999999E-3</v>
      </c>
      <c r="M890" s="169">
        <f>IF(OR(B890="",C890=""),"",IFERROR(IFERROR(INDEX(Vöruskrá!P:P,MATCH(B890,Vöruskrá!B:B,0)),0)*C890/100000,""))</f>
        <v>4.0000000000000003E-5</v>
      </c>
      <c r="N890" s="169">
        <f>IF(OR(B890="",C890=""),"",IFERROR(IFERROR(INDEX(Vöruskrá!Q:Q,MATCH(B890,Vöruskrá!B:B,0)),0)*C890/100000,""))</f>
        <v>1.4E-2</v>
      </c>
      <c r="O890" s="170">
        <f>IF(OR(B890="",C890=""),"",IFERROR(C890/1000*IFERROR(INDEX(Vöruskrá!R:R,MATCH(B890,Vöruskrá!B:B,0)),0)/1000,""))</f>
        <v>0</v>
      </c>
      <c r="P890" s="171"/>
      <c r="Q890" s="158"/>
      <c r="R890" s="6"/>
    </row>
    <row r="891" spans="1:18" ht="15">
      <c r="A891" s="173"/>
      <c r="B891" s="173" t="s">
        <v>815</v>
      </c>
      <c r="C891" s="174">
        <v>40</v>
      </c>
      <c r="D891" s="168" t="s">
        <v>816</v>
      </c>
      <c r="E891" s="168"/>
      <c r="F891" s="168" t="s">
        <v>311</v>
      </c>
      <c r="G891" s="169">
        <f>IF(OR(B891="",C891=""),"",IFERROR(IFERROR(INDEX(Vöruskrá!J:J,MATCH(B891,Vöruskrá!B:B,0)),0)*C891/100000,""))</f>
        <v>0.192</v>
      </c>
      <c r="H891" s="169">
        <f>IF(OR(B891="",C891=""),"",IFERROR(IFERROR(INDEX(Vöruskrá!K:K,MATCH(B891,Vöruskrá!B:B,0)),0)*C891/100000,""))</f>
        <v>4.0000000000000001E-3</v>
      </c>
      <c r="I891" s="169">
        <f>IF(OR(B891="",C891=""),"",IFERROR(IFERROR(INDEX(Vöruskrá!L:L,MATCH(B891,Vöruskrá!B:B,0)),0)*C891/100000,""))</f>
        <v>1.08E-3</v>
      </c>
      <c r="J891" s="169">
        <f>IF(OR(B891="",C891=""),"",IFERROR(IFERROR(INDEX(Vöruskrá!M:M,MATCH(B891,Vöruskrá!B:B,0)),0)*C891/100000,""))</f>
        <v>2.5600000000000001E-2</v>
      </c>
      <c r="K891" s="169">
        <f>IF(OR(B891="",C891=""),"",IFERROR(IFERROR(INDEX(Vöruskrá!N:N,MATCH(B891,Vöruskrá!B:B,0)),0)*C891/100000,""))</f>
        <v>1.64E-3</v>
      </c>
      <c r="L891" s="169">
        <f>IF(OR(B891="",C891=""),"",IFERROR(IFERROR(INDEX(Vöruskrá!O:O,MATCH(B891,Vöruskrá!B:B,0)),0)*C891/100000,""))</f>
        <v>4.4000000000000003E-3</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808</v>
      </c>
      <c r="C892" s="172">
        <v>4</v>
      </c>
      <c r="D892" s="168" t="s">
        <v>809</v>
      </c>
      <c r="E892" s="168"/>
      <c r="F892" s="168" t="s">
        <v>311</v>
      </c>
      <c r="G892" s="169">
        <f>IF(OR(B892="",C892=""),"",IFERROR(IFERROR(INDEX(Vöruskrá!J:J,MATCH(B892,Vöruskrá!B:B,0)),0)*C892/100000,""))</f>
        <v>1.4120000000000001E-2</v>
      </c>
      <c r="H892" s="169">
        <f>IF(OR(B892="",C892=""),"",IFERROR(IFERROR(INDEX(Vöruskrá!K:K,MATCH(B892,Vöruskrá!B:B,0)),0)*C892/100000,""))</f>
        <v>3.3600000000000004E-4</v>
      </c>
      <c r="I892" s="169">
        <f>IF(OR(B892="",C892=""),"",IFERROR(IFERROR(INDEX(Vöruskrá!L:L,MATCH(B892,Vöruskrá!B:B,0)),0)*C892/100000,""))</f>
        <v>9.1999999999999987E-5</v>
      </c>
      <c r="J892" s="169">
        <f>IF(OR(B892="",C892=""),"",IFERROR(IFERROR(INDEX(Vöruskrá!M:M,MATCH(B892,Vöruskrá!B:B,0)),0)*C892/100000,""))</f>
        <v>1.9599999999999999E-3</v>
      </c>
      <c r="K892" s="169">
        <f>IF(OR(B892="",C892=""),"",IFERROR(IFERROR(INDEX(Vöruskrá!N:N,MATCH(B892,Vöruskrá!B:B,0)),0)*C892/100000,""))</f>
        <v>0</v>
      </c>
      <c r="L892" s="169">
        <f>IF(OR(B892="",C892=""),"",IFERROR(IFERROR(INDEX(Vöruskrá!O:O,MATCH(B892,Vöruskrá!B:B,0)),0)*C892/100000,""))</f>
        <v>3.0399999999999996E-4</v>
      </c>
      <c r="M892" s="169">
        <f>IF(OR(B892="",C892=""),"",IFERROR(IFERROR(INDEX(Vöruskrá!P:P,MATCH(B892,Vöruskrá!B:B,0)),0)*C892/100000,""))</f>
        <v>3.9999999999999998E-6</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477</v>
      </c>
      <c r="C893" s="174">
        <v>50</v>
      </c>
      <c r="D893" s="168" t="s">
        <v>479</v>
      </c>
      <c r="E893" s="168" t="s">
        <v>134</v>
      </c>
      <c r="F893" s="168"/>
      <c r="G893" s="169">
        <f>IF(OR(B893="",C893=""),"",IFERROR(IFERROR(INDEX(Vöruskrá!J:J,MATCH(B893,Vöruskrá!B:B,0)),0)*C893/100000,""))</f>
        <v>0.2</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0.05</v>
      </c>
      <c r="K893" s="169">
        <f>IF(OR(B893="",C893=""),"",IFERROR(IFERROR(INDEX(Vöruskrá!N:N,MATCH(B893,Vöruskrá!B:B,0)),0)*C893/100000,""))</f>
        <v>0.05</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1485</v>
      </c>
      <c r="C894" s="172">
        <v>9000</v>
      </c>
      <c r="D894" s="168"/>
      <c r="E894" s="168"/>
      <c r="F894" s="168"/>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1020</v>
      </c>
      <c r="C895" s="174">
        <v>64526</v>
      </c>
      <c r="D895" s="168" t="s">
        <v>1020</v>
      </c>
      <c r="E895" s="168" t="s">
        <v>134</v>
      </c>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201"/>
      <c r="R895" s="202"/>
    </row>
    <row r="896" spans="1:18" ht="48">
      <c r="A896" s="147" t="s">
        <v>2014</v>
      </c>
      <c r="B896" s="147"/>
      <c r="C896" s="148"/>
      <c r="D896" s="165" t="s">
        <v>2015</v>
      </c>
      <c r="E896" s="165" t="s">
        <v>252</v>
      </c>
      <c r="F896" s="165"/>
      <c r="G896" s="166">
        <v>79.63</v>
      </c>
      <c r="H896" s="166">
        <v>3.17</v>
      </c>
      <c r="I896" s="166">
        <v>1.42</v>
      </c>
      <c r="J896" s="166">
        <v>8.14</v>
      </c>
      <c r="K896" s="166"/>
      <c r="L896" s="166">
        <v>4.33</v>
      </c>
      <c r="M896" s="166">
        <v>1.07</v>
      </c>
      <c r="N896" s="166">
        <f>IFERROR(SUM(N897:N908)/(SUM($C$897:$C$908)/100000),"")</f>
        <v>1.004</v>
      </c>
      <c r="O896" s="167" t="str">
        <f>IF(OR(B896="",C896=""),"",IFERROR(C896/1000*IFERROR(INDEX(Vöruskrá!R:R,MATCH(B896,Vöruskrá!B:B,0)),0)/1000,""))</f>
        <v/>
      </c>
      <c r="P896" s="196" t="s">
        <v>2016</v>
      </c>
      <c r="Q896" s="195" t="s">
        <v>2017</v>
      </c>
      <c r="R896" s="194" t="s">
        <v>2018</v>
      </c>
    </row>
    <row r="897" spans="1:18" ht="15">
      <c r="A897" s="171"/>
      <c r="B897" s="171" t="s">
        <v>1043</v>
      </c>
      <c r="C897" s="172">
        <v>20000</v>
      </c>
      <c r="D897" s="168" t="s">
        <v>1044</v>
      </c>
      <c r="E897" s="168" t="s">
        <v>134</v>
      </c>
      <c r="F897" s="168"/>
      <c r="G897" s="169">
        <f>IF(OR(B897="",C897=""),"",IFERROR(IFERROR(INDEX(Vöruskrá!J:J,MATCH(B897,Vöruskrá!B:B,0)),0)*C897/100000,""))</f>
        <v>40</v>
      </c>
      <c r="H897" s="169">
        <f>IF(OR(B897="",C897=""),"",IFERROR(IFERROR(INDEX(Vöruskrá!K:K,MATCH(B897,Vöruskrá!B:B,0)),0)*C897/100000,""))</f>
        <v>2.8</v>
      </c>
      <c r="I897" s="169">
        <f>IF(OR(B897="",C897=""),"",IFERROR(IFERROR(INDEX(Vöruskrá!L:L,MATCH(B897,Vöruskrá!B:B,0)),0)*C897/100000,""))</f>
        <v>1.3</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3.4</v>
      </c>
      <c r="M897" s="169">
        <f>IF(OR(B897="",C897=""),"",IFERROR(IFERROR(INDEX(Vöruskrá!P:P,MATCH(B897,Vöruskrá!B:B,0)),0)*C897/100000,""))</f>
        <v>0.02</v>
      </c>
      <c r="N897" s="169">
        <f>IF(OR(B897="",C897=""),"",IFERROR(IFERROR(INDEX(Vöruskrá!Q:Q,MATCH(B897,Vöruskrá!B:B,0)),0)*C897/100000,""))</f>
        <v>0</v>
      </c>
      <c r="O897" s="170">
        <f>IF(OR(B897="",C897=""),"",IFERROR(C897/1000*IFERROR(INDEX(Vöruskrá!R:R,MATCH(B897,Vöruskrá!B:B,0)),0)/1000,""))</f>
        <v>0</v>
      </c>
      <c r="P897" s="171"/>
      <c r="Q897" s="203"/>
      <c r="R897" s="204"/>
    </row>
    <row r="898" spans="1:18" ht="15">
      <c r="A898" s="173"/>
      <c r="B898" s="173" t="s">
        <v>635</v>
      </c>
      <c r="C898" s="174">
        <v>25000</v>
      </c>
      <c r="D898" s="168" t="s">
        <v>635</v>
      </c>
      <c r="E898" s="168" t="s">
        <v>134</v>
      </c>
      <c r="F898" s="168"/>
      <c r="G898" s="169">
        <f>IF(OR(B898="",C898=""),"",IFERROR(IFERROR(INDEX(Vöruskrá!J:J,MATCH(B898,Vöruskrá!B:B,0)),0)*C898/100000,""))</f>
        <v>19.25</v>
      </c>
      <c r="H898" s="169">
        <f>IF(OR(B898="",C898=""),"",IFERROR(IFERROR(INDEX(Vöruskrá!K:K,MATCH(B898,Vöruskrá!B:B,0)),0)*C898/100000,""))</f>
        <v>2.5000000000000001E-2</v>
      </c>
      <c r="I898" s="169">
        <f>IF(OR(B898="",C898=""),"",IFERROR(IFERROR(INDEX(Vöruskrá!L:L,MATCH(B898,Vöruskrá!B:B,0)),0)*C898/100000,""))</f>
        <v>0</v>
      </c>
      <c r="J898" s="169">
        <f>IF(OR(B898="",C898=""),"",IFERROR(IFERROR(INDEX(Vöruskrá!M:M,MATCH(B898,Vöruskrá!B:B,0)),0)*C898/100000,""))</f>
        <v>4.25</v>
      </c>
      <c r="K898" s="169">
        <f>IF(OR(B898="",C898=""),"",IFERROR(IFERROR(INDEX(Vöruskrá!N:N,MATCH(B898,Vöruskrá!B:B,0)),0)*C898/100000,""))</f>
        <v>0.2</v>
      </c>
      <c r="L898" s="169">
        <f>IF(OR(B898="",C898=""),"",IFERROR(IFERROR(INDEX(Vöruskrá!O:O,MATCH(B898,Vöruskrá!B:B,0)),0)*C898/100000,""))</f>
        <v>0.5</v>
      </c>
      <c r="M898" s="169">
        <f>IF(OR(B898="",C898=""),"",IFERROR(IFERROR(INDEX(Vöruskrá!P:P,MATCH(B898,Vöruskrá!B:B,0)),0)*C898/100000,""))</f>
        <v>0</v>
      </c>
      <c r="N898" s="169">
        <f>IF(OR(B898="",C898=""),"",IFERROR(IFERROR(INDEX(Vöruskrá!Q:Q,MATCH(B898,Vöruskrá!B:B,0)),0)*C898/100000,""))</f>
        <v>0.55000000000000004</v>
      </c>
      <c r="O898" s="170">
        <f>IF(OR(B898="",C898=""),"",IFERROR(C898/1000*IFERROR(INDEX(Vöruskrá!R:R,MATCH(B898,Vöruskrá!B:B,0)),0)/1000,""))</f>
        <v>0</v>
      </c>
      <c r="P898" s="173"/>
      <c r="Q898" s="158"/>
      <c r="R898" s="6"/>
    </row>
    <row r="899" spans="1:18" ht="15">
      <c r="A899" s="171"/>
      <c r="B899" s="171" t="s">
        <v>1006</v>
      </c>
      <c r="C899" s="172">
        <v>10000</v>
      </c>
      <c r="D899" s="168" t="s">
        <v>1006</v>
      </c>
      <c r="E899" s="168" t="s">
        <v>134</v>
      </c>
      <c r="F899" s="168"/>
      <c r="G899" s="169">
        <f>IF(OR(B899="",C899=""),"",IFERROR(IFERROR(INDEX(Vöruskrá!J:J,MATCH(B899,Vöruskrá!B:B,0)),0)*C899/100000,""))</f>
        <v>4.0999999999999996</v>
      </c>
      <c r="H899" s="169">
        <f>IF(OR(B899="",C899=""),"",IFERROR(IFERROR(INDEX(Vöruskrá!K:K,MATCH(B899,Vöruskrá!B:B,0)),0)*C899/100000,""))</f>
        <v>0.02</v>
      </c>
      <c r="I899" s="169">
        <f>IF(OR(B899="",C899=""),"",IFERROR(IFERROR(INDEX(Vöruskrá!L:L,MATCH(B899,Vöruskrá!B:B,0)),0)*C899/100000,""))</f>
        <v>0</v>
      </c>
      <c r="J899" s="169">
        <f>IF(OR(B899="",C899=""),"",IFERROR(IFERROR(INDEX(Vöruskrá!M:M,MATCH(B899,Vöruskrá!B:B,0)),0)*C899/100000,""))</f>
        <v>0.96</v>
      </c>
      <c r="K899" s="169">
        <f>IF(OR(B899="",C899=""),"",IFERROR(IFERROR(INDEX(Vöruskrá!N:N,MATCH(B899,Vöruskrá!B:B,0)),0)*C899/100000,""))</f>
        <v>0.47</v>
      </c>
      <c r="L899" s="169">
        <f>IF(OR(B899="",C899=""),"",IFERROR(IFERROR(INDEX(Vöruskrá!O:O,MATCH(B899,Vöruskrá!B:B,0)),0)*C899/100000,""))</f>
        <v>0.09</v>
      </c>
      <c r="M899" s="169">
        <f>IF(OR(B899="",C899=""),"",IFERROR(IFERROR(INDEX(Vöruskrá!P:P,MATCH(B899,Vöruskrá!B:B,0)),0)*C899/100000,""))</f>
        <v>0.01</v>
      </c>
      <c r="N899" s="169">
        <f>IF(OR(B899="",C899=""),"",IFERROR(IFERROR(INDEX(Vöruskrá!Q:Q,MATCH(B899,Vöruskrá!B:B,0)),0)*C899/100000,""))</f>
        <v>0.28000000000000003</v>
      </c>
      <c r="O899" s="170">
        <f>IF(OR(B899="",C899=""),"",IFERROR(C899/1000*IFERROR(INDEX(Vöruskrá!R:R,MATCH(B899,Vöruskrá!B:B,0)),0)/1000,""))</f>
        <v>0</v>
      </c>
      <c r="P899" s="171"/>
      <c r="Q899" s="157"/>
      <c r="R899" s="27"/>
    </row>
    <row r="900" spans="1:18" ht="15">
      <c r="A900" s="173"/>
      <c r="B900" s="173" t="s">
        <v>1503</v>
      </c>
      <c r="C900" s="174">
        <v>8000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3"/>
      <c r="Q900" s="158"/>
      <c r="R900" s="6"/>
    </row>
    <row r="901" spans="1:18" ht="15">
      <c r="A901" s="171"/>
      <c r="B901" s="171" t="s">
        <v>252</v>
      </c>
      <c r="C901" s="172">
        <v>5000</v>
      </c>
      <c r="D901" s="168" t="s">
        <v>1014</v>
      </c>
      <c r="E901" s="168" t="s">
        <v>252</v>
      </c>
      <c r="F901" s="168"/>
      <c r="G901" s="169">
        <f>IF(OR(B901="",C901=""),"",IFERROR(IFERROR(INDEX(Vöruskrá!J:J,MATCH(B901,Vöruskrá!B:B,0)),0)*C901/100000,""))</f>
        <v>0.8</v>
      </c>
      <c r="H901" s="169">
        <f>IF(OR(B901="",C901=""),"",IFERROR(IFERROR(INDEX(Vöruskrá!K:K,MATCH(B901,Vöruskrá!B:B,0)),0)*C901/100000,""))</f>
        <v>0.01</v>
      </c>
      <c r="I901" s="169">
        <f>IF(OR(B901="",C901=""),"",IFERROR(IFERROR(INDEX(Vöruskrá!L:L,MATCH(B901,Vöruskrá!B:B,0)),0)*C901/100000,""))</f>
        <v>0</v>
      </c>
      <c r="J901" s="169">
        <f>IF(OR(B901="",C901=""),"",IFERROR(IFERROR(INDEX(Vöruskrá!M:M,MATCH(B901,Vöruskrá!B:B,0)),0)*C901/100000,""))</f>
        <v>0.15</v>
      </c>
      <c r="K901" s="169">
        <f>IF(OR(B901="",C901=""),"",IFERROR(IFERROR(INDEX(Vöruskrá!N:N,MATCH(B901,Vöruskrá!B:B,0)),0)*C901/100000,""))</f>
        <v>6.5000000000000002E-2</v>
      </c>
      <c r="L901" s="169">
        <f>IF(OR(B901="",C901=""),"",IFERROR(IFERROR(INDEX(Vöruskrá!O:O,MATCH(B901,Vöruskrá!B:B,0)),0)*C901/100000,""))</f>
        <v>3.5000000000000003E-2</v>
      </c>
      <c r="M901" s="169">
        <f>IF(OR(B901="",C901=""),"",IFERROR(IFERROR(INDEX(Vöruskrá!P:P,MATCH(B901,Vöruskrá!B:B,0)),0)*C901/100000,""))</f>
        <v>5.0000000000000001E-3</v>
      </c>
      <c r="N901" s="169">
        <f>IF(OR(B901="",C901=""),"",IFERROR(IFERROR(INDEX(Vöruskrá!Q:Q,MATCH(B901,Vöruskrá!B:B,0)),0)*C901/100000,""))</f>
        <v>0.08</v>
      </c>
      <c r="O901" s="170">
        <f>IF(OR(B901="",C901=""),"",IFERROR(C901/1000*IFERROR(INDEX(Vöruskrá!R:R,MATCH(B901,Vöruskrá!B:B,0)),0)/1000,""))</f>
        <v>0</v>
      </c>
      <c r="P901" s="171"/>
      <c r="Q901" s="157"/>
      <c r="R901" s="27"/>
    </row>
    <row r="902" spans="1:18" ht="15">
      <c r="A902" s="173"/>
      <c r="B902" s="173" t="s">
        <v>1010</v>
      </c>
      <c r="C902" s="174">
        <v>5000</v>
      </c>
      <c r="D902" s="168" t="s">
        <v>1010</v>
      </c>
      <c r="E902" s="168" t="s">
        <v>134</v>
      </c>
      <c r="F902" s="168"/>
      <c r="G902" s="169">
        <f>IF(OR(B902="",C902=""),"",IFERROR(IFERROR(INDEX(Vöruskrá!J:J,MATCH(B902,Vöruskrá!B:B,0)),0)*C902/100000,""))</f>
        <v>2</v>
      </c>
      <c r="H902" s="169">
        <f>IF(OR(B902="",C902=""),"",IFERROR(IFERROR(INDEX(Vöruskrá!K:K,MATCH(B902,Vöruskrá!B:B,0)),0)*C902/100000,""))</f>
        <v>5.0000000000000001E-3</v>
      </c>
      <c r="I902" s="169">
        <f>IF(OR(B902="",C902=""),"",IFERROR(IFERROR(INDEX(Vöruskrá!L:L,MATCH(B902,Vöruskrá!B:B,0)),0)*C902/100000,""))</f>
        <v>0</v>
      </c>
      <c r="J902" s="169">
        <f>IF(OR(B902="",C902=""),"",IFERROR(IFERROR(INDEX(Vöruskrá!M:M,MATCH(B902,Vöruskrá!B:B,0)),0)*C902/100000,""))</f>
        <v>0.46500000000000002</v>
      </c>
      <c r="K902" s="169">
        <f>IF(OR(B902="",C902=""),"",IFERROR(IFERROR(INDEX(Vöruskrá!N:N,MATCH(B902,Vöruskrá!B:B,0)),0)*C902/100000,""))</f>
        <v>0.21</v>
      </c>
      <c r="L902" s="169">
        <f>IF(OR(B902="",C902=""),"",IFERROR(IFERROR(INDEX(Vöruskrá!O:O,MATCH(B902,Vöruskrá!B:B,0)),0)*C902/100000,""))</f>
        <v>5.5E-2</v>
      </c>
      <c r="M902" s="169">
        <f>IF(OR(B902="",C902=""),"",IFERROR(IFERROR(INDEX(Vöruskrá!P:P,MATCH(B902,Vöruskrá!B:B,0)),0)*C902/100000,""))</f>
        <v>0</v>
      </c>
      <c r="N902" s="169">
        <f>IF(OR(B902="",C902=""),"",IFERROR(IFERROR(INDEX(Vöruskrá!Q:Q,MATCH(B902,Vöruskrá!B:B,0)),0)*C902/100000,""))</f>
        <v>8.5000000000000006E-2</v>
      </c>
      <c r="O902" s="170">
        <f>IF(OR(B902="",C902=""),"",IFERROR(C902/1000*IFERROR(INDEX(Vöruskrá!R:R,MATCH(B902,Vöruskrá!B:B,0)),0)/1000,""))</f>
        <v>0</v>
      </c>
      <c r="P902" s="173"/>
      <c r="Q902" s="158"/>
      <c r="R902" s="6"/>
    </row>
    <row r="903" spans="1:18" ht="15">
      <c r="A903" s="171"/>
      <c r="B903" s="171" t="s">
        <v>1020</v>
      </c>
      <c r="C903" s="172">
        <v>22500</v>
      </c>
      <c r="D903" s="168" t="s">
        <v>1020</v>
      </c>
      <c r="E903" s="168" t="s">
        <v>134</v>
      </c>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7"/>
      <c r="R903" s="27"/>
    </row>
    <row r="904" spans="1:18" ht="15">
      <c r="A904" s="173"/>
      <c r="B904" s="173" t="s">
        <v>789</v>
      </c>
      <c r="C904" s="174">
        <v>3000</v>
      </c>
      <c r="D904" s="168" t="s">
        <v>792</v>
      </c>
      <c r="E904" s="168" t="s">
        <v>134</v>
      </c>
      <c r="F904" s="168"/>
      <c r="G904" s="169">
        <f>IF(OR(B904="",C904=""),"",IFERROR(IFERROR(INDEX(Vöruskrá!J:J,MATCH(B904,Vöruskrá!B:B,0)),0)*C904/100000,""))</f>
        <v>10.83</v>
      </c>
      <c r="H904" s="169">
        <f>IF(OR(B904="",C904=""),"",IFERROR(IFERROR(INDEX(Vöruskrá!K:K,MATCH(B904,Vöruskrá!B:B,0)),0)*C904/100000,""))</f>
        <v>0.25800000000000001</v>
      </c>
      <c r="I904" s="169">
        <f>IF(OR(B904="",C904=""),"",IFERROR(IFERROR(INDEX(Vöruskrá!L:L,MATCH(B904,Vöruskrá!B:B,0)),0)*C904/100000,""))</f>
        <v>0.108</v>
      </c>
      <c r="J904" s="169">
        <f>IF(OR(B904="",C904=""),"",IFERROR(IFERROR(INDEX(Vöruskrá!M:M,MATCH(B904,Vöruskrá!B:B,0)),0)*C904/100000,""))</f>
        <v>1.9590000000000001</v>
      </c>
      <c r="K904" s="169">
        <f>IF(OR(B904="",C904=""),"",IFERROR(IFERROR(INDEX(Vöruskrá!N:N,MATCH(B904,Vöruskrá!B:B,0)),0)*C904/100000,""))</f>
        <v>0.12</v>
      </c>
      <c r="L904" s="169">
        <f>IF(OR(B904="",C904=""),"",IFERROR(IFERROR(INDEX(Vöruskrá!O:O,MATCH(B904,Vöruskrá!B:B,0)),0)*C904/100000,""))</f>
        <v>0.16800000000000001</v>
      </c>
      <c r="M904" s="169">
        <f>IF(OR(B904="",C904=""),"",IFERROR(IFERROR(INDEX(Vöruskrá!P:P,MATCH(B904,Vöruskrá!B:B,0)),0)*C904/100000,""))</f>
        <v>0.33900000000000002</v>
      </c>
      <c r="N904" s="169">
        <f>IF(OR(B904="",C904=""),"",IFERROR(IFERROR(INDEX(Vöruskrá!Q:Q,MATCH(B904,Vöruskrá!B:B,0)),0)*C904/100000,""))</f>
        <v>8.9999999999999993E-3</v>
      </c>
      <c r="O904" s="170">
        <f>IF(OR(B904="",C904=""),"",IFERROR(C904/1000*IFERROR(INDEX(Vöruskrá!R:R,MATCH(B904,Vöruskrá!B:B,0)),0)/1000,""))</f>
        <v>0</v>
      </c>
      <c r="P904" s="173"/>
      <c r="Q904" s="158"/>
      <c r="R904" s="6"/>
    </row>
    <row r="905" spans="1:18" ht="15">
      <c r="A905" s="171"/>
      <c r="B905" s="171" t="s">
        <v>299</v>
      </c>
      <c r="C905" s="172">
        <v>700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0.7</v>
      </c>
      <c r="N905" s="169">
        <f>IF(OR(B905="",C905=""),"",IFERROR(IFERROR(INDEX(Vöruskrá!Q:Q,MATCH(B905,Vöruskrá!B:B,0)),0)*C905/100000,""))</f>
        <v>0</v>
      </c>
      <c r="O905" s="170">
        <f>IF(OR(B905="",C905=""),"",IFERROR(C905/1000*IFERROR(INDEX(Vöruskrá!R:R,MATCH(B905,Vöruskrá!B:B,0)),0)/1000,""))</f>
        <v>0</v>
      </c>
      <c r="P905" s="171"/>
      <c r="Q905" s="157"/>
      <c r="R905" s="27"/>
    </row>
    <row r="906" spans="1:18" ht="15">
      <c r="A906" s="173"/>
      <c r="B906" s="173" t="s">
        <v>819</v>
      </c>
      <c r="C906" s="174">
        <v>300</v>
      </c>
      <c r="D906" s="168" t="s">
        <v>820</v>
      </c>
      <c r="E906" s="168"/>
      <c r="F906" s="168" t="s">
        <v>311</v>
      </c>
      <c r="G906" s="169">
        <f>IF(OR(B906="",C906=""),"",IFERROR(IFERROR(INDEX(Vöruskrá!J:J,MATCH(B906,Vöruskrá!B:B,0)),0)*C906/100000,""))</f>
        <v>1.1579999999999999</v>
      </c>
      <c r="H906" s="169">
        <f>IF(OR(B906="",C906=""),"",IFERROR(IFERROR(INDEX(Vöruskrá!K:K,MATCH(B906,Vöruskrá!B:B,0)),0)*C906/100000,""))</f>
        <v>9.9000000000000008E-3</v>
      </c>
      <c r="I906" s="169">
        <f>IF(OR(B906="",C906=""),"",IFERROR(IFERROR(INDEX(Vöruskrá!L:L,MATCH(B906,Vöruskrá!B:B,0)),0)*C906/100000,""))</f>
        <v>3.0000000000000001E-3</v>
      </c>
      <c r="J906" s="169">
        <f>IF(OR(B906="",C906=""),"",IFERROR(IFERROR(INDEX(Vöruskrá!M:M,MATCH(B906,Vöruskrá!B:B,0)),0)*C906/100000,""))</f>
        <v>0.19500000000000001</v>
      </c>
      <c r="K906" s="169">
        <f>IF(OR(B906="",C906=""),"",IFERROR(IFERROR(INDEX(Vöruskrá!N:N,MATCH(B906,Vöruskrá!B:B,0)),0)*C906/100000,""))</f>
        <v>1.8E-3</v>
      </c>
      <c r="L906" s="169">
        <f>IF(OR(B906="",C906=""),"",IFERROR(IFERROR(INDEX(Vöruskrá!O:O,MATCH(B906,Vöruskrá!B:B,0)),0)*C906/100000,""))</f>
        <v>3.3000000000000002E-2</v>
      </c>
      <c r="M906" s="169">
        <f>IF(OR(B906="",C906=""),"",IFERROR(IFERROR(INDEX(Vöruskrá!P:P,MATCH(B906,Vöruskrá!B:B,0)),0)*C906/100000,""))</f>
        <v>2.9999999999999997E-4</v>
      </c>
      <c r="N906" s="169">
        <f>IF(OR(B906="",C906=""),"",IFERROR(IFERROR(INDEX(Vöruskrá!Q:Q,MATCH(B906,Vöruskrá!B:B,0)),0)*C906/100000,""))</f>
        <v>0</v>
      </c>
      <c r="O906" s="170">
        <f>IF(OR(B906="",C906=""),"",IFERROR(C906/1000*IFERROR(INDEX(Vöruskrá!R:R,MATCH(B906,Vöruskrá!B:B,0)),0)/1000,""))</f>
        <v>0</v>
      </c>
      <c r="P906" s="173"/>
      <c r="Q906" s="158"/>
      <c r="R906" s="6"/>
    </row>
    <row r="907" spans="1:18" ht="15">
      <c r="A907" s="171"/>
      <c r="B907" s="171" t="s">
        <v>808</v>
      </c>
      <c r="C907" s="172">
        <v>100</v>
      </c>
      <c r="D907" s="168" t="s">
        <v>809</v>
      </c>
      <c r="E907" s="168"/>
      <c r="F907" s="168" t="s">
        <v>311</v>
      </c>
      <c r="G907" s="169">
        <f>IF(OR(B907="",C907=""),"",IFERROR(IFERROR(INDEX(Vöruskrá!J:J,MATCH(B907,Vöruskrá!B:B,0)),0)*C907/100000,""))</f>
        <v>0.35299999999999998</v>
      </c>
      <c r="H907" s="169">
        <f>IF(OR(B907="",C907=""),"",IFERROR(IFERROR(INDEX(Vöruskrá!K:K,MATCH(B907,Vöruskrá!B:B,0)),0)*C907/100000,""))</f>
        <v>8.3999999999999995E-3</v>
      </c>
      <c r="I907" s="169">
        <f>IF(OR(B907="",C907=""),"",IFERROR(IFERROR(INDEX(Vöruskrá!L:L,MATCH(B907,Vöruskrá!B:B,0)),0)*C907/100000,""))</f>
        <v>2.2999999999999995E-3</v>
      </c>
      <c r="J907" s="169">
        <f>IF(OR(B907="",C907=""),"",IFERROR(IFERROR(INDEX(Vöruskrá!M:M,MATCH(B907,Vöruskrá!B:B,0)),0)*C907/100000,""))</f>
        <v>4.9000000000000002E-2</v>
      </c>
      <c r="K907" s="169">
        <f>IF(OR(B907="",C907=""),"",IFERROR(IFERROR(INDEX(Vöruskrá!N:N,MATCH(B907,Vöruskrá!B:B,0)),0)*C907/100000,""))</f>
        <v>0</v>
      </c>
      <c r="L907" s="169">
        <f>IF(OR(B907="",C907=""),"",IFERROR(IFERROR(INDEX(Vöruskrá!O:O,MATCH(B907,Vöruskrá!B:B,0)),0)*C907/100000,""))</f>
        <v>7.6E-3</v>
      </c>
      <c r="M907" s="169">
        <f>IF(OR(B907="",C907=""),"",IFERROR(IFERROR(INDEX(Vöruskrá!P:P,MATCH(B907,Vöruskrá!B:B,0)),0)*C907/100000,""))</f>
        <v>1E-4</v>
      </c>
      <c r="N907" s="169">
        <f>IF(OR(B907="",C907=""),"",IFERROR(IFERROR(INDEX(Vöruskrá!Q:Q,MATCH(B907,Vöruskrá!B:B,0)),0)*C907/100000,""))</f>
        <v>0</v>
      </c>
      <c r="O907" s="170">
        <f>IF(OR(B907="",C907=""),"",IFERROR(C907/1000*IFERROR(INDEX(Vöruskrá!R:R,MATCH(B907,Vöruskrá!B:B,0)),0)/1000,""))</f>
        <v>0</v>
      </c>
      <c r="P907" s="171"/>
      <c r="Q907" s="157"/>
      <c r="R907" s="27"/>
    </row>
    <row r="908" spans="1:18" ht="15">
      <c r="A908" s="173"/>
      <c r="B908" s="173" t="s">
        <v>823</v>
      </c>
      <c r="C908" s="174">
        <v>400</v>
      </c>
      <c r="D908" s="168" t="s">
        <v>824</v>
      </c>
      <c r="E908" s="168"/>
      <c r="F908" s="168" t="s">
        <v>311</v>
      </c>
      <c r="G908" s="169">
        <f>IF(OR(B908="",C908=""),"",IFERROR(IFERROR(INDEX(Vöruskrá!J:J,MATCH(B908,Vöruskrá!B:B,0)),0)*C908/100000,""))</f>
        <v>1.1399999999999999</v>
      </c>
      <c r="H908" s="169">
        <f>IF(OR(B908="",C908=""),"",IFERROR(IFERROR(INDEX(Vöruskrá!K:K,MATCH(B908,Vöruskrá!B:B,0)),0)*C908/100000,""))</f>
        <v>2.9600000000000001E-2</v>
      </c>
      <c r="I908" s="169">
        <f>IF(OR(B908="",C908=""),"",IFERROR(IFERROR(INDEX(Vöruskrá!L:L,MATCH(B908,Vöruskrá!B:B,0)),0)*C908/100000,""))</f>
        <v>1.0800000000000001E-2</v>
      </c>
      <c r="J908" s="169">
        <f>IF(OR(B908="",C908=""),"",IFERROR(IFERROR(INDEX(Vöruskrá!M:M,MATCH(B908,Vöruskrá!B:B,0)),0)*C908/100000,""))</f>
        <v>0.108</v>
      </c>
      <c r="K908" s="169">
        <f>IF(OR(B908="",C908=""),"",IFERROR(IFERROR(INDEX(Vöruskrá!N:N,MATCH(B908,Vöruskrá!B:B,0)),0)*C908/100000,""))</f>
        <v>6.7999999999999996E-3</v>
      </c>
      <c r="L908" s="169">
        <f>IF(OR(B908="",C908=""),"",IFERROR(IFERROR(INDEX(Vöruskrá!O:O,MATCH(B908,Vöruskrá!B:B,0)),0)*C908/100000,""))</f>
        <v>3.6400000000000002E-2</v>
      </c>
      <c r="M908" s="169">
        <f>IF(OR(B908="",C908=""),"",IFERROR(IFERROR(INDEX(Vöruskrá!P:P,MATCH(B908,Vöruskrá!B:B,0)),0)*C908/100000,""))</f>
        <v>4.0000000000000002E-4</v>
      </c>
      <c r="N908" s="169">
        <f>IF(OR(B908="",C908=""),"",IFERROR(IFERROR(INDEX(Vöruskrá!Q:Q,MATCH(B908,Vöruskrá!B:B,0)),0)*C908/100000,""))</f>
        <v>0</v>
      </c>
      <c r="O908" s="170">
        <f>IF(OR(B908="",C908=""),"",IFERROR(C908/1000*IFERROR(INDEX(Vöruskrá!R:R,MATCH(B908,Vöruskrá!B:B,0)),0)/1000,""))</f>
        <v>0</v>
      </c>
      <c r="P908" s="173"/>
      <c r="Q908" s="200"/>
      <c r="R908" s="159"/>
    </row>
    <row r="909" spans="1:18" ht="60">
      <c r="A909" s="147" t="s">
        <v>2019</v>
      </c>
      <c r="B909" s="147"/>
      <c r="C909" s="148"/>
      <c r="D909" s="165" t="s">
        <v>2020</v>
      </c>
      <c r="E909" s="165" t="s">
        <v>134</v>
      </c>
      <c r="F909" s="165"/>
      <c r="G909" s="166">
        <v>128.58000000000001</v>
      </c>
      <c r="H909" s="166">
        <v>4.53</v>
      </c>
      <c r="I909" s="166">
        <v>2.08</v>
      </c>
      <c r="J909" s="166">
        <v>20.18</v>
      </c>
      <c r="K909" s="166"/>
      <c r="L909" s="166">
        <v>3.4</v>
      </c>
      <c r="M909" s="166">
        <v>17.989999999999998</v>
      </c>
      <c r="N909" s="166">
        <f>IFERROR(SUM(N910:N922)/(SUM($C$910:$C$922)/100000),"")</f>
        <v>0.86111111111111116</v>
      </c>
      <c r="O909" s="167" t="str">
        <f>IF(OR(B909="",C909=""),"",IFERROR(C909/1000*IFERROR(INDEX(Vöruskrá!R:R,MATCH(B909,Vöruskrá!B:B,0)),0)/1000,""))</f>
        <v/>
      </c>
      <c r="P909" s="196" t="s">
        <v>2021</v>
      </c>
      <c r="Q909" s="199" t="s">
        <v>2022</v>
      </c>
      <c r="R909" s="198" t="s">
        <v>2023</v>
      </c>
    </row>
    <row r="910" spans="1:18" ht="15">
      <c r="A910" s="171"/>
      <c r="B910" s="171" t="s">
        <v>1482</v>
      </c>
      <c r="C910" s="172">
        <v>20000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97"/>
      <c r="R910" s="164"/>
    </row>
    <row r="911" spans="1:18" ht="15">
      <c r="A911" s="173"/>
      <c r="B911" s="173" t="s">
        <v>743</v>
      </c>
      <c r="C911" s="174">
        <v>15000</v>
      </c>
      <c r="D911" s="168" t="s">
        <v>745</v>
      </c>
      <c r="E911" s="168"/>
      <c r="F911" s="168"/>
      <c r="G911" s="169">
        <f>IF(OR(B911="",C911=""),"",IFERROR(IFERROR(INDEX(Vöruskrá!J:J,MATCH(B911,Vöruskrá!B:B,0)),0)*C911/100000,""))</f>
        <v>4.2</v>
      </c>
      <c r="H911" s="169">
        <f>IF(OR(B911="",C911=""),"",IFERROR(IFERROR(INDEX(Vöruskrá!K:K,MATCH(B911,Vöruskrá!B:B,0)),0)*C911/100000,""))</f>
        <v>1.4999999999999999E-2</v>
      </c>
      <c r="I911" s="169">
        <f>IF(OR(B911="",C911=""),"",IFERROR(IFERROR(INDEX(Vöruskrá!L:L,MATCH(B911,Vöruskrá!B:B,0)),0)*C911/100000,""))</f>
        <v>0</v>
      </c>
      <c r="J911" s="169">
        <f>IF(OR(B911="",C911=""),"",IFERROR(IFERROR(INDEX(Vöruskrá!M:M,MATCH(B911,Vöruskrá!B:B,0)),0)*C911/100000,""))</f>
        <v>0.75</v>
      </c>
      <c r="K911" s="169">
        <f>IF(OR(B911="",C911=""),"",IFERROR(IFERROR(INDEX(Vöruskrá!N:N,MATCH(B911,Vöruskrá!B:B,0)),0)*C911/100000,""))</f>
        <v>0.51</v>
      </c>
      <c r="L911" s="169">
        <f>IF(OR(B911="",C911=""),"",IFERROR(IFERROR(INDEX(Vöruskrá!O:O,MATCH(B911,Vöruskrá!B:B,0)),0)*C911/100000,""))</f>
        <v>0.22500000000000001</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335</v>
      </c>
      <c r="C912" s="172">
        <v>10000</v>
      </c>
      <c r="D912" s="168" t="s">
        <v>337</v>
      </c>
      <c r="E912" s="168" t="s">
        <v>134</v>
      </c>
      <c r="F912" s="168"/>
      <c r="G912" s="169">
        <f>IF(OR(B912="",C912=""),"",IFERROR(IFERROR(INDEX(Vöruskrá!J:J,MATCH(B912,Vöruskrá!B:B,0)),0)*C912/100000,""))</f>
        <v>18.100000000000001</v>
      </c>
      <c r="H912" s="169">
        <f>IF(OR(B912="",C912=""),"",IFERROR(IFERROR(INDEX(Vöruskrá!K:K,MATCH(B912,Vöruskrá!B:B,0)),0)*C912/100000,""))</f>
        <v>1.8</v>
      </c>
      <c r="I912" s="169">
        <f>IF(OR(B912="",C912=""),"",IFERROR(IFERROR(INDEX(Vöruskrá!L:L,MATCH(B912,Vöruskrá!B:B,0)),0)*C912/100000,""))</f>
        <v>1.53</v>
      </c>
      <c r="J912" s="169">
        <f>IF(OR(B912="",C912=""),"",IFERROR(IFERROR(INDEX(Vöruskrá!M:M,MATCH(B912,Vöruskrá!B:B,0)),0)*C912/100000,""))</f>
        <v>0.28000000000000003</v>
      </c>
      <c r="K912" s="169">
        <f>IF(OR(B912="",C912=""),"",IFERROR(IFERROR(INDEX(Vöruskrá!N:N,MATCH(B912,Vöruskrá!B:B,0)),0)*C912/100000,""))</f>
        <v>0.1</v>
      </c>
      <c r="L912" s="169">
        <f>IF(OR(B912="",C912=""),"",IFERROR(IFERROR(INDEX(Vöruskrá!O:O,MATCH(B912,Vöruskrá!B:B,0)),0)*C912/100000,""))</f>
        <v>0.2</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330</v>
      </c>
      <c r="C913" s="174">
        <v>38000</v>
      </c>
      <c r="D913" s="168" t="s">
        <v>331</v>
      </c>
      <c r="E913" s="168" t="s">
        <v>134</v>
      </c>
      <c r="F913" s="168"/>
      <c r="G913" s="169">
        <f>IF(OR(B913="",C913=""),"",IFERROR(IFERROR(INDEX(Vöruskrá!J:J,MATCH(B913,Vöruskrá!B:B,0)),0)*C913/100000,""))</f>
        <v>76</v>
      </c>
      <c r="H913" s="169">
        <f>IF(OR(B913="",C913=""),"",IFERROR(IFERROR(INDEX(Vöruskrá!K:K,MATCH(B913,Vöruskrá!B:B,0)),0)*C913/100000,""))</f>
        <v>0.76</v>
      </c>
      <c r="I913" s="169">
        <f>IF(OR(B913="",C913=""),"",IFERROR(IFERROR(INDEX(Vöruskrá!L:L,MATCH(B913,Vöruskrá!B:B,0)),0)*C913/100000,""))</f>
        <v>0.38</v>
      </c>
      <c r="J913" s="169">
        <f>IF(OR(B913="",C913=""),"",IFERROR(IFERROR(INDEX(Vöruskrá!M:M,MATCH(B913,Vöruskrá!B:B,0)),0)*C913/100000,""))</f>
        <v>15.2</v>
      </c>
      <c r="K913" s="169">
        <f>IF(OR(B913="",C913=""),"",IFERROR(IFERROR(INDEX(Vöruskrá!N:N,MATCH(B913,Vöruskrá!B:B,0)),0)*C913/100000,""))</f>
        <v>4.5599999999999996</v>
      </c>
      <c r="L913" s="169">
        <f>IF(OR(B913="",C913=""),"",IFERROR(IFERROR(INDEX(Vöruskrá!O:O,MATCH(B913,Vöruskrá!B:B,0)),0)*C913/100000,""))</f>
        <v>2.2799999999999998</v>
      </c>
      <c r="M913" s="169">
        <f>IF(OR(B913="",C913=""),"",IFERROR(IFERROR(INDEX(Vöruskrá!P:P,MATCH(B913,Vöruskrá!B:B,0)),0)*C913/100000,""))</f>
        <v>17.100000000000001</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1010</v>
      </c>
      <c r="C914" s="172">
        <v>7000</v>
      </c>
      <c r="D914" s="168" t="s">
        <v>1010</v>
      </c>
      <c r="E914" s="168" t="s">
        <v>134</v>
      </c>
      <c r="F914" s="168"/>
      <c r="G914" s="169">
        <f>IF(OR(B914="",C914=""),"",IFERROR(IFERROR(INDEX(Vöruskrá!J:J,MATCH(B914,Vöruskrá!B:B,0)),0)*C914/100000,""))</f>
        <v>2.8</v>
      </c>
      <c r="H914" s="169">
        <f>IF(OR(B914="",C914=""),"",IFERROR(IFERROR(INDEX(Vöruskrá!K:K,MATCH(B914,Vöruskrá!B:B,0)),0)*C914/100000,""))</f>
        <v>7.0000000000000001E-3</v>
      </c>
      <c r="I914" s="169">
        <f>IF(OR(B914="",C914=""),"",IFERROR(IFERROR(INDEX(Vöruskrá!L:L,MATCH(B914,Vöruskrá!B:B,0)),0)*C914/100000,""))</f>
        <v>0</v>
      </c>
      <c r="J914" s="169">
        <f>IF(OR(B914="",C914=""),"",IFERROR(IFERROR(INDEX(Vöruskrá!M:M,MATCH(B914,Vöruskrá!B:B,0)),0)*C914/100000,""))</f>
        <v>0.65100000000000002</v>
      </c>
      <c r="K914" s="169">
        <f>IF(OR(B914="",C914=""),"",IFERROR(IFERROR(INDEX(Vöruskrá!N:N,MATCH(B914,Vöruskrá!B:B,0)),0)*C914/100000,""))</f>
        <v>0.29399999999999998</v>
      </c>
      <c r="L914" s="169">
        <f>IF(OR(B914="",C914=""),"",IFERROR(IFERROR(INDEX(Vöruskrá!O:O,MATCH(B914,Vöruskrá!B:B,0)),0)*C914/100000,""))</f>
        <v>7.7000000000000013E-2</v>
      </c>
      <c r="M914" s="169">
        <f>IF(OR(B914="",C914=""),"",IFERROR(IFERROR(INDEX(Vöruskrá!P:P,MATCH(B914,Vöruskrá!B:B,0)),0)*C914/100000,""))</f>
        <v>0</v>
      </c>
      <c r="N914" s="169">
        <f>IF(OR(B914="",C914=""),"",IFERROR(IFERROR(INDEX(Vöruskrá!Q:Q,MATCH(B914,Vöruskrá!B:B,0)),0)*C914/100000,""))</f>
        <v>0.11899999999999999</v>
      </c>
      <c r="O914" s="170">
        <f>IF(OR(B914="",C914=""),"",IFERROR(C914/1000*IFERROR(INDEX(Vöruskrá!R:R,MATCH(B914,Vöruskrá!B:B,0)),0)/1000,""))</f>
        <v>0</v>
      </c>
      <c r="P914" s="171"/>
      <c r="Q914" s="158"/>
      <c r="R914" s="6"/>
    </row>
    <row r="915" spans="1:18" ht="15">
      <c r="A915" s="173"/>
      <c r="B915" s="173" t="s">
        <v>1017</v>
      </c>
      <c r="C915" s="174">
        <v>1000</v>
      </c>
      <c r="D915" s="168" t="s">
        <v>1017</v>
      </c>
      <c r="E915" s="168" t="s">
        <v>134</v>
      </c>
      <c r="F915" s="168"/>
      <c r="G915" s="169">
        <f>IF(OR(B915="",C915=""),"",IFERROR(IFERROR(INDEX(Vöruskrá!J:J,MATCH(B915,Vöruskrá!B:B,0)),0)*C915/100000,""))</f>
        <v>1.49</v>
      </c>
      <c r="H915" s="169">
        <f>IF(OR(B915="",C915=""),"",IFERROR(IFERROR(INDEX(Vöruskrá!K:K,MATCH(B915,Vöruskrá!B:B,0)),0)*C915/100000,""))</f>
        <v>5.0000000000000001E-3</v>
      </c>
      <c r="I915" s="169">
        <f>IF(OR(B915="",C915=""),"",IFERROR(IFERROR(INDEX(Vöruskrá!L:L,MATCH(B915,Vöruskrá!B:B,0)),0)*C915/100000,""))</f>
        <v>1E-3</v>
      </c>
      <c r="J915" s="169">
        <f>IF(OR(B915="",C915=""),"",IFERROR(IFERROR(INDEX(Vöruskrá!M:M,MATCH(B915,Vöruskrá!B:B,0)),0)*C915/100000,""))</f>
        <v>0.33100000000000002</v>
      </c>
      <c r="K915" s="169">
        <f>IF(OR(B915="",C915=""),"",IFERROR(IFERROR(INDEX(Vöruskrá!N:N,MATCH(B915,Vöruskrá!B:B,0)),0)*C915/100000,""))</f>
        <v>0.01</v>
      </c>
      <c r="L915" s="169">
        <f>IF(OR(B915="",C915=""),"",IFERROR(IFERROR(INDEX(Vöruskrá!O:O,MATCH(B915,Vöruskrá!B:B,0)),0)*C915/100000,""))</f>
        <v>6.4000000000000001E-2</v>
      </c>
      <c r="M915" s="169">
        <f>IF(OR(B915="",C915=""),"",IFERROR(IFERROR(INDEX(Vöruskrá!P:P,MATCH(B915,Vöruskrá!B:B,0)),0)*C915/100000,""))</f>
        <v>0</v>
      </c>
      <c r="N915" s="169">
        <f>IF(OR(B915="",C915=""),"",IFERROR(IFERROR(INDEX(Vöruskrá!Q:Q,MATCH(B915,Vöruskrá!B:B,0)),0)*C915/100000,""))</f>
        <v>2.1000000000000001E-2</v>
      </c>
      <c r="O915" s="170">
        <f>IF(OR(B915="",C915=""),"",IFERROR(C915/1000*IFERROR(INDEX(Vöruskrá!R:R,MATCH(B915,Vöruskrá!B:B,0)),0)/1000,""))</f>
        <v>0</v>
      </c>
      <c r="P915" s="173"/>
      <c r="Q915" s="157"/>
      <c r="R915" s="27"/>
    </row>
    <row r="916" spans="1:18" ht="15">
      <c r="A916" s="171"/>
      <c r="B916" s="171" t="s">
        <v>1022</v>
      </c>
      <c r="C916" s="172">
        <v>2000</v>
      </c>
      <c r="D916" s="168" t="s">
        <v>1023</v>
      </c>
      <c r="E916" s="168" t="s">
        <v>134</v>
      </c>
      <c r="F916" s="168" t="s">
        <v>1024</v>
      </c>
      <c r="G916" s="169">
        <f>IF(OR(B916="",C916=""),"",IFERROR(IFERROR(INDEX(Vöruskrá!J:J,MATCH(B916,Vöruskrá!B:B,0)),0)*C916/100000,""))</f>
        <v>6.5</v>
      </c>
      <c r="H916" s="169">
        <f>IF(OR(B916="",C916=""),"",IFERROR(IFERROR(INDEX(Vöruskrá!K:K,MATCH(B916,Vöruskrá!B:B,0)),0)*C916/100000,""))</f>
        <v>0.28000000000000003</v>
      </c>
      <c r="I916" s="169">
        <f>IF(OR(B916="",C916=""),"",IFERROR(IFERROR(INDEX(Vöruskrá!L:L,MATCH(B916,Vöruskrá!B:B,0)),0)*C916/100000,""))</f>
        <v>0.04</v>
      </c>
      <c r="J916" s="169">
        <f>IF(OR(B916="",C916=""),"",IFERROR(IFERROR(INDEX(Vöruskrá!M:M,MATCH(B916,Vöruskrá!B:B,0)),0)*C916/100000,""))</f>
        <v>1.1000000000000001</v>
      </c>
      <c r="K916" s="169">
        <f>IF(OR(B916="",C916=""),"",IFERROR(IFERROR(INDEX(Vöruskrá!N:N,MATCH(B916,Vöruskrá!B:B,0)),0)*C916/100000,""))</f>
        <v>5.6000000000000001E-2</v>
      </c>
      <c r="L916" s="169">
        <f>IF(OR(B916="",C916=""),"",IFERROR(IFERROR(INDEX(Vöruskrá!O:O,MATCH(B916,Vöruskrá!B:B,0)),0)*C916/100000,""))</f>
        <v>0.28000000000000003</v>
      </c>
      <c r="M916" s="169">
        <f>IF(OR(B916="",C916=""),"",IFERROR(IFERROR(INDEX(Vöruskrá!P:P,MATCH(B916,Vöruskrá!B:B,0)),0)*C916/100000,""))</f>
        <v>2E-3</v>
      </c>
      <c r="N916" s="169">
        <f>IF(OR(B916="",C916=""),"",IFERROR(IFERROR(INDEX(Vöruskrá!Q:Q,MATCH(B916,Vöruskrá!B:B,0)),0)*C916/100000,""))</f>
        <v>0.66</v>
      </c>
      <c r="O916" s="170">
        <f>IF(OR(B916="",C916=""),"",IFERROR(C916/1000*IFERROR(INDEX(Vöruskrá!R:R,MATCH(B916,Vöruskrá!B:B,0)),0)/1000,""))</f>
        <v>0</v>
      </c>
      <c r="P916" s="171"/>
      <c r="Q916" s="158"/>
      <c r="R916" s="6"/>
    </row>
    <row r="917" spans="1:18" ht="15">
      <c r="A917" s="173"/>
      <c r="B917" s="173" t="s">
        <v>1062</v>
      </c>
      <c r="C917" s="174">
        <v>500</v>
      </c>
      <c r="D917" s="168" t="s">
        <v>1063</v>
      </c>
      <c r="E917" s="168" t="s">
        <v>134</v>
      </c>
      <c r="F917" s="168" t="s">
        <v>1024</v>
      </c>
      <c r="G917" s="169">
        <f>IF(OR(B917="",C917=""),"",IFERROR(IFERROR(INDEX(Vöruskrá!J:J,MATCH(B917,Vöruskrá!B:B,0)),0)*C917/100000,""))</f>
        <v>1.875</v>
      </c>
      <c r="H917" s="169">
        <f>IF(OR(B917="",C917=""),"",IFERROR(IFERROR(INDEX(Vöruskrá!K:K,MATCH(B917,Vöruskrá!B:B,0)),0)*C917/100000,""))</f>
        <v>0.1115</v>
      </c>
      <c r="I917" s="169">
        <f>IF(OR(B917="",C917=""),"",IFERROR(IFERROR(INDEX(Vöruskrá!L:L,MATCH(B917,Vöruskrá!B:B,0)),0)*C917/100000,""))</f>
        <v>6.4999999999999997E-3</v>
      </c>
      <c r="J917" s="169">
        <f>IF(OR(B917="",C917=""),"",IFERROR(IFERROR(INDEX(Vöruskrá!M:M,MATCH(B917,Vöruskrá!B:B,0)),0)*C917/100000,""))</f>
        <v>0.221</v>
      </c>
      <c r="K917" s="169">
        <f>IF(OR(B917="",C917=""),"",IFERROR(IFERROR(INDEX(Vöruskrá!N:N,MATCH(B917,Vöruskrá!B:B,0)),0)*C917/100000,""))</f>
        <v>1.15E-2</v>
      </c>
      <c r="L917" s="169">
        <f>IF(OR(B917="",C917=""),"",IFERROR(IFERROR(INDEX(Vöruskrá!O:O,MATCH(B917,Vöruskrá!B:B,0)),0)*C917/100000,""))</f>
        <v>8.8999999999999996E-2</v>
      </c>
      <c r="M917" s="169">
        <f>IF(OR(B917="",C917=""),"",IFERROR(IFERROR(INDEX(Vöruskrá!P:P,MATCH(B917,Vöruskrá!B:B,0)),0)*C917/100000,""))</f>
        <v>1E-3</v>
      </c>
      <c r="N917" s="169">
        <f>IF(OR(B917="",C917=""),"",IFERROR(IFERROR(INDEX(Vöruskrá!Q:Q,MATCH(B917,Vöruskrá!B:B,0)),0)*C917/100000,""))</f>
        <v>5.2499999999999998E-2</v>
      </c>
      <c r="O917" s="170">
        <f>IF(OR(B917="",C917=""),"",IFERROR(C917/1000*IFERROR(INDEX(Vöruskrá!R:R,MATCH(B917,Vöruskrá!B:B,0)),0)/1000,""))</f>
        <v>0</v>
      </c>
      <c r="P917" s="173"/>
      <c r="Q917" s="157"/>
      <c r="R917" s="27"/>
    </row>
    <row r="918" spans="1:18" ht="15">
      <c r="A918" s="171"/>
      <c r="B918" s="171" t="s">
        <v>1475</v>
      </c>
      <c r="C918" s="172">
        <v>500</v>
      </c>
      <c r="D918" s="168"/>
      <c r="E918" s="168"/>
      <c r="F918" s="168"/>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504</v>
      </c>
      <c r="C919" s="174">
        <v>2500</v>
      </c>
      <c r="D919" s="168" t="s">
        <v>500</v>
      </c>
      <c r="E919" s="168" t="s">
        <v>134</v>
      </c>
      <c r="F919" s="168"/>
      <c r="G919" s="169">
        <f>IF(OR(B919="",C919=""),"",IFERROR(IFERROR(INDEX(Vöruskrá!J:J,MATCH(B919,Vöruskrá!B:B,0)),0)*C919/100000,""))</f>
        <v>2.8250000000000002</v>
      </c>
      <c r="H919" s="169">
        <f>IF(OR(B919="",C919=""),"",IFERROR(IFERROR(INDEX(Vöruskrá!K:K,MATCH(B919,Vöruskrá!B:B,0)),0)*C919/100000,""))</f>
        <v>0.01</v>
      </c>
      <c r="I919" s="169">
        <f>IF(OR(B919="",C919=""),"",IFERROR(IFERROR(INDEX(Vöruskrá!L:L,MATCH(B919,Vöruskrá!B:B,0)),0)*C919/100000,""))</f>
        <v>0</v>
      </c>
      <c r="J919" s="169">
        <f>IF(OR(B919="",C919=""),"",IFERROR(IFERROR(INDEX(Vöruskrá!M:M,MATCH(B919,Vöruskrá!B:B,0)),0)*C919/100000,""))</f>
        <v>0.47499999999999998</v>
      </c>
      <c r="K919" s="169">
        <f>IF(OR(B919="",C919=""),"",IFERROR(IFERROR(INDEX(Vöruskrá!N:N,MATCH(B919,Vöruskrá!B:B,0)),0)*C919/100000,""))</f>
        <v>0.35</v>
      </c>
      <c r="L919" s="169">
        <f>IF(OR(B919="",C919=""),"",IFERROR(IFERROR(INDEX(Vöruskrá!O:O,MATCH(B919,Vöruskrá!B:B,0)),0)*C919/100000,""))</f>
        <v>0.15</v>
      </c>
      <c r="M919" s="169">
        <f>IF(OR(B919="",C919=""),"",IFERROR(IFERROR(INDEX(Vöruskrá!P:P,MATCH(B919,Vöruskrá!B:B,0)),0)*C919/100000,""))</f>
        <v>2.5000000000000001E-3</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299</v>
      </c>
      <c r="C920" s="172">
        <v>700</v>
      </c>
      <c r="D920" s="168" t="s">
        <v>302</v>
      </c>
      <c r="E920" s="168" t="s">
        <v>134</v>
      </c>
      <c r="F920" s="168" t="s">
        <v>303</v>
      </c>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0.7</v>
      </c>
      <c r="N920" s="169">
        <f>IF(OR(B920="",C920=""),"",IFERROR(IFERROR(INDEX(Vöruskrá!Q:Q,MATCH(B920,Vöruskrá!B:B,0)),0)*C920/100000,""))</f>
        <v>0</v>
      </c>
      <c r="O920" s="170">
        <f>IF(OR(B920="",C920=""),"",IFERROR(C920/1000*IFERROR(INDEX(Vöruskrá!R:R,MATCH(B920,Vöruskrá!B:B,0)),0)/1000,""))</f>
        <v>0</v>
      </c>
      <c r="P920" s="171"/>
      <c r="Q920" s="158"/>
      <c r="R920" s="6"/>
    </row>
    <row r="921" spans="1:18" ht="15">
      <c r="A921" s="173"/>
      <c r="B921" s="173" t="s">
        <v>1270</v>
      </c>
      <c r="C921" s="174">
        <v>1500</v>
      </c>
      <c r="D921" s="168" t="s">
        <v>1270</v>
      </c>
      <c r="E921" s="168" t="s">
        <v>134</v>
      </c>
      <c r="F921" s="168"/>
      <c r="G921" s="169">
        <f>IF(OR(B921="",C921=""),"",IFERROR(IFERROR(INDEX(Vöruskrá!J:J,MATCH(B921,Vöruskrá!B:B,0)),0)*C921/100000,""))</f>
        <v>13.5</v>
      </c>
      <c r="H921" s="169">
        <f>IF(OR(B921="",C921=""),"",IFERROR(IFERROR(INDEX(Vöruskrá!K:K,MATCH(B921,Vöruskrá!B:B,0)),0)*C921/100000,""))</f>
        <v>1.5</v>
      </c>
      <c r="I921" s="169">
        <f>IF(OR(B921="",C921=""),"",IFERROR(IFERROR(INDEX(Vöruskrá!L:L,MATCH(B921,Vöruskrá!B:B,0)),0)*C921/100000,""))</f>
        <v>0.105</v>
      </c>
      <c r="J921" s="169">
        <f>IF(OR(B921="",C921=""),"",IFERROR(IFERROR(INDEX(Vöruskrá!M:M,MATCH(B921,Vöruskrá!B:B,0)),0)*C921/100000,""))</f>
        <v>0.97499999999999998</v>
      </c>
      <c r="K921" s="169">
        <f>IF(OR(B921="",C921=""),"",IFERROR(IFERROR(INDEX(Vöruskrá!N:N,MATCH(B921,Vöruskrá!B:B,0)),0)*C921/100000,""))</f>
        <v>0.41249999999999998</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3"/>
      <c r="Q921" s="157"/>
      <c r="R921" s="27"/>
    </row>
    <row r="922" spans="1:18" ht="15">
      <c r="A922" s="171"/>
      <c r="B922" s="171" t="s">
        <v>1471</v>
      </c>
      <c r="C922" s="172">
        <v>300</v>
      </c>
      <c r="D922" s="168"/>
      <c r="E922" s="168"/>
      <c r="F922" s="168"/>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1"/>
      <c r="Q922" s="200"/>
      <c r="R922" s="159"/>
    </row>
    <row r="923" spans="1:18" ht="60">
      <c r="A923" s="147" t="s">
        <v>2024</v>
      </c>
      <c r="B923" s="147"/>
      <c r="C923" s="148"/>
      <c r="D923" s="165" t="s">
        <v>2025</v>
      </c>
      <c r="E923" s="165" t="s">
        <v>120</v>
      </c>
      <c r="F923" s="165"/>
      <c r="G923" s="166">
        <v>156.44999999999999</v>
      </c>
      <c r="H923" s="166">
        <v>8.52</v>
      </c>
      <c r="I923" s="166">
        <v>5.17</v>
      </c>
      <c r="J923" s="166">
        <v>17.21</v>
      </c>
      <c r="K923" s="166"/>
      <c r="L923" s="166">
        <v>2.9</v>
      </c>
      <c r="M923" s="166">
        <v>18.84</v>
      </c>
      <c r="N923" s="166">
        <f>IFERROR(SUM(N924:N932)/(SUM($C$924:$C$932)/100000),"")</f>
        <v>8.900000000000001E-2</v>
      </c>
      <c r="O923" s="167" t="str">
        <f>IF(OR(B923="",C923=""),"",IFERROR(C923/1000*IFERROR(INDEX(Vöruskrá!R:R,MATCH(B923,Vöruskrá!B:B,0)),0)/1000,""))</f>
        <v/>
      </c>
      <c r="P923" s="196" t="s">
        <v>2026</v>
      </c>
      <c r="Q923" s="195" t="s">
        <v>2027</v>
      </c>
      <c r="R923" s="194" t="s">
        <v>2028</v>
      </c>
    </row>
    <row r="924" spans="1:18" ht="15">
      <c r="A924" s="171"/>
      <c r="B924" s="171" t="s">
        <v>1504</v>
      </c>
      <c r="C924" s="172">
        <v>35000</v>
      </c>
      <c r="D924" s="168"/>
      <c r="E924" s="168"/>
      <c r="F924" s="168"/>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197"/>
      <c r="R924" s="164"/>
    </row>
    <row r="925" spans="1:18" ht="15">
      <c r="A925" s="173"/>
      <c r="B925" s="173" t="s">
        <v>330</v>
      </c>
      <c r="C925" s="174">
        <v>40000</v>
      </c>
      <c r="D925" s="168" t="s">
        <v>331</v>
      </c>
      <c r="E925" s="168" t="s">
        <v>134</v>
      </c>
      <c r="F925" s="168"/>
      <c r="G925" s="169">
        <f>IF(OR(B925="",C925=""),"",IFERROR(IFERROR(INDEX(Vöruskrá!J:J,MATCH(B925,Vöruskrá!B:B,0)),0)*C925/100000,""))</f>
        <v>80</v>
      </c>
      <c r="H925" s="169">
        <f>IF(OR(B925="",C925=""),"",IFERROR(IFERROR(INDEX(Vöruskrá!K:K,MATCH(B925,Vöruskrá!B:B,0)),0)*C925/100000,""))</f>
        <v>0.8</v>
      </c>
      <c r="I925" s="169">
        <f>IF(OR(B925="",C925=""),"",IFERROR(IFERROR(INDEX(Vöruskrá!L:L,MATCH(B925,Vöruskrá!B:B,0)),0)*C925/100000,""))</f>
        <v>0.4</v>
      </c>
      <c r="J925" s="169">
        <f>IF(OR(B925="",C925=""),"",IFERROR(IFERROR(INDEX(Vöruskrá!M:M,MATCH(B925,Vöruskrá!B:B,0)),0)*C925/100000,""))</f>
        <v>16</v>
      </c>
      <c r="K925" s="169">
        <f>IF(OR(B925="",C925=""),"",IFERROR(IFERROR(INDEX(Vöruskrá!N:N,MATCH(B925,Vöruskrá!B:B,0)),0)*C925/100000,""))</f>
        <v>4.8</v>
      </c>
      <c r="L925" s="169">
        <f>IF(OR(B925="",C925=""),"",IFERROR(IFERROR(INDEX(Vöruskrá!O:O,MATCH(B925,Vöruskrá!B:B,0)),0)*C925/100000,""))</f>
        <v>2.4</v>
      </c>
      <c r="M925" s="169">
        <f>IF(OR(B925="",C925=""),"",IFERROR(IFERROR(INDEX(Vöruskrá!P:P,MATCH(B925,Vöruskrá!B:B,0)),0)*C925/100000,""))</f>
        <v>18</v>
      </c>
      <c r="N925" s="169">
        <f>IF(OR(B925="",C925=""),"",IFERROR(IFERROR(INDEX(Vöruskrá!Q:Q,MATCH(B925,Vöruskrá!B:B,0)),0)*C925/100000,""))</f>
        <v>0</v>
      </c>
      <c r="O925" s="170">
        <f>IF(OR(B925="",C925=""),"",IFERROR(C925/1000*IFERROR(INDEX(Vöruskrá!R:R,MATCH(B925,Vöruskrá!B:B,0)),0)/1000,""))</f>
        <v>0</v>
      </c>
      <c r="P925" s="173"/>
      <c r="Q925" s="157"/>
      <c r="R925" s="27"/>
    </row>
    <row r="926" spans="1:18" ht="15">
      <c r="A926" s="171"/>
      <c r="B926" s="171" t="s">
        <v>1058</v>
      </c>
      <c r="C926" s="172">
        <v>15000</v>
      </c>
      <c r="D926" s="168" t="s">
        <v>1059</v>
      </c>
      <c r="E926" s="168" t="s">
        <v>120</v>
      </c>
      <c r="F926" s="168"/>
      <c r="G926" s="169">
        <f>IF(OR(B926="",C926=""),"",IFERROR(IFERROR(INDEX(Vöruskrá!J:J,MATCH(B926,Vöruskrá!B:B,0)),0)*C926/100000,""))</f>
        <v>51</v>
      </c>
      <c r="H926" s="169">
        <f>IF(OR(B926="",C926=""),"",IFERROR(IFERROR(INDEX(Vöruskrá!K:K,MATCH(B926,Vöruskrá!B:B,0)),0)*C926/100000,""))</f>
        <v>5.25</v>
      </c>
      <c r="I926" s="169">
        <f>IF(OR(B926="",C926=""),"",IFERROR(IFERROR(INDEX(Vöruskrá!L:L,MATCH(B926,Vöruskrá!B:B,0)),0)*C926/100000,""))</f>
        <v>3.3</v>
      </c>
      <c r="J926" s="169">
        <f>IF(OR(B926="",C926=""),"",IFERROR(IFERROR(INDEX(Vöruskrá!M:M,MATCH(B926,Vöruskrá!B:B,0)),0)*C926/100000,""))</f>
        <v>0.45</v>
      </c>
      <c r="K926" s="169">
        <f>IF(OR(B926="",C926=""),"",IFERROR(IFERROR(INDEX(Vöruskrá!N:N,MATCH(B926,Vöruskrá!B:B,0)),0)*C926/100000,""))</f>
        <v>0.45</v>
      </c>
      <c r="L926" s="169">
        <f>IF(OR(B926="",C926=""),"",IFERROR(IFERROR(INDEX(Vöruskrá!O:O,MATCH(B926,Vöruskrá!B:B,0)),0)*C926/100000,""))</f>
        <v>0.375</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58"/>
      <c r="R926" s="6"/>
    </row>
    <row r="927" spans="1:18" ht="15">
      <c r="A927" s="173"/>
      <c r="B927" s="173" t="s">
        <v>445</v>
      </c>
      <c r="C927" s="174">
        <v>3000</v>
      </c>
      <c r="D927" s="168" t="s">
        <v>448</v>
      </c>
      <c r="E927" s="168" t="s">
        <v>120</v>
      </c>
      <c r="F927" s="168"/>
      <c r="G927" s="169">
        <f>IF(OR(B927="",C927=""),"",IFERROR(IFERROR(INDEX(Vöruskrá!J:J,MATCH(B927,Vöruskrá!B:B,0)),0)*C927/100000,""))</f>
        <v>22.14</v>
      </c>
      <c r="H927" s="169">
        <f>IF(OR(B927="",C927=""),"",IFERROR(IFERROR(INDEX(Vöruskrá!K:K,MATCH(B927,Vöruskrá!B:B,0)),0)*C927/100000,""))</f>
        <v>2.46</v>
      </c>
      <c r="I927" s="169">
        <f>IF(OR(B927="",C927=""),"",IFERROR(IFERROR(INDEX(Vöruskrá!L:L,MATCH(B927,Vöruskrá!B:B,0)),0)*C927/100000,""))</f>
        <v>1.47</v>
      </c>
      <c r="J927" s="169">
        <f>IF(OR(B927="",C927=""),"",IFERROR(IFERROR(INDEX(Vöruskrá!M:M,MATCH(B927,Vöruskrá!B:B,0)),0)*C927/100000,""))</f>
        <v>1.2E-2</v>
      </c>
      <c r="K927" s="169">
        <f>IF(OR(B927="",C927=""),"",IFERROR(IFERROR(INDEX(Vöruskrá!N:N,MATCH(B927,Vöruskrá!B:B,0)),0)*C927/100000,""))</f>
        <v>1.2E-2</v>
      </c>
      <c r="L927" s="169">
        <f>IF(OR(B927="",C927=""),"",IFERROR(IFERROR(INDEX(Vöruskrá!O:O,MATCH(B927,Vöruskrá!B:B,0)),0)*C927/100000,""))</f>
        <v>1.7999999999999999E-2</v>
      </c>
      <c r="M927" s="169">
        <f>IF(OR(B927="",C927=""),"",IFERROR(IFERROR(INDEX(Vöruskrá!P:P,MATCH(B927,Vöruskrá!B:B,0)),0)*C927/100000,""))</f>
        <v>3.5999999999999997E-2</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1010</v>
      </c>
      <c r="C928" s="172">
        <v>4000</v>
      </c>
      <c r="D928" s="168" t="s">
        <v>1010</v>
      </c>
      <c r="E928" s="168" t="s">
        <v>134</v>
      </c>
      <c r="F928" s="168"/>
      <c r="G928" s="169">
        <f>IF(OR(B928="",C928=""),"",IFERROR(IFERROR(INDEX(Vöruskrá!J:J,MATCH(B928,Vöruskrá!B:B,0)),0)*C928/100000,""))</f>
        <v>1.6</v>
      </c>
      <c r="H928" s="169">
        <f>IF(OR(B928="",C928=""),"",IFERROR(IFERROR(INDEX(Vöruskrá!K:K,MATCH(B928,Vöruskrá!B:B,0)),0)*C928/100000,""))</f>
        <v>4.0000000000000001E-3</v>
      </c>
      <c r="I928" s="169">
        <f>IF(OR(B928="",C928=""),"",IFERROR(IFERROR(INDEX(Vöruskrá!L:L,MATCH(B928,Vöruskrá!B:B,0)),0)*C928/100000,""))</f>
        <v>0</v>
      </c>
      <c r="J928" s="169">
        <f>IF(OR(B928="",C928=""),"",IFERROR(IFERROR(INDEX(Vöruskrá!M:M,MATCH(B928,Vöruskrá!B:B,0)),0)*C928/100000,""))</f>
        <v>0.372</v>
      </c>
      <c r="K928" s="169">
        <f>IF(OR(B928="",C928=""),"",IFERROR(IFERROR(INDEX(Vöruskrá!N:N,MATCH(B928,Vöruskrá!B:B,0)),0)*C928/100000,""))</f>
        <v>0.16800000000000001</v>
      </c>
      <c r="L928" s="169">
        <f>IF(OR(B928="",C928=""),"",IFERROR(IFERROR(INDEX(Vöruskrá!O:O,MATCH(B928,Vöruskrá!B:B,0)),0)*C928/100000,""))</f>
        <v>4.3999999999999997E-2</v>
      </c>
      <c r="M928" s="169">
        <f>IF(OR(B928="",C928=""),"",IFERROR(IFERROR(INDEX(Vöruskrá!P:P,MATCH(B928,Vöruskrá!B:B,0)),0)*C928/100000,""))</f>
        <v>0</v>
      </c>
      <c r="N928" s="169">
        <f>IF(OR(B928="",C928=""),"",IFERROR(IFERROR(INDEX(Vöruskrá!Q:Q,MATCH(B928,Vöruskrá!B:B,0)),0)*C928/100000,""))</f>
        <v>6.8000000000000005E-2</v>
      </c>
      <c r="O928" s="170">
        <f>IF(OR(B928="",C928=""),"",IFERROR(C928/1000*IFERROR(INDEX(Vöruskrá!R:R,MATCH(B928,Vöruskrá!B:B,0)),0)/1000,""))</f>
        <v>0</v>
      </c>
      <c r="P928" s="171"/>
      <c r="Q928" s="158"/>
      <c r="R928" s="6"/>
    </row>
    <row r="929" spans="1:18" ht="15">
      <c r="A929" s="173"/>
      <c r="B929" s="173" t="s">
        <v>1017</v>
      </c>
      <c r="C929" s="174">
        <v>1000</v>
      </c>
      <c r="D929" s="168" t="s">
        <v>1017</v>
      </c>
      <c r="E929" s="168" t="s">
        <v>134</v>
      </c>
      <c r="F929" s="168"/>
      <c r="G929" s="169">
        <f>IF(OR(B929="",C929=""),"",IFERROR(IFERROR(INDEX(Vöruskrá!J:J,MATCH(B929,Vöruskrá!B:B,0)),0)*C929/100000,""))</f>
        <v>1.49</v>
      </c>
      <c r="H929" s="169">
        <f>IF(OR(B929="",C929=""),"",IFERROR(IFERROR(INDEX(Vöruskrá!K:K,MATCH(B929,Vöruskrá!B:B,0)),0)*C929/100000,""))</f>
        <v>5.0000000000000001E-3</v>
      </c>
      <c r="I929" s="169">
        <f>IF(OR(B929="",C929=""),"",IFERROR(IFERROR(INDEX(Vöruskrá!L:L,MATCH(B929,Vöruskrá!B:B,0)),0)*C929/100000,""))</f>
        <v>1E-3</v>
      </c>
      <c r="J929" s="169">
        <f>IF(OR(B929="",C929=""),"",IFERROR(IFERROR(INDEX(Vöruskrá!M:M,MATCH(B929,Vöruskrá!B:B,0)),0)*C929/100000,""))</f>
        <v>0.33100000000000002</v>
      </c>
      <c r="K929" s="169">
        <f>IF(OR(B929="",C929=""),"",IFERROR(IFERROR(INDEX(Vöruskrá!N:N,MATCH(B929,Vöruskrá!B:B,0)),0)*C929/100000,""))</f>
        <v>0.01</v>
      </c>
      <c r="L929" s="169">
        <f>IF(OR(B929="",C929=""),"",IFERROR(IFERROR(INDEX(Vöruskrá!O:O,MATCH(B929,Vöruskrá!B:B,0)),0)*C929/100000,""))</f>
        <v>6.4000000000000001E-2</v>
      </c>
      <c r="M929" s="169">
        <f>IF(OR(B929="",C929=""),"",IFERROR(IFERROR(INDEX(Vöruskrá!P:P,MATCH(B929,Vöruskrá!B:B,0)),0)*C929/100000,""))</f>
        <v>0</v>
      </c>
      <c r="N929" s="169">
        <f>IF(OR(B929="",C929=""),"",IFERROR(IFERROR(INDEX(Vöruskrá!Q:Q,MATCH(B929,Vöruskrá!B:B,0)),0)*C929/100000,""))</f>
        <v>2.1000000000000001E-2</v>
      </c>
      <c r="O929" s="170">
        <f>IF(OR(B929="",C929=""),"",IFERROR(C929/1000*IFERROR(INDEX(Vöruskrá!R:R,MATCH(B929,Vöruskrá!B:B,0)),0)/1000,""))</f>
        <v>0</v>
      </c>
      <c r="P929" s="173"/>
      <c r="Q929" s="157"/>
      <c r="R929" s="27"/>
    </row>
    <row r="930" spans="1:18" ht="15">
      <c r="A930" s="171"/>
      <c r="B930" s="171" t="s">
        <v>299</v>
      </c>
      <c r="C930" s="172">
        <v>800</v>
      </c>
      <c r="D930" s="168" t="s">
        <v>302</v>
      </c>
      <c r="E930" s="168" t="s">
        <v>134</v>
      </c>
      <c r="F930" s="168" t="s">
        <v>303</v>
      </c>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0.8</v>
      </c>
      <c r="N930" s="169">
        <f>IF(OR(B930="",C930=""),"",IFERROR(IFERROR(INDEX(Vöruskrá!Q:Q,MATCH(B930,Vöruskrá!B:B,0)),0)*C930/100000,""))</f>
        <v>0</v>
      </c>
      <c r="O930" s="170">
        <f>IF(OR(B930="",C930=""),"",IFERROR(C930/1000*IFERROR(INDEX(Vöruskrá!R:R,MATCH(B930,Vöruskrá!B:B,0)),0)/1000,""))</f>
        <v>0</v>
      </c>
      <c r="P930" s="171"/>
      <c r="Q930" s="158"/>
      <c r="R930" s="6"/>
    </row>
    <row r="931" spans="1:18" ht="15">
      <c r="A931" s="173"/>
      <c r="B931" s="173" t="s">
        <v>1505</v>
      </c>
      <c r="C931" s="174">
        <v>500</v>
      </c>
      <c r="D931" s="168"/>
      <c r="E931" s="168"/>
      <c r="F931" s="168"/>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3"/>
      <c r="Q931" s="157"/>
      <c r="R931" s="27"/>
    </row>
    <row r="932" spans="1:18" ht="15">
      <c r="A932" s="171"/>
      <c r="B932" s="171" t="s">
        <v>833</v>
      </c>
      <c r="C932" s="172">
        <v>700</v>
      </c>
      <c r="D932" s="168" t="s">
        <v>835</v>
      </c>
      <c r="E932" s="168"/>
      <c r="F932" s="168"/>
      <c r="G932" s="169">
        <f>IF(OR(B932="",C932=""),"",IFERROR(IFERROR(INDEX(Vöruskrá!J:J,MATCH(B932,Vöruskrá!B:B,0)),0)*C932/100000,""))</f>
        <v>0.217</v>
      </c>
      <c r="H932" s="169">
        <f>IF(OR(B932="",C932=""),"",IFERROR(IFERROR(INDEX(Vöruskrá!K:K,MATCH(B932,Vöruskrá!B:B,0)),0)*C932/100000,""))</f>
        <v>1.4E-3</v>
      </c>
      <c r="I932" s="169">
        <f>IF(OR(B932="",C932=""),"",IFERROR(IFERROR(INDEX(Vöruskrá!L:L,MATCH(B932,Vöruskrá!B:B,0)),0)*C932/100000,""))</f>
        <v>0</v>
      </c>
      <c r="J932" s="169">
        <f>IF(OR(B932="",C932=""),"",IFERROR(IFERROR(INDEX(Vöruskrá!M:M,MATCH(B932,Vöruskrá!B:B,0)),0)*C932/100000,""))</f>
        <v>4.8300000000000003E-2</v>
      </c>
      <c r="K932" s="169">
        <f>IF(OR(B932="",C932=""),"",IFERROR(IFERROR(INDEX(Vöruskrá!N:N,MATCH(B932,Vöruskrá!B:B,0)),0)*C932/100000,""))</f>
        <v>1.6799999999999999E-2</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200"/>
      <c r="R932" s="159"/>
    </row>
    <row r="933" spans="1:18" ht="48">
      <c r="A933" s="147" t="s">
        <v>2029</v>
      </c>
      <c r="B933" s="147"/>
      <c r="C933" s="148"/>
      <c r="D933" s="165" t="s">
        <v>2030</v>
      </c>
      <c r="E933" s="165" t="s">
        <v>120</v>
      </c>
      <c r="F933" s="165"/>
      <c r="G933" s="166">
        <v>157.28</v>
      </c>
      <c r="H933" s="166">
        <v>9.2100000000000009</v>
      </c>
      <c r="I933" s="166">
        <v>5.57</v>
      </c>
      <c r="J933" s="166">
        <v>15.89</v>
      </c>
      <c r="K933" s="166"/>
      <c r="L933" s="166">
        <v>2.75</v>
      </c>
      <c r="M933" s="166">
        <v>16.63</v>
      </c>
      <c r="N933" s="166">
        <f>IFERROR(SUM(N934:N944)/(SUM($C$934:$C$944)/100000),"")</f>
        <v>0.12574257425742574</v>
      </c>
      <c r="O933" s="167" t="str">
        <f>IF(OR(B933="",C933=""),"",IFERROR(C933/1000*IFERROR(INDEX(Vöruskrá!R:R,MATCH(B933,Vöruskrá!B:B,0)),0)/1000,""))</f>
        <v/>
      </c>
      <c r="P933" s="196" t="s">
        <v>2031</v>
      </c>
      <c r="Q933" s="199" t="s">
        <v>2032</v>
      </c>
      <c r="R933" s="198" t="s">
        <v>2033</v>
      </c>
    </row>
    <row r="934" spans="1:18" ht="15">
      <c r="A934" s="171"/>
      <c r="B934" s="171" t="s">
        <v>1506</v>
      </c>
      <c r="C934" s="172">
        <v>35000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1"/>
      <c r="Q934" s="197"/>
      <c r="R934" s="164"/>
    </row>
    <row r="935" spans="1:18" ht="15">
      <c r="A935" s="173"/>
      <c r="B935" s="173" t="s">
        <v>330</v>
      </c>
      <c r="C935" s="174">
        <v>35000</v>
      </c>
      <c r="D935" s="168" t="s">
        <v>331</v>
      </c>
      <c r="E935" s="168" t="s">
        <v>134</v>
      </c>
      <c r="F935" s="168"/>
      <c r="G935" s="169">
        <f>IF(OR(B935="",C935=""),"",IFERROR(IFERROR(INDEX(Vöruskrá!J:J,MATCH(B935,Vöruskrá!B:B,0)),0)*C935/100000,""))</f>
        <v>70</v>
      </c>
      <c r="H935" s="169">
        <f>IF(OR(B935="",C935=""),"",IFERROR(IFERROR(INDEX(Vöruskrá!K:K,MATCH(B935,Vöruskrá!B:B,0)),0)*C935/100000,""))</f>
        <v>0.7</v>
      </c>
      <c r="I935" s="169">
        <f>IF(OR(B935="",C935=""),"",IFERROR(IFERROR(INDEX(Vöruskrá!L:L,MATCH(B935,Vöruskrá!B:B,0)),0)*C935/100000,""))</f>
        <v>0.35</v>
      </c>
      <c r="J935" s="169">
        <f>IF(OR(B935="",C935=""),"",IFERROR(IFERROR(INDEX(Vöruskrá!M:M,MATCH(B935,Vöruskrá!B:B,0)),0)*C935/100000,""))</f>
        <v>14</v>
      </c>
      <c r="K935" s="169">
        <f>IF(OR(B935="",C935=""),"",IFERROR(IFERROR(INDEX(Vöruskrá!N:N,MATCH(B935,Vöruskrá!B:B,0)),0)*C935/100000,""))</f>
        <v>4.2</v>
      </c>
      <c r="L935" s="169">
        <f>IF(OR(B935="",C935=""),"",IFERROR(IFERROR(INDEX(Vöruskrá!O:O,MATCH(B935,Vöruskrá!B:B,0)),0)*C935/100000,""))</f>
        <v>2.1</v>
      </c>
      <c r="M935" s="169">
        <f>IF(OR(B935="",C935=""),"",IFERROR(IFERROR(INDEX(Vöruskrá!P:P,MATCH(B935,Vöruskrá!B:B,0)),0)*C935/100000,""))</f>
        <v>15.75</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1058</v>
      </c>
      <c r="C936" s="172">
        <v>15000</v>
      </c>
      <c r="D936" s="168" t="s">
        <v>1059</v>
      </c>
      <c r="E936" s="168" t="s">
        <v>120</v>
      </c>
      <c r="F936" s="168"/>
      <c r="G936" s="169">
        <f>IF(OR(B936="",C936=""),"",IFERROR(IFERROR(INDEX(Vöruskrá!J:J,MATCH(B936,Vöruskrá!B:B,0)),0)*C936/100000,""))</f>
        <v>51</v>
      </c>
      <c r="H936" s="169">
        <f>IF(OR(B936="",C936=""),"",IFERROR(IFERROR(INDEX(Vöruskrá!K:K,MATCH(B936,Vöruskrá!B:B,0)),0)*C936/100000,""))</f>
        <v>5.25</v>
      </c>
      <c r="I936" s="169">
        <f>IF(OR(B936="",C936=""),"",IFERROR(IFERROR(INDEX(Vöruskrá!L:L,MATCH(B936,Vöruskrá!B:B,0)),0)*C936/100000,""))</f>
        <v>3.3</v>
      </c>
      <c r="J936" s="169">
        <f>IF(OR(B936="",C936=""),"",IFERROR(IFERROR(INDEX(Vöruskrá!M:M,MATCH(B936,Vöruskrá!B:B,0)),0)*C936/100000,""))</f>
        <v>0.45</v>
      </c>
      <c r="K936" s="169">
        <f>IF(OR(B936="",C936=""),"",IFERROR(IFERROR(INDEX(Vöruskrá!N:N,MATCH(B936,Vöruskrá!B:B,0)),0)*C936/100000,""))</f>
        <v>0.45</v>
      </c>
      <c r="L936" s="169">
        <f>IF(OR(B936="",C936=""),"",IFERROR(IFERROR(INDEX(Vöruskrá!O:O,MATCH(B936,Vöruskrá!B:B,0)),0)*C936/100000,""))</f>
        <v>0.375</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158"/>
      <c r="R936" s="6"/>
    </row>
    <row r="937" spans="1:18" ht="15">
      <c r="A937" s="173"/>
      <c r="B937" s="173" t="s">
        <v>445</v>
      </c>
      <c r="C937" s="174">
        <v>4000</v>
      </c>
      <c r="D937" s="168" t="s">
        <v>448</v>
      </c>
      <c r="E937" s="168" t="s">
        <v>120</v>
      </c>
      <c r="F937" s="168"/>
      <c r="G937" s="169">
        <f>IF(OR(B937="",C937=""),"",IFERROR(IFERROR(INDEX(Vöruskrá!J:J,MATCH(B937,Vöruskrá!B:B,0)),0)*C937/100000,""))</f>
        <v>29.52</v>
      </c>
      <c r="H937" s="169">
        <f>IF(OR(B937="",C937=""),"",IFERROR(IFERROR(INDEX(Vöruskrá!K:K,MATCH(B937,Vöruskrá!B:B,0)),0)*C937/100000,""))</f>
        <v>3.28</v>
      </c>
      <c r="I937" s="169">
        <f>IF(OR(B937="",C937=""),"",IFERROR(IFERROR(INDEX(Vöruskrá!L:L,MATCH(B937,Vöruskrá!B:B,0)),0)*C937/100000,""))</f>
        <v>1.96</v>
      </c>
      <c r="J937" s="169">
        <f>IF(OR(B937="",C937=""),"",IFERROR(IFERROR(INDEX(Vöruskrá!M:M,MATCH(B937,Vöruskrá!B:B,0)),0)*C937/100000,""))</f>
        <v>1.6E-2</v>
      </c>
      <c r="K937" s="169">
        <f>IF(OR(B937="",C937=""),"",IFERROR(IFERROR(INDEX(Vöruskrá!N:N,MATCH(B937,Vöruskrá!B:B,0)),0)*C937/100000,""))</f>
        <v>1.6E-2</v>
      </c>
      <c r="L937" s="169">
        <f>IF(OR(B937="",C937=""),"",IFERROR(IFERROR(INDEX(Vöruskrá!O:O,MATCH(B937,Vöruskrá!B:B,0)),0)*C937/100000,""))</f>
        <v>2.4E-2</v>
      </c>
      <c r="M937" s="169">
        <f>IF(OR(B937="",C937=""),"",IFERROR(IFERROR(INDEX(Vöruskrá!P:P,MATCH(B937,Vöruskrá!B:B,0)),0)*C937/100000,""))</f>
        <v>4.8000000000000001E-2</v>
      </c>
      <c r="N937" s="169">
        <f>IF(OR(B937="",C937=""),"",IFERROR(IFERROR(INDEX(Vöruskrá!Q:Q,MATCH(B937,Vöruskrá!B:B,0)),0)*C937/100000,""))</f>
        <v>0</v>
      </c>
      <c r="O937" s="170">
        <f>IF(OR(B937="",C937=""),"",IFERROR(C937/1000*IFERROR(INDEX(Vöruskrá!R:R,MATCH(B937,Vöruskrá!B:B,0)),0)/1000,""))</f>
        <v>0</v>
      </c>
      <c r="P937" s="173"/>
      <c r="Q937" s="157"/>
      <c r="R937" s="27"/>
    </row>
    <row r="938" spans="1:18" ht="15">
      <c r="A938" s="171"/>
      <c r="B938" s="171" t="s">
        <v>1010</v>
      </c>
      <c r="C938" s="172">
        <v>5000</v>
      </c>
      <c r="D938" s="168" t="s">
        <v>1010</v>
      </c>
      <c r="E938" s="168" t="s">
        <v>134</v>
      </c>
      <c r="F938" s="168"/>
      <c r="G938" s="169">
        <f>IF(OR(B938="",C938=""),"",IFERROR(IFERROR(INDEX(Vöruskrá!J:J,MATCH(B938,Vöruskrá!B:B,0)),0)*C938/100000,""))</f>
        <v>2</v>
      </c>
      <c r="H938" s="169">
        <f>IF(OR(B938="",C938=""),"",IFERROR(IFERROR(INDEX(Vöruskrá!K:K,MATCH(B938,Vöruskrá!B:B,0)),0)*C938/100000,""))</f>
        <v>5.0000000000000001E-3</v>
      </c>
      <c r="I938" s="169">
        <f>IF(OR(B938="",C938=""),"",IFERROR(IFERROR(INDEX(Vöruskrá!L:L,MATCH(B938,Vöruskrá!B:B,0)),0)*C938/100000,""))</f>
        <v>0</v>
      </c>
      <c r="J938" s="169">
        <f>IF(OR(B938="",C938=""),"",IFERROR(IFERROR(INDEX(Vöruskrá!M:M,MATCH(B938,Vöruskrá!B:B,0)),0)*C938/100000,""))</f>
        <v>0.46500000000000002</v>
      </c>
      <c r="K938" s="169">
        <f>IF(OR(B938="",C938=""),"",IFERROR(IFERROR(INDEX(Vöruskrá!N:N,MATCH(B938,Vöruskrá!B:B,0)),0)*C938/100000,""))</f>
        <v>0.21</v>
      </c>
      <c r="L938" s="169">
        <f>IF(OR(B938="",C938=""),"",IFERROR(IFERROR(INDEX(Vöruskrá!O:O,MATCH(B938,Vöruskrá!B:B,0)),0)*C938/100000,""))</f>
        <v>5.5E-2</v>
      </c>
      <c r="M938" s="169">
        <f>IF(OR(B938="",C938=""),"",IFERROR(IFERROR(INDEX(Vöruskrá!P:P,MATCH(B938,Vöruskrá!B:B,0)),0)*C938/100000,""))</f>
        <v>0</v>
      </c>
      <c r="N938" s="169">
        <f>IF(OR(B938="",C938=""),"",IFERROR(IFERROR(INDEX(Vöruskrá!Q:Q,MATCH(B938,Vöruskrá!B:B,0)),0)*C938/100000,""))</f>
        <v>8.5000000000000006E-2</v>
      </c>
      <c r="O938" s="170">
        <f>IF(OR(B938="",C938=""),"",IFERROR(C938/1000*IFERROR(INDEX(Vöruskrá!R:R,MATCH(B938,Vöruskrá!B:B,0)),0)/1000,""))</f>
        <v>0</v>
      </c>
      <c r="P938" s="171"/>
      <c r="Q938" s="158"/>
      <c r="R938" s="6"/>
    </row>
    <row r="939" spans="1:18" ht="15">
      <c r="A939" s="173"/>
      <c r="B939" s="173" t="s">
        <v>1017</v>
      </c>
      <c r="C939" s="174">
        <v>2000</v>
      </c>
      <c r="D939" s="168" t="s">
        <v>1017</v>
      </c>
      <c r="E939" s="168" t="s">
        <v>134</v>
      </c>
      <c r="F939" s="168"/>
      <c r="G939" s="169">
        <f>IF(OR(B939="",C939=""),"",IFERROR(IFERROR(INDEX(Vöruskrá!J:J,MATCH(B939,Vöruskrá!B:B,0)),0)*C939/100000,""))</f>
        <v>2.98</v>
      </c>
      <c r="H939" s="169">
        <f>IF(OR(B939="",C939=""),"",IFERROR(IFERROR(INDEX(Vöruskrá!K:K,MATCH(B939,Vöruskrá!B:B,0)),0)*C939/100000,""))</f>
        <v>0.01</v>
      </c>
      <c r="I939" s="169">
        <f>IF(OR(B939="",C939=""),"",IFERROR(IFERROR(INDEX(Vöruskrá!L:L,MATCH(B939,Vöruskrá!B:B,0)),0)*C939/100000,""))</f>
        <v>2E-3</v>
      </c>
      <c r="J939" s="169">
        <f>IF(OR(B939="",C939=""),"",IFERROR(IFERROR(INDEX(Vöruskrá!M:M,MATCH(B939,Vöruskrá!B:B,0)),0)*C939/100000,""))</f>
        <v>0.66200000000000003</v>
      </c>
      <c r="K939" s="169">
        <f>IF(OR(B939="",C939=""),"",IFERROR(IFERROR(INDEX(Vöruskrá!N:N,MATCH(B939,Vöruskrá!B:B,0)),0)*C939/100000,""))</f>
        <v>0.02</v>
      </c>
      <c r="L939" s="169">
        <f>IF(OR(B939="",C939=""),"",IFERROR(IFERROR(INDEX(Vöruskrá!O:O,MATCH(B939,Vöruskrá!B:B,0)),0)*C939/100000,""))</f>
        <v>0.128</v>
      </c>
      <c r="M939" s="169">
        <f>IF(OR(B939="",C939=""),"",IFERROR(IFERROR(INDEX(Vöruskrá!P:P,MATCH(B939,Vöruskrá!B:B,0)),0)*C939/100000,""))</f>
        <v>0</v>
      </c>
      <c r="N939" s="169">
        <f>IF(OR(B939="",C939=""),"",IFERROR(IFERROR(INDEX(Vöruskrá!Q:Q,MATCH(B939,Vöruskrá!B:B,0)),0)*C939/100000,""))</f>
        <v>4.2000000000000003E-2</v>
      </c>
      <c r="O939" s="170">
        <f>IF(OR(B939="",C939=""),"",IFERROR(C939/1000*IFERROR(INDEX(Vöruskrá!R:R,MATCH(B939,Vöruskrá!B:B,0)),0)/1000,""))</f>
        <v>0</v>
      </c>
      <c r="P939" s="173"/>
      <c r="Q939" s="157"/>
      <c r="R939" s="27"/>
    </row>
    <row r="940" spans="1:18" ht="15">
      <c r="A940" s="171"/>
      <c r="B940" s="171" t="s">
        <v>823</v>
      </c>
      <c r="C940" s="172">
        <v>500</v>
      </c>
      <c r="D940" s="168" t="s">
        <v>824</v>
      </c>
      <c r="E940" s="168"/>
      <c r="F940" s="168" t="s">
        <v>311</v>
      </c>
      <c r="G940" s="169">
        <f>IF(OR(B940="",C940=""),"",IFERROR(IFERROR(INDEX(Vöruskrá!J:J,MATCH(B940,Vöruskrá!B:B,0)),0)*C940/100000,""))</f>
        <v>1.425</v>
      </c>
      <c r="H940" s="169">
        <f>IF(OR(B940="",C940=""),"",IFERROR(IFERROR(INDEX(Vöruskrá!K:K,MATCH(B940,Vöruskrá!B:B,0)),0)*C940/100000,""))</f>
        <v>3.6999999999999998E-2</v>
      </c>
      <c r="I940" s="169">
        <f>IF(OR(B940="",C940=""),"",IFERROR(IFERROR(INDEX(Vöruskrá!L:L,MATCH(B940,Vöruskrá!B:B,0)),0)*C940/100000,""))</f>
        <v>1.35E-2</v>
      </c>
      <c r="J940" s="169">
        <f>IF(OR(B940="",C940=""),"",IFERROR(IFERROR(INDEX(Vöruskrá!M:M,MATCH(B940,Vöruskrá!B:B,0)),0)*C940/100000,""))</f>
        <v>0.13500000000000001</v>
      </c>
      <c r="K940" s="169">
        <f>IF(OR(B940="",C940=""),"",IFERROR(IFERROR(INDEX(Vöruskrá!N:N,MATCH(B940,Vöruskrá!B:B,0)),0)*C940/100000,""))</f>
        <v>8.5000000000000006E-3</v>
      </c>
      <c r="L940" s="169">
        <f>IF(OR(B940="",C940=""),"",IFERROR(IFERROR(INDEX(Vöruskrá!O:O,MATCH(B940,Vöruskrá!B:B,0)),0)*C940/100000,""))</f>
        <v>4.5499999999999999E-2</v>
      </c>
      <c r="M940" s="169">
        <f>IF(OR(B940="",C940=""),"",IFERROR(IFERROR(INDEX(Vöruskrá!P:P,MATCH(B940,Vöruskrá!B:B,0)),0)*C940/100000,""))</f>
        <v>5.0000000000000001E-4</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299</v>
      </c>
      <c r="C941" s="174">
        <v>1000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1</v>
      </c>
      <c r="N941" s="169">
        <f>IF(OR(B941="",C941=""),"",IFERROR(IFERROR(INDEX(Vöruskrá!Q:Q,MATCH(B941,Vöruskrá!B:B,0)),0)*C941/100000,""))</f>
        <v>0</v>
      </c>
      <c r="O941" s="170">
        <f>IF(OR(B941="",C941=""),"",IFERROR(C941/1000*IFERROR(INDEX(Vöruskrá!R:R,MATCH(B941,Vöruskrá!B:B,0)),0)/1000,""))</f>
        <v>0</v>
      </c>
      <c r="P941" s="173"/>
      <c r="Q941" s="157"/>
      <c r="R941" s="27"/>
    </row>
    <row r="942" spans="1:18" ht="15">
      <c r="A942" s="171"/>
      <c r="B942" s="171" t="s">
        <v>819</v>
      </c>
      <c r="C942" s="172">
        <v>500</v>
      </c>
      <c r="D942" s="168" t="s">
        <v>820</v>
      </c>
      <c r="E942" s="168"/>
      <c r="F942" s="168" t="s">
        <v>311</v>
      </c>
      <c r="G942" s="169">
        <f>IF(OR(B942="",C942=""),"",IFERROR(IFERROR(INDEX(Vöruskrá!J:J,MATCH(B942,Vöruskrá!B:B,0)),0)*C942/100000,""))</f>
        <v>1.93</v>
      </c>
      <c r="H942" s="169">
        <f>IF(OR(B942="",C942=""),"",IFERROR(IFERROR(INDEX(Vöruskrá!K:K,MATCH(B942,Vöruskrá!B:B,0)),0)*C942/100000,""))</f>
        <v>1.6500000000000001E-2</v>
      </c>
      <c r="I942" s="169">
        <f>IF(OR(B942="",C942=""),"",IFERROR(IFERROR(INDEX(Vöruskrá!L:L,MATCH(B942,Vöruskrá!B:B,0)),0)*C942/100000,""))</f>
        <v>5.0000000000000001E-3</v>
      </c>
      <c r="J942" s="169">
        <f>IF(OR(B942="",C942=""),"",IFERROR(IFERROR(INDEX(Vöruskrá!M:M,MATCH(B942,Vöruskrá!B:B,0)),0)*C942/100000,""))</f>
        <v>0.32500000000000001</v>
      </c>
      <c r="K942" s="169">
        <f>IF(OR(B942="",C942=""),"",IFERROR(IFERROR(INDEX(Vöruskrá!N:N,MATCH(B942,Vöruskrá!B:B,0)),0)*C942/100000,""))</f>
        <v>3.0000000000000001E-3</v>
      </c>
      <c r="L942" s="169">
        <f>IF(OR(B942="",C942=""),"",IFERROR(IFERROR(INDEX(Vöruskrá!O:O,MATCH(B942,Vöruskrá!B:B,0)),0)*C942/100000,""))</f>
        <v>5.5E-2</v>
      </c>
      <c r="M942" s="169">
        <f>IF(OR(B942="",C942=""),"",IFERROR(IFERROR(INDEX(Vöruskrá!P:P,MATCH(B942,Vöruskrá!B:B,0)),0)*C942/100000,""))</f>
        <v>5.0000000000000001E-4</v>
      </c>
      <c r="N942" s="169">
        <f>IF(OR(B942="",C942=""),"",IFERROR(IFERROR(INDEX(Vöruskrá!Q:Q,MATCH(B942,Vöruskrá!B:B,0)),0)*C942/100000,""))</f>
        <v>0</v>
      </c>
      <c r="O942" s="170">
        <f>IF(OR(B942="",C942=""),"",IFERROR(C942/1000*IFERROR(INDEX(Vöruskrá!R:R,MATCH(B942,Vöruskrá!B:B,0)),0)/1000,""))</f>
        <v>0</v>
      </c>
      <c r="P942" s="171"/>
      <c r="Q942" s="158"/>
      <c r="R942" s="6"/>
    </row>
    <row r="943" spans="1:18" ht="15">
      <c r="A943" s="173"/>
      <c r="B943" s="173" t="s">
        <v>1465</v>
      </c>
      <c r="C943" s="174">
        <v>2000</v>
      </c>
      <c r="D943" s="168"/>
      <c r="E943" s="168"/>
      <c r="F943" s="168"/>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1020</v>
      </c>
      <c r="C944" s="172">
        <v>1000</v>
      </c>
      <c r="D944" s="168" t="s">
        <v>1020</v>
      </c>
      <c r="E944" s="168" t="s">
        <v>134</v>
      </c>
      <c r="F944" s="168"/>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200"/>
      <c r="R944" s="159"/>
    </row>
    <row r="945" spans="1:18" ht="48">
      <c r="A945" s="147" t="s">
        <v>2034</v>
      </c>
      <c r="B945" s="147"/>
      <c r="C945" s="148"/>
      <c r="D945" s="165" t="s">
        <v>2035</v>
      </c>
      <c r="E945" s="165" t="s">
        <v>120</v>
      </c>
      <c r="F945" s="165"/>
      <c r="G945" s="166">
        <v>113.69</v>
      </c>
      <c r="H945" s="166">
        <v>4.76</v>
      </c>
      <c r="I945" s="166">
        <v>2.89</v>
      </c>
      <c r="J945" s="166">
        <v>14.91</v>
      </c>
      <c r="K945" s="166"/>
      <c r="L945" s="166">
        <v>2.74</v>
      </c>
      <c r="M945" s="166">
        <v>11.75</v>
      </c>
      <c r="N945" s="166">
        <f>IFERROR(SUM(N946:N953)/(SUM($C$946:$C$953)/100000),"")</f>
        <v>0.10600000000000001</v>
      </c>
      <c r="O945" s="167" t="str">
        <f>IF(OR(B945="",C945=""),"",IFERROR(C945/1000*IFERROR(INDEX(Vöruskrá!R:R,MATCH(B945,Vöruskrá!B:B,0)),0)/1000,""))</f>
        <v/>
      </c>
      <c r="P945" s="196" t="s">
        <v>2036</v>
      </c>
      <c r="Q945" s="195" t="s">
        <v>2037</v>
      </c>
      <c r="R945" s="194" t="s">
        <v>2038</v>
      </c>
    </row>
    <row r="946" spans="1:18" ht="15">
      <c r="A946" s="171"/>
      <c r="B946" s="171" t="s">
        <v>743</v>
      </c>
      <c r="C946" s="172">
        <v>55000</v>
      </c>
      <c r="D946" s="168" t="s">
        <v>745</v>
      </c>
      <c r="E946" s="168"/>
      <c r="F946" s="168"/>
      <c r="G946" s="169">
        <f>IF(OR(B946="",C946=""),"",IFERROR(IFERROR(INDEX(Vöruskrá!J:J,MATCH(B946,Vöruskrá!B:B,0)),0)*C946/100000,""))</f>
        <v>15.4</v>
      </c>
      <c r="H946" s="169">
        <f>IF(OR(B946="",C946=""),"",IFERROR(IFERROR(INDEX(Vöruskrá!K:K,MATCH(B946,Vöruskrá!B:B,0)),0)*C946/100000,""))</f>
        <v>5.5E-2</v>
      </c>
      <c r="I946" s="169">
        <f>IF(OR(B946="",C946=""),"",IFERROR(IFERROR(INDEX(Vöruskrá!L:L,MATCH(B946,Vöruskrá!B:B,0)),0)*C946/100000,""))</f>
        <v>0</v>
      </c>
      <c r="J946" s="169">
        <f>IF(OR(B946="",C946=""),"",IFERROR(IFERROR(INDEX(Vöruskrá!M:M,MATCH(B946,Vöruskrá!B:B,0)),0)*C946/100000,""))</f>
        <v>2.75</v>
      </c>
      <c r="K946" s="169">
        <f>IF(OR(B946="",C946=""),"",IFERROR(IFERROR(INDEX(Vöruskrá!N:N,MATCH(B946,Vöruskrá!B:B,0)),0)*C946/100000,""))</f>
        <v>1.87</v>
      </c>
      <c r="L946" s="169">
        <f>IF(OR(B946="",C946=""),"",IFERROR(IFERROR(INDEX(Vöruskrá!O:O,MATCH(B946,Vöruskrá!B:B,0)),0)*C946/100000,""))</f>
        <v>0.82499999999999996</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97"/>
      <c r="R946" s="164"/>
    </row>
    <row r="947" spans="1:18" ht="15">
      <c r="A947" s="173"/>
      <c r="B947" s="173" t="s">
        <v>330</v>
      </c>
      <c r="C947" s="174">
        <v>25000</v>
      </c>
      <c r="D947" s="168" t="s">
        <v>331</v>
      </c>
      <c r="E947" s="168" t="s">
        <v>134</v>
      </c>
      <c r="F947" s="168"/>
      <c r="G947" s="169">
        <f>IF(OR(B947="",C947=""),"",IFERROR(IFERROR(INDEX(Vöruskrá!J:J,MATCH(B947,Vöruskrá!B:B,0)),0)*C947/100000,""))</f>
        <v>50</v>
      </c>
      <c r="H947" s="169">
        <f>IF(OR(B947="",C947=""),"",IFERROR(IFERROR(INDEX(Vöruskrá!K:K,MATCH(B947,Vöruskrá!B:B,0)),0)*C947/100000,""))</f>
        <v>0.5</v>
      </c>
      <c r="I947" s="169">
        <f>IF(OR(B947="",C947=""),"",IFERROR(IFERROR(INDEX(Vöruskrá!L:L,MATCH(B947,Vöruskrá!B:B,0)),0)*C947/100000,""))</f>
        <v>0.25</v>
      </c>
      <c r="J947" s="169">
        <f>IF(OR(B947="",C947=""),"",IFERROR(IFERROR(INDEX(Vöruskrá!M:M,MATCH(B947,Vöruskrá!B:B,0)),0)*C947/100000,""))</f>
        <v>10</v>
      </c>
      <c r="K947" s="169">
        <f>IF(OR(B947="",C947=""),"",IFERROR(IFERROR(INDEX(Vöruskrá!N:N,MATCH(B947,Vöruskrá!B:B,0)),0)*C947/100000,""))</f>
        <v>3</v>
      </c>
      <c r="L947" s="169">
        <f>IF(OR(B947="",C947=""),"",IFERROR(IFERROR(INDEX(Vöruskrá!O:O,MATCH(B947,Vöruskrá!B:B,0)),0)*C947/100000,""))</f>
        <v>1.5</v>
      </c>
      <c r="M947" s="169">
        <f>IF(OR(B947="",C947=""),"",IFERROR(IFERROR(INDEX(Vöruskrá!P:P,MATCH(B947,Vöruskrá!B:B,0)),0)*C947/100000,""))</f>
        <v>11.25</v>
      </c>
      <c r="N947" s="169">
        <f>IF(OR(B947="",C947=""),"",IFERROR(IFERROR(INDEX(Vöruskrá!Q:Q,MATCH(B947,Vöruskrá!B:B,0)),0)*C947/100000,""))</f>
        <v>0</v>
      </c>
      <c r="O947" s="170">
        <f>IF(OR(B947="",C947=""),"",IFERROR(C947/1000*IFERROR(INDEX(Vöruskrá!R:R,MATCH(B947,Vöruskrá!B:B,0)),0)/1000,""))</f>
        <v>0</v>
      </c>
      <c r="P947" s="173"/>
      <c r="Q947" s="157"/>
      <c r="R947" s="27"/>
    </row>
    <row r="948" spans="1:18" ht="15">
      <c r="A948" s="171"/>
      <c r="B948" s="171" t="s">
        <v>1058</v>
      </c>
      <c r="C948" s="172">
        <v>12000</v>
      </c>
      <c r="D948" s="168" t="s">
        <v>1059</v>
      </c>
      <c r="E948" s="168" t="s">
        <v>120</v>
      </c>
      <c r="F948" s="168"/>
      <c r="G948" s="169">
        <f>IF(OR(B948="",C948=""),"",IFERROR(IFERROR(INDEX(Vöruskrá!J:J,MATCH(B948,Vöruskrá!B:B,0)),0)*C948/100000,""))</f>
        <v>40.799999999999997</v>
      </c>
      <c r="H948" s="169">
        <f>IF(OR(B948="",C948=""),"",IFERROR(IFERROR(INDEX(Vöruskrá!K:K,MATCH(B948,Vöruskrá!B:B,0)),0)*C948/100000,""))</f>
        <v>4.2</v>
      </c>
      <c r="I948" s="169">
        <f>IF(OR(B948="",C948=""),"",IFERROR(IFERROR(INDEX(Vöruskrá!L:L,MATCH(B948,Vöruskrá!B:B,0)),0)*C948/100000,""))</f>
        <v>2.64</v>
      </c>
      <c r="J948" s="169">
        <f>IF(OR(B948="",C948=""),"",IFERROR(IFERROR(INDEX(Vöruskrá!M:M,MATCH(B948,Vöruskrá!B:B,0)),0)*C948/100000,""))</f>
        <v>0.36</v>
      </c>
      <c r="K948" s="169">
        <f>IF(OR(B948="",C948=""),"",IFERROR(IFERROR(INDEX(Vöruskrá!N:N,MATCH(B948,Vöruskrá!B:B,0)),0)*C948/100000,""))</f>
        <v>0.36</v>
      </c>
      <c r="L948" s="169">
        <f>IF(OR(B948="",C948=""),"",IFERROR(IFERROR(INDEX(Vöruskrá!O:O,MATCH(B948,Vöruskrá!B:B,0)),0)*C948/100000,""))</f>
        <v>0.3</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8"/>
      <c r="R948" s="6"/>
    </row>
    <row r="949" spans="1:18" ht="15">
      <c r="A949" s="173"/>
      <c r="B949" s="173" t="s">
        <v>1010</v>
      </c>
      <c r="C949" s="174">
        <v>5000</v>
      </c>
      <c r="D949" s="168" t="s">
        <v>1010</v>
      </c>
      <c r="E949" s="168" t="s">
        <v>134</v>
      </c>
      <c r="F949" s="168"/>
      <c r="G949" s="169">
        <f>IF(OR(B949="",C949=""),"",IFERROR(IFERROR(INDEX(Vöruskrá!J:J,MATCH(B949,Vöruskrá!B:B,0)),0)*C949/100000,""))</f>
        <v>2</v>
      </c>
      <c r="H949" s="169">
        <f>IF(OR(B949="",C949=""),"",IFERROR(IFERROR(INDEX(Vöruskrá!K:K,MATCH(B949,Vöruskrá!B:B,0)),0)*C949/100000,""))</f>
        <v>5.0000000000000001E-3</v>
      </c>
      <c r="I949" s="169">
        <f>IF(OR(B949="",C949=""),"",IFERROR(IFERROR(INDEX(Vöruskrá!L:L,MATCH(B949,Vöruskrá!B:B,0)),0)*C949/100000,""))</f>
        <v>0</v>
      </c>
      <c r="J949" s="169">
        <f>IF(OR(B949="",C949=""),"",IFERROR(IFERROR(INDEX(Vöruskrá!M:M,MATCH(B949,Vöruskrá!B:B,0)),0)*C949/100000,""))</f>
        <v>0.46500000000000002</v>
      </c>
      <c r="K949" s="169">
        <f>IF(OR(B949="",C949=""),"",IFERROR(IFERROR(INDEX(Vöruskrá!N:N,MATCH(B949,Vöruskrá!B:B,0)),0)*C949/100000,""))</f>
        <v>0.21</v>
      </c>
      <c r="L949" s="169">
        <f>IF(OR(B949="",C949=""),"",IFERROR(IFERROR(INDEX(Vöruskrá!O:O,MATCH(B949,Vöruskrá!B:B,0)),0)*C949/100000,""))</f>
        <v>5.5E-2</v>
      </c>
      <c r="M949" s="169">
        <f>IF(OR(B949="",C949=""),"",IFERROR(IFERROR(INDEX(Vöruskrá!P:P,MATCH(B949,Vöruskrá!B:B,0)),0)*C949/100000,""))</f>
        <v>0</v>
      </c>
      <c r="N949" s="169">
        <f>IF(OR(B949="",C949=""),"",IFERROR(IFERROR(INDEX(Vöruskrá!Q:Q,MATCH(B949,Vöruskrá!B:B,0)),0)*C949/100000,""))</f>
        <v>8.5000000000000006E-2</v>
      </c>
      <c r="O949" s="170">
        <f>IF(OR(B949="",C949=""),"",IFERROR(C949/1000*IFERROR(INDEX(Vöruskrá!R:R,MATCH(B949,Vöruskrá!B:B,0)),0)/1000,""))</f>
        <v>0</v>
      </c>
      <c r="P949" s="173"/>
      <c r="Q949" s="157"/>
      <c r="R949" s="27"/>
    </row>
    <row r="950" spans="1:18" ht="15">
      <c r="A950" s="171"/>
      <c r="B950" s="171" t="s">
        <v>1017</v>
      </c>
      <c r="C950" s="172">
        <v>1000</v>
      </c>
      <c r="D950" s="168" t="s">
        <v>1017</v>
      </c>
      <c r="E950" s="168" t="s">
        <v>134</v>
      </c>
      <c r="F950" s="168"/>
      <c r="G950" s="169">
        <f>IF(OR(B950="",C950=""),"",IFERROR(IFERROR(INDEX(Vöruskrá!J:J,MATCH(B950,Vöruskrá!B:B,0)),0)*C950/100000,""))</f>
        <v>1.49</v>
      </c>
      <c r="H950" s="169">
        <f>IF(OR(B950="",C950=""),"",IFERROR(IFERROR(INDEX(Vöruskrá!K:K,MATCH(B950,Vöruskrá!B:B,0)),0)*C950/100000,""))</f>
        <v>5.0000000000000001E-3</v>
      </c>
      <c r="I950" s="169">
        <f>IF(OR(B950="",C950=""),"",IFERROR(IFERROR(INDEX(Vöruskrá!L:L,MATCH(B950,Vöruskrá!B:B,0)),0)*C950/100000,""))</f>
        <v>1E-3</v>
      </c>
      <c r="J950" s="169">
        <f>IF(OR(B950="",C950=""),"",IFERROR(IFERROR(INDEX(Vöruskrá!M:M,MATCH(B950,Vöruskrá!B:B,0)),0)*C950/100000,""))</f>
        <v>0.33100000000000002</v>
      </c>
      <c r="K950" s="169">
        <f>IF(OR(B950="",C950=""),"",IFERROR(IFERROR(INDEX(Vöruskrá!N:N,MATCH(B950,Vöruskrá!B:B,0)),0)*C950/100000,""))</f>
        <v>0.01</v>
      </c>
      <c r="L950" s="169">
        <f>IF(OR(B950="",C950=""),"",IFERROR(IFERROR(INDEX(Vöruskrá!O:O,MATCH(B950,Vöruskrá!B:B,0)),0)*C950/100000,""))</f>
        <v>6.4000000000000001E-2</v>
      </c>
      <c r="M950" s="169">
        <f>IF(OR(B950="",C950=""),"",IFERROR(IFERROR(INDEX(Vöruskrá!P:P,MATCH(B950,Vöruskrá!B:B,0)),0)*C950/100000,""))</f>
        <v>0</v>
      </c>
      <c r="N950" s="169">
        <f>IF(OR(B950="",C950=""),"",IFERROR(IFERROR(INDEX(Vöruskrá!Q:Q,MATCH(B950,Vöruskrá!B:B,0)),0)*C950/100000,""))</f>
        <v>2.1000000000000001E-2</v>
      </c>
      <c r="O950" s="170">
        <f>IF(OR(B950="",C950=""),"",IFERROR(C950/1000*IFERROR(INDEX(Vöruskrá!R:R,MATCH(B950,Vöruskrá!B:B,0)),0)/1000,""))</f>
        <v>0</v>
      </c>
      <c r="P950" s="171"/>
      <c r="Q950" s="158"/>
      <c r="R950" s="6"/>
    </row>
    <row r="951" spans="1:18" ht="15">
      <c r="A951" s="173"/>
      <c r="B951" s="173" t="s">
        <v>477</v>
      </c>
      <c r="C951" s="174">
        <v>1000</v>
      </c>
      <c r="D951" s="168" t="s">
        <v>479</v>
      </c>
      <c r="E951" s="168" t="s">
        <v>134</v>
      </c>
      <c r="F951" s="168"/>
      <c r="G951" s="169">
        <f>IF(OR(B951="",C951=""),"",IFERROR(IFERROR(INDEX(Vöruskrá!J:J,MATCH(B951,Vöruskrá!B:B,0)),0)*C951/100000,""))</f>
        <v>4</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1</v>
      </c>
      <c r="K951" s="169">
        <f>IF(OR(B951="",C951=""),"",IFERROR(IFERROR(INDEX(Vöruskrá!N:N,MATCH(B951,Vöruskrá!B:B,0)),0)*C951/100000,""))</f>
        <v>1</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3"/>
      <c r="Q951" s="157"/>
      <c r="R951" s="27"/>
    </row>
    <row r="952" spans="1:18" ht="15">
      <c r="A952" s="171"/>
      <c r="B952" s="171" t="s">
        <v>299</v>
      </c>
      <c r="C952" s="172">
        <v>500</v>
      </c>
      <c r="D952" s="168" t="s">
        <v>302</v>
      </c>
      <c r="E952" s="168" t="s">
        <v>134</v>
      </c>
      <c r="F952" s="168" t="s">
        <v>303</v>
      </c>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0.5</v>
      </c>
      <c r="N952" s="169">
        <f>IF(OR(B952="",C952=""),"",IFERROR(IFERROR(INDEX(Vöruskrá!Q:Q,MATCH(B952,Vöruskrá!B:B,0)),0)*C952/100000,""))</f>
        <v>0</v>
      </c>
      <c r="O952" s="170">
        <f>IF(OR(B952="",C952=""),"",IFERROR(C952/1000*IFERROR(INDEX(Vöruskrá!R:R,MATCH(B952,Vöruskrá!B:B,0)),0)/1000,""))</f>
        <v>0</v>
      </c>
      <c r="P952" s="171"/>
      <c r="Q952" s="158"/>
      <c r="R952" s="6"/>
    </row>
    <row r="953" spans="1:18" ht="15">
      <c r="A953" s="173"/>
      <c r="B953" s="173" t="s">
        <v>1336</v>
      </c>
      <c r="C953" s="174">
        <v>500</v>
      </c>
      <c r="D953" s="168" t="s">
        <v>1337</v>
      </c>
      <c r="E953" s="168" t="s">
        <v>134</v>
      </c>
      <c r="F953" s="168" t="s">
        <v>311</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201"/>
      <c r="R953" s="202"/>
    </row>
    <row r="954" spans="1:18" ht="36">
      <c r="A954" s="147" t="s">
        <v>2039</v>
      </c>
      <c r="B954" s="147"/>
      <c r="C954" s="148"/>
      <c r="D954" s="165" t="s">
        <v>2040</v>
      </c>
      <c r="E954" s="165" t="s">
        <v>1824</v>
      </c>
      <c r="F954" s="165"/>
      <c r="G954" s="166">
        <v>181.07</v>
      </c>
      <c r="H954" s="166">
        <v>10.24</v>
      </c>
      <c r="I954" s="166">
        <v>6.12</v>
      </c>
      <c r="J954" s="166">
        <v>17.61</v>
      </c>
      <c r="K954" s="166"/>
      <c r="L954" s="166">
        <v>5.46</v>
      </c>
      <c r="M954" s="166">
        <v>16.399999999999999</v>
      </c>
      <c r="N954" s="166">
        <f>IFERROR(SUM(N955:N962)/(SUM($C$955:$C$962)/100000),"")</f>
        <v>0.97150000000000003</v>
      </c>
      <c r="O954" s="167" t="str">
        <f>IF(OR(B954="",C954=""),"",IFERROR(C954/1000*IFERROR(INDEX(Vöruskrá!R:R,MATCH(B954,Vöruskrá!B:B,0)),0)/1000,""))</f>
        <v/>
      </c>
      <c r="P954" s="196" t="s">
        <v>2041</v>
      </c>
      <c r="Q954" s="199" t="s">
        <v>2042</v>
      </c>
      <c r="R954" s="198" t="s">
        <v>2043</v>
      </c>
    </row>
    <row r="955" spans="1:18" ht="15">
      <c r="A955" s="171"/>
      <c r="B955" s="171" t="s">
        <v>1106</v>
      </c>
      <c r="C955" s="172">
        <v>35000</v>
      </c>
      <c r="D955" s="168" t="s">
        <v>1106</v>
      </c>
      <c r="E955" s="168" t="s">
        <v>1099</v>
      </c>
      <c r="F955" s="168"/>
      <c r="G955" s="169">
        <f>IF(OR(B955="",C955=""),"",IFERROR(IFERROR(INDEX(Vöruskrá!J:J,MATCH(B955,Vöruskrá!B:B,0)),0)*C955/100000,""))</f>
        <v>11.9</v>
      </c>
      <c r="H955" s="169">
        <f>IF(OR(B955="",C955=""),"",IFERROR(IFERROR(INDEX(Vöruskrá!K:K,MATCH(B955,Vöruskrá!B:B,0)),0)*C955/100000,""))</f>
        <v>0.14000000000000001</v>
      </c>
      <c r="I955" s="169">
        <f>IF(OR(B955="",C955=""),"",IFERROR(IFERROR(INDEX(Vöruskrá!L:L,MATCH(B955,Vöruskrá!B:B,0)),0)*C955/100000,""))</f>
        <v>3.5000000000000003E-2</v>
      </c>
      <c r="J955" s="169">
        <f>IF(OR(B955="",C955=""),"",IFERROR(IFERROR(INDEX(Vöruskrá!M:M,MATCH(B955,Vöruskrá!B:B,0)),0)*C955/100000,""))</f>
        <v>2.4500000000000002</v>
      </c>
      <c r="K955" s="169">
        <f>IF(OR(B955="",C955=""),"",IFERROR(IFERROR(INDEX(Vöruskrá!N:N,MATCH(B955,Vöruskrá!B:B,0)),0)*C955/100000,""))</f>
        <v>0.59499999999999997</v>
      </c>
      <c r="L955" s="169">
        <f>IF(OR(B955="",C955=""),"",IFERROR(IFERROR(INDEX(Vöruskrá!O:O,MATCH(B955,Vöruskrá!B:B,0)),0)*C955/100000,""))</f>
        <v>0.98</v>
      </c>
      <c r="M955" s="169">
        <f>IF(OR(B955="",C955=""),"",IFERROR(IFERROR(INDEX(Vöruskrá!P:P,MATCH(B955,Vöruskrá!B:B,0)),0)*C955/100000,""))</f>
        <v>0</v>
      </c>
      <c r="N955" s="169">
        <f>IF(OR(B955="",C955=""),"",IFERROR(IFERROR(INDEX(Vöruskrá!Q:Q,MATCH(B955,Vöruskrá!B:B,0)),0)*C955/100000,""))</f>
        <v>0.91</v>
      </c>
      <c r="O955" s="170">
        <f>IF(OR(B955="",C955=""),"",IFERROR(C955/1000*IFERROR(INDEX(Vöruskrá!R:R,MATCH(B955,Vöruskrá!B:B,0)),0)/1000,""))</f>
        <v>0</v>
      </c>
      <c r="P955" s="171"/>
      <c r="Q955" s="203"/>
      <c r="R955" s="204"/>
    </row>
    <row r="956" spans="1:18" ht="15">
      <c r="A956" s="173"/>
      <c r="B956" s="173" t="s">
        <v>330</v>
      </c>
      <c r="C956" s="174">
        <v>35000</v>
      </c>
      <c r="D956" s="168" t="s">
        <v>331</v>
      </c>
      <c r="E956" s="168" t="s">
        <v>134</v>
      </c>
      <c r="F956" s="168"/>
      <c r="G956" s="169">
        <f>IF(OR(B956="",C956=""),"",IFERROR(IFERROR(INDEX(Vöruskrá!J:J,MATCH(B956,Vöruskrá!B:B,0)),0)*C956/100000,""))</f>
        <v>70</v>
      </c>
      <c r="H956" s="169">
        <f>IF(OR(B956="",C956=""),"",IFERROR(IFERROR(INDEX(Vöruskrá!K:K,MATCH(B956,Vöruskrá!B:B,0)),0)*C956/100000,""))</f>
        <v>0.7</v>
      </c>
      <c r="I956" s="169">
        <f>IF(OR(B956="",C956=""),"",IFERROR(IFERROR(INDEX(Vöruskrá!L:L,MATCH(B956,Vöruskrá!B:B,0)),0)*C956/100000,""))</f>
        <v>0.35</v>
      </c>
      <c r="J956" s="169">
        <f>IF(OR(B956="",C956=""),"",IFERROR(IFERROR(INDEX(Vöruskrá!M:M,MATCH(B956,Vöruskrá!B:B,0)),0)*C956/100000,""))</f>
        <v>14</v>
      </c>
      <c r="K956" s="169">
        <f>IF(OR(B956="",C956=""),"",IFERROR(IFERROR(INDEX(Vöruskrá!N:N,MATCH(B956,Vöruskrá!B:B,0)),0)*C956/100000,""))</f>
        <v>4.2</v>
      </c>
      <c r="L956" s="169">
        <f>IF(OR(B956="",C956=""),"",IFERROR(IFERROR(INDEX(Vöruskrá!O:O,MATCH(B956,Vöruskrá!B:B,0)),0)*C956/100000,""))</f>
        <v>2.1</v>
      </c>
      <c r="M956" s="169">
        <f>IF(OR(B956="",C956=""),"",IFERROR(IFERROR(INDEX(Vöruskrá!P:P,MATCH(B956,Vöruskrá!B:B,0)),0)*C956/100000,""))</f>
        <v>15.75</v>
      </c>
      <c r="N956" s="169">
        <f>IF(OR(B956="",C956=""),"",IFERROR(IFERROR(INDEX(Vöruskrá!Q:Q,MATCH(B956,Vöruskrá!B:B,0)),0)*C956/100000,""))</f>
        <v>0</v>
      </c>
      <c r="O956" s="170">
        <f>IF(OR(B956="",C956=""),"",IFERROR(C956/1000*IFERROR(INDEX(Vöruskrá!R:R,MATCH(B956,Vöruskrá!B:B,0)),0)/1000,""))</f>
        <v>0</v>
      </c>
      <c r="P956" s="173"/>
      <c r="Q956" s="158"/>
      <c r="R956" s="6"/>
    </row>
    <row r="957" spans="1:18" ht="15">
      <c r="A957" s="171"/>
      <c r="B957" s="171" t="s">
        <v>1058</v>
      </c>
      <c r="C957" s="172">
        <v>15000</v>
      </c>
      <c r="D957" s="168" t="s">
        <v>1059</v>
      </c>
      <c r="E957" s="168" t="s">
        <v>120</v>
      </c>
      <c r="F957" s="168"/>
      <c r="G957" s="169">
        <f>IF(OR(B957="",C957=""),"",IFERROR(IFERROR(INDEX(Vöruskrá!J:J,MATCH(B957,Vöruskrá!B:B,0)),0)*C957/100000,""))</f>
        <v>51</v>
      </c>
      <c r="H957" s="169">
        <f>IF(OR(B957="",C957=""),"",IFERROR(IFERROR(INDEX(Vöruskrá!K:K,MATCH(B957,Vöruskrá!B:B,0)),0)*C957/100000,""))</f>
        <v>5.25</v>
      </c>
      <c r="I957" s="169">
        <f>IF(OR(B957="",C957=""),"",IFERROR(IFERROR(INDEX(Vöruskrá!L:L,MATCH(B957,Vöruskrá!B:B,0)),0)*C957/100000,""))</f>
        <v>3.3</v>
      </c>
      <c r="J957" s="169">
        <f>IF(OR(B957="",C957=""),"",IFERROR(IFERROR(INDEX(Vöruskrá!M:M,MATCH(B957,Vöruskrá!B:B,0)),0)*C957/100000,""))</f>
        <v>0.45</v>
      </c>
      <c r="K957" s="169">
        <f>IF(OR(B957="",C957=""),"",IFERROR(IFERROR(INDEX(Vöruskrá!N:N,MATCH(B957,Vöruskrá!B:B,0)),0)*C957/100000,""))</f>
        <v>0.45</v>
      </c>
      <c r="L957" s="169">
        <f>IF(OR(B957="",C957=""),"",IFERROR(IFERROR(INDEX(Vöruskrá!O:O,MATCH(B957,Vöruskrá!B:B,0)),0)*C957/100000,""))</f>
        <v>0.375</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7"/>
      <c r="R957" s="27"/>
    </row>
    <row r="958" spans="1:18" ht="15">
      <c r="A958" s="173"/>
      <c r="B958" s="173" t="s">
        <v>895</v>
      </c>
      <c r="C958" s="174">
        <v>8000</v>
      </c>
      <c r="D958" s="168" t="s">
        <v>897</v>
      </c>
      <c r="E958" s="168" t="s">
        <v>120</v>
      </c>
      <c r="F958" s="168"/>
      <c r="G958" s="169">
        <f>IF(OR(B958="",C958=""),"",IFERROR(IFERROR(INDEX(Vöruskrá!J:J,MATCH(B958,Vöruskrá!B:B,0)),0)*C958/100000,""))</f>
        <v>24.08</v>
      </c>
      <c r="H958" s="169">
        <f>IF(OR(B958="",C958=""),"",IFERROR(IFERROR(INDEX(Vöruskrá!K:K,MATCH(B958,Vöruskrá!B:B,0)),0)*C958/100000,""))</f>
        <v>1.68</v>
      </c>
      <c r="I958" s="169">
        <f>IF(OR(B958="",C958=""),"",IFERROR(IFERROR(INDEX(Vöruskrá!L:L,MATCH(B958,Vöruskrá!B:B,0)),0)*C958/100000,""))</f>
        <v>0.96</v>
      </c>
      <c r="J958" s="169">
        <f>IF(OR(B958="",C958=""),"",IFERROR(IFERROR(INDEX(Vöruskrá!M:M,MATCH(B958,Vöruskrá!B:B,0)),0)*C958/100000,""))</f>
        <v>0.25600000000000001</v>
      </c>
      <c r="K958" s="169">
        <f>IF(OR(B958="",C958=""),"",IFERROR(IFERROR(INDEX(Vöruskrá!N:N,MATCH(B958,Vöruskrá!B:B,0)),0)*C958/100000,""))</f>
        <v>0.08</v>
      </c>
      <c r="L958" s="169">
        <f>IF(OR(B958="",C958=""),"",IFERROR(IFERROR(INDEX(Vöruskrá!O:O,MATCH(B958,Vöruskrá!B:B,0)),0)*C958/100000,""))</f>
        <v>1.92</v>
      </c>
      <c r="M958" s="169">
        <f>IF(OR(B958="",C958=""),"",IFERROR(IFERROR(INDEX(Vöruskrá!P:P,MATCH(B958,Vöruskrá!B:B,0)),0)*C958/100000,""))</f>
        <v>0.112</v>
      </c>
      <c r="N958" s="169">
        <f>IF(OR(B958="",C958=""),"",IFERROR(IFERROR(INDEX(Vöruskrá!Q:Q,MATCH(B958,Vöruskrá!B:B,0)),0)*C958/100000,""))</f>
        <v>0</v>
      </c>
      <c r="O958" s="170">
        <f>IF(OR(B958="",C958=""),"",IFERROR(C958/1000*IFERROR(INDEX(Vöruskrá!R:R,MATCH(B958,Vöruskrá!B:B,0)),0)/1000,""))</f>
        <v>0</v>
      </c>
      <c r="P958" s="173"/>
      <c r="Q958" s="158"/>
      <c r="R958" s="6"/>
    </row>
    <row r="959" spans="1:18" ht="15">
      <c r="A959" s="171"/>
      <c r="B959" s="171" t="s">
        <v>445</v>
      </c>
      <c r="C959" s="172">
        <v>3000</v>
      </c>
      <c r="D959" s="168" t="s">
        <v>448</v>
      </c>
      <c r="E959" s="168" t="s">
        <v>120</v>
      </c>
      <c r="F959" s="168"/>
      <c r="G959" s="169">
        <f>IF(OR(B959="",C959=""),"",IFERROR(IFERROR(INDEX(Vöruskrá!J:J,MATCH(B959,Vöruskrá!B:B,0)),0)*C959/100000,""))</f>
        <v>22.14</v>
      </c>
      <c r="H959" s="169">
        <f>IF(OR(B959="",C959=""),"",IFERROR(IFERROR(INDEX(Vöruskrá!K:K,MATCH(B959,Vöruskrá!B:B,0)),0)*C959/100000,""))</f>
        <v>2.46</v>
      </c>
      <c r="I959" s="169">
        <f>IF(OR(B959="",C959=""),"",IFERROR(IFERROR(INDEX(Vöruskrá!L:L,MATCH(B959,Vöruskrá!B:B,0)),0)*C959/100000,""))</f>
        <v>1.47</v>
      </c>
      <c r="J959" s="169">
        <f>IF(OR(B959="",C959=""),"",IFERROR(IFERROR(INDEX(Vöruskrá!M:M,MATCH(B959,Vöruskrá!B:B,0)),0)*C959/100000,""))</f>
        <v>1.2E-2</v>
      </c>
      <c r="K959" s="169">
        <f>IF(OR(B959="",C959=""),"",IFERROR(IFERROR(INDEX(Vöruskrá!N:N,MATCH(B959,Vöruskrá!B:B,0)),0)*C959/100000,""))</f>
        <v>1.2E-2</v>
      </c>
      <c r="L959" s="169">
        <f>IF(OR(B959="",C959=""),"",IFERROR(IFERROR(INDEX(Vöruskrá!O:O,MATCH(B959,Vöruskrá!B:B,0)),0)*C959/100000,""))</f>
        <v>1.7999999999999999E-2</v>
      </c>
      <c r="M959" s="169">
        <f>IF(OR(B959="",C959=""),"",IFERROR(IFERROR(INDEX(Vöruskrá!P:P,MATCH(B959,Vöruskrá!B:B,0)),0)*C959/100000,""))</f>
        <v>3.5999999999999997E-2</v>
      </c>
      <c r="N959" s="169">
        <f>IF(OR(B959="",C959=""),"",IFERROR(IFERROR(INDEX(Vöruskrá!Q:Q,MATCH(B959,Vöruskrá!B:B,0)),0)*C959/100000,""))</f>
        <v>0</v>
      </c>
      <c r="O959" s="170">
        <f>IF(OR(B959="",C959=""),"",IFERROR(C959/1000*IFERROR(INDEX(Vöruskrá!R:R,MATCH(B959,Vöruskrá!B:B,0)),0)/1000,""))</f>
        <v>0</v>
      </c>
      <c r="P959" s="171"/>
      <c r="Q959" s="157"/>
      <c r="R959" s="27"/>
    </row>
    <row r="960" spans="1:18" ht="15">
      <c r="A960" s="173"/>
      <c r="B960" s="173" t="s">
        <v>1010</v>
      </c>
      <c r="C960" s="174">
        <v>3000</v>
      </c>
      <c r="D960" s="168" t="s">
        <v>1010</v>
      </c>
      <c r="E960" s="168" t="s">
        <v>134</v>
      </c>
      <c r="F960" s="168"/>
      <c r="G960" s="169">
        <f>IF(OR(B960="",C960=""),"",IFERROR(IFERROR(INDEX(Vöruskrá!J:J,MATCH(B960,Vöruskrá!B:B,0)),0)*C960/100000,""))</f>
        <v>1.2</v>
      </c>
      <c r="H960" s="169">
        <f>IF(OR(B960="",C960=""),"",IFERROR(IFERROR(INDEX(Vöruskrá!K:K,MATCH(B960,Vöruskrá!B:B,0)),0)*C960/100000,""))</f>
        <v>3.0000000000000001E-3</v>
      </c>
      <c r="I960" s="169">
        <f>IF(OR(B960="",C960=""),"",IFERROR(IFERROR(INDEX(Vöruskrá!L:L,MATCH(B960,Vöruskrá!B:B,0)),0)*C960/100000,""))</f>
        <v>0</v>
      </c>
      <c r="J960" s="169">
        <f>IF(OR(B960="",C960=""),"",IFERROR(IFERROR(INDEX(Vöruskrá!M:M,MATCH(B960,Vöruskrá!B:B,0)),0)*C960/100000,""))</f>
        <v>0.27900000000000003</v>
      </c>
      <c r="K960" s="169">
        <f>IF(OR(B960="",C960=""),"",IFERROR(IFERROR(INDEX(Vöruskrá!N:N,MATCH(B960,Vöruskrá!B:B,0)),0)*C960/100000,""))</f>
        <v>0.126</v>
      </c>
      <c r="L960" s="169">
        <f>IF(OR(B960="",C960=""),"",IFERROR(IFERROR(INDEX(Vöruskrá!O:O,MATCH(B960,Vöruskrá!B:B,0)),0)*C960/100000,""))</f>
        <v>3.3000000000000002E-2</v>
      </c>
      <c r="M960" s="169">
        <f>IF(OR(B960="",C960=""),"",IFERROR(IFERROR(INDEX(Vöruskrá!P:P,MATCH(B960,Vöruskrá!B:B,0)),0)*C960/100000,""))</f>
        <v>0</v>
      </c>
      <c r="N960" s="169">
        <f>IF(OR(B960="",C960=""),"",IFERROR(IFERROR(INDEX(Vöruskrá!Q:Q,MATCH(B960,Vöruskrá!B:B,0)),0)*C960/100000,""))</f>
        <v>5.0999999999999997E-2</v>
      </c>
      <c r="O960" s="170">
        <f>IF(OR(B960="",C960=""),"",IFERROR(C960/1000*IFERROR(INDEX(Vöruskrá!R:R,MATCH(B960,Vöruskrá!B:B,0)),0)/1000,""))</f>
        <v>0</v>
      </c>
      <c r="P960" s="173"/>
      <c r="Q960" s="158"/>
      <c r="R960" s="6"/>
    </row>
    <row r="961" spans="1:18" ht="15">
      <c r="A961" s="171"/>
      <c r="B961" s="171" t="s">
        <v>1017</v>
      </c>
      <c r="C961" s="172">
        <v>500</v>
      </c>
      <c r="D961" s="168" t="s">
        <v>1017</v>
      </c>
      <c r="E961" s="168" t="s">
        <v>134</v>
      </c>
      <c r="F961" s="168"/>
      <c r="G961" s="169">
        <f>IF(OR(B961="",C961=""),"",IFERROR(IFERROR(INDEX(Vöruskrá!J:J,MATCH(B961,Vöruskrá!B:B,0)),0)*C961/100000,""))</f>
        <v>0.745</v>
      </c>
      <c r="H961" s="169">
        <f>IF(OR(B961="",C961=""),"",IFERROR(IFERROR(INDEX(Vöruskrá!K:K,MATCH(B961,Vöruskrá!B:B,0)),0)*C961/100000,""))</f>
        <v>2.5000000000000001E-3</v>
      </c>
      <c r="I961" s="169">
        <f>IF(OR(B961="",C961=""),"",IFERROR(IFERROR(INDEX(Vöruskrá!L:L,MATCH(B961,Vöruskrá!B:B,0)),0)*C961/100000,""))</f>
        <v>5.0000000000000001E-4</v>
      </c>
      <c r="J961" s="169">
        <f>IF(OR(B961="",C961=""),"",IFERROR(IFERROR(INDEX(Vöruskrá!M:M,MATCH(B961,Vöruskrá!B:B,0)),0)*C961/100000,""))</f>
        <v>0.16550000000000001</v>
      </c>
      <c r="K961" s="169">
        <f>IF(OR(B961="",C961=""),"",IFERROR(IFERROR(INDEX(Vöruskrá!N:N,MATCH(B961,Vöruskrá!B:B,0)),0)*C961/100000,""))</f>
        <v>5.0000000000000001E-3</v>
      </c>
      <c r="L961" s="169">
        <f>IF(OR(B961="",C961=""),"",IFERROR(IFERROR(INDEX(Vöruskrá!O:O,MATCH(B961,Vöruskrá!B:B,0)),0)*C961/100000,""))</f>
        <v>3.2000000000000001E-2</v>
      </c>
      <c r="M961" s="169">
        <f>IF(OR(B961="",C961=""),"",IFERROR(IFERROR(INDEX(Vöruskrá!P:P,MATCH(B961,Vöruskrá!B:B,0)),0)*C961/100000,""))</f>
        <v>0</v>
      </c>
      <c r="N961" s="169">
        <f>IF(OR(B961="",C961=""),"",IFERROR(IFERROR(INDEX(Vöruskrá!Q:Q,MATCH(B961,Vöruskrá!B:B,0)),0)*C961/100000,""))</f>
        <v>1.0500000000000001E-2</v>
      </c>
      <c r="O961" s="170">
        <f>IF(OR(B961="",C961=""),"",IFERROR(C961/1000*IFERROR(INDEX(Vöruskrá!R:R,MATCH(B961,Vöruskrá!B:B,0)),0)/1000,""))</f>
        <v>0</v>
      </c>
      <c r="P961" s="171"/>
      <c r="Q961" s="157"/>
      <c r="R961" s="27"/>
    </row>
    <row r="962" spans="1:18" ht="15">
      <c r="A962" s="173"/>
      <c r="B962" s="173" t="s">
        <v>299</v>
      </c>
      <c r="C962" s="174">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3"/>
      <c r="Q962" s="200"/>
      <c r="R962" s="159"/>
    </row>
    <row r="963" spans="1:18" ht="48">
      <c r="A963" s="147" t="s">
        <v>2044</v>
      </c>
      <c r="B963" s="147"/>
      <c r="C963" s="148"/>
      <c r="D963" s="165" t="s">
        <v>2045</v>
      </c>
      <c r="E963" s="165" t="s">
        <v>134</v>
      </c>
      <c r="F963" s="165"/>
      <c r="G963" s="166">
        <v>98.18</v>
      </c>
      <c r="H963" s="166">
        <v>2.66</v>
      </c>
      <c r="I963" s="166">
        <v>0.44</v>
      </c>
      <c r="J963" s="166">
        <v>17.170000000000002</v>
      </c>
      <c r="K963" s="166"/>
      <c r="L963" s="166">
        <v>2.68</v>
      </c>
      <c r="M963" s="166">
        <v>13.93</v>
      </c>
      <c r="N963" s="166">
        <f>IFERROR(SUM(N964:N974)/(SUM($C$964:$C$974)/100000),"")</f>
        <v>9.5024875621890562E-2</v>
      </c>
      <c r="O963" s="167" t="str">
        <f>IF(OR(B963="",C963=""),"",IFERROR(C963/1000*IFERROR(INDEX(Vöruskrá!R:R,MATCH(B963,Vöruskrá!B:B,0)),0)/1000,""))</f>
        <v/>
      </c>
      <c r="P963" s="196" t="s">
        <v>2046</v>
      </c>
      <c r="Q963" s="195" t="s">
        <v>2047</v>
      </c>
      <c r="R963" s="194" t="s">
        <v>2048</v>
      </c>
    </row>
    <row r="964" spans="1:18" ht="15">
      <c r="A964" s="171"/>
      <c r="B964" s="171" t="s">
        <v>743</v>
      </c>
      <c r="C964" s="172">
        <v>50000</v>
      </c>
      <c r="D964" s="168" t="s">
        <v>745</v>
      </c>
      <c r="E964" s="168"/>
      <c r="F964" s="168"/>
      <c r="G964" s="169">
        <f>IF(OR(B964="",C964=""),"",IFERROR(IFERROR(INDEX(Vöruskrá!J:J,MATCH(B964,Vöruskrá!B:B,0)),0)*C964/100000,""))</f>
        <v>14</v>
      </c>
      <c r="H964" s="169">
        <f>IF(OR(B964="",C964=""),"",IFERROR(IFERROR(INDEX(Vöruskrá!K:K,MATCH(B964,Vöruskrá!B:B,0)),0)*C964/100000,""))</f>
        <v>0.05</v>
      </c>
      <c r="I964" s="169">
        <f>IF(OR(B964="",C964=""),"",IFERROR(IFERROR(INDEX(Vöruskrá!L:L,MATCH(B964,Vöruskrá!B:B,0)),0)*C964/100000,""))</f>
        <v>0</v>
      </c>
      <c r="J964" s="169">
        <f>IF(OR(B964="",C964=""),"",IFERROR(IFERROR(INDEX(Vöruskrá!M:M,MATCH(B964,Vöruskrá!B:B,0)),0)*C964/100000,""))</f>
        <v>2.5</v>
      </c>
      <c r="K964" s="169">
        <f>IF(OR(B964="",C964=""),"",IFERROR(IFERROR(INDEX(Vöruskrá!N:N,MATCH(B964,Vöruskrá!B:B,0)),0)*C964/100000,""))</f>
        <v>1.7</v>
      </c>
      <c r="L964" s="169">
        <f>IF(OR(B964="",C964=""),"",IFERROR(IFERROR(INDEX(Vöruskrá!O:O,MATCH(B964,Vöruskrá!B:B,0)),0)*C964/100000,""))</f>
        <v>0.75</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97"/>
      <c r="R964" s="164"/>
    </row>
    <row r="965" spans="1:18" ht="15">
      <c r="A965" s="173"/>
      <c r="B965" s="173" t="s">
        <v>330</v>
      </c>
      <c r="C965" s="174">
        <v>30000</v>
      </c>
      <c r="D965" s="168" t="s">
        <v>331</v>
      </c>
      <c r="E965" s="168" t="s">
        <v>134</v>
      </c>
      <c r="F965" s="168"/>
      <c r="G965" s="169">
        <f>IF(OR(B965="",C965=""),"",IFERROR(IFERROR(INDEX(Vöruskrá!J:J,MATCH(B965,Vöruskrá!B:B,0)),0)*C965/100000,""))</f>
        <v>60</v>
      </c>
      <c r="H965" s="169">
        <f>IF(OR(B965="",C965=""),"",IFERROR(IFERROR(INDEX(Vöruskrá!K:K,MATCH(B965,Vöruskrá!B:B,0)),0)*C965/100000,""))</f>
        <v>0.6</v>
      </c>
      <c r="I965" s="169">
        <f>IF(OR(B965="",C965=""),"",IFERROR(IFERROR(INDEX(Vöruskrá!L:L,MATCH(B965,Vöruskrá!B:B,0)),0)*C965/100000,""))</f>
        <v>0.3</v>
      </c>
      <c r="J965" s="169">
        <f>IF(OR(B965="",C965=""),"",IFERROR(IFERROR(INDEX(Vöruskrá!M:M,MATCH(B965,Vöruskrá!B:B,0)),0)*C965/100000,""))</f>
        <v>12</v>
      </c>
      <c r="K965" s="169">
        <f>IF(OR(B965="",C965=""),"",IFERROR(IFERROR(INDEX(Vöruskrá!N:N,MATCH(B965,Vöruskrá!B:B,0)),0)*C965/100000,""))</f>
        <v>3.6</v>
      </c>
      <c r="L965" s="169">
        <f>IF(OR(B965="",C965=""),"",IFERROR(IFERROR(INDEX(Vöruskrá!O:O,MATCH(B965,Vöruskrá!B:B,0)),0)*C965/100000,""))</f>
        <v>1.8</v>
      </c>
      <c r="M965" s="169">
        <f>IF(OR(B965="",C965=""),"",IFERROR(IFERROR(INDEX(Vöruskrá!P:P,MATCH(B965,Vöruskrá!B:B,0)),0)*C965/100000,""))</f>
        <v>13.5</v>
      </c>
      <c r="N965" s="169">
        <f>IF(OR(B965="",C965=""),"",IFERROR(IFERROR(INDEX(Vöruskrá!Q:Q,MATCH(B965,Vöruskrá!B:B,0)),0)*C965/100000,""))</f>
        <v>0</v>
      </c>
      <c r="O965" s="170">
        <f>IF(OR(B965="",C965=""),"",IFERROR(C965/1000*IFERROR(INDEX(Vöruskrá!R:R,MATCH(B965,Vöruskrá!B:B,0)),0)/1000,""))</f>
        <v>0</v>
      </c>
      <c r="P965" s="173"/>
      <c r="Q965" s="157"/>
      <c r="R965" s="27"/>
    </row>
    <row r="966" spans="1:18">
      <c r="A966" s="171"/>
      <c r="B966" s="171" t="s">
        <v>1894</v>
      </c>
      <c r="C966" s="172">
        <v>10000</v>
      </c>
      <c r="D966" s="168"/>
      <c r="E966" s="168"/>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158"/>
      <c r="R966" s="6"/>
    </row>
    <row r="967" spans="1:18" ht="15">
      <c r="A967" s="173"/>
      <c r="B967" s="173" t="s">
        <v>1010</v>
      </c>
      <c r="C967" s="174">
        <v>5000</v>
      </c>
      <c r="D967" s="168" t="s">
        <v>1010</v>
      </c>
      <c r="E967" s="168" t="s">
        <v>134</v>
      </c>
      <c r="F967" s="168"/>
      <c r="G967" s="169">
        <f>IF(OR(B967="",C967=""),"",IFERROR(IFERROR(INDEX(Vöruskrá!J:J,MATCH(B967,Vöruskrá!B:B,0)),0)*C967/100000,""))</f>
        <v>2</v>
      </c>
      <c r="H967" s="169">
        <f>IF(OR(B967="",C967=""),"",IFERROR(IFERROR(INDEX(Vöruskrá!K:K,MATCH(B967,Vöruskrá!B:B,0)),0)*C967/100000,""))</f>
        <v>5.0000000000000001E-3</v>
      </c>
      <c r="I967" s="169">
        <f>IF(OR(B967="",C967=""),"",IFERROR(IFERROR(INDEX(Vöruskrá!L:L,MATCH(B967,Vöruskrá!B:B,0)),0)*C967/100000,""))</f>
        <v>0</v>
      </c>
      <c r="J967" s="169">
        <f>IF(OR(B967="",C967=""),"",IFERROR(IFERROR(INDEX(Vöruskrá!M:M,MATCH(B967,Vöruskrá!B:B,0)),0)*C967/100000,""))</f>
        <v>0.46500000000000002</v>
      </c>
      <c r="K967" s="169">
        <f>IF(OR(B967="",C967=""),"",IFERROR(IFERROR(INDEX(Vöruskrá!N:N,MATCH(B967,Vöruskrá!B:B,0)),0)*C967/100000,""))</f>
        <v>0.21</v>
      </c>
      <c r="L967" s="169">
        <f>IF(OR(B967="",C967=""),"",IFERROR(IFERROR(INDEX(Vöruskrá!O:O,MATCH(B967,Vöruskrá!B:B,0)),0)*C967/100000,""))</f>
        <v>5.5E-2</v>
      </c>
      <c r="M967" s="169">
        <f>IF(OR(B967="",C967=""),"",IFERROR(IFERROR(INDEX(Vöruskrá!P:P,MATCH(B967,Vöruskrá!B:B,0)),0)*C967/100000,""))</f>
        <v>0</v>
      </c>
      <c r="N967" s="169">
        <f>IF(OR(B967="",C967=""),"",IFERROR(IFERROR(INDEX(Vöruskrá!Q:Q,MATCH(B967,Vöruskrá!B:B,0)),0)*C967/100000,""))</f>
        <v>8.5000000000000006E-2</v>
      </c>
      <c r="O967" s="170">
        <f>IF(OR(B967="",C967=""),"",IFERROR(C967/1000*IFERROR(INDEX(Vöruskrá!R:R,MATCH(B967,Vöruskrá!B:B,0)),0)/1000,""))</f>
        <v>0</v>
      </c>
      <c r="P967" s="173"/>
      <c r="Q967" s="157"/>
      <c r="R967" s="27"/>
    </row>
    <row r="968" spans="1:18" ht="15">
      <c r="A968" s="171"/>
      <c r="B968" s="171" t="s">
        <v>1017</v>
      </c>
      <c r="C968" s="172">
        <v>500</v>
      </c>
      <c r="D968" s="168" t="s">
        <v>1017</v>
      </c>
      <c r="E968" s="168" t="s">
        <v>134</v>
      </c>
      <c r="F968" s="168"/>
      <c r="G968" s="169">
        <f>IF(OR(B968="",C968=""),"",IFERROR(IFERROR(INDEX(Vöruskrá!J:J,MATCH(B968,Vöruskrá!B:B,0)),0)*C968/100000,""))</f>
        <v>0.745</v>
      </c>
      <c r="H968" s="169">
        <f>IF(OR(B968="",C968=""),"",IFERROR(IFERROR(INDEX(Vöruskrá!K:K,MATCH(B968,Vöruskrá!B:B,0)),0)*C968/100000,""))</f>
        <v>2.5000000000000001E-3</v>
      </c>
      <c r="I968" s="169">
        <f>IF(OR(B968="",C968=""),"",IFERROR(IFERROR(INDEX(Vöruskrá!L:L,MATCH(B968,Vöruskrá!B:B,0)),0)*C968/100000,""))</f>
        <v>5.0000000000000001E-4</v>
      </c>
      <c r="J968" s="169">
        <f>IF(OR(B968="",C968=""),"",IFERROR(IFERROR(INDEX(Vöruskrá!M:M,MATCH(B968,Vöruskrá!B:B,0)),0)*C968/100000,""))</f>
        <v>0.16550000000000001</v>
      </c>
      <c r="K968" s="169">
        <f>IF(OR(B968="",C968=""),"",IFERROR(IFERROR(INDEX(Vöruskrá!N:N,MATCH(B968,Vöruskrá!B:B,0)),0)*C968/100000,""))</f>
        <v>5.0000000000000001E-3</v>
      </c>
      <c r="L968" s="169">
        <f>IF(OR(B968="",C968=""),"",IFERROR(IFERROR(INDEX(Vöruskrá!O:O,MATCH(B968,Vöruskrá!B:B,0)),0)*C968/100000,""))</f>
        <v>3.2000000000000001E-2</v>
      </c>
      <c r="M968" s="169">
        <f>IF(OR(B968="",C968=""),"",IFERROR(IFERROR(INDEX(Vöruskrá!P:P,MATCH(B968,Vöruskrá!B:B,0)),0)*C968/100000,""))</f>
        <v>0</v>
      </c>
      <c r="N968" s="169">
        <f>IF(OR(B968="",C968=""),"",IFERROR(IFERROR(INDEX(Vöruskrá!Q:Q,MATCH(B968,Vöruskrá!B:B,0)),0)*C968/100000,""))</f>
        <v>1.0500000000000001E-2</v>
      </c>
      <c r="O968" s="170">
        <f>IF(OR(B968="",C968=""),"",IFERROR(C968/1000*IFERROR(INDEX(Vöruskrá!R:R,MATCH(B968,Vöruskrá!B:B,0)),0)/1000,""))</f>
        <v>0</v>
      </c>
      <c r="P968" s="171"/>
      <c r="Q968" s="158"/>
      <c r="R968" s="6"/>
    </row>
    <row r="969" spans="1:18" ht="15">
      <c r="A969" s="173"/>
      <c r="B969" s="173" t="s">
        <v>477</v>
      </c>
      <c r="C969" s="174">
        <v>500</v>
      </c>
      <c r="D969" s="168" t="s">
        <v>479</v>
      </c>
      <c r="E969" s="168" t="s">
        <v>134</v>
      </c>
      <c r="F969" s="168"/>
      <c r="G969" s="169">
        <f>IF(OR(B969="",C969=""),"",IFERROR(IFERROR(INDEX(Vöruskrá!J:J,MATCH(B969,Vöruskrá!B:B,0)),0)*C969/100000,""))</f>
        <v>2</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0.5</v>
      </c>
      <c r="K969" s="169">
        <f>IF(OR(B969="",C969=""),"",IFERROR(IFERROR(INDEX(Vöruskrá!N:N,MATCH(B969,Vöruskrá!B:B,0)),0)*C969/100000,""))</f>
        <v>0.5</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299</v>
      </c>
      <c r="C970" s="172">
        <v>500</v>
      </c>
      <c r="D970" s="168" t="s">
        <v>302</v>
      </c>
      <c r="E970" s="168" t="s">
        <v>134</v>
      </c>
      <c r="F970" s="168" t="s">
        <v>303</v>
      </c>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0.5</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1336</v>
      </c>
      <c r="C971" s="174">
        <v>500</v>
      </c>
      <c r="D971" s="168" t="s">
        <v>1337</v>
      </c>
      <c r="E971" s="168" t="s">
        <v>134</v>
      </c>
      <c r="F971" s="168" t="s">
        <v>311</v>
      </c>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1270</v>
      </c>
      <c r="C972" s="172">
        <v>2000</v>
      </c>
      <c r="D972" s="168" t="s">
        <v>1270</v>
      </c>
      <c r="E972" s="168" t="s">
        <v>134</v>
      </c>
      <c r="F972" s="168"/>
      <c r="G972" s="169">
        <f>IF(OR(B972="",C972=""),"",IFERROR(IFERROR(INDEX(Vöruskrá!J:J,MATCH(B972,Vöruskrá!B:B,0)),0)*C972/100000,""))</f>
        <v>18</v>
      </c>
      <c r="H972" s="169">
        <f>IF(OR(B972="",C972=""),"",IFERROR(IFERROR(INDEX(Vöruskrá!K:K,MATCH(B972,Vöruskrá!B:B,0)),0)*C972/100000,""))</f>
        <v>2</v>
      </c>
      <c r="I972" s="169">
        <f>IF(OR(B972="",C972=""),"",IFERROR(IFERROR(INDEX(Vöruskrá!L:L,MATCH(B972,Vöruskrá!B:B,0)),0)*C972/100000,""))</f>
        <v>0.14000000000000001</v>
      </c>
      <c r="J972" s="169">
        <f>IF(OR(B972="",C972=""),"",IFERROR(IFERROR(INDEX(Vöruskrá!M:M,MATCH(B972,Vöruskrá!B:B,0)),0)*C972/100000,""))</f>
        <v>1.3</v>
      </c>
      <c r="K972" s="169">
        <f>IF(OR(B972="",C972=""),"",IFERROR(IFERROR(INDEX(Vöruskrá!N:N,MATCH(B972,Vöruskrá!B:B,0)),0)*C972/100000,""))</f>
        <v>0.55000000000000004</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819</v>
      </c>
      <c r="C973" s="174">
        <v>500</v>
      </c>
      <c r="D973" s="168" t="s">
        <v>820</v>
      </c>
      <c r="E973" s="168"/>
      <c r="F973" s="168" t="s">
        <v>311</v>
      </c>
      <c r="G973" s="169">
        <f>IF(OR(B973="",C973=""),"",IFERROR(IFERROR(INDEX(Vöruskrá!J:J,MATCH(B973,Vöruskrá!B:B,0)),0)*C973/100000,""))</f>
        <v>1.93</v>
      </c>
      <c r="H973" s="169">
        <f>IF(OR(B973="",C973=""),"",IFERROR(IFERROR(INDEX(Vöruskrá!K:K,MATCH(B973,Vöruskrá!B:B,0)),0)*C973/100000,""))</f>
        <v>1.6500000000000001E-2</v>
      </c>
      <c r="I973" s="169">
        <f>IF(OR(B973="",C973=""),"",IFERROR(IFERROR(INDEX(Vöruskrá!L:L,MATCH(B973,Vöruskrá!B:B,0)),0)*C973/100000,""))</f>
        <v>5.0000000000000001E-3</v>
      </c>
      <c r="J973" s="169">
        <f>IF(OR(B973="",C973=""),"",IFERROR(IFERROR(INDEX(Vöruskrá!M:M,MATCH(B973,Vöruskrá!B:B,0)),0)*C973/100000,""))</f>
        <v>0.32500000000000001</v>
      </c>
      <c r="K973" s="169">
        <f>IF(OR(B973="",C973=""),"",IFERROR(IFERROR(INDEX(Vöruskrá!N:N,MATCH(B973,Vöruskrá!B:B,0)),0)*C973/100000,""))</f>
        <v>3.0000000000000001E-3</v>
      </c>
      <c r="L973" s="169">
        <f>IF(OR(B973="",C973=""),"",IFERROR(IFERROR(INDEX(Vöruskrá!O:O,MATCH(B973,Vöruskrá!B:B,0)),0)*C973/100000,""))</f>
        <v>5.5E-2</v>
      </c>
      <c r="M973" s="169">
        <f>IF(OR(B973="",C973=""),"",IFERROR(IFERROR(INDEX(Vöruskrá!P:P,MATCH(B973,Vöruskrá!B:B,0)),0)*C973/100000,""))</f>
        <v>5.0000000000000001E-4</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1020</v>
      </c>
      <c r="C974" s="172">
        <v>1000</v>
      </c>
      <c r="D974" s="168" t="s">
        <v>1020</v>
      </c>
      <c r="E974" s="168" t="s">
        <v>134</v>
      </c>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200"/>
      <c r="R974" s="159"/>
    </row>
    <row r="975" spans="1:18" ht="60">
      <c r="A975" s="147" t="s">
        <v>2049</v>
      </c>
      <c r="B975" s="147"/>
      <c r="C975" s="148"/>
      <c r="D975" s="165" t="s">
        <v>2050</v>
      </c>
      <c r="E975" s="165" t="s">
        <v>120</v>
      </c>
      <c r="F975" s="165"/>
      <c r="G975" s="166">
        <v>55.58</v>
      </c>
      <c r="H975" s="166">
        <v>3.16</v>
      </c>
      <c r="I975" s="166">
        <v>1.87</v>
      </c>
      <c r="J975" s="166">
        <v>4.82</v>
      </c>
      <c r="K975" s="166"/>
      <c r="L975" s="166">
        <v>1.99</v>
      </c>
      <c r="M975" s="166">
        <v>0.56999999999999995</v>
      </c>
      <c r="N975" s="166">
        <f>IFERROR(SUM(N976:N981)/(SUM($C$976:$C$981)/100000),"")</f>
        <v>0</v>
      </c>
      <c r="O975" s="167" t="str">
        <f>IF(OR(B975="",C975=""),"",IFERROR(C975/1000*IFERROR(INDEX(Vöruskrá!R:R,MATCH(B975,Vöruskrá!B:B,0)),0)/1000,""))</f>
        <v/>
      </c>
      <c r="P975" s="196" t="s">
        <v>2051</v>
      </c>
      <c r="Q975" s="199" t="s">
        <v>2052</v>
      </c>
      <c r="R975" s="198" t="s">
        <v>2053</v>
      </c>
    </row>
    <row r="976" spans="1:18" ht="15">
      <c r="A976" s="171"/>
      <c r="B976" s="171" t="s">
        <v>1507</v>
      </c>
      <c r="C976" s="172">
        <v>25000</v>
      </c>
      <c r="D976" s="168"/>
      <c r="E976" s="168"/>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97"/>
      <c r="R976" s="164"/>
    </row>
    <row r="977" spans="1:18" ht="15">
      <c r="A977" s="173"/>
      <c r="B977" s="173" t="s">
        <v>849</v>
      </c>
      <c r="C977" s="174">
        <v>60000</v>
      </c>
      <c r="D977" s="168" t="s">
        <v>850</v>
      </c>
      <c r="E977" s="168" t="s">
        <v>120</v>
      </c>
      <c r="F977" s="168"/>
      <c r="G977" s="169">
        <f>IF(OR(B977="",C977=""),"",IFERROR(IFERROR(INDEX(Vöruskrá!J:J,MATCH(B977,Vöruskrá!B:B,0)),0)*C977/100000,""))</f>
        <v>40.200000000000003</v>
      </c>
      <c r="H977" s="169">
        <f>IF(OR(B977="",C977=""),"",IFERROR(IFERROR(INDEX(Vöruskrá!K:K,MATCH(B977,Vöruskrá!B:B,0)),0)*C977/100000,""))</f>
        <v>2.34</v>
      </c>
      <c r="I977" s="169">
        <f>IF(OR(B977="",C977=""),"",IFERROR(IFERROR(INDEX(Vöruskrá!L:L,MATCH(B977,Vöruskrá!B:B,0)),0)*C977/100000,""))</f>
        <v>1.38</v>
      </c>
      <c r="J977" s="169">
        <f>IF(OR(B977="",C977=""),"",IFERROR(IFERROR(INDEX(Vöruskrá!M:M,MATCH(B977,Vöruskrá!B:B,0)),0)*C977/100000,""))</f>
        <v>2.82</v>
      </c>
      <c r="K977" s="169">
        <f>IF(OR(B977="",C977=""),"",IFERROR(IFERROR(INDEX(Vöruskrá!N:N,MATCH(B977,Vöruskrá!B:B,0)),0)*C977/100000,""))</f>
        <v>2.82</v>
      </c>
      <c r="L977" s="169">
        <f>IF(OR(B977="",C977=""),"",IFERROR(IFERROR(INDEX(Vöruskrá!O:O,MATCH(B977,Vöruskrá!B:B,0)),0)*C977/100000,""))</f>
        <v>1.98</v>
      </c>
      <c r="M977" s="169">
        <f>IF(OR(B977="",C977=""),"",IFERROR(IFERROR(INDEX(Vöruskrá!P:P,MATCH(B977,Vöruskrá!B:B,0)),0)*C977/100000,""))</f>
        <v>0.06</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1020</v>
      </c>
      <c r="C978" s="172">
        <v>11500</v>
      </c>
      <c r="D978" s="168" t="s">
        <v>1020</v>
      </c>
      <c r="E978" s="168" t="s">
        <v>134</v>
      </c>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477</v>
      </c>
      <c r="C979" s="174">
        <v>2000</v>
      </c>
      <c r="D979" s="168" t="s">
        <v>479</v>
      </c>
      <c r="E979" s="168" t="s">
        <v>134</v>
      </c>
      <c r="F979" s="168"/>
      <c r="G979" s="169">
        <f>IF(OR(B979="",C979=""),"",IFERROR(IFERROR(INDEX(Vöruskrá!J:J,MATCH(B979,Vöruskrá!B:B,0)),0)*C979/100000,""))</f>
        <v>8</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2</v>
      </c>
      <c r="K979" s="169">
        <f>IF(OR(B979="",C979=""),"",IFERROR(IFERROR(INDEX(Vöruskrá!N:N,MATCH(B979,Vöruskrá!B:B,0)),0)*C979/100000,""))</f>
        <v>2</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299</v>
      </c>
      <c r="C980" s="172">
        <v>500</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0.5</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445</v>
      </c>
      <c r="C981" s="174">
        <v>1000</v>
      </c>
      <c r="D981" s="168" t="s">
        <v>448</v>
      </c>
      <c r="E981" s="168" t="s">
        <v>120</v>
      </c>
      <c r="F981" s="168"/>
      <c r="G981" s="169">
        <f>IF(OR(B981="",C981=""),"",IFERROR(IFERROR(INDEX(Vöruskrá!J:J,MATCH(B981,Vöruskrá!B:B,0)),0)*C981/100000,""))</f>
        <v>7.38</v>
      </c>
      <c r="H981" s="169">
        <f>IF(OR(B981="",C981=""),"",IFERROR(IFERROR(INDEX(Vöruskrá!K:K,MATCH(B981,Vöruskrá!B:B,0)),0)*C981/100000,""))</f>
        <v>0.82</v>
      </c>
      <c r="I981" s="169">
        <f>IF(OR(B981="",C981=""),"",IFERROR(IFERROR(INDEX(Vöruskrá!L:L,MATCH(B981,Vöruskrá!B:B,0)),0)*C981/100000,""))</f>
        <v>0.49</v>
      </c>
      <c r="J981" s="169">
        <f>IF(OR(B981="",C981=""),"",IFERROR(IFERROR(INDEX(Vöruskrá!M:M,MATCH(B981,Vöruskrá!B:B,0)),0)*C981/100000,""))</f>
        <v>4.0000000000000001E-3</v>
      </c>
      <c r="K981" s="169">
        <f>IF(OR(B981="",C981=""),"",IFERROR(IFERROR(INDEX(Vöruskrá!N:N,MATCH(B981,Vöruskrá!B:B,0)),0)*C981/100000,""))</f>
        <v>4.0000000000000001E-3</v>
      </c>
      <c r="L981" s="169">
        <f>IF(OR(B981="",C981=""),"",IFERROR(IFERROR(INDEX(Vöruskrá!O:O,MATCH(B981,Vöruskrá!B:B,0)),0)*C981/100000,""))</f>
        <v>6.0000000000000001E-3</v>
      </c>
      <c r="M981" s="169">
        <f>IF(OR(B981="",C981=""),"",IFERROR(IFERROR(INDEX(Vöruskrá!P:P,MATCH(B981,Vöruskrá!B:B,0)),0)*C981/100000,""))</f>
        <v>1.2E-2</v>
      </c>
      <c r="N981" s="169">
        <f>IF(OR(B981="",C981=""),"",IFERROR(IFERROR(INDEX(Vöruskrá!Q:Q,MATCH(B981,Vöruskrá!B:B,0)),0)*C981/100000,""))</f>
        <v>0</v>
      </c>
      <c r="O981" s="170">
        <f>IF(OR(B981="",C981=""),"",IFERROR(C981/1000*IFERROR(INDEX(Vöruskrá!R:R,MATCH(B981,Vöruskrá!B:B,0)),0)/1000,""))</f>
        <v>0</v>
      </c>
      <c r="P981" s="173"/>
      <c r="Q981" s="201"/>
      <c r="R981" s="202"/>
    </row>
    <row r="982" spans="1:18" ht="60">
      <c r="A982" s="147" t="s">
        <v>2054</v>
      </c>
      <c r="B982" s="147"/>
      <c r="C982" s="148"/>
      <c r="D982" s="165" t="s">
        <v>2055</v>
      </c>
      <c r="E982" s="165" t="s">
        <v>120</v>
      </c>
      <c r="F982" s="165"/>
      <c r="G982" s="166">
        <v>132.58000000000001</v>
      </c>
      <c r="H982" s="166">
        <v>3.3</v>
      </c>
      <c r="I982" s="166">
        <v>1.91</v>
      </c>
      <c r="J982" s="166">
        <v>21.82</v>
      </c>
      <c r="K982" s="166"/>
      <c r="L982" s="166">
        <v>3.41</v>
      </c>
      <c r="M982" s="166">
        <v>0.56999999999999995</v>
      </c>
      <c r="N982" s="166">
        <f>IFERROR(SUM(N983:N990)/(SUM($C$983:$C$990)/100000),"")</f>
        <v>0.26</v>
      </c>
      <c r="O982" s="167" t="str">
        <f>IF(OR(B982="",C982=""),"",IFERROR(C982/1000*IFERROR(INDEX(Vöruskrá!R:R,MATCH(B982,Vöruskrá!B:B,0)),0)/1000,""))</f>
        <v/>
      </c>
      <c r="P982" s="196" t="s">
        <v>2056</v>
      </c>
      <c r="Q982" s="195" t="s">
        <v>2057</v>
      </c>
      <c r="R982" s="194" t="s">
        <v>2058</v>
      </c>
    </row>
    <row r="983" spans="1:18" ht="15">
      <c r="A983" s="171"/>
      <c r="B983" s="171" t="s">
        <v>341</v>
      </c>
      <c r="C983" s="172">
        <v>20000</v>
      </c>
      <c r="D983" s="168" t="s">
        <v>344</v>
      </c>
      <c r="E983" s="168" t="s">
        <v>134</v>
      </c>
      <c r="F983" s="168"/>
      <c r="G983" s="169">
        <f>IF(OR(B983="",C983=""),"",IFERROR(IFERROR(INDEX(Vöruskrá!J:J,MATCH(B983,Vöruskrá!B:B,0)),0)*C983/100000,""))</f>
        <v>73</v>
      </c>
      <c r="H983" s="169">
        <f>IF(OR(B983="",C983=""),"",IFERROR(IFERROR(INDEX(Vöruskrá!K:K,MATCH(B983,Vöruskrá!B:B,0)),0)*C983/100000,""))</f>
        <v>0.14000000000000001</v>
      </c>
      <c r="I983" s="169">
        <f>IF(OR(B983="",C983=""),"",IFERROR(IFERROR(INDEX(Vöruskrá!L:L,MATCH(B983,Vöruskrá!B:B,0)),0)*C983/100000,""))</f>
        <v>0.04</v>
      </c>
      <c r="J983" s="169">
        <f>IF(OR(B983="",C983=""),"",IFERROR(IFERROR(INDEX(Vöruskrá!M:M,MATCH(B983,Vöruskrá!B:B,0)),0)*C983/100000,""))</f>
        <v>16</v>
      </c>
      <c r="K983" s="169">
        <f>IF(OR(B983="",C983=""),"",IFERROR(IFERROR(INDEX(Vöruskrá!N:N,MATCH(B983,Vöruskrá!B:B,0)),0)*C983/100000,""))</f>
        <v>0.02</v>
      </c>
      <c r="L983" s="169">
        <f>IF(OR(B983="",C983=""),"",IFERROR(IFERROR(INDEX(Vöruskrá!O:O,MATCH(B983,Vöruskrá!B:B,0)),0)*C983/100000,""))</f>
        <v>1.42</v>
      </c>
      <c r="M983" s="169">
        <f>IF(OR(B983="",C983=""),"",IFERROR(IFERROR(INDEX(Vöruskrá!P:P,MATCH(B983,Vöruskrá!B:B,0)),0)*C983/100000,""))</f>
        <v>0</v>
      </c>
      <c r="N983" s="169">
        <f>IF(OR(B983="",C983=""),"",IFERROR(IFERROR(INDEX(Vöruskrá!Q:Q,MATCH(B983,Vöruskrá!B:B,0)),0)*C983/100000,""))</f>
        <v>0.26</v>
      </c>
      <c r="O983" s="170">
        <f>IF(OR(B983="",C983=""),"",IFERROR(C983/1000*IFERROR(INDEX(Vöruskrá!R:R,MATCH(B983,Vöruskrá!B:B,0)),0)/1000,""))</f>
        <v>0</v>
      </c>
      <c r="P983" s="171"/>
      <c r="Q983" s="203"/>
      <c r="R983" s="204"/>
    </row>
    <row r="984" spans="1:18" ht="15">
      <c r="A984" s="173"/>
      <c r="B984" s="173" t="s">
        <v>849</v>
      </c>
      <c r="C984" s="174">
        <v>60000</v>
      </c>
      <c r="D984" s="168" t="s">
        <v>850</v>
      </c>
      <c r="E984" s="168" t="s">
        <v>120</v>
      </c>
      <c r="F984" s="168"/>
      <c r="G984" s="169">
        <f>IF(OR(B984="",C984=""),"",IFERROR(IFERROR(INDEX(Vöruskrá!J:J,MATCH(B984,Vöruskrá!B:B,0)),0)*C984/100000,""))</f>
        <v>40.200000000000003</v>
      </c>
      <c r="H984" s="169">
        <f>IF(OR(B984="",C984=""),"",IFERROR(IFERROR(INDEX(Vöruskrá!K:K,MATCH(B984,Vöruskrá!B:B,0)),0)*C984/100000,""))</f>
        <v>2.34</v>
      </c>
      <c r="I984" s="169">
        <f>IF(OR(B984="",C984=""),"",IFERROR(IFERROR(INDEX(Vöruskrá!L:L,MATCH(B984,Vöruskrá!B:B,0)),0)*C984/100000,""))</f>
        <v>1.38</v>
      </c>
      <c r="J984" s="169">
        <f>IF(OR(B984="",C984=""),"",IFERROR(IFERROR(INDEX(Vöruskrá!M:M,MATCH(B984,Vöruskrá!B:B,0)),0)*C984/100000,""))</f>
        <v>2.82</v>
      </c>
      <c r="K984" s="169">
        <f>IF(OR(B984="",C984=""),"",IFERROR(IFERROR(INDEX(Vöruskrá!N:N,MATCH(B984,Vöruskrá!B:B,0)),0)*C984/100000,""))</f>
        <v>2.82</v>
      </c>
      <c r="L984" s="169">
        <f>IF(OR(B984="",C984=""),"",IFERROR(IFERROR(INDEX(Vöruskrá!O:O,MATCH(B984,Vöruskrá!B:B,0)),0)*C984/100000,""))</f>
        <v>1.98</v>
      </c>
      <c r="M984" s="169">
        <f>IF(OR(B984="",C984=""),"",IFERROR(IFERROR(INDEX(Vöruskrá!P:P,MATCH(B984,Vöruskrá!B:B,0)),0)*C984/100000,""))</f>
        <v>0.06</v>
      </c>
      <c r="N984" s="169">
        <f>IF(OR(B984="",C984=""),"",IFERROR(IFERROR(INDEX(Vöruskrá!Q:Q,MATCH(B984,Vöruskrá!B:B,0)),0)*C984/100000,""))</f>
        <v>0</v>
      </c>
      <c r="O984" s="170">
        <f>IF(OR(B984="",C984=""),"",IFERROR(C984/1000*IFERROR(INDEX(Vöruskrá!R:R,MATCH(B984,Vöruskrá!B:B,0)),0)/1000,""))</f>
        <v>0</v>
      </c>
      <c r="P984" s="173"/>
      <c r="Q984" s="158"/>
      <c r="R984" s="6"/>
    </row>
    <row r="985" spans="1:18" ht="15">
      <c r="A985" s="171"/>
      <c r="B985" s="171" t="s">
        <v>1020</v>
      </c>
      <c r="C985" s="172">
        <v>12000</v>
      </c>
      <c r="D985" s="168" t="s">
        <v>1020</v>
      </c>
      <c r="E985" s="168" t="s">
        <v>134</v>
      </c>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7"/>
      <c r="R985" s="27"/>
    </row>
    <row r="986" spans="1:18" ht="15">
      <c r="A986" s="173"/>
      <c r="B986" s="173" t="s">
        <v>1508</v>
      </c>
      <c r="C986" s="174">
        <v>3000</v>
      </c>
      <c r="D986" s="168"/>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8"/>
      <c r="R986" s="6"/>
    </row>
    <row r="987" spans="1:18" ht="15">
      <c r="A987" s="171"/>
      <c r="B987" s="171" t="s">
        <v>477</v>
      </c>
      <c r="C987" s="172">
        <v>3000</v>
      </c>
      <c r="D987" s="168" t="s">
        <v>479</v>
      </c>
      <c r="E987" s="168" t="s">
        <v>134</v>
      </c>
      <c r="F987" s="168"/>
      <c r="G987" s="169">
        <f>IF(OR(B987="",C987=""),"",IFERROR(IFERROR(INDEX(Vöruskrá!J:J,MATCH(B987,Vöruskrá!B:B,0)),0)*C987/100000,""))</f>
        <v>12</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3</v>
      </c>
      <c r="K987" s="169">
        <f>IF(OR(B987="",C987=""),"",IFERROR(IFERROR(INDEX(Vöruskrá!N:N,MATCH(B987,Vöruskrá!B:B,0)),0)*C987/100000,""))</f>
        <v>3</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299</v>
      </c>
      <c r="C988" s="174">
        <v>500</v>
      </c>
      <c r="D988" s="168" t="s">
        <v>302</v>
      </c>
      <c r="E988" s="168" t="s">
        <v>134</v>
      </c>
      <c r="F988" s="168" t="s">
        <v>303</v>
      </c>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0.5</v>
      </c>
      <c r="N988" s="169">
        <f>IF(OR(B988="",C988=""),"",IFERROR(IFERROR(INDEX(Vöruskrá!Q:Q,MATCH(B988,Vöruskrá!B:B,0)),0)*C988/100000,""))</f>
        <v>0</v>
      </c>
      <c r="O988" s="170">
        <f>IF(OR(B988="",C988=""),"",IFERROR(C988/1000*IFERROR(INDEX(Vöruskrá!R:R,MATCH(B988,Vöruskrá!B:B,0)),0)/1000,""))</f>
        <v>0</v>
      </c>
      <c r="P988" s="173"/>
      <c r="Q988" s="158"/>
      <c r="R988" s="6"/>
    </row>
    <row r="989" spans="1:18" ht="15">
      <c r="A989" s="171"/>
      <c r="B989" s="171" t="s">
        <v>1501</v>
      </c>
      <c r="C989" s="172">
        <v>500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ht="15">
      <c r="A990" s="173"/>
      <c r="B990" s="173" t="s">
        <v>445</v>
      </c>
      <c r="C990" s="174">
        <v>1000</v>
      </c>
      <c r="D990" s="168" t="s">
        <v>448</v>
      </c>
      <c r="E990" s="168" t="s">
        <v>120</v>
      </c>
      <c r="F990" s="168"/>
      <c r="G990" s="169">
        <f>IF(OR(B990="",C990=""),"",IFERROR(IFERROR(INDEX(Vöruskrá!J:J,MATCH(B990,Vöruskrá!B:B,0)),0)*C990/100000,""))</f>
        <v>7.38</v>
      </c>
      <c r="H990" s="169">
        <f>IF(OR(B990="",C990=""),"",IFERROR(IFERROR(INDEX(Vöruskrá!K:K,MATCH(B990,Vöruskrá!B:B,0)),0)*C990/100000,""))</f>
        <v>0.82</v>
      </c>
      <c r="I990" s="169">
        <f>IF(OR(B990="",C990=""),"",IFERROR(IFERROR(INDEX(Vöruskrá!L:L,MATCH(B990,Vöruskrá!B:B,0)),0)*C990/100000,""))</f>
        <v>0.49</v>
      </c>
      <c r="J990" s="169">
        <f>IF(OR(B990="",C990=""),"",IFERROR(IFERROR(INDEX(Vöruskrá!M:M,MATCH(B990,Vöruskrá!B:B,0)),0)*C990/100000,""))</f>
        <v>4.0000000000000001E-3</v>
      </c>
      <c r="K990" s="169">
        <f>IF(OR(B990="",C990=""),"",IFERROR(IFERROR(INDEX(Vöruskrá!N:N,MATCH(B990,Vöruskrá!B:B,0)),0)*C990/100000,""))</f>
        <v>4.0000000000000001E-3</v>
      </c>
      <c r="L990" s="169">
        <f>IF(OR(B990="",C990=""),"",IFERROR(IFERROR(INDEX(Vöruskrá!O:O,MATCH(B990,Vöruskrá!B:B,0)),0)*C990/100000,""))</f>
        <v>6.0000000000000001E-3</v>
      </c>
      <c r="M990" s="169">
        <f>IF(OR(B990="",C990=""),"",IFERROR(IFERROR(INDEX(Vöruskrá!P:P,MATCH(B990,Vöruskrá!B:B,0)),0)*C990/100000,""))</f>
        <v>1.2E-2</v>
      </c>
      <c r="N990" s="169">
        <f>IF(OR(B990="",C990=""),"",IFERROR(IFERROR(INDEX(Vöruskrá!Q:Q,MATCH(B990,Vöruskrá!B:B,0)),0)*C990/100000,""))</f>
        <v>0</v>
      </c>
      <c r="O990" s="170">
        <f>IF(OR(B990="",C990=""),"",IFERROR(C990/1000*IFERROR(INDEX(Vöruskrá!R:R,MATCH(B990,Vöruskrá!B:B,0)),0)/1000,""))</f>
        <v>0</v>
      </c>
      <c r="P990" s="173"/>
      <c r="Q990" s="200"/>
      <c r="R990" s="159"/>
    </row>
    <row r="991" spans="1:18" ht="60">
      <c r="A991" s="147" t="s">
        <v>2059</v>
      </c>
      <c r="B991" s="147"/>
      <c r="C991" s="148"/>
      <c r="D991" s="165" t="s">
        <v>2060</v>
      </c>
      <c r="E991" s="165" t="s">
        <v>120</v>
      </c>
      <c r="F991" s="165"/>
      <c r="G991" s="166">
        <v>129.85</v>
      </c>
      <c r="H991" s="166">
        <v>2.69</v>
      </c>
      <c r="I991" s="166">
        <v>1.54</v>
      </c>
      <c r="J991" s="166">
        <v>22.16</v>
      </c>
      <c r="K991" s="166"/>
      <c r="L991" s="166">
        <v>3.71</v>
      </c>
      <c r="M991" s="166">
        <v>0.37</v>
      </c>
      <c r="N991" s="166">
        <f>IFERROR(SUM(N992:N998)/(SUM($C$992:$C$998)/100000),"")</f>
        <v>0.28599999999999998</v>
      </c>
      <c r="O991" s="167" t="str">
        <f>IF(OR(B991="",C991=""),"",IFERROR(C991/1000*IFERROR(INDEX(Vöruskrá!R:R,MATCH(B991,Vöruskrá!B:B,0)),0)/1000,""))</f>
        <v/>
      </c>
      <c r="P991" s="196" t="s">
        <v>2061</v>
      </c>
      <c r="Q991" s="199" t="s">
        <v>2062</v>
      </c>
      <c r="R991" s="198" t="s">
        <v>2063</v>
      </c>
    </row>
    <row r="992" spans="1:18" ht="15">
      <c r="A992" s="171"/>
      <c r="B992" s="171" t="s">
        <v>341</v>
      </c>
      <c r="C992" s="172">
        <v>22000</v>
      </c>
      <c r="D992" s="168" t="s">
        <v>344</v>
      </c>
      <c r="E992" s="168" t="s">
        <v>134</v>
      </c>
      <c r="F992" s="168"/>
      <c r="G992" s="169">
        <f>IF(OR(B992="",C992=""),"",IFERROR(IFERROR(INDEX(Vöruskrá!J:J,MATCH(B992,Vöruskrá!B:B,0)),0)*C992/100000,""))</f>
        <v>80.3</v>
      </c>
      <c r="H992" s="169">
        <f>IF(OR(B992="",C992=""),"",IFERROR(IFERROR(INDEX(Vöruskrá!K:K,MATCH(B992,Vöruskrá!B:B,0)),0)*C992/100000,""))</f>
        <v>0.15399999999999997</v>
      </c>
      <c r="I992" s="169">
        <f>IF(OR(B992="",C992=""),"",IFERROR(IFERROR(INDEX(Vöruskrá!L:L,MATCH(B992,Vöruskrá!B:B,0)),0)*C992/100000,""))</f>
        <v>4.3999999999999997E-2</v>
      </c>
      <c r="J992" s="169">
        <f>IF(OR(B992="",C992=""),"",IFERROR(IFERROR(INDEX(Vöruskrá!M:M,MATCH(B992,Vöruskrá!B:B,0)),0)*C992/100000,""))</f>
        <v>17.600000000000001</v>
      </c>
      <c r="K992" s="169">
        <f>IF(OR(B992="",C992=""),"",IFERROR(IFERROR(INDEX(Vöruskrá!N:N,MATCH(B992,Vöruskrá!B:B,0)),0)*C992/100000,""))</f>
        <v>2.1999999999999999E-2</v>
      </c>
      <c r="L992" s="169">
        <f>IF(OR(B992="",C992=""),"",IFERROR(IFERROR(INDEX(Vöruskrá!O:O,MATCH(B992,Vöruskrá!B:B,0)),0)*C992/100000,""))</f>
        <v>1.5620000000000001</v>
      </c>
      <c r="M992" s="169">
        <f>IF(OR(B992="",C992=""),"",IFERROR(IFERROR(INDEX(Vöruskrá!P:P,MATCH(B992,Vöruskrá!B:B,0)),0)*C992/100000,""))</f>
        <v>0</v>
      </c>
      <c r="N992" s="169">
        <f>IF(OR(B992="",C992=""),"",IFERROR(IFERROR(INDEX(Vöruskrá!Q:Q,MATCH(B992,Vöruskrá!B:B,0)),0)*C992/100000,""))</f>
        <v>0.28599999999999998</v>
      </c>
      <c r="O992" s="170">
        <f>IF(OR(B992="",C992=""),"",IFERROR(C992/1000*IFERROR(INDEX(Vöruskrá!R:R,MATCH(B992,Vöruskrá!B:B,0)),0)/1000,""))</f>
        <v>0</v>
      </c>
      <c r="P992" s="171"/>
      <c r="Q992" s="197"/>
      <c r="R992" s="164"/>
    </row>
    <row r="993" spans="1:18" ht="15">
      <c r="A993" s="173"/>
      <c r="B993" s="173" t="s">
        <v>849</v>
      </c>
      <c r="C993" s="174">
        <v>65000</v>
      </c>
      <c r="D993" s="168" t="s">
        <v>850</v>
      </c>
      <c r="E993" s="168" t="s">
        <v>120</v>
      </c>
      <c r="F993" s="168"/>
      <c r="G993" s="169">
        <f>IF(OR(B993="",C993=""),"",IFERROR(IFERROR(INDEX(Vöruskrá!J:J,MATCH(B993,Vöruskrá!B:B,0)),0)*C993/100000,""))</f>
        <v>43.55</v>
      </c>
      <c r="H993" s="169">
        <f>IF(OR(B993="",C993=""),"",IFERROR(IFERROR(INDEX(Vöruskrá!K:K,MATCH(B993,Vöruskrá!B:B,0)),0)*C993/100000,""))</f>
        <v>2.5350000000000001</v>
      </c>
      <c r="I993" s="169">
        <f>IF(OR(B993="",C993=""),"",IFERROR(IFERROR(INDEX(Vöruskrá!L:L,MATCH(B993,Vöruskrá!B:B,0)),0)*C993/100000,""))</f>
        <v>1.4950000000000001</v>
      </c>
      <c r="J993" s="169">
        <f>IF(OR(B993="",C993=""),"",IFERROR(IFERROR(INDEX(Vöruskrá!M:M,MATCH(B993,Vöruskrá!B:B,0)),0)*C993/100000,""))</f>
        <v>3.0550000000000002</v>
      </c>
      <c r="K993" s="169">
        <f>IF(OR(B993="",C993=""),"",IFERROR(IFERROR(INDEX(Vöruskrá!N:N,MATCH(B993,Vöruskrá!B:B,0)),0)*C993/100000,""))</f>
        <v>3.0550000000000002</v>
      </c>
      <c r="L993" s="169">
        <f>IF(OR(B993="",C993=""),"",IFERROR(IFERROR(INDEX(Vöruskrá!O:O,MATCH(B993,Vöruskrá!B:B,0)),0)*C993/100000,""))</f>
        <v>2.145</v>
      </c>
      <c r="M993" s="169">
        <f>IF(OR(B993="",C993=""),"",IFERROR(IFERROR(INDEX(Vöruskrá!P:P,MATCH(B993,Vöruskrá!B:B,0)),0)*C993/100000,""))</f>
        <v>6.5000000000000002E-2</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1020</v>
      </c>
      <c r="C994" s="172">
        <v>8000</v>
      </c>
      <c r="D994" s="168" t="s">
        <v>1020</v>
      </c>
      <c r="E994" s="168" t="s">
        <v>134</v>
      </c>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1509</v>
      </c>
      <c r="C995" s="174">
        <v>3000</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477</v>
      </c>
      <c r="C996" s="172">
        <v>1500</v>
      </c>
      <c r="D996" s="168" t="s">
        <v>479</v>
      </c>
      <c r="E996" s="168" t="s">
        <v>134</v>
      </c>
      <c r="F996" s="168"/>
      <c r="G996" s="169">
        <f>IF(OR(B996="",C996=""),"",IFERROR(IFERROR(INDEX(Vöruskrá!J:J,MATCH(B996,Vöruskrá!B:B,0)),0)*C996/100000,""))</f>
        <v>6</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1.5</v>
      </c>
      <c r="K996" s="169">
        <f>IF(OR(B996="",C996=""),"",IFERROR(IFERROR(INDEX(Vöruskrá!N:N,MATCH(B996,Vöruskrá!B:B,0)),0)*C996/100000,""))</f>
        <v>1.5</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8"/>
      <c r="R996" s="6"/>
    </row>
    <row r="997" spans="1:18" ht="15">
      <c r="A997" s="173"/>
      <c r="B997" s="173" t="s">
        <v>299</v>
      </c>
      <c r="C997" s="174">
        <v>300</v>
      </c>
      <c r="D997" s="168" t="s">
        <v>302</v>
      </c>
      <c r="E997" s="168" t="s">
        <v>134</v>
      </c>
      <c r="F997" s="168" t="s">
        <v>303</v>
      </c>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0.3</v>
      </c>
      <c r="N997" s="169">
        <f>IF(OR(B997="",C997=""),"",IFERROR(IFERROR(INDEX(Vöruskrá!Q:Q,MATCH(B997,Vöruskrá!B:B,0)),0)*C997/100000,""))</f>
        <v>0</v>
      </c>
      <c r="O997" s="170">
        <f>IF(OR(B997="",C997=""),"",IFERROR(C997/1000*IFERROR(INDEX(Vöruskrá!R:R,MATCH(B997,Vöruskrá!B:B,0)),0)/1000,""))</f>
        <v>0</v>
      </c>
      <c r="P997" s="173"/>
      <c r="Q997" s="157"/>
      <c r="R997" s="27"/>
    </row>
    <row r="998" spans="1:18" ht="15">
      <c r="A998" s="171"/>
      <c r="B998" s="171" t="s">
        <v>1501</v>
      </c>
      <c r="C998" s="172">
        <v>200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200"/>
      <c r="R998" s="159"/>
    </row>
    <row r="999" spans="1:18" ht="48">
      <c r="A999" s="147" t="s">
        <v>2064</v>
      </c>
      <c r="B999" s="147"/>
      <c r="C999" s="148"/>
      <c r="D999" s="165" t="s">
        <v>2065</v>
      </c>
      <c r="E999" s="165" t="s">
        <v>134</v>
      </c>
      <c r="F999" s="165"/>
      <c r="G999" s="166">
        <v>197.42</v>
      </c>
      <c r="H999" s="166">
        <v>13.24</v>
      </c>
      <c r="I999" s="166">
        <v>10.97</v>
      </c>
      <c r="J999" s="166">
        <v>17.97</v>
      </c>
      <c r="K999" s="166"/>
      <c r="L999" s="166">
        <v>1.1499999999999999</v>
      </c>
      <c r="M999" s="166">
        <v>0.27</v>
      </c>
      <c r="N999" s="166">
        <f>IFERROR(SUM(N1000:N1004)/(SUM($C$1000:$C$1004)/100000),"")</f>
        <v>0.21130282570642664</v>
      </c>
      <c r="O999" s="167" t="str">
        <f>IF(OR(B999="",C999=""),"",IFERROR(C999/1000*IFERROR(INDEX(Vöruskrá!R:R,MATCH(B999,Vöruskrá!B:B,0)),0)/1000,""))</f>
        <v/>
      </c>
      <c r="P999" s="196" t="s">
        <v>2066</v>
      </c>
      <c r="Q999" s="195" t="s">
        <v>2067</v>
      </c>
      <c r="R999" s="194" t="s">
        <v>2068</v>
      </c>
    </row>
    <row r="1000" spans="1:18" ht="15">
      <c r="A1000" s="171"/>
      <c r="B1000" s="171" t="s">
        <v>341</v>
      </c>
      <c r="C1000" s="172">
        <v>13000</v>
      </c>
      <c r="D1000" s="168" t="s">
        <v>344</v>
      </c>
      <c r="E1000" s="168" t="s">
        <v>134</v>
      </c>
      <c r="F1000" s="168"/>
      <c r="G1000" s="169">
        <f>IF(OR(B1000="",C1000=""),"",IFERROR(IFERROR(INDEX(Vöruskrá!J:J,MATCH(B1000,Vöruskrá!B:B,0)),0)*C1000/100000,""))</f>
        <v>47.45</v>
      </c>
      <c r="H1000" s="169">
        <f>IF(OR(B1000="",C1000=""),"",IFERROR(IFERROR(INDEX(Vöruskrá!K:K,MATCH(B1000,Vöruskrá!B:B,0)),0)*C1000/100000,""))</f>
        <v>9.0999999999999998E-2</v>
      </c>
      <c r="I1000" s="169">
        <f>IF(OR(B1000="",C1000=""),"",IFERROR(IFERROR(INDEX(Vöruskrá!L:L,MATCH(B1000,Vöruskrá!B:B,0)),0)*C1000/100000,""))</f>
        <v>2.5999999999999999E-2</v>
      </c>
      <c r="J1000" s="169">
        <f>IF(OR(B1000="",C1000=""),"",IFERROR(IFERROR(INDEX(Vöruskrá!M:M,MATCH(B1000,Vöruskrá!B:B,0)),0)*C1000/100000,""))</f>
        <v>10.4</v>
      </c>
      <c r="K1000" s="169">
        <f>IF(OR(B1000="",C1000=""),"",IFERROR(IFERROR(INDEX(Vöruskrá!N:N,MATCH(B1000,Vöruskrá!B:B,0)),0)*C1000/100000,""))</f>
        <v>1.2999999999999999E-2</v>
      </c>
      <c r="L1000" s="169">
        <f>IF(OR(B1000="",C1000=""),"",IFERROR(IFERROR(INDEX(Vöruskrá!O:O,MATCH(B1000,Vöruskrá!B:B,0)),0)*C1000/100000,""))</f>
        <v>0.92300000000000004</v>
      </c>
      <c r="M1000" s="169">
        <f>IF(OR(B1000="",C1000=""),"",IFERROR(IFERROR(INDEX(Vöruskrá!P:P,MATCH(B1000,Vöruskrá!B:B,0)),0)*C1000/100000,""))</f>
        <v>0</v>
      </c>
      <c r="N1000" s="169">
        <f>IF(OR(B1000="",C1000=""),"",IFERROR(IFERROR(INDEX(Vöruskrá!Q:Q,MATCH(B1000,Vöruskrá!B:B,0)),0)*C1000/100000,""))</f>
        <v>0.16900000000000001</v>
      </c>
      <c r="O1000" s="170">
        <f>IF(OR(B1000="",C1000=""),"",IFERROR(C1000/1000*IFERROR(INDEX(Vöruskrá!R:R,MATCH(B1000,Vöruskrá!B:B,0)),0)/1000,""))</f>
        <v>0</v>
      </c>
      <c r="P1000" s="171"/>
      <c r="Q1000" s="197"/>
      <c r="R1000" s="164"/>
    </row>
    <row r="1001" spans="1:18" ht="15">
      <c r="A1001" s="173"/>
      <c r="B1001" s="173" t="s">
        <v>1020</v>
      </c>
      <c r="C1001" s="174">
        <v>30000</v>
      </c>
      <c r="D1001" s="168" t="s">
        <v>1020</v>
      </c>
      <c r="E1001" s="168" t="s">
        <v>134</v>
      </c>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157"/>
      <c r="R1001" s="27"/>
    </row>
    <row r="1002" spans="1:18" ht="15">
      <c r="A1002" s="171"/>
      <c r="B1002" s="171" t="s">
        <v>131</v>
      </c>
      <c r="C1002" s="172">
        <v>35000</v>
      </c>
      <c r="D1002" s="168" t="s">
        <v>133</v>
      </c>
      <c r="E1002" s="168" t="s">
        <v>134</v>
      </c>
      <c r="F1002" s="168"/>
      <c r="G1002" s="169">
        <f>IF(OR(B1002="",C1002=""),"",IFERROR(IFERROR(INDEX(Vöruskrá!J:J,MATCH(B1002,Vöruskrá!B:B,0)),0)*C1002/100000,""))</f>
        <v>103.25</v>
      </c>
      <c r="H1002" s="169">
        <f>IF(OR(B1002="",C1002=""),"",IFERROR(IFERROR(INDEX(Vöruskrá!K:K,MATCH(B1002,Vöruskrá!B:B,0)),0)*C1002/100000,""))</f>
        <v>10.5</v>
      </c>
      <c r="I1002" s="169">
        <f>IF(OR(B1002="",C1002=""),"",IFERROR(IFERROR(INDEX(Vöruskrá!L:L,MATCH(B1002,Vöruskrá!B:B,0)),0)*C1002/100000,""))</f>
        <v>8.75</v>
      </c>
      <c r="J1002" s="169">
        <f>IF(OR(B1002="",C1002=""),"",IFERROR(IFERROR(INDEX(Vöruskrá!M:M,MATCH(B1002,Vöruskrá!B:B,0)),0)*C1002/100000,""))</f>
        <v>2.17</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3.5000000000000003E-2</v>
      </c>
      <c r="N1002" s="169">
        <f>IF(OR(B1002="",C1002=""),"",IFERROR(IFERROR(INDEX(Vöruskrá!Q:Q,MATCH(B1002,Vöruskrá!B:B,0)),0)*C1002/100000,""))</f>
        <v>0</v>
      </c>
      <c r="O1002" s="170">
        <f>IF(OR(B1002="",C1002=""),"",IFERROR(C1002/1000*IFERROR(INDEX(Vöruskrá!R:R,MATCH(B1002,Vöruskrá!B:B,0)),0)/1000,""))</f>
        <v>0</v>
      </c>
      <c r="P1002" s="171"/>
      <c r="Q1002" s="158"/>
      <c r="R1002" s="6"/>
    </row>
    <row r="1003" spans="1:18" ht="15">
      <c r="A1003" s="173"/>
      <c r="B1003" s="173" t="s">
        <v>477</v>
      </c>
      <c r="C1003" s="174">
        <v>1800</v>
      </c>
      <c r="D1003" s="168" t="s">
        <v>479</v>
      </c>
      <c r="E1003" s="168" t="s">
        <v>134</v>
      </c>
      <c r="F1003" s="168"/>
      <c r="G1003" s="169">
        <f>IF(OR(B1003="",C1003=""),"",IFERROR(IFERROR(INDEX(Vöruskrá!J:J,MATCH(B1003,Vöruskrá!B:B,0)),0)*C1003/100000,""))</f>
        <v>7.2</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1.8</v>
      </c>
      <c r="K1003" s="169">
        <f>IF(OR(B1003="",C1003=""),"",IFERROR(IFERROR(INDEX(Vöruskrá!N:N,MATCH(B1003,Vöruskrá!B:B,0)),0)*C1003/100000,""))</f>
        <v>1.8</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3"/>
      <c r="Q1003" s="157"/>
      <c r="R1003" s="27"/>
    </row>
    <row r="1004" spans="1:18" ht="15">
      <c r="A1004" s="175"/>
      <c r="B1004" s="175" t="s">
        <v>299</v>
      </c>
      <c r="C1004" s="176">
        <v>180</v>
      </c>
      <c r="D1004" s="177" t="s">
        <v>302</v>
      </c>
      <c r="E1004" s="177" t="s">
        <v>134</v>
      </c>
      <c r="F1004" s="177" t="s">
        <v>303</v>
      </c>
      <c r="G1004" s="178">
        <f>IF(OR(B1004="",C1004=""),"",IFERROR(IFERROR(INDEX(Vöruskrá!J:J,MATCH(B1004,Vöruskrá!B:B,0)),0)*C1004/100000,""))</f>
        <v>0</v>
      </c>
      <c r="H1004" s="178">
        <f>IF(OR(B1004="",C1004=""),"",IFERROR(IFERROR(INDEX(Vöruskrá!K:K,MATCH(B1004,Vöruskrá!B:B,0)),0)*C1004/100000,""))</f>
        <v>0</v>
      </c>
      <c r="I1004" s="178">
        <f>IF(OR(B1004="",C1004=""),"",IFERROR(IFERROR(INDEX(Vöruskrá!L:L,MATCH(B1004,Vöruskrá!B:B,0)),0)*C1004/100000,""))</f>
        <v>0</v>
      </c>
      <c r="J1004" s="178">
        <f>IF(OR(B1004="",C1004=""),"",IFERROR(IFERROR(INDEX(Vöruskrá!M:M,MATCH(B1004,Vöruskrá!B:B,0)),0)*C1004/100000,""))</f>
        <v>0</v>
      </c>
      <c r="K1004" s="178">
        <f>IF(OR(B1004="",C1004=""),"",IFERROR(IFERROR(INDEX(Vöruskrá!N:N,MATCH(B1004,Vöruskrá!B:B,0)),0)*C1004/100000,""))</f>
        <v>0</v>
      </c>
      <c r="L1004" s="178">
        <f>IF(OR(B1004="",C1004=""),"",IFERROR(IFERROR(INDEX(Vöruskrá!O:O,MATCH(B1004,Vöruskrá!B:B,0)),0)*C1004/100000,""))</f>
        <v>0</v>
      </c>
      <c r="M1004" s="178">
        <f>IF(OR(B1004="",C1004=""),"",IFERROR(IFERROR(INDEX(Vöruskrá!P:P,MATCH(B1004,Vöruskrá!B:B,0)),0)*C1004/100000,""))</f>
        <v>0.18</v>
      </c>
      <c r="N1004" s="178">
        <f>IF(OR(B1004="",C1004=""),"",IFERROR(IFERROR(INDEX(Vöruskrá!Q:Q,MATCH(B1004,Vöruskrá!B:B,0)),0)*C1004/100000,""))</f>
        <v>0</v>
      </c>
      <c r="O1004" s="179">
        <f>IF(OR(B1004="",C1004=""),"",IFERROR(C1004/1000*IFERROR(INDEX(Vöruskrá!R:R,MATCH(B1004,Vöruskrá!B:B,0)),0)/1000,""))</f>
        <v>0</v>
      </c>
      <c r="P1004" s="175"/>
      <c r="Q1004" s="200"/>
      <c r="R1004" s="159"/>
    </row>
    <row r="1005" spans="1:18" ht="84">
      <c r="A1005" s="147" t="s">
        <v>2069</v>
      </c>
      <c r="B1005" s="147"/>
      <c r="C1005" s="148"/>
      <c r="D1005" s="165" t="s">
        <v>2070</v>
      </c>
      <c r="E1005" s="165" t="s">
        <v>2071</v>
      </c>
      <c r="F1005" s="165"/>
      <c r="G1005" s="166">
        <v>141.19999999999999</v>
      </c>
      <c r="H1005" s="166">
        <v>11.59</v>
      </c>
      <c r="I1005" s="166">
        <v>6.64</v>
      </c>
      <c r="J1005" s="166">
        <v>3.92</v>
      </c>
      <c r="K1005" s="166"/>
      <c r="L1005" s="166">
        <v>5.19</v>
      </c>
      <c r="M1005" s="166">
        <v>1.1599999999999999</v>
      </c>
      <c r="N1005" s="166">
        <f>IFERROR(SUM(N1006:N1017)/(SUM($C$1006:$C$1017)/100000),"")</f>
        <v>0.2200751476113795</v>
      </c>
      <c r="O1005" s="167" t="str">
        <f>IF(OR(B1005="",C1005=""),"",IFERROR(C1005/1000*IFERROR(INDEX(Vöruskrá!R:R,MATCH(B1005,Vöruskrá!B:B,0)),0)/1000,""))</f>
        <v/>
      </c>
      <c r="P1005" s="196" t="s">
        <v>2072</v>
      </c>
      <c r="Q1005" s="199" t="s">
        <v>2073</v>
      </c>
      <c r="R1005" s="198" t="s">
        <v>2074</v>
      </c>
    </row>
    <row r="1006" spans="1:18" ht="15">
      <c r="A1006" s="171"/>
      <c r="B1006" s="171" t="s">
        <v>849</v>
      </c>
      <c r="C1006" s="172">
        <v>23125</v>
      </c>
      <c r="D1006" s="168" t="s">
        <v>850</v>
      </c>
      <c r="E1006" s="168" t="s">
        <v>120</v>
      </c>
      <c r="F1006" s="168"/>
      <c r="G1006" s="169">
        <f>IF(OR(B1006="",C1006=""),"",IFERROR(IFERROR(INDEX(Vöruskrá!J:J,MATCH(B1006,Vöruskrá!B:B,0)),0)*C1006/100000,""))</f>
        <v>15.49375</v>
      </c>
      <c r="H1006" s="169">
        <f>IF(OR(B1006="",C1006=""),"",IFERROR(IFERROR(INDEX(Vöruskrá!K:K,MATCH(B1006,Vöruskrá!B:B,0)),0)*C1006/100000,""))</f>
        <v>0.90187499999999998</v>
      </c>
      <c r="I1006" s="169">
        <f>IF(OR(B1006="",C1006=""),"",IFERROR(IFERROR(INDEX(Vöruskrá!L:L,MATCH(B1006,Vöruskrá!B:B,0)),0)*C1006/100000,""))</f>
        <v>0.53187499999999988</v>
      </c>
      <c r="J1006" s="169">
        <f>IF(OR(B1006="",C1006=""),"",IFERROR(IFERROR(INDEX(Vöruskrá!M:M,MATCH(B1006,Vöruskrá!B:B,0)),0)*C1006/100000,""))</f>
        <v>1.086875</v>
      </c>
      <c r="K1006" s="169">
        <f>IF(OR(B1006="",C1006=""),"",IFERROR(IFERROR(INDEX(Vöruskrá!N:N,MATCH(B1006,Vöruskrá!B:B,0)),0)*C1006/100000,""))</f>
        <v>1.086875</v>
      </c>
      <c r="L1006" s="169">
        <f>IF(OR(B1006="",C1006=""),"",IFERROR(IFERROR(INDEX(Vöruskrá!O:O,MATCH(B1006,Vöruskrá!B:B,0)),0)*C1006/100000,""))</f>
        <v>0.76312500000000005</v>
      </c>
      <c r="M1006" s="169">
        <f>IF(OR(B1006="",C1006=""),"",IFERROR(IFERROR(INDEX(Vöruskrá!P:P,MATCH(B1006,Vöruskrá!B:B,0)),0)*C1006/100000,""))</f>
        <v>2.3125E-2</v>
      </c>
      <c r="N1006" s="169">
        <f>IF(OR(B1006="",C1006=""),"",IFERROR(IFERROR(INDEX(Vöruskrá!Q:Q,MATCH(B1006,Vöruskrá!B:B,0)),0)*C1006/100000,""))</f>
        <v>0</v>
      </c>
      <c r="O1006" s="170">
        <f>IF(OR(B1006="",C1006=""),"",IFERROR(C1006/1000*IFERROR(INDEX(Vöruskrá!R:R,MATCH(B1006,Vöruskrá!B:B,0)),0)/1000,""))</f>
        <v>0</v>
      </c>
      <c r="P1006" s="171"/>
      <c r="Q1006" s="197"/>
      <c r="R1006" s="164"/>
    </row>
    <row r="1007" spans="1:18" ht="15">
      <c r="A1007" s="173"/>
      <c r="B1007" s="173" t="s">
        <v>1085</v>
      </c>
      <c r="C1007" s="174">
        <v>6250</v>
      </c>
      <c r="D1007" s="168" t="s">
        <v>1087</v>
      </c>
      <c r="E1007" s="168" t="s">
        <v>120</v>
      </c>
      <c r="F1007" s="168"/>
      <c r="G1007" s="169">
        <f>IF(OR(B1007="",C1007=""),"",IFERROR(IFERROR(INDEX(Vöruskrá!J:J,MATCH(B1007,Vöruskrá!B:B,0)),0)*C1007/100000,""))</f>
        <v>22.3125</v>
      </c>
      <c r="H1007" s="169">
        <f>IF(OR(B1007="",C1007=""),"",IFERROR(IFERROR(INDEX(Vöruskrá!K:K,MATCH(B1007,Vöruskrá!B:B,0)),0)*C1007/100000,""))</f>
        <v>1.8125</v>
      </c>
      <c r="I1007" s="169">
        <f>IF(OR(B1007="",C1007=""),"",IFERROR(IFERROR(INDEX(Vöruskrá!L:L,MATCH(B1007,Vöruskrá!B:B,0)),0)*C1007/100000,""))</f>
        <v>1</v>
      </c>
      <c r="J1007" s="169">
        <f>IF(OR(B1007="",C1007=""),"",IFERROR(IFERROR(INDEX(Vöruskrá!M:M,MATCH(B1007,Vöruskrá!B:B,0)),0)*C1007/100000,""))</f>
        <v>0</v>
      </c>
      <c r="K1007" s="169">
        <f>IF(OR(B1007="",C1007=""),"",IFERROR(IFERROR(INDEX(Vöruskrá!N:N,MATCH(B1007,Vöruskrá!B:B,0)),0)*C1007/100000,""))</f>
        <v>0</v>
      </c>
      <c r="L1007" s="169">
        <f>IF(OR(B1007="",C1007=""),"",IFERROR(IFERROR(INDEX(Vöruskrá!O:O,MATCH(B1007,Vöruskrá!B:B,0)),0)*C1007/100000,""))</f>
        <v>1.5</v>
      </c>
      <c r="M1007" s="169">
        <f>IF(OR(B1007="",C1007=""),"",IFERROR(IFERROR(INDEX(Vöruskrá!P:P,MATCH(B1007,Vöruskrá!B:B,0)),0)*C1007/100000,""))</f>
        <v>9.375E-2</v>
      </c>
      <c r="N1007" s="169">
        <f>IF(OR(B1007="",C1007=""),"",IFERROR(IFERROR(INDEX(Vöruskrá!Q:Q,MATCH(B1007,Vöruskrá!B:B,0)),0)*C1007/100000,""))</f>
        <v>0</v>
      </c>
      <c r="O1007" s="170">
        <f>IF(OR(B1007="",C1007=""),"",IFERROR(C1007/1000*IFERROR(INDEX(Vöruskrá!R:R,MATCH(B1007,Vöruskrá!B:B,0)),0)/1000,""))</f>
        <v>0</v>
      </c>
      <c r="P1007" s="173"/>
      <c r="Q1007" s="157"/>
      <c r="R1007" s="27"/>
    </row>
    <row r="1008" spans="1:18" ht="15">
      <c r="A1008" s="171"/>
      <c r="B1008" s="171" t="s">
        <v>445</v>
      </c>
      <c r="C1008" s="172">
        <v>3125</v>
      </c>
      <c r="D1008" s="168" t="s">
        <v>448</v>
      </c>
      <c r="E1008" s="168" t="s">
        <v>120</v>
      </c>
      <c r="F1008" s="168"/>
      <c r="G1008" s="169">
        <f>IF(OR(B1008="",C1008=""),"",IFERROR(IFERROR(INDEX(Vöruskrá!J:J,MATCH(B1008,Vöruskrá!B:B,0)),0)*C1008/100000,""))</f>
        <v>23.0625</v>
      </c>
      <c r="H1008" s="169">
        <f>IF(OR(B1008="",C1008=""),"",IFERROR(IFERROR(INDEX(Vöruskrá!K:K,MATCH(B1008,Vöruskrá!B:B,0)),0)*C1008/100000,""))</f>
        <v>2.5625</v>
      </c>
      <c r="I1008" s="169">
        <f>IF(OR(B1008="",C1008=""),"",IFERROR(IFERROR(INDEX(Vöruskrá!L:L,MATCH(B1008,Vöruskrá!B:B,0)),0)*C1008/100000,""))</f>
        <v>1.53125</v>
      </c>
      <c r="J1008" s="169">
        <f>IF(OR(B1008="",C1008=""),"",IFERROR(IFERROR(INDEX(Vöruskrá!M:M,MATCH(B1008,Vöruskrá!B:B,0)),0)*C1008/100000,""))</f>
        <v>1.2500000000000001E-2</v>
      </c>
      <c r="K1008" s="169">
        <f>IF(OR(B1008="",C1008=""),"",IFERROR(IFERROR(INDEX(Vöruskrá!N:N,MATCH(B1008,Vöruskrá!B:B,0)),0)*C1008/100000,""))</f>
        <v>1.2500000000000001E-2</v>
      </c>
      <c r="L1008" s="169">
        <f>IF(OR(B1008="",C1008=""),"",IFERROR(IFERROR(INDEX(Vöruskrá!O:O,MATCH(B1008,Vöruskrá!B:B,0)),0)*C1008/100000,""))</f>
        <v>1.8749999999999999E-2</v>
      </c>
      <c r="M1008" s="169">
        <f>IF(OR(B1008="",C1008=""),"",IFERROR(IFERROR(INDEX(Vöruskrá!P:P,MATCH(B1008,Vöruskrá!B:B,0)),0)*C1008/100000,""))</f>
        <v>3.7499999999999999E-2</v>
      </c>
      <c r="N1008" s="169">
        <f>IF(OR(B1008="",C1008=""),"",IFERROR(IFERROR(INDEX(Vöruskrá!Q:Q,MATCH(B1008,Vöruskrá!B:B,0)),0)*C1008/100000,""))</f>
        <v>0</v>
      </c>
      <c r="O1008" s="170">
        <f>IF(OR(B1008="",C1008=""),"",IFERROR(C1008/1000*IFERROR(INDEX(Vöruskrá!R:R,MATCH(B1008,Vöruskrá!B:B,0)),0)/1000,""))</f>
        <v>0</v>
      </c>
      <c r="P1008" s="171"/>
      <c r="Q1008" s="158"/>
      <c r="R1008" s="6"/>
    </row>
    <row r="1009" spans="1:18" ht="15">
      <c r="A1009" s="173"/>
      <c r="B1009" s="173" t="s">
        <v>1465</v>
      </c>
      <c r="C1009" s="174">
        <v>3125</v>
      </c>
      <c r="D1009" s="168"/>
      <c r="E1009" s="168"/>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3"/>
      <c r="Q1009" s="157"/>
      <c r="R1009" s="27"/>
    </row>
    <row r="1010" spans="1:18" ht="15">
      <c r="A1010" s="171"/>
      <c r="B1010" s="171" t="s">
        <v>1010</v>
      </c>
      <c r="C1010" s="172">
        <v>2500</v>
      </c>
      <c r="D1010" s="168" t="s">
        <v>1010</v>
      </c>
      <c r="E1010" s="168" t="s">
        <v>134</v>
      </c>
      <c r="F1010" s="168"/>
      <c r="G1010" s="169">
        <f>IF(OR(B1010="",C1010=""),"",IFERROR(IFERROR(INDEX(Vöruskrá!J:J,MATCH(B1010,Vöruskrá!B:B,0)),0)*C1010/100000,""))</f>
        <v>1</v>
      </c>
      <c r="H1010" s="169">
        <f>IF(OR(B1010="",C1010=""),"",IFERROR(IFERROR(INDEX(Vöruskrá!K:K,MATCH(B1010,Vöruskrá!B:B,0)),0)*C1010/100000,""))</f>
        <v>2.5000000000000001E-3</v>
      </c>
      <c r="I1010" s="169">
        <f>IF(OR(B1010="",C1010=""),"",IFERROR(IFERROR(INDEX(Vöruskrá!L:L,MATCH(B1010,Vöruskrá!B:B,0)),0)*C1010/100000,""))</f>
        <v>0</v>
      </c>
      <c r="J1010" s="169">
        <f>IF(OR(B1010="",C1010=""),"",IFERROR(IFERROR(INDEX(Vöruskrá!M:M,MATCH(B1010,Vöruskrá!B:B,0)),0)*C1010/100000,""))</f>
        <v>0.23250000000000001</v>
      </c>
      <c r="K1010" s="169">
        <f>IF(OR(B1010="",C1010=""),"",IFERROR(IFERROR(INDEX(Vöruskrá!N:N,MATCH(B1010,Vöruskrá!B:B,0)),0)*C1010/100000,""))</f>
        <v>0.105</v>
      </c>
      <c r="L1010" s="169">
        <f>IF(OR(B1010="",C1010=""),"",IFERROR(IFERROR(INDEX(Vöruskrá!O:O,MATCH(B1010,Vöruskrá!B:B,0)),0)*C1010/100000,""))</f>
        <v>2.75E-2</v>
      </c>
      <c r="M1010" s="169">
        <f>IF(OR(B1010="",C1010=""),"",IFERROR(IFERROR(INDEX(Vöruskrá!P:P,MATCH(B1010,Vöruskrá!B:B,0)),0)*C1010/100000,""))</f>
        <v>0</v>
      </c>
      <c r="N1010" s="169">
        <f>IF(OR(B1010="",C1010=""),"",IFERROR(IFERROR(INDEX(Vöruskrá!Q:Q,MATCH(B1010,Vöruskrá!B:B,0)),0)*C1010/100000,""))</f>
        <v>4.2500000000000003E-2</v>
      </c>
      <c r="O1010" s="170">
        <f>IF(OR(B1010="",C1010=""),"",IFERROR(C1010/1000*IFERROR(INDEX(Vöruskrá!R:R,MATCH(B1010,Vöruskrá!B:B,0)),0)/1000,""))</f>
        <v>0</v>
      </c>
      <c r="P1010" s="171"/>
      <c r="Q1010" s="158"/>
      <c r="R1010" s="6"/>
    </row>
    <row r="1011" spans="1:18" ht="15">
      <c r="A1011" s="173"/>
      <c r="B1011" s="173" t="s">
        <v>723</v>
      </c>
      <c r="C1011" s="174">
        <v>3750</v>
      </c>
      <c r="D1011" s="168" t="s">
        <v>725</v>
      </c>
      <c r="E1011" s="168"/>
      <c r="F1011" s="168"/>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v>
      </c>
      <c r="N1011" s="169">
        <f>IF(OR(B1011="",C1011=""),"",IFERROR(IFERROR(INDEX(Vöruskrá!Q:Q,MATCH(B1011,Vöruskrá!B:B,0)),0)*C1011/100000,""))</f>
        <v>0</v>
      </c>
      <c r="O1011" s="170">
        <f>IF(OR(B1011="",C1011=""),"",IFERROR(C1011/1000*IFERROR(INDEX(Vöruskrá!R:R,MATCH(B1011,Vöruskrá!B:B,0)),0)/1000,""))</f>
        <v>0</v>
      </c>
      <c r="P1011" s="173"/>
      <c r="Q1011" s="157"/>
      <c r="R1011" s="27"/>
    </row>
    <row r="1012" spans="1:18" ht="15">
      <c r="A1012" s="171"/>
      <c r="B1012" s="171" t="s">
        <v>603</v>
      </c>
      <c r="C1012" s="172">
        <v>2500</v>
      </c>
      <c r="D1012" s="168" t="s">
        <v>605</v>
      </c>
      <c r="E1012" s="168"/>
      <c r="F1012" s="168"/>
      <c r="G1012" s="169">
        <f>IF(OR(B1012="",C1012=""),"",IFERROR(IFERROR(INDEX(Vöruskrá!J:J,MATCH(B1012,Vöruskrá!B:B,0)),0)*C1012/100000,""))</f>
        <v>1.05</v>
      </c>
      <c r="H1012" s="169">
        <f>IF(OR(B1012="",C1012=""),"",IFERROR(IFERROR(INDEX(Vöruskrá!K:K,MATCH(B1012,Vöruskrá!B:B,0)),0)*C1012/100000,""))</f>
        <v>7.4999999999999997E-3</v>
      </c>
      <c r="I1012" s="169">
        <f>IF(OR(B1012="",C1012=""),"",IFERROR(IFERROR(INDEX(Vöruskrá!L:L,MATCH(B1012,Vöruskrá!B:B,0)),0)*C1012/100000,""))</f>
        <v>2.5000000000000001E-3</v>
      </c>
      <c r="J1012" s="169">
        <f>IF(OR(B1012="",C1012=""),"",IFERROR(IFERROR(INDEX(Vöruskrá!M:M,MATCH(B1012,Vöruskrá!B:B,0)),0)*C1012/100000,""))</f>
        <v>0.19750000000000001</v>
      </c>
      <c r="K1012" s="169">
        <f>IF(OR(B1012="",C1012=""),"",IFERROR(IFERROR(INDEX(Vöruskrá!N:N,MATCH(B1012,Vöruskrá!B:B,0)),0)*C1012/100000,""))</f>
        <v>0.185</v>
      </c>
      <c r="L1012" s="169">
        <f>IF(OR(B1012="",C1012=""),"",IFERROR(IFERROR(INDEX(Vöruskrá!O:O,MATCH(B1012,Vöruskrá!B:B,0)),0)*C1012/100000,""))</f>
        <v>1.4999999999999999E-2</v>
      </c>
      <c r="M1012" s="169">
        <f>IF(OR(B1012="",C1012=""),"",IFERROR(IFERROR(INDEX(Vöruskrá!P:P,MATCH(B1012,Vöruskrá!B:B,0)),0)*C1012/100000,""))</f>
        <v>2.5000000000000001E-3</v>
      </c>
      <c r="N1012" s="169">
        <f>IF(OR(B1012="",C1012=""),"",IFERROR(IFERROR(INDEX(Vöruskrá!Q:Q,MATCH(B1012,Vöruskrá!B:B,0)),0)*C1012/100000,""))</f>
        <v>0.06</v>
      </c>
      <c r="O1012" s="170">
        <f>IF(OR(B1012="",C1012=""),"",IFERROR(C1012/1000*IFERROR(INDEX(Vöruskrá!R:R,MATCH(B1012,Vöruskrá!B:B,0)),0)/1000,""))</f>
        <v>0</v>
      </c>
      <c r="P1012" s="171"/>
      <c r="Q1012" s="158"/>
      <c r="R1012" s="6"/>
    </row>
    <row r="1013" spans="1:18" ht="36">
      <c r="A1013" s="173"/>
      <c r="B1013" s="173" t="s">
        <v>882</v>
      </c>
      <c r="C1013" s="174">
        <v>250</v>
      </c>
      <c r="D1013" s="168" t="s">
        <v>576</v>
      </c>
      <c r="E1013" s="168" t="s">
        <v>884</v>
      </c>
      <c r="F1013" s="168"/>
      <c r="G1013" s="169">
        <f>IF(OR(B1013="",C1013=""),"",IFERROR(IFERROR(INDEX(Vöruskrá!J:J,MATCH(B1013,Vöruskrá!B:B,0)),0)*C1013/100000,""))</f>
        <v>0.38250000000000001</v>
      </c>
      <c r="H1013" s="169">
        <f>IF(OR(B1013="",C1013=""),"",IFERROR(IFERROR(INDEX(Vöruskrá!K:K,MATCH(B1013,Vöruskrá!B:B,0)),0)*C1013/100000,""))</f>
        <v>1.0500000000000001E-2</v>
      </c>
      <c r="I1013" s="169">
        <f>IF(OR(B1013="",C1013=""),"",IFERROR(IFERROR(INDEX(Vöruskrá!L:L,MATCH(B1013,Vöruskrá!B:B,0)),0)*C1013/100000,""))</f>
        <v>0</v>
      </c>
      <c r="J1013" s="169">
        <f>IF(OR(B1013="",C1013=""),"",IFERROR(IFERROR(INDEX(Vöruskrá!M:M,MATCH(B1013,Vöruskrá!B:B,0)),0)*C1013/100000,""))</f>
        <v>5.8500000000000003E-2</v>
      </c>
      <c r="K1013" s="169">
        <f>IF(OR(B1013="",C1013=""),"",IFERROR(IFERROR(INDEX(Vöruskrá!N:N,MATCH(B1013,Vöruskrá!B:B,0)),0)*C1013/100000,""))</f>
        <v>0</v>
      </c>
      <c r="L1013" s="169">
        <f>IF(OR(B1013="",C1013=""),"",IFERROR(IFERROR(INDEX(Vöruskrá!O:O,MATCH(B1013,Vöruskrá!B:B,0)),0)*C1013/100000,""))</f>
        <v>1.2749999999999999E-2</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3"/>
      <c r="Q1013" s="157"/>
      <c r="R1013" s="27"/>
    </row>
    <row r="1014" spans="1:18" ht="15">
      <c r="A1014" s="171"/>
      <c r="B1014" s="171" t="s">
        <v>299</v>
      </c>
      <c r="C1014" s="172">
        <v>375</v>
      </c>
      <c r="D1014" s="168" t="s">
        <v>302</v>
      </c>
      <c r="E1014" s="168" t="s">
        <v>134</v>
      </c>
      <c r="F1014" s="168" t="s">
        <v>303</v>
      </c>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0.375</v>
      </c>
      <c r="N1014" s="169">
        <f>IF(OR(B1014="",C1014=""),"",IFERROR(IFERROR(INDEX(Vöruskrá!Q:Q,MATCH(B1014,Vöruskrá!B:B,0)),0)*C1014/100000,""))</f>
        <v>0</v>
      </c>
      <c r="O1014" s="170">
        <f>IF(OR(B1014="",C1014=""),"",IFERROR(C1014/1000*IFERROR(INDEX(Vöruskrá!R:R,MATCH(B1014,Vöruskrá!B:B,0)),0)/1000,""))</f>
        <v>0</v>
      </c>
      <c r="P1014" s="171"/>
      <c r="Q1014" s="158"/>
      <c r="R1014" s="6"/>
    </row>
    <row r="1015" spans="1:18" ht="15">
      <c r="A1015" s="173"/>
      <c r="B1015" s="173" t="s">
        <v>819</v>
      </c>
      <c r="C1015" s="174">
        <v>50</v>
      </c>
      <c r="D1015" s="168" t="s">
        <v>820</v>
      </c>
      <c r="E1015" s="168"/>
      <c r="F1015" s="168" t="s">
        <v>311</v>
      </c>
      <c r="G1015" s="169">
        <f>IF(OR(B1015="",C1015=""),"",IFERROR(IFERROR(INDEX(Vöruskrá!J:J,MATCH(B1015,Vöruskrá!B:B,0)),0)*C1015/100000,""))</f>
        <v>0.193</v>
      </c>
      <c r="H1015" s="169">
        <f>IF(OR(B1015="",C1015=""),"",IFERROR(IFERROR(INDEX(Vöruskrá!K:K,MATCH(B1015,Vöruskrá!B:B,0)),0)*C1015/100000,""))</f>
        <v>1.65E-3</v>
      </c>
      <c r="I1015" s="169">
        <f>IF(OR(B1015="",C1015=""),"",IFERROR(IFERROR(INDEX(Vöruskrá!L:L,MATCH(B1015,Vöruskrá!B:B,0)),0)*C1015/100000,""))</f>
        <v>5.0000000000000001E-4</v>
      </c>
      <c r="J1015" s="169">
        <f>IF(OR(B1015="",C1015=""),"",IFERROR(IFERROR(INDEX(Vöruskrá!M:M,MATCH(B1015,Vöruskrá!B:B,0)),0)*C1015/100000,""))</f>
        <v>3.2500000000000001E-2</v>
      </c>
      <c r="K1015" s="169">
        <f>IF(OR(B1015="",C1015=""),"",IFERROR(IFERROR(INDEX(Vöruskrá!N:N,MATCH(B1015,Vöruskrá!B:B,0)),0)*C1015/100000,""))</f>
        <v>2.9999999999999997E-4</v>
      </c>
      <c r="L1015" s="169">
        <f>IF(OR(B1015="",C1015=""),"",IFERROR(IFERROR(INDEX(Vöruskrá!O:O,MATCH(B1015,Vöruskrá!B:B,0)),0)*C1015/100000,""))</f>
        <v>5.4999999999999997E-3</v>
      </c>
      <c r="M1015" s="169">
        <f>IF(OR(B1015="",C1015=""),"",IFERROR(IFERROR(INDEX(Vöruskrá!P:P,MATCH(B1015,Vöruskrá!B:B,0)),0)*C1015/100000,""))</f>
        <v>5.0000000000000002E-5</v>
      </c>
      <c r="N1015" s="169">
        <f>IF(OR(B1015="",C1015=""),"",IFERROR(IFERROR(INDEX(Vöruskrá!Q:Q,MATCH(B1015,Vöruskrá!B:B,0)),0)*C1015/100000,""))</f>
        <v>0</v>
      </c>
      <c r="O1015" s="170">
        <f>IF(OR(B1015="",C1015=""),"",IFERROR(C1015/1000*IFERROR(INDEX(Vöruskrá!R:R,MATCH(B1015,Vöruskrá!B:B,0)),0)/1000,""))</f>
        <v>0</v>
      </c>
      <c r="P1015" s="173"/>
      <c r="Q1015" s="157"/>
      <c r="R1015" s="27"/>
    </row>
    <row r="1016" spans="1:18" ht="15">
      <c r="A1016" s="171"/>
      <c r="B1016" s="171" t="s">
        <v>812</v>
      </c>
      <c r="C1016" s="172">
        <v>25</v>
      </c>
      <c r="D1016" s="168" t="s">
        <v>813</v>
      </c>
      <c r="E1016" s="168"/>
      <c r="F1016" s="168" t="s">
        <v>311</v>
      </c>
      <c r="G1016" s="169">
        <f>IF(OR(B1016="",C1016=""),"",IFERROR(IFERROR(INDEX(Vöruskrá!J:J,MATCH(B1016,Vöruskrá!B:B,0)),0)*C1016/100000,""))</f>
        <v>0.13375000000000001</v>
      </c>
      <c r="H1016" s="169">
        <f>IF(OR(B1016="",C1016=""),"",IFERROR(IFERROR(INDEX(Vöruskrá!K:K,MATCH(B1016,Vöruskrá!B:B,0)),0)*C1016/100000,""))</f>
        <v>8.9999999999999993E-3</v>
      </c>
      <c r="I1016" s="169">
        <f>IF(OR(B1016="",C1016=""),"",IFERROR(IFERROR(INDEX(Vöruskrá!L:L,MATCH(B1016,Vöruskrá!B:B,0)),0)*C1016/100000,""))</f>
        <v>6.4999999999999997E-3</v>
      </c>
      <c r="J1016" s="169">
        <f>IF(OR(B1016="",C1016=""),"",IFERROR(IFERROR(INDEX(Vöruskrá!M:M,MATCH(B1016,Vöruskrá!B:B,0)),0)*C1016/100000,""))</f>
        <v>1.125E-2</v>
      </c>
      <c r="K1016" s="169">
        <f>IF(OR(B1016="",C1016=""),"",IFERROR(IFERROR(INDEX(Vöruskrá!N:N,MATCH(B1016,Vöruskrá!B:B,0)),0)*C1016/100000,""))</f>
        <v>5.7499999999999999E-3</v>
      </c>
      <c r="L1016" s="169">
        <f>IF(OR(B1016="",C1016=""),"",IFERROR(IFERROR(INDEX(Vöruskrá!O:O,MATCH(B1016,Vöruskrá!B:B,0)),0)*C1016/100000,""))</f>
        <v>1.4499999999999999E-3</v>
      </c>
      <c r="M1016" s="169">
        <f>IF(OR(B1016="",C1016=""),"",IFERROR(IFERROR(INDEX(Vöruskrá!P:P,MATCH(B1016,Vöruskrá!B:B,0)),0)*C1016/100000,""))</f>
        <v>2.5000000000000001E-5</v>
      </c>
      <c r="N1016" s="169">
        <f>IF(OR(B1016="",C1016=""),"",IFERROR(IFERROR(INDEX(Vöruskrá!Q:Q,MATCH(B1016,Vöruskrá!B:B,0)),0)*C1016/100000,""))</f>
        <v>0</v>
      </c>
      <c r="O1016" s="170">
        <f>IF(OR(B1016="",C1016=""),"",IFERROR(C1016/1000*IFERROR(INDEX(Vöruskrá!R:R,MATCH(B1016,Vöruskrá!B:B,0)),0)/1000,""))</f>
        <v>0</v>
      </c>
      <c r="P1016" s="171"/>
      <c r="Q1016" s="158"/>
      <c r="R1016" s="6"/>
    </row>
    <row r="1017" spans="1:18" ht="15">
      <c r="A1017" s="173"/>
      <c r="B1017" s="173" t="s">
        <v>1020</v>
      </c>
      <c r="C1017" s="174">
        <v>1500</v>
      </c>
      <c r="D1017" s="168" t="s">
        <v>1020</v>
      </c>
      <c r="E1017" s="168" t="s">
        <v>134</v>
      </c>
      <c r="F1017" s="168"/>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v>
      </c>
      <c r="N1017" s="169">
        <f>IF(OR(B1017="",C1017=""),"",IFERROR(IFERROR(INDEX(Vöruskrá!Q:Q,MATCH(B1017,Vöruskrá!B:B,0)),0)*C1017/100000,""))</f>
        <v>0</v>
      </c>
      <c r="O1017" s="170">
        <f>IF(OR(B1017="",C1017=""),"",IFERROR(C1017/1000*IFERROR(INDEX(Vöruskrá!R:R,MATCH(B1017,Vöruskrá!B:B,0)),0)/1000,""))</f>
        <v>0</v>
      </c>
      <c r="P1017" s="173"/>
      <c r="Q1017" s="201"/>
      <c r="R1017" s="202"/>
    </row>
    <row r="1018" spans="1:18" ht="72">
      <c r="A1018" s="147" t="s">
        <v>2075</v>
      </c>
      <c r="B1018" s="147"/>
      <c r="C1018" s="148"/>
      <c r="D1018" s="165" t="s">
        <v>2076</v>
      </c>
      <c r="E1018" s="165" t="s">
        <v>884</v>
      </c>
      <c r="F1018" s="165"/>
      <c r="G1018" s="166">
        <v>184.35</v>
      </c>
      <c r="H1018" s="166">
        <v>16.940000000000001</v>
      </c>
      <c r="I1018" s="166">
        <v>14.09</v>
      </c>
      <c r="J1018" s="166">
        <v>7.43</v>
      </c>
      <c r="K1018" s="166"/>
      <c r="L1018" s="166">
        <v>0.32</v>
      </c>
      <c r="M1018" s="166">
        <v>1.1399999999999999</v>
      </c>
      <c r="N1018" s="166">
        <f>IFERROR(SUM(N1019:N1029)/(SUM($C$1019:$C$1029)/100000),"")</f>
        <v>0.2277777777777778</v>
      </c>
      <c r="O1018" s="167" t="str">
        <f>IF(OR(B1018="",C1018=""),"",IFERROR(C1018/1000*IFERROR(INDEX(Vöruskrá!R:R,MATCH(B1018,Vöruskrá!B:B,0)),0)/1000,""))</f>
        <v/>
      </c>
      <c r="P1018" s="196" t="s">
        <v>2077</v>
      </c>
      <c r="Q1018" s="195" t="s">
        <v>2078</v>
      </c>
      <c r="R1018" s="194" t="s">
        <v>2079</v>
      </c>
    </row>
    <row r="1019" spans="1:18" ht="15">
      <c r="A1019" s="171"/>
      <c r="B1019" s="171" t="s">
        <v>131</v>
      </c>
      <c r="C1019" s="172">
        <v>20000</v>
      </c>
      <c r="D1019" s="168" t="s">
        <v>133</v>
      </c>
      <c r="E1019" s="168" t="s">
        <v>134</v>
      </c>
      <c r="F1019" s="168"/>
      <c r="G1019" s="169">
        <f>IF(OR(B1019="",C1019=""),"",IFERROR(IFERROR(INDEX(Vöruskrá!J:J,MATCH(B1019,Vöruskrá!B:B,0)),0)*C1019/100000,""))</f>
        <v>59</v>
      </c>
      <c r="H1019" s="169">
        <f>IF(OR(B1019="",C1019=""),"",IFERROR(IFERROR(INDEX(Vöruskrá!K:K,MATCH(B1019,Vöruskrá!B:B,0)),0)*C1019/100000,""))</f>
        <v>6</v>
      </c>
      <c r="I1019" s="169">
        <f>IF(OR(B1019="",C1019=""),"",IFERROR(IFERROR(INDEX(Vöruskrá!L:L,MATCH(B1019,Vöruskrá!B:B,0)),0)*C1019/100000,""))</f>
        <v>5</v>
      </c>
      <c r="J1019" s="169">
        <f>IF(OR(B1019="",C1019=""),"",IFERROR(IFERROR(INDEX(Vöruskrá!M:M,MATCH(B1019,Vöruskrá!B:B,0)),0)*C1019/100000,""))</f>
        <v>1.24</v>
      </c>
      <c r="K1019" s="169">
        <f>IF(OR(B1019="",C1019=""),"",IFERROR(IFERROR(INDEX(Vöruskrá!N:N,MATCH(B1019,Vöruskrá!B:B,0)),0)*C1019/100000,""))</f>
        <v>0</v>
      </c>
      <c r="L1019" s="169">
        <f>IF(OR(B1019="",C1019=""),"",IFERROR(IFERROR(INDEX(Vöruskrá!O:O,MATCH(B1019,Vöruskrá!B:B,0)),0)*C1019/100000,""))</f>
        <v>0</v>
      </c>
      <c r="M1019" s="169">
        <f>IF(OR(B1019="",C1019=""),"",IFERROR(IFERROR(INDEX(Vöruskrá!P:P,MATCH(B1019,Vöruskrá!B:B,0)),0)*C1019/100000,""))</f>
        <v>0.02</v>
      </c>
      <c r="N1019" s="169">
        <f>IF(OR(B1019="",C1019=""),"",IFERROR(IFERROR(INDEX(Vöruskrá!Q:Q,MATCH(B1019,Vöruskrá!B:B,0)),0)*C1019/100000,""))</f>
        <v>0</v>
      </c>
      <c r="O1019" s="170">
        <f>IF(OR(B1019="",C1019=""),"",IFERROR(C1019/1000*IFERROR(INDEX(Vöruskrá!R:R,MATCH(B1019,Vöruskrá!B:B,0)),0)/1000,""))</f>
        <v>0</v>
      </c>
      <c r="P1019" s="171"/>
      <c r="Q1019" s="203"/>
      <c r="R1019" s="204"/>
    </row>
    <row r="1020" spans="1:18" ht="15">
      <c r="A1020" s="173"/>
      <c r="B1020" s="173" t="s">
        <v>457</v>
      </c>
      <c r="C1020" s="174">
        <v>6250</v>
      </c>
      <c r="D1020" s="168" t="s">
        <v>459</v>
      </c>
      <c r="E1020" s="168" t="s">
        <v>134</v>
      </c>
      <c r="F1020" s="168"/>
      <c r="G1020" s="169">
        <f>IF(OR(B1020="",C1020=""),"",IFERROR(IFERROR(INDEX(Vöruskrá!J:J,MATCH(B1020,Vöruskrá!B:B,0)),0)*C1020/100000,""))</f>
        <v>19.0625</v>
      </c>
      <c r="H1020" s="169">
        <f>IF(OR(B1020="",C1020=""),"",IFERROR(IFERROR(INDEX(Vöruskrá!K:K,MATCH(B1020,Vöruskrá!B:B,0)),0)*C1020/100000,""))</f>
        <v>1.5</v>
      </c>
      <c r="I1020" s="169">
        <f>IF(OR(B1020="",C1020=""),"",IFERROR(IFERROR(INDEX(Vöruskrá!L:L,MATCH(B1020,Vöruskrá!B:B,0)),0)*C1020/100000,""))</f>
        <v>1.3125</v>
      </c>
      <c r="J1020" s="169">
        <f>IF(OR(B1020="",C1020=""),"",IFERROR(IFERROR(INDEX(Vöruskrá!M:M,MATCH(B1020,Vöruskrá!B:B,0)),0)*C1020/100000,""))</f>
        <v>1.375</v>
      </c>
      <c r="K1020" s="169">
        <f>IF(OR(B1020="",C1020=""),"",IFERROR(IFERROR(INDEX(Vöruskrá!N:N,MATCH(B1020,Vöruskrá!B:B,0)),0)*C1020/100000,""))</f>
        <v>0</v>
      </c>
      <c r="L1020" s="169">
        <f>IF(OR(B1020="",C1020=""),"",IFERROR(IFERROR(INDEX(Vöruskrá!O:O,MATCH(B1020,Vöruskrá!B:B,0)),0)*C1020/100000,""))</f>
        <v>6.2500000000000003E-3</v>
      </c>
      <c r="M1020" s="169">
        <f>IF(OR(B1020="",C1020=""),"",IFERROR(IFERROR(INDEX(Vöruskrá!P:P,MATCH(B1020,Vöruskrá!B:B,0)),0)*C1020/100000,""))</f>
        <v>0.10625</v>
      </c>
      <c r="N1020" s="169">
        <f>IF(OR(B1020="",C1020=""),"",IFERROR(IFERROR(INDEX(Vöruskrá!Q:Q,MATCH(B1020,Vöruskrá!B:B,0)),0)*C1020/100000,""))</f>
        <v>0</v>
      </c>
      <c r="O1020" s="170">
        <f>IF(OR(B1020="",C1020=""),"",IFERROR(C1020/1000*IFERROR(INDEX(Vöruskrá!R:R,MATCH(B1020,Vöruskrá!B:B,0)),0)/1000,""))</f>
        <v>0</v>
      </c>
      <c r="P1020" s="173"/>
      <c r="Q1020" s="158"/>
      <c r="R1020" s="6"/>
    </row>
    <row r="1021" spans="1:18" ht="15">
      <c r="A1021" s="171"/>
      <c r="B1021" s="171" t="s">
        <v>1465</v>
      </c>
      <c r="C1021" s="172">
        <v>3125</v>
      </c>
      <c r="D1021" s="168"/>
      <c r="E1021" s="168"/>
      <c r="F1021" s="168"/>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v>
      </c>
      <c r="N1021" s="169">
        <f>IF(OR(B1021="",C1021=""),"",IFERROR(IFERROR(INDEX(Vöruskrá!Q:Q,MATCH(B1021,Vöruskrá!B:B,0)),0)*C1021/100000,""))</f>
        <v>0</v>
      </c>
      <c r="O1021" s="170">
        <f>IF(OR(B1021="",C1021=""),"",IFERROR(C1021/1000*IFERROR(INDEX(Vöruskrá!R:R,MATCH(B1021,Vöruskrá!B:B,0)),0)/1000,""))</f>
        <v>0</v>
      </c>
      <c r="P1021" s="171"/>
      <c r="Q1021" s="157"/>
      <c r="R1021" s="27"/>
    </row>
    <row r="1022" spans="1:18" ht="15">
      <c r="A1022" s="173"/>
      <c r="B1022" s="173" t="s">
        <v>1010</v>
      </c>
      <c r="C1022" s="174">
        <v>2500</v>
      </c>
      <c r="D1022" s="168" t="s">
        <v>1010</v>
      </c>
      <c r="E1022" s="168" t="s">
        <v>134</v>
      </c>
      <c r="F1022" s="168"/>
      <c r="G1022" s="169">
        <f>IF(OR(B1022="",C1022=""),"",IFERROR(IFERROR(INDEX(Vöruskrá!J:J,MATCH(B1022,Vöruskrá!B:B,0)),0)*C1022/100000,""))</f>
        <v>1</v>
      </c>
      <c r="H1022" s="169">
        <f>IF(OR(B1022="",C1022=""),"",IFERROR(IFERROR(INDEX(Vöruskrá!K:K,MATCH(B1022,Vöruskrá!B:B,0)),0)*C1022/100000,""))</f>
        <v>2.5000000000000001E-3</v>
      </c>
      <c r="I1022" s="169">
        <f>IF(OR(B1022="",C1022=""),"",IFERROR(IFERROR(INDEX(Vöruskrá!L:L,MATCH(B1022,Vöruskrá!B:B,0)),0)*C1022/100000,""))</f>
        <v>0</v>
      </c>
      <c r="J1022" s="169">
        <f>IF(OR(B1022="",C1022=""),"",IFERROR(IFERROR(INDEX(Vöruskrá!M:M,MATCH(B1022,Vöruskrá!B:B,0)),0)*C1022/100000,""))</f>
        <v>0.23250000000000001</v>
      </c>
      <c r="K1022" s="169">
        <f>IF(OR(B1022="",C1022=""),"",IFERROR(IFERROR(INDEX(Vöruskrá!N:N,MATCH(B1022,Vöruskrá!B:B,0)),0)*C1022/100000,""))</f>
        <v>0.105</v>
      </c>
      <c r="L1022" s="169">
        <f>IF(OR(B1022="",C1022=""),"",IFERROR(IFERROR(INDEX(Vöruskrá!O:O,MATCH(B1022,Vöruskrá!B:B,0)),0)*C1022/100000,""))</f>
        <v>2.75E-2</v>
      </c>
      <c r="M1022" s="169">
        <f>IF(OR(B1022="",C1022=""),"",IFERROR(IFERROR(INDEX(Vöruskrá!P:P,MATCH(B1022,Vöruskrá!B:B,0)),0)*C1022/100000,""))</f>
        <v>0</v>
      </c>
      <c r="N1022" s="169">
        <f>IF(OR(B1022="",C1022=""),"",IFERROR(IFERROR(INDEX(Vöruskrá!Q:Q,MATCH(B1022,Vöruskrá!B:B,0)),0)*C1022/100000,""))</f>
        <v>4.2500000000000003E-2</v>
      </c>
      <c r="O1022" s="170">
        <f>IF(OR(B1022="",C1022=""),"",IFERROR(C1022/1000*IFERROR(INDEX(Vöruskrá!R:R,MATCH(B1022,Vöruskrá!B:B,0)),0)/1000,""))</f>
        <v>0</v>
      </c>
      <c r="P1022" s="173"/>
      <c r="Q1022" s="158"/>
      <c r="R1022" s="6"/>
    </row>
    <row r="1023" spans="1:18" ht="15">
      <c r="A1023" s="171"/>
      <c r="B1023" s="171" t="s">
        <v>723</v>
      </c>
      <c r="C1023" s="172">
        <v>3750</v>
      </c>
      <c r="D1023" s="168" t="s">
        <v>725</v>
      </c>
      <c r="E1023" s="168"/>
      <c r="F1023" s="168"/>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157"/>
      <c r="R1023" s="27"/>
    </row>
    <row r="1024" spans="1:18" ht="15">
      <c r="A1024" s="173"/>
      <c r="B1024" s="173" t="s">
        <v>603</v>
      </c>
      <c r="C1024" s="174">
        <v>2500</v>
      </c>
      <c r="D1024" s="168" t="s">
        <v>605</v>
      </c>
      <c r="E1024" s="168"/>
      <c r="F1024" s="168"/>
      <c r="G1024" s="169">
        <f>IF(OR(B1024="",C1024=""),"",IFERROR(IFERROR(INDEX(Vöruskrá!J:J,MATCH(B1024,Vöruskrá!B:B,0)),0)*C1024/100000,""))</f>
        <v>1.05</v>
      </c>
      <c r="H1024" s="169">
        <f>IF(OR(B1024="",C1024=""),"",IFERROR(IFERROR(INDEX(Vöruskrá!K:K,MATCH(B1024,Vöruskrá!B:B,0)),0)*C1024/100000,""))</f>
        <v>7.4999999999999997E-3</v>
      </c>
      <c r="I1024" s="169">
        <f>IF(OR(B1024="",C1024=""),"",IFERROR(IFERROR(INDEX(Vöruskrá!L:L,MATCH(B1024,Vöruskrá!B:B,0)),0)*C1024/100000,""))</f>
        <v>2.5000000000000001E-3</v>
      </c>
      <c r="J1024" s="169">
        <f>IF(OR(B1024="",C1024=""),"",IFERROR(IFERROR(INDEX(Vöruskrá!M:M,MATCH(B1024,Vöruskrá!B:B,0)),0)*C1024/100000,""))</f>
        <v>0.19750000000000001</v>
      </c>
      <c r="K1024" s="169">
        <f>IF(OR(B1024="",C1024=""),"",IFERROR(IFERROR(INDEX(Vöruskrá!N:N,MATCH(B1024,Vöruskrá!B:B,0)),0)*C1024/100000,""))</f>
        <v>0.185</v>
      </c>
      <c r="L1024" s="169">
        <f>IF(OR(B1024="",C1024=""),"",IFERROR(IFERROR(INDEX(Vöruskrá!O:O,MATCH(B1024,Vöruskrá!B:B,0)),0)*C1024/100000,""))</f>
        <v>1.4999999999999999E-2</v>
      </c>
      <c r="M1024" s="169">
        <f>IF(OR(B1024="",C1024=""),"",IFERROR(IFERROR(INDEX(Vöruskrá!P:P,MATCH(B1024,Vöruskrá!B:B,0)),0)*C1024/100000,""))</f>
        <v>2.5000000000000001E-3</v>
      </c>
      <c r="N1024" s="169">
        <f>IF(OR(B1024="",C1024=""),"",IFERROR(IFERROR(INDEX(Vöruskrá!Q:Q,MATCH(B1024,Vöruskrá!B:B,0)),0)*C1024/100000,""))</f>
        <v>0.06</v>
      </c>
      <c r="O1024" s="170">
        <f>IF(OR(B1024="",C1024=""),"",IFERROR(C1024/1000*IFERROR(INDEX(Vöruskrá!R:R,MATCH(B1024,Vöruskrá!B:B,0)),0)/1000,""))</f>
        <v>0</v>
      </c>
      <c r="P1024" s="173"/>
      <c r="Q1024" s="158"/>
      <c r="R1024" s="6"/>
    </row>
    <row r="1025" spans="1:18" ht="36">
      <c r="A1025" s="171"/>
      <c r="B1025" s="171" t="s">
        <v>882</v>
      </c>
      <c r="C1025" s="172">
        <v>250</v>
      </c>
      <c r="D1025" s="168" t="s">
        <v>576</v>
      </c>
      <c r="E1025" s="168" t="s">
        <v>884</v>
      </c>
      <c r="F1025" s="168"/>
      <c r="G1025" s="169">
        <f>IF(OR(B1025="",C1025=""),"",IFERROR(IFERROR(INDEX(Vöruskrá!J:J,MATCH(B1025,Vöruskrá!B:B,0)),0)*C1025/100000,""))</f>
        <v>0.38250000000000001</v>
      </c>
      <c r="H1025" s="169">
        <f>IF(OR(B1025="",C1025=""),"",IFERROR(IFERROR(INDEX(Vöruskrá!K:K,MATCH(B1025,Vöruskrá!B:B,0)),0)*C1025/100000,""))</f>
        <v>1.0500000000000001E-2</v>
      </c>
      <c r="I1025" s="169">
        <f>IF(OR(B1025="",C1025=""),"",IFERROR(IFERROR(INDEX(Vöruskrá!L:L,MATCH(B1025,Vöruskrá!B:B,0)),0)*C1025/100000,""))</f>
        <v>0</v>
      </c>
      <c r="J1025" s="169">
        <f>IF(OR(B1025="",C1025=""),"",IFERROR(IFERROR(INDEX(Vöruskrá!M:M,MATCH(B1025,Vöruskrá!B:B,0)),0)*C1025/100000,""))</f>
        <v>5.8500000000000003E-2</v>
      </c>
      <c r="K1025" s="169">
        <f>IF(OR(B1025="",C1025=""),"",IFERROR(IFERROR(INDEX(Vöruskrá!N:N,MATCH(B1025,Vöruskrá!B:B,0)),0)*C1025/100000,""))</f>
        <v>0</v>
      </c>
      <c r="L1025" s="169">
        <f>IF(OR(B1025="",C1025=""),"",IFERROR(IFERROR(INDEX(Vöruskrá!O:O,MATCH(B1025,Vöruskrá!B:B,0)),0)*C1025/100000,""))</f>
        <v>1.2749999999999999E-2</v>
      </c>
      <c r="M1025" s="169">
        <f>IF(OR(B1025="",C1025=""),"",IFERROR(IFERROR(INDEX(Vöruskrá!P:P,MATCH(B1025,Vöruskrá!B:B,0)),0)*C1025/100000,""))</f>
        <v>0</v>
      </c>
      <c r="N1025" s="169">
        <f>IF(OR(B1025="",C1025=""),"",IFERROR(IFERROR(INDEX(Vöruskrá!Q:Q,MATCH(B1025,Vöruskrá!B:B,0)),0)*C1025/100000,""))</f>
        <v>0</v>
      </c>
      <c r="O1025" s="170">
        <f>IF(OR(B1025="",C1025=""),"",IFERROR(C1025/1000*IFERROR(INDEX(Vöruskrá!R:R,MATCH(B1025,Vöruskrá!B:B,0)),0)/1000,""))</f>
        <v>0</v>
      </c>
      <c r="P1025" s="171"/>
      <c r="Q1025" s="157"/>
      <c r="R1025" s="27"/>
    </row>
    <row r="1026" spans="1:18" ht="15">
      <c r="A1026" s="173"/>
      <c r="B1026" s="173" t="s">
        <v>299</v>
      </c>
      <c r="C1026" s="174">
        <v>375</v>
      </c>
      <c r="D1026" s="168" t="s">
        <v>302</v>
      </c>
      <c r="E1026" s="168" t="s">
        <v>134</v>
      </c>
      <c r="F1026" s="168" t="s">
        <v>303</v>
      </c>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0.375</v>
      </c>
      <c r="N1026" s="169">
        <f>IF(OR(B1026="",C1026=""),"",IFERROR(IFERROR(INDEX(Vöruskrá!Q:Q,MATCH(B1026,Vöruskrá!B:B,0)),0)*C1026/100000,""))</f>
        <v>0</v>
      </c>
      <c r="O1026" s="170">
        <f>IF(OR(B1026="",C1026=""),"",IFERROR(C1026/1000*IFERROR(INDEX(Vöruskrá!R:R,MATCH(B1026,Vöruskrá!B:B,0)),0)/1000,""))</f>
        <v>0</v>
      </c>
      <c r="P1026" s="173"/>
      <c r="Q1026" s="158"/>
      <c r="R1026" s="6"/>
    </row>
    <row r="1027" spans="1:18" ht="15">
      <c r="A1027" s="171"/>
      <c r="B1027" s="171" t="s">
        <v>819</v>
      </c>
      <c r="C1027" s="172">
        <v>50</v>
      </c>
      <c r="D1027" s="168" t="s">
        <v>820</v>
      </c>
      <c r="E1027" s="168"/>
      <c r="F1027" s="168" t="s">
        <v>311</v>
      </c>
      <c r="G1027" s="169">
        <f>IF(OR(B1027="",C1027=""),"",IFERROR(IFERROR(INDEX(Vöruskrá!J:J,MATCH(B1027,Vöruskrá!B:B,0)),0)*C1027/100000,""))</f>
        <v>0.193</v>
      </c>
      <c r="H1027" s="169">
        <f>IF(OR(B1027="",C1027=""),"",IFERROR(IFERROR(INDEX(Vöruskrá!K:K,MATCH(B1027,Vöruskrá!B:B,0)),0)*C1027/100000,""))</f>
        <v>1.65E-3</v>
      </c>
      <c r="I1027" s="169">
        <f>IF(OR(B1027="",C1027=""),"",IFERROR(IFERROR(INDEX(Vöruskrá!L:L,MATCH(B1027,Vöruskrá!B:B,0)),0)*C1027/100000,""))</f>
        <v>5.0000000000000001E-4</v>
      </c>
      <c r="J1027" s="169">
        <f>IF(OR(B1027="",C1027=""),"",IFERROR(IFERROR(INDEX(Vöruskrá!M:M,MATCH(B1027,Vöruskrá!B:B,0)),0)*C1027/100000,""))</f>
        <v>3.2500000000000001E-2</v>
      </c>
      <c r="K1027" s="169">
        <f>IF(OR(B1027="",C1027=""),"",IFERROR(IFERROR(INDEX(Vöruskrá!N:N,MATCH(B1027,Vöruskrá!B:B,0)),0)*C1027/100000,""))</f>
        <v>2.9999999999999997E-4</v>
      </c>
      <c r="L1027" s="169">
        <f>IF(OR(B1027="",C1027=""),"",IFERROR(IFERROR(INDEX(Vöruskrá!O:O,MATCH(B1027,Vöruskrá!B:B,0)),0)*C1027/100000,""))</f>
        <v>5.4999999999999997E-3</v>
      </c>
      <c r="M1027" s="169">
        <f>IF(OR(B1027="",C1027=""),"",IFERROR(IFERROR(INDEX(Vöruskrá!P:P,MATCH(B1027,Vöruskrá!B:B,0)),0)*C1027/100000,""))</f>
        <v>5.0000000000000002E-5</v>
      </c>
      <c r="N1027" s="169">
        <f>IF(OR(B1027="",C1027=""),"",IFERROR(IFERROR(INDEX(Vöruskrá!Q:Q,MATCH(B1027,Vöruskrá!B:B,0)),0)*C1027/100000,""))</f>
        <v>0</v>
      </c>
      <c r="O1027" s="170">
        <f>IF(OR(B1027="",C1027=""),"",IFERROR(C1027/1000*IFERROR(INDEX(Vöruskrá!R:R,MATCH(B1027,Vöruskrá!B:B,0)),0)/1000,""))</f>
        <v>0</v>
      </c>
      <c r="P1027" s="171"/>
      <c r="Q1027" s="157"/>
      <c r="R1027" s="27"/>
    </row>
    <row r="1028" spans="1:18" ht="15">
      <c r="A1028" s="173"/>
      <c r="B1028" s="173" t="s">
        <v>812</v>
      </c>
      <c r="C1028" s="174">
        <v>25</v>
      </c>
      <c r="D1028" s="168" t="s">
        <v>813</v>
      </c>
      <c r="E1028" s="168"/>
      <c r="F1028" s="168" t="s">
        <v>311</v>
      </c>
      <c r="G1028" s="169">
        <f>IF(OR(B1028="",C1028=""),"",IFERROR(IFERROR(INDEX(Vöruskrá!J:J,MATCH(B1028,Vöruskrá!B:B,0)),0)*C1028/100000,""))</f>
        <v>0.13375000000000001</v>
      </c>
      <c r="H1028" s="169">
        <f>IF(OR(B1028="",C1028=""),"",IFERROR(IFERROR(INDEX(Vöruskrá!K:K,MATCH(B1028,Vöruskrá!B:B,0)),0)*C1028/100000,""))</f>
        <v>8.9999999999999993E-3</v>
      </c>
      <c r="I1028" s="169">
        <f>IF(OR(B1028="",C1028=""),"",IFERROR(IFERROR(INDEX(Vöruskrá!L:L,MATCH(B1028,Vöruskrá!B:B,0)),0)*C1028/100000,""))</f>
        <v>6.4999999999999997E-3</v>
      </c>
      <c r="J1028" s="169">
        <f>IF(OR(B1028="",C1028=""),"",IFERROR(IFERROR(INDEX(Vöruskrá!M:M,MATCH(B1028,Vöruskrá!B:B,0)),0)*C1028/100000,""))</f>
        <v>1.125E-2</v>
      </c>
      <c r="K1028" s="169">
        <f>IF(OR(B1028="",C1028=""),"",IFERROR(IFERROR(INDEX(Vöruskrá!N:N,MATCH(B1028,Vöruskrá!B:B,0)),0)*C1028/100000,""))</f>
        <v>5.7499999999999999E-3</v>
      </c>
      <c r="L1028" s="169">
        <f>IF(OR(B1028="",C1028=""),"",IFERROR(IFERROR(INDEX(Vöruskrá!O:O,MATCH(B1028,Vöruskrá!B:B,0)),0)*C1028/100000,""))</f>
        <v>1.4499999999999999E-3</v>
      </c>
      <c r="M1028" s="169">
        <f>IF(OR(B1028="",C1028=""),"",IFERROR(IFERROR(INDEX(Vöruskrá!P:P,MATCH(B1028,Vöruskrá!B:B,0)),0)*C1028/100000,""))</f>
        <v>2.5000000000000001E-5</v>
      </c>
      <c r="N1028" s="169">
        <f>IF(OR(B1028="",C1028=""),"",IFERROR(IFERROR(INDEX(Vöruskrá!Q:Q,MATCH(B1028,Vöruskrá!B:B,0)),0)*C1028/100000,""))</f>
        <v>0</v>
      </c>
      <c r="O1028" s="170">
        <f>IF(OR(B1028="",C1028=""),"",IFERROR(C1028/1000*IFERROR(INDEX(Vöruskrá!R:R,MATCH(B1028,Vöruskrá!B:B,0)),0)/1000,""))</f>
        <v>0</v>
      </c>
      <c r="P1028" s="173"/>
      <c r="Q1028" s="158"/>
      <c r="R1028" s="6"/>
    </row>
    <row r="1029" spans="1:18" ht="15">
      <c r="A1029" s="171"/>
      <c r="B1029" s="171" t="s">
        <v>1020</v>
      </c>
      <c r="C1029" s="172">
        <v>6175</v>
      </c>
      <c r="D1029" s="168" t="s">
        <v>1020</v>
      </c>
      <c r="E1029" s="168" t="s">
        <v>134</v>
      </c>
      <c r="F1029" s="168"/>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v>
      </c>
      <c r="N1029" s="169">
        <f>IF(OR(B1029="",C1029=""),"",IFERROR(IFERROR(INDEX(Vöruskrá!Q:Q,MATCH(B1029,Vöruskrá!B:B,0)),0)*C1029/100000,""))</f>
        <v>0</v>
      </c>
      <c r="O1029" s="170">
        <f>IF(OR(B1029="",C1029=""),"",IFERROR(C1029/1000*IFERROR(INDEX(Vöruskrá!R:R,MATCH(B1029,Vöruskrá!B:B,0)),0)/1000,""))</f>
        <v>0</v>
      </c>
      <c r="P1029" s="171"/>
      <c r="Q1029" s="201"/>
      <c r="R1029" s="202"/>
    </row>
    <row r="1030" spans="1:18" ht="48">
      <c r="A1030" s="147" t="s">
        <v>2080</v>
      </c>
      <c r="B1030" s="147"/>
      <c r="C1030" s="148"/>
      <c r="D1030" s="165" t="s">
        <v>2081</v>
      </c>
      <c r="E1030" s="165" t="s">
        <v>2082</v>
      </c>
      <c r="F1030" s="165"/>
      <c r="G1030" s="166">
        <v>117.37</v>
      </c>
      <c r="H1030" s="166">
        <v>7.75</v>
      </c>
      <c r="I1030" s="166">
        <v>4.51</v>
      </c>
      <c r="J1030" s="166">
        <v>2.59</v>
      </c>
      <c r="K1030" s="166"/>
      <c r="L1030" s="166">
        <v>9.1199999999999992</v>
      </c>
      <c r="M1030" s="166">
        <v>2.14</v>
      </c>
      <c r="N1030" s="166">
        <f>IFERROR(SUM(N1031:N1038)/(SUM($C$1031:$C$1038)/100000),"")</f>
        <v>0.3175</v>
      </c>
      <c r="O1030" s="167" t="str">
        <f>IF(OR(B1030="",C1030=""),"",IFERROR(C1030/1000*IFERROR(INDEX(Vöruskrá!R:R,MATCH(B1030,Vöruskrá!B:B,0)),0)/1000,""))</f>
        <v/>
      </c>
      <c r="P1030" s="196" t="s">
        <v>2083</v>
      </c>
      <c r="Q1030" s="199" t="s">
        <v>2084</v>
      </c>
      <c r="R1030" s="198" t="s">
        <v>2085</v>
      </c>
    </row>
    <row r="1031" spans="1:18" ht="15">
      <c r="A1031" s="171"/>
      <c r="B1031" s="171" t="s">
        <v>1510</v>
      </c>
      <c r="C1031" s="172">
        <v>20000</v>
      </c>
      <c r="D1031" s="168"/>
      <c r="E1031" s="168"/>
      <c r="F1031" s="168"/>
      <c r="G1031" s="169">
        <f>IF(OR(B1031="",C1031=""),"",IFERROR(IFERROR(INDEX(Vöruskrá!J:J,MATCH(B1031,Vöruskrá!B:B,0)),0)*C1031/100000,""))</f>
        <v>0</v>
      </c>
      <c r="H1031" s="169">
        <f>IF(OR(B1031="",C1031=""),"",IFERROR(IFERROR(INDEX(Vöruskrá!K:K,MATCH(B1031,Vöruskrá!B:B,0)),0)*C1031/100000,""))</f>
        <v>0</v>
      </c>
      <c r="I1031" s="169">
        <f>IF(OR(B1031="",C1031=""),"",IFERROR(IFERROR(INDEX(Vöruskrá!L:L,MATCH(B1031,Vöruskrá!B:B,0)),0)*C1031/100000,""))</f>
        <v>0</v>
      </c>
      <c r="J1031" s="169">
        <f>IF(OR(B1031="",C1031=""),"",IFERROR(IFERROR(INDEX(Vöruskrá!M:M,MATCH(B1031,Vöruskrá!B:B,0)),0)*C1031/100000,""))</f>
        <v>0</v>
      </c>
      <c r="K1031" s="169">
        <f>IF(OR(B1031="",C1031=""),"",IFERROR(IFERROR(INDEX(Vöruskrá!N:N,MATCH(B1031,Vöruskrá!B:B,0)),0)*C1031/100000,""))</f>
        <v>0</v>
      </c>
      <c r="L1031" s="169">
        <f>IF(OR(B1031="",C1031=""),"",IFERROR(IFERROR(INDEX(Vöruskrá!O:O,MATCH(B1031,Vöruskrá!B:B,0)),0)*C1031/100000,""))</f>
        <v>0</v>
      </c>
      <c r="M1031" s="169">
        <f>IF(OR(B1031="",C1031=""),"",IFERROR(IFERROR(INDEX(Vöruskrá!P:P,MATCH(B1031,Vöruskrá!B:B,0)),0)*C1031/100000,""))</f>
        <v>0</v>
      </c>
      <c r="N1031" s="169">
        <f>IF(OR(B1031="",C1031=""),"",IFERROR(IFERROR(INDEX(Vöruskrá!Q:Q,MATCH(B1031,Vöruskrá!B:B,0)),0)*C1031/100000,""))</f>
        <v>0</v>
      </c>
      <c r="O1031" s="170">
        <f>IF(OR(B1031="",C1031=""),"",IFERROR(C1031/1000*IFERROR(INDEX(Vöruskrá!R:R,MATCH(B1031,Vöruskrá!B:B,0)),0)/1000,""))</f>
        <v>0</v>
      </c>
      <c r="P1031" s="171"/>
      <c r="Q1031" s="203"/>
      <c r="R1031" s="204"/>
    </row>
    <row r="1032" spans="1:18">
      <c r="A1032" s="185"/>
      <c r="B1032" s="185" t="s">
        <v>500</v>
      </c>
      <c r="C1032" s="186">
        <v>15000</v>
      </c>
      <c r="D1032" s="182" t="s">
        <v>1129</v>
      </c>
      <c r="E1032" s="182" t="s">
        <v>1099</v>
      </c>
      <c r="F1032" s="182"/>
      <c r="G1032" s="183">
        <f>IF(OR(B1032="",C1032=""),"",IFERROR(IFERROR(INDEX(Vöruskrá!J:J,MATCH(B1032,Vöruskrá!B:B,0)),0)*C1032/100000,""))</f>
        <v>2.7</v>
      </c>
      <c r="H1032" s="183">
        <f>IF(OR(B1032="",C1032=""),"",IFERROR(IFERROR(INDEX(Vöruskrá!K:K,MATCH(B1032,Vöruskrá!B:B,0)),0)*C1032/100000,""))</f>
        <v>0.03</v>
      </c>
      <c r="I1032" s="183">
        <f>IF(OR(B1032="",C1032=""),"",IFERROR(IFERROR(INDEX(Vöruskrá!L:L,MATCH(B1032,Vöruskrá!B:B,0)),0)*C1032/100000,""))</f>
        <v>0</v>
      </c>
      <c r="J1032" s="183">
        <f>IF(OR(B1032="",C1032=""),"",IFERROR(IFERROR(INDEX(Vöruskrá!M:M,MATCH(B1032,Vöruskrá!B:B,0)),0)*C1032/100000,""))</f>
        <v>0.58499999999999996</v>
      </c>
      <c r="K1032" s="183">
        <f>IF(OR(B1032="",C1032=""),"",IFERROR(IFERROR(INDEX(Vöruskrá!N:N,MATCH(B1032,Vöruskrá!B:B,0)),0)*C1032/100000,""))</f>
        <v>0.39</v>
      </c>
      <c r="L1032" s="183">
        <f>IF(OR(B1032="",C1032=""),"",IFERROR(IFERROR(INDEX(Vöruskrá!O:O,MATCH(B1032,Vöruskrá!B:B,0)),0)*C1032/100000,""))</f>
        <v>0.13500000000000001</v>
      </c>
      <c r="M1032" s="183">
        <f>IF(OR(B1032="",C1032=""),"",IFERROR(IFERROR(INDEX(Vöruskrá!P:P,MATCH(B1032,Vöruskrá!B:B,0)),0)*C1032/100000,""))</f>
        <v>0</v>
      </c>
      <c r="N1032" s="183">
        <f>IF(OR(B1032="",C1032=""),"",IFERROR(IFERROR(INDEX(Vöruskrá!Q:Q,MATCH(B1032,Vöruskrá!B:B,0)),0)*C1032/100000,""))</f>
        <v>0.18</v>
      </c>
      <c r="O1032" s="184">
        <f>IF(OR(B1032="",C1032=""),"",IFERROR(C1032/1000*IFERROR(INDEX(Vöruskrá!R:R,MATCH(B1032,Vöruskrá!B:B,0)),0)/1000,""))</f>
        <v>0</v>
      </c>
      <c r="P1032" s="185"/>
    </row>
    <row r="1033" spans="1:18">
      <c r="A1033" s="187"/>
      <c r="B1033" s="187" t="s">
        <v>895</v>
      </c>
      <c r="C1033" s="188">
        <v>15000</v>
      </c>
      <c r="D1033" s="182" t="s">
        <v>897</v>
      </c>
      <c r="E1033" s="182" t="s">
        <v>120</v>
      </c>
      <c r="F1033" s="182"/>
      <c r="G1033" s="183">
        <f>IF(OR(B1033="",C1033=""),"",IFERROR(IFERROR(INDEX(Vöruskrá!J:J,MATCH(B1033,Vöruskrá!B:B,0)),0)*C1033/100000,""))</f>
        <v>45.15</v>
      </c>
      <c r="H1033" s="183">
        <f>IF(OR(B1033="",C1033=""),"",IFERROR(IFERROR(INDEX(Vöruskrá!K:K,MATCH(B1033,Vöruskrá!B:B,0)),0)*C1033/100000,""))</f>
        <v>3.15</v>
      </c>
      <c r="I1033" s="183">
        <f>IF(OR(B1033="",C1033=""),"",IFERROR(IFERROR(INDEX(Vöruskrá!L:L,MATCH(B1033,Vöruskrá!B:B,0)),0)*C1033/100000,""))</f>
        <v>1.8</v>
      </c>
      <c r="J1033" s="183">
        <f>IF(OR(B1033="",C1033=""),"",IFERROR(IFERROR(INDEX(Vöruskrá!M:M,MATCH(B1033,Vöruskrá!B:B,0)),0)*C1033/100000,""))</f>
        <v>0.48</v>
      </c>
      <c r="K1033" s="183">
        <f>IF(OR(B1033="",C1033=""),"",IFERROR(IFERROR(INDEX(Vöruskrá!N:N,MATCH(B1033,Vöruskrá!B:B,0)),0)*C1033/100000,""))</f>
        <v>0.15</v>
      </c>
      <c r="L1033" s="183">
        <f>IF(OR(B1033="",C1033=""),"",IFERROR(IFERROR(INDEX(Vöruskrá!O:O,MATCH(B1033,Vöruskrá!B:B,0)),0)*C1033/100000,""))</f>
        <v>3.6</v>
      </c>
      <c r="M1033" s="183">
        <f>IF(OR(B1033="",C1033=""),"",IFERROR(IFERROR(INDEX(Vöruskrá!P:P,MATCH(B1033,Vöruskrá!B:B,0)),0)*C1033/100000,""))</f>
        <v>0.21</v>
      </c>
      <c r="N1033" s="183">
        <f>IF(OR(B1033="",C1033=""),"",IFERROR(IFERROR(INDEX(Vöruskrá!Q:Q,MATCH(B1033,Vöruskrá!B:B,0)),0)*C1033/100000,""))</f>
        <v>0</v>
      </c>
      <c r="O1033" s="184">
        <f>IF(OR(B1033="",C1033=""),"",IFERROR(C1033/1000*IFERROR(INDEX(Vöruskrá!R:R,MATCH(B1033,Vöruskrá!B:B,0)),0)/1000,""))</f>
        <v>0</v>
      </c>
      <c r="P1033" s="187"/>
    </row>
    <row r="1034" spans="1:18">
      <c r="A1034" s="185"/>
      <c r="B1034" s="185" t="s">
        <v>1090</v>
      </c>
      <c r="C1034" s="186">
        <v>5000</v>
      </c>
      <c r="D1034" s="182" t="s">
        <v>1092</v>
      </c>
      <c r="E1034" s="182" t="s">
        <v>1093</v>
      </c>
      <c r="F1034" s="182" t="s">
        <v>1094</v>
      </c>
      <c r="G1034" s="183">
        <f>IF(OR(B1034="",C1034=""),"",IFERROR(IFERROR(INDEX(Vöruskrá!J:J,MATCH(B1034,Vöruskrá!B:B,0)),0)*C1034/100000,""))</f>
        <v>19.899999999999999</v>
      </c>
      <c r="H1034" s="183">
        <f>IF(OR(B1034="",C1034=""),"",IFERROR(IFERROR(INDEX(Vöruskrá!K:K,MATCH(B1034,Vöruskrá!B:B,0)),0)*C1034/100000,""))</f>
        <v>1.45</v>
      </c>
      <c r="I1034" s="183">
        <f>IF(OR(B1034="",C1034=""),"",IFERROR(IFERROR(INDEX(Vöruskrá!L:L,MATCH(B1034,Vöruskrá!B:B,0)),0)*C1034/100000,""))</f>
        <v>0.9</v>
      </c>
      <c r="J1034" s="183">
        <f>IF(OR(B1034="",C1034=""),"",IFERROR(IFERROR(INDEX(Vöruskrá!M:M,MATCH(B1034,Vöruskrá!B:B,0)),0)*C1034/100000,""))</f>
        <v>0</v>
      </c>
      <c r="K1034" s="183">
        <f>IF(OR(B1034="",C1034=""),"",IFERROR(IFERROR(INDEX(Vöruskrá!N:N,MATCH(B1034,Vöruskrá!B:B,0)),0)*C1034/100000,""))</f>
        <v>0</v>
      </c>
      <c r="L1034" s="183">
        <f>IF(OR(B1034="",C1034=""),"",IFERROR(IFERROR(INDEX(Vöruskrá!O:O,MATCH(B1034,Vöruskrá!B:B,0)),0)*C1034/100000,""))</f>
        <v>1.65</v>
      </c>
      <c r="M1034" s="183">
        <f>IF(OR(B1034="",C1034=""),"",IFERROR(IFERROR(INDEX(Vöruskrá!P:P,MATCH(B1034,Vöruskrá!B:B,0)),0)*C1034/100000,""))</f>
        <v>7.4999999999999997E-2</v>
      </c>
      <c r="N1034" s="183">
        <f>IF(OR(B1034="",C1034=""),"",IFERROR(IFERROR(INDEX(Vöruskrá!Q:Q,MATCH(B1034,Vöruskrá!B:B,0)),0)*C1034/100000,""))</f>
        <v>0</v>
      </c>
      <c r="O1034" s="184">
        <f>IF(OR(B1034="",C1034=""),"",IFERROR(C1034/1000*IFERROR(INDEX(Vöruskrá!R:R,MATCH(B1034,Vöruskrá!B:B,0)),0)/1000,""))</f>
        <v>0</v>
      </c>
      <c r="P1034" s="185"/>
    </row>
    <row r="1035" spans="1:18">
      <c r="A1035" s="187"/>
      <c r="B1035" s="187" t="s">
        <v>1467</v>
      </c>
      <c r="C1035" s="188">
        <v>3000</v>
      </c>
      <c r="D1035" s="182"/>
      <c r="E1035" s="182"/>
      <c r="F1035" s="182"/>
      <c r="G1035" s="183">
        <f>IF(OR(B1035="",C1035=""),"",IFERROR(IFERROR(INDEX(Vöruskrá!J:J,MATCH(B1035,Vöruskrá!B:B,0)),0)*C1035/100000,""))</f>
        <v>0</v>
      </c>
      <c r="H1035" s="183">
        <f>IF(OR(B1035="",C1035=""),"",IFERROR(IFERROR(INDEX(Vöruskrá!K:K,MATCH(B1035,Vöruskrá!B:B,0)),0)*C1035/100000,""))</f>
        <v>0</v>
      </c>
      <c r="I1035" s="183">
        <f>IF(OR(B1035="",C1035=""),"",IFERROR(IFERROR(INDEX(Vöruskrá!L:L,MATCH(B1035,Vöruskrá!B:B,0)),0)*C1035/100000,""))</f>
        <v>0</v>
      </c>
      <c r="J1035" s="183">
        <f>IF(OR(B1035="",C1035=""),"",IFERROR(IFERROR(INDEX(Vöruskrá!M:M,MATCH(B1035,Vöruskrá!B:B,0)),0)*C1035/100000,""))</f>
        <v>0</v>
      </c>
      <c r="K1035" s="183">
        <f>IF(OR(B1035="",C1035=""),"",IFERROR(IFERROR(INDEX(Vöruskrá!N:N,MATCH(B1035,Vöruskrá!B:B,0)),0)*C1035/100000,""))</f>
        <v>0</v>
      </c>
      <c r="L1035" s="183">
        <f>IF(OR(B1035="",C1035=""),"",IFERROR(IFERROR(INDEX(Vöruskrá!O:O,MATCH(B1035,Vöruskrá!B:B,0)),0)*C1035/100000,""))</f>
        <v>0</v>
      </c>
      <c r="M1035" s="183">
        <f>IF(OR(B1035="",C1035=""),"",IFERROR(IFERROR(INDEX(Vöruskrá!P:P,MATCH(B1035,Vöruskrá!B:B,0)),0)*C1035/100000,""))</f>
        <v>0</v>
      </c>
      <c r="N1035" s="183">
        <f>IF(OR(B1035="",C1035=""),"",IFERROR(IFERROR(INDEX(Vöruskrá!Q:Q,MATCH(B1035,Vöruskrá!B:B,0)),0)*C1035/100000,""))</f>
        <v>0</v>
      </c>
      <c r="O1035" s="184">
        <f>IF(OR(B1035="",C1035=""),"",IFERROR(C1035/1000*IFERROR(INDEX(Vöruskrá!R:R,MATCH(B1035,Vöruskrá!B:B,0)),0)/1000,""))</f>
        <v>0</v>
      </c>
      <c r="P1035" s="187"/>
    </row>
    <row r="1036" spans="1:18">
      <c r="A1036" s="185"/>
      <c r="B1036" s="185" t="s">
        <v>1017</v>
      </c>
      <c r="C1036" s="186">
        <v>500</v>
      </c>
      <c r="D1036" s="182" t="s">
        <v>1017</v>
      </c>
      <c r="E1036" s="182" t="s">
        <v>134</v>
      </c>
      <c r="F1036" s="182"/>
      <c r="G1036" s="183">
        <f>IF(OR(B1036="",C1036=""),"",IFERROR(IFERROR(INDEX(Vöruskrá!J:J,MATCH(B1036,Vöruskrá!B:B,0)),0)*C1036/100000,""))</f>
        <v>0.745</v>
      </c>
      <c r="H1036" s="183">
        <f>IF(OR(B1036="",C1036=""),"",IFERROR(IFERROR(INDEX(Vöruskrá!K:K,MATCH(B1036,Vöruskrá!B:B,0)),0)*C1036/100000,""))</f>
        <v>2.5000000000000001E-3</v>
      </c>
      <c r="I1036" s="183">
        <f>IF(OR(B1036="",C1036=""),"",IFERROR(IFERROR(INDEX(Vöruskrá!L:L,MATCH(B1036,Vöruskrá!B:B,0)),0)*C1036/100000,""))</f>
        <v>5.0000000000000001E-4</v>
      </c>
      <c r="J1036" s="183">
        <f>IF(OR(B1036="",C1036=""),"",IFERROR(IFERROR(INDEX(Vöruskrá!M:M,MATCH(B1036,Vöruskrá!B:B,0)),0)*C1036/100000,""))</f>
        <v>0.16550000000000001</v>
      </c>
      <c r="K1036" s="183">
        <f>IF(OR(B1036="",C1036=""),"",IFERROR(IFERROR(INDEX(Vöruskrá!N:N,MATCH(B1036,Vöruskrá!B:B,0)),0)*C1036/100000,""))</f>
        <v>5.0000000000000001E-3</v>
      </c>
      <c r="L1036" s="183">
        <f>IF(OR(B1036="",C1036=""),"",IFERROR(IFERROR(INDEX(Vöruskrá!O:O,MATCH(B1036,Vöruskrá!B:B,0)),0)*C1036/100000,""))</f>
        <v>3.2000000000000001E-2</v>
      </c>
      <c r="M1036" s="183">
        <f>IF(OR(B1036="",C1036=""),"",IFERROR(IFERROR(INDEX(Vöruskrá!P:P,MATCH(B1036,Vöruskrá!B:B,0)),0)*C1036/100000,""))</f>
        <v>0</v>
      </c>
      <c r="N1036" s="183">
        <f>IF(OR(B1036="",C1036=""),"",IFERROR(IFERROR(INDEX(Vöruskrá!Q:Q,MATCH(B1036,Vöruskrá!B:B,0)),0)*C1036/100000,""))</f>
        <v>1.0500000000000001E-2</v>
      </c>
      <c r="O1036" s="184">
        <f>IF(OR(B1036="",C1036=""),"",IFERROR(C1036/1000*IFERROR(INDEX(Vöruskrá!R:R,MATCH(B1036,Vöruskrá!B:B,0)),0)/1000,""))</f>
        <v>0</v>
      </c>
      <c r="P1036" s="185"/>
    </row>
    <row r="1037" spans="1:18">
      <c r="A1037" s="187"/>
      <c r="B1037" s="187" t="s">
        <v>299</v>
      </c>
      <c r="C1037" s="188">
        <v>1000</v>
      </c>
      <c r="D1037" s="182" t="s">
        <v>302</v>
      </c>
      <c r="E1037" s="182" t="s">
        <v>134</v>
      </c>
      <c r="F1037" s="182" t="s">
        <v>303</v>
      </c>
      <c r="G1037" s="183">
        <f>IF(OR(B1037="",C1037=""),"",IFERROR(IFERROR(INDEX(Vöruskrá!J:J,MATCH(B1037,Vöruskrá!B:B,0)),0)*C1037/100000,""))</f>
        <v>0</v>
      </c>
      <c r="H1037" s="183">
        <f>IF(OR(B1037="",C1037=""),"",IFERROR(IFERROR(INDEX(Vöruskrá!K:K,MATCH(B1037,Vöruskrá!B:B,0)),0)*C1037/100000,""))</f>
        <v>0</v>
      </c>
      <c r="I1037" s="183">
        <f>IF(OR(B1037="",C1037=""),"",IFERROR(IFERROR(INDEX(Vöruskrá!L:L,MATCH(B1037,Vöruskrá!B:B,0)),0)*C1037/100000,""))</f>
        <v>0</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0</v>
      </c>
      <c r="M1037" s="183">
        <f>IF(OR(B1037="",C1037=""),"",IFERROR(IFERROR(INDEX(Vöruskrá!P:P,MATCH(B1037,Vöruskrá!B:B,0)),0)*C1037/100000,""))</f>
        <v>1</v>
      </c>
      <c r="N1037" s="183">
        <f>IF(OR(B1037="",C1037=""),"",IFERROR(IFERROR(INDEX(Vöruskrá!Q:Q,MATCH(B1037,Vöruskrá!B:B,0)),0)*C1037/100000,""))</f>
        <v>0</v>
      </c>
      <c r="O1037" s="184">
        <f>IF(OR(B1037="",C1037=""),"",IFERROR(C1037/1000*IFERROR(INDEX(Vöruskrá!R:R,MATCH(B1037,Vöruskrá!B:B,0)),0)/1000,""))</f>
        <v>0</v>
      </c>
      <c r="P1037" s="187"/>
    </row>
    <row r="1038" spans="1:18">
      <c r="A1038" s="185"/>
      <c r="B1038" s="185" t="s">
        <v>819</v>
      </c>
      <c r="C1038" s="186">
        <v>500</v>
      </c>
      <c r="D1038" s="182" t="s">
        <v>820</v>
      </c>
      <c r="E1038" s="182"/>
      <c r="F1038" s="182" t="s">
        <v>311</v>
      </c>
      <c r="G1038" s="183">
        <f>IF(OR(B1038="",C1038=""),"",IFERROR(IFERROR(INDEX(Vöruskrá!J:J,MATCH(B1038,Vöruskrá!B:B,0)),0)*C1038/100000,""))</f>
        <v>1.93</v>
      </c>
      <c r="H1038" s="183">
        <f>IF(OR(B1038="",C1038=""),"",IFERROR(IFERROR(INDEX(Vöruskrá!K:K,MATCH(B1038,Vöruskrá!B:B,0)),0)*C1038/100000,""))</f>
        <v>1.6500000000000001E-2</v>
      </c>
      <c r="I1038" s="183">
        <f>IF(OR(B1038="",C1038=""),"",IFERROR(IFERROR(INDEX(Vöruskrá!L:L,MATCH(B1038,Vöruskrá!B:B,0)),0)*C1038/100000,""))</f>
        <v>5.0000000000000001E-3</v>
      </c>
      <c r="J1038" s="183">
        <f>IF(OR(B1038="",C1038=""),"",IFERROR(IFERROR(INDEX(Vöruskrá!M:M,MATCH(B1038,Vöruskrá!B:B,0)),0)*C1038/100000,""))</f>
        <v>0.32500000000000001</v>
      </c>
      <c r="K1038" s="183">
        <f>IF(OR(B1038="",C1038=""),"",IFERROR(IFERROR(INDEX(Vöruskrá!N:N,MATCH(B1038,Vöruskrá!B:B,0)),0)*C1038/100000,""))</f>
        <v>3.0000000000000001E-3</v>
      </c>
      <c r="L1038" s="183">
        <f>IF(OR(B1038="",C1038=""),"",IFERROR(IFERROR(INDEX(Vöruskrá!O:O,MATCH(B1038,Vöruskrá!B:B,0)),0)*C1038/100000,""))</f>
        <v>5.5E-2</v>
      </c>
      <c r="M1038" s="183">
        <f>IF(OR(B1038="",C1038=""),"",IFERROR(IFERROR(INDEX(Vöruskrá!P:P,MATCH(B1038,Vöruskrá!B:B,0)),0)*C1038/100000,""))</f>
        <v>5.0000000000000001E-4</v>
      </c>
      <c r="N1038" s="183">
        <f>IF(OR(B1038="",C1038=""),"",IFERROR(IFERROR(INDEX(Vöruskrá!Q:Q,MATCH(B1038,Vöruskrá!B:B,0)),0)*C1038/100000,""))</f>
        <v>0</v>
      </c>
      <c r="O1038" s="184">
        <f>IF(OR(B1038="",C1038=""),"",IFERROR(C1038/1000*IFERROR(INDEX(Vöruskrá!R:R,MATCH(B1038,Vöruskrá!B:B,0)),0)/1000,""))</f>
        <v>0</v>
      </c>
      <c r="P1038" s="185"/>
    </row>
    <row r="1039" spans="1:18" ht="36">
      <c r="A1039" s="189" t="s">
        <v>1130</v>
      </c>
      <c r="B1039" s="189"/>
      <c r="C1039" s="190"/>
      <c r="D1039" s="189" t="s">
        <v>2086</v>
      </c>
      <c r="E1039" s="189" t="s">
        <v>2087</v>
      </c>
      <c r="F1039" s="189"/>
      <c r="G1039" s="191">
        <v>68.64</v>
      </c>
      <c r="H1039" s="191">
        <v>3.62</v>
      </c>
      <c r="I1039" s="191">
        <v>1.92</v>
      </c>
      <c r="J1039" s="191">
        <v>5.6</v>
      </c>
      <c r="K1039" s="191"/>
      <c r="L1039" s="191">
        <v>3.26</v>
      </c>
      <c r="M1039" s="191">
        <v>0.08</v>
      </c>
      <c r="N1039" s="191">
        <f>IFERROR(SUM(N1040:N1042)/(SUM($C$1040:$C$1042)/100000),"")</f>
        <v>0</v>
      </c>
      <c r="O1039" s="192" t="str">
        <f>IF(OR(B1039="",C1039=""),"",IFERROR(C1039/1000*IFERROR(INDEX(Vöruskrá!R:R,MATCH(B1039,Vöruskrá!B:B,0)),0)/1000,""))</f>
        <v/>
      </c>
      <c r="P1039" s="217" t="s">
        <v>2088</v>
      </c>
      <c r="Q1039" s="218" t="s">
        <v>2089</v>
      </c>
      <c r="R1039" s="218" t="s">
        <v>2090</v>
      </c>
    </row>
    <row r="1040" spans="1:18">
      <c r="A1040" s="187"/>
      <c r="B1040" s="187" t="s">
        <v>870</v>
      </c>
      <c r="C1040" s="188">
        <v>82600</v>
      </c>
      <c r="D1040" s="182" t="s">
        <v>871</v>
      </c>
      <c r="E1040" s="182" t="s">
        <v>120</v>
      </c>
      <c r="F1040" s="182"/>
      <c r="G1040" s="183">
        <f>IF(OR(B1040="",C1040=""),"",IFERROR(IFERROR(INDEX(Vöruskrá!J:J,MATCH(B1040,Vöruskrá!B:B,0)),0)*C1040/100000,""))</f>
        <v>52.863999999999997</v>
      </c>
      <c r="H1040" s="183">
        <f>IF(OR(B1040="",C1040=""),"",IFERROR(IFERROR(INDEX(Vöruskrá!K:K,MATCH(B1040,Vöruskrá!B:B,0)),0)*C1040/100000,""))</f>
        <v>3.2214</v>
      </c>
      <c r="I1040" s="183">
        <f>IF(OR(B1040="",C1040=""),"",IFERROR(IFERROR(INDEX(Vöruskrá!L:L,MATCH(B1040,Vöruskrá!B:B,0)),0)*C1040/100000,""))</f>
        <v>1.8997999999999997</v>
      </c>
      <c r="J1040" s="183">
        <f>IF(OR(B1040="",C1040=""),"",IFERROR(IFERROR(INDEX(Vöruskrá!M:M,MATCH(B1040,Vöruskrá!B:B,0)),0)*C1040/100000,""))</f>
        <v>3.0562</v>
      </c>
      <c r="K1040" s="183">
        <f>IF(OR(B1040="",C1040=""),"",IFERROR(IFERROR(INDEX(Vöruskrá!N:N,MATCH(B1040,Vöruskrá!B:B,0)),0)*C1040/100000,""))</f>
        <v>3.0562</v>
      </c>
      <c r="L1040" s="183">
        <f>IF(OR(B1040="",C1040=""),"",IFERROR(IFERROR(INDEX(Vöruskrá!O:O,MATCH(B1040,Vöruskrá!B:B,0)),0)*C1040/100000,""))</f>
        <v>2.8083999999999998</v>
      </c>
      <c r="M1040" s="183">
        <f>IF(OR(B1040="",C1040=""),"",IFERROR(IFERROR(INDEX(Vöruskrá!P:P,MATCH(B1040,Vöruskrá!B:B,0)),0)*C1040/100000,""))</f>
        <v>8.2600000000000007E-2</v>
      </c>
      <c r="N1040" s="183">
        <f>IF(OR(B1040="",C1040=""),"",IFERROR(IFERROR(INDEX(Vöruskrá!Q:Q,MATCH(B1040,Vöruskrá!B:B,0)),0)*C1040/100000,""))</f>
        <v>0</v>
      </c>
      <c r="O1040" s="184">
        <f>IF(OR(B1040="",C1040=""),"",IFERROR(C1040/1000*IFERROR(INDEX(Vöruskrá!R:R,MATCH(B1040,Vöruskrá!B:B,0)),0)/1000,""))</f>
        <v>0</v>
      </c>
      <c r="P1040" s="187"/>
    </row>
    <row r="1041" spans="1:16">
      <c r="A1041" s="185"/>
      <c r="B1041" s="185" t="s">
        <v>833</v>
      </c>
      <c r="C1041" s="186">
        <v>8200</v>
      </c>
      <c r="D1041" s="182" t="s">
        <v>835</v>
      </c>
      <c r="E1041" s="182"/>
      <c r="F1041" s="182"/>
      <c r="G1041" s="183">
        <f>IF(OR(B1041="",C1041=""),"",IFERROR(IFERROR(INDEX(Vöruskrá!J:J,MATCH(B1041,Vöruskrá!B:B,0)),0)*C1041/100000,""))</f>
        <v>2.5419999999999998</v>
      </c>
      <c r="H1041" s="183">
        <f>IF(OR(B1041="",C1041=""),"",IFERROR(IFERROR(INDEX(Vöruskrá!K:K,MATCH(B1041,Vöruskrá!B:B,0)),0)*C1041/100000,""))</f>
        <v>1.6400000000000001E-2</v>
      </c>
      <c r="I1041" s="183">
        <f>IF(OR(B1041="",C1041=""),"",IFERROR(IFERROR(INDEX(Vöruskrá!L:L,MATCH(B1041,Vöruskrá!B:B,0)),0)*C1041/100000,""))</f>
        <v>0</v>
      </c>
      <c r="J1041" s="183">
        <f>IF(OR(B1041="",C1041=""),"",IFERROR(IFERROR(INDEX(Vöruskrá!M:M,MATCH(B1041,Vöruskrá!B:B,0)),0)*C1041/100000,""))</f>
        <v>0.56579999999999997</v>
      </c>
      <c r="K1041" s="183">
        <f>IF(OR(B1041="",C1041=""),"",IFERROR(IFERROR(INDEX(Vöruskrá!N:N,MATCH(B1041,Vöruskrá!B:B,0)),0)*C1041/100000,""))</f>
        <v>0.1968</v>
      </c>
      <c r="L1041" s="183">
        <f>IF(OR(B1041="",C1041=""),"",IFERROR(IFERROR(INDEX(Vöruskrá!O:O,MATCH(B1041,Vöruskrá!B:B,0)),0)*C1041/100000,""))</f>
        <v>0</v>
      </c>
      <c r="M1041" s="183">
        <f>IF(OR(B1041="",C1041=""),"",IFERROR(IFERROR(INDEX(Vöruskrá!P:P,MATCH(B1041,Vöruskrá!B:B,0)),0)*C1041/100000,""))</f>
        <v>0</v>
      </c>
      <c r="N1041" s="183">
        <f>IF(OR(B1041="",C1041=""),"",IFERROR(IFERROR(INDEX(Vöruskrá!Q:Q,MATCH(B1041,Vöruskrá!B:B,0)),0)*C1041/100000,""))</f>
        <v>0</v>
      </c>
      <c r="O1041" s="184">
        <f>IF(OR(B1041="",C1041=""),"",IFERROR(C1041/1000*IFERROR(INDEX(Vöruskrá!R:R,MATCH(B1041,Vöruskrá!B:B,0)),0)/1000,""))</f>
        <v>0</v>
      </c>
      <c r="P1041" s="185"/>
    </row>
    <row r="1042" spans="1:16">
      <c r="A1042" s="187"/>
      <c r="B1042" s="187" t="s">
        <v>574</v>
      </c>
      <c r="C1042" s="188">
        <v>8200</v>
      </c>
      <c r="D1042" s="182" t="s">
        <v>576</v>
      </c>
      <c r="E1042" s="182" t="s">
        <v>577</v>
      </c>
      <c r="F1042" s="182"/>
      <c r="G1042" s="183">
        <f>IF(OR(B1042="",C1042=""),"",IFERROR(IFERROR(INDEX(Vöruskrá!J:J,MATCH(B1042,Vöruskrá!B:B,0)),0)*C1042/100000,""))</f>
        <v>12.545999999999999</v>
      </c>
      <c r="H1042" s="183">
        <f>IF(OR(B1042="",C1042=""),"",IFERROR(IFERROR(INDEX(Vöruskrá!K:K,MATCH(B1042,Vöruskrá!B:B,0)),0)*C1042/100000,""))</f>
        <v>0.34439999999999998</v>
      </c>
      <c r="I1042" s="183">
        <f>IF(OR(B1042="",C1042=""),"",IFERROR(IFERROR(INDEX(Vöruskrá!L:L,MATCH(B1042,Vöruskrá!B:B,0)),0)*C1042/100000,""))</f>
        <v>0</v>
      </c>
      <c r="J1042" s="183">
        <f>IF(OR(B1042="",C1042=""),"",IFERROR(IFERROR(INDEX(Vöruskrá!M:M,MATCH(B1042,Vöruskrá!B:B,0)),0)*C1042/100000,""))</f>
        <v>1.9188000000000001</v>
      </c>
      <c r="K1042" s="183">
        <f>IF(OR(B1042="",C1042=""),"",IFERROR(IFERROR(INDEX(Vöruskrá!N:N,MATCH(B1042,Vöruskrá!B:B,0)),0)*C1042/100000,""))</f>
        <v>0</v>
      </c>
      <c r="L1042" s="183">
        <f>IF(OR(B1042="",C1042=""),"",IFERROR(IFERROR(INDEX(Vöruskrá!O:O,MATCH(B1042,Vöruskrá!B:B,0)),0)*C1042/100000,""))</f>
        <v>0.41820000000000002</v>
      </c>
      <c r="M1042" s="183">
        <f>IF(OR(B1042="",C1042=""),"",IFERROR(IFERROR(INDEX(Vöruskrá!P:P,MATCH(B1042,Vöruskrá!B:B,0)),0)*C1042/100000,""))</f>
        <v>0</v>
      </c>
      <c r="N1042" s="183">
        <f>IF(OR(B1042="",C1042=""),"",IFERROR(IFERROR(INDEX(Vöruskrá!Q:Q,MATCH(B1042,Vöruskrá!B:B,0)),0)*C1042/100000,""))</f>
        <v>0</v>
      </c>
      <c r="O1042" s="184">
        <f>IF(OR(B1042="",C1042=""),"",IFERROR(C1042/1000*IFERROR(INDEX(Vöruskrá!R:R,MATCH(B1042,Vöruskrá!B:B,0)),0)/1000,""))</f>
        <v>0</v>
      </c>
      <c r="P1042" s="187"/>
    </row>
  </sheetData>
  <mergeCells count="1">
    <mergeCell ref="A1:P1"/>
  </mergeCells>
  <conditionalFormatting sqref="A3:P103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
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7504" documentId="8_{9058C769-37DB-4D75-B77A-5C1D47EA4B73}" xr6:coauthVersionLast="47" xr6:coauthVersionMax="47" xr10:uidLastSave="{909BBE54-0CF9-4D60-9CBD-CFCEF6300A62}"/>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<sst xmlns="http://schemas.openxmlformats.org/spreadsheetml/2006/main" count="64577" uniqueCount="4903">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</sst>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6" dataDxfId="35">
  <autoFilter ref="A1:J202" xr:uid="{FABEB23E-7D17-4E04-AFE7-8D20861B2C80}"/>
  <tableColumns count="10">
    <tableColumn id="1" xr3:uid="{95FAFFE5-A2B3-45D3-AB98-C54212635048}" name="Skráningarnúmer" dataDxfId="34"/>
    <tableColumn id="2" xr3:uid="{BB02FB8F-5BAD-4DD7-BC74-2AF18BC46E00}" name="Dagsetning" dataDxfId="33"/>
    <tableColumn id="3" xr3:uid="{80FA0E68-C55C-4667-A1EE-01F1143EB09E}" name="Skóli" dataDxfId="32"/>
    <tableColumn id="4" xr3:uid="{5252EF57-3A47-45C2-B68C-935A5669D2DC}" name="Tegund viðburðar" dataDxfId="31"/>
    <tableColumn id="5" xr3:uid="{5D7D865C-7470-4FC0-9354-26DFF7CC8B3E}" name="Annað – nánar tiltekið" dataDxfId="30"/>
    <tableColumn id="6" xr3:uid="{6B7FC27C-A37B-4B6F-9A7B-430EFE88AF89}" name="Athugasemd" dataDxfId="29"/>
    <tableColumn id="7" xr3:uid="{E1291CB5-EF0D-4856-A08C-B3DC257DF24B}" name="Skráð af (nafn/netfang)" dataDxfId="28"/>
    <tableColumn id="8" xr3:uid="{3CB7011E-185D-4DB4-A3B4-E6B1A2392639}" name="Skráningartími" dataDxfId="27"/>
    <tableColumn id="9" xr3:uid="{770FFB18-6732-4A51-9844-0532553F98E8}" name="Staða" dataDxfId="26"/>
    <tableColumn id="10" xr3:uid="{1A5A7446-5065-4A0D-9ED8-35B7486E3B92}" name="Línur (JS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topRight" activeCell="B1" sqref="B1"/>
      <selection pane="bottomLeft" activeCell="A3" sqref="A3"/>
      <selection pane="bottomRight" activeCell="P25" sqref="P2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186" sqref="A18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4" priority="2">
      <formula>$A3&lt;&gt;""</formula>
    </cfRule>
  </conditionalFormatting>
  <conditionalFormatting sqref="S3:S741">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topRight" activeCell="B1" sqref="B1"/>
      <selection pane="bottomLeft" activeCell="A3" sqref="A3"/>
      <selection pane="bottomRight" activeCell="D209" sqref="D20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8.5">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8">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6">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ht="14.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ht="14.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9">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6">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91">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9">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ht="14.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ht="14.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9">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6">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6">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6">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ht="14.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ht="14.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5">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5">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9">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ht="14.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6">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8">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52">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6">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ht="14.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ht="14.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52">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6">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ht="14.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6">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52">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6">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6">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ht="14.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6">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6">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ht="14.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6">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ht="14.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6">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5">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9">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6">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ht="14.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ht="14.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ht="14.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9">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9">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ht="14.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52">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52">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ht="14.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ht="14.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9">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ht="14.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ht="14.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ht="14.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9">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ht="14.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ht="14.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ht="14.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ht="14.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9">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ht="14.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ht="14.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9">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91">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6">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5">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52">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ht="14.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5">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ht="14.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9">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6">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ht="14.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8">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5">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ht="14.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6">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6">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ht="14.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ht="14.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8">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78">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ht="14.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8">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78">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ht="14.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10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91">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ht="14.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ht="14.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ht="14.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9">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6">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6">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5">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52">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6">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ht="14.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ht="14.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8">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8">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ht="14.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ht="14.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ht="14.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5">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65">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ht="14.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ht="14.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52">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52">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ht="14.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52">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52">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52"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52">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ht="14.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ht="14.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ht="14.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91">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6">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ht="14.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5">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104">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9">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ht="14.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5">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91">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6">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ht="14.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5">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104">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9">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ht="14.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5">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6">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6">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91">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52">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9">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8">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52">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9">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ht="14.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ht="14.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117">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6">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ht="14.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6">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14.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57"/>
      <c r="AG155" s="357"/>
      <c r="AH155" s="358"/>
      <c r="AI155" s="356"/>
    </row>
    <row r="156" spans="1:35" ht="29">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57"/>
      <c r="AG156" s="357"/>
      <c r="AH156" s="358"/>
      <c r="AI156" s="356"/>
    </row>
    <row r="157" spans="1:35" ht="29">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57"/>
      <c r="AG157" s="357"/>
      <c r="AH157" s="358"/>
      <c r="AI157" s="356"/>
    </row>
    <row r="158" spans="1:35" ht="14.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57"/>
      <c r="AG158" s="357"/>
      <c r="AH158" s="358"/>
      <c r="AI158" s="356"/>
    </row>
    <row r="159" spans="1:35" ht="14.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57"/>
      <c r="AG159" s="357"/>
      <c r="AH159" s="358"/>
      <c r="AI159" s="356"/>
    </row>
    <row r="160" spans="1:35" ht="14.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57"/>
      <c r="AG160" s="357"/>
      <c r="AH160" s="358"/>
      <c r="AI160" s="356"/>
    </row>
    <row r="161" spans="1:35" ht="65">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ref="AH161:AH184" si="12">IF(N($AF161)+N($AG161)=0,"",MAX(N($AF161)/$AE$4,N($AG161)/$AE$5))</f>
        <v/>
      </c>
      <c r="AI161" s="356" t="str">
        <f t="shared" ref="AI161:AI184" si="13">IF($AH161="","",IF($AH161&gt;$AE$6,"⚠ Yfir "&amp;TEXT($AE$6,"0%"),"OK"))</f>
        <v/>
      </c>
    </row>
    <row r="162" spans="1:35" ht="26">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57">
        <f>IF($F162="","",IFERROR(IFERROR(INDEX(Réttabanki!$U:$U,MATCH($F162,Réttabanki!$A:$A,0)),INDEX(Vöruskrá!$R:$R,MATCH($F162,Vöruskrá!$B:$B,0)))*$H162/1000,""))</f>
        <v>44.703675918979741</v>
      </c>
      <c r="AG162" s="357">
        <f>IF($F162="","",IFERROR(IFERROR(INDEX(Réttabanki!$U:$U,MATCH($F162,Réttabanki!$A:$A,0)),INDEX(Vöruskrá!$R:$R,MATCH($F162,Vöruskrá!$B:$B,0)))*IF($I162="",$H162*(1+$AD$2),$I162)/1000,""))</f>
        <v>67.055513878469611</v>
      </c>
      <c r="AH162" s="358">
        <f t="shared" si="12"/>
        <v>5.8309142503017053E-2</v>
      </c>
      <c r="AI162" s="356" t="str">
        <f t="shared" si="13"/>
        <v>OK</v>
      </c>
    </row>
    <row r="163" spans="1:35" ht="52">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57">
        <f>IF($F163="","",IFERROR(IFERROR(INDEX(Réttabanki!$U:$U,MATCH($F163,Réttabanki!$A:$A,0)),INDEX(Vöruskrá!$R:$R,MATCH($F163,Vöruskrá!$B:$B,0)))*$H163/1000,""))</f>
        <v>15</v>
      </c>
      <c r="AG163" s="357">
        <f>IF($F163="","",IFERROR(IFERROR(INDEX(Réttabanki!$U:$U,MATCH($F163,Réttabanki!$A:$A,0)),INDEX(Vöruskrá!$R:$R,MATCH($F163,Vöruskrá!$B:$B,0)))*IF($I163="",$H163*(1+$AD$2),$I163)/1000,""))</f>
        <v>22.5</v>
      </c>
      <c r="AH163" s="358">
        <f t="shared" si="12"/>
        <v>1.9565217391304349E-2</v>
      </c>
      <c r="AI163" s="356" t="str">
        <f t="shared" si="13"/>
        <v>OK</v>
      </c>
    </row>
    <row r="164" spans="1:35" ht="26">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57">
        <f>IF($F164="","",IFERROR(IFERROR(INDEX(Réttabanki!$U:$U,MATCH($F164,Réttabanki!$A:$A,0)),INDEX(Vöruskrá!$R:$R,MATCH($F164,Vöruskrá!$B:$B,0)))*$H164/1000,""))</f>
        <v>27.495000000000001</v>
      </c>
      <c r="AG164" s="357">
        <f>IF($F164="","",IFERROR(IFERROR(INDEX(Réttabanki!$U:$U,MATCH($F164,Réttabanki!$A:$A,0)),INDEX(Vöruskrá!$R:$R,MATCH($F164,Vöruskrá!$B:$B,0)))*IF($I164="",$H164*(1+$AD$2),$I164)/1000,""))</f>
        <v>41.2425</v>
      </c>
      <c r="AH164" s="358">
        <f t="shared" si="12"/>
        <v>3.5863043478260873E-2</v>
      </c>
      <c r="AI164" s="356" t="str">
        <f t="shared" si="13"/>
        <v>OK</v>
      </c>
    </row>
    <row r="165" spans="1:35" ht="26">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57" t="str">
        <f>IF($F165="","",IFERROR(IFERROR(INDEX(Réttabanki!$U:$U,MATCH($F165,Réttabanki!$A:$A,0)),INDEX(Vöruskrá!$R:$R,MATCH($F165,Vöruskrá!$B:$B,0)))*$H165/1000,""))</f>
        <v/>
      </c>
      <c r="AG165" s="357" t="str">
        <f>IF($F165="","",IFERROR(IFERROR(INDEX(Réttabanki!$U:$U,MATCH($F165,Réttabanki!$A:$A,0)),INDEX(Vöruskrá!$R:$R,MATCH($F165,Vöruskrá!$B:$B,0)))*IF($I165="",$H165*(1+$AD$2),$I165)/1000,""))</f>
        <v/>
      </c>
      <c r="AH165" s="358" t="str">
        <f t="shared" si="12"/>
        <v/>
      </c>
      <c r="AI165" s="356" t="str">
        <f t="shared" si="13"/>
        <v/>
      </c>
    </row>
    <row r="166" spans="1:35" ht="26">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57">
        <f>IF($F166="","",IFERROR(IFERROR(INDEX(Réttabanki!$U:$U,MATCH($F166,Réttabanki!$A:$A,0)),INDEX(Vöruskrá!$R:$R,MATCH($F166,Vöruskrá!$B:$B,0)))*$H166/1000,""))</f>
        <v>44.703675918979741</v>
      </c>
      <c r="AG166" s="357">
        <f>IF($F166="","",IFERROR(IFERROR(INDEX(Réttabanki!$U:$U,MATCH($F166,Réttabanki!$A:$A,0)),INDEX(Vöruskrá!$R:$R,MATCH($F166,Vöruskrá!$B:$B,0)))*IF($I166="",$H166*(1+$AD$2),$I166)/1000,""))</f>
        <v>67.055513878469611</v>
      </c>
      <c r="AH166" s="358">
        <f t="shared" si="12"/>
        <v>5.8309142503017053E-2</v>
      </c>
      <c r="AI166" s="356" t="str">
        <f t="shared" si="13"/>
        <v>OK</v>
      </c>
    </row>
    <row r="167" spans="1:35" ht="39">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57" t="str">
        <f>IF($F167="","",IFERROR(IFERROR(INDEX(Réttabanki!$U:$U,MATCH($F167,Réttabanki!$A:$A,0)),INDEX(Vöruskrá!$R:$R,MATCH($F167,Vöruskrá!$B:$B,0)))*$H167/1000,""))</f>
        <v/>
      </c>
      <c r="AG167" s="357" t="str">
        <f>IF($F167="","",IFERROR(IFERROR(INDEX(Réttabanki!$U:$U,MATCH($F167,Réttabanki!$A:$A,0)),INDEX(Vöruskrá!$R:$R,MATCH($F167,Vöruskrá!$B:$B,0)))*IF($I167="",$H167*(1+$AD$2),$I167)/1000,""))</f>
        <v/>
      </c>
      <c r="AH167" s="358" t="str">
        <f t="shared" si="12"/>
        <v/>
      </c>
      <c r="AI167" s="356" t="str">
        <f t="shared" si="13"/>
        <v/>
      </c>
    </row>
    <row r="168" spans="1:35" ht="39">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57">
        <f>IF($F168="","",IFERROR(IFERROR(INDEX(Réttabanki!$U:$U,MATCH($F168,Réttabanki!$A:$A,0)),INDEX(Vöruskrá!$R:$R,MATCH($F168,Vöruskrá!$B:$B,0)))*$H168/1000,""))</f>
        <v>25.636409102275568</v>
      </c>
      <c r="AG168" s="357">
        <f>IF($F168="","",IFERROR(IFERROR(INDEX(Réttabanki!$U:$U,MATCH($F168,Réttabanki!$A:$A,0)),INDEX(Vöruskrá!$R:$R,MATCH($F168,Vöruskrá!$B:$B,0)))*IF($I168="",$H168*(1+$AD$2),$I168)/1000,""))</f>
        <v>38.454613653413354</v>
      </c>
      <c r="AH168" s="358">
        <f t="shared" si="12"/>
        <v>3.3438794481229002E-2</v>
      </c>
      <c r="AI168" s="356" t="str">
        <f t="shared" si="13"/>
        <v>OK</v>
      </c>
    </row>
    <row r="169" spans="1:35" ht="39">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ht="39">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57">
        <f>IF($F170="","",IFERROR(IFERROR(INDEX(Réttabanki!$U:$U,MATCH($F170,Réttabanki!$A:$A,0)),INDEX(Vöruskrá!$R:$R,MATCH($F170,Vöruskrá!$B:$B,0)))*$H170/1000,""))</f>
        <v>25.636409102275568</v>
      </c>
      <c r="AG170" s="357">
        <f>IF($F170="","",IFERROR(IFERROR(INDEX(Réttabanki!$U:$U,MATCH($F170,Réttabanki!$A:$A,0)),INDEX(Vöruskrá!$R:$R,MATCH($F170,Vöruskrá!$B:$B,0)))*IF($I170="",$H170*(1+$AD$2),$I170)/1000,""))</f>
        <v>38.454613653413354</v>
      </c>
      <c r="AH170" s="358">
        <f t="shared" si="12"/>
        <v>3.3438794481229002E-2</v>
      </c>
      <c r="AI170" s="356" t="str">
        <f t="shared" si="13"/>
        <v>OK</v>
      </c>
    </row>
    <row r="171" spans="1:35" ht="26">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57">
        <f>IF($F171="","",IFERROR(IFERROR(INDEX(Réttabanki!$U:$U,MATCH($F171,Réttabanki!$A:$A,0)),INDEX(Vöruskrá!$R:$R,MATCH($F171,Vöruskrá!$B:$B,0)))*$H171/1000,""))</f>
        <v>27.495000000000001</v>
      </c>
      <c r="AG171" s="357">
        <f>IF($F171="","",IFERROR(IFERROR(INDEX(Réttabanki!$U:$U,MATCH($F171,Réttabanki!$A:$A,0)),INDEX(Vöruskrá!$R:$R,MATCH($F171,Vöruskrá!$B:$B,0)))*IF($I171="",$H171*(1+$AD$2),$I171)/1000,""))</f>
        <v>41.2425</v>
      </c>
      <c r="AH171" s="358">
        <f t="shared" si="12"/>
        <v>3.5863043478260873E-2</v>
      </c>
      <c r="AI171" s="356" t="str">
        <f t="shared" si="13"/>
        <v>OK</v>
      </c>
    </row>
    <row r="172" spans="1:35" ht="52">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57" t="str">
        <f>IF($F172="","",IFERROR(IFERROR(INDEX(Réttabanki!$U:$U,MATCH($F172,Réttabanki!$A:$A,0)),INDEX(Vöruskrá!$R:$R,MATCH($F172,Vöruskrá!$B:$B,0)))*$H172/1000,""))</f>
        <v/>
      </c>
      <c r="AG172" s="357" t="str">
        <f>IF($F172="","",IFERROR(IFERROR(INDEX(Réttabanki!$U:$U,MATCH($F172,Réttabanki!$A:$A,0)),INDEX(Vöruskrá!$R:$R,MATCH($F172,Vöruskrá!$B:$B,0)))*IF($I172="",$H172*(1+$AD$2),$I172)/1000,""))</f>
        <v/>
      </c>
      <c r="AH172" s="358" t="str">
        <f t="shared" si="12"/>
        <v/>
      </c>
      <c r="AI172" s="356" t="str">
        <f t="shared" si="13"/>
        <v/>
      </c>
    </row>
    <row r="173" spans="1:35" ht="39">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57">
        <f>IF($F173="","",IFERROR(IFERROR(INDEX(Réttabanki!$U:$U,MATCH($F173,Réttabanki!$A:$A,0)),INDEX(Vöruskrá!$R:$R,MATCH($F173,Vöruskrá!$B:$B,0)))*$H173/1000,""))</f>
        <v>24</v>
      </c>
      <c r="AG173" s="357">
        <f>IF($F173="","",IFERROR(IFERROR(INDEX(Réttabanki!$U:$U,MATCH($F173,Réttabanki!$A:$A,0)),INDEX(Vöruskrá!$R:$R,MATCH($F173,Vöruskrá!$B:$B,0)))*IF($I173="",$H173*(1+$AD$2),$I173)/1000,""))</f>
        <v>36</v>
      </c>
      <c r="AH173" s="358">
        <f t="shared" si="12"/>
        <v>3.1304347826086959E-2</v>
      </c>
      <c r="AI173" s="356" t="str">
        <f t="shared" si="13"/>
        <v>OK</v>
      </c>
    </row>
    <row r="174" spans="1:35" ht="14.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56</v>
      </c>
      <c r="AG174" s="357">
        <f>IF($F174="","",IFERROR(IFERROR(INDEX(Réttabanki!$U:$U,MATCH($F174,Réttabanki!$A:$A,0)),INDEX(Vöruskrá!$R:$R,MATCH($F174,Vöruskrá!$B:$B,0)))*IF($I174="",$H174*(1+$AD$2),$I174)/1000,""))</f>
        <v>84</v>
      </c>
      <c r="AH174" s="358">
        <f t="shared" si="12"/>
        <v>7.3043478260869571E-2</v>
      </c>
      <c r="AI174" s="356" t="str">
        <f t="shared" si="13"/>
        <v>OK</v>
      </c>
    </row>
    <row r="175" spans="1:35" ht="14.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57" t="str">
        <f>IF($F175="","",IFERROR(IFERROR(INDEX(Réttabanki!$U:$U,MATCH($F175,Réttabanki!$A:$A,0)),INDEX(Vöruskrá!$R:$R,MATCH($F175,Vöruskrá!$B:$B,0)))*$H175/1000,""))</f>
        <v/>
      </c>
      <c r="AG175" s="357" t="str">
        <f>IF($F175="","",IFERROR(IFERROR(INDEX(Réttabanki!$U:$U,MATCH($F175,Réttabanki!$A:$A,0)),INDEX(Vöruskrá!$R:$R,MATCH($F175,Vöruskrá!$B:$B,0)))*IF($I175="",$H175*(1+$AD$2),$I175)/1000,""))</f>
        <v/>
      </c>
      <c r="AH175" s="358" t="str">
        <f t="shared" si="12"/>
        <v/>
      </c>
      <c r="AI175" s="356" t="str">
        <f t="shared" si="13"/>
        <v/>
      </c>
    </row>
    <row r="176" spans="1:35" ht="14.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57">
        <f>IF($F176="","",IFERROR(IFERROR(INDEX(Réttabanki!$U:$U,MATCH($F176,Réttabanki!$A:$A,0)),INDEX(Vöruskrá!$R:$R,MATCH($F176,Vöruskrá!$B:$B,0)))*$H176/1000,""))</f>
        <v>56</v>
      </c>
      <c r="AG176" s="357">
        <f>IF($F176="","",IFERROR(IFERROR(INDEX(Réttabanki!$U:$U,MATCH($F176,Réttabanki!$A:$A,0)),INDEX(Vöruskrá!$R:$R,MATCH($F176,Vöruskrá!$B:$B,0)))*IF($I176="",$H176*(1+$AD$2),$I176)/1000,""))</f>
        <v>84</v>
      </c>
      <c r="AH176" s="358">
        <f t="shared" si="12"/>
        <v>7.3043478260869571E-2</v>
      </c>
      <c r="AI176" s="356" t="str">
        <f t="shared" si="13"/>
        <v>OK</v>
      </c>
    </row>
    <row r="177" spans="1:35" ht="39">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57" t="str">
        <f>IF($F177="","",IFERROR(IFERROR(INDEX(Réttabanki!$U:$U,MATCH($F177,Réttabanki!$A:$A,0)),INDEX(Vöruskrá!$R:$R,MATCH($F177,Vöruskrá!$B:$B,0)))*$H177/1000,""))</f>
        <v/>
      </c>
      <c r="AG177" s="357" t="str">
        <f>IF($F177="","",IFERROR(IFERROR(INDEX(Réttabanki!$U:$U,MATCH($F177,Réttabanki!$A:$A,0)),INDEX(Vöruskrá!$R:$R,MATCH($F177,Vöruskrá!$B:$B,0)))*IF($I177="",$H177*(1+$AD$2),$I177)/1000,""))</f>
        <v/>
      </c>
      <c r="AH177" s="358" t="str">
        <f t="shared" si="12"/>
        <v/>
      </c>
      <c r="AI177" s="356" t="str">
        <f t="shared" si="13"/>
        <v/>
      </c>
    </row>
    <row r="178" spans="1:35" ht="39">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57">
        <f>IF($F178="","",IFERROR(IFERROR(INDEX(Réttabanki!$U:$U,MATCH($F178,Réttabanki!$A:$A,0)),INDEX(Vöruskrá!$R:$R,MATCH($F178,Vöruskrá!$B:$B,0)))*$H178/1000,""))</f>
        <v>24</v>
      </c>
      <c r="AG178" s="357">
        <f>IF($F178="","",IFERROR(IFERROR(INDEX(Réttabanki!$U:$U,MATCH($F178,Réttabanki!$A:$A,0)),INDEX(Vöruskrá!$R:$R,MATCH($F178,Vöruskrá!$B:$B,0)))*IF($I178="",$H178*(1+$AD$2),$I178)/1000,""))</f>
        <v>36</v>
      </c>
      <c r="AH178" s="358">
        <f t="shared" si="12"/>
        <v>3.1304347826086959E-2</v>
      </c>
      <c r="AI178" s="356" t="str">
        <f t="shared" si="13"/>
        <v>OK</v>
      </c>
    </row>
    <row r="179" spans="1:35" ht="39">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57" t="str">
        <f>IF($F179="","",IFERROR(IFERROR(INDEX(Réttabanki!$U:$U,MATCH($F179,Réttabanki!$A:$A,0)),INDEX(Vöruskrá!$R:$R,MATCH($F179,Vöruskrá!$B:$B,0)))*$H179/1000,""))</f>
        <v/>
      </c>
      <c r="AG179" s="357" t="str">
        <f>IF($F179="","",IFERROR(IFERROR(INDEX(Réttabanki!$U:$U,MATCH($F179,Réttabanki!$A:$A,0)),INDEX(Vöruskrá!$R:$R,MATCH($F179,Vöruskrá!$B:$B,0)))*IF($I179="",$H179*(1+$AD$2),$I179)/1000,""))</f>
        <v/>
      </c>
      <c r="AH179" s="358" t="str">
        <f t="shared" si="12"/>
        <v/>
      </c>
      <c r="AI179" s="356" t="str">
        <f t="shared" si="13"/>
        <v/>
      </c>
    </row>
    <row r="180" spans="1:35" ht="14.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57">
        <f>IF($F180="","",IFERROR(IFERROR(INDEX(Réttabanki!$U:$U,MATCH($F180,Réttabanki!$A:$A,0)),INDEX(Vöruskrá!$R:$R,MATCH($F180,Vöruskrá!$B:$B,0)))*$H180/1000,""))</f>
        <v>24</v>
      </c>
      <c r="AG180" s="357">
        <f>IF($F180="","",IFERROR(IFERROR(INDEX(Réttabanki!$U:$U,MATCH($F180,Réttabanki!$A:$A,0)),INDEX(Vöruskrá!$R:$R,MATCH($F180,Vöruskrá!$B:$B,0)))*IF($I180="",$H180*(1+$AD$2),$I180)/1000,""))</f>
        <v>36</v>
      </c>
      <c r="AH180" s="358">
        <f t="shared" si="12"/>
        <v>3.1304347826086959E-2</v>
      </c>
      <c r="AI180" s="356" t="str">
        <f t="shared" si="13"/>
        <v>OK</v>
      </c>
    </row>
    <row r="181" spans="1:35" ht="26">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57">
        <f>IF($F181="","",IFERROR(IFERROR(INDEX(Réttabanki!$U:$U,MATCH($F181,Réttabanki!$A:$A,0)),INDEX(Vöruskrá!$R:$R,MATCH($F181,Vöruskrá!$B:$B,0)))*$H181/1000,""))</f>
        <v>38</v>
      </c>
      <c r="AG181" s="357">
        <f>IF($F181="","",IFERROR(IFERROR(INDEX(Réttabanki!$U:$U,MATCH($F181,Réttabanki!$A:$A,0)),INDEX(Vöruskrá!$R:$R,MATCH($F181,Vöruskrá!$B:$B,0)))*IF($I181="",$H181*(1+$AD$2),$I181)/1000,""))</f>
        <v>57</v>
      </c>
      <c r="AH181" s="358">
        <f t="shared" si="12"/>
        <v>4.9565217391304345E-2</v>
      </c>
      <c r="AI181" s="356" t="str">
        <f t="shared" si="13"/>
        <v>OK</v>
      </c>
    </row>
    <row r="182" spans="1:35" ht="78">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57" t="str">
        <f>IF($F182="","",IFERROR(IFERROR(INDEX(Réttabanki!$U:$U,MATCH($F182,Réttabanki!$A:$A,0)),INDEX(Vöruskrá!$R:$R,MATCH($F182,Vöruskrá!$B:$B,0)))*$H182/1000,""))</f>
        <v/>
      </c>
      <c r="AG182" s="357" t="str">
        <f>IF($F182="","",IFERROR(IFERROR(INDEX(Réttabanki!$U:$U,MATCH($F182,Réttabanki!$A:$A,0)),INDEX(Vöruskrá!$R:$R,MATCH($F182,Vöruskrá!$B:$B,0)))*IF($I182="",$H182*(1+$AD$2),$I182)/1000,""))</f>
        <v/>
      </c>
      <c r="AH182" s="358" t="str">
        <f t="shared" si="12"/>
        <v/>
      </c>
      <c r="AI182" s="356" t="str">
        <f t="shared" si="13"/>
        <v/>
      </c>
    </row>
    <row r="183" spans="1:35" ht="52">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57">
        <f>IF($F183="","",IFERROR(IFERROR(INDEX(Réttabanki!$U:$U,MATCH($F183,Réttabanki!$A:$A,0)),INDEX(Vöruskrá!$R:$R,MATCH($F183,Vöruskrá!$B:$B,0)))*$H183/1000,""))</f>
        <v>24</v>
      </c>
      <c r="AG183" s="357">
        <f>IF($F183="","",IFERROR(IFERROR(INDEX(Réttabanki!$U:$U,MATCH($F183,Réttabanki!$A:$A,0)),INDEX(Vöruskrá!$R:$R,MATCH($F183,Vöruskrá!$B:$B,0)))*IF($I183="",$H183*(1+$AD$2),$I183)/1000,""))</f>
        <v>36</v>
      </c>
      <c r="AH183" s="358">
        <f t="shared" si="12"/>
        <v>3.1304347826086959E-2</v>
      </c>
      <c r="AI183" s="356" t="str">
        <f t="shared" si="13"/>
        <v>OK</v>
      </c>
    </row>
    <row r="184" spans="1:35" ht="26">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57">
        <f>IF($F184="","",IFERROR(IFERROR(INDEX(Réttabanki!$U:$U,MATCH($F184,Réttabanki!$A:$A,0)),INDEX(Vöruskrá!$R:$R,MATCH($F184,Vöruskrá!$B:$B,0)))*$H184/1000,""))</f>
        <v>38</v>
      </c>
      <c r="AG184" s="357">
        <f>IF($F184="","",IFERROR(IFERROR(INDEX(Réttabanki!$U:$U,MATCH($F184,Réttabanki!$A:$A,0)),INDEX(Vöruskrá!$R:$R,MATCH($F184,Vöruskrá!$B:$B,0)))*IF($I184="",$H184*(1+$AD$2),$I184)/1000,""))</f>
        <v>57</v>
      </c>
      <c r="AH184" s="358">
        <f t="shared" si="12"/>
        <v>4.9565217391304345E-2</v>
      </c>
      <c r="AI184" s="356" t="str">
        <f t="shared" si="13"/>
        <v>OK</v>
      </c>
    </row>
    <row r="185" spans="1:35" ht="14.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57"/>
      <c r="AG185" s="357"/>
      <c r="AH185" s="358">
        <f>IF(N($J185)=0,"",$J185/$AE$4)</f>
        <v>0.19199901919924425</v>
      </c>
      <c r="AI185" s="356" t="str">
        <f>IF($AH185="","",IF($AH185&gt;1,"⚠ Yfir fjárheimild","OK"))</f>
        <v>OK</v>
      </c>
    </row>
    <row r="186" spans="1:35" ht="14.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57"/>
      <c r="AG186" s="357"/>
      <c r="AH186" s="358">
        <f>IF(N($J186)=0,"",$J186/$AE$5)</f>
        <v>0.25721566424214753</v>
      </c>
      <c r="AI186" s="356" t="str">
        <f>IF($AH186="","",IF($AH186&gt;1,"⚠ Yfir fjárheimild","OK"))</f>
        <v>OK</v>
      </c>
    </row>
    <row r="187" spans="1:35" ht="91">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57" t="str">
        <f>IF($F187="","",IFERROR(IFERROR(INDEX(Réttabanki!$U:$U,MATCH($F187,Réttabanki!$A:$A,0)),INDEX(Vöruskrá!$R:$R,MATCH($F187,Vöruskrá!$B:$B,0)))*$H187/1000,""))</f>
        <v/>
      </c>
      <c r="AG187" s="357" t="str">
        <f>IF($F187="","",IFERROR(IFERROR(INDEX(Réttabanki!$U:$U,MATCH($F187,Réttabanki!$A:$A,0)),INDEX(Vöruskrá!$R:$R,MATCH($F187,Vöruskrá!$B:$B,0)))*IF($I187="",$H187*(1+$AD$2),$I187)/1000,""))</f>
        <v/>
      </c>
      <c r="AH187" s="358" t="str">
        <f t="shared" ref="AH187:AH208" si="14">IF(N($AF187)+N($AG187)=0,"",MAX(N($AF187)/$AE$4,N($AG187)/$AE$5))</f>
        <v/>
      </c>
      <c r="AI187" s="356" t="str">
        <f t="shared" ref="AI187:AI208" si="15">IF($AH187="","",IF($AH187&gt;$AE$6,"⚠ Yfir "&amp;TEXT($AE$6,"0%"),"OK"))</f>
        <v/>
      </c>
    </row>
    <row r="188" spans="1:35" ht="52">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57">
        <f>IF($F188="","",IFERROR(IFERROR(INDEX(Réttabanki!$U:$U,MATCH($F188,Réttabanki!$A:$A,0)),INDEX(Vöruskrá!$R:$R,MATCH($F188,Vöruskrá!$B:$B,0)))*$H188/1000,""))</f>
        <v>378</v>
      </c>
      <c r="AG188" s="357">
        <f>IF($F188="","",IFERROR(IFERROR(INDEX(Réttabanki!$U:$U,MATCH($F188,Réttabanki!$A:$A,0)),INDEX(Vöruskrá!$R:$R,MATCH($F188,Vöruskrá!$B:$B,0)))*IF($I188="",$H188*(1+$AD$2),$I188)/1000,""))</f>
        <v>567</v>
      </c>
      <c r="AH188" s="358">
        <f t="shared" si="14"/>
        <v>0.49304347826086958</v>
      </c>
      <c r="AI188" s="356" t="str">
        <f t="shared" si="15"/>
        <v>⚠ Yfir 30%</v>
      </c>
    </row>
    <row r="189" spans="1:35" ht="39">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57">
        <f>IF($F189="","",IFERROR(IFERROR(INDEX(Réttabanki!$U:$U,MATCH($F189,Réttabanki!$A:$A,0)),INDEX(Vöruskrá!$R:$R,MATCH($F189,Vöruskrá!$B:$B,0)))*$H189/1000,""))</f>
        <v>15</v>
      </c>
      <c r="AG189" s="357">
        <f>IF($F189="","",IFERROR(IFERROR(INDEX(Réttabanki!$U:$U,MATCH($F189,Réttabanki!$A:$A,0)),INDEX(Vöruskrá!$R:$R,MATCH($F189,Vöruskrá!$B:$B,0)))*IF($I189="",$H189*(1+$AD$2),$I189)/1000,""))</f>
        <v>22.5</v>
      </c>
      <c r="AH189" s="358">
        <f t="shared" si="14"/>
        <v>1.9565217391304349E-2</v>
      </c>
      <c r="AI189" s="356" t="str">
        <f t="shared" si="15"/>
        <v>OK</v>
      </c>
    </row>
    <row r="190" spans="1:35" ht="14.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57">
        <f>IF($F190="","",IFERROR(IFERROR(INDEX(Réttabanki!$U:$U,MATCH($F190,Réttabanki!$A:$A,0)),INDEX(Vöruskrá!$R:$R,MATCH($F190,Vöruskrá!$B:$B,0)))*$H190/1000,""))</f>
        <v>12</v>
      </c>
      <c r="AG190" s="357">
        <f>IF($F190="","",IFERROR(IFERROR(INDEX(Réttabanki!$U:$U,MATCH($F190,Réttabanki!$A:$A,0)),INDEX(Vöruskrá!$R:$R,MATCH($F190,Vöruskrá!$B:$B,0)))*IF($I190="",$H190*(1+$AD$2),$I190)/1000,""))</f>
        <v>18</v>
      </c>
      <c r="AH190" s="358">
        <f t="shared" si="14"/>
        <v>1.5652173913043479E-2</v>
      </c>
      <c r="AI190" s="356" t="str">
        <f t="shared" si="15"/>
        <v>OK</v>
      </c>
    </row>
    <row r="191" spans="1:35" ht="65">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52">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57">
        <f>IF($F192="","",IFERROR(IFERROR(INDEX(Réttabanki!$U:$U,MATCH($F192,Réttabanki!$A:$A,0)),INDEX(Vöruskrá!$R:$R,MATCH($F192,Vöruskrá!$B:$B,0)))*$H192/1000,""))</f>
        <v>378</v>
      </c>
      <c r="AG192" s="357">
        <f>IF($F192="","",IFERROR(IFERROR(INDEX(Réttabanki!$U:$U,MATCH($F192,Réttabanki!$A:$A,0)),INDEX(Vöruskrá!$R:$R,MATCH($F192,Vöruskrá!$B:$B,0)))*IF($I192="",$H192*(1+$AD$2),$I192)/1000,""))</f>
        <v>567</v>
      </c>
      <c r="AH192" s="358">
        <f t="shared" si="14"/>
        <v>0.49304347826086958</v>
      </c>
      <c r="AI192" s="356" t="str">
        <f t="shared" si="15"/>
        <v>⚠ Yfir 30%</v>
      </c>
    </row>
    <row r="193" spans="1:35" ht="14.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57">
        <f>IF($F193="","",IFERROR(IFERROR(INDEX(Réttabanki!$U:$U,MATCH($F193,Réttabanki!$A:$A,0)),INDEX(Vöruskrá!$R:$R,MATCH($F193,Vöruskrá!$B:$B,0)))*$H193/1000,""))</f>
        <v>15</v>
      </c>
      <c r="AG193" s="357">
        <f>IF($F193="","",IFERROR(IFERROR(INDEX(Réttabanki!$U:$U,MATCH($F193,Réttabanki!$A:$A,0)),INDEX(Vöruskrá!$R:$R,MATCH($F193,Vöruskrá!$B:$B,0)))*IF($I193="",$H193*(1+$AD$2),$I193)/1000,""))</f>
        <v>22.5</v>
      </c>
      <c r="AH193" s="358">
        <f t="shared" si="14"/>
        <v>1.9565217391304349E-2</v>
      </c>
      <c r="AI193" s="356" t="str">
        <f t="shared" si="15"/>
        <v>OK</v>
      </c>
    </row>
    <row r="194" spans="1:35" ht="14.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57">
        <f>IF($F194="","",IFERROR(IFERROR(INDEX(Réttabanki!$U:$U,MATCH($F194,Réttabanki!$A:$A,0)),INDEX(Vöruskrá!$R:$R,MATCH($F194,Vöruskrá!$B:$B,0)))*$H194/1000,""))</f>
        <v>23</v>
      </c>
      <c r="AG194" s="357">
        <f>IF($F194="","",IFERROR(IFERROR(INDEX(Réttabanki!$U:$U,MATCH($F194,Réttabanki!$A:$A,0)),INDEX(Vöruskrá!$R:$R,MATCH($F194,Vöruskrá!$B:$B,0)))*IF($I194="",$H194*(1+$AD$2),$I194)/1000,""))</f>
        <v>34.5</v>
      </c>
      <c r="AH194" s="358">
        <f t="shared" si="14"/>
        <v>0.03</v>
      </c>
      <c r="AI194" s="356" t="str">
        <f t="shared" si="15"/>
        <v>OK</v>
      </c>
    </row>
    <row r="195" spans="1:35" ht="78">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57" t="str">
        <f>IF($F195="","",IFERROR(IFERROR(INDEX(Réttabanki!$U:$U,MATCH($F195,Réttabanki!$A:$A,0)),INDEX(Vöruskrá!$R:$R,MATCH($F195,Vöruskrá!$B:$B,0)))*$H195/1000,""))</f>
        <v/>
      </c>
      <c r="AG195" s="357" t="str">
        <f>IF($F195="","",IFERROR(IFERROR(INDEX(Réttabanki!$U:$U,MATCH($F195,Réttabanki!$A:$A,0)),INDEX(Vöruskrá!$R:$R,MATCH($F195,Vöruskrá!$B:$B,0)))*IF($I195="",$H195*(1+$AD$2),$I195)/1000,""))</f>
        <v/>
      </c>
      <c r="AH195" s="358" t="str">
        <f t="shared" si="14"/>
        <v/>
      </c>
      <c r="AI195" s="356" t="str">
        <f t="shared" si="15"/>
        <v/>
      </c>
    </row>
    <row r="196" spans="1:35" ht="78">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57">
        <f>IF($F196="","",IFERROR(IFERROR(INDEX(Réttabanki!$U:$U,MATCH($F196,Réttabanki!$A:$A,0)),INDEX(Vöruskrá!$R:$R,MATCH($F196,Vöruskrá!$B:$B,0)))*$H196/1000,""))</f>
        <v>211.64156783919597</v>
      </c>
      <c r="AG196" s="357">
        <f>IF($F196="","",IFERROR(IFERROR(INDEX(Réttabanki!$U:$U,MATCH($F196,Réttabanki!$A:$A,0)),INDEX(Vöruskrá!$R:$R,MATCH($F196,Vöruskrá!$B:$B,0)))*IF($I196="",$H196*(1+$AD$2),$I196)/1000,""))</f>
        <v>317.462351758794</v>
      </c>
      <c r="AH196" s="358">
        <f t="shared" si="14"/>
        <v>0.27605421892069043</v>
      </c>
      <c r="AI196" s="356" t="str">
        <f t="shared" si="15"/>
        <v>OK</v>
      </c>
    </row>
    <row r="197" spans="1:35" ht="52">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52">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57">
        <f>IF($F198="","",IFERROR(IFERROR(INDEX(Réttabanki!$U:$U,MATCH($F198,Réttabanki!$A:$A,0)),INDEX(Vöruskrá!$R:$R,MATCH($F198,Vöruskrá!$B:$B,0)))*$H198/1000,""))</f>
        <v>240</v>
      </c>
      <c r="AG198" s="357">
        <f>IF($F198="","",IFERROR(IFERROR(INDEX(Réttabanki!$U:$U,MATCH($F198,Réttabanki!$A:$A,0)),INDEX(Vöruskrá!$R:$R,MATCH($F198,Vöruskrá!$B:$B,0)))*IF($I198="",$H198*(1+$AD$2),$I198)/1000,""))</f>
        <v>360</v>
      </c>
      <c r="AH198" s="358">
        <f t="shared" si="14"/>
        <v>0.31304347826086959</v>
      </c>
      <c r="AI198" s="356" t="str">
        <f t="shared" si="15"/>
        <v>⚠ Yfir 30%</v>
      </c>
    </row>
    <row r="199" spans="1:35" ht="91">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57" t="str">
        <f>IF($F199="","",IFERROR(IFERROR(INDEX(Réttabanki!$U:$U,MATCH($F199,Réttabanki!$A:$A,0)),INDEX(Vöruskrá!$R:$R,MATCH($F199,Vöruskrá!$B:$B,0)))*$H199/1000,""))</f>
        <v/>
      </c>
      <c r="AG199" s="357" t="str">
        <f>IF($F199="","",IFERROR(IFERROR(INDEX(Réttabanki!$U:$U,MATCH($F199,Réttabanki!$A:$A,0)),INDEX(Vöruskrá!$R:$R,MATCH($F199,Vöruskrá!$B:$B,0)))*IF($I199="",$H199*(1+$AD$2),$I199)/1000,""))</f>
        <v/>
      </c>
      <c r="AH199" s="358" t="str">
        <f t="shared" si="14"/>
        <v/>
      </c>
      <c r="AI199" s="356" t="str">
        <f t="shared" si="15"/>
        <v/>
      </c>
    </row>
    <row r="200" spans="1:35" ht="78">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57">
        <f>IF($F200="","",IFERROR(IFERROR(INDEX(Réttabanki!$U:$U,MATCH($F200,Réttabanki!$A:$A,0)),INDEX(Vöruskrá!$R:$R,MATCH($F200,Vöruskrá!$B:$B,0)))*$H200/1000,""))</f>
        <v>240</v>
      </c>
      <c r="AG200" s="357">
        <f>IF($F200="","",IFERROR(IFERROR(INDEX(Réttabanki!$U:$U,MATCH($F200,Réttabanki!$A:$A,0)),INDEX(Vöruskrá!$R:$R,MATCH($F200,Vöruskrá!$B:$B,0)))*IF($I200="",$H200*(1+$AD$2),$I200)/1000,""))</f>
        <v>360</v>
      </c>
      <c r="AH200" s="358">
        <f t="shared" si="14"/>
        <v>0.31304347826086959</v>
      </c>
      <c r="AI200" s="356" t="str">
        <f t="shared" si="15"/>
        <v>⚠ Yfir 30%</v>
      </c>
    </row>
    <row r="201" spans="1:35" ht="14.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57">
        <f>IF($F201="","",IFERROR(IFERROR(INDEX(Réttabanki!$U:$U,MATCH($F201,Réttabanki!$A:$A,0)),INDEX(Vöruskrá!$R:$R,MATCH($F201,Vöruskrá!$B:$B,0)))*$H201/1000,""))</f>
        <v>15</v>
      </c>
      <c r="AG201" s="357">
        <f>IF($F201="","",IFERROR(IFERROR(INDEX(Réttabanki!$U:$U,MATCH($F201,Réttabanki!$A:$A,0)),INDEX(Vöruskrá!$R:$R,MATCH($F201,Vöruskrá!$B:$B,0)))*IF($I201="",$H201*(1+$AD$2),$I201)/1000,""))</f>
        <v>22.5</v>
      </c>
      <c r="AH201" s="358">
        <f t="shared" si="14"/>
        <v>1.9565217391304349E-2</v>
      </c>
      <c r="AI201" s="356" t="str">
        <f t="shared" si="15"/>
        <v>OK</v>
      </c>
    </row>
    <row r="202" spans="1:35" ht="14.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57" t="str">
        <f>IF($F202="","",IFERROR(IFERROR(INDEX(Réttabanki!$U:$U,MATCH($F202,Réttabanki!$A:$A,0)),INDEX(Vöruskrá!$R:$R,MATCH($F202,Vöruskrá!$B:$B,0)))*$H202/1000,""))</f>
        <v/>
      </c>
      <c r="AG202" s="357" t="str">
        <f>IF($F202="","",IFERROR(IFERROR(INDEX(Réttabanki!$U:$U,MATCH($F202,Réttabanki!$A:$A,0)),INDEX(Vöruskrá!$R:$R,MATCH($F202,Vöruskrá!$B:$B,0)))*IF($I202="",$H202*(1+$AD$2),$I202)/1000,""))</f>
        <v/>
      </c>
      <c r="AH202" s="358" t="str">
        <f t="shared" si="14"/>
        <v/>
      </c>
      <c r="AI202" s="356" t="str">
        <f t="shared" si="15"/>
        <v/>
      </c>
    </row>
    <row r="203" spans="1:35" ht="78">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57" t="str">
        <f>IF($F203="","",IFERROR(IFERROR(INDEX(Réttabanki!$U:$U,MATCH($F203,Réttabanki!$A:$A,0)),INDEX(Vöruskrá!$R:$R,MATCH($F203,Vöruskrá!$B:$B,0)))*$H203/1000,""))</f>
        <v/>
      </c>
      <c r="AG203" s="357" t="str">
        <f>IF($F203="","",IFERROR(IFERROR(INDEX(Réttabanki!$U:$U,MATCH($F203,Réttabanki!$A:$A,0)),INDEX(Vöruskrá!$R:$R,MATCH($F203,Vöruskrá!$B:$B,0)))*IF($I203="",$H203*(1+$AD$2),$I203)/1000,""))</f>
        <v/>
      </c>
      <c r="AH203" s="358" t="str">
        <f t="shared" si="14"/>
        <v/>
      </c>
      <c r="AI203" s="356" t="str">
        <f t="shared" si="15"/>
        <v/>
      </c>
    </row>
    <row r="204" spans="1:35" ht="52">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57">
        <f>IF($F204="","",IFERROR(IFERROR(INDEX(Réttabanki!$U:$U,MATCH($F204,Réttabanki!$A:$A,0)),INDEX(Vöruskrá!$R:$R,MATCH($F204,Vöruskrá!$B:$B,0)))*$H204/1000,""))</f>
        <v>24</v>
      </c>
      <c r="AG204" s="357">
        <f>IF($F204="","",IFERROR(IFERROR(INDEX(Réttabanki!$U:$U,MATCH($F204,Réttabanki!$A:$A,0)),INDEX(Vöruskrá!$R:$R,MATCH($F204,Vöruskrá!$B:$B,0)))*IF($I204="",$H204*(1+$AD$2),$I204)/1000,""))</f>
        <v>36</v>
      </c>
      <c r="AH204" s="358">
        <f t="shared" si="14"/>
        <v>3.1304347826086959E-2</v>
      </c>
      <c r="AI204" s="356" t="str">
        <f t="shared" si="15"/>
        <v>OK</v>
      </c>
    </row>
    <row r="205" spans="1:35" ht="26">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57">
        <f>IF($F205="","",IFERROR(IFERROR(INDEX(Réttabanki!$U:$U,MATCH($F205,Réttabanki!$A:$A,0)),INDEX(Vöruskrá!$R:$R,MATCH($F205,Vöruskrá!$B:$B,0)))*$H205/1000,""))</f>
        <v>38</v>
      </c>
      <c r="AG205" s="357">
        <f>IF($F205="","",IFERROR(IFERROR(INDEX(Réttabanki!$U:$U,MATCH($F205,Réttabanki!$A:$A,0)),INDEX(Vöruskrá!$R:$R,MATCH($F205,Vöruskrá!$B:$B,0)))*IF($I205="",$H205*(1+$AD$2),$I205)/1000,""))</f>
        <v>57</v>
      </c>
      <c r="AH205" s="358">
        <f t="shared" si="14"/>
        <v>4.9565217391304345E-2</v>
      </c>
      <c r="AI205" s="356" t="str">
        <f t="shared" si="15"/>
        <v>OK</v>
      </c>
    </row>
    <row r="206" spans="1:35" ht="91">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57" t="str">
        <f>IF($F206="","",IFERROR(IFERROR(INDEX(Réttabanki!$U:$U,MATCH($F206,Réttabanki!$A:$A,0)),INDEX(Vöruskrá!$R:$R,MATCH($F206,Vöruskrá!$B:$B,0)))*$H206/1000,""))</f>
        <v/>
      </c>
      <c r="AG206" s="357" t="str">
        <f>IF($F206="","",IFERROR(IFERROR(INDEX(Réttabanki!$U:$U,MATCH($F206,Réttabanki!$A:$A,0)),INDEX(Vöruskrá!$R:$R,MATCH($F206,Vöruskrá!$B:$B,0)))*IF($I206="",$H206*(1+$AD$2),$I206)/1000,""))</f>
        <v/>
      </c>
      <c r="AH206" s="358" t="str">
        <f t="shared" si="14"/>
        <v/>
      </c>
      <c r="AI206" s="356" t="str">
        <f t="shared" si="15"/>
        <v/>
      </c>
    </row>
    <row r="207" spans="1:35" ht="65">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57">
        <f>IF($F207="","",IFERROR(IFERROR(INDEX(Réttabanki!$U:$U,MATCH($F207,Réttabanki!$A:$A,0)),INDEX(Vöruskrá!$R:$R,MATCH($F207,Vöruskrá!$B:$B,0)))*$H207/1000,""))</f>
        <v>24</v>
      </c>
      <c r="AG207" s="357">
        <f>IF($F207="","",IFERROR(IFERROR(INDEX(Réttabanki!$U:$U,MATCH($F207,Réttabanki!$A:$A,0)),INDEX(Vöruskrá!$R:$R,MATCH($F207,Vöruskrá!$B:$B,0)))*IF($I207="",$H207*(1+$AD$2),$I207)/1000,""))</f>
        <v>36</v>
      </c>
      <c r="AH207" s="358">
        <f t="shared" si="14"/>
        <v>3.1304347826086959E-2</v>
      </c>
      <c r="AI207" s="356" t="str">
        <f t="shared" si="15"/>
        <v>OK</v>
      </c>
    </row>
    <row r="208" spans="1:35" ht="26">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57">
        <f>IF($F208="","",IFERROR(IFERROR(INDEX(Réttabanki!$U:$U,MATCH($F208,Réttabanki!$A:$A,0)),INDEX(Vöruskrá!$R:$R,MATCH($F208,Vöruskrá!$B:$B,0)))*$H208/1000,""))</f>
        <v>38</v>
      </c>
      <c r="AG208" s="357">
        <f>IF($F208="","",IFERROR(IFERROR(INDEX(Réttabanki!$U:$U,MATCH($F208,Réttabanki!$A:$A,0)),INDEX(Vöruskrá!$R:$R,MATCH($F208,Vöruskrá!$B:$B,0)))*IF($I208="",$H208*(1+$AD$2),$I208)/1000,""))</f>
        <v>57</v>
      </c>
      <c r="AH208" s="358">
        <f t="shared" si="14"/>
        <v>4.9565217391304345E-2</v>
      </c>
      <c r="AI208" s="356" t="str">
        <f t="shared" si="15"/>
        <v>OK</v>
      </c>
    </row>
    <row r="209" spans="1:35" ht="14.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57"/>
      <c r="AG209" s="357"/>
      <c r="AH209" s="358">
        <f>IF(N($J209)=0,"",$J209/$AE$4)</f>
        <v>0.34592592592592591</v>
      </c>
      <c r="AI209" s="356" t="str">
        <f>IF($AH209="","",IF($AH209&gt;1,"⚠ Yfir fjárheimild","OK"))</f>
        <v>OK</v>
      </c>
    </row>
    <row r="210" spans="1:35" ht="14.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57"/>
      <c r="AG210" s="357"/>
      <c r="AH210" s="358">
        <f>IF(N($J210)=0,"",$J210/$AE$5)</f>
        <v>0.52826086956521734</v>
      </c>
      <c r="AI210" s="356" t="str">
        <f>IF($AH210="","",IF($AH210&gt;1,"⚠ Yfir fjárheimild","OK"))</f>
        <v>OK</v>
      </c>
    </row>
    <row r="211" spans="1:35" ht="78">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57" t="str">
        <f>IF($F211="","",IFERROR(IFERROR(INDEX(Réttabanki!$U:$U,MATCH($F211,Réttabanki!$A:$A,0)),INDEX(Vöruskrá!$R:$R,MATCH($F211,Vöruskrá!$B:$B,0)))*$H211/1000,""))</f>
        <v/>
      </c>
      <c r="AG211" s="357" t="str">
        <f>IF($F211="","",IFERROR(IFERROR(INDEX(Réttabanki!$U:$U,MATCH($F211,Réttabanki!$A:$A,0)),INDEX(Vöruskrá!$R:$R,MATCH($F211,Vöruskrá!$B:$B,0)))*IF($I211="",$H211*(1+$AD$2),$I211)/1000,""))</f>
        <v/>
      </c>
      <c r="AH211" s="358" t="str">
        <f t="shared" ref="AH211:AH230" si="16">IF(N($AF211)+N($AG211)=0,"",MAX(N($AF211)/$AE$4,N($AG211)/$AE$5))</f>
        <v/>
      </c>
      <c r="AI211" s="356" t="str">
        <f t="shared" ref="AI211:AI230" si="17">IF($AH211="","",IF($AH211&gt;$AE$6,"⚠ Yfir "&amp;TEXT($AE$6,"0%"),"OK"))</f>
        <v/>
      </c>
    </row>
    <row r="212" spans="1:35" ht="65">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57">
        <f>IF($F212="","",IFERROR(IFERROR(INDEX(Réttabanki!$U:$U,MATCH($F212,Réttabanki!$A:$A,0)),INDEX(Vöruskrá!$R:$R,MATCH($F212,Vöruskrá!$B:$B,0)))*$H212/1000,""))</f>
        <v>226.8</v>
      </c>
      <c r="AG212" s="357">
        <f>IF($F212="","",IFERROR(IFERROR(INDEX(Réttabanki!$U:$U,MATCH($F212,Réttabanki!$A:$A,0)),INDEX(Vöruskrá!$R:$R,MATCH($F212,Vöruskrá!$B:$B,0)))*IF($I212="",$H212*(1+$AD$2),$I212)/1000,""))</f>
        <v>340.2</v>
      </c>
      <c r="AH212" s="358">
        <f t="shared" si="16"/>
        <v>0.29582608695652174</v>
      </c>
      <c r="AI212" s="356" t="str">
        <f t="shared" si="17"/>
        <v>OK</v>
      </c>
    </row>
    <row r="213" spans="1:35" ht="14.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57">
        <f>IF($F213="","",IFERROR(IFERROR(INDEX(Réttabanki!$U:$U,MATCH($F213,Réttabanki!$A:$A,0)),INDEX(Vöruskrá!$R:$R,MATCH($F213,Vöruskrá!$B:$B,0)))*$H213/1000,""))</f>
        <v>90</v>
      </c>
      <c r="AG213" s="357">
        <f>IF($F213="","",IFERROR(IFERROR(INDEX(Réttabanki!$U:$U,MATCH($F213,Réttabanki!$A:$A,0)),INDEX(Vöruskrá!$R:$R,MATCH($F213,Vöruskrá!$B:$B,0)))*IF($I213="",$H213*(1+$AD$2),$I213)/1000,""))</f>
        <v>135</v>
      </c>
      <c r="AH213" s="358">
        <f t="shared" si="16"/>
        <v>0.11739130434782609</v>
      </c>
      <c r="AI213" s="356" t="str">
        <f t="shared" si="17"/>
        <v>OK</v>
      </c>
    </row>
    <row r="214" spans="1:35" ht="104">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57" t="str">
        <f>IF($F214="","",IFERROR(IFERROR(INDEX(Réttabanki!$U:$U,MATCH($F214,Réttabanki!$A:$A,0)),INDEX(Vöruskrá!$R:$R,MATCH($F214,Vöruskrá!$B:$B,0)))*$H214/1000,""))</f>
        <v/>
      </c>
      <c r="AG214" s="357" t="str">
        <f>IF($F214="","",IFERROR(IFERROR(INDEX(Réttabanki!$U:$U,MATCH($F214,Réttabanki!$A:$A,0)),INDEX(Vöruskrá!$R:$R,MATCH($F214,Vöruskrá!$B:$B,0)))*IF($I214="",$H214*(1+$AD$2),$I214)/1000,""))</f>
        <v/>
      </c>
      <c r="AH214" s="358" t="str">
        <f t="shared" si="16"/>
        <v/>
      </c>
      <c r="AI214" s="356" t="str">
        <f t="shared" si="17"/>
        <v/>
      </c>
    </row>
    <row r="215" spans="1:35" ht="10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57">
        <f>IF($F215="","",IFERROR(IFERROR(INDEX(Réttabanki!$U:$U,MATCH($F215,Réttabanki!$A:$A,0)),INDEX(Vöruskrá!$R:$R,MATCH($F215,Vöruskrá!$B:$B,0)))*$H215/1000,""))</f>
        <v>0</v>
      </c>
      <c r="AG215" s="357">
        <f>IF($F215="","",IFERROR(IFERROR(INDEX(Réttabanki!$U:$U,MATCH($F215,Réttabanki!$A:$A,0)),INDEX(Vöruskrá!$R:$R,MATCH($F215,Vöruskrá!$B:$B,0)))*IF($I215="",$H215*(1+$AD$2),$I215)/1000,""))</f>
        <v>0</v>
      </c>
      <c r="AH215" s="358" t="str">
        <f t="shared" si="16"/>
        <v/>
      </c>
      <c r="AI215" s="356" t="str">
        <f t="shared" si="17"/>
        <v/>
      </c>
    </row>
    <row r="216" spans="1:35" ht="14.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57">
        <f>IF($F216="","",IFERROR(IFERROR(INDEX(Réttabanki!$U:$U,MATCH($F216,Réttabanki!$A:$A,0)),INDEX(Vöruskrá!$R:$R,MATCH($F216,Vöruskrá!$B:$B,0)))*$H216/1000,""))</f>
        <v>90</v>
      </c>
      <c r="AG216" s="357">
        <f>IF($F216="","",IFERROR(IFERROR(INDEX(Réttabanki!$U:$U,MATCH($F216,Réttabanki!$A:$A,0)),INDEX(Vöruskrá!$R:$R,MATCH($F216,Vöruskrá!$B:$B,0)))*IF($I216="",$H216*(1+$AD$2),$I216)/1000,""))</f>
        <v>135</v>
      </c>
      <c r="AH216" s="358">
        <f t="shared" si="16"/>
        <v>0.11739130434782609</v>
      </c>
      <c r="AI216" s="356" t="str">
        <f t="shared" si="17"/>
        <v>OK</v>
      </c>
    </row>
    <row r="217" spans="1:35" ht="14.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57">
        <f>IF($F217="","",IFERROR(IFERROR(INDEX(Réttabanki!$U:$U,MATCH($F217,Réttabanki!$A:$A,0)),INDEX(Vöruskrá!$R:$R,MATCH($F217,Vöruskrá!$B:$B,0)))*$H217/1000,""))</f>
        <v>0</v>
      </c>
      <c r="AG217" s="357">
        <f>IF($F217="","",IFERROR(IFERROR(INDEX(Réttabanki!$U:$U,MATCH($F217,Réttabanki!$A:$A,0)),INDEX(Vöruskrá!$R:$R,MATCH($F217,Vöruskrá!$B:$B,0)))*IF($I217="",$H217*(1+$AD$2),$I217)/1000,""))</f>
        <v>0</v>
      </c>
      <c r="AH217" s="358" t="str">
        <f t="shared" si="16"/>
        <v/>
      </c>
      <c r="AI217" s="356" t="str">
        <f t="shared" si="17"/>
        <v/>
      </c>
    </row>
    <row r="218" spans="1:35" ht="65">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65">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57">
        <f>IF($F219="","",IFERROR(IFERROR(INDEX(Réttabanki!$U:$U,MATCH($F219,Réttabanki!$A:$A,0)),INDEX(Vöruskrá!$R:$R,MATCH($F219,Vöruskrá!$B:$B,0)))*$H219/1000,""))</f>
        <v>226.8</v>
      </c>
      <c r="AG219" s="357">
        <f>IF($F219="","",IFERROR(IFERROR(INDEX(Réttabanki!$U:$U,MATCH($F219,Réttabanki!$A:$A,0)),INDEX(Vöruskrá!$R:$R,MATCH($F219,Vöruskrá!$B:$B,0)))*IF($I219="",$H219*(1+$AD$2),$I219)/1000,""))</f>
        <v>340.2</v>
      </c>
      <c r="AH219" s="358">
        <f t="shared" si="16"/>
        <v>0.29582608695652174</v>
      </c>
      <c r="AI219" s="356" t="str">
        <f t="shared" si="17"/>
        <v>OK</v>
      </c>
    </row>
    <row r="220" spans="1:35" ht="14.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57">
        <f>IF($F220="","",IFERROR(IFERROR(INDEX(Réttabanki!$U:$U,MATCH($F220,Réttabanki!$A:$A,0)),INDEX(Vöruskrá!$R:$R,MATCH($F220,Vöruskrá!$B:$B,0)))*$H220/1000,""))</f>
        <v>0</v>
      </c>
      <c r="AG220" s="357">
        <f>IF($F220="","",IFERROR(IFERROR(INDEX(Réttabanki!$U:$U,MATCH($F220,Réttabanki!$A:$A,0)),INDEX(Vöruskrá!$R:$R,MATCH($F220,Vöruskrá!$B:$B,0)))*IF($I220="",$H220*(1+$AD$2),$I220)/1000,""))</f>
        <v>0</v>
      </c>
      <c r="AH220" s="358" t="str">
        <f t="shared" si="16"/>
        <v/>
      </c>
      <c r="AI220" s="356" t="str">
        <f t="shared" si="17"/>
        <v/>
      </c>
    </row>
    <row r="221" spans="1:35" ht="104">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57" t="str">
        <f>IF($F221="","",IFERROR(IFERROR(INDEX(Réttabanki!$U:$U,MATCH($F221,Réttabanki!$A:$A,0)),INDEX(Vöruskrá!$R:$R,MATCH($F221,Vöruskrá!$B:$B,0)))*$H221/1000,""))</f>
        <v/>
      </c>
      <c r="AG221" s="357" t="str">
        <f>IF($F221="","",IFERROR(IFERROR(INDEX(Réttabanki!$U:$U,MATCH($F221,Réttabanki!$A:$A,0)),INDEX(Vöruskrá!$R:$R,MATCH($F221,Vöruskrá!$B:$B,0)))*IF($I221="",$H221*(1+$AD$2),$I221)/1000,""))</f>
        <v/>
      </c>
      <c r="AH221" s="358" t="str">
        <f t="shared" si="16"/>
        <v/>
      </c>
      <c r="AI221" s="356" t="str">
        <f t="shared" si="17"/>
        <v/>
      </c>
    </row>
    <row r="222" spans="1:35" ht="104">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57">
        <f>IF($F222="","",IFERROR(IFERROR(INDEX(Réttabanki!$U:$U,MATCH($F222,Réttabanki!$A:$A,0)),INDEX(Vöruskrá!$R:$R,MATCH($F222,Vöruskrá!$B:$B,0)))*$H222/1000,""))</f>
        <v>300</v>
      </c>
      <c r="AG222" s="357">
        <f>IF($F222="","",IFERROR(IFERROR(INDEX(Réttabanki!$U:$U,MATCH($F222,Réttabanki!$A:$A,0)),INDEX(Vöruskrá!$R:$R,MATCH($F222,Vöruskrá!$B:$B,0)))*IF($I222="",$H222*(1+$AD$2),$I222)/1000,""))</f>
        <v>450</v>
      </c>
      <c r="AH222" s="358">
        <f t="shared" si="16"/>
        <v>0.39130434782608697</v>
      </c>
      <c r="AI222" s="356" t="str">
        <f t="shared" si="17"/>
        <v>⚠ Yfir 30%</v>
      </c>
    </row>
    <row r="223" spans="1:35" ht="14.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57">
        <f>IF($F223="","",IFERROR(IFERROR(INDEX(Réttabanki!$U:$U,MATCH($F223,Réttabanki!$A:$A,0)),INDEX(Vöruskrá!$R:$R,MATCH($F223,Vöruskrá!$B:$B,0)))*$H223/1000,""))</f>
        <v>90</v>
      </c>
      <c r="AG223" s="357">
        <f>IF($F223="","",IFERROR(IFERROR(INDEX(Réttabanki!$U:$U,MATCH($F223,Réttabanki!$A:$A,0)),INDEX(Vöruskrá!$R:$R,MATCH($F223,Vöruskrá!$B:$B,0)))*IF($I223="",$H223*(1+$AD$2),$I223)/1000,""))</f>
        <v>135</v>
      </c>
      <c r="AH223" s="358">
        <f t="shared" si="16"/>
        <v>0.11739130434782609</v>
      </c>
      <c r="AI223" s="356" t="str">
        <f t="shared" si="17"/>
        <v>OK</v>
      </c>
    </row>
    <row r="224" spans="1:35" ht="14.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57" t="str">
        <f>IF($F224="","",IFERROR(IFERROR(INDEX(Réttabanki!$U:$U,MATCH($F224,Réttabanki!$A:$A,0)),INDEX(Vöruskrá!$R:$R,MATCH($F224,Vöruskrá!$B:$B,0)))*$H224/1000,""))</f>
        <v/>
      </c>
      <c r="AG224" s="357" t="str">
        <f>IF($F224="","",IFERROR(IFERROR(INDEX(Réttabanki!$U:$U,MATCH($F224,Réttabanki!$A:$A,0)),INDEX(Vöruskrá!$R:$R,MATCH($F224,Vöruskrá!$B:$B,0)))*IF($I224="",$H224*(1+$AD$2),$I224)/1000,""))</f>
        <v/>
      </c>
      <c r="AH224" s="358" t="str">
        <f t="shared" si="16"/>
        <v/>
      </c>
      <c r="AI224" s="356" t="str">
        <f t="shared" si="17"/>
        <v/>
      </c>
    </row>
    <row r="225" spans="1:35" ht="52">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57" t="str">
        <f>IF($F225="","",IFERROR(IFERROR(INDEX(Réttabanki!$U:$U,MATCH($F225,Réttabanki!$A:$A,0)),INDEX(Vöruskrá!$R:$R,MATCH($F225,Vöruskrá!$B:$B,0)))*$H225/1000,""))</f>
        <v/>
      </c>
      <c r="AG225" s="357" t="str">
        <f>IF($F225="","",IFERROR(IFERROR(INDEX(Réttabanki!$U:$U,MATCH($F225,Réttabanki!$A:$A,0)),INDEX(Vöruskrá!$R:$R,MATCH($F225,Vöruskrá!$B:$B,0)))*IF($I225="",$H225*(1+$AD$2),$I225)/1000,""))</f>
        <v/>
      </c>
      <c r="AH225" s="358" t="str">
        <f t="shared" si="16"/>
        <v/>
      </c>
      <c r="AI225" s="356" t="str">
        <f t="shared" si="17"/>
        <v/>
      </c>
    </row>
    <row r="226" spans="1:35" ht="39">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57">
        <f>IF($F226="","",IFERROR(IFERROR(INDEX(Réttabanki!$U:$U,MATCH($F226,Réttabanki!$A:$A,0)),INDEX(Vöruskrá!$R:$R,MATCH($F226,Vöruskrá!$B:$B,0)))*$H226/1000,""))</f>
        <v>24</v>
      </c>
      <c r="AG226" s="357">
        <f>IF($F226="","",IFERROR(IFERROR(INDEX(Réttabanki!$U:$U,MATCH($F226,Réttabanki!$A:$A,0)),INDEX(Vöruskrá!$R:$R,MATCH($F226,Vöruskrá!$B:$B,0)))*IF($I226="",$H226*(1+$AD$2),$I226)/1000,""))</f>
        <v>36</v>
      </c>
      <c r="AH226" s="358">
        <f t="shared" si="16"/>
        <v>3.1304347826086959E-2</v>
      </c>
      <c r="AI226" s="356" t="str">
        <f t="shared" si="17"/>
        <v>OK</v>
      </c>
    </row>
    <row r="227" spans="1:35" ht="14.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57">
        <f>IF($F227="","",IFERROR(IFERROR(INDEX(Réttabanki!$U:$U,MATCH($F227,Réttabanki!$A:$A,0)),INDEX(Vöruskrá!$R:$R,MATCH($F227,Vöruskrá!$B:$B,0)))*$H227/1000,""))</f>
        <v>36</v>
      </c>
      <c r="AG227" s="357">
        <f>IF($F227="","",IFERROR(IFERROR(INDEX(Réttabanki!$U:$U,MATCH($F227,Réttabanki!$A:$A,0)),INDEX(Vöruskrá!$R:$R,MATCH($F227,Vöruskrá!$B:$B,0)))*IF($I227="",$H227*(1+$AD$2),$I227)/1000,""))</f>
        <v>54</v>
      </c>
      <c r="AH227" s="358">
        <f t="shared" si="16"/>
        <v>4.6956521739130432E-2</v>
      </c>
      <c r="AI227" s="356" t="str">
        <f t="shared" si="17"/>
        <v>OK</v>
      </c>
    </row>
    <row r="228" spans="1:35" ht="52">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6"/>
        <v/>
      </c>
      <c r="AI228" s="356" t="str">
        <f t="shared" si="17"/>
        <v/>
      </c>
    </row>
    <row r="229" spans="1:35" ht="52">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57">
        <f>IF($F229="","",IFERROR(IFERROR(INDEX(Réttabanki!$U:$U,MATCH($F229,Réttabanki!$A:$A,0)),INDEX(Vöruskrá!$R:$R,MATCH($F229,Vöruskrá!$B:$B,0)))*$H229/1000,""))</f>
        <v>24</v>
      </c>
      <c r="AG229" s="357">
        <f>IF($F229="","",IFERROR(IFERROR(INDEX(Réttabanki!$U:$U,MATCH($F229,Réttabanki!$A:$A,0)),INDEX(Vöruskrá!$R:$R,MATCH($F229,Vöruskrá!$B:$B,0)))*IF($I229="",$H229*(1+$AD$2),$I229)/1000,""))</f>
        <v>36</v>
      </c>
      <c r="AH229" s="358">
        <f t="shared" si="16"/>
        <v>3.1304347826086959E-2</v>
      </c>
      <c r="AI229" s="356" t="str">
        <f t="shared" si="17"/>
        <v>OK</v>
      </c>
    </row>
    <row r="230" spans="1:35" ht="14.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57">
        <f>IF($F230="","",IFERROR(IFERROR(INDEX(Réttabanki!$U:$U,MATCH($F230,Réttabanki!$A:$A,0)),INDEX(Vöruskrá!$R:$R,MATCH($F230,Vöruskrá!$B:$B,0)))*$H230/1000,""))</f>
        <v>36</v>
      </c>
      <c r="AG230" s="357">
        <f>IF($F230="","",IFERROR(IFERROR(INDEX(Réttabanki!$U:$U,MATCH($F230,Réttabanki!$A:$A,0)),INDEX(Vöruskrá!$R:$R,MATCH($F230,Vöruskrá!$B:$B,0)))*IF($I230="",$H230*(1+$AD$2),$I230)/1000,""))</f>
        <v>54</v>
      </c>
      <c r="AH230" s="358">
        <f t="shared" si="16"/>
        <v>4.6956521739130432E-2</v>
      </c>
      <c r="AI230" s="356" t="str">
        <f t="shared" si="17"/>
        <v>OK</v>
      </c>
    </row>
    <row r="231" spans="1:35" ht="14.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57"/>
      <c r="AG231" s="357"/>
      <c r="AH231" s="358">
        <f>IF(N($J231)=0,"",$J231/$AE$4)</f>
        <v>0.27911111111111114</v>
      </c>
      <c r="AI231" s="356" t="str">
        <f>IF($AH231="","",IF($AH231&gt;1,"⚠ Yfir fjárheimild","OK"))</f>
        <v>OK</v>
      </c>
    </row>
    <row r="232" spans="1:35" ht="14.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57"/>
      <c r="AG232" s="357"/>
      <c r="AH232" s="358">
        <f>IF(N($J232)=0,"",$J232/$AE$5)</f>
        <v>0.41321739130434781</v>
      </c>
      <c r="AI232" s="356" t="str">
        <f>IF($AH232="","",IF($AH232&gt;1,"⚠ Yfir fjárheimild","OK"))</f>
        <v>OK</v>
      </c>
    </row>
    <row r="233" spans="1:35" ht="14.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ref="AH233:AH259" si="18">IF(N($AF233)+N($AG233)=0,"",MAX(N($AF233)/$AE$4,N($AG233)/$AE$5))</f>
        <v/>
      </c>
      <c r="AI233" s="356" t="str">
        <f t="shared" ref="AI233:AI259" si="19">IF($AH233="","",IF($AH233&gt;$AE$6,"⚠ Yfir "&amp;TEXT($AE$6,"0%"),"OK"))</f>
        <v/>
      </c>
    </row>
    <row r="234" spans="1:35" ht="104">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57" t="str">
        <f>IF($F234="","",IFERROR(IFERROR(INDEX(Réttabanki!$U:$U,MATCH($F234,Réttabanki!$A:$A,0)),INDEX(Vöruskrá!$R:$R,MATCH($F234,Vöruskrá!$B:$B,0)))*$H234/1000,""))</f>
        <v/>
      </c>
      <c r="AG234" s="357" t="str">
        <f>IF($F234="","",IFERROR(IFERROR(INDEX(Réttabanki!$U:$U,MATCH($F234,Réttabanki!$A:$A,0)),INDEX(Vöruskrá!$R:$R,MATCH($F234,Vöruskrá!$B:$B,0)))*IF($I234="",$H234*(1+$AD$2),$I234)/1000,""))</f>
        <v/>
      </c>
      <c r="AH234" s="358" t="str">
        <f t="shared" si="18"/>
        <v/>
      </c>
      <c r="AI234" s="356" t="str">
        <f t="shared" si="19"/>
        <v/>
      </c>
    </row>
    <row r="235" spans="1:35" ht="65">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57">
        <f>IF($F235="","",IFERROR(IFERROR(INDEX(Réttabanki!$U:$U,MATCH($F235,Réttabanki!$A:$A,0)),INDEX(Vöruskrá!$R:$R,MATCH($F235,Vöruskrá!$B:$B,0)))*$H235/1000,""))</f>
        <v>0</v>
      </c>
      <c r="AG235" s="357">
        <f>IF($F235="","",IFERROR(IFERROR(INDEX(Réttabanki!$U:$U,MATCH($F235,Réttabanki!$A:$A,0)),INDEX(Vöruskrá!$R:$R,MATCH($F235,Vöruskrá!$B:$B,0)))*IF($I235="",$H235*(1+$AD$2),$I235)/1000,""))</f>
        <v>273.24576000000002</v>
      </c>
      <c r="AH235" s="358">
        <f t="shared" si="18"/>
        <v>0.23760500869565218</v>
      </c>
      <c r="AI235" s="356" t="str">
        <f t="shared" si="19"/>
        <v>OK</v>
      </c>
    </row>
    <row r="236" spans="1:35" ht="29">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0</v>
      </c>
      <c r="AG236" s="357">
        <f>IF($F236="","",IFERROR(IFERROR(INDEX(Réttabanki!$U:$U,MATCH($F236,Réttabanki!$A:$A,0)),INDEX(Vöruskrá!$R:$R,MATCH($F236,Vöruskrá!$B:$B,0)))*IF($I236="",$H236*(1+$AD$2),$I236)/1000,""))</f>
        <v>35</v>
      </c>
      <c r="AH236" s="358">
        <f t="shared" si="18"/>
        <v>3.0434782608695653E-2</v>
      </c>
      <c r="AI236" s="356" t="str">
        <f t="shared" si="19"/>
        <v>OK</v>
      </c>
    </row>
    <row r="237" spans="1:35" ht="39">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57">
        <f>IF($F237="","",IFERROR(IFERROR(INDEX(Réttabanki!$U:$U,MATCH($F237,Réttabanki!$A:$A,0)),INDEX(Vöruskrá!$R:$R,MATCH($F237,Vöruskrá!$B:$B,0)))*$H237/1000,""))</f>
        <v>0</v>
      </c>
      <c r="AG237" s="357">
        <f>IF($F237="","",IFERROR(IFERROR(INDEX(Réttabanki!$U:$U,MATCH($F237,Réttabanki!$A:$A,0)),INDEX(Vöruskrá!$R:$R,MATCH($F237,Vöruskrá!$B:$B,0)))*IF($I237="",$H237*(1+$AD$2),$I237)/1000,""))</f>
        <v>29.32</v>
      </c>
      <c r="AH237" s="358">
        <f t="shared" si="18"/>
        <v>2.5495652173913044E-2</v>
      </c>
      <c r="AI237" s="356" t="str">
        <f t="shared" si="19"/>
        <v>OK</v>
      </c>
    </row>
    <row r="238" spans="1:35" ht="29">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57" t="str">
        <f>IF($F238="","",IFERROR(IFERROR(INDEX(Réttabanki!$U:$U,MATCH($F238,Réttabanki!$A:$A,0)),INDEX(Vöruskrá!$R:$R,MATCH($F238,Vöruskrá!$B:$B,0)))*$H238/1000,""))</f>
        <v/>
      </c>
      <c r="AG238" s="357" t="str">
        <f>IF($F238="","",IFERROR(IFERROR(INDEX(Réttabanki!$U:$U,MATCH($F238,Réttabanki!$A:$A,0)),INDEX(Vöruskrá!$R:$R,MATCH($F238,Vöruskrá!$B:$B,0)))*IF($I238="",$H238*(1+$AD$2),$I238)/1000,""))</f>
        <v/>
      </c>
      <c r="AH238" s="358" t="str">
        <f t="shared" si="18"/>
        <v/>
      </c>
      <c r="AI238" s="356" t="str">
        <f t="shared" si="19"/>
        <v/>
      </c>
    </row>
    <row r="239" spans="1:35" ht="130">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57" t="str">
        <f>IF($F239="","",IFERROR(IFERROR(INDEX(Réttabanki!$U:$U,MATCH($F239,Réttabanki!$A:$A,0)),INDEX(Vöruskrá!$R:$R,MATCH($F239,Vöruskrá!$B:$B,0)))*$H239/1000,""))</f>
        <v/>
      </c>
      <c r="AG239" s="357" t="str">
        <f>IF($F239="","",IFERROR(IFERROR(INDEX(Réttabanki!$U:$U,MATCH($F239,Réttabanki!$A:$A,0)),INDEX(Vöruskrá!$R:$R,MATCH($F239,Vöruskrá!$B:$B,0)))*IF($I239="",$H239*(1+$AD$2),$I239)/1000,""))</f>
        <v/>
      </c>
      <c r="AH239" s="358" t="str">
        <f t="shared" si="18"/>
        <v/>
      </c>
      <c r="AI239" s="356" t="str">
        <f t="shared" si="19"/>
        <v/>
      </c>
    </row>
    <row r="240" spans="1:35" ht="91">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57">
        <f>IF($F240="","",IFERROR(IFERROR(INDEX(Réttabanki!$U:$U,MATCH($F240,Réttabanki!$A:$A,0)),INDEX(Vöruskrá!$R:$R,MATCH($F240,Vöruskrá!$B:$B,0)))*$H240/1000,""))</f>
        <v>295.19919999999996</v>
      </c>
      <c r="AG240" s="357">
        <f>IF($F240="","",IFERROR(IFERROR(INDEX(Réttabanki!$U:$U,MATCH($F240,Réttabanki!$A:$A,0)),INDEX(Vöruskrá!$R:$R,MATCH($F240,Vöruskrá!$B:$B,0)))*IF($I240="",$H240*(1+$AD$2),$I240)/1000,""))</f>
        <v>442.79879999999997</v>
      </c>
      <c r="AH240" s="358">
        <f t="shared" si="18"/>
        <v>0.38504243478260869</v>
      </c>
      <c r="AI240" s="356" t="str">
        <f t="shared" si="19"/>
        <v>⚠ Yfir 30%</v>
      </c>
    </row>
    <row r="241" spans="1:35" ht="14.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28</v>
      </c>
      <c r="AG241" s="357">
        <f>IF($F241="","",IFERROR(IFERROR(INDEX(Réttabanki!$U:$U,MATCH($F241,Réttabanki!$A:$A,0)),INDEX(Vöruskrá!$R:$R,MATCH($F241,Vöruskrá!$B:$B,0)))*IF($I241="",$H241*(1+$AD$2),$I241)/1000,""))</f>
        <v>42</v>
      </c>
      <c r="AH241" s="358">
        <f t="shared" si="18"/>
        <v>3.6521739130434785E-2</v>
      </c>
      <c r="AI241" s="356" t="str">
        <f t="shared" si="19"/>
        <v>OK</v>
      </c>
    </row>
    <row r="242" spans="1:35" ht="39">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29.32</v>
      </c>
      <c r="AG242" s="357">
        <f>IF($F242="","",IFERROR(IFERROR(INDEX(Réttabanki!$U:$U,MATCH($F242,Réttabanki!$A:$A,0)),INDEX(Vöruskrá!$R:$R,MATCH($F242,Vöruskrá!$B:$B,0)))*IF($I242="",$H242*(1+$AD$2),$I242)/1000,""))</f>
        <v>43.98</v>
      </c>
      <c r="AH242" s="358">
        <f t="shared" si="18"/>
        <v>3.8243478260869559E-2</v>
      </c>
      <c r="AI242" s="356" t="str">
        <f t="shared" si="19"/>
        <v>OK</v>
      </c>
    </row>
    <row r="243" spans="1:35" ht="91">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57" t="str">
        <f>IF($F243="","",IFERROR(IFERROR(INDEX(Réttabanki!$U:$U,MATCH($F243,Réttabanki!$A:$A,0)),INDEX(Vöruskrá!$R:$R,MATCH($F243,Vöruskrá!$B:$B,0)))*$H243/1000,""))</f>
        <v/>
      </c>
      <c r="AG243" s="357" t="str">
        <f>IF($F243="","",IFERROR(IFERROR(INDEX(Réttabanki!$U:$U,MATCH($F243,Réttabanki!$A:$A,0)),INDEX(Vöruskrá!$R:$R,MATCH($F243,Vöruskrá!$B:$B,0)))*IF($I243="",$H243*(1+$AD$2),$I243)/1000,""))</f>
        <v/>
      </c>
      <c r="AH243" s="358" t="str">
        <f t="shared" si="18"/>
        <v/>
      </c>
      <c r="AI243" s="356" t="str">
        <f t="shared" si="19"/>
        <v/>
      </c>
    </row>
    <row r="244" spans="1:35" ht="91">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57">
        <f>IF($F244="","",IFERROR(IFERROR(INDEX(Réttabanki!$U:$U,MATCH($F244,Réttabanki!$A:$A,0)),INDEX(Vöruskrá!$R:$R,MATCH($F244,Vöruskrá!$B:$B,0)))*$H244/1000,""))</f>
        <v>295.19919999999996</v>
      </c>
      <c r="AG244" s="357">
        <f>IF($F244="","",IFERROR(IFERROR(INDEX(Réttabanki!$U:$U,MATCH($F244,Réttabanki!$A:$A,0)),INDEX(Vöruskrá!$R:$R,MATCH($F244,Vöruskrá!$B:$B,0)))*IF($I244="",$H244*(1+$AD$2),$I244)/1000,""))</f>
        <v>442.79879999999997</v>
      </c>
      <c r="AH244" s="358">
        <f t="shared" si="18"/>
        <v>0.38504243478260869</v>
      </c>
      <c r="AI244" s="356" t="str">
        <f t="shared" si="19"/>
        <v>⚠ Yfir 30%</v>
      </c>
    </row>
    <row r="245" spans="1:35" ht="14.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57">
        <f>IF($F245="","",IFERROR(IFERROR(INDEX(Réttabanki!$U:$U,MATCH($F245,Réttabanki!$A:$A,0)),INDEX(Vöruskrá!$R:$R,MATCH($F245,Vöruskrá!$B:$B,0)))*$H245/1000,""))</f>
        <v>28</v>
      </c>
      <c r="AG245" s="357">
        <f>IF($F245="","",IFERROR(IFERROR(INDEX(Réttabanki!$U:$U,MATCH($F245,Réttabanki!$A:$A,0)),INDEX(Vöruskrá!$R:$R,MATCH($F245,Vöruskrá!$B:$B,0)))*IF($I245="",$H245*(1+$AD$2),$I245)/1000,""))</f>
        <v>42</v>
      </c>
      <c r="AH245" s="358">
        <f t="shared" si="18"/>
        <v>3.6521739130434785E-2</v>
      </c>
      <c r="AI245" s="356" t="str">
        <f t="shared" si="19"/>
        <v>OK</v>
      </c>
    </row>
    <row r="246" spans="1:35" ht="117">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78">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192</v>
      </c>
      <c r="AG247" s="357">
        <f>IF($F247="","",IFERROR(IFERROR(INDEX(Réttabanki!$U:$U,MATCH($F247,Réttabanki!$A:$A,0)),INDEX(Vöruskrá!$R:$R,MATCH($F247,Vöruskrá!$B:$B,0)))*IF($I247="",$H247*(1+$AD$2),$I247)/1000,""))</f>
        <v>216</v>
      </c>
      <c r="AH247" s="358">
        <f t="shared" si="18"/>
        <v>0.18782608695652173</v>
      </c>
      <c r="AI247" s="356" t="str">
        <f t="shared" si="19"/>
        <v>OK</v>
      </c>
    </row>
    <row r="248" spans="1:35" ht="14.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28</v>
      </c>
      <c r="AG248" s="357">
        <f>IF($F248="","",IFERROR(IFERROR(INDEX(Réttabanki!$U:$U,MATCH($F248,Réttabanki!$A:$A,0)),INDEX(Vöruskrá!$R:$R,MATCH($F248,Vöruskrá!$B:$B,0)))*IF($I248="",$H248*(1+$AD$2),$I248)/1000,""))</f>
        <v>35</v>
      </c>
      <c r="AH248" s="358">
        <f t="shared" si="18"/>
        <v>3.0434782608695653E-2</v>
      </c>
      <c r="AI248" s="356" t="str">
        <f t="shared" si="19"/>
        <v>OK</v>
      </c>
    </row>
    <row r="249" spans="1:35" ht="39">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57">
        <f>IF($F249="","",IFERROR(IFERROR(INDEX(Réttabanki!$U:$U,MATCH($F249,Réttabanki!$A:$A,0)),INDEX(Vöruskrá!$R:$R,MATCH($F249,Vöruskrá!$B:$B,0)))*$H249/1000,""))</f>
        <v>29.32</v>
      </c>
      <c r="AG249" s="357">
        <f>IF($F249="","",IFERROR(IFERROR(INDEX(Réttabanki!$U:$U,MATCH($F249,Réttabanki!$A:$A,0)),INDEX(Vöruskrá!$R:$R,MATCH($F249,Vöruskrá!$B:$B,0)))*IF($I249="",$H249*(1+$AD$2),$I249)/1000,""))</f>
        <v>29.32</v>
      </c>
      <c r="AH249" s="358">
        <f t="shared" si="18"/>
        <v>2.5495652173913044E-2</v>
      </c>
      <c r="AI249" s="356" t="str">
        <f t="shared" si="19"/>
        <v>OK</v>
      </c>
    </row>
    <row r="250" spans="1:35" ht="14.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57" t="str">
        <f>IF($F250="","",IFERROR(IFERROR(INDEX(Réttabanki!$U:$U,MATCH($F250,Réttabanki!$A:$A,0)),INDEX(Vöruskrá!$R:$R,MATCH($F250,Vöruskrá!$B:$B,0)))*$H250/1000,""))</f>
        <v/>
      </c>
      <c r="AG250" s="357" t="str">
        <f>IF($F250="","",IFERROR(IFERROR(INDEX(Réttabanki!$U:$U,MATCH($F250,Réttabanki!$A:$A,0)),INDEX(Vöruskrá!$R:$R,MATCH($F250,Vöruskrá!$B:$B,0)))*IF($I250="",$H250*(1+$AD$2),$I250)/1000,""))</f>
        <v/>
      </c>
      <c r="AH250" s="358" t="str">
        <f t="shared" si="18"/>
        <v/>
      </c>
      <c r="AI250" s="356" t="str">
        <f t="shared" si="19"/>
        <v/>
      </c>
    </row>
    <row r="251" spans="1:35" ht="14.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39">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57" t="str">
        <f>IF($F252="","",IFERROR(IFERROR(INDEX(Réttabanki!$U:$U,MATCH($F252,Réttabanki!$A:$A,0)),INDEX(Vöruskrá!$R:$R,MATCH($F252,Vöruskrá!$B:$B,0)))*$H252/1000,""))</f>
        <v/>
      </c>
      <c r="AG252" s="357" t="str">
        <f>IF($F252="","",IFERROR(IFERROR(INDEX(Réttabanki!$U:$U,MATCH($F252,Réttabanki!$A:$A,0)),INDEX(Vöruskrá!$R:$R,MATCH($F252,Vöruskrá!$B:$B,0)))*IF($I252="",$H252*(1+$AD$2),$I252)/1000,""))</f>
        <v/>
      </c>
      <c r="AH252" s="358" t="str">
        <f t="shared" si="18"/>
        <v/>
      </c>
      <c r="AI252" s="356" t="str">
        <f t="shared" si="19"/>
        <v/>
      </c>
    </row>
    <row r="253" spans="1:35" ht="39">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57">
        <f>IF($F253="","",IFERROR(IFERROR(INDEX(Réttabanki!$U:$U,MATCH($F253,Réttabanki!$A:$A,0)),INDEX(Vöruskrá!$R:$R,MATCH($F253,Vöruskrá!$B:$B,0)))*$H253/1000,""))</f>
        <v>24</v>
      </c>
      <c r="AG253" s="357">
        <f>IF($F253="","",IFERROR(IFERROR(INDEX(Réttabanki!$U:$U,MATCH($F253,Réttabanki!$A:$A,0)),INDEX(Vöruskrá!$R:$R,MATCH($F253,Vöruskrá!$B:$B,0)))*IF($I253="",$H253*(1+$AD$2),$I253)/1000,""))</f>
        <v>36</v>
      </c>
      <c r="AH253" s="358">
        <f t="shared" si="18"/>
        <v>3.1304347826086959E-2</v>
      </c>
      <c r="AI253" s="356" t="str">
        <f t="shared" si="19"/>
        <v>OK</v>
      </c>
    </row>
    <row r="254" spans="1:35" ht="14.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57">
        <f>IF($F254="","",IFERROR(IFERROR(INDEX(Réttabanki!$U:$U,MATCH($F254,Réttabanki!$A:$A,0)),INDEX(Vöruskrá!$R:$R,MATCH($F254,Vöruskrá!$B:$B,0)))*$H254/1000,""))</f>
        <v>56</v>
      </c>
      <c r="AG254" s="357">
        <f>IF($F254="","",IFERROR(IFERROR(INDEX(Réttabanki!$U:$U,MATCH($F254,Réttabanki!$A:$A,0)),INDEX(Vöruskrá!$R:$R,MATCH($F254,Vöruskrá!$B:$B,0)))*IF($I254="",$H254*(1+$AD$2),$I254)/1000,""))</f>
        <v>84</v>
      </c>
      <c r="AH254" s="358">
        <f t="shared" si="18"/>
        <v>7.3043478260869571E-2</v>
      </c>
      <c r="AI254" s="356" t="str">
        <f t="shared" si="19"/>
        <v>OK</v>
      </c>
    </row>
    <row r="255" spans="1:35" ht="39">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57" t="str">
        <f>IF($F255="","",IFERROR(IFERROR(INDEX(Réttabanki!$U:$U,MATCH($F255,Réttabanki!$A:$A,0)),INDEX(Vöruskrá!$R:$R,MATCH($F255,Vöruskrá!$B:$B,0)))*$H255/1000,""))</f>
        <v/>
      </c>
      <c r="AG255" s="357" t="str">
        <f>IF($F255="","",IFERROR(IFERROR(INDEX(Réttabanki!$U:$U,MATCH($F255,Réttabanki!$A:$A,0)),INDEX(Vöruskrá!$R:$R,MATCH($F255,Vöruskrá!$B:$B,0)))*IF($I255="",$H255*(1+$AD$2),$I255)/1000,""))</f>
        <v/>
      </c>
      <c r="AH255" s="358" t="str">
        <f t="shared" si="18"/>
        <v/>
      </c>
      <c r="AI255" s="356" t="str">
        <f t="shared" si="19"/>
        <v/>
      </c>
    </row>
    <row r="256" spans="1:35" ht="39">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57">
        <f>IF($F256="","",IFERROR(IFERROR(INDEX(Réttabanki!$U:$U,MATCH($F256,Réttabanki!$A:$A,0)),INDEX(Vöruskrá!$R:$R,MATCH($F256,Vöruskrá!$B:$B,0)))*$H256/1000,""))</f>
        <v>24</v>
      </c>
      <c r="AG256" s="357">
        <f>IF($F256="","",IFERROR(IFERROR(INDEX(Réttabanki!$U:$U,MATCH($F256,Réttabanki!$A:$A,0)),INDEX(Vöruskrá!$R:$R,MATCH($F256,Vöruskrá!$B:$B,0)))*IF($I256="",$H256*(1+$AD$2),$I256)/1000,""))</f>
        <v>36</v>
      </c>
      <c r="AH256" s="358">
        <f t="shared" si="18"/>
        <v>3.1304347826086959E-2</v>
      </c>
      <c r="AI256" s="356" t="str">
        <f t="shared" si="19"/>
        <v>OK</v>
      </c>
    </row>
    <row r="257" spans="1:35" ht="52">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57" t="str">
        <f>IF($F257="","",IFERROR(IFERROR(INDEX(Réttabanki!$U:$U,MATCH($F257,Réttabanki!$A:$A,0)),INDEX(Vöruskrá!$R:$R,MATCH($F257,Vöruskrá!$B:$B,0)))*$H257/1000,""))</f>
        <v/>
      </c>
      <c r="AG257" s="357" t="str">
        <f>IF($F257="","",IFERROR(IFERROR(INDEX(Réttabanki!$U:$U,MATCH($F257,Réttabanki!$A:$A,0)),INDEX(Vöruskrá!$R:$R,MATCH($F257,Vöruskrá!$B:$B,0)))*IF($I257="",$H257*(1+$AD$2),$I257)/1000,""))</f>
        <v/>
      </c>
      <c r="AH257" s="358" t="str">
        <f t="shared" si="18"/>
        <v/>
      </c>
      <c r="AI257" s="356" t="str">
        <f t="shared" si="19"/>
        <v/>
      </c>
    </row>
    <row r="258" spans="1:35" ht="52">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0</v>
      </c>
      <c r="AH258" s="358" t="str">
        <f t="shared" si="18"/>
        <v/>
      </c>
      <c r="AI258" s="356" t="str">
        <f t="shared" si="19"/>
        <v/>
      </c>
    </row>
    <row r="259" spans="1:35" ht="14.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0</v>
      </c>
      <c r="AH259" s="358" t="str">
        <f t="shared" si="18"/>
        <v/>
      </c>
      <c r="AI259" s="356" t="str">
        <f t="shared" si="19"/>
        <v/>
      </c>
    </row>
    <row r="260" spans="1:35" ht="14.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57"/>
      <c r="AG260" s="357"/>
      <c r="AH260" s="358">
        <f>IF(N($J260)=0,"",$J260/$AE$4)</f>
        <v>0.32038459259259255</v>
      </c>
      <c r="AI260" s="356" t="str">
        <f>IF($AH260="","",IF($AH260&gt;1,"⚠ Yfir fjárheimild","OK"))</f>
        <v>OK</v>
      </c>
    </row>
    <row r="261" spans="1:35" ht="14.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57"/>
      <c r="AG261" s="357"/>
      <c r="AH261" s="358">
        <f>IF(N($J261)=0,"",$J261/$AE$5)</f>
        <v>0.45980765217391301</v>
      </c>
      <c r="AI261" s="356" t="str">
        <f>IF($AH261="","",IF($AH261&gt;1,"⚠ Yfir fjárheimild","OK"))</f>
        <v>OK</v>
      </c>
    </row>
    <row r="262" spans="1:35" ht="117">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57" t="str">
        <f>IF($F262="","",IFERROR(IFERROR(INDEX(Réttabanki!$U:$U,MATCH($F262,Réttabanki!$A:$A,0)),INDEX(Vöruskrá!$R:$R,MATCH($F262,Vöruskrá!$B:$B,0)))*$H262/1000,""))</f>
        <v/>
      </c>
      <c r="AG262" s="357" t="str">
        <f>IF($F262="","",IFERROR(IFERROR(INDEX(Réttabanki!$U:$U,MATCH($F262,Réttabanki!$A:$A,0)),INDEX(Vöruskrá!$R:$R,MATCH($F262,Vöruskrá!$B:$B,0)))*IF($I262="",$H262*(1+$AD$2),$I262)/1000,""))</f>
        <v/>
      </c>
      <c r="AH262" s="358" t="str">
        <f t="shared" ref="AH262:AH298" si="20">IF(N($AF262)+N($AG262)=0,"",MAX(N($AF262)/$AE$4,N($AG262)/$AE$5))</f>
        <v/>
      </c>
      <c r="AI262" s="356" t="str">
        <f t="shared" ref="AI262:AI298" si="21">IF($AH262="","",IF($AH262&gt;$AE$6,"⚠ Yfir "&amp;TEXT($AE$6,"0%"),"OK"))</f>
        <v/>
      </c>
    </row>
    <row r="263" spans="1:35" ht="78">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96</v>
      </c>
      <c r="AH263" s="358">
        <f t="shared" si="20"/>
        <v>8.3478260869565224E-2</v>
      </c>
      <c r="AI263" s="356" t="str">
        <f t="shared" si="21"/>
        <v>OK</v>
      </c>
    </row>
    <row r="264" spans="1:35" ht="29">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57">
        <f>IF($F264="","",IFERROR(IFERROR(INDEX(Réttabanki!$U:$U,MATCH($F264,Réttabanki!$A:$A,0)),INDEX(Vöruskrá!$R:$R,MATCH($F264,Vöruskrá!$B:$B,0)))*$H264/1000,""))</f>
        <v>0</v>
      </c>
      <c r="AG264" s="357">
        <f>IF($F264="","",IFERROR(IFERROR(INDEX(Réttabanki!$U:$U,MATCH($F264,Réttabanki!$A:$A,0)),INDEX(Vöruskrá!$R:$R,MATCH($F264,Vöruskrá!$B:$B,0)))*IF($I264="",$H264*(1+$AD$2),$I264)/1000,""))</f>
        <v>60</v>
      </c>
      <c r="AH264" s="358">
        <f t="shared" si="20"/>
        <v>5.2173913043478258E-2</v>
      </c>
      <c r="AI264" s="356" t="str">
        <f t="shared" si="21"/>
        <v>OK</v>
      </c>
    </row>
    <row r="265" spans="1:35" ht="39">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57">
        <f>IF($F265="","",IFERROR(IFERROR(INDEX(Réttabanki!$U:$U,MATCH($F265,Réttabanki!$A:$A,0)),INDEX(Vöruskrá!$R:$R,MATCH($F265,Vöruskrá!$B:$B,0)))*$H265/1000,""))</f>
        <v>0</v>
      </c>
      <c r="AG265" s="357">
        <f>IF($F265="","",IFERROR(IFERROR(INDEX(Réttabanki!$U:$U,MATCH($F265,Réttabanki!$A:$A,0)),INDEX(Vöruskrá!$R:$R,MATCH($F265,Vöruskrá!$B:$B,0)))*IF($I265="",$H265*(1+$AD$2),$I265)/1000,""))</f>
        <v>33</v>
      </c>
      <c r="AH265" s="358">
        <f t="shared" si="20"/>
        <v>2.8695652173913042E-2</v>
      </c>
      <c r="AI265" s="356" t="str">
        <f t="shared" si="21"/>
        <v>OK</v>
      </c>
    </row>
    <row r="266" spans="1:35" ht="143">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57" t="str">
        <f>IF($F266="","",IFERROR(IFERROR(INDEX(Réttabanki!$U:$U,MATCH($F266,Réttabanki!$A:$A,0)),INDEX(Vöruskrá!$R:$R,MATCH($F266,Vöruskrá!$B:$B,0)))*$H266/1000,""))</f>
        <v/>
      </c>
      <c r="AG266" s="357" t="str">
        <f>IF($F266="","",IFERROR(IFERROR(INDEX(Réttabanki!$U:$U,MATCH($F266,Réttabanki!$A:$A,0)),INDEX(Vöruskrá!$R:$R,MATCH($F266,Vöruskrá!$B:$B,0)))*IF($I266="",$H266*(1+$AD$2),$I266)/1000,""))</f>
        <v/>
      </c>
      <c r="AH266" s="358" t="str">
        <f t="shared" si="20"/>
        <v/>
      </c>
      <c r="AI266" s="356" t="str">
        <f t="shared" si="21"/>
        <v/>
      </c>
    </row>
    <row r="267" spans="1:35" ht="91">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57">
        <f>IF($F267="","",IFERROR(IFERROR(INDEX(Réttabanki!$U:$U,MATCH($F267,Réttabanki!$A:$A,0)),INDEX(Vöruskrá!$R:$R,MATCH($F267,Vöruskrá!$B:$B,0)))*$H267/1000,""))</f>
        <v>0</v>
      </c>
      <c r="AG267" s="357">
        <f>IF($F267="","",IFERROR(IFERROR(INDEX(Réttabanki!$U:$U,MATCH($F267,Réttabanki!$A:$A,0)),INDEX(Vöruskrá!$R:$R,MATCH($F267,Vöruskrá!$B:$B,0)))*IF($I267="",$H267*(1+$AD$2),$I267)/1000,""))</f>
        <v>119.9010624</v>
      </c>
      <c r="AH267" s="358">
        <f t="shared" si="20"/>
        <v>0.10426179339130434</v>
      </c>
      <c r="AI267" s="356" t="str">
        <f t="shared" si="21"/>
        <v>OK</v>
      </c>
    </row>
    <row r="268" spans="1:35" ht="29">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0</v>
      </c>
      <c r="AG268" s="357">
        <f>IF($F268="","",IFERROR(IFERROR(INDEX(Réttabanki!$U:$U,MATCH($F268,Réttabanki!$A:$A,0)),INDEX(Vöruskrá!$R:$R,MATCH($F268,Vöruskrá!$B:$B,0)))*IF($I268="",$H268*(1+$AD$2),$I268)/1000,""))</f>
        <v>60</v>
      </c>
      <c r="AH268" s="358">
        <f t="shared" si="20"/>
        <v>5.2173913043478258E-2</v>
      </c>
      <c r="AI268" s="356" t="str">
        <f t="shared" si="21"/>
        <v>OK</v>
      </c>
    </row>
    <row r="269" spans="1:35" ht="52">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57">
        <f>IF($F269="","",IFERROR(IFERROR(INDEX(Réttabanki!$U:$U,MATCH($F269,Réttabanki!$A:$A,0)),INDEX(Vöruskrá!$R:$R,MATCH($F269,Vöruskrá!$B:$B,0)))*$H269/1000,""))</f>
        <v>0</v>
      </c>
      <c r="AG269" s="357">
        <f>IF($F269="","",IFERROR(IFERROR(INDEX(Réttabanki!$U:$U,MATCH($F269,Réttabanki!$A:$A,0)),INDEX(Vöruskrá!$R:$R,MATCH($F269,Vöruskrá!$B:$B,0)))*IF($I269="",$H269*(1+$AD$2),$I269)/1000,""))</f>
        <v>33</v>
      </c>
      <c r="AH269" s="358">
        <f t="shared" si="20"/>
        <v>2.8695652173913042E-2</v>
      </c>
      <c r="AI269" s="356" t="str">
        <f t="shared" si="21"/>
        <v>OK</v>
      </c>
    </row>
    <row r="270" spans="1:35" ht="39">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57" t="str">
        <f>IF($F270="","",IFERROR(IFERROR(INDEX(Réttabanki!$U:$U,MATCH($F270,Réttabanki!$A:$A,0)),INDEX(Vöruskrá!$R:$R,MATCH($F270,Vöruskrá!$B:$B,0)))*$H270/1000,""))</f>
        <v/>
      </c>
      <c r="AG270" s="357" t="str">
        <f>IF($F270="","",IFERROR(IFERROR(INDEX(Réttabanki!$U:$U,MATCH($F270,Réttabanki!$A:$A,0)),INDEX(Vöruskrá!$R:$R,MATCH($F270,Vöruskrá!$B:$B,0)))*IF($I270="",$H270*(1+$AD$2),$I270)/1000,""))</f>
        <v/>
      </c>
      <c r="AH270" s="358" t="str">
        <f t="shared" si="20"/>
        <v/>
      </c>
      <c r="AI270" s="356" t="str">
        <f t="shared" si="21"/>
        <v/>
      </c>
    </row>
    <row r="271" spans="1:35" ht="14.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304</v>
      </c>
      <c r="AG271" s="357">
        <f>IF($F271="","",IFERROR(IFERROR(INDEX(Réttabanki!$U:$U,MATCH($F271,Réttabanki!$A:$A,0)),INDEX(Vöruskrá!$R:$R,MATCH($F271,Vöruskrá!$B:$B,0)))*IF($I271="",$H271*(1+$AD$2),$I271)/1000,""))</f>
        <v>456</v>
      </c>
      <c r="AH271" s="358">
        <f t="shared" si="20"/>
        <v>0.39652173913043476</v>
      </c>
      <c r="AI271" s="356" t="str">
        <f t="shared" si="21"/>
        <v>⚠ Yfir 30%</v>
      </c>
    </row>
    <row r="272" spans="1:35" ht="14.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57">
        <f>IF($F272="","",IFERROR(IFERROR(INDEX(Réttabanki!$U:$U,MATCH($F272,Réttabanki!$A:$A,0)),INDEX(Vöruskrá!$R:$R,MATCH($F272,Vöruskrá!$B:$B,0)))*$H272/1000,""))</f>
        <v>16</v>
      </c>
      <c r="AG272" s="357">
        <f>IF($F272="","",IFERROR(IFERROR(INDEX(Réttabanki!$U:$U,MATCH($F272,Réttabanki!$A:$A,0)),INDEX(Vöruskrá!$R:$R,MATCH($F272,Vöruskrá!$B:$B,0)))*IF($I272="",$H272*(1+$AD$2),$I272)/1000,""))</f>
        <v>24</v>
      </c>
      <c r="AH272" s="358">
        <f t="shared" si="20"/>
        <v>2.0869565217391306E-2</v>
      </c>
      <c r="AI272" s="356" t="str">
        <f t="shared" si="21"/>
        <v>OK</v>
      </c>
    </row>
    <row r="273" spans="1:35" ht="14.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57">
        <f>IF($F273="","",IFERROR(IFERROR(INDEX(Réttabanki!$U:$U,MATCH($F273,Réttabanki!$A:$A,0)),INDEX(Vöruskrá!$R:$R,MATCH($F273,Vöruskrá!$B:$B,0)))*$H273/1000,""))</f>
        <v>23</v>
      </c>
      <c r="AG273" s="357">
        <f>IF($F273="","",IFERROR(IFERROR(INDEX(Réttabanki!$U:$U,MATCH($F273,Réttabanki!$A:$A,0)),INDEX(Vöruskrá!$R:$R,MATCH($F273,Vöruskrá!$B:$B,0)))*IF($I273="",$H273*(1+$AD$2),$I273)/1000,""))</f>
        <v>34.5</v>
      </c>
      <c r="AH273" s="358">
        <f t="shared" si="20"/>
        <v>0.03</v>
      </c>
      <c r="AI273" s="356" t="str">
        <f t="shared" si="21"/>
        <v>OK</v>
      </c>
    </row>
    <row r="274" spans="1:35" ht="39">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57">
        <f>IF($F274="","",IFERROR(IFERROR(INDEX(Réttabanki!$U:$U,MATCH($F274,Réttabanki!$A:$A,0)),INDEX(Vöruskrá!$R:$R,MATCH($F274,Vöruskrá!$B:$B,0)))*$H274/1000,""))</f>
        <v>15</v>
      </c>
      <c r="AG274" s="357">
        <f>IF($F274="","",IFERROR(IFERROR(INDEX(Réttabanki!$U:$U,MATCH($F274,Réttabanki!$A:$A,0)),INDEX(Vöruskrá!$R:$R,MATCH($F274,Vöruskrá!$B:$B,0)))*IF($I274="",$H274*(1+$AD$2),$I274)/1000,""))</f>
        <v>22.5</v>
      </c>
      <c r="AH274" s="358">
        <f t="shared" si="20"/>
        <v>1.9565217391304349E-2</v>
      </c>
      <c r="AI274" s="356" t="str">
        <f t="shared" si="21"/>
        <v>OK</v>
      </c>
    </row>
    <row r="275" spans="1:35" ht="39">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57" t="str">
        <f>IF($F275="","",IFERROR(IFERROR(INDEX(Réttabanki!$U:$U,MATCH($F275,Réttabanki!$A:$A,0)),INDEX(Vöruskrá!$R:$R,MATCH($F275,Vöruskrá!$B:$B,0)))*$H275/1000,""))</f>
        <v/>
      </c>
      <c r="AG275" s="357" t="str">
        <f>IF($F275="","",IFERROR(IFERROR(INDEX(Réttabanki!$U:$U,MATCH($F275,Réttabanki!$A:$A,0)),INDEX(Vöruskrá!$R:$R,MATCH($F275,Vöruskrá!$B:$B,0)))*IF($I275="",$H275*(1+$AD$2),$I275)/1000,""))</f>
        <v/>
      </c>
      <c r="AH275" s="358" t="str">
        <f t="shared" si="20"/>
        <v/>
      </c>
      <c r="AI275" s="356" t="str">
        <f t="shared" si="21"/>
        <v/>
      </c>
    </row>
    <row r="276" spans="1:35" ht="14.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57">
        <f>IF($F276="","",IFERROR(IFERROR(INDEX(Réttabanki!$U:$U,MATCH($F276,Réttabanki!$A:$A,0)),INDEX(Vöruskrá!$R:$R,MATCH($F276,Vöruskrá!$B:$B,0)))*$H276/1000,""))</f>
        <v>304</v>
      </c>
      <c r="AG276" s="357">
        <f>IF($F276="","",IFERROR(IFERROR(INDEX(Réttabanki!$U:$U,MATCH($F276,Réttabanki!$A:$A,0)),INDEX(Vöruskrá!$R:$R,MATCH($F276,Vöruskrá!$B:$B,0)))*IF($I276="",$H276*(1+$AD$2),$I276)/1000,""))</f>
        <v>456</v>
      </c>
      <c r="AH276" s="358">
        <f t="shared" si="20"/>
        <v>0.39652173913043476</v>
      </c>
      <c r="AI276" s="356" t="str">
        <f t="shared" si="21"/>
        <v>⚠ Yfir 30%</v>
      </c>
    </row>
    <row r="277" spans="1:35" ht="14.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57">
        <f>IF($F277="","",IFERROR(IFERROR(INDEX(Réttabanki!$U:$U,MATCH($F277,Réttabanki!$A:$A,0)),INDEX(Vöruskrá!$R:$R,MATCH($F277,Vöruskrá!$B:$B,0)))*$H277/1000,""))</f>
        <v>16</v>
      </c>
      <c r="AG277" s="357">
        <f>IF($F277="","",IFERROR(IFERROR(INDEX(Réttabanki!$U:$U,MATCH($F277,Réttabanki!$A:$A,0)),INDEX(Vöruskrá!$R:$R,MATCH($F277,Vöruskrá!$B:$B,0)))*IF($I277="",$H277*(1+$AD$2),$I277)/1000,""))</f>
        <v>24</v>
      </c>
      <c r="AH277" s="358">
        <f t="shared" si="20"/>
        <v>2.0869565217391306E-2</v>
      </c>
      <c r="AI277" s="356" t="str">
        <f t="shared" si="21"/>
        <v>OK</v>
      </c>
    </row>
    <row r="278" spans="1:35" ht="39">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57">
        <f>IF($F278="","",IFERROR(IFERROR(INDEX(Réttabanki!$U:$U,MATCH($F278,Réttabanki!$A:$A,0)),INDEX(Vöruskrá!$R:$R,MATCH($F278,Vöruskrá!$B:$B,0)))*$H278/1000,""))</f>
        <v>15</v>
      </c>
      <c r="AG278" s="357">
        <f>IF($F278="","",IFERROR(IFERROR(INDEX(Réttabanki!$U:$U,MATCH($F278,Réttabanki!$A:$A,0)),INDEX(Vöruskrá!$R:$R,MATCH($F278,Vöruskrá!$B:$B,0)))*IF($I278="",$H278*(1+$AD$2),$I278)/1000,""))</f>
        <v>22.5</v>
      </c>
      <c r="AH278" s="358">
        <f t="shared" si="20"/>
        <v>1.9565217391304349E-2</v>
      </c>
      <c r="AI278" s="356" t="str">
        <f t="shared" si="21"/>
        <v>OK</v>
      </c>
    </row>
    <row r="279" spans="1:35" ht="14.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57" t="str">
        <f>IF($F279="","",IFERROR(IFERROR(INDEX(Réttabanki!$U:$U,MATCH($F279,Réttabanki!$A:$A,0)),INDEX(Vöruskrá!$R:$R,MATCH($F279,Vöruskrá!$B:$B,0)))*$H279/1000,""))</f>
        <v/>
      </c>
      <c r="AG279" s="357" t="str">
        <f>IF($F279="","",IFERROR(IFERROR(INDEX(Réttabanki!$U:$U,MATCH($F279,Réttabanki!$A:$A,0)),INDEX(Vöruskrá!$R:$R,MATCH($F279,Vöruskrá!$B:$B,0)))*IF($I279="",$H279*(1+$AD$2),$I279)/1000,""))</f>
        <v/>
      </c>
      <c r="AH279" s="358" t="str">
        <f t="shared" si="20"/>
        <v/>
      </c>
      <c r="AI279" s="356" t="str">
        <f t="shared" si="21"/>
        <v/>
      </c>
    </row>
    <row r="280" spans="1:35" ht="14.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57">
        <f>IF($F280="","",IFERROR(IFERROR(INDEX(Réttabanki!$U:$U,MATCH($F280,Réttabanki!$A:$A,0)),INDEX(Vöruskrá!$R:$R,MATCH($F280,Vöruskrá!$B:$B,0)))*$H280/1000,""))</f>
        <v>304</v>
      </c>
      <c r="AG280" s="357">
        <f>IF($F280="","",IFERROR(IFERROR(INDEX(Réttabanki!$U:$U,MATCH($F280,Réttabanki!$A:$A,0)),INDEX(Vöruskrá!$R:$R,MATCH($F280,Vöruskrá!$B:$B,0)))*IF($I280="",$H280*(1+$AD$2),$I280)/1000,""))</f>
        <v>456</v>
      </c>
      <c r="AH280" s="358">
        <f t="shared" si="20"/>
        <v>0.39652173913043476</v>
      </c>
      <c r="AI280" s="356" t="str">
        <f t="shared" si="21"/>
        <v>⚠ Yfir 30%</v>
      </c>
    </row>
    <row r="281" spans="1:35" ht="14.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57">
        <f>IF($F281="","",IFERROR(IFERROR(INDEX(Réttabanki!$U:$U,MATCH($F281,Réttabanki!$A:$A,0)),INDEX(Vöruskrá!$R:$R,MATCH($F281,Vöruskrá!$B:$B,0)))*$H281/1000,""))</f>
        <v>16</v>
      </c>
      <c r="AG281" s="357">
        <f>IF($F281="","",IFERROR(IFERROR(INDEX(Réttabanki!$U:$U,MATCH($F281,Réttabanki!$A:$A,0)),INDEX(Vöruskrá!$R:$R,MATCH($F281,Vöruskrá!$B:$B,0)))*IF($I281="",$H281*(1+$AD$2),$I281)/1000,""))</f>
        <v>24</v>
      </c>
      <c r="AH281" s="358">
        <f t="shared" si="20"/>
        <v>2.0869565217391306E-2</v>
      </c>
      <c r="AI281" s="356" t="str">
        <f t="shared" si="21"/>
        <v>OK</v>
      </c>
    </row>
    <row r="282" spans="1:35" ht="14.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57">
        <f>IF($F282="","",IFERROR(IFERROR(INDEX(Réttabanki!$U:$U,MATCH($F282,Réttabanki!$A:$A,0)),INDEX(Vöruskrá!$R:$R,MATCH($F282,Vöruskrá!$B:$B,0)))*$H282/1000,""))</f>
        <v>23</v>
      </c>
      <c r="AG282" s="357">
        <f>IF($F282="","",IFERROR(IFERROR(INDEX(Réttabanki!$U:$U,MATCH($F282,Réttabanki!$A:$A,0)),INDEX(Vöruskrá!$R:$R,MATCH($F282,Vöruskrá!$B:$B,0)))*IF($I282="",$H282*(1+$AD$2),$I282)/1000,""))</f>
        <v>34.5</v>
      </c>
      <c r="AH282" s="358">
        <f t="shared" si="20"/>
        <v>0.03</v>
      </c>
      <c r="AI282" s="356" t="str">
        <f t="shared" si="21"/>
        <v>OK</v>
      </c>
    </row>
    <row r="283" spans="1:35" ht="14.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57">
        <f>IF($F283="","",IFERROR(IFERROR(INDEX(Réttabanki!$U:$U,MATCH($F283,Réttabanki!$A:$A,0)),INDEX(Vöruskrá!$R:$R,MATCH($F283,Vöruskrá!$B:$B,0)))*$H283/1000,""))</f>
        <v>15</v>
      </c>
      <c r="AG283" s="357">
        <f>IF($F283="","",IFERROR(IFERROR(INDEX(Réttabanki!$U:$U,MATCH($F283,Réttabanki!$A:$A,0)),INDEX(Vöruskrá!$R:$R,MATCH($F283,Vöruskrá!$B:$B,0)))*IF($I283="",$H283*(1+$AD$2),$I283)/1000,""))</f>
        <v>22.5</v>
      </c>
      <c r="AH283" s="358">
        <f t="shared" si="20"/>
        <v>1.9565217391304349E-2</v>
      </c>
      <c r="AI283" s="356" t="str">
        <f t="shared" si="21"/>
        <v>OK</v>
      </c>
    </row>
    <row r="284" spans="1:35" ht="91">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57" t="str">
        <f>IF($F284="","",IFERROR(IFERROR(INDEX(Réttabanki!$U:$U,MATCH($F284,Réttabanki!$A:$A,0)),INDEX(Vöruskrá!$R:$R,MATCH($F284,Vöruskrá!$B:$B,0)))*$H284/1000,""))</f>
        <v/>
      </c>
      <c r="AG284" s="357" t="str">
        <f>IF($F284="","",IFERROR(IFERROR(INDEX(Réttabanki!$U:$U,MATCH($F284,Réttabanki!$A:$A,0)),INDEX(Vöruskrá!$R:$R,MATCH($F284,Vöruskrá!$B:$B,0)))*IF($I284="",$H284*(1+$AD$2),$I284)/1000,""))</f>
        <v/>
      </c>
      <c r="AH284" s="358" t="str">
        <f t="shared" si="20"/>
        <v/>
      </c>
      <c r="AI284" s="356" t="str">
        <f t="shared" si="21"/>
        <v/>
      </c>
    </row>
    <row r="285" spans="1:35" ht="91">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57">
        <f>IF($F285="","",IFERROR(IFERROR(INDEX(Réttabanki!$U:$U,MATCH($F285,Réttabanki!$A:$A,0)),INDEX(Vöruskrá!$R:$R,MATCH($F285,Vöruskrá!$B:$B,0)))*$H285/1000,""))</f>
        <v>137.20220206193071</v>
      </c>
      <c r="AG285" s="357">
        <f>IF($F285="","",IFERROR(IFERROR(INDEX(Réttabanki!$U:$U,MATCH($F285,Réttabanki!$A:$A,0)),INDEX(Vöruskrá!$R:$R,MATCH($F285,Vöruskrá!$B:$B,0)))*IF($I285="",$H285*(1+$AD$2),$I285)/1000,""))</f>
        <v>205.80330309289607</v>
      </c>
      <c r="AH285" s="358">
        <f t="shared" si="20"/>
        <v>0.17895939399382269</v>
      </c>
      <c r="AI285" s="356" t="str">
        <f t="shared" si="21"/>
        <v>OK</v>
      </c>
    </row>
    <row r="286" spans="1:35" ht="14.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57">
        <f>IF($F286="","",IFERROR(IFERROR(INDEX(Réttabanki!$U:$U,MATCH($F286,Réttabanki!$A:$A,0)),INDEX(Vöruskrá!$R:$R,MATCH($F286,Vöruskrá!$B:$B,0)))*$H286/1000,""))</f>
        <v>16</v>
      </c>
      <c r="AG286" s="357">
        <f>IF($F286="","",IFERROR(IFERROR(INDEX(Réttabanki!$U:$U,MATCH($F286,Réttabanki!$A:$A,0)),INDEX(Vöruskrá!$R:$R,MATCH($F286,Vöruskrá!$B:$B,0)))*IF($I286="",$H286*(1+$AD$2),$I286)/1000,""))</f>
        <v>24</v>
      </c>
      <c r="AH286" s="358">
        <f t="shared" si="20"/>
        <v>2.0869565217391306E-2</v>
      </c>
      <c r="AI286" s="356" t="str">
        <f t="shared" si="21"/>
        <v>OK</v>
      </c>
    </row>
    <row r="287" spans="1:35" ht="130">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65">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288</v>
      </c>
      <c r="AG288" s="357">
        <f>IF($F288="","",IFERROR(IFERROR(INDEX(Réttabanki!$U:$U,MATCH($F288,Réttabanki!$A:$A,0)),INDEX(Vöruskrá!$R:$R,MATCH($F288,Vöruskrá!$B:$B,0)))*IF($I288="",$H288*(1+$AD$2),$I288)/1000,""))</f>
        <v>432</v>
      </c>
      <c r="AH288" s="358">
        <f t="shared" si="20"/>
        <v>0.37565217391304345</v>
      </c>
      <c r="AI288" s="356" t="str">
        <f t="shared" si="21"/>
        <v>⚠ Yfir 30%</v>
      </c>
    </row>
    <row r="289" spans="1:35" ht="14.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57">
        <f>IF($F289="","",IFERROR(IFERROR(INDEX(Réttabanki!$U:$U,MATCH($F289,Réttabanki!$A:$A,0)),INDEX(Vöruskrá!$R:$R,MATCH($F289,Vöruskrá!$B:$B,0)))*$H289/1000,""))</f>
        <v>16</v>
      </c>
      <c r="AG289" s="357">
        <f>IF($F289="","",IFERROR(IFERROR(INDEX(Réttabanki!$U:$U,MATCH($F289,Réttabanki!$A:$A,0)),INDEX(Vöruskrá!$R:$R,MATCH($F289,Vöruskrá!$B:$B,0)))*IF($I289="",$H289*(1+$AD$2),$I289)/1000,""))</f>
        <v>24</v>
      </c>
      <c r="AH289" s="358">
        <f t="shared" si="20"/>
        <v>2.0869565217391306E-2</v>
      </c>
      <c r="AI289" s="356" t="str">
        <f t="shared" si="21"/>
        <v>OK</v>
      </c>
    </row>
    <row r="290" spans="1:35" ht="65">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57">
        <f>IF($F290="","",IFERROR(IFERROR(INDEX(Réttabanki!$U:$U,MATCH($F290,Réttabanki!$A:$A,0)),INDEX(Vöruskrá!$R:$R,MATCH($F290,Vöruskrá!$B:$B,0)))*$H290/1000,""))</f>
        <v>15</v>
      </c>
      <c r="AG290" s="357">
        <f>IF($F290="","",IFERROR(IFERROR(INDEX(Réttabanki!$U:$U,MATCH($F290,Réttabanki!$A:$A,0)),INDEX(Vöruskrá!$R:$R,MATCH($F290,Vöruskrá!$B:$B,0)))*IF($I290="",$H290*(1+$AD$2),$I290)/1000,""))</f>
        <v>22.5</v>
      </c>
      <c r="AH290" s="358">
        <f t="shared" si="20"/>
        <v>1.9565217391304349E-2</v>
      </c>
      <c r="AI290" s="356" t="str">
        <f t="shared" si="21"/>
        <v>OK</v>
      </c>
    </row>
    <row r="291" spans="1:35" ht="14.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57" t="str">
        <f>IF($F291="","",IFERROR(IFERROR(INDEX(Réttabanki!$U:$U,MATCH($F291,Réttabanki!$A:$A,0)),INDEX(Vöruskrá!$R:$R,MATCH($F291,Vöruskrá!$B:$B,0)))*$H291/1000,""))</f>
        <v/>
      </c>
      <c r="AG291" s="357" t="str">
        <f>IF($F291="","",IFERROR(IFERROR(INDEX(Réttabanki!$U:$U,MATCH($F291,Réttabanki!$A:$A,0)),INDEX(Vöruskrá!$R:$R,MATCH($F291,Vöruskrá!$B:$B,0)))*IF($I291="",$H291*(1+$AD$2),$I291)/1000,""))</f>
        <v/>
      </c>
      <c r="AH291" s="358" t="str">
        <f t="shared" si="20"/>
        <v/>
      </c>
      <c r="AI291" s="356" t="str">
        <f t="shared" si="21"/>
        <v/>
      </c>
    </row>
    <row r="292" spans="1:35" ht="14.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57" t="str">
        <f>IF($F292="","",IFERROR(IFERROR(INDEX(Réttabanki!$U:$U,MATCH($F292,Réttabanki!$A:$A,0)),INDEX(Vöruskrá!$R:$R,MATCH($F292,Vöruskrá!$B:$B,0)))*$H292/1000,""))</f>
        <v/>
      </c>
      <c r="AG292" s="357" t="str">
        <f>IF($F292="","",IFERROR(IFERROR(INDEX(Réttabanki!$U:$U,MATCH($F292,Réttabanki!$A:$A,0)),INDEX(Vöruskrá!$R:$R,MATCH($F292,Vöruskrá!$B:$B,0)))*IF($I292="",$H292*(1+$AD$2),$I292)/1000,""))</f>
        <v/>
      </c>
      <c r="AH292" s="358" t="str">
        <f t="shared" si="20"/>
        <v/>
      </c>
      <c r="AI292" s="356" t="str">
        <f t="shared" si="21"/>
        <v/>
      </c>
    </row>
    <row r="293" spans="1:35" ht="52">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57" t="str">
        <f>IF($F293="","",IFERROR(IFERROR(INDEX(Réttabanki!$U:$U,MATCH($F293,Réttabanki!$A:$A,0)),INDEX(Vöruskrá!$R:$R,MATCH($F293,Vöruskrá!$B:$B,0)))*$H293/1000,""))</f>
        <v/>
      </c>
      <c r="AG293" s="357" t="str">
        <f>IF($F293="","",IFERROR(IFERROR(INDEX(Réttabanki!$U:$U,MATCH($F293,Réttabanki!$A:$A,0)),INDEX(Vöruskrá!$R:$R,MATCH($F293,Vöruskrá!$B:$B,0)))*IF($I293="",$H293*(1+$AD$2),$I293)/1000,""))</f>
        <v/>
      </c>
      <c r="AH293" s="358" t="str">
        <f t="shared" si="20"/>
        <v/>
      </c>
      <c r="AI293" s="356" t="str">
        <f t="shared" si="21"/>
        <v/>
      </c>
    </row>
    <row r="294" spans="1:35" ht="29">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57">
        <f>IF($F294="","",IFERROR(IFERROR(INDEX(Réttabanki!$U:$U,MATCH($F294,Réttabanki!$A:$A,0)),INDEX(Vöruskrá!$R:$R,MATCH($F294,Vöruskrá!$B:$B,0)))*$H294/1000,""))</f>
        <v>27</v>
      </c>
      <c r="AG294" s="357">
        <f>IF($F294="","",IFERROR(IFERROR(INDEX(Réttabanki!$U:$U,MATCH($F294,Réttabanki!$A:$A,0)),INDEX(Vöruskrá!$R:$R,MATCH($F294,Vöruskrá!$B:$B,0)))*IF($I294="",$H294*(1+$AD$2),$I294)/1000,""))</f>
        <v>40.5</v>
      </c>
      <c r="AH294" s="358">
        <f t="shared" si="20"/>
        <v>3.5217391304347825E-2</v>
      </c>
      <c r="AI294" s="356" t="str">
        <f t="shared" si="21"/>
        <v>OK</v>
      </c>
    </row>
    <row r="295" spans="1:35" ht="26">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57">
        <f>IF($F295="","",IFERROR(IFERROR(INDEX(Réttabanki!$U:$U,MATCH($F295,Réttabanki!$A:$A,0)),INDEX(Vöruskrá!$R:$R,MATCH($F295,Vöruskrá!$B:$B,0)))*$H295/1000,""))</f>
        <v>38</v>
      </c>
      <c r="AG295" s="357">
        <f>IF($F295="","",IFERROR(IFERROR(INDEX(Réttabanki!$U:$U,MATCH($F295,Réttabanki!$A:$A,0)),INDEX(Vöruskrá!$R:$R,MATCH($F295,Vöruskrá!$B:$B,0)))*IF($I295="",$H295*(1+$AD$2),$I295)/1000,""))</f>
        <v>57</v>
      </c>
      <c r="AH295" s="358">
        <f t="shared" si="20"/>
        <v>4.9565217391304345E-2</v>
      </c>
      <c r="AI295" s="356" t="str">
        <f t="shared" si="21"/>
        <v>OK</v>
      </c>
    </row>
    <row r="296" spans="1:35" ht="78">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57" t="str">
        <f>IF($F296="","",IFERROR(IFERROR(INDEX(Réttabanki!$U:$U,MATCH($F296,Réttabanki!$A:$A,0)),INDEX(Vöruskrá!$R:$R,MATCH($F296,Vöruskrá!$B:$B,0)))*$H296/1000,""))</f>
        <v/>
      </c>
      <c r="AG296" s="357" t="str">
        <f>IF($F296="","",IFERROR(IFERROR(INDEX(Réttabanki!$U:$U,MATCH($F296,Réttabanki!$A:$A,0)),INDEX(Vöruskrá!$R:$R,MATCH($F296,Vöruskrá!$B:$B,0)))*IF($I296="",$H296*(1+$AD$2),$I296)/1000,""))</f>
        <v/>
      </c>
      <c r="AH296" s="358" t="str">
        <f t="shared" si="20"/>
        <v/>
      </c>
      <c r="AI296" s="356" t="str">
        <f t="shared" si="21"/>
        <v/>
      </c>
    </row>
    <row r="297" spans="1:35" ht="52">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57">
        <f>IF($F297="","",IFERROR(IFERROR(INDEX(Réttabanki!$U:$U,MATCH($F297,Réttabanki!$A:$A,0)),INDEX(Vöruskrá!$R:$R,MATCH($F297,Vöruskrá!$B:$B,0)))*$H297/1000,""))</f>
        <v>24</v>
      </c>
      <c r="AG297" s="357">
        <f>IF($F297="","",IFERROR(IFERROR(INDEX(Réttabanki!$U:$U,MATCH($F297,Réttabanki!$A:$A,0)),INDEX(Vöruskrá!$R:$R,MATCH($F297,Vöruskrá!$B:$B,0)))*IF($I297="",$H297*(1+$AD$2),$I297)/1000,""))</f>
        <v>36</v>
      </c>
      <c r="AH297" s="358">
        <f t="shared" si="20"/>
        <v>3.1304347826086959E-2</v>
      </c>
      <c r="AI297" s="356" t="str">
        <f t="shared" si="21"/>
        <v>OK</v>
      </c>
    </row>
    <row r="298" spans="1:35" ht="26">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57">
        <f>IF($F298="","",IFERROR(IFERROR(INDEX(Réttabanki!$U:$U,MATCH($F298,Réttabanki!$A:$A,0)),INDEX(Vöruskrá!$R:$R,MATCH($F298,Vöruskrá!$B:$B,0)))*$H298/1000,""))</f>
        <v>38</v>
      </c>
      <c r="AG298" s="357">
        <f>IF($F298="","",IFERROR(IFERROR(INDEX(Réttabanki!$U:$U,MATCH($F298,Réttabanki!$A:$A,0)),INDEX(Vöruskrá!$R:$R,MATCH($F298,Vöruskrá!$B:$B,0)))*IF($I298="",$H298*(1+$AD$2),$I298)/1000,""))</f>
        <v>57</v>
      </c>
      <c r="AH298" s="358">
        <f t="shared" si="20"/>
        <v>4.9565217391304345E-2</v>
      </c>
      <c r="AI298" s="356" t="str">
        <f t="shared" si="21"/>
        <v>OK</v>
      </c>
    </row>
    <row r="299" spans="1:35" ht="14.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57"/>
      <c r="AG299" s="357"/>
      <c r="AH299" s="358">
        <f>IF(N($J299)=0,"",$J299/$AE$4)</f>
        <v>0.31333333333333335</v>
      </c>
      <c r="AI299" s="356" t="str">
        <f>IF($AH299="","",IF($AH299&gt;1,"⚠ Yfir fjárheimild","OK"))</f>
        <v>OK</v>
      </c>
    </row>
    <row r="300" spans="1:35" ht="14.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57"/>
      <c r="AG300" s="357"/>
      <c r="AH300" s="358">
        <f>IF(N($J300)=0,"",$J300/$AE$5)</f>
        <v>0.46695652173913044</v>
      </c>
      <c r="AI300" s="356" t="str">
        <f>IF($AH300="","",IF($AH300&gt;1,"⚠ Yfir fjárheimild","OK"))</f>
        <v>OK</v>
      </c>
    </row>
    <row r="301" spans="1:35" ht="78">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57" t="str">
        <f>IF($F301="","",IFERROR(IFERROR(INDEX(Réttabanki!$U:$U,MATCH($F301,Réttabanki!$A:$A,0)),INDEX(Vöruskrá!$R:$R,MATCH($F301,Vöruskrá!$B:$B,0)))*$H301/1000,""))</f>
        <v/>
      </c>
      <c r="AG301" s="357" t="str">
        <f>IF($F301="","",IFERROR(IFERROR(INDEX(Réttabanki!$U:$U,MATCH($F301,Réttabanki!$A:$A,0)),INDEX(Vöruskrá!$R:$R,MATCH($F301,Vöruskrá!$B:$B,0)))*IF($I301="",$H301*(1+$AD$2),$I301)/1000,""))</f>
        <v/>
      </c>
      <c r="AH301" s="358" t="str">
        <f t="shared" ref="AH301:AH336" si="22">IF(N($AF301)+N($AG301)=0,"",MAX(N($AF301)/$AE$4,N($AG301)/$AE$5))</f>
        <v/>
      </c>
      <c r="AI301" s="356" t="str">
        <f t="shared" ref="AI301:AI336" si="23">IF($AH301="","",IF($AH301&gt;$AE$6,"⚠ Yfir "&amp;TEXT($AE$6,"0%"),"OK"))</f>
        <v/>
      </c>
    </row>
    <row r="302" spans="1:35" ht="65">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57">
        <f>IF($F302="","",IFERROR(IFERROR(INDEX(Réttabanki!$U:$U,MATCH($F302,Réttabanki!$A:$A,0)),INDEX(Vöruskrá!$R:$R,MATCH($F302,Vöruskrá!$B:$B,0)))*$H302/1000,""))</f>
        <v>0</v>
      </c>
      <c r="AG302" s="357">
        <f>IF($F302="","",IFERROR(IFERROR(INDEX(Réttabanki!$U:$U,MATCH($F302,Réttabanki!$A:$A,0)),INDEX(Vöruskrá!$R:$R,MATCH($F302,Vöruskrá!$B:$B,0)))*IF($I302="",$H302*(1+$AD$2),$I302)/1000,""))</f>
        <v>269.82369</v>
      </c>
      <c r="AH302" s="358">
        <f t="shared" si="22"/>
        <v>0.23462929565217391</v>
      </c>
      <c r="AI302" s="356" t="str">
        <f t="shared" si="23"/>
        <v>OK</v>
      </c>
    </row>
    <row r="303" spans="1:35" ht="29">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0</v>
      </c>
      <c r="AG303" s="357">
        <f>IF($F303="","",IFERROR(IFERROR(INDEX(Réttabanki!$U:$U,MATCH($F303,Réttabanki!$A:$A,0)),INDEX(Vöruskrá!$R:$R,MATCH($F303,Vöruskrá!$B:$B,0)))*IF($I303="",$H303*(1+$AD$2),$I303)/1000,""))</f>
        <v>50</v>
      </c>
      <c r="AH303" s="358">
        <f t="shared" si="22"/>
        <v>4.3478260869565216E-2</v>
      </c>
      <c r="AI303" s="356" t="str">
        <f t="shared" si="23"/>
        <v>OK</v>
      </c>
    </row>
    <row r="304" spans="1:35" ht="78">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78">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57">
        <f>IF($F305="","",IFERROR(IFERROR(INDEX(Réttabanki!$U:$U,MATCH($F305,Réttabanki!$A:$A,0)),INDEX(Vöruskrá!$R:$R,MATCH($F305,Vöruskrá!$B:$B,0)))*$H305/1000,""))</f>
        <v>0</v>
      </c>
      <c r="AG305" s="357">
        <f>IF($F305="","",IFERROR(IFERROR(INDEX(Réttabanki!$U:$U,MATCH($F305,Réttabanki!$A:$A,0)),INDEX(Vöruskrá!$R:$R,MATCH($F305,Vöruskrá!$B:$B,0)))*IF($I305="",$H305*(1+$AD$2),$I305)/1000,""))</f>
        <v>639.6</v>
      </c>
      <c r="AH305" s="358">
        <f t="shared" si="22"/>
        <v>0.5561739130434783</v>
      </c>
      <c r="AI305" s="356" t="str">
        <f t="shared" si="23"/>
        <v>⚠ Yfir 30%</v>
      </c>
    </row>
    <row r="306" spans="1:35" ht="26">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57" t="str">
        <f>IF($F306="","",IFERROR(IFERROR(INDEX(Réttabanki!$U:$U,MATCH($F306,Réttabanki!$A:$A,0)),INDEX(Vöruskrá!$R:$R,MATCH($F306,Vöruskrá!$B:$B,0)))*$H306/1000,""))</f>
        <v/>
      </c>
      <c r="AG306" s="357" t="str">
        <f>IF($F306="","",IFERROR(IFERROR(INDEX(Réttabanki!$U:$U,MATCH($F306,Réttabanki!$A:$A,0)),INDEX(Vöruskrá!$R:$R,MATCH($F306,Vöruskrá!$B:$B,0)))*IF($I306="",$H306*(1+$AD$2),$I306)/1000,""))</f>
        <v/>
      </c>
      <c r="AH306" s="358" t="str">
        <f t="shared" si="22"/>
        <v/>
      </c>
      <c r="AI306" s="356" t="str">
        <f t="shared" si="23"/>
        <v/>
      </c>
    </row>
    <row r="307" spans="1:35" ht="14.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57">
        <f>IF($F307="","",IFERROR(IFERROR(INDEX(Réttabanki!$U:$U,MATCH($F307,Réttabanki!$A:$A,0)),INDEX(Vöruskrá!$R:$R,MATCH($F307,Vöruskrá!$B:$B,0)))*$H307/1000,""))</f>
        <v>140</v>
      </c>
      <c r="AG307" s="357">
        <f>IF($F307="","",IFERROR(IFERROR(INDEX(Réttabanki!$U:$U,MATCH($F307,Réttabanki!$A:$A,0)),INDEX(Vöruskrá!$R:$R,MATCH($F307,Vöruskrá!$B:$B,0)))*IF($I307="",$H307*(1+$AD$2),$I307)/1000,""))</f>
        <v>210</v>
      </c>
      <c r="AH307" s="358">
        <f t="shared" si="22"/>
        <v>0.18260869565217391</v>
      </c>
      <c r="AI307" s="356" t="str">
        <f t="shared" si="23"/>
        <v>OK</v>
      </c>
    </row>
    <row r="308" spans="1:35" ht="14.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57">
        <f>IF($F308="","",IFERROR(IFERROR(INDEX(Réttabanki!$U:$U,MATCH($F308,Réttabanki!$A:$A,0)),INDEX(Vöruskrá!$R:$R,MATCH($F308,Vöruskrá!$B:$B,0)))*$H308/1000,""))</f>
        <v>24</v>
      </c>
      <c r="AG308" s="357">
        <f>IF($F308="","",IFERROR(IFERROR(INDEX(Réttabanki!$U:$U,MATCH($F308,Réttabanki!$A:$A,0)),INDEX(Vöruskrá!$R:$R,MATCH($F308,Vöruskrá!$B:$B,0)))*IF($I308="",$H308*(1+$AD$2),$I308)/1000,""))</f>
        <v>36</v>
      </c>
      <c r="AH308" s="358">
        <f t="shared" si="22"/>
        <v>3.1304347826086959E-2</v>
      </c>
      <c r="AI308" s="356" t="str">
        <f t="shared" si="23"/>
        <v>OK</v>
      </c>
    </row>
    <row r="309" spans="1:35" ht="14.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57">
        <f>IF($F309="","",IFERROR(IFERROR(INDEX(Réttabanki!$U:$U,MATCH($F309,Réttabanki!$A:$A,0)),INDEX(Vöruskrá!$R:$R,MATCH($F309,Vöruskrá!$B:$B,0)))*$H309/1000,""))</f>
        <v>14</v>
      </c>
      <c r="AG309" s="357">
        <f>IF($F309="","",IFERROR(IFERROR(INDEX(Réttabanki!$U:$U,MATCH($F309,Réttabanki!$A:$A,0)),INDEX(Vöruskrá!$R:$R,MATCH($F309,Vöruskrá!$B:$B,0)))*IF($I309="",$H309*(1+$AD$2),$I309)/1000,""))</f>
        <v>21</v>
      </c>
      <c r="AH309" s="358">
        <f t="shared" si="22"/>
        <v>1.8260869565217393E-2</v>
      </c>
      <c r="AI309" s="356" t="str">
        <f t="shared" si="23"/>
        <v>OK</v>
      </c>
    </row>
    <row r="310" spans="1:35" ht="39">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57" t="str">
        <f>IF($F310="","",IFERROR(IFERROR(INDEX(Réttabanki!$U:$U,MATCH($F310,Réttabanki!$A:$A,0)),INDEX(Vöruskrá!$R:$R,MATCH($F310,Vöruskrá!$B:$B,0)))*$H310/1000,""))</f>
        <v/>
      </c>
      <c r="AG310" s="357" t="str">
        <f>IF($F310="","",IFERROR(IFERROR(INDEX(Réttabanki!$U:$U,MATCH($F310,Réttabanki!$A:$A,0)),INDEX(Vöruskrá!$R:$R,MATCH($F310,Vöruskrá!$B:$B,0)))*IF($I310="",$H310*(1+$AD$2),$I310)/1000,""))</f>
        <v/>
      </c>
      <c r="AH310" s="358" t="str">
        <f t="shared" si="22"/>
        <v/>
      </c>
      <c r="AI310" s="356" t="str">
        <f t="shared" si="23"/>
        <v/>
      </c>
    </row>
    <row r="311" spans="1:35" ht="39">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57">
        <f>IF($F311="","",IFERROR(IFERROR(INDEX(Réttabanki!$U:$U,MATCH($F311,Réttabanki!$A:$A,0)),INDEX(Vöruskrá!$R:$R,MATCH($F311,Vöruskrá!$B:$B,0)))*$H311/1000,""))</f>
        <v>160</v>
      </c>
      <c r="AG311" s="357">
        <f>IF($F311="","",IFERROR(IFERROR(INDEX(Réttabanki!$U:$U,MATCH($F311,Réttabanki!$A:$A,0)),INDEX(Vöruskrá!$R:$R,MATCH($F311,Vöruskrá!$B:$B,0)))*IF($I311="",$H311*(1+$AD$2),$I311)/1000,""))</f>
        <v>240</v>
      </c>
      <c r="AH311" s="358">
        <f t="shared" si="22"/>
        <v>0.20869565217391303</v>
      </c>
      <c r="AI311" s="356" t="str">
        <f t="shared" si="23"/>
        <v>OK</v>
      </c>
    </row>
    <row r="312" spans="1:35" ht="14.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57">
        <f>IF($F312="","",IFERROR(IFERROR(INDEX(Réttabanki!$U:$U,MATCH($F312,Réttabanki!$A:$A,0)),INDEX(Vöruskrá!$R:$R,MATCH($F312,Vöruskrá!$B:$B,0)))*$H312/1000,""))</f>
        <v>24</v>
      </c>
      <c r="AG312" s="357">
        <f>IF($F312="","",IFERROR(IFERROR(INDEX(Réttabanki!$U:$U,MATCH($F312,Réttabanki!$A:$A,0)),INDEX(Vöruskrá!$R:$R,MATCH($F312,Vöruskrá!$B:$B,0)))*IF($I312="",$H312*(1+$AD$2),$I312)/1000,""))</f>
        <v>36</v>
      </c>
      <c r="AH312" s="358">
        <f t="shared" si="22"/>
        <v>3.1304347826086959E-2</v>
      </c>
      <c r="AI312" s="356" t="str">
        <f t="shared" si="23"/>
        <v>OK</v>
      </c>
    </row>
    <row r="313" spans="1:35" ht="14.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57">
        <f>IF($F313="","",IFERROR(IFERROR(INDEX(Réttabanki!$U:$U,MATCH($F313,Réttabanki!$A:$A,0)),INDEX(Vöruskrá!$R:$R,MATCH($F313,Vöruskrá!$B:$B,0)))*$H313/1000,""))</f>
        <v>14</v>
      </c>
      <c r="AG313" s="357">
        <f>IF($F313="","",IFERROR(IFERROR(INDEX(Réttabanki!$U:$U,MATCH($F313,Réttabanki!$A:$A,0)),INDEX(Vöruskrá!$R:$R,MATCH($F313,Vöruskrá!$B:$B,0)))*IF($I313="",$H313*(1+$AD$2),$I313)/1000,""))</f>
        <v>21</v>
      </c>
      <c r="AH313" s="358">
        <f t="shared" si="22"/>
        <v>1.8260869565217393E-2</v>
      </c>
      <c r="AI313" s="356" t="str">
        <f t="shared" si="23"/>
        <v>OK</v>
      </c>
    </row>
    <row r="314" spans="1:35" ht="26">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57" t="str">
        <f>IF($F314="","",IFERROR(IFERROR(INDEX(Réttabanki!$U:$U,MATCH($F314,Réttabanki!$A:$A,0)),INDEX(Vöruskrá!$R:$R,MATCH($F314,Vöruskrá!$B:$B,0)))*$H314/1000,""))</f>
        <v/>
      </c>
      <c r="AG314" s="357" t="str">
        <f>IF($F314="","",IFERROR(IFERROR(INDEX(Réttabanki!$U:$U,MATCH($F314,Réttabanki!$A:$A,0)),INDEX(Vöruskrá!$R:$R,MATCH($F314,Vöruskrá!$B:$B,0)))*IF($I314="",$H314*(1+$AD$2),$I314)/1000,""))</f>
        <v/>
      </c>
      <c r="AH314" s="358" t="str">
        <f t="shared" si="22"/>
        <v/>
      </c>
      <c r="AI314" s="356" t="str">
        <f t="shared" si="23"/>
        <v/>
      </c>
    </row>
    <row r="315" spans="1:35" ht="26">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57">
        <f>IF($F315="","",IFERROR(IFERROR(INDEX(Réttabanki!$U:$U,MATCH($F315,Réttabanki!$A:$A,0)),INDEX(Vöruskrá!$R:$R,MATCH($F315,Vöruskrá!$B:$B,0)))*$H315/1000,""))</f>
        <v>0</v>
      </c>
      <c r="AG315" s="357">
        <f>IF($F315="","",IFERROR(IFERROR(INDEX(Réttabanki!$U:$U,MATCH($F315,Réttabanki!$A:$A,0)),INDEX(Vöruskrá!$R:$R,MATCH($F315,Vöruskrá!$B:$B,0)))*IF($I315="",$H315*(1+$AD$2),$I315)/1000,""))</f>
        <v>0</v>
      </c>
      <c r="AH315" s="358" t="str">
        <f t="shared" si="22"/>
        <v/>
      </c>
      <c r="AI315" s="356" t="str">
        <f t="shared" si="23"/>
        <v/>
      </c>
    </row>
    <row r="316" spans="1:35" ht="14.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57">
        <f>IF($F316="","",IFERROR(IFERROR(INDEX(Réttabanki!$U:$U,MATCH($F316,Réttabanki!$A:$A,0)),INDEX(Vöruskrá!$R:$R,MATCH($F316,Vöruskrá!$B:$B,0)))*$H316/1000,""))</f>
        <v>24</v>
      </c>
      <c r="AG316" s="357">
        <f>IF($F316="","",IFERROR(IFERROR(INDEX(Réttabanki!$U:$U,MATCH($F316,Réttabanki!$A:$A,0)),INDEX(Vöruskrá!$R:$R,MATCH($F316,Vöruskrá!$B:$B,0)))*IF($I316="",$H316*(1+$AD$2),$I316)/1000,""))</f>
        <v>36</v>
      </c>
      <c r="AH316" s="358">
        <f t="shared" si="22"/>
        <v>3.1304347826086959E-2</v>
      </c>
      <c r="AI316" s="356" t="str">
        <f t="shared" si="23"/>
        <v>OK</v>
      </c>
    </row>
    <row r="317" spans="1:35" ht="14.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57">
        <f>IF($F317="","",IFERROR(IFERROR(INDEX(Réttabanki!$U:$U,MATCH($F317,Réttabanki!$A:$A,0)),INDEX(Vöruskrá!$R:$R,MATCH($F317,Vöruskrá!$B:$B,0)))*$H317/1000,""))</f>
        <v>14</v>
      </c>
      <c r="AG317" s="357">
        <f>IF($F317="","",IFERROR(IFERROR(INDEX(Réttabanki!$U:$U,MATCH($F317,Réttabanki!$A:$A,0)),INDEX(Vöruskrá!$R:$R,MATCH($F317,Vöruskrá!$B:$B,0)))*IF($I317="",$H317*(1+$AD$2),$I317)/1000,""))</f>
        <v>21</v>
      </c>
      <c r="AH317" s="358">
        <f t="shared" si="22"/>
        <v>1.8260869565217393E-2</v>
      </c>
      <c r="AI317" s="356" t="str">
        <f t="shared" si="23"/>
        <v>OK</v>
      </c>
    </row>
    <row r="318" spans="1:35" ht="39">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7" t="str">
        <f>IF($F318="","",IFERROR(IFERROR(INDEX(Réttabanki!$U:$U,MATCH($F318,Réttabanki!$A:$A,0)),INDEX(Vöruskrá!$R:$R,MATCH($F318,Vöruskrá!$B:$B,0)))*$H318/1000,""))</f>
        <v/>
      </c>
      <c r="AG318" s="357" t="str">
        <f>IF($F318="","",IFERROR(IFERROR(INDEX(Réttabanki!$U:$U,MATCH($F318,Réttabanki!$A:$A,0)),INDEX(Vöruskrá!$R:$R,MATCH($F318,Vöruskrá!$B:$B,0)))*IF($I318="",$H318*(1+$AD$2),$I318)/1000,""))</f>
        <v/>
      </c>
      <c r="AH318" s="358" t="str">
        <f t="shared" si="22"/>
        <v/>
      </c>
      <c r="AI318" s="356" t="str">
        <f t="shared" si="23"/>
        <v/>
      </c>
    </row>
    <row r="319" spans="1:35" ht="39">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57">
        <f>IF($F319="","",IFERROR(IFERROR(INDEX(Réttabanki!$U:$U,MATCH($F319,Réttabanki!$A:$A,0)),INDEX(Vöruskrá!$R:$R,MATCH($F319,Vöruskrá!$B:$B,0)))*$H319/1000,""))</f>
        <v>160</v>
      </c>
      <c r="AG319" s="357">
        <f>IF($F319="","",IFERROR(IFERROR(INDEX(Réttabanki!$U:$U,MATCH($F319,Réttabanki!$A:$A,0)),INDEX(Vöruskrá!$R:$R,MATCH($F319,Vöruskrá!$B:$B,0)))*IF($I319="",$H319*(1+$AD$2),$I319)/1000,""))</f>
        <v>240</v>
      </c>
      <c r="AH319" s="358">
        <f t="shared" si="22"/>
        <v>0.20869565217391303</v>
      </c>
      <c r="AI319" s="356" t="str">
        <f t="shared" si="23"/>
        <v>OK</v>
      </c>
    </row>
    <row r="320" spans="1:35" ht="14.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57">
        <f>IF($F320="","",IFERROR(IFERROR(INDEX(Réttabanki!$U:$U,MATCH($F320,Réttabanki!$A:$A,0)),INDEX(Vöruskrá!$R:$R,MATCH($F320,Vöruskrá!$B:$B,0)))*$H320/1000,""))</f>
        <v>24</v>
      </c>
      <c r="AG320" s="357">
        <f>IF($F320="","",IFERROR(IFERROR(INDEX(Réttabanki!$U:$U,MATCH($F320,Réttabanki!$A:$A,0)),INDEX(Vöruskrá!$R:$R,MATCH($F320,Vöruskrá!$B:$B,0)))*IF($I320="",$H320*(1+$AD$2),$I320)/1000,""))</f>
        <v>36</v>
      </c>
      <c r="AH320" s="358">
        <f t="shared" si="22"/>
        <v>3.1304347826086959E-2</v>
      </c>
      <c r="AI320" s="356" t="str">
        <f t="shared" si="23"/>
        <v>OK</v>
      </c>
    </row>
    <row r="321" spans="1:35" ht="14.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57">
        <f>IF($F321="","",IFERROR(IFERROR(INDEX(Réttabanki!$U:$U,MATCH($F321,Réttabanki!$A:$A,0)),INDEX(Vöruskrá!$R:$R,MATCH($F321,Vöruskrá!$B:$B,0)))*$H321/1000,""))</f>
        <v>14</v>
      </c>
      <c r="AG321" s="357">
        <f>IF($F321="","",IFERROR(IFERROR(INDEX(Réttabanki!$U:$U,MATCH($F321,Réttabanki!$A:$A,0)),INDEX(Vöruskrá!$R:$R,MATCH($F321,Vöruskrá!$B:$B,0)))*IF($I321="",$H321*(1+$AD$2),$I321)/1000,""))</f>
        <v>21</v>
      </c>
      <c r="AH321" s="358">
        <f t="shared" si="22"/>
        <v>1.8260869565217393E-2</v>
      </c>
      <c r="AI321" s="356" t="str">
        <f t="shared" si="23"/>
        <v>OK</v>
      </c>
    </row>
    <row r="322" spans="1:35" ht="29">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52">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57" t="str">
        <f>IF($F323="","",IFERROR(IFERROR(INDEX(Réttabanki!$U:$U,MATCH($F323,Réttabanki!$A:$A,0)),INDEX(Vöruskrá!$R:$R,MATCH($F323,Vöruskrá!$B:$B,0)))*$H323/1000,""))</f>
        <v/>
      </c>
      <c r="AG323" s="357" t="str">
        <f>IF($F323="","",IFERROR(IFERROR(INDEX(Réttabanki!$U:$U,MATCH($F323,Réttabanki!$A:$A,0)),INDEX(Vöruskrá!$R:$R,MATCH($F323,Vöruskrá!$B:$B,0)))*IF($I323="",$H323*(1+$AD$2),$I323)/1000,""))</f>
        <v/>
      </c>
      <c r="AH323" s="358" t="str">
        <f t="shared" si="22"/>
        <v/>
      </c>
      <c r="AI323" s="356" t="str">
        <f t="shared" si="23"/>
        <v/>
      </c>
    </row>
    <row r="324" spans="1:35" ht="52">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57">
        <f>IF($F324="","",IFERROR(IFERROR(INDEX(Réttabanki!$U:$U,MATCH($F324,Réttabanki!$A:$A,0)),INDEX(Vöruskrá!$R:$R,MATCH($F324,Vöruskrá!$B:$B,0)))*$H324/1000,""))</f>
        <v>24</v>
      </c>
      <c r="AG324" s="357">
        <f>IF($F324="","",IFERROR(IFERROR(INDEX(Réttabanki!$U:$U,MATCH($F324,Réttabanki!$A:$A,0)),INDEX(Vöruskrá!$R:$R,MATCH($F324,Vöruskrá!$B:$B,0)))*IF($I324="",$H324*(1+$AD$2),$I324)/1000,""))</f>
        <v>36</v>
      </c>
      <c r="AH324" s="358">
        <f t="shared" si="22"/>
        <v>3.1304347826086959E-2</v>
      </c>
      <c r="AI324" s="356" t="str">
        <f t="shared" si="23"/>
        <v>OK</v>
      </c>
    </row>
    <row r="325" spans="1:35" ht="14.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57">
        <f>IF($F325="","",IFERROR(IFERROR(INDEX(Réttabanki!$U:$U,MATCH($F325,Réttabanki!$A:$A,0)),INDEX(Vöruskrá!$R:$R,MATCH($F325,Vöruskrá!$B:$B,0)))*$H325/1000,""))</f>
        <v>56</v>
      </c>
      <c r="AG325" s="357">
        <f>IF($F325="","",IFERROR(IFERROR(INDEX(Réttabanki!$U:$U,MATCH($F325,Réttabanki!$A:$A,0)),INDEX(Vöruskrá!$R:$R,MATCH($F325,Vöruskrá!$B:$B,0)))*IF($I325="",$H325*(1+$AD$2),$I325)/1000,""))</f>
        <v>84</v>
      </c>
      <c r="AH325" s="358">
        <f t="shared" si="22"/>
        <v>7.3043478260869571E-2</v>
      </c>
      <c r="AI325" s="356" t="str">
        <f t="shared" si="23"/>
        <v>OK</v>
      </c>
    </row>
    <row r="326" spans="1:35" ht="52">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57" t="str">
        <f>IF($F326="","",IFERROR(IFERROR(INDEX(Réttabanki!$U:$U,MATCH($F326,Réttabanki!$A:$A,0)),INDEX(Vöruskrá!$R:$R,MATCH($F326,Vöruskrá!$B:$B,0)))*$H326/1000,""))</f>
        <v/>
      </c>
      <c r="AG326" s="357" t="str">
        <f>IF($F326="","",IFERROR(IFERROR(INDEX(Réttabanki!$U:$U,MATCH($F326,Réttabanki!$A:$A,0)),INDEX(Vöruskrá!$R:$R,MATCH($F326,Vöruskrá!$B:$B,0)))*IF($I326="",$H326*(1+$AD$2),$I326)/1000,""))</f>
        <v/>
      </c>
      <c r="AH326" s="358" t="str">
        <f t="shared" si="22"/>
        <v/>
      </c>
      <c r="AI326" s="356" t="str">
        <f t="shared" si="23"/>
        <v/>
      </c>
    </row>
    <row r="327" spans="1:35" ht="52">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57">
        <f>IF($F327="","",IFERROR(IFERROR(INDEX(Réttabanki!$U:$U,MATCH($F327,Réttabanki!$A:$A,0)),INDEX(Vöruskrá!$R:$R,MATCH($F327,Vöruskrá!$B:$B,0)))*$H327/1000,""))</f>
        <v>24</v>
      </c>
      <c r="AG327" s="357">
        <f>IF($F327="","",IFERROR(IFERROR(INDEX(Réttabanki!$U:$U,MATCH($F327,Réttabanki!$A:$A,0)),INDEX(Vöruskrá!$R:$R,MATCH($F327,Vöruskrá!$B:$B,0)))*IF($I327="",$H327*(1+$AD$2),$I327)/1000,""))</f>
        <v>36</v>
      </c>
      <c r="AH327" s="358">
        <f t="shared" si="22"/>
        <v>3.1304347826086959E-2</v>
      </c>
      <c r="AI327" s="356" t="str">
        <f t="shared" si="23"/>
        <v>OK</v>
      </c>
    </row>
    <row r="328" spans="1:35" ht="52">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52">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14.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57">
        <f>IF($F330="","",IFERROR(IFERROR(INDEX(Réttabanki!$U:$U,MATCH($F330,Réttabanki!$A:$A,0)),INDEX(Vöruskrá!$R:$R,MATCH($F330,Vöruskrá!$B:$B,0)))*$H330/1000,""))</f>
        <v>56</v>
      </c>
      <c r="AG330" s="357">
        <f>IF($F330="","",IFERROR(IFERROR(INDEX(Réttabanki!$U:$U,MATCH($F330,Réttabanki!$A:$A,0)),INDEX(Vöruskrá!$R:$R,MATCH($F330,Vöruskrá!$B:$B,0)))*IF($I330="",$H330*(1+$AD$2),$I330)/1000,""))</f>
        <v>84</v>
      </c>
      <c r="AH330" s="358">
        <f t="shared" si="22"/>
        <v>7.3043478260869571E-2</v>
      </c>
      <c r="AI330" s="356" t="str">
        <f t="shared" si="23"/>
        <v>OK</v>
      </c>
    </row>
    <row r="331" spans="1:35" ht="52">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57" t="str">
        <f>IF($F331="","",IFERROR(IFERROR(INDEX(Réttabanki!$U:$U,MATCH($F331,Réttabanki!$A:$A,0)),INDEX(Vöruskrá!$R:$R,MATCH($F331,Vöruskrá!$B:$B,0)))*$H331/1000,""))</f>
        <v/>
      </c>
      <c r="AG331" s="357" t="str">
        <f>IF($F331="","",IFERROR(IFERROR(INDEX(Réttabanki!$U:$U,MATCH($F331,Réttabanki!$A:$A,0)),INDEX(Vöruskrá!$R:$R,MATCH($F331,Vöruskrá!$B:$B,0)))*IF($I331="",$H331*(1+$AD$2),$I331)/1000,""))</f>
        <v/>
      </c>
      <c r="AH331" s="358" t="str">
        <f t="shared" si="22"/>
        <v/>
      </c>
      <c r="AI331" s="356" t="str">
        <f t="shared" si="23"/>
        <v/>
      </c>
    </row>
    <row r="332" spans="1:35" ht="26">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57">
        <f>IF($F332="","",IFERROR(IFERROR(INDEX(Réttabanki!$U:$U,MATCH($F332,Réttabanki!$A:$A,0)),INDEX(Vöruskrá!$R:$R,MATCH($F332,Vöruskrá!$B:$B,0)))*$H332/1000,""))</f>
        <v>32</v>
      </c>
      <c r="AG332" s="357">
        <f>IF($F332="","",IFERROR(IFERROR(INDEX(Réttabanki!$U:$U,MATCH($F332,Réttabanki!$A:$A,0)),INDEX(Vöruskrá!$R:$R,MATCH($F332,Vöruskrá!$B:$B,0)))*IF($I332="",$H332*(1+$AD$2),$I332)/1000,""))</f>
        <v>48</v>
      </c>
      <c r="AH332" s="358">
        <f t="shared" si="22"/>
        <v>4.1739130434782612E-2</v>
      </c>
      <c r="AI332" s="356" t="str">
        <f t="shared" si="23"/>
        <v>OK</v>
      </c>
    </row>
    <row r="333" spans="1:35" ht="26">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57">
        <f>IF($F333="","",IFERROR(IFERROR(INDEX(Réttabanki!$U:$U,MATCH($F333,Réttabanki!$A:$A,0)),INDEX(Vöruskrá!$R:$R,MATCH($F333,Vöruskrá!$B:$B,0)))*$H333/1000,""))</f>
        <v>38</v>
      </c>
      <c r="AG333" s="357">
        <f>IF($F333="","",IFERROR(IFERROR(INDEX(Réttabanki!$U:$U,MATCH($F333,Réttabanki!$A:$A,0)),INDEX(Vöruskrá!$R:$R,MATCH($F333,Vöruskrá!$B:$B,0)))*IF($I333="",$H333*(1+$AD$2),$I333)/1000,""))</f>
        <v>57</v>
      </c>
      <c r="AH333" s="358">
        <f t="shared" si="22"/>
        <v>4.9565217391304345E-2</v>
      </c>
      <c r="AI333" s="356" t="str">
        <f t="shared" si="23"/>
        <v>OK</v>
      </c>
    </row>
    <row r="334" spans="1:35" ht="78">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57" t="str">
        <f>IF($F334="","",IFERROR(IFERROR(INDEX(Réttabanki!$U:$U,MATCH($F334,Réttabanki!$A:$A,0)),INDEX(Vöruskrá!$R:$R,MATCH($F334,Vöruskrá!$B:$B,0)))*$H334/1000,""))</f>
        <v/>
      </c>
      <c r="AG334" s="357" t="str">
        <f>IF($F334="","",IFERROR(IFERROR(INDEX(Réttabanki!$U:$U,MATCH($F334,Réttabanki!$A:$A,0)),INDEX(Vöruskrá!$R:$R,MATCH($F334,Vöruskrá!$B:$B,0)))*IF($I334="",$H334*(1+$AD$2),$I334)/1000,""))</f>
        <v/>
      </c>
      <c r="AH334" s="358" t="str">
        <f t="shared" si="22"/>
        <v/>
      </c>
      <c r="AI334" s="356" t="str">
        <f t="shared" si="23"/>
        <v/>
      </c>
    </row>
    <row r="335" spans="1:35" ht="52">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57">
        <f>IF($F335="","",IFERROR(IFERROR(INDEX(Réttabanki!$U:$U,MATCH($F335,Réttabanki!$A:$A,0)),INDEX(Vöruskrá!$R:$R,MATCH($F335,Vöruskrá!$B:$B,0)))*$H335/1000,""))</f>
        <v>24</v>
      </c>
      <c r="AG335" s="357">
        <f>IF($F335="","",IFERROR(IFERROR(INDEX(Réttabanki!$U:$U,MATCH($F335,Réttabanki!$A:$A,0)),INDEX(Vöruskrá!$R:$R,MATCH($F335,Vöruskrá!$B:$B,0)))*IF($I335="",$H335*(1+$AD$2),$I335)/1000,""))</f>
        <v>36</v>
      </c>
      <c r="AH335" s="358">
        <f t="shared" si="22"/>
        <v>3.1304347826086959E-2</v>
      </c>
      <c r="AI335" s="356" t="str">
        <f t="shared" si="23"/>
        <v>OK</v>
      </c>
    </row>
    <row r="336" spans="1:35" ht="26">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57">
        <f>IF($F336="","",IFERROR(IFERROR(INDEX(Réttabanki!$U:$U,MATCH($F336,Réttabanki!$A:$A,0)),INDEX(Vöruskrá!$R:$R,MATCH($F336,Vöruskrá!$B:$B,0)))*$H336/1000,""))</f>
        <v>38</v>
      </c>
      <c r="AG336" s="357">
        <f>IF($F336="","",IFERROR(IFERROR(INDEX(Réttabanki!$U:$U,MATCH($F336,Réttabanki!$A:$A,0)),INDEX(Vöruskrá!$R:$R,MATCH($F336,Vöruskrá!$B:$B,0)))*IF($I336="",$H336*(1+$AD$2),$I336)/1000,""))</f>
        <v>57</v>
      </c>
      <c r="AH336" s="358">
        <f t="shared" si="22"/>
        <v>4.9565217391304345E-2</v>
      </c>
      <c r="AI336" s="356" t="str">
        <f t="shared" si="23"/>
        <v>OK</v>
      </c>
    </row>
    <row r="337" spans="1:35" ht="14.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57"/>
      <c r="AG337" s="357"/>
      <c r="AH337" s="358">
        <f>IF(N($J337)=0,"",$J337/$AE$4)</f>
        <v>0.24296296296296296</v>
      </c>
      <c r="AI337" s="356" t="str">
        <f>IF($AH337="","",IF($AH337&gt;1,"⚠ Yfir fjárheimild","OK"))</f>
        <v>OK</v>
      </c>
    </row>
    <row r="338" spans="1:35" ht="14.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57"/>
      <c r="AG338" s="357"/>
      <c r="AH338" s="358">
        <f>IF(N($J338)=0,"",$J338/$AE$5)</f>
        <v>0.33652173913043476</v>
      </c>
      <c r="AI338" s="356" t="str">
        <f>IF($AH338="","",IF($AH338&gt;1,"⚠ Yfir fjárheimild","OK"))</f>
        <v>OK</v>
      </c>
    </row>
    <row r="339" spans="1:35" ht="65">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57" t="str">
        <f>IF($F339="","",IFERROR(IFERROR(INDEX(Réttabanki!$U:$U,MATCH($F339,Réttabanki!$A:$A,0)),INDEX(Vöruskrá!$R:$R,MATCH($F339,Vöruskrá!$B:$B,0)))*$H339/1000,""))</f>
        <v/>
      </c>
      <c r="AG339" s="357" t="str">
        <f>IF($F339="","",IFERROR(IFERROR(INDEX(Réttabanki!$U:$U,MATCH($F339,Réttabanki!$A:$A,0)),INDEX(Vöruskrá!$R:$R,MATCH($F339,Vöruskrá!$B:$B,0)))*IF($I339="",$H339*(1+$AD$2),$I339)/1000,""))</f>
        <v/>
      </c>
      <c r="AH339" s="358" t="str">
        <f t="shared" ref="AH339:AH362" si="24">IF(N($AF339)+N($AG339)=0,"",MAX(N($AF339)/$AE$4,N($AG339)/$AE$5))</f>
        <v/>
      </c>
      <c r="AI339" s="356" t="str">
        <f t="shared" ref="AI339:AI362" si="25">IF($AH339="","",IF($AH339&gt;$AE$6,"⚠ Yfir "&amp;TEXT($AE$6,"0%"),"OK"))</f>
        <v/>
      </c>
    </row>
    <row r="340" spans="1:35" ht="39">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57">
        <f>IF($F340="","",IFERROR(IFERROR(INDEX(Réttabanki!$U:$U,MATCH($F340,Réttabanki!$A:$A,0)),INDEX(Vöruskrá!$R:$R,MATCH($F340,Vöruskrá!$B:$B,0)))*$H340/1000,""))</f>
        <v>0</v>
      </c>
      <c r="AG340" s="357">
        <f>IF($F340="","",IFERROR(IFERROR(INDEX(Réttabanki!$U:$U,MATCH($F340,Réttabanki!$A:$A,0)),INDEX(Vöruskrá!$R:$R,MATCH($F340,Vöruskrá!$B:$B,0)))*IF($I340="",$H340*(1+$AD$2),$I340)/1000,""))</f>
        <v>219.93606000000003</v>
      </c>
      <c r="AH340" s="358">
        <f t="shared" si="24"/>
        <v>0.19124874782608697</v>
      </c>
      <c r="AI340" s="356" t="str">
        <f t="shared" si="25"/>
        <v>OK</v>
      </c>
    </row>
    <row r="341" spans="1:35" ht="29">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57">
        <f>IF($F341="","",IFERROR(IFERROR(INDEX(Réttabanki!$U:$U,MATCH($F341,Réttabanki!$A:$A,0)),INDEX(Vöruskrá!$R:$R,MATCH($F341,Vöruskrá!$B:$B,0)))*$H341/1000,""))</f>
        <v>0</v>
      </c>
      <c r="AG341" s="357">
        <f>IF($F341="","",IFERROR(IFERROR(INDEX(Réttabanki!$U:$U,MATCH($F341,Réttabanki!$A:$A,0)),INDEX(Vöruskrá!$R:$R,MATCH($F341,Vöruskrá!$B:$B,0)))*IF($I341="",$H341*(1+$AD$2),$I341)/1000,""))</f>
        <v>50.11</v>
      </c>
      <c r="AH341" s="358">
        <f t="shared" si="24"/>
        <v>4.3573913043478261E-2</v>
      </c>
      <c r="AI341" s="356" t="str">
        <f t="shared" si="25"/>
        <v>OK</v>
      </c>
    </row>
    <row r="342" spans="1:35" ht="78">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57" t="str">
        <f>IF($F342="","",IFERROR(IFERROR(INDEX(Réttabanki!$U:$U,MATCH($F342,Réttabanki!$A:$A,0)),INDEX(Vöruskrá!$R:$R,MATCH($F342,Vöruskrá!$B:$B,0)))*$H342/1000,""))</f>
        <v/>
      </c>
      <c r="AG342" s="357" t="str">
        <f>IF($F342="","",IFERROR(IFERROR(INDEX(Réttabanki!$U:$U,MATCH($F342,Réttabanki!$A:$A,0)),INDEX(Vöruskrá!$R:$R,MATCH($F342,Vöruskrá!$B:$B,0)))*IF($I342="",$H342*(1+$AD$2),$I342)/1000,""))</f>
        <v/>
      </c>
      <c r="AH342" s="358" t="str">
        <f t="shared" si="24"/>
        <v/>
      </c>
      <c r="AI342" s="356" t="str">
        <f t="shared" si="25"/>
        <v/>
      </c>
    </row>
    <row r="343" spans="1:35" ht="78">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57">
        <f>IF($F343="","",IFERROR(IFERROR(INDEX(Réttabanki!$U:$U,MATCH($F343,Réttabanki!$A:$A,0)),INDEX(Vöruskrá!$R:$R,MATCH($F343,Vöruskrá!$B:$B,0)))*$H343/1000,""))</f>
        <v>0</v>
      </c>
      <c r="AG343" s="357">
        <f>IF($F343="","",IFERROR(IFERROR(INDEX(Réttabanki!$U:$U,MATCH($F343,Réttabanki!$A:$A,0)),INDEX(Vöruskrá!$R:$R,MATCH($F343,Vöruskrá!$B:$B,0)))*IF($I343="",$H343*(1+$AD$2),$I343)/1000,""))</f>
        <v>589.67999999999995</v>
      </c>
      <c r="AH343" s="358">
        <f t="shared" si="24"/>
        <v>0.51276521739130432</v>
      </c>
      <c r="AI343" s="356" t="str">
        <f t="shared" si="25"/>
        <v>⚠ Yfir 30%</v>
      </c>
    </row>
    <row r="344" spans="1:35" ht="130">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57" t="str">
        <f>IF($F344="","",IFERROR(IFERROR(INDEX(Réttabanki!$U:$U,MATCH($F344,Réttabanki!$A:$A,0)),INDEX(Vöruskrá!$R:$R,MATCH($F344,Vöruskrá!$B:$B,0)))*$H344/1000,""))</f>
        <v/>
      </c>
      <c r="AG344" s="357" t="str">
        <f>IF($F344="","",IFERROR(IFERROR(INDEX(Réttabanki!$U:$U,MATCH($F344,Réttabanki!$A:$A,0)),INDEX(Vöruskrá!$R:$R,MATCH($F344,Vöruskrá!$B:$B,0)))*IF($I344="",$H344*(1+$AD$2),$I344)/1000,""))</f>
        <v/>
      </c>
      <c r="AH344" s="358" t="str">
        <f t="shared" si="24"/>
        <v/>
      </c>
      <c r="AI344" s="356" t="str">
        <f t="shared" si="25"/>
        <v/>
      </c>
    </row>
    <row r="345" spans="1:35" ht="26">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57">
        <f>IF($F345="","",IFERROR(IFERROR(INDEX(Réttabanki!$U:$U,MATCH($F345,Réttabanki!$A:$A,0)),INDEX(Vöruskrá!$R:$R,MATCH($F345,Vöruskrá!$B:$B,0)))*$H345/1000,""))</f>
        <v>288</v>
      </c>
      <c r="AG345" s="357">
        <f>IF($F345="","",IFERROR(IFERROR(INDEX(Réttabanki!$U:$U,MATCH($F345,Réttabanki!$A:$A,0)),INDEX(Vöruskrá!$R:$R,MATCH($F345,Vöruskrá!$B:$B,0)))*IF($I345="",$H345*(1+$AD$2),$I345)/1000,""))</f>
        <v>432</v>
      </c>
      <c r="AH345" s="358">
        <f t="shared" si="24"/>
        <v>0.37565217391304345</v>
      </c>
      <c r="AI345" s="356" t="str">
        <f t="shared" si="25"/>
        <v>⚠ Yfir 30%</v>
      </c>
    </row>
    <row r="346" spans="1:35" ht="14.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57">
        <f>IF($F346="","",IFERROR(IFERROR(INDEX(Réttabanki!$U:$U,MATCH($F346,Réttabanki!$A:$A,0)),INDEX(Vöruskrá!$R:$R,MATCH($F346,Vöruskrá!$B:$B,0)))*$H346/1000,""))</f>
        <v>28</v>
      </c>
      <c r="AG346" s="357">
        <f>IF($F346="","",IFERROR(IFERROR(INDEX(Réttabanki!$U:$U,MATCH($F346,Réttabanki!$A:$A,0)),INDEX(Vöruskrá!$R:$R,MATCH($F346,Vöruskrá!$B:$B,0)))*IF($I346="",$H346*(1+$AD$2),$I346)/1000,""))</f>
        <v>42</v>
      </c>
      <c r="AH346" s="358">
        <f t="shared" si="24"/>
        <v>3.6521739130434785E-2</v>
      </c>
      <c r="AI346" s="356" t="str">
        <f t="shared" si="25"/>
        <v>OK</v>
      </c>
    </row>
    <row r="347" spans="1:35" ht="26">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57">
        <f>IF($F347="","",IFERROR(IFERROR(INDEX(Réttabanki!$U:$U,MATCH($F347,Réttabanki!$A:$A,0)),INDEX(Vöruskrá!$R:$R,MATCH($F347,Vöruskrá!$B:$B,0)))*$H347/1000,""))</f>
        <v>288</v>
      </c>
      <c r="AG347" s="357">
        <f>IF($F347="","",IFERROR(IFERROR(INDEX(Réttabanki!$U:$U,MATCH($F347,Réttabanki!$A:$A,0)),INDEX(Vöruskrá!$R:$R,MATCH($F347,Vöruskrá!$B:$B,0)))*IF($I347="",$H347*(1+$AD$2),$I347)/1000,""))</f>
        <v>432</v>
      </c>
      <c r="AH347" s="358">
        <f t="shared" si="24"/>
        <v>0.37565217391304345</v>
      </c>
      <c r="AI347" s="356" t="str">
        <f t="shared" si="25"/>
        <v>⚠ Yfir 30%</v>
      </c>
    </row>
    <row r="348" spans="1:35" ht="14.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57">
        <f>IF($F348="","",IFERROR(IFERROR(INDEX(Réttabanki!$U:$U,MATCH($F348,Réttabanki!$A:$A,0)),INDEX(Vöruskrá!$R:$R,MATCH($F348,Vöruskrá!$B:$B,0)))*$H348/1000,""))</f>
        <v>28</v>
      </c>
      <c r="AG348" s="357">
        <f>IF($F348="","",IFERROR(IFERROR(INDEX(Réttabanki!$U:$U,MATCH($F348,Réttabanki!$A:$A,0)),INDEX(Vöruskrá!$R:$R,MATCH($F348,Vöruskrá!$B:$B,0)))*IF($I348="",$H348*(1+$AD$2),$I348)/1000,""))</f>
        <v>42</v>
      </c>
      <c r="AH348" s="358">
        <f t="shared" si="24"/>
        <v>3.6521739130434785E-2</v>
      </c>
      <c r="AI348" s="356" t="str">
        <f t="shared" si="25"/>
        <v>OK</v>
      </c>
    </row>
    <row r="349" spans="1:35" ht="52">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57">
        <f>IF($F349="","",IFERROR(IFERROR(INDEX(Réttabanki!$U:$U,MATCH($F349,Réttabanki!$A:$A,0)),INDEX(Vöruskrá!$R:$R,MATCH($F349,Vöruskrá!$B:$B,0)))*$H349/1000,""))</f>
        <v>45</v>
      </c>
      <c r="AG349" s="357">
        <f>IF($F349="","",IFERROR(IFERROR(INDEX(Réttabanki!$U:$U,MATCH($F349,Réttabanki!$A:$A,0)),INDEX(Vöruskrá!$R:$R,MATCH($F349,Vöruskrá!$B:$B,0)))*IF($I349="",$H349*(1+$AD$2),$I349)/1000,""))</f>
        <v>67.5</v>
      </c>
      <c r="AH349" s="358">
        <f t="shared" si="24"/>
        <v>5.8695652173913045E-2</v>
      </c>
      <c r="AI349" s="356" t="str">
        <f t="shared" si="25"/>
        <v>OK</v>
      </c>
    </row>
    <row r="350" spans="1:35" ht="26">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57">
        <f>IF($F350="","",IFERROR(IFERROR(INDEX(Réttabanki!$U:$U,MATCH($F350,Réttabanki!$A:$A,0)),INDEX(Vöruskrá!$R:$R,MATCH($F350,Vöruskrá!$B:$B,0)))*$H350/1000,""))</f>
        <v>0</v>
      </c>
      <c r="AG350" s="357">
        <f>IF($F350="","",IFERROR(IFERROR(INDEX(Réttabanki!$U:$U,MATCH($F350,Réttabanki!$A:$A,0)),INDEX(Vöruskrá!$R:$R,MATCH($F350,Vöruskrá!$B:$B,0)))*IF($I350="",$H350*(1+$AD$2),$I350)/1000,""))</f>
        <v>0</v>
      </c>
      <c r="AH350" s="358" t="str">
        <f t="shared" si="24"/>
        <v/>
      </c>
      <c r="AI350" s="356" t="str">
        <f t="shared" si="25"/>
        <v/>
      </c>
    </row>
    <row r="351" spans="1:35" ht="78">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26">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57">
        <f>IF($F352="","",IFERROR(IFERROR(INDEX(Réttabanki!$U:$U,MATCH($F352,Réttabanki!$A:$A,0)),INDEX(Vöruskrá!$R:$R,MATCH($F352,Vöruskrá!$B:$B,0)))*$H352/1000,""))</f>
        <v>288</v>
      </c>
      <c r="AG352" s="357">
        <f>IF($F352="","",IFERROR(IFERROR(INDEX(Réttabanki!$U:$U,MATCH($F352,Réttabanki!$A:$A,0)),INDEX(Vöruskrá!$R:$R,MATCH($F352,Vöruskrá!$B:$B,0)))*IF($I352="",$H352*(1+$AD$2),$I352)/1000,""))</f>
        <v>432</v>
      </c>
      <c r="AH352" s="358">
        <f t="shared" si="24"/>
        <v>0.37565217391304345</v>
      </c>
      <c r="AI352" s="356" t="str">
        <f t="shared" si="25"/>
        <v>⚠ Yfir 30%</v>
      </c>
    </row>
    <row r="353" spans="1:35" ht="14.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57">
        <f>IF($F353="","",IFERROR(IFERROR(INDEX(Réttabanki!$U:$U,MATCH($F353,Réttabanki!$A:$A,0)),INDEX(Vöruskrá!$R:$R,MATCH($F353,Vöruskrá!$B:$B,0)))*$H353/1000,""))</f>
        <v>28</v>
      </c>
      <c r="AG353" s="357">
        <f>IF($F353="","",IFERROR(IFERROR(INDEX(Réttabanki!$U:$U,MATCH($F353,Réttabanki!$A:$A,0)),INDEX(Vöruskrá!$R:$R,MATCH($F353,Vöruskrá!$B:$B,0)))*IF($I353="",$H353*(1+$AD$2),$I353)/1000,""))</f>
        <v>42</v>
      </c>
      <c r="AH353" s="358">
        <f t="shared" si="24"/>
        <v>3.6521739130434785E-2</v>
      </c>
      <c r="AI353" s="356" t="str">
        <f t="shared" si="25"/>
        <v>OK</v>
      </c>
    </row>
    <row r="354" spans="1:35" ht="52">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57">
        <f>IF($F354="","",IFERROR(IFERROR(INDEX(Réttabanki!$U:$U,MATCH($F354,Réttabanki!$A:$A,0)),INDEX(Vöruskrá!$R:$R,MATCH($F354,Vöruskrá!$B:$B,0)))*$H354/1000,""))</f>
        <v>45</v>
      </c>
      <c r="AG354" s="357">
        <f>IF($F354="","",IFERROR(IFERROR(INDEX(Réttabanki!$U:$U,MATCH($F354,Réttabanki!$A:$A,0)),INDEX(Vöruskrá!$R:$R,MATCH($F354,Vöruskrá!$B:$B,0)))*IF($I354="",$H354*(1+$AD$2),$I354)/1000,""))</f>
        <v>67.5</v>
      </c>
      <c r="AH354" s="358">
        <f t="shared" si="24"/>
        <v>5.8695652173913045E-2</v>
      </c>
      <c r="AI354" s="356" t="str">
        <f t="shared" si="25"/>
        <v>OK</v>
      </c>
    </row>
    <row r="355" spans="1:35" ht="29">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57" t="str">
        <f>IF($F355="","",IFERROR(IFERROR(INDEX(Réttabanki!$U:$U,MATCH($F355,Réttabanki!$A:$A,0)),INDEX(Vöruskrá!$R:$R,MATCH($F355,Vöruskrá!$B:$B,0)))*$H355/1000,""))</f>
        <v/>
      </c>
      <c r="AG355" s="357" t="str">
        <f>IF($F355="","",IFERROR(IFERROR(INDEX(Réttabanki!$U:$U,MATCH($F355,Réttabanki!$A:$A,0)),INDEX(Vöruskrá!$R:$R,MATCH($F355,Vöruskrá!$B:$B,0)))*IF($I355="",$H355*(1+$AD$2),$I355)/1000,""))</f>
        <v/>
      </c>
      <c r="AH355" s="358" t="str">
        <f t="shared" si="24"/>
        <v/>
      </c>
      <c r="AI355" s="356" t="str">
        <f t="shared" si="25"/>
        <v/>
      </c>
    </row>
    <row r="356" spans="1:35" ht="14.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57" t="str">
        <f>IF($F356="","",IFERROR(IFERROR(INDEX(Réttabanki!$U:$U,MATCH($F356,Réttabanki!$A:$A,0)),INDEX(Vöruskrá!$R:$R,MATCH($F356,Vöruskrá!$B:$B,0)))*$H356/1000,""))</f>
        <v/>
      </c>
      <c r="AG356" s="357" t="str">
        <f>IF($F356="","",IFERROR(IFERROR(INDEX(Réttabanki!$U:$U,MATCH($F356,Réttabanki!$A:$A,0)),INDEX(Vöruskrá!$R:$R,MATCH($F356,Vöruskrá!$B:$B,0)))*IF($I356="",$H356*(1+$AD$2),$I356)/1000,""))</f>
        <v/>
      </c>
      <c r="AH356" s="358" t="str">
        <f t="shared" si="24"/>
        <v/>
      </c>
      <c r="AI356" s="356" t="str">
        <f t="shared" si="25"/>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57" t="str">
        <f>IF($F357="","",IFERROR(IFERROR(INDEX(Réttabanki!$U:$U,MATCH($F357,Réttabanki!$A:$A,0)),INDEX(Vöruskrá!$R:$R,MATCH($F357,Vöruskrá!$B:$B,0)))*$H357/1000,""))</f>
        <v/>
      </c>
      <c r="AG357" s="357" t="str">
        <f>IF($F357="","",IFERROR(IFERROR(INDEX(Réttabanki!$U:$U,MATCH($F357,Réttabanki!$A:$A,0)),INDEX(Vöruskrá!$R:$R,MATCH($F357,Vöruskrá!$B:$B,0)))*IF($I357="",$H357*(1+$AD$2),$I357)/1000,""))</f>
        <v/>
      </c>
      <c r="AH357" s="358" t="str">
        <f t="shared" si="24"/>
        <v/>
      </c>
      <c r="AI357" s="356" t="str">
        <f t="shared" si="25"/>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57">
        <f>IF($F358="","",IFERROR(IFERROR(INDEX(Réttabanki!$U:$U,MATCH($F358,Réttabanki!$A:$A,0)),INDEX(Vöruskrá!$R:$R,MATCH($F358,Vöruskrá!$B:$B,0)))*$H358/1000,""))</f>
        <v>0</v>
      </c>
      <c r="AG358" s="357">
        <f>IF($F358="","",IFERROR(IFERROR(INDEX(Réttabanki!$U:$U,MATCH($F358,Réttabanki!$A:$A,0)),INDEX(Vöruskrá!$R:$R,MATCH($F358,Vöruskrá!$B:$B,0)))*IF($I358="",$H358*(1+$AD$2),$I358)/1000,""))</f>
        <v>0</v>
      </c>
      <c r="AH358" s="358" t="str">
        <f t="shared" si="24"/>
        <v/>
      </c>
      <c r="AI358" s="356" t="str">
        <f t="shared" si="25"/>
        <v/>
      </c>
    </row>
    <row r="359" spans="1:35" ht="39">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57">
        <f>IF($F359="","",IFERROR(IFERROR(INDEX(Réttabanki!$U:$U,MATCH($F359,Réttabanki!$A:$A,0)),INDEX(Vöruskrá!$R:$R,MATCH($F359,Vöruskrá!$B:$B,0)))*$H359/1000,""))</f>
        <v>36</v>
      </c>
      <c r="AG359" s="357">
        <f>IF($F359="","",IFERROR(IFERROR(INDEX(Réttabanki!$U:$U,MATCH($F359,Réttabanki!$A:$A,0)),INDEX(Vöruskrá!$R:$R,MATCH($F359,Vöruskrá!$B:$B,0)))*IF($I359="",$H359*(1+$AD$2),$I359)/1000,""))</f>
        <v>54</v>
      </c>
      <c r="AH359" s="358">
        <f t="shared" si="24"/>
        <v>4.6956521739130432E-2</v>
      </c>
      <c r="AI359" s="356" t="str">
        <f t="shared" si="25"/>
        <v>OK</v>
      </c>
    </row>
    <row r="360" spans="1:35" ht="91">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57" t="str">
        <f>IF($F360="","",IFERROR(IFERROR(INDEX(Réttabanki!$U:$U,MATCH($F360,Réttabanki!$A:$A,0)),INDEX(Vöruskrá!$R:$R,MATCH($F360,Vöruskrá!$B:$B,0)))*$H360/1000,""))</f>
        <v/>
      </c>
      <c r="AG360" s="357" t="str">
        <f>IF($F360="","",IFERROR(IFERROR(INDEX(Réttabanki!$U:$U,MATCH($F360,Réttabanki!$A:$A,0)),INDEX(Vöruskrá!$R:$R,MATCH($F360,Vöruskrá!$B:$B,0)))*IF($I360="",$H360*(1+$AD$2),$I360)/1000,""))</f>
        <v/>
      </c>
      <c r="AH360" s="358" t="str">
        <f t="shared" si="24"/>
        <v/>
      </c>
      <c r="AI360" s="356" t="str">
        <f t="shared" si="25"/>
        <v/>
      </c>
    </row>
    <row r="361" spans="1:35" ht="65">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57">
        <f>IF($F361="","",IFERROR(IFERROR(INDEX(Réttabanki!$U:$U,MATCH($F361,Réttabanki!$A:$A,0)),INDEX(Vöruskrá!$R:$R,MATCH($F361,Vöruskrá!$B:$B,0)))*$H361/1000,""))</f>
        <v>24</v>
      </c>
      <c r="AG361" s="357">
        <f>IF($F361="","",IFERROR(IFERROR(INDEX(Réttabanki!$U:$U,MATCH($F361,Réttabanki!$A:$A,0)),INDEX(Vöruskrá!$R:$R,MATCH($F361,Vöruskrá!$B:$B,0)))*IF($I361="",$H361*(1+$AD$2),$I361)/1000,""))</f>
        <v>36</v>
      </c>
      <c r="AH361" s="358">
        <f t="shared" si="24"/>
        <v>3.1304347826086959E-2</v>
      </c>
      <c r="AI361" s="356" t="str">
        <f t="shared" si="25"/>
        <v>OK</v>
      </c>
    </row>
    <row r="362" spans="1:35" ht="39">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57">
        <f>IF($F362="","",IFERROR(IFERROR(INDEX(Réttabanki!$U:$U,MATCH($F362,Réttabanki!$A:$A,0)),INDEX(Vöruskrá!$R:$R,MATCH($F362,Vöruskrá!$B:$B,0)))*$H362/1000,""))</f>
        <v>36</v>
      </c>
      <c r="AG362" s="357">
        <f>IF($F362="","",IFERROR(IFERROR(INDEX(Réttabanki!$U:$U,MATCH($F362,Réttabanki!$A:$A,0)),INDEX(Vöruskrá!$R:$R,MATCH($F362,Vöruskrá!$B:$B,0)))*IF($I362="",$H362*(1+$AD$2),$I362)/1000,""))</f>
        <v>54</v>
      </c>
      <c r="AH362" s="358">
        <f t="shared" si="24"/>
        <v>4.6956521739130432E-2</v>
      </c>
      <c r="AI362" s="356" t="str">
        <f t="shared" si="25"/>
        <v>OK</v>
      </c>
    </row>
    <row r="363" spans="1:35" ht="14.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57"/>
      <c r="AG363" s="357"/>
      <c r="AH363" s="358">
        <f>IF(N($J363)=0,"",$J363/$AE$4)</f>
        <v>0.26074074074074072</v>
      </c>
      <c r="AI363" s="356" t="str">
        <f>IF($AH363="","",IF($AH363&gt;1,"⚠ Yfir fjárheimild","OK"))</f>
        <v>OK</v>
      </c>
    </row>
    <row r="364" spans="1:35" ht="14.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57"/>
      <c r="AG364" s="357"/>
      <c r="AH364" s="358">
        <f>IF(N($J364)=0,"",$J364/$AE$5)</f>
        <v>0.41217391304347828</v>
      </c>
      <c r="AI364" s="356" t="str">
        <f>IF($AH364="","",IF($AH364&gt;1,"⚠ Yfir fjárheimild","OK"))</f>
        <v>OK</v>
      </c>
    </row>
    <row r="365" spans="1:35" ht="65">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57" t="str">
        <f>IF($F365="","",IFERROR(IFERROR(INDEX(Réttabanki!$U:$U,MATCH($F365,Réttabanki!$A:$A,0)),INDEX(Vöruskrá!$R:$R,MATCH($F365,Vöruskrá!$B:$B,0)))*$H365/1000,""))</f>
        <v/>
      </c>
      <c r="AG365" s="357" t="str">
        <f>IF($F365="","",IFERROR(IFERROR(INDEX(Réttabanki!$U:$U,MATCH($F365,Réttabanki!$A:$A,0)),INDEX(Vöruskrá!$R:$R,MATCH($F365,Vöruskrá!$B:$B,0)))*IF($I365="",$H365*(1+$AD$2),$I365)/1000,""))</f>
        <v/>
      </c>
      <c r="AH365" s="358" t="str">
        <f t="shared" ref="AH365:AH384" si="26">IF(N($AF365)+N($AG365)=0,"",MAX(N($AF365)/$AE$4,N($AG365)/$AE$5))</f>
        <v/>
      </c>
      <c r="AI365" s="356" t="str">
        <f t="shared" ref="AI365:AI384" si="27">IF($AH365="","",IF($AH365&gt;$AE$6,"⚠ Yfir "&amp;TEXT($AE$6,"0%"),"OK"))</f>
        <v/>
      </c>
    </row>
    <row r="366" spans="1:35" ht="65">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57">
        <f>IF($F366="","",IFERROR(IFERROR(INDEX(Réttabanki!$U:$U,MATCH($F366,Réttabanki!$A:$A,0)),INDEX(Vöruskrá!$R:$R,MATCH($F366,Vöruskrá!$B:$B,0)))*$H366/1000,""))</f>
        <v>0</v>
      </c>
      <c r="AG366" s="357">
        <f>IF($F366="","",IFERROR(IFERROR(INDEX(Réttabanki!$U:$U,MATCH($F366,Réttabanki!$A:$A,0)),INDEX(Vöruskrá!$R:$R,MATCH($F366,Vöruskrá!$B:$B,0)))*IF($I366="",$H366*(1+$AD$2),$I366)/1000,""))</f>
        <v>409.06007999999991</v>
      </c>
      <c r="AH366" s="358">
        <f t="shared" si="26"/>
        <v>0.35570441739130426</v>
      </c>
      <c r="AI366" s="356" t="str">
        <f t="shared" si="27"/>
        <v>⚠ Yfir 30%</v>
      </c>
    </row>
    <row r="367" spans="1:35" ht="29">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57">
        <f>IF($F367="","",IFERROR(IFERROR(INDEX(Réttabanki!$U:$U,MATCH($F367,Réttabanki!$A:$A,0)),INDEX(Vöruskrá!$R:$R,MATCH($F367,Vöruskrá!$B:$B,0)))*$H367/1000,""))</f>
        <v>0</v>
      </c>
      <c r="AG367" s="357">
        <f>IF($F367="","",IFERROR(IFERROR(INDEX(Réttabanki!$U:$U,MATCH($F367,Réttabanki!$A:$A,0)),INDEX(Vöruskrá!$R:$R,MATCH($F367,Vöruskrá!$B:$B,0)))*IF($I367="",$H367*(1+$AD$2),$I367)/1000,""))</f>
        <v>40</v>
      </c>
      <c r="AH367" s="358">
        <f t="shared" si="26"/>
        <v>3.4782608695652174E-2</v>
      </c>
      <c r="AI367" s="356" t="str">
        <f t="shared" si="27"/>
        <v>OK</v>
      </c>
    </row>
    <row r="368" spans="1:35" ht="208">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57" t="str">
        <f>IF($F368="","",IFERROR(IFERROR(INDEX(Réttabanki!$U:$U,MATCH($F368,Réttabanki!$A:$A,0)),INDEX(Vöruskrá!$R:$R,MATCH($F368,Vöruskrá!$B:$B,0)))*$H368/1000,""))</f>
        <v/>
      </c>
      <c r="AG368" s="357" t="str">
        <f>IF($F368="","",IFERROR(IFERROR(INDEX(Réttabanki!$U:$U,MATCH($F368,Réttabanki!$A:$A,0)),INDEX(Vöruskrá!$R:$R,MATCH($F368,Vöruskrá!$B:$B,0)))*IF($I368="",$H368*(1+$AD$2),$I368)/1000,""))</f>
        <v/>
      </c>
      <c r="AH368" s="358" t="str">
        <f t="shared" si="26"/>
        <v/>
      </c>
      <c r="AI368" s="356" t="str">
        <f t="shared" si="27"/>
        <v/>
      </c>
    </row>
    <row r="369" spans="1:35" ht="78">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57">
        <f>IF($F369="","",IFERROR(IFERROR(INDEX(Réttabanki!$U:$U,MATCH($F369,Réttabanki!$A:$A,0)),INDEX(Vöruskrá!$R:$R,MATCH($F369,Vöruskrá!$B:$B,0)))*$H369/1000,""))</f>
        <v>416</v>
      </c>
      <c r="AG369" s="357">
        <f>IF($F369="","",IFERROR(IFERROR(INDEX(Réttabanki!$U:$U,MATCH($F369,Réttabanki!$A:$A,0)),INDEX(Vöruskrá!$R:$R,MATCH($F369,Vöruskrá!$B:$B,0)))*IF($I369="",$H369*(1+$AD$2),$I369)/1000,""))</f>
        <v>624</v>
      </c>
      <c r="AH369" s="358">
        <f t="shared" si="26"/>
        <v>0.54260869565217396</v>
      </c>
      <c r="AI369" s="356" t="str">
        <f t="shared" si="27"/>
        <v>⚠ Yfir 30%</v>
      </c>
    </row>
    <row r="370" spans="1:35" ht="14.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57">
        <f>IF($F370="","",IFERROR(IFERROR(INDEX(Réttabanki!$U:$U,MATCH($F370,Réttabanki!$A:$A,0)),INDEX(Vöruskrá!$R:$R,MATCH($F370,Vöruskrá!$B:$B,0)))*$H370/1000,""))</f>
        <v>32</v>
      </c>
      <c r="AG370" s="357">
        <f>IF($F370="","",IFERROR(IFERROR(INDEX(Réttabanki!$U:$U,MATCH($F370,Réttabanki!$A:$A,0)),INDEX(Vöruskrá!$R:$R,MATCH($F370,Vöruskrá!$B:$B,0)))*IF($I370="",$H370*(1+$AD$2),$I370)/1000,""))</f>
        <v>48</v>
      </c>
      <c r="AH370" s="358">
        <f t="shared" si="26"/>
        <v>4.1739130434782612E-2</v>
      </c>
      <c r="AI370" s="356" t="str">
        <f t="shared" si="27"/>
        <v>OK</v>
      </c>
    </row>
    <row r="371" spans="1:35" ht="65">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57">
        <f>IF($F371="","",IFERROR(IFERROR(INDEX(Réttabanki!$U:$U,MATCH($F371,Réttabanki!$A:$A,0)),INDEX(Vöruskrá!$R:$R,MATCH($F371,Vöruskrá!$B:$B,0)))*$H371/1000,""))</f>
        <v>15</v>
      </c>
      <c r="AG371" s="357">
        <f>IF($F371="","",IFERROR(IFERROR(INDEX(Réttabanki!$U:$U,MATCH($F371,Réttabanki!$A:$A,0)),INDEX(Vöruskrá!$R:$R,MATCH($F371,Vöruskrá!$B:$B,0)))*IF($I371="",$H371*(1+$AD$2),$I371)/1000,""))</f>
        <v>22.5</v>
      </c>
      <c r="AH371" s="358">
        <f t="shared" si="26"/>
        <v>1.9565217391304349E-2</v>
      </c>
      <c r="AI371" s="356" t="str">
        <f t="shared" si="27"/>
        <v>OK</v>
      </c>
    </row>
    <row r="372" spans="1:35" ht="65">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57">
        <f>IF($F372="","",IFERROR(IFERROR(INDEX(Réttabanki!$U:$U,MATCH($F372,Réttabanki!$A:$A,0)),INDEX(Vöruskrá!$R:$R,MATCH($F372,Vöruskrá!$B:$B,0)))*$H372/1000,""))</f>
        <v>15</v>
      </c>
      <c r="AG372" s="357">
        <f>IF($F372="","",IFERROR(IFERROR(INDEX(Réttabanki!$U:$U,MATCH($F372,Réttabanki!$A:$A,0)),INDEX(Vöruskrá!$R:$R,MATCH($F372,Vöruskrá!$B:$B,0)))*IF($I372="",$H372*(1+$AD$2),$I372)/1000,""))</f>
        <v>22.5</v>
      </c>
      <c r="AH372" s="358">
        <f t="shared" si="26"/>
        <v>1.9565217391304349E-2</v>
      </c>
      <c r="AI372" s="356" t="str">
        <f t="shared" si="27"/>
        <v>OK</v>
      </c>
    </row>
    <row r="373" spans="1:35" ht="104">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39">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57">
        <f>IF($F374="","",IFERROR(IFERROR(INDEX(Réttabanki!$U:$U,MATCH($F374,Réttabanki!$A:$A,0)),INDEX(Vöruskrá!$R:$R,MATCH($F374,Vöruskrá!$B:$B,0)))*$H374/1000,""))</f>
        <v>400</v>
      </c>
      <c r="AG374" s="357">
        <f>IF($F374="","",IFERROR(IFERROR(INDEX(Réttabanki!$U:$U,MATCH($F374,Réttabanki!$A:$A,0)),INDEX(Vöruskrá!$R:$R,MATCH($F374,Vöruskrá!$B:$B,0)))*IF($I374="",$H374*(1+$AD$2),$I374)/1000,""))</f>
        <v>600</v>
      </c>
      <c r="AH374" s="358">
        <f t="shared" si="26"/>
        <v>0.52173913043478259</v>
      </c>
      <c r="AI374" s="356" t="str">
        <f t="shared" si="27"/>
        <v>⚠ Yfir 30%</v>
      </c>
    </row>
    <row r="375" spans="1:35" ht="14.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57">
        <f>IF($F375="","",IFERROR(IFERROR(INDEX(Réttabanki!$U:$U,MATCH($F375,Réttabanki!$A:$A,0)),INDEX(Vöruskrá!$R:$R,MATCH($F375,Vöruskrá!$B:$B,0)))*$H375/1000,""))</f>
        <v>32</v>
      </c>
      <c r="AG375" s="357">
        <f>IF($F375="","",IFERROR(IFERROR(INDEX(Réttabanki!$U:$U,MATCH($F375,Réttabanki!$A:$A,0)),INDEX(Vöruskrá!$R:$R,MATCH($F375,Vöruskrá!$B:$B,0)))*IF($I375="",$H375*(1+$AD$2),$I375)/1000,""))</f>
        <v>48</v>
      </c>
      <c r="AH375" s="358">
        <f t="shared" si="26"/>
        <v>4.1739130434782612E-2</v>
      </c>
      <c r="AI375" s="356" t="str">
        <f t="shared" si="27"/>
        <v>OK</v>
      </c>
    </row>
    <row r="376" spans="1:35" ht="65">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57">
        <f>IF($F376="","",IFERROR(IFERROR(INDEX(Réttabanki!$U:$U,MATCH($F376,Réttabanki!$A:$A,0)),INDEX(Vöruskrá!$R:$R,MATCH($F376,Vöruskrá!$B:$B,0)))*$H376/1000,""))</f>
        <v>15</v>
      </c>
      <c r="AG376" s="357">
        <f>IF($F376="","",IFERROR(IFERROR(INDEX(Réttabanki!$U:$U,MATCH($F376,Réttabanki!$A:$A,0)),INDEX(Vöruskrá!$R:$R,MATCH($F376,Vöruskrá!$B:$B,0)))*IF($I376="",$H376*(1+$AD$2),$I376)/1000,""))</f>
        <v>22.5</v>
      </c>
      <c r="AH376" s="358">
        <f t="shared" si="26"/>
        <v>1.9565217391304349E-2</v>
      </c>
      <c r="AI376" s="356" t="str">
        <f t="shared" si="27"/>
        <v>OK</v>
      </c>
    </row>
    <row r="377" spans="1:35" ht="29">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57" t="str">
        <f>IF($F377="","",IFERROR(IFERROR(INDEX(Réttabanki!$U:$U,MATCH($F377,Réttabanki!$A:$A,0)),INDEX(Vöruskrá!$R:$R,MATCH($F377,Vöruskrá!$B:$B,0)))*$H377/1000,""))</f>
        <v/>
      </c>
      <c r="AG377" s="357" t="str">
        <f>IF($F377="","",IFERROR(IFERROR(INDEX(Réttabanki!$U:$U,MATCH($F377,Réttabanki!$A:$A,0)),INDEX(Vöruskrá!$R:$R,MATCH($F377,Vöruskrá!$B:$B,0)))*IF($I377="",$H377*(1+$AD$2),$I377)/1000,""))</f>
        <v/>
      </c>
      <c r="AH377" s="358" t="str">
        <f t="shared" si="26"/>
        <v/>
      </c>
      <c r="AI377" s="356" t="str">
        <f t="shared" si="27"/>
        <v/>
      </c>
    </row>
    <row r="378" spans="1:35" ht="14.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57" t="str">
        <f>IF($F378="","",IFERROR(IFERROR(INDEX(Réttabanki!$U:$U,MATCH($F378,Réttabanki!$A:$A,0)),INDEX(Vöruskrá!$R:$R,MATCH($F378,Vöruskrá!$B:$B,0)))*$H378/1000,""))</f>
        <v/>
      </c>
      <c r="AG378" s="357" t="str">
        <f>IF($F378="","",IFERROR(IFERROR(INDEX(Réttabanki!$U:$U,MATCH($F378,Réttabanki!$A:$A,0)),INDEX(Vöruskrá!$R:$R,MATCH($F378,Vöruskrá!$B:$B,0)))*IF($I378="",$H378*(1+$AD$2),$I378)/1000,""))</f>
        <v/>
      </c>
      <c r="AH378" s="358" t="str">
        <f t="shared" si="26"/>
        <v/>
      </c>
      <c r="AI378" s="356" t="str">
        <f t="shared" si="27"/>
        <v/>
      </c>
    </row>
    <row r="379" spans="1:35" ht="26">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57" t="str">
        <f>IF($F379="","",IFERROR(IFERROR(INDEX(Réttabanki!$U:$U,MATCH($F379,Réttabanki!$A:$A,0)),INDEX(Vöruskrá!$R:$R,MATCH($F379,Vöruskrá!$B:$B,0)))*$H379/1000,""))</f>
        <v/>
      </c>
      <c r="AG379" s="357" t="str">
        <f>IF($F379="","",IFERROR(IFERROR(INDEX(Réttabanki!$U:$U,MATCH($F379,Réttabanki!$A:$A,0)),INDEX(Vöruskrá!$R:$R,MATCH($F379,Vöruskrá!$B:$B,0)))*IF($I379="",$H379*(1+$AD$2),$I379)/1000,""))</f>
        <v/>
      </c>
      <c r="AH379" s="358" t="str">
        <f t="shared" si="26"/>
        <v/>
      </c>
      <c r="AI379" s="356" t="str">
        <f t="shared" si="27"/>
        <v/>
      </c>
    </row>
    <row r="380" spans="1:35" ht="26">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57">
        <f>IF($F380="","",IFERROR(IFERROR(INDEX(Réttabanki!$U:$U,MATCH($F380,Réttabanki!$A:$A,0)),INDEX(Vöruskrá!$R:$R,MATCH($F380,Vöruskrá!$B:$B,0)))*$H380/1000,""))</f>
        <v>24</v>
      </c>
      <c r="AG380" s="357">
        <f>IF($F380="","",IFERROR(IFERROR(INDEX(Réttabanki!$U:$U,MATCH($F380,Réttabanki!$A:$A,0)),INDEX(Vöruskrá!$R:$R,MATCH($F380,Vöruskrá!$B:$B,0)))*IF($I380="",$H380*(1+$AD$2),$I380)/1000,""))</f>
        <v>36</v>
      </c>
      <c r="AH380" s="358">
        <f t="shared" si="26"/>
        <v>3.1304347826086959E-2</v>
      </c>
      <c r="AI380" s="356" t="str">
        <f t="shared" si="27"/>
        <v>OK</v>
      </c>
    </row>
    <row r="381" spans="1:35" ht="14.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57">
        <f>IF($F381="","",IFERROR(IFERROR(INDEX(Réttabanki!$U:$U,MATCH($F381,Réttabanki!$A:$A,0)),INDEX(Vöruskrá!$R:$R,MATCH($F381,Vöruskrá!$B:$B,0)))*$H381/1000,""))</f>
        <v>36</v>
      </c>
      <c r="AG381" s="357">
        <f>IF($F381="","",IFERROR(IFERROR(INDEX(Réttabanki!$U:$U,MATCH($F381,Réttabanki!$A:$A,0)),INDEX(Vöruskrá!$R:$R,MATCH($F381,Vöruskrá!$B:$B,0)))*IF($I381="",$H381*(1+$AD$2),$I381)/1000,""))</f>
        <v>54</v>
      </c>
      <c r="AH381" s="358">
        <f t="shared" si="26"/>
        <v>4.6956521739130432E-2</v>
      </c>
      <c r="AI381" s="356" t="str">
        <f t="shared" si="27"/>
        <v>OK</v>
      </c>
    </row>
    <row r="382" spans="1:35" ht="52">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57" t="str">
        <f>IF($F382="","",IFERROR(IFERROR(INDEX(Réttabanki!$U:$U,MATCH($F382,Réttabanki!$A:$A,0)),INDEX(Vöruskrá!$R:$R,MATCH($F382,Vöruskrá!$B:$B,0)))*$H382/1000,""))</f>
        <v/>
      </c>
      <c r="AG382" s="357" t="str">
        <f>IF($F382="","",IFERROR(IFERROR(INDEX(Réttabanki!$U:$U,MATCH($F382,Réttabanki!$A:$A,0)),INDEX(Vöruskrá!$R:$R,MATCH($F382,Vöruskrá!$B:$B,0)))*IF($I382="",$H382*(1+$AD$2),$I382)/1000,""))</f>
        <v/>
      </c>
      <c r="AH382" s="358" t="str">
        <f t="shared" si="26"/>
        <v/>
      </c>
      <c r="AI382" s="356" t="str">
        <f t="shared" si="27"/>
        <v/>
      </c>
    </row>
    <row r="383" spans="1:35" ht="52">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57">
        <f>IF($F383="","",IFERROR(IFERROR(INDEX(Réttabanki!$U:$U,MATCH($F383,Réttabanki!$A:$A,0)),INDEX(Vöruskrá!$R:$R,MATCH($F383,Vöruskrá!$B:$B,0)))*$H383/1000,""))</f>
        <v>24</v>
      </c>
      <c r="AG383" s="357">
        <f>IF($F383="","",IFERROR(IFERROR(INDEX(Réttabanki!$U:$U,MATCH($F383,Réttabanki!$A:$A,0)),INDEX(Vöruskrá!$R:$R,MATCH($F383,Vöruskrá!$B:$B,0)))*IF($I383="",$H383*(1+$AD$2),$I383)/1000,""))</f>
        <v>36</v>
      </c>
      <c r="AH383" s="358">
        <f t="shared" si="26"/>
        <v>3.1304347826086959E-2</v>
      </c>
      <c r="AI383" s="356" t="str">
        <f t="shared" si="27"/>
        <v>OK</v>
      </c>
    </row>
    <row r="384" spans="1:35" ht="14.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57">
        <f>IF($F384="","",IFERROR(IFERROR(INDEX(Réttabanki!$U:$U,MATCH($F384,Réttabanki!$A:$A,0)),INDEX(Vöruskrá!$R:$R,MATCH($F384,Vöruskrá!$B:$B,0)))*$H384/1000,""))</f>
        <v>36</v>
      </c>
      <c r="AG384" s="357">
        <f>IF($F384="","",IFERROR(IFERROR(INDEX(Réttabanki!$U:$U,MATCH($F384,Réttabanki!$A:$A,0)),INDEX(Vöruskrá!$R:$R,MATCH($F384,Vöruskrá!$B:$B,0)))*IF($I384="",$H384*(1+$AD$2),$I384)/1000,""))</f>
        <v>54</v>
      </c>
      <c r="AH384" s="358">
        <f t="shared" si="26"/>
        <v>4.6956521739130432E-2</v>
      </c>
      <c r="AI384" s="356" t="str">
        <f t="shared" si="27"/>
        <v>OK</v>
      </c>
    </row>
    <row r="385" spans="1:35" ht="14.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57"/>
      <c r="AG385" s="357"/>
      <c r="AH385" s="358">
        <f>IF(N($J385)=0,"",$J385/$AE$4)</f>
        <v>0.38740740740740742</v>
      </c>
      <c r="AI385" s="356" t="str">
        <f>IF($AH385="","",IF($AH385&gt;1,"⚠ Yfir fjárheimild","OK"))</f>
        <v>OK</v>
      </c>
    </row>
    <row r="386" spans="1:35" ht="14.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57"/>
      <c r="AG386" s="357"/>
      <c r="AH386" s="358">
        <f>IF(N($J386)=0,"",$J386/$AE$5)</f>
        <v>0.60391304347826091</v>
      </c>
      <c r="AI386" s="356" t="str">
        <f>IF($AH386="","",IF($AH386&gt;1,"⚠ Yfir fjárheimild","OK"))</f>
        <v>OK</v>
      </c>
    </row>
    <row r="387" spans="1:35" ht="78">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57" t="str">
        <f>IF($F387="","",IFERROR(IFERROR(INDEX(Réttabanki!$U:$U,MATCH($F387,Réttabanki!$A:$A,0)),INDEX(Vöruskrá!$R:$R,MATCH($F387,Vöruskrá!$B:$B,0)))*$H387/1000,""))</f>
        <v/>
      </c>
      <c r="AG387" s="357" t="str">
        <f>IF($F387="","",IFERROR(IFERROR(INDEX(Réttabanki!$U:$U,MATCH($F387,Réttabanki!$A:$A,0)),INDEX(Vöruskrá!$R:$R,MATCH($F387,Vöruskrá!$B:$B,0)))*IF($I387="",$H387*(1+$AD$2),$I387)/1000,""))</f>
        <v/>
      </c>
      <c r="AH387" s="358" t="str">
        <f t="shared" ref="AH387:AH404" si="28">IF(N($AF387)+N($AG387)=0,"",MAX(N($AF387)/$AE$4,N($AG387)/$AE$5))</f>
        <v/>
      </c>
      <c r="AI387" s="356" t="str">
        <f t="shared" ref="AI387:AI404" si="29">IF($AH387="","",IF($AH387&gt;$AE$6,"⚠ Yfir "&amp;TEXT($AE$6,"0%"),"OK"))</f>
        <v/>
      </c>
    </row>
    <row r="388" spans="1:35" ht="65">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57">
        <f>IF($F388="","",IFERROR(IFERROR(INDEX(Réttabanki!$U:$U,MATCH($F388,Réttabanki!$A:$A,0)),INDEX(Vöruskrá!$R:$R,MATCH($F388,Vöruskrá!$B:$B,0)))*$H388/1000,""))</f>
        <v>0</v>
      </c>
      <c r="AG388" s="357">
        <f>IF($F388="","",IFERROR(IFERROR(INDEX(Réttabanki!$U:$U,MATCH($F388,Réttabanki!$A:$A,0)),INDEX(Vöruskrá!$R:$R,MATCH($F388,Vöruskrá!$B:$B,0)))*IF($I388="",$H388*(1+$AD$2),$I388)/1000,""))</f>
        <v>44.891859999999994</v>
      </c>
      <c r="AH388" s="358">
        <f t="shared" si="28"/>
        <v>3.9036399999999992E-2</v>
      </c>
      <c r="AI388" s="356" t="str">
        <f t="shared" si="29"/>
        <v>OK</v>
      </c>
    </row>
    <row r="389" spans="1:35" ht="29">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57">
        <f>IF($F389="","",IFERROR(IFERROR(INDEX(Réttabanki!$U:$U,MATCH($F389,Réttabanki!$A:$A,0)),INDEX(Vöruskrá!$R:$R,MATCH($F389,Vöruskrá!$B:$B,0)))*$H389/1000,""))</f>
        <v>0</v>
      </c>
      <c r="AG389" s="357">
        <f>IF($F389="","",IFERROR(IFERROR(INDEX(Réttabanki!$U:$U,MATCH($F389,Réttabanki!$A:$A,0)),INDEX(Vöruskrá!$R:$R,MATCH($F389,Vöruskrá!$B:$B,0)))*IF($I389="",$H389*(1+$AD$2),$I389)/1000,""))</f>
        <v>50</v>
      </c>
      <c r="AH389" s="358">
        <f t="shared" si="28"/>
        <v>4.3478260869565216E-2</v>
      </c>
      <c r="AI389" s="356" t="str">
        <f t="shared" si="29"/>
        <v>OK</v>
      </c>
    </row>
    <row r="390" spans="1:35" ht="117">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57" t="str">
        <f>IF($F390="","",IFERROR(IFERROR(INDEX(Réttabanki!$U:$U,MATCH($F390,Réttabanki!$A:$A,0)),INDEX(Vöruskrá!$R:$R,MATCH($F390,Vöruskrá!$B:$B,0)))*$H390/1000,""))</f>
        <v/>
      </c>
      <c r="AG390" s="357" t="str">
        <f>IF($F390="","",IFERROR(IFERROR(INDEX(Réttabanki!$U:$U,MATCH($F390,Réttabanki!$A:$A,0)),INDEX(Vöruskrá!$R:$R,MATCH($F390,Vöruskrá!$B:$B,0)))*IF($I390="",$H390*(1+$AD$2),$I390)/1000,""))</f>
        <v/>
      </c>
      <c r="AH390" s="358" t="str">
        <f t="shared" si="28"/>
        <v/>
      </c>
      <c r="AI390" s="356" t="str">
        <f t="shared" si="29"/>
        <v/>
      </c>
    </row>
    <row r="391" spans="1:35" ht="104">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57">
        <f>IF($F391="","",IFERROR(IFERROR(INDEX(Réttabanki!$U:$U,MATCH($F391,Réttabanki!$A:$A,0)),INDEX(Vöruskrá!$R:$R,MATCH($F391,Vöruskrá!$B:$B,0)))*$H391/1000,""))</f>
        <v>103.55305696529099</v>
      </c>
      <c r="AG391" s="357">
        <f>IF($F391="","",IFERROR(IFERROR(INDEX(Réttabanki!$U:$U,MATCH($F391,Réttabanki!$A:$A,0)),INDEX(Vöruskrá!$R:$R,MATCH($F391,Vöruskrá!$B:$B,0)))*IF($I391="",$H391*(1+$AD$2),$I391)/1000,""))</f>
        <v>155.32958544793649</v>
      </c>
      <c r="AH391" s="358">
        <f t="shared" si="28"/>
        <v>0.13506920473733608</v>
      </c>
      <c r="AI391" s="356" t="str">
        <f t="shared" si="29"/>
        <v>OK</v>
      </c>
    </row>
    <row r="392" spans="1:35" ht="14.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57">
        <f>IF($F392="","",IFERROR(IFERROR(INDEX(Réttabanki!$U:$U,MATCH($F392,Réttabanki!$A:$A,0)),INDEX(Vöruskrá!$R:$R,MATCH($F392,Vöruskrá!$B:$B,0)))*$H392/1000,""))</f>
        <v>40</v>
      </c>
      <c r="AG392" s="357">
        <f>IF($F392="","",IFERROR(IFERROR(INDEX(Réttabanki!$U:$U,MATCH($F392,Réttabanki!$A:$A,0)),INDEX(Vöruskrá!$R:$R,MATCH($F392,Vöruskrá!$B:$B,0)))*IF($I392="",$H392*(1+$AD$2),$I392)/1000,""))</f>
        <v>60</v>
      </c>
      <c r="AH392" s="358">
        <f t="shared" si="28"/>
        <v>5.2173913043478258E-2</v>
      </c>
      <c r="AI392" s="356" t="str">
        <f t="shared" si="29"/>
        <v>OK</v>
      </c>
    </row>
    <row r="393" spans="1:35" ht="14.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57">
        <f>IF($F393="","",IFERROR(IFERROR(INDEX(Réttabanki!$U:$U,MATCH($F393,Réttabanki!$A:$A,0)),INDEX(Vöruskrá!$R:$R,MATCH($F393,Vöruskrá!$B:$B,0)))*$H393/1000,""))</f>
        <v>32</v>
      </c>
      <c r="AG393" s="357">
        <f>IF($F393="","",IFERROR(IFERROR(INDEX(Réttabanki!$U:$U,MATCH($F393,Réttabanki!$A:$A,0)),INDEX(Vöruskrá!$R:$R,MATCH($F393,Vöruskrá!$B:$B,0)))*IF($I393="",$H393*(1+$AD$2),$I393)/1000,""))</f>
        <v>48</v>
      </c>
      <c r="AH393" s="358">
        <f t="shared" si="28"/>
        <v>4.1739130434782612E-2</v>
      </c>
      <c r="AI393" s="356" t="str">
        <f t="shared" si="29"/>
        <v>OK</v>
      </c>
    </row>
    <row r="394" spans="1:35" ht="10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57" t="str">
        <f>IF($F394="","",IFERROR(IFERROR(INDEX(Réttabanki!$U:$U,MATCH($F394,Réttabanki!$A:$A,0)),INDEX(Vöruskrá!$R:$R,MATCH($F394,Vöruskrá!$B:$B,0)))*$H394/1000,""))</f>
        <v/>
      </c>
      <c r="AG394" s="357" t="str">
        <f>IF($F394="","",IFERROR(IFERROR(INDEX(Réttabanki!$U:$U,MATCH($F394,Réttabanki!$A:$A,0)),INDEX(Vöruskrá!$R:$R,MATCH($F394,Vöruskrá!$B:$B,0)))*IF($I394="",$H394*(1+$AD$2),$I394)/1000,""))</f>
        <v/>
      </c>
      <c r="AH394" s="358" t="str">
        <f t="shared" si="28"/>
        <v/>
      </c>
      <c r="AI394" s="356" t="str">
        <f t="shared" si="29"/>
        <v/>
      </c>
    </row>
    <row r="395" spans="1:35" ht="91">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57">
        <f>IF($F395="","",IFERROR(IFERROR(INDEX(Réttabanki!$U:$U,MATCH($F395,Réttabanki!$A:$A,0)),INDEX(Vöruskrá!$R:$R,MATCH($F395,Vöruskrá!$B:$B,0)))*$H395/1000,""))</f>
        <v>324</v>
      </c>
      <c r="AG395" s="357">
        <f>IF($F395="","",IFERROR(IFERROR(INDEX(Réttabanki!$U:$U,MATCH($F395,Réttabanki!$A:$A,0)),INDEX(Vöruskrá!$R:$R,MATCH($F395,Vöruskrá!$B:$B,0)))*IF($I395="",$H395*(1+$AD$2),$I395)/1000,""))</f>
        <v>486</v>
      </c>
      <c r="AH395" s="358">
        <f t="shared" si="28"/>
        <v>0.4226086956521739</v>
      </c>
      <c r="AI395" s="356" t="str">
        <f t="shared" si="29"/>
        <v>⚠ Yfir 30%</v>
      </c>
    </row>
    <row r="396" spans="1:35" ht="14.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57">
        <f>IF($F396="","",IFERROR(IFERROR(INDEX(Réttabanki!$U:$U,MATCH($F396,Réttabanki!$A:$A,0)),INDEX(Vöruskrá!$R:$R,MATCH($F396,Vöruskrá!$B:$B,0)))*$H396/1000,""))</f>
        <v>40</v>
      </c>
      <c r="AG396" s="357">
        <f>IF($F396="","",IFERROR(IFERROR(INDEX(Réttabanki!$U:$U,MATCH($F396,Réttabanki!$A:$A,0)),INDEX(Vöruskrá!$R:$R,MATCH($F396,Vöruskrá!$B:$B,0)))*IF($I396="",$H396*(1+$AD$2),$I396)/1000,""))</f>
        <v>60</v>
      </c>
      <c r="AH396" s="358">
        <f t="shared" si="28"/>
        <v>5.2173913043478258E-2</v>
      </c>
      <c r="AI396" s="356" t="str">
        <f t="shared" si="29"/>
        <v>OK</v>
      </c>
    </row>
    <row r="397" spans="1:35" ht="29">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57" t="str">
        <f>IF($F397="","",IFERROR(IFERROR(INDEX(Réttabanki!$U:$U,MATCH($F397,Réttabanki!$A:$A,0)),INDEX(Vöruskrá!$R:$R,MATCH($F397,Vöruskrá!$B:$B,0)))*$H397/1000,""))</f>
        <v/>
      </c>
      <c r="AG397" s="357" t="str">
        <f>IF($F397="","",IFERROR(IFERROR(INDEX(Réttabanki!$U:$U,MATCH($F397,Réttabanki!$A:$A,0)),INDEX(Vöruskrá!$R:$R,MATCH($F397,Vöruskrá!$B:$B,0)))*IF($I397="",$H397*(1+$AD$2),$I397)/1000,""))</f>
        <v/>
      </c>
      <c r="AH397" s="358" t="str">
        <f t="shared" si="28"/>
        <v/>
      </c>
      <c r="AI397" s="356" t="str">
        <f t="shared" si="29"/>
        <v/>
      </c>
    </row>
    <row r="398" spans="1:35" ht="14.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57" t="str">
        <f>IF($F398="","",IFERROR(IFERROR(INDEX(Réttabanki!$U:$U,MATCH($F398,Réttabanki!$A:$A,0)),INDEX(Vöruskrá!$R:$R,MATCH($F398,Vöruskrá!$B:$B,0)))*$H398/1000,""))</f>
        <v/>
      </c>
      <c r="AG398" s="357" t="str">
        <f>IF($F398="","",IFERROR(IFERROR(INDEX(Réttabanki!$U:$U,MATCH($F398,Réttabanki!$A:$A,0)),INDEX(Vöruskrá!$R:$R,MATCH($F398,Vöruskrá!$B:$B,0)))*IF($I398="",$H398*(1+$AD$2),$I398)/1000,""))</f>
        <v/>
      </c>
      <c r="AH398" s="358" t="str">
        <f t="shared" si="28"/>
        <v/>
      </c>
      <c r="AI398" s="356" t="str">
        <f t="shared" si="29"/>
        <v/>
      </c>
    </row>
    <row r="399" spans="1:35" ht="52">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57" t="str">
        <f>IF($F399="","",IFERROR(IFERROR(INDEX(Réttabanki!$U:$U,MATCH($F399,Réttabanki!$A:$A,0)),INDEX(Vöruskrá!$R:$R,MATCH($F399,Vöruskrá!$B:$B,0)))*$H399/1000,""))</f>
        <v/>
      </c>
      <c r="AG399" s="357" t="str">
        <f>IF($F399="","",IFERROR(IFERROR(INDEX(Réttabanki!$U:$U,MATCH($F399,Réttabanki!$A:$A,0)),INDEX(Vöruskrá!$R:$R,MATCH($F399,Vöruskrá!$B:$B,0)))*IF($I399="",$H399*(1+$AD$2),$I399)/1000,""))</f>
        <v/>
      </c>
      <c r="AH399" s="358" t="str">
        <f t="shared" si="28"/>
        <v/>
      </c>
      <c r="AI399" s="356" t="str">
        <f t="shared" si="29"/>
        <v/>
      </c>
    </row>
    <row r="400" spans="1:35" ht="52">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57">
        <f>IF($F400="","",IFERROR(IFERROR(INDEX(Réttabanki!$U:$U,MATCH($F400,Réttabanki!$A:$A,0)),INDEX(Vöruskrá!$R:$R,MATCH($F400,Vöruskrá!$B:$B,0)))*$H400/1000,""))</f>
        <v>24</v>
      </c>
      <c r="AG400" s="357">
        <f>IF($F400="","",IFERROR(IFERROR(INDEX(Réttabanki!$U:$U,MATCH($F400,Réttabanki!$A:$A,0)),INDEX(Vöruskrá!$R:$R,MATCH($F400,Vöruskrá!$B:$B,0)))*IF($I400="",$H400*(1+$AD$2),$I400)/1000,""))</f>
        <v>36</v>
      </c>
      <c r="AH400" s="358">
        <f t="shared" si="28"/>
        <v>3.1304347826086959E-2</v>
      </c>
      <c r="AI400" s="356" t="str">
        <f t="shared" si="29"/>
        <v>OK</v>
      </c>
    </row>
    <row r="401" spans="1:35" ht="14.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57">
        <f>IF($F401="","",IFERROR(IFERROR(INDEX(Réttabanki!$U:$U,MATCH($F401,Réttabanki!$A:$A,0)),INDEX(Vöruskrá!$R:$R,MATCH($F401,Vöruskrá!$B:$B,0)))*$H401/1000,""))</f>
        <v>56</v>
      </c>
      <c r="AG401" s="357">
        <f>IF($F401="","",IFERROR(IFERROR(INDEX(Réttabanki!$U:$U,MATCH($F401,Réttabanki!$A:$A,0)),INDEX(Vöruskrá!$R:$R,MATCH($F401,Vöruskrá!$B:$B,0)))*IF($I401="",$H401*(1+$AD$2),$I401)/1000,""))</f>
        <v>84</v>
      </c>
      <c r="AH401" s="358">
        <f t="shared" si="28"/>
        <v>7.3043478260869571E-2</v>
      </c>
      <c r="AI401" s="356" t="str">
        <f t="shared" si="29"/>
        <v>OK</v>
      </c>
    </row>
    <row r="402" spans="1:35" ht="52">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57" t="str">
        <f>IF($F402="","",IFERROR(IFERROR(INDEX(Réttabanki!$U:$U,MATCH($F402,Réttabanki!$A:$A,0)),INDEX(Vöruskrá!$R:$R,MATCH($F402,Vöruskrá!$B:$B,0)))*$H402/1000,""))</f>
        <v/>
      </c>
      <c r="AG402" s="357" t="str">
        <f>IF($F402="","",IFERROR(IFERROR(INDEX(Réttabanki!$U:$U,MATCH($F402,Réttabanki!$A:$A,0)),INDEX(Vöruskrá!$R:$R,MATCH($F402,Vöruskrá!$B:$B,0)))*IF($I402="",$H402*(1+$AD$2),$I402)/1000,""))</f>
        <v/>
      </c>
      <c r="AH402" s="358" t="str">
        <f t="shared" si="28"/>
        <v/>
      </c>
      <c r="AI402" s="356" t="str">
        <f t="shared" si="29"/>
        <v/>
      </c>
    </row>
    <row r="403" spans="1:35" ht="52">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57">
        <f>IF($F403="","",IFERROR(IFERROR(INDEX(Réttabanki!$U:$U,MATCH($F403,Réttabanki!$A:$A,0)),INDEX(Vöruskrá!$R:$R,MATCH($F403,Vöruskrá!$B:$B,0)))*$H403/1000,""))</f>
        <v>24</v>
      </c>
      <c r="AG403" s="357">
        <f>IF($F403="","",IFERROR(IFERROR(INDEX(Réttabanki!$U:$U,MATCH($F403,Réttabanki!$A:$A,0)),INDEX(Vöruskrá!$R:$R,MATCH($F403,Vöruskrá!$B:$B,0)))*IF($I403="",$H403*(1+$AD$2),$I403)/1000,""))</f>
        <v>36</v>
      </c>
      <c r="AH403" s="358">
        <f t="shared" si="28"/>
        <v>3.1304347826086959E-2</v>
      </c>
      <c r="AI403" s="356" t="str">
        <f t="shared" si="29"/>
        <v>OK</v>
      </c>
    </row>
    <row r="404" spans="1:35" ht="14.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57">
        <f>IF($F404="","",IFERROR(IFERROR(INDEX(Réttabanki!$U:$U,MATCH($F404,Réttabanki!$A:$A,0)),INDEX(Vöruskrá!$R:$R,MATCH($F404,Vöruskrá!$B:$B,0)))*$H404/1000,""))</f>
        <v>56</v>
      </c>
      <c r="AG404" s="357">
        <f>IF($F404="","",IFERROR(IFERROR(INDEX(Réttabanki!$U:$U,MATCH($F404,Réttabanki!$A:$A,0)),INDEX(Vöruskrá!$R:$R,MATCH($F404,Vöruskrá!$B:$B,0)))*IF($I404="",$H404*(1+$AD$2),$I404)/1000,""))</f>
        <v>84</v>
      </c>
      <c r="AH404" s="358">
        <f t="shared" si="28"/>
        <v>7.3043478260869571E-2</v>
      </c>
      <c r="AI404" s="356" t="str">
        <f t="shared" si="29"/>
        <v>OK</v>
      </c>
    </row>
    <row r="405" spans="1:35" ht="14.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57"/>
      <c r="AG405" s="357"/>
      <c r="AH405" s="358">
        <f>IF(N($J405)=0,"",$J405/$AE$4)</f>
        <v>0.16559485701132665</v>
      </c>
      <c r="AI405" s="356" t="str">
        <f>IF($AH405="","",IF($AH405&gt;1,"⚠ Yfir fjárheimild","OK"))</f>
        <v>OK</v>
      </c>
    </row>
    <row r="406" spans="1:35" ht="14.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57"/>
      <c r="AG406" s="357"/>
      <c r="AH406" s="358">
        <f>IF(N($J406)=0,"",$J406/$AE$5)</f>
        <v>0.18724311778081434</v>
      </c>
      <c r="AI406" s="356" t="str">
        <f>IF($AH406="","",IF($AH406&gt;1,"⚠ Yfir fjárheimild","OK"))</f>
        <v>OK</v>
      </c>
    </row>
    <row r="407" spans="1:35" ht="65">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ref="AH407:AH426" si="30">IF(N($AF407)+N($AG407)=0,"",MAX(N($AF407)/$AE$4,N($AG407)/$AE$5))</f>
        <v/>
      </c>
      <c r="AI407" s="356" t="str">
        <f t="shared" ref="AI407:AI426" si="31">IF($AH407="","",IF($AH407&gt;$AE$6,"⚠ Yfir "&amp;TEXT($AE$6,"0%"),"OK"))</f>
        <v/>
      </c>
    </row>
    <row r="408" spans="1:35" ht="29">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57">
        <f>IF($F408="","",IFERROR(IFERROR(INDEX(Réttabanki!$U:$U,MATCH($F408,Réttabanki!$A:$A,0)),INDEX(Vöruskrá!$R:$R,MATCH($F408,Vöruskrá!$B:$B,0)))*$H408/1000,""))</f>
        <v>0</v>
      </c>
      <c r="AG408" s="357">
        <f>IF($F408="","",IFERROR(IFERROR(INDEX(Réttabanki!$U:$U,MATCH($F408,Réttabanki!$A:$A,0)),INDEX(Vöruskrá!$R:$R,MATCH($F408,Vöruskrá!$B:$B,0)))*IF($I408="",$H408*(1+$AD$2),$I408)/1000,""))</f>
        <v>254.56650000000002</v>
      </c>
      <c r="AH408" s="358">
        <f t="shared" si="30"/>
        <v>0.2213621739130435</v>
      </c>
      <c r="AI408" s="356" t="str">
        <f t="shared" si="31"/>
        <v>OK</v>
      </c>
    </row>
    <row r="409" spans="1:35" ht="39">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ht="29">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65">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57" t="str">
        <f>IF($F411="","",IFERROR(IFERROR(INDEX(Réttabanki!$U:$U,MATCH($F411,Réttabanki!$A:$A,0)),INDEX(Vöruskrá!$R:$R,MATCH($F411,Vöruskrá!$B:$B,0)))*$H411/1000,""))</f>
        <v/>
      </c>
      <c r="AG411" s="357" t="str">
        <f>IF($F411="","",IFERROR(IFERROR(INDEX(Réttabanki!$U:$U,MATCH($F411,Réttabanki!$A:$A,0)),INDEX(Vöruskrá!$R:$R,MATCH($F411,Vöruskrá!$B:$B,0)))*IF($I411="",$H411*(1+$AD$2),$I411)/1000,""))</f>
        <v/>
      </c>
      <c r="AH411" s="358" t="str">
        <f t="shared" si="30"/>
        <v/>
      </c>
      <c r="AI411" s="356" t="str">
        <f t="shared" si="31"/>
        <v/>
      </c>
    </row>
    <row r="412" spans="1:35" ht="65">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57">
        <f>IF($F412="","",IFERROR(IFERROR(INDEX(Réttabanki!$U:$U,MATCH($F412,Réttabanki!$A:$A,0)),INDEX(Vöruskrá!$R:$R,MATCH($F412,Vöruskrá!$B:$B,0)))*$H412/1000,""))</f>
        <v>0</v>
      </c>
      <c r="AG412" s="357">
        <f>IF($F412="","",IFERROR(IFERROR(INDEX(Réttabanki!$U:$U,MATCH($F412,Réttabanki!$A:$A,0)),INDEX(Vöruskrá!$R:$R,MATCH($F412,Vöruskrá!$B:$B,0)))*IF($I412="",$H412*(1+$AD$2),$I412)/1000,""))</f>
        <v>0</v>
      </c>
      <c r="AH412" s="358" t="str">
        <f t="shared" si="30"/>
        <v/>
      </c>
      <c r="AI412" s="356" t="str">
        <f t="shared" si="31"/>
        <v/>
      </c>
    </row>
    <row r="413" spans="1:35" ht="208">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ht="52">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57">
        <f>IF($F414="","",IFERROR(IFERROR(INDEX(Réttabanki!$U:$U,MATCH($F414,Réttabanki!$A:$A,0)),INDEX(Vöruskrá!$R:$R,MATCH($F414,Vöruskrá!$B:$B,0)))*$H414/1000,""))</f>
        <v>378</v>
      </c>
      <c r="AG414" s="357">
        <f>IF($F414="","",IFERROR(IFERROR(INDEX(Réttabanki!$U:$U,MATCH($F414,Réttabanki!$A:$A,0)),INDEX(Vöruskrá!$R:$R,MATCH($F414,Vöruskrá!$B:$B,0)))*IF($I414="",$H414*(1+$AD$2),$I414)/1000,""))</f>
        <v>567</v>
      </c>
      <c r="AH414" s="358">
        <f t="shared" si="30"/>
        <v>0.49304347826086958</v>
      </c>
      <c r="AI414" s="356" t="str">
        <f t="shared" si="31"/>
        <v>⚠ Yfir 30%</v>
      </c>
    </row>
    <row r="415" spans="1:35" ht="39">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57">
        <f>IF($F415="","",IFERROR(IFERROR(INDEX(Réttabanki!$U:$U,MATCH($F415,Réttabanki!$A:$A,0)),INDEX(Vöruskrá!$R:$R,MATCH($F415,Vöruskrá!$B:$B,0)))*$H415/1000,""))</f>
        <v>15</v>
      </c>
      <c r="AG415" s="357">
        <f>IF($F415="","",IFERROR(IFERROR(INDEX(Réttabanki!$U:$U,MATCH($F415,Réttabanki!$A:$A,0)),INDEX(Vöruskrá!$R:$R,MATCH($F415,Vöruskrá!$B:$B,0)))*IF($I415="",$H415*(1+$AD$2),$I415)/1000,""))</f>
        <v>15</v>
      </c>
      <c r="AH415" s="358">
        <f t="shared" si="30"/>
        <v>1.3043478260869565E-2</v>
      </c>
      <c r="AI415" s="356" t="str">
        <f t="shared" si="31"/>
        <v>OK</v>
      </c>
    </row>
    <row r="416" spans="1:35" ht="14.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57">
        <f>IF($F416="","",IFERROR(IFERROR(INDEX(Réttabanki!$U:$U,MATCH($F416,Réttabanki!$A:$A,0)),INDEX(Vöruskrá!$R:$R,MATCH($F416,Vöruskrá!$B:$B,0)))*$H416/1000,""))</f>
        <v>23</v>
      </c>
      <c r="AG416" s="357">
        <f>IF($F416="","",IFERROR(IFERROR(INDEX(Réttabanki!$U:$U,MATCH($F416,Réttabanki!$A:$A,0)),INDEX(Vöruskrá!$R:$R,MATCH($F416,Vöruskrá!$B:$B,0)))*IF($I416="",$H416*(1+$AD$2),$I416)/1000,""))</f>
        <v>23</v>
      </c>
      <c r="AH416" s="358">
        <f t="shared" si="30"/>
        <v>0.02</v>
      </c>
      <c r="AI416" s="356" t="str">
        <f t="shared" si="31"/>
        <v>OK</v>
      </c>
    </row>
    <row r="417" spans="1:35" ht="78">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57">
        <f>IF($F417="","",IFERROR(IFERROR(INDEX(Réttabanki!$U:$U,MATCH($F417,Réttabanki!$A:$A,0)),INDEX(Vöruskrá!$R:$R,MATCH($F417,Vöruskrá!$B:$B,0)))*$H417/1000,""))</f>
        <v>211.64156783919597</v>
      </c>
      <c r="AG417" s="357">
        <f>IF($F417="","",IFERROR(IFERROR(INDEX(Réttabanki!$U:$U,MATCH($F417,Réttabanki!$A:$A,0)),INDEX(Vöruskrá!$R:$R,MATCH($F417,Vöruskrá!$B:$B,0)))*IF($I417="",$H417*(1+$AD$2),$I417)/1000,""))</f>
        <v>317.462351758794</v>
      </c>
      <c r="AH417" s="358">
        <f t="shared" si="30"/>
        <v>0.27605421892069043</v>
      </c>
      <c r="AI417" s="356" t="str">
        <f t="shared" si="31"/>
        <v>OK</v>
      </c>
    </row>
    <row r="418" spans="1:35" ht="52">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57">
        <f>IF($F418="","",IFERROR(IFERROR(INDEX(Réttabanki!$U:$U,MATCH($F418,Réttabanki!$A:$A,0)),INDEX(Vöruskrá!$R:$R,MATCH($F418,Vöruskrá!$B:$B,0)))*$H418/1000,""))</f>
        <v>240</v>
      </c>
      <c r="AG418" s="357">
        <f>IF($F418="","",IFERROR(IFERROR(INDEX(Réttabanki!$U:$U,MATCH($F418,Réttabanki!$A:$A,0)),INDEX(Vöruskrá!$R:$R,MATCH($F418,Vöruskrá!$B:$B,0)))*IF($I418="",$H418*(1+$AD$2),$I418)/1000,""))</f>
        <v>360</v>
      </c>
      <c r="AH418" s="358">
        <f t="shared" si="30"/>
        <v>0.31304347826086959</v>
      </c>
      <c r="AI418" s="356" t="str">
        <f t="shared" si="31"/>
        <v>⚠ Yfir 30%</v>
      </c>
    </row>
    <row r="419" spans="1:35" ht="14.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57" t="str">
        <f>IF($F419="","",IFERROR(IFERROR(INDEX(Réttabanki!$U:$U,MATCH($F419,Réttabanki!$A:$A,0)),INDEX(Vöruskrá!$R:$R,MATCH($F419,Vöruskrá!$B:$B,0)))*$H419/1000,""))</f>
        <v/>
      </c>
      <c r="AG419" s="357" t="str">
        <f>IF($F419="","",IFERROR(IFERROR(INDEX(Réttabanki!$U:$U,MATCH($F419,Réttabanki!$A:$A,0)),INDEX(Vöruskrá!$R:$R,MATCH($F419,Vöruskrá!$B:$B,0)))*IF($I419="",$H419*(1+$AD$2),$I419)/1000,""))</f>
        <v/>
      </c>
      <c r="AH419" s="358" t="str">
        <f t="shared" si="30"/>
        <v/>
      </c>
      <c r="AI419" s="356" t="str">
        <f t="shared" si="31"/>
        <v/>
      </c>
    </row>
    <row r="420" spans="1:35" ht="14.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57" t="str">
        <f>IF($F420="","",IFERROR(IFERROR(INDEX(Réttabanki!$U:$U,MATCH($F420,Réttabanki!$A:$A,0)),INDEX(Vöruskrá!$R:$R,MATCH($F420,Vöruskrá!$B:$B,0)))*$H420/1000,""))</f>
        <v/>
      </c>
      <c r="AG420" s="357" t="str">
        <f>IF($F420="","",IFERROR(IFERROR(INDEX(Réttabanki!$U:$U,MATCH($F420,Réttabanki!$A:$A,0)),INDEX(Vöruskrá!$R:$R,MATCH($F420,Vöruskrá!$B:$B,0)))*IF($I420="",$H420*(1+$AD$2),$I420)/1000,""))</f>
        <v/>
      </c>
      <c r="AH420" s="358" t="str">
        <f t="shared" si="30"/>
        <v/>
      </c>
      <c r="AI420" s="356" t="str">
        <f t="shared" si="31"/>
        <v/>
      </c>
    </row>
    <row r="421" spans="1:35" ht="14.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57" t="str">
        <f>IF($F421="","",IFERROR(IFERROR(INDEX(Réttabanki!$U:$U,MATCH($F421,Réttabanki!$A:$A,0)),INDEX(Vöruskrá!$R:$R,MATCH($F421,Vöruskrá!$B:$B,0)))*$H421/1000,""))</f>
        <v/>
      </c>
      <c r="AG421" s="357" t="str">
        <f>IF($F421="","",IFERROR(IFERROR(INDEX(Réttabanki!$U:$U,MATCH($F421,Réttabanki!$A:$A,0)),INDEX(Vöruskrá!$R:$R,MATCH($F421,Vöruskrá!$B:$B,0)))*IF($I421="",$H421*(1+$AD$2),$I421)/1000,""))</f>
        <v/>
      </c>
      <c r="AH421" s="358" t="str">
        <f t="shared" si="30"/>
        <v/>
      </c>
      <c r="AI421" s="356" t="str">
        <f t="shared" si="31"/>
        <v/>
      </c>
    </row>
    <row r="422" spans="1:35" ht="29">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57" t="str">
        <f>IF($F422="","",IFERROR(IFERROR(INDEX(Réttabanki!$U:$U,MATCH($F422,Réttabanki!$A:$A,0)),INDEX(Vöruskrá!$R:$R,MATCH($F422,Vöruskrá!$B:$B,0)))*$H422/1000,""))</f>
        <v/>
      </c>
      <c r="AG422" s="357" t="str">
        <f>IF($F422="","",IFERROR(IFERROR(INDEX(Réttabanki!$U:$U,MATCH($F422,Réttabanki!$A:$A,0)),INDEX(Vöruskrá!$R:$R,MATCH($F422,Vöruskrá!$B:$B,0)))*IF($I422="",$H422*(1+$AD$2),$I422)/1000,""))</f>
        <v/>
      </c>
      <c r="AH422" s="358" t="str">
        <f t="shared" si="30"/>
        <v/>
      </c>
      <c r="AI422" s="356" t="str">
        <f t="shared" si="31"/>
        <v/>
      </c>
    </row>
    <row r="423" spans="1:35" ht="14.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si="30"/>
        <v/>
      </c>
      <c r="AI423" s="356" t="str">
        <f t="shared" si="31"/>
        <v/>
      </c>
    </row>
    <row r="424" spans="1:35" ht="91">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0"/>
        <v/>
      </c>
      <c r="AI424" s="356" t="str">
        <f t="shared" si="31"/>
        <v/>
      </c>
    </row>
    <row r="425" spans="1:35" ht="52">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57">
        <f>IF($F425="","",IFERROR(IFERROR(INDEX(Réttabanki!$U:$U,MATCH($F425,Réttabanki!$A:$A,0)),INDEX(Vöruskrá!$R:$R,MATCH($F425,Vöruskrá!$B:$B,0)))*$H425/1000,""))</f>
        <v>24</v>
      </c>
      <c r="AG425" s="357">
        <f>IF($F425="","",IFERROR(IFERROR(INDEX(Réttabanki!$U:$U,MATCH($F425,Réttabanki!$A:$A,0)),INDEX(Vöruskrá!$R:$R,MATCH($F425,Vöruskrá!$B:$B,0)))*IF($I425="",$H425*(1+$AD$2),$I425)/1000,""))</f>
        <v>36</v>
      </c>
      <c r="AH425" s="358">
        <f t="shared" si="30"/>
        <v>3.1304347826086959E-2</v>
      </c>
      <c r="AI425" s="356" t="str">
        <f t="shared" si="31"/>
        <v>OK</v>
      </c>
    </row>
    <row r="426" spans="1:35" ht="39">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57">
        <f>IF($F426="","",IFERROR(IFERROR(INDEX(Réttabanki!$U:$U,MATCH($F426,Réttabanki!$A:$A,0)),INDEX(Vöruskrá!$R:$R,MATCH($F426,Vöruskrá!$B:$B,0)))*$H426/1000,""))</f>
        <v>36</v>
      </c>
      <c r="AG426" s="357">
        <f>IF($F426="","",IFERROR(IFERROR(INDEX(Réttabanki!$U:$U,MATCH($F426,Réttabanki!$A:$A,0)),INDEX(Vöruskrá!$R:$R,MATCH($F426,Vöruskrá!$B:$B,0)))*IF($I426="",$H426*(1+$AD$2),$I426)/1000,""))</f>
        <v>54</v>
      </c>
      <c r="AH426" s="358">
        <f t="shared" si="30"/>
        <v>4.6956521739130432E-2</v>
      </c>
      <c r="AI426" s="356" t="str">
        <f t="shared" si="31"/>
        <v>OK</v>
      </c>
    </row>
    <row r="427" spans="1:35" ht="14.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57"/>
      <c r="AG427" s="357"/>
      <c r="AH427" s="358">
        <f>IF(N($J427)=0,"",$J427/$AE$4)</f>
        <v>0.35259259259259257</v>
      </c>
      <c r="AI427" s="356" t="str">
        <f>IF($AH427="","",IF($AH427&gt;1,"⚠ Yfir fjárheimild","OK"))</f>
        <v>OK</v>
      </c>
    </row>
    <row r="428" spans="1:35" ht="14.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57"/>
      <c r="AG428" s="357"/>
      <c r="AH428" s="358">
        <f>IF(N($J428)=0,"",$J428/$AE$5)</f>
        <v>0.52608695652173909</v>
      </c>
      <c r="AI428" s="356" t="str">
        <f>IF($AH428="","",IF($AH428&gt;1,"⚠ Yfir fjárheimild","OK"))</f>
        <v>OK</v>
      </c>
    </row>
    <row r="429" spans="1:35"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ref="AH429:AH452" si="32">IF(N($AF429)+N($AG429)=0,"",MAX(N($AF429)/$AE$4,N($AG429)/$AE$5))</f>
        <v/>
      </c>
      <c r="AI429" s="356" t="str">
        <f t="shared" ref="AI429:AI452" si="33">IF($AH429="","",IF($AH429&gt;$AE$6,"⚠ Yfir "&amp;TEXT($AE$6,"0%"),"OK"))</f>
        <v/>
      </c>
    </row>
    <row r="430" spans="1:35"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ht="1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57" t="str">
        <f>IF($F447="","",IFERROR(IFERROR(INDEX(Réttabanki!$U:$U,MATCH($F447,Réttabanki!$A:$A,0)),INDEX(Vöruskrá!$R:$R,MATCH($F447,Vöruskrá!$B:$B,0)))*$H447/1000,""))</f>
        <v/>
      </c>
      <c r="AG447" s="357" t="str">
        <f>IF($F447="","",IFERROR(IFERROR(INDEX(Réttabanki!$U:$U,MATCH($F447,Réttabanki!$A:$A,0)),INDEX(Vöruskrá!$R:$R,MATCH($F447,Vöruskrá!$B:$B,0)))*IF($I447="",$H447*(1+$AD$2),$I447)/1000,""))</f>
        <v/>
      </c>
      <c r="AH447" s="358" t="str">
        <f t="shared" si="32"/>
        <v/>
      </c>
      <c r="AI447" s="356" t="str">
        <f t="shared" si="33"/>
        <v/>
      </c>
    </row>
    <row r="448" spans="1:35" ht="14.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57" t="str">
        <f>IF($F448="","",IFERROR(IFERROR(INDEX(Réttabanki!$U:$U,MATCH($F448,Réttabanki!$A:$A,0)),INDEX(Vöruskrá!$R:$R,MATCH($F448,Vöruskrá!$B:$B,0)))*$H448/1000,""))</f>
        <v/>
      </c>
      <c r="AG448" s="357" t="str">
        <f>IF($F448="","",IFERROR(IFERROR(INDEX(Réttabanki!$U:$U,MATCH($F448,Réttabanki!$A:$A,0)),INDEX(Vöruskrá!$R:$R,MATCH($F448,Vöruskrá!$B:$B,0)))*IF($I448="",$H448*(1+$AD$2),$I448)/1000,""))</f>
        <v/>
      </c>
      <c r="AH448" s="358" t="str">
        <f t="shared" si="32"/>
        <v/>
      </c>
      <c r="AI448" s="356" t="str">
        <f t="shared" si="33"/>
        <v/>
      </c>
    </row>
    <row r="449" spans="1:35" ht="14.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57" t="str">
        <f>IF($F449="","",IFERROR(IFERROR(INDEX(Réttabanki!$U:$U,MATCH($F449,Réttabanki!$A:$A,0)),INDEX(Vöruskrá!$R:$R,MATCH($F449,Vöruskrá!$B:$B,0)))*$H449/1000,""))</f>
        <v/>
      </c>
      <c r="AG449" s="357" t="str">
        <f>IF($F449="","",IFERROR(IFERROR(INDEX(Réttabanki!$U:$U,MATCH($F449,Réttabanki!$A:$A,0)),INDEX(Vöruskrá!$R:$R,MATCH($F449,Vöruskrá!$B:$B,0)))*IF($I449="",$H449*(1+$AD$2),$I449)/1000,""))</f>
        <v/>
      </c>
      <c r="AH449" s="358" t="str">
        <f t="shared" si="32"/>
        <v/>
      </c>
      <c r="AI449" s="356" t="str">
        <f t="shared" si="33"/>
        <v/>
      </c>
    </row>
    <row r="450" spans="1:35" ht="14.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57" t="str">
        <f>IF($F450="","",IFERROR(IFERROR(INDEX(Réttabanki!$U:$U,MATCH($F450,Réttabanki!$A:$A,0)),INDEX(Vöruskrá!$R:$R,MATCH($F450,Vöruskrá!$B:$B,0)))*$H450/1000,""))</f>
        <v/>
      </c>
      <c r="AG450" s="357" t="str">
        <f>IF($F450="","",IFERROR(IFERROR(INDEX(Réttabanki!$U:$U,MATCH($F450,Réttabanki!$A:$A,0)),INDEX(Vöruskrá!$R:$R,MATCH($F450,Vöruskrá!$B:$B,0)))*IF($I450="",$H450*(1+$AD$2),$I450)/1000,""))</f>
        <v/>
      </c>
      <c r="AH450" s="358" t="str">
        <f t="shared" si="32"/>
        <v/>
      </c>
      <c r="AI450" s="356" t="str">
        <f t="shared" si="33"/>
        <v/>
      </c>
    </row>
    <row r="451" spans="1:35" ht="14.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57" t="str">
        <f>IF($F451="","",IFERROR(IFERROR(INDEX(Réttabanki!$U:$U,MATCH($F451,Réttabanki!$A:$A,0)),INDEX(Vöruskrá!$R:$R,MATCH($F451,Vöruskrá!$B:$B,0)))*$H451/1000,""))</f>
        <v/>
      </c>
      <c r="AG451" s="357" t="str">
        <f>IF($F451="","",IFERROR(IFERROR(INDEX(Réttabanki!$U:$U,MATCH($F451,Réttabanki!$A:$A,0)),INDEX(Vöruskrá!$R:$R,MATCH($F451,Vöruskrá!$B:$B,0)))*IF($I451="",$H451*(1+$AD$2),$I451)/1000,""))</f>
        <v/>
      </c>
      <c r="AH451" s="358" t="str">
        <f t="shared" si="32"/>
        <v/>
      </c>
      <c r="AI451" s="356" t="str">
        <f t="shared" si="33"/>
        <v/>
      </c>
    </row>
    <row r="452" spans="1:35" ht="14.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57" t="str">
        <f>IF($F452="","",IFERROR(IFERROR(INDEX(Réttabanki!$U:$U,MATCH($F452,Réttabanki!$A:$A,0)),INDEX(Vöruskrá!$R:$R,MATCH($F452,Vöruskrá!$B:$B,0)))*$H452/1000,""))</f>
        <v/>
      </c>
      <c r="AG452" s="357" t="str">
        <f>IF($F452="","",IFERROR(IFERROR(INDEX(Réttabanki!$U:$U,MATCH($F452,Réttabanki!$A:$A,0)),INDEX(Vöruskrá!$R:$R,MATCH($F452,Vöruskrá!$B:$B,0)))*IF($I452="",$H452*(1+$AD$2),$I452)/1000,""))</f>
        <v/>
      </c>
      <c r="AH452" s="358" t="str">
        <f t="shared" si="32"/>
        <v/>
      </c>
      <c r="AI452" s="356" t="str">
        <f t="shared" si="33"/>
        <v/>
      </c>
    </row>
    <row r="453" spans="1:35" ht="14.5">
      <c r="A453" s="279"/>
    </row>
    <row r="454" spans="1:35" ht="14.5">
      <c r="A454" s="279"/>
    </row>
    <row r="455" spans="1:35" ht="14.5">
      <c r="A455" s="279"/>
    </row>
    <row r="456" spans="1:35" ht="14.5">
      <c r="A456" s="279"/>
    </row>
    <row r="457" spans="1:35" ht="14.5">
      <c r="A457" s="279"/>
    </row>
    <row r="458" spans="1:35" ht="14.5">
      <c r="A458" s="279"/>
    </row>
    <row r="459" spans="1:35" ht="14.5">
      <c r="A459" s="279"/>
    </row>
    <row r="460" spans="1:35" ht="14.5">
      <c r="A460" s="279"/>
    </row>
    <row r="461" spans="1:35" ht="14.5">
      <c r="A461" s="279"/>
    </row>
    <row r="462" spans="1:35" ht="14.5">
      <c r="A462" s="279"/>
    </row>
    <row r="463" spans="1:35" ht="14.5">
      <c r="A463" s="279"/>
    </row>
    <row r="464" spans="1:35"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c r="A747" s="279"/>
    </row>
    <row r="748" spans="1:1" ht="14.5">
      <c r="A748" s="279"/>
    </row>
    <row r="749" spans="1:1" ht="14.5">
      <c r="A749" s="279"/>
    </row>
    <row r="750" spans="1:1" ht="14.5">
      <c r="A750" s="279"/>
    </row>
    <row r="751" spans="1:1" ht="14.5">
      <c r="A751" s="279"/>
    </row>
    <row r="752" spans="1:1" ht="14.5">
      <c r="A752" s="279"/>
    </row>
    <row r="753" ht="14.5"/>
    <row r="754" ht="14.5"/>
  </sheetData>
  <mergeCells count="2">
    <mergeCell ref="A1:S1"/>
    <mergeCell ref="T1:AA1"/>
  </mergeCells>
  <conditionalFormatting sqref="AH3:AI452">
    <cfRule type="expression" dxfId="22" priority="4">
      <formula>AND($AH3&lt;&gt;"",$AF3="",$AG3="",$AH3&gt;1)</formula>
    </cfRule>
  </conditionalFormatting>
  <conditionalFormatting sqref="AH3:AI452">
    <cfRule type="expression" dxfId="21" priority="5">
      <formula>AND($AH3&lt;&gt;"",$AF3="",$AG3="",$AH3&gt;0.85,$AH3&lt;=1)</formula>
    </cfRule>
  </conditionalFormatting>
  <conditionalFormatting sqref="AH3:AI452">
    <cfRule type="expression" dxfId="20" priority="6">
      <formula>AND($AH3&lt;&gt;"",$AF3="",$AG3="")</formula>
    </cfRule>
  </conditionalFormatting>
  <conditionalFormatting sqref="AH3:AI452">
    <cfRule type="expression" dxfId="19" priority="7">
      <formula>AND($AH3&lt;&gt;"",$AH3&gt;$AE$6)</formula>
    </cfRule>
  </conditionalFormatting>
  <conditionalFormatting sqref="AH3:AI452">
    <cfRule type="expression" dxfId="18" priority="8">
      <formula>AND($AH3&lt;&gt;"")</formula>
    </cfRule>
  </conditionalFormatting>
  <conditionalFormatting sqref="A3:AA752">
    <cfRule type="expression" dxfId="17" priority="9">
      <formula>AND($D3&lt;&gt;"",$D3&lt;&gt;"Bæði",$D3&lt;&gt;"Leikskóli",$D3&lt;&gt;"Grunnskóli")</formula>
    </cfRule>
  </conditionalFormatting>
  <conditionalFormatting sqref="A3:AA752">
    <cfRule type="expression" dxfId="16" priority="10">
      <formula>AND($A3&lt;&gt;"",OR($D3="",$D3="Bæði",$D3="Leikskóli",$D3="Grunnskóli"))</formula>
    </cfRule>
  </conditionalFormatting>
  <conditionalFormatting sqref="A3:AA752">
    <cfRule type="expression" dxfId="15"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topRight" activeCell="B1" sqref="B1"/>
      <selection pane="bottomLeft" activeCell="A4" sqref="A4"/>
      <selection pane="bottomRight" activeCell="A288" sqref="A288"/>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2240</v>
      </c>
      <c r="B3" s="59" t="s">
        <v>2241</v>
      </c>
      <c r="C3" s="59" t="s">
        <v>2242</v>
      </c>
      <c r="D3" s="59" t="s">
        <v>2243</v>
      </c>
      <c r="E3" s="59" t="s">
        <v>2244</v>
      </c>
      <c r="F3" s="59" t="s">
        <v>2245</v>
      </c>
      <c r="G3" s="59" t="s">
        <v>1455</v>
      </c>
    </row>
    <row r="4" spans="1:7" ht="17">
      <c r="A4" s="75" t="s">
        <v>2246</v>
      </c>
      <c r="B4" s="75"/>
      <c r="C4" s="75"/>
      <c r="D4" s="75"/>
      <c r="E4" s="76"/>
      <c r="F4" s="75"/>
      <c r="G4" s="75"/>
    </row>
    <row r="5" spans="1:7">
      <c r="A5" s="56" t="s">
        <v>2247</v>
      </c>
      <c r="B5" s="56" t="s">
        <v>2248</v>
      </c>
      <c r="C5" s="56"/>
      <c r="D5" s="56" t="s">
        <v>2249</v>
      </c>
      <c r="E5" s="74"/>
      <c r="F5" s="56" t="s">
        <v>2250</v>
      </c>
      <c r="G5" s="56" t="s">
        <v>2251</v>
      </c>
    </row>
    <row r="6" spans="1:7" ht="17">
      <c r="A6" s="274" t="s">
        <v>2252</v>
      </c>
      <c r="B6" s="274" t="s">
        <v>2248</v>
      </c>
      <c r="C6" s="274"/>
      <c r="D6" s="274" t="s">
        <v>2249</v>
      </c>
      <c r="E6" s="275"/>
      <c r="F6" s="274" t="s">
        <v>2250</v>
      </c>
      <c r="G6" s="274" t="s">
        <v>2251</v>
      </c>
    </row>
    <row r="7" spans="1:7" ht="17">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
      <c r="A16" s="274" t="s">
        <v>2264</v>
      </c>
      <c r="B16" s="274" t="s">
        <v>2248</v>
      </c>
      <c r="C16" s="274"/>
      <c r="D16" s="274" t="s">
        <v>2249</v>
      </c>
      <c r="E16" s="275"/>
      <c r="F16" s="274" t="s">
        <v>2255</v>
      </c>
      <c r="G16" s="274" t="s">
        <v>2251</v>
      </c>
    </row>
    <row r="17" spans="1:7" ht="17">
      <c r="A17" s="274" t="s">
        <v>2265</v>
      </c>
      <c r="B17" s="274" t="s">
        <v>2257</v>
      </c>
      <c r="C17" s="274"/>
      <c r="D17" s="274" t="s">
        <v>2249</v>
      </c>
      <c r="E17" s="275"/>
      <c r="F17" s="274" t="s">
        <v>2255</v>
      </c>
      <c r="G17" s="274" t="s">
        <v>2251</v>
      </c>
    </row>
    <row r="18" spans="1:7" ht="17">
      <c r="A18" s="75" t="s">
        <v>2266</v>
      </c>
      <c r="B18" s="75"/>
      <c r="C18" s="75"/>
      <c r="D18" s="75"/>
      <c r="E18" s="76"/>
      <c r="F18" s="75"/>
      <c r="G18" s="75"/>
    </row>
    <row r="19" spans="1:7">
      <c r="A19" s="56" t="s">
        <v>2267</v>
      </c>
      <c r="B19" s="56" t="s">
        <v>2248</v>
      </c>
      <c r="C19" s="56"/>
      <c r="D19" s="56" t="s">
        <v>2249</v>
      </c>
      <c r="E19" s="74"/>
      <c r="F19" s="56" t="s">
        <v>2250</v>
      </c>
      <c r="G19" s="56" t="s">
        <v>2251</v>
      </c>
    </row>
    <row r="20" spans="1:7" ht="17">
      <c r="A20" s="75" t="s">
        <v>2268</v>
      </c>
      <c r="B20" s="75"/>
      <c r="C20" s="75"/>
      <c r="D20" s="75"/>
      <c r="E20" s="76"/>
      <c r="F20" s="75"/>
      <c r="G20" s="75"/>
    </row>
    <row r="21" spans="1:7" ht="17">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
      <c r="A23" s="274" t="s">
        <v>2271</v>
      </c>
      <c r="B23" s="274" t="s">
        <v>2248</v>
      </c>
      <c r="C23" s="274"/>
      <c r="D23" s="274" t="s">
        <v>2249</v>
      </c>
      <c r="E23" s="275"/>
      <c r="F23" s="274" t="s">
        <v>2250</v>
      </c>
      <c r="G23" s="274" t="s">
        <v>2251</v>
      </c>
    </row>
    <row r="24" spans="1:7" ht="17">
      <c r="A24" s="274" t="s">
        <v>2272</v>
      </c>
      <c r="B24" s="274" t="s">
        <v>2248</v>
      </c>
      <c r="C24" s="274"/>
      <c r="D24" s="274" t="s">
        <v>2249</v>
      </c>
      <c r="E24" s="275"/>
      <c r="F24" s="274" t="s">
        <v>2250</v>
      </c>
      <c r="G24" s="274" t="s">
        <v>2251</v>
      </c>
    </row>
    <row r="25" spans="1:7" ht="17">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
      <c r="A27" s="274" t="s">
        <v>2275</v>
      </c>
      <c r="B27" s="274" t="s">
        <v>2248</v>
      </c>
      <c r="C27" s="274"/>
      <c r="D27" s="274" t="s">
        <v>2249</v>
      </c>
      <c r="E27" s="275"/>
      <c r="F27" s="274" t="s">
        <v>2250</v>
      </c>
      <c r="G27" s="274" t="s">
        <v>2251</v>
      </c>
    </row>
    <row r="28" spans="1:7" ht="17">
      <c r="A28" s="274" t="s">
        <v>2276</v>
      </c>
      <c r="B28" s="274" t="s">
        <v>2248</v>
      </c>
      <c r="C28" s="274"/>
      <c r="D28" s="274" t="s">
        <v>2249</v>
      </c>
      <c r="E28" s="275"/>
      <c r="F28" s="274" t="s">
        <v>2250</v>
      </c>
      <c r="G28" s="274" t="s">
        <v>2251</v>
      </c>
    </row>
    <row r="29" spans="1:7" ht="17">
      <c r="A29" s="75" t="s">
        <v>2277</v>
      </c>
      <c r="B29" s="75"/>
      <c r="C29" s="75"/>
      <c r="D29" s="75"/>
      <c r="E29" s="76"/>
      <c r="F29" s="75"/>
      <c r="G29" s="75"/>
    </row>
    <row r="30" spans="1:7" ht="17">
      <c r="A30" s="274" t="s">
        <v>2278</v>
      </c>
      <c r="B30" s="274" t="s">
        <v>2279</v>
      </c>
      <c r="C30" s="274"/>
      <c r="D30" s="274" t="s">
        <v>2249</v>
      </c>
      <c r="E30" s="275"/>
      <c r="F30" s="274" t="s">
        <v>2280</v>
      </c>
      <c r="G30" s="274" t="s">
        <v>2251</v>
      </c>
    </row>
    <row r="31" spans="1:7" ht="17">
      <c r="A31" s="274" t="s">
        <v>2281</v>
      </c>
      <c r="B31" s="274" t="s">
        <v>2248</v>
      </c>
      <c r="C31" s="274"/>
      <c r="D31" s="274" t="s">
        <v>2249</v>
      </c>
      <c r="E31" s="275"/>
      <c r="F31" s="274" t="s">
        <v>2250</v>
      </c>
      <c r="G31" s="274" t="s">
        <v>2251</v>
      </c>
    </row>
    <row r="32" spans="1:7" ht="17">
      <c r="A32" s="75" t="s">
        <v>2282</v>
      </c>
      <c r="B32" s="75"/>
      <c r="C32" s="75"/>
      <c r="D32" s="75"/>
      <c r="E32" s="76"/>
      <c r="F32" s="75"/>
      <c r="G32" s="75"/>
    </row>
    <row r="33" spans="1:7">
      <c r="A33" s="56" t="s">
        <v>2283</v>
      </c>
      <c r="B33" s="56" t="s">
        <v>2284</v>
      </c>
      <c r="C33" s="56" t="s">
        <v>2285</v>
      </c>
      <c r="D33" s="56" t="s">
        <v>2286</v>
      </c>
      <c r="E33" s="74" t="s">
        <v>2287</v>
      </c>
      <c r="F33" s="56" t="s">
        <v>2030</v>
      </c>
      <c r="G33" s="56" t="s">
        <v>2288</v>
      </c>
    </row>
    <row r="34" spans="1:7" ht="17">
      <c r="A34" s="75" t="s">
        <v>2289</v>
      </c>
      <c r="B34" s="75"/>
      <c r="C34" s="75"/>
      <c r="D34" s="75"/>
      <c r="E34" s="76"/>
      <c r="F34" s="75"/>
      <c r="G34" s="75"/>
    </row>
    <row r="35" spans="1:7">
      <c r="A35" s="56" t="s">
        <v>2290</v>
      </c>
      <c r="B35" s="56" t="s">
        <v>2291</v>
      </c>
      <c r="C35" s="56" t="s">
        <v>2292</v>
      </c>
      <c r="D35" s="56" t="s">
        <v>2286</v>
      </c>
      <c r="E35" s="74" t="s">
        <v>2293</v>
      </c>
      <c r="F35" s="56" t="s">
        <v>2030</v>
      </c>
      <c r="G35" s="56" t="s">
        <v>2251</v>
      </c>
    </row>
    <row r="36" spans="1:7" ht="17">
      <c r="A36" s="75" t="s">
        <v>2294</v>
      </c>
      <c r="B36" s="75"/>
      <c r="C36" s="75"/>
      <c r="D36" s="75"/>
      <c r="E36" s="76"/>
      <c r="F36" s="75"/>
      <c r="G36" s="75"/>
    </row>
    <row r="37" spans="1:7" ht="17">
      <c r="A37" s="274" t="s">
        <v>2295</v>
      </c>
      <c r="B37" s="274" t="s">
        <v>2296</v>
      </c>
      <c r="C37" s="274" t="s">
        <v>2297</v>
      </c>
      <c r="D37" s="274" t="s">
        <v>2286</v>
      </c>
      <c r="E37" s="275" t="s">
        <v>2293</v>
      </c>
      <c r="F37" s="274" t="s">
        <v>2030</v>
      </c>
      <c r="G37" s="274" t="s">
        <v>2251</v>
      </c>
    </row>
    <row r="38" spans="1:7" ht="17">
      <c r="A38" s="274" t="s">
        <v>2298</v>
      </c>
      <c r="B38" s="274" t="s">
        <v>2296</v>
      </c>
      <c r="C38" s="274" t="s">
        <v>2292</v>
      </c>
      <c r="D38" s="274" t="s">
        <v>2286</v>
      </c>
      <c r="E38" s="275" t="s">
        <v>2293</v>
      </c>
      <c r="F38" s="274" t="s">
        <v>2030</v>
      </c>
      <c r="G38" s="274" t="s">
        <v>2251</v>
      </c>
    </row>
    <row r="39" spans="1:7">
      <c r="A39" s="56" t="s">
        <v>2299</v>
      </c>
      <c r="B39" s="56" t="s">
        <v>2296</v>
      </c>
      <c r="C39" s="56" t="s">
        <v>2292</v>
      </c>
      <c r="D39" s="56" t="s">
        <v>2286</v>
      </c>
      <c r="E39" s="74" t="s">
        <v>2293</v>
      </c>
      <c r="F39" s="56" t="s">
        <v>2030</v>
      </c>
      <c r="G39" s="56" t="s">
        <v>2251</v>
      </c>
    </row>
    <row r="40" spans="1:7">
      <c r="A40" s="56" t="s">
        <v>2300</v>
      </c>
      <c r="B40" s="56" t="s">
        <v>2301</v>
      </c>
      <c r="C40" s="56" t="s">
        <v>2292</v>
      </c>
      <c r="D40" s="56" t="s">
        <v>2286</v>
      </c>
      <c r="E40" s="74" t="s">
        <v>2293</v>
      </c>
      <c r="F40" s="56" t="s">
        <v>2030</v>
      </c>
      <c r="G40" s="56" t="s">
        <v>2251</v>
      </c>
    </row>
    <row r="41" spans="1:7" ht="17">
      <c r="A41" s="274" t="s">
        <v>2302</v>
      </c>
      <c r="B41" s="274"/>
      <c r="C41" s="274" t="s">
        <v>2292</v>
      </c>
      <c r="D41" s="274" t="s">
        <v>2286</v>
      </c>
      <c r="E41" s="275" t="s">
        <v>2293</v>
      </c>
      <c r="F41" s="274" t="s">
        <v>2030</v>
      </c>
      <c r="G41" s="274" t="s">
        <v>2251</v>
      </c>
    </row>
    <row r="42" spans="1:7" ht="17">
      <c r="A42" s="274" t="s">
        <v>2303</v>
      </c>
      <c r="B42" s="274"/>
      <c r="C42" s="274" t="s">
        <v>2292</v>
      </c>
      <c r="D42" s="274" t="s">
        <v>2286</v>
      </c>
      <c r="E42" s="275" t="s">
        <v>2293</v>
      </c>
      <c r="F42" s="274" t="s">
        <v>2030</v>
      </c>
      <c r="G42" s="274" t="s">
        <v>2251</v>
      </c>
    </row>
    <row r="43" spans="1:7" ht="17">
      <c r="A43" s="274" t="s">
        <v>2304</v>
      </c>
      <c r="B43" s="274"/>
      <c r="C43" s="274" t="s">
        <v>2292</v>
      </c>
      <c r="D43" s="274" t="s">
        <v>2286</v>
      </c>
      <c r="E43" s="275" t="s">
        <v>2293</v>
      </c>
      <c r="F43" s="274" t="s">
        <v>2030</v>
      </c>
      <c r="G43" s="274" t="s">
        <v>2251</v>
      </c>
    </row>
    <row r="44" spans="1:7" ht="17">
      <c r="A44" s="75" t="s">
        <v>2305</v>
      </c>
      <c r="B44" s="75"/>
      <c r="C44" s="75"/>
      <c r="D44" s="75"/>
      <c r="E44" s="76"/>
      <c r="F44" s="75"/>
      <c r="G44" s="75"/>
    </row>
    <row r="45" spans="1:7" ht="17">
      <c r="A45" s="272" t="s">
        <v>2306</v>
      </c>
      <c r="B45" s="272" t="s">
        <v>2291</v>
      </c>
      <c r="C45" s="272" t="s">
        <v>2307</v>
      </c>
      <c r="D45" s="272" t="s">
        <v>2286</v>
      </c>
      <c r="E45" s="273" t="s">
        <v>2308</v>
      </c>
      <c r="F45" s="273" t="s">
        <v>2309</v>
      </c>
      <c r="G45" s="272" t="s">
        <v>2251</v>
      </c>
    </row>
    <row r="46" spans="1:7">
      <c r="A46" s="56" t="s">
        <v>2310</v>
      </c>
      <c r="B46" s="56" t="s">
        <v>2291</v>
      </c>
      <c r="C46" s="56" t="s">
        <v>2311</v>
      </c>
      <c r="D46" s="56" t="s">
        <v>2286</v>
      </c>
      <c r="E46" s="74" t="s">
        <v>2312</v>
      </c>
      <c r="F46" s="56" t="s">
        <v>2030</v>
      </c>
      <c r="G46" s="56" t="s">
        <v>2251</v>
      </c>
    </row>
    <row r="47" spans="1:7">
      <c r="A47" s="56" t="s">
        <v>2313</v>
      </c>
      <c r="B47" s="56" t="s">
        <v>2291</v>
      </c>
      <c r="C47" s="56" t="s">
        <v>2292</v>
      </c>
      <c r="D47" s="56" t="s">
        <v>2286</v>
      </c>
      <c r="E47" s="74" t="s">
        <v>2293</v>
      </c>
      <c r="F47" s="56" t="s">
        <v>2030</v>
      </c>
      <c r="G47" s="56" t="s">
        <v>2251</v>
      </c>
    </row>
    <row r="48" spans="1:7" ht="17">
      <c r="A48" s="274" t="s">
        <v>2314</v>
      </c>
      <c r="B48" s="274" t="s">
        <v>2291</v>
      </c>
      <c r="C48" s="274" t="s">
        <v>2292</v>
      </c>
      <c r="D48" s="274" t="s">
        <v>2286</v>
      </c>
      <c r="E48" s="275" t="s">
        <v>2293</v>
      </c>
      <c r="F48" s="274" t="s">
        <v>2030</v>
      </c>
      <c r="G48" s="274" t="s">
        <v>2251</v>
      </c>
    </row>
    <row r="49" spans="1:7" ht="17">
      <c r="A49" s="75" t="s">
        <v>2315</v>
      </c>
      <c r="B49" s="75"/>
      <c r="C49" s="75"/>
      <c r="D49" s="75"/>
      <c r="E49" s="76"/>
      <c r="F49" s="75"/>
      <c r="G49" s="75"/>
    </row>
    <row r="50" spans="1:7">
      <c r="A50" s="56" t="s">
        <v>2316</v>
      </c>
      <c r="B50" s="56" t="s">
        <v>2291</v>
      </c>
      <c r="C50" s="56" t="s">
        <v>2292</v>
      </c>
      <c r="D50" s="56" t="s">
        <v>2286</v>
      </c>
      <c r="E50" s="74" t="s">
        <v>2293</v>
      </c>
      <c r="F50" s="56" t="s">
        <v>2030</v>
      </c>
      <c r="G50" s="56" t="s">
        <v>2251</v>
      </c>
    </row>
    <row r="51" spans="1:7" ht="17">
      <c r="A51" s="75" t="s">
        <v>2317</v>
      </c>
      <c r="B51" s="75"/>
      <c r="C51" s="75"/>
      <c r="D51" s="75"/>
      <c r="E51" s="76"/>
      <c r="F51" s="75"/>
      <c r="G51" s="75"/>
    </row>
    <row r="52" spans="1:7" ht="17">
      <c r="A52" s="274" t="s">
        <v>2318</v>
      </c>
      <c r="B52" s="274" t="s">
        <v>2319</v>
      </c>
      <c r="C52" s="274" t="s">
        <v>2285</v>
      </c>
      <c r="D52" s="274" t="s">
        <v>2286</v>
      </c>
      <c r="E52" s="275" t="s">
        <v>2287</v>
      </c>
      <c r="F52" s="274" t="s">
        <v>2030</v>
      </c>
      <c r="G52" s="274" t="s">
        <v>2320</v>
      </c>
    </row>
    <row r="53" spans="1:7" ht="17">
      <c r="A53" s="274" t="s">
        <v>2321</v>
      </c>
      <c r="B53" s="274" t="s">
        <v>2322</v>
      </c>
      <c r="C53" s="274" t="s">
        <v>2285</v>
      </c>
      <c r="D53" s="274" t="s">
        <v>2286</v>
      </c>
      <c r="E53" s="275" t="s">
        <v>2287</v>
      </c>
      <c r="F53" s="274" t="s">
        <v>2030</v>
      </c>
      <c r="G53" s="274" t="s">
        <v>2323</v>
      </c>
    </row>
    <row r="54" spans="1:7">
      <c r="A54" s="56" t="s">
        <v>2324</v>
      </c>
      <c r="B54" s="56" t="s">
        <v>2325</v>
      </c>
      <c r="C54" s="56"/>
      <c r="D54" s="56" t="s">
        <v>2249</v>
      </c>
      <c r="E54" s="74"/>
      <c r="F54" s="56" t="s">
        <v>2326</v>
      </c>
      <c r="G54" s="56" t="s">
        <v>2251</v>
      </c>
    </row>
    <row r="55" spans="1:7" ht="17">
      <c r="A55" s="274" t="s">
        <v>2327</v>
      </c>
      <c r="B55" s="274" t="s">
        <v>2325</v>
      </c>
      <c r="C55" s="274"/>
      <c r="D55" s="274" t="s">
        <v>2249</v>
      </c>
      <c r="E55" s="275"/>
      <c r="F55" s="274" t="s">
        <v>2326</v>
      </c>
      <c r="G55" s="274" t="s">
        <v>2251</v>
      </c>
    </row>
    <row r="56" spans="1:7" ht="17">
      <c r="A56" s="274" t="s">
        <v>2328</v>
      </c>
      <c r="B56" s="274" t="s">
        <v>2325</v>
      </c>
      <c r="C56" s="274" t="s">
        <v>2329</v>
      </c>
      <c r="D56" s="274" t="s">
        <v>2249</v>
      </c>
      <c r="E56" s="275"/>
      <c r="F56" s="274" t="s">
        <v>2330</v>
      </c>
      <c r="G56" s="274" t="s">
        <v>2331</v>
      </c>
    </row>
    <row r="57" spans="1:7" ht="17">
      <c r="A57" s="75" t="s">
        <v>2332</v>
      </c>
      <c r="B57" s="75"/>
      <c r="C57" s="75"/>
      <c r="D57" s="75"/>
      <c r="E57" s="76"/>
      <c r="F57" s="75"/>
      <c r="G57" s="75"/>
    </row>
    <row r="58" spans="1:7">
      <c r="A58" s="56" t="s">
        <v>2333</v>
      </c>
      <c r="B58" s="56" t="s">
        <v>2291</v>
      </c>
      <c r="C58" s="56" t="s">
        <v>2285</v>
      </c>
      <c r="D58" s="56" t="s">
        <v>2286</v>
      </c>
      <c r="E58" s="74" t="s">
        <v>2287</v>
      </c>
      <c r="F58" s="56" t="s">
        <v>2030</v>
      </c>
      <c r="G58" s="56" t="s">
        <v>2251</v>
      </c>
    </row>
    <row r="59" spans="1:7" ht="17">
      <c r="A59" s="274" t="s">
        <v>2334</v>
      </c>
      <c r="B59" s="274" t="s">
        <v>2291</v>
      </c>
      <c r="C59" s="274" t="s">
        <v>2311</v>
      </c>
      <c r="D59" s="274" t="s">
        <v>2249</v>
      </c>
      <c r="E59" s="275"/>
      <c r="F59" s="274" t="s">
        <v>2335</v>
      </c>
      <c r="G59" s="274" t="s">
        <v>2335</v>
      </c>
    </row>
    <row r="60" spans="1:7">
      <c r="A60" s="56" t="s">
        <v>2334</v>
      </c>
      <c r="B60" s="56" t="s">
        <v>2291</v>
      </c>
      <c r="C60" s="56" t="s">
        <v>2311</v>
      </c>
      <c r="D60" s="56" t="s">
        <v>2286</v>
      </c>
      <c r="E60" s="74" t="s">
        <v>2312</v>
      </c>
      <c r="F60" s="56" t="s">
        <v>2030</v>
      </c>
      <c r="G60" s="56" t="s">
        <v>2335</v>
      </c>
    </row>
    <row r="61" spans="1:7">
      <c r="A61" s="56" t="s">
        <v>2336</v>
      </c>
      <c r="B61" s="56" t="s">
        <v>2291</v>
      </c>
      <c r="C61" s="56" t="s">
        <v>552</v>
      </c>
      <c r="D61" s="56" t="s">
        <v>2249</v>
      </c>
      <c r="E61" s="74"/>
      <c r="F61" s="56" t="s">
        <v>2337</v>
      </c>
      <c r="G61" s="56" t="s">
        <v>2337</v>
      </c>
    </row>
    <row r="62" spans="1:7" ht="17">
      <c r="A62" s="75" t="s">
        <v>2338</v>
      </c>
      <c r="B62" s="75"/>
      <c r="C62" s="75"/>
      <c r="D62" s="75"/>
      <c r="E62" s="76"/>
      <c r="F62" s="75"/>
      <c r="G62" s="75"/>
    </row>
    <row r="63" spans="1:7">
      <c r="A63" s="56" t="s">
        <v>2339</v>
      </c>
      <c r="B63" s="56"/>
      <c r="C63" s="56" t="s">
        <v>2285</v>
      </c>
      <c r="D63" s="56" t="s">
        <v>2286</v>
      </c>
      <c r="E63" s="74" t="s">
        <v>2287</v>
      </c>
      <c r="F63" s="56" t="s">
        <v>2030</v>
      </c>
      <c r="G63" s="56" t="s">
        <v>2340</v>
      </c>
    </row>
    <row r="64" spans="1:7">
      <c r="A64" s="56" t="s">
        <v>2341</v>
      </c>
      <c r="B64" s="56" t="s">
        <v>2342</v>
      </c>
      <c r="C64" s="56" t="s">
        <v>2343</v>
      </c>
      <c r="D64" s="56" t="s">
        <v>2249</v>
      </c>
      <c r="E64" s="74"/>
      <c r="F64" s="56" t="s">
        <v>2250</v>
      </c>
      <c r="G64" s="56" t="s">
        <v>2344</v>
      </c>
    </row>
    <row r="65" spans="1:7">
      <c r="A65" s="56" t="s">
        <v>2345</v>
      </c>
      <c r="B65" s="56" t="s">
        <v>2346</v>
      </c>
      <c r="C65" s="56" t="s">
        <v>2285</v>
      </c>
      <c r="D65" s="56" t="s">
        <v>2286</v>
      </c>
      <c r="E65" s="74" t="s">
        <v>2287</v>
      </c>
      <c r="F65" s="56" t="s">
        <v>2030</v>
      </c>
      <c r="G65" s="56" t="s">
        <v>2347</v>
      </c>
    </row>
    <row r="66" spans="1:7" ht="17">
      <c r="A66" s="274" t="s">
        <v>2348</v>
      </c>
      <c r="B66" s="274"/>
      <c r="C66" s="274" t="s">
        <v>2292</v>
      </c>
      <c r="D66" s="274" t="s">
        <v>2286</v>
      </c>
      <c r="E66" s="275" t="s">
        <v>2293</v>
      </c>
      <c r="F66" s="274" t="s">
        <v>2030</v>
      </c>
      <c r="G66" s="274" t="s">
        <v>2251</v>
      </c>
    </row>
    <row r="67" spans="1:7" ht="17">
      <c r="A67" s="75" t="s">
        <v>2349</v>
      </c>
      <c r="B67" s="75"/>
      <c r="C67" s="75"/>
      <c r="D67" s="75"/>
      <c r="E67" s="76"/>
      <c r="F67" s="75"/>
      <c r="G67" s="75"/>
    </row>
    <row r="68" spans="1:7">
      <c r="A68" s="56" t="s">
        <v>2247</v>
      </c>
      <c r="B68" s="56" t="s">
        <v>2248</v>
      </c>
      <c r="C68" s="56"/>
      <c r="D68" s="56" t="s">
        <v>2249</v>
      </c>
      <c r="E68" s="74"/>
      <c r="F68" s="56" t="s">
        <v>2250</v>
      </c>
      <c r="G68" s="56" t="s">
        <v>2251</v>
      </c>
    </row>
    <row r="69" spans="1:7">
      <c r="A69" s="56" t="s">
        <v>2252</v>
      </c>
      <c r="B69" s="56" t="s">
        <v>2248</v>
      </c>
      <c r="C69" s="56"/>
      <c r="D69" s="56" t="s">
        <v>2249</v>
      </c>
      <c r="E69" s="74"/>
      <c r="F69" s="56" t="s">
        <v>2250</v>
      </c>
      <c r="G69" s="56" t="s">
        <v>2251</v>
      </c>
    </row>
    <row r="70" spans="1:7" ht="17">
      <c r="A70" s="75" t="s">
        <v>2350</v>
      </c>
      <c r="B70" s="75"/>
      <c r="C70" s="75"/>
      <c r="D70" s="75"/>
      <c r="E70" s="76"/>
      <c r="F70" s="75"/>
      <c r="G70" s="75"/>
    </row>
    <row r="71" spans="1:7" ht="17">
      <c r="A71" s="274" t="s">
        <v>2254</v>
      </c>
      <c r="B71" s="274" t="s">
        <v>2248</v>
      </c>
      <c r="C71" s="274"/>
      <c r="D71" s="274" t="s">
        <v>2249</v>
      </c>
      <c r="E71" s="275"/>
      <c r="F71" s="274" t="s">
        <v>2255</v>
      </c>
      <c r="G71" s="274" t="s">
        <v>2251</v>
      </c>
    </row>
    <row r="72" spans="1:7" ht="17">
      <c r="A72" s="274" t="s">
        <v>2256</v>
      </c>
      <c r="B72" s="274" t="s">
        <v>2257</v>
      </c>
      <c r="C72" s="274"/>
      <c r="D72" s="274" t="s">
        <v>2249</v>
      </c>
      <c r="E72" s="275"/>
      <c r="F72" s="274" t="s">
        <v>2250</v>
      </c>
      <c r="G72" s="274" t="s">
        <v>2251</v>
      </c>
    </row>
    <row r="73" spans="1:7">
      <c r="A73" s="56" t="s">
        <v>2258</v>
      </c>
      <c r="B73" s="56" t="s">
        <v>2257</v>
      </c>
      <c r="C73" s="56"/>
      <c r="D73" s="56" t="s">
        <v>2249</v>
      </c>
      <c r="E73" s="74"/>
      <c r="F73" s="56" t="s">
        <v>2250</v>
      </c>
      <c r="G73" s="56" t="s">
        <v>2251</v>
      </c>
    </row>
    <row r="74" spans="1:7">
      <c r="A74" s="56" t="s">
        <v>2259</v>
      </c>
      <c r="B74" s="56" t="s">
        <v>2248</v>
      </c>
      <c r="C74" s="56"/>
      <c r="D74" s="56" t="s">
        <v>2249</v>
      </c>
      <c r="E74" s="74"/>
      <c r="F74" s="56" t="s">
        <v>2255</v>
      </c>
      <c r="G74" s="56" t="s">
        <v>2251</v>
      </c>
    </row>
    <row r="75" spans="1:7">
      <c r="A75" s="56" t="s">
        <v>2260</v>
      </c>
      <c r="B75" s="56" t="s">
        <v>2257</v>
      </c>
      <c r="C75" s="56"/>
      <c r="D75" s="56" t="s">
        <v>2249</v>
      </c>
      <c r="E75" s="74"/>
      <c r="F75" s="56" t="s">
        <v>2250</v>
      </c>
      <c r="G75" s="56" t="s">
        <v>2251</v>
      </c>
    </row>
    <row r="76" spans="1:7" ht="17">
      <c r="A76" s="274" t="s">
        <v>2261</v>
      </c>
      <c r="B76" s="274" t="s">
        <v>2248</v>
      </c>
      <c r="C76" s="274"/>
      <c r="D76" s="274" t="s">
        <v>2249</v>
      </c>
      <c r="E76" s="275"/>
      <c r="F76" s="274" t="s">
        <v>2250</v>
      </c>
      <c r="G76" s="274" t="s">
        <v>2251</v>
      </c>
    </row>
    <row r="77" spans="1:7" ht="17">
      <c r="A77" s="274" t="s">
        <v>2262</v>
      </c>
      <c r="B77" s="274" t="s">
        <v>2248</v>
      </c>
      <c r="C77" s="274"/>
      <c r="D77" s="274" t="s">
        <v>2249</v>
      </c>
      <c r="E77" s="275"/>
      <c r="F77" s="274" t="s">
        <v>2255</v>
      </c>
      <c r="G77" s="274" t="s">
        <v>2251</v>
      </c>
    </row>
    <row r="78" spans="1:7">
      <c r="A78" s="56" t="s">
        <v>2263</v>
      </c>
      <c r="B78" s="56" t="s">
        <v>2248</v>
      </c>
      <c r="C78" s="56"/>
      <c r="D78" s="56" t="s">
        <v>2249</v>
      </c>
      <c r="E78" s="74"/>
      <c r="F78" s="56" t="s">
        <v>2255</v>
      </c>
      <c r="G78" s="56" t="s">
        <v>2251</v>
      </c>
    </row>
    <row r="79" spans="1:7">
      <c r="A79" s="56" t="s">
        <v>2264</v>
      </c>
      <c r="B79" s="56" t="s">
        <v>2248</v>
      </c>
      <c r="C79" s="56"/>
      <c r="D79" s="56" t="s">
        <v>2249</v>
      </c>
      <c r="E79" s="74"/>
      <c r="F79" s="56" t="s">
        <v>2255</v>
      </c>
      <c r="G79" s="56" t="s">
        <v>2251</v>
      </c>
    </row>
    <row r="80" spans="1:7" ht="17">
      <c r="A80" s="274" t="s">
        <v>2265</v>
      </c>
      <c r="B80" s="274" t="s">
        <v>2257</v>
      </c>
      <c r="C80" s="274"/>
      <c r="D80" s="274" t="s">
        <v>2249</v>
      </c>
      <c r="E80" s="275"/>
      <c r="F80" s="274" t="s">
        <v>2255</v>
      </c>
      <c r="G80" s="274" t="s">
        <v>2251</v>
      </c>
    </row>
    <row r="81" spans="1:7" ht="17">
      <c r="A81" s="75" t="s">
        <v>2351</v>
      </c>
      <c r="B81" s="75"/>
      <c r="C81" s="75"/>
      <c r="D81" s="75"/>
      <c r="E81" s="76"/>
      <c r="F81" s="75"/>
      <c r="G81" s="75"/>
    </row>
    <row r="82" spans="1:7" ht="17">
      <c r="A82" s="274" t="s">
        <v>2267</v>
      </c>
      <c r="B82" s="274" t="s">
        <v>2248</v>
      </c>
      <c r="C82" s="274"/>
      <c r="D82" s="274" t="s">
        <v>2249</v>
      </c>
      <c r="E82" s="275"/>
      <c r="F82" s="274" t="s">
        <v>2250</v>
      </c>
      <c r="G82" s="274" t="s">
        <v>2251</v>
      </c>
    </row>
    <row r="83" spans="1:7" ht="17">
      <c r="A83" s="75" t="s">
        <v>2352</v>
      </c>
      <c r="B83" s="75"/>
      <c r="C83" s="75"/>
      <c r="D83" s="75"/>
      <c r="E83" s="76"/>
      <c r="F83" s="75"/>
      <c r="G83" s="75"/>
    </row>
    <row r="84" spans="1:7" ht="17">
      <c r="A84" s="274" t="s">
        <v>2269</v>
      </c>
      <c r="B84" s="274" t="s">
        <v>2248</v>
      </c>
      <c r="C84" s="274"/>
      <c r="D84" s="274" t="s">
        <v>2249</v>
      </c>
      <c r="E84" s="275"/>
      <c r="F84" s="274" t="s">
        <v>2250</v>
      </c>
      <c r="G84" s="274" t="s">
        <v>2251</v>
      </c>
    </row>
    <row r="85" spans="1:7">
      <c r="A85" s="56" t="s">
        <v>2270</v>
      </c>
      <c r="B85" s="56" t="s">
        <v>2248</v>
      </c>
      <c r="C85" s="56"/>
      <c r="D85" s="56" t="s">
        <v>2249</v>
      </c>
      <c r="E85" s="74"/>
      <c r="F85" s="56" t="s">
        <v>2250</v>
      </c>
      <c r="G85" s="56" t="s">
        <v>2251</v>
      </c>
    </row>
    <row r="86" spans="1:7" ht="17">
      <c r="A86" s="274" t="s">
        <v>2271</v>
      </c>
      <c r="B86" s="274" t="s">
        <v>2248</v>
      </c>
      <c r="C86" s="274"/>
      <c r="D86" s="274" t="s">
        <v>2249</v>
      </c>
      <c r="E86" s="275"/>
      <c r="F86" s="274" t="s">
        <v>2250</v>
      </c>
      <c r="G86" s="274" t="s">
        <v>2251</v>
      </c>
    </row>
    <row r="87" spans="1:7">
      <c r="A87" s="56" t="s">
        <v>2272</v>
      </c>
      <c r="B87" s="56" t="s">
        <v>2248</v>
      </c>
      <c r="C87" s="56"/>
      <c r="D87" s="56" t="s">
        <v>2249</v>
      </c>
      <c r="E87" s="74"/>
      <c r="F87" s="56" t="s">
        <v>2250</v>
      </c>
      <c r="G87" s="56" t="s">
        <v>2251</v>
      </c>
    </row>
    <row r="88" spans="1:7" ht="17">
      <c r="A88" s="274" t="s">
        <v>2273</v>
      </c>
      <c r="B88" s="274" t="s">
        <v>2248</v>
      </c>
      <c r="C88" s="274"/>
      <c r="D88" s="274" t="s">
        <v>2249</v>
      </c>
      <c r="E88" s="275"/>
      <c r="F88" s="274" t="s">
        <v>2250</v>
      </c>
      <c r="G88" s="274" t="s">
        <v>2251</v>
      </c>
    </row>
    <row r="89" spans="1:7">
      <c r="A89" s="56" t="s">
        <v>2274</v>
      </c>
      <c r="B89" s="56" t="s">
        <v>2248</v>
      </c>
      <c r="C89" s="56"/>
      <c r="D89" s="56" t="s">
        <v>2249</v>
      </c>
      <c r="E89" s="74"/>
      <c r="F89" s="74" t="s">
        <v>2250</v>
      </c>
      <c r="G89" s="56" t="s">
        <v>2251</v>
      </c>
    </row>
    <row r="90" spans="1:7">
      <c r="A90" s="56" t="s">
        <v>2275</v>
      </c>
      <c r="B90" s="56" t="s">
        <v>2248</v>
      </c>
      <c r="C90" s="56"/>
      <c r="D90" s="56" t="s">
        <v>2249</v>
      </c>
      <c r="E90" s="74"/>
      <c r="F90" s="56" t="s">
        <v>2250</v>
      </c>
      <c r="G90" s="56" t="s">
        <v>2251</v>
      </c>
    </row>
    <row r="91" spans="1:7" ht="17">
      <c r="A91" s="274" t="s">
        <v>2276</v>
      </c>
      <c r="B91" s="274" t="s">
        <v>2248</v>
      </c>
      <c r="C91" s="274"/>
      <c r="D91" s="274" t="s">
        <v>2249</v>
      </c>
      <c r="E91" s="275"/>
      <c r="F91" s="274" t="s">
        <v>2250</v>
      </c>
      <c r="G91" s="274" t="s">
        <v>2251</v>
      </c>
    </row>
    <row r="92" spans="1:7" ht="17">
      <c r="A92" s="75" t="s">
        <v>2353</v>
      </c>
      <c r="B92" s="75"/>
      <c r="C92" s="75"/>
      <c r="D92" s="75"/>
      <c r="E92" s="76"/>
      <c r="F92" s="75"/>
      <c r="G92" s="75"/>
    </row>
    <row r="93" spans="1:7" ht="17">
      <c r="A93" s="274" t="s">
        <v>2278</v>
      </c>
      <c r="B93" s="274" t="s">
        <v>2279</v>
      </c>
      <c r="C93" s="274"/>
      <c r="D93" s="274" t="s">
        <v>2249</v>
      </c>
      <c r="E93" s="275"/>
      <c r="F93" s="274" t="s">
        <v>2280</v>
      </c>
      <c r="G93" s="274" t="s">
        <v>2251</v>
      </c>
    </row>
    <row r="94" spans="1:7" ht="17">
      <c r="A94" s="274" t="s">
        <v>2281</v>
      </c>
      <c r="B94" s="274" t="s">
        <v>2248</v>
      </c>
      <c r="C94" s="274"/>
      <c r="D94" s="274" t="s">
        <v>2249</v>
      </c>
      <c r="E94" s="275"/>
      <c r="F94" s="274" t="s">
        <v>2250</v>
      </c>
      <c r="G94" s="274" t="s">
        <v>2251</v>
      </c>
    </row>
    <row r="95" spans="1:7" ht="17">
      <c r="A95" s="75" t="s">
        <v>2354</v>
      </c>
      <c r="B95" s="75"/>
      <c r="C95" s="75"/>
      <c r="D95" s="75"/>
      <c r="E95" s="76"/>
      <c r="F95" s="75"/>
      <c r="G95" s="75"/>
    </row>
    <row r="96" spans="1:7" ht="17">
      <c r="A96" s="274" t="s">
        <v>2355</v>
      </c>
      <c r="B96" s="274" t="s">
        <v>2356</v>
      </c>
      <c r="C96" s="274" t="s">
        <v>1565</v>
      </c>
      <c r="D96" s="274" t="s">
        <v>2357</v>
      </c>
      <c r="E96" s="275" t="s">
        <v>552</v>
      </c>
      <c r="F96" s="274" t="s">
        <v>2050</v>
      </c>
      <c r="G96" s="274" t="s">
        <v>2358</v>
      </c>
    </row>
    <row r="97" spans="1:7" ht="17">
      <c r="A97" s="75" t="s">
        <v>2359</v>
      </c>
      <c r="B97" s="75"/>
      <c r="C97" s="75"/>
      <c r="D97" s="75"/>
      <c r="E97" s="76"/>
      <c r="F97" s="75"/>
      <c r="G97" s="75"/>
    </row>
    <row r="98" spans="1:7">
      <c r="A98" s="56" t="s">
        <v>2290</v>
      </c>
      <c r="B98" s="56" t="s">
        <v>2291</v>
      </c>
      <c r="C98" s="56" t="s">
        <v>2292</v>
      </c>
      <c r="D98" s="56" t="s">
        <v>2357</v>
      </c>
      <c r="E98" s="74" t="s">
        <v>2360</v>
      </c>
      <c r="F98" s="56" t="s">
        <v>2058</v>
      </c>
      <c r="G98" s="56" t="s">
        <v>2251</v>
      </c>
    </row>
    <row r="99" spans="1:7" ht="17">
      <c r="A99" s="75" t="s">
        <v>2361</v>
      </c>
      <c r="B99" s="75"/>
      <c r="C99" s="75"/>
      <c r="D99" s="75"/>
      <c r="E99" s="76"/>
      <c r="F99" s="75"/>
      <c r="G99" s="75"/>
    </row>
    <row r="100" spans="1:7" ht="17">
      <c r="A100" s="274" t="s">
        <v>2362</v>
      </c>
      <c r="B100" s="274" t="s">
        <v>2363</v>
      </c>
      <c r="C100" s="274" t="s">
        <v>2364</v>
      </c>
      <c r="D100" s="274" t="s">
        <v>2357</v>
      </c>
      <c r="E100" s="275" t="s">
        <v>2365</v>
      </c>
      <c r="F100" s="274" t="s">
        <v>2054</v>
      </c>
      <c r="G100" s="274" t="s">
        <v>2251</v>
      </c>
    </row>
    <row r="101" spans="1:7" ht="17">
      <c r="A101" s="75" t="s">
        <v>2366</v>
      </c>
      <c r="B101" s="75"/>
      <c r="C101" s="75"/>
      <c r="D101" s="75"/>
      <c r="E101" s="76"/>
      <c r="F101" s="75"/>
      <c r="G101" s="75"/>
    </row>
    <row r="102" spans="1:7" ht="17">
      <c r="A102" s="274" t="s">
        <v>2367</v>
      </c>
      <c r="B102" s="274" t="s">
        <v>2325</v>
      </c>
      <c r="C102" s="274" t="s">
        <v>2368</v>
      </c>
      <c r="D102" s="274" t="s">
        <v>2357</v>
      </c>
      <c r="E102" s="275" t="s">
        <v>2365</v>
      </c>
      <c r="F102" s="274" t="s">
        <v>2054</v>
      </c>
      <c r="G102" s="274" t="s">
        <v>2251</v>
      </c>
    </row>
    <row r="103" spans="1:7" ht="17">
      <c r="A103" s="274" t="s">
        <v>2369</v>
      </c>
      <c r="B103" s="274"/>
      <c r="C103" s="274" t="s">
        <v>552</v>
      </c>
      <c r="D103" s="274" t="s">
        <v>2357</v>
      </c>
      <c r="E103" s="275" t="s">
        <v>552</v>
      </c>
      <c r="F103" s="274" t="s">
        <v>2050</v>
      </c>
      <c r="G103" s="274" t="s">
        <v>2370</v>
      </c>
    </row>
    <row r="104" spans="1:7" ht="17">
      <c r="A104" s="75" t="s">
        <v>2371</v>
      </c>
      <c r="B104" s="75"/>
      <c r="C104" s="75"/>
      <c r="D104" s="75"/>
      <c r="E104" s="76"/>
      <c r="F104" s="75"/>
      <c r="G104" s="75"/>
    </row>
    <row r="105" spans="1:7">
      <c r="A105" s="56" t="s">
        <v>2295</v>
      </c>
      <c r="B105" s="56" t="s">
        <v>2296</v>
      </c>
      <c r="C105" s="56" t="s">
        <v>2297</v>
      </c>
      <c r="D105" s="56" t="s">
        <v>2357</v>
      </c>
      <c r="E105" s="74" t="s">
        <v>2360</v>
      </c>
      <c r="F105" s="56" t="s">
        <v>2058</v>
      </c>
      <c r="G105" s="56" t="s">
        <v>2251</v>
      </c>
    </row>
    <row r="106" spans="1:7" ht="17">
      <c r="A106" s="274" t="s">
        <v>2298</v>
      </c>
      <c r="B106" s="274" t="s">
        <v>2296</v>
      </c>
      <c r="C106" s="274" t="s">
        <v>2292</v>
      </c>
      <c r="D106" s="274" t="s">
        <v>2357</v>
      </c>
      <c r="E106" s="275" t="s">
        <v>2360</v>
      </c>
      <c r="F106" s="274" t="s">
        <v>2058</v>
      </c>
      <c r="G106" s="274" t="s">
        <v>2251</v>
      </c>
    </row>
    <row r="107" spans="1:7" ht="17">
      <c r="A107" s="274" t="s">
        <v>2299</v>
      </c>
      <c r="B107" s="274" t="s">
        <v>2296</v>
      </c>
      <c r="C107" s="274" t="s">
        <v>2292</v>
      </c>
      <c r="D107" s="274" t="s">
        <v>2357</v>
      </c>
      <c r="E107" s="275" t="s">
        <v>2360</v>
      </c>
      <c r="F107" s="274" t="s">
        <v>2058</v>
      </c>
      <c r="G107" s="274" t="s">
        <v>2251</v>
      </c>
    </row>
    <row r="108" spans="1:7">
      <c r="A108" s="56" t="s">
        <v>2300</v>
      </c>
      <c r="B108" s="56" t="s">
        <v>2301</v>
      </c>
      <c r="C108" s="56" t="s">
        <v>2292</v>
      </c>
      <c r="D108" s="56" t="s">
        <v>2357</v>
      </c>
      <c r="E108" s="74" t="s">
        <v>2360</v>
      </c>
      <c r="F108" s="56" t="s">
        <v>2058</v>
      </c>
      <c r="G108" s="56" t="s">
        <v>2251</v>
      </c>
    </row>
    <row r="109" spans="1:7" ht="17">
      <c r="A109" s="274" t="s">
        <v>2302</v>
      </c>
      <c r="B109" s="274"/>
      <c r="C109" s="274" t="s">
        <v>2292</v>
      </c>
      <c r="D109" s="274" t="s">
        <v>2357</v>
      </c>
      <c r="E109" s="275" t="s">
        <v>2360</v>
      </c>
      <c r="F109" s="274" t="s">
        <v>2058</v>
      </c>
      <c r="G109" s="274" t="s">
        <v>2251</v>
      </c>
    </row>
    <row r="110" spans="1:7" ht="17">
      <c r="A110" s="274" t="s">
        <v>2303</v>
      </c>
      <c r="B110" s="274"/>
      <c r="C110" s="274" t="s">
        <v>2292</v>
      </c>
      <c r="D110" s="274" t="s">
        <v>2357</v>
      </c>
      <c r="E110" s="275" t="s">
        <v>2360</v>
      </c>
      <c r="F110" s="274" t="s">
        <v>2058</v>
      </c>
      <c r="G110" s="274" t="s">
        <v>2251</v>
      </c>
    </row>
    <row r="111" spans="1:7">
      <c r="A111" s="56" t="s">
        <v>2304</v>
      </c>
      <c r="B111" s="56"/>
      <c r="C111" s="56" t="s">
        <v>2292</v>
      </c>
      <c r="D111" s="56" t="s">
        <v>2357</v>
      </c>
      <c r="E111" s="74" t="s">
        <v>2360</v>
      </c>
      <c r="F111" s="56" t="s">
        <v>2058</v>
      </c>
      <c r="G111" s="56" t="s">
        <v>2251</v>
      </c>
    </row>
    <row r="112" spans="1:7" ht="17">
      <c r="A112" s="75" t="s">
        <v>2372</v>
      </c>
      <c r="B112" s="75"/>
      <c r="C112" s="75"/>
      <c r="D112" s="75"/>
      <c r="E112" s="76"/>
      <c r="F112" s="75"/>
      <c r="G112" s="75"/>
    </row>
    <row r="113" spans="1:7">
      <c r="A113" s="56" t="s">
        <v>2310</v>
      </c>
      <c r="B113" s="56" t="s">
        <v>2291</v>
      </c>
      <c r="C113" s="56" t="s">
        <v>2311</v>
      </c>
      <c r="D113" s="56" t="s">
        <v>2357</v>
      </c>
      <c r="E113" s="74" t="s">
        <v>2373</v>
      </c>
      <c r="F113" s="56" t="s">
        <v>2058</v>
      </c>
      <c r="G113" s="56" t="s">
        <v>2251</v>
      </c>
    </row>
    <row r="114" spans="1:7">
      <c r="A114" s="56" t="s">
        <v>2313</v>
      </c>
      <c r="B114" s="56" t="s">
        <v>2291</v>
      </c>
      <c r="C114" s="56" t="s">
        <v>2292</v>
      </c>
      <c r="D114" s="56" t="s">
        <v>2357</v>
      </c>
      <c r="E114" s="74" t="s">
        <v>2360</v>
      </c>
      <c r="F114" s="56" t="s">
        <v>2058</v>
      </c>
      <c r="G114" s="56" t="s">
        <v>2251</v>
      </c>
    </row>
    <row r="115" spans="1:7" ht="17">
      <c r="A115" s="274" t="s">
        <v>2314</v>
      </c>
      <c r="B115" s="274" t="s">
        <v>2291</v>
      </c>
      <c r="C115" s="274" t="s">
        <v>2292</v>
      </c>
      <c r="D115" s="274" t="s">
        <v>2357</v>
      </c>
      <c r="E115" s="275" t="s">
        <v>2360</v>
      </c>
      <c r="F115" s="274" t="s">
        <v>2058</v>
      </c>
      <c r="G115" s="274" t="s">
        <v>2251</v>
      </c>
    </row>
    <row r="116" spans="1:7" ht="17">
      <c r="A116" s="75" t="s">
        <v>2374</v>
      </c>
      <c r="B116" s="75"/>
      <c r="C116" s="75"/>
      <c r="D116" s="75"/>
      <c r="E116" s="76"/>
      <c r="F116" s="75"/>
      <c r="G116" s="75"/>
    </row>
    <row r="117" spans="1:7" ht="17">
      <c r="A117" s="274" t="s">
        <v>2375</v>
      </c>
      <c r="B117" s="274"/>
      <c r="C117" s="274" t="s">
        <v>2376</v>
      </c>
      <c r="D117" s="274" t="s">
        <v>2357</v>
      </c>
      <c r="E117" s="275" t="s">
        <v>552</v>
      </c>
      <c r="F117" s="274" t="s">
        <v>2050</v>
      </c>
      <c r="G117" s="274" t="s">
        <v>2251</v>
      </c>
    </row>
    <row r="118" spans="1:7" ht="17">
      <c r="A118" s="274" t="s">
        <v>2316</v>
      </c>
      <c r="B118" s="274" t="s">
        <v>2291</v>
      </c>
      <c r="C118" s="274" t="s">
        <v>2292</v>
      </c>
      <c r="D118" s="274" t="s">
        <v>2357</v>
      </c>
      <c r="E118" s="275" t="s">
        <v>2360</v>
      </c>
      <c r="F118" s="274" t="s">
        <v>2058</v>
      </c>
      <c r="G118" s="274" t="s">
        <v>2251</v>
      </c>
    </row>
    <row r="119" spans="1:7" ht="17">
      <c r="A119" s="75" t="s">
        <v>2377</v>
      </c>
      <c r="B119" s="75"/>
      <c r="C119" s="75"/>
      <c r="D119" s="75"/>
      <c r="E119" s="76"/>
      <c r="F119" s="75"/>
      <c r="G119" s="75"/>
    </row>
    <row r="120" spans="1:7">
      <c r="A120" s="56" t="s">
        <v>2378</v>
      </c>
      <c r="B120" s="56" t="s">
        <v>2379</v>
      </c>
      <c r="C120" s="56" t="s">
        <v>552</v>
      </c>
      <c r="D120" s="56" t="s">
        <v>2357</v>
      </c>
      <c r="E120" s="74" t="s">
        <v>552</v>
      </c>
      <c r="F120" s="56" t="s">
        <v>2050</v>
      </c>
      <c r="G120" s="56" t="s">
        <v>2380</v>
      </c>
    </row>
    <row r="121" spans="1:7">
      <c r="A121" s="56" t="s">
        <v>2381</v>
      </c>
      <c r="B121" s="56" t="s">
        <v>2382</v>
      </c>
      <c r="C121" s="56" t="s">
        <v>2383</v>
      </c>
      <c r="D121" s="56" t="s">
        <v>2357</v>
      </c>
      <c r="E121" s="74" t="s">
        <v>552</v>
      </c>
      <c r="F121" s="56" t="s">
        <v>2050</v>
      </c>
      <c r="G121" s="56" t="s">
        <v>2384</v>
      </c>
    </row>
    <row r="122" spans="1:7" ht="17">
      <c r="A122" s="274" t="s">
        <v>2324</v>
      </c>
      <c r="B122" s="274" t="s">
        <v>2325</v>
      </c>
      <c r="C122" s="274"/>
      <c r="D122" s="274" t="s">
        <v>2249</v>
      </c>
      <c r="E122" s="275"/>
      <c r="F122" s="274" t="s">
        <v>2326</v>
      </c>
      <c r="G122" s="274" t="s">
        <v>2251</v>
      </c>
    </row>
    <row r="123" spans="1:7" ht="17">
      <c r="A123" s="274" t="s">
        <v>2327</v>
      </c>
      <c r="B123" s="274" t="s">
        <v>2325</v>
      </c>
      <c r="C123" s="274"/>
      <c r="D123" s="274" t="s">
        <v>2249</v>
      </c>
      <c r="E123" s="275"/>
      <c r="F123" s="274" t="s">
        <v>2326</v>
      </c>
      <c r="G123" s="274" t="s">
        <v>2251</v>
      </c>
    </row>
    <row r="124" spans="1:7" ht="17">
      <c r="A124" s="274" t="s">
        <v>2328</v>
      </c>
      <c r="B124" s="274" t="s">
        <v>2325</v>
      </c>
      <c r="C124" s="274" t="s">
        <v>2329</v>
      </c>
      <c r="D124" s="274" t="s">
        <v>2249</v>
      </c>
      <c r="E124" s="275"/>
      <c r="F124" s="274" t="s">
        <v>2330</v>
      </c>
      <c r="G124" s="274" t="s">
        <v>2331</v>
      </c>
    </row>
    <row r="125" spans="1:7" ht="17">
      <c r="A125" s="75" t="s">
        <v>2385</v>
      </c>
      <c r="B125" s="75"/>
      <c r="C125" s="75"/>
      <c r="D125" s="75"/>
      <c r="E125" s="76"/>
      <c r="F125" s="75"/>
      <c r="G125" s="75"/>
    </row>
    <row r="126" spans="1:7">
      <c r="A126" s="56" t="s">
        <v>2334</v>
      </c>
      <c r="B126" s="56" t="s">
        <v>2291</v>
      </c>
      <c r="C126" s="56" t="s">
        <v>2311</v>
      </c>
      <c r="D126" s="56" t="s">
        <v>2249</v>
      </c>
      <c r="E126" s="74"/>
      <c r="F126" s="56" t="s">
        <v>2335</v>
      </c>
      <c r="G126" s="56" t="s">
        <v>2335</v>
      </c>
    </row>
    <row r="127" spans="1:7">
      <c r="A127" s="56" t="s">
        <v>2334</v>
      </c>
      <c r="B127" s="56" t="s">
        <v>2291</v>
      </c>
      <c r="C127" s="56" t="s">
        <v>2311</v>
      </c>
      <c r="D127" s="56" t="s">
        <v>2357</v>
      </c>
      <c r="E127" s="74" t="s">
        <v>2373</v>
      </c>
      <c r="F127" s="56" t="s">
        <v>2058</v>
      </c>
      <c r="G127" s="56" t="s">
        <v>2335</v>
      </c>
    </row>
    <row r="128" spans="1:7">
      <c r="A128" s="56" t="s">
        <v>2336</v>
      </c>
      <c r="B128" s="56" t="s">
        <v>2291</v>
      </c>
      <c r="C128" s="56" t="s">
        <v>552</v>
      </c>
      <c r="D128" s="56" t="s">
        <v>2249</v>
      </c>
      <c r="E128" s="74"/>
      <c r="F128" s="56" t="s">
        <v>2337</v>
      </c>
      <c r="G128" s="56" t="s">
        <v>2337</v>
      </c>
    </row>
    <row r="129" spans="1:7" ht="17">
      <c r="A129" s="274" t="s">
        <v>2336</v>
      </c>
      <c r="B129" s="274" t="s">
        <v>2291</v>
      </c>
      <c r="C129" s="274" t="s">
        <v>552</v>
      </c>
      <c r="D129" s="274" t="s">
        <v>2357</v>
      </c>
      <c r="E129" s="275" t="s">
        <v>552</v>
      </c>
      <c r="F129" s="274" t="s">
        <v>2050</v>
      </c>
      <c r="G129" s="274" t="s">
        <v>2337</v>
      </c>
    </row>
    <row r="130" spans="1:7" ht="17">
      <c r="A130" s="274" t="s">
        <v>2386</v>
      </c>
      <c r="B130" s="274" t="s">
        <v>2291</v>
      </c>
      <c r="C130" s="274" t="s">
        <v>552</v>
      </c>
      <c r="D130" s="274" t="s">
        <v>2357</v>
      </c>
      <c r="E130" s="275" t="s">
        <v>552</v>
      </c>
      <c r="F130" s="274" t="s">
        <v>2050</v>
      </c>
      <c r="G130" s="274" t="s">
        <v>2387</v>
      </c>
    </row>
    <row r="131" spans="1:7" ht="17">
      <c r="A131" s="75" t="s">
        <v>2388</v>
      </c>
      <c r="B131" s="75"/>
      <c r="C131" s="75"/>
      <c r="D131" s="75"/>
      <c r="E131" s="76"/>
      <c r="F131" s="75"/>
      <c r="G131" s="75"/>
    </row>
    <row r="132" spans="1:7">
      <c r="A132" s="56" t="s">
        <v>2389</v>
      </c>
      <c r="B132" s="56"/>
      <c r="C132" s="56" t="s">
        <v>552</v>
      </c>
      <c r="D132" s="56" t="s">
        <v>2357</v>
      </c>
      <c r="E132" s="74" t="s">
        <v>552</v>
      </c>
      <c r="F132" s="56" t="s">
        <v>2050</v>
      </c>
      <c r="G132" s="56" t="s">
        <v>2251</v>
      </c>
    </row>
    <row r="133" spans="1:7" ht="17">
      <c r="A133" s="75" t="s">
        <v>2390</v>
      </c>
      <c r="B133" s="75"/>
      <c r="C133" s="75"/>
      <c r="D133" s="75"/>
      <c r="E133" s="76"/>
      <c r="F133" s="75"/>
      <c r="G133" s="75"/>
    </row>
    <row r="134" spans="1:7" ht="17">
      <c r="A134" s="274" t="s">
        <v>2341</v>
      </c>
      <c r="B134" s="274" t="s">
        <v>2342</v>
      </c>
      <c r="C134" s="274" t="s">
        <v>2343</v>
      </c>
      <c r="D134" s="274" t="s">
        <v>2249</v>
      </c>
      <c r="E134" s="275"/>
      <c r="F134" s="274" t="s">
        <v>2250</v>
      </c>
      <c r="G134" s="274" t="s">
        <v>2344</v>
      </c>
    </row>
    <row r="135" spans="1:7" ht="17">
      <c r="A135" s="274" t="s">
        <v>2348</v>
      </c>
      <c r="B135" s="274"/>
      <c r="C135" s="274" t="s">
        <v>2292</v>
      </c>
      <c r="D135" s="274" t="s">
        <v>2357</v>
      </c>
      <c r="E135" s="275" t="s">
        <v>2360</v>
      </c>
      <c r="F135" s="274" t="s">
        <v>2058</v>
      </c>
      <c r="G135" s="274" t="s">
        <v>2251</v>
      </c>
    </row>
    <row r="136" spans="1:7" ht="17">
      <c r="A136" s="75" t="s">
        <v>2391</v>
      </c>
      <c r="B136" s="75"/>
      <c r="C136" s="75"/>
      <c r="D136" s="75"/>
      <c r="E136" s="76"/>
      <c r="F136" s="75"/>
      <c r="G136" s="75"/>
    </row>
    <row r="137" spans="1:7" ht="17">
      <c r="A137" s="274" t="s">
        <v>2247</v>
      </c>
      <c r="B137" s="274" t="s">
        <v>2248</v>
      </c>
      <c r="C137" s="274"/>
      <c r="D137" s="274" t="s">
        <v>2249</v>
      </c>
      <c r="E137" s="275"/>
      <c r="F137" s="274" t="s">
        <v>2250</v>
      </c>
      <c r="G137" s="274" t="s">
        <v>2251</v>
      </c>
    </row>
    <row r="138" spans="1:7" ht="17">
      <c r="A138" s="274" t="s">
        <v>2252</v>
      </c>
      <c r="B138" s="274" t="s">
        <v>2248</v>
      </c>
      <c r="C138" s="274"/>
      <c r="D138" s="274" t="s">
        <v>2249</v>
      </c>
      <c r="E138" s="275"/>
      <c r="F138" s="274" t="s">
        <v>2250</v>
      </c>
      <c r="G138" s="274" t="s">
        <v>2251</v>
      </c>
    </row>
    <row r="139" spans="1:7" ht="17">
      <c r="A139" s="75" t="s">
        <v>2392</v>
      </c>
      <c r="B139" s="75"/>
      <c r="C139" s="75"/>
      <c r="D139" s="75"/>
      <c r="E139" s="76"/>
      <c r="F139" s="75"/>
      <c r="G139" s="75"/>
    </row>
    <row r="140" spans="1:7" ht="17">
      <c r="A140" s="274" t="s">
        <v>2254</v>
      </c>
      <c r="B140" s="274" t="s">
        <v>2248</v>
      </c>
      <c r="C140" s="274"/>
      <c r="D140" s="274" t="s">
        <v>2249</v>
      </c>
      <c r="E140" s="275"/>
      <c r="F140" s="274" t="s">
        <v>2255</v>
      </c>
      <c r="G140" s="274" t="s">
        <v>2251</v>
      </c>
    </row>
    <row r="141" spans="1:7">
      <c r="A141" s="56" t="s">
        <v>2256</v>
      </c>
      <c r="B141" s="56" t="s">
        <v>2257</v>
      </c>
      <c r="C141" s="56"/>
      <c r="D141" s="56" t="s">
        <v>2249</v>
      </c>
      <c r="E141" s="74"/>
      <c r="F141" s="56" t="s">
        <v>2250</v>
      </c>
      <c r="G141" s="56" t="s">
        <v>2251</v>
      </c>
    </row>
    <row r="142" spans="1:7">
      <c r="A142" s="56" t="s">
        <v>2258</v>
      </c>
      <c r="B142" s="56" t="s">
        <v>2257</v>
      </c>
      <c r="C142" s="56"/>
      <c r="D142" s="56" t="s">
        <v>2249</v>
      </c>
      <c r="E142" s="74"/>
      <c r="F142" s="56" t="s">
        <v>2250</v>
      </c>
      <c r="G142" s="56" t="s">
        <v>2251</v>
      </c>
    </row>
    <row r="143" spans="1:7" ht="17">
      <c r="A143" s="274" t="s">
        <v>2259</v>
      </c>
      <c r="B143" s="274" t="s">
        <v>2248</v>
      </c>
      <c r="C143" s="274"/>
      <c r="D143" s="274" t="s">
        <v>2249</v>
      </c>
      <c r="E143" s="275"/>
      <c r="F143" s="274" t="s">
        <v>2255</v>
      </c>
      <c r="G143" s="274" t="s">
        <v>2251</v>
      </c>
    </row>
    <row r="144" spans="1:7" ht="17">
      <c r="A144" s="274" t="s">
        <v>2260</v>
      </c>
      <c r="B144" s="274" t="s">
        <v>2257</v>
      </c>
      <c r="C144" s="274"/>
      <c r="D144" s="274" t="s">
        <v>2249</v>
      </c>
      <c r="E144" s="275"/>
      <c r="F144" s="274" t="s">
        <v>2250</v>
      </c>
      <c r="G144" s="274" t="s">
        <v>2251</v>
      </c>
    </row>
    <row r="145" spans="1:7" ht="17">
      <c r="A145" s="274" t="s">
        <v>2261</v>
      </c>
      <c r="B145" s="274" t="s">
        <v>2248</v>
      </c>
      <c r="C145" s="274"/>
      <c r="D145" s="274" t="s">
        <v>2249</v>
      </c>
      <c r="E145" s="275"/>
      <c r="F145" s="274" t="s">
        <v>2250</v>
      </c>
      <c r="G145" s="274" t="s">
        <v>2251</v>
      </c>
    </row>
    <row r="146" spans="1:7" ht="17">
      <c r="A146" s="274" t="s">
        <v>2262</v>
      </c>
      <c r="B146" s="274" t="s">
        <v>2248</v>
      </c>
      <c r="C146" s="274"/>
      <c r="D146" s="274" t="s">
        <v>2249</v>
      </c>
      <c r="E146" s="275"/>
      <c r="F146" s="274" t="s">
        <v>2255</v>
      </c>
      <c r="G146" s="274" t="s">
        <v>2251</v>
      </c>
    </row>
    <row r="147" spans="1:7">
      <c r="A147" s="56" t="s">
        <v>2263</v>
      </c>
      <c r="B147" s="56" t="s">
        <v>2248</v>
      </c>
      <c r="C147" s="56"/>
      <c r="D147" s="56" t="s">
        <v>2249</v>
      </c>
      <c r="E147" s="74"/>
      <c r="F147" s="56" t="s">
        <v>2255</v>
      </c>
      <c r="G147" s="56" t="s">
        <v>2251</v>
      </c>
    </row>
    <row r="148" spans="1:7">
      <c r="A148" s="56" t="s">
        <v>2264</v>
      </c>
      <c r="B148" s="56" t="s">
        <v>2248</v>
      </c>
      <c r="C148" s="56"/>
      <c r="D148" s="56" t="s">
        <v>2249</v>
      </c>
      <c r="E148" s="74"/>
      <c r="F148" s="56" t="s">
        <v>2255</v>
      </c>
      <c r="G148" s="56" t="s">
        <v>2251</v>
      </c>
    </row>
    <row r="149" spans="1:7" ht="17">
      <c r="A149" s="274" t="s">
        <v>2265</v>
      </c>
      <c r="B149" s="274" t="s">
        <v>2257</v>
      </c>
      <c r="C149" s="274"/>
      <c r="D149" s="274" t="s">
        <v>2249</v>
      </c>
      <c r="E149" s="275"/>
      <c r="F149" s="274" t="s">
        <v>2255</v>
      </c>
      <c r="G149" s="274" t="s">
        <v>2251</v>
      </c>
    </row>
    <row r="150" spans="1:7" ht="17">
      <c r="A150" s="75" t="s">
        <v>2393</v>
      </c>
      <c r="B150" s="75"/>
      <c r="C150" s="75"/>
      <c r="D150" s="75"/>
      <c r="E150" s="76"/>
      <c r="F150" s="75"/>
      <c r="G150" s="75"/>
    </row>
    <row r="151" spans="1:7" ht="17">
      <c r="A151" s="274" t="s">
        <v>2267</v>
      </c>
      <c r="B151" s="274" t="s">
        <v>2248</v>
      </c>
      <c r="C151" s="274"/>
      <c r="D151" s="274" t="s">
        <v>2249</v>
      </c>
      <c r="E151" s="275"/>
      <c r="F151" s="274" t="s">
        <v>2250</v>
      </c>
      <c r="G151" s="274" t="s">
        <v>2251</v>
      </c>
    </row>
    <row r="152" spans="1:7" ht="17">
      <c r="A152" s="75" t="s">
        <v>2394</v>
      </c>
      <c r="B152" s="75"/>
      <c r="C152" s="75"/>
      <c r="D152" s="75"/>
      <c r="E152" s="76"/>
      <c r="F152" s="75"/>
      <c r="G152" s="75"/>
    </row>
    <row r="153" spans="1:7">
      <c r="A153" s="56" t="s">
        <v>2269</v>
      </c>
      <c r="B153" s="56" t="s">
        <v>2248</v>
      </c>
      <c r="C153" s="56"/>
      <c r="D153" s="56" t="s">
        <v>2249</v>
      </c>
      <c r="E153" s="74"/>
      <c r="F153" s="56" t="s">
        <v>2250</v>
      </c>
      <c r="G153" s="56" t="s">
        <v>2251</v>
      </c>
    </row>
    <row r="154" spans="1:7" ht="17">
      <c r="A154" s="274" t="s">
        <v>2270</v>
      </c>
      <c r="B154" s="274" t="s">
        <v>2248</v>
      </c>
      <c r="C154" s="274"/>
      <c r="D154" s="274" t="s">
        <v>2249</v>
      </c>
      <c r="E154" s="275"/>
      <c r="F154" s="274" t="s">
        <v>2250</v>
      </c>
      <c r="G154" s="274" t="s">
        <v>2251</v>
      </c>
    </row>
    <row r="155" spans="1:7" ht="17">
      <c r="A155" s="274" t="s">
        <v>2271</v>
      </c>
      <c r="B155" s="274" t="s">
        <v>2248</v>
      </c>
      <c r="C155" s="274"/>
      <c r="D155" s="274" t="s">
        <v>2249</v>
      </c>
      <c r="E155" s="275"/>
      <c r="F155" s="274" t="s">
        <v>2250</v>
      </c>
      <c r="G155" s="274" t="s">
        <v>2251</v>
      </c>
    </row>
    <row r="156" spans="1:7" ht="17">
      <c r="A156" s="274" t="s">
        <v>2272</v>
      </c>
      <c r="B156" s="274" t="s">
        <v>2248</v>
      </c>
      <c r="C156" s="274"/>
      <c r="D156" s="274" t="s">
        <v>2249</v>
      </c>
      <c r="E156" s="275"/>
      <c r="F156" s="274" t="s">
        <v>2250</v>
      </c>
      <c r="G156" s="274" t="s">
        <v>2251</v>
      </c>
    </row>
    <row r="157" spans="1:7" ht="17">
      <c r="A157" s="274" t="s">
        <v>2273</v>
      </c>
      <c r="B157" s="274" t="s">
        <v>2248</v>
      </c>
      <c r="C157" s="274"/>
      <c r="D157" s="274" t="s">
        <v>2249</v>
      </c>
      <c r="E157" s="275"/>
      <c r="F157" s="274" t="s">
        <v>2250</v>
      </c>
      <c r="G157" s="274" t="s">
        <v>2251</v>
      </c>
    </row>
    <row r="158" spans="1:7">
      <c r="A158" s="56" t="s">
        <v>2274</v>
      </c>
      <c r="B158" s="56" t="s">
        <v>2248</v>
      </c>
      <c r="C158" s="56"/>
      <c r="D158" s="56" t="s">
        <v>2249</v>
      </c>
      <c r="E158" s="74"/>
      <c r="F158" s="56" t="s">
        <v>2250</v>
      </c>
      <c r="G158" s="56" t="s">
        <v>2251</v>
      </c>
    </row>
    <row r="159" spans="1:7" ht="17">
      <c r="A159" s="274" t="s">
        <v>2275</v>
      </c>
      <c r="B159" s="274" t="s">
        <v>2248</v>
      </c>
      <c r="C159" s="274"/>
      <c r="D159" s="274" t="s">
        <v>2249</v>
      </c>
      <c r="E159" s="275"/>
      <c r="F159" s="274" t="s">
        <v>2250</v>
      </c>
      <c r="G159" s="274" t="s">
        <v>2251</v>
      </c>
    </row>
    <row r="160" spans="1:7" ht="17">
      <c r="A160" s="274" t="s">
        <v>2276</v>
      </c>
      <c r="B160" s="274" t="s">
        <v>2248</v>
      </c>
      <c r="C160" s="274"/>
      <c r="D160" s="274" t="s">
        <v>2249</v>
      </c>
      <c r="E160" s="275"/>
      <c r="F160" s="274" t="s">
        <v>2250</v>
      </c>
      <c r="G160" s="274" t="s">
        <v>2251</v>
      </c>
    </row>
    <row r="161" spans="1:7" ht="17">
      <c r="A161" s="75" t="s">
        <v>2395</v>
      </c>
      <c r="B161" s="75"/>
      <c r="C161" s="75"/>
      <c r="D161" s="75"/>
      <c r="E161" s="76"/>
      <c r="F161" s="75"/>
      <c r="G161" s="75"/>
    </row>
    <row r="162" spans="1:7" ht="17">
      <c r="A162" s="274" t="s">
        <v>2278</v>
      </c>
      <c r="B162" s="274" t="s">
        <v>2279</v>
      </c>
      <c r="C162" s="274"/>
      <c r="D162" s="274" t="s">
        <v>2249</v>
      </c>
      <c r="E162" s="275"/>
      <c r="F162" s="274" t="s">
        <v>2280</v>
      </c>
      <c r="G162" s="274" t="s">
        <v>2251</v>
      </c>
    </row>
    <row r="163" spans="1:7">
      <c r="A163" s="56" t="s">
        <v>2281</v>
      </c>
      <c r="B163" s="56" t="s">
        <v>2248</v>
      </c>
      <c r="C163" s="56"/>
      <c r="D163" s="56" t="s">
        <v>2249</v>
      </c>
      <c r="E163" s="74"/>
      <c r="F163" s="56" t="s">
        <v>2250</v>
      </c>
      <c r="G163" s="56" t="s">
        <v>2251</v>
      </c>
    </row>
    <row r="164" spans="1:7" ht="17">
      <c r="A164" s="75" t="s">
        <v>2396</v>
      </c>
      <c r="B164" s="75"/>
      <c r="C164" s="75"/>
      <c r="D164" s="75"/>
      <c r="E164" s="76"/>
      <c r="F164" s="75"/>
      <c r="G164" s="75"/>
    </row>
    <row r="165" spans="1:7" ht="17">
      <c r="A165" s="274" t="s">
        <v>2355</v>
      </c>
      <c r="B165" s="274" t="s">
        <v>2356</v>
      </c>
      <c r="C165" s="274" t="s">
        <v>1565</v>
      </c>
      <c r="D165" s="274" t="s">
        <v>2397</v>
      </c>
      <c r="E165" s="275" t="s">
        <v>108</v>
      </c>
      <c r="F165" s="274" t="s">
        <v>2081</v>
      </c>
      <c r="G165" s="274" t="s">
        <v>2358</v>
      </c>
    </row>
    <row r="166" spans="1:7">
      <c r="A166" s="56" t="s">
        <v>2398</v>
      </c>
      <c r="B166" s="56"/>
      <c r="C166" s="56" t="s">
        <v>2399</v>
      </c>
      <c r="D166" s="56" t="s">
        <v>2397</v>
      </c>
      <c r="E166" s="74" t="s">
        <v>108</v>
      </c>
      <c r="F166" s="56" t="s">
        <v>2081</v>
      </c>
      <c r="G166" s="56" t="s">
        <v>2251</v>
      </c>
    </row>
    <row r="167" spans="1:7">
      <c r="A167" s="56" t="s">
        <v>2400</v>
      </c>
      <c r="B167" s="56" t="s">
        <v>2284</v>
      </c>
      <c r="C167" s="56" t="s">
        <v>108</v>
      </c>
      <c r="D167" s="56" t="s">
        <v>2397</v>
      </c>
      <c r="E167" s="74" t="s">
        <v>108</v>
      </c>
      <c r="F167" s="56" t="s">
        <v>2081</v>
      </c>
      <c r="G167" s="56" t="s">
        <v>2251</v>
      </c>
    </row>
    <row r="168" spans="1:7" ht="17">
      <c r="A168" s="274" t="s">
        <v>2401</v>
      </c>
      <c r="B168" s="274" t="s">
        <v>2402</v>
      </c>
      <c r="C168" s="274" t="s">
        <v>2403</v>
      </c>
      <c r="D168" s="274" t="s">
        <v>2397</v>
      </c>
      <c r="E168" s="275" t="s">
        <v>2403</v>
      </c>
      <c r="F168" s="274" t="s">
        <v>2081</v>
      </c>
      <c r="G168" s="274" t="s">
        <v>2404</v>
      </c>
    </row>
    <row r="169" spans="1:7" ht="17">
      <c r="A169" s="274" t="s">
        <v>2405</v>
      </c>
      <c r="B169" s="274"/>
      <c r="C169" s="274" t="s">
        <v>108</v>
      </c>
      <c r="D169" s="274" t="s">
        <v>2397</v>
      </c>
      <c r="E169" s="275" t="s">
        <v>108</v>
      </c>
      <c r="F169" s="274" t="s">
        <v>2081</v>
      </c>
      <c r="G169" s="274" t="s">
        <v>2251</v>
      </c>
    </row>
    <row r="170" spans="1:7" ht="17">
      <c r="A170" s="75" t="s">
        <v>2406</v>
      </c>
      <c r="B170" s="75"/>
      <c r="C170" s="75"/>
      <c r="D170" s="75"/>
      <c r="E170" s="76"/>
      <c r="F170" s="75"/>
      <c r="G170" s="75"/>
    </row>
    <row r="171" spans="1:7">
      <c r="A171" s="56" t="s">
        <v>2407</v>
      </c>
      <c r="B171" s="56" t="s">
        <v>2296</v>
      </c>
      <c r="C171" s="56" t="s">
        <v>108</v>
      </c>
      <c r="D171" s="56" t="s">
        <v>2408</v>
      </c>
      <c r="E171" s="74" t="s">
        <v>108</v>
      </c>
      <c r="F171" s="56" t="s">
        <v>2081</v>
      </c>
      <c r="G171" s="56" t="s">
        <v>2251</v>
      </c>
    </row>
    <row r="172" spans="1:7" ht="17">
      <c r="A172" s="274" t="s">
        <v>2409</v>
      </c>
      <c r="B172" s="274" t="s">
        <v>2410</v>
      </c>
      <c r="C172" s="274" t="s">
        <v>108</v>
      </c>
      <c r="D172" s="274" t="s">
        <v>2408</v>
      </c>
      <c r="E172" s="275" t="s">
        <v>108</v>
      </c>
      <c r="F172" s="274" t="s">
        <v>2081</v>
      </c>
      <c r="G172" s="274" t="s">
        <v>2411</v>
      </c>
    </row>
    <row r="173" spans="1:7" ht="17">
      <c r="A173" s="274" t="s">
        <v>2412</v>
      </c>
      <c r="B173" s="274" t="s">
        <v>2410</v>
      </c>
      <c r="C173" s="274" t="s">
        <v>108</v>
      </c>
      <c r="D173" s="274" t="s">
        <v>2408</v>
      </c>
      <c r="E173" s="275" t="s">
        <v>108</v>
      </c>
      <c r="F173" s="274" t="s">
        <v>2081</v>
      </c>
      <c r="G173" s="274" t="s">
        <v>2251</v>
      </c>
    </row>
    <row r="174" spans="1:7" ht="17">
      <c r="A174" s="274" t="s">
        <v>2290</v>
      </c>
      <c r="B174" s="274" t="s">
        <v>2291</v>
      </c>
      <c r="C174" s="274" t="s">
        <v>2292</v>
      </c>
      <c r="D174" s="274" t="s">
        <v>2408</v>
      </c>
      <c r="E174" s="275" t="s">
        <v>2413</v>
      </c>
      <c r="F174" s="274" t="s">
        <v>2082</v>
      </c>
      <c r="G174" s="274" t="s">
        <v>2251</v>
      </c>
    </row>
    <row r="175" spans="1:7">
      <c r="A175" s="56" t="s">
        <v>2414</v>
      </c>
      <c r="B175" s="56" t="s">
        <v>2415</v>
      </c>
      <c r="C175" s="56" t="s">
        <v>108</v>
      </c>
      <c r="D175" s="56" t="s">
        <v>2408</v>
      </c>
      <c r="E175" s="74" t="s">
        <v>108</v>
      </c>
      <c r="F175" s="56" t="s">
        <v>2081</v>
      </c>
      <c r="G175" s="56" t="s">
        <v>2416</v>
      </c>
    </row>
    <row r="176" spans="1:7" ht="17">
      <c r="A176" s="75" t="s">
        <v>2417</v>
      </c>
      <c r="B176" s="75"/>
      <c r="C176" s="75"/>
      <c r="D176" s="75"/>
      <c r="E176" s="76"/>
      <c r="F176" s="75"/>
      <c r="G176" s="75"/>
    </row>
    <row r="177" spans="1:7" ht="17">
      <c r="A177" s="274" t="s">
        <v>2418</v>
      </c>
      <c r="B177" s="274" t="s">
        <v>2363</v>
      </c>
      <c r="C177" s="274" t="s">
        <v>108</v>
      </c>
      <c r="D177" s="274" t="s">
        <v>2408</v>
      </c>
      <c r="E177" s="275" t="s">
        <v>108</v>
      </c>
      <c r="F177" s="275" t="s">
        <v>2081</v>
      </c>
      <c r="G177" s="274" t="s">
        <v>2251</v>
      </c>
    </row>
    <row r="178" spans="1:7" ht="17">
      <c r="A178" s="274" t="s">
        <v>2362</v>
      </c>
      <c r="B178" s="274" t="s">
        <v>2363</v>
      </c>
      <c r="C178" s="274" t="s">
        <v>2364</v>
      </c>
      <c r="D178" s="274" t="s">
        <v>2408</v>
      </c>
      <c r="E178" s="275" t="s">
        <v>2419</v>
      </c>
      <c r="F178" s="274" t="s">
        <v>2081</v>
      </c>
      <c r="G178" s="274" t="s">
        <v>2251</v>
      </c>
    </row>
    <row r="179" spans="1:7" ht="17">
      <c r="A179" s="274" t="s">
        <v>2420</v>
      </c>
      <c r="B179" s="274" t="s">
        <v>2363</v>
      </c>
      <c r="C179" s="274" t="s">
        <v>2421</v>
      </c>
      <c r="D179" s="274" t="s">
        <v>2408</v>
      </c>
      <c r="E179" s="275" t="s">
        <v>108</v>
      </c>
      <c r="F179" s="274" t="s">
        <v>2081</v>
      </c>
      <c r="G179" s="274" t="s">
        <v>2422</v>
      </c>
    </row>
    <row r="180" spans="1:7" ht="17">
      <c r="A180" s="274" t="s">
        <v>2423</v>
      </c>
      <c r="B180" s="274" t="s">
        <v>2363</v>
      </c>
      <c r="C180" s="274" t="s">
        <v>108</v>
      </c>
      <c r="D180" s="274" t="s">
        <v>2408</v>
      </c>
      <c r="E180" s="275" t="s">
        <v>108</v>
      </c>
      <c r="F180" s="274" t="s">
        <v>2081</v>
      </c>
      <c r="G180" s="274" t="s">
        <v>2251</v>
      </c>
    </row>
    <row r="181" spans="1:7" ht="17">
      <c r="A181" s="75" t="s">
        <v>2424</v>
      </c>
      <c r="B181" s="75"/>
      <c r="C181" s="75"/>
      <c r="D181" s="75"/>
      <c r="E181" s="76"/>
      <c r="F181" s="75"/>
      <c r="G181" s="75"/>
    </row>
    <row r="182" spans="1:7" ht="17">
      <c r="A182" s="274" t="s">
        <v>2425</v>
      </c>
      <c r="B182" s="274" t="s">
        <v>2426</v>
      </c>
      <c r="C182" s="274" t="s">
        <v>2427</v>
      </c>
      <c r="D182" s="274" t="s">
        <v>2408</v>
      </c>
      <c r="E182" s="275" t="s">
        <v>108</v>
      </c>
      <c r="F182" s="274" t="s">
        <v>2081</v>
      </c>
      <c r="G182" s="274" t="s">
        <v>2251</v>
      </c>
    </row>
    <row r="183" spans="1:7">
      <c r="A183" s="56" t="s">
        <v>2428</v>
      </c>
      <c r="B183" s="56" t="s">
        <v>2426</v>
      </c>
      <c r="C183" s="56" t="s">
        <v>2429</v>
      </c>
      <c r="D183" s="56" t="s">
        <v>2408</v>
      </c>
      <c r="E183" s="74" t="s">
        <v>108</v>
      </c>
      <c r="F183" s="56" t="s">
        <v>2081</v>
      </c>
      <c r="G183" s="56" t="s">
        <v>2251</v>
      </c>
    </row>
    <row r="184" spans="1:7">
      <c r="A184" s="56" t="s">
        <v>2430</v>
      </c>
      <c r="B184" s="56" t="s">
        <v>2431</v>
      </c>
      <c r="C184" s="56" t="s">
        <v>108</v>
      </c>
      <c r="D184" s="56" t="s">
        <v>2408</v>
      </c>
      <c r="E184" s="74" t="s">
        <v>108</v>
      </c>
      <c r="F184" s="56" t="s">
        <v>2081</v>
      </c>
      <c r="G184" s="56" t="s">
        <v>2432</v>
      </c>
    </row>
    <row r="185" spans="1:7" ht="17">
      <c r="A185" s="274" t="s">
        <v>2433</v>
      </c>
      <c r="B185" s="274" t="s">
        <v>2431</v>
      </c>
      <c r="C185" s="274" t="s">
        <v>108</v>
      </c>
      <c r="D185" s="274" t="s">
        <v>2408</v>
      </c>
      <c r="E185" s="275" t="s">
        <v>108</v>
      </c>
      <c r="F185" s="274" t="s">
        <v>2081</v>
      </c>
      <c r="G185" s="274" t="s">
        <v>2251</v>
      </c>
    </row>
    <row r="186" spans="1:7" ht="17">
      <c r="A186" s="75" t="s">
        <v>2434</v>
      </c>
      <c r="B186" s="75"/>
      <c r="C186" s="75"/>
      <c r="D186" s="75"/>
      <c r="E186" s="76"/>
      <c r="F186" s="75"/>
      <c r="G186" s="75"/>
    </row>
    <row r="187" spans="1:7" ht="17">
      <c r="A187" s="274" t="s">
        <v>2435</v>
      </c>
      <c r="B187" s="274" t="s">
        <v>2436</v>
      </c>
      <c r="C187" s="274" t="s">
        <v>108</v>
      </c>
      <c r="D187" s="274" t="s">
        <v>2408</v>
      </c>
      <c r="E187" s="275" t="s">
        <v>108</v>
      </c>
      <c r="F187" s="274" t="s">
        <v>2081</v>
      </c>
      <c r="G187" s="274" t="s">
        <v>2437</v>
      </c>
    </row>
    <row r="188" spans="1:7">
      <c r="A188" s="56" t="s">
        <v>2295</v>
      </c>
      <c r="B188" s="56" t="s">
        <v>2296</v>
      </c>
      <c r="C188" s="56" t="s">
        <v>2297</v>
      </c>
      <c r="D188" s="56" t="s">
        <v>2408</v>
      </c>
      <c r="E188" s="74" t="s">
        <v>2413</v>
      </c>
      <c r="F188" s="56" t="s">
        <v>2082</v>
      </c>
      <c r="G188" s="56" t="s">
        <v>2251</v>
      </c>
    </row>
    <row r="189" spans="1:7">
      <c r="A189" s="56" t="s">
        <v>2298</v>
      </c>
      <c r="B189" s="56" t="s">
        <v>2296</v>
      </c>
      <c r="C189" s="56" t="s">
        <v>2292</v>
      </c>
      <c r="D189" s="56" t="s">
        <v>2408</v>
      </c>
      <c r="E189" s="74" t="s">
        <v>2413</v>
      </c>
      <c r="F189" s="56" t="s">
        <v>2082</v>
      </c>
      <c r="G189" s="56" t="s">
        <v>2251</v>
      </c>
    </row>
    <row r="190" spans="1:7">
      <c r="A190" s="56" t="s">
        <v>2299</v>
      </c>
      <c r="B190" s="56" t="s">
        <v>2296</v>
      </c>
      <c r="C190" s="56" t="s">
        <v>2292</v>
      </c>
      <c r="D190" s="56" t="s">
        <v>2408</v>
      </c>
      <c r="E190" s="74" t="s">
        <v>2413</v>
      </c>
      <c r="F190" s="56" t="s">
        <v>2082</v>
      </c>
      <c r="G190" s="56" t="s">
        <v>2251</v>
      </c>
    </row>
    <row r="191" spans="1:7" ht="17">
      <c r="A191" s="274" t="s">
        <v>2300</v>
      </c>
      <c r="B191" s="274" t="s">
        <v>2301</v>
      </c>
      <c r="C191" s="274" t="s">
        <v>2292</v>
      </c>
      <c r="D191" s="274" t="s">
        <v>2408</v>
      </c>
      <c r="E191" s="275" t="s">
        <v>2413</v>
      </c>
      <c r="F191" s="274" t="s">
        <v>2082</v>
      </c>
      <c r="G191" s="274" t="s">
        <v>2251</v>
      </c>
    </row>
    <row r="192" spans="1:7" ht="17">
      <c r="A192" s="274" t="s">
        <v>2302</v>
      </c>
      <c r="B192" s="274"/>
      <c r="C192" s="274" t="s">
        <v>2292</v>
      </c>
      <c r="D192" s="274" t="s">
        <v>2408</v>
      </c>
      <c r="E192" s="275" t="s">
        <v>2413</v>
      </c>
      <c r="F192" s="274" t="s">
        <v>2082</v>
      </c>
      <c r="G192" s="274" t="s">
        <v>2251</v>
      </c>
    </row>
    <row r="193" spans="1:7" ht="17">
      <c r="A193" s="274" t="s">
        <v>2303</v>
      </c>
      <c r="B193" s="274"/>
      <c r="C193" s="274" t="s">
        <v>2292</v>
      </c>
      <c r="D193" s="274" t="s">
        <v>2408</v>
      </c>
      <c r="E193" s="275" t="s">
        <v>2413</v>
      </c>
      <c r="F193" s="274" t="s">
        <v>2082</v>
      </c>
      <c r="G193" s="274" t="s">
        <v>2251</v>
      </c>
    </row>
    <row r="194" spans="1:7">
      <c r="A194" s="56" t="s">
        <v>2304</v>
      </c>
      <c r="B194" s="56"/>
      <c r="C194" s="56" t="s">
        <v>2292</v>
      </c>
      <c r="D194" s="56" t="s">
        <v>2408</v>
      </c>
      <c r="E194" s="74" t="s">
        <v>2413</v>
      </c>
      <c r="F194" s="56" t="s">
        <v>2082</v>
      </c>
      <c r="G194" s="56" t="s">
        <v>2251</v>
      </c>
    </row>
    <row r="195" spans="1:7" ht="17">
      <c r="A195" s="75" t="s">
        <v>2438</v>
      </c>
      <c r="B195" s="75"/>
      <c r="C195" s="75"/>
      <c r="D195" s="75"/>
      <c r="E195" s="76"/>
      <c r="F195" s="75"/>
      <c r="G195" s="75"/>
    </row>
    <row r="196" spans="1:7" ht="17">
      <c r="A196" s="274" t="s">
        <v>2439</v>
      </c>
      <c r="B196" s="274" t="s">
        <v>2440</v>
      </c>
      <c r="C196" s="274" t="s">
        <v>108</v>
      </c>
      <c r="D196" s="274" t="s">
        <v>2397</v>
      </c>
      <c r="E196" s="275" t="s">
        <v>108</v>
      </c>
      <c r="F196" s="274" t="s">
        <v>2081</v>
      </c>
      <c r="G196" s="274" t="s">
        <v>2251</v>
      </c>
    </row>
    <row r="197" spans="1:7" ht="17">
      <c r="A197" s="274" t="s">
        <v>2441</v>
      </c>
      <c r="B197" s="274" t="s">
        <v>2442</v>
      </c>
      <c r="C197" s="274" t="s">
        <v>2427</v>
      </c>
      <c r="D197" s="274" t="s">
        <v>2397</v>
      </c>
      <c r="E197" s="275" t="s">
        <v>108</v>
      </c>
      <c r="F197" s="274" t="s">
        <v>2081</v>
      </c>
      <c r="G197" s="274" t="s">
        <v>2251</v>
      </c>
    </row>
    <row r="198" spans="1:7" ht="17">
      <c r="A198" s="274" t="s">
        <v>2443</v>
      </c>
      <c r="B198" s="274" t="s">
        <v>2440</v>
      </c>
      <c r="C198" s="274" t="s">
        <v>2444</v>
      </c>
      <c r="D198" s="274" t="s">
        <v>2397</v>
      </c>
      <c r="E198" s="275" t="s">
        <v>108</v>
      </c>
      <c r="F198" s="274" t="s">
        <v>2081</v>
      </c>
      <c r="G198" s="274" t="s">
        <v>2445</v>
      </c>
    </row>
    <row r="199" spans="1:7">
      <c r="A199" s="57" t="s">
        <v>2306</v>
      </c>
      <c r="B199" s="57" t="s">
        <v>2291</v>
      </c>
      <c r="C199" s="57" t="s">
        <v>2307</v>
      </c>
      <c r="D199" s="57" t="s">
        <v>2397</v>
      </c>
      <c r="E199" s="58" t="s">
        <v>108</v>
      </c>
      <c r="F199" s="58" t="s">
        <v>2309</v>
      </c>
      <c r="G199" s="57" t="s">
        <v>2251</v>
      </c>
    </row>
    <row r="200" spans="1:7" ht="17">
      <c r="A200" s="274" t="s">
        <v>2313</v>
      </c>
      <c r="B200" s="274" t="s">
        <v>2291</v>
      </c>
      <c r="C200" s="274" t="s">
        <v>2292</v>
      </c>
      <c r="D200" s="274" t="s">
        <v>2397</v>
      </c>
      <c r="E200" s="275" t="s">
        <v>2446</v>
      </c>
      <c r="F200" s="274" t="s">
        <v>2082</v>
      </c>
      <c r="G200" s="274" t="s">
        <v>2251</v>
      </c>
    </row>
    <row r="201" spans="1:7" ht="17">
      <c r="A201" s="274" t="s">
        <v>2314</v>
      </c>
      <c r="B201" s="274" t="s">
        <v>2291</v>
      </c>
      <c r="C201" s="274" t="s">
        <v>2292</v>
      </c>
      <c r="D201" s="274" t="s">
        <v>2397</v>
      </c>
      <c r="E201" s="275" t="s">
        <v>2446</v>
      </c>
      <c r="F201" s="275" t="s">
        <v>2082</v>
      </c>
      <c r="G201" s="274" t="s">
        <v>2251</v>
      </c>
    </row>
    <row r="202" spans="1:7">
      <c r="A202" s="56" t="s">
        <v>2447</v>
      </c>
      <c r="B202" s="56" t="s">
        <v>2440</v>
      </c>
      <c r="C202" s="56" t="s">
        <v>2403</v>
      </c>
      <c r="D202" s="56" t="s">
        <v>2397</v>
      </c>
      <c r="E202" s="74" t="s">
        <v>2403</v>
      </c>
      <c r="F202" s="56" t="s">
        <v>2081</v>
      </c>
      <c r="G202" s="56" t="s">
        <v>2251</v>
      </c>
    </row>
    <row r="203" spans="1:7">
      <c r="A203" s="56" t="s">
        <v>2448</v>
      </c>
      <c r="B203" s="56" t="s">
        <v>2449</v>
      </c>
      <c r="C203" s="56" t="s">
        <v>108</v>
      </c>
      <c r="D203" s="56" t="s">
        <v>2397</v>
      </c>
      <c r="E203" s="74" t="s">
        <v>108</v>
      </c>
      <c r="F203" s="74" t="s">
        <v>2081</v>
      </c>
      <c r="G203" s="56" t="s">
        <v>2251</v>
      </c>
    </row>
    <row r="204" spans="1:7" ht="17">
      <c r="A204" s="75" t="s">
        <v>2450</v>
      </c>
      <c r="B204" s="75"/>
      <c r="C204" s="75"/>
      <c r="D204" s="75"/>
      <c r="E204" s="76"/>
      <c r="F204" s="75"/>
      <c r="G204" s="75"/>
    </row>
    <row r="205" spans="1:7" ht="17">
      <c r="A205" s="274" t="s">
        <v>2451</v>
      </c>
      <c r="B205" s="274"/>
      <c r="C205" s="274" t="s">
        <v>2403</v>
      </c>
      <c r="D205" s="274" t="s">
        <v>2397</v>
      </c>
      <c r="E205" s="275" t="s">
        <v>2403</v>
      </c>
      <c r="F205" s="274" t="s">
        <v>2081</v>
      </c>
      <c r="G205" s="274" t="s">
        <v>2251</v>
      </c>
    </row>
    <row r="206" spans="1:7">
      <c r="A206" s="56" t="s">
        <v>2375</v>
      </c>
      <c r="B206" s="56"/>
      <c r="C206" s="56" t="s">
        <v>2376</v>
      </c>
      <c r="D206" s="56" t="s">
        <v>2397</v>
      </c>
      <c r="E206" s="74" t="s">
        <v>2403</v>
      </c>
      <c r="F206" s="56" t="s">
        <v>2081</v>
      </c>
      <c r="G206" s="56" t="s">
        <v>2251</v>
      </c>
    </row>
    <row r="207" spans="1:7" ht="17">
      <c r="A207" s="274" t="s">
        <v>2452</v>
      </c>
      <c r="B207" s="274" t="s">
        <v>2440</v>
      </c>
      <c r="C207" s="274" t="s">
        <v>108</v>
      </c>
      <c r="D207" s="274" t="s">
        <v>2397</v>
      </c>
      <c r="E207" s="275" t="s">
        <v>108</v>
      </c>
      <c r="F207" s="274" t="s">
        <v>2081</v>
      </c>
      <c r="G207" s="274" t="s">
        <v>2251</v>
      </c>
    </row>
    <row r="208" spans="1:7" ht="17">
      <c r="A208" s="274" t="s">
        <v>2453</v>
      </c>
      <c r="B208" s="274" t="s">
        <v>2440</v>
      </c>
      <c r="C208" s="274" t="s">
        <v>108</v>
      </c>
      <c r="D208" s="274" t="s">
        <v>2397</v>
      </c>
      <c r="E208" s="275" t="s">
        <v>108</v>
      </c>
      <c r="F208" s="274" t="s">
        <v>2081</v>
      </c>
      <c r="G208" s="274" t="s">
        <v>2251</v>
      </c>
    </row>
    <row r="209" spans="1:7" ht="17">
      <c r="A209" s="274" t="s">
        <v>2454</v>
      </c>
      <c r="B209" s="274" t="s">
        <v>2301</v>
      </c>
      <c r="C209" s="274" t="s">
        <v>108</v>
      </c>
      <c r="D209" s="274" t="s">
        <v>2397</v>
      </c>
      <c r="E209" s="275" t="s">
        <v>108</v>
      </c>
      <c r="F209" s="274" t="s">
        <v>2081</v>
      </c>
      <c r="G209" s="274" t="s">
        <v>2251</v>
      </c>
    </row>
    <row r="210" spans="1:7" ht="17">
      <c r="A210" s="274" t="s">
        <v>2455</v>
      </c>
      <c r="B210" s="274" t="s">
        <v>2456</v>
      </c>
      <c r="C210" s="274" t="s">
        <v>2403</v>
      </c>
      <c r="D210" s="274" t="s">
        <v>2397</v>
      </c>
      <c r="E210" s="275" t="s">
        <v>2403</v>
      </c>
      <c r="F210" s="274" t="s">
        <v>2081</v>
      </c>
      <c r="G210" s="274" t="s">
        <v>2251</v>
      </c>
    </row>
    <row r="211" spans="1:7">
      <c r="A211" s="56" t="s">
        <v>2457</v>
      </c>
      <c r="B211" s="56" t="s">
        <v>2456</v>
      </c>
      <c r="C211" s="56" t="s">
        <v>2403</v>
      </c>
      <c r="D211" s="56" t="s">
        <v>2397</v>
      </c>
      <c r="E211" s="74" t="s">
        <v>2403</v>
      </c>
      <c r="F211" s="56" t="s">
        <v>2081</v>
      </c>
      <c r="G211" s="56" t="s">
        <v>2251</v>
      </c>
    </row>
    <row r="212" spans="1:7" ht="17">
      <c r="A212" s="274" t="s">
        <v>2316</v>
      </c>
      <c r="B212" s="274" t="s">
        <v>2291</v>
      </c>
      <c r="C212" s="274" t="s">
        <v>2292</v>
      </c>
      <c r="D212" s="274" t="s">
        <v>2397</v>
      </c>
      <c r="E212" s="275" t="s">
        <v>2446</v>
      </c>
      <c r="F212" s="274" t="s">
        <v>2082</v>
      </c>
      <c r="G212" s="274" t="s">
        <v>2251</v>
      </c>
    </row>
    <row r="213" spans="1:7" ht="17">
      <c r="A213" s="274" t="s">
        <v>2458</v>
      </c>
      <c r="B213" s="274" t="s">
        <v>2456</v>
      </c>
      <c r="C213" s="274" t="s">
        <v>108</v>
      </c>
      <c r="D213" s="274" t="s">
        <v>2397</v>
      </c>
      <c r="E213" s="275" t="s">
        <v>108</v>
      </c>
      <c r="F213" s="274" t="s">
        <v>2081</v>
      </c>
      <c r="G213" s="274" t="s">
        <v>2459</v>
      </c>
    </row>
    <row r="214" spans="1:7" ht="17">
      <c r="A214" s="75" t="s">
        <v>2460</v>
      </c>
      <c r="B214" s="75"/>
      <c r="C214" s="75"/>
      <c r="D214" s="75"/>
      <c r="E214" s="76"/>
      <c r="F214" s="75"/>
      <c r="G214" s="75"/>
    </row>
    <row r="215" spans="1:7" ht="17">
      <c r="A215" s="274" t="s">
        <v>2461</v>
      </c>
      <c r="B215" s="274" t="s">
        <v>2462</v>
      </c>
      <c r="C215" s="274" t="s">
        <v>108</v>
      </c>
      <c r="D215" s="274" t="s">
        <v>2408</v>
      </c>
      <c r="E215" s="275" t="s">
        <v>108</v>
      </c>
      <c r="F215" s="274" t="s">
        <v>2081</v>
      </c>
      <c r="G215" s="274" t="s">
        <v>2251</v>
      </c>
    </row>
    <row r="216" spans="1:7" ht="17">
      <c r="A216" s="274" t="s">
        <v>2463</v>
      </c>
      <c r="B216" s="274" t="s">
        <v>2464</v>
      </c>
      <c r="C216" s="274" t="s">
        <v>108</v>
      </c>
      <c r="D216" s="274" t="s">
        <v>2408</v>
      </c>
      <c r="E216" s="275" t="s">
        <v>108</v>
      </c>
      <c r="F216" s="274" t="s">
        <v>2081</v>
      </c>
      <c r="G216" s="274" t="s">
        <v>2251</v>
      </c>
    </row>
    <row r="217" spans="1:7" ht="17">
      <c r="A217" s="274" t="s">
        <v>2465</v>
      </c>
      <c r="B217" s="274" t="s">
        <v>2464</v>
      </c>
      <c r="C217" s="274" t="s">
        <v>108</v>
      </c>
      <c r="D217" s="274" t="s">
        <v>2408</v>
      </c>
      <c r="E217" s="275" t="s">
        <v>108</v>
      </c>
      <c r="F217" s="274" t="s">
        <v>2081</v>
      </c>
      <c r="G217" s="274" t="s">
        <v>2251</v>
      </c>
    </row>
    <row r="218" spans="1:7" ht="17">
      <c r="A218" s="75" t="s">
        <v>2466</v>
      </c>
      <c r="B218" s="75"/>
      <c r="C218" s="75"/>
      <c r="D218" s="75"/>
      <c r="E218" s="76"/>
      <c r="F218" s="75"/>
      <c r="G218" s="75"/>
    </row>
    <row r="219" spans="1:7">
      <c r="A219" s="56" t="s">
        <v>2467</v>
      </c>
      <c r="B219" s="56" t="s">
        <v>2319</v>
      </c>
      <c r="C219" s="56" t="s">
        <v>2403</v>
      </c>
      <c r="D219" s="56" t="s">
        <v>2397</v>
      </c>
      <c r="E219" s="74" t="s">
        <v>2403</v>
      </c>
      <c r="F219" s="74" t="s">
        <v>2081</v>
      </c>
      <c r="G219" s="56" t="s">
        <v>2468</v>
      </c>
    </row>
    <row r="220" spans="1:7" ht="17">
      <c r="A220" s="274" t="s">
        <v>2469</v>
      </c>
      <c r="B220" s="274" t="s">
        <v>2382</v>
      </c>
      <c r="C220" s="274" t="s">
        <v>108</v>
      </c>
      <c r="D220" s="274" t="s">
        <v>2397</v>
      </c>
      <c r="E220" s="275" t="s">
        <v>108</v>
      </c>
      <c r="F220" s="274" t="s">
        <v>2081</v>
      </c>
      <c r="G220" s="274" t="s">
        <v>2470</v>
      </c>
    </row>
    <row r="221" spans="1:7">
      <c r="A221" s="56" t="s">
        <v>2471</v>
      </c>
      <c r="B221" s="56" t="s">
        <v>2379</v>
      </c>
      <c r="C221" s="56" t="s">
        <v>108</v>
      </c>
      <c r="D221" s="56" t="s">
        <v>2397</v>
      </c>
      <c r="E221" s="74" t="s">
        <v>108</v>
      </c>
      <c r="F221" s="74" t="s">
        <v>2081</v>
      </c>
      <c r="G221" s="56" t="s">
        <v>2472</v>
      </c>
    </row>
    <row r="222" spans="1:7" ht="17">
      <c r="A222" s="274" t="s">
        <v>2473</v>
      </c>
      <c r="B222" s="274" t="s">
        <v>2474</v>
      </c>
      <c r="C222" s="274" t="s">
        <v>108</v>
      </c>
      <c r="D222" s="274" t="s">
        <v>2397</v>
      </c>
      <c r="E222" s="275" t="s">
        <v>108</v>
      </c>
      <c r="F222" s="274" t="s">
        <v>2081</v>
      </c>
      <c r="G222" s="274" t="s">
        <v>2475</v>
      </c>
    </row>
    <row r="223" spans="1:7" ht="17">
      <c r="A223" s="274" t="s">
        <v>2324</v>
      </c>
      <c r="B223" s="274" t="s">
        <v>2325</v>
      </c>
      <c r="C223" s="274"/>
      <c r="D223" s="274" t="s">
        <v>2249</v>
      </c>
      <c r="E223" s="275"/>
      <c r="F223" s="275" t="s">
        <v>2326</v>
      </c>
      <c r="G223" s="274" t="s">
        <v>2251</v>
      </c>
    </row>
    <row r="224" spans="1:7">
      <c r="A224" s="56" t="s">
        <v>2327</v>
      </c>
      <c r="B224" s="56" t="s">
        <v>2325</v>
      </c>
      <c r="C224" s="56"/>
      <c r="D224" s="56" t="s">
        <v>2249</v>
      </c>
      <c r="E224" s="74"/>
      <c r="F224" s="74" t="s">
        <v>2326</v>
      </c>
      <c r="G224" s="56" t="s">
        <v>2251</v>
      </c>
    </row>
    <row r="225" spans="1:7" ht="17">
      <c r="A225" s="274" t="s">
        <v>2328</v>
      </c>
      <c r="B225" s="274" t="s">
        <v>2325</v>
      </c>
      <c r="C225" s="274" t="s">
        <v>2329</v>
      </c>
      <c r="D225" s="274" t="s">
        <v>2249</v>
      </c>
      <c r="E225" s="275"/>
      <c r="F225" s="275" t="s">
        <v>2330</v>
      </c>
      <c r="G225" s="274" t="s">
        <v>2331</v>
      </c>
    </row>
    <row r="226" spans="1:7" ht="17">
      <c r="A226" s="75" t="s">
        <v>2476</v>
      </c>
      <c r="B226" s="75"/>
      <c r="C226" s="75"/>
      <c r="D226" s="75"/>
      <c r="E226" s="76"/>
      <c r="F226" s="75"/>
      <c r="G226" s="75"/>
    </row>
    <row r="227" spans="1:7">
      <c r="A227" s="56" t="s">
        <v>2477</v>
      </c>
      <c r="B227" s="56" t="s">
        <v>2382</v>
      </c>
      <c r="C227" s="56" t="s">
        <v>108</v>
      </c>
      <c r="D227" s="56" t="s">
        <v>2397</v>
      </c>
      <c r="E227" s="74" t="s">
        <v>108</v>
      </c>
      <c r="F227" s="74" t="s">
        <v>2081</v>
      </c>
      <c r="G227" s="56" t="s">
        <v>2478</v>
      </c>
    </row>
    <row r="228" spans="1:7" ht="17">
      <c r="A228" s="274" t="s">
        <v>2334</v>
      </c>
      <c r="B228" s="274" t="s">
        <v>2291</v>
      </c>
      <c r="C228" s="274" t="s">
        <v>2311</v>
      </c>
      <c r="D228" s="274" t="s">
        <v>2249</v>
      </c>
      <c r="E228" s="275"/>
      <c r="F228" s="274" t="s">
        <v>2335</v>
      </c>
      <c r="G228" s="274" t="s">
        <v>2335</v>
      </c>
    </row>
    <row r="229" spans="1:7" ht="17">
      <c r="A229" s="274" t="s">
        <v>2336</v>
      </c>
      <c r="B229" s="274" t="s">
        <v>2291</v>
      </c>
      <c r="C229" s="274" t="s">
        <v>552</v>
      </c>
      <c r="D229" s="274" t="s">
        <v>2249</v>
      </c>
      <c r="E229" s="275"/>
      <c r="F229" s="274" t="s">
        <v>2337</v>
      </c>
      <c r="G229" s="274" t="s">
        <v>2337</v>
      </c>
    </row>
    <row r="230" spans="1:7" ht="17">
      <c r="A230" s="274" t="s">
        <v>2479</v>
      </c>
      <c r="B230" s="274" t="s">
        <v>2480</v>
      </c>
      <c r="C230" s="274" t="s">
        <v>108</v>
      </c>
      <c r="D230" s="274" t="s">
        <v>2397</v>
      </c>
      <c r="E230" s="275" t="s">
        <v>108</v>
      </c>
      <c r="F230" s="275" t="s">
        <v>2081</v>
      </c>
      <c r="G230" s="274" t="s">
        <v>2481</v>
      </c>
    </row>
    <row r="231" spans="1:7" ht="17">
      <c r="A231" s="274" t="s">
        <v>2482</v>
      </c>
      <c r="B231" s="274" t="s">
        <v>2480</v>
      </c>
      <c r="C231" s="274" t="s">
        <v>108</v>
      </c>
      <c r="D231" s="274" t="s">
        <v>2397</v>
      </c>
      <c r="E231" s="275" t="s">
        <v>108</v>
      </c>
      <c r="F231" s="274" t="s">
        <v>2081</v>
      </c>
      <c r="G231" s="274" t="s">
        <v>2483</v>
      </c>
    </row>
    <row r="232" spans="1:7">
      <c r="A232" s="56" t="s">
        <v>2484</v>
      </c>
      <c r="B232" s="56" t="s">
        <v>2382</v>
      </c>
      <c r="C232" s="56" t="s">
        <v>2403</v>
      </c>
      <c r="D232" s="56" t="s">
        <v>2397</v>
      </c>
      <c r="E232" s="74" t="s">
        <v>2403</v>
      </c>
      <c r="F232" s="74" t="s">
        <v>2081</v>
      </c>
      <c r="G232" s="56" t="s">
        <v>2251</v>
      </c>
    </row>
    <row r="233" spans="1:7">
      <c r="A233" s="56" t="s">
        <v>2485</v>
      </c>
      <c r="B233" s="56" t="s">
        <v>2486</v>
      </c>
      <c r="C233" s="56" t="s">
        <v>2487</v>
      </c>
      <c r="D233" s="56" t="s">
        <v>2397</v>
      </c>
      <c r="E233" s="74" t="s">
        <v>108</v>
      </c>
      <c r="F233" s="74" t="s">
        <v>2081</v>
      </c>
      <c r="G233" s="56" t="s">
        <v>2251</v>
      </c>
    </row>
    <row r="234" spans="1:7" ht="17">
      <c r="A234" s="75" t="s">
        <v>2488</v>
      </c>
      <c r="B234" s="75"/>
      <c r="C234" s="75"/>
      <c r="D234" s="75"/>
      <c r="E234" s="76"/>
      <c r="F234" s="75"/>
      <c r="G234" s="75"/>
    </row>
    <row r="235" spans="1:7" ht="17">
      <c r="A235" s="274" t="s">
        <v>2489</v>
      </c>
      <c r="B235" s="274" t="s">
        <v>2490</v>
      </c>
      <c r="C235" s="274" t="s">
        <v>108</v>
      </c>
      <c r="D235" s="274" t="s">
        <v>2397</v>
      </c>
      <c r="E235" s="275" t="s">
        <v>108</v>
      </c>
      <c r="F235" s="274" t="s">
        <v>2081</v>
      </c>
      <c r="G235" s="274" t="s">
        <v>2251</v>
      </c>
    </row>
    <row r="236" spans="1:7" ht="17">
      <c r="A236" s="274" t="s">
        <v>2491</v>
      </c>
      <c r="B236" s="274" t="s">
        <v>2490</v>
      </c>
      <c r="C236" s="274" t="s">
        <v>2403</v>
      </c>
      <c r="D236" s="274" t="s">
        <v>2397</v>
      </c>
      <c r="E236" s="275" t="s">
        <v>2403</v>
      </c>
      <c r="F236" s="274" t="s">
        <v>2081</v>
      </c>
      <c r="G236" s="274" t="s">
        <v>2492</v>
      </c>
    </row>
    <row r="237" spans="1:7" ht="17">
      <c r="A237" s="274" t="s">
        <v>2493</v>
      </c>
      <c r="B237" s="274" t="s">
        <v>2494</v>
      </c>
      <c r="C237" s="274" t="s">
        <v>2421</v>
      </c>
      <c r="D237" s="274" t="s">
        <v>2397</v>
      </c>
      <c r="E237" s="275" t="s">
        <v>108</v>
      </c>
      <c r="F237" s="274" t="s">
        <v>2081</v>
      </c>
      <c r="G237" s="274" t="s">
        <v>2495</v>
      </c>
    </row>
    <row r="238" spans="1:7">
      <c r="A238" s="56" t="s">
        <v>2496</v>
      </c>
      <c r="B238" s="56" t="s">
        <v>2490</v>
      </c>
      <c r="C238" s="56" t="s">
        <v>2497</v>
      </c>
      <c r="D238" s="56" t="s">
        <v>2397</v>
      </c>
      <c r="E238" s="74" t="s">
        <v>108</v>
      </c>
      <c r="F238" s="56" t="s">
        <v>2081</v>
      </c>
      <c r="G238" s="56" t="s">
        <v>2251</v>
      </c>
    </row>
    <row r="239" spans="1:7">
      <c r="A239" s="56" t="s">
        <v>2498</v>
      </c>
      <c r="B239" s="56" t="s">
        <v>2490</v>
      </c>
      <c r="C239" s="56" t="s">
        <v>2499</v>
      </c>
      <c r="D239" s="56" t="s">
        <v>2397</v>
      </c>
      <c r="E239" s="74" t="s">
        <v>108</v>
      </c>
      <c r="F239" s="56" t="s">
        <v>2081</v>
      </c>
      <c r="G239" s="56" t="s">
        <v>2500</v>
      </c>
    </row>
    <row r="240" spans="1:7" ht="17">
      <c r="A240" s="75" t="s">
        <v>2501</v>
      </c>
      <c r="B240" s="75"/>
      <c r="C240" s="75"/>
      <c r="D240" s="75"/>
      <c r="E240" s="76"/>
      <c r="F240" s="75"/>
      <c r="G240" s="75"/>
    </row>
    <row r="241" spans="1:7" ht="17">
      <c r="A241" s="274" t="s">
        <v>2339</v>
      </c>
      <c r="B241" s="274"/>
      <c r="C241" s="274" t="s">
        <v>2285</v>
      </c>
      <c r="D241" s="274" t="s">
        <v>2408</v>
      </c>
      <c r="E241" s="275" t="s">
        <v>2287</v>
      </c>
      <c r="F241" s="274" t="s">
        <v>2082</v>
      </c>
      <c r="G241" s="274" t="s">
        <v>2340</v>
      </c>
    </row>
    <row r="242" spans="1:7" ht="17">
      <c r="A242" s="274" t="s">
        <v>2502</v>
      </c>
      <c r="B242" s="274" t="s">
        <v>2325</v>
      </c>
      <c r="C242" s="274" t="s">
        <v>2503</v>
      </c>
      <c r="D242" s="274" t="s">
        <v>2408</v>
      </c>
      <c r="E242" s="275" t="s">
        <v>108</v>
      </c>
      <c r="F242" s="274" t="s">
        <v>2081</v>
      </c>
      <c r="G242" s="274" t="s">
        <v>2504</v>
      </c>
    </row>
    <row r="243" spans="1:7" ht="17">
      <c r="A243" s="274" t="s">
        <v>2341</v>
      </c>
      <c r="B243" s="274" t="s">
        <v>2342</v>
      </c>
      <c r="C243" s="274" t="s">
        <v>2343</v>
      </c>
      <c r="D243" s="274" t="s">
        <v>2249</v>
      </c>
      <c r="E243" s="275"/>
      <c r="F243" s="274" t="s">
        <v>2250</v>
      </c>
      <c r="G243" s="274" t="s">
        <v>2344</v>
      </c>
    </row>
    <row r="244" spans="1:7" ht="17">
      <c r="A244" s="274" t="s">
        <v>2341</v>
      </c>
      <c r="B244" s="274" t="s">
        <v>2342</v>
      </c>
      <c r="C244" s="274" t="s">
        <v>2343</v>
      </c>
      <c r="D244" s="274" t="s">
        <v>2408</v>
      </c>
      <c r="E244" s="275" t="s">
        <v>108</v>
      </c>
      <c r="F244" s="274" t="s">
        <v>2081</v>
      </c>
      <c r="G244" s="274" t="s">
        <v>2344</v>
      </c>
    </row>
    <row r="245" spans="1:7">
      <c r="A245" s="56" t="s">
        <v>2345</v>
      </c>
      <c r="B245" s="56" t="s">
        <v>2346</v>
      </c>
      <c r="C245" s="56" t="s">
        <v>2285</v>
      </c>
      <c r="D245" s="56" t="s">
        <v>2408</v>
      </c>
      <c r="E245" s="74" t="s">
        <v>2287</v>
      </c>
      <c r="F245" s="74" t="s">
        <v>2082</v>
      </c>
      <c r="G245" s="56" t="s">
        <v>2347</v>
      </c>
    </row>
    <row r="246" spans="1:7" ht="17">
      <c r="A246" s="274" t="s">
        <v>2348</v>
      </c>
      <c r="B246" s="274"/>
      <c r="C246" s="274" t="s">
        <v>2292</v>
      </c>
      <c r="D246" s="274" t="s">
        <v>2408</v>
      </c>
      <c r="E246" s="275" t="s">
        <v>2413</v>
      </c>
      <c r="F246" s="274" t="s">
        <v>2082</v>
      </c>
      <c r="G246" s="274" t="s">
        <v>2251</v>
      </c>
    </row>
    <row r="247" spans="1:7" ht="17">
      <c r="A247" s="274" t="s">
        <v>2505</v>
      </c>
      <c r="B247" s="274" t="s">
        <v>2291</v>
      </c>
      <c r="C247" s="274" t="s">
        <v>108</v>
      </c>
      <c r="D247" s="274" t="s">
        <v>2408</v>
      </c>
      <c r="E247" s="275" t="s">
        <v>108</v>
      </c>
      <c r="F247" s="274" t="s">
        <v>2081</v>
      </c>
      <c r="G247" s="274" t="s">
        <v>2251</v>
      </c>
    </row>
    <row r="248" spans="1:7" ht="17">
      <c r="A248" s="274" t="s">
        <v>2506</v>
      </c>
      <c r="B248" s="274" t="s">
        <v>2346</v>
      </c>
      <c r="C248" s="274" t="s">
        <v>2507</v>
      </c>
      <c r="D248" s="274" t="s">
        <v>2408</v>
      </c>
      <c r="E248" s="275" t="s">
        <v>2507</v>
      </c>
      <c r="F248" s="275" t="s">
        <v>2081</v>
      </c>
      <c r="G248" s="274" t="s">
        <v>2508</v>
      </c>
    </row>
    <row r="249" spans="1:7" ht="17">
      <c r="A249" s="75" t="s">
        <v>2509</v>
      </c>
      <c r="B249" s="75"/>
      <c r="C249" s="75"/>
      <c r="D249" s="75"/>
      <c r="E249" s="76"/>
      <c r="F249" s="75"/>
      <c r="G249" s="75"/>
    </row>
    <row r="250" spans="1:7" ht="17">
      <c r="A250" s="274" t="s">
        <v>2247</v>
      </c>
      <c r="B250" s="274" t="s">
        <v>2248</v>
      </c>
      <c r="C250" s="274"/>
      <c r="D250" s="274" t="s">
        <v>2249</v>
      </c>
      <c r="E250" s="275"/>
      <c r="F250" s="274" t="s">
        <v>2250</v>
      </c>
      <c r="G250" s="274" t="s">
        <v>2251</v>
      </c>
    </row>
    <row r="251" spans="1:7" ht="17">
      <c r="A251" s="274" t="s">
        <v>2252</v>
      </c>
      <c r="B251" s="274" t="s">
        <v>2248</v>
      </c>
      <c r="C251" s="274"/>
      <c r="D251" s="274" t="s">
        <v>2249</v>
      </c>
      <c r="E251" s="275"/>
      <c r="F251" s="274" t="s">
        <v>2250</v>
      </c>
      <c r="G251" s="274" t="s">
        <v>2251</v>
      </c>
    </row>
    <row r="252" spans="1:7" ht="17">
      <c r="A252" s="75" t="s">
        <v>2510</v>
      </c>
      <c r="B252" s="75"/>
      <c r="C252" s="75"/>
      <c r="D252" s="75"/>
      <c r="E252" s="76"/>
      <c r="F252" s="75"/>
      <c r="G252" s="75"/>
    </row>
    <row r="253" spans="1:7" ht="17">
      <c r="A253" s="274" t="s">
        <v>2254</v>
      </c>
      <c r="B253" s="274" t="s">
        <v>2248</v>
      </c>
      <c r="C253" s="274"/>
      <c r="D253" s="274" t="s">
        <v>2249</v>
      </c>
      <c r="E253" s="275"/>
      <c r="F253" s="274" t="s">
        <v>2255</v>
      </c>
      <c r="G253" s="274" t="s">
        <v>2251</v>
      </c>
    </row>
    <row r="254" spans="1:7" ht="17">
      <c r="A254" s="274" t="s">
        <v>2256</v>
      </c>
      <c r="B254" s="274" t="s">
        <v>2257</v>
      </c>
      <c r="C254" s="274"/>
      <c r="D254" s="274" t="s">
        <v>2249</v>
      </c>
      <c r="E254" s="275"/>
      <c r="F254" s="274" t="s">
        <v>2250</v>
      </c>
      <c r="G254" s="274" t="s">
        <v>2251</v>
      </c>
    </row>
    <row r="255" spans="1:7">
      <c r="A255" s="56" t="s">
        <v>2258</v>
      </c>
      <c r="B255" s="56" t="s">
        <v>2257</v>
      </c>
      <c r="C255" s="56"/>
      <c r="D255" s="56" t="s">
        <v>2249</v>
      </c>
      <c r="E255" s="74"/>
      <c r="F255" s="74" t="s">
        <v>2250</v>
      </c>
      <c r="G255" s="56" t="s">
        <v>2251</v>
      </c>
    </row>
    <row r="256" spans="1:7" ht="17">
      <c r="A256" s="274" t="s">
        <v>2259</v>
      </c>
      <c r="B256" s="274" t="s">
        <v>2248</v>
      </c>
      <c r="C256" s="274"/>
      <c r="D256" s="274" t="s">
        <v>2249</v>
      </c>
      <c r="E256" s="275"/>
      <c r="F256" s="274" t="s">
        <v>2255</v>
      </c>
      <c r="G256" s="274" t="s">
        <v>2251</v>
      </c>
    </row>
    <row r="257" spans="1:7" ht="17">
      <c r="A257" s="274" t="s">
        <v>2260</v>
      </c>
      <c r="B257" s="274" t="s">
        <v>2257</v>
      </c>
      <c r="C257" s="274"/>
      <c r="D257" s="274" t="s">
        <v>2249</v>
      </c>
      <c r="E257" s="275"/>
      <c r="F257" s="274" t="s">
        <v>2250</v>
      </c>
      <c r="G257" s="274" t="s">
        <v>2251</v>
      </c>
    </row>
    <row r="258" spans="1:7">
      <c r="A258" s="56" t="s">
        <v>2261</v>
      </c>
      <c r="B258" s="56" t="s">
        <v>2248</v>
      </c>
      <c r="C258" s="56"/>
      <c r="D258" s="56" t="s">
        <v>2249</v>
      </c>
      <c r="E258" s="74"/>
      <c r="F258" s="74" t="s">
        <v>2250</v>
      </c>
      <c r="G258" s="56" t="s">
        <v>2251</v>
      </c>
    </row>
    <row r="259" spans="1:7">
      <c r="A259" s="56" t="s">
        <v>2262</v>
      </c>
      <c r="B259" s="56" t="s">
        <v>2248</v>
      </c>
      <c r="C259" s="56"/>
      <c r="D259" s="56" t="s">
        <v>2249</v>
      </c>
      <c r="E259" s="74"/>
      <c r="F259" s="74" t="s">
        <v>2255</v>
      </c>
      <c r="G259" s="56" t="s">
        <v>2251</v>
      </c>
    </row>
    <row r="260" spans="1:7" ht="17">
      <c r="A260" s="274" t="s">
        <v>2263</v>
      </c>
      <c r="B260" s="274" t="s">
        <v>2248</v>
      </c>
      <c r="C260" s="274"/>
      <c r="D260" s="274" t="s">
        <v>2249</v>
      </c>
      <c r="E260" s="275"/>
      <c r="F260" s="274" t="s">
        <v>2255</v>
      </c>
      <c r="G260" s="274" t="s">
        <v>2251</v>
      </c>
    </row>
    <row r="261" spans="1:7">
      <c r="A261" s="56" t="s">
        <v>2264</v>
      </c>
      <c r="B261" s="56" t="s">
        <v>2248</v>
      </c>
      <c r="C261" s="56"/>
      <c r="D261" s="56" t="s">
        <v>2249</v>
      </c>
      <c r="E261" s="74"/>
      <c r="F261" s="74" t="s">
        <v>2255</v>
      </c>
      <c r="G261" s="56" t="s">
        <v>2251</v>
      </c>
    </row>
    <row r="262" spans="1:7" ht="17">
      <c r="A262" s="274" t="s">
        <v>2265</v>
      </c>
      <c r="B262" s="274" t="s">
        <v>2257</v>
      </c>
      <c r="C262" s="274"/>
      <c r="D262" s="274" t="s">
        <v>2249</v>
      </c>
      <c r="E262" s="275"/>
      <c r="F262" s="274" t="s">
        <v>2255</v>
      </c>
      <c r="G262" s="274" t="s">
        <v>2251</v>
      </c>
    </row>
    <row r="263" spans="1:7" ht="17">
      <c r="A263" s="75" t="s">
        <v>2511</v>
      </c>
      <c r="B263" s="75"/>
      <c r="C263" s="75"/>
      <c r="D263" s="75"/>
      <c r="E263" s="76"/>
      <c r="F263" s="75"/>
      <c r="G263" s="75"/>
    </row>
    <row r="264" spans="1:7">
      <c r="A264" s="56" t="s">
        <v>2267</v>
      </c>
      <c r="B264" s="56" t="s">
        <v>2248</v>
      </c>
      <c r="C264" s="56"/>
      <c r="D264" s="56" t="s">
        <v>2249</v>
      </c>
      <c r="E264" s="74"/>
      <c r="F264" s="56" t="s">
        <v>2250</v>
      </c>
      <c r="G264" s="56" t="s">
        <v>2251</v>
      </c>
    </row>
    <row r="265" spans="1:7" ht="17">
      <c r="A265" s="75" t="s">
        <v>2512</v>
      </c>
      <c r="B265" s="75"/>
      <c r="C265" s="75"/>
      <c r="D265" s="75"/>
      <c r="E265" s="76"/>
      <c r="F265" s="75"/>
      <c r="G265" s="75"/>
    </row>
    <row r="266" spans="1:7" ht="17">
      <c r="A266" s="274" t="s">
        <v>2269</v>
      </c>
      <c r="B266" s="274" t="s">
        <v>2248</v>
      </c>
      <c r="C266" s="274"/>
      <c r="D266" s="274" t="s">
        <v>2249</v>
      </c>
      <c r="E266" s="275"/>
      <c r="F266" s="275" t="s">
        <v>2250</v>
      </c>
      <c r="G266" s="274" t="s">
        <v>2251</v>
      </c>
    </row>
    <row r="267" spans="1:7" ht="17">
      <c r="A267" s="274" t="s">
        <v>2270</v>
      </c>
      <c r="B267" s="274" t="s">
        <v>2248</v>
      </c>
      <c r="C267" s="274"/>
      <c r="D267" s="274" t="s">
        <v>2249</v>
      </c>
      <c r="E267" s="275"/>
      <c r="F267" s="274" t="s">
        <v>2250</v>
      </c>
      <c r="G267" s="274" t="s">
        <v>2251</v>
      </c>
    </row>
    <row r="268" spans="1:7">
      <c r="A268" s="56" t="s">
        <v>2271</v>
      </c>
      <c r="B268" s="56" t="s">
        <v>2248</v>
      </c>
      <c r="C268" s="56"/>
      <c r="D268" s="56" t="s">
        <v>2249</v>
      </c>
      <c r="E268" s="74"/>
      <c r="F268" s="74" t="s">
        <v>2250</v>
      </c>
      <c r="G268" s="56" t="s">
        <v>2251</v>
      </c>
    </row>
    <row r="269" spans="1:7">
      <c r="A269" s="56" t="s">
        <v>2272</v>
      </c>
      <c r="B269" s="56" t="s">
        <v>2248</v>
      </c>
      <c r="C269" s="56"/>
      <c r="D269" s="56" t="s">
        <v>2249</v>
      </c>
      <c r="E269" s="74"/>
      <c r="F269" s="56" t="s">
        <v>2250</v>
      </c>
      <c r="G269" s="56" t="s">
        <v>2251</v>
      </c>
    </row>
    <row r="270" spans="1:7" ht="17">
      <c r="A270" s="274" t="s">
        <v>2273</v>
      </c>
      <c r="B270" s="274" t="s">
        <v>2248</v>
      </c>
      <c r="C270" s="274"/>
      <c r="D270" s="274" t="s">
        <v>2249</v>
      </c>
      <c r="E270" s="275"/>
      <c r="F270" s="274" t="s">
        <v>2250</v>
      </c>
      <c r="G270" s="274" t="s">
        <v>2251</v>
      </c>
    </row>
    <row r="271" spans="1:7" ht="17">
      <c r="A271" s="274" t="s">
        <v>2274</v>
      </c>
      <c r="B271" s="274" t="s">
        <v>2248</v>
      </c>
      <c r="C271" s="274"/>
      <c r="D271" s="274" t="s">
        <v>2249</v>
      </c>
      <c r="E271" s="275"/>
      <c r="F271" s="275" t="s">
        <v>2250</v>
      </c>
      <c r="G271" s="274" t="s">
        <v>2251</v>
      </c>
    </row>
    <row r="272" spans="1:7" ht="17">
      <c r="A272" s="274" t="s">
        <v>2275</v>
      </c>
      <c r="B272" s="274" t="s">
        <v>2248</v>
      </c>
      <c r="C272" s="274"/>
      <c r="D272" s="274" t="s">
        <v>2249</v>
      </c>
      <c r="E272" s="275"/>
      <c r="F272" s="274" t="s">
        <v>2250</v>
      </c>
      <c r="G272" s="274" t="s">
        <v>2251</v>
      </c>
    </row>
    <row r="273" spans="1:7">
      <c r="A273" s="56" t="s">
        <v>2276</v>
      </c>
      <c r="B273" s="56" t="s">
        <v>2248</v>
      </c>
      <c r="C273" s="56"/>
      <c r="D273" s="56" t="s">
        <v>2249</v>
      </c>
      <c r="E273" s="74"/>
      <c r="F273" s="74" t="s">
        <v>2250</v>
      </c>
      <c r="G273" s="56" t="s">
        <v>2251</v>
      </c>
    </row>
    <row r="274" spans="1:7" ht="17">
      <c r="A274" s="75" t="s">
        <v>2513</v>
      </c>
      <c r="B274" s="75"/>
      <c r="C274" s="75"/>
      <c r="D274" s="75"/>
      <c r="E274" s="76"/>
      <c r="F274" s="75"/>
      <c r="G274" s="75"/>
    </row>
    <row r="275" spans="1:7">
      <c r="A275" s="56" t="s">
        <v>2278</v>
      </c>
      <c r="B275" s="56" t="s">
        <v>2279</v>
      </c>
      <c r="C275" s="56"/>
      <c r="D275" s="56" t="s">
        <v>2249</v>
      </c>
      <c r="E275" s="74"/>
      <c r="F275" s="74" t="s">
        <v>2280</v>
      </c>
      <c r="G275" s="56" t="s">
        <v>2251</v>
      </c>
    </row>
    <row r="276" spans="1:7" ht="17">
      <c r="A276" s="274" t="s">
        <v>2281</v>
      </c>
      <c r="B276" s="274" t="s">
        <v>2248</v>
      </c>
      <c r="C276" s="274"/>
      <c r="D276" s="274" t="s">
        <v>2249</v>
      </c>
      <c r="E276" s="275"/>
      <c r="F276" s="274" t="s">
        <v>2250</v>
      </c>
      <c r="G276" s="274" t="s">
        <v>2251</v>
      </c>
    </row>
    <row r="277" spans="1:7" ht="17">
      <c r="A277" s="75" t="s">
        <v>2514</v>
      </c>
      <c r="B277" s="75"/>
      <c r="C277" s="75"/>
      <c r="D277" s="75"/>
      <c r="E277" s="76"/>
      <c r="F277" s="75"/>
      <c r="G277" s="75"/>
    </row>
    <row r="278" spans="1:7" ht="17">
      <c r="A278" s="274" t="s">
        <v>2355</v>
      </c>
      <c r="B278" s="274" t="s">
        <v>2356</v>
      </c>
      <c r="C278" s="274" t="s">
        <v>1565</v>
      </c>
      <c r="D278" s="274" t="s">
        <v>2515</v>
      </c>
      <c r="E278" s="275" t="s">
        <v>1565</v>
      </c>
      <c r="F278" s="274" t="s">
        <v>2102</v>
      </c>
      <c r="G278" s="274" t="s">
        <v>2358</v>
      </c>
    </row>
    <row r="279" spans="1:7" ht="17">
      <c r="A279" s="274" t="s">
        <v>2516</v>
      </c>
      <c r="B279" s="274" t="s">
        <v>2291</v>
      </c>
      <c r="C279" s="274" t="s">
        <v>1215</v>
      </c>
      <c r="D279" s="274" t="s">
        <v>2515</v>
      </c>
      <c r="E279" s="275" t="s">
        <v>1215</v>
      </c>
      <c r="F279" s="274" t="s">
        <v>2098</v>
      </c>
      <c r="G279" s="274" t="s">
        <v>2251</v>
      </c>
    </row>
    <row r="280" spans="1:7" ht="17">
      <c r="A280" s="274" t="s">
        <v>2398</v>
      </c>
      <c r="B280" s="274"/>
      <c r="C280" s="274" t="s">
        <v>2399</v>
      </c>
      <c r="D280" s="274" t="s">
        <v>2515</v>
      </c>
      <c r="E280" s="275" t="s">
        <v>2517</v>
      </c>
      <c r="F280" s="274" t="s">
        <v>2101</v>
      </c>
      <c r="G280" s="274" t="s">
        <v>2251</v>
      </c>
    </row>
    <row r="281" spans="1:7">
      <c r="A281" s="56" t="s">
        <v>2400</v>
      </c>
      <c r="B281" s="56" t="s">
        <v>2284</v>
      </c>
      <c r="C281" s="56" t="s">
        <v>108</v>
      </c>
      <c r="D281" s="56" t="s">
        <v>2515</v>
      </c>
      <c r="E281" s="74" t="s">
        <v>108</v>
      </c>
      <c r="F281" s="56" t="s">
        <v>2101</v>
      </c>
      <c r="G281" s="56" t="s">
        <v>2251</v>
      </c>
    </row>
    <row r="282" spans="1:7" ht="17">
      <c r="A282" s="274" t="s">
        <v>2401</v>
      </c>
      <c r="B282" s="274" t="s">
        <v>2402</v>
      </c>
      <c r="C282" s="274" t="s">
        <v>2403</v>
      </c>
      <c r="D282" s="274" t="s">
        <v>2515</v>
      </c>
      <c r="E282" s="275" t="s">
        <v>2403</v>
      </c>
      <c r="F282" s="274" t="s">
        <v>2101</v>
      </c>
      <c r="G282" s="274" t="s">
        <v>2404</v>
      </c>
    </row>
    <row r="283" spans="1:7">
      <c r="A283" s="56" t="s">
        <v>2405</v>
      </c>
      <c r="B283" s="56"/>
      <c r="C283" s="56" t="s">
        <v>108</v>
      </c>
      <c r="D283" s="56" t="s">
        <v>2515</v>
      </c>
      <c r="E283" s="74" t="s">
        <v>108</v>
      </c>
      <c r="F283" s="56" t="s">
        <v>2101</v>
      </c>
      <c r="G283" s="56" t="s">
        <v>2251</v>
      </c>
    </row>
    <row r="284" spans="1:7" ht="17">
      <c r="A284" s="75" t="s">
        <v>2518</v>
      </c>
      <c r="B284" s="75"/>
      <c r="C284" s="75"/>
      <c r="D284" s="75"/>
      <c r="E284" s="76"/>
      <c r="F284" s="75"/>
      <c r="G284" s="75"/>
    </row>
    <row r="285" spans="1:7" ht="17">
      <c r="A285" s="274" t="s">
        <v>2407</v>
      </c>
      <c r="B285" s="274" t="s">
        <v>2296</v>
      </c>
      <c r="C285" s="274" t="s">
        <v>108</v>
      </c>
      <c r="D285" s="274" t="s">
        <v>2515</v>
      </c>
      <c r="E285" s="275" t="s">
        <v>108</v>
      </c>
      <c r="F285" s="274" t="s">
        <v>2101</v>
      </c>
      <c r="G285" s="274" t="s">
        <v>2251</v>
      </c>
    </row>
    <row r="286" spans="1:7">
      <c r="A286" s="56" t="s">
        <v>2409</v>
      </c>
      <c r="B286" s="56" t="s">
        <v>2410</v>
      </c>
      <c r="C286" s="56" t="s">
        <v>108</v>
      </c>
      <c r="D286" s="56" t="s">
        <v>2515</v>
      </c>
      <c r="E286" s="74" t="s">
        <v>108</v>
      </c>
      <c r="F286" s="74" t="s">
        <v>2101</v>
      </c>
      <c r="G286" s="56" t="s">
        <v>2411</v>
      </c>
    </row>
    <row r="287" spans="1:7" ht="17">
      <c r="A287" s="274" t="s">
        <v>2412</v>
      </c>
      <c r="B287" s="274" t="s">
        <v>2410</v>
      </c>
      <c r="C287" s="274" t="s">
        <v>108</v>
      </c>
      <c r="D287" s="274" t="s">
        <v>2515</v>
      </c>
      <c r="E287" s="275" t="s">
        <v>108</v>
      </c>
      <c r="F287" s="274" t="s">
        <v>2101</v>
      </c>
      <c r="G287" s="274" t="s">
        <v>2251</v>
      </c>
    </row>
    <row r="288" spans="1:7" ht="17">
      <c r="A288" s="274" t="s">
        <v>2290</v>
      </c>
      <c r="B288" s="274" t="s">
        <v>2291</v>
      </c>
      <c r="C288" s="274" t="s">
        <v>2292</v>
      </c>
      <c r="D288" s="274" t="s">
        <v>2515</v>
      </c>
      <c r="E288" s="275" t="s">
        <v>2519</v>
      </c>
      <c r="F288" s="275" t="s">
        <v>2103</v>
      </c>
      <c r="G288" s="274" t="s">
        <v>2251</v>
      </c>
    </row>
    <row r="289" spans="1:7">
      <c r="A289" s="56" t="s">
        <v>2414</v>
      </c>
      <c r="B289" s="56" t="s">
        <v>2415</v>
      </c>
      <c r="C289" s="56" t="s">
        <v>108</v>
      </c>
      <c r="D289" s="56" t="s">
        <v>2515</v>
      </c>
      <c r="E289" s="74" t="s">
        <v>108</v>
      </c>
      <c r="F289" s="56" t="s">
        <v>2101</v>
      </c>
      <c r="G289" s="56" t="s">
        <v>2416</v>
      </c>
    </row>
    <row r="290" spans="1:7" ht="17">
      <c r="A290" s="75" t="s">
        <v>2520</v>
      </c>
      <c r="B290" s="75"/>
      <c r="C290" s="75"/>
      <c r="D290" s="75"/>
      <c r="E290" s="76"/>
      <c r="F290" s="75"/>
      <c r="G290" s="75"/>
    </row>
    <row r="291" spans="1:7" ht="17">
      <c r="A291" s="274" t="s">
        <v>2418</v>
      </c>
      <c r="B291" s="274" t="s">
        <v>2363</v>
      </c>
      <c r="C291" s="274" t="s">
        <v>108</v>
      </c>
      <c r="D291" s="274" t="s">
        <v>2515</v>
      </c>
      <c r="E291" s="275" t="s">
        <v>108</v>
      </c>
      <c r="F291" s="274" t="s">
        <v>2101</v>
      </c>
      <c r="G291" s="274" t="s">
        <v>2251</v>
      </c>
    </row>
    <row r="292" spans="1:7" ht="17">
      <c r="A292" s="274" t="s">
        <v>2362</v>
      </c>
      <c r="B292" s="274" t="s">
        <v>2363</v>
      </c>
      <c r="C292" s="274" t="s">
        <v>2364</v>
      </c>
      <c r="D292" s="274" t="s">
        <v>2515</v>
      </c>
      <c r="E292" s="275" t="s">
        <v>108</v>
      </c>
      <c r="F292" s="275" t="s">
        <v>2101</v>
      </c>
      <c r="G292" s="274" t="s">
        <v>2251</v>
      </c>
    </row>
    <row r="293" spans="1:7" ht="17">
      <c r="A293" s="274" t="s">
        <v>2420</v>
      </c>
      <c r="B293" s="274" t="s">
        <v>2363</v>
      </c>
      <c r="C293" s="274" t="s">
        <v>2421</v>
      </c>
      <c r="D293" s="274" t="s">
        <v>2515</v>
      </c>
      <c r="E293" s="275" t="s">
        <v>108</v>
      </c>
      <c r="F293" s="274" t="s">
        <v>2101</v>
      </c>
      <c r="G293" s="274" t="s">
        <v>2422</v>
      </c>
    </row>
    <row r="294" spans="1:7" ht="17">
      <c r="A294" s="274" t="s">
        <v>2423</v>
      </c>
      <c r="B294" s="274" t="s">
        <v>2363</v>
      </c>
      <c r="C294" s="274" t="s">
        <v>108</v>
      </c>
      <c r="D294" s="274" t="s">
        <v>2515</v>
      </c>
      <c r="E294" s="275" t="s">
        <v>108</v>
      </c>
      <c r="F294" s="274" t="s">
        <v>2101</v>
      </c>
      <c r="G294" s="274" t="s">
        <v>2251</v>
      </c>
    </row>
    <row r="295" spans="1:7" ht="17">
      <c r="A295" s="75" t="s">
        <v>2521</v>
      </c>
      <c r="B295" s="75"/>
      <c r="C295" s="75"/>
      <c r="D295" s="75"/>
      <c r="E295" s="76"/>
      <c r="F295" s="75"/>
      <c r="G295" s="75"/>
    </row>
    <row r="296" spans="1:7" ht="17">
      <c r="A296" s="274" t="s">
        <v>2425</v>
      </c>
      <c r="B296" s="274" t="s">
        <v>2426</v>
      </c>
      <c r="C296" s="274" t="s">
        <v>2427</v>
      </c>
      <c r="D296" s="274" t="s">
        <v>2515</v>
      </c>
      <c r="E296" s="275" t="s">
        <v>108</v>
      </c>
      <c r="F296" s="274" t="s">
        <v>2101</v>
      </c>
      <c r="G296" s="274" t="s">
        <v>2251</v>
      </c>
    </row>
    <row r="297" spans="1:7">
      <c r="A297" s="56" t="s">
        <v>2369</v>
      </c>
      <c r="B297" s="56"/>
      <c r="C297" s="56" t="s">
        <v>552</v>
      </c>
      <c r="D297" s="56" t="s">
        <v>2515</v>
      </c>
      <c r="E297" s="74" t="s">
        <v>552</v>
      </c>
      <c r="F297" s="56" t="s">
        <v>2102</v>
      </c>
      <c r="G297" s="56" t="s">
        <v>2370</v>
      </c>
    </row>
    <row r="298" spans="1:7" ht="17">
      <c r="A298" s="274" t="s">
        <v>2428</v>
      </c>
      <c r="B298" s="274" t="s">
        <v>2426</v>
      </c>
      <c r="C298" s="274" t="s">
        <v>2429</v>
      </c>
      <c r="D298" s="274" t="s">
        <v>2515</v>
      </c>
      <c r="E298" s="275" t="s">
        <v>108</v>
      </c>
      <c r="F298" s="274" t="s">
        <v>2101</v>
      </c>
      <c r="G298" s="274" t="s">
        <v>2251</v>
      </c>
    </row>
    <row r="299" spans="1:7" ht="17">
      <c r="A299" s="274" t="s">
        <v>2430</v>
      </c>
      <c r="B299" s="274" t="s">
        <v>2431</v>
      </c>
      <c r="C299" s="274" t="s">
        <v>108</v>
      </c>
      <c r="D299" s="274" t="s">
        <v>2515</v>
      </c>
      <c r="E299" s="275" t="s">
        <v>108</v>
      </c>
      <c r="F299" s="274" t="s">
        <v>2101</v>
      </c>
      <c r="G299" s="274" t="s">
        <v>2432</v>
      </c>
    </row>
    <row r="300" spans="1:7" ht="17">
      <c r="A300" s="274" t="s">
        <v>2433</v>
      </c>
      <c r="B300" s="274" t="s">
        <v>2431</v>
      </c>
      <c r="C300" s="274" t="s">
        <v>108</v>
      </c>
      <c r="D300" s="274" t="s">
        <v>2515</v>
      </c>
      <c r="E300" s="275" t="s">
        <v>108</v>
      </c>
      <c r="F300" s="274" t="s">
        <v>2101</v>
      </c>
      <c r="G300" s="274" t="s">
        <v>2251</v>
      </c>
    </row>
    <row r="301" spans="1:7" ht="17">
      <c r="A301" s="75" t="s">
        <v>2522</v>
      </c>
      <c r="B301" s="75"/>
      <c r="C301" s="75"/>
      <c r="D301" s="75"/>
      <c r="E301" s="76"/>
      <c r="F301" s="75"/>
      <c r="G301" s="75"/>
    </row>
    <row r="302" spans="1:7" ht="17">
      <c r="A302" s="274" t="s">
        <v>2435</v>
      </c>
      <c r="B302" s="274" t="s">
        <v>2436</v>
      </c>
      <c r="C302" s="274" t="s">
        <v>108</v>
      </c>
      <c r="D302" s="274" t="s">
        <v>2515</v>
      </c>
      <c r="E302" s="275" t="s">
        <v>108</v>
      </c>
      <c r="F302" s="274" t="s">
        <v>2101</v>
      </c>
      <c r="G302" s="274" t="s">
        <v>2437</v>
      </c>
    </row>
    <row r="303" spans="1:7">
      <c r="A303" s="56" t="s">
        <v>2295</v>
      </c>
      <c r="B303" s="56" t="s">
        <v>2296</v>
      </c>
      <c r="C303" s="56" t="s">
        <v>2297</v>
      </c>
      <c r="D303" s="56" t="s">
        <v>2515</v>
      </c>
      <c r="E303" s="74" t="s">
        <v>2519</v>
      </c>
      <c r="F303" s="56" t="s">
        <v>2103</v>
      </c>
      <c r="G303" s="56" t="s">
        <v>2251</v>
      </c>
    </row>
    <row r="304" spans="1:7" ht="17">
      <c r="A304" s="274" t="s">
        <v>2298</v>
      </c>
      <c r="B304" s="274" t="s">
        <v>2296</v>
      </c>
      <c r="C304" s="274" t="s">
        <v>2292</v>
      </c>
      <c r="D304" s="274" t="s">
        <v>2515</v>
      </c>
      <c r="E304" s="275" t="s">
        <v>2519</v>
      </c>
      <c r="F304" s="274" t="s">
        <v>2103</v>
      </c>
      <c r="G304" s="274" t="s">
        <v>2251</v>
      </c>
    </row>
    <row r="305" spans="1:7" ht="17">
      <c r="A305" s="274" t="s">
        <v>2299</v>
      </c>
      <c r="B305" s="274" t="s">
        <v>2296</v>
      </c>
      <c r="C305" s="274" t="s">
        <v>2292</v>
      </c>
      <c r="D305" s="274" t="s">
        <v>2515</v>
      </c>
      <c r="E305" s="275" t="s">
        <v>2519</v>
      </c>
      <c r="F305" s="275" t="s">
        <v>2103</v>
      </c>
      <c r="G305" s="274" t="s">
        <v>2251</v>
      </c>
    </row>
    <row r="306" spans="1:7" ht="17">
      <c r="A306" s="274" t="s">
        <v>2300</v>
      </c>
      <c r="B306" s="274" t="s">
        <v>2301</v>
      </c>
      <c r="C306" s="274" t="s">
        <v>2292</v>
      </c>
      <c r="D306" s="274" t="s">
        <v>2515</v>
      </c>
      <c r="E306" s="275" t="s">
        <v>2519</v>
      </c>
      <c r="F306" s="274" t="s">
        <v>2103</v>
      </c>
      <c r="G306" s="274" t="s">
        <v>2251</v>
      </c>
    </row>
    <row r="307" spans="1:7" ht="17">
      <c r="A307" s="274" t="s">
        <v>2302</v>
      </c>
      <c r="B307" s="274"/>
      <c r="C307" s="274" t="s">
        <v>2292</v>
      </c>
      <c r="D307" s="274" t="s">
        <v>2515</v>
      </c>
      <c r="E307" s="275" t="s">
        <v>2519</v>
      </c>
      <c r="F307" s="274" t="s">
        <v>2103</v>
      </c>
      <c r="G307" s="274" t="s">
        <v>2251</v>
      </c>
    </row>
    <row r="308" spans="1:7" ht="17">
      <c r="A308" s="274" t="s">
        <v>2303</v>
      </c>
      <c r="B308" s="274"/>
      <c r="C308" s="274" t="s">
        <v>2292</v>
      </c>
      <c r="D308" s="274" t="s">
        <v>2515</v>
      </c>
      <c r="E308" s="275" t="s">
        <v>2519</v>
      </c>
      <c r="F308" s="275" t="s">
        <v>2103</v>
      </c>
      <c r="G308" s="274" t="s">
        <v>2251</v>
      </c>
    </row>
    <row r="309" spans="1:7" ht="17">
      <c r="A309" s="274" t="s">
        <v>2304</v>
      </c>
      <c r="B309" s="274"/>
      <c r="C309" s="274" t="s">
        <v>2292</v>
      </c>
      <c r="D309" s="274" t="s">
        <v>2515</v>
      </c>
      <c r="E309" s="275" t="s">
        <v>2519</v>
      </c>
      <c r="F309" s="274" t="s">
        <v>2103</v>
      </c>
      <c r="G309" s="274" t="s">
        <v>2251</v>
      </c>
    </row>
    <row r="310" spans="1:7" ht="17">
      <c r="A310" s="75" t="s">
        <v>2523</v>
      </c>
      <c r="B310" s="75"/>
      <c r="C310" s="75"/>
      <c r="D310" s="75"/>
      <c r="E310" s="76"/>
      <c r="F310" s="75"/>
      <c r="G310" s="75"/>
    </row>
    <row r="311" spans="1:7" ht="17">
      <c r="A311" s="274" t="s">
        <v>2439</v>
      </c>
      <c r="B311" s="274" t="s">
        <v>2440</v>
      </c>
      <c r="C311" s="274" t="s">
        <v>108</v>
      </c>
      <c r="D311" s="274" t="s">
        <v>2515</v>
      </c>
      <c r="E311" s="275" t="s">
        <v>108</v>
      </c>
      <c r="F311" s="274" t="s">
        <v>2101</v>
      </c>
      <c r="G311" s="274" t="s">
        <v>2251</v>
      </c>
    </row>
    <row r="312" spans="1:7" ht="17">
      <c r="A312" s="274" t="s">
        <v>2441</v>
      </c>
      <c r="B312" s="274" t="s">
        <v>2442</v>
      </c>
      <c r="C312" s="274" t="s">
        <v>2427</v>
      </c>
      <c r="D312" s="274" t="s">
        <v>2515</v>
      </c>
      <c r="E312" s="275" t="s">
        <v>108</v>
      </c>
      <c r="F312" s="274" t="s">
        <v>2101</v>
      </c>
      <c r="G312" s="274" t="s">
        <v>2251</v>
      </c>
    </row>
    <row r="313" spans="1:7" ht="17">
      <c r="A313" s="274" t="s">
        <v>2443</v>
      </c>
      <c r="B313" s="274" t="s">
        <v>2440</v>
      </c>
      <c r="C313" s="274" t="s">
        <v>2444</v>
      </c>
      <c r="D313" s="274" t="s">
        <v>2515</v>
      </c>
      <c r="E313" s="275" t="s">
        <v>108</v>
      </c>
      <c r="F313" s="274" t="s">
        <v>2101</v>
      </c>
      <c r="G313" s="274" t="s">
        <v>2445</v>
      </c>
    </row>
    <row r="314" spans="1:7" ht="17">
      <c r="A314" s="274" t="s">
        <v>2306</v>
      </c>
      <c r="B314" s="274" t="s">
        <v>2291</v>
      </c>
      <c r="C314" s="274" t="s">
        <v>2307</v>
      </c>
      <c r="D314" s="274" t="s">
        <v>2515</v>
      </c>
      <c r="E314" s="275" t="s">
        <v>108</v>
      </c>
      <c r="F314" s="274" t="s">
        <v>2101</v>
      </c>
      <c r="G314" s="274" t="s">
        <v>2251</v>
      </c>
    </row>
    <row r="315" spans="1:7" ht="17">
      <c r="A315" s="274" t="s">
        <v>2310</v>
      </c>
      <c r="B315" s="274" t="s">
        <v>2291</v>
      </c>
      <c r="C315" s="274" t="s">
        <v>2311</v>
      </c>
      <c r="D315" s="274" t="s">
        <v>2515</v>
      </c>
      <c r="E315" s="275" t="s">
        <v>2373</v>
      </c>
      <c r="F315" s="274" t="s">
        <v>2103</v>
      </c>
      <c r="G315" s="274" t="s">
        <v>2251</v>
      </c>
    </row>
    <row r="316" spans="1:7" ht="17">
      <c r="A316" s="274" t="s">
        <v>2313</v>
      </c>
      <c r="B316" s="274" t="s">
        <v>2291</v>
      </c>
      <c r="C316" s="274" t="s">
        <v>2292</v>
      </c>
      <c r="D316" s="274" t="s">
        <v>2515</v>
      </c>
      <c r="E316" s="275" t="s">
        <v>2519</v>
      </c>
      <c r="F316" s="274" t="s">
        <v>2103</v>
      </c>
      <c r="G316" s="274" t="s">
        <v>2251</v>
      </c>
    </row>
    <row r="317" spans="1:7" ht="17">
      <c r="A317" s="274" t="s">
        <v>2314</v>
      </c>
      <c r="B317" s="274" t="s">
        <v>2291</v>
      </c>
      <c r="C317" s="274" t="s">
        <v>2292</v>
      </c>
      <c r="D317" s="274" t="s">
        <v>2515</v>
      </c>
      <c r="E317" s="275" t="s">
        <v>2519</v>
      </c>
      <c r="F317" s="274" t="s">
        <v>2103</v>
      </c>
      <c r="G317" s="274" t="s">
        <v>2251</v>
      </c>
    </row>
    <row r="318" spans="1:7" ht="17">
      <c r="A318" s="274" t="s">
        <v>2447</v>
      </c>
      <c r="B318" s="274" t="s">
        <v>2440</v>
      </c>
      <c r="C318" s="274" t="s">
        <v>2403</v>
      </c>
      <c r="D318" s="274" t="s">
        <v>2515</v>
      </c>
      <c r="E318" s="275" t="s">
        <v>2403</v>
      </c>
      <c r="F318" s="274" t="s">
        <v>2101</v>
      </c>
      <c r="G318" s="274" t="s">
        <v>2251</v>
      </c>
    </row>
    <row r="319" spans="1:7" ht="17">
      <c r="A319" s="274" t="s">
        <v>2448</v>
      </c>
      <c r="B319" s="274" t="s">
        <v>2449</v>
      </c>
      <c r="C319" s="274" t="s">
        <v>108</v>
      </c>
      <c r="D319" s="274" t="s">
        <v>2515</v>
      </c>
      <c r="E319" s="275" t="s">
        <v>108</v>
      </c>
      <c r="F319" s="274" t="s">
        <v>2101</v>
      </c>
      <c r="G319" s="274" t="s">
        <v>2251</v>
      </c>
    </row>
    <row r="320" spans="1:7" ht="17">
      <c r="A320" s="75" t="s">
        <v>2524</v>
      </c>
      <c r="B320" s="75"/>
      <c r="C320" s="75"/>
      <c r="D320" s="75"/>
      <c r="E320" s="76"/>
      <c r="F320" s="75"/>
      <c r="G320" s="75"/>
    </row>
    <row r="321" spans="1:7" ht="17">
      <c r="A321" s="274" t="s">
        <v>2451</v>
      </c>
      <c r="B321" s="274"/>
      <c r="C321" s="274" t="s">
        <v>2403</v>
      </c>
      <c r="D321" s="274" t="s">
        <v>2515</v>
      </c>
      <c r="E321" s="275" t="s">
        <v>2403</v>
      </c>
      <c r="F321" s="274" t="s">
        <v>2101</v>
      </c>
      <c r="G321" s="274" t="s">
        <v>2251</v>
      </c>
    </row>
    <row r="322" spans="1:7" ht="17">
      <c r="A322" s="274" t="s">
        <v>2375</v>
      </c>
      <c r="B322" s="274"/>
      <c r="C322" s="274" t="s">
        <v>2376</v>
      </c>
      <c r="D322" s="274" t="s">
        <v>2515</v>
      </c>
      <c r="E322" s="275" t="s">
        <v>2376</v>
      </c>
      <c r="F322" s="274" t="s">
        <v>2102</v>
      </c>
      <c r="G322" s="274" t="s">
        <v>2251</v>
      </c>
    </row>
    <row r="323" spans="1:7" ht="17">
      <c r="A323" s="274" t="s">
        <v>2452</v>
      </c>
      <c r="B323" s="274" t="s">
        <v>2440</v>
      </c>
      <c r="C323" s="274" t="s">
        <v>108</v>
      </c>
      <c r="D323" s="274" t="s">
        <v>2515</v>
      </c>
      <c r="E323" s="275" t="s">
        <v>108</v>
      </c>
      <c r="F323" s="274" t="s">
        <v>2101</v>
      </c>
      <c r="G323" s="274" t="s">
        <v>2251</v>
      </c>
    </row>
    <row r="324" spans="1:7" ht="17">
      <c r="A324" s="274" t="s">
        <v>2453</v>
      </c>
      <c r="B324" s="274" t="s">
        <v>2440</v>
      </c>
      <c r="C324" s="274" t="s">
        <v>108</v>
      </c>
      <c r="D324" s="274" t="s">
        <v>2515</v>
      </c>
      <c r="E324" s="275" t="s">
        <v>108</v>
      </c>
      <c r="F324" s="274" t="s">
        <v>2101</v>
      </c>
      <c r="G324" s="274" t="s">
        <v>2251</v>
      </c>
    </row>
    <row r="325" spans="1:7" ht="17">
      <c r="A325" s="274" t="s">
        <v>2454</v>
      </c>
      <c r="B325" s="274" t="s">
        <v>2301</v>
      </c>
      <c r="C325" s="274" t="s">
        <v>108</v>
      </c>
      <c r="D325" s="274" t="s">
        <v>2515</v>
      </c>
      <c r="E325" s="275" t="s">
        <v>108</v>
      </c>
      <c r="F325" s="274" t="s">
        <v>2101</v>
      </c>
      <c r="G325" s="274" t="s">
        <v>2251</v>
      </c>
    </row>
    <row r="326" spans="1:7">
      <c r="A326" s="56" t="s">
        <v>2455</v>
      </c>
      <c r="B326" s="56" t="s">
        <v>2456</v>
      </c>
      <c r="C326" s="56" t="s">
        <v>2403</v>
      </c>
      <c r="D326" s="56" t="s">
        <v>2515</v>
      </c>
      <c r="E326" s="74" t="s">
        <v>2403</v>
      </c>
      <c r="F326" s="74" t="s">
        <v>2101</v>
      </c>
      <c r="G326" s="56" t="s">
        <v>2251</v>
      </c>
    </row>
    <row r="327" spans="1:7" ht="17">
      <c r="A327" s="274" t="s">
        <v>2457</v>
      </c>
      <c r="B327" s="274" t="s">
        <v>2456</v>
      </c>
      <c r="C327" s="274" t="s">
        <v>2403</v>
      </c>
      <c r="D327" s="274" t="s">
        <v>2515</v>
      </c>
      <c r="E327" s="275" t="s">
        <v>2403</v>
      </c>
      <c r="F327" s="274" t="s">
        <v>2101</v>
      </c>
      <c r="G327" s="274" t="s">
        <v>2251</v>
      </c>
    </row>
    <row r="328" spans="1:7" ht="17">
      <c r="A328" s="274" t="s">
        <v>2316</v>
      </c>
      <c r="B328" s="274" t="s">
        <v>2291</v>
      </c>
      <c r="C328" s="274" t="s">
        <v>2292</v>
      </c>
      <c r="D328" s="274" t="s">
        <v>2515</v>
      </c>
      <c r="E328" s="275" t="s">
        <v>2519</v>
      </c>
      <c r="F328" s="274" t="s">
        <v>2103</v>
      </c>
      <c r="G328" s="274" t="s">
        <v>2251</v>
      </c>
    </row>
    <row r="329" spans="1:7" ht="17">
      <c r="A329" s="274" t="s">
        <v>2458</v>
      </c>
      <c r="B329" s="274" t="s">
        <v>2456</v>
      </c>
      <c r="C329" s="274" t="s">
        <v>108</v>
      </c>
      <c r="D329" s="274" t="s">
        <v>2515</v>
      </c>
      <c r="E329" s="275" t="s">
        <v>108</v>
      </c>
      <c r="F329" s="274" t="s">
        <v>2101</v>
      </c>
      <c r="G329" s="274" t="s">
        <v>2459</v>
      </c>
    </row>
    <row r="330" spans="1:7" ht="17">
      <c r="A330" s="75" t="s">
        <v>2525</v>
      </c>
      <c r="B330" s="75"/>
      <c r="C330" s="75"/>
      <c r="D330" s="75"/>
      <c r="E330" s="76"/>
      <c r="F330" s="75"/>
      <c r="G330" s="75"/>
    </row>
    <row r="331" spans="1:7" ht="17">
      <c r="A331" s="274" t="s">
        <v>2461</v>
      </c>
      <c r="B331" s="274" t="s">
        <v>2462</v>
      </c>
      <c r="C331" s="274" t="s">
        <v>108</v>
      </c>
      <c r="D331" s="274" t="s">
        <v>2515</v>
      </c>
      <c r="E331" s="275" t="s">
        <v>108</v>
      </c>
      <c r="F331" s="274" t="s">
        <v>2101</v>
      </c>
      <c r="G331" s="274" t="s">
        <v>2251</v>
      </c>
    </row>
    <row r="332" spans="1:7" ht="17">
      <c r="A332" s="274" t="s">
        <v>2463</v>
      </c>
      <c r="B332" s="274" t="s">
        <v>2464</v>
      </c>
      <c r="C332" s="274" t="s">
        <v>108</v>
      </c>
      <c r="D332" s="274" t="s">
        <v>2515</v>
      </c>
      <c r="E332" s="275" t="s">
        <v>108</v>
      </c>
      <c r="F332" s="274" t="s">
        <v>2101</v>
      </c>
      <c r="G332" s="274" t="s">
        <v>2251</v>
      </c>
    </row>
    <row r="333" spans="1:7" ht="17">
      <c r="A333" s="274" t="s">
        <v>2465</v>
      </c>
      <c r="B333" s="274" t="s">
        <v>2464</v>
      </c>
      <c r="C333" s="274" t="s">
        <v>108</v>
      </c>
      <c r="D333" s="274" t="s">
        <v>2515</v>
      </c>
      <c r="E333" s="275" t="s">
        <v>108</v>
      </c>
      <c r="F333" s="274" t="s">
        <v>2101</v>
      </c>
      <c r="G333" s="274" t="s">
        <v>2251</v>
      </c>
    </row>
    <row r="334" spans="1:7" ht="17">
      <c r="A334" s="75" t="s">
        <v>2526</v>
      </c>
      <c r="B334" s="75"/>
      <c r="C334" s="75"/>
      <c r="D334" s="75"/>
      <c r="E334" s="76"/>
      <c r="F334" s="75"/>
      <c r="G334" s="75"/>
    </row>
    <row r="335" spans="1:7" ht="17">
      <c r="A335" s="274" t="s">
        <v>2378</v>
      </c>
      <c r="B335" s="274" t="s">
        <v>2379</v>
      </c>
      <c r="C335" s="274" t="s">
        <v>552</v>
      </c>
      <c r="D335" s="274" t="s">
        <v>2515</v>
      </c>
      <c r="E335" s="275" t="s">
        <v>552</v>
      </c>
      <c r="F335" s="274" t="s">
        <v>2102</v>
      </c>
      <c r="G335" s="274" t="s">
        <v>2380</v>
      </c>
    </row>
    <row r="336" spans="1:7" ht="17">
      <c r="A336" s="274" t="s">
        <v>2381</v>
      </c>
      <c r="B336" s="274" t="s">
        <v>2382</v>
      </c>
      <c r="C336" s="274" t="s">
        <v>2383</v>
      </c>
      <c r="D336" s="274" t="s">
        <v>2515</v>
      </c>
      <c r="E336" s="275" t="s">
        <v>552</v>
      </c>
      <c r="F336" s="274" t="s">
        <v>2102</v>
      </c>
      <c r="G336" s="274" t="s">
        <v>2384</v>
      </c>
    </row>
    <row r="337" spans="1:7" ht="17">
      <c r="A337" s="274" t="s">
        <v>2467</v>
      </c>
      <c r="B337" s="274" t="s">
        <v>2319</v>
      </c>
      <c r="C337" s="274" t="s">
        <v>2403</v>
      </c>
      <c r="D337" s="274" t="s">
        <v>2515</v>
      </c>
      <c r="E337" s="275" t="s">
        <v>2403</v>
      </c>
      <c r="F337" s="274" t="s">
        <v>2101</v>
      </c>
      <c r="G337" s="274" t="s">
        <v>2468</v>
      </c>
    </row>
    <row r="338" spans="1:7" ht="17">
      <c r="A338" s="274" t="s">
        <v>2469</v>
      </c>
      <c r="B338" s="274" t="s">
        <v>2382</v>
      </c>
      <c r="C338" s="274" t="s">
        <v>108</v>
      </c>
      <c r="D338" s="274" t="s">
        <v>2515</v>
      </c>
      <c r="E338" s="275" t="s">
        <v>108</v>
      </c>
      <c r="F338" s="274" t="s">
        <v>2101</v>
      </c>
      <c r="G338" s="274" t="s">
        <v>2470</v>
      </c>
    </row>
    <row r="339" spans="1:7" ht="17">
      <c r="A339" s="274" t="s">
        <v>2471</v>
      </c>
      <c r="B339" s="274" t="s">
        <v>2379</v>
      </c>
      <c r="C339" s="274" t="s">
        <v>108</v>
      </c>
      <c r="D339" s="274" t="s">
        <v>2515</v>
      </c>
      <c r="E339" s="275" t="s">
        <v>108</v>
      </c>
      <c r="F339" s="274" t="s">
        <v>2101</v>
      </c>
      <c r="G339" s="274" t="s">
        <v>2472</v>
      </c>
    </row>
    <row r="340" spans="1:7" ht="17">
      <c r="A340" s="274" t="s">
        <v>2473</v>
      </c>
      <c r="B340" s="274" t="s">
        <v>2474</v>
      </c>
      <c r="C340" s="274" t="s">
        <v>108</v>
      </c>
      <c r="D340" s="274" t="s">
        <v>2515</v>
      </c>
      <c r="E340" s="275" t="s">
        <v>108</v>
      </c>
      <c r="F340" s="274" t="s">
        <v>2101</v>
      </c>
      <c r="G340" s="274" t="s">
        <v>2475</v>
      </c>
    </row>
    <row r="341" spans="1:7" ht="17">
      <c r="A341" s="274" t="s">
        <v>2324</v>
      </c>
      <c r="B341" s="274" t="s">
        <v>2325</v>
      </c>
      <c r="C341" s="274"/>
      <c r="D341" s="274" t="s">
        <v>2249</v>
      </c>
      <c r="E341" s="275"/>
      <c r="F341" s="274" t="s">
        <v>2326</v>
      </c>
      <c r="G341" s="274" t="s">
        <v>2251</v>
      </c>
    </row>
    <row r="342" spans="1:7">
      <c r="A342" s="56" t="s">
        <v>2327</v>
      </c>
      <c r="B342" s="56" t="s">
        <v>2325</v>
      </c>
      <c r="C342" s="56"/>
      <c r="D342" s="56" t="s">
        <v>2249</v>
      </c>
      <c r="E342" s="74"/>
      <c r="F342" s="56" t="s">
        <v>2326</v>
      </c>
      <c r="G342" s="56" t="s">
        <v>2251</v>
      </c>
    </row>
    <row r="343" spans="1:7" ht="17">
      <c r="A343" s="274" t="s">
        <v>2328</v>
      </c>
      <c r="B343" s="274" t="s">
        <v>2325</v>
      </c>
      <c r="C343" s="274" t="s">
        <v>2329</v>
      </c>
      <c r="D343" s="274" t="s">
        <v>2249</v>
      </c>
      <c r="E343" s="275"/>
      <c r="F343" s="274" t="s">
        <v>2330</v>
      </c>
      <c r="G343" s="274" t="s">
        <v>2331</v>
      </c>
    </row>
    <row r="344" spans="1:7" ht="17">
      <c r="A344" s="75" t="s">
        <v>2527</v>
      </c>
      <c r="B344" s="75"/>
      <c r="C344" s="75"/>
      <c r="D344" s="75"/>
      <c r="E344" s="76"/>
      <c r="F344" s="75"/>
      <c r="G344" s="75"/>
    </row>
    <row r="345" spans="1:7" ht="17">
      <c r="A345" s="274" t="s">
        <v>2477</v>
      </c>
      <c r="B345" s="274" t="s">
        <v>2382</v>
      </c>
      <c r="C345" s="274" t="s">
        <v>108</v>
      </c>
      <c r="D345" s="274" t="s">
        <v>2515</v>
      </c>
      <c r="E345" s="275" t="s">
        <v>108</v>
      </c>
      <c r="F345" s="274" t="s">
        <v>2101</v>
      </c>
      <c r="G345" s="274" t="s">
        <v>2478</v>
      </c>
    </row>
    <row r="346" spans="1:7" ht="17">
      <c r="A346" s="274" t="s">
        <v>2334</v>
      </c>
      <c r="B346" s="274" t="s">
        <v>2291</v>
      </c>
      <c r="C346" s="274" t="s">
        <v>2311</v>
      </c>
      <c r="D346" s="274" t="s">
        <v>2249</v>
      </c>
      <c r="E346" s="275"/>
      <c r="F346" s="274" t="s">
        <v>2335</v>
      </c>
      <c r="G346" s="274" t="s">
        <v>2335</v>
      </c>
    </row>
    <row r="347" spans="1:7" ht="17">
      <c r="A347" s="274" t="s">
        <v>2334</v>
      </c>
      <c r="B347" s="274" t="s">
        <v>2291</v>
      </c>
      <c r="C347" s="274" t="s">
        <v>2311</v>
      </c>
      <c r="D347" s="274" t="s">
        <v>2515</v>
      </c>
      <c r="E347" s="275" t="s">
        <v>2373</v>
      </c>
      <c r="F347" s="274" t="s">
        <v>2103</v>
      </c>
      <c r="G347" s="274" t="s">
        <v>2335</v>
      </c>
    </row>
    <row r="348" spans="1:7" ht="17">
      <c r="A348" s="274" t="s">
        <v>2336</v>
      </c>
      <c r="B348" s="274" t="s">
        <v>2291</v>
      </c>
      <c r="C348" s="274" t="s">
        <v>552</v>
      </c>
      <c r="D348" s="274" t="s">
        <v>2249</v>
      </c>
      <c r="E348" s="275"/>
      <c r="F348" s="274" t="s">
        <v>2337</v>
      </c>
      <c r="G348" s="274" t="s">
        <v>2337</v>
      </c>
    </row>
    <row r="349" spans="1:7">
      <c r="A349" s="56" t="s">
        <v>2336</v>
      </c>
      <c r="B349" s="56" t="s">
        <v>2291</v>
      </c>
      <c r="C349" s="56" t="s">
        <v>552</v>
      </c>
      <c r="D349" s="56" t="s">
        <v>2515</v>
      </c>
      <c r="E349" s="74" t="s">
        <v>552</v>
      </c>
      <c r="F349" s="56" t="s">
        <v>2102</v>
      </c>
      <c r="G349" s="56" t="s">
        <v>2337</v>
      </c>
    </row>
    <row r="350" spans="1:7" ht="17">
      <c r="A350" s="274" t="s">
        <v>2479</v>
      </c>
      <c r="B350" s="274" t="s">
        <v>2480</v>
      </c>
      <c r="C350" s="274" t="s">
        <v>108</v>
      </c>
      <c r="D350" s="274" t="s">
        <v>2515</v>
      </c>
      <c r="E350" s="275" t="s">
        <v>108</v>
      </c>
      <c r="F350" s="274" t="s">
        <v>2101</v>
      </c>
      <c r="G350" s="274" t="s">
        <v>2481</v>
      </c>
    </row>
    <row r="351" spans="1:7" ht="17">
      <c r="A351" s="274" t="s">
        <v>2482</v>
      </c>
      <c r="B351" s="274" t="s">
        <v>2480</v>
      </c>
      <c r="C351" s="274" t="s">
        <v>108</v>
      </c>
      <c r="D351" s="274" t="s">
        <v>2515</v>
      </c>
      <c r="E351" s="275" t="s">
        <v>108</v>
      </c>
      <c r="F351" s="274" t="s">
        <v>2101</v>
      </c>
      <c r="G351" s="274" t="s">
        <v>2483</v>
      </c>
    </row>
    <row r="352" spans="1:7" ht="17">
      <c r="A352" s="274" t="s">
        <v>2484</v>
      </c>
      <c r="B352" s="274" t="s">
        <v>2382</v>
      </c>
      <c r="C352" s="274" t="s">
        <v>2403</v>
      </c>
      <c r="D352" s="274" t="s">
        <v>2515</v>
      </c>
      <c r="E352" s="275" t="s">
        <v>2403</v>
      </c>
      <c r="F352" s="274" t="s">
        <v>2101</v>
      </c>
      <c r="G352" s="274" t="s">
        <v>2251</v>
      </c>
    </row>
    <row r="353" spans="1:7" ht="17">
      <c r="A353" s="274" t="s">
        <v>2485</v>
      </c>
      <c r="B353" s="274" t="s">
        <v>2486</v>
      </c>
      <c r="C353" s="274" t="s">
        <v>2487</v>
      </c>
      <c r="D353" s="274" t="s">
        <v>2515</v>
      </c>
      <c r="E353" s="275" t="s">
        <v>108</v>
      </c>
      <c r="F353" s="274" t="s">
        <v>2101</v>
      </c>
      <c r="G353" s="274" t="s">
        <v>2251</v>
      </c>
    </row>
    <row r="354" spans="1:7" ht="17">
      <c r="A354" s="274" t="s">
        <v>2386</v>
      </c>
      <c r="B354" s="274" t="s">
        <v>2291</v>
      </c>
      <c r="C354" s="274" t="s">
        <v>552</v>
      </c>
      <c r="D354" s="274" t="s">
        <v>2515</v>
      </c>
      <c r="E354" s="275" t="s">
        <v>552</v>
      </c>
      <c r="F354" s="274" t="s">
        <v>2102</v>
      </c>
      <c r="G354" s="274" t="s">
        <v>2387</v>
      </c>
    </row>
    <row r="355" spans="1:7" ht="17">
      <c r="A355" s="75" t="s">
        <v>2528</v>
      </c>
      <c r="B355" s="75"/>
      <c r="C355" s="75"/>
      <c r="D355" s="75"/>
      <c r="E355" s="76"/>
      <c r="F355" s="75"/>
      <c r="G355" s="75"/>
    </row>
    <row r="356" spans="1:7" ht="17">
      <c r="A356" s="274" t="s">
        <v>2389</v>
      </c>
      <c r="B356" s="274"/>
      <c r="C356" s="274" t="s">
        <v>552</v>
      </c>
      <c r="D356" s="274" t="s">
        <v>2515</v>
      </c>
      <c r="E356" s="275" t="s">
        <v>552</v>
      </c>
      <c r="F356" s="274" t="s">
        <v>2102</v>
      </c>
      <c r="G356" s="274" t="s">
        <v>2251</v>
      </c>
    </row>
    <row r="357" spans="1:7" ht="17">
      <c r="A357" s="274" t="s">
        <v>2489</v>
      </c>
      <c r="B357" s="274" t="s">
        <v>2490</v>
      </c>
      <c r="C357" s="274" t="s">
        <v>108</v>
      </c>
      <c r="D357" s="274" t="s">
        <v>2515</v>
      </c>
      <c r="E357" s="275" t="s">
        <v>108</v>
      </c>
      <c r="F357" s="274" t="s">
        <v>2101</v>
      </c>
      <c r="G357" s="274" t="s">
        <v>2251</v>
      </c>
    </row>
    <row r="358" spans="1:7" ht="17">
      <c r="A358" s="274" t="s">
        <v>2491</v>
      </c>
      <c r="B358" s="274" t="s">
        <v>2490</v>
      </c>
      <c r="C358" s="274" t="s">
        <v>2403</v>
      </c>
      <c r="D358" s="274" t="s">
        <v>2515</v>
      </c>
      <c r="E358" s="275" t="s">
        <v>2403</v>
      </c>
      <c r="F358" s="274" t="s">
        <v>2101</v>
      </c>
      <c r="G358" s="274" t="s">
        <v>2492</v>
      </c>
    </row>
    <row r="359" spans="1:7">
      <c r="A359" s="56" t="s">
        <v>2529</v>
      </c>
      <c r="B359" s="56" t="s">
        <v>2494</v>
      </c>
      <c r="C359" s="56" t="s">
        <v>2530</v>
      </c>
      <c r="D359" s="56" t="s">
        <v>2515</v>
      </c>
      <c r="E359" s="74" t="s">
        <v>2531</v>
      </c>
      <c r="F359" s="56" t="s">
        <v>2098</v>
      </c>
      <c r="G359" s="56" t="s">
        <v>2532</v>
      </c>
    </row>
    <row r="360" spans="1:7" ht="17">
      <c r="A360" s="274" t="s">
        <v>2493</v>
      </c>
      <c r="B360" s="274" t="s">
        <v>2494</v>
      </c>
      <c r="C360" s="274" t="s">
        <v>2421</v>
      </c>
      <c r="D360" s="274" t="s">
        <v>2515</v>
      </c>
      <c r="E360" s="275" t="s">
        <v>108</v>
      </c>
      <c r="F360" s="274" t="s">
        <v>2101</v>
      </c>
      <c r="G360" s="274" t="s">
        <v>2495</v>
      </c>
    </row>
    <row r="361" spans="1:7" ht="17">
      <c r="A361" s="274" t="s">
        <v>2496</v>
      </c>
      <c r="B361" s="274" t="s">
        <v>2490</v>
      </c>
      <c r="C361" s="274" t="s">
        <v>2497</v>
      </c>
      <c r="D361" s="274" t="s">
        <v>2515</v>
      </c>
      <c r="E361" s="275" t="s">
        <v>108</v>
      </c>
      <c r="F361" s="274" t="s">
        <v>2101</v>
      </c>
      <c r="G361" s="274" t="s">
        <v>2251</v>
      </c>
    </row>
    <row r="362" spans="1:7" ht="17">
      <c r="A362" s="274" t="s">
        <v>2498</v>
      </c>
      <c r="B362" s="274" t="s">
        <v>2490</v>
      </c>
      <c r="C362" s="274" t="s">
        <v>2499</v>
      </c>
      <c r="D362" s="274" t="s">
        <v>2515</v>
      </c>
      <c r="E362" s="275" t="s">
        <v>108</v>
      </c>
      <c r="F362" s="274" t="s">
        <v>2101</v>
      </c>
      <c r="G362" s="274" t="s">
        <v>2500</v>
      </c>
    </row>
    <row r="363" spans="1:7" ht="17">
      <c r="A363" s="75" t="s">
        <v>2533</v>
      </c>
      <c r="B363" s="75"/>
      <c r="C363" s="75"/>
      <c r="D363" s="75"/>
      <c r="E363" s="76"/>
      <c r="F363" s="75"/>
      <c r="G363" s="75"/>
    </row>
    <row r="364" spans="1:7" ht="17">
      <c r="A364" s="274" t="s">
        <v>2502</v>
      </c>
      <c r="B364" s="274" t="s">
        <v>2325</v>
      </c>
      <c r="C364" s="274" t="s">
        <v>2503</v>
      </c>
      <c r="D364" s="274" t="s">
        <v>2515</v>
      </c>
      <c r="E364" s="275" t="s">
        <v>108</v>
      </c>
      <c r="F364" s="274" t="s">
        <v>2101</v>
      </c>
      <c r="G364" s="274" t="s">
        <v>2504</v>
      </c>
    </row>
    <row r="365" spans="1:7">
      <c r="A365" s="56" t="s">
        <v>2341</v>
      </c>
      <c r="B365" s="56" t="s">
        <v>2342</v>
      </c>
      <c r="C365" s="56" t="s">
        <v>2343</v>
      </c>
      <c r="D365" s="56" t="s">
        <v>2249</v>
      </c>
      <c r="E365" s="74"/>
      <c r="F365" s="74" t="s">
        <v>2250</v>
      </c>
      <c r="G365" s="56" t="s">
        <v>2344</v>
      </c>
    </row>
    <row r="366" spans="1:7" ht="17">
      <c r="A366" s="274" t="s">
        <v>2341</v>
      </c>
      <c r="B366" s="274" t="s">
        <v>2342</v>
      </c>
      <c r="C366" s="274" t="s">
        <v>2343</v>
      </c>
      <c r="D366" s="274" t="s">
        <v>2515</v>
      </c>
      <c r="E366" s="275" t="s">
        <v>108</v>
      </c>
      <c r="F366" s="274" t="s">
        <v>2101</v>
      </c>
      <c r="G366" s="274" t="s">
        <v>2344</v>
      </c>
    </row>
    <row r="367" spans="1:7" ht="17">
      <c r="A367" s="274" t="s">
        <v>2348</v>
      </c>
      <c r="B367" s="274"/>
      <c r="C367" s="274" t="s">
        <v>2292</v>
      </c>
      <c r="D367" s="274" t="s">
        <v>2515</v>
      </c>
      <c r="E367" s="275" t="s">
        <v>2519</v>
      </c>
      <c r="F367" s="275" t="s">
        <v>2103</v>
      </c>
      <c r="G367" s="274" t="s">
        <v>2251</v>
      </c>
    </row>
    <row r="368" spans="1:7">
      <c r="A368" s="56" t="s">
        <v>2505</v>
      </c>
      <c r="B368" s="56" t="s">
        <v>2291</v>
      </c>
      <c r="C368" s="56" t="s">
        <v>108</v>
      </c>
      <c r="D368" s="56" t="s">
        <v>2515</v>
      </c>
      <c r="E368" s="74" t="s">
        <v>108</v>
      </c>
      <c r="F368" s="56" t="s">
        <v>2101</v>
      </c>
      <c r="G368" s="56" t="s">
        <v>2251</v>
      </c>
    </row>
    <row r="369" spans="1:7">
      <c r="A369" s="56" t="s">
        <v>2506</v>
      </c>
      <c r="B369" s="56" t="s">
        <v>2346</v>
      </c>
      <c r="C369" s="56" t="s">
        <v>2507</v>
      </c>
      <c r="D369" s="56" t="s">
        <v>2515</v>
      </c>
      <c r="E369" s="74" t="s">
        <v>2507</v>
      </c>
      <c r="F369" s="74" t="s">
        <v>2101</v>
      </c>
      <c r="G369" s="56" t="s">
        <v>2508</v>
      </c>
    </row>
    <row r="370" spans="1:7" ht="17">
      <c r="A370" s="75" t="s">
        <v>2534</v>
      </c>
      <c r="B370" s="75"/>
      <c r="C370" s="75"/>
      <c r="D370" s="75"/>
      <c r="E370" s="76"/>
      <c r="F370" s="75"/>
      <c r="G370" s="75"/>
    </row>
    <row r="371" spans="1:7" ht="17">
      <c r="A371" s="274" t="s">
        <v>2247</v>
      </c>
      <c r="B371" s="274" t="s">
        <v>2248</v>
      </c>
      <c r="C371" s="274"/>
      <c r="D371" s="274" t="s">
        <v>2249</v>
      </c>
      <c r="E371" s="275"/>
      <c r="F371" s="274" t="s">
        <v>2250</v>
      </c>
      <c r="G371" s="274" t="s">
        <v>2251</v>
      </c>
    </row>
    <row r="372" spans="1:7">
      <c r="A372" s="56" t="s">
        <v>2252</v>
      </c>
      <c r="B372" s="56" t="s">
        <v>2248</v>
      </c>
      <c r="C372" s="56"/>
      <c r="D372" s="56" t="s">
        <v>2249</v>
      </c>
      <c r="E372" s="74"/>
      <c r="F372" s="56" t="s">
        <v>2250</v>
      </c>
      <c r="G372" s="56" t="s">
        <v>2251</v>
      </c>
    </row>
    <row r="373" spans="1:7" ht="17">
      <c r="A373" s="75" t="s">
        <v>2535</v>
      </c>
      <c r="B373" s="75"/>
      <c r="C373" s="75"/>
      <c r="D373" s="75"/>
      <c r="E373" s="76"/>
      <c r="F373" s="75"/>
      <c r="G373" s="75"/>
    </row>
    <row r="374" spans="1:7" ht="17">
      <c r="A374" s="274" t="s">
        <v>2254</v>
      </c>
      <c r="B374" s="274" t="s">
        <v>2248</v>
      </c>
      <c r="C374" s="274"/>
      <c r="D374" s="274" t="s">
        <v>2249</v>
      </c>
      <c r="E374" s="275"/>
      <c r="F374" s="274" t="s">
        <v>2255</v>
      </c>
      <c r="G374" s="274" t="s">
        <v>2251</v>
      </c>
    </row>
    <row r="375" spans="1:7" ht="17">
      <c r="A375" s="274" t="s">
        <v>2256</v>
      </c>
      <c r="B375" s="274" t="s">
        <v>2257</v>
      </c>
      <c r="C375" s="274"/>
      <c r="D375" s="274" t="s">
        <v>2249</v>
      </c>
      <c r="E375" s="275"/>
      <c r="F375" s="274" t="s">
        <v>2250</v>
      </c>
      <c r="G375" s="274" t="s">
        <v>2251</v>
      </c>
    </row>
    <row r="376" spans="1:7" ht="17">
      <c r="A376" s="274" t="s">
        <v>2258</v>
      </c>
      <c r="B376" s="274" t="s">
        <v>2257</v>
      </c>
      <c r="C376" s="274"/>
      <c r="D376" s="274" t="s">
        <v>2249</v>
      </c>
      <c r="E376" s="275"/>
      <c r="F376" s="274" t="s">
        <v>2250</v>
      </c>
      <c r="G376" s="274" t="s">
        <v>2251</v>
      </c>
    </row>
    <row r="377" spans="1:7" ht="17">
      <c r="A377" s="274" t="s">
        <v>2259</v>
      </c>
      <c r="B377" s="274" t="s">
        <v>2248</v>
      </c>
      <c r="C377" s="274"/>
      <c r="D377" s="274" t="s">
        <v>2249</v>
      </c>
      <c r="E377" s="275"/>
      <c r="F377" s="274" t="s">
        <v>2255</v>
      </c>
      <c r="G377" s="274" t="s">
        <v>2251</v>
      </c>
    </row>
    <row r="378" spans="1:7" ht="17">
      <c r="A378" s="274" t="s">
        <v>2260</v>
      </c>
      <c r="B378" s="274" t="s">
        <v>2257</v>
      </c>
      <c r="C378" s="274"/>
      <c r="D378" s="274" t="s">
        <v>2249</v>
      </c>
      <c r="E378" s="275"/>
      <c r="F378" s="274" t="s">
        <v>2250</v>
      </c>
      <c r="G378" s="274" t="s">
        <v>2251</v>
      </c>
    </row>
    <row r="379" spans="1:7">
      <c r="A379" s="56" t="s">
        <v>2261</v>
      </c>
      <c r="B379" s="56" t="s">
        <v>2248</v>
      </c>
      <c r="C379" s="56"/>
      <c r="D379" s="56" t="s">
        <v>2249</v>
      </c>
      <c r="E379" s="74"/>
      <c r="F379" s="56" t="s">
        <v>2250</v>
      </c>
      <c r="G379" s="56" t="s">
        <v>2251</v>
      </c>
    </row>
    <row r="380" spans="1:7">
      <c r="A380" s="56" t="s">
        <v>2262</v>
      </c>
      <c r="B380" s="56" t="s">
        <v>2248</v>
      </c>
      <c r="C380" s="56"/>
      <c r="D380" s="56" t="s">
        <v>2249</v>
      </c>
      <c r="E380" s="74"/>
      <c r="F380" s="56" t="s">
        <v>2255</v>
      </c>
      <c r="G380" s="56" t="s">
        <v>2251</v>
      </c>
    </row>
    <row r="381" spans="1:7" ht="17">
      <c r="A381" s="274" t="s">
        <v>2263</v>
      </c>
      <c r="B381" s="274" t="s">
        <v>2248</v>
      </c>
      <c r="C381" s="274"/>
      <c r="D381" s="274" t="s">
        <v>2249</v>
      </c>
      <c r="E381" s="275"/>
      <c r="F381" s="274" t="s">
        <v>2255</v>
      </c>
      <c r="G381" s="274" t="s">
        <v>2251</v>
      </c>
    </row>
    <row r="382" spans="1:7" ht="17">
      <c r="A382" s="274" t="s">
        <v>2264</v>
      </c>
      <c r="B382" s="274" t="s">
        <v>2248</v>
      </c>
      <c r="C382" s="274"/>
      <c r="D382" s="274" t="s">
        <v>2249</v>
      </c>
      <c r="E382" s="275"/>
      <c r="F382" s="274" t="s">
        <v>2255</v>
      </c>
      <c r="G382" s="274" t="s">
        <v>2251</v>
      </c>
    </row>
    <row r="383" spans="1:7" ht="17">
      <c r="A383" s="274" t="s">
        <v>2265</v>
      </c>
      <c r="B383" s="274" t="s">
        <v>2257</v>
      </c>
      <c r="C383" s="274"/>
      <c r="D383" s="274" t="s">
        <v>2249</v>
      </c>
      <c r="E383" s="275"/>
      <c r="F383" s="274" t="s">
        <v>2255</v>
      </c>
      <c r="G383" s="274" t="s">
        <v>2251</v>
      </c>
    </row>
    <row r="384" spans="1:7" ht="17">
      <c r="A384" s="75" t="s">
        <v>2536</v>
      </c>
      <c r="B384" s="75"/>
      <c r="C384" s="75"/>
      <c r="D384" s="75"/>
      <c r="E384" s="76"/>
      <c r="F384" s="75"/>
      <c r="G384" s="75"/>
    </row>
    <row r="385" spans="1:7" ht="17">
      <c r="A385" s="274" t="s">
        <v>2267</v>
      </c>
      <c r="B385" s="274" t="s">
        <v>2248</v>
      </c>
      <c r="C385" s="274"/>
      <c r="D385" s="274" t="s">
        <v>2249</v>
      </c>
      <c r="E385" s="275"/>
      <c r="F385" s="274" t="s">
        <v>2250</v>
      </c>
      <c r="G385" s="274" t="s">
        <v>2251</v>
      </c>
    </row>
    <row r="386" spans="1:7" ht="17">
      <c r="A386" s="75" t="s">
        <v>2537</v>
      </c>
      <c r="B386" s="75"/>
      <c r="C386" s="75"/>
      <c r="D386" s="75"/>
      <c r="E386" s="76"/>
      <c r="F386" s="75"/>
      <c r="G386" s="75"/>
    </row>
    <row r="387" spans="1:7" ht="17">
      <c r="A387" s="274" t="s">
        <v>2269</v>
      </c>
      <c r="B387" s="274" t="s">
        <v>2248</v>
      </c>
      <c r="C387" s="274"/>
      <c r="D387" s="274" t="s">
        <v>2249</v>
      </c>
      <c r="E387" s="275"/>
      <c r="F387" s="274" t="s">
        <v>2250</v>
      </c>
      <c r="G387" s="274" t="s">
        <v>2251</v>
      </c>
    </row>
    <row r="388" spans="1:7" ht="17">
      <c r="A388" s="274" t="s">
        <v>2270</v>
      </c>
      <c r="B388" s="274" t="s">
        <v>2248</v>
      </c>
      <c r="C388" s="274"/>
      <c r="D388" s="274" t="s">
        <v>2249</v>
      </c>
      <c r="E388" s="275"/>
      <c r="F388" s="275" t="s">
        <v>2250</v>
      </c>
      <c r="G388" s="274" t="s">
        <v>2251</v>
      </c>
    </row>
    <row r="389" spans="1:7" ht="17">
      <c r="A389" s="274" t="s">
        <v>2271</v>
      </c>
      <c r="B389" s="274" t="s">
        <v>2248</v>
      </c>
      <c r="C389" s="274"/>
      <c r="D389" s="274" t="s">
        <v>2249</v>
      </c>
      <c r="E389" s="275"/>
      <c r="F389" s="275" t="s">
        <v>2250</v>
      </c>
      <c r="G389" s="274" t="s">
        <v>2251</v>
      </c>
    </row>
    <row r="390" spans="1:7">
      <c r="A390" s="56" t="s">
        <v>2272</v>
      </c>
      <c r="B390" s="56" t="s">
        <v>2248</v>
      </c>
      <c r="C390" s="56"/>
      <c r="D390" s="56" t="s">
        <v>2249</v>
      </c>
      <c r="E390" s="74"/>
      <c r="F390" s="74" t="s">
        <v>2250</v>
      </c>
      <c r="G390" s="56" t="s">
        <v>2251</v>
      </c>
    </row>
    <row r="391" spans="1:7" ht="17">
      <c r="A391" s="274" t="s">
        <v>2273</v>
      </c>
      <c r="B391" s="274" t="s">
        <v>2248</v>
      </c>
      <c r="C391" s="274"/>
      <c r="D391" s="274" t="s">
        <v>2249</v>
      </c>
      <c r="E391" s="275"/>
      <c r="F391" s="275" t="s">
        <v>2250</v>
      </c>
      <c r="G391" s="274" t="s">
        <v>2251</v>
      </c>
    </row>
    <row r="392" spans="1:7" ht="17">
      <c r="A392" s="274" t="s">
        <v>2274</v>
      </c>
      <c r="B392" s="274" t="s">
        <v>2248</v>
      </c>
      <c r="C392" s="274"/>
      <c r="D392" s="274" t="s">
        <v>2249</v>
      </c>
      <c r="E392" s="275"/>
      <c r="F392" s="275" t="s">
        <v>2250</v>
      </c>
      <c r="G392" s="274" t="s">
        <v>2251</v>
      </c>
    </row>
    <row r="393" spans="1:7">
      <c r="A393" s="56" t="s">
        <v>2275</v>
      </c>
      <c r="B393" s="56" t="s">
        <v>2248</v>
      </c>
      <c r="C393" s="56"/>
      <c r="D393" s="56" t="s">
        <v>2249</v>
      </c>
      <c r="E393" s="74"/>
      <c r="F393" s="74" t="s">
        <v>2250</v>
      </c>
      <c r="G393" s="56" t="s">
        <v>2251</v>
      </c>
    </row>
    <row r="394" spans="1:7" ht="17">
      <c r="A394" s="274" t="s">
        <v>2276</v>
      </c>
      <c r="B394" s="274" t="s">
        <v>2248</v>
      </c>
      <c r="C394" s="274"/>
      <c r="D394" s="274" t="s">
        <v>2249</v>
      </c>
      <c r="E394" s="275"/>
      <c r="F394" s="275" t="s">
        <v>2250</v>
      </c>
      <c r="G394" s="274" t="s">
        <v>2251</v>
      </c>
    </row>
    <row r="395" spans="1:7" ht="17">
      <c r="A395" s="75" t="s">
        <v>2538</v>
      </c>
      <c r="B395" s="75"/>
      <c r="C395" s="75"/>
      <c r="D395" s="75"/>
      <c r="E395" s="76"/>
      <c r="F395" s="75"/>
      <c r="G395" s="75"/>
    </row>
    <row r="396" spans="1:7" ht="17">
      <c r="A396" s="274" t="s">
        <v>2278</v>
      </c>
      <c r="B396" s="274" t="s">
        <v>2279</v>
      </c>
      <c r="C396" s="274"/>
      <c r="D396" s="274" t="s">
        <v>2249</v>
      </c>
      <c r="E396" s="275"/>
      <c r="F396" s="275" t="s">
        <v>2280</v>
      </c>
      <c r="G396" s="274" t="s">
        <v>2251</v>
      </c>
    </row>
    <row r="397" spans="1:7" ht="17">
      <c r="A397" s="274" t="s">
        <v>2281</v>
      </c>
      <c r="B397" s="274" t="s">
        <v>2248</v>
      </c>
      <c r="C397" s="274"/>
      <c r="D397" s="274" t="s">
        <v>2249</v>
      </c>
      <c r="E397" s="275"/>
      <c r="F397" s="274" t="s">
        <v>2250</v>
      </c>
      <c r="G397" s="274" t="s">
        <v>2251</v>
      </c>
    </row>
    <row r="398" spans="1:7" ht="17">
      <c r="A398" s="75" t="s">
        <v>2539</v>
      </c>
      <c r="B398" s="75"/>
      <c r="C398" s="75"/>
      <c r="D398" s="75"/>
      <c r="E398" s="76"/>
      <c r="F398" s="75"/>
      <c r="G398" s="75"/>
    </row>
    <row r="399" spans="1:7" ht="17">
      <c r="A399" s="272" t="s">
        <v>2283</v>
      </c>
      <c r="B399" s="272" t="s">
        <v>2284</v>
      </c>
      <c r="C399" s="272" t="s">
        <v>2285</v>
      </c>
      <c r="D399" s="272" t="s">
        <v>2540</v>
      </c>
      <c r="E399" s="273" t="s">
        <v>2287</v>
      </c>
      <c r="F399" s="273" t="s">
        <v>2309</v>
      </c>
      <c r="G399" s="272" t="s">
        <v>2288</v>
      </c>
    </row>
    <row r="400" spans="1:7" ht="17">
      <c r="A400" s="274" t="s">
        <v>2355</v>
      </c>
      <c r="B400" s="274" t="s">
        <v>2356</v>
      </c>
      <c r="C400" s="274" t="s">
        <v>1565</v>
      </c>
      <c r="D400" s="274" t="s">
        <v>2540</v>
      </c>
      <c r="E400" s="275" t="s">
        <v>108</v>
      </c>
      <c r="F400" s="274" t="s">
        <v>2119</v>
      </c>
      <c r="G400" s="274" t="s">
        <v>2358</v>
      </c>
    </row>
    <row r="401" spans="1:7" ht="17">
      <c r="A401" s="274" t="s">
        <v>2516</v>
      </c>
      <c r="B401" s="274" t="s">
        <v>2291</v>
      </c>
      <c r="C401" s="274" t="s">
        <v>1215</v>
      </c>
      <c r="D401" s="274" t="s">
        <v>2540</v>
      </c>
      <c r="E401" s="275" t="s">
        <v>1215</v>
      </c>
      <c r="F401" s="274" t="s">
        <v>2541</v>
      </c>
      <c r="G401" s="274" t="s">
        <v>2251</v>
      </c>
    </row>
    <row r="402" spans="1:7" ht="17">
      <c r="A402" s="272" t="s">
        <v>2398</v>
      </c>
      <c r="B402" s="272"/>
      <c r="C402" s="272" t="s">
        <v>2399</v>
      </c>
      <c r="D402" s="272" t="s">
        <v>2540</v>
      </c>
      <c r="E402" s="273" t="s">
        <v>2517</v>
      </c>
      <c r="F402" s="273" t="s">
        <v>2309</v>
      </c>
      <c r="G402" s="272" t="s">
        <v>2251</v>
      </c>
    </row>
    <row r="403" spans="1:7" ht="17">
      <c r="A403" s="274" t="s">
        <v>2400</v>
      </c>
      <c r="B403" s="274" t="s">
        <v>2284</v>
      </c>
      <c r="C403" s="274" t="s">
        <v>108</v>
      </c>
      <c r="D403" s="274" t="s">
        <v>2540</v>
      </c>
      <c r="E403" s="275" t="s">
        <v>108</v>
      </c>
      <c r="F403" s="274" t="s">
        <v>2119</v>
      </c>
      <c r="G403" s="274" t="s">
        <v>2251</v>
      </c>
    </row>
    <row r="404" spans="1:7" ht="17">
      <c r="A404" s="274" t="s">
        <v>2401</v>
      </c>
      <c r="B404" s="274" t="s">
        <v>2402</v>
      </c>
      <c r="C404" s="274" t="s">
        <v>2403</v>
      </c>
      <c r="D404" s="274" t="s">
        <v>2540</v>
      </c>
      <c r="E404" s="275" t="s">
        <v>2403</v>
      </c>
      <c r="F404" s="274" t="s">
        <v>2119</v>
      </c>
      <c r="G404" s="274" t="s">
        <v>2404</v>
      </c>
    </row>
    <row r="405" spans="1:7" ht="17">
      <c r="A405" s="274" t="s">
        <v>2405</v>
      </c>
      <c r="B405" s="274"/>
      <c r="C405" s="274" t="s">
        <v>108</v>
      </c>
      <c r="D405" s="274" t="s">
        <v>2540</v>
      </c>
      <c r="E405" s="275" t="s">
        <v>108</v>
      </c>
      <c r="F405" s="274" t="s">
        <v>2119</v>
      </c>
      <c r="G405" s="274" t="s">
        <v>2251</v>
      </c>
    </row>
    <row r="406" spans="1:7" ht="17">
      <c r="A406" s="75" t="s">
        <v>2542</v>
      </c>
      <c r="B406" s="75"/>
      <c r="C406" s="75"/>
      <c r="D406" s="75"/>
      <c r="E406" s="76"/>
      <c r="F406" s="75"/>
      <c r="G406" s="75"/>
    </row>
    <row r="407" spans="1:7" ht="17">
      <c r="A407" s="274" t="s">
        <v>2407</v>
      </c>
      <c r="B407" s="274" t="s">
        <v>2296</v>
      </c>
      <c r="C407" s="274" t="s">
        <v>108</v>
      </c>
      <c r="D407" s="274" t="s">
        <v>2540</v>
      </c>
      <c r="E407" s="275" t="s">
        <v>108</v>
      </c>
      <c r="F407" s="274" t="s">
        <v>2119</v>
      </c>
      <c r="G407" s="274" t="s">
        <v>2251</v>
      </c>
    </row>
    <row r="408" spans="1:7" ht="17">
      <c r="A408" s="274" t="s">
        <v>2409</v>
      </c>
      <c r="B408" s="274" t="s">
        <v>2410</v>
      </c>
      <c r="C408" s="274" t="s">
        <v>108</v>
      </c>
      <c r="D408" s="274" t="s">
        <v>2540</v>
      </c>
      <c r="E408" s="275" t="s">
        <v>108</v>
      </c>
      <c r="F408" s="274" t="s">
        <v>2119</v>
      </c>
      <c r="G408" s="274" t="s">
        <v>2411</v>
      </c>
    </row>
    <row r="409" spans="1:7" ht="17">
      <c r="A409" s="274" t="s">
        <v>2412</v>
      </c>
      <c r="B409" s="274" t="s">
        <v>2410</v>
      </c>
      <c r="C409" s="274" t="s">
        <v>108</v>
      </c>
      <c r="D409" s="274" t="s">
        <v>2540</v>
      </c>
      <c r="E409" s="275" t="s">
        <v>108</v>
      </c>
      <c r="F409" s="274" t="s">
        <v>2119</v>
      </c>
      <c r="G409" s="274" t="s">
        <v>2251</v>
      </c>
    </row>
    <row r="410" spans="1:7" ht="17">
      <c r="A410" s="272" t="s">
        <v>2290</v>
      </c>
      <c r="B410" s="272" t="s">
        <v>2291</v>
      </c>
      <c r="C410" s="272" t="s">
        <v>2292</v>
      </c>
      <c r="D410" s="272" t="s">
        <v>2540</v>
      </c>
      <c r="E410" s="273" t="s">
        <v>2543</v>
      </c>
      <c r="F410" s="273" t="s">
        <v>2309</v>
      </c>
      <c r="G410" s="272" t="s">
        <v>2251</v>
      </c>
    </row>
    <row r="411" spans="1:7" ht="17">
      <c r="A411" s="274" t="s">
        <v>2414</v>
      </c>
      <c r="B411" s="274" t="s">
        <v>2415</v>
      </c>
      <c r="C411" s="274" t="s">
        <v>108</v>
      </c>
      <c r="D411" s="274" t="s">
        <v>2540</v>
      </c>
      <c r="E411" s="275" t="s">
        <v>108</v>
      </c>
      <c r="F411" s="274" t="s">
        <v>2119</v>
      </c>
      <c r="G411" s="274" t="s">
        <v>2416</v>
      </c>
    </row>
    <row r="412" spans="1:7" ht="17">
      <c r="A412" s="75" t="s">
        <v>2544</v>
      </c>
      <c r="B412" s="75"/>
      <c r="C412" s="75"/>
      <c r="D412" s="75"/>
      <c r="E412" s="76"/>
      <c r="F412" s="75"/>
      <c r="G412" s="75"/>
    </row>
    <row r="413" spans="1:7" ht="17">
      <c r="A413" s="274" t="s">
        <v>2418</v>
      </c>
      <c r="B413" s="274" t="s">
        <v>2363</v>
      </c>
      <c r="C413" s="274" t="s">
        <v>108</v>
      </c>
      <c r="D413" s="274" t="s">
        <v>2540</v>
      </c>
      <c r="E413" s="275" t="s">
        <v>108</v>
      </c>
      <c r="F413" s="274" t="s">
        <v>2119</v>
      </c>
      <c r="G413" s="274" t="s">
        <v>2251</v>
      </c>
    </row>
    <row r="414" spans="1:7" ht="17">
      <c r="A414" s="274" t="s">
        <v>2362</v>
      </c>
      <c r="B414" s="274" t="s">
        <v>2363</v>
      </c>
      <c r="C414" s="274" t="s">
        <v>2364</v>
      </c>
      <c r="D414" s="274" t="s">
        <v>2540</v>
      </c>
      <c r="E414" s="275" t="s">
        <v>108</v>
      </c>
      <c r="F414" s="274" t="s">
        <v>2119</v>
      </c>
      <c r="G414" s="274" t="s">
        <v>2251</v>
      </c>
    </row>
    <row r="415" spans="1:7" ht="17">
      <c r="A415" s="274" t="s">
        <v>2420</v>
      </c>
      <c r="B415" s="274" t="s">
        <v>2363</v>
      </c>
      <c r="C415" s="274" t="s">
        <v>2421</v>
      </c>
      <c r="D415" s="274" t="s">
        <v>2540</v>
      </c>
      <c r="E415" s="275" t="s">
        <v>108</v>
      </c>
      <c r="F415" s="275" t="s">
        <v>2119</v>
      </c>
      <c r="G415" s="274" t="s">
        <v>2422</v>
      </c>
    </row>
    <row r="416" spans="1:7" ht="17">
      <c r="A416" s="274" t="s">
        <v>2423</v>
      </c>
      <c r="B416" s="274" t="s">
        <v>2363</v>
      </c>
      <c r="C416" s="274" t="s">
        <v>108</v>
      </c>
      <c r="D416" s="274" t="s">
        <v>2540</v>
      </c>
      <c r="E416" s="275" t="s">
        <v>108</v>
      </c>
      <c r="F416" s="275" t="s">
        <v>2119</v>
      </c>
      <c r="G416" s="274" t="s">
        <v>2251</v>
      </c>
    </row>
    <row r="417" spans="1:7" ht="17">
      <c r="A417" s="75" t="s">
        <v>2545</v>
      </c>
      <c r="B417" s="75"/>
      <c r="C417" s="75"/>
      <c r="D417" s="75"/>
      <c r="E417" s="76"/>
      <c r="F417" s="75"/>
      <c r="G417" s="75"/>
    </row>
    <row r="418" spans="1:7" ht="17">
      <c r="A418" s="274" t="s">
        <v>2425</v>
      </c>
      <c r="B418" s="274" t="s">
        <v>2426</v>
      </c>
      <c r="C418" s="274" t="s">
        <v>2427</v>
      </c>
      <c r="D418" s="274" t="s">
        <v>2540</v>
      </c>
      <c r="E418" s="275" t="s">
        <v>108</v>
      </c>
      <c r="F418" s="275" t="s">
        <v>2119</v>
      </c>
      <c r="G418" s="274" t="s">
        <v>2251</v>
      </c>
    </row>
    <row r="419" spans="1:7" ht="17">
      <c r="A419" s="274" t="s">
        <v>2428</v>
      </c>
      <c r="B419" s="274" t="s">
        <v>2426</v>
      </c>
      <c r="C419" s="274" t="s">
        <v>2429</v>
      </c>
      <c r="D419" s="274" t="s">
        <v>2540</v>
      </c>
      <c r="E419" s="275" t="s">
        <v>108</v>
      </c>
      <c r="F419" s="274" t="s">
        <v>2119</v>
      </c>
      <c r="G419" s="274" t="s">
        <v>2251</v>
      </c>
    </row>
    <row r="420" spans="1:7">
      <c r="A420" s="56" t="s">
        <v>2430</v>
      </c>
      <c r="B420" s="56" t="s">
        <v>2431</v>
      </c>
      <c r="C420" s="56" t="s">
        <v>108</v>
      </c>
      <c r="D420" s="56" t="s">
        <v>2540</v>
      </c>
      <c r="E420" s="74" t="s">
        <v>108</v>
      </c>
      <c r="F420" s="56" t="s">
        <v>2119</v>
      </c>
      <c r="G420" s="56" t="s">
        <v>2432</v>
      </c>
    </row>
    <row r="421" spans="1:7">
      <c r="A421" s="56" t="s">
        <v>2433</v>
      </c>
      <c r="B421" s="56" t="s">
        <v>2431</v>
      </c>
      <c r="C421" s="56" t="s">
        <v>108</v>
      </c>
      <c r="D421" s="56" t="s">
        <v>2540</v>
      </c>
      <c r="E421" s="74" t="s">
        <v>108</v>
      </c>
      <c r="F421" s="56" t="s">
        <v>2119</v>
      </c>
      <c r="G421" s="56" t="s">
        <v>2251</v>
      </c>
    </row>
    <row r="422" spans="1:7" ht="17">
      <c r="A422" s="75" t="s">
        <v>2546</v>
      </c>
      <c r="B422" s="75"/>
      <c r="C422" s="75"/>
      <c r="D422" s="75"/>
      <c r="E422" s="76"/>
      <c r="F422" s="75"/>
      <c r="G422" s="75"/>
    </row>
    <row r="423" spans="1:7" ht="17">
      <c r="A423" s="274" t="s">
        <v>2435</v>
      </c>
      <c r="B423" s="274" t="s">
        <v>2436</v>
      </c>
      <c r="C423" s="274" t="s">
        <v>108</v>
      </c>
      <c r="D423" s="274" t="s">
        <v>2540</v>
      </c>
      <c r="E423" s="275" t="s">
        <v>108</v>
      </c>
      <c r="F423" s="274" t="s">
        <v>2119</v>
      </c>
      <c r="G423" s="274" t="s">
        <v>2437</v>
      </c>
    </row>
    <row r="424" spans="1:7" ht="17">
      <c r="A424" s="272" t="s">
        <v>2295</v>
      </c>
      <c r="B424" s="272" t="s">
        <v>2296</v>
      </c>
      <c r="C424" s="272" t="s">
        <v>2297</v>
      </c>
      <c r="D424" s="272" t="s">
        <v>2540</v>
      </c>
      <c r="E424" s="273" t="s">
        <v>2543</v>
      </c>
      <c r="F424" s="273" t="s">
        <v>2309</v>
      </c>
      <c r="G424" s="272" t="s">
        <v>2251</v>
      </c>
    </row>
    <row r="425" spans="1:7" ht="17">
      <c r="A425" s="272" t="s">
        <v>2298</v>
      </c>
      <c r="B425" s="272" t="s">
        <v>2296</v>
      </c>
      <c r="C425" s="272" t="s">
        <v>2292</v>
      </c>
      <c r="D425" s="272" t="s">
        <v>2540</v>
      </c>
      <c r="E425" s="273" t="s">
        <v>2543</v>
      </c>
      <c r="F425" s="273" t="s">
        <v>2309</v>
      </c>
      <c r="G425" s="272" t="s">
        <v>2251</v>
      </c>
    </row>
    <row r="426" spans="1:7" ht="17">
      <c r="A426" s="272" t="s">
        <v>2299</v>
      </c>
      <c r="B426" s="272" t="s">
        <v>2296</v>
      </c>
      <c r="C426" s="272" t="s">
        <v>2292</v>
      </c>
      <c r="D426" s="272" t="s">
        <v>2540</v>
      </c>
      <c r="E426" s="273" t="s">
        <v>2543</v>
      </c>
      <c r="F426" s="273" t="s">
        <v>2309</v>
      </c>
      <c r="G426" s="272" t="s">
        <v>2251</v>
      </c>
    </row>
    <row r="427" spans="1:7" ht="17">
      <c r="A427" s="272" t="s">
        <v>2300</v>
      </c>
      <c r="B427" s="272" t="s">
        <v>2301</v>
      </c>
      <c r="C427" s="272" t="s">
        <v>2292</v>
      </c>
      <c r="D427" s="272" t="s">
        <v>2540</v>
      </c>
      <c r="E427" s="273" t="s">
        <v>2543</v>
      </c>
      <c r="F427" s="273" t="s">
        <v>2309</v>
      </c>
      <c r="G427" s="272" t="s">
        <v>2251</v>
      </c>
    </row>
    <row r="428" spans="1:7" ht="17">
      <c r="A428" s="272" t="s">
        <v>2302</v>
      </c>
      <c r="B428" s="272"/>
      <c r="C428" s="272" t="s">
        <v>2292</v>
      </c>
      <c r="D428" s="272" t="s">
        <v>2540</v>
      </c>
      <c r="E428" s="273" t="s">
        <v>2543</v>
      </c>
      <c r="F428" s="273" t="s">
        <v>2309</v>
      </c>
      <c r="G428" s="272" t="s">
        <v>2251</v>
      </c>
    </row>
    <row r="429" spans="1:7" ht="17">
      <c r="A429" s="272" t="s">
        <v>2303</v>
      </c>
      <c r="B429" s="272"/>
      <c r="C429" s="272" t="s">
        <v>2292</v>
      </c>
      <c r="D429" s="272" t="s">
        <v>2540</v>
      </c>
      <c r="E429" s="273" t="s">
        <v>2543</v>
      </c>
      <c r="F429" s="273" t="s">
        <v>2309</v>
      </c>
      <c r="G429" s="272" t="s">
        <v>2251</v>
      </c>
    </row>
    <row r="430" spans="1:7" ht="17">
      <c r="A430" s="272" t="s">
        <v>2304</v>
      </c>
      <c r="B430" s="272"/>
      <c r="C430" s="272" t="s">
        <v>2292</v>
      </c>
      <c r="D430" s="272" t="s">
        <v>2540</v>
      </c>
      <c r="E430" s="273" t="s">
        <v>2543</v>
      </c>
      <c r="F430" s="273" t="s">
        <v>2309</v>
      </c>
      <c r="G430" s="272" t="s">
        <v>2251</v>
      </c>
    </row>
    <row r="431" spans="1:7" ht="17">
      <c r="A431" s="75" t="s">
        <v>2547</v>
      </c>
      <c r="B431" s="75"/>
      <c r="C431" s="75"/>
      <c r="D431" s="75"/>
      <c r="E431" s="76"/>
      <c r="F431" s="75"/>
      <c r="G431" s="75"/>
    </row>
    <row r="432" spans="1:7" ht="17">
      <c r="A432" s="274" t="s">
        <v>2439</v>
      </c>
      <c r="B432" s="274" t="s">
        <v>2440</v>
      </c>
      <c r="C432" s="274" t="s">
        <v>108</v>
      </c>
      <c r="D432" s="274" t="s">
        <v>2540</v>
      </c>
      <c r="E432" s="275" t="s">
        <v>108</v>
      </c>
      <c r="F432" s="274" t="s">
        <v>2119</v>
      </c>
      <c r="G432" s="274" t="s">
        <v>2251</v>
      </c>
    </row>
    <row r="433" spans="1:7" ht="17">
      <c r="A433" s="274" t="s">
        <v>2441</v>
      </c>
      <c r="B433" s="274" t="s">
        <v>2442</v>
      </c>
      <c r="C433" s="274" t="s">
        <v>2427</v>
      </c>
      <c r="D433" s="274" t="s">
        <v>2540</v>
      </c>
      <c r="E433" s="275" t="s">
        <v>108</v>
      </c>
      <c r="F433" s="274" t="s">
        <v>2119</v>
      </c>
      <c r="G433" s="274" t="s">
        <v>2251</v>
      </c>
    </row>
    <row r="434" spans="1:7" ht="17">
      <c r="A434" s="274" t="s">
        <v>2443</v>
      </c>
      <c r="B434" s="274" t="s">
        <v>2440</v>
      </c>
      <c r="C434" s="274" t="s">
        <v>2444</v>
      </c>
      <c r="D434" s="274" t="s">
        <v>2540</v>
      </c>
      <c r="E434" s="275" t="s">
        <v>108</v>
      </c>
      <c r="F434" s="274" t="s">
        <v>2119</v>
      </c>
      <c r="G434" s="274" t="s">
        <v>2445</v>
      </c>
    </row>
    <row r="435" spans="1:7" ht="17">
      <c r="A435" s="274" t="s">
        <v>2306</v>
      </c>
      <c r="B435" s="274" t="s">
        <v>2291</v>
      </c>
      <c r="C435" s="274" t="s">
        <v>2307</v>
      </c>
      <c r="D435" s="274" t="s">
        <v>2540</v>
      </c>
      <c r="E435" s="275" t="s">
        <v>108</v>
      </c>
      <c r="F435" s="274" t="s">
        <v>2119</v>
      </c>
      <c r="G435" s="274" t="s">
        <v>2251</v>
      </c>
    </row>
    <row r="436" spans="1:7">
      <c r="A436" s="57" t="s">
        <v>2310</v>
      </c>
      <c r="B436" s="57" t="s">
        <v>2291</v>
      </c>
      <c r="C436" s="57" t="s">
        <v>2311</v>
      </c>
      <c r="D436" s="57" t="s">
        <v>2540</v>
      </c>
      <c r="E436" s="58" t="s">
        <v>2312</v>
      </c>
      <c r="F436" s="58" t="s">
        <v>2309</v>
      </c>
      <c r="G436" s="57" t="s">
        <v>2251</v>
      </c>
    </row>
    <row r="437" spans="1:7" ht="17">
      <c r="A437" s="272" t="s">
        <v>2313</v>
      </c>
      <c r="B437" s="272" t="s">
        <v>2291</v>
      </c>
      <c r="C437" s="272" t="s">
        <v>2292</v>
      </c>
      <c r="D437" s="272" t="s">
        <v>2540</v>
      </c>
      <c r="E437" s="273" t="s">
        <v>2543</v>
      </c>
      <c r="F437" s="273" t="s">
        <v>2309</v>
      </c>
      <c r="G437" s="272" t="s">
        <v>2251</v>
      </c>
    </row>
    <row r="438" spans="1:7" ht="17">
      <c r="A438" s="272" t="s">
        <v>2314</v>
      </c>
      <c r="B438" s="272" t="s">
        <v>2291</v>
      </c>
      <c r="C438" s="272" t="s">
        <v>2292</v>
      </c>
      <c r="D438" s="272" t="s">
        <v>2540</v>
      </c>
      <c r="E438" s="273" t="s">
        <v>2543</v>
      </c>
      <c r="F438" s="273" t="s">
        <v>2309</v>
      </c>
      <c r="G438" s="272" t="s">
        <v>2251</v>
      </c>
    </row>
    <row r="439" spans="1:7" ht="17">
      <c r="A439" s="274" t="s">
        <v>2447</v>
      </c>
      <c r="B439" s="274" t="s">
        <v>2440</v>
      </c>
      <c r="C439" s="274" t="s">
        <v>2403</v>
      </c>
      <c r="D439" s="274" t="s">
        <v>2540</v>
      </c>
      <c r="E439" s="275" t="s">
        <v>2403</v>
      </c>
      <c r="F439" s="274" t="s">
        <v>2119</v>
      </c>
      <c r="G439" s="274" t="s">
        <v>2251</v>
      </c>
    </row>
    <row r="440" spans="1:7">
      <c r="A440" s="56" t="s">
        <v>2448</v>
      </c>
      <c r="B440" s="56" t="s">
        <v>2449</v>
      </c>
      <c r="C440" s="56" t="s">
        <v>108</v>
      </c>
      <c r="D440" s="56" t="s">
        <v>2540</v>
      </c>
      <c r="E440" s="74" t="s">
        <v>108</v>
      </c>
      <c r="F440" s="74" t="s">
        <v>2119</v>
      </c>
      <c r="G440" s="56" t="s">
        <v>2251</v>
      </c>
    </row>
    <row r="441" spans="1:7" ht="17">
      <c r="A441" s="75" t="s">
        <v>2548</v>
      </c>
      <c r="B441" s="75"/>
      <c r="C441" s="75"/>
      <c r="D441" s="75"/>
      <c r="E441" s="76"/>
      <c r="F441" s="75"/>
      <c r="G441" s="75"/>
    </row>
    <row r="442" spans="1:7" ht="17">
      <c r="A442" s="274" t="s">
        <v>2451</v>
      </c>
      <c r="B442" s="274"/>
      <c r="C442" s="274" t="s">
        <v>2403</v>
      </c>
      <c r="D442" s="274" t="s">
        <v>2540</v>
      </c>
      <c r="E442" s="275" t="s">
        <v>2403</v>
      </c>
      <c r="F442" s="275" t="s">
        <v>2119</v>
      </c>
      <c r="G442" s="274" t="s">
        <v>2251</v>
      </c>
    </row>
    <row r="443" spans="1:7" ht="17">
      <c r="A443" s="274" t="s">
        <v>2375</v>
      </c>
      <c r="B443" s="274"/>
      <c r="C443" s="274" t="s">
        <v>2376</v>
      </c>
      <c r="D443" s="274" t="s">
        <v>2540</v>
      </c>
      <c r="E443" s="275" t="s">
        <v>2403</v>
      </c>
      <c r="F443" s="274" t="s">
        <v>2119</v>
      </c>
      <c r="G443" s="274" t="s">
        <v>2251</v>
      </c>
    </row>
    <row r="444" spans="1:7" ht="17">
      <c r="A444" s="274" t="s">
        <v>2452</v>
      </c>
      <c r="B444" s="274" t="s">
        <v>2440</v>
      </c>
      <c r="C444" s="274" t="s">
        <v>108</v>
      </c>
      <c r="D444" s="274" t="s">
        <v>2540</v>
      </c>
      <c r="E444" s="275" t="s">
        <v>108</v>
      </c>
      <c r="F444" s="275" t="s">
        <v>2119</v>
      </c>
      <c r="G444" s="274" t="s">
        <v>2251</v>
      </c>
    </row>
    <row r="445" spans="1:7" ht="17">
      <c r="A445" s="274" t="s">
        <v>2453</v>
      </c>
      <c r="B445" s="274" t="s">
        <v>2440</v>
      </c>
      <c r="C445" s="274" t="s">
        <v>108</v>
      </c>
      <c r="D445" s="274" t="s">
        <v>2540</v>
      </c>
      <c r="E445" s="275" t="s">
        <v>108</v>
      </c>
      <c r="F445" s="275" t="s">
        <v>2119</v>
      </c>
      <c r="G445" s="274" t="s">
        <v>2251</v>
      </c>
    </row>
    <row r="446" spans="1:7" ht="17">
      <c r="A446" s="274" t="s">
        <v>2454</v>
      </c>
      <c r="B446" s="274" t="s">
        <v>2301</v>
      </c>
      <c r="C446" s="274" t="s">
        <v>108</v>
      </c>
      <c r="D446" s="274" t="s">
        <v>2540</v>
      </c>
      <c r="E446" s="275" t="s">
        <v>108</v>
      </c>
      <c r="F446" s="275" t="s">
        <v>2119</v>
      </c>
      <c r="G446" s="274" t="s">
        <v>2251</v>
      </c>
    </row>
    <row r="447" spans="1:7" ht="17">
      <c r="A447" s="274" t="s">
        <v>2455</v>
      </c>
      <c r="B447" s="274" t="s">
        <v>2456</v>
      </c>
      <c r="C447" s="274" t="s">
        <v>2403</v>
      </c>
      <c r="D447" s="274" t="s">
        <v>2540</v>
      </c>
      <c r="E447" s="275" t="s">
        <v>2403</v>
      </c>
      <c r="F447" s="274" t="s">
        <v>2119</v>
      </c>
      <c r="G447" s="274" t="s">
        <v>2251</v>
      </c>
    </row>
    <row r="448" spans="1:7" ht="17">
      <c r="A448" s="274" t="s">
        <v>2457</v>
      </c>
      <c r="B448" s="274" t="s">
        <v>2456</v>
      </c>
      <c r="C448" s="274" t="s">
        <v>2403</v>
      </c>
      <c r="D448" s="274" t="s">
        <v>2540</v>
      </c>
      <c r="E448" s="275" t="s">
        <v>2403</v>
      </c>
      <c r="F448" s="274" t="s">
        <v>2119</v>
      </c>
      <c r="G448" s="274" t="s">
        <v>2251</v>
      </c>
    </row>
    <row r="449" spans="1:7" ht="17">
      <c r="A449" s="272" t="s">
        <v>2316</v>
      </c>
      <c r="B449" s="272" t="s">
        <v>2291</v>
      </c>
      <c r="C449" s="272" t="s">
        <v>2292</v>
      </c>
      <c r="D449" s="272" t="s">
        <v>2540</v>
      </c>
      <c r="E449" s="273" t="s">
        <v>2543</v>
      </c>
      <c r="F449" s="273" t="s">
        <v>2309</v>
      </c>
      <c r="G449" s="272" t="s">
        <v>2251</v>
      </c>
    </row>
    <row r="450" spans="1:7" ht="17">
      <c r="A450" s="274" t="s">
        <v>2458</v>
      </c>
      <c r="B450" s="274" t="s">
        <v>2456</v>
      </c>
      <c r="C450" s="274" t="s">
        <v>108</v>
      </c>
      <c r="D450" s="274" t="s">
        <v>2540</v>
      </c>
      <c r="E450" s="275" t="s">
        <v>108</v>
      </c>
      <c r="F450" s="274" t="s">
        <v>2119</v>
      </c>
      <c r="G450" s="274" t="s">
        <v>2459</v>
      </c>
    </row>
    <row r="451" spans="1:7" ht="17">
      <c r="A451" s="75" t="s">
        <v>2549</v>
      </c>
      <c r="B451" s="75"/>
      <c r="C451" s="75"/>
      <c r="D451" s="75"/>
      <c r="E451" s="76"/>
      <c r="F451" s="75"/>
      <c r="G451" s="75"/>
    </row>
    <row r="452" spans="1:7" ht="17">
      <c r="A452" s="274" t="s">
        <v>2461</v>
      </c>
      <c r="B452" s="274" t="s">
        <v>2462</v>
      </c>
      <c r="C452" s="274" t="s">
        <v>108</v>
      </c>
      <c r="D452" s="274" t="s">
        <v>2540</v>
      </c>
      <c r="E452" s="275" t="s">
        <v>108</v>
      </c>
      <c r="F452" s="274" t="s">
        <v>2119</v>
      </c>
      <c r="G452" s="274" t="s">
        <v>2251</v>
      </c>
    </row>
    <row r="453" spans="1:7" ht="17">
      <c r="A453" s="274" t="s">
        <v>2463</v>
      </c>
      <c r="B453" s="274" t="s">
        <v>2464</v>
      </c>
      <c r="C453" s="274" t="s">
        <v>108</v>
      </c>
      <c r="D453" s="274" t="s">
        <v>2540</v>
      </c>
      <c r="E453" s="275" t="s">
        <v>108</v>
      </c>
      <c r="F453" s="274" t="s">
        <v>2119</v>
      </c>
      <c r="G453" s="274" t="s">
        <v>2251</v>
      </c>
    </row>
    <row r="454" spans="1:7" ht="17">
      <c r="A454" s="274" t="s">
        <v>2465</v>
      </c>
      <c r="B454" s="274" t="s">
        <v>2464</v>
      </c>
      <c r="C454" s="274" t="s">
        <v>108</v>
      </c>
      <c r="D454" s="274" t="s">
        <v>2540</v>
      </c>
      <c r="E454" s="275" t="s">
        <v>108</v>
      </c>
      <c r="F454" s="274" t="s">
        <v>2119</v>
      </c>
      <c r="G454" s="274" t="s">
        <v>2251</v>
      </c>
    </row>
    <row r="455" spans="1:7" ht="17">
      <c r="A455" s="75" t="s">
        <v>2550</v>
      </c>
      <c r="B455" s="75"/>
      <c r="C455" s="75"/>
      <c r="D455" s="75"/>
      <c r="E455" s="76"/>
      <c r="F455" s="75"/>
      <c r="G455" s="75"/>
    </row>
    <row r="456" spans="1:7" ht="17">
      <c r="A456" s="272" t="s">
        <v>2318</v>
      </c>
      <c r="B456" s="272" t="s">
        <v>2319</v>
      </c>
      <c r="C456" s="272" t="s">
        <v>2285</v>
      </c>
      <c r="D456" s="272" t="s">
        <v>2540</v>
      </c>
      <c r="E456" s="273" t="s">
        <v>2287</v>
      </c>
      <c r="F456" s="273" t="s">
        <v>2309</v>
      </c>
      <c r="G456" s="272" t="s">
        <v>2320</v>
      </c>
    </row>
    <row r="457" spans="1:7" ht="17">
      <c r="A457" s="272" t="s">
        <v>2321</v>
      </c>
      <c r="B457" s="272" t="s">
        <v>2322</v>
      </c>
      <c r="C457" s="272" t="s">
        <v>2285</v>
      </c>
      <c r="D457" s="272" t="s">
        <v>2540</v>
      </c>
      <c r="E457" s="273" t="s">
        <v>2287</v>
      </c>
      <c r="F457" s="273" t="s">
        <v>2309</v>
      </c>
      <c r="G457" s="272" t="s">
        <v>2323</v>
      </c>
    </row>
    <row r="458" spans="1:7" ht="17">
      <c r="A458" s="274" t="s">
        <v>2467</v>
      </c>
      <c r="B458" s="274" t="s">
        <v>2319</v>
      </c>
      <c r="C458" s="274" t="s">
        <v>2403</v>
      </c>
      <c r="D458" s="274" t="s">
        <v>2540</v>
      </c>
      <c r="E458" s="275" t="s">
        <v>2403</v>
      </c>
      <c r="F458" s="274" t="s">
        <v>2119</v>
      </c>
      <c r="G458" s="274" t="s">
        <v>2468</v>
      </c>
    </row>
    <row r="459" spans="1:7">
      <c r="A459" s="56" t="s">
        <v>2469</v>
      </c>
      <c r="B459" s="56" t="s">
        <v>2382</v>
      </c>
      <c r="C459" s="56" t="s">
        <v>108</v>
      </c>
      <c r="D459" s="56" t="s">
        <v>2540</v>
      </c>
      <c r="E459" s="74" t="s">
        <v>108</v>
      </c>
      <c r="F459" s="56" t="s">
        <v>2119</v>
      </c>
      <c r="G459" s="56" t="s">
        <v>2470</v>
      </c>
    </row>
    <row r="460" spans="1:7" ht="17">
      <c r="A460" s="274" t="s">
        <v>2471</v>
      </c>
      <c r="B460" s="274" t="s">
        <v>2379</v>
      </c>
      <c r="C460" s="274" t="s">
        <v>108</v>
      </c>
      <c r="D460" s="274" t="s">
        <v>2540</v>
      </c>
      <c r="E460" s="275" t="s">
        <v>108</v>
      </c>
      <c r="F460" s="274" t="s">
        <v>2119</v>
      </c>
      <c r="G460" s="274" t="s">
        <v>2472</v>
      </c>
    </row>
    <row r="461" spans="1:7" ht="17">
      <c r="A461" s="274" t="s">
        <v>2473</v>
      </c>
      <c r="B461" s="274" t="s">
        <v>2474</v>
      </c>
      <c r="C461" s="274" t="s">
        <v>108</v>
      </c>
      <c r="D461" s="274" t="s">
        <v>2540</v>
      </c>
      <c r="E461" s="275" t="s">
        <v>108</v>
      </c>
      <c r="F461" s="274" t="s">
        <v>2119</v>
      </c>
      <c r="G461" s="274" t="s">
        <v>2475</v>
      </c>
    </row>
    <row r="462" spans="1:7" ht="17">
      <c r="A462" s="274" t="s">
        <v>2324</v>
      </c>
      <c r="B462" s="274" t="s">
        <v>2325</v>
      </c>
      <c r="C462" s="274"/>
      <c r="D462" s="274" t="s">
        <v>2249</v>
      </c>
      <c r="E462" s="275"/>
      <c r="F462" s="274" t="s">
        <v>2326</v>
      </c>
      <c r="G462" s="274" t="s">
        <v>2251</v>
      </c>
    </row>
    <row r="463" spans="1:7" ht="17">
      <c r="A463" s="274" t="s">
        <v>2327</v>
      </c>
      <c r="B463" s="274" t="s">
        <v>2325</v>
      </c>
      <c r="C463" s="274"/>
      <c r="D463" s="274" t="s">
        <v>2249</v>
      </c>
      <c r="E463" s="275"/>
      <c r="F463" s="274" t="s">
        <v>2326</v>
      </c>
      <c r="G463" s="274" t="s">
        <v>2251</v>
      </c>
    </row>
    <row r="464" spans="1:7">
      <c r="A464" s="56" t="s">
        <v>2328</v>
      </c>
      <c r="B464" s="56" t="s">
        <v>2325</v>
      </c>
      <c r="C464" s="56" t="s">
        <v>2329</v>
      </c>
      <c r="D464" s="56" t="s">
        <v>2249</v>
      </c>
      <c r="E464" s="74"/>
      <c r="F464" s="56" t="s">
        <v>2330</v>
      </c>
      <c r="G464" s="56" t="s">
        <v>2331</v>
      </c>
    </row>
    <row r="465" spans="1:7" ht="17">
      <c r="A465" s="75" t="s">
        <v>2551</v>
      </c>
      <c r="B465" s="75"/>
      <c r="C465" s="75"/>
      <c r="D465" s="75"/>
      <c r="E465" s="76"/>
      <c r="F465" s="75"/>
      <c r="G465" s="75"/>
    </row>
    <row r="466" spans="1:7" ht="17">
      <c r="A466" s="274" t="s">
        <v>2477</v>
      </c>
      <c r="B466" s="274" t="s">
        <v>2382</v>
      </c>
      <c r="C466" s="274" t="s">
        <v>108</v>
      </c>
      <c r="D466" s="274" t="s">
        <v>2540</v>
      </c>
      <c r="E466" s="275" t="s">
        <v>108</v>
      </c>
      <c r="F466" s="274" t="s">
        <v>2119</v>
      </c>
      <c r="G466" s="274" t="s">
        <v>2478</v>
      </c>
    </row>
    <row r="467" spans="1:7">
      <c r="A467" s="57" t="s">
        <v>2333</v>
      </c>
      <c r="B467" s="57" t="s">
        <v>2291</v>
      </c>
      <c r="C467" s="57" t="s">
        <v>2285</v>
      </c>
      <c r="D467" s="57" t="s">
        <v>2540</v>
      </c>
      <c r="E467" s="58" t="s">
        <v>2287</v>
      </c>
      <c r="F467" s="58" t="s">
        <v>2309</v>
      </c>
      <c r="G467" s="57" t="s">
        <v>2251</v>
      </c>
    </row>
    <row r="468" spans="1:7">
      <c r="A468" s="56" t="s">
        <v>2334</v>
      </c>
      <c r="B468" s="56" t="s">
        <v>2291</v>
      </c>
      <c r="C468" s="56" t="s">
        <v>2311</v>
      </c>
      <c r="D468" s="56" t="s">
        <v>2249</v>
      </c>
      <c r="E468" s="74"/>
      <c r="F468" s="56" t="s">
        <v>2335</v>
      </c>
      <c r="G468" s="56" t="s">
        <v>2335</v>
      </c>
    </row>
    <row r="469" spans="1:7">
      <c r="A469" s="57" t="s">
        <v>2334</v>
      </c>
      <c r="B469" s="57" t="s">
        <v>2291</v>
      </c>
      <c r="C469" s="57" t="s">
        <v>2311</v>
      </c>
      <c r="D469" s="57" t="s">
        <v>2540</v>
      </c>
      <c r="E469" s="58" t="s">
        <v>2312</v>
      </c>
      <c r="F469" s="58" t="s">
        <v>2309</v>
      </c>
      <c r="G469" s="57" t="s">
        <v>2335</v>
      </c>
    </row>
    <row r="470" spans="1:7">
      <c r="A470" s="56" t="s">
        <v>2336</v>
      </c>
      <c r="B470" s="56" t="s">
        <v>2291</v>
      </c>
      <c r="C470" s="56" t="s">
        <v>552</v>
      </c>
      <c r="D470" s="56" t="s">
        <v>2249</v>
      </c>
      <c r="E470" s="74"/>
      <c r="F470" s="56" t="s">
        <v>2337</v>
      </c>
      <c r="G470" s="56" t="s">
        <v>2337</v>
      </c>
    </row>
    <row r="471" spans="1:7" ht="17">
      <c r="A471" s="274" t="s">
        <v>2479</v>
      </c>
      <c r="B471" s="274" t="s">
        <v>2480</v>
      </c>
      <c r="C471" s="274" t="s">
        <v>108</v>
      </c>
      <c r="D471" s="274" t="s">
        <v>2540</v>
      </c>
      <c r="E471" s="275" t="s">
        <v>108</v>
      </c>
      <c r="F471" s="274" t="s">
        <v>2119</v>
      </c>
      <c r="G471" s="274" t="s">
        <v>2481</v>
      </c>
    </row>
    <row r="472" spans="1:7" ht="17">
      <c r="A472" s="274" t="s">
        <v>2482</v>
      </c>
      <c r="B472" s="274" t="s">
        <v>2480</v>
      </c>
      <c r="C472" s="274" t="s">
        <v>108</v>
      </c>
      <c r="D472" s="274" t="s">
        <v>2540</v>
      </c>
      <c r="E472" s="275" t="s">
        <v>108</v>
      </c>
      <c r="F472" s="274" t="s">
        <v>2119</v>
      </c>
      <c r="G472" s="274" t="s">
        <v>2483</v>
      </c>
    </row>
    <row r="473" spans="1:7" ht="17">
      <c r="A473" s="274" t="s">
        <v>2484</v>
      </c>
      <c r="B473" s="274" t="s">
        <v>2382</v>
      </c>
      <c r="C473" s="274" t="s">
        <v>2403</v>
      </c>
      <c r="D473" s="274" t="s">
        <v>2540</v>
      </c>
      <c r="E473" s="275" t="s">
        <v>2403</v>
      </c>
      <c r="F473" s="274" t="s">
        <v>2119</v>
      </c>
      <c r="G473" s="274" t="s">
        <v>2251</v>
      </c>
    </row>
    <row r="474" spans="1:7" ht="17">
      <c r="A474" s="274" t="s">
        <v>2485</v>
      </c>
      <c r="B474" s="274" t="s">
        <v>2486</v>
      </c>
      <c r="C474" s="274" t="s">
        <v>2487</v>
      </c>
      <c r="D474" s="274" t="s">
        <v>2540</v>
      </c>
      <c r="E474" s="275" t="s">
        <v>108</v>
      </c>
      <c r="F474" s="274" t="s">
        <v>2119</v>
      </c>
      <c r="G474" s="274" t="s">
        <v>2251</v>
      </c>
    </row>
    <row r="475" spans="1:7" ht="17">
      <c r="A475" s="75" t="s">
        <v>2552</v>
      </c>
      <c r="B475" s="75"/>
      <c r="C475" s="75"/>
      <c r="D475" s="75"/>
      <c r="E475" s="76"/>
      <c r="F475" s="75"/>
      <c r="G475" s="75"/>
    </row>
    <row r="476" spans="1:7" ht="17">
      <c r="A476" s="274" t="s">
        <v>2489</v>
      </c>
      <c r="B476" s="274" t="s">
        <v>2490</v>
      </c>
      <c r="C476" s="274" t="s">
        <v>108</v>
      </c>
      <c r="D476" s="274" t="s">
        <v>2540</v>
      </c>
      <c r="E476" s="275" t="s">
        <v>108</v>
      </c>
      <c r="F476" s="274" t="s">
        <v>2119</v>
      </c>
      <c r="G476" s="274" t="s">
        <v>2251</v>
      </c>
    </row>
    <row r="477" spans="1:7" ht="17">
      <c r="A477" s="274" t="s">
        <v>2491</v>
      </c>
      <c r="B477" s="274" t="s">
        <v>2490</v>
      </c>
      <c r="C477" s="274" t="s">
        <v>2403</v>
      </c>
      <c r="D477" s="274" t="s">
        <v>2540</v>
      </c>
      <c r="E477" s="275" t="s">
        <v>2403</v>
      </c>
      <c r="F477" s="274" t="s">
        <v>2119</v>
      </c>
      <c r="G477" s="274" t="s">
        <v>2492</v>
      </c>
    </row>
    <row r="478" spans="1:7" ht="17">
      <c r="A478" s="274" t="s">
        <v>2529</v>
      </c>
      <c r="B478" s="274" t="s">
        <v>2494</v>
      </c>
      <c r="C478" s="274" t="s">
        <v>2530</v>
      </c>
      <c r="D478" s="274" t="s">
        <v>2540</v>
      </c>
      <c r="E478" s="275" t="s">
        <v>2553</v>
      </c>
      <c r="F478" s="274" t="s">
        <v>2541</v>
      </c>
      <c r="G478" s="274" t="s">
        <v>2532</v>
      </c>
    </row>
    <row r="479" spans="1:7" ht="17">
      <c r="A479" s="274" t="s">
        <v>2493</v>
      </c>
      <c r="B479" s="274" t="s">
        <v>2494</v>
      </c>
      <c r="C479" s="274" t="s">
        <v>2421</v>
      </c>
      <c r="D479" s="274" t="s">
        <v>2540</v>
      </c>
      <c r="E479" s="275" t="s">
        <v>108</v>
      </c>
      <c r="F479" s="274" t="s">
        <v>2119</v>
      </c>
      <c r="G479" s="274" t="s">
        <v>2495</v>
      </c>
    </row>
    <row r="480" spans="1:7" ht="17">
      <c r="A480" s="274" t="s">
        <v>2496</v>
      </c>
      <c r="B480" s="274" t="s">
        <v>2490</v>
      </c>
      <c r="C480" s="274" t="s">
        <v>2497</v>
      </c>
      <c r="D480" s="274" t="s">
        <v>2540</v>
      </c>
      <c r="E480" s="275" t="s">
        <v>108</v>
      </c>
      <c r="F480" s="274" t="s">
        <v>2119</v>
      </c>
      <c r="G480" s="274" t="s">
        <v>2251</v>
      </c>
    </row>
    <row r="481" spans="1:7" ht="17">
      <c r="A481" s="274" t="s">
        <v>2498</v>
      </c>
      <c r="B481" s="274" t="s">
        <v>2490</v>
      </c>
      <c r="C481" s="274" t="s">
        <v>2499</v>
      </c>
      <c r="D481" s="274" t="s">
        <v>2540</v>
      </c>
      <c r="E481" s="275" t="s">
        <v>108</v>
      </c>
      <c r="F481" s="274" t="s">
        <v>2119</v>
      </c>
      <c r="G481" s="274" t="s">
        <v>2500</v>
      </c>
    </row>
    <row r="482" spans="1:7" ht="17">
      <c r="A482" s="75" t="s">
        <v>2554</v>
      </c>
      <c r="B482" s="75"/>
      <c r="C482" s="75"/>
      <c r="D482" s="75"/>
      <c r="E482" s="76"/>
      <c r="F482" s="75"/>
      <c r="G482" s="75"/>
    </row>
    <row r="483" spans="1:7" ht="17">
      <c r="A483" s="272" t="s">
        <v>2339</v>
      </c>
      <c r="B483" s="272"/>
      <c r="C483" s="272" t="s">
        <v>2285</v>
      </c>
      <c r="D483" s="272" t="s">
        <v>2540</v>
      </c>
      <c r="E483" s="273" t="s">
        <v>2287</v>
      </c>
      <c r="F483" s="273" t="s">
        <v>2309</v>
      </c>
      <c r="G483" s="272" t="s">
        <v>2340</v>
      </c>
    </row>
    <row r="484" spans="1:7" ht="17">
      <c r="A484" s="274" t="s">
        <v>2502</v>
      </c>
      <c r="B484" s="274" t="s">
        <v>2325</v>
      </c>
      <c r="C484" s="274" t="s">
        <v>2503</v>
      </c>
      <c r="D484" s="274" t="s">
        <v>2540</v>
      </c>
      <c r="E484" s="275" t="s">
        <v>108</v>
      </c>
      <c r="F484" s="274" t="s">
        <v>2119</v>
      </c>
      <c r="G484" s="274" t="s">
        <v>2504</v>
      </c>
    </row>
    <row r="485" spans="1:7" ht="17">
      <c r="A485" s="274" t="s">
        <v>2341</v>
      </c>
      <c r="B485" s="274" t="s">
        <v>2342</v>
      </c>
      <c r="C485" s="274" t="s">
        <v>2343</v>
      </c>
      <c r="D485" s="274" t="s">
        <v>2249</v>
      </c>
      <c r="E485" s="275"/>
      <c r="F485" s="274" t="s">
        <v>2250</v>
      </c>
      <c r="G485" s="274" t="s">
        <v>2344</v>
      </c>
    </row>
    <row r="486" spans="1:7" ht="17">
      <c r="A486" s="274" t="s">
        <v>2341</v>
      </c>
      <c r="B486" s="274" t="s">
        <v>2342</v>
      </c>
      <c r="C486" s="274" t="s">
        <v>2343</v>
      </c>
      <c r="D486" s="274" t="s">
        <v>2540</v>
      </c>
      <c r="E486" s="275" t="s">
        <v>108</v>
      </c>
      <c r="F486" s="274" t="s">
        <v>2119</v>
      </c>
      <c r="G486" s="274" t="s">
        <v>2344</v>
      </c>
    </row>
    <row r="487" spans="1:7" ht="17">
      <c r="A487" s="272" t="s">
        <v>2345</v>
      </c>
      <c r="B487" s="272" t="s">
        <v>2346</v>
      </c>
      <c r="C487" s="272" t="s">
        <v>2285</v>
      </c>
      <c r="D487" s="272" t="s">
        <v>2540</v>
      </c>
      <c r="E487" s="273" t="s">
        <v>2287</v>
      </c>
      <c r="F487" s="273" t="s">
        <v>2309</v>
      </c>
      <c r="G487" s="272" t="s">
        <v>2347</v>
      </c>
    </row>
    <row r="488" spans="1:7" ht="17">
      <c r="A488" s="272" t="s">
        <v>2348</v>
      </c>
      <c r="B488" s="272"/>
      <c r="C488" s="272" t="s">
        <v>2292</v>
      </c>
      <c r="D488" s="272" t="s">
        <v>2540</v>
      </c>
      <c r="E488" s="273" t="s">
        <v>2543</v>
      </c>
      <c r="F488" s="273" t="s">
        <v>2309</v>
      </c>
      <c r="G488" s="272" t="s">
        <v>2251</v>
      </c>
    </row>
    <row r="489" spans="1:7" ht="17">
      <c r="A489" s="274" t="s">
        <v>2505</v>
      </c>
      <c r="B489" s="274" t="s">
        <v>2291</v>
      </c>
      <c r="C489" s="274" t="s">
        <v>108</v>
      </c>
      <c r="D489" s="274" t="s">
        <v>2540</v>
      </c>
      <c r="E489" s="275" t="s">
        <v>108</v>
      </c>
      <c r="F489" s="275" t="s">
        <v>2119</v>
      </c>
      <c r="G489" s="274" t="s">
        <v>2251</v>
      </c>
    </row>
    <row r="490" spans="1:7" ht="17">
      <c r="A490" s="274" t="s">
        <v>2506</v>
      </c>
      <c r="B490" s="274" t="s">
        <v>2346</v>
      </c>
      <c r="C490" s="274" t="s">
        <v>2507</v>
      </c>
      <c r="D490" s="274" t="s">
        <v>2540</v>
      </c>
      <c r="E490" s="275" t="s">
        <v>2507</v>
      </c>
      <c r="F490" s="274" t="s">
        <v>2119</v>
      </c>
      <c r="G490" s="274" t="s">
        <v>2508</v>
      </c>
    </row>
    <row r="491" spans="1:7" ht="17">
      <c r="A491" s="75" t="s">
        <v>2555</v>
      </c>
      <c r="B491" s="75"/>
      <c r="C491" s="75"/>
      <c r="D491" s="75"/>
      <c r="E491" s="76"/>
      <c r="F491" s="75"/>
      <c r="G491" s="75"/>
    </row>
    <row r="492" spans="1:7" ht="17">
      <c r="A492" s="274" t="s">
        <v>2247</v>
      </c>
      <c r="B492" s="274" t="s">
        <v>2248</v>
      </c>
      <c r="C492" s="274"/>
      <c r="D492" s="274" t="s">
        <v>2249</v>
      </c>
      <c r="E492" s="275"/>
      <c r="F492" s="274" t="s">
        <v>2250</v>
      </c>
      <c r="G492" s="274" t="s">
        <v>2251</v>
      </c>
    </row>
    <row r="493" spans="1:7" ht="17">
      <c r="A493" s="274" t="s">
        <v>2252</v>
      </c>
      <c r="B493" s="274" t="s">
        <v>2248</v>
      </c>
      <c r="C493" s="274"/>
      <c r="D493" s="274" t="s">
        <v>2249</v>
      </c>
      <c r="E493" s="275"/>
      <c r="F493" s="274" t="s">
        <v>2250</v>
      </c>
      <c r="G493" s="274" t="s">
        <v>2251</v>
      </c>
    </row>
    <row r="494" spans="1:7" ht="17">
      <c r="A494" s="75" t="s">
        <v>2556</v>
      </c>
      <c r="B494" s="75"/>
      <c r="C494" s="75"/>
      <c r="D494" s="75"/>
      <c r="E494" s="76"/>
      <c r="F494" s="75"/>
      <c r="G494" s="75"/>
    </row>
    <row r="495" spans="1:7" ht="17">
      <c r="A495" s="274" t="s">
        <v>2254</v>
      </c>
      <c r="B495" s="274" t="s">
        <v>2248</v>
      </c>
      <c r="C495" s="274"/>
      <c r="D495" s="274" t="s">
        <v>2249</v>
      </c>
      <c r="E495" s="275"/>
      <c r="F495" s="274" t="s">
        <v>2255</v>
      </c>
      <c r="G495" s="274" t="s">
        <v>2251</v>
      </c>
    </row>
    <row r="496" spans="1:7" ht="17">
      <c r="A496" s="274" t="s">
        <v>2256</v>
      </c>
      <c r="B496" s="274" t="s">
        <v>2257</v>
      </c>
      <c r="C496" s="274"/>
      <c r="D496" s="274" t="s">
        <v>2249</v>
      </c>
      <c r="E496" s="275"/>
      <c r="F496" s="274" t="s">
        <v>2250</v>
      </c>
      <c r="G496" s="274" t="s">
        <v>2251</v>
      </c>
    </row>
    <row r="497" spans="1:7" ht="17">
      <c r="A497" s="274" t="s">
        <v>2258</v>
      </c>
      <c r="B497" s="274" t="s">
        <v>2257</v>
      </c>
      <c r="C497" s="274"/>
      <c r="D497" s="274" t="s">
        <v>2249</v>
      </c>
      <c r="E497" s="275"/>
      <c r="F497" s="274" t="s">
        <v>2250</v>
      </c>
      <c r="G497" s="274" t="s">
        <v>2251</v>
      </c>
    </row>
    <row r="498" spans="1:7" ht="17">
      <c r="A498" s="274" t="s">
        <v>2259</v>
      </c>
      <c r="B498" s="274" t="s">
        <v>2248</v>
      </c>
      <c r="C498" s="274"/>
      <c r="D498" s="274" t="s">
        <v>2249</v>
      </c>
      <c r="E498" s="275"/>
      <c r="F498" s="274" t="s">
        <v>2255</v>
      </c>
      <c r="G498" s="274" t="s">
        <v>2251</v>
      </c>
    </row>
    <row r="499" spans="1:7" ht="17">
      <c r="A499" s="274" t="s">
        <v>2260</v>
      </c>
      <c r="B499" s="274" t="s">
        <v>2257</v>
      </c>
      <c r="C499" s="274"/>
      <c r="D499" s="274" t="s">
        <v>2249</v>
      </c>
      <c r="E499" s="275"/>
      <c r="F499" s="274" t="s">
        <v>2250</v>
      </c>
      <c r="G499" s="274" t="s">
        <v>2251</v>
      </c>
    </row>
    <row r="500" spans="1:7" ht="17">
      <c r="A500" s="274" t="s">
        <v>2261</v>
      </c>
      <c r="B500" s="274" t="s">
        <v>2248</v>
      </c>
      <c r="C500" s="274"/>
      <c r="D500" s="274" t="s">
        <v>2249</v>
      </c>
      <c r="E500" s="275"/>
      <c r="F500" s="274" t="s">
        <v>2250</v>
      </c>
      <c r="G500" s="274" t="s">
        <v>2251</v>
      </c>
    </row>
    <row r="501" spans="1:7" ht="17">
      <c r="A501" s="274" t="s">
        <v>2262</v>
      </c>
      <c r="B501" s="274" t="s">
        <v>2248</v>
      </c>
      <c r="C501" s="274"/>
      <c r="D501" s="274" t="s">
        <v>2249</v>
      </c>
      <c r="E501" s="275"/>
      <c r="F501" s="274" t="s">
        <v>2255</v>
      </c>
      <c r="G501" s="274" t="s">
        <v>2251</v>
      </c>
    </row>
    <row r="502" spans="1:7" ht="17">
      <c r="A502" s="274" t="s">
        <v>2263</v>
      </c>
      <c r="B502" s="274" t="s">
        <v>2248</v>
      </c>
      <c r="C502" s="274"/>
      <c r="D502" s="274" t="s">
        <v>2249</v>
      </c>
      <c r="E502" s="275"/>
      <c r="F502" s="274" t="s">
        <v>2255</v>
      </c>
      <c r="G502" s="274" t="s">
        <v>2251</v>
      </c>
    </row>
    <row r="503" spans="1:7" ht="17">
      <c r="A503" s="274" t="s">
        <v>2264</v>
      </c>
      <c r="B503" s="274" t="s">
        <v>2248</v>
      </c>
      <c r="C503" s="274"/>
      <c r="D503" s="274" t="s">
        <v>2249</v>
      </c>
      <c r="E503" s="275"/>
      <c r="F503" s="274" t="s">
        <v>2255</v>
      </c>
      <c r="G503" s="274" t="s">
        <v>2251</v>
      </c>
    </row>
    <row r="504" spans="1:7" ht="17">
      <c r="A504" s="274" t="s">
        <v>2265</v>
      </c>
      <c r="B504" s="274" t="s">
        <v>2257</v>
      </c>
      <c r="C504" s="274"/>
      <c r="D504" s="274" t="s">
        <v>2249</v>
      </c>
      <c r="E504" s="275"/>
      <c r="F504" s="274" t="s">
        <v>2255</v>
      </c>
      <c r="G504" s="274" t="s">
        <v>2251</v>
      </c>
    </row>
    <row r="505" spans="1:7" ht="17">
      <c r="A505" s="75" t="s">
        <v>2557</v>
      </c>
      <c r="B505" s="75"/>
      <c r="C505" s="75"/>
      <c r="D505" s="75"/>
      <c r="E505" s="76"/>
      <c r="F505" s="75"/>
      <c r="G505" s="75"/>
    </row>
    <row r="506" spans="1:7" ht="17">
      <c r="A506" s="274" t="s">
        <v>2267</v>
      </c>
      <c r="B506" s="274" t="s">
        <v>2248</v>
      </c>
      <c r="C506" s="274"/>
      <c r="D506" s="274" t="s">
        <v>2249</v>
      </c>
      <c r="E506" s="275"/>
      <c r="F506" s="274" t="s">
        <v>2250</v>
      </c>
      <c r="G506" s="274" t="s">
        <v>2251</v>
      </c>
    </row>
    <row r="507" spans="1:7" ht="17">
      <c r="A507" s="75" t="s">
        <v>2558</v>
      </c>
      <c r="B507" s="75"/>
      <c r="C507" s="75"/>
      <c r="D507" s="75"/>
      <c r="E507" s="76"/>
      <c r="F507" s="75"/>
      <c r="G507" s="75"/>
    </row>
    <row r="508" spans="1:7" ht="17">
      <c r="A508" s="274" t="s">
        <v>2269</v>
      </c>
      <c r="B508" s="274" t="s">
        <v>2248</v>
      </c>
      <c r="C508" s="274"/>
      <c r="D508" s="274" t="s">
        <v>2249</v>
      </c>
      <c r="E508" s="275"/>
      <c r="F508" s="274" t="s">
        <v>2250</v>
      </c>
      <c r="G508" s="274" t="s">
        <v>2251</v>
      </c>
    </row>
    <row r="509" spans="1:7">
      <c r="A509" s="56" t="s">
        <v>2270</v>
      </c>
      <c r="B509" s="56" t="s">
        <v>2248</v>
      </c>
      <c r="C509" s="56"/>
      <c r="D509" s="56" t="s">
        <v>2249</v>
      </c>
      <c r="E509" s="74"/>
      <c r="F509" s="56" t="s">
        <v>2250</v>
      </c>
      <c r="G509" s="56" t="s">
        <v>2251</v>
      </c>
    </row>
    <row r="510" spans="1:7" ht="17">
      <c r="A510" s="274" t="s">
        <v>2271</v>
      </c>
      <c r="B510" s="274" t="s">
        <v>2248</v>
      </c>
      <c r="C510" s="274"/>
      <c r="D510" s="274" t="s">
        <v>2249</v>
      </c>
      <c r="E510" s="275"/>
      <c r="F510" s="274" t="s">
        <v>2250</v>
      </c>
      <c r="G510" s="274" t="s">
        <v>2251</v>
      </c>
    </row>
    <row r="511" spans="1:7" ht="17">
      <c r="A511" s="274" t="s">
        <v>2272</v>
      </c>
      <c r="B511" s="274" t="s">
        <v>2248</v>
      </c>
      <c r="C511" s="274"/>
      <c r="D511" s="274" t="s">
        <v>2249</v>
      </c>
      <c r="E511" s="275"/>
      <c r="F511" s="274" t="s">
        <v>2250</v>
      </c>
      <c r="G511" s="274" t="s">
        <v>2251</v>
      </c>
    </row>
    <row r="512" spans="1:7" ht="17">
      <c r="A512" s="274" t="s">
        <v>2273</v>
      </c>
      <c r="B512" s="274" t="s">
        <v>2248</v>
      </c>
      <c r="C512" s="274"/>
      <c r="D512" s="274" t="s">
        <v>2249</v>
      </c>
      <c r="E512" s="275"/>
      <c r="F512" s="274" t="s">
        <v>2250</v>
      </c>
      <c r="G512" s="274" t="s">
        <v>2251</v>
      </c>
    </row>
    <row r="513" spans="1:7" ht="17">
      <c r="A513" s="274" t="s">
        <v>2274</v>
      </c>
      <c r="B513" s="274" t="s">
        <v>2248</v>
      </c>
      <c r="C513" s="274"/>
      <c r="D513" s="274" t="s">
        <v>2249</v>
      </c>
      <c r="E513" s="275"/>
      <c r="F513" s="275" t="s">
        <v>2250</v>
      </c>
      <c r="G513" s="274" t="s">
        <v>2251</v>
      </c>
    </row>
    <row r="514" spans="1:7" ht="17">
      <c r="A514" s="274" t="s">
        <v>2275</v>
      </c>
      <c r="B514" s="274" t="s">
        <v>2248</v>
      </c>
      <c r="C514" s="274"/>
      <c r="D514" s="274" t="s">
        <v>2249</v>
      </c>
      <c r="E514" s="275"/>
      <c r="F514" s="274" t="s">
        <v>2250</v>
      </c>
      <c r="G514" s="274" t="s">
        <v>2251</v>
      </c>
    </row>
    <row r="515" spans="1:7" ht="17">
      <c r="A515" s="274" t="s">
        <v>2276</v>
      </c>
      <c r="B515" s="274" t="s">
        <v>2248</v>
      </c>
      <c r="C515" s="274"/>
      <c r="D515" s="274" t="s">
        <v>2249</v>
      </c>
      <c r="E515" s="275"/>
      <c r="F515" s="275" t="s">
        <v>2250</v>
      </c>
      <c r="G515" s="274" t="s">
        <v>2251</v>
      </c>
    </row>
    <row r="516" spans="1:7" ht="17">
      <c r="A516" s="75" t="s">
        <v>2559</v>
      </c>
      <c r="B516" s="75"/>
      <c r="C516" s="75"/>
      <c r="D516" s="75"/>
      <c r="E516" s="76"/>
      <c r="F516" s="75"/>
      <c r="G516" s="75"/>
    </row>
    <row r="517" spans="1:7" ht="17">
      <c r="A517" s="274" t="s">
        <v>2278</v>
      </c>
      <c r="B517" s="274" t="s">
        <v>2279</v>
      </c>
      <c r="C517" s="274"/>
      <c r="D517" s="274" t="s">
        <v>2249</v>
      </c>
      <c r="E517" s="275"/>
      <c r="F517" s="274" t="s">
        <v>2280</v>
      </c>
      <c r="G517" s="274" t="s">
        <v>2251</v>
      </c>
    </row>
    <row r="518" spans="1:7" ht="17">
      <c r="A518" s="274" t="s">
        <v>2281</v>
      </c>
      <c r="B518" s="274" t="s">
        <v>2248</v>
      </c>
      <c r="C518" s="274"/>
      <c r="D518" s="274" t="s">
        <v>2249</v>
      </c>
      <c r="E518" s="275"/>
      <c r="F518" s="274" t="s">
        <v>2250</v>
      </c>
      <c r="G518" s="274" t="s">
        <v>2251</v>
      </c>
    </row>
    <row r="519" spans="1:7" ht="17">
      <c r="A519" s="75" t="s">
        <v>2560</v>
      </c>
      <c r="B519" s="75"/>
      <c r="C519" s="75"/>
      <c r="D519" s="75"/>
      <c r="E519" s="76"/>
      <c r="F519" s="75"/>
      <c r="G519" s="75"/>
    </row>
    <row r="520" spans="1:7" ht="17">
      <c r="A520" s="274" t="s">
        <v>2283</v>
      </c>
      <c r="B520" s="274" t="s">
        <v>2284</v>
      </c>
      <c r="C520" s="274" t="s">
        <v>2285</v>
      </c>
      <c r="D520" s="274" t="s">
        <v>2561</v>
      </c>
      <c r="E520" s="275" t="s">
        <v>2287</v>
      </c>
      <c r="F520" s="274" t="s">
        <v>2146</v>
      </c>
      <c r="G520" s="274" t="s">
        <v>2288</v>
      </c>
    </row>
    <row r="521" spans="1:7" ht="17">
      <c r="A521" s="274" t="s">
        <v>2398</v>
      </c>
      <c r="B521" s="274"/>
      <c r="C521" s="274" t="s">
        <v>2399</v>
      </c>
      <c r="D521" s="274" t="s">
        <v>2561</v>
      </c>
      <c r="E521" s="275" t="s">
        <v>1215</v>
      </c>
      <c r="F521" s="274" t="s">
        <v>2144</v>
      </c>
      <c r="G521" s="274" t="s">
        <v>2251</v>
      </c>
    </row>
    <row r="522" spans="1:7" ht="17">
      <c r="A522" s="75" t="s">
        <v>2562</v>
      </c>
      <c r="B522" s="75"/>
      <c r="C522" s="75"/>
      <c r="D522" s="75"/>
      <c r="E522" s="76"/>
      <c r="F522" s="75"/>
      <c r="G522" s="75"/>
    </row>
    <row r="523" spans="1:7" ht="17">
      <c r="A523" s="274" t="s">
        <v>2290</v>
      </c>
      <c r="B523" s="274" t="s">
        <v>2291</v>
      </c>
      <c r="C523" s="274" t="s">
        <v>2292</v>
      </c>
      <c r="D523" s="274" t="s">
        <v>2563</v>
      </c>
      <c r="E523" s="275" t="s">
        <v>2543</v>
      </c>
      <c r="F523" s="274" t="s">
        <v>2146</v>
      </c>
      <c r="G523" s="274" t="s">
        <v>2251</v>
      </c>
    </row>
    <row r="524" spans="1:7" ht="17">
      <c r="A524" s="75" t="s">
        <v>2564</v>
      </c>
      <c r="B524" s="75"/>
      <c r="C524" s="75"/>
      <c r="D524" s="75"/>
      <c r="E524" s="76"/>
      <c r="F524" s="75"/>
      <c r="G524" s="75"/>
    </row>
    <row r="525" spans="1:7" ht="17">
      <c r="A525" s="274" t="s">
        <v>2295</v>
      </c>
      <c r="B525" s="274" t="s">
        <v>2296</v>
      </c>
      <c r="C525" s="274" t="s">
        <v>2297</v>
      </c>
      <c r="D525" s="274" t="s">
        <v>2561</v>
      </c>
      <c r="E525" s="275" t="s">
        <v>2293</v>
      </c>
      <c r="F525" s="274" t="s">
        <v>2146</v>
      </c>
      <c r="G525" s="274" t="s">
        <v>2251</v>
      </c>
    </row>
    <row r="526" spans="1:7" ht="17">
      <c r="A526" s="274" t="s">
        <v>2298</v>
      </c>
      <c r="B526" s="274" t="s">
        <v>2296</v>
      </c>
      <c r="C526" s="274" t="s">
        <v>2292</v>
      </c>
      <c r="D526" s="274" t="s">
        <v>2561</v>
      </c>
      <c r="E526" s="275" t="s">
        <v>2293</v>
      </c>
      <c r="F526" s="274" t="s">
        <v>2146</v>
      </c>
      <c r="G526" s="274" t="s">
        <v>2251</v>
      </c>
    </row>
    <row r="527" spans="1:7" ht="17">
      <c r="A527" s="274" t="s">
        <v>2299</v>
      </c>
      <c r="B527" s="274" t="s">
        <v>2296</v>
      </c>
      <c r="C527" s="274" t="s">
        <v>2292</v>
      </c>
      <c r="D527" s="274" t="s">
        <v>2561</v>
      </c>
      <c r="E527" s="275" t="s">
        <v>2293</v>
      </c>
      <c r="F527" s="274" t="s">
        <v>2146</v>
      </c>
      <c r="G527" s="274" t="s">
        <v>2251</v>
      </c>
    </row>
    <row r="528" spans="1:7" ht="17">
      <c r="A528" s="274" t="s">
        <v>2300</v>
      </c>
      <c r="B528" s="274" t="s">
        <v>2301</v>
      </c>
      <c r="C528" s="274" t="s">
        <v>2292</v>
      </c>
      <c r="D528" s="274" t="s">
        <v>2561</v>
      </c>
      <c r="E528" s="275" t="s">
        <v>2293</v>
      </c>
      <c r="F528" s="274" t="s">
        <v>2146</v>
      </c>
      <c r="G528" s="274" t="s">
        <v>2251</v>
      </c>
    </row>
    <row r="529" spans="1:7" ht="17">
      <c r="A529" s="274" t="s">
        <v>2302</v>
      </c>
      <c r="B529" s="274"/>
      <c r="C529" s="274" t="s">
        <v>2292</v>
      </c>
      <c r="D529" s="274" t="s">
        <v>2561</v>
      </c>
      <c r="E529" s="275" t="s">
        <v>2293</v>
      </c>
      <c r="F529" s="274" t="s">
        <v>2146</v>
      </c>
      <c r="G529" s="274" t="s">
        <v>2251</v>
      </c>
    </row>
    <row r="530" spans="1:7" ht="17">
      <c r="A530" s="274" t="s">
        <v>2303</v>
      </c>
      <c r="B530" s="274"/>
      <c r="C530" s="274" t="s">
        <v>2292</v>
      </c>
      <c r="D530" s="274" t="s">
        <v>2561</v>
      </c>
      <c r="E530" s="275" t="s">
        <v>2293</v>
      </c>
      <c r="F530" s="274" t="s">
        <v>2146</v>
      </c>
      <c r="G530" s="274" t="s">
        <v>2251</v>
      </c>
    </row>
    <row r="531" spans="1:7" ht="17">
      <c r="A531" s="274" t="s">
        <v>2304</v>
      </c>
      <c r="B531" s="274"/>
      <c r="C531" s="274" t="s">
        <v>2292</v>
      </c>
      <c r="D531" s="274" t="s">
        <v>2561</v>
      </c>
      <c r="E531" s="275" t="s">
        <v>2293</v>
      </c>
      <c r="F531" s="274" t="s">
        <v>2146</v>
      </c>
      <c r="G531" s="274" t="s">
        <v>2251</v>
      </c>
    </row>
    <row r="532" spans="1:7" ht="17">
      <c r="A532" s="75" t="s">
        <v>2565</v>
      </c>
      <c r="B532" s="75"/>
      <c r="C532" s="75"/>
      <c r="D532" s="75"/>
      <c r="E532" s="76"/>
      <c r="F532" s="75"/>
      <c r="G532" s="75"/>
    </row>
    <row r="533" spans="1:7" ht="17">
      <c r="A533" s="272" t="s">
        <v>2306</v>
      </c>
      <c r="B533" s="272" t="s">
        <v>2291</v>
      </c>
      <c r="C533" s="272" t="s">
        <v>2307</v>
      </c>
      <c r="D533" s="272" t="s">
        <v>2563</v>
      </c>
      <c r="E533" s="273" t="s">
        <v>2307</v>
      </c>
      <c r="F533" s="273" t="s">
        <v>2309</v>
      </c>
      <c r="G533" s="272" t="s">
        <v>2251</v>
      </c>
    </row>
    <row r="534" spans="1:7" ht="17">
      <c r="A534" s="274" t="s">
        <v>2310</v>
      </c>
      <c r="B534" s="274" t="s">
        <v>2291</v>
      </c>
      <c r="C534" s="274" t="s">
        <v>2311</v>
      </c>
      <c r="D534" s="274" t="s">
        <v>2563</v>
      </c>
      <c r="E534" s="275" t="s">
        <v>2312</v>
      </c>
      <c r="F534" s="274" t="s">
        <v>2146</v>
      </c>
      <c r="G534" s="274" t="s">
        <v>2251</v>
      </c>
    </row>
    <row r="535" spans="1:7" ht="17">
      <c r="A535" s="274" t="s">
        <v>2313</v>
      </c>
      <c r="B535" s="274" t="s">
        <v>2291</v>
      </c>
      <c r="C535" s="274" t="s">
        <v>2292</v>
      </c>
      <c r="D535" s="274" t="s">
        <v>2563</v>
      </c>
      <c r="E535" s="275" t="s">
        <v>2543</v>
      </c>
      <c r="F535" s="274" t="s">
        <v>2146</v>
      </c>
      <c r="G535" s="274" t="s">
        <v>2251</v>
      </c>
    </row>
    <row r="536" spans="1:7" ht="17">
      <c r="A536" s="274" t="s">
        <v>2314</v>
      </c>
      <c r="B536" s="274" t="s">
        <v>2291</v>
      </c>
      <c r="C536" s="274" t="s">
        <v>2292</v>
      </c>
      <c r="D536" s="274" t="s">
        <v>2563</v>
      </c>
      <c r="E536" s="275" t="s">
        <v>2543</v>
      </c>
      <c r="F536" s="274" t="s">
        <v>2146</v>
      </c>
      <c r="G536" s="274" t="s">
        <v>2251</v>
      </c>
    </row>
    <row r="537" spans="1:7" ht="17">
      <c r="A537" s="75" t="s">
        <v>2566</v>
      </c>
      <c r="B537" s="75"/>
      <c r="C537" s="75"/>
      <c r="D537" s="75"/>
      <c r="E537" s="76"/>
      <c r="F537" s="75"/>
      <c r="G537" s="75"/>
    </row>
    <row r="538" spans="1:7" ht="17">
      <c r="A538" s="274" t="s">
        <v>2316</v>
      </c>
      <c r="B538" s="274" t="s">
        <v>2291</v>
      </c>
      <c r="C538" s="274" t="s">
        <v>2292</v>
      </c>
      <c r="D538" s="274" t="s">
        <v>2563</v>
      </c>
      <c r="E538" s="275" t="s">
        <v>2543</v>
      </c>
      <c r="F538" s="274" t="s">
        <v>2146</v>
      </c>
      <c r="G538" s="274" t="s">
        <v>2251</v>
      </c>
    </row>
    <row r="539" spans="1:7" ht="17">
      <c r="A539" s="75" t="s">
        <v>2567</v>
      </c>
      <c r="B539" s="75"/>
      <c r="C539" s="75"/>
      <c r="D539" s="75"/>
      <c r="E539" s="76"/>
      <c r="F539" s="75"/>
      <c r="G539" s="75"/>
    </row>
    <row r="540" spans="1:7" ht="17">
      <c r="A540" s="274" t="s">
        <v>2318</v>
      </c>
      <c r="B540" s="274" t="s">
        <v>2319</v>
      </c>
      <c r="C540" s="274" t="s">
        <v>2285</v>
      </c>
      <c r="D540" s="274" t="s">
        <v>2561</v>
      </c>
      <c r="E540" s="275" t="s">
        <v>2287</v>
      </c>
      <c r="F540" s="274" t="s">
        <v>2146</v>
      </c>
      <c r="G540" s="274" t="s">
        <v>2320</v>
      </c>
    </row>
    <row r="541" spans="1:7" ht="17">
      <c r="A541" s="274" t="s">
        <v>2321</v>
      </c>
      <c r="B541" s="274" t="s">
        <v>2322</v>
      </c>
      <c r="C541" s="274" t="s">
        <v>2285</v>
      </c>
      <c r="D541" s="274" t="s">
        <v>2561</v>
      </c>
      <c r="E541" s="275" t="s">
        <v>2287</v>
      </c>
      <c r="F541" s="274" t="s">
        <v>2146</v>
      </c>
      <c r="G541" s="274" t="s">
        <v>2323</v>
      </c>
    </row>
    <row r="542" spans="1:7" ht="17">
      <c r="A542" s="274" t="s">
        <v>2324</v>
      </c>
      <c r="B542" s="274" t="s">
        <v>2325</v>
      </c>
      <c r="C542" s="274"/>
      <c r="D542" s="274" t="s">
        <v>2249</v>
      </c>
      <c r="E542" s="275"/>
      <c r="F542" s="274" t="s">
        <v>2326</v>
      </c>
      <c r="G542" s="274" t="s">
        <v>2251</v>
      </c>
    </row>
    <row r="543" spans="1:7" ht="17">
      <c r="A543" s="274" t="s">
        <v>2327</v>
      </c>
      <c r="B543" s="274" t="s">
        <v>2325</v>
      </c>
      <c r="C543" s="274"/>
      <c r="D543" s="274" t="s">
        <v>2249</v>
      </c>
      <c r="E543" s="275"/>
      <c r="F543" s="274" t="s">
        <v>2326</v>
      </c>
      <c r="G543" s="274" t="s">
        <v>2251</v>
      </c>
    </row>
    <row r="544" spans="1:7" ht="17">
      <c r="A544" s="274" t="s">
        <v>2328</v>
      </c>
      <c r="B544" s="274" t="s">
        <v>2325</v>
      </c>
      <c r="C544" s="274" t="s">
        <v>2329</v>
      </c>
      <c r="D544" s="274" t="s">
        <v>2249</v>
      </c>
      <c r="E544" s="275"/>
      <c r="F544" s="274" t="s">
        <v>2330</v>
      </c>
      <c r="G544" s="274" t="s">
        <v>2331</v>
      </c>
    </row>
    <row r="545" spans="1:7" ht="17">
      <c r="A545" s="75" t="s">
        <v>2568</v>
      </c>
      <c r="B545" s="75"/>
      <c r="C545" s="75"/>
      <c r="D545" s="75"/>
      <c r="E545" s="76"/>
      <c r="F545" s="75"/>
      <c r="G545" s="75"/>
    </row>
    <row r="546" spans="1:7" ht="17">
      <c r="A546" s="274" t="s">
        <v>2333</v>
      </c>
      <c r="B546" s="274" t="s">
        <v>2291</v>
      </c>
      <c r="C546" s="274" t="s">
        <v>2285</v>
      </c>
      <c r="D546" s="274" t="s">
        <v>2563</v>
      </c>
      <c r="E546" s="275" t="s">
        <v>2287</v>
      </c>
      <c r="F546" s="274" t="s">
        <v>2146</v>
      </c>
      <c r="G546" s="274" t="s">
        <v>2251</v>
      </c>
    </row>
    <row r="547" spans="1:7" ht="17">
      <c r="A547" s="274" t="s">
        <v>2334</v>
      </c>
      <c r="B547" s="274" t="s">
        <v>2291</v>
      </c>
      <c r="C547" s="274" t="s">
        <v>2311</v>
      </c>
      <c r="D547" s="274" t="s">
        <v>2249</v>
      </c>
      <c r="E547" s="275"/>
      <c r="F547" s="274" t="s">
        <v>2335</v>
      </c>
      <c r="G547" s="274" t="s">
        <v>2335</v>
      </c>
    </row>
    <row r="548" spans="1:7" ht="17">
      <c r="A548" s="274" t="s">
        <v>2334</v>
      </c>
      <c r="B548" s="274" t="s">
        <v>2291</v>
      </c>
      <c r="C548" s="274" t="s">
        <v>2311</v>
      </c>
      <c r="D548" s="274" t="s">
        <v>2563</v>
      </c>
      <c r="E548" s="275" t="s">
        <v>2312</v>
      </c>
      <c r="F548" s="274" t="s">
        <v>2146</v>
      </c>
      <c r="G548" s="274" t="s">
        <v>2335</v>
      </c>
    </row>
    <row r="549" spans="1:7" ht="17">
      <c r="A549" s="274" t="s">
        <v>2336</v>
      </c>
      <c r="B549" s="274" t="s">
        <v>2291</v>
      </c>
      <c r="C549" s="274" t="s">
        <v>552</v>
      </c>
      <c r="D549" s="274" t="s">
        <v>2249</v>
      </c>
      <c r="E549" s="275"/>
      <c r="F549" s="274" t="s">
        <v>2337</v>
      </c>
      <c r="G549" s="274" t="s">
        <v>2337</v>
      </c>
    </row>
    <row r="550" spans="1:7" ht="17">
      <c r="A550" s="75" t="s">
        <v>2569</v>
      </c>
      <c r="B550" s="75"/>
      <c r="C550" s="75"/>
      <c r="D550" s="75"/>
      <c r="E550" s="76"/>
      <c r="F550" s="75"/>
      <c r="G550" s="75"/>
    </row>
    <row r="551" spans="1:7" ht="17">
      <c r="A551" s="274" t="s">
        <v>2529</v>
      </c>
      <c r="B551" s="274" t="s">
        <v>2494</v>
      </c>
      <c r="C551" s="274" t="s">
        <v>2530</v>
      </c>
      <c r="D551" s="274" t="s">
        <v>2561</v>
      </c>
      <c r="E551" s="275" t="s">
        <v>2553</v>
      </c>
      <c r="F551" s="274" t="s">
        <v>2144</v>
      </c>
      <c r="G551" s="274" t="s">
        <v>2532</v>
      </c>
    </row>
    <row r="552" spans="1:7" ht="17">
      <c r="A552" s="75" t="s">
        <v>2570</v>
      </c>
      <c r="B552" s="75"/>
      <c r="C552" s="75"/>
      <c r="D552" s="75"/>
      <c r="E552" s="76"/>
      <c r="F552" s="75"/>
      <c r="G552" s="75"/>
    </row>
    <row r="553" spans="1:7" ht="17">
      <c r="A553" s="274" t="s">
        <v>2339</v>
      </c>
      <c r="B553" s="274"/>
      <c r="C553" s="274" t="s">
        <v>2285</v>
      </c>
      <c r="D553" s="274" t="s">
        <v>2561</v>
      </c>
      <c r="E553" s="275" t="s">
        <v>2287</v>
      </c>
      <c r="F553" s="274" t="s">
        <v>2146</v>
      </c>
      <c r="G553" s="274" t="s">
        <v>2340</v>
      </c>
    </row>
    <row r="554" spans="1:7" ht="17">
      <c r="A554" s="274" t="s">
        <v>2341</v>
      </c>
      <c r="B554" s="274" t="s">
        <v>2342</v>
      </c>
      <c r="C554" s="274" t="s">
        <v>2343</v>
      </c>
      <c r="D554" s="274" t="s">
        <v>2249</v>
      </c>
      <c r="E554" s="275"/>
      <c r="F554" s="274" t="s">
        <v>2250</v>
      </c>
      <c r="G554" s="274" t="s">
        <v>2344</v>
      </c>
    </row>
    <row r="555" spans="1:7" ht="17">
      <c r="A555" s="274" t="s">
        <v>2345</v>
      </c>
      <c r="B555" s="274" t="s">
        <v>2346</v>
      </c>
      <c r="C555" s="274" t="s">
        <v>2285</v>
      </c>
      <c r="D555" s="274" t="s">
        <v>2561</v>
      </c>
      <c r="E555" s="275" t="s">
        <v>2287</v>
      </c>
      <c r="F555" s="274" t="s">
        <v>2146</v>
      </c>
      <c r="G555" s="274" t="s">
        <v>2347</v>
      </c>
    </row>
    <row r="556" spans="1:7" ht="17">
      <c r="A556" s="274" t="s">
        <v>2348</v>
      </c>
      <c r="B556" s="274"/>
      <c r="C556" s="274" t="s">
        <v>2292</v>
      </c>
      <c r="D556" s="274" t="s">
        <v>2561</v>
      </c>
      <c r="E556" s="275" t="s">
        <v>2293</v>
      </c>
      <c r="F556" s="274" t="s">
        <v>2146</v>
      </c>
      <c r="G556" s="274" t="s">
        <v>2251</v>
      </c>
    </row>
    <row r="557" spans="1:7" ht="17">
      <c r="A557" s="274" t="s">
        <v>2505</v>
      </c>
      <c r="B557" s="274" t="s">
        <v>2291</v>
      </c>
      <c r="C557" s="274" t="s">
        <v>108</v>
      </c>
      <c r="D557" s="274" t="s">
        <v>2563</v>
      </c>
      <c r="E557" s="275" t="s">
        <v>108</v>
      </c>
      <c r="F557" s="274" t="s">
        <v>2144</v>
      </c>
      <c r="G557" s="274" t="s">
        <v>2251</v>
      </c>
    </row>
    <row r="558" spans="1:7" ht="17">
      <c r="A558" s="75" t="s">
        <v>2571</v>
      </c>
      <c r="B558" s="75"/>
      <c r="C558" s="75"/>
      <c r="D558" s="75"/>
      <c r="E558" s="76"/>
      <c r="F558" s="75"/>
      <c r="G558" s="75"/>
    </row>
    <row r="559" spans="1:7" ht="17">
      <c r="A559" s="274" t="s">
        <v>2291</v>
      </c>
      <c r="B559" s="274" t="s">
        <v>2291</v>
      </c>
      <c r="C559" s="274" t="s">
        <v>2292</v>
      </c>
      <c r="D559" s="274" t="s">
        <v>2572</v>
      </c>
      <c r="E559" s="275" t="s">
        <v>2543</v>
      </c>
      <c r="F559" s="274" t="s">
        <v>2157</v>
      </c>
      <c r="G559" s="274" t="s">
        <v>2573</v>
      </c>
    </row>
    <row r="560" spans="1:7" ht="17">
      <c r="A560" s="274" t="s">
        <v>2247</v>
      </c>
      <c r="B560" s="274" t="s">
        <v>2248</v>
      </c>
      <c r="C560" s="274"/>
      <c r="D560" s="274" t="s">
        <v>2249</v>
      </c>
      <c r="E560" s="275"/>
      <c r="F560" s="274" t="s">
        <v>2250</v>
      </c>
      <c r="G560" s="274" t="s">
        <v>2251</v>
      </c>
    </row>
    <row r="561" spans="1:7" ht="17">
      <c r="A561" s="274" t="s">
        <v>2252</v>
      </c>
      <c r="B561" s="274" t="s">
        <v>2248</v>
      </c>
      <c r="C561" s="274"/>
      <c r="D561" s="274" t="s">
        <v>2249</v>
      </c>
      <c r="E561" s="275"/>
      <c r="F561" s="274" t="s">
        <v>2250</v>
      </c>
      <c r="G561" s="274" t="s">
        <v>2251</v>
      </c>
    </row>
    <row r="562" spans="1:7" ht="17">
      <c r="A562" s="75" t="s">
        <v>2574</v>
      </c>
      <c r="B562" s="75"/>
      <c r="C562" s="75"/>
      <c r="D562" s="75"/>
      <c r="E562" s="76"/>
      <c r="F562" s="75"/>
      <c r="G562" s="75"/>
    </row>
    <row r="563" spans="1:7" ht="17">
      <c r="A563" s="274" t="s">
        <v>2254</v>
      </c>
      <c r="B563" s="274" t="s">
        <v>2248</v>
      </c>
      <c r="C563" s="274"/>
      <c r="D563" s="274" t="s">
        <v>2249</v>
      </c>
      <c r="E563" s="275"/>
      <c r="F563" s="274" t="s">
        <v>2255</v>
      </c>
      <c r="G563" s="274" t="s">
        <v>2251</v>
      </c>
    </row>
    <row r="564" spans="1:7" ht="17">
      <c r="A564" s="274" t="s">
        <v>2256</v>
      </c>
      <c r="B564" s="274" t="s">
        <v>2257</v>
      </c>
      <c r="C564" s="274"/>
      <c r="D564" s="274" t="s">
        <v>2249</v>
      </c>
      <c r="E564" s="275"/>
      <c r="F564" s="274" t="s">
        <v>2250</v>
      </c>
      <c r="G564" s="274" t="s">
        <v>2251</v>
      </c>
    </row>
    <row r="565" spans="1:7" ht="17">
      <c r="A565" s="274" t="s">
        <v>2258</v>
      </c>
      <c r="B565" s="274" t="s">
        <v>2257</v>
      </c>
      <c r="C565" s="274"/>
      <c r="D565" s="274" t="s">
        <v>2249</v>
      </c>
      <c r="E565" s="275"/>
      <c r="F565" s="274" t="s">
        <v>2250</v>
      </c>
      <c r="G565" s="274" t="s">
        <v>2251</v>
      </c>
    </row>
    <row r="566" spans="1:7" ht="17">
      <c r="A566" s="274" t="s">
        <v>2259</v>
      </c>
      <c r="B566" s="274" t="s">
        <v>2248</v>
      </c>
      <c r="C566" s="274"/>
      <c r="D566" s="274" t="s">
        <v>2249</v>
      </c>
      <c r="E566" s="275"/>
      <c r="F566" s="274" t="s">
        <v>2255</v>
      </c>
      <c r="G566" s="274" t="s">
        <v>2251</v>
      </c>
    </row>
    <row r="567" spans="1:7" ht="17">
      <c r="A567" s="274" t="s">
        <v>2260</v>
      </c>
      <c r="B567" s="274" t="s">
        <v>2257</v>
      </c>
      <c r="C567" s="274"/>
      <c r="D567" s="274" t="s">
        <v>2249</v>
      </c>
      <c r="E567" s="275"/>
      <c r="F567" s="274" t="s">
        <v>2250</v>
      </c>
      <c r="G567" s="274" t="s">
        <v>2251</v>
      </c>
    </row>
    <row r="568" spans="1:7" ht="17">
      <c r="A568" s="274" t="s">
        <v>2261</v>
      </c>
      <c r="B568" s="274" t="s">
        <v>2248</v>
      </c>
      <c r="C568" s="274"/>
      <c r="D568" s="274" t="s">
        <v>2249</v>
      </c>
      <c r="E568" s="275"/>
      <c r="F568" s="274" t="s">
        <v>2250</v>
      </c>
      <c r="G568" s="274" t="s">
        <v>2251</v>
      </c>
    </row>
    <row r="569" spans="1:7" ht="17">
      <c r="A569" s="274" t="s">
        <v>2262</v>
      </c>
      <c r="B569" s="274" t="s">
        <v>2248</v>
      </c>
      <c r="C569" s="274"/>
      <c r="D569" s="274" t="s">
        <v>2249</v>
      </c>
      <c r="E569" s="275"/>
      <c r="F569" s="274" t="s">
        <v>2255</v>
      </c>
      <c r="G569" s="274" t="s">
        <v>2251</v>
      </c>
    </row>
    <row r="570" spans="1:7" ht="17">
      <c r="A570" s="274" t="s">
        <v>2263</v>
      </c>
      <c r="B570" s="274" t="s">
        <v>2248</v>
      </c>
      <c r="C570" s="274"/>
      <c r="D570" s="274" t="s">
        <v>2249</v>
      </c>
      <c r="E570" s="275"/>
      <c r="F570" s="274" t="s">
        <v>2255</v>
      </c>
      <c r="G570" s="274" t="s">
        <v>2251</v>
      </c>
    </row>
    <row r="571" spans="1:7" ht="17">
      <c r="A571" s="274" t="s">
        <v>2264</v>
      </c>
      <c r="B571" s="274" t="s">
        <v>2248</v>
      </c>
      <c r="C571" s="274"/>
      <c r="D571" s="274" t="s">
        <v>2249</v>
      </c>
      <c r="E571" s="275"/>
      <c r="F571" s="274" t="s">
        <v>2255</v>
      </c>
      <c r="G571" s="274" t="s">
        <v>2251</v>
      </c>
    </row>
    <row r="572" spans="1:7">
      <c r="A572" s="56" t="s">
        <v>2265</v>
      </c>
      <c r="B572" s="56" t="s">
        <v>2257</v>
      </c>
      <c r="C572" s="56"/>
      <c r="D572" s="56" t="s">
        <v>2249</v>
      </c>
      <c r="E572" s="74"/>
      <c r="F572" s="56" t="s">
        <v>2255</v>
      </c>
      <c r="G572" s="56" t="s">
        <v>2251</v>
      </c>
    </row>
    <row r="573" spans="1:7" ht="17">
      <c r="A573" s="274" t="s">
        <v>2291</v>
      </c>
      <c r="B573" s="274" t="s">
        <v>2291</v>
      </c>
      <c r="C573" s="274" t="s">
        <v>2292</v>
      </c>
      <c r="D573" s="274" t="s">
        <v>2572</v>
      </c>
      <c r="E573" s="275" t="s">
        <v>2543</v>
      </c>
      <c r="F573" s="274" t="s">
        <v>2157</v>
      </c>
      <c r="G573" s="274" t="s">
        <v>2575</v>
      </c>
    </row>
    <row r="574" spans="1:7" ht="17">
      <c r="A574" s="75" t="s">
        <v>2576</v>
      </c>
      <c r="B574" s="75"/>
      <c r="C574" s="75"/>
      <c r="D574" s="75"/>
      <c r="E574" s="76"/>
      <c r="F574" s="75"/>
      <c r="G574" s="75"/>
    </row>
    <row r="575" spans="1:7" ht="17">
      <c r="A575" s="274" t="s">
        <v>2291</v>
      </c>
      <c r="B575" s="274" t="s">
        <v>2291</v>
      </c>
      <c r="C575" s="274" t="s">
        <v>2292</v>
      </c>
      <c r="D575" s="274" t="s">
        <v>2572</v>
      </c>
      <c r="E575" s="275" t="s">
        <v>2543</v>
      </c>
      <c r="F575" s="274" t="s">
        <v>2157</v>
      </c>
      <c r="G575" s="274" t="s">
        <v>2573</v>
      </c>
    </row>
    <row r="576" spans="1:7" ht="17">
      <c r="A576" s="75" t="s">
        <v>2577</v>
      </c>
      <c r="B576" s="75"/>
      <c r="C576" s="75"/>
      <c r="D576" s="75"/>
      <c r="E576" s="76"/>
      <c r="F576" s="75"/>
      <c r="G576" s="75"/>
    </row>
    <row r="577" spans="1:7" ht="17">
      <c r="A577" s="274" t="s">
        <v>2291</v>
      </c>
      <c r="B577" s="274" t="s">
        <v>2291</v>
      </c>
      <c r="C577" s="274" t="s">
        <v>2292</v>
      </c>
      <c r="D577" s="274" t="s">
        <v>2572</v>
      </c>
      <c r="E577" s="275" t="s">
        <v>2543</v>
      </c>
      <c r="F577" s="274" t="s">
        <v>2157</v>
      </c>
      <c r="G577" s="274" t="s">
        <v>2578</v>
      </c>
    </row>
    <row r="578" spans="1:7" ht="17">
      <c r="A578" s="274" t="s">
        <v>2267</v>
      </c>
      <c r="B578" s="274" t="s">
        <v>2248</v>
      </c>
      <c r="C578" s="274"/>
      <c r="D578" s="274" t="s">
        <v>2249</v>
      </c>
      <c r="E578" s="275"/>
      <c r="F578" s="274" t="s">
        <v>2250</v>
      </c>
      <c r="G578" s="274" t="s">
        <v>2251</v>
      </c>
    </row>
    <row r="579" spans="1:7" ht="17">
      <c r="A579" s="75" t="s">
        <v>2579</v>
      </c>
      <c r="B579" s="75"/>
      <c r="C579" s="75"/>
      <c r="D579" s="75"/>
      <c r="E579" s="76"/>
      <c r="F579" s="75"/>
      <c r="G579" s="75"/>
    </row>
    <row r="580" spans="1:7" ht="17">
      <c r="A580" s="274" t="s">
        <v>2291</v>
      </c>
      <c r="B580" s="274" t="s">
        <v>2291</v>
      </c>
      <c r="C580" s="274" t="s">
        <v>2292</v>
      </c>
      <c r="D580" s="274" t="s">
        <v>2572</v>
      </c>
      <c r="E580" s="275" t="s">
        <v>2543</v>
      </c>
      <c r="F580" s="274" t="s">
        <v>2157</v>
      </c>
      <c r="G580" s="274" t="s">
        <v>2575</v>
      </c>
    </row>
    <row r="581" spans="1:7" ht="17">
      <c r="A581" s="75" t="s">
        <v>2580</v>
      </c>
      <c r="B581" s="75"/>
      <c r="C581" s="75"/>
      <c r="D581" s="75"/>
      <c r="E581" s="76"/>
      <c r="F581" s="75"/>
      <c r="G581" s="75"/>
    </row>
    <row r="582" spans="1:7" ht="17">
      <c r="A582" s="274" t="s">
        <v>2291</v>
      </c>
      <c r="B582" s="274" t="s">
        <v>2291</v>
      </c>
      <c r="C582" s="274" t="s">
        <v>2292</v>
      </c>
      <c r="D582" s="274" t="s">
        <v>2572</v>
      </c>
      <c r="E582" s="275" t="s">
        <v>2543</v>
      </c>
      <c r="F582" s="274" t="s">
        <v>2157</v>
      </c>
      <c r="G582" s="274" t="s">
        <v>2575</v>
      </c>
    </row>
    <row r="583" spans="1:7" ht="17">
      <c r="A583" s="274" t="s">
        <v>2269</v>
      </c>
      <c r="B583" s="274" t="s">
        <v>2248</v>
      </c>
      <c r="C583" s="274"/>
      <c r="D583" s="274" t="s">
        <v>2249</v>
      </c>
      <c r="E583" s="275"/>
      <c r="F583" s="274" t="s">
        <v>2250</v>
      </c>
      <c r="G583" s="274" t="s">
        <v>2251</v>
      </c>
    </row>
    <row r="584" spans="1:7" ht="17">
      <c r="A584" s="274" t="s">
        <v>2270</v>
      </c>
      <c r="B584" s="274" t="s">
        <v>2248</v>
      </c>
      <c r="C584" s="274"/>
      <c r="D584" s="274" t="s">
        <v>2249</v>
      </c>
      <c r="E584" s="275"/>
      <c r="F584" s="274" t="s">
        <v>2250</v>
      </c>
      <c r="G584" s="274" t="s">
        <v>2251</v>
      </c>
    </row>
    <row r="585" spans="1:7">
      <c r="A585" s="56" t="s">
        <v>2271</v>
      </c>
      <c r="B585" s="56" t="s">
        <v>2248</v>
      </c>
      <c r="C585" s="56"/>
      <c r="D585" s="56" t="s">
        <v>2249</v>
      </c>
      <c r="E585" s="74"/>
      <c r="F585" s="56" t="s">
        <v>2250</v>
      </c>
      <c r="G585" s="56" t="s">
        <v>2251</v>
      </c>
    </row>
    <row r="586" spans="1:7" ht="17">
      <c r="A586" s="274" t="s">
        <v>2272</v>
      </c>
      <c r="B586" s="274" t="s">
        <v>2248</v>
      </c>
      <c r="C586" s="274"/>
      <c r="D586" s="274" t="s">
        <v>2249</v>
      </c>
      <c r="E586" s="275"/>
      <c r="F586" s="274" t="s">
        <v>2250</v>
      </c>
      <c r="G586" s="274" t="s">
        <v>2251</v>
      </c>
    </row>
    <row r="587" spans="1:7" ht="17">
      <c r="A587" s="274" t="s">
        <v>2273</v>
      </c>
      <c r="B587" s="274" t="s">
        <v>2248</v>
      </c>
      <c r="C587" s="274"/>
      <c r="D587" s="274" t="s">
        <v>2249</v>
      </c>
      <c r="E587" s="275"/>
      <c r="F587" s="274" t="s">
        <v>2250</v>
      </c>
      <c r="G587" s="274" t="s">
        <v>2251</v>
      </c>
    </row>
    <row r="588" spans="1:7" ht="17">
      <c r="A588" s="274" t="s">
        <v>2274</v>
      </c>
      <c r="B588" s="274" t="s">
        <v>2248</v>
      </c>
      <c r="C588" s="274"/>
      <c r="D588" s="274" t="s">
        <v>2249</v>
      </c>
      <c r="E588" s="275"/>
      <c r="F588" s="274" t="s">
        <v>2250</v>
      </c>
      <c r="G588" s="274" t="s">
        <v>2251</v>
      </c>
    </row>
    <row r="589" spans="1:7" ht="17">
      <c r="A589" s="274" t="s">
        <v>2275</v>
      </c>
      <c r="B589" s="274" t="s">
        <v>2248</v>
      </c>
      <c r="C589" s="274"/>
      <c r="D589" s="274" t="s">
        <v>2249</v>
      </c>
      <c r="E589" s="275"/>
      <c r="F589" s="274" t="s">
        <v>2250</v>
      </c>
      <c r="G589" s="274" t="s">
        <v>2251</v>
      </c>
    </row>
    <row r="590" spans="1:7" ht="17">
      <c r="A590" s="274" t="s">
        <v>2276</v>
      </c>
      <c r="B590" s="274" t="s">
        <v>2248</v>
      </c>
      <c r="C590" s="274"/>
      <c r="D590" s="274" t="s">
        <v>2249</v>
      </c>
      <c r="E590" s="275"/>
      <c r="F590" s="274" t="s">
        <v>2250</v>
      </c>
      <c r="G590" s="274" t="s">
        <v>2251</v>
      </c>
    </row>
    <row r="591" spans="1:7" ht="17">
      <c r="A591" s="75" t="s">
        <v>2581</v>
      </c>
      <c r="B591" s="75"/>
      <c r="C591" s="75"/>
      <c r="D591" s="75"/>
      <c r="E591" s="76"/>
      <c r="F591" s="75"/>
      <c r="G591" s="75"/>
    </row>
    <row r="592" spans="1:7" ht="17">
      <c r="A592" s="274" t="s">
        <v>2291</v>
      </c>
      <c r="B592" s="274" t="s">
        <v>2291</v>
      </c>
      <c r="C592" s="274" t="s">
        <v>2292</v>
      </c>
      <c r="D592" s="274" t="s">
        <v>2572</v>
      </c>
      <c r="E592" s="275" t="s">
        <v>2543</v>
      </c>
      <c r="F592" s="274" t="s">
        <v>2157</v>
      </c>
      <c r="G592" s="274" t="s">
        <v>2575</v>
      </c>
    </row>
    <row r="593" spans="1:7">
      <c r="A593" s="56" t="s">
        <v>2278</v>
      </c>
      <c r="B593" s="56" t="s">
        <v>2279</v>
      </c>
      <c r="C593" s="56"/>
      <c r="D593" s="56" t="s">
        <v>2249</v>
      </c>
      <c r="E593" s="74"/>
      <c r="F593" s="56" t="s">
        <v>2280</v>
      </c>
      <c r="G593" s="56" t="s">
        <v>2251</v>
      </c>
    </row>
    <row r="594" spans="1:7" ht="17">
      <c r="A594" s="274" t="s">
        <v>2281</v>
      </c>
      <c r="B594" s="274" t="s">
        <v>2248</v>
      </c>
      <c r="C594" s="274"/>
      <c r="D594" s="274" t="s">
        <v>2249</v>
      </c>
      <c r="E594" s="275"/>
      <c r="F594" s="274" t="s">
        <v>2250</v>
      </c>
      <c r="G594" s="274" t="s">
        <v>2251</v>
      </c>
    </row>
    <row r="595" spans="1:7" ht="17">
      <c r="A595" s="75" t="s">
        <v>2582</v>
      </c>
      <c r="B595" s="75"/>
      <c r="C595" s="75"/>
      <c r="D595" s="75"/>
      <c r="E595" s="76"/>
      <c r="F595" s="75"/>
      <c r="G595" s="75"/>
    </row>
    <row r="596" spans="1:7" ht="17">
      <c r="A596" s="274" t="s">
        <v>2291</v>
      </c>
      <c r="B596" s="274" t="s">
        <v>2291</v>
      </c>
      <c r="C596" s="274" t="s">
        <v>2292</v>
      </c>
      <c r="D596" s="274" t="s">
        <v>2572</v>
      </c>
      <c r="E596" s="275" t="s">
        <v>2543</v>
      </c>
      <c r="F596" s="274" t="s">
        <v>2157</v>
      </c>
      <c r="G596" s="274" t="s">
        <v>2575</v>
      </c>
    </row>
    <row r="597" spans="1:7" ht="17">
      <c r="A597" s="75" t="s">
        <v>2583</v>
      </c>
      <c r="B597" s="75"/>
      <c r="C597" s="75"/>
      <c r="D597" s="75"/>
      <c r="E597" s="76"/>
      <c r="F597" s="75"/>
      <c r="G597" s="75"/>
    </row>
    <row r="598" spans="1:7" ht="17">
      <c r="A598" s="274" t="s">
        <v>2355</v>
      </c>
      <c r="B598" s="274" t="s">
        <v>2356</v>
      </c>
      <c r="C598" s="274" t="s">
        <v>1565</v>
      </c>
      <c r="D598" s="274" t="s">
        <v>2584</v>
      </c>
      <c r="E598" s="275" t="s">
        <v>1565</v>
      </c>
      <c r="F598" s="274" t="s">
        <v>2162</v>
      </c>
      <c r="G598" s="274" t="s">
        <v>2358</v>
      </c>
    </row>
    <row r="599" spans="1:7" ht="17">
      <c r="A599" s="274" t="s">
        <v>2516</v>
      </c>
      <c r="B599" s="274" t="s">
        <v>2291</v>
      </c>
      <c r="C599" s="274" t="s">
        <v>1215</v>
      </c>
      <c r="D599" s="274" t="s">
        <v>2584</v>
      </c>
      <c r="E599" s="275" t="s">
        <v>1215</v>
      </c>
      <c r="F599" s="274" t="s">
        <v>2160</v>
      </c>
      <c r="G599" s="274" t="s">
        <v>2251</v>
      </c>
    </row>
    <row r="600" spans="1:7" ht="17">
      <c r="A600" s="274" t="s">
        <v>2398</v>
      </c>
      <c r="B600" s="274"/>
      <c r="C600" s="274" t="s">
        <v>2399</v>
      </c>
      <c r="D600" s="274" t="s">
        <v>2584</v>
      </c>
      <c r="E600" s="275" t="s">
        <v>2517</v>
      </c>
      <c r="F600" s="274" t="s">
        <v>2162</v>
      </c>
      <c r="G600" s="274" t="s">
        <v>2251</v>
      </c>
    </row>
    <row r="601" spans="1:7" ht="17">
      <c r="A601" s="274" t="s">
        <v>2400</v>
      </c>
      <c r="B601" s="274" t="s">
        <v>2284</v>
      </c>
      <c r="C601" s="274" t="s">
        <v>108</v>
      </c>
      <c r="D601" s="274" t="s">
        <v>2584</v>
      </c>
      <c r="E601" s="275" t="s">
        <v>108</v>
      </c>
      <c r="F601" s="274" t="s">
        <v>1970</v>
      </c>
      <c r="G601" s="274" t="s">
        <v>2251</v>
      </c>
    </row>
    <row r="602" spans="1:7" ht="17">
      <c r="A602" s="274" t="s">
        <v>2401</v>
      </c>
      <c r="B602" s="274" t="s">
        <v>2402</v>
      </c>
      <c r="C602" s="274" t="s">
        <v>2403</v>
      </c>
      <c r="D602" s="274" t="s">
        <v>2584</v>
      </c>
      <c r="E602" s="275" t="s">
        <v>2403</v>
      </c>
      <c r="F602" s="274" t="s">
        <v>1970</v>
      </c>
      <c r="G602" s="274" t="s">
        <v>2404</v>
      </c>
    </row>
    <row r="603" spans="1:7" ht="17">
      <c r="A603" s="274" t="s">
        <v>2405</v>
      </c>
      <c r="B603" s="274"/>
      <c r="C603" s="274" t="s">
        <v>108</v>
      </c>
      <c r="D603" s="274" t="s">
        <v>2584</v>
      </c>
      <c r="E603" s="275" t="s">
        <v>108</v>
      </c>
      <c r="F603" s="274" t="s">
        <v>1970</v>
      </c>
      <c r="G603" s="274" t="s">
        <v>2251</v>
      </c>
    </row>
    <row r="604" spans="1:7" ht="17">
      <c r="A604" s="75" t="s">
        <v>2585</v>
      </c>
      <c r="B604" s="75"/>
      <c r="C604" s="75"/>
      <c r="D604" s="75"/>
      <c r="E604" s="76"/>
      <c r="F604" s="75"/>
      <c r="G604" s="75"/>
    </row>
    <row r="605" spans="1:7" ht="17">
      <c r="A605" s="274" t="s">
        <v>2407</v>
      </c>
      <c r="B605" s="274" t="s">
        <v>2296</v>
      </c>
      <c r="C605" s="274" t="s">
        <v>108</v>
      </c>
      <c r="D605" s="274" t="s">
        <v>2584</v>
      </c>
      <c r="E605" s="275" t="s">
        <v>108</v>
      </c>
      <c r="F605" s="274" t="s">
        <v>1970</v>
      </c>
      <c r="G605" s="274" t="s">
        <v>2251</v>
      </c>
    </row>
    <row r="606" spans="1:7" ht="17">
      <c r="A606" s="274" t="s">
        <v>2409</v>
      </c>
      <c r="B606" s="274" t="s">
        <v>2410</v>
      </c>
      <c r="C606" s="274" t="s">
        <v>108</v>
      </c>
      <c r="D606" s="274" t="s">
        <v>2584</v>
      </c>
      <c r="E606" s="275" t="s">
        <v>108</v>
      </c>
      <c r="F606" s="274" t="s">
        <v>1970</v>
      </c>
      <c r="G606" s="274" t="s">
        <v>2411</v>
      </c>
    </row>
    <row r="607" spans="1:7">
      <c r="A607" s="56" t="s">
        <v>2412</v>
      </c>
      <c r="B607" s="56" t="s">
        <v>2410</v>
      </c>
      <c r="C607" s="56" t="s">
        <v>108</v>
      </c>
      <c r="D607" s="56" t="s">
        <v>2584</v>
      </c>
      <c r="E607" s="74" t="s">
        <v>108</v>
      </c>
      <c r="F607" s="56" t="s">
        <v>1970</v>
      </c>
      <c r="G607" s="56" t="s">
        <v>2251</v>
      </c>
    </row>
    <row r="608" spans="1:7" ht="17">
      <c r="A608" s="274" t="s">
        <v>2290</v>
      </c>
      <c r="B608" s="274" t="s">
        <v>2291</v>
      </c>
      <c r="C608" s="274" t="s">
        <v>2292</v>
      </c>
      <c r="D608" s="274" t="s">
        <v>2584</v>
      </c>
      <c r="E608" s="275" t="s">
        <v>2519</v>
      </c>
      <c r="F608" s="274" t="s">
        <v>2157</v>
      </c>
      <c r="G608" s="274" t="s">
        <v>2251</v>
      </c>
    </row>
    <row r="609" spans="1:7">
      <c r="A609" s="56" t="s">
        <v>2414</v>
      </c>
      <c r="B609" s="56" t="s">
        <v>2415</v>
      </c>
      <c r="C609" s="56" t="s">
        <v>108</v>
      </c>
      <c r="D609" s="56" t="s">
        <v>2584</v>
      </c>
      <c r="E609" s="74" t="s">
        <v>108</v>
      </c>
      <c r="F609" s="56" t="s">
        <v>1970</v>
      </c>
      <c r="G609" s="56" t="s">
        <v>2416</v>
      </c>
    </row>
    <row r="610" spans="1:7" ht="17">
      <c r="A610" s="75" t="s">
        <v>2586</v>
      </c>
      <c r="B610" s="75"/>
      <c r="C610" s="75"/>
      <c r="D610" s="75"/>
      <c r="E610" s="76"/>
      <c r="F610" s="75"/>
      <c r="G610" s="75"/>
    </row>
    <row r="611" spans="1:7" ht="17">
      <c r="A611" s="274" t="s">
        <v>2418</v>
      </c>
      <c r="B611" s="274" t="s">
        <v>2363</v>
      </c>
      <c r="C611" s="274" t="s">
        <v>108</v>
      </c>
      <c r="D611" s="274" t="s">
        <v>2584</v>
      </c>
      <c r="E611" s="275" t="s">
        <v>108</v>
      </c>
      <c r="F611" s="274" t="s">
        <v>1970</v>
      </c>
      <c r="G611" s="274" t="s">
        <v>2251</v>
      </c>
    </row>
    <row r="612" spans="1:7" ht="17">
      <c r="A612" s="274" t="s">
        <v>2362</v>
      </c>
      <c r="B612" s="274" t="s">
        <v>2363</v>
      </c>
      <c r="C612" s="274" t="s">
        <v>2364</v>
      </c>
      <c r="D612" s="274" t="s">
        <v>2584</v>
      </c>
      <c r="E612" s="275" t="s">
        <v>108</v>
      </c>
      <c r="F612" s="274" t="s">
        <v>1970</v>
      </c>
      <c r="G612" s="274" t="s">
        <v>2251</v>
      </c>
    </row>
    <row r="613" spans="1:7" ht="17">
      <c r="A613" s="274" t="s">
        <v>2420</v>
      </c>
      <c r="B613" s="274" t="s">
        <v>2363</v>
      </c>
      <c r="C613" s="274" t="s">
        <v>2421</v>
      </c>
      <c r="D613" s="274" t="s">
        <v>2584</v>
      </c>
      <c r="E613" s="275" t="s">
        <v>108</v>
      </c>
      <c r="F613" s="274" t="s">
        <v>1970</v>
      </c>
      <c r="G613" s="274" t="s">
        <v>2422</v>
      </c>
    </row>
    <row r="614" spans="1:7" ht="17">
      <c r="A614" s="274" t="s">
        <v>2423</v>
      </c>
      <c r="B614" s="274" t="s">
        <v>2363</v>
      </c>
      <c r="C614" s="274" t="s">
        <v>108</v>
      </c>
      <c r="D614" s="274" t="s">
        <v>2584</v>
      </c>
      <c r="E614" s="275" t="s">
        <v>108</v>
      </c>
      <c r="F614" s="274" t="s">
        <v>1970</v>
      </c>
      <c r="G614" s="274" t="s">
        <v>2251</v>
      </c>
    </row>
    <row r="615" spans="1:7" ht="17">
      <c r="A615" s="75" t="s">
        <v>2587</v>
      </c>
      <c r="B615" s="75"/>
      <c r="C615" s="75"/>
      <c r="D615" s="75"/>
      <c r="E615" s="76"/>
      <c r="F615" s="75"/>
      <c r="G615" s="75"/>
    </row>
    <row r="616" spans="1:7">
      <c r="A616" s="56" t="s">
        <v>2425</v>
      </c>
      <c r="B616" s="56" t="s">
        <v>2426</v>
      </c>
      <c r="C616" s="56" t="s">
        <v>2427</v>
      </c>
      <c r="D616" s="56" t="s">
        <v>2584</v>
      </c>
      <c r="E616" s="74" t="s">
        <v>108</v>
      </c>
      <c r="F616" s="56" t="s">
        <v>1970</v>
      </c>
      <c r="G616" s="56" t="s">
        <v>2251</v>
      </c>
    </row>
    <row r="617" spans="1:7">
      <c r="A617" s="56" t="s">
        <v>2369</v>
      </c>
      <c r="B617" s="56"/>
      <c r="C617" s="56" t="s">
        <v>552</v>
      </c>
      <c r="D617" s="56" t="s">
        <v>2584</v>
      </c>
      <c r="E617" s="74" t="s">
        <v>552</v>
      </c>
      <c r="F617" s="56" t="s">
        <v>2162</v>
      </c>
      <c r="G617" s="56" t="s">
        <v>2370</v>
      </c>
    </row>
    <row r="618" spans="1:7" ht="17">
      <c r="A618" s="274" t="s">
        <v>2428</v>
      </c>
      <c r="B618" s="274" t="s">
        <v>2426</v>
      </c>
      <c r="C618" s="274" t="s">
        <v>2429</v>
      </c>
      <c r="D618" s="274" t="s">
        <v>2584</v>
      </c>
      <c r="E618" s="275" t="s">
        <v>108</v>
      </c>
      <c r="F618" s="274" t="s">
        <v>1970</v>
      </c>
      <c r="G618" s="274" t="s">
        <v>2251</v>
      </c>
    </row>
    <row r="619" spans="1:7" ht="17">
      <c r="A619" s="274" t="s">
        <v>2430</v>
      </c>
      <c r="B619" s="274" t="s">
        <v>2431</v>
      </c>
      <c r="C619" s="274" t="s">
        <v>108</v>
      </c>
      <c r="D619" s="274" t="s">
        <v>2584</v>
      </c>
      <c r="E619" s="275" t="s">
        <v>108</v>
      </c>
      <c r="F619" s="274" t="s">
        <v>1970</v>
      </c>
      <c r="G619" s="274" t="s">
        <v>2432</v>
      </c>
    </row>
    <row r="620" spans="1:7">
      <c r="A620" s="56" t="s">
        <v>2433</v>
      </c>
      <c r="B620" s="56" t="s">
        <v>2431</v>
      </c>
      <c r="C620" s="56" t="s">
        <v>108</v>
      </c>
      <c r="D620" s="56" t="s">
        <v>2584</v>
      </c>
      <c r="E620" s="74" t="s">
        <v>108</v>
      </c>
      <c r="F620" s="56" t="s">
        <v>1970</v>
      </c>
      <c r="G620" s="56" t="s">
        <v>2251</v>
      </c>
    </row>
    <row r="621" spans="1:7" ht="17">
      <c r="A621" s="75" t="s">
        <v>2588</v>
      </c>
      <c r="B621" s="75"/>
      <c r="C621" s="75"/>
      <c r="D621" s="75"/>
      <c r="E621" s="76"/>
      <c r="F621" s="75"/>
      <c r="G621" s="75"/>
    </row>
    <row r="622" spans="1:7" ht="17">
      <c r="A622" s="274" t="s">
        <v>2435</v>
      </c>
      <c r="B622" s="274" t="s">
        <v>2436</v>
      </c>
      <c r="C622" s="274" t="s">
        <v>108</v>
      </c>
      <c r="D622" s="274" t="s">
        <v>2584</v>
      </c>
      <c r="E622" s="275" t="s">
        <v>108</v>
      </c>
      <c r="F622" s="274" t="s">
        <v>1970</v>
      </c>
      <c r="G622" s="274" t="s">
        <v>2437</v>
      </c>
    </row>
    <row r="623" spans="1:7" ht="17">
      <c r="A623" s="274" t="s">
        <v>2295</v>
      </c>
      <c r="B623" s="274" t="s">
        <v>2296</v>
      </c>
      <c r="C623" s="274" t="s">
        <v>2297</v>
      </c>
      <c r="D623" s="274" t="s">
        <v>2584</v>
      </c>
      <c r="E623" s="275" t="s">
        <v>2519</v>
      </c>
      <c r="F623" s="274" t="s">
        <v>2157</v>
      </c>
      <c r="G623" s="274" t="s">
        <v>2251</v>
      </c>
    </row>
    <row r="624" spans="1:7" ht="17">
      <c r="A624" s="274" t="s">
        <v>2298</v>
      </c>
      <c r="B624" s="274" t="s">
        <v>2296</v>
      </c>
      <c r="C624" s="274" t="s">
        <v>2292</v>
      </c>
      <c r="D624" s="274" t="s">
        <v>2584</v>
      </c>
      <c r="E624" s="275" t="s">
        <v>2519</v>
      </c>
      <c r="F624" s="274" t="s">
        <v>2157</v>
      </c>
      <c r="G624" s="274" t="s">
        <v>2251</v>
      </c>
    </row>
    <row r="625" spans="1:7" ht="17">
      <c r="A625" s="274" t="s">
        <v>2299</v>
      </c>
      <c r="B625" s="274" t="s">
        <v>2296</v>
      </c>
      <c r="C625" s="274" t="s">
        <v>2292</v>
      </c>
      <c r="D625" s="274" t="s">
        <v>2584</v>
      </c>
      <c r="E625" s="275" t="s">
        <v>2519</v>
      </c>
      <c r="F625" s="274" t="s">
        <v>2157</v>
      </c>
      <c r="G625" s="274" t="s">
        <v>2251</v>
      </c>
    </row>
    <row r="626" spans="1:7" ht="17">
      <c r="A626" s="274" t="s">
        <v>2300</v>
      </c>
      <c r="B626" s="274" t="s">
        <v>2301</v>
      </c>
      <c r="C626" s="274" t="s">
        <v>2292</v>
      </c>
      <c r="D626" s="274" t="s">
        <v>2584</v>
      </c>
      <c r="E626" s="275" t="s">
        <v>2519</v>
      </c>
      <c r="F626" s="274" t="s">
        <v>2157</v>
      </c>
      <c r="G626" s="274" t="s">
        <v>2251</v>
      </c>
    </row>
    <row r="627" spans="1:7" ht="17">
      <c r="A627" s="274" t="s">
        <v>2302</v>
      </c>
      <c r="B627" s="274"/>
      <c r="C627" s="274" t="s">
        <v>2292</v>
      </c>
      <c r="D627" s="274" t="s">
        <v>2584</v>
      </c>
      <c r="E627" s="275" t="s">
        <v>2519</v>
      </c>
      <c r="F627" s="274" t="s">
        <v>2157</v>
      </c>
      <c r="G627" s="274" t="s">
        <v>2251</v>
      </c>
    </row>
    <row r="628" spans="1:7" ht="17">
      <c r="A628" s="274" t="s">
        <v>2303</v>
      </c>
      <c r="B628" s="274"/>
      <c r="C628" s="274" t="s">
        <v>2292</v>
      </c>
      <c r="D628" s="274" t="s">
        <v>2584</v>
      </c>
      <c r="E628" s="275" t="s">
        <v>2519</v>
      </c>
      <c r="F628" s="274" t="s">
        <v>2157</v>
      </c>
      <c r="G628" s="274" t="s">
        <v>2251</v>
      </c>
    </row>
    <row r="629" spans="1:7" ht="17">
      <c r="A629" s="274" t="s">
        <v>2304</v>
      </c>
      <c r="B629" s="274"/>
      <c r="C629" s="274" t="s">
        <v>2292</v>
      </c>
      <c r="D629" s="274" t="s">
        <v>2584</v>
      </c>
      <c r="E629" s="275" t="s">
        <v>2519</v>
      </c>
      <c r="F629" s="274" t="s">
        <v>2157</v>
      </c>
      <c r="G629" s="274" t="s">
        <v>2251</v>
      </c>
    </row>
    <row r="630" spans="1:7" ht="17">
      <c r="A630" s="75" t="s">
        <v>2589</v>
      </c>
      <c r="B630" s="75"/>
      <c r="C630" s="75"/>
      <c r="D630" s="75"/>
      <c r="E630" s="76"/>
      <c r="F630" s="75"/>
      <c r="G630" s="75"/>
    </row>
    <row r="631" spans="1:7" ht="17">
      <c r="A631" s="274" t="s">
        <v>2439</v>
      </c>
      <c r="B631" s="274" t="s">
        <v>2440</v>
      </c>
      <c r="C631" s="274" t="s">
        <v>108</v>
      </c>
      <c r="D631" s="274" t="s">
        <v>2584</v>
      </c>
      <c r="E631" s="275" t="s">
        <v>108</v>
      </c>
      <c r="F631" s="274" t="s">
        <v>1970</v>
      </c>
      <c r="G631" s="274" t="s">
        <v>2251</v>
      </c>
    </row>
    <row r="632" spans="1:7" ht="17">
      <c r="A632" s="274" t="s">
        <v>2441</v>
      </c>
      <c r="B632" s="274" t="s">
        <v>2442</v>
      </c>
      <c r="C632" s="274" t="s">
        <v>2427</v>
      </c>
      <c r="D632" s="274" t="s">
        <v>2584</v>
      </c>
      <c r="E632" s="275" t="s">
        <v>108</v>
      </c>
      <c r="F632" s="274" t="s">
        <v>1970</v>
      </c>
      <c r="G632" s="274" t="s">
        <v>2251</v>
      </c>
    </row>
    <row r="633" spans="1:7" ht="17">
      <c r="A633" s="274" t="s">
        <v>2443</v>
      </c>
      <c r="B633" s="274" t="s">
        <v>2440</v>
      </c>
      <c r="C633" s="274" t="s">
        <v>2444</v>
      </c>
      <c r="D633" s="274" t="s">
        <v>2584</v>
      </c>
      <c r="E633" s="275" t="s">
        <v>108</v>
      </c>
      <c r="F633" s="274" t="s">
        <v>1970</v>
      </c>
      <c r="G633" s="274" t="s">
        <v>2445</v>
      </c>
    </row>
    <row r="634" spans="1:7" ht="17">
      <c r="A634" s="274" t="s">
        <v>2306</v>
      </c>
      <c r="B634" s="274" t="s">
        <v>2291</v>
      </c>
      <c r="C634" s="274" t="s">
        <v>2307</v>
      </c>
      <c r="D634" s="274" t="s">
        <v>2584</v>
      </c>
      <c r="E634" s="275" t="s">
        <v>108</v>
      </c>
      <c r="F634" s="274" t="s">
        <v>1970</v>
      </c>
      <c r="G634" s="274" t="s">
        <v>2251</v>
      </c>
    </row>
    <row r="635" spans="1:7" ht="17">
      <c r="A635" s="274" t="s">
        <v>2310</v>
      </c>
      <c r="B635" s="274" t="s">
        <v>2291</v>
      </c>
      <c r="C635" s="274" t="s">
        <v>2311</v>
      </c>
      <c r="D635" s="274" t="s">
        <v>2584</v>
      </c>
      <c r="E635" s="275" t="s">
        <v>2373</v>
      </c>
      <c r="F635" s="274" t="s">
        <v>2157</v>
      </c>
      <c r="G635" s="274" t="s">
        <v>2251</v>
      </c>
    </row>
    <row r="636" spans="1:7" ht="17">
      <c r="A636" s="274" t="s">
        <v>2313</v>
      </c>
      <c r="B636" s="274" t="s">
        <v>2291</v>
      </c>
      <c r="C636" s="274" t="s">
        <v>2292</v>
      </c>
      <c r="D636" s="274" t="s">
        <v>2584</v>
      </c>
      <c r="E636" s="275" t="s">
        <v>2519</v>
      </c>
      <c r="F636" s="274" t="s">
        <v>2157</v>
      </c>
      <c r="G636" s="274" t="s">
        <v>2251</v>
      </c>
    </row>
    <row r="637" spans="1:7" ht="17">
      <c r="A637" s="274" t="s">
        <v>2314</v>
      </c>
      <c r="B637" s="274" t="s">
        <v>2291</v>
      </c>
      <c r="C637" s="274" t="s">
        <v>2292</v>
      </c>
      <c r="D637" s="274" t="s">
        <v>2584</v>
      </c>
      <c r="E637" s="275" t="s">
        <v>2519</v>
      </c>
      <c r="F637" s="274" t="s">
        <v>2157</v>
      </c>
      <c r="G637" s="274" t="s">
        <v>2251</v>
      </c>
    </row>
    <row r="638" spans="1:7" ht="17">
      <c r="A638" s="274" t="s">
        <v>2447</v>
      </c>
      <c r="B638" s="274" t="s">
        <v>2440</v>
      </c>
      <c r="C638" s="274" t="s">
        <v>2403</v>
      </c>
      <c r="D638" s="274" t="s">
        <v>2584</v>
      </c>
      <c r="E638" s="275" t="s">
        <v>2403</v>
      </c>
      <c r="F638" s="274" t="s">
        <v>1970</v>
      </c>
      <c r="G638" s="274" t="s">
        <v>2251</v>
      </c>
    </row>
    <row r="639" spans="1:7" ht="17">
      <c r="A639" s="274" t="s">
        <v>2448</v>
      </c>
      <c r="B639" s="274" t="s">
        <v>2449</v>
      </c>
      <c r="C639" s="274" t="s">
        <v>108</v>
      </c>
      <c r="D639" s="274" t="s">
        <v>2584</v>
      </c>
      <c r="E639" s="275" t="s">
        <v>108</v>
      </c>
      <c r="F639" s="274" t="s">
        <v>1970</v>
      </c>
      <c r="G639" s="274" t="s">
        <v>2251</v>
      </c>
    </row>
    <row r="640" spans="1:7" ht="17">
      <c r="A640" s="75" t="s">
        <v>2590</v>
      </c>
      <c r="B640" s="75"/>
      <c r="C640" s="75"/>
      <c r="D640" s="75"/>
      <c r="E640" s="76"/>
      <c r="F640" s="75"/>
      <c r="G640" s="75"/>
    </row>
    <row r="641" spans="1:7" ht="17">
      <c r="A641" s="274" t="s">
        <v>2451</v>
      </c>
      <c r="B641" s="274"/>
      <c r="C641" s="274" t="s">
        <v>2403</v>
      </c>
      <c r="D641" s="274" t="s">
        <v>2584</v>
      </c>
      <c r="E641" s="275" t="s">
        <v>2403</v>
      </c>
      <c r="F641" s="274" t="s">
        <v>1970</v>
      </c>
      <c r="G641" s="274" t="s">
        <v>2251</v>
      </c>
    </row>
    <row r="642" spans="1:7">
      <c r="A642" s="56" t="s">
        <v>2375</v>
      </c>
      <c r="B642" s="56"/>
      <c r="C642" s="56" t="s">
        <v>2376</v>
      </c>
      <c r="D642" s="56" t="s">
        <v>2584</v>
      </c>
      <c r="E642" s="74" t="s">
        <v>2591</v>
      </c>
      <c r="F642" s="56" t="s">
        <v>2162</v>
      </c>
      <c r="G642" s="56" t="s">
        <v>2251</v>
      </c>
    </row>
    <row r="643" spans="1:7" ht="17">
      <c r="A643" s="274" t="s">
        <v>2452</v>
      </c>
      <c r="B643" s="274" t="s">
        <v>2440</v>
      </c>
      <c r="C643" s="274" t="s">
        <v>108</v>
      </c>
      <c r="D643" s="274" t="s">
        <v>2584</v>
      </c>
      <c r="E643" s="275" t="s">
        <v>108</v>
      </c>
      <c r="F643" s="274" t="s">
        <v>1970</v>
      </c>
      <c r="G643" s="274" t="s">
        <v>2251</v>
      </c>
    </row>
    <row r="644" spans="1:7" ht="17">
      <c r="A644" s="274" t="s">
        <v>2453</v>
      </c>
      <c r="B644" s="274" t="s">
        <v>2440</v>
      </c>
      <c r="C644" s="274" t="s">
        <v>108</v>
      </c>
      <c r="D644" s="274" t="s">
        <v>2584</v>
      </c>
      <c r="E644" s="275" t="s">
        <v>108</v>
      </c>
      <c r="F644" s="274" t="s">
        <v>1970</v>
      </c>
      <c r="G644" s="274" t="s">
        <v>2251</v>
      </c>
    </row>
    <row r="645" spans="1:7" ht="17">
      <c r="A645" s="274" t="s">
        <v>2454</v>
      </c>
      <c r="B645" s="274" t="s">
        <v>2301</v>
      </c>
      <c r="C645" s="274" t="s">
        <v>108</v>
      </c>
      <c r="D645" s="274" t="s">
        <v>2584</v>
      </c>
      <c r="E645" s="275" t="s">
        <v>108</v>
      </c>
      <c r="F645" s="274" t="s">
        <v>1970</v>
      </c>
      <c r="G645" s="274" t="s">
        <v>2251</v>
      </c>
    </row>
    <row r="646" spans="1:7" ht="17">
      <c r="A646" s="274" t="s">
        <v>2455</v>
      </c>
      <c r="B646" s="274" t="s">
        <v>2456</v>
      </c>
      <c r="C646" s="274" t="s">
        <v>2403</v>
      </c>
      <c r="D646" s="274" t="s">
        <v>2584</v>
      </c>
      <c r="E646" s="275" t="s">
        <v>2403</v>
      </c>
      <c r="F646" s="274" t="s">
        <v>1970</v>
      </c>
      <c r="G646" s="274" t="s">
        <v>2251</v>
      </c>
    </row>
    <row r="647" spans="1:7" ht="17">
      <c r="A647" s="274" t="s">
        <v>2457</v>
      </c>
      <c r="B647" s="274" t="s">
        <v>2456</v>
      </c>
      <c r="C647" s="274" t="s">
        <v>2403</v>
      </c>
      <c r="D647" s="274" t="s">
        <v>2584</v>
      </c>
      <c r="E647" s="275" t="s">
        <v>2403</v>
      </c>
      <c r="F647" s="274" t="s">
        <v>1970</v>
      </c>
      <c r="G647" s="274" t="s">
        <v>2251</v>
      </c>
    </row>
    <row r="648" spans="1:7" ht="17">
      <c r="A648" s="274" t="s">
        <v>2316</v>
      </c>
      <c r="B648" s="274" t="s">
        <v>2291</v>
      </c>
      <c r="C648" s="274" t="s">
        <v>2292</v>
      </c>
      <c r="D648" s="274" t="s">
        <v>2584</v>
      </c>
      <c r="E648" s="275" t="s">
        <v>2519</v>
      </c>
      <c r="F648" s="274" t="s">
        <v>2157</v>
      </c>
      <c r="G648" s="274" t="s">
        <v>2251</v>
      </c>
    </row>
    <row r="649" spans="1:7" ht="17">
      <c r="A649" s="274" t="s">
        <v>2458</v>
      </c>
      <c r="B649" s="274" t="s">
        <v>2456</v>
      </c>
      <c r="C649" s="274" t="s">
        <v>108</v>
      </c>
      <c r="D649" s="274" t="s">
        <v>2584</v>
      </c>
      <c r="E649" s="275" t="s">
        <v>108</v>
      </c>
      <c r="F649" s="274" t="s">
        <v>1970</v>
      </c>
      <c r="G649" s="274" t="s">
        <v>2459</v>
      </c>
    </row>
    <row r="650" spans="1:7" ht="17">
      <c r="A650" s="75" t="s">
        <v>2592</v>
      </c>
      <c r="B650" s="75"/>
      <c r="C650" s="75"/>
      <c r="D650" s="75"/>
      <c r="E650" s="76"/>
      <c r="F650" s="75"/>
      <c r="G650" s="75"/>
    </row>
    <row r="651" spans="1:7" ht="17">
      <c r="A651" s="274" t="s">
        <v>2461</v>
      </c>
      <c r="B651" s="274" t="s">
        <v>2462</v>
      </c>
      <c r="C651" s="274" t="s">
        <v>108</v>
      </c>
      <c r="D651" s="274" t="s">
        <v>2584</v>
      </c>
      <c r="E651" s="275" t="s">
        <v>108</v>
      </c>
      <c r="F651" s="274" t="s">
        <v>1970</v>
      </c>
      <c r="G651" s="274" t="s">
        <v>2251</v>
      </c>
    </row>
    <row r="652" spans="1:7" ht="17">
      <c r="A652" s="274" t="s">
        <v>2463</v>
      </c>
      <c r="B652" s="274" t="s">
        <v>2464</v>
      </c>
      <c r="C652" s="274" t="s">
        <v>108</v>
      </c>
      <c r="D652" s="274" t="s">
        <v>2584</v>
      </c>
      <c r="E652" s="275" t="s">
        <v>108</v>
      </c>
      <c r="F652" s="274" t="s">
        <v>1970</v>
      </c>
      <c r="G652" s="274" t="s">
        <v>2251</v>
      </c>
    </row>
    <row r="653" spans="1:7" ht="17">
      <c r="A653" s="274" t="s">
        <v>2465</v>
      </c>
      <c r="B653" s="274" t="s">
        <v>2464</v>
      </c>
      <c r="C653" s="274" t="s">
        <v>108</v>
      </c>
      <c r="D653" s="274" t="s">
        <v>2584</v>
      </c>
      <c r="E653" s="275" t="s">
        <v>108</v>
      </c>
      <c r="F653" s="274" t="s">
        <v>1970</v>
      </c>
      <c r="G653" s="274" t="s">
        <v>2251</v>
      </c>
    </row>
    <row r="654" spans="1:7" ht="17">
      <c r="A654" s="75" t="s">
        <v>2593</v>
      </c>
      <c r="B654" s="75"/>
      <c r="C654" s="75"/>
      <c r="D654" s="75"/>
      <c r="E654" s="76"/>
      <c r="F654" s="75"/>
      <c r="G654" s="75"/>
    </row>
    <row r="655" spans="1:7" ht="17">
      <c r="A655" s="274" t="s">
        <v>2378</v>
      </c>
      <c r="B655" s="274" t="s">
        <v>2379</v>
      </c>
      <c r="C655" s="274" t="s">
        <v>552</v>
      </c>
      <c r="D655" s="274" t="s">
        <v>2584</v>
      </c>
      <c r="E655" s="275" t="s">
        <v>552</v>
      </c>
      <c r="F655" s="274" t="s">
        <v>2162</v>
      </c>
      <c r="G655" s="274" t="s">
        <v>2380</v>
      </c>
    </row>
    <row r="656" spans="1:7" ht="17">
      <c r="A656" s="274" t="s">
        <v>2381</v>
      </c>
      <c r="B656" s="274" t="s">
        <v>2382</v>
      </c>
      <c r="C656" s="274" t="s">
        <v>2383</v>
      </c>
      <c r="D656" s="274" t="s">
        <v>2584</v>
      </c>
      <c r="E656" s="275" t="s">
        <v>552</v>
      </c>
      <c r="F656" s="274" t="s">
        <v>2162</v>
      </c>
      <c r="G656" s="274" t="s">
        <v>2384</v>
      </c>
    </row>
    <row r="657" spans="1:7" ht="17">
      <c r="A657" s="274" t="s">
        <v>2467</v>
      </c>
      <c r="B657" s="274" t="s">
        <v>2319</v>
      </c>
      <c r="C657" s="274" t="s">
        <v>2403</v>
      </c>
      <c r="D657" s="274" t="s">
        <v>2584</v>
      </c>
      <c r="E657" s="275" t="s">
        <v>2403</v>
      </c>
      <c r="F657" s="274" t="s">
        <v>1970</v>
      </c>
      <c r="G657" s="274" t="s">
        <v>2468</v>
      </c>
    </row>
    <row r="658" spans="1:7" ht="17">
      <c r="A658" s="274" t="s">
        <v>2469</v>
      </c>
      <c r="B658" s="274" t="s">
        <v>2382</v>
      </c>
      <c r="C658" s="274" t="s">
        <v>108</v>
      </c>
      <c r="D658" s="274" t="s">
        <v>2584</v>
      </c>
      <c r="E658" s="275" t="s">
        <v>108</v>
      </c>
      <c r="F658" s="274" t="s">
        <v>1970</v>
      </c>
      <c r="G658" s="274" t="s">
        <v>2470</v>
      </c>
    </row>
    <row r="659" spans="1:7" ht="17">
      <c r="A659" s="274" t="s">
        <v>2471</v>
      </c>
      <c r="B659" s="274" t="s">
        <v>2379</v>
      </c>
      <c r="C659" s="274" t="s">
        <v>108</v>
      </c>
      <c r="D659" s="274" t="s">
        <v>2584</v>
      </c>
      <c r="E659" s="275" t="s">
        <v>108</v>
      </c>
      <c r="F659" s="274" t="s">
        <v>1970</v>
      </c>
      <c r="G659" s="274" t="s">
        <v>2472</v>
      </c>
    </row>
    <row r="660" spans="1:7" ht="17">
      <c r="A660" s="274" t="s">
        <v>2473</v>
      </c>
      <c r="B660" s="274" t="s">
        <v>2474</v>
      </c>
      <c r="C660" s="274" t="s">
        <v>108</v>
      </c>
      <c r="D660" s="274" t="s">
        <v>2584</v>
      </c>
      <c r="E660" s="275" t="s">
        <v>108</v>
      </c>
      <c r="F660" s="274" t="s">
        <v>1970</v>
      </c>
      <c r="G660" s="274" t="s">
        <v>2475</v>
      </c>
    </row>
    <row r="661" spans="1:7" ht="17">
      <c r="A661" s="274" t="s">
        <v>2324</v>
      </c>
      <c r="B661" s="274" t="s">
        <v>2325</v>
      </c>
      <c r="C661" s="274"/>
      <c r="D661" s="274" t="s">
        <v>2249</v>
      </c>
      <c r="E661" s="275"/>
      <c r="F661" s="274" t="s">
        <v>2326</v>
      </c>
      <c r="G661" s="274" t="s">
        <v>2251</v>
      </c>
    </row>
    <row r="662" spans="1:7" ht="17">
      <c r="A662" s="274" t="s">
        <v>2327</v>
      </c>
      <c r="B662" s="274" t="s">
        <v>2325</v>
      </c>
      <c r="C662" s="274"/>
      <c r="D662" s="274" t="s">
        <v>2249</v>
      </c>
      <c r="E662" s="275"/>
      <c r="F662" s="274" t="s">
        <v>2326</v>
      </c>
      <c r="G662" s="274" t="s">
        <v>2251</v>
      </c>
    </row>
    <row r="663" spans="1:7">
      <c r="A663" s="56" t="s">
        <v>2328</v>
      </c>
      <c r="B663" s="56" t="s">
        <v>2325</v>
      </c>
      <c r="C663" s="56" t="s">
        <v>2329</v>
      </c>
      <c r="D663" s="56" t="s">
        <v>2249</v>
      </c>
      <c r="E663" s="74"/>
      <c r="F663" s="56" t="s">
        <v>2330</v>
      </c>
      <c r="G663" s="56" t="s">
        <v>2331</v>
      </c>
    </row>
    <row r="664" spans="1:7" ht="17">
      <c r="A664" s="75" t="s">
        <v>2594</v>
      </c>
      <c r="B664" s="75"/>
      <c r="C664" s="75"/>
      <c r="D664" s="75"/>
      <c r="E664" s="76"/>
      <c r="F664" s="75"/>
      <c r="G664" s="75"/>
    </row>
    <row r="665" spans="1:7" ht="17">
      <c r="A665" s="274" t="s">
        <v>2477</v>
      </c>
      <c r="B665" s="274" t="s">
        <v>2382</v>
      </c>
      <c r="C665" s="274" t="s">
        <v>108</v>
      </c>
      <c r="D665" s="274" t="s">
        <v>2584</v>
      </c>
      <c r="E665" s="275" t="s">
        <v>108</v>
      </c>
      <c r="F665" s="274" t="s">
        <v>1970</v>
      </c>
      <c r="G665" s="274" t="s">
        <v>2478</v>
      </c>
    </row>
    <row r="666" spans="1:7" ht="17">
      <c r="A666" s="274" t="s">
        <v>2334</v>
      </c>
      <c r="B666" s="274" t="s">
        <v>2291</v>
      </c>
      <c r="C666" s="274" t="s">
        <v>2311</v>
      </c>
      <c r="D666" s="274" t="s">
        <v>2249</v>
      </c>
      <c r="E666" s="275"/>
      <c r="F666" s="274" t="s">
        <v>2335</v>
      </c>
      <c r="G666" s="274" t="s">
        <v>2335</v>
      </c>
    </row>
    <row r="667" spans="1:7" ht="17">
      <c r="A667" s="274" t="s">
        <v>2334</v>
      </c>
      <c r="B667" s="274" t="s">
        <v>2291</v>
      </c>
      <c r="C667" s="274" t="s">
        <v>2311</v>
      </c>
      <c r="D667" s="274" t="s">
        <v>2584</v>
      </c>
      <c r="E667" s="275" t="s">
        <v>2373</v>
      </c>
      <c r="F667" s="274" t="s">
        <v>2157</v>
      </c>
      <c r="G667" s="274" t="s">
        <v>2335</v>
      </c>
    </row>
    <row r="668" spans="1:7" ht="17">
      <c r="A668" s="274" t="s">
        <v>2336</v>
      </c>
      <c r="B668" s="274" t="s">
        <v>2291</v>
      </c>
      <c r="C668" s="274" t="s">
        <v>552</v>
      </c>
      <c r="D668" s="274" t="s">
        <v>2249</v>
      </c>
      <c r="E668" s="275"/>
      <c r="F668" s="274" t="s">
        <v>2337</v>
      </c>
      <c r="G668" s="274" t="s">
        <v>2337</v>
      </c>
    </row>
    <row r="669" spans="1:7">
      <c r="A669" s="56" t="s">
        <v>2336</v>
      </c>
      <c r="B669" s="56" t="s">
        <v>2291</v>
      </c>
      <c r="C669" s="56" t="s">
        <v>552</v>
      </c>
      <c r="D669" s="56" t="s">
        <v>2584</v>
      </c>
      <c r="E669" s="74" t="s">
        <v>552</v>
      </c>
      <c r="F669" s="56" t="s">
        <v>2162</v>
      </c>
      <c r="G669" s="56" t="s">
        <v>2337</v>
      </c>
    </row>
    <row r="670" spans="1:7" ht="17">
      <c r="A670" s="274" t="s">
        <v>2479</v>
      </c>
      <c r="B670" s="274" t="s">
        <v>2480</v>
      </c>
      <c r="C670" s="274" t="s">
        <v>108</v>
      </c>
      <c r="D670" s="274" t="s">
        <v>2584</v>
      </c>
      <c r="E670" s="275" t="s">
        <v>108</v>
      </c>
      <c r="F670" s="274" t="s">
        <v>1970</v>
      </c>
      <c r="G670" s="274" t="s">
        <v>2481</v>
      </c>
    </row>
    <row r="671" spans="1:7" ht="17">
      <c r="A671" s="274" t="s">
        <v>2482</v>
      </c>
      <c r="B671" s="274" t="s">
        <v>2480</v>
      </c>
      <c r="C671" s="274" t="s">
        <v>108</v>
      </c>
      <c r="D671" s="274" t="s">
        <v>2584</v>
      </c>
      <c r="E671" s="275" t="s">
        <v>108</v>
      </c>
      <c r="F671" s="274" t="s">
        <v>1970</v>
      </c>
      <c r="G671" s="274" t="s">
        <v>2483</v>
      </c>
    </row>
    <row r="672" spans="1:7" ht="17">
      <c r="A672" s="274" t="s">
        <v>2484</v>
      </c>
      <c r="B672" s="274" t="s">
        <v>2382</v>
      </c>
      <c r="C672" s="274" t="s">
        <v>2403</v>
      </c>
      <c r="D672" s="274" t="s">
        <v>2584</v>
      </c>
      <c r="E672" s="275" t="s">
        <v>2403</v>
      </c>
      <c r="F672" s="274" t="s">
        <v>1970</v>
      </c>
      <c r="G672" s="274" t="s">
        <v>2251</v>
      </c>
    </row>
    <row r="673" spans="1:7">
      <c r="A673" s="56" t="s">
        <v>2485</v>
      </c>
      <c r="B673" s="56" t="s">
        <v>2486</v>
      </c>
      <c r="C673" s="56" t="s">
        <v>2487</v>
      </c>
      <c r="D673" s="56" t="s">
        <v>2584</v>
      </c>
      <c r="E673" s="74" t="s">
        <v>108</v>
      </c>
      <c r="F673" s="74" t="s">
        <v>1970</v>
      </c>
      <c r="G673" s="56" t="s">
        <v>2251</v>
      </c>
    </row>
    <row r="674" spans="1:7" ht="17">
      <c r="A674" s="274" t="s">
        <v>2386</v>
      </c>
      <c r="B674" s="274" t="s">
        <v>2291</v>
      </c>
      <c r="C674" s="274" t="s">
        <v>552</v>
      </c>
      <c r="D674" s="274" t="s">
        <v>2584</v>
      </c>
      <c r="E674" s="275" t="s">
        <v>552</v>
      </c>
      <c r="F674" s="274" t="s">
        <v>2162</v>
      </c>
      <c r="G674" s="274" t="s">
        <v>2387</v>
      </c>
    </row>
    <row r="675" spans="1:7" ht="17">
      <c r="A675" s="75" t="s">
        <v>2595</v>
      </c>
      <c r="B675" s="75"/>
      <c r="C675" s="75"/>
      <c r="D675" s="75"/>
      <c r="E675" s="76"/>
      <c r="F675" s="75"/>
      <c r="G675" s="75"/>
    </row>
    <row r="676" spans="1:7" ht="17">
      <c r="A676" s="274" t="s">
        <v>2389</v>
      </c>
      <c r="B676" s="274"/>
      <c r="C676" s="274" t="s">
        <v>552</v>
      </c>
      <c r="D676" s="274" t="s">
        <v>2584</v>
      </c>
      <c r="E676" s="275" t="s">
        <v>552</v>
      </c>
      <c r="F676" s="274" t="s">
        <v>2162</v>
      </c>
      <c r="G676" s="274" t="s">
        <v>2251</v>
      </c>
    </row>
    <row r="677" spans="1:7" ht="17">
      <c r="A677" s="274" t="s">
        <v>2489</v>
      </c>
      <c r="B677" s="274" t="s">
        <v>2490</v>
      </c>
      <c r="C677" s="274" t="s">
        <v>108</v>
      </c>
      <c r="D677" s="274" t="s">
        <v>2584</v>
      </c>
      <c r="E677" s="275" t="s">
        <v>108</v>
      </c>
      <c r="F677" s="274" t="s">
        <v>1970</v>
      </c>
      <c r="G677" s="274" t="s">
        <v>2251</v>
      </c>
    </row>
    <row r="678" spans="1:7" ht="17">
      <c r="A678" s="274" t="s">
        <v>2491</v>
      </c>
      <c r="B678" s="274" t="s">
        <v>2490</v>
      </c>
      <c r="C678" s="274" t="s">
        <v>2403</v>
      </c>
      <c r="D678" s="274" t="s">
        <v>2584</v>
      </c>
      <c r="E678" s="275" t="s">
        <v>2403</v>
      </c>
      <c r="F678" s="274" t="s">
        <v>1970</v>
      </c>
      <c r="G678" s="274" t="s">
        <v>2492</v>
      </c>
    </row>
    <row r="679" spans="1:7" ht="17">
      <c r="A679" s="274" t="s">
        <v>2529</v>
      </c>
      <c r="B679" s="274" t="s">
        <v>2494</v>
      </c>
      <c r="C679" s="274" t="s">
        <v>2530</v>
      </c>
      <c r="D679" s="274" t="s">
        <v>2584</v>
      </c>
      <c r="E679" s="275" t="s">
        <v>2531</v>
      </c>
      <c r="F679" s="274" t="s">
        <v>2160</v>
      </c>
      <c r="G679" s="274" t="s">
        <v>2532</v>
      </c>
    </row>
    <row r="680" spans="1:7" ht="17">
      <c r="A680" s="274" t="s">
        <v>2493</v>
      </c>
      <c r="B680" s="274" t="s">
        <v>2494</v>
      </c>
      <c r="C680" s="274" t="s">
        <v>2421</v>
      </c>
      <c r="D680" s="274" t="s">
        <v>2584</v>
      </c>
      <c r="E680" s="275" t="s">
        <v>108</v>
      </c>
      <c r="F680" s="274" t="s">
        <v>1970</v>
      </c>
      <c r="G680" s="274" t="s">
        <v>2495</v>
      </c>
    </row>
    <row r="681" spans="1:7">
      <c r="A681" s="56" t="s">
        <v>2496</v>
      </c>
      <c r="B681" s="56" t="s">
        <v>2490</v>
      </c>
      <c r="C681" s="56" t="s">
        <v>2497</v>
      </c>
      <c r="D681" s="56" t="s">
        <v>2584</v>
      </c>
      <c r="E681" s="74" t="s">
        <v>108</v>
      </c>
      <c r="F681" s="56" t="s">
        <v>1970</v>
      </c>
      <c r="G681" s="56" t="s">
        <v>2251</v>
      </c>
    </row>
    <row r="682" spans="1:7" ht="17">
      <c r="A682" s="274" t="s">
        <v>2498</v>
      </c>
      <c r="B682" s="274" t="s">
        <v>2490</v>
      </c>
      <c r="C682" s="274" t="s">
        <v>2499</v>
      </c>
      <c r="D682" s="274" t="s">
        <v>2584</v>
      </c>
      <c r="E682" s="275" t="s">
        <v>108</v>
      </c>
      <c r="F682" s="274" t="s">
        <v>1970</v>
      </c>
      <c r="G682" s="274" t="s">
        <v>2500</v>
      </c>
    </row>
    <row r="683" spans="1:7" ht="17">
      <c r="A683" s="75" t="s">
        <v>2596</v>
      </c>
      <c r="B683" s="75"/>
      <c r="C683" s="75"/>
      <c r="D683" s="75"/>
      <c r="E683" s="76"/>
      <c r="F683" s="75"/>
      <c r="G683" s="75"/>
    </row>
    <row r="684" spans="1:7" ht="17">
      <c r="A684" s="274" t="s">
        <v>2502</v>
      </c>
      <c r="B684" s="274" t="s">
        <v>2325</v>
      </c>
      <c r="C684" s="274" t="s">
        <v>2503</v>
      </c>
      <c r="D684" s="274" t="s">
        <v>2584</v>
      </c>
      <c r="E684" s="275" t="s">
        <v>108</v>
      </c>
      <c r="F684" s="274" t="s">
        <v>1970</v>
      </c>
      <c r="G684" s="274" t="s">
        <v>2504</v>
      </c>
    </row>
    <row r="685" spans="1:7" ht="17">
      <c r="A685" s="274" t="s">
        <v>2341</v>
      </c>
      <c r="B685" s="274" t="s">
        <v>2342</v>
      </c>
      <c r="C685" s="274" t="s">
        <v>2343</v>
      </c>
      <c r="D685" s="274" t="s">
        <v>2249</v>
      </c>
      <c r="E685" s="275"/>
      <c r="F685" s="274" t="s">
        <v>2250</v>
      </c>
      <c r="G685" s="274" t="s">
        <v>2344</v>
      </c>
    </row>
    <row r="686" spans="1:7">
      <c r="A686" s="56" t="s">
        <v>2341</v>
      </c>
      <c r="B686" s="56" t="s">
        <v>2342</v>
      </c>
      <c r="C686" s="56" t="s">
        <v>2343</v>
      </c>
      <c r="D686" s="56" t="s">
        <v>2584</v>
      </c>
      <c r="E686" s="74" t="s">
        <v>108</v>
      </c>
      <c r="F686" s="56" t="s">
        <v>1970</v>
      </c>
      <c r="G686" s="56" t="s">
        <v>2344</v>
      </c>
    </row>
    <row r="687" spans="1:7" ht="17">
      <c r="A687" s="274" t="s">
        <v>2348</v>
      </c>
      <c r="B687" s="274"/>
      <c r="C687" s="274" t="s">
        <v>2292</v>
      </c>
      <c r="D687" s="274" t="s">
        <v>2584</v>
      </c>
      <c r="E687" s="275" t="s">
        <v>2519</v>
      </c>
      <c r="F687" s="274" t="s">
        <v>2157</v>
      </c>
      <c r="G687" s="274" t="s">
        <v>2251</v>
      </c>
    </row>
    <row r="688" spans="1:7">
      <c r="A688" s="56" t="s">
        <v>2505</v>
      </c>
      <c r="B688" s="56" t="s">
        <v>2291</v>
      </c>
      <c r="C688" s="56" t="s">
        <v>108</v>
      </c>
      <c r="D688" s="56" t="s">
        <v>2584</v>
      </c>
      <c r="E688" s="74" t="s">
        <v>108</v>
      </c>
      <c r="F688" s="56" t="s">
        <v>1970</v>
      </c>
      <c r="G688" s="56" t="s">
        <v>2251</v>
      </c>
    </row>
    <row r="689" spans="1:7" ht="17">
      <c r="A689" s="274" t="s">
        <v>2506</v>
      </c>
      <c r="B689" s="274" t="s">
        <v>2346</v>
      </c>
      <c r="C689" s="274" t="s">
        <v>2507</v>
      </c>
      <c r="D689" s="274" t="s">
        <v>2584</v>
      </c>
      <c r="E689" s="275" t="s">
        <v>2507</v>
      </c>
      <c r="F689" s="274" t="s">
        <v>1970</v>
      </c>
      <c r="G689" s="274" t="s">
        <v>2508</v>
      </c>
    </row>
    <row r="690" spans="1:7" ht="17">
      <c r="A690" s="75" t="s">
        <v>2597</v>
      </c>
      <c r="B690" s="75"/>
      <c r="C690" s="75"/>
      <c r="D690" s="75"/>
      <c r="E690" s="76"/>
      <c r="F690" s="75"/>
      <c r="G690" s="75"/>
    </row>
    <row r="691" spans="1:7" ht="17">
      <c r="A691" s="274" t="s">
        <v>2291</v>
      </c>
      <c r="B691" s="274" t="s">
        <v>2291</v>
      </c>
      <c r="C691" s="274" t="s">
        <v>2292</v>
      </c>
      <c r="D691" s="274" t="s">
        <v>2598</v>
      </c>
      <c r="E691" s="275" t="s">
        <v>2543</v>
      </c>
      <c r="F691" s="274" t="s">
        <v>1434</v>
      </c>
      <c r="G691" s="274" t="s">
        <v>2573</v>
      </c>
    </row>
    <row r="692" spans="1:7" ht="17">
      <c r="A692" s="274" t="s">
        <v>2247</v>
      </c>
      <c r="B692" s="274" t="s">
        <v>2248</v>
      </c>
      <c r="C692" s="274"/>
      <c r="D692" s="274" t="s">
        <v>2249</v>
      </c>
      <c r="E692" s="275"/>
      <c r="F692" s="274" t="s">
        <v>2250</v>
      </c>
      <c r="G692" s="274" t="s">
        <v>2251</v>
      </c>
    </row>
    <row r="693" spans="1:7" ht="17">
      <c r="A693" s="274" t="s">
        <v>2252</v>
      </c>
      <c r="B693" s="274" t="s">
        <v>2248</v>
      </c>
      <c r="C693" s="274"/>
      <c r="D693" s="274" t="s">
        <v>2249</v>
      </c>
      <c r="E693" s="275"/>
      <c r="F693" s="274" t="s">
        <v>2250</v>
      </c>
      <c r="G693" s="274" t="s">
        <v>2251</v>
      </c>
    </row>
    <row r="694" spans="1:7" ht="17">
      <c r="A694" s="75" t="s">
        <v>2599</v>
      </c>
      <c r="B694" s="75"/>
      <c r="C694" s="75"/>
      <c r="D694" s="75"/>
      <c r="E694" s="76"/>
      <c r="F694" s="75"/>
      <c r="G694" s="75"/>
    </row>
    <row r="695" spans="1:7" ht="17">
      <c r="A695" s="274" t="s">
        <v>2254</v>
      </c>
      <c r="B695" s="274" t="s">
        <v>2248</v>
      </c>
      <c r="C695" s="274"/>
      <c r="D695" s="274" t="s">
        <v>2249</v>
      </c>
      <c r="E695" s="275"/>
      <c r="F695" s="274" t="s">
        <v>2255</v>
      </c>
      <c r="G695" s="274" t="s">
        <v>2251</v>
      </c>
    </row>
    <row r="696" spans="1:7" ht="17">
      <c r="A696" s="274" t="s">
        <v>2256</v>
      </c>
      <c r="B696" s="274" t="s">
        <v>2257</v>
      </c>
      <c r="C696" s="274"/>
      <c r="D696" s="274" t="s">
        <v>2249</v>
      </c>
      <c r="E696" s="275"/>
      <c r="F696" s="274" t="s">
        <v>2250</v>
      </c>
      <c r="G696" s="274" t="s">
        <v>2251</v>
      </c>
    </row>
    <row r="697" spans="1:7" ht="17">
      <c r="A697" s="274" t="s">
        <v>2258</v>
      </c>
      <c r="B697" s="274" t="s">
        <v>2257</v>
      </c>
      <c r="C697" s="274"/>
      <c r="D697" s="274" t="s">
        <v>2249</v>
      </c>
      <c r="E697" s="275"/>
      <c r="F697" s="274" t="s">
        <v>2250</v>
      </c>
      <c r="G697" s="274" t="s">
        <v>2251</v>
      </c>
    </row>
    <row r="698" spans="1:7" ht="17">
      <c r="A698" s="274" t="s">
        <v>2259</v>
      </c>
      <c r="B698" s="274" t="s">
        <v>2248</v>
      </c>
      <c r="C698" s="274"/>
      <c r="D698" s="274" t="s">
        <v>2249</v>
      </c>
      <c r="E698" s="275"/>
      <c r="F698" s="274" t="s">
        <v>2255</v>
      </c>
      <c r="G698" s="274" t="s">
        <v>2251</v>
      </c>
    </row>
    <row r="699" spans="1:7" ht="17">
      <c r="A699" s="274" t="s">
        <v>2260</v>
      </c>
      <c r="B699" s="274" t="s">
        <v>2257</v>
      </c>
      <c r="C699" s="274"/>
      <c r="D699" s="274" t="s">
        <v>2249</v>
      </c>
      <c r="E699" s="275"/>
      <c r="F699" s="274" t="s">
        <v>2250</v>
      </c>
      <c r="G699" s="274" t="s">
        <v>2251</v>
      </c>
    </row>
    <row r="700" spans="1:7" ht="17">
      <c r="A700" s="274" t="s">
        <v>2261</v>
      </c>
      <c r="B700" s="274" t="s">
        <v>2248</v>
      </c>
      <c r="C700" s="274"/>
      <c r="D700" s="274" t="s">
        <v>2249</v>
      </c>
      <c r="E700" s="275"/>
      <c r="F700" s="274" t="s">
        <v>2250</v>
      </c>
      <c r="G700" s="274" t="s">
        <v>2251</v>
      </c>
    </row>
    <row r="701" spans="1:7" ht="17">
      <c r="A701" s="274" t="s">
        <v>2262</v>
      </c>
      <c r="B701" s="274" t="s">
        <v>2248</v>
      </c>
      <c r="C701" s="274"/>
      <c r="D701" s="274" t="s">
        <v>2249</v>
      </c>
      <c r="E701" s="275"/>
      <c r="F701" s="274" t="s">
        <v>2255</v>
      </c>
      <c r="G701" s="274" t="s">
        <v>2251</v>
      </c>
    </row>
    <row r="702" spans="1:7" ht="17">
      <c r="A702" s="274" t="s">
        <v>2263</v>
      </c>
      <c r="B702" s="274" t="s">
        <v>2248</v>
      </c>
      <c r="C702" s="274"/>
      <c r="D702" s="274" t="s">
        <v>2249</v>
      </c>
      <c r="E702" s="275"/>
      <c r="F702" s="274" t="s">
        <v>2255</v>
      </c>
      <c r="G702" s="274" t="s">
        <v>2251</v>
      </c>
    </row>
    <row r="703" spans="1:7">
      <c r="A703" s="56" t="s">
        <v>2264</v>
      </c>
      <c r="B703" s="56" t="s">
        <v>2248</v>
      </c>
      <c r="C703" s="56"/>
      <c r="D703" s="56" t="s">
        <v>2249</v>
      </c>
      <c r="E703" s="74"/>
      <c r="F703" s="56" t="s">
        <v>2255</v>
      </c>
      <c r="G703" s="56" t="s">
        <v>2251</v>
      </c>
    </row>
    <row r="704" spans="1:7" ht="17">
      <c r="A704" s="274" t="s">
        <v>2265</v>
      </c>
      <c r="B704" s="274" t="s">
        <v>2257</v>
      </c>
      <c r="C704" s="274"/>
      <c r="D704" s="274" t="s">
        <v>2249</v>
      </c>
      <c r="E704" s="275"/>
      <c r="F704" s="274" t="s">
        <v>2255</v>
      </c>
      <c r="G704" s="274" t="s">
        <v>2251</v>
      </c>
    </row>
    <row r="705" spans="1:7" ht="17">
      <c r="A705" s="274" t="s">
        <v>2291</v>
      </c>
      <c r="B705" s="274" t="s">
        <v>2291</v>
      </c>
      <c r="C705" s="274" t="s">
        <v>2292</v>
      </c>
      <c r="D705" s="274" t="s">
        <v>2598</v>
      </c>
      <c r="E705" s="275" t="s">
        <v>2543</v>
      </c>
      <c r="F705" s="274" t="s">
        <v>1434</v>
      </c>
      <c r="G705" s="274" t="s">
        <v>2575</v>
      </c>
    </row>
    <row r="706" spans="1:7" ht="17">
      <c r="A706" s="75" t="s">
        <v>2600</v>
      </c>
      <c r="B706" s="75"/>
      <c r="C706" s="75"/>
      <c r="D706" s="75"/>
      <c r="E706" s="76"/>
      <c r="F706" s="75"/>
      <c r="G706" s="75"/>
    </row>
    <row r="707" spans="1:7" ht="17">
      <c r="A707" s="274" t="s">
        <v>2291</v>
      </c>
      <c r="B707" s="274" t="s">
        <v>2291</v>
      </c>
      <c r="C707" s="274" t="s">
        <v>2292</v>
      </c>
      <c r="D707" s="274" t="s">
        <v>2598</v>
      </c>
      <c r="E707" s="275" t="s">
        <v>2543</v>
      </c>
      <c r="F707" s="274" t="s">
        <v>1434</v>
      </c>
      <c r="G707" s="274" t="s">
        <v>2573</v>
      </c>
    </row>
    <row r="708" spans="1:7" ht="17">
      <c r="A708" s="75" t="s">
        <v>2601</v>
      </c>
      <c r="B708" s="75"/>
      <c r="C708" s="75"/>
      <c r="D708" s="75"/>
      <c r="E708" s="76"/>
      <c r="F708" s="75"/>
      <c r="G708" s="75"/>
    </row>
    <row r="709" spans="1:7" ht="17">
      <c r="A709" s="274" t="s">
        <v>2291</v>
      </c>
      <c r="B709" s="274" t="s">
        <v>2291</v>
      </c>
      <c r="C709" s="274" t="s">
        <v>2292</v>
      </c>
      <c r="D709" s="274" t="s">
        <v>2598</v>
      </c>
      <c r="E709" s="275" t="s">
        <v>2543</v>
      </c>
      <c r="F709" s="274" t="s">
        <v>1434</v>
      </c>
      <c r="G709" s="274" t="s">
        <v>2578</v>
      </c>
    </row>
    <row r="710" spans="1:7" ht="17">
      <c r="A710" s="274" t="s">
        <v>2267</v>
      </c>
      <c r="B710" s="274" t="s">
        <v>2248</v>
      </c>
      <c r="C710" s="274"/>
      <c r="D710" s="274" t="s">
        <v>2249</v>
      </c>
      <c r="E710" s="275"/>
      <c r="F710" s="274" t="s">
        <v>2250</v>
      </c>
      <c r="G710" s="274" t="s">
        <v>2251</v>
      </c>
    </row>
    <row r="711" spans="1:7" ht="17">
      <c r="A711" s="75" t="s">
        <v>2602</v>
      </c>
      <c r="B711" s="75"/>
      <c r="C711" s="75"/>
      <c r="D711" s="75"/>
      <c r="E711" s="76"/>
      <c r="F711" s="75"/>
      <c r="G711" s="75"/>
    </row>
    <row r="712" spans="1:7" ht="17">
      <c r="A712" s="274" t="s">
        <v>2291</v>
      </c>
      <c r="B712" s="274" t="s">
        <v>2291</v>
      </c>
      <c r="C712" s="274" t="s">
        <v>2292</v>
      </c>
      <c r="D712" s="274" t="s">
        <v>2598</v>
      </c>
      <c r="E712" s="275" t="s">
        <v>2543</v>
      </c>
      <c r="F712" s="274" t="s">
        <v>1434</v>
      </c>
      <c r="G712" s="274" t="s">
        <v>2575</v>
      </c>
    </row>
    <row r="713" spans="1:7" ht="17">
      <c r="A713" s="75" t="s">
        <v>2603</v>
      </c>
      <c r="B713" s="75"/>
      <c r="C713" s="75"/>
      <c r="D713" s="75"/>
      <c r="E713" s="76"/>
      <c r="F713" s="75"/>
      <c r="G713" s="75"/>
    </row>
    <row r="714" spans="1:7" ht="17">
      <c r="A714" s="274" t="s">
        <v>2291</v>
      </c>
      <c r="B714" s="274" t="s">
        <v>2291</v>
      </c>
      <c r="C714" s="274" t="s">
        <v>2292</v>
      </c>
      <c r="D714" s="274" t="s">
        <v>2598</v>
      </c>
      <c r="E714" s="275" t="s">
        <v>2543</v>
      </c>
      <c r="F714" s="274" t="s">
        <v>1434</v>
      </c>
      <c r="G714" s="274" t="s">
        <v>2575</v>
      </c>
    </row>
    <row r="715" spans="1:7">
      <c r="A715" s="56" t="s">
        <v>2269</v>
      </c>
      <c r="B715" s="56" t="s">
        <v>2248</v>
      </c>
      <c r="C715" s="56"/>
      <c r="D715" s="56" t="s">
        <v>2249</v>
      </c>
      <c r="E715" s="74"/>
      <c r="F715" s="56" t="s">
        <v>2250</v>
      </c>
      <c r="G715" s="56" t="s">
        <v>2251</v>
      </c>
    </row>
    <row r="716" spans="1:7" ht="17">
      <c r="A716" s="274" t="s">
        <v>2270</v>
      </c>
      <c r="B716" s="274" t="s">
        <v>2248</v>
      </c>
      <c r="C716" s="274"/>
      <c r="D716" s="274" t="s">
        <v>2249</v>
      </c>
      <c r="E716" s="275"/>
      <c r="F716" s="274" t="s">
        <v>2250</v>
      </c>
      <c r="G716" s="274" t="s">
        <v>2251</v>
      </c>
    </row>
    <row r="717" spans="1:7" ht="17">
      <c r="A717" s="274" t="s">
        <v>2271</v>
      </c>
      <c r="B717" s="274" t="s">
        <v>2248</v>
      </c>
      <c r="C717" s="274"/>
      <c r="D717" s="274" t="s">
        <v>2249</v>
      </c>
      <c r="E717" s="275"/>
      <c r="F717" s="274" t="s">
        <v>2250</v>
      </c>
      <c r="G717" s="274" t="s">
        <v>2251</v>
      </c>
    </row>
    <row r="718" spans="1:7" ht="17">
      <c r="A718" s="274" t="s">
        <v>2272</v>
      </c>
      <c r="B718" s="274" t="s">
        <v>2248</v>
      </c>
      <c r="C718" s="274"/>
      <c r="D718" s="274" t="s">
        <v>2249</v>
      </c>
      <c r="E718" s="275"/>
      <c r="F718" s="274" t="s">
        <v>2250</v>
      </c>
      <c r="G718" s="274" t="s">
        <v>2251</v>
      </c>
    </row>
    <row r="719" spans="1:7" ht="17">
      <c r="A719" s="274" t="s">
        <v>2273</v>
      </c>
      <c r="B719" s="274" t="s">
        <v>2248</v>
      </c>
      <c r="C719" s="274"/>
      <c r="D719" s="274" t="s">
        <v>2249</v>
      </c>
      <c r="E719" s="275"/>
      <c r="F719" s="274" t="s">
        <v>2250</v>
      </c>
      <c r="G719" s="274" t="s">
        <v>2251</v>
      </c>
    </row>
    <row r="720" spans="1:7">
      <c r="A720" s="56" t="s">
        <v>2274</v>
      </c>
      <c r="B720" s="56" t="s">
        <v>2248</v>
      </c>
      <c r="C720" s="56"/>
      <c r="D720" s="56" t="s">
        <v>2249</v>
      </c>
      <c r="E720" s="74"/>
      <c r="F720" s="56" t="s">
        <v>2250</v>
      </c>
      <c r="G720" s="56" t="s">
        <v>2251</v>
      </c>
    </row>
    <row r="721" spans="1:7" ht="17">
      <c r="A721" s="274" t="s">
        <v>2275</v>
      </c>
      <c r="B721" s="274" t="s">
        <v>2248</v>
      </c>
      <c r="C721" s="274"/>
      <c r="D721" s="274" t="s">
        <v>2249</v>
      </c>
      <c r="E721" s="275"/>
      <c r="F721" s="274" t="s">
        <v>2250</v>
      </c>
      <c r="G721" s="274" t="s">
        <v>2251</v>
      </c>
    </row>
    <row r="722" spans="1:7" ht="17">
      <c r="A722" s="274" t="s">
        <v>2276</v>
      </c>
      <c r="B722" s="274" t="s">
        <v>2248</v>
      </c>
      <c r="C722" s="274"/>
      <c r="D722" s="274" t="s">
        <v>2249</v>
      </c>
      <c r="E722" s="275"/>
      <c r="F722" s="274" t="s">
        <v>2250</v>
      </c>
      <c r="G722" s="274" t="s">
        <v>2251</v>
      </c>
    </row>
    <row r="723" spans="1:7" ht="17">
      <c r="A723" s="75" t="s">
        <v>2604</v>
      </c>
      <c r="B723" s="75"/>
      <c r="C723" s="75"/>
      <c r="D723" s="75"/>
      <c r="E723" s="76"/>
      <c r="F723" s="75"/>
      <c r="G723" s="75"/>
    </row>
    <row r="724" spans="1:7" ht="17">
      <c r="A724" s="274" t="s">
        <v>2291</v>
      </c>
      <c r="B724" s="274" t="s">
        <v>2291</v>
      </c>
      <c r="C724" s="274" t="s">
        <v>2292</v>
      </c>
      <c r="D724" s="274" t="s">
        <v>2598</v>
      </c>
      <c r="E724" s="275" t="s">
        <v>2543</v>
      </c>
      <c r="F724" s="274" t="s">
        <v>1434</v>
      </c>
      <c r="G724" s="274" t="s">
        <v>2575</v>
      </c>
    </row>
    <row r="725" spans="1:7" ht="17">
      <c r="A725" s="274" t="s">
        <v>2278</v>
      </c>
      <c r="B725" s="274" t="s">
        <v>2279</v>
      </c>
      <c r="C725" s="274"/>
      <c r="D725" s="274" t="s">
        <v>2249</v>
      </c>
      <c r="E725" s="275"/>
      <c r="F725" s="274" t="s">
        <v>2280</v>
      </c>
      <c r="G725" s="274" t="s">
        <v>2251</v>
      </c>
    </row>
    <row r="726" spans="1:7">
      <c r="A726" s="56" t="s">
        <v>2281</v>
      </c>
      <c r="B726" s="56" t="s">
        <v>2248</v>
      </c>
      <c r="C726" s="56"/>
      <c r="D726" s="56" t="s">
        <v>2249</v>
      </c>
      <c r="E726" s="74"/>
      <c r="F726" s="56" t="s">
        <v>2250</v>
      </c>
      <c r="G726" s="56" t="s">
        <v>2251</v>
      </c>
    </row>
    <row r="727" spans="1:7" ht="17">
      <c r="A727" s="75" t="s">
        <v>2605</v>
      </c>
      <c r="B727" s="75"/>
      <c r="C727" s="75"/>
      <c r="D727" s="75"/>
      <c r="E727" s="76"/>
      <c r="F727" s="75"/>
      <c r="G727" s="75"/>
    </row>
    <row r="728" spans="1:7">
      <c r="A728" s="56" t="s">
        <v>2291</v>
      </c>
      <c r="B728" s="56" t="s">
        <v>2291</v>
      </c>
      <c r="C728" s="56" t="s">
        <v>2292</v>
      </c>
      <c r="D728" s="56" t="s">
        <v>2598</v>
      </c>
      <c r="E728" s="74" t="s">
        <v>2543</v>
      </c>
      <c r="F728" s="56" t="s">
        <v>1434</v>
      </c>
      <c r="G728" s="56" t="s">
        <v>2575</v>
      </c>
    </row>
    <row r="729" spans="1:7" ht="17">
      <c r="A729" s="75" t="s">
        <v>2606</v>
      </c>
      <c r="B729" s="75"/>
      <c r="C729" s="75"/>
      <c r="D729" s="75"/>
      <c r="E729" s="76"/>
      <c r="F729" s="75"/>
      <c r="G729" s="75"/>
    </row>
    <row r="730" spans="1:7" ht="17">
      <c r="A730" s="274" t="s">
        <v>2355</v>
      </c>
      <c r="B730" s="274" t="s">
        <v>2356</v>
      </c>
      <c r="C730" s="274" t="s">
        <v>1565</v>
      </c>
      <c r="D730" s="274" t="s">
        <v>2607</v>
      </c>
      <c r="E730" s="275" t="s">
        <v>108</v>
      </c>
      <c r="F730" s="274" t="s">
        <v>1888</v>
      </c>
      <c r="G730" s="274" t="s">
        <v>2358</v>
      </c>
    </row>
    <row r="731" spans="1:7" ht="17">
      <c r="A731" s="274" t="s">
        <v>2398</v>
      </c>
      <c r="B731" s="274"/>
      <c r="C731" s="274" t="s">
        <v>2399</v>
      </c>
      <c r="D731" s="274" t="s">
        <v>2607</v>
      </c>
      <c r="E731" s="275" t="s">
        <v>108</v>
      </c>
      <c r="F731" s="274" t="s">
        <v>2179</v>
      </c>
      <c r="G731" s="274" t="s">
        <v>2251</v>
      </c>
    </row>
    <row r="732" spans="1:7">
      <c r="A732" s="56" t="s">
        <v>2400</v>
      </c>
      <c r="B732" s="56" t="s">
        <v>2284</v>
      </c>
      <c r="C732" s="56" t="s">
        <v>108</v>
      </c>
      <c r="D732" s="56" t="s">
        <v>2607</v>
      </c>
      <c r="E732" s="74" t="s">
        <v>108</v>
      </c>
      <c r="F732" s="56" t="s">
        <v>1888</v>
      </c>
      <c r="G732" s="56" t="s">
        <v>2251</v>
      </c>
    </row>
    <row r="733" spans="1:7" ht="17">
      <c r="A733" s="274" t="s">
        <v>2401</v>
      </c>
      <c r="B733" s="274" t="s">
        <v>2402</v>
      </c>
      <c r="C733" s="274" t="s">
        <v>2403</v>
      </c>
      <c r="D733" s="274" t="s">
        <v>2607</v>
      </c>
      <c r="E733" s="275" t="s">
        <v>2403</v>
      </c>
      <c r="F733" s="274" t="s">
        <v>1888</v>
      </c>
      <c r="G733" s="274" t="s">
        <v>2404</v>
      </c>
    </row>
    <row r="734" spans="1:7">
      <c r="A734" s="56" t="s">
        <v>2405</v>
      </c>
      <c r="B734" s="56"/>
      <c r="C734" s="56" t="s">
        <v>108</v>
      </c>
      <c r="D734" s="56" t="s">
        <v>2607</v>
      </c>
      <c r="E734" s="74" t="s">
        <v>108</v>
      </c>
      <c r="F734" s="56" t="s">
        <v>1888</v>
      </c>
      <c r="G734" s="56" t="s">
        <v>2251</v>
      </c>
    </row>
    <row r="735" spans="1:7" ht="17">
      <c r="A735" s="75" t="s">
        <v>2608</v>
      </c>
      <c r="B735" s="75"/>
      <c r="C735" s="75"/>
      <c r="D735" s="75"/>
      <c r="E735" s="76"/>
      <c r="F735" s="75"/>
      <c r="G735" s="75"/>
    </row>
    <row r="736" spans="1:7">
      <c r="A736" s="56" t="s">
        <v>2407</v>
      </c>
      <c r="B736" s="56" t="s">
        <v>2296</v>
      </c>
      <c r="C736" s="56" t="s">
        <v>108</v>
      </c>
      <c r="D736" s="56" t="s">
        <v>2607</v>
      </c>
      <c r="E736" s="74" t="s">
        <v>108</v>
      </c>
      <c r="F736" s="56" t="s">
        <v>1888</v>
      </c>
      <c r="G736" s="56" t="s">
        <v>2251</v>
      </c>
    </row>
    <row r="737" spans="1:7" ht="17">
      <c r="A737" s="274" t="s">
        <v>2409</v>
      </c>
      <c r="B737" s="274" t="s">
        <v>2410</v>
      </c>
      <c r="C737" s="274" t="s">
        <v>108</v>
      </c>
      <c r="D737" s="274" t="s">
        <v>2607</v>
      </c>
      <c r="E737" s="275" t="s">
        <v>108</v>
      </c>
      <c r="F737" s="274" t="s">
        <v>1888</v>
      </c>
      <c r="G737" s="274" t="s">
        <v>2411</v>
      </c>
    </row>
    <row r="738" spans="1:7">
      <c r="A738" s="56" t="s">
        <v>2412</v>
      </c>
      <c r="B738" s="56" t="s">
        <v>2410</v>
      </c>
      <c r="C738" s="56" t="s">
        <v>108</v>
      </c>
      <c r="D738" s="56" t="s">
        <v>2607</v>
      </c>
      <c r="E738" s="74" t="s">
        <v>108</v>
      </c>
      <c r="F738" s="56" t="s">
        <v>1888</v>
      </c>
      <c r="G738" s="56" t="s">
        <v>2251</v>
      </c>
    </row>
    <row r="739" spans="1:7" ht="17">
      <c r="A739" s="274" t="s">
        <v>2290</v>
      </c>
      <c r="B739" s="274" t="s">
        <v>2291</v>
      </c>
      <c r="C739" s="274" t="s">
        <v>2292</v>
      </c>
      <c r="D739" s="274" t="s">
        <v>2607</v>
      </c>
      <c r="E739" s="275" t="s">
        <v>2446</v>
      </c>
      <c r="F739" s="274" t="s">
        <v>1434</v>
      </c>
      <c r="G739" s="274" t="s">
        <v>2251</v>
      </c>
    </row>
    <row r="740" spans="1:7">
      <c r="A740" s="56" t="s">
        <v>2414</v>
      </c>
      <c r="B740" s="56" t="s">
        <v>2415</v>
      </c>
      <c r="C740" s="56" t="s">
        <v>108</v>
      </c>
      <c r="D740" s="56" t="s">
        <v>2607</v>
      </c>
      <c r="E740" s="74" t="s">
        <v>108</v>
      </c>
      <c r="F740" s="56" t="s">
        <v>1888</v>
      </c>
      <c r="G740" s="56" t="s">
        <v>2416</v>
      </c>
    </row>
    <row r="741" spans="1:7" ht="17">
      <c r="A741" s="75" t="s">
        <v>2609</v>
      </c>
      <c r="B741" s="75"/>
      <c r="C741" s="75"/>
      <c r="D741" s="75"/>
      <c r="E741" s="76"/>
      <c r="F741" s="75"/>
      <c r="G741" s="75"/>
    </row>
    <row r="742" spans="1:7">
      <c r="A742" s="56" t="s">
        <v>2418</v>
      </c>
      <c r="B742" s="56" t="s">
        <v>2363</v>
      </c>
      <c r="C742" s="56" t="s">
        <v>108</v>
      </c>
      <c r="D742" s="56" t="s">
        <v>2607</v>
      </c>
      <c r="E742" s="74" t="s">
        <v>108</v>
      </c>
      <c r="F742" s="56" t="s">
        <v>1888</v>
      </c>
      <c r="G742" s="56" t="s">
        <v>2251</v>
      </c>
    </row>
    <row r="743" spans="1:7" ht="17">
      <c r="A743" s="274" t="s">
        <v>2362</v>
      </c>
      <c r="B743" s="274" t="s">
        <v>2363</v>
      </c>
      <c r="C743" s="274" t="s">
        <v>2364</v>
      </c>
      <c r="D743" s="274" t="s">
        <v>2607</v>
      </c>
      <c r="E743" s="275" t="s">
        <v>108</v>
      </c>
      <c r="F743" s="274" t="s">
        <v>2179</v>
      </c>
      <c r="G743" s="274" t="s">
        <v>2251</v>
      </c>
    </row>
    <row r="744" spans="1:7">
      <c r="A744" s="56" t="s">
        <v>2420</v>
      </c>
      <c r="B744" s="56" t="s">
        <v>2363</v>
      </c>
      <c r="C744" s="56" t="s">
        <v>2421</v>
      </c>
      <c r="D744" s="56" t="s">
        <v>2607</v>
      </c>
      <c r="E744" s="74" t="s">
        <v>108</v>
      </c>
      <c r="F744" s="56" t="s">
        <v>1888</v>
      </c>
      <c r="G744" s="56" t="s">
        <v>2422</v>
      </c>
    </row>
    <row r="745" spans="1:7" ht="17">
      <c r="A745" s="274" t="s">
        <v>2423</v>
      </c>
      <c r="B745" s="274" t="s">
        <v>2363</v>
      </c>
      <c r="C745" s="274" t="s">
        <v>108</v>
      </c>
      <c r="D745" s="274" t="s">
        <v>2607</v>
      </c>
      <c r="E745" s="275" t="s">
        <v>108</v>
      </c>
      <c r="F745" s="274" t="s">
        <v>1888</v>
      </c>
      <c r="G745" s="274" t="s">
        <v>2251</v>
      </c>
    </row>
    <row r="746" spans="1:7" ht="17">
      <c r="A746" s="75" t="s">
        <v>2610</v>
      </c>
      <c r="B746" s="75"/>
      <c r="C746" s="75"/>
      <c r="D746" s="75"/>
      <c r="E746" s="76"/>
      <c r="F746" s="75"/>
      <c r="G746" s="75"/>
    </row>
    <row r="747" spans="1:7" ht="17">
      <c r="A747" s="274" t="s">
        <v>2425</v>
      </c>
      <c r="B747" s="274" t="s">
        <v>2426</v>
      </c>
      <c r="C747" s="274" t="s">
        <v>2427</v>
      </c>
      <c r="D747" s="274" t="s">
        <v>2607</v>
      </c>
      <c r="E747" s="275" t="s">
        <v>108</v>
      </c>
      <c r="F747" s="274" t="s">
        <v>1888</v>
      </c>
      <c r="G747" s="274" t="s">
        <v>2251</v>
      </c>
    </row>
    <row r="748" spans="1:7" ht="17">
      <c r="A748" s="274" t="s">
        <v>2428</v>
      </c>
      <c r="B748" s="274" t="s">
        <v>2426</v>
      </c>
      <c r="C748" s="274" t="s">
        <v>2429</v>
      </c>
      <c r="D748" s="274" t="s">
        <v>2607</v>
      </c>
      <c r="E748" s="275" t="s">
        <v>108</v>
      </c>
      <c r="F748" s="274" t="s">
        <v>1888</v>
      </c>
      <c r="G748" s="274" t="s">
        <v>2251</v>
      </c>
    </row>
    <row r="749" spans="1:7" ht="17">
      <c r="A749" s="274" t="s">
        <v>2430</v>
      </c>
      <c r="B749" s="274" t="s">
        <v>2431</v>
      </c>
      <c r="C749" s="274" t="s">
        <v>108</v>
      </c>
      <c r="D749" s="274" t="s">
        <v>2607</v>
      </c>
      <c r="E749" s="275" t="s">
        <v>108</v>
      </c>
      <c r="F749" s="274" t="s">
        <v>1888</v>
      </c>
      <c r="G749" s="274" t="s">
        <v>2432</v>
      </c>
    </row>
    <row r="750" spans="1:7">
      <c r="A750" s="56" t="s">
        <v>2433</v>
      </c>
      <c r="B750" s="56" t="s">
        <v>2431</v>
      </c>
      <c r="C750" s="56" t="s">
        <v>108</v>
      </c>
      <c r="D750" s="56" t="s">
        <v>2607</v>
      </c>
      <c r="E750" s="74" t="s">
        <v>108</v>
      </c>
      <c r="F750" s="56" t="s">
        <v>1888</v>
      </c>
      <c r="G750" s="56" t="s">
        <v>2251</v>
      </c>
    </row>
    <row r="751" spans="1:7" ht="17">
      <c r="A751" s="75" t="s">
        <v>2611</v>
      </c>
      <c r="B751" s="75"/>
      <c r="C751" s="75"/>
      <c r="D751" s="75"/>
      <c r="E751" s="76"/>
      <c r="F751" s="75"/>
      <c r="G751" s="75"/>
    </row>
    <row r="752" spans="1:7">
      <c r="A752" s="56" t="s">
        <v>2435</v>
      </c>
      <c r="B752" s="56" t="s">
        <v>2436</v>
      </c>
      <c r="C752" s="56" t="s">
        <v>108</v>
      </c>
      <c r="D752" s="56" t="s">
        <v>2607</v>
      </c>
      <c r="E752" s="74" t="s">
        <v>108</v>
      </c>
      <c r="F752" s="56" t="s">
        <v>1888</v>
      </c>
      <c r="G752" s="56" t="s">
        <v>2437</v>
      </c>
    </row>
    <row r="753" spans="1:7" ht="17">
      <c r="A753" s="274" t="s">
        <v>2295</v>
      </c>
      <c r="B753" s="274" t="s">
        <v>2296</v>
      </c>
      <c r="C753" s="274" t="s">
        <v>2297</v>
      </c>
      <c r="D753" s="274" t="s">
        <v>2607</v>
      </c>
      <c r="E753" s="275" t="s">
        <v>2446</v>
      </c>
      <c r="F753" s="274" t="s">
        <v>1434</v>
      </c>
      <c r="G753" s="274" t="s">
        <v>2251</v>
      </c>
    </row>
    <row r="754" spans="1:7">
      <c r="A754" s="56" t="s">
        <v>2298</v>
      </c>
      <c r="B754" s="56" t="s">
        <v>2296</v>
      </c>
      <c r="C754" s="56" t="s">
        <v>2292</v>
      </c>
      <c r="D754" s="56" t="s">
        <v>2607</v>
      </c>
      <c r="E754" s="74" t="s">
        <v>2446</v>
      </c>
      <c r="F754" s="56" t="s">
        <v>1434</v>
      </c>
      <c r="G754" s="56" t="s">
        <v>2251</v>
      </c>
    </row>
    <row r="755" spans="1:7" ht="17">
      <c r="A755" s="274" t="s">
        <v>2299</v>
      </c>
      <c r="B755" s="274" t="s">
        <v>2296</v>
      </c>
      <c r="C755" s="274" t="s">
        <v>2292</v>
      </c>
      <c r="D755" s="274" t="s">
        <v>2607</v>
      </c>
      <c r="E755" s="275" t="s">
        <v>2446</v>
      </c>
      <c r="F755" s="274" t="s">
        <v>1434</v>
      </c>
      <c r="G755" s="274" t="s">
        <v>2251</v>
      </c>
    </row>
    <row r="756" spans="1:7">
      <c r="A756" s="56" t="s">
        <v>2300</v>
      </c>
      <c r="B756" s="56" t="s">
        <v>2301</v>
      </c>
      <c r="C756" s="56" t="s">
        <v>2292</v>
      </c>
      <c r="D756" s="56" t="s">
        <v>2607</v>
      </c>
      <c r="E756" s="74" t="s">
        <v>2446</v>
      </c>
      <c r="F756" s="56" t="s">
        <v>1434</v>
      </c>
      <c r="G756" s="56" t="s">
        <v>2251</v>
      </c>
    </row>
    <row r="757" spans="1:7" ht="17">
      <c r="A757" s="274" t="s">
        <v>2302</v>
      </c>
      <c r="B757" s="274"/>
      <c r="C757" s="274" t="s">
        <v>2292</v>
      </c>
      <c r="D757" s="274" t="s">
        <v>2607</v>
      </c>
      <c r="E757" s="275" t="s">
        <v>2446</v>
      </c>
      <c r="F757" s="274" t="s">
        <v>1434</v>
      </c>
      <c r="G757" s="274" t="s">
        <v>2251</v>
      </c>
    </row>
    <row r="758" spans="1:7">
      <c r="A758" s="56" t="s">
        <v>2303</v>
      </c>
      <c r="B758" s="56"/>
      <c r="C758" s="56" t="s">
        <v>2292</v>
      </c>
      <c r="D758" s="56" t="s">
        <v>2607</v>
      </c>
      <c r="E758" s="74" t="s">
        <v>2446</v>
      </c>
      <c r="F758" s="56" t="s">
        <v>1434</v>
      </c>
      <c r="G758" s="56" t="s">
        <v>2251</v>
      </c>
    </row>
    <row r="759" spans="1:7">
      <c r="A759" s="56" t="s">
        <v>2304</v>
      </c>
      <c r="B759" s="56"/>
      <c r="C759" s="56" t="s">
        <v>2292</v>
      </c>
      <c r="D759" s="56" t="s">
        <v>2607</v>
      </c>
      <c r="E759" s="74" t="s">
        <v>2446</v>
      </c>
      <c r="F759" s="56" t="s">
        <v>1434</v>
      </c>
      <c r="G759" s="56" t="s">
        <v>2251</v>
      </c>
    </row>
    <row r="760" spans="1:7" ht="17">
      <c r="A760" s="75" t="s">
        <v>2612</v>
      </c>
      <c r="B760" s="75"/>
      <c r="C760" s="75"/>
      <c r="D760" s="75"/>
      <c r="E760" s="76"/>
      <c r="F760" s="75"/>
      <c r="G760" s="75"/>
    </row>
    <row r="761" spans="1:7" ht="17">
      <c r="A761" s="274" t="s">
        <v>2439</v>
      </c>
      <c r="B761" s="274" t="s">
        <v>2440</v>
      </c>
      <c r="C761" s="274" t="s">
        <v>108</v>
      </c>
      <c r="D761" s="274" t="s">
        <v>2607</v>
      </c>
      <c r="E761" s="275" t="s">
        <v>108</v>
      </c>
      <c r="F761" s="274" t="s">
        <v>1888</v>
      </c>
      <c r="G761" s="274" t="s">
        <v>2251</v>
      </c>
    </row>
    <row r="762" spans="1:7" ht="17">
      <c r="A762" s="274" t="s">
        <v>2441</v>
      </c>
      <c r="B762" s="274" t="s">
        <v>2442</v>
      </c>
      <c r="C762" s="274" t="s">
        <v>2427</v>
      </c>
      <c r="D762" s="274" t="s">
        <v>2607</v>
      </c>
      <c r="E762" s="275" t="s">
        <v>108</v>
      </c>
      <c r="F762" s="274" t="s">
        <v>1888</v>
      </c>
      <c r="G762" s="274" t="s">
        <v>2251</v>
      </c>
    </row>
    <row r="763" spans="1:7">
      <c r="A763" s="56" t="s">
        <v>2443</v>
      </c>
      <c r="B763" s="56" t="s">
        <v>2440</v>
      </c>
      <c r="C763" s="56" t="s">
        <v>2444</v>
      </c>
      <c r="D763" s="56" t="s">
        <v>2607</v>
      </c>
      <c r="E763" s="74" t="s">
        <v>108</v>
      </c>
      <c r="F763" s="56" t="s">
        <v>1888</v>
      </c>
      <c r="G763" s="56" t="s">
        <v>2445</v>
      </c>
    </row>
    <row r="764" spans="1:7">
      <c r="A764" s="56" t="s">
        <v>2306</v>
      </c>
      <c r="B764" s="56" t="s">
        <v>2291</v>
      </c>
      <c r="C764" s="56" t="s">
        <v>2307</v>
      </c>
      <c r="D764" s="56" t="s">
        <v>2607</v>
      </c>
      <c r="E764" s="74" t="s">
        <v>108</v>
      </c>
      <c r="F764" s="56" t="s">
        <v>1888</v>
      </c>
      <c r="G764" s="56" t="s">
        <v>2251</v>
      </c>
    </row>
    <row r="765" spans="1:7">
      <c r="A765" s="56" t="s">
        <v>2313</v>
      </c>
      <c r="B765" s="56" t="s">
        <v>2291</v>
      </c>
      <c r="C765" s="56" t="s">
        <v>2292</v>
      </c>
      <c r="D765" s="56" t="s">
        <v>2607</v>
      </c>
      <c r="E765" s="74" t="s">
        <v>2446</v>
      </c>
      <c r="F765" s="56" t="s">
        <v>1434</v>
      </c>
      <c r="G765" s="56" t="s">
        <v>2251</v>
      </c>
    </row>
    <row r="766" spans="1:7" ht="17">
      <c r="A766" s="274" t="s">
        <v>2314</v>
      </c>
      <c r="B766" s="274" t="s">
        <v>2291</v>
      </c>
      <c r="C766" s="274" t="s">
        <v>2292</v>
      </c>
      <c r="D766" s="274" t="s">
        <v>2607</v>
      </c>
      <c r="E766" s="275" t="s">
        <v>2446</v>
      </c>
      <c r="F766" s="274" t="s">
        <v>1434</v>
      </c>
      <c r="G766" s="274" t="s">
        <v>2251</v>
      </c>
    </row>
    <row r="767" spans="1:7" ht="17">
      <c r="A767" s="274" t="s">
        <v>2447</v>
      </c>
      <c r="B767" s="274" t="s">
        <v>2440</v>
      </c>
      <c r="C767" s="274" t="s">
        <v>2403</v>
      </c>
      <c r="D767" s="274" t="s">
        <v>2607</v>
      </c>
      <c r="E767" s="275" t="s">
        <v>2403</v>
      </c>
      <c r="F767" s="274" t="s">
        <v>1888</v>
      </c>
      <c r="G767" s="274" t="s">
        <v>2251</v>
      </c>
    </row>
    <row r="768" spans="1:7" ht="17">
      <c r="A768" s="274" t="s">
        <v>2448</v>
      </c>
      <c r="B768" s="274" t="s">
        <v>2449</v>
      </c>
      <c r="C768" s="274" t="s">
        <v>108</v>
      </c>
      <c r="D768" s="274" t="s">
        <v>2607</v>
      </c>
      <c r="E768" s="275" t="s">
        <v>108</v>
      </c>
      <c r="F768" s="274" t="s">
        <v>1888</v>
      </c>
      <c r="G768" s="274" t="s">
        <v>2251</v>
      </c>
    </row>
    <row r="769" spans="1:7" ht="17">
      <c r="A769" s="75" t="s">
        <v>2613</v>
      </c>
      <c r="B769" s="75"/>
      <c r="C769" s="75"/>
      <c r="D769" s="75"/>
      <c r="E769" s="76"/>
      <c r="F769" s="75"/>
      <c r="G769" s="75"/>
    </row>
    <row r="770" spans="1:7">
      <c r="A770" s="56" t="s">
        <v>2451</v>
      </c>
      <c r="B770" s="56"/>
      <c r="C770" s="56" t="s">
        <v>2403</v>
      </c>
      <c r="D770" s="56" t="s">
        <v>2607</v>
      </c>
      <c r="E770" s="74" t="s">
        <v>2403</v>
      </c>
      <c r="F770" s="56" t="s">
        <v>1888</v>
      </c>
      <c r="G770" s="56" t="s">
        <v>2251</v>
      </c>
    </row>
    <row r="771" spans="1:7" ht="17">
      <c r="A771" s="274" t="s">
        <v>2375</v>
      </c>
      <c r="B771" s="274"/>
      <c r="C771" s="274" t="s">
        <v>2376</v>
      </c>
      <c r="D771" s="274" t="s">
        <v>2607</v>
      </c>
      <c r="E771" s="275" t="s">
        <v>2403</v>
      </c>
      <c r="F771" s="274" t="s">
        <v>1888</v>
      </c>
      <c r="G771" s="274" t="s">
        <v>2251</v>
      </c>
    </row>
    <row r="772" spans="1:7" ht="17">
      <c r="A772" s="274" t="s">
        <v>2452</v>
      </c>
      <c r="B772" s="274" t="s">
        <v>2440</v>
      </c>
      <c r="C772" s="274" t="s">
        <v>108</v>
      </c>
      <c r="D772" s="274" t="s">
        <v>2607</v>
      </c>
      <c r="E772" s="275" t="s">
        <v>108</v>
      </c>
      <c r="F772" s="274" t="s">
        <v>1888</v>
      </c>
      <c r="G772" s="274" t="s">
        <v>2251</v>
      </c>
    </row>
    <row r="773" spans="1:7">
      <c r="A773" s="56" t="s">
        <v>2453</v>
      </c>
      <c r="B773" s="56" t="s">
        <v>2440</v>
      </c>
      <c r="C773" s="56" t="s">
        <v>108</v>
      </c>
      <c r="D773" s="56" t="s">
        <v>2607</v>
      </c>
      <c r="E773" s="74" t="s">
        <v>108</v>
      </c>
      <c r="F773" s="56" t="s">
        <v>1888</v>
      </c>
      <c r="G773" s="56" t="s">
        <v>2251</v>
      </c>
    </row>
    <row r="774" spans="1:7" ht="17">
      <c r="A774" s="274" t="s">
        <v>2454</v>
      </c>
      <c r="B774" s="274" t="s">
        <v>2301</v>
      </c>
      <c r="C774" s="274" t="s">
        <v>108</v>
      </c>
      <c r="D774" s="274" t="s">
        <v>2607</v>
      </c>
      <c r="E774" s="275" t="s">
        <v>108</v>
      </c>
      <c r="F774" s="274" t="s">
        <v>1888</v>
      </c>
      <c r="G774" s="274" t="s">
        <v>2251</v>
      </c>
    </row>
    <row r="775" spans="1:7">
      <c r="A775" s="56" t="s">
        <v>2455</v>
      </c>
      <c r="B775" s="56" t="s">
        <v>2456</v>
      </c>
      <c r="C775" s="56" t="s">
        <v>2403</v>
      </c>
      <c r="D775" s="56" t="s">
        <v>2607</v>
      </c>
      <c r="E775" s="74" t="s">
        <v>2403</v>
      </c>
      <c r="F775" s="56" t="s">
        <v>1888</v>
      </c>
      <c r="G775" s="56" t="s">
        <v>2251</v>
      </c>
    </row>
    <row r="776" spans="1:7" ht="17">
      <c r="A776" s="274" t="s">
        <v>2457</v>
      </c>
      <c r="B776" s="274" t="s">
        <v>2456</v>
      </c>
      <c r="C776" s="274" t="s">
        <v>2403</v>
      </c>
      <c r="D776" s="274" t="s">
        <v>2607</v>
      </c>
      <c r="E776" s="275" t="s">
        <v>2403</v>
      </c>
      <c r="F776" s="274" t="s">
        <v>1888</v>
      </c>
      <c r="G776" s="274" t="s">
        <v>2251</v>
      </c>
    </row>
    <row r="777" spans="1:7">
      <c r="A777" s="56" t="s">
        <v>2316</v>
      </c>
      <c r="B777" s="56" t="s">
        <v>2291</v>
      </c>
      <c r="C777" s="56" t="s">
        <v>2292</v>
      </c>
      <c r="D777" s="56" t="s">
        <v>2607</v>
      </c>
      <c r="E777" s="74" t="s">
        <v>2446</v>
      </c>
      <c r="F777" s="56" t="s">
        <v>1434</v>
      </c>
      <c r="G777" s="56" t="s">
        <v>2251</v>
      </c>
    </row>
    <row r="778" spans="1:7">
      <c r="A778" s="56" t="s">
        <v>2458</v>
      </c>
      <c r="B778" s="56" t="s">
        <v>2456</v>
      </c>
      <c r="C778" s="56" t="s">
        <v>108</v>
      </c>
      <c r="D778" s="56" t="s">
        <v>2607</v>
      </c>
      <c r="E778" s="74" t="s">
        <v>108</v>
      </c>
      <c r="F778" s="56" t="s">
        <v>1888</v>
      </c>
      <c r="G778" s="56" t="s">
        <v>2459</v>
      </c>
    </row>
    <row r="779" spans="1:7" ht="17">
      <c r="A779" s="75" t="s">
        <v>2614</v>
      </c>
      <c r="B779" s="75"/>
      <c r="C779" s="75"/>
      <c r="D779" s="75"/>
      <c r="E779" s="76"/>
      <c r="F779" s="75"/>
      <c r="G779" s="75"/>
    </row>
    <row r="780" spans="1:7" ht="17">
      <c r="A780" s="274" t="s">
        <v>2461</v>
      </c>
      <c r="B780" s="274" t="s">
        <v>2462</v>
      </c>
      <c r="C780" s="274" t="s">
        <v>108</v>
      </c>
      <c r="D780" s="274" t="s">
        <v>2607</v>
      </c>
      <c r="E780" s="275" t="s">
        <v>108</v>
      </c>
      <c r="F780" s="274" t="s">
        <v>1888</v>
      </c>
      <c r="G780" s="274" t="s">
        <v>2251</v>
      </c>
    </row>
    <row r="781" spans="1:7">
      <c r="A781" s="56" t="s">
        <v>2463</v>
      </c>
      <c r="B781" s="56" t="s">
        <v>2464</v>
      </c>
      <c r="C781" s="56" t="s">
        <v>108</v>
      </c>
      <c r="D781" s="56" t="s">
        <v>2607</v>
      </c>
      <c r="E781" s="74" t="s">
        <v>108</v>
      </c>
      <c r="F781" s="56" t="s">
        <v>1888</v>
      </c>
      <c r="G781" s="56" t="s">
        <v>2251</v>
      </c>
    </row>
    <row r="782" spans="1:7" ht="17">
      <c r="A782" s="274" t="s">
        <v>2465</v>
      </c>
      <c r="B782" s="274" t="s">
        <v>2464</v>
      </c>
      <c r="C782" s="274" t="s">
        <v>108</v>
      </c>
      <c r="D782" s="274" t="s">
        <v>2607</v>
      </c>
      <c r="E782" s="275" t="s">
        <v>108</v>
      </c>
      <c r="F782" s="274" t="s">
        <v>1888</v>
      </c>
      <c r="G782" s="274" t="s">
        <v>2251</v>
      </c>
    </row>
    <row r="783" spans="1:7" ht="17">
      <c r="A783" s="75" t="s">
        <v>2615</v>
      </c>
      <c r="B783" s="75"/>
      <c r="C783" s="75"/>
      <c r="D783" s="75"/>
      <c r="E783" s="76"/>
      <c r="F783" s="75"/>
      <c r="G783" s="75"/>
    </row>
    <row r="784" spans="1:7" ht="17">
      <c r="A784" s="274" t="s">
        <v>2467</v>
      </c>
      <c r="B784" s="274" t="s">
        <v>2319</v>
      </c>
      <c r="C784" s="274" t="s">
        <v>2403</v>
      </c>
      <c r="D784" s="274" t="s">
        <v>2607</v>
      </c>
      <c r="E784" s="275" t="s">
        <v>2403</v>
      </c>
      <c r="F784" s="274" t="s">
        <v>1888</v>
      </c>
      <c r="G784" s="274" t="s">
        <v>2468</v>
      </c>
    </row>
    <row r="785" spans="1:7">
      <c r="A785" s="56" t="s">
        <v>2469</v>
      </c>
      <c r="B785" s="56" t="s">
        <v>2382</v>
      </c>
      <c r="C785" s="56" t="s">
        <v>108</v>
      </c>
      <c r="D785" s="56" t="s">
        <v>2607</v>
      </c>
      <c r="E785" s="74" t="s">
        <v>108</v>
      </c>
      <c r="F785" s="56" t="s">
        <v>1888</v>
      </c>
      <c r="G785" s="56" t="s">
        <v>2470</v>
      </c>
    </row>
    <row r="786" spans="1:7" ht="17">
      <c r="A786" s="274" t="s">
        <v>2471</v>
      </c>
      <c r="B786" s="274" t="s">
        <v>2379</v>
      </c>
      <c r="C786" s="274" t="s">
        <v>108</v>
      </c>
      <c r="D786" s="274" t="s">
        <v>2607</v>
      </c>
      <c r="E786" s="275" t="s">
        <v>108</v>
      </c>
      <c r="F786" s="274" t="s">
        <v>1888</v>
      </c>
      <c r="G786" s="274" t="s">
        <v>2472</v>
      </c>
    </row>
    <row r="787" spans="1:7">
      <c r="A787" s="56" t="s">
        <v>2473</v>
      </c>
      <c r="B787" s="56" t="s">
        <v>2474</v>
      </c>
      <c r="C787" s="56" t="s">
        <v>108</v>
      </c>
      <c r="D787" s="56" t="s">
        <v>2607</v>
      </c>
      <c r="E787" s="74" t="s">
        <v>108</v>
      </c>
      <c r="F787" s="56" t="s">
        <v>1888</v>
      </c>
      <c r="G787" s="56" t="s">
        <v>2475</v>
      </c>
    </row>
    <row r="788" spans="1:7" ht="17">
      <c r="A788" s="274" t="s">
        <v>2324</v>
      </c>
      <c r="B788" s="274" t="s">
        <v>2325</v>
      </c>
      <c r="C788" s="274"/>
      <c r="D788" s="274" t="s">
        <v>2249</v>
      </c>
      <c r="E788" s="275"/>
      <c r="F788" s="274" t="s">
        <v>2326</v>
      </c>
      <c r="G788" s="274" t="s">
        <v>2251</v>
      </c>
    </row>
    <row r="789" spans="1:7" ht="17">
      <c r="A789" s="274" t="s">
        <v>2327</v>
      </c>
      <c r="B789" s="274" t="s">
        <v>2325</v>
      </c>
      <c r="C789" s="274"/>
      <c r="D789" s="274" t="s">
        <v>2249</v>
      </c>
      <c r="E789" s="275"/>
      <c r="F789" s="274" t="s">
        <v>2326</v>
      </c>
      <c r="G789" s="274" t="s">
        <v>2251</v>
      </c>
    </row>
    <row r="790" spans="1:7" ht="17">
      <c r="A790" s="274" t="s">
        <v>2328</v>
      </c>
      <c r="B790" s="274" t="s">
        <v>2325</v>
      </c>
      <c r="C790" s="274" t="s">
        <v>2329</v>
      </c>
      <c r="D790" s="274" t="s">
        <v>2249</v>
      </c>
      <c r="E790" s="275"/>
      <c r="F790" s="274" t="s">
        <v>2330</v>
      </c>
      <c r="G790" s="274" t="s">
        <v>2331</v>
      </c>
    </row>
    <row r="791" spans="1:7" ht="17">
      <c r="A791" s="75" t="s">
        <v>2616</v>
      </c>
      <c r="B791" s="75"/>
      <c r="C791" s="75"/>
      <c r="D791" s="75"/>
      <c r="E791" s="76"/>
      <c r="F791" s="75"/>
      <c r="G791" s="75"/>
    </row>
    <row r="792" spans="1:7" ht="17">
      <c r="A792" s="274" t="s">
        <v>2477</v>
      </c>
      <c r="B792" s="274" t="s">
        <v>2382</v>
      </c>
      <c r="C792" s="274" t="s">
        <v>108</v>
      </c>
      <c r="D792" s="274" t="s">
        <v>2607</v>
      </c>
      <c r="E792" s="275" t="s">
        <v>108</v>
      </c>
      <c r="F792" s="274" t="s">
        <v>1888</v>
      </c>
      <c r="G792" s="274" t="s">
        <v>2478</v>
      </c>
    </row>
    <row r="793" spans="1:7" ht="17">
      <c r="A793" s="274" t="s">
        <v>2334</v>
      </c>
      <c r="B793" s="274" t="s">
        <v>2291</v>
      </c>
      <c r="C793" s="274" t="s">
        <v>2311</v>
      </c>
      <c r="D793" s="274" t="s">
        <v>2249</v>
      </c>
      <c r="E793" s="275"/>
      <c r="F793" s="274" t="s">
        <v>2335</v>
      </c>
      <c r="G793" s="274" t="s">
        <v>2335</v>
      </c>
    </row>
    <row r="794" spans="1:7" ht="17">
      <c r="A794" s="274" t="s">
        <v>2336</v>
      </c>
      <c r="B794" s="274" t="s">
        <v>2291</v>
      </c>
      <c r="C794" s="274" t="s">
        <v>552</v>
      </c>
      <c r="D794" s="274" t="s">
        <v>2249</v>
      </c>
      <c r="E794" s="275"/>
      <c r="F794" s="274" t="s">
        <v>2337</v>
      </c>
      <c r="G794" s="274" t="s">
        <v>2337</v>
      </c>
    </row>
    <row r="795" spans="1:7">
      <c r="A795" s="56" t="s">
        <v>2479</v>
      </c>
      <c r="B795" s="56" t="s">
        <v>2480</v>
      </c>
      <c r="C795" s="56" t="s">
        <v>108</v>
      </c>
      <c r="D795" s="56" t="s">
        <v>2607</v>
      </c>
      <c r="E795" s="74" t="s">
        <v>108</v>
      </c>
      <c r="F795" s="56" t="s">
        <v>1888</v>
      </c>
      <c r="G795" s="56" t="s">
        <v>2481</v>
      </c>
    </row>
    <row r="796" spans="1:7" ht="17">
      <c r="A796" s="274" t="s">
        <v>2482</v>
      </c>
      <c r="B796" s="274" t="s">
        <v>2480</v>
      </c>
      <c r="C796" s="274" t="s">
        <v>108</v>
      </c>
      <c r="D796" s="274" t="s">
        <v>2607</v>
      </c>
      <c r="E796" s="275" t="s">
        <v>108</v>
      </c>
      <c r="F796" s="274" t="s">
        <v>1888</v>
      </c>
      <c r="G796" s="274" t="s">
        <v>2483</v>
      </c>
    </row>
    <row r="797" spans="1:7" ht="17">
      <c r="A797" s="274" t="s">
        <v>2484</v>
      </c>
      <c r="B797" s="274" t="s">
        <v>2382</v>
      </c>
      <c r="C797" s="274" t="s">
        <v>2403</v>
      </c>
      <c r="D797" s="274" t="s">
        <v>2607</v>
      </c>
      <c r="E797" s="275" t="s">
        <v>2403</v>
      </c>
      <c r="F797" s="274" t="s">
        <v>1888</v>
      </c>
      <c r="G797" s="274" t="s">
        <v>2251</v>
      </c>
    </row>
    <row r="798" spans="1:7">
      <c r="A798" s="56" t="s">
        <v>2485</v>
      </c>
      <c r="B798" s="56" t="s">
        <v>2486</v>
      </c>
      <c r="C798" s="56" t="s">
        <v>2487</v>
      </c>
      <c r="D798" s="56" t="s">
        <v>2607</v>
      </c>
      <c r="E798" s="74" t="s">
        <v>108</v>
      </c>
      <c r="F798" s="56" t="s">
        <v>1888</v>
      </c>
      <c r="G798" s="56" t="s">
        <v>2251</v>
      </c>
    </row>
    <row r="799" spans="1:7" ht="17">
      <c r="A799" s="75" t="s">
        <v>2617</v>
      </c>
      <c r="B799" s="75"/>
      <c r="C799" s="75"/>
      <c r="D799" s="75"/>
      <c r="E799" s="76"/>
      <c r="F799" s="75"/>
      <c r="G799" s="75"/>
    </row>
    <row r="800" spans="1:7">
      <c r="A800" s="56" t="s">
        <v>2489</v>
      </c>
      <c r="B800" s="56" t="s">
        <v>2490</v>
      </c>
      <c r="C800" s="56" t="s">
        <v>108</v>
      </c>
      <c r="D800" s="56" t="s">
        <v>2607</v>
      </c>
      <c r="E800" s="74" t="s">
        <v>108</v>
      </c>
      <c r="F800" s="56" t="s">
        <v>1888</v>
      </c>
      <c r="G800" s="56" t="s">
        <v>2251</v>
      </c>
    </row>
    <row r="801" spans="1:7" ht="17">
      <c r="A801" s="274" t="s">
        <v>2491</v>
      </c>
      <c r="B801" s="274" t="s">
        <v>2490</v>
      </c>
      <c r="C801" s="274" t="s">
        <v>2403</v>
      </c>
      <c r="D801" s="274" t="s">
        <v>2607</v>
      </c>
      <c r="E801" s="275" t="s">
        <v>2403</v>
      </c>
      <c r="F801" s="274" t="s">
        <v>1888</v>
      </c>
      <c r="G801" s="274" t="s">
        <v>2492</v>
      </c>
    </row>
    <row r="802" spans="1:7" ht="17">
      <c r="A802" s="274" t="s">
        <v>2493</v>
      </c>
      <c r="B802" s="274" t="s">
        <v>2494</v>
      </c>
      <c r="C802" s="274" t="s">
        <v>2421</v>
      </c>
      <c r="D802" s="274" t="s">
        <v>2607</v>
      </c>
      <c r="E802" s="275" t="s">
        <v>108</v>
      </c>
      <c r="F802" s="274" t="s">
        <v>1888</v>
      </c>
      <c r="G802" s="274" t="s">
        <v>2495</v>
      </c>
    </row>
    <row r="803" spans="1:7">
      <c r="A803" s="56" t="s">
        <v>2496</v>
      </c>
      <c r="B803" s="56" t="s">
        <v>2490</v>
      </c>
      <c r="C803" s="56" t="s">
        <v>2497</v>
      </c>
      <c r="D803" s="56" t="s">
        <v>2607</v>
      </c>
      <c r="E803" s="74" t="s">
        <v>108</v>
      </c>
      <c r="F803" s="56" t="s">
        <v>1888</v>
      </c>
      <c r="G803" s="56" t="s">
        <v>2251</v>
      </c>
    </row>
    <row r="804" spans="1:7" ht="17">
      <c r="A804" s="274" t="s">
        <v>2498</v>
      </c>
      <c r="B804" s="274" t="s">
        <v>2490</v>
      </c>
      <c r="C804" s="274" t="s">
        <v>2499</v>
      </c>
      <c r="D804" s="274" t="s">
        <v>2607</v>
      </c>
      <c r="E804" s="275" t="s">
        <v>108</v>
      </c>
      <c r="F804" s="274" t="s">
        <v>1888</v>
      </c>
      <c r="G804" s="274" t="s">
        <v>2500</v>
      </c>
    </row>
    <row r="805" spans="1:7" ht="17">
      <c r="A805" s="75" t="s">
        <v>2618</v>
      </c>
      <c r="B805" s="75"/>
      <c r="C805" s="75"/>
      <c r="D805" s="75"/>
      <c r="E805" s="76"/>
      <c r="F805" s="75"/>
      <c r="G805" s="75"/>
    </row>
    <row r="806" spans="1:7">
      <c r="A806" s="56" t="s">
        <v>2502</v>
      </c>
      <c r="B806" s="56" t="s">
        <v>2325</v>
      </c>
      <c r="C806" s="56" t="s">
        <v>2503</v>
      </c>
      <c r="D806" s="56" t="s">
        <v>2607</v>
      </c>
      <c r="E806" s="74" t="s">
        <v>108</v>
      </c>
      <c r="F806" s="56" t="s">
        <v>1888</v>
      </c>
      <c r="G806" s="56" t="s">
        <v>2504</v>
      </c>
    </row>
    <row r="807" spans="1:7" ht="17">
      <c r="A807" s="274" t="s">
        <v>2341</v>
      </c>
      <c r="B807" s="274" t="s">
        <v>2342</v>
      </c>
      <c r="C807" s="274" t="s">
        <v>2343</v>
      </c>
      <c r="D807" s="274" t="s">
        <v>2249</v>
      </c>
      <c r="E807" s="275"/>
      <c r="F807" s="274" t="s">
        <v>2250</v>
      </c>
      <c r="G807" s="274" t="s">
        <v>2344</v>
      </c>
    </row>
    <row r="808" spans="1:7">
      <c r="A808" s="56" t="s">
        <v>2341</v>
      </c>
      <c r="B808" s="56" t="s">
        <v>2342</v>
      </c>
      <c r="C808" s="56" t="s">
        <v>2343</v>
      </c>
      <c r="D808" s="56" t="s">
        <v>2607</v>
      </c>
      <c r="E808" s="74" t="s">
        <v>108</v>
      </c>
      <c r="F808" s="56" t="s">
        <v>1888</v>
      </c>
      <c r="G808" s="56" t="s">
        <v>2344</v>
      </c>
    </row>
    <row r="809" spans="1:7">
      <c r="A809" s="56" t="s">
        <v>2348</v>
      </c>
      <c r="B809" s="56"/>
      <c r="C809" s="56" t="s">
        <v>2292</v>
      </c>
      <c r="D809" s="56" t="s">
        <v>2607</v>
      </c>
      <c r="E809" s="74" t="s">
        <v>2446</v>
      </c>
      <c r="F809" s="56" t="s">
        <v>1434</v>
      </c>
      <c r="G809" s="56" t="s">
        <v>2251</v>
      </c>
    </row>
    <row r="810" spans="1:7">
      <c r="A810" s="56" t="s">
        <v>2505</v>
      </c>
      <c r="B810" s="56" t="s">
        <v>2291</v>
      </c>
      <c r="C810" s="56" t="s">
        <v>108</v>
      </c>
      <c r="D810" s="56" t="s">
        <v>2607</v>
      </c>
      <c r="E810" s="74" t="s">
        <v>108</v>
      </c>
      <c r="F810" s="56" t="s">
        <v>1888</v>
      </c>
      <c r="G810" s="56" t="s">
        <v>2251</v>
      </c>
    </row>
    <row r="811" spans="1:7">
      <c r="A811" s="56" t="s">
        <v>2506</v>
      </c>
      <c r="B811" s="56" t="s">
        <v>2346</v>
      </c>
      <c r="C811" s="56" t="s">
        <v>2507</v>
      </c>
      <c r="D811" s="56" t="s">
        <v>2607</v>
      </c>
      <c r="E811" s="74" t="s">
        <v>2507</v>
      </c>
      <c r="F811" s="56" t="s">
        <v>1888</v>
      </c>
      <c r="G811" s="56" t="s">
        <v>2508</v>
      </c>
    </row>
    <row r="812" spans="1:7" ht="17">
      <c r="A812" s="75" t="s">
        <v>2619</v>
      </c>
      <c r="B812" s="75"/>
      <c r="C812" s="75"/>
      <c r="D812" s="75"/>
      <c r="E812" s="76"/>
      <c r="F812" s="75"/>
      <c r="G812" s="75"/>
    </row>
    <row r="813" spans="1:7" ht="17">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
      <c r="A815" s="274" t="s">
        <v>2252</v>
      </c>
      <c r="B815" s="274" t="s">
        <v>2248</v>
      </c>
      <c r="C815" s="274"/>
      <c r="D815" s="274" t="s">
        <v>2249</v>
      </c>
      <c r="E815" s="275"/>
      <c r="F815" s="274" t="s">
        <v>2250</v>
      </c>
      <c r="G815" s="274" t="s">
        <v>2251</v>
      </c>
    </row>
    <row r="816" spans="1:7" ht="17">
      <c r="A816" s="75" t="s">
        <v>2621</v>
      </c>
      <c r="B816" s="75"/>
      <c r="C816" s="75"/>
      <c r="D816" s="75"/>
      <c r="E816" s="76"/>
      <c r="F816" s="75"/>
      <c r="G816" s="75"/>
    </row>
    <row r="817" spans="1:7" ht="17">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
      <c r="A826" s="274" t="s">
        <v>2265</v>
      </c>
      <c r="B826" s="274" t="s">
        <v>2257</v>
      </c>
      <c r="C826" s="274"/>
      <c r="D826" s="274" t="s">
        <v>2249</v>
      </c>
      <c r="E826" s="275"/>
      <c r="F826" s="274" t="s">
        <v>2255</v>
      </c>
      <c r="G826" s="274" t="s">
        <v>2251</v>
      </c>
    </row>
    <row r="827" spans="1:7" ht="17">
      <c r="A827" s="274" t="s">
        <v>2291</v>
      </c>
      <c r="B827" s="274" t="s">
        <v>2291</v>
      </c>
      <c r="C827" s="274" t="s">
        <v>2292</v>
      </c>
      <c r="D827" s="274" t="s">
        <v>2620</v>
      </c>
      <c r="E827" s="275" t="s">
        <v>2519</v>
      </c>
      <c r="F827" s="274" t="s">
        <v>2194</v>
      </c>
      <c r="G827" s="274" t="s">
        <v>2575</v>
      </c>
    </row>
    <row r="828" spans="1:7" ht="17">
      <c r="A828" s="75" t="s">
        <v>2622</v>
      </c>
      <c r="B828" s="75"/>
      <c r="C828" s="75"/>
      <c r="D828" s="75"/>
      <c r="E828" s="76"/>
      <c r="F828" s="75"/>
      <c r="G828" s="75"/>
    </row>
    <row r="829" spans="1:7" ht="17">
      <c r="A829" s="274" t="s">
        <v>2291</v>
      </c>
      <c r="B829" s="274" t="s">
        <v>2291</v>
      </c>
      <c r="C829" s="274" t="s">
        <v>2292</v>
      </c>
      <c r="D829" s="274" t="s">
        <v>2620</v>
      </c>
      <c r="E829" s="275" t="s">
        <v>2519</v>
      </c>
      <c r="F829" s="274" t="s">
        <v>2194</v>
      </c>
      <c r="G829" s="274" t="s">
        <v>2573</v>
      </c>
    </row>
    <row r="830" spans="1:7" ht="17">
      <c r="A830" s="75" t="s">
        <v>2623</v>
      </c>
      <c r="B830" s="75"/>
      <c r="C830" s="75"/>
      <c r="D830" s="75"/>
      <c r="E830" s="76"/>
      <c r="F830" s="75"/>
      <c r="G830" s="75"/>
    </row>
    <row r="831" spans="1:7" ht="17">
      <c r="A831" s="274" t="s">
        <v>2291</v>
      </c>
      <c r="B831" s="274" t="s">
        <v>2291</v>
      </c>
      <c r="C831" s="274" t="s">
        <v>2292</v>
      </c>
      <c r="D831" s="274" t="s">
        <v>2620</v>
      </c>
      <c r="E831" s="275" t="s">
        <v>2519</v>
      </c>
      <c r="F831" s="274" t="s">
        <v>2194</v>
      </c>
      <c r="G831" s="274" t="s">
        <v>2578</v>
      </c>
    </row>
    <row r="832" spans="1:7">
      <c r="A832" s="56" t="s">
        <v>2267</v>
      </c>
      <c r="B832" s="56" t="s">
        <v>2248</v>
      </c>
      <c r="C832" s="56"/>
      <c r="D832" s="56" t="s">
        <v>2249</v>
      </c>
      <c r="E832" s="74"/>
      <c r="F832" s="56" t="s">
        <v>2250</v>
      </c>
      <c r="G832" s="56" t="s">
        <v>2251</v>
      </c>
    </row>
    <row r="833" spans="1:7" ht="17">
      <c r="A833" s="75" t="s">
        <v>2624</v>
      </c>
      <c r="B833" s="75"/>
      <c r="C833" s="75"/>
      <c r="D833" s="75"/>
      <c r="E833" s="76"/>
      <c r="F833" s="75"/>
      <c r="G833" s="75"/>
    </row>
    <row r="834" spans="1:7">
      <c r="A834" s="56" t="s">
        <v>2291</v>
      </c>
      <c r="B834" s="56" t="s">
        <v>2291</v>
      </c>
      <c r="C834" s="56" t="s">
        <v>2292</v>
      </c>
      <c r="D834" s="56" t="s">
        <v>2620</v>
      </c>
      <c r="E834" s="74" t="s">
        <v>2519</v>
      </c>
      <c r="F834" s="56" t="s">
        <v>2194</v>
      </c>
      <c r="G834" s="56" t="s">
        <v>2575</v>
      </c>
    </row>
    <row r="835" spans="1:7" ht="17">
      <c r="A835" s="75" t="s">
        <v>2625</v>
      </c>
      <c r="B835" s="75"/>
      <c r="C835" s="75"/>
      <c r="D835" s="75"/>
      <c r="E835" s="76"/>
      <c r="F835" s="75"/>
      <c r="G835" s="75"/>
    </row>
    <row r="836" spans="1:7">
      <c r="A836" s="56" t="s">
        <v>2291</v>
      </c>
      <c r="B836" s="56" t="s">
        <v>2291</v>
      </c>
      <c r="C836" s="56" t="s">
        <v>2292</v>
      </c>
      <c r="D836" s="56" t="s">
        <v>2620</v>
      </c>
      <c r="E836" s="74" t="s">
        <v>2519</v>
      </c>
      <c r="F836" s="56" t="s">
        <v>2194</v>
      </c>
      <c r="G836" s="56" t="s">
        <v>2575</v>
      </c>
    </row>
    <row r="837" spans="1:7">
      <c r="A837" s="56" t="s">
        <v>2269</v>
      </c>
      <c r="B837" s="56" t="s">
        <v>2248</v>
      </c>
      <c r="C837" s="56"/>
      <c r="D837" s="56" t="s">
        <v>2249</v>
      </c>
      <c r="E837" s="74"/>
      <c r="F837" s="56" t="s">
        <v>2250</v>
      </c>
      <c r="G837" s="56" t="s">
        <v>2251</v>
      </c>
    </row>
    <row r="838" spans="1:7">
      <c r="A838" s="56" t="s">
        <v>2270</v>
      </c>
      <c r="B838" s="56" t="s">
        <v>2248</v>
      </c>
      <c r="C838" s="56"/>
      <c r="D838" s="56" t="s">
        <v>2249</v>
      </c>
      <c r="E838" s="74"/>
      <c r="F838" s="56" t="s">
        <v>2250</v>
      </c>
      <c r="G838" s="56" t="s">
        <v>2251</v>
      </c>
    </row>
    <row r="839" spans="1:7" ht="17">
      <c r="A839" s="274" t="s">
        <v>2271</v>
      </c>
      <c r="B839" s="274" t="s">
        <v>2248</v>
      </c>
      <c r="C839" s="274"/>
      <c r="D839" s="274" t="s">
        <v>2249</v>
      </c>
      <c r="E839" s="275"/>
      <c r="F839" s="274" t="s">
        <v>2250</v>
      </c>
      <c r="G839" s="274" t="s">
        <v>2251</v>
      </c>
    </row>
    <row r="840" spans="1:7" ht="17">
      <c r="A840" s="274" t="s">
        <v>2272</v>
      </c>
      <c r="B840" s="274" t="s">
        <v>2248</v>
      </c>
      <c r="C840" s="274"/>
      <c r="D840" s="274" t="s">
        <v>2249</v>
      </c>
      <c r="E840" s="275"/>
      <c r="F840" s="274" t="s">
        <v>2250</v>
      </c>
      <c r="G840" s="274" t="s">
        <v>2251</v>
      </c>
    </row>
    <row r="841" spans="1:7" ht="17">
      <c r="A841" s="274" t="s">
        <v>2273</v>
      </c>
      <c r="B841" s="274" t="s">
        <v>2248</v>
      </c>
      <c r="C841" s="274"/>
      <c r="D841" s="274" t="s">
        <v>2249</v>
      </c>
      <c r="E841" s="275"/>
      <c r="F841" s="274" t="s">
        <v>2250</v>
      </c>
      <c r="G841" s="274" t="s">
        <v>2251</v>
      </c>
    </row>
    <row r="842" spans="1:7">
      <c r="A842" s="56" t="s">
        <v>2274</v>
      </c>
      <c r="B842" s="56" t="s">
        <v>2248</v>
      </c>
      <c r="C842" s="56"/>
      <c r="D842" s="56" t="s">
        <v>2249</v>
      </c>
      <c r="E842" s="74"/>
      <c r="F842" s="56" t="s">
        <v>2250</v>
      </c>
      <c r="G842" s="56" t="s">
        <v>2251</v>
      </c>
    </row>
    <row r="843" spans="1:7" ht="17">
      <c r="A843" s="274" t="s">
        <v>2275</v>
      </c>
      <c r="B843" s="274" t="s">
        <v>2248</v>
      </c>
      <c r="C843" s="274"/>
      <c r="D843" s="274" t="s">
        <v>2249</v>
      </c>
      <c r="E843" s="275"/>
      <c r="F843" s="274" t="s">
        <v>2250</v>
      </c>
      <c r="G843" s="274" t="s">
        <v>2251</v>
      </c>
    </row>
    <row r="844" spans="1:7">
      <c r="A844" s="56" t="s">
        <v>2276</v>
      </c>
      <c r="B844" s="56" t="s">
        <v>2248</v>
      </c>
      <c r="C844" s="56"/>
      <c r="D844" s="56" t="s">
        <v>2249</v>
      </c>
      <c r="E844" s="74"/>
      <c r="F844" s="56" t="s">
        <v>2250</v>
      </c>
      <c r="G844" s="56" t="s">
        <v>2251</v>
      </c>
    </row>
    <row r="845" spans="1:7" ht="17">
      <c r="A845" s="75" t="s">
        <v>2626</v>
      </c>
      <c r="B845" s="75"/>
      <c r="C845" s="75"/>
      <c r="D845" s="75"/>
      <c r="E845" s="76"/>
      <c r="F845" s="75"/>
      <c r="G845" s="75"/>
    </row>
    <row r="846" spans="1:7">
      <c r="A846" s="56" t="s">
        <v>2291</v>
      </c>
      <c r="B846" s="56" t="s">
        <v>2291</v>
      </c>
      <c r="C846" s="56" t="s">
        <v>2292</v>
      </c>
      <c r="D846" s="56" t="s">
        <v>2620</v>
      </c>
      <c r="E846" s="74" t="s">
        <v>2519</v>
      </c>
      <c r="F846" s="56" t="s">
        <v>2194</v>
      </c>
      <c r="G846" s="56" t="s">
        <v>2575</v>
      </c>
    </row>
    <row r="847" spans="1:7" ht="17">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
      <c r="A849" s="75" t="s">
        <v>2627</v>
      </c>
      <c r="B849" s="75"/>
      <c r="C849" s="75"/>
      <c r="D849" s="75"/>
      <c r="E849" s="76"/>
      <c r="F849" s="75"/>
      <c r="G849" s="75"/>
    </row>
    <row r="850" spans="1:7" ht="17">
      <c r="A850" s="274" t="s">
        <v>2291</v>
      </c>
      <c r="B850" s="274" t="s">
        <v>2291</v>
      </c>
      <c r="C850" s="274" t="s">
        <v>2292</v>
      </c>
      <c r="D850" s="274" t="s">
        <v>2620</v>
      </c>
      <c r="E850" s="275" t="s">
        <v>2519</v>
      </c>
      <c r="F850" s="274" t="s">
        <v>2194</v>
      </c>
      <c r="G850" s="274" t="s">
        <v>2575</v>
      </c>
    </row>
    <row r="851" spans="1:7" ht="17">
      <c r="A851" s="75" t="s">
        <v>2628</v>
      </c>
      <c r="B851" s="75"/>
      <c r="C851" s="75"/>
      <c r="D851" s="75"/>
      <c r="E851" s="76"/>
      <c r="F851" s="75"/>
      <c r="G851" s="75"/>
    </row>
    <row r="852" spans="1:7" ht="17">
      <c r="A852" s="274" t="s">
        <v>2324</v>
      </c>
      <c r="B852" s="274" t="s">
        <v>2325</v>
      </c>
      <c r="C852" s="274"/>
      <c r="D852" s="274" t="s">
        <v>2249</v>
      </c>
      <c r="E852" s="275"/>
      <c r="F852" s="274" t="s">
        <v>2326</v>
      </c>
      <c r="G852" s="274" t="s">
        <v>2251</v>
      </c>
    </row>
    <row r="853" spans="1:7" ht="17">
      <c r="A853" s="274" t="s">
        <v>2327</v>
      </c>
      <c r="B853" s="274" t="s">
        <v>2325</v>
      </c>
      <c r="C853" s="274"/>
      <c r="D853" s="274" t="s">
        <v>2249</v>
      </c>
      <c r="E853" s="275"/>
      <c r="F853" s="274" t="s">
        <v>2326</v>
      </c>
      <c r="G853" s="274" t="s">
        <v>2251</v>
      </c>
    </row>
    <row r="854" spans="1:7" ht="17">
      <c r="A854" s="274" t="s">
        <v>2328</v>
      </c>
      <c r="B854" s="274" t="s">
        <v>2325</v>
      </c>
      <c r="C854" s="274" t="s">
        <v>2329</v>
      </c>
      <c r="D854" s="274" t="s">
        <v>2249</v>
      </c>
      <c r="E854" s="275"/>
      <c r="F854" s="274" t="s">
        <v>2330</v>
      </c>
      <c r="G854" s="274" t="s">
        <v>2331</v>
      </c>
    </row>
    <row r="855" spans="1:7" ht="17">
      <c r="A855" s="75" t="s">
        <v>2629</v>
      </c>
      <c r="B855" s="75"/>
      <c r="C855" s="75"/>
      <c r="D855" s="75"/>
      <c r="E855" s="76"/>
      <c r="F855" s="75"/>
      <c r="G855" s="75"/>
    </row>
    <row r="856" spans="1:7">
      <c r="A856" s="56" t="s">
        <v>2334</v>
      </c>
      <c r="B856" s="56" t="s">
        <v>2291</v>
      </c>
      <c r="C856" s="56" t="s">
        <v>2311</v>
      </c>
      <c r="D856" s="56" t="s">
        <v>2249</v>
      </c>
      <c r="E856" s="74"/>
      <c r="F856" s="56" t="s">
        <v>2335</v>
      </c>
      <c r="G856" s="56" t="s">
        <v>2335</v>
      </c>
    </row>
    <row r="857" spans="1:7" ht="17">
      <c r="A857" s="274" t="s">
        <v>2336</v>
      </c>
      <c r="B857" s="274" t="s">
        <v>2291</v>
      </c>
      <c r="C857" s="274" t="s">
        <v>552</v>
      </c>
      <c r="D857" s="274" t="s">
        <v>2249</v>
      </c>
      <c r="E857" s="275"/>
      <c r="F857" s="274" t="s">
        <v>2337</v>
      </c>
      <c r="G857" s="274" t="s">
        <v>2337</v>
      </c>
    </row>
    <row r="858" spans="1:7" ht="17">
      <c r="A858" s="75" t="s">
        <v>2630</v>
      </c>
      <c r="B858" s="75"/>
      <c r="C858" s="75"/>
      <c r="D858" s="75"/>
      <c r="E858" s="76"/>
      <c r="F858" s="75"/>
      <c r="G858" s="75"/>
    </row>
    <row r="859" spans="1:7" ht="17">
      <c r="A859" s="274" t="s">
        <v>2341</v>
      </c>
      <c r="B859" s="274" t="s">
        <v>2342</v>
      </c>
      <c r="C859" s="274" t="s">
        <v>2343</v>
      </c>
      <c r="D859" s="274" t="s">
        <v>2249</v>
      </c>
      <c r="E859" s="275"/>
      <c r="F859" s="274" t="s">
        <v>2250</v>
      </c>
      <c r="G859" s="274" t="s">
        <v>2344</v>
      </c>
    </row>
    <row r="860" spans="1:7" ht="17">
      <c r="A860" s="75" t="s">
        <v>2631</v>
      </c>
      <c r="B860" s="75"/>
      <c r="C860" s="75"/>
      <c r="D860" s="75"/>
      <c r="E860" s="76"/>
      <c r="F860" s="75"/>
      <c r="G860" s="75"/>
    </row>
    <row r="861" spans="1:7" ht="17">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
      <c r="A870" s="274" t="s">
        <v>2262</v>
      </c>
      <c r="B870" s="274" t="s">
        <v>2248</v>
      </c>
      <c r="C870" s="274"/>
      <c r="D870" s="274" t="s">
        <v>2249</v>
      </c>
      <c r="E870" s="275"/>
      <c r="F870" s="274" t="s">
        <v>2255</v>
      </c>
      <c r="G870" s="274" t="s">
        <v>2251</v>
      </c>
    </row>
    <row r="871" spans="1:7" ht="17">
      <c r="A871" s="274" t="s">
        <v>2263</v>
      </c>
      <c r="B871" s="274" t="s">
        <v>2248</v>
      </c>
      <c r="C871" s="274"/>
      <c r="D871" s="274" t="s">
        <v>2249</v>
      </c>
      <c r="E871" s="275"/>
      <c r="F871" s="274" t="s">
        <v>2255</v>
      </c>
      <c r="G871" s="274" t="s">
        <v>2251</v>
      </c>
    </row>
    <row r="872" spans="1:7">
      <c r="A872" s="56" t="s">
        <v>2264</v>
      </c>
      <c r="B872" s="56" t="s">
        <v>2248</v>
      </c>
      <c r="C872" s="56"/>
      <c r="D872" s="56" t="s">
        <v>2249</v>
      </c>
      <c r="E872" s="74"/>
      <c r="F872" s="56" t="s">
        <v>2255</v>
      </c>
      <c r="G872" s="56" t="s">
        <v>2251</v>
      </c>
    </row>
    <row r="873" spans="1:7" ht="17">
      <c r="A873" s="274" t="s">
        <v>2265</v>
      </c>
      <c r="B873" s="274" t="s">
        <v>2257</v>
      </c>
      <c r="C873" s="274"/>
      <c r="D873" s="274" t="s">
        <v>2249</v>
      </c>
      <c r="E873" s="275"/>
      <c r="F873" s="274" t="s">
        <v>2255</v>
      </c>
      <c r="G873" s="274" t="s">
        <v>2251</v>
      </c>
    </row>
    <row r="874" spans="1:7" ht="17">
      <c r="A874" s="75" t="s">
        <v>2633</v>
      </c>
      <c r="B874" s="75"/>
      <c r="C874" s="75"/>
      <c r="D874" s="75"/>
      <c r="E874" s="76"/>
      <c r="F874" s="75"/>
      <c r="G874" s="75"/>
    </row>
    <row r="875" spans="1:7" ht="17">
      <c r="A875" s="274" t="s">
        <v>2267</v>
      </c>
      <c r="B875" s="274" t="s">
        <v>2248</v>
      </c>
      <c r="C875" s="274"/>
      <c r="D875" s="274" t="s">
        <v>2249</v>
      </c>
      <c r="E875" s="275"/>
      <c r="F875" s="274" t="s">
        <v>2250</v>
      </c>
      <c r="G875" s="274" t="s">
        <v>2251</v>
      </c>
    </row>
    <row r="876" spans="1:7" ht="17">
      <c r="A876" s="75" t="s">
        <v>2634</v>
      </c>
      <c r="B876" s="75"/>
      <c r="C876" s="75"/>
      <c r="D876" s="75"/>
      <c r="E876" s="76"/>
      <c r="F876" s="75"/>
      <c r="G876" s="75"/>
    </row>
    <row r="877" spans="1:7" ht="17">
      <c r="A877" s="274" t="s">
        <v>2269</v>
      </c>
      <c r="B877" s="274" t="s">
        <v>2248</v>
      </c>
      <c r="C877" s="274"/>
      <c r="D877" s="274" t="s">
        <v>2249</v>
      </c>
      <c r="E877" s="275"/>
      <c r="F877" s="274" t="s">
        <v>2250</v>
      </c>
      <c r="G877" s="274" t="s">
        <v>2251</v>
      </c>
    </row>
    <row r="878" spans="1:7" ht="17">
      <c r="A878" s="274" t="s">
        <v>2270</v>
      </c>
      <c r="B878" s="274" t="s">
        <v>2248</v>
      </c>
      <c r="C878" s="274"/>
      <c r="D878" s="274" t="s">
        <v>2249</v>
      </c>
      <c r="E878" s="275"/>
      <c r="F878" s="274" t="s">
        <v>2250</v>
      </c>
      <c r="G878" s="274" t="s">
        <v>2251</v>
      </c>
    </row>
    <row r="879" spans="1:7">
      <c r="A879" s="56" t="s">
        <v>2271</v>
      </c>
      <c r="B879" s="56" t="s">
        <v>2248</v>
      </c>
      <c r="C879" s="56"/>
      <c r="D879" s="56" t="s">
        <v>2249</v>
      </c>
      <c r="E879" s="74"/>
      <c r="F879" s="56" t="s">
        <v>2250</v>
      </c>
      <c r="G879" s="56" t="s">
        <v>2251</v>
      </c>
    </row>
    <row r="880" spans="1:7" ht="17">
      <c r="A880" s="274" t="s">
        <v>2272</v>
      </c>
      <c r="B880" s="274" t="s">
        <v>2248</v>
      </c>
      <c r="C880" s="274"/>
      <c r="D880" s="274" t="s">
        <v>2249</v>
      </c>
      <c r="E880" s="275"/>
      <c r="F880" s="274" t="s">
        <v>2250</v>
      </c>
      <c r="G880" s="274" t="s">
        <v>2251</v>
      </c>
    </row>
    <row r="881" spans="1:7" ht="17">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
      <c r="A887" s="274" t="s">
        <v>2281</v>
      </c>
      <c r="B887" s="274" t="s">
        <v>2248</v>
      </c>
      <c r="C887" s="274"/>
      <c r="D887" s="274" t="s">
        <v>2249</v>
      </c>
      <c r="E887" s="275"/>
      <c r="F887" s="274" t="s">
        <v>2250</v>
      </c>
      <c r="G887" s="274" t="s">
        <v>2251</v>
      </c>
    </row>
    <row r="888" spans="1:7" ht="17">
      <c r="A888" s="75" t="s">
        <v>2636</v>
      </c>
      <c r="B888" s="75"/>
      <c r="C888" s="75"/>
      <c r="D888" s="75"/>
      <c r="E888" s="76"/>
      <c r="F888" s="75"/>
      <c r="G888" s="75"/>
    </row>
    <row r="889" spans="1:7" ht="17">
      <c r="A889" s="274" t="s">
        <v>2355</v>
      </c>
      <c r="B889" s="274" t="s">
        <v>2356</v>
      </c>
      <c r="C889" s="274" t="s">
        <v>1565</v>
      </c>
      <c r="D889" s="274" t="s">
        <v>2637</v>
      </c>
      <c r="E889" s="275" t="s">
        <v>552</v>
      </c>
      <c r="F889" s="274" t="s">
        <v>503</v>
      </c>
      <c r="G889" s="274" t="s">
        <v>2358</v>
      </c>
    </row>
    <row r="890" spans="1:7" ht="17">
      <c r="A890" s="75" t="s">
        <v>2638</v>
      </c>
      <c r="B890" s="75"/>
      <c r="C890" s="75"/>
      <c r="D890" s="75"/>
      <c r="E890" s="76"/>
      <c r="F890" s="75"/>
      <c r="G890" s="75"/>
    </row>
    <row r="891" spans="1:7">
      <c r="A891" s="56" t="s">
        <v>2290</v>
      </c>
      <c r="B891" s="56" t="s">
        <v>2291</v>
      </c>
      <c r="C891" s="56" t="s">
        <v>2292</v>
      </c>
      <c r="D891" s="56" t="s">
        <v>2637</v>
      </c>
      <c r="E891" s="74" t="s">
        <v>2360</v>
      </c>
      <c r="F891" s="56" t="s">
        <v>2201</v>
      </c>
      <c r="G891" s="56" t="s">
        <v>2251</v>
      </c>
    </row>
    <row r="892" spans="1:7" ht="17">
      <c r="A892" s="75" t="s">
        <v>2639</v>
      </c>
      <c r="B892" s="75"/>
      <c r="C892" s="75"/>
      <c r="D892" s="75"/>
      <c r="E892" s="76"/>
      <c r="F892" s="75"/>
      <c r="G892" s="75"/>
    </row>
    <row r="893" spans="1:7">
      <c r="A893" s="56" t="s">
        <v>2369</v>
      </c>
      <c r="B893" s="56"/>
      <c r="C893" s="56" t="s">
        <v>552</v>
      </c>
      <c r="D893" s="56" t="s">
        <v>2637</v>
      </c>
      <c r="E893" s="74" t="s">
        <v>552</v>
      </c>
      <c r="F893" s="56" t="s">
        <v>503</v>
      </c>
      <c r="G893" s="56" t="s">
        <v>2370</v>
      </c>
    </row>
    <row r="894" spans="1:7" ht="17">
      <c r="A894" s="75" t="s">
        <v>2640</v>
      </c>
      <c r="B894" s="75"/>
      <c r="C894" s="75"/>
      <c r="D894" s="75"/>
      <c r="E894" s="76"/>
      <c r="F894" s="75"/>
      <c r="G894" s="75"/>
    </row>
    <row r="895" spans="1:7">
      <c r="A895" s="56" t="s">
        <v>2295</v>
      </c>
      <c r="B895" s="56" t="s">
        <v>2296</v>
      </c>
      <c r="C895" s="56" t="s">
        <v>2297</v>
      </c>
      <c r="D895" s="56" t="s">
        <v>2637</v>
      </c>
      <c r="E895" s="74" t="s">
        <v>2360</v>
      </c>
      <c r="F895" s="56" t="s">
        <v>2201</v>
      </c>
      <c r="G895" s="56" t="s">
        <v>2251</v>
      </c>
    </row>
    <row r="896" spans="1:7" ht="17">
      <c r="A896" s="274" t="s">
        <v>2298</v>
      </c>
      <c r="B896" s="274" t="s">
        <v>2296</v>
      </c>
      <c r="C896" s="274" t="s">
        <v>2292</v>
      </c>
      <c r="D896" s="274" t="s">
        <v>2637</v>
      </c>
      <c r="E896" s="275" t="s">
        <v>2360</v>
      </c>
      <c r="F896" s="274" t="s">
        <v>2201</v>
      </c>
      <c r="G896" s="274" t="s">
        <v>2251</v>
      </c>
    </row>
    <row r="897" spans="1:7" ht="17">
      <c r="A897" s="274" t="s">
        <v>2299</v>
      </c>
      <c r="B897" s="274" t="s">
        <v>2296</v>
      </c>
      <c r="C897" s="274" t="s">
        <v>2292</v>
      </c>
      <c r="D897" s="274" t="s">
        <v>2637</v>
      </c>
      <c r="E897" s="275" t="s">
        <v>2360</v>
      </c>
      <c r="F897" s="274" t="s">
        <v>2201</v>
      </c>
      <c r="G897" s="274" t="s">
        <v>2251</v>
      </c>
    </row>
    <row r="898" spans="1:7" ht="17">
      <c r="A898" s="274" t="s">
        <v>2300</v>
      </c>
      <c r="B898" s="274" t="s">
        <v>2301</v>
      </c>
      <c r="C898" s="274" t="s">
        <v>2292</v>
      </c>
      <c r="D898" s="274" t="s">
        <v>2637</v>
      </c>
      <c r="E898" s="275" t="s">
        <v>2360</v>
      </c>
      <c r="F898" s="274" t="s">
        <v>2201</v>
      </c>
      <c r="G898" s="274" t="s">
        <v>2251</v>
      </c>
    </row>
    <row r="899" spans="1:7">
      <c r="A899" s="56" t="s">
        <v>2302</v>
      </c>
      <c r="B899" s="56"/>
      <c r="C899" s="56" t="s">
        <v>2292</v>
      </c>
      <c r="D899" s="56" t="s">
        <v>2637</v>
      </c>
      <c r="E899" s="74" t="s">
        <v>2360</v>
      </c>
      <c r="F899" s="56" t="s">
        <v>2201</v>
      </c>
      <c r="G899" s="56" t="s">
        <v>2251</v>
      </c>
    </row>
    <row r="900" spans="1:7" ht="17">
      <c r="A900" s="274" t="s">
        <v>2303</v>
      </c>
      <c r="B900" s="274"/>
      <c r="C900" s="274" t="s">
        <v>2292</v>
      </c>
      <c r="D900" s="274" t="s">
        <v>2637</v>
      </c>
      <c r="E900" s="275" t="s">
        <v>2360</v>
      </c>
      <c r="F900" s="274" t="s">
        <v>2201</v>
      </c>
      <c r="G900" s="274" t="s">
        <v>2251</v>
      </c>
    </row>
    <row r="901" spans="1:7">
      <c r="A901" s="56" t="s">
        <v>2304</v>
      </c>
      <c r="B901" s="56"/>
      <c r="C901" s="56" t="s">
        <v>2292</v>
      </c>
      <c r="D901" s="56" t="s">
        <v>2637</v>
      </c>
      <c r="E901" s="74" t="s">
        <v>2360</v>
      </c>
      <c r="F901" s="56" t="s">
        <v>2201</v>
      </c>
      <c r="G901" s="56" t="s">
        <v>2251</v>
      </c>
    </row>
    <row r="902" spans="1:7" ht="17">
      <c r="A902" s="75" t="s">
        <v>2641</v>
      </c>
      <c r="B902" s="75"/>
      <c r="C902" s="75"/>
      <c r="D902" s="75"/>
      <c r="E902" s="76"/>
      <c r="F902" s="75"/>
      <c r="G902" s="75"/>
    </row>
    <row r="903" spans="1:7">
      <c r="A903" s="56" t="s">
        <v>2310</v>
      </c>
      <c r="B903" s="56" t="s">
        <v>2291</v>
      </c>
      <c r="C903" s="56" t="s">
        <v>2311</v>
      </c>
      <c r="D903" s="56" t="s">
        <v>2637</v>
      </c>
      <c r="E903" s="74" t="s">
        <v>2373</v>
      </c>
      <c r="F903" s="56" t="s">
        <v>2201</v>
      </c>
      <c r="G903" s="56" t="s">
        <v>2251</v>
      </c>
    </row>
    <row r="904" spans="1:7" ht="17">
      <c r="A904" s="274" t="s">
        <v>2313</v>
      </c>
      <c r="B904" s="274" t="s">
        <v>2291</v>
      </c>
      <c r="C904" s="274" t="s">
        <v>2292</v>
      </c>
      <c r="D904" s="274" t="s">
        <v>2637</v>
      </c>
      <c r="E904" s="275" t="s">
        <v>2360</v>
      </c>
      <c r="F904" s="274" t="s">
        <v>2201</v>
      </c>
      <c r="G904" s="274" t="s">
        <v>2251</v>
      </c>
    </row>
    <row r="905" spans="1:7">
      <c r="A905" s="56" t="s">
        <v>2314</v>
      </c>
      <c r="B905" s="56" t="s">
        <v>2291</v>
      </c>
      <c r="C905" s="56" t="s">
        <v>2292</v>
      </c>
      <c r="D905" s="56" t="s">
        <v>2637</v>
      </c>
      <c r="E905" s="74" t="s">
        <v>2360</v>
      </c>
      <c r="F905" s="56" t="s">
        <v>2201</v>
      </c>
      <c r="G905" s="56" t="s">
        <v>2251</v>
      </c>
    </row>
    <row r="906" spans="1:7" ht="17">
      <c r="A906" s="75" t="s">
        <v>2642</v>
      </c>
      <c r="B906" s="75"/>
      <c r="C906" s="75"/>
      <c r="D906" s="75"/>
      <c r="E906" s="76"/>
      <c r="F906" s="75"/>
      <c r="G906" s="75"/>
    </row>
    <row r="907" spans="1:7" ht="17">
      <c r="A907" s="274" t="s">
        <v>2375</v>
      </c>
      <c r="B907" s="274"/>
      <c r="C907" s="274" t="s">
        <v>2376</v>
      </c>
      <c r="D907" s="274" t="s">
        <v>2637</v>
      </c>
      <c r="E907" s="275" t="s">
        <v>552</v>
      </c>
      <c r="F907" s="274" t="s">
        <v>503</v>
      </c>
      <c r="G907" s="274" t="s">
        <v>2251</v>
      </c>
    </row>
    <row r="908" spans="1:7">
      <c r="A908" s="56" t="s">
        <v>2316</v>
      </c>
      <c r="B908" s="56" t="s">
        <v>2291</v>
      </c>
      <c r="C908" s="56" t="s">
        <v>2292</v>
      </c>
      <c r="D908" s="56" t="s">
        <v>2637</v>
      </c>
      <c r="E908" s="74" t="s">
        <v>2360</v>
      </c>
      <c r="F908" s="56" t="s">
        <v>2201</v>
      </c>
      <c r="G908" s="56" t="s">
        <v>2251</v>
      </c>
    </row>
    <row r="909" spans="1:7" ht="17">
      <c r="A909" s="75" t="s">
        <v>2643</v>
      </c>
      <c r="B909" s="75"/>
      <c r="C909" s="75"/>
      <c r="D909" s="75"/>
      <c r="E909" s="76"/>
      <c r="F909" s="75"/>
      <c r="G909" s="75"/>
    </row>
    <row r="910" spans="1:7" ht="17">
      <c r="A910" s="274" t="s">
        <v>2378</v>
      </c>
      <c r="B910" s="274" t="s">
        <v>2379</v>
      </c>
      <c r="C910" s="274" t="s">
        <v>552</v>
      </c>
      <c r="D910" s="274" t="s">
        <v>2637</v>
      </c>
      <c r="E910" s="275" t="s">
        <v>552</v>
      </c>
      <c r="F910" s="274" t="s">
        <v>503</v>
      </c>
      <c r="G910" s="274" t="s">
        <v>2380</v>
      </c>
    </row>
    <row r="911" spans="1:7" ht="17">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
      <c r="A913" s="274" t="s">
        <v>2327</v>
      </c>
      <c r="B913" s="274" t="s">
        <v>2325</v>
      </c>
      <c r="C913" s="274"/>
      <c r="D913" s="274" t="s">
        <v>2249</v>
      </c>
      <c r="E913" s="275"/>
      <c r="F913" s="274" t="s">
        <v>2326</v>
      </c>
      <c r="G913" s="274" t="s">
        <v>2251</v>
      </c>
    </row>
    <row r="914" spans="1:7" ht="17">
      <c r="A914" s="274" t="s">
        <v>2328</v>
      </c>
      <c r="B914" s="274" t="s">
        <v>2325</v>
      </c>
      <c r="C914" s="274" t="s">
        <v>2329</v>
      </c>
      <c r="D914" s="274" t="s">
        <v>2249</v>
      </c>
      <c r="E914" s="275"/>
      <c r="F914" s="274" t="s">
        <v>2330</v>
      </c>
      <c r="G914" s="274" t="s">
        <v>2331</v>
      </c>
    </row>
    <row r="915" spans="1:7" ht="17">
      <c r="A915" s="75" t="s">
        <v>2644</v>
      </c>
      <c r="B915" s="75"/>
      <c r="C915" s="75"/>
      <c r="D915" s="75"/>
      <c r="E915" s="76"/>
      <c r="F915" s="75"/>
      <c r="G915" s="75"/>
    </row>
    <row r="916" spans="1:7" ht="17">
      <c r="A916" s="274" t="s">
        <v>2334</v>
      </c>
      <c r="B916" s="274" t="s">
        <v>2291</v>
      </c>
      <c r="C916" s="274" t="s">
        <v>2311</v>
      </c>
      <c r="D916" s="274" t="s">
        <v>2249</v>
      </c>
      <c r="E916" s="275"/>
      <c r="F916" s="274" t="s">
        <v>2335</v>
      </c>
      <c r="G916" s="274" t="s">
        <v>2335</v>
      </c>
    </row>
    <row r="917" spans="1:7">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
      <c r="A919" s="274" t="s">
        <v>2336</v>
      </c>
      <c r="B919" s="274" t="s">
        <v>2291</v>
      </c>
      <c r="C919" s="274" t="s">
        <v>552</v>
      </c>
      <c r="D919" s="274" t="s">
        <v>2637</v>
      </c>
      <c r="E919" s="275" t="s">
        <v>552</v>
      </c>
      <c r="F919" s="274" t="s">
        <v>503</v>
      </c>
      <c r="G919" s="274" t="s">
        <v>2337</v>
      </c>
    </row>
    <row r="920" spans="1:7" ht="17">
      <c r="A920" s="274" t="s">
        <v>2386</v>
      </c>
      <c r="B920" s="274" t="s">
        <v>2291</v>
      </c>
      <c r="C920" s="274" t="s">
        <v>552</v>
      </c>
      <c r="D920" s="274" t="s">
        <v>2637</v>
      </c>
      <c r="E920" s="275" t="s">
        <v>552</v>
      </c>
      <c r="F920" s="274" t="s">
        <v>503</v>
      </c>
      <c r="G920" s="274" t="s">
        <v>2387</v>
      </c>
    </row>
    <row r="921" spans="1:7" ht="17">
      <c r="A921" s="75" t="s">
        <v>2645</v>
      </c>
      <c r="B921" s="75"/>
      <c r="C921" s="75"/>
      <c r="D921" s="75"/>
      <c r="E921" s="76"/>
      <c r="F921" s="75"/>
      <c r="G921" s="75"/>
    </row>
    <row r="922" spans="1:7">
      <c r="A922" s="56" t="s">
        <v>2389</v>
      </c>
      <c r="B922" s="56"/>
      <c r="C922" s="56" t="s">
        <v>552</v>
      </c>
      <c r="D922" s="56" t="s">
        <v>2637</v>
      </c>
      <c r="E922" s="74" t="s">
        <v>552</v>
      </c>
      <c r="F922" s="56" t="s">
        <v>503</v>
      </c>
      <c r="G922" s="56" t="s">
        <v>2251</v>
      </c>
    </row>
    <row r="923" spans="1:7" ht="17">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
      <c r="A925" s="274" t="s">
        <v>2348</v>
      </c>
      <c r="B925" s="274"/>
      <c r="C925" s="274" t="s">
        <v>2292</v>
      </c>
      <c r="D925" s="274" t="s">
        <v>2637</v>
      </c>
      <c r="E925" s="275" t="s">
        <v>2360</v>
      </c>
      <c r="F925" s="274" t="s">
        <v>2201</v>
      </c>
      <c r="G925" s="274" t="s">
        <v>2251</v>
      </c>
    </row>
    <row r="926" spans="1:7" ht="17">
      <c r="A926" s="75" t="s">
        <v>2647</v>
      </c>
      <c r="B926" s="75"/>
      <c r="C926" s="75"/>
      <c r="D926" s="75"/>
      <c r="E926" s="76"/>
      <c r="F926" s="75"/>
      <c r="G926" s="75"/>
    </row>
    <row r="927" spans="1:7">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
      <c r="A935" s="274" t="s">
        <v>2260</v>
      </c>
      <c r="B935" s="274" t="s">
        <v>2257</v>
      </c>
      <c r="C935" s="274"/>
      <c r="D935" s="274" t="s">
        <v>2249</v>
      </c>
      <c r="E935" s="275"/>
      <c r="F935" s="274" t="s">
        <v>2250</v>
      </c>
      <c r="G935" s="274" t="s">
        <v>2251</v>
      </c>
    </row>
    <row r="936" spans="1:7">
      <c r="A936" s="56" t="s">
        <v>2261</v>
      </c>
      <c r="B936" s="56" t="s">
        <v>2248</v>
      </c>
      <c r="C936" s="56"/>
      <c r="D936" s="56" t="s">
        <v>2249</v>
      </c>
      <c r="E936" s="74"/>
      <c r="F936" s="56" t="s">
        <v>2250</v>
      </c>
      <c r="G936" s="56" t="s">
        <v>2251</v>
      </c>
    </row>
    <row r="937" spans="1:7" ht="17">
      <c r="A937" s="274" t="s">
        <v>2262</v>
      </c>
      <c r="B937" s="274" t="s">
        <v>2248</v>
      </c>
      <c r="C937" s="274"/>
      <c r="D937" s="274" t="s">
        <v>2249</v>
      </c>
      <c r="E937" s="275"/>
      <c r="F937" s="274" t="s">
        <v>2255</v>
      </c>
      <c r="G937" s="274" t="s">
        <v>2251</v>
      </c>
    </row>
    <row r="938" spans="1:7">
      <c r="A938" s="56" t="s">
        <v>2263</v>
      </c>
      <c r="B938" s="56" t="s">
        <v>2248</v>
      </c>
      <c r="C938" s="56"/>
      <c r="D938" s="56" t="s">
        <v>2249</v>
      </c>
      <c r="E938" s="74"/>
      <c r="F938" s="56" t="s">
        <v>2255</v>
      </c>
      <c r="G938" s="56" t="s">
        <v>2251</v>
      </c>
    </row>
    <row r="939" spans="1:7" ht="17">
      <c r="A939" s="274" t="s">
        <v>2264</v>
      </c>
      <c r="B939" s="274" t="s">
        <v>2248</v>
      </c>
      <c r="C939" s="274"/>
      <c r="D939" s="274" t="s">
        <v>2249</v>
      </c>
      <c r="E939" s="275"/>
      <c r="F939" s="274" t="s">
        <v>2255</v>
      </c>
      <c r="G939" s="274" t="s">
        <v>2251</v>
      </c>
    </row>
    <row r="940" spans="1:7" ht="17">
      <c r="A940" s="274" t="s">
        <v>2265</v>
      </c>
      <c r="B940" s="274" t="s">
        <v>2257</v>
      </c>
      <c r="C940" s="274"/>
      <c r="D940" s="274" t="s">
        <v>2249</v>
      </c>
      <c r="E940" s="275"/>
      <c r="F940" s="274" t="s">
        <v>2255</v>
      </c>
      <c r="G940" s="274" t="s">
        <v>2251</v>
      </c>
    </row>
    <row r="941" spans="1:7">
      <c r="A941" s="56" t="s">
        <v>2291</v>
      </c>
      <c r="B941" s="56" t="s">
        <v>2291</v>
      </c>
      <c r="C941" s="56" t="s">
        <v>2292</v>
      </c>
      <c r="D941" s="56" t="s">
        <v>2648</v>
      </c>
      <c r="E941" s="74" t="s">
        <v>2293</v>
      </c>
      <c r="F941" s="56" t="s">
        <v>2215</v>
      </c>
      <c r="G941" s="56" t="s">
        <v>2575</v>
      </c>
    </row>
    <row r="942" spans="1:7" ht="17">
      <c r="A942" s="75" t="s">
        <v>2650</v>
      </c>
      <c r="B942" s="75"/>
      <c r="C942" s="75"/>
      <c r="D942" s="75"/>
      <c r="E942" s="76"/>
      <c r="F942" s="75"/>
      <c r="G942" s="75"/>
    </row>
    <row r="943" spans="1:7">
      <c r="A943" s="56" t="s">
        <v>2291</v>
      </c>
      <c r="B943" s="56" t="s">
        <v>2291</v>
      </c>
      <c r="C943" s="56" t="s">
        <v>2292</v>
      </c>
      <c r="D943" s="56" t="s">
        <v>2648</v>
      </c>
      <c r="E943" s="74" t="s">
        <v>2293</v>
      </c>
      <c r="F943" s="56" t="s">
        <v>2215</v>
      </c>
      <c r="G943" s="56" t="s">
        <v>2573</v>
      </c>
    </row>
    <row r="944" spans="1:7" ht="17">
      <c r="A944" s="75" t="s">
        <v>2651</v>
      </c>
      <c r="B944" s="75"/>
      <c r="C944" s="75"/>
      <c r="D944" s="75"/>
      <c r="E944" s="76"/>
      <c r="F944" s="75"/>
      <c r="G944" s="75"/>
    </row>
    <row r="945" spans="1:7" ht="17">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
      <c r="A947" s="75" t="s">
        <v>2652</v>
      </c>
      <c r="B947" s="75"/>
      <c r="C947" s="75"/>
      <c r="D947" s="75"/>
      <c r="E947" s="76"/>
      <c r="F947" s="75"/>
      <c r="G947" s="75"/>
    </row>
    <row r="948" spans="1:7">
      <c r="A948" s="56" t="s">
        <v>2291</v>
      </c>
      <c r="B948" s="56" t="s">
        <v>2291</v>
      </c>
      <c r="C948" s="56" t="s">
        <v>2292</v>
      </c>
      <c r="D948" s="56" t="s">
        <v>2648</v>
      </c>
      <c r="E948" s="74" t="s">
        <v>2293</v>
      </c>
      <c r="F948" s="56" t="s">
        <v>2215</v>
      </c>
      <c r="G948" s="56" t="s">
        <v>2575</v>
      </c>
    </row>
    <row r="949" spans="1:7" ht="17">
      <c r="A949" s="75" t="s">
        <v>2653</v>
      </c>
      <c r="B949" s="75"/>
      <c r="C949" s="75"/>
      <c r="D949" s="75"/>
      <c r="E949" s="76"/>
      <c r="F949" s="75"/>
      <c r="G949" s="75"/>
    </row>
    <row r="950" spans="1:7">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
      <c r="A954" s="274" t="s">
        <v>2272</v>
      </c>
      <c r="B954" s="274" t="s">
        <v>2248</v>
      </c>
      <c r="C954" s="274"/>
      <c r="D954" s="274" t="s">
        <v>2249</v>
      </c>
      <c r="E954" s="275"/>
      <c r="F954" s="274" t="s">
        <v>2250</v>
      </c>
      <c r="G954" s="274" t="s">
        <v>2251</v>
      </c>
    </row>
    <row r="955" spans="1:7">
      <c r="A955" s="56" t="s">
        <v>2273</v>
      </c>
      <c r="B955" s="56" t="s">
        <v>2248</v>
      </c>
      <c r="C955" s="56"/>
      <c r="D955" s="56" t="s">
        <v>2249</v>
      </c>
      <c r="E955" s="74"/>
      <c r="F955" s="56" t="s">
        <v>2250</v>
      </c>
      <c r="G955" s="56" t="s">
        <v>2251</v>
      </c>
    </row>
    <row r="956" spans="1:7" ht="17">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
      <c r="A958" s="274" t="s">
        <v>2276</v>
      </c>
      <c r="B958" s="274" t="s">
        <v>2248</v>
      </c>
      <c r="C958" s="274"/>
      <c r="D958" s="274" t="s">
        <v>2249</v>
      </c>
      <c r="E958" s="275"/>
      <c r="F958" s="274" t="s">
        <v>2250</v>
      </c>
      <c r="G958" s="274" t="s">
        <v>2251</v>
      </c>
    </row>
    <row r="959" spans="1:7" ht="17">
      <c r="A959" s="75" t="s">
        <v>2654</v>
      </c>
      <c r="B959" s="75"/>
      <c r="C959" s="75"/>
      <c r="D959" s="75"/>
      <c r="E959" s="76"/>
      <c r="F959" s="75"/>
      <c r="G959" s="75"/>
    </row>
    <row r="960" spans="1:7" ht="17">
      <c r="A960" s="274" t="s">
        <v>2291</v>
      </c>
      <c r="B960" s="274" t="s">
        <v>2291</v>
      </c>
      <c r="C960" s="274" t="s">
        <v>2292</v>
      </c>
      <c r="D960" s="274" t="s">
        <v>2648</v>
      </c>
      <c r="E960" s="275" t="s">
        <v>2293</v>
      </c>
      <c r="F960" s="274" t="s">
        <v>2215</v>
      </c>
      <c r="G960" s="274" t="s">
        <v>2575</v>
      </c>
    </row>
    <row r="961" spans="1:7">
      <c r="A961" s="56" t="s">
        <v>2278</v>
      </c>
      <c r="B961" s="56" t="s">
        <v>2279</v>
      </c>
      <c r="C961" s="56"/>
      <c r="D961" s="56" t="s">
        <v>2249</v>
      </c>
      <c r="E961" s="74"/>
      <c r="F961" s="56" t="s">
        <v>2280</v>
      </c>
      <c r="G961" s="56" t="s">
        <v>2251</v>
      </c>
    </row>
    <row r="962" spans="1:7">
      <c r="A962" s="56" t="s">
        <v>2281</v>
      </c>
      <c r="B962" s="56" t="s">
        <v>2248</v>
      </c>
      <c r="C962" s="56"/>
      <c r="D962" s="56" t="s">
        <v>2249</v>
      </c>
      <c r="E962" s="74"/>
      <c r="F962" s="56" t="s">
        <v>2250</v>
      </c>
      <c r="G962" s="56" t="s">
        <v>2251</v>
      </c>
    </row>
    <row r="963" spans="1:7" ht="17">
      <c r="A963" s="75" t="s">
        <v>2655</v>
      </c>
      <c r="B963" s="75"/>
      <c r="C963" s="75"/>
      <c r="D963" s="75"/>
      <c r="E963" s="76"/>
      <c r="F963" s="75"/>
      <c r="G963" s="75"/>
    </row>
    <row r="964" spans="1:7">
      <c r="A964" s="56" t="s">
        <v>2291</v>
      </c>
      <c r="B964" s="56" t="s">
        <v>2291</v>
      </c>
      <c r="C964" s="56" t="s">
        <v>2292</v>
      </c>
      <c r="D964" s="56" t="s">
        <v>2648</v>
      </c>
      <c r="E964" s="74" t="s">
        <v>2293</v>
      </c>
      <c r="F964" s="56" t="s">
        <v>2215</v>
      </c>
      <c r="G964" s="56" t="s">
        <v>2575</v>
      </c>
    </row>
    <row r="965" spans="1:7" ht="17">
      <c r="A965" s="75" t="s">
        <v>2656</v>
      </c>
      <c r="B965" s="75"/>
      <c r="C965" s="75"/>
      <c r="D965" s="75"/>
      <c r="E965" s="76"/>
      <c r="F965" s="75"/>
      <c r="G965" s="75"/>
    </row>
    <row r="966" spans="1:7">
      <c r="A966" s="56" t="s">
        <v>2283</v>
      </c>
      <c r="B966" s="56" t="s">
        <v>2284</v>
      </c>
      <c r="C966" s="56" t="s">
        <v>2285</v>
      </c>
      <c r="D966" s="56" t="s">
        <v>2657</v>
      </c>
      <c r="E966" s="74" t="s">
        <v>2287</v>
      </c>
      <c r="F966" s="56" t="s">
        <v>2215</v>
      </c>
      <c r="G966" s="56" t="s">
        <v>2288</v>
      </c>
    </row>
    <row r="967" spans="1:7" ht="17">
      <c r="A967" s="75" t="s">
        <v>2658</v>
      </c>
      <c r="B967" s="75"/>
      <c r="C967" s="75"/>
      <c r="D967" s="75"/>
      <c r="E967" s="76"/>
      <c r="F967" s="75"/>
      <c r="G967" s="75"/>
    </row>
    <row r="968" spans="1:7">
      <c r="A968" s="56" t="s">
        <v>2290</v>
      </c>
      <c r="B968" s="56" t="s">
        <v>2291</v>
      </c>
      <c r="C968" s="56" t="s">
        <v>2292</v>
      </c>
      <c r="D968" s="56" t="s">
        <v>2657</v>
      </c>
      <c r="E968" s="74" t="s">
        <v>2293</v>
      </c>
      <c r="F968" s="56" t="s">
        <v>2215</v>
      </c>
      <c r="G968" s="56" t="s">
        <v>2251</v>
      </c>
    </row>
    <row r="969" spans="1:7" ht="17">
      <c r="A969" s="75" t="s">
        <v>2659</v>
      </c>
      <c r="B969" s="75"/>
      <c r="C969" s="75"/>
      <c r="D969" s="75"/>
      <c r="E969" s="76"/>
      <c r="F969" s="75"/>
      <c r="G969" s="75"/>
    </row>
    <row r="970" spans="1:7" ht="17">
      <c r="A970" s="274" t="s">
        <v>2295</v>
      </c>
      <c r="B970" s="274" t="s">
        <v>2296</v>
      </c>
      <c r="C970" s="274" t="s">
        <v>2297</v>
      </c>
      <c r="D970" s="274" t="s">
        <v>2657</v>
      </c>
      <c r="E970" s="275" t="s">
        <v>2293</v>
      </c>
      <c r="F970" s="274" t="s">
        <v>2215</v>
      </c>
      <c r="G970" s="274" t="s">
        <v>2251</v>
      </c>
    </row>
    <row r="971" spans="1:7">
      <c r="A971" s="56" t="s">
        <v>2298</v>
      </c>
      <c r="B971" s="56" t="s">
        <v>2296</v>
      </c>
      <c r="C971" s="56" t="s">
        <v>2292</v>
      </c>
      <c r="D971" s="56" t="s">
        <v>2657</v>
      </c>
      <c r="E971" s="74" t="s">
        <v>2293</v>
      </c>
      <c r="F971" s="56" t="s">
        <v>2215</v>
      </c>
      <c r="G971" s="56" t="s">
        <v>2251</v>
      </c>
    </row>
    <row r="972" spans="1:7" ht="17">
      <c r="A972" s="274" t="s">
        <v>2299</v>
      </c>
      <c r="B972" s="274" t="s">
        <v>2296</v>
      </c>
      <c r="C972" s="274" t="s">
        <v>2292</v>
      </c>
      <c r="D972" s="274" t="s">
        <v>2657</v>
      </c>
      <c r="E972" s="275" t="s">
        <v>2293</v>
      </c>
      <c r="F972" s="274" t="s">
        <v>2215</v>
      </c>
      <c r="G972" s="274" t="s">
        <v>2251</v>
      </c>
    </row>
    <row r="973" spans="1:7">
      <c r="A973" s="56" t="s">
        <v>2300</v>
      </c>
      <c r="B973" s="56" t="s">
        <v>2301</v>
      </c>
      <c r="C973" s="56" t="s">
        <v>2292</v>
      </c>
      <c r="D973" s="56" t="s">
        <v>2657</v>
      </c>
      <c r="E973" s="74" t="s">
        <v>2293</v>
      </c>
      <c r="F973" s="56" t="s">
        <v>2215</v>
      </c>
      <c r="G973" s="56" t="s">
        <v>2251</v>
      </c>
    </row>
    <row r="974" spans="1:7">
      <c r="A974" s="56" t="s">
        <v>2302</v>
      </c>
      <c r="B974" s="56"/>
      <c r="C974" s="56" t="s">
        <v>2292</v>
      </c>
      <c r="D974" s="56" t="s">
        <v>2657</v>
      </c>
      <c r="E974" s="74" t="s">
        <v>2293</v>
      </c>
      <c r="F974" s="56" t="s">
        <v>2215</v>
      </c>
      <c r="G974" s="56" t="s">
        <v>2251</v>
      </c>
    </row>
    <row r="975" spans="1:7" ht="17">
      <c r="A975" s="274" t="s">
        <v>2303</v>
      </c>
      <c r="B975" s="274"/>
      <c r="C975" s="274" t="s">
        <v>2292</v>
      </c>
      <c r="D975" s="274" t="s">
        <v>2657</v>
      </c>
      <c r="E975" s="275" t="s">
        <v>2293</v>
      </c>
      <c r="F975" s="274" t="s">
        <v>2215</v>
      </c>
      <c r="G975" s="274" t="s">
        <v>2251</v>
      </c>
    </row>
    <row r="976" spans="1:7">
      <c r="A976" s="56" t="s">
        <v>2304</v>
      </c>
      <c r="B976" s="56"/>
      <c r="C976" s="56" t="s">
        <v>2292</v>
      </c>
      <c r="D976" s="56" t="s">
        <v>2657</v>
      </c>
      <c r="E976" s="74" t="s">
        <v>2293</v>
      </c>
      <c r="F976" s="56" t="s">
        <v>2215</v>
      </c>
      <c r="G976" s="56" t="s">
        <v>2251</v>
      </c>
    </row>
    <row r="977" spans="1:7" ht="17">
      <c r="A977" s="75" t="s">
        <v>2660</v>
      </c>
      <c r="B977" s="75"/>
      <c r="C977" s="75"/>
      <c r="D977" s="75"/>
      <c r="E977" s="76"/>
      <c r="F977" s="75"/>
      <c r="G977" s="75"/>
    </row>
    <row r="978" spans="1:7">
      <c r="A978" s="56" t="s">
        <v>2310</v>
      </c>
      <c r="B978" s="56" t="s">
        <v>2291</v>
      </c>
      <c r="C978" s="56" t="s">
        <v>2311</v>
      </c>
      <c r="D978" s="56" t="s">
        <v>2657</v>
      </c>
      <c r="E978" s="74" t="s">
        <v>2312</v>
      </c>
      <c r="F978" s="56" t="s">
        <v>2215</v>
      </c>
      <c r="G978" s="56" t="s">
        <v>2251</v>
      </c>
    </row>
    <row r="979" spans="1:7">
      <c r="A979" s="56" t="s">
        <v>2313</v>
      </c>
      <c r="B979" s="56" t="s">
        <v>2291</v>
      </c>
      <c r="C979" s="56" t="s">
        <v>2292</v>
      </c>
      <c r="D979" s="56" t="s">
        <v>2657</v>
      </c>
      <c r="E979" s="74" t="s">
        <v>2293</v>
      </c>
      <c r="F979" s="56" t="s">
        <v>2215</v>
      </c>
      <c r="G979" s="56" t="s">
        <v>2251</v>
      </c>
    </row>
    <row r="980" spans="1:7" ht="17">
      <c r="A980" s="274" t="s">
        <v>2314</v>
      </c>
      <c r="B980" s="274" t="s">
        <v>2291</v>
      </c>
      <c r="C980" s="274" t="s">
        <v>2292</v>
      </c>
      <c r="D980" s="274" t="s">
        <v>2657</v>
      </c>
      <c r="E980" s="275" t="s">
        <v>2293</v>
      </c>
      <c r="F980" s="274" t="s">
        <v>2215</v>
      </c>
      <c r="G980" s="274" t="s">
        <v>2251</v>
      </c>
    </row>
    <row r="981" spans="1:7" ht="17">
      <c r="A981" s="75" t="s">
        <v>2661</v>
      </c>
      <c r="B981" s="75"/>
      <c r="C981" s="75"/>
      <c r="D981" s="75"/>
      <c r="E981" s="76"/>
      <c r="F981" s="75"/>
      <c r="G981" s="75"/>
    </row>
    <row r="982" spans="1:7" ht="17">
      <c r="A982" s="274" t="s">
        <v>2316</v>
      </c>
      <c r="B982" s="274" t="s">
        <v>2291</v>
      </c>
      <c r="C982" s="274" t="s">
        <v>2292</v>
      </c>
      <c r="D982" s="274" t="s">
        <v>2657</v>
      </c>
      <c r="E982" s="275" t="s">
        <v>2293</v>
      </c>
      <c r="F982" s="274" t="s">
        <v>2215</v>
      </c>
      <c r="G982" s="274" t="s">
        <v>2251</v>
      </c>
    </row>
    <row r="983" spans="1:7" ht="17">
      <c r="A983" s="75" t="s">
        <v>2662</v>
      </c>
      <c r="B983" s="75"/>
      <c r="C983" s="75"/>
      <c r="D983" s="75"/>
      <c r="E983" s="76"/>
      <c r="F983" s="75"/>
      <c r="G983" s="75"/>
    </row>
    <row r="984" spans="1:7">
      <c r="A984" s="56" t="s">
        <v>2381</v>
      </c>
      <c r="B984" s="56" t="s">
        <v>2382</v>
      </c>
      <c r="C984" s="56" t="s">
        <v>2383</v>
      </c>
      <c r="D984" s="56" t="s">
        <v>2657</v>
      </c>
      <c r="E984" s="74" t="s">
        <v>2663</v>
      </c>
      <c r="F984" s="56" t="s">
        <v>2049</v>
      </c>
      <c r="G984" s="56" t="s">
        <v>2384</v>
      </c>
    </row>
    <row r="985" spans="1:7">
      <c r="A985" s="56" t="s">
        <v>2318</v>
      </c>
      <c r="B985" s="56" t="s">
        <v>2319</v>
      </c>
      <c r="C985" s="56" t="s">
        <v>2285</v>
      </c>
      <c r="D985" s="56" t="s">
        <v>2657</v>
      </c>
      <c r="E985" s="74" t="s">
        <v>2287</v>
      </c>
      <c r="F985" s="56" t="s">
        <v>2215</v>
      </c>
      <c r="G985" s="56" t="s">
        <v>2320</v>
      </c>
    </row>
    <row r="986" spans="1:7">
      <c r="A986" s="56" t="s">
        <v>2321</v>
      </c>
      <c r="B986" s="56" t="s">
        <v>2322</v>
      </c>
      <c r="C986" s="56" t="s">
        <v>2285</v>
      </c>
      <c r="D986" s="56" t="s">
        <v>2657</v>
      </c>
      <c r="E986" s="74" t="s">
        <v>2287</v>
      </c>
      <c r="F986" s="56" t="s">
        <v>2215</v>
      </c>
      <c r="G986" s="56" t="s">
        <v>2323</v>
      </c>
    </row>
    <row r="987" spans="1:7" ht="17">
      <c r="A987" s="274" t="s">
        <v>2324</v>
      </c>
      <c r="B987" s="274" t="s">
        <v>2325</v>
      </c>
      <c r="C987" s="274"/>
      <c r="D987" s="274" t="s">
        <v>2249</v>
      </c>
      <c r="E987" s="275"/>
      <c r="F987" s="274" t="s">
        <v>2326</v>
      </c>
      <c r="G987" s="274" t="s">
        <v>2251</v>
      </c>
    </row>
    <row r="988" spans="1:7">
      <c r="A988" s="56" t="s">
        <v>2327</v>
      </c>
      <c r="B988" s="56" t="s">
        <v>2325</v>
      </c>
      <c r="C988" s="56"/>
      <c r="D988" s="56" t="s">
        <v>2249</v>
      </c>
      <c r="E988" s="74"/>
      <c r="F988" s="56" t="s">
        <v>2326</v>
      </c>
      <c r="G988" s="56" t="s">
        <v>2251</v>
      </c>
    </row>
    <row r="989" spans="1:7" ht="17">
      <c r="A989" s="274" t="s">
        <v>2328</v>
      </c>
      <c r="B989" s="274" t="s">
        <v>2325</v>
      </c>
      <c r="C989" s="274" t="s">
        <v>2329</v>
      </c>
      <c r="D989" s="274" t="s">
        <v>2249</v>
      </c>
      <c r="E989" s="275"/>
      <c r="F989" s="274" t="s">
        <v>2330</v>
      </c>
      <c r="G989" s="274" t="s">
        <v>2331</v>
      </c>
    </row>
    <row r="990" spans="1:7" ht="17">
      <c r="A990" s="75" t="s">
        <v>2664</v>
      </c>
      <c r="B990" s="75"/>
      <c r="C990" s="75"/>
      <c r="D990" s="75"/>
      <c r="E990" s="76"/>
      <c r="F990" s="75"/>
      <c r="G990" s="75"/>
    </row>
    <row r="991" spans="1:7" ht="17">
      <c r="A991" s="274" t="s">
        <v>2333</v>
      </c>
      <c r="B991" s="274" t="s">
        <v>2291</v>
      </c>
      <c r="C991" s="274" t="s">
        <v>2285</v>
      </c>
      <c r="D991" s="274" t="s">
        <v>2657</v>
      </c>
      <c r="E991" s="275" t="s">
        <v>2287</v>
      </c>
      <c r="F991" s="274" t="s">
        <v>2215</v>
      </c>
      <c r="G991" s="274" t="s">
        <v>2251</v>
      </c>
    </row>
    <row r="992" spans="1:7">
      <c r="A992" s="56" t="s">
        <v>2334</v>
      </c>
      <c r="B992" s="56" t="s">
        <v>2291</v>
      </c>
      <c r="C992" s="56" t="s">
        <v>2311</v>
      </c>
      <c r="D992" s="56" t="s">
        <v>2249</v>
      </c>
      <c r="E992" s="74"/>
      <c r="F992" s="56" t="s">
        <v>2335</v>
      </c>
      <c r="G992" s="56" t="s">
        <v>2335</v>
      </c>
    </row>
    <row r="993" spans="1:7" ht="17">
      <c r="A993" s="274" t="s">
        <v>2334</v>
      </c>
      <c r="B993" s="274" t="s">
        <v>2291</v>
      </c>
      <c r="C993" s="274" t="s">
        <v>2311</v>
      </c>
      <c r="D993" s="274" t="s">
        <v>2657</v>
      </c>
      <c r="E993" s="275" t="s">
        <v>2312</v>
      </c>
      <c r="F993" s="274" t="s">
        <v>2215</v>
      </c>
      <c r="G993" s="274" t="s">
        <v>2335</v>
      </c>
    </row>
    <row r="994" spans="1:7">
      <c r="A994" s="56" t="s">
        <v>2336</v>
      </c>
      <c r="B994" s="56" t="s">
        <v>2291</v>
      </c>
      <c r="C994" s="56" t="s">
        <v>552</v>
      </c>
      <c r="D994" s="56" t="s">
        <v>2249</v>
      </c>
      <c r="E994" s="74"/>
      <c r="F994" s="56" t="s">
        <v>2337</v>
      </c>
      <c r="G994" s="56" t="s">
        <v>2337</v>
      </c>
    </row>
    <row r="995" spans="1:7" ht="17">
      <c r="A995" s="75" t="s">
        <v>2665</v>
      </c>
      <c r="B995" s="75"/>
      <c r="C995" s="75"/>
      <c r="D995" s="75"/>
      <c r="E995" s="76"/>
      <c r="F995" s="75"/>
      <c r="G995" s="75"/>
    </row>
    <row r="996" spans="1:7" ht="17">
      <c r="A996" s="274" t="s">
        <v>2339</v>
      </c>
      <c r="B996" s="274"/>
      <c r="C996" s="274" t="s">
        <v>2285</v>
      </c>
      <c r="D996" s="274" t="s">
        <v>2657</v>
      </c>
      <c r="E996" s="275" t="s">
        <v>2287</v>
      </c>
      <c r="F996" s="274" t="s">
        <v>2215</v>
      </c>
      <c r="G996" s="274" t="s">
        <v>2340</v>
      </c>
    </row>
    <row r="997" spans="1:7">
      <c r="A997" s="56" t="s">
        <v>2341</v>
      </c>
      <c r="B997" s="56" t="s">
        <v>2342</v>
      </c>
      <c r="C997" s="56" t="s">
        <v>2343</v>
      </c>
      <c r="D997" s="56" t="s">
        <v>2249</v>
      </c>
      <c r="E997" s="74"/>
      <c r="F997" s="56" t="s">
        <v>2250</v>
      </c>
      <c r="G997" s="56" t="s">
        <v>2344</v>
      </c>
    </row>
    <row r="998" spans="1:7" ht="17">
      <c r="A998" s="274" t="s">
        <v>2345</v>
      </c>
      <c r="B998" s="274" t="s">
        <v>2346</v>
      </c>
      <c r="C998" s="274" t="s">
        <v>2285</v>
      </c>
      <c r="D998" s="274" t="s">
        <v>2657</v>
      </c>
      <c r="E998" s="275" t="s">
        <v>2287</v>
      </c>
      <c r="F998" s="274" t="s">
        <v>2215</v>
      </c>
      <c r="G998" s="274" t="s">
        <v>2347</v>
      </c>
    </row>
    <row r="999" spans="1:7">
      <c r="A999" s="56" t="s">
        <v>2348</v>
      </c>
      <c r="B999" s="56"/>
      <c r="C999" s="56" t="s">
        <v>2292</v>
      </c>
      <c r="D999" s="56" t="s">
        <v>2657</v>
      </c>
      <c r="E999" s="74" t="s">
        <v>2293</v>
      </c>
      <c r="F999" s="56" t="s">
        <v>2215</v>
      </c>
      <c r="G999" s="56" t="s">
        <v>2251</v>
      </c>
    </row>
    <row r="1000" spans="1:7" ht="17">
      <c r="A1000" s="75" t="s">
        <v>2666</v>
      </c>
      <c r="B1000" s="75"/>
      <c r="C1000" s="75"/>
      <c r="D1000" s="75"/>
      <c r="E1000" s="76"/>
      <c r="F1000" s="75"/>
      <c r="G1000" s="75"/>
    </row>
    <row r="1001" spans="1:7">
      <c r="A1001" s="56" t="s">
        <v>2291</v>
      </c>
      <c r="B1001" s="56" t="s">
        <v>2291</v>
      </c>
      <c r="C1001" s="56" t="s">
        <v>2292</v>
      </c>
      <c r="D1001" s="56" t="s">
        <v>2667</v>
      </c>
      <c r="E1001" s="74" t="s">
        <v>2293</v>
      </c>
      <c r="F1001" s="56" t="s">
        <v>2228</v>
      </c>
      <c r="G1001" s="56" t="s">
        <v>2573</v>
      </c>
    </row>
    <row r="1002" spans="1:7">
      <c r="A1002" s="56" t="s">
        <v>2247</v>
      </c>
      <c r="B1002" s="56" t="s">
        <v>2248</v>
      </c>
      <c r="C1002" s="56"/>
      <c r="D1002" s="56" t="s">
        <v>2249</v>
      </c>
      <c r="E1002" s="74"/>
      <c r="F1002" s="56" t="s">
        <v>2250</v>
      </c>
      <c r="G1002" s="56" t="s">
        <v>2251</v>
      </c>
    </row>
    <row r="1003" spans="1:7">
      <c r="A1003" s="56" t="s">
        <v>2252</v>
      </c>
      <c r="B1003" s="56" t="s">
        <v>2248</v>
      </c>
      <c r="C1003" s="56"/>
      <c r="D1003" s="56" t="s">
        <v>2249</v>
      </c>
      <c r="E1003" s="74"/>
      <c r="F1003" s="56" t="s">
        <v>2250</v>
      </c>
      <c r="G1003" s="56" t="s">
        <v>2251</v>
      </c>
    </row>
    <row r="1004" spans="1:7" ht="17">
      <c r="A1004" s="75" t="s">
        <v>2668</v>
      </c>
      <c r="B1004" s="75"/>
      <c r="C1004" s="75"/>
      <c r="D1004" s="75"/>
      <c r="E1004" s="76"/>
      <c r="F1004" s="75"/>
      <c r="G1004" s="75"/>
    </row>
    <row r="1005" spans="1:7" ht="17">
      <c r="A1005" s="274" t="s">
        <v>2254</v>
      </c>
      <c r="B1005" s="274" t="s">
        <v>2248</v>
      </c>
      <c r="C1005" s="274"/>
      <c r="D1005" s="274" t="s">
        <v>2249</v>
      </c>
      <c r="E1005" s="275"/>
      <c r="F1005" s="274" t="s">
        <v>2255</v>
      </c>
      <c r="G1005" s="274" t="s">
        <v>2251</v>
      </c>
    </row>
    <row r="1006" spans="1:7">
      <c r="A1006" s="56" t="s">
        <v>2256</v>
      </c>
      <c r="B1006" s="56" t="s">
        <v>2257</v>
      </c>
      <c r="C1006" s="56"/>
      <c r="D1006" s="56" t="s">
        <v>2249</v>
      </c>
      <c r="E1006" s="74"/>
      <c r="F1006" s="56" t="s">
        <v>2250</v>
      </c>
      <c r="G1006" s="56" t="s">
        <v>2251</v>
      </c>
    </row>
    <row r="1007" spans="1:7" ht="17">
      <c r="A1007" s="274" t="s">
        <v>2258</v>
      </c>
      <c r="B1007" s="274" t="s">
        <v>2257</v>
      </c>
      <c r="C1007" s="274"/>
      <c r="D1007" s="274" t="s">
        <v>2249</v>
      </c>
      <c r="E1007" s="275"/>
      <c r="F1007" s="274" t="s">
        <v>2250</v>
      </c>
      <c r="G1007" s="274" t="s">
        <v>2251</v>
      </c>
    </row>
    <row r="1008" spans="1:7">
      <c r="A1008" s="56" t="s">
        <v>2259</v>
      </c>
      <c r="B1008" s="56" t="s">
        <v>2248</v>
      </c>
      <c r="C1008" s="56"/>
      <c r="D1008" s="56" t="s">
        <v>2249</v>
      </c>
      <c r="E1008" s="74"/>
      <c r="F1008" s="56" t="s">
        <v>2255</v>
      </c>
      <c r="G1008" s="56" t="s">
        <v>2251</v>
      </c>
    </row>
    <row r="1009" spans="1:7" ht="17">
      <c r="A1009" s="274" t="s">
        <v>2260</v>
      </c>
      <c r="B1009" s="274" t="s">
        <v>2257</v>
      </c>
      <c r="C1009" s="274"/>
      <c r="D1009" s="274" t="s">
        <v>2249</v>
      </c>
      <c r="E1009" s="275"/>
      <c r="F1009" s="274" t="s">
        <v>2250</v>
      </c>
      <c r="G1009" s="274" t="s">
        <v>2251</v>
      </c>
    </row>
    <row r="1010" spans="1:7">
      <c r="A1010" s="56" t="s">
        <v>2261</v>
      </c>
      <c r="B1010" s="56" t="s">
        <v>2248</v>
      </c>
      <c r="C1010" s="56"/>
      <c r="D1010" s="56" t="s">
        <v>2249</v>
      </c>
      <c r="E1010" s="74"/>
      <c r="F1010" s="56" t="s">
        <v>2250</v>
      </c>
      <c r="G1010" s="56" t="s">
        <v>2251</v>
      </c>
    </row>
    <row r="1011" spans="1:7" ht="17">
      <c r="A1011" s="274" t="s">
        <v>2262</v>
      </c>
      <c r="B1011" s="274" t="s">
        <v>2248</v>
      </c>
      <c r="C1011" s="274"/>
      <c r="D1011" s="274" t="s">
        <v>2249</v>
      </c>
      <c r="E1011" s="275"/>
      <c r="F1011" s="274" t="s">
        <v>2255</v>
      </c>
      <c r="G1011" s="274" t="s">
        <v>2251</v>
      </c>
    </row>
    <row r="1012" spans="1:7">
      <c r="A1012" s="56" t="s">
        <v>2263</v>
      </c>
      <c r="B1012" s="56" t="s">
        <v>2248</v>
      </c>
      <c r="C1012" s="56"/>
      <c r="D1012" s="56" t="s">
        <v>2249</v>
      </c>
      <c r="E1012" s="74"/>
      <c r="F1012" s="56" t="s">
        <v>2255</v>
      </c>
      <c r="G1012" s="56" t="s">
        <v>2251</v>
      </c>
    </row>
    <row r="1013" spans="1:7">
      <c r="A1013" s="56" t="s">
        <v>2264</v>
      </c>
      <c r="B1013" s="56" t="s">
        <v>2248</v>
      </c>
      <c r="C1013" s="56"/>
      <c r="D1013" s="56" t="s">
        <v>2249</v>
      </c>
      <c r="E1013" s="74"/>
      <c r="F1013" s="56" t="s">
        <v>2255</v>
      </c>
      <c r="G1013" s="56" t="s">
        <v>2251</v>
      </c>
    </row>
    <row r="1014" spans="1:7">
      <c r="A1014" s="56" t="s">
        <v>2265</v>
      </c>
      <c r="B1014" s="56" t="s">
        <v>2257</v>
      </c>
      <c r="C1014" s="56"/>
      <c r="D1014" s="56" t="s">
        <v>2249</v>
      </c>
      <c r="E1014" s="74"/>
      <c r="F1014" s="56" t="s">
        <v>2255</v>
      </c>
      <c r="G1014" s="56" t="s">
        <v>2251</v>
      </c>
    </row>
    <row r="1015" spans="1:7">
      <c r="A1015" s="56" t="s">
        <v>2291</v>
      </c>
      <c r="B1015" s="56" t="s">
        <v>2291</v>
      </c>
      <c r="C1015" s="56" t="s">
        <v>2292</v>
      </c>
      <c r="D1015" s="56" t="s">
        <v>2667</v>
      </c>
      <c r="E1015" s="74" t="s">
        <v>2293</v>
      </c>
      <c r="F1015" s="56" t="s">
        <v>2228</v>
      </c>
      <c r="G1015" s="56" t="s">
        <v>2575</v>
      </c>
    </row>
    <row r="1016" spans="1:7" ht="17">
      <c r="A1016" s="75" t="s">
        <v>2669</v>
      </c>
      <c r="B1016" s="75"/>
      <c r="C1016" s="75"/>
      <c r="D1016" s="75"/>
      <c r="E1016" s="76"/>
      <c r="F1016" s="75"/>
      <c r="G1016" s="75"/>
    </row>
    <row r="1017" spans="1:7">
      <c r="A1017" s="56" t="s">
        <v>2291</v>
      </c>
      <c r="B1017" s="56" t="s">
        <v>2291</v>
      </c>
      <c r="C1017" s="56" t="s">
        <v>2292</v>
      </c>
      <c r="D1017" s="56" t="s">
        <v>2667</v>
      </c>
      <c r="E1017" s="74" t="s">
        <v>2293</v>
      </c>
      <c r="F1017" s="56" t="s">
        <v>2228</v>
      </c>
      <c r="G1017" s="56" t="s">
        <v>2573</v>
      </c>
    </row>
    <row r="1018" spans="1:7" ht="17">
      <c r="A1018" s="75" t="s">
        <v>2670</v>
      </c>
      <c r="B1018" s="75"/>
      <c r="C1018" s="75"/>
      <c r="D1018" s="75"/>
      <c r="E1018" s="76"/>
      <c r="F1018" s="75"/>
      <c r="G1018" s="75"/>
    </row>
    <row r="1019" spans="1:7" ht="17">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
      <c r="A1021" s="75" t="s">
        <v>2671</v>
      </c>
      <c r="B1021" s="75"/>
      <c r="C1021" s="75"/>
      <c r="D1021" s="75"/>
      <c r="E1021" s="76"/>
      <c r="F1021" s="75"/>
      <c r="G1021" s="75"/>
    </row>
    <row r="1022" spans="1:7">
      <c r="A1022" s="56" t="s">
        <v>2291</v>
      </c>
      <c r="B1022" s="56" t="s">
        <v>2291</v>
      </c>
      <c r="C1022" s="56" t="s">
        <v>2292</v>
      </c>
      <c r="D1022" s="56" t="s">
        <v>2667</v>
      </c>
      <c r="E1022" s="74" t="s">
        <v>2293</v>
      </c>
      <c r="F1022" s="56" t="s">
        <v>2228</v>
      </c>
      <c r="G1022" s="56" t="s">
        <v>2575</v>
      </c>
    </row>
    <row r="1023" spans="1:7" ht="17">
      <c r="A1023" s="75" t="s">
        <v>2672</v>
      </c>
      <c r="B1023" s="75"/>
      <c r="C1023" s="75"/>
      <c r="D1023" s="75"/>
      <c r="E1023" s="76"/>
      <c r="F1023" s="75"/>
      <c r="G1023" s="75"/>
    </row>
    <row r="1024" spans="1:7" ht="17">
      <c r="A1024" s="274" t="s">
        <v>2291</v>
      </c>
      <c r="B1024" s="274" t="s">
        <v>2291</v>
      </c>
      <c r="C1024" s="274" t="s">
        <v>2292</v>
      </c>
      <c r="D1024" s="274" t="s">
        <v>2667</v>
      </c>
      <c r="E1024" s="275" t="s">
        <v>2293</v>
      </c>
      <c r="F1024" s="274" t="s">
        <v>2228</v>
      </c>
      <c r="G1024" s="274" t="s">
        <v>2575</v>
      </c>
    </row>
    <row r="1025" spans="1:7">
      <c r="A1025" s="56" t="s">
        <v>2269</v>
      </c>
      <c r="B1025" s="56" t="s">
        <v>2248</v>
      </c>
      <c r="C1025" s="56"/>
      <c r="D1025" s="56" t="s">
        <v>2249</v>
      </c>
      <c r="E1025" s="74"/>
      <c r="F1025" s="56" t="s">
        <v>2250</v>
      </c>
      <c r="G1025" s="56" t="s">
        <v>2251</v>
      </c>
    </row>
    <row r="1026" spans="1:7">
      <c r="A1026" s="56" t="s">
        <v>2270</v>
      </c>
      <c r="B1026" s="56" t="s">
        <v>2248</v>
      </c>
      <c r="C1026" s="56"/>
      <c r="D1026" s="56" t="s">
        <v>2249</v>
      </c>
      <c r="E1026" s="74"/>
      <c r="F1026" s="56" t="s">
        <v>2250</v>
      </c>
      <c r="G1026" s="56" t="s">
        <v>2251</v>
      </c>
    </row>
    <row r="1027" spans="1:7" ht="17">
      <c r="A1027" s="274" t="s">
        <v>2271</v>
      </c>
      <c r="B1027" s="274" t="s">
        <v>2248</v>
      </c>
      <c r="C1027" s="274"/>
      <c r="D1027" s="274" t="s">
        <v>2249</v>
      </c>
      <c r="E1027" s="275"/>
      <c r="F1027" s="274" t="s">
        <v>2250</v>
      </c>
      <c r="G1027" s="274" t="s">
        <v>2251</v>
      </c>
    </row>
    <row r="1028" spans="1:7">
      <c r="A1028" s="56" t="s">
        <v>2272</v>
      </c>
      <c r="B1028" s="56" t="s">
        <v>2248</v>
      </c>
      <c r="C1028" s="56"/>
      <c r="D1028" s="56" t="s">
        <v>2249</v>
      </c>
      <c r="E1028" s="74"/>
      <c r="F1028" s="56" t="s">
        <v>2250</v>
      </c>
      <c r="G1028" s="56" t="s">
        <v>2251</v>
      </c>
    </row>
    <row r="1029" spans="1:7" ht="17">
      <c r="A1029" s="274" t="s">
        <v>2273</v>
      </c>
      <c r="B1029" s="274" t="s">
        <v>2248</v>
      </c>
      <c r="C1029" s="274"/>
      <c r="D1029" s="274" t="s">
        <v>2249</v>
      </c>
      <c r="E1029" s="275"/>
      <c r="F1029" s="274" t="s">
        <v>2250</v>
      </c>
      <c r="G1029" s="274" t="s">
        <v>2251</v>
      </c>
    </row>
    <row r="1030" spans="1:7">
      <c r="A1030" s="56" t="s">
        <v>2274</v>
      </c>
      <c r="B1030" s="56" t="s">
        <v>2248</v>
      </c>
      <c r="C1030" s="56"/>
      <c r="D1030" s="56" t="s">
        <v>2249</v>
      </c>
      <c r="E1030" s="74"/>
      <c r="F1030" s="56" t="s">
        <v>2250</v>
      </c>
      <c r="G1030" s="56" t="s">
        <v>2251</v>
      </c>
    </row>
    <row r="1031" spans="1:7">
      <c r="A1031" s="56" t="s">
        <v>2275</v>
      </c>
      <c r="B1031" s="56" t="s">
        <v>2248</v>
      </c>
      <c r="C1031" s="56"/>
      <c r="D1031" s="56" t="s">
        <v>2249</v>
      </c>
      <c r="E1031" s="74"/>
      <c r="F1031" s="56" t="s">
        <v>2250</v>
      </c>
      <c r="G1031" s="56" t="s">
        <v>2251</v>
      </c>
    </row>
    <row r="1032" spans="1:7">
      <c r="A1032" s="56" t="s">
        <v>2276</v>
      </c>
      <c r="B1032" s="56" t="s">
        <v>2248</v>
      </c>
      <c r="C1032" s="56"/>
      <c r="D1032" s="56" t="s">
        <v>2249</v>
      </c>
      <c r="E1032" s="74"/>
      <c r="F1032" s="56" t="s">
        <v>2250</v>
      </c>
      <c r="G1032" s="56" t="s">
        <v>2251</v>
      </c>
    </row>
    <row r="1033" spans="1:7" ht="17">
      <c r="A1033" s="75" t="s">
        <v>2673</v>
      </c>
      <c r="B1033" s="75"/>
      <c r="C1033" s="75"/>
      <c r="D1033" s="75"/>
      <c r="E1033" s="76"/>
      <c r="F1033" s="75"/>
      <c r="G1033" s="75"/>
    </row>
    <row r="1034" spans="1:7" ht="17">
      <c r="A1034" s="274" t="s">
        <v>2291</v>
      </c>
      <c r="B1034" s="274" t="s">
        <v>2291</v>
      </c>
      <c r="C1034" s="274" t="s">
        <v>2292</v>
      </c>
      <c r="D1034" s="274" t="s">
        <v>2667</v>
      </c>
      <c r="E1034" s="275" t="s">
        <v>2293</v>
      </c>
      <c r="F1034" s="274" t="s">
        <v>2228</v>
      </c>
      <c r="G1034" s="274" t="s">
        <v>2575</v>
      </c>
    </row>
    <row r="1035" spans="1:7" ht="17">
      <c r="A1035" s="274" t="s">
        <v>2278</v>
      </c>
      <c r="B1035" s="274" t="s">
        <v>2279</v>
      </c>
      <c r="C1035" s="274"/>
      <c r="D1035" s="274" t="s">
        <v>2249</v>
      </c>
      <c r="E1035" s="275"/>
      <c r="F1035" s="274" t="s">
        <v>2280</v>
      </c>
      <c r="G1035" s="274" t="s">
        <v>2251</v>
      </c>
    </row>
    <row r="1036" spans="1:7">
      <c r="A1036" s="56" t="s">
        <v>2281</v>
      </c>
      <c r="B1036" s="56" t="s">
        <v>2248</v>
      </c>
      <c r="C1036" s="56"/>
      <c r="D1036" s="56" t="s">
        <v>2249</v>
      </c>
      <c r="E1036" s="74"/>
      <c r="F1036" s="56" t="s">
        <v>2250</v>
      </c>
      <c r="G1036" s="56" t="s">
        <v>2251</v>
      </c>
    </row>
    <row r="1037" spans="1:7" ht="17">
      <c r="A1037" s="75" t="s">
        <v>2674</v>
      </c>
      <c r="B1037" s="75"/>
      <c r="C1037" s="75"/>
      <c r="D1037" s="75"/>
      <c r="E1037" s="76"/>
      <c r="F1037" s="75"/>
      <c r="G1037" s="75"/>
    </row>
    <row r="1038" spans="1:7" ht="17">
      <c r="A1038" s="274" t="s">
        <v>2291</v>
      </c>
      <c r="B1038" s="274" t="s">
        <v>2291</v>
      </c>
      <c r="C1038" s="274" t="s">
        <v>2292</v>
      </c>
      <c r="D1038" s="274" t="s">
        <v>2667</v>
      </c>
      <c r="E1038" s="275" t="s">
        <v>2293</v>
      </c>
      <c r="F1038" s="274" t="s">
        <v>2228</v>
      </c>
      <c r="G1038" s="274" t="s">
        <v>2575</v>
      </c>
    </row>
    <row r="1039" spans="1:7" ht="17">
      <c r="A1039" s="75" t="s">
        <v>2675</v>
      </c>
      <c r="B1039" s="75"/>
      <c r="C1039" s="75"/>
      <c r="D1039" s="75"/>
      <c r="E1039" s="76"/>
      <c r="F1039" s="75"/>
      <c r="G1039" s="75"/>
    </row>
    <row r="1040" spans="1:7">
      <c r="A1040" s="56" t="s">
        <v>2283</v>
      </c>
      <c r="B1040" s="56" t="s">
        <v>2284</v>
      </c>
      <c r="C1040" s="56" t="s">
        <v>2285</v>
      </c>
      <c r="D1040" s="56" t="s">
        <v>2667</v>
      </c>
      <c r="E1040" s="74" t="s">
        <v>2287</v>
      </c>
      <c r="F1040" s="56" t="s">
        <v>2228</v>
      </c>
      <c r="G1040" s="56" t="s">
        <v>2288</v>
      </c>
    </row>
    <row r="1041" spans="1:7" ht="17">
      <c r="A1041" s="274" t="s">
        <v>2355</v>
      </c>
      <c r="B1041" s="274" t="s">
        <v>2356</v>
      </c>
      <c r="C1041" s="274" t="s">
        <v>1565</v>
      </c>
      <c r="D1041" s="274" t="s">
        <v>2667</v>
      </c>
      <c r="E1041" s="275" t="s">
        <v>108</v>
      </c>
      <c r="F1041" s="274" t="s">
        <v>2227</v>
      </c>
      <c r="G1041" s="274" t="s">
        <v>2358</v>
      </c>
    </row>
    <row r="1042" spans="1:7">
      <c r="A1042" s="56" t="s">
        <v>2398</v>
      </c>
      <c r="B1042" s="56"/>
      <c r="C1042" s="56" t="s">
        <v>2399</v>
      </c>
      <c r="D1042" s="56" t="s">
        <v>2667</v>
      </c>
      <c r="E1042" s="74" t="s">
        <v>108</v>
      </c>
      <c r="F1042" s="56" t="s">
        <v>2227</v>
      </c>
      <c r="G1042" s="56" t="s">
        <v>2251</v>
      </c>
    </row>
    <row r="1043" spans="1:7" ht="17">
      <c r="A1043" s="274" t="s">
        <v>2400</v>
      </c>
      <c r="B1043" s="274" t="s">
        <v>2284</v>
      </c>
      <c r="C1043" s="274" t="s">
        <v>108</v>
      </c>
      <c r="D1043" s="274" t="s">
        <v>2667</v>
      </c>
      <c r="E1043" s="275" t="s">
        <v>108</v>
      </c>
      <c r="F1043" s="274" t="s">
        <v>2227</v>
      </c>
      <c r="G1043" s="274" t="s">
        <v>2251</v>
      </c>
    </row>
    <row r="1044" spans="1:7">
      <c r="A1044" s="56" t="s">
        <v>2401</v>
      </c>
      <c r="B1044" s="56" t="s">
        <v>2402</v>
      </c>
      <c r="C1044" s="56" t="s">
        <v>2403</v>
      </c>
      <c r="D1044" s="56" t="s">
        <v>2667</v>
      </c>
      <c r="E1044" s="74" t="s">
        <v>2403</v>
      </c>
      <c r="F1044" s="56" t="s">
        <v>2227</v>
      </c>
      <c r="G1044" s="56" t="s">
        <v>2404</v>
      </c>
    </row>
    <row r="1045" spans="1:7" ht="17">
      <c r="A1045" s="274" t="s">
        <v>2405</v>
      </c>
      <c r="B1045" s="274"/>
      <c r="C1045" s="274" t="s">
        <v>108</v>
      </c>
      <c r="D1045" s="274" t="s">
        <v>2667</v>
      </c>
      <c r="E1045" s="275" t="s">
        <v>108</v>
      </c>
      <c r="F1045" s="274" t="s">
        <v>2227</v>
      </c>
      <c r="G1045" s="274" t="s">
        <v>2251</v>
      </c>
    </row>
    <row r="1046" spans="1:7" ht="17">
      <c r="A1046" s="75" t="s">
        <v>2676</v>
      </c>
      <c r="B1046" s="75"/>
      <c r="C1046" s="75"/>
      <c r="D1046" s="75"/>
      <c r="E1046" s="76"/>
      <c r="F1046" s="75"/>
      <c r="G1046" s="75"/>
    </row>
    <row r="1047" spans="1:7" ht="17">
      <c r="A1047" s="274" t="s">
        <v>2407</v>
      </c>
      <c r="B1047" s="274" t="s">
        <v>2296</v>
      </c>
      <c r="C1047" s="274" t="s">
        <v>108</v>
      </c>
      <c r="D1047" s="274" t="s">
        <v>2667</v>
      </c>
      <c r="E1047" s="275" t="s">
        <v>108</v>
      </c>
      <c r="F1047" s="274" t="s">
        <v>2227</v>
      </c>
      <c r="G1047" s="274" t="s">
        <v>2251</v>
      </c>
    </row>
    <row r="1048" spans="1:7">
      <c r="A1048" s="56" t="s">
        <v>2409</v>
      </c>
      <c r="B1048" s="56" t="s">
        <v>2410</v>
      </c>
      <c r="C1048" s="56" t="s">
        <v>108</v>
      </c>
      <c r="D1048" s="56" t="s">
        <v>2667</v>
      </c>
      <c r="E1048" s="74" t="s">
        <v>108</v>
      </c>
      <c r="F1048" s="56" t="s">
        <v>2227</v>
      </c>
      <c r="G1048" s="56" t="s">
        <v>2411</v>
      </c>
    </row>
    <row r="1049" spans="1:7">
      <c r="A1049" s="56" t="s">
        <v>2412</v>
      </c>
      <c r="B1049" s="56" t="s">
        <v>2410</v>
      </c>
      <c r="C1049" s="56" t="s">
        <v>108</v>
      </c>
      <c r="D1049" s="56" t="s">
        <v>2667</v>
      </c>
      <c r="E1049" s="74" t="s">
        <v>108</v>
      </c>
      <c r="F1049" s="56" t="s">
        <v>2227</v>
      </c>
      <c r="G1049" s="56" t="s">
        <v>2251</v>
      </c>
    </row>
    <row r="1050" spans="1:7">
      <c r="A1050" s="56" t="s">
        <v>2290</v>
      </c>
      <c r="B1050" s="56" t="s">
        <v>2291</v>
      </c>
      <c r="C1050" s="56" t="s">
        <v>2292</v>
      </c>
      <c r="D1050" s="56" t="s">
        <v>2667</v>
      </c>
      <c r="E1050" s="74" t="s">
        <v>2293</v>
      </c>
      <c r="F1050" s="56" t="s">
        <v>2228</v>
      </c>
      <c r="G1050" s="56" t="s">
        <v>2251</v>
      </c>
    </row>
    <row r="1051" spans="1:7">
      <c r="A1051" s="56" t="s">
        <v>2414</v>
      </c>
      <c r="B1051" s="56" t="s">
        <v>2415</v>
      </c>
      <c r="C1051" s="56" t="s">
        <v>108</v>
      </c>
      <c r="D1051" s="56" t="s">
        <v>2667</v>
      </c>
      <c r="E1051" s="74" t="s">
        <v>108</v>
      </c>
      <c r="F1051" s="56" t="s">
        <v>2227</v>
      </c>
      <c r="G1051" s="56" t="s">
        <v>2416</v>
      </c>
    </row>
    <row r="1052" spans="1:7" ht="17">
      <c r="A1052" s="75" t="s">
        <v>2677</v>
      </c>
      <c r="B1052" s="75"/>
      <c r="C1052" s="75"/>
      <c r="D1052" s="75"/>
      <c r="E1052" s="76"/>
      <c r="F1052" s="75"/>
      <c r="G1052" s="75"/>
    </row>
    <row r="1053" spans="1:7">
      <c r="A1053" s="56" t="s">
        <v>2418</v>
      </c>
      <c r="B1053" s="56" t="s">
        <v>2363</v>
      </c>
      <c r="C1053" s="56" t="s">
        <v>108</v>
      </c>
      <c r="D1053" s="56" t="s">
        <v>2667</v>
      </c>
      <c r="E1053" s="74" t="s">
        <v>108</v>
      </c>
      <c r="F1053" s="56" t="s">
        <v>2227</v>
      </c>
      <c r="G1053" s="56" t="s">
        <v>2251</v>
      </c>
    </row>
    <row r="1054" spans="1:7">
      <c r="A1054" s="56" t="s">
        <v>2362</v>
      </c>
      <c r="B1054" s="56" t="s">
        <v>2363</v>
      </c>
      <c r="C1054" s="56" t="s">
        <v>2364</v>
      </c>
      <c r="D1054" s="56" t="s">
        <v>2667</v>
      </c>
      <c r="E1054" s="74" t="s">
        <v>108</v>
      </c>
      <c r="F1054" s="56" t="s">
        <v>2227</v>
      </c>
      <c r="G1054" s="56" t="s">
        <v>2251</v>
      </c>
    </row>
    <row r="1055" spans="1:7" ht="17">
      <c r="A1055" s="274" t="s">
        <v>2420</v>
      </c>
      <c r="B1055" s="274" t="s">
        <v>2363</v>
      </c>
      <c r="C1055" s="274" t="s">
        <v>2421</v>
      </c>
      <c r="D1055" s="274" t="s">
        <v>2667</v>
      </c>
      <c r="E1055" s="275" t="s">
        <v>108</v>
      </c>
      <c r="F1055" s="274" t="s">
        <v>2227</v>
      </c>
      <c r="G1055" s="274" t="s">
        <v>2422</v>
      </c>
    </row>
    <row r="1056" spans="1:7">
      <c r="A1056" s="56" t="s">
        <v>2423</v>
      </c>
      <c r="B1056" s="56" t="s">
        <v>2363</v>
      </c>
      <c r="C1056" s="56" t="s">
        <v>108</v>
      </c>
      <c r="D1056" s="56" t="s">
        <v>2667</v>
      </c>
      <c r="E1056" s="74" t="s">
        <v>108</v>
      </c>
      <c r="F1056" s="56" t="s">
        <v>2227</v>
      </c>
      <c r="G1056" s="56" t="s">
        <v>2251</v>
      </c>
    </row>
    <row r="1057" spans="1:7" ht="17">
      <c r="A1057" s="75" t="s">
        <v>2678</v>
      </c>
      <c r="B1057" s="75"/>
      <c r="C1057" s="75"/>
      <c r="D1057" s="75"/>
      <c r="E1057" s="76"/>
      <c r="F1057" s="75"/>
      <c r="G1057" s="75"/>
    </row>
    <row r="1058" spans="1:7">
      <c r="A1058" s="56" t="s">
        <v>2425</v>
      </c>
      <c r="B1058" s="56" t="s">
        <v>2426</v>
      </c>
      <c r="C1058" s="56" t="s">
        <v>2427</v>
      </c>
      <c r="D1058" s="56" t="s">
        <v>2667</v>
      </c>
      <c r="E1058" s="74" t="s">
        <v>108</v>
      </c>
      <c r="F1058" s="56" t="s">
        <v>2227</v>
      </c>
      <c r="G1058" s="56" t="s">
        <v>2251</v>
      </c>
    </row>
    <row r="1059" spans="1:7" ht="17">
      <c r="A1059" s="274" t="s">
        <v>2428</v>
      </c>
      <c r="B1059" s="274" t="s">
        <v>2426</v>
      </c>
      <c r="C1059" s="274" t="s">
        <v>2429</v>
      </c>
      <c r="D1059" s="274" t="s">
        <v>2667</v>
      </c>
      <c r="E1059" s="275" t="s">
        <v>108</v>
      </c>
      <c r="F1059" s="274" t="s">
        <v>2227</v>
      </c>
      <c r="G1059" s="274" t="s">
        <v>2251</v>
      </c>
    </row>
    <row r="1060" spans="1:7">
      <c r="A1060" s="56" t="s">
        <v>2430</v>
      </c>
      <c r="B1060" s="56" t="s">
        <v>2431</v>
      </c>
      <c r="C1060" s="56" t="s">
        <v>108</v>
      </c>
      <c r="D1060" s="56" t="s">
        <v>2667</v>
      </c>
      <c r="E1060" s="74" t="s">
        <v>108</v>
      </c>
      <c r="F1060" s="56" t="s">
        <v>2227</v>
      </c>
      <c r="G1060" s="56" t="s">
        <v>2432</v>
      </c>
    </row>
    <row r="1061" spans="1:7" ht="17">
      <c r="A1061" s="274" t="s">
        <v>2433</v>
      </c>
      <c r="B1061" s="274" t="s">
        <v>2431</v>
      </c>
      <c r="C1061" s="274" t="s">
        <v>108</v>
      </c>
      <c r="D1061" s="274" t="s">
        <v>2667</v>
      </c>
      <c r="E1061" s="275" t="s">
        <v>108</v>
      </c>
      <c r="F1061" s="274" t="s">
        <v>2227</v>
      </c>
      <c r="G1061" s="274" t="s">
        <v>2251</v>
      </c>
    </row>
    <row r="1062" spans="1:7" ht="17">
      <c r="A1062" s="75" t="s">
        <v>2679</v>
      </c>
      <c r="B1062" s="75"/>
      <c r="C1062" s="75"/>
      <c r="D1062" s="75"/>
      <c r="E1062" s="76"/>
      <c r="F1062" s="75"/>
      <c r="G1062" s="75"/>
    </row>
    <row r="1063" spans="1:7" ht="17">
      <c r="A1063" s="274" t="s">
        <v>2435</v>
      </c>
      <c r="B1063" s="274" t="s">
        <v>2436</v>
      </c>
      <c r="C1063" s="274" t="s">
        <v>108</v>
      </c>
      <c r="D1063" s="274" t="s">
        <v>2667</v>
      </c>
      <c r="E1063" s="275" t="s">
        <v>108</v>
      </c>
      <c r="F1063" s="274" t="s">
        <v>2227</v>
      </c>
      <c r="G1063" s="274" t="s">
        <v>2437</v>
      </c>
    </row>
    <row r="1064" spans="1:7" ht="17">
      <c r="A1064" s="274" t="s">
        <v>2295</v>
      </c>
      <c r="B1064" s="274" t="s">
        <v>2296</v>
      </c>
      <c r="C1064" s="274" t="s">
        <v>2297</v>
      </c>
      <c r="D1064" s="274" t="s">
        <v>2667</v>
      </c>
      <c r="E1064" s="275" t="s">
        <v>2293</v>
      </c>
      <c r="F1064" s="274" t="s">
        <v>2228</v>
      </c>
      <c r="G1064" s="274" t="s">
        <v>2251</v>
      </c>
    </row>
    <row r="1065" spans="1:7">
      <c r="A1065" s="56" t="s">
        <v>2298</v>
      </c>
      <c r="B1065" s="56" t="s">
        <v>2296</v>
      </c>
      <c r="C1065" s="56" t="s">
        <v>2292</v>
      </c>
      <c r="D1065" s="56" t="s">
        <v>2667</v>
      </c>
      <c r="E1065" s="74" t="s">
        <v>2293</v>
      </c>
      <c r="F1065" s="56" t="s">
        <v>2228</v>
      </c>
      <c r="G1065" s="56" t="s">
        <v>2251</v>
      </c>
    </row>
    <row r="1066" spans="1:7" ht="17">
      <c r="A1066" s="274" t="s">
        <v>2299</v>
      </c>
      <c r="B1066" s="274" t="s">
        <v>2296</v>
      </c>
      <c r="C1066" s="274" t="s">
        <v>2292</v>
      </c>
      <c r="D1066" s="274" t="s">
        <v>2667</v>
      </c>
      <c r="E1066" s="275" t="s">
        <v>2293</v>
      </c>
      <c r="F1066" s="274" t="s">
        <v>2228</v>
      </c>
      <c r="G1066" s="274" t="s">
        <v>2251</v>
      </c>
    </row>
    <row r="1067" spans="1:7">
      <c r="A1067" s="56" t="s">
        <v>2300</v>
      </c>
      <c r="B1067" s="56" t="s">
        <v>2301</v>
      </c>
      <c r="C1067" s="56" t="s">
        <v>2292</v>
      </c>
      <c r="D1067" s="56" t="s">
        <v>2667</v>
      </c>
      <c r="E1067" s="74" t="s">
        <v>2293</v>
      </c>
      <c r="F1067" s="56" t="s">
        <v>2228</v>
      </c>
      <c r="G1067" s="56" t="s">
        <v>2251</v>
      </c>
    </row>
    <row r="1068" spans="1:7">
      <c r="A1068" s="56" t="s">
        <v>2302</v>
      </c>
      <c r="B1068" s="56"/>
      <c r="C1068" s="56" t="s">
        <v>2292</v>
      </c>
      <c r="D1068" s="56" t="s">
        <v>2667</v>
      </c>
      <c r="E1068" s="74" t="s">
        <v>2293</v>
      </c>
      <c r="F1068" s="56" t="s">
        <v>2228</v>
      </c>
      <c r="G1068" s="56" t="s">
        <v>2251</v>
      </c>
    </row>
    <row r="1069" spans="1:7">
      <c r="A1069" s="56" t="s">
        <v>2303</v>
      </c>
      <c r="B1069" s="56"/>
      <c r="C1069" s="56" t="s">
        <v>2292</v>
      </c>
      <c r="D1069" s="56" t="s">
        <v>2667</v>
      </c>
      <c r="E1069" s="74" t="s">
        <v>2293</v>
      </c>
      <c r="F1069" s="56" t="s">
        <v>2228</v>
      </c>
      <c r="G1069" s="56" t="s">
        <v>2251</v>
      </c>
    </row>
    <row r="1070" spans="1:7">
      <c r="A1070" s="56" t="s">
        <v>2304</v>
      </c>
      <c r="B1070" s="56"/>
      <c r="C1070" s="56" t="s">
        <v>2292</v>
      </c>
      <c r="D1070" s="56" t="s">
        <v>2667</v>
      </c>
      <c r="E1070" s="74" t="s">
        <v>2293</v>
      </c>
      <c r="F1070" s="56" t="s">
        <v>2228</v>
      </c>
      <c r="G1070" s="56" t="s">
        <v>2251</v>
      </c>
    </row>
    <row r="1071" spans="1:7" ht="17">
      <c r="A1071" s="75" t="s">
        <v>2680</v>
      </c>
      <c r="B1071" s="75"/>
      <c r="C1071" s="75"/>
      <c r="D1071" s="75"/>
      <c r="E1071" s="76"/>
      <c r="F1071" s="75"/>
      <c r="G1071" s="75"/>
    </row>
    <row r="1072" spans="1:7">
      <c r="A1072" s="56" t="s">
        <v>2439</v>
      </c>
      <c r="B1072" s="56" t="s">
        <v>2440</v>
      </c>
      <c r="C1072" s="56" t="s">
        <v>108</v>
      </c>
      <c r="D1072" s="56" t="s">
        <v>2667</v>
      </c>
      <c r="E1072" s="74" t="s">
        <v>108</v>
      </c>
      <c r="F1072" s="56" t="s">
        <v>2227</v>
      </c>
      <c r="G1072" s="56" t="s">
        <v>2251</v>
      </c>
    </row>
    <row r="1073" spans="1:7">
      <c r="A1073" s="56" t="s">
        <v>2681</v>
      </c>
      <c r="B1073" s="56" t="s">
        <v>2449</v>
      </c>
      <c r="C1073" s="56" t="s">
        <v>2682</v>
      </c>
      <c r="D1073" s="56" t="s">
        <v>2667</v>
      </c>
      <c r="E1073" s="74" t="s">
        <v>2683</v>
      </c>
      <c r="F1073" s="56" t="s">
        <v>2227</v>
      </c>
      <c r="G1073" s="56" t="s">
        <v>2251</v>
      </c>
    </row>
    <row r="1074" spans="1:7" ht="17">
      <c r="A1074" s="274" t="s">
        <v>2441</v>
      </c>
      <c r="B1074" s="274" t="s">
        <v>2442</v>
      </c>
      <c r="C1074" s="274" t="s">
        <v>2427</v>
      </c>
      <c r="D1074" s="274" t="s">
        <v>2667</v>
      </c>
      <c r="E1074" s="275" t="s">
        <v>108</v>
      </c>
      <c r="F1074" s="274" t="s">
        <v>2227</v>
      </c>
      <c r="G1074" s="274" t="s">
        <v>2251</v>
      </c>
    </row>
    <row r="1075" spans="1:7">
      <c r="A1075" s="56" t="s">
        <v>2443</v>
      </c>
      <c r="B1075" s="56" t="s">
        <v>2440</v>
      </c>
      <c r="C1075" s="56" t="s">
        <v>2444</v>
      </c>
      <c r="D1075" s="56" t="s">
        <v>2667</v>
      </c>
      <c r="E1075" s="74" t="s">
        <v>108</v>
      </c>
      <c r="F1075" s="56" t="s">
        <v>2227</v>
      </c>
      <c r="G1075" s="56" t="s">
        <v>2445</v>
      </c>
    </row>
    <row r="1076" spans="1:7" ht="17">
      <c r="A1076" s="274" t="s">
        <v>2306</v>
      </c>
      <c r="B1076" s="274" t="s">
        <v>2291</v>
      </c>
      <c r="C1076" s="274" t="s">
        <v>2307</v>
      </c>
      <c r="D1076" s="274" t="s">
        <v>2667</v>
      </c>
      <c r="E1076" s="275" t="s">
        <v>108</v>
      </c>
      <c r="F1076" s="274" t="s">
        <v>2227</v>
      </c>
      <c r="G1076" s="274" t="s">
        <v>2251</v>
      </c>
    </row>
    <row r="1077" spans="1:7">
      <c r="A1077" s="56" t="s">
        <v>2310</v>
      </c>
      <c r="B1077" s="56" t="s">
        <v>2291</v>
      </c>
      <c r="C1077" s="56" t="s">
        <v>2311</v>
      </c>
      <c r="D1077" s="56" t="s">
        <v>2667</v>
      </c>
      <c r="E1077" s="74" t="s">
        <v>2312</v>
      </c>
      <c r="F1077" s="56" t="s">
        <v>2228</v>
      </c>
      <c r="G1077" s="56" t="s">
        <v>2251</v>
      </c>
    </row>
    <row r="1078" spans="1:7" ht="17">
      <c r="A1078" s="274" t="s">
        <v>2313</v>
      </c>
      <c r="B1078" s="274" t="s">
        <v>2291</v>
      </c>
      <c r="C1078" s="274" t="s">
        <v>2292</v>
      </c>
      <c r="D1078" s="274" t="s">
        <v>2667</v>
      </c>
      <c r="E1078" s="275" t="s">
        <v>2293</v>
      </c>
      <c r="F1078" s="274" t="s">
        <v>2228</v>
      </c>
      <c r="G1078" s="274" t="s">
        <v>2251</v>
      </c>
    </row>
    <row r="1079" spans="1:7">
      <c r="A1079" s="56" t="s">
        <v>2314</v>
      </c>
      <c r="B1079" s="56" t="s">
        <v>2291</v>
      </c>
      <c r="C1079" s="56" t="s">
        <v>2292</v>
      </c>
      <c r="D1079" s="56" t="s">
        <v>2667</v>
      </c>
      <c r="E1079" s="74" t="s">
        <v>2293</v>
      </c>
      <c r="F1079" s="56" t="s">
        <v>2228</v>
      </c>
      <c r="G1079" s="56" t="s">
        <v>2251</v>
      </c>
    </row>
    <row r="1080" spans="1:7" ht="17">
      <c r="A1080" s="274" t="s">
        <v>2447</v>
      </c>
      <c r="B1080" s="274" t="s">
        <v>2440</v>
      </c>
      <c r="C1080" s="274" t="s">
        <v>2403</v>
      </c>
      <c r="D1080" s="274" t="s">
        <v>2667</v>
      </c>
      <c r="E1080" s="275" t="s">
        <v>2403</v>
      </c>
      <c r="F1080" s="274" t="s">
        <v>2227</v>
      </c>
      <c r="G1080" s="274" t="s">
        <v>2251</v>
      </c>
    </row>
    <row r="1081" spans="1:7">
      <c r="A1081" s="56" t="s">
        <v>2448</v>
      </c>
      <c r="B1081" s="56" t="s">
        <v>2449</v>
      </c>
      <c r="C1081" s="56" t="s">
        <v>108</v>
      </c>
      <c r="D1081" s="56" t="s">
        <v>2667</v>
      </c>
      <c r="E1081" s="74" t="s">
        <v>108</v>
      </c>
      <c r="F1081" s="56" t="s">
        <v>2227</v>
      </c>
      <c r="G1081" s="56" t="s">
        <v>2251</v>
      </c>
    </row>
    <row r="1082" spans="1:7" ht="17">
      <c r="A1082" s="75" t="s">
        <v>2684</v>
      </c>
      <c r="B1082" s="75"/>
      <c r="C1082" s="75"/>
      <c r="D1082" s="75"/>
      <c r="E1082" s="76"/>
      <c r="F1082" s="75"/>
      <c r="G1082" s="75"/>
    </row>
    <row r="1083" spans="1:7">
      <c r="A1083" s="56" t="s">
        <v>2451</v>
      </c>
      <c r="B1083" s="56"/>
      <c r="C1083" s="56" t="s">
        <v>2403</v>
      </c>
      <c r="D1083" s="56" t="s">
        <v>2667</v>
      </c>
      <c r="E1083" s="74" t="s">
        <v>2403</v>
      </c>
      <c r="F1083" s="56" t="s">
        <v>2227</v>
      </c>
      <c r="G1083" s="56" t="s">
        <v>2251</v>
      </c>
    </row>
    <row r="1084" spans="1:7">
      <c r="A1084" s="56" t="s">
        <v>2375</v>
      </c>
      <c r="B1084" s="56"/>
      <c r="C1084" s="56" t="s">
        <v>2376</v>
      </c>
      <c r="D1084" s="56" t="s">
        <v>2667</v>
      </c>
      <c r="E1084" s="74" t="s">
        <v>2403</v>
      </c>
      <c r="F1084" s="56" t="s">
        <v>2227</v>
      </c>
      <c r="G1084" s="56" t="s">
        <v>2251</v>
      </c>
    </row>
    <row r="1085" spans="1:7">
      <c r="A1085" s="56" t="s">
        <v>2452</v>
      </c>
      <c r="B1085" s="56" t="s">
        <v>2440</v>
      </c>
      <c r="C1085" s="56" t="s">
        <v>108</v>
      </c>
      <c r="D1085" s="56" t="s">
        <v>2667</v>
      </c>
      <c r="E1085" s="74" t="s">
        <v>108</v>
      </c>
      <c r="F1085" s="56" t="s">
        <v>2227</v>
      </c>
      <c r="G1085" s="56" t="s">
        <v>2251</v>
      </c>
    </row>
    <row r="1086" spans="1:7" ht="17">
      <c r="A1086" s="274" t="s">
        <v>2453</v>
      </c>
      <c r="B1086" s="274" t="s">
        <v>2440</v>
      </c>
      <c r="C1086" s="274" t="s">
        <v>108</v>
      </c>
      <c r="D1086" s="274" t="s">
        <v>2667</v>
      </c>
      <c r="E1086" s="275" t="s">
        <v>108</v>
      </c>
      <c r="F1086" s="274" t="s">
        <v>2227</v>
      </c>
      <c r="G1086" s="274" t="s">
        <v>2251</v>
      </c>
    </row>
    <row r="1087" spans="1:7">
      <c r="A1087" s="56" t="s">
        <v>2454</v>
      </c>
      <c r="B1087" s="56" t="s">
        <v>2301</v>
      </c>
      <c r="C1087" s="56" t="s">
        <v>108</v>
      </c>
      <c r="D1087" s="56" t="s">
        <v>2667</v>
      </c>
      <c r="E1087" s="74" t="s">
        <v>108</v>
      </c>
      <c r="F1087" s="56" t="s">
        <v>2227</v>
      </c>
      <c r="G1087" s="56" t="s">
        <v>2251</v>
      </c>
    </row>
    <row r="1088" spans="1:7" ht="17">
      <c r="A1088" s="274" t="s">
        <v>2455</v>
      </c>
      <c r="B1088" s="274" t="s">
        <v>2456</v>
      </c>
      <c r="C1088" s="274" t="s">
        <v>2403</v>
      </c>
      <c r="D1088" s="274" t="s">
        <v>2667</v>
      </c>
      <c r="E1088" s="275" t="s">
        <v>2403</v>
      </c>
      <c r="F1088" s="274" t="s">
        <v>2227</v>
      </c>
      <c r="G1088" s="274" t="s">
        <v>2251</v>
      </c>
    </row>
    <row r="1089" spans="1:7">
      <c r="A1089" s="56" t="s">
        <v>2457</v>
      </c>
      <c r="B1089" s="56" t="s">
        <v>2456</v>
      </c>
      <c r="C1089" s="56" t="s">
        <v>2403</v>
      </c>
      <c r="D1089" s="56" t="s">
        <v>2667</v>
      </c>
      <c r="E1089" s="74" t="s">
        <v>2403</v>
      </c>
      <c r="F1089" s="56" t="s">
        <v>2227</v>
      </c>
      <c r="G1089" s="56" t="s">
        <v>2251</v>
      </c>
    </row>
    <row r="1090" spans="1:7">
      <c r="A1090" s="56" t="s">
        <v>2316</v>
      </c>
      <c r="B1090" s="56" t="s">
        <v>2291</v>
      </c>
      <c r="C1090" s="56" t="s">
        <v>2292</v>
      </c>
      <c r="D1090" s="56" t="s">
        <v>2667</v>
      </c>
      <c r="E1090" s="74" t="s">
        <v>2293</v>
      </c>
      <c r="F1090" s="56" t="s">
        <v>2228</v>
      </c>
      <c r="G1090" s="56" t="s">
        <v>2251</v>
      </c>
    </row>
    <row r="1091" spans="1:7" ht="17">
      <c r="A1091" s="274" t="s">
        <v>2458</v>
      </c>
      <c r="B1091" s="274" t="s">
        <v>2456</v>
      </c>
      <c r="C1091" s="274" t="s">
        <v>108</v>
      </c>
      <c r="D1091" s="274" t="s">
        <v>2667</v>
      </c>
      <c r="E1091" s="275" t="s">
        <v>108</v>
      </c>
      <c r="F1091" s="274" t="s">
        <v>2227</v>
      </c>
      <c r="G1091" s="274" t="s">
        <v>2459</v>
      </c>
    </row>
    <row r="1092" spans="1:7" ht="17">
      <c r="A1092" s="75" t="s">
        <v>2685</v>
      </c>
      <c r="B1092" s="75"/>
      <c r="C1092" s="75"/>
      <c r="D1092" s="75"/>
      <c r="E1092" s="76"/>
      <c r="F1092" s="75"/>
      <c r="G1092" s="75"/>
    </row>
    <row r="1093" spans="1:7" ht="17">
      <c r="A1093" s="274" t="s">
        <v>2461</v>
      </c>
      <c r="B1093" s="274" t="s">
        <v>2462</v>
      </c>
      <c r="C1093" s="274" t="s">
        <v>108</v>
      </c>
      <c r="D1093" s="274" t="s">
        <v>2667</v>
      </c>
      <c r="E1093" s="275" t="s">
        <v>108</v>
      </c>
      <c r="F1093" s="274" t="s">
        <v>2227</v>
      </c>
      <c r="G1093" s="274" t="s">
        <v>2251</v>
      </c>
    </row>
    <row r="1094" spans="1:7">
      <c r="A1094" s="56" t="s">
        <v>2463</v>
      </c>
      <c r="B1094" s="56" t="s">
        <v>2464</v>
      </c>
      <c r="C1094" s="56" t="s">
        <v>108</v>
      </c>
      <c r="D1094" s="56" t="s">
        <v>2667</v>
      </c>
      <c r="E1094" s="74" t="s">
        <v>108</v>
      </c>
      <c r="F1094" s="56" t="s">
        <v>2227</v>
      </c>
      <c r="G1094" s="56" t="s">
        <v>2251</v>
      </c>
    </row>
    <row r="1095" spans="1:7">
      <c r="A1095" s="56" t="s">
        <v>2465</v>
      </c>
      <c r="B1095" s="56" t="s">
        <v>2464</v>
      </c>
      <c r="C1095" s="56" t="s">
        <v>108</v>
      </c>
      <c r="D1095" s="56" t="s">
        <v>2667</v>
      </c>
      <c r="E1095" s="74" t="s">
        <v>108</v>
      </c>
      <c r="F1095" s="56" t="s">
        <v>2227</v>
      </c>
      <c r="G1095" s="56" t="s">
        <v>2251</v>
      </c>
    </row>
    <row r="1096" spans="1:7" ht="17">
      <c r="A1096" s="75" t="s">
        <v>2686</v>
      </c>
      <c r="B1096" s="75"/>
      <c r="C1096" s="75"/>
      <c r="D1096" s="75"/>
      <c r="E1096" s="76"/>
      <c r="F1096" s="75"/>
      <c r="G1096" s="75"/>
    </row>
    <row r="1097" spans="1:7">
      <c r="A1097" s="56" t="s">
        <v>2318</v>
      </c>
      <c r="B1097" s="56" t="s">
        <v>2319</v>
      </c>
      <c r="C1097" s="56" t="s">
        <v>2285</v>
      </c>
      <c r="D1097" s="56" t="s">
        <v>2667</v>
      </c>
      <c r="E1097" s="74" t="s">
        <v>2287</v>
      </c>
      <c r="F1097" s="56" t="s">
        <v>2228</v>
      </c>
      <c r="G1097" s="56" t="s">
        <v>2320</v>
      </c>
    </row>
    <row r="1098" spans="1:7" ht="17">
      <c r="A1098" s="274" t="s">
        <v>2321</v>
      </c>
      <c r="B1098" s="274" t="s">
        <v>2322</v>
      </c>
      <c r="C1098" s="274" t="s">
        <v>2285</v>
      </c>
      <c r="D1098" s="274" t="s">
        <v>2667</v>
      </c>
      <c r="E1098" s="275" t="s">
        <v>2287</v>
      </c>
      <c r="F1098" s="274" t="s">
        <v>2228</v>
      </c>
      <c r="G1098" s="274" t="s">
        <v>2323</v>
      </c>
    </row>
    <row r="1099" spans="1:7">
      <c r="A1099" s="56" t="s">
        <v>2467</v>
      </c>
      <c r="B1099" s="56" t="s">
        <v>2319</v>
      </c>
      <c r="C1099" s="56" t="s">
        <v>2403</v>
      </c>
      <c r="D1099" s="56" t="s">
        <v>2667</v>
      </c>
      <c r="E1099" s="74" t="s">
        <v>2403</v>
      </c>
      <c r="F1099" s="56" t="s">
        <v>2227</v>
      </c>
      <c r="G1099" s="56" t="s">
        <v>2468</v>
      </c>
    </row>
    <row r="1100" spans="1:7">
      <c r="A1100" s="56" t="s">
        <v>2469</v>
      </c>
      <c r="B1100" s="56" t="s">
        <v>2382</v>
      </c>
      <c r="C1100" s="56" t="s">
        <v>108</v>
      </c>
      <c r="D1100" s="56" t="s">
        <v>2667</v>
      </c>
      <c r="E1100" s="74" t="s">
        <v>108</v>
      </c>
      <c r="F1100" s="56" t="s">
        <v>2227</v>
      </c>
      <c r="G1100" s="56" t="s">
        <v>2470</v>
      </c>
    </row>
    <row r="1101" spans="1:7">
      <c r="A1101" s="56" t="s">
        <v>2471</v>
      </c>
      <c r="B1101" s="56" t="s">
        <v>2379</v>
      </c>
      <c r="C1101" s="56" t="s">
        <v>108</v>
      </c>
      <c r="D1101" s="56" t="s">
        <v>2667</v>
      </c>
      <c r="E1101" s="74" t="s">
        <v>108</v>
      </c>
      <c r="F1101" s="56" t="s">
        <v>2227</v>
      </c>
      <c r="G1101" s="56" t="s">
        <v>2472</v>
      </c>
    </row>
    <row r="1102" spans="1:7" ht="17">
      <c r="A1102" s="274" t="s">
        <v>2473</v>
      </c>
      <c r="B1102" s="274" t="s">
        <v>2474</v>
      </c>
      <c r="C1102" s="274" t="s">
        <v>108</v>
      </c>
      <c r="D1102" s="274" t="s">
        <v>2667</v>
      </c>
      <c r="E1102" s="275" t="s">
        <v>108</v>
      </c>
      <c r="F1102" s="274" t="s">
        <v>2227</v>
      </c>
      <c r="G1102" s="274" t="s">
        <v>2475</v>
      </c>
    </row>
    <row r="1103" spans="1:7">
      <c r="A1103" s="56" t="s">
        <v>2324</v>
      </c>
      <c r="B1103" s="56" t="s">
        <v>2325</v>
      </c>
      <c r="C1103" s="56"/>
      <c r="D1103" s="56" t="s">
        <v>2249</v>
      </c>
      <c r="E1103" s="74"/>
      <c r="F1103" s="56" t="s">
        <v>2326</v>
      </c>
      <c r="G1103" s="56" t="s">
        <v>2251</v>
      </c>
    </row>
    <row r="1104" spans="1:7" ht="17">
      <c r="A1104" s="274" t="s">
        <v>2327</v>
      </c>
      <c r="B1104" s="274" t="s">
        <v>2325</v>
      </c>
      <c r="C1104" s="274"/>
      <c r="D1104" s="274" t="s">
        <v>2249</v>
      </c>
      <c r="E1104" s="275"/>
      <c r="F1104" s="274" t="s">
        <v>2326</v>
      </c>
      <c r="G1104" s="274" t="s">
        <v>2251</v>
      </c>
    </row>
    <row r="1105" spans="1:7">
      <c r="A1105" s="56" t="s">
        <v>2328</v>
      </c>
      <c r="B1105" s="56" t="s">
        <v>2325</v>
      </c>
      <c r="C1105" s="56" t="s">
        <v>2329</v>
      </c>
      <c r="D1105" s="56" t="s">
        <v>2249</v>
      </c>
      <c r="E1105" s="74"/>
      <c r="F1105" s="56" t="s">
        <v>2330</v>
      </c>
      <c r="G1105" s="56" t="s">
        <v>2331</v>
      </c>
    </row>
    <row r="1106" spans="1:7" ht="17">
      <c r="A1106" s="75" t="s">
        <v>2687</v>
      </c>
      <c r="B1106" s="75"/>
      <c r="C1106" s="75"/>
      <c r="D1106" s="75"/>
      <c r="E1106" s="76"/>
      <c r="F1106" s="75"/>
      <c r="G1106" s="75"/>
    </row>
    <row r="1107" spans="1:7">
      <c r="A1107" s="56" t="s">
        <v>2477</v>
      </c>
      <c r="B1107" s="56" t="s">
        <v>2382</v>
      </c>
      <c r="C1107" s="56" t="s">
        <v>108</v>
      </c>
      <c r="D1107" s="56" t="s">
        <v>2667</v>
      </c>
      <c r="E1107" s="74" t="s">
        <v>108</v>
      </c>
      <c r="F1107" s="56" t="s">
        <v>2227</v>
      </c>
      <c r="G1107" s="56" t="s">
        <v>2478</v>
      </c>
    </row>
    <row r="1108" spans="1:7">
      <c r="A1108" s="56" t="s">
        <v>2333</v>
      </c>
      <c r="B1108" s="56" t="s">
        <v>2291</v>
      </c>
      <c r="C1108" s="56" t="s">
        <v>2285</v>
      </c>
      <c r="D1108" s="56" t="s">
        <v>2667</v>
      </c>
      <c r="E1108" s="74" t="s">
        <v>2287</v>
      </c>
      <c r="F1108" s="56" t="s">
        <v>2228</v>
      </c>
      <c r="G1108" s="56" t="s">
        <v>2251</v>
      </c>
    </row>
    <row r="1109" spans="1:7">
      <c r="A1109" s="56" t="s">
        <v>2334</v>
      </c>
      <c r="B1109" s="56" t="s">
        <v>2291</v>
      </c>
      <c r="C1109" s="56" t="s">
        <v>2311</v>
      </c>
      <c r="D1109" s="56" t="s">
        <v>2249</v>
      </c>
      <c r="E1109" s="74"/>
      <c r="F1109" s="56" t="s">
        <v>2335</v>
      </c>
      <c r="G1109" s="56" t="s">
        <v>2335</v>
      </c>
    </row>
    <row r="1110" spans="1:7">
      <c r="A1110" s="56" t="s">
        <v>2334</v>
      </c>
      <c r="B1110" s="56" t="s">
        <v>2291</v>
      </c>
      <c r="C1110" s="56" t="s">
        <v>2311</v>
      </c>
      <c r="D1110" s="56" t="s">
        <v>2667</v>
      </c>
      <c r="E1110" s="74" t="s">
        <v>2312</v>
      </c>
      <c r="F1110" s="56" t="s">
        <v>2228</v>
      </c>
      <c r="G1110" s="56" t="s">
        <v>2335</v>
      </c>
    </row>
    <row r="1111" spans="1:7" ht="17">
      <c r="A1111" s="274" t="s">
        <v>2336</v>
      </c>
      <c r="B1111" s="274" t="s">
        <v>2291</v>
      </c>
      <c r="C1111" s="274" t="s">
        <v>552</v>
      </c>
      <c r="D1111" s="274" t="s">
        <v>2249</v>
      </c>
      <c r="E1111" s="275"/>
      <c r="F1111" s="274" t="s">
        <v>2337</v>
      </c>
      <c r="G1111" s="274" t="s">
        <v>2337</v>
      </c>
    </row>
    <row r="1112" spans="1:7">
      <c r="A1112" s="56" t="s">
        <v>2479</v>
      </c>
      <c r="B1112" s="56" t="s">
        <v>2480</v>
      </c>
      <c r="C1112" s="56" t="s">
        <v>108</v>
      </c>
      <c r="D1112" s="56" t="s">
        <v>2667</v>
      </c>
      <c r="E1112" s="74" t="s">
        <v>108</v>
      </c>
      <c r="F1112" s="56" t="s">
        <v>2227</v>
      </c>
      <c r="G1112" s="56" t="s">
        <v>2481</v>
      </c>
    </row>
    <row r="1113" spans="1:7" ht="17">
      <c r="A1113" s="274" t="s">
        <v>2482</v>
      </c>
      <c r="B1113" s="274" t="s">
        <v>2480</v>
      </c>
      <c r="C1113" s="274" t="s">
        <v>108</v>
      </c>
      <c r="D1113" s="274" t="s">
        <v>2667</v>
      </c>
      <c r="E1113" s="275" t="s">
        <v>108</v>
      </c>
      <c r="F1113" s="274" t="s">
        <v>2227</v>
      </c>
      <c r="G1113" s="274" t="s">
        <v>2483</v>
      </c>
    </row>
    <row r="1114" spans="1:7">
      <c r="A1114" s="56" t="s">
        <v>2484</v>
      </c>
      <c r="B1114" s="56" t="s">
        <v>2382</v>
      </c>
      <c r="C1114" s="56" t="s">
        <v>2403</v>
      </c>
      <c r="D1114" s="56" t="s">
        <v>2667</v>
      </c>
      <c r="E1114" s="74" t="s">
        <v>2403</v>
      </c>
      <c r="F1114" s="56" t="s">
        <v>2227</v>
      </c>
      <c r="G1114" s="56" t="s">
        <v>2251</v>
      </c>
    </row>
    <row r="1115" spans="1:7">
      <c r="A1115" s="56" t="s">
        <v>2485</v>
      </c>
      <c r="B1115" s="56" t="s">
        <v>2486</v>
      </c>
      <c r="C1115" s="56" t="s">
        <v>2487</v>
      </c>
      <c r="D1115" s="56" t="s">
        <v>2667</v>
      </c>
      <c r="E1115" s="74" t="s">
        <v>108</v>
      </c>
      <c r="F1115" s="56" t="s">
        <v>2227</v>
      </c>
      <c r="G1115" s="56" t="s">
        <v>2251</v>
      </c>
    </row>
    <row r="1116" spans="1:7" ht="17">
      <c r="A1116" s="75" t="s">
        <v>2688</v>
      </c>
      <c r="B1116" s="75"/>
      <c r="C1116" s="75"/>
      <c r="D1116" s="75"/>
      <c r="E1116" s="76"/>
      <c r="F1116" s="75"/>
      <c r="G1116" s="75"/>
    </row>
    <row r="1117" spans="1:7" ht="17">
      <c r="A1117" s="274" t="s">
        <v>2489</v>
      </c>
      <c r="B1117" s="274" t="s">
        <v>2490</v>
      </c>
      <c r="C1117" s="274" t="s">
        <v>108</v>
      </c>
      <c r="D1117" s="274" t="s">
        <v>2667</v>
      </c>
      <c r="E1117" s="275" t="s">
        <v>108</v>
      </c>
      <c r="F1117" s="274" t="s">
        <v>2227</v>
      </c>
      <c r="G1117" s="274" t="s">
        <v>2251</v>
      </c>
    </row>
    <row r="1118" spans="1:7">
      <c r="A1118" s="56" t="s">
        <v>2491</v>
      </c>
      <c r="B1118" s="56" t="s">
        <v>2490</v>
      </c>
      <c r="C1118" s="56" t="s">
        <v>2403</v>
      </c>
      <c r="D1118" s="56" t="s">
        <v>2667</v>
      </c>
      <c r="E1118" s="74" t="s">
        <v>2403</v>
      </c>
      <c r="F1118" s="56" t="s">
        <v>2227</v>
      </c>
      <c r="G1118" s="56" t="s">
        <v>2492</v>
      </c>
    </row>
    <row r="1119" spans="1:7" ht="17">
      <c r="A1119" s="274" t="s">
        <v>2493</v>
      </c>
      <c r="B1119" s="274" t="s">
        <v>2494</v>
      </c>
      <c r="C1119" s="274" t="s">
        <v>2421</v>
      </c>
      <c r="D1119" s="274" t="s">
        <v>2667</v>
      </c>
      <c r="E1119" s="275" t="s">
        <v>108</v>
      </c>
      <c r="F1119" s="274" t="s">
        <v>2227</v>
      </c>
      <c r="G1119" s="274" t="s">
        <v>2495</v>
      </c>
    </row>
    <row r="1120" spans="1:7">
      <c r="A1120" s="56" t="s">
        <v>2496</v>
      </c>
      <c r="B1120" s="56" t="s">
        <v>2490</v>
      </c>
      <c r="C1120" s="56" t="s">
        <v>2497</v>
      </c>
      <c r="D1120" s="56" t="s">
        <v>2667</v>
      </c>
      <c r="E1120" s="74" t="s">
        <v>108</v>
      </c>
      <c r="F1120" s="56" t="s">
        <v>2227</v>
      </c>
      <c r="G1120" s="56" t="s">
        <v>2251</v>
      </c>
    </row>
    <row r="1121" spans="1:7">
      <c r="A1121" s="56" t="s">
        <v>2498</v>
      </c>
      <c r="B1121" s="56" t="s">
        <v>2490</v>
      </c>
      <c r="C1121" s="56" t="s">
        <v>2499</v>
      </c>
      <c r="D1121" s="56" t="s">
        <v>2667</v>
      </c>
      <c r="E1121" s="74" t="s">
        <v>108</v>
      </c>
      <c r="F1121" s="56" t="s">
        <v>2227</v>
      </c>
      <c r="G1121" s="56" t="s">
        <v>2500</v>
      </c>
    </row>
    <row r="1122" spans="1:7" ht="17">
      <c r="A1122" s="75" t="s">
        <v>2689</v>
      </c>
      <c r="B1122" s="75"/>
      <c r="C1122" s="75"/>
      <c r="D1122" s="75"/>
      <c r="E1122" s="76"/>
      <c r="F1122" s="75"/>
      <c r="G1122" s="75"/>
    </row>
    <row r="1123" spans="1:7">
      <c r="A1123" s="56" t="s">
        <v>2339</v>
      </c>
      <c r="B1123" s="56"/>
      <c r="C1123" s="56" t="s">
        <v>2285</v>
      </c>
      <c r="D1123" s="56" t="s">
        <v>2667</v>
      </c>
      <c r="E1123" s="74" t="s">
        <v>2287</v>
      </c>
      <c r="F1123" s="56" t="s">
        <v>2228</v>
      </c>
      <c r="G1123" s="56" t="s">
        <v>2340</v>
      </c>
    </row>
    <row r="1124" spans="1:7">
      <c r="A1124" s="56" t="s">
        <v>2502</v>
      </c>
      <c r="B1124" s="56" t="s">
        <v>2325</v>
      </c>
      <c r="C1124" s="56" t="s">
        <v>2503</v>
      </c>
      <c r="D1124" s="56" t="s">
        <v>2667</v>
      </c>
      <c r="E1124" s="74" t="s">
        <v>108</v>
      </c>
      <c r="F1124" s="56" t="s">
        <v>2227</v>
      </c>
      <c r="G1124" s="56" t="s">
        <v>2504</v>
      </c>
    </row>
    <row r="1125" spans="1:7">
      <c r="A1125" s="56" t="s">
        <v>2341</v>
      </c>
      <c r="B1125" s="56" t="s">
        <v>2342</v>
      </c>
      <c r="C1125" s="56" t="s">
        <v>2343</v>
      </c>
      <c r="D1125" s="56" t="s">
        <v>2249</v>
      </c>
      <c r="E1125" s="74"/>
      <c r="F1125" s="56" t="s">
        <v>2250</v>
      </c>
      <c r="G1125" s="56" t="s">
        <v>2344</v>
      </c>
    </row>
    <row r="1126" spans="1:7" ht="17">
      <c r="A1126" s="274" t="s">
        <v>2341</v>
      </c>
      <c r="B1126" s="274" t="s">
        <v>2342</v>
      </c>
      <c r="C1126" s="274" t="s">
        <v>2343</v>
      </c>
      <c r="D1126" s="274" t="s">
        <v>2667</v>
      </c>
      <c r="E1126" s="275" t="s">
        <v>108</v>
      </c>
      <c r="F1126" s="274" t="s">
        <v>2227</v>
      </c>
      <c r="G1126" s="274" t="s">
        <v>2344</v>
      </c>
    </row>
    <row r="1127" spans="1:7">
      <c r="A1127" s="56" t="s">
        <v>2345</v>
      </c>
      <c r="B1127" s="56" t="s">
        <v>2346</v>
      </c>
      <c r="C1127" s="56" t="s">
        <v>2285</v>
      </c>
      <c r="D1127" s="56" t="s">
        <v>2667</v>
      </c>
      <c r="E1127" s="74" t="s">
        <v>2287</v>
      </c>
      <c r="F1127" s="56" t="s">
        <v>2228</v>
      </c>
      <c r="G1127" s="56" t="s">
        <v>2347</v>
      </c>
    </row>
    <row r="1128" spans="1:7" ht="17">
      <c r="A1128" s="274" t="s">
        <v>2348</v>
      </c>
      <c r="B1128" s="274"/>
      <c r="C1128" s="274" t="s">
        <v>2292</v>
      </c>
      <c r="D1128" s="274" t="s">
        <v>2667</v>
      </c>
      <c r="E1128" s="275" t="s">
        <v>2293</v>
      </c>
      <c r="F1128" s="274" t="s">
        <v>2228</v>
      </c>
      <c r="G1128" s="274" t="s">
        <v>2251</v>
      </c>
    </row>
    <row r="1129" spans="1:7">
      <c r="A1129" s="56" t="s">
        <v>2505</v>
      </c>
      <c r="B1129" s="56" t="s">
        <v>2291</v>
      </c>
      <c r="C1129" s="56" t="s">
        <v>108</v>
      </c>
      <c r="D1129" s="56" t="s">
        <v>2667</v>
      </c>
      <c r="E1129" s="74" t="s">
        <v>108</v>
      </c>
      <c r="F1129" s="56" t="s">
        <v>2227</v>
      </c>
      <c r="G1129" s="56" t="s">
        <v>2251</v>
      </c>
    </row>
    <row r="1130" spans="1:7" ht="17">
      <c r="A1130" s="274" t="s">
        <v>2506</v>
      </c>
      <c r="B1130" s="274" t="s">
        <v>2346</v>
      </c>
      <c r="C1130" s="274" t="s">
        <v>2507</v>
      </c>
      <c r="D1130" s="274" t="s">
        <v>2667</v>
      </c>
      <c r="E1130" s="275" t="s">
        <v>2507</v>
      </c>
      <c r="F1130" s="274" t="s">
        <v>2227</v>
      </c>
      <c r="G1130" s="274" t="s">
        <v>2508</v>
      </c>
    </row>
    <row r="1131" spans="1:7" ht="17">
      <c r="A1131" s="75" t="s">
        <v>2690</v>
      </c>
      <c r="B1131" s="75"/>
      <c r="C1131" s="75"/>
      <c r="D1131" s="75"/>
      <c r="E1131" s="76"/>
      <c r="F1131" s="75"/>
      <c r="G1131" s="75"/>
    </row>
    <row r="1132" spans="1:7" ht="17">
      <c r="A1132" s="274" t="s">
        <v>2291</v>
      </c>
      <c r="B1132" s="274" t="s">
        <v>2291</v>
      </c>
      <c r="C1132" s="274" t="s">
        <v>2292</v>
      </c>
      <c r="D1132" s="274" t="s">
        <v>2515</v>
      </c>
      <c r="E1132" s="275" t="s">
        <v>2519</v>
      </c>
      <c r="F1132" s="274" t="s">
        <v>2234</v>
      </c>
      <c r="G1132" s="274" t="s">
        <v>2573</v>
      </c>
    </row>
    <row r="1133" spans="1:7">
      <c r="A1133" s="56" t="s">
        <v>2247</v>
      </c>
      <c r="B1133" s="56" t="s">
        <v>2248</v>
      </c>
      <c r="C1133" s="56"/>
      <c r="D1133" s="56" t="s">
        <v>2249</v>
      </c>
      <c r="E1133" s="74"/>
      <c r="F1133" s="56" t="s">
        <v>2250</v>
      </c>
      <c r="G1133" s="56" t="s">
        <v>2251</v>
      </c>
    </row>
    <row r="1134" spans="1:7">
      <c r="A1134" s="56" t="s">
        <v>2252</v>
      </c>
      <c r="B1134" s="56" t="s">
        <v>2248</v>
      </c>
      <c r="C1134" s="56"/>
      <c r="D1134" s="56" t="s">
        <v>2249</v>
      </c>
      <c r="E1134" s="74"/>
      <c r="F1134" s="56" t="s">
        <v>2250</v>
      </c>
      <c r="G1134" s="56" t="s">
        <v>2251</v>
      </c>
    </row>
    <row r="1135" spans="1:7" ht="17">
      <c r="A1135" s="75" t="s">
        <v>2691</v>
      </c>
      <c r="B1135" s="75"/>
      <c r="C1135" s="75"/>
      <c r="D1135" s="75"/>
      <c r="E1135" s="76"/>
      <c r="F1135" s="75"/>
      <c r="G1135" s="75"/>
    </row>
    <row r="1136" spans="1:7">
      <c r="A1136" s="56" t="s">
        <v>2254</v>
      </c>
      <c r="B1136" s="56" t="s">
        <v>2248</v>
      </c>
      <c r="C1136" s="56"/>
      <c r="D1136" s="56" t="s">
        <v>2249</v>
      </c>
      <c r="E1136" s="74"/>
      <c r="F1136" s="56" t="s">
        <v>2255</v>
      </c>
      <c r="G1136" s="56" t="s">
        <v>2251</v>
      </c>
    </row>
    <row r="1137" spans="1:7">
      <c r="A1137" s="56" t="s">
        <v>2256</v>
      </c>
      <c r="B1137" s="56" t="s">
        <v>2257</v>
      </c>
      <c r="C1137" s="56"/>
      <c r="D1137" s="56" t="s">
        <v>2249</v>
      </c>
      <c r="E1137" s="74"/>
      <c r="F1137" s="56" t="s">
        <v>2250</v>
      </c>
      <c r="G1137" s="56" t="s">
        <v>2251</v>
      </c>
    </row>
    <row r="1138" spans="1:7">
      <c r="A1138" s="56" t="s">
        <v>2258</v>
      </c>
      <c r="B1138" s="56" t="s">
        <v>2257</v>
      </c>
      <c r="C1138" s="56"/>
      <c r="D1138" s="56" t="s">
        <v>2249</v>
      </c>
      <c r="E1138" s="74"/>
      <c r="F1138" s="56" t="s">
        <v>2250</v>
      </c>
      <c r="G1138" s="56" t="s">
        <v>2251</v>
      </c>
    </row>
    <row r="1139" spans="1:7">
      <c r="A1139" s="56" t="s">
        <v>2259</v>
      </c>
      <c r="B1139" s="56" t="s">
        <v>2248</v>
      </c>
      <c r="C1139" s="56"/>
      <c r="D1139" s="56" t="s">
        <v>2249</v>
      </c>
      <c r="E1139" s="74"/>
      <c r="F1139" s="56" t="s">
        <v>2255</v>
      </c>
      <c r="G1139" s="56" t="s">
        <v>2251</v>
      </c>
    </row>
    <row r="1140" spans="1:7" ht="17">
      <c r="A1140" s="274" t="s">
        <v>2260</v>
      </c>
      <c r="B1140" s="274" t="s">
        <v>2257</v>
      </c>
      <c r="C1140" s="274"/>
      <c r="D1140" s="274" t="s">
        <v>2249</v>
      </c>
      <c r="E1140" s="275"/>
      <c r="F1140" s="274" t="s">
        <v>2250</v>
      </c>
      <c r="G1140" s="274" t="s">
        <v>2251</v>
      </c>
    </row>
    <row r="1141" spans="1:7">
      <c r="A1141" s="56" t="s">
        <v>2261</v>
      </c>
      <c r="B1141" s="56" t="s">
        <v>2248</v>
      </c>
      <c r="C1141" s="56"/>
      <c r="D1141" s="56" t="s">
        <v>2249</v>
      </c>
      <c r="E1141" s="74"/>
      <c r="F1141" s="56" t="s">
        <v>2250</v>
      </c>
      <c r="G1141" s="56" t="s">
        <v>2251</v>
      </c>
    </row>
    <row r="1142" spans="1:7" ht="17">
      <c r="A1142" s="274" t="s">
        <v>2262</v>
      </c>
      <c r="B1142" s="274" t="s">
        <v>2248</v>
      </c>
      <c r="C1142" s="274"/>
      <c r="D1142" s="274" t="s">
        <v>2249</v>
      </c>
      <c r="E1142" s="275"/>
      <c r="F1142" s="274" t="s">
        <v>2255</v>
      </c>
      <c r="G1142" s="274" t="s">
        <v>2251</v>
      </c>
    </row>
    <row r="1143" spans="1:7">
      <c r="A1143" s="56" t="s">
        <v>2263</v>
      </c>
      <c r="B1143" s="56" t="s">
        <v>2248</v>
      </c>
      <c r="C1143" s="56"/>
      <c r="D1143" s="56" t="s">
        <v>2249</v>
      </c>
      <c r="E1143" s="74"/>
      <c r="F1143" s="56" t="s">
        <v>2255</v>
      </c>
      <c r="G1143" s="56" t="s">
        <v>2251</v>
      </c>
    </row>
    <row r="1144" spans="1:7">
      <c r="A1144" s="56" t="s">
        <v>2264</v>
      </c>
      <c r="B1144" s="56" t="s">
        <v>2248</v>
      </c>
      <c r="C1144" s="56"/>
      <c r="D1144" s="56" t="s">
        <v>2249</v>
      </c>
      <c r="E1144" s="74"/>
      <c r="F1144" s="56" t="s">
        <v>2255</v>
      </c>
      <c r="G1144" s="56" t="s">
        <v>2251</v>
      </c>
    </row>
    <row r="1145" spans="1:7">
      <c r="A1145" s="56" t="s">
        <v>2265</v>
      </c>
      <c r="B1145" s="56" t="s">
        <v>2257</v>
      </c>
      <c r="C1145" s="56"/>
      <c r="D1145" s="56" t="s">
        <v>2249</v>
      </c>
      <c r="E1145" s="74"/>
      <c r="F1145" s="56" t="s">
        <v>2255</v>
      </c>
      <c r="G1145" s="56" t="s">
        <v>2251</v>
      </c>
    </row>
    <row r="1146" spans="1:7">
      <c r="A1146" s="56" t="s">
        <v>2291</v>
      </c>
      <c r="B1146" s="56" t="s">
        <v>2291</v>
      </c>
      <c r="C1146" s="56" t="s">
        <v>2292</v>
      </c>
      <c r="D1146" s="56" t="s">
        <v>2515</v>
      </c>
      <c r="E1146" s="74" t="s">
        <v>2519</v>
      </c>
      <c r="F1146" s="56" t="s">
        <v>2234</v>
      </c>
      <c r="G1146" s="56" t="s">
        <v>2575</v>
      </c>
    </row>
    <row r="1147" spans="1:7" ht="17">
      <c r="A1147" s="75" t="s">
        <v>2692</v>
      </c>
      <c r="B1147" s="75"/>
      <c r="C1147" s="75"/>
      <c r="D1147" s="75"/>
      <c r="E1147" s="76"/>
      <c r="F1147" s="75"/>
      <c r="G1147" s="75"/>
    </row>
    <row r="1148" spans="1:7" ht="17">
      <c r="A1148" s="274" t="s">
        <v>2291</v>
      </c>
      <c r="B1148" s="274" t="s">
        <v>2291</v>
      </c>
      <c r="C1148" s="274" t="s">
        <v>2292</v>
      </c>
      <c r="D1148" s="274" t="s">
        <v>2515</v>
      </c>
      <c r="E1148" s="275" t="s">
        <v>2519</v>
      </c>
      <c r="F1148" s="274" t="s">
        <v>2234</v>
      </c>
      <c r="G1148" s="274" t="s">
        <v>2573</v>
      </c>
    </row>
    <row r="1149" spans="1:7" ht="17">
      <c r="A1149" s="75" t="s">
        <v>2693</v>
      </c>
      <c r="B1149" s="75"/>
      <c r="C1149" s="75"/>
      <c r="D1149" s="75"/>
      <c r="E1149" s="76"/>
      <c r="F1149" s="75"/>
      <c r="G1149" s="75"/>
    </row>
    <row r="1150" spans="1:7" ht="17">
      <c r="A1150" s="274" t="s">
        <v>2291</v>
      </c>
      <c r="B1150" s="274" t="s">
        <v>2291</v>
      </c>
      <c r="C1150" s="274" t="s">
        <v>2292</v>
      </c>
      <c r="D1150" s="274" t="s">
        <v>2515</v>
      </c>
      <c r="E1150" s="275" t="s">
        <v>2519</v>
      </c>
      <c r="F1150" s="274" t="s">
        <v>2234</v>
      </c>
      <c r="G1150" s="274" t="s">
        <v>2578</v>
      </c>
    </row>
    <row r="1151" spans="1:7">
      <c r="A1151" s="56" t="s">
        <v>2267</v>
      </c>
      <c r="B1151" s="56" t="s">
        <v>2248</v>
      </c>
      <c r="C1151" s="56"/>
      <c r="D1151" s="56" t="s">
        <v>2249</v>
      </c>
      <c r="E1151" s="74"/>
      <c r="F1151" s="56" t="s">
        <v>2250</v>
      </c>
      <c r="G1151" s="56" t="s">
        <v>2251</v>
      </c>
    </row>
    <row r="1152" spans="1:7" ht="17">
      <c r="A1152" s="75" t="s">
        <v>2694</v>
      </c>
      <c r="B1152" s="75"/>
      <c r="C1152" s="75"/>
      <c r="D1152" s="75"/>
      <c r="E1152" s="76"/>
      <c r="F1152" s="75"/>
      <c r="G1152" s="75"/>
    </row>
    <row r="1153" spans="1:7">
      <c r="A1153" s="56" t="s">
        <v>2291</v>
      </c>
      <c r="B1153" s="56" t="s">
        <v>2291</v>
      </c>
      <c r="C1153" s="56" t="s">
        <v>2292</v>
      </c>
      <c r="D1153" s="56" t="s">
        <v>2515</v>
      </c>
      <c r="E1153" s="74" t="s">
        <v>2519</v>
      </c>
      <c r="F1153" s="56" t="s">
        <v>2234</v>
      </c>
      <c r="G1153" s="56" t="s">
        <v>2575</v>
      </c>
    </row>
    <row r="1154" spans="1:7" ht="17">
      <c r="A1154" s="75" t="s">
        <v>2695</v>
      </c>
      <c r="B1154" s="75"/>
      <c r="C1154" s="75"/>
      <c r="D1154" s="75"/>
      <c r="E1154" s="76"/>
      <c r="F1154" s="75"/>
      <c r="G1154" s="75"/>
    </row>
    <row r="1155" spans="1:7">
      <c r="A1155" s="56" t="s">
        <v>2291</v>
      </c>
      <c r="B1155" s="56" t="s">
        <v>2291</v>
      </c>
      <c r="C1155" s="56" t="s">
        <v>2292</v>
      </c>
      <c r="D1155" s="56" t="s">
        <v>2515</v>
      </c>
      <c r="E1155" s="74" t="s">
        <v>2519</v>
      </c>
      <c r="F1155" s="56" t="s">
        <v>2234</v>
      </c>
      <c r="G1155" s="56" t="s">
        <v>2575</v>
      </c>
    </row>
    <row r="1156" spans="1:7" ht="17">
      <c r="A1156" s="274" t="s">
        <v>2269</v>
      </c>
      <c r="B1156" s="274" t="s">
        <v>2248</v>
      </c>
      <c r="C1156" s="274"/>
      <c r="D1156" s="274" t="s">
        <v>2249</v>
      </c>
      <c r="E1156" s="275"/>
      <c r="F1156" s="274" t="s">
        <v>2250</v>
      </c>
      <c r="G1156" s="274" t="s">
        <v>2251</v>
      </c>
    </row>
    <row r="1157" spans="1:7">
      <c r="A1157" s="56" t="s">
        <v>2270</v>
      </c>
      <c r="B1157" s="56" t="s">
        <v>2248</v>
      </c>
      <c r="C1157" s="56"/>
      <c r="D1157" s="56" t="s">
        <v>2249</v>
      </c>
      <c r="E1157" s="74"/>
      <c r="F1157" s="56" t="s">
        <v>2250</v>
      </c>
      <c r="G1157" s="56" t="s">
        <v>2251</v>
      </c>
    </row>
    <row r="1158" spans="1:7" ht="17">
      <c r="A1158" s="274" t="s">
        <v>2271</v>
      </c>
      <c r="B1158" s="274" t="s">
        <v>2248</v>
      </c>
      <c r="C1158" s="274"/>
      <c r="D1158" s="274" t="s">
        <v>2249</v>
      </c>
      <c r="E1158" s="275"/>
      <c r="F1158" s="274" t="s">
        <v>2250</v>
      </c>
      <c r="G1158" s="274" t="s">
        <v>2251</v>
      </c>
    </row>
    <row r="1159" spans="1:7">
      <c r="A1159" s="56" t="s">
        <v>2272</v>
      </c>
      <c r="B1159" s="56" t="s">
        <v>2248</v>
      </c>
      <c r="C1159" s="56"/>
      <c r="D1159" s="56" t="s">
        <v>2249</v>
      </c>
      <c r="E1159" s="74"/>
      <c r="F1159" s="56" t="s">
        <v>2250</v>
      </c>
      <c r="G1159" s="56" t="s">
        <v>2251</v>
      </c>
    </row>
    <row r="1160" spans="1:7">
      <c r="A1160" s="56" t="s">
        <v>2273</v>
      </c>
      <c r="B1160" s="56" t="s">
        <v>2248</v>
      </c>
      <c r="C1160" s="56"/>
      <c r="D1160" s="56" t="s">
        <v>2249</v>
      </c>
      <c r="E1160" s="74"/>
      <c r="F1160" s="56" t="s">
        <v>2250</v>
      </c>
      <c r="G1160" s="56" t="s">
        <v>2251</v>
      </c>
    </row>
    <row r="1161" spans="1:7">
      <c r="A1161" s="56" t="s">
        <v>2274</v>
      </c>
      <c r="B1161" s="56" t="s">
        <v>2248</v>
      </c>
      <c r="C1161" s="56"/>
      <c r="D1161" s="56" t="s">
        <v>2249</v>
      </c>
      <c r="E1161" s="74"/>
      <c r="F1161" s="56" t="s">
        <v>2250</v>
      </c>
      <c r="G1161" s="56" t="s">
        <v>2251</v>
      </c>
    </row>
    <row r="1162" spans="1:7">
      <c r="A1162" s="56" t="s">
        <v>2275</v>
      </c>
      <c r="B1162" s="56" t="s">
        <v>2248</v>
      </c>
      <c r="C1162" s="56"/>
      <c r="D1162" s="56" t="s">
        <v>2249</v>
      </c>
      <c r="E1162" s="74"/>
      <c r="F1162" s="56" t="s">
        <v>2250</v>
      </c>
      <c r="G1162" s="56" t="s">
        <v>2251</v>
      </c>
    </row>
    <row r="1163" spans="1:7">
      <c r="A1163" s="56" t="s">
        <v>2276</v>
      </c>
      <c r="B1163" s="56" t="s">
        <v>2248</v>
      </c>
      <c r="C1163" s="56"/>
      <c r="D1163" s="56" t="s">
        <v>2249</v>
      </c>
      <c r="E1163" s="74"/>
      <c r="F1163" s="56" t="s">
        <v>2250</v>
      </c>
      <c r="G1163" s="56" t="s">
        <v>2251</v>
      </c>
    </row>
    <row r="1164" spans="1:7" ht="17">
      <c r="A1164" s="75" t="s">
        <v>2696</v>
      </c>
      <c r="B1164" s="75"/>
      <c r="C1164" s="75"/>
      <c r="D1164" s="75"/>
      <c r="E1164" s="76"/>
      <c r="F1164" s="75"/>
      <c r="G1164" s="75"/>
    </row>
    <row r="1165" spans="1:7">
      <c r="A1165" s="56" t="s">
        <v>2291</v>
      </c>
      <c r="B1165" s="56" t="s">
        <v>2291</v>
      </c>
      <c r="C1165" s="56" t="s">
        <v>2292</v>
      </c>
      <c r="D1165" s="56" t="s">
        <v>2515</v>
      </c>
      <c r="E1165" s="74" t="s">
        <v>2519</v>
      </c>
      <c r="F1165" s="56" t="s">
        <v>2234</v>
      </c>
      <c r="G1165" s="56" t="s">
        <v>2575</v>
      </c>
    </row>
    <row r="1166" spans="1:7">
      <c r="A1166" s="56" t="s">
        <v>2278</v>
      </c>
      <c r="B1166" s="56" t="s">
        <v>2279</v>
      </c>
      <c r="C1166" s="56"/>
      <c r="D1166" s="56" t="s">
        <v>2249</v>
      </c>
      <c r="E1166" s="74"/>
      <c r="F1166" s="56" t="s">
        <v>2280</v>
      </c>
      <c r="G1166" s="56" t="s">
        <v>2251</v>
      </c>
    </row>
    <row r="1167" spans="1:7">
      <c r="A1167" s="56" t="s">
        <v>2281</v>
      </c>
      <c r="B1167" s="56" t="s">
        <v>2248</v>
      </c>
      <c r="C1167" s="56"/>
      <c r="D1167" s="56" t="s">
        <v>2249</v>
      </c>
      <c r="E1167" s="74"/>
      <c r="F1167" s="56" t="s">
        <v>2250</v>
      </c>
      <c r="G1167" s="56" t="s">
        <v>2251</v>
      </c>
    </row>
    <row r="1168" spans="1:7" ht="17">
      <c r="A1168" s="75" t="s">
        <v>2697</v>
      </c>
      <c r="B1168" s="75"/>
      <c r="C1168" s="75"/>
      <c r="D1168" s="75"/>
      <c r="E1168" s="76"/>
      <c r="F1168" s="75"/>
      <c r="G1168" s="75"/>
    </row>
    <row r="1169" spans="1:7">
      <c r="A1169" s="56" t="s">
        <v>2291</v>
      </c>
      <c r="B1169" s="56" t="s">
        <v>2291</v>
      </c>
      <c r="C1169" s="56" t="s">
        <v>2292</v>
      </c>
      <c r="D1169" s="56" t="s">
        <v>2515</v>
      </c>
      <c r="E1169" s="74" t="s">
        <v>2519</v>
      </c>
      <c r="F1169" s="56" t="s">
        <v>2234</v>
      </c>
      <c r="G1169" s="56" t="s">
        <v>2575</v>
      </c>
    </row>
    <row r="1170" spans="1:7" ht="17">
      <c r="A1170" s="75" t="s">
        <v>2698</v>
      </c>
      <c r="B1170" s="75"/>
      <c r="C1170" s="75"/>
      <c r="D1170" s="75"/>
      <c r="E1170" s="76"/>
      <c r="F1170" s="75"/>
      <c r="G1170" s="75"/>
    </row>
    <row r="1171" spans="1:7">
      <c r="A1171" s="56" t="s">
        <v>2355</v>
      </c>
      <c r="B1171" s="56" t="s">
        <v>2356</v>
      </c>
      <c r="C1171" s="56" t="s">
        <v>1565</v>
      </c>
      <c r="D1171" s="56" t="s">
        <v>2515</v>
      </c>
      <c r="E1171" s="74" t="s">
        <v>1565</v>
      </c>
      <c r="F1171" s="56" t="s">
        <v>2102</v>
      </c>
      <c r="G1171" s="56" t="s">
        <v>2358</v>
      </c>
    </row>
    <row r="1172" spans="1:7">
      <c r="A1172" s="56" t="s">
        <v>2516</v>
      </c>
      <c r="B1172" s="56" t="s">
        <v>2291</v>
      </c>
      <c r="C1172" s="56" t="s">
        <v>1215</v>
      </c>
      <c r="D1172" s="56" t="s">
        <v>2515</v>
      </c>
      <c r="E1172" s="74" t="s">
        <v>1215</v>
      </c>
      <c r="F1172" s="56" t="s">
        <v>2237</v>
      </c>
      <c r="G1172" s="56" t="s">
        <v>2251</v>
      </c>
    </row>
    <row r="1173" spans="1:7">
      <c r="A1173" s="56" t="s">
        <v>2398</v>
      </c>
      <c r="B1173" s="56"/>
      <c r="C1173" s="56" t="s">
        <v>2399</v>
      </c>
      <c r="D1173" s="56" t="s">
        <v>2515</v>
      </c>
      <c r="E1173" s="74" t="s">
        <v>2517</v>
      </c>
      <c r="F1173" s="56" t="s">
        <v>2237</v>
      </c>
      <c r="G1173" s="56" t="s">
        <v>2251</v>
      </c>
    </row>
    <row r="1174" spans="1:7">
      <c r="A1174" s="56" t="s">
        <v>2400</v>
      </c>
      <c r="B1174" s="56" t="s">
        <v>2284</v>
      </c>
      <c r="C1174" s="56" t="s">
        <v>108</v>
      </c>
      <c r="D1174" s="56" t="s">
        <v>2515</v>
      </c>
      <c r="E1174" s="74" t="s">
        <v>108</v>
      </c>
      <c r="F1174" s="56" t="s">
        <v>2237</v>
      </c>
      <c r="G1174" s="56" t="s">
        <v>2251</v>
      </c>
    </row>
    <row r="1175" spans="1:7">
      <c r="A1175" s="56" t="s">
        <v>2401</v>
      </c>
      <c r="B1175" s="56" t="s">
        <v>2402</v>
      </c>
      <c r="C1175" s="56" t="s">
        <v>2403</v>
      </c>
      <c r="D1175" s="56" t="s">
        <v>2515</v>
      </c>
      <c r="E1175" s="74" t="s">
        <v>2403</v>
      </c>
      <c r="F1175" s="56" t="s">
        <v>2237</v>
      </c>
      <c r="G1175" s="56" t="s">
        <v>2404</v>
      </c>
    </row>
    <row r="1176" spans="1:7">
      <c r="A1176" s="56" t="s">
        <v>2405</v>
      </c>
      <c r="B1176" s="56"/>
      <c r="C1176" s="56" t="s">
        <v>108</v>
      </c>
      <c r="D1176" s="56" t="s">
        <v>2515</v>
      </c>
      <c r="E1176" s="74" t="s">
        <v>108</v>
      </c>
      <c r="F1176" s="56" t="s">
        <v>2237</v>
      </c>
      <c r="G1176" s="56" t="s">
        <v>2251</v>
      </c>
    </row>
    <row r="1177" spans="1:7" ht="17">
      <c r="A1177" s="75" t="s">
        <v>2699</v>
      </c>
      <c r="B1177" s="75"/>
      <c r="C1177" s="75"/>
      <c r="D1177" s="75"/>
      <c r="E1177" s="76"/>
      <c r="F1177" s="75"/>
      <c r="G1177" s="75"/>
    </row>
    <row r="1178" spans="1:7">
      <c r="A1178" s="56" t="s">
        <v>2407</v>
      </c>
      <c r="B1178" s="56" t="s">
        <v>2296</v>
      </c>
      <c r="C1178" s="56" t="s">
        <v>108</v>
      </c>
      <c r="D1178" s="56" t="s">
        <v>2515</v>
      </c>
      <c r="E1178" s="74" t="s">
        <v>108</v>
      </c>
      <c r="F1178" s="56" t="s">
        <v>2237</v>
      </c>
      <c r="G1178" s="56" t="s">
        <v>2251</v>
      </c>
    </row>
    <row r="1179" spans="1:7">
      <c r="A1179" s="56" t="s">
        <v>2409</v>
      </c>
      <c r="B1179" s="56" t="s">
        <v>2410</v>
      </c>
      <c r="C1179" s="56" t="s">
        <v>108</v>
      </c>
      <c r="D1179" s="56" t="s">
        <v>2515</v>
      </c>
      <c r="E1179" s="74" t="s">
        <v>108</v>
      </c>
      <c r="F1179" s="56" t="s">
        <v>2237</v>
      </c>
      <c r="G1179" s="56" t="s">
        <v>2411</v>
      </c>
    </row>
    <row r="1180" spans="1:7">
      <c r="A1180" s="56" t="s">
        <v>2412</v>
      </c>
      <c r="B1180" s="56" t="s">
        <v>2410</v>
      </c>
      <c r="C1180" s="56" t="s">
        <v>108</v>
      </c>
      <c r="D1180" s="56" t="s">
        <v>2515</v>
      </c>
      <c r="E1180" s="74" t="s">
        <v>108</v>
      </c>
      <c r="F1180" s="56" t="s">
        <v>2237</v>
      </c>
      <c r="G1180" s="56" t="s">
        <v>2251</v>
      </c>
    </row>
    <row r="1181" spans="1:7">
      <c r="A1181" s="56" t="s">
        <v>2290</v>
      </c>
      <c r="B1181" s="56" t="s">
        <v>2291</v>
      </c>
      <c r="C1181" s="56" t="s">
        <v>2292</v>
      </c>
      <c r="D1181" s="56" t="s">
        <v>2515</v>
      </c>
      <c r="E1181" s="74" t="s">
        <v>2519</v>
      </c>
      <c r="F1181" s="56" t="s">
        <v>2234</v>
      </c>
      <c r="G1181" s="56" t="s">
        <v>2251</v>
      </c>
    </row>
    <row r="1182" spans="1:7">
      <c r="A1182" s="56" t="s">
        <v>2414</v>
      </c>
      <c r="B1182" s="56" t="s">
        <v>2415</v>
      </c>
      <c r="C1182" s="56" t="s">
        <v>108</v>
      </c>
      <c r="D1182" s="56" t="s">
        <v>2515</v>
      </c>
      <c r="E1182" s="74" t="s">
        <v>108</v>
      </c>
      <c r="F1182" s="56" t="s">
        <v>2237</v>
      </c>
      <c r="G1182" s="56" t="s">
        <v>2416</v>
      </c>
    </row>
    <row r="1183" spans="1:7" ht="17">
      <c r="A1183" s="75" t="s">
        <v>2700</v>
      </c>
      <c r="B1183" s="75"/>
      <c r="C1183" s="75"/>
      <c r="D1183" s="75"/>
      <c r="E1183" s="76"/>
      <c r="F1183" s="75"/>
      <c r="G1183" s="75"/>
    </row>
    <row r="1184" spans="1:7">
      <c r="A1184" s="56" t="s">
        <v>2418</v>
      </c>
      <c r="B1184" s="56" t="s">
        <v>2363</v>
      </c>
      <c r="C1184" s="56" t="s">
        <v>108</v>
      </c>
      <c r="D1184" s="56" t="s">
        <v>2515</v>
      </c>
      <c r="E1184" s="74" t="s">
        <v>108</v>
      </c>
      <c r="F1184" s="56" t="s">
        <v>2237</v>
      </c>
      <c r="G1184" s="56" t="s">
        <v>2251</v>
      </c>
    </row>
    <row r="1185" spans="1:7">
      <c r="A1185" s="56" t="s">
        <v>2362</v>
      </c>
      <c r="B1185" s="56" t="s">
        <v>2363</v>
      </c>
      <c r="C1185" s="56" t="s">
        <v>2364</v>
      </c>
      <c r="D1185" s="56" t="s">
        <v>2515</v>
      </c>
      <c r="E1185" s="74" t="s">
        <v>108</v>
      </c>
      <c r="F1185" s="56" t="s">
        <v>2237</v>
      </c>
      <c r="G1185" s="56" t="s">
        <v>2251</v>
      </c>
    </row>
    <row r="1186" spans="1:7">
      <c r="A1186" s="56" t="s">
        <v>2420</v>
      </c>
      <c r="B1186" s="56" t="s">
        <v>2363</v>
      </c>
      <c r="C1186" s="56" t="s">
        <v>2421</v>
      </c>
      <c r="D1186" s="56" t="s">
        <v>2515</v>
      </c>
      <c r="E1186" s="74" t="s">
        <v>108</v>
      </c>
      <c r="F1186" s="56" t="s">
        <v>2237</v>
      </c>
      <c r="G1186" s="56" t="s">
        <v>2422</v>
      </c>
    </row>
    <row r="1187" spans="1:7">
      <c r="A1187" s="56" t="s">
        <v>2423</v>
      </c>
      <c r="B1187" s="56" t="s">
        <v>2363</v>
      </c>
      <c r="C1187" s="56" t="s">
        <v>108</v>
      </c>
      <c r="D1187" s="56" t="s">
        <v>2515</v>
      </c>
      <c r="E1187" s="74" t="s">
        <v>108</v>
      </c>
      <c r="F1187" s="56" t="s">
        <v>2237</v>
      </c>
      <c r="G1187" s="56" t="s">
        <v>2251</v>
      </c>
    </row>
    <row r="1188" spans="1:7" ht="17">
      <c r="A1188" s="75" t="s">
        <v>2701</v>
      </c>
      <c r="B1188" s="75"/>
      <c r="C1188" s="75"/>
      <c r="D1188" s="75"/>
      <c r="E1188" s="76"/>
      <c r="F1188" s="75"/>
      <c r="G1188" s="75"/>
    </row>
    <row r="1189" spans="1:7">
      <c r="A1189" s="56" t="s">
        <v>2425</v>
      </c>
      <c r="B1189" s="56" t="s">
        <v>2426</v>
      </c>
      <c r="C1189" s="56" t="s">
        <v>2427</v>
      </c>
      <c r="D1189" s="56" t="s">
        <v>2515</v>
      </c>
      <c r="E1189" s="74" t="s">
        <v>108</v>
      </c>
      <c r="F1189" s="56" t="s">
        <v>2237</v>
      </c>
      <c r="G1189" s="56" t="s">
        <v>2251</v>
      </c>
    </row>
    <row r="1190" spans="1:7">
      <c r="A1190" s="56" t="s">
        <v>2369</v>
      </c>
      <c r="B1190" s="56"/>
      <c r="C1190" s="56" t="s">
        <v>552</v>
      </c>
      <c r="D1190" s="56" t="s">
        <v>2515</v>
      </c>
      <c r="E1190" s="74" t="s">
        <v>552</v>
      </c>
      <c r="F1190" s="56" t="s">
        <v>2102</v>
      </c>
      <c r="G1190" s="56" t="s">
        <v>2370</v>
      </c>
    </row>
    <row r="1191" spans="1:7">
      <c r="A1191" s="56" t="s">
        <v>2428</v>
      </c>
      <c r="B1191" s="56" t="s">
        <v>2426</v>
      </c>
      <c r="C1191" s="56" t="s">
        <v>2429</v>
      </c>
      <c r="D1191" s="56" t="s">
        <v>2515</v>
      </c>
      <c r="E1191" s="74" t="s">
        <v>108</v>
      </c>
      <c r="F1191" s="56" t="s">
        <v>2237</v>
      </c>
      <c r="G1191" s="56" t="s">
        <v>2251</v>
      </c>
    </row>
    <row r="1192" spans="1:7">
      <c r="A1192" s="56" t="s">
        <v>2430</v>
      </c>
      <c r="B1192" s="56" t="s">
        <v>2431</v>
      </c>
      <c r="C1192" s="56" t="s">
        <v>108</v>
      </c>
      <c r="D1192" s="56" t="s">
        <v>2515</v>
      </c>
      <c r="E1192" s="74" t="s">
        <v>108</v>
      </c>
      <c r="F1192" s="56" t="s">
        <v>2237</v>
      </c>
      <c r="G1192" s="56" t="s">
        <v>2432</v>
      </c>
    </row>
    <row r="1193" spans="1:7">
      <c r="A1193" s="56" t="s">
        <v>2433</v>
      </c>
      <c r="B1193" s="56" t="s">
        <v>2431</v>
      </c>
      <c r="C1193" s="56" t="s">
        <v>108</v>
      </c>
      <c r="D1193" s="56" t="s">
        <v>2515</v>
      </c>
      <c r="E1193" s="74" t="s">
        <v>108</v>
      </c>
      <c r="F1193" s="56" t="s">
        <v>2237</v>
      </c>
      <c r="G1193" s="56" t="s">
        <v>2251</v>
      </c>
    </row>
    <row r="1194" spans="1:7" ht="17">
      <c r="A1194" s="75" t="s">
        <v>2702</v>
      </c>
      <c r="B1194" s="75"/>
      <c r="C1194" s="75"/>
      <c r="D1194" s="75"/>
      <c r="E1194" s="76"/>
      <c r="F1194" s="75"/>
      <c r="G1194" s="75"/>
    </row>
    <row r="1195" spans="1:7">
      <c r="A1195" s="56" t="s">
        <v>2435</v>
      </c>
      <c r="B1195" s="56" t="s">
        <v>2436</v>
      </c>
      <c r="C1195" s="56" t="s">
        <v>108</v>
      </c>
      <c r="D1195" s="56" t="s">
        <v>2515</v>
      </c>
      <c r="E1195" s="74" t="s">
        <v>108</v>
      </c>
      <c r="F1195" s="56" t="s">
        <v>2237</v>
      </c>
      <c r="G1195" s="56" t="s">
        <v>2437</v>
      </c>
    </row>
    <row r="1196" spans="1:7">
      <c r="A1196" s="56" t="s">
        <v>2295</v>
      </c>
      <c r="B1196" s="56" t="s">
        <v>2296</v>
      </c>
      <c r="C1196" s="56" t="s">
        <v>2297</v>
      </c>
      <c r="D1196" s="56" t="s">
        <v>2515</v>
      </c>
      <c r="E1196" s="74" t="s">
        <v>2519</v>
      </c>
      <c r="F1196" s="56" t="s">
        <v>2234</v>
      </c>
      <c r="G1196" s="56" t="s">
        <v>2251</v>
      </c>
    </row>
    <row r="1197" spans="1:7">
      <c r="A1197" s="56" t="s">
        <v>2298</v>
      </c>
      <c r="B1197" s="56" t="s">
        <v>2296</v>
      </c>
      <c r="C1197" s="56" t="s">
        <v>2292</v>
      </c>
      <c r="D1197" s="56" t="s">
        <v>2515</v>
      </c>
      <c r="E1197" s="74" t="s">
        <v>2519</v>
      </c>
      <c r="F1197" s="56" t="s">
        <v>2234</v>
      </c>
      <c r="G1197" s="56" t="s">
        <v>2251</v>
      </c>
    </row>
    <row r="1198" spans="1:7">
      <c r="A1198" s="56" t="s">
        <v>2299</v>
      </c>
      <c r="B1198" s="56" t="s">
        <v>2296</v>
      </c>
      <c r="C1198" s="56" t="s">
        <v>2292</v>
      </c>
      <c r="D1198" s="56" t="s">
        <v>2515</v>
      </c>
      <c r="E1198" s="74" t="s">
        <v>2519</v>
      </c>
      <c r="F1198" s="56" t="s">
        <v>2234</v>
      </c>
      <c r="G1198" s="56" t="s">
        <v>2251</v>
      </c>
    </row>
    <row r="1199" spans="1:7">
      <c r="A1199" s="56" t="s">
        <v>2300</v>
      </c>
      <c r="B1199" s="56" t="s">
        <v>2301</v>
      </c>
      <c r="C1199" s="56" t="s">
        <v>2292</v>
      </c>
      <c r="D1199" s="56" t="s">
        <v>2515</v>
      </c>
      <c r="E1199" s="74" t="s">
        <v>2519</v>
      </c>
      <c r="F1199" s="56" t="s">
        <v>2234</v>
      </c>
      <c r="G1199" s="56" t="s">
        <v>2251</v>
      </c>
    </row>
    <row r="1200" spans="1:7">
      <c r="A1200" s="56" t="s">
        <v>2302</v>
      </c>
      <c r="B1200" s="56"/>
      <c r="C1200" s="56" t="s">
        <v>2292</v>
      </c>
      <c r="D1200" s="56" t="s">
        <v>2515</v>
      </c>
      <c r="E1200" s="74" t="s">
        <v>2519</v>
      </c>
      <c r="F1200" s="56" t="s">
        <v>2234</v>
      </c>
      <c r="G1200" s="56" t="s">
        <v>2251</v>
      </c>
    </row>
    <row r="1201" spans="1:7">
      <c r="A1201" s="56" t="s">
        <v>2303</v>
      </c>
      <c r="B1201" s="56"/>
      <c r="C1201" s="56" t="s">
        <v>2292</v>
      </c>
      <c r="D1201" s="56" t="s">
        <v>2515</v>
      </c>
      <c r="E1201" s="74" t="s">
        <v>2519</v>
      </c>
      <c r="F1201" s="56" t="s">
        <v>2234</v>
      </c>
      <c r="G1201" s="56" t="s">
        <v>2251</v>
      </c>
    </row>
    <row r="1202" spans="1:7">
      <c r="A1202" s="56" t="s">
        <v>2304</v>
      </c>
      <c r="B1202" s="56"/>
      <c r="C1202" s="56" t="s">
        <v>2292</v>
      </c>
      <c r="D1202" s="56" t="s">
        <v>2515</v>
      </c>
      <c r="E1202" s="74" t="s">
        <v>2519</v>
      </c>
      <c r="F1202" s="56" t="s">
        <v>2234</v>
      </c>
      <c r="G1202" s="56" t="s">
        <v>2251</v>
      </c>
    </row>
    <row r="1203" spans="1:7" ht="17">
      <c r="A1203" s="75" t="s">
        <v>2703</v>
      </c>
      <c r="B1203" s="75"/>
      <c r="C1203" s="75"/>
      <c r="D1203" s="75"/>
      <c r="E1203" s="76"/>
      <c r="F1203" s="75"/>
      <c r="G1203" s="75"/>
    </row>
    <row r="1204" spans="1:7">
      <c r="A1204" s="56" t="s">
        <v>2439</v>
      </c>
      <c r="B1204" s="56" t="s">
        <v>2440</v>
      </c>
      <c r="C1204" s="56" t="s">
        <v>108</v>
      </c>
      <c r="D1204" s="56" t="s">
        <v>2515</v>
      </c>
      <c r="E1204" s="74" t="s">
        <v>108</v>
      </c>
      <c r="F1204" s="56" t="s">
        <v>2237</v>
      </c>
      <c r="G1204" s="56" t="s">
        <v>2251</v>
      </c>
    </row>
    <row r="1205" spans="1:7">
      <c r="A1205" s="56" t="s">
        <v>2441</v>
      </c>
      <c r="B1205" s="56" t="s">
        <v>2442</v>
      </c>
      <c r="C1205" s="56" t="s">
        <v>2427</v>
      </c>
      <c r="D1205" s="56" t="s">
        <v>2515</v>
      </c>
      <c r="E1205" s="74" t="s">
        <v>108</v>
      </c>
      <c r="F1205" s="56" t="s">
        <v>2237</v>
      </c>
      <c r="G1205" s="56" t="s">
        <v>2251</v>
      </c>
    </row>
    <row r="1206" spans="1:7">
      <c r="A1206" s="56" t="s">
        <v>2443</v>
      </c>
      <c r="B1206" s="56" t="s">
        <v>2440</v>
      </c>
      <c r="C1206" s="56" t="s">
        <v>2444</v>
      </c>
      <c r="D1206" s="56" t="s">
        <v>2515</v>
      </c>
      <c r="E1206" s="74" t="s">
        <v>108</v>
      </c>
      <c r="F1206" s="56" t="s">
        <v>2237</v>
      </c>
      <c r="G1206" s="56" t="s">
        <v>2445</v>
      </c>
    </row>
    <row r="1207" spans="1:7">
      <c r="A1207" s="56" t="s">
        <v>2306</v>
      </c>
      <c r="B1207" s="56" t="s">
        <v>2291</v>
      </c>
      <c r="C1207" s="56" t="s">
        <v>2307</v>
      </c>
      <c r="D1207" s="56" t="s">
        <v>2515</v>
      </c>
      <c r="E1207" s="74" t="s">
        <v>108</v>
      </c>
      <c r="F1207" s="56" t="s">
        <v>2237</v>
      </c>
      <c r="G1207" s="56" t="s">
        <v>2251</v>
      </c>
    </row>
    <row r="1208" spans="1:7">
      <c r="A1208" s="56" t="s">
        <v>2310</v>
      </c>
      <c r="B1208" s="56" t="s">
        <v>2291</v>
      </c>
      <c r="C1208" s="56" t="s">
        <v>2311</v>
      </c>
      <c r="D1208" s="56" t="s">
        <v>2515</v>
      </c>
      <c r="E1208" s="74" t="s">
        <v>2373</v>
      </c>
      <c r="F1208" s="56" t="s">
        <v>2234</v>
      </c>
      <c r="G1208" s="56" t="s">
        <v>2251</v>
      </c>
    </row>
    <row r="1209" spans="1:7">
      <c r="A1209" s="56" t="s">
        <v>2313</v>
      </c>
      <c r="B1209" s="56" t="s">
        <v>2291</v>
      </c>
      <c r="C1209" s="56" t="s">
        <v>2292</v>
      </c>
      <c r="D1209" s="56" t="s">
        <v>2515</v>
      </c>
      <c r="E1209" s="74" t="s">
        <v>2519</v>
      </c>
      <c r="F1209" s="56" t="s">
        <v>2234</v>
      </c>
      <c r="G1209" s="56" t="s">
        <v>2251</v>
      </c>
    </row>
    <row r="1210" spans="1:7">
      <c r="A1210" s="56" t="s">
        <v>2314</v>
      </c>
      <c r="B1210" s="56" t="s">
        <v>2291</v>
      </c>
      <c r="C1210" s="56" t="s">
        <v>2292</v>
      </c>
      <c r="D1210" s="56" t="s">
        <v>2515</v>
      </c>
      <c r="E1210" s="74" t="s">
        <v>2519</v>
      </c>
      <c r="F1210" s="56" t="s">
        <v>2234</v>
      </c>
      <c r="G1210" s="56" t="s">
        <v>2251</v>
      </c>
    </row>
    <row r="1211" spans="1:7">
      <c r="A1211" s="56" t="s">
        <v>2447</v>
      </c>
      <c r="B1211" s="56" t="s">
        <v>2440</v>
      </c>
      <c r="C1211" s="56" t="s">
        <v>2403</v>
      </c>
      <c r="D1211" s="56" t="s">
        <v>2515</v>
      </c>
      <c r="E1211" s="74" t="s">
        <v>2403</v>
      </c>
      <c r="F1211" s="56" t="s">
        <v>2237</v>
      </c>
      <c r="G1211" s="56" t="s">
        <v>2251</v>
      </c>
    </row>
    <row r="1212" spans="1:7">
      <c r="A1212" s="56" t="s">
        <v>2448</v>
      </c>
      <c r="B1212" s="56" t="s">
        <v>2449</v>
      </c>
      <c r="C1212" s="56" t="s">
        <v>108</v>
      </c>
      <c r="D1212" s="56" t="s">
        <v>2515</v>
      </c>
      <c r="E1212" s="74" t="s">
        <v>108</v>
      </c>
      <c r="F1212" s="56" t="s">
        <v>2237</v>
      </c>
      <c r="G1212" s="56" t="s">
        <v>2251</v>
      </c>
    </row>
    <row r="1213" spans="1:7" ht="17">
      <c r="A1213" s="75" t="s">
        <v>2704</v>
      </c>
      <c r="B1213" s="75"/>
      <c r="C1213" s="75"/>
      <c r="D1213" s="75"/>
      <c r="E1213" s="76"/>
      <c r="F1213" s="75"/>
      <c r="G1213" s="75"/>
    </row>
    <row r="1214" spans="1:7">
      <c r="A1214" s="56" t="s">
        <v>2451</v>
      </c>
      <c r="B1214" s="56"/>
      <c r="C1214" s="56" t="s">
        <v>2403</v>
      </c>
      <c r="D1214" s="56" t="s">
        <v>2515</v>
      </c>
      <c r="E1214" s="74" t="s">
        <v>2403</v>
      </c>
      <c r="F1214" s="56" t="s">
        <v>2237</v>
      </c>
      <c r="G1214" s="56" t="s">
        <v>2251</v>
      </c>
    </row>
    <row r="1215" spans="1:7">
      <c r="A1215" s="56" t="s">
        <v>2375</v>
      </c>
      <c r="B1215" s="56"/>
      <c r="C1215" s="56" t="s">
        <v>2376</v>
      </c>
      <c r="D1215" s="56" t="s">
        <v>2515</v>
      </c>
      <c r="E1215" s="74" t="s">
        <v>2376</v>
      </c>
      <c r="F1215" s="56" t="s">
        <v>2102</v>
      </c>
      <c r="G1215" s="56" t="s">
        <v>2251</v>
      </c>
    </row>
    <row r="1216" spans="1:7">
      <c r="A1216" s="56" t="s">
        <v>2452</v>
      </c>
      <c r="B1216" s="56" t="s">
        <v>2440</v>
      </c>
      <c r="C1216" s="56" t="s">
        <v>108</v>
      </c>
      <c r="D1216" s="56" t="s">
        <v>2515</v>
      </c>
      <c r="E1216" s="74" t="s">
        <v>108</v>
      </c>
      <c r="F1216" s="56" t="s">
        <v>2237</v>
      </c>
      <c r="G1216" s="56" t="s">
        <v>2251</v>
      </c>
    </row>
    <row r="1217" spans="1:7">
      <c r="A1217" s="56" t="s">
        <v>2453</v>
      </c>
      <c r="B1217" s="56" t="s">
        <v>2440</v>
      </c>
      <c r="C1217" s="56" t="s">
        <v>108</v>
      </c>
      <c r="D1217" s="56" t="s">
        <v>2515</v>
      </c>
      <c r="E1217" s="74" t="s">
        <v>108</v>
      </c>
      <c r="F1217" s="56" t="s">
        <v>2237</v>
      </c>
      <c r="G1217" s="56" t="s">
        <v>2251</v>
      </c>
    </row>
    <row r="1218" spans="1:7">
      <c r="A1218" s="56" t="s">
        <v>2454</v>
      </c>
      <c r="B1218" s="56" t="s">
        <v>2301</v>
      </c>
      <c r="C1218" s="56" t="s">
        <v>108</v>
      </c>
      <c r="D1218" s="56" t="s">
        <v>2515</v>
      </c>
      <c r="E1218" s="74" t="s">
        <v>108</v>
      </c>
      <c r="F1218" s="56" t="s">
        <v>2237</v>
      </c>
      <c r="G1218" s="56" t="s">
        <v>2251</v>
      </c>
    </row>
    <row r="1219" spans="1:7">
      <c r="A1219" s="56" t="s">
        <v>2455</v>
      </c>
      <c r="B1219" s="56" t="s">
        <v>2456</v>
      </c>
      <c r="C1219" s="56" t="s">
        <v>2403</v>
      </c>
      <c r="D1219" s="56" t="s">
        <v>2515</v>
      </c>
      <c r="E1219" s="74" t="s">
        <v>2403</v>
      </c>
      <c r="F1219" s="56" t="s">
        <v>2237</v>
      </c>
      <c r="G1219" s="56" t="s">
        <v>2251</v>
      </c>
    </row>
    <row r="1220" spans="1:7">
      <c r="A1220" s="56" t="s">
        <v>2457</v>
      </c>
      <c r="B1220" s="56" t="s">
        <v>2456</v>
      </c>
      <c r="C1220" s="56" t="s">
        <v>2403</v>
      </c>
      <c r="D1220" s="56" t="s">
        <v>2515</v>
      </c>
      <c r="E1220" s="74" t="s">
        <v>2403</v>
      </c>
      <c r="F1220" s="56" t="s">
        <v>2237</v>
      </c>
      <c r="G1220" s="56" t="s">
        <v>2251</v>
      </c>
    </row>
    <row r="1221" spans="1:7">
      <c r="A1221" s="56" t="s">
        <v>2316</v>
      </c>
      <c r="B1221" s="56" t="s">
        <v>2291</v>
      </c>
      <c r="C1221" s="56" t="s">
        <v>2292</v>
      </c>
      <c r="D1221" s="56" t="s">
        <v>2515</v>
      </c>
      <c r="E1221" s="74" t="s">
        <v>2519</v>
      </c>
      <c r="F1221" s="56" t="s">
        <v>2234</v>
      </c>
      <c r="G1221" s="56" t="s">
        <v>2251</v>
      </c>
    </row>
    <row r="1222" spans="1:7">
      <c r="A1222" s="56" t="s">
        <v>2458</v>
      </c>
      <c r="B1222" s="56" t="s">
        <v>2456</v>
      </c>
      <c r="C1222" s="56" t="s">
        <v>108</v>
      </c>
      <c r="D1222" s="56" t="s">
        <v>2515</v>
      </c>
      <c r="E1222" s="74" t="s">
        <v>108</v>
      </c>
      <c r="F1222" s="56" t="s">
        <v>2237</v>
      </c>
      <c r="G1222" s="56" t="s">
        <v>2459</v>
      </c>
    </row>
    <row r="1223" spans="1:7" ht="17">
      <c r="A1223" s="75" t="s">
        <v>2705</v>
      </c>
      <c r="B1223" s="75"/>
      <c r="C1223" s="75"/>
      <c r="D1223" s="75"/>
      <c r="E1223" s="76"/>
      <c r="F1223" s="75"/>
      <c r="G1223" s="75"/>
    </row>
    <row r="1224" spans="1:7">
      <c r="A1224" s="56" t="s">
        <v>2461</v>
      </c>
      <c r="B1224" s="56" t="s">
        <v>2462</v>
      </c>
      <c r="C1224" s="56" t="s">
        <v>108</v>
      </c>
      <c r="D1224" s="56" t="s">
        <v>2515</v>
      </c>
      <c r="E1224" s="74" t="s">
        <v>108</v>
      </c>
      <c r="F1224" s="56" t="s">
        <v>2237</v>
      </c>
      <c r="G1224" s="56" t="s">
        <v>2251</v>
      </c>
    </row>
    <row r="1225" spans="1:7">
      <c r="A1225" s="56" t="s">
        <v>2463</v>
      </c>
      <c r="B1225" s="56" t="s">
        <v>2464</v>
      </c>
      <c r="C1225" s="56" t="s">
        <v>108</v>
      </c>
      <c r="D1225" s="56" t="s">
        <v>2515</v>
      </c>
      <c r="E1225" s="74" t="s">
        <v>108</v>
      </c>
      <c r="F1225" s="56" t="s">
        <v>2237</v>
      </c>
      <c r="G1225" s="56" t="s">
        <v>2251</v>
      </c>
    </row>
    <row r="1226" spans="1:7">
      <c r="A1226" s="56" t="s">
        <v>2465</v>
      </c>
      <c r="B1226" s="56" t="s">
        <v>2464</v>
      </c>
      <c r="C1226" s="56" t="s">
        <v>108</v>
      </c>
      <c r="D1226" s="56" t="s">
        <v>2515</v>
      </c>
      <c r="E1226" s="74" t="s">
        <v>108</v>
      </c>
      <c r="F1226" s="56" t="s">
        <v>2237</v>
      </c>
      <c r="G1226" s="56" t="s">
        <v>2251</v>
      </c>
    </row>
    <row r="1227" spans="1:7" ht="17">
      <c r="A1227" s="75" t="s">
        <v>2706</v>
      </c>
      <c r="B1227" s="75"/>
      <c r="C1227" s="75"/>
      <c r="D1227" s="75"/>
      <c r="E1227" s="76"/>
      <c r="F1227" s="75"/>
      <c r="G1227" s="75"/>
    </row>
    <row r="1228" spans="1:7">
      <c r="A1228" s="56" t="s">
        <v>2378</v>
      </c>
      <c r="B1228" s="56" t="s">
        <v>2379</v>
      </c>
      <c r="C1228" s="56" t="s">
        <v>552</v>
      </c>
      <c r="D1228" s="56" t="s">
        <v>2515</v>
      </c>
      <c r="E1228" s="74" t="s">
        <v>552</v>
      </c>
      <c r="F1228" s="56" t="s">
        <v>2102</v>
      </c>
      <c r="G1228" s="56" t="s">
        <v>2380</v>
      </c>
    </row>
    <row r="1229" spans="1:7">
      <c r="A1229" s="56" t="s">
        <v>2381</v>
      </c>
      <c r="B1229" s="56" t="s">
        <v>2382</v>
      </c>
      <c r="C1229" s="56" t="s">
        <v>2383</v>
      </c>
      <c r="D1229" s="56" t="s">
        <v>2515</v>
      </c>
      <c r="E1229" s="74" t="s">
        <v>552</v>
      </c>
      <c r="F1229" s="56" t="s">
        <v>2102</v>
      </c>
      <c r="G1229" s="56" t="s">
        <v>2384</v>
      </c>
    </row>
    <row r="1230" spans="1:7">
      <c r="A1230" s="56" t="s">
        <v>2467</v>
      </c>
      <c r="B1230" s="56" t="s">
        <v>2319</v>
      </c>
      <c r="C1230" s="56" t="s">
        <v>2403</v>
      </c>
      <c r="D1230" s="56" t="s">
        <v>2515</v>
      </c>
      <c r="E1230" s="74" t="s">
        <v>2403</v>
      </c>
      <c r="F1230" s="56" t="s">
        <v>2237</v>
      </c>
      <c r="G1230" s="56" t="s">
        <v>2468</v>
      </c>
    </row>
    <row r="1231" spans="1:7">
      <c r="A1231" s="56" t="s">
        <v>2469</v>
      </c>
      <c r="B1231" s="56" t="s">
        <v>2382</v>
      </c>
      <c r="C1231" s="56" t="s">
        <v>108</v>
      </c>
      <c r="D1231" s="56" t="s">
        <v>2515</v>
      </c>
      <c r="E1231" s="74" t="s">
        <v>108</v>
      </c>
      <c r="F1231" s="56" t="s">
        <v>2237</v>
      </c>
      <c r="G1231" s="56" t="s">
        <v>2470</v>
      </c>
    </row>
    <row r="1232" spans="1:7">
      <c r="A1232" s="56" t="s">
        <v>2471</v>
      </c>
      <c r="B1232" s="56" t="s">
        <v>2379</v>
      </c>
      <c r="C1232" s="56" t="s">
        <v>108</v>
      </c>
      <c r="D1232" s="56" t="s">
        <v>2515</v>
      </c>
      <c r="E1232" s="74" t="s">
        <v>108</v>
      </c>
      <c r="F1232" s="56" t="s">
        <v>2237</v>
      </c>
      <c r="G1232" s="56" t="s">
        <v>2472</v>
      </c>
    </row>
    <row r="1233" spans="1:7">
      <c r="A1233" s="56" t="s">
        <v>2473</v>
      </c>
      <c r="B1233" s="56" t="s">
        <v>2474</v>
      </c>
      <c r="C1233" s="56" t="s">
        <v>108</v>
      </c>
      <c r="D1233" s="56" t="s">
        <v>2515</v>
      </c>
      <c r="E1233" s="74" t="s">
        <v>108</v>
      </c>
      <c r="F1233" s="56" t="s">
        <v>2237</v>
      </c>
      <c r="G1233" s="56" t="s">
        <v>2475</v>
      </c>
    </row>
    <row r="1234" spans="1:7">
      <c r="A1234" s="56" t="s">
        <v>2324</v>
      </c>
      <c r="B1234" s="56" t="s">
        <v>2325</v>
      </c>
      <c r="C1234" s="56"/>
      <c r="D1234" s="56" t="s">
        <v>2249</v>
      </c>
      <c r="E1234" s="74"/>
      <c r="F1234" s="56" t="s">
        <v>2326</v>
      </c>
      <c r="G1234" s="56" t="s">
        <v>2251</v>
      </c>
    </row>
    <row r="1235" spans="1:7">
      <c r="A1235" s="56" t="s">
        <v>2327</v>
      </c>
      <c r="B1235" s="56" t="s">
        <v>2325</v>
      </c>
      <c r="C1235" s="56"/>
      <c r="D1235" s="56" t="s">
        <v>2249</v>
      </c>
      <c r="E1235" s="74"/>
      <c r="F1235" s="56" t="s">
        <v>2326</v>
      </c>
      <c r="G1235" s="56" t="s">
        <v>2251</v>
      </c>
    </row>
    <row r="1236" spans="1:7">
      <c r="A1236" s="56" t="s">
        <v>2328</v>
      </c>
      <c r="B1236" s="56" t="s">
        <v>2325</v>
      </c>
      <c r="C1236" s="56" t="s">
        <v>2329</v>
      </c>
      <c r="D1236" s="56" t="s">
        <v>2249</v>
      </c>
      <c r="E1236" s="74"/>
      <c r="F1236" s="56" t="s">
        <v>2330</v>
      </c>
      <c r="G1236" s="56" t="s">
        <v>2331</v>
      </c>
    </row>
    <row r="1237" spans="1:7" ht="17">
      <c r="A1237" s="75" t="s">
        <v>2707</v>
      </c>
      <c r="B1237" s="75"/>
      <c r="C1237" s="75"/>
      <c r="D1237" s="75"/>
      <c r="E1237" s="76"/>
      <c r="F1237" s="75"/>
      <c r="G1237" s="75"/>
    </row>
    <row r="1238" spans="1:7">
      <c r="A1238" s="56" t="s">
        <v>2477</v>
      </c>
      <c r="B1238" s="56" t="s">
        <v>2382</v>
      </c>
      <c r="C1238" s="56" t="s">
        <v>108</v>
      </c>
      <c r="D1238" s="56" t="s">
        <v>2515</v>
      </c>
      <c r="E1238" s="74" t="s">
        <v>108</v>
      </c>
      <c r="F1238" s="56" t="s">
        <v>2237</v>
      </c>
      <c r="G1238" s="56" t="s">
        <v>2478</v>
      </c>
    </row>
    <row r="1239" spans="1:7">
      <c r="A1239" s="56" t="s">
        <v>2334</v>
      </c>
      <c r="B1239" s="56" t="s">
        <v>2291</v>
      </c>
      <c r="C1239" s="56" t="s">
        <v>2311</v>
      </c>
      <c r="D1239" s="56" t="s">
        <v>2249</v>
      </c>
      <c r="E1239" s="74"/>
      <c r="F1239" s="56" t="s">
        <v>2335</v>
      </c>
      <c r="G1239" s="56" t="s">
        <v>2335</v>
      </c>
    </row>
    <row r="1240" spans="1:7">
      <c r="A1240" s="56" t="s">
        <v>2334</v>
      </c>
      <c r="B1240" s="56" t="s">
        <v>2291</v>
      </c>
      <c r="C1240" s="56" t="s">
        <v>2311</v>
      </c>
      <c r="D1240" s="56" t="s">
        <v>2515</v>
      </c>
      <c r="E1240" s="74" t="s">
        <v>2373</v>
      </c>
      <c r="F1240" s="56" t="s">
        <v>2234</v>
      </c>
      <c r="G1240" s="56" t="s">
        <v>2335</v>
      </c>
    </row>
    <row r="1241" spans="1:7">
      <c r="A1241" s="56" t="s">
        <v>2336</v>
      </c>
      <c r="B1241" s="56" t="s">
        <v>2291</v>
      </c>
      <c r="C1241" s="56" t="s">
        <v>552</v>
      </c>
      <c r="D1241" s="56" t="s">
        <v>2249</v>
      </c>
      <c r="E1241" s="74"/>
      <c r="F1241" s="56" t="s">
        <v>2337</v>
      </c>
      <c r="G1241" s="56" t="s">
        <v>2337</v>
      </c>
    </row>
    <row r="1242" spans="1:7">
      <c r="A1242" s="56" t="s">
        <v>2336</v>
      </c>
      <c r="B1242" s="56" t="s">
        <v>2291</v>
      </c>
      <c r="C1242" s="56" t="s">
        <v>552</v>
      </c>
      <c r="D1242" s="56" t="s">
        <v>2515</v>
      </c>
      <c r="E1242" s="74" t="s">
        <v>552</v>
      </c>
      <c r="F1242" s="56" t="s">
        <v>2102</v>
      </c>
      <c r="G1242" s="56" t="s">
        <v>2337</v>
      </c>
    </row>
    <row r="1243" spans="1:7">
      <c r="A1243" s="56" t="s">
        <v>2479</v>
      </c>
      <c r="B1243" s="56" t="s">
        <v>2480</v>
      </c>
      <c r="C1243" s="56" t="s">
        <v>108</v>
      </c>
      <c r="D1243" s="56" t="s">
        <v>2515</v>
      </c>
      <c r="E1243" s="74" t="s">
        <v>108</v>
      </c>
      <c r="F1243" s="56" t="s">
        <v>2237</v>
      </c>
      <c r="G1243" s="56" t="s">
        <v>2481</v>
      </c>
    </row>
    <row r="1244" spans="1:7">
      <c r="A1244" s="56" t="s">
        <v>2482</v>
      </c>
      <c r="B1244" s="56" t="s">
        <v>2480</v>
      </c>
      <c r="C1244" s="56" t="s">
        <v>108</v>
      </c>
      <c r="D1244" s="56" t="s">
        <v>2515</v>
      </c>
      <c r="E1244" s="74" t="s">
        <v>108</v>
      </c>
      <c r="F1244" s="56" t="s">
        <v>2237</v>
      </c>
      <c r="G1244" s="56" t="s">
        <v>2483</v>
      </c>
    </row>
    <row r="1245" spans="1:7">
      <c r="A1245" s="56" t="s">
        <v>2484</v>
      </c>
      <c r="B1245" s="56" t="s">
        <v>2382</v>
      </c>
      <c r="C1245" s="56" t="s">
        <v>2403</v>
      </c>
      <c r="D1245" s="56" t="s">
        <v>2515</v>
      </c>
      <c r="E1245" s="74" t="s">
        <v>2403</v>
      </c>
      <c r="F1245" s="56" t="s">
        <v>2237</v>
      </c>
      <c r="G1245" s="56" t="s">
        <v>2251</v>
      </c>
    </row>
    <row r="1246" spans="1:7">
      <c r="A1246" s="56" t="s">
        <v>2485</v>
      </c>
      <c r="B1246" s="56" t="s">
        <v>2486</v>
      </c>
      <c r="C1246" s="56" t="s">
        <v>2487</v>
      </c>
      <c r="D1246" s="56" t="s">
        <v>2515</v>
      </c>
      <c r="E1246" s="74" t="s">
        <v>108</v>
      </c>
      <c r="F1246" s="56" t="s">
        <v>2237</v>
      </c>
      <c r="G1246" s="56" t="s">
        <v>2251</v>
      </c>
    </row>
    <row r="1247" spans="1:7">
      <c r="A1247" s="56" t="s">
        <v>2386</v>
      </c>
      <c r="B1247" s="56" t="s">
        <v>2291</v>
      </c>
      <c r="C1247" s="56" t="s">
        <v>552</v>
      </c>
      <c r="D1247" s="56" t="s">
        <v>2515</v>
      </c>
      <c r="E1247" s="74" t="s">
        <v>552</v>
      </c>
      <c r="F1247" s="56" t="s">
        <v>2102</v>
      </c>
      <c r="G1247" s="56" t="s">
        <v>2387</v>
      </c>
    </row>
    <row r="1248" spans="1:7" ht="17">
      <c r="A1248" s="75" t="s">
        <v>2708</v>
      </c>
      <c r="B1248" s="75"/>
      <c r="C1248" s="75"/>
      <c r="D1248" s="75"/>
      <c r="E1248" s="76"/>
      <c r="F1248" s="75"/>
      <c r="G1248" s="75"/>
    </row>
    <row r="1249" spans="1:7">
      <c r="A1249" s="56" t="s">
        <v>2389</v>
      </c>
      <c r="B1249" s="56"/>
      <c r="C1249" s="56" t="s">
        <v>552</v>
      </c>
      <c r="D1249" s="56" t="s">
        <v>2515</v>
      </c>
      <c r="E1249" s="74" t="s">
        <v>552</v>
      </c>
      <c r="F1249" s="56" t="s">
        <v>2102</v>
      </c>
      <c r="G1249" s="56" t="s">
        <v>2251</v>
      </c>
    </row>
    <row r="1250" spans="1:7">
      <c r="A1250" s="56" t="s">
        <v>2489</v>
      </c>
      <c r="B1250" s="56" t="s">
        <v>2490</v>
      </c>
      <c r="C1250" s="56" t="s">
        <v>108</v>
      </c>
      <c r="D1250" s="56" t="s">
        <v>2515</v>
      </c>
      <c r="E1250" s="74" t="s">
        <v>108</v>
      </c>
      <c r="F1250" s="56" t="s">
        <v>2237</v>
      </c>
      <c r="G1250" s="56" t="s">
        <v>2251</v>
      </c>
    </row>
    <row r="1251" spans="1:7">
      <c r="A1251" s="56" t="s">
        <v>2491</v>
      </c>
      <c r="B1251" s="56" t="s">
        <v>2490</v>
      </c>
      <c r="C1251" s="56" t="s">
        <v>2403</v>
      </c>
      <c r="D1251" s="56" t="s">
        <v>2515</v>
      </c>
      <c r="E1251" s="74" t="s">
        <v>2403</v>
      </c>
      <c r="F1251" s="56" t="s">
        <v>2237</v>
      </c>
      <c r="G1251" s="56" t="s">
        <v>2492</v>
      </c>
    </row>
    <row r="1252" spans="1:7">
      <c r="A1252" s="56" t="s">
        <v>2529</v>
      </c>
      <c r="B1252" s="56" t="s">
        <v>2494</v>
      </c>
      <c r="C1252" s="56" t="s">
        <v>2530</v>
      </c>
      <c r="D1252" s="56" t="s">
        <v>2515</v>
      </c>
      <c r="E1252" s="74" t="s">
        <v>2531</v>
      </c>
      <c r="F1252" s="56" t="s">
        <v>2237</v>
      </c>
      <c r="G1252" s="56" t="s">
        <v>2532</v>
      </c>
    </row>
    <row r="1253" spans="1:7">
      <c r="A1253" s="56" t="s">
        <v>2493</v>
      </c>
      <c r="B1253" s="56" t="s">
        <v>2494</v>
      </c>
      <c r="C1253" s="56" t="s">
        <v>2421</v>
      </c>
      <c r="D1253" s="56" t="s">
        <v>2515</v>
      </c>
      <c r="E1253" s="74" t="s">
        <v>108</v>
      </c>
      <c r="F1253" s="56" t="s">
        <v>2237</v>
      </c>
      <c r="G1253" s="56" t="s">
        <v>2495</v>
      </c>
    </row>
    <row r="1254" spans="1:7">
      <c r="A1254" s="56" t="s">
        <v>2496</v>
      </c>
      <c r="B1254" s="56" t="s">
        <v>2490</v>
      </c>
      <c r="C1254" s="56" t="s">
        <v>2497</v>
      </c>
      <c r="D1254" s="56" t="s">
        <v>2515</v>
      </c>
      <c r="E1254" s="74" t="s">
        <v>108</v>
      </c>
      <c r="F1254" s="56" t="s">
        <v>2237</v>
      </c>
      <c r="G1254" s="56" t="s">
        <v>2251</v>
      </c>
    </row>
    <row r="1255" spans="1:7">
      <c r="A1255" s="56" t="s">
        <v>2498</v>
      </c>
      <c r="B1255" s="56" t="s">
        <v>2490</v>
      </c>
      <c r="C1255" s="56" t="s">
        <v>2499</v>
      </c>
      <c r="D1255" s="56" t="s">
        <v>2515</v>
      </c>
      <c r="E1255" s="74" t="s">
        <v>108</v>
      </c>
      <c r="F1255" s="56" t="s">
        <v>2237</v>
      </c>
      <c r="G1255" s="56" t="s">
        <v>2500</v>
      </c>
    </row>
    <row r="1256" spans="1:7" ht="17">
      <c r="A1256" s="75" t="s">
        <v>2709</v>
      </c>
      <c r="B1256" s="75"/>
      <c r="C1256" s="75"/>
      <c r="D1256" s="75"/>
      <c r="E1256" s="76"/>
      <c r="F1256" s="75"/>
      <c r="G1256" s="75"/>
    </row>
    <row r="1257" spans="1:7">
      <c r="A1257" s="56" t="s">
        <v>2502</v>
      </c>
      <c r="B1257" s="56" t="s">
        <v>2325</v>
      </c>
      <c r="C1257" s="56" t="s">
        <v>2503</v>
      </c>
      <c r="D1257" s="56" t="s">
        <v>2515</v>
      </c>
      <c r="E1257" s="74" t="s">
        <v>108</v>
      </c>
      <c r="F1257" s="56" t="s">
        <v>2237</v>
      </c>
      <c r="G1257" s="56" t="s">
        <v>2504</v>
      </c>
    </row>
    <row r="1258" spans="1:7">
      <c r="A1258" s="56" t="s">
        <v>2341</v>
      </c>
      <c r="B1258" s="56" t="s">
        <v>2342</v>
      </c>
      <c r="C1258" s="56" t="s">
        <v>2343</v>
      </c>
      <c r="D1258" s="56" t="s">
        <v>2249</v>
      </c>
      <c r="E1258" s="74"/>
      <c r="F1258" s="56" t="s">
        <v>2250</v>
      </c>
      <c r="G1258" s="56" t="s">
        <v>2344</v>
      </c>
    </row>
    <row r="1259" spans="1:7">
      <c r="A1259" s="56" t="s">
        <v>2341</v>
      </c>
      <c r="B1259" s="56" t="s">
        <v>2342</v>
      </c>
      <c r="C1259" s="56" t="s">
        <v>2343</v>
      </c>
      <c r="D1259" s="56" t="s">
        <v>2515</v>
      </c>
      <c r="E1259" s="74" t="s">
        <v>108</v>
      </c>
      <c r="F1259" s="56" t="s">
        <v>2237</v>
      </c>
      <c r="G1259" s="56" t="s">
        <v>2344</v>
      </c>
    </row>
    <row r="1260" spans="1:7">
      <c r="A1260" s="56" t="s">
        <v>2348</v>
      </c>
      <c r="B1260" s="56"/>
      <c r="C1260" s="56" t="s">
        <v>2292</v>
      </c>
      <c r="D1260" s="56" t="s">
        <v>2515</v>
      </c>
      <c r="E1260" s="74" t="s">
        <v>2519</v>
      </c>
      <c r="F1260" s="56" t="s">
        <v>2234</v>
      </c>
      <c r="G1260" s="56" t="s">
        <v>2251</v>
      </c>
    </row>
    <row r="1261" spans="1:7">
      <c r="A1261" s="56" t="s">
        <v>2505</v>
      </c>
      <c r="B1261" s="56" t="s">
        <v>2291</v>
      </c>
      <c r="C1261" s="56" t="s">
        <v>108</v>
      </c>
      <c r="D1261" s="56" t="s">
        <v>2515</v>
      </c>
      <c r="E1261" s="74" t="s">
        <v>108</v>
      </c>
      <c r="F1261" s="56" t="s">
        <v>2237</v>
      </c>
      <c r="G1261" s="56" t="s">
        <v>2251</v>
      </c>
    </row>
    <row r="1262" spans="1:7">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2240</v>
      </c>
      <c r="B3" s="59" t="s">
        <v>2241</v>
      </c>
      <c r="C3" s="59" t="s">
        <v>2242</v>
      </c>
      <c r="D3" s="59" t="s">
        <v>2243</v>
      </c>
      <c r="E3" s="59" t="s">
        <v>2244</v>
      </c>
      <c r="F3" s="59" t="s">
        <v>2245</v>
      </c>
      <c r="G3" s="59" t="s">
        <v>1455</v>
      </c>
    </row>
    <row r="4" spans="1:7" ht="17">
      <c r="A4" s="75" t="s">
        <v>2361</v>
      </c>
      <c r="B4" s="75"/>
      <c r="C4" s="75"/>
      <c r="D4" s="75"/>
      <c r="E4" s="76"/>
      <c r="F4" s="75"/>
      <c r="G4" s="75"/>
    </row>
    <row r="5" spans="1:7">
      <c r="A5" s="57" t="s">
        <v>2362</v>
      </c>
      <c r="B5" s="57" t="s">
        <v>2363</v>
      </c>
      <c r="C5" s="57" t="s">
        <v>2364</v>
      </c>
      <c r="D5" s="57" t="s">
        <v>2714</v>
      </c>
      <c r="E5" s="58" t="s">
        <v>2715</v>
      </c>
      <c r="F5" s="58" t="s">
        <v>2309</v>
      </c>
      <c r="G5" s="57" t="s">
        <v>2251</v>
      </c>
    </row>
    <row r="6" spans="1:7" ht="17">
      <c r="A6" s="75" t="s">
        <v>2396</v>
      </c>
      <c r="B6" s="75"/>
      <c r="C6" s="75"/>
      <c r="D6" s="75"/>
      <c r="E6" s="76"/>
      <c r="F6" s="75"/>
      <c r="G6" s="75"/>
    </row>
    <row r="7" spans="1:7">
      <c r="A7" s="56" t="s">
        <v>2355</v>
      </c>
      <c r="B7" s="56" t="s">
        <v>2356</v>
      </c>
      <c r="C7" s="56" t="s">
        <v>1565</v>
      </c>
      <c r="D7" s="56" t="s">
        <v>2716</v>
      </c>
      <c r="E7" s="74" t="s">
        <v>108</v>
      </c>
      <c r="F7" s="74" t="s">
        <v>2089</v>
      </c>
      <c r="G7" s="56" t="s">
        <v>2358</v>
      </c>
    </row>
    <row r="8" spans="1:7">
      <c r="A8" s="56" t="s">
        <v>2516</v>
      </c>
      <c r="B8" s="56" t="s">
        <v>2291</v>
      </c>
      <c r="C8" s="56" t="s">
        <v>1215</v>
      </c>
      <c r="D8" s="56" t="s">
        <v>2716</v>
      </c>
      <c r="E8" s="74" t="s">
        <v>1215</v>
      </c>
      <c r="F8" s="74" t="s">
        <v>2088</v>
      </c>
      <c r="G8" s="56" t="s">
        <v>2251</v>
      </c>
    </row>
    <row r="9" spans="1:7">
      <c r="A9" s="57" t="s">
        <v>2398</v>
      </c>
      <c r="B9" s="57"/>
      <c r="C9" s="57" t="s">
        <v>2399</v>
      </c>
      <c r="D9" s="57" t="s">
        <v>2716</v>
      </c>
      <c r="E9" s="58" t="s">
        <v>2399</v>
      </c>
      <c r="F9" s="58" t="s">
        <v>2309</v>
      </c>
      <c r="G9" s="57" t="s">
        <v>2251</v>
      </c>
    </row>
    <row r="10" spans="1:7">
      <c r="A10" s="56" t="s">
        <v>2400</v>
      </c>
      <c r="B10" s="56" t="s">
        <v>2284</v>
      </c>
      <c r="C10" s="56" t="s">
        <v>108</v>
      </c>
      <c r="D10" s="56" t="s">
        <v>2716</v>
      </c>
      <c r="E10" s="74" t="s">
        <v>108</v>
      </c>
      <c r="F10" s="74" t="s">
        <v>2089</v>
      </c>
      <c r="G10" s="56" t="s">
        <v>2251</v>
      </c>
    </row>
    <row r="11" spans="1:7" ht="17">
      <c r="A11" s="274" t="s">
        <v>2401</v>
      </c>
      <c r="B11" s="274" t="s">
        <v>2402</v>
      </c>
      <c r="C11" s="274" t="s">
        <v>2403</v>
      </c>
      <c r="D11" s="274" t="s">
        <v>2716</v>
      </c>
      <c r="E11" s="275" t="s">
        <v>2403</v>
      </c>
      <c r="F11" s="275" t="s">
        <v>2089</v>
      </c>
      <c r="G11" s="274" t="s">
        <v>2404</v>
      </c>
    </row>
    <row r="12" spans="1:7" ht="17">
      <c r="A12" s="274" t="s">
        <v>2405</v>
      </c>
      <c r="B12" s="274"/>
      <c r="C12" s="274" t="s">
        <v>108</v>
      </c>
      <c r="D12" s="274" t="s">
        <v>2716</v>
      </c>
      <c r="E12" s="275" t="s">
        <v>108</v>
      </c>
      <c r="F12" s="274" t="s">
        <v>2089</v>
      </c>
      <c r="G12" s="274" t="s">
        <v>2251</v>
      </c>
    </row>
    <row r="13" spans="1:7" ht="17">
      <c r="A13" s="75" t="s">
        <v>2406</v>
      </c>
      <c r="B13" s="75"/>
      <c r="C13" s="75"/>
      <c r="D13" s="75"/>
      <c r="E13" s="76"/>
      <c r="F13" s="75"/>
      <c r="G13" s="75"/>
    </row>
    <row r="14" spans="1:7">
      <c r="A14" s="56" t="s">
        <v>2407</v>
      </c>
      <c r="B14" s="56" t="s">
        <v>2296</v>
      </c>
      <c r="C14" s="56" t="s">
        <v>108</v>
      </c>
      <c r="D14" s="56" t="s">
        <v>2716</v>
      </c>
      <c r="E14" s="74" t="s">
        <v>108</v>
      </c>
      <c r="F14" s="74" t="s">
        <v>2089</v>
      </c>
      <c r="G14" s="56" t="s">
        <v>2251</v>
      </c>
    </row>
    <row r="15" spans="1:7">
      <c r="A15" s="56" t="s">
        <v>2409</v>
      </c>
      <c r="B15" s="56" t="s">
        <v>2410</v>
      </c>
      <c r="C15" s="56" t="s">
        <v>108</v>
      </c>
      <c r="D15" s="56" t="s">
        <v>2716</v>
      </c>
      <c r="E15" s="74" t="s">
        <v>108</v>
      </c>
      <c r="F15" s="74" t="s">
        <v>2089</v>
      </c>
      <c r="G15" s="56" t="s">
        <v>2411</v>
      </c>
    </row>
    <row r="16" spans="1:7" ht="17">
      <c r="A16" s="274" t="s">
        <v>2412</v>
      </c>
      <c r="B16" s="274" t="s">
        <v>2410</v>
      </c>
      <c r="C16" s="274" t="s">
        <v>108</v>
      </c>
      <c r="D16" s="274" t="s">
        <v>2716</v>
      </c>
      <c r="E16" s="275" t="s">
        <v>108</v>
      </c>
      <c r="F16" s="275" t="s">
        <v>2089</v>
      </c>
      <c r="G16" s="274" t="s">
        <v>2251</v>
      </c>
    </row>
    <row r="17" spans="1:7" ht="17">
      <c r="A17" s="274" t="s">
        <v>2290</v>
      </c>
      <c r="B17" s="274" t="s">
        <v>2291</v>
      </c>
      <c r="C17" s="274" t="s">
        <v>2292</v>
      </c>
      <c r="D17" s="274" t="s">
        <v>2716</v>
      </c>
      <c r="E17" s="275" t="s">
        <v>2446</v>
      </c>
      <c r="F17" s="274" t="s">
        <v>2089</v>
      </c>
      <c r="G17" s="274" t="s">
        <v>2251</v>
      </c>
    </row>
    <row r="18" spans="1:7">
      <c r="A18" s="56" t="s">
        <v>2414</v>
      </c>
      <c r="B18" s="56" t="s">
        <v>2415</v>
      </c>
      <c r="C18" s="56" t="s">
        <v>108</v>
      </c>
      <c r="D18" s="56" t="s">
        <v>2716</v>
      </c>
      <c r="E18" s="74" t="s">
        <v>108</v>
      </c>
      <c r="F18" s="74" t="s">
        <v>2089</v>
      </c>
      <c r="G18" s="56" t="s">
        <v>2416</v>
      </c>
    </row>
    <row r="19" spans="1:7" ht="17">
      <c r="A19" s="75" t="s">
        <v>2417</v>
      </c>
      <c r="B19" s="75"/>
      <c r="C19" s="75"/>
      <c r="D19" s="75"/>
      <c r="E19" s="76"/>
      <c r="F19" s="75"/>
      <c r="G19" s="75"/>
    </row>
    <row r="20" spans="1:7">
      <c r="A20" s="56" t="s">
        <v>2418</v>
      </c>
      <c r="B20" s="56" t="s">
        <v>2363</v>
      </c>
      <c r="C20" s="56" t="s">
        <v>108</v>
      </c>
      <c r="D20" s="56" t="s">
        <v>2716</v>
      </c>
      <c r="E20" s="74" t="s">
        <v>108</v>
      </c>
      <c r="F20" s="74" t="s">
        <v>2089</v>
      </c>
      <c r="G20" s="56" t="s">
        <v>2251</v>
      </c>
    </row>
    <row r="21" spans="1:7" ht="17">
      <c r="A21" s="274" t="s">
        <v>2362</v>
      </c>
      <c r="B21" s="274" t="s">
        <v>2363</v>
      </c>
      <c r="C21" s="274" t="s">
        <v>2364</v>
      </c>
      <c r="D21" s="274" t="s">
        <v>2716</v>
      </c>
      <c r="E21" s="275" t="s">
        <v>108</v>
      </c>
      <c r="F21" s="275" t="s">
        <v>2089</v>
      </c>
      <c r="G21" s="274" t="s">
        <v>2251</v>
      </c>
    </row>
    <row r="22" spans="1:7" ht="17">
      <c r="A22" s="274" t="s">
        <v>2420</v>
      </c>
      <c r="B22" s="274" t="s">
        <v>2363</v>
      </c>
      <c r="C22" s="274" t="s">
        <v>2421</v>
      </c>
      <c r="D22" s="274" t="s">
        <v>2716</v>
      </c>
      <c r="E22" s="275" t="s">
        <v>108</v>
      </c>
      <c r="F22" s="274" t="s">
        <v>2089</v>
      </c>
      <c r="G22" s="274" t="s">
        <v>2422</v>
      </c>
    </row>
    <row r="23" spans="1:7">
      <c r="A23" s="56" t="s">
        <v>2423</v>
      </c>
      <c r="B23" s="56" t="s">
        <v>2363</v>
      </c>
      <c r="C23" s="56" t="s">
        <v>108</v>
      </c>
      <c r="D23" s="56" t="s">
        <v>2716</v>
      </c>
      <c r="E23" s="74" t="s">
        <v>108</v>
      </c>
      <c r="F23" s="74" t="s">
        <v>2089</v>
      </c>
      <c r="G23" s="56" t="s">
        <v>2251</v>
      </c>
    </row>
    <row r="24" spans="1:7" ht="17">
      <c r="A24" s="75" t="s">
        <v>2424</v>
      </c>
      <c r="B24" s="75"/>
      <c r="C24" s="75"/>
      <c r="D24" s="75"/>
      <c r="E24" s="76"/>
      <c r="F24" s="75"/>
      <c r="G24" s="75"/>
    </row>
    <row r="25" spans="1:7">
      <c r="A25" s="56" t="s">
        <v>2425</v>
      </c>
      <c r="B25" s="56" t="s">
        <v>2426</v>
      </c>
      <c r="C25" s="56" t="s">
        <v>2427</v>
      </c>
      <c r="D25" s="56" t="s">
        <v>2716</v>
      </c>
      <c r="E25" s="74" t="s">
        <v>108</v>
      </c>
      <c r="F25" s="74" t="s">
        <v>2089</v>
      </c>
      <c r="G25" s="56" t="s">
        <v>2251</v>
      </c>
    </row>
    <row r="26" spans="1:7">
      <c r="A26" s="56" t="s">
        <v>2428</v>
      </c>
      <c r="B26" s="56" t="s">
        <v>2426</v>
      </c>
      <c r="C26" s="56" t="s">
        <v>2429</v>
      </c>
      <c r="D26" s="56" t="s">
        <v>2716</v>
      </c>
      <c r="E26" s="74" t="s">
        <v>108</v>
      </c>
      <c r="F26" s="74" t="s">
        <v>2089</v>
      </c>
      <c r="G26" s="56" t="s">
        <v>2251</v>
      </c>
    </row>
    <row r="27" spans="1:7" ht="17">
      <c r="A27" s="274" t="s">
        <v>2430</v>
      </c>
      <c r="B27" s="274" t="s">
        <v>2431</v>
      </c>
      <c r="C27" s="274" t="s">
        <v>108</v>
      </c>
      <c r="D27" s="274" t="s">
        <v>2716</v>
      </c>
      <c r="E27" s="275" t="s">
        <v>108</v>
      </c>
      <c r="F27" s="274" t="s">
        <v>2089</v>
      </c>
      <c r="G27" s="274" t="s">
        <v>2432</v>
      </c>
    </row>
    <row r="28" spans="1:7" ht="17">
      <c r="A28" s="274" t="s">
        <v>2433</v>
      </c>
      <c r="B28" s="274" t="s">
        <v>2431</v>
      </c>
      <c r="C28" s="274" t="s">
        <v>108</v>
      </c>
      <c r="D28" s="274" t="s">
        <v>2716</v>
      </c>
      <c r="E28" s="275" t="s">
        <v>108</v>
      </c>
      <c r="F28" s="275" t="s">
        <v>2089</v>
      </c>
      <c r="G28" s="274" t="s">
        <v>2251</v>
      </c>
    </row>
    <row r="29" spans="1:7" ht="17">
      <c r="A29" s="75" t="s">
        <v>2434</v>
      </c>
      <c r="B29" s="75"/>
      <c r="C29" s="75"/>
      <c r="D29" s="75"/>
      <c r="E29" s="76"/>
      <c r="F29" s="75"/>
      <c r="G29" s="75"/>
    </row>
    <row r="30" spans="1:7">
      <c r="A30" s="56" t="s">
        <v>2435</v>
      </c>
      <c r="B30" s="56" t="s">
        <v>2436</v>
      </c>
      <c r="C30" s="56" t="s">
        <v>108</v>
      </c>
      <c r="D30" s="56" t="s">
        <v>2716</v>
      </c>
      <c r="E30" s="74" t="s">
        <v>108</v>
      </c>
      <c r="F30" s="74" t="s">
        <v>2089</v>
      </c>
      <c r="G30" s="56" t="s">
        <v>2437</v>
      </c>
    </row>
    <row r="31" spans="1:7">
      <c r="A31" s="56" t="s">
        <v>2295</v>
      </c>
      <c r="B31" s="56" t="s">
        <v>2296</v>
      </c>
      <c r="C31" s="56" t="s">
        <v>2297</v>
      </c>
      <c r="D31" s="56" t="s">
        <v>2716</v>
      </c>
      <c r="E31" s="74" t="s">
        <v>2446</v>
      </c>
      <c r="F31" s="74" t="s">
        <v>2089</v>
      </c>
      <c r="G31" s="56" t="s">
        <v>2251</v>
      </c>
    </row>
    <row r="32" spans="1:7">
      <c r="A32" s="56" t="s">
        <v>2298</v>
      </c>
      <c r="B32" s="56" t="s">
        <v>2296</v>
      </c>
      <c r="C32" s="56" t="s">
        <v>2292</v>
      </c>
      <c r="D32" s="56" t="s">
        <v>2716</v>
      </c>
      <c r="E32" s="74" t="s">
        <v>2446</v>
      </c>
      <c r="F32" s="74" t="s">
        <v>2089</v>
      </c>
      <c r="G32" s="56" t="s">
        <v>2251</v>
      </c>
    </row>
    <row r="33" spans="1:7">
      <c r="A33" s="56" t="s">
        <v>2299</v>
      </c>
      <c r="B33" s="56" t="s">
        <v>2296</v>
      </c>
      <c r="C33" s="56" t="s">
        <v>2292</v>
      </c>
      <c r="D33" s="56" t="s">
        <v>2716</v>
      </c>
      <c r="E33" s="74" t="s">
        <v>2446</v>
      </c>
      <c r="F33" s="74" t="s">
        <v>2089</v>
      </c>
      <c r="G33" s="56" t="s">
        <v>2251</v>
      </c>
    </row>
    <row r="34" spans="1:7">
      <c r="A34" s="56" t="s">
        <v>2300</v>
      </c>
      <c r="B34" s="56" t="s">
        <v>2301</v>
      </c>
      <c r="C34" s="56" t="s">
        <v>2292</v>
      </c>
      <c r="D34" s="56" t="s">
        <v>2716</v>
      </c>
      <c r="E34" s="74" t="s">
        <v>2446</v>
      </c>
      <c r="F34" s="74" t="s">
        <v>2089</v>
      </c>
      <c r="G34" s="56" t="s">
        <v>2251</v>
      </c>
    </row>
    <row r="35" spans="1:7">
      <c r="A35" s="56" t="s">
        <v>2302</v>
      </c>
      <c r="B35" s="56"/>
      <c r="C35" s="56" t="s">
        <v>2292</v>
      </c>
      <c r="D35" s="56" t="s">
        <v>2716</v>
      </c>
      <c r="E35" s="74" t="s">
        <v>2446</v>
      </c>
      <c r="F35" s="74" t="s">
        <v>2089</v>
      </c>
      <c r="G35" s="56" t="s">
        <v>2251</v>
      </c>
    </row>
    <row r="36" spans="1:7" ht="17">
      <c r="A36" s="274" t="s">
        <v>2303</v>
      </c>
      <c r="B36" s="274"/>
      <c r="C36" s="274" t="s">
        <v>2292</v>
      </c>
      <c r="D36" s="274" t="s">
        <v>2716</v>
      </c>
      <c r="E36" s="275" t="s">
        <v>2446</v>
      </c>
      <c r="F36" s="274" t="s">
        <v>2089</v>
      </c>
      <c r="G36" s="274" t="s">
        <v>2251</v>
      </c>
    </row>
    <row r="37" spans="1:7" ht="17">
      <c r="A37" s="274" t="s">
        <v>2304</v>
      </c>
      <c r="B37" s="274"/>
      <c r="C37" s="274" t="s">
        <v>2292</v>
      </c>
      <c r="D37" s="274" t="s">
        <v>2716</v>
      </c>
      <c r="E37" s="275" t="s">
        <v>2446</v>
      </c>
      <c r="F37" s="275" t="s">
        <v>2089</v>
      </c>
      <c r="G37" s="274" t="s">
        <v>2251</v>
      </c>
    </row>
    <row r="38" spans="1:7" ht="17">
      <c r="A38" s="75" t="s">
        <v>2438</v>
      </c>
      <c r="B38" s="75"/>
      <c r="C38" s="75"/>
      <c r="D38" s="75"/>
      <c r="E38" s="76"/>
      <c r="F38" s="75"/>
      <c r="G38" s="75"/>
    </row>
    <row r="39" spans="1:7">
      <c r="A39" s="56" t="s">
        <v>2439</v>
      </c>
      <c r="B39" s="56" t="s">
        <v>2440</v>
      </c>
      <c r="C39" s="56" t="s">
        <v>108</v>
      </c>
      <c r="D39" s="56" t="s">
        <v>2716</v>
      </c>
      <c r="E39" s="74" t="s">
        <v>108</v>
      </c>
      <c r="F39" s="74" t="s">
        <v>2089</v>
      </c>
      <c r="G39" s="56" t="s">
        <v>2251</v>
      </c>
    </row>
    <row r="40" spans="1:7">
      <c r="A40" s="56" t="s">
        <v>2441</v>
      </c>
      <c r="B40" s="56" t="s">
        <v>2442</v>
      </c>
      <c r="C40" s="56" t="s">
        <v>2427</v>
      </c>
      <c r="D40" s="56" t="s">
        <v>2716</v>
      </c>
      <c r="E40" s="74" t="s">
        <v>108</v>
      </c>
      <c r="F40" s="74" t="s">
        <v>2089</v>
      </c>
      <c r="G40" s="56" t="s">
        <v>2251</v>
      </c>
    </row>
    <row r="41" spans="1:7" ht="17">
      <c r="A41" s="274" t="s">
        <v>2443</v>
      </c>
      <c r="B41" s="274" t="s">
        <v>2440</v>
      </c>
      <c r="C41" s="274" t="s">
        <v>2444</v>
      </c>
      <c r="D41" s="274" t="s">
        <v>2716</v>
      </c>
      <c r="E41" s="275" t="s">
        <v>108</v>
      </c>
      <c r="F41" s="274" t="s">
        <v>2089</v>
      </c>
      <c r="G41" s="274" t="s">
        <v>2445</v>
      </c>
    </row>
    <row r="42" spans="1:7" ht="17">
      <c r="A42" s="274" t="s">
        <v>2306</v>
      </c>
      <c r="B42" s="274" t="s">
        <v>2291</v>
      </c>
      <c r="C42" s="274" t="s">
        <v>2307</v>
      </c>
      <c r="D42" s="274" t="s">
        <v>2716</v>
      </c>
      <c r="E42" s="275" t="s">
        <v>108</v>
      </c>
      <c r="F42" s="274" t="s">
        <v>2089</v>
      </c>
      <c r="G42" s="274" t="s">
        <v>2251</v>
      </c>
    </row>
    <row r="43" spans="1:7">
      <c r="A43" s="56" t="s">
        <v>2313</v>
      </c>
      <c r="B43" s="56" t="s">
        <v>2291</v>
      </c>
      <c r="C43" s="56" t="s">
        <v>2292</v>
      </c>
      <c r="D43" s="56" t="s">
        <v>2716</v>
      </c>
      <c r="E43" s="74" t="s">
        <v>2446</v>
      </c>
      <c r="F43" s="74" t="s">
        <v>2089</v>
      </c>
      <c r="G43" s="56" t="s">
        <v>2251</v>
      </c>
    </row>
    <row r="44" spans="1:7" ht="17">
      <c r="A44" s="274" t="s">
        <v>2314</v>
      </c>
      <c r="B44" s="274" t="s">
        <v>2291</v>
      </c>
      <c r="C44" s="274" t="s">
        <v>2292</v>
      </c>
      <c r="D44" s="274" t="s">
        <v>2716</v>
      </c>
      <c r="E44" s="275" t="s">
        <v>2446</v>
      </c>
      <c r="F44" s="274" t="s">
        <v>2089</v>
      </c>
      <c r="G44" s="274" t="s">
        <v>2251</v>
      </c>
    </row>
    <row r="45" spans="1:7" ht="17">
      <c r="A45" s="274" t="s">
        <v>2447</v>
      </c>
      <c r="B45" s="274" t="s">
        <v>2440</v>
      </c>
      <c r="C45" s="274" t="s">
        <v>2403</v>
      </c>
      <c r="D45" s="274" t="s">
        <v>2716</v>
      </c>
      <c r="E45" s="275" t="s">
        <v>2403</v>
      </c>
      <c r="F45" s="275" t="s">
        <v>2089</v>
      </c>
      <c r="G45" s="274" t="s">
        <v>2251</v>
      </c>
    </row>
    <row r="46" spans="1:7" ht="17">
      <c r="A46" s="274" t="s">
        <v>2448</v>
      </c>
      <c r="B46" s="274" t="s">
        <v>2449</v>
      </c>
      <c r="C46" s="274" t="s">
        <v>108</v>
      </c>
      <c r="D46" s="274" t="s">
        <v>2716</v>
      </c>
      <c r="E46" s="275" t="s">
        <v>108</v>
      </c>
      <c r="F46" s="275" t="s">
        <v>2089</v>
      </c>
      <c r="G46" s="274" t="s">
        <v>2251</v>
      </c>
    </row>
    <row r="47" spans="1:7" ht="17">
      <c r="A47" s="75" t="s">
        <v>2450</v>
      </c>
      <c r="B47" s="75"/>
      <c r="C47" s="75"/>
      <c r="D47" s="75"/>
      <c r="E47" s="76"/>
      <c r="F47" s="75"/>
      <c r="G47" s="75"/>
    </row>
    <row r="48" spans="1:7" ht="17">
      <c r="A48" s="274" t="s">
        <v>2451</v>
      </c>
      <c r="B48" s="274"/>
      <c r="C48" s="274" t="s">
        <v>2403</v>
      </c>
      <c r="D48" s="274" t="s">
        <v>2716</v>
      </c>
      <c r="E48" s="275" t="s">
        <v>2403</v>
      </c>
      <c r="F48" s="275" t="s">
        <v>2089</v>
      </c>
      <c r="G48" s="274" t="s">
        <v>2251</v>
      </c>
    </row>
    <row r="49" spans="1:7">
      <c r="A49" s="56" t="s">
        <v>2375</v>
      </c>
      <c r="B49" s="56"/>
      <c r="C49" s="56" t="s">
        <v>2376</v>
      </c>
      <c r="D49" s="56" t="s">
        <v>2716</v>
      </c>
      <c r="E49" s="74" t="s">
        <v>2403</v>
      </c>
      <c r="F49" s="74" t="s">
        <v>2089</v>
      </c>
      <c r="G49" s="56" t="s">
        <v>2251</v>
      </c>
    </row>
    <row r="50" spans="1:7" ht="17">
      <c r="A50" s="274" t="s">
        <v>2452</v>
      </c>
      <c r="B50" s="274" t="s">
        <v>2440</v>
      </c>
      <c r="C50" s="274" t="s">
        <v>108</v>
      </c>
      <c r="D50" s="274" t="s">
        <v>2716</v>
      </c>
      <c r="E50" s="275" t="s">
        <v>108</v>
      </c>
      <c r="F50" s="274" t="s">
        <v>2089</v>
      </c>
      <c r="G50" s="274" t="s">
        <v>2251</v>
      </c>
    </row>
    <row r="51" spans="1:7" ht="17">
      <c r="A51" s="274" t="s">
        <v>2453</v>
      </c>
      <c r="B51" s="274" t="s">
        <v>2440</v>
      </c>
      <c r="C51" s="274" t="s">
        <v>108</v>
      </c>
      <c r="D51" s="274" t="s">
        <v>2716</v>
      </c>
      <c r="E51" s="275" t="s">
        <v>108</v>
      </c>
      <c r="F51" s="274" t="s">
        <v>2089</v>
      </c>
      <c r="G51" s="274" t="s">
        <v>2251</v>
      </c>
    </row>
    <row r="52" spans="1:7">
      <c r="A52" s="56" t="s">
        <v>2454</v>
      </c>
      <c r="B52" s="56" t="s">
        <v>2301</v>
      </c>
      <c r="C52" s="56" t="s">
        <v>108</v>
      </c>
      <c r="D52" s="56" t="s">
        <v>2716</v>
      </c>
      <c r="E52" s="74" t="s">
        <v>108</v>
      </c>
      <c r="F52" s="74" t="s">
        <v>2089</v>
      </c>
      <c r="G52" s="56" t="s">
        <v>2251</v>
      </c>
    </row>
    <row r="53" spans="1:7">
      <c r="A53" s="56" t="s">
        <v>2455</v>
      </c>
      <c r="B53" s="56" t="s">
        <v>2456</v>
      </c>
      <c r="C53" s="56" t="s">
        <v>2403</v>
      </c>
      <c r="D53" s="56" t="s">
        <v>2716</v>
      </c>
      <c r="E53" s="74" t="s">
        <v>2403</v>
      </c>
      <c r="F53" s="74" t="s">
        <v>2089</v>
      </c>
      <c r="G53" s="56" t="s">
        <v>2251</v>
      </c>
    </row>
    <row r="54" spans="1:7" ht="17">
      <c r="A54" s="274" t="s">
        <v>2457</v>
      </c>
      <c r="B54" s="274" t="s">
        <v>2456</v>
      </c>
      <c r="C54" s="274" t="s">
        <v>2403</v>
      </c>
      <c r="D54" s="274" t="s">
        <v>2716</v>
      </c>
      <c r="E54" s="275" t="s">
        <v>2403</v>
      </c>
      <c r="F54" s="274" t="s">
        <v>2089</v>
      </c>
      <c r="G54" s="274" t="s">
        <v>2251</v>
      </c>
    </row>
    <row r="55" spans="1:7" ht="17">
      <c r="A55" s="274" t="s">
        <v>2316</v>
      </c>
      <c r="B55" s="274" t="s">
        <v>2291</v>
      </c>
      <c r="C55" s="274" t="s">
        <v>2292</v>
      </c>
      <c r="D55" s="274" t="s">
        <v>2716</v>
      </c>
      <c r="E55" s="275" t="s">
        <v>2446</v>
      </c>
      <c r="F55" s="274" t="s">
        <v>2089</v>
      </c>
      <c r="G55" s="274" t="s">
        <v>2251</v>
      </c>
    </row>
    <row r="56" spans="1:7" ht="17">
      <c r="A56" s="274" t="s">
        <v>2458</v>
      </c>
      <c r="B56" s="274" t="s">
        <v>2456</v>
      </c>
      <c r="C56" s="274" t="s">
        <v>108</v>
      </c>
      <c r="D56" s="274" t="s">
        <v>2716</v>
      </c>
      <c r="E56" s="275" t="s">
        <v>108</v>
      </c>
      <c r="F56" s="275" t="s">
        <v>2089</v>
      </c>
      <c r="G56" s="274" t="s">
        <v>2459</v>
      </c>
    </row>
    <row r="57" spans="1:7" ht="17">
      <c r="A57" s="75" t="s">
        <v>2460</v>
      </c>
      <c r="B57" s="75"/>
      <c r="C57" s="75"/>
      <c r="D57" s="75"/>
      <c r="E57" s="76"/>
      <c r="F57" s="75"/>
      <c r="G57" s="75"/>
    </row>
    <row r="58" spans="1:7" ht="17">
      <c r="A58" s="274" t="s">
        <v>2461</v>
      </c>
      <c r="B58" s="274" t="s">
        <v>2462</v>
      </c>
      <c r="C58" s="274" t="s">
        <v>108</v>
      </c>
      <c r="D58" s="274" t="s">
        <v>2716</v>
      </c>
      <c r="E58" s="275" t="s">
        <v>108</v>
      </c>
      <c r="F58" s="274" t="s">
        <v>2089</v>
      </c>
      <c r="G58" s="274" t="s">
        <v>2251</v>
      </c>
    </row>
    <row r="59" spans="1:7" ht="17">
      <c r="A59" s="274" t="s">
        <v>2463</v>
      </c>
      <c r="B59" s="274" t="s">
        <v>2464</v>
      </c>
      <c r="C59" s="274" t="s">
        <v>108</v>
      </c>
      <c r="D59" s="274" t="s">
        <v>2716</v>
      </c>
      <c r="E59" s="275" t="s">
        <v>108</v>
      </c>
      <c r="F59" s="274" t="s">
        <v>2089</v>
      </c>
      <c r="G59" s="274" t="s">
        <v>2251</v>
      </c>
    </row>
    <row r="60" spans="1:7" ht="17">
      <c r="A60" s="274" t="s">
        <v>2465</v>
      </c>
      <c r="B60" s="274" t="s">
        <v>2464</v>
      </c>
      <c r="C60" s="274" t="s">
        <v>108</v>
      </c>
      <c r="D60" s="274" t="s">
        <v>2716</v>
      </c>
      <c r="E60" s="275" t="s">
        <v>108</v>
      </c>
      <c r="F60" s="274" t="s">
        <v>2089</v>
      </c>
      <c r="G60" s="274" t="s">
        <v>2251</v>
      </c>
    </row>
    <row r="61" spans="1:7" ht="17">
      <c r="A61" s="75" t="s">
        <v>2466</v>
      </c>
      <c r="B61" s="75"/>
      <c r="C61" s="75"/>
      <c r="D61" s="75"/>
      <c r="E61" s="76"/>
      <c r="F61" s="75"/>
      <c r="G61" s="75"/>
    </row>
    <row r="62" spans="1:7">
      <c r="A62" s="56" t="s">
        <v>2467</v>
      </c>
      <c r="B62" s="56" t="s">
        <v>2319</v>
      </c>
      <c r="C62" s="56" t="s">
        <v>2403</v>
      </c>
      <c r="D62" s="56" t="s">
        <v>2716</v>
      </c>
      <c r="E62" s="74" t="s">
        <v>2403</v>
      </c>
      <c r="F62" s="74" t="s">
        <v>2089</v>
      </c>
      <c r="G62" s="56" t="s">
        <v>2468</v>
      </c>
    </row>
    <row r="63" spans="1:7" ht="17">
      <c r="A63" s="274" t="s">
        <v>2469</v>
      </c>
      <c r="B63" s="274" t="s">
        <v>2382</v>
      </c>
      <c r="C63" s="274" t="s">
        <v>108</v>
      </c>
      <c r="D63" s="274" t="s">
        <v>2716</v>
      </c>
      <c r="E63" s="275" t="s">
        <v>108</v>
      </c>
      <c r="F63" s="274" t="s">
        <v>2089</v>
      </c>
      <c r="G63" s="274" t="s">
        <v>2470</v>
      </c>
    </row>
    <row r="64" spans="1:7">
      <c r="A64" s="56" t="s">
        <v>2471</v>
      </c>
      <c r="B64" s="56" t="s">
        <v>2379</v>
      </c>
      <c r="C64" s="56" t="s">
        <v>108</v>
      </c>
      <c r="D64" s="56" t="s">
        <v>2716</v>
      </c>
      <c r="E64" s="74" t="s">
        <v>108</v>
      </c>
      <c r="F64" s="74" t="s">
        <v>2089</v>
      </c>
      <c r="G64" s="56" t="s">
        <v>2472</v>
      </c>
    </row>
    <row r="65" spans="1:7" ht="17">
      <c r="A65" s="274" t="s">
        <v>2473</v>
      </c>
      <c r="B65" s="274" t="s">
        <v>2474</v>
      </c>
      <c r="C65" s="274" t="s">
        <v>108</v>
      </c>
      <c r="D65" s="274" t="s">
        <v>2716</v>
      </c>
      <c r="E65" s="275" t="s">
        <v>108</v>
      </c>
      <c r="F65" s="274" t="s">
        <v>2089</v>
      </c>
      <c r="G65" s="274" t="s">
        <v>2475</v>
      </c>
    </row>
    <row r="66" spans="1:7" ht="17">
      <c r="A66" s="75" t="s">
        <v>2476</v>
      </c>
      <c r="B66" s="75"/>
      <c r="C66" s="75"/>
      <c r="D66" s="75"/>
      <c r="E66" s="76"/>
      <c r="F66" s="75"/>
      <c r="G66" s="75"/>
    </row>
    <row r="67" spans="1:7">
      <c r="A67" s="56" t="s">
        <v>2477</v>
      </c>
      <c r="B67" s="56" t="s">
        <v>2382</v>
      </c>
      <c r="C67" s="56" t="s">
        <v>108</v>
      </c>
      <c r="D67" s="56" t="s">
        <v>2716</v>
      </c>
      <c r="E67" s="74" t="s">
        <v>108</v>
      </c>
      <c r="F67" s="74" t="s">
        <v>2089</v>
      </c>
      <c r="G67" s="56" t="s">
        <v>2478</v>
      </c>
    </row>
    <row r="68" spans="1:7">
      <c r="A68" s="56" t="s">
        <v>2479</v>
      </c>
      <c r="B68" s="56" t="s">
        <v>2480</v>
      </c>
      <c r="C68" s="56" t="s">
        <v>108</v>
      </c>
      <c r="D68" s="56" t="s">
        <v>2716</v>
      </c>
      <c r="E68" s="74" t="s">
        <v>108</v>
      </c>
      <c r="F68" s="74" t="s">
        <v>2089</v>
      </c>
      <c r="G68" s="56" t="s">
        <v>2481</v>
      </c>
    </row>
    <row r="69" spans="1:7" ht="17">
      <c r="A69" s="274" t="s">
        <v>2482</v>
      </c>
      <c r="B69" s="274" t="s">
        <v>2480</v>
      </c>
      <c r="C69" s="274" t="s">
        <v>108</v>
      </c>
      <c r="D69" s="274" t="s">
        <v>2716</v>
      </c>
      <c r="E69" s="275" t="s">
        <v>108</v>
      </c>
      <c r="F69" s="274" t="s">
        <v>2089</v>
      </c>
      <c r="G69" s="274" t="s">
        <v>2483</v>
      </c>
    </row>
    <row r="70" spans="1:7">
      <c r="A70" s="56" t="s">
        <v>2484</v>
      </c>
      <c r="B70" s="56" t="s">
        <v>2382</v>
      </c>
      <c r="C70" s="56" t="s">
        <v>2403</v>
      </c>
      <c r="D70" s="56" t="s">
        <v>2716</v>
      </c>
      <c r="E70" s="74" t="s">
        <v>2403</v>
      </c>
      <c r="F70" s="74" t="s">
        <v>2089</v>
      </c>
      <c r="G70" s="56" t="s">
        <v>2251</v>
      </c>
    </row>
    <row r="71" spans="1:7" ht="17">
      <c r="A71" s="274" t="s">
        <v>2485</v>
      </c>
      <c r="B71" s="274" t="s">
        <v>2486</v>
      </c>
      <c r="C71" s="274" t="s">
        <v>2487</v>
      </c>
      <c r="D71" s="274" t="s">
        <v>2716</v>
      </c>
      <c r="E71" s="275" t="s">
        <v>108</v>
      </c>
      <c r="F71" s="275" t="s">
        <v>2089</v>
      </c>
      <c r="G71" s="274" t="s">
        <v>2251</v>
      </c>
    </row>
    <row r="72" spans="1:7" ht="17">
      <c r="A72" s="75" t="s">
        <v>2488</v>
      </c>
      <c r="B72" s="75"/>
      <c r="C72" s="75"/>
      <c r="D72" s="75"/>
      <c r="E72" s="76"/>
      <c r="F72" s="75"/>
      <c r="G72" s="75"/>
    </row>
    <row r="73" spans="1:7" ht="17">
      <c r="A73" s="274" t="s">
        <v>2489</v>
      </c>
      <c r="B73" s="274" t="s">
        <v>2490</v>
      </c>
      <c r="C73" s="274" t="s">
        <v>108</v>
      </c>
      <c r="D73" s="274" t="s">
        <v>2716</v>
      </c>
      <c r="E73" s="275" t="s">
        <v>108</v>
      </c>
      <c r="F73" s="274" t="s">
        <v>2089</v>
      </c>
      <c r="G73" s="274" t="s">
        <v>2251</v>
      </c>
    </row>
    <row r="74" spans="1:7">
      <c r="A74" s="56" t="s">
        <v>2491</v>
      </c>
      <c r="B74" s="56" t="s">
        <v>2490</v>
      </c>
      <c r="C74" s="56" t="s">
        <v>2403</v>
      </c>
      <c r="D74" s="56" t="s">
        <v>2716</v>
      </c>
      <c r="E74" s="74" t="s">
        <v>2403</v>
      </c>
      <c r="F74" s="74" t="s">
        <v>2089</v>
      </c>
      <c r="G74" s="56" t="s">
        <v>2492</v>
      </c>
    </row>
    <row r="75" spans="1:7" ht="17">
      <c r="A75" s="274" t="s">
        <v>2529</v>
      </c>
      <c r="B75" s="274" t="s">
        <v>2494</v>
      </c>
      <c r="C75" s="274" t="s">
        <v>2530</v>
      </c>
      <c r="D75" s="274" t="s">
        <v>2716</v>
      </c>
      <c r="E75" s="275" t="s">
        <v>2531</v>
      </c>
      <c r="F75" s="275" t="s">
        <v>2088</v>
      </c>
      <c r="G75" s="274" t="s">
        <v>2532</v>
      </c>
    </row>
    <row r="76" spans="1:7" ht="17">
      <c r="A76" s="274" t="s">
        <v>2493</v>
      </c>
      <c r="B76" s="274" t="s">
        <v>2494</v>
      </c>
      <c r="C76" s="274" t="s">
        <v>2421</v>
      </c>
      <c r="D76" s="274" t="s">
        <v>2716</v>
      </c>
      <c r="E76" s="275" t="s">
        <v>108</v>
      </c>
      <c r="F76" s="274" t="s">
        <v>2089</v>
      </c>
      <c r="G76" s="274" t="s">
        <v>2495</v>
      </c>
    </row>
    <row r="77" spans="1:7" ht="17">
      <c r="A77" s="274" t="s">
        <v>2496</v>
      </c>
      <c r="B77" s="274" t="s">
        <v>2490</v>
      </c>
      <c r="C77" s="274" t="s">
        <v>2497</v>
      </c>
      <c r="D77" s="274" t="s">
        <v>2716</v>
      </c>
      <c r="E77" s="275" t="s">
        <v>108</v>
      </c>
      <c r="F77" s="274" t="s">
        <v>2089</v>
      </c>
      <c r="G77" s="274" t="s">
        <v>2251</v>
      </c>
    </row>
    <row r="78" spans="1:7" ht="17">
      <c r="A78" s="274" t="s">
        <v>2498</v>
      </c>
      <c r="B78" s="274" t="s">
        <v>2490</v>
      </c>
      <c r="C78" s="274" t="s">
        <v>2499</v>
      </c>
      <c r="D78" s="274" t="s">
        <v>2716</v>
      </c>
      <c r="E78" s="275" t="s">
        <v>108</v>
      </c>
      <c r="F78" s="274" t="s">
        <v>2089</v>
      </c>
      <c r="G78" s="274" t="s">
        <v>2500</v>
      </c>
    </row>
    <row r="79" spans="1:7" ht="17">
      <c r="A79" s="75" t="s">
        <v>2501</v>
      </c>
      <c r="B79" s="75"/>
      <c r="C79" s="75"/>
      <c r="D79" s="75"/>
      <c r="E79" s="76"/>
      <c r="F79" s="75"/>
      <c r="G79" s="75"/>
    </row>
    <row r="80" spans="1:7" ht="17">
      <c r="A80" s="274" t="s">
        <v>2502</v>
      </c>
      <c r="B80" s="274" t="s">
        <v>2325</v>
      </c>
      <c r="C80" s="274" t="s">
        <v>2503</v>
      </c>
      <c r="D80" s="274" t="s">
        <v>2716</v>
      </c>
      <c r="E80" s="275" t="s">
        <v>108</v>
      </c>
      <c r="F80" s="275" t="s">
        <v>2089</v>
      </c>
      <c r="G80" s="274" t="s">
        <v>2504</v>
      </c>
    </row>
    <row r="81" spans="1:7" ht="17">
      <c r="A81" s="274" t="s">
        <v>2341</v>
      </c>
      <c r="B81" s="274" t="s">
        <v>2342</v>
      </c>
      <c r="C81" s="274" t="s">
        <v>2343</v>
      </c>
      <c r="D81" s="274" t="s">
        <v>2716</v>
      </c>
      <c r="E81" s="275" t="s">
        <v>108</v>
      </c>
      <c r="F81" s="275" t="s">
        <v>2089</v>
      </c>
      <c r="G81" s="274" t="s">
        <v>2344</v>
      </c>
    </row>
    <row r="82" spans="1:7" ht="17">
      <c r="A82" s="274" t="s">
        <v>2348</v>
      </c>
      <c r="B82" s="274"/>
      <c r="C82" s="274" t="s">
        <v>2292</v>
      </c>
      <c r="D82" s="274" t="s">
        <v>2716</v>
      </c>
      <c r="E82" s="275" t="s">
        <v>2446</v>
      </c>
      <c r="F82" s="275" t="s">
        <v>2089</v>
      </c>
      <c r="G82" s="274" t="s">
        <v>2251</v>
      </c>
    </row>
    <row r="83" spans="1:7" ht="17">
      <c r="A83" s="274" t="s">
        <v>2505</v>
      </c>
      <c r="B83" s="274" t="s">
        <v>2291</v>
      </c>
      <c r="C83" s="274" t="s">
        <v>108</v>
      </c>
      <c r="D83" s="274" t="s">
        <v>2716</v>
      </c>
      <c r="E83" s="275" t="s">
        <v>108</v>
      </c>
      <c r="F83" s="274" t="s">
        <v>2089</v>
      </c>
      <c r="G83" s="274" t="s">
        <v>2251</v>
      </c>
    </row>
    <row r="84" spans="1:7" ht="17">
      <c r="A84" s="274" t="s">
        <v>2506</v>
      </c>
      <c r="B84" s="274" t="s">
        <v>2346</v>
      </c>
      <c r="C84" s="274" t="s">
        <v>2507</v>
      </c>
      <c r="D84" s="274" t="s">
        <v>2716</v>
      </c>
      <c r="E84" s="275" t="s">
        <v>2507</v>
      </c>
      <c r="F84" s="274" t="s">
        <v>2089</v>
      </c>
      <c r="G84" s="274" t="s">
        <v>2508</v>
      </c>
    </row>
    <row r="85" spans="1:7" ht="17">
      <c r="A85" s="75" t="s">
        <v>2606</v>
      </c>
      <c r="B85" s="75"/>
      <c r="C85" s="75"/>
      <c r="D85" s="75"/>
      <c r="E85" s="76"/>
      <c r="F85" s="75"/>
      <c r="G85" s="75"/>
    </row>
    <row r="86" spans="1:7" ht="17">
      <c r="A86" s="274" t="s">
        <v>2355</v>
      </c>
      <c r="B86" s="274" t="s">
        <v>2356</v>
      </c>
      <c r="C86" s="274" t="s">
        <v>1565</v>
      </c>
      <c r="D86" s="274" t="s">
        <v>2717</v>
      </c>
      <c r="E86" s="275" t="s">
        <v>108</v>
      </c>
      <c r="F86" s="275" t="s">
        <v>2183</v>
      </c>
      <c r="G86" s="274" t="s">
        <v>2358</v>
      </c>
    </row>
    <row r="87" spans="1:7" ht="17">
      <c r="A87" s="274" t="s">
        <v>2516</v>
      </c>
      <c r="B87" s="274" t="s">
        <v>2291</v>
      </c>
      <c r="C87" s="274" t="s">
        <v>1215</v>
      </c>
      <c r="D87" s="274" t="s">
        <v>2717</v>
      </c>
      <c r="E87" s="275" t="s">
        <v>1215</v>
      </c>
      <c r="F87" s="275" t="s">
        <v>2184</v>
      </c>
      <c r="G87" s="274" t="s">
        <v>2251</v>
      </c>
    </row>
    <row r="88" spans="1:7" ht="17">
      <c r="A88" s="272" t="s">
        <v>2398</v>
      </c>
      <c r="B88" s="272"/>
      <c r="C88" s="272" t="s">
        <v>2399</v>
      </c>
      <c r="D88" s="272" t="s">
        <v>2717</v>
      </c>
      <c r="E88" s="273" t="s">
        <v>2399</v>
      </c>
      <c r="F88" s="273" t="s">
        <v>2309</v>
      </c>
      <c r="G88" s="272" t="s">
        <v>2251</v>
      </c>
    </row>
    <row r="89" spans="1:7" ht="17">
      <c r="A89" s="274" t="s">
        <v>2400</v>
      </c>
      <c r="B89" s="274" t="s">
        <v>2284</v>
      </c>
      <c r="C89" s="274" t="s">
        <v>108</v>
      </c>
      <c r="D89" s="274" t="s">
        <v>2717</v>
      </c>
      <c r="E89" s="275" t="s">
        <v>108</v>
      </c>
      <c r="F89" s="274" t="s">
        <v>2183</v>
      </c>
      <c r="G89" s="274" t="s">
        <v>2251</v>
      </c>
    </row>
    <row r="90" spans="1:7" ht="17">
      <c r="A90" s="274" t="s">
        <v>2401</v>
      </c>
      <c r="B90" s="274" t="s">
        <v>2402</v>
      </c>
      <c r="C90" s="274" t="s">
        <v>2403</v>
      </c>
      <c r="D90" s="274" t="s">
        <v>2717</v>
      </c>
      <c r="E90" s="275" t="s">
        <v>2403</v>
      </c>
      <c r="F90" s="275" t="s">
        <v>2183</v>
      </c>
      <c r="G90" s="274" t="s">
        <v>2404</v>
      </c>
    </row>
    <row r="91" spans="1:7">
      <c r="A91" s="56" t="s">
        <v>2405</v>
      </c>
      <c r="B91" s="56"/>
      <c r="C91" s="56" t="s">
        <v>108</v>
      </c>
      <c r="D91" s="56" t="s">
        <v>2717</v>
      </c>
      <c r="E91" s="74" t="s">
        <v>108</v>
      </c>
      <c r="F91" s="74" t="s">
        <v>2183</v>
      </c>
      <c r="G91" s="56" t="s">
        <v>2251</v>
      </c>
    </row>
    <row r="92" spans="1:7" ht="17">
      <c r="A92" s="75" t="s">
        <v>2608</v>
      </c>
      <c r="B92" s="75"/>
      <c r="C92" s="75"/>
      <c r="D92" s="75"/>
      <c r="E92" s="76"/>
      <c r="F92" s="75"/>
      <c r="G92" s="75"/>
    </row>
    <row r="93" spans="1:7" ht="17">
      <c r="A93" s="274" t="s">
        <v>2407</v>
      </c>
      <c r="B93" s="274" t="s">
        <v>2296</v>
      </c>
      <c r="C93" s="274" t="s">
        <v>108</v>
      </c>
      <c r="D93" s="274" t="s">
        <v>2717</v>
      </c>
      <c r="E93" s="275" t="s">
        <v>108</v>
      </c>
      <c r="F93" s="274" t="s">
        <v>2183</v>
      </c>
      <c r="G93" s="274" t="s">
        <v>2251</v>
      </c>
    </row>
    <row r="94" spans="1:7" ht="17">
      <c r="A94" s="274" t="s">
        <v>2409</v>
      </c>
      <c r="B94" s="274" t="s">
        <v>2410</v>
      </c>
      <c r="C94" s="274" t="s">
        <v>108</v>
      </c>
      <c r="D94" s="274" t="s">
        <v>2717</v>
      </c>
      <c r="E94" s="275" t="s">
        <v>108</v>
      </c>
      <c r="F94" s="274" t="s">
        <v>2183</v>
      </c>
      <c r="G94" s="274" t="s">
        <v>2411</v>
      </c>
    </row>
    <row r="95" spans="1:7" ht="17">
      <c r="A95" s="274" t="s">
        <v>2412</v>
      </c>
      <c r="B95" s="274" t="s">
        <v>2410</v>
      </c>
      <c r="C95" s="274" t="s">
        <v>108</v>
      </c>
      <c r="D95" s="274" t="s">
        <v>2717</v>
      </c>
      <c r="E95" s="275" t="s">
        <v>108</v>
      </c>
      <c r="F95" s="275" t="s">
        <v>2183</v>
      </c>
      <c r="G95" s="274" t="s">
        <v>2251</v>
      </c>
    </row>
    <row r="96" spans="1:7" ht="17">
      <c r="A96" s="274" t="s">
        <v>2290</v>
      </c>
      <c r="B96" s="274" t="s">
        <v>2291</v>
      </c>
      <c r="C96" s="274" t="s">
        <v>2292</v>
      </c>
      <c r="D96" s="274" t="s">
        <v>2717</v>
      </c>
      <c r="E96" s="275" t="s">
        <v>2446</v>
      </c>
      <c r="F96" s="275" t="s">
        <v>2183</v>
      </c>
      <c r="G96" s="274" t="s">
        <v>2251</v>
      </c>
    </row>
    <row r="97" spans="1:7">
      <c r="A97" s="56" t="s">
        <v>2414</v>
      </c>
      <c r="B97" s="56" t="s">
        <v>2415</v>
      </c>
      <c r="C97" s="56" t="s">
        <v>108</v>
      </c>
      <c r="D97" s="56" t="s">
        <v>2717</v>
      </c>
      <c r="E97" s="74" t="s">
        <v>108</v>
      </c>
      <c r="F97" s="74" t="s">
        <v>2183</v>
      </c>
      <c r="G97" s="56" t="s">
        <v>2416</v>
      </c>
    </row>
    <row r="98" spans="1:7" ht="17">
      <c r="A98" s="75" t="s">
        <v>2609</v>
      </c>
      <c r="B98" s="75"/>
      <c r="C98" s="75"/>
      <c r="D98" s="75"/>
      <c r="E98" s="76"/>
      <c r="F98" s="75"/>
      <c r="G98" s="75"/>
    </row>
    <row r="99" spans="1:7" ht="17">
      <c r="A99" s="274" t="s">
        <v>2418</v>
      </c>
      <c r="B99" s="274" t="s">
        <v>2363</v>
      </c>
      <c r="C99" s="274" t="s">
        <v>108</v>
      </c>
      <c r="D99" s="274" t="s">
        <v>2717</v>
      </c>
      <c r="E99" s="275" t="s">
        <v>108</v>
      </c>
      <c r="F99" s="274" t="s">
        <v>2183</v>
      </c>
      <c r="G99" s="274" t="s">
        <v>2251</v>
      </c>
    </row>
    <row r="100" spans="1:7" ht="17">
      <c r="A100" s="272" t="s">
        <v>2362</v>
      </c>
      <c r="B100" s="272" t="s">
        <v>2363</v>
      </c>
      <c r="C100" s="272" t="s">
        <v>2364</v>
      </c>
      <c r="D100" s="272" t="s">
        <v>2717</v>
      </c>
      <c r="E100" s="273" t="s">
        <v>2718</v>
      </c>
      <c r="F100" s="273" t="s">
        <v>2309</v>
      </c>
      <c r="G100" s="272" t="s">
        <v>2251</v>
      </c>
    </row>
    <row r="101" spans="1:7" ht="17">
      <c r="A101" s="274" t="s">
        <v>2420</v>
      </c>
      <c r="B101" s="274" t="s">
        <v>2363</v>
      </c>
      <c r="C101" s="274" t="s">
        <v>2421</v>
      </c>
      <c r="D101" s="274" t="s">
        <v>2717</v>
      </c>
      <c r="E101" s="275" t="s">
        <v>108</v>
      </c>
      <c r="F101" s="275" t="s">
        <v>2183</v>
      </c>
      <c r="G101" s="274" t="s">
        <v>2422</v>
      </c>
    </row>
    <row r="102" spans="1:7" ht="17">
      <c r="A102" s="274" t="s">
        <v>2423</v>
      </c>
      <c r="B102" s="274" t="s">
        <v>2363</v>
      </c>
      <c r="C102" s="274" t="s">
        <v>108</v>
      </c>
      <c r="D102" s="274" t="s">
        <v>2717</v>
      </c>
      <c r="E102" s="275" t="s">
        <v>108</v>
      </c>
      <c r="F102" s="275" t="s">
        <v>2183</v>
      </c>
      <c r="G102" s="274" t="s">
        <v>2251</v>
      </c>
    </row>
    <row r="103" spans="1:7" ht="17">
      <c r="A103" s="75" t="s">
        <v>2610</v>
      </c>
      <c r="B103" s="75"/>
      <c r="C103" s="75"/>
      <c r="D103" s="75"/>
      <c r="E103" s="76"/>
      <c r="F103" s="75"/>
      <c r="G103" s="75"/>
    </row>
    <row r="104" spans="1:7">
      <c r="A104" s="56" t="s">
        <v>2425</v>
      </c>
      <c r="B104" s="56" t="s">
        <v>2426</v>
      </c>
      <c r="C104" s="56" t="s">
        <v>2427</v>
      </c>
      <c r="D104" s="56" t="s">
        <v>2717</v>
      </c>
      <c r="E104" s="74" t="s">
        <v>108</v>
      </c>
      <c r="F104" s="74" t="s">
        <v>2183</v>
      </c>
      <c r="G104" s="56" t="s">
        <v>2251</v>
      </c>
    </row>
    <row r="105" spans="1:7" ht="17">
      <c r="A105" s="274" t="s">
        <v>2428</v>
      </c>
      <c r="B105" s="274" t="s">
        <v>2426</v>
      </c>
      <c r="C105" s="274" t="s">
        <v>2429</v>
      </c>
      <c r="D105" s="274" t="s">
        <v>2717</v>
      </c>
      <c r="E105" s="275" t="s">
        <v>108</v>
      </c>
      <c r="F105" s="275" t="s">
        <v>2183</v>
      </c>
      <c r="G105" s="274" t="s">
        <v>2251</v>
      </c>
    </row>
    <row r="106" spans="1:7" ht="17">
      <c r="A106" s="274" t="s">
        <v>2430</v>
      </c>
      <c r="B106" s="274" t="s">
        <v>2431</v>
      </c>
      <c r="C106" s="274" t="s">
        <v>108</v>
      </c>
      <c r="D106" s="274" t="s">
        <v>2717</v>
      </c>
      <c r="E106" s="275" t="s">
        <v>108</v>
      </c>
      <c r="F106" s="275" t="s">
        <v>2183</v>
      </c>
      <c r="G106" s="274" t="s">
        <v>2432</v>
      </c>
    </row>
    <row r="107" spans="1:7" ht="17">
      <c r="A107" s="274" t="s">
        <v>2433</v>
      </c>
      <c r="B107" s="274" t="s">
        <v>2431</v>
      </c>
      <c r="C107" s="274" t="s">
        <v>108</v>
      </c>
      <c r="D107" s="274" t="s">
        <v>2717</v>
      </c>
      <c r="E107" s="275" t="s">
        <v>108</v>
      </c>
      <c r="F107" s="274" t="s">
        <v>2183</v>
      </c>
      <c r="G107" s="274" t="s">
        <v>2251</v>
      </c>
    </row>
    <row r="108" spans="1:7" ht="17">
      <c r="A108" s="75" t="s">
        <v>2611</v>
      </c>
      <c r="B108" s="75"/>
      <c r="C108" s="75"/>
      <c r="D108" s="75"/>
      <c r="E108" s="76"/>
      <c r="F108" s="75"/>
      <c r="G108" s="75"/>
    </row>
    <row r="109" spans="1:7">
      <c r="A109" s="56" t="s">
        <v>2435</v>
      </c>
      <c r="B109" s="56" t="s">
        <v>2436</v>
      </c>
      <c r="C109" s="56" t="s">
        <v>108</v>
      </c>
      <c r="D109" s="56" t="s">
        <v>2717</v>
      </c>
      <c r="E109" s="74" t="s">
        <v>108</v>
      </c>
      <c r="F109" s="74" t="s">
        <v>2183</v>
      </c>
      <c r="G109" s="56" t="s">
        <v>2437</v>
      </c>
    </row>
    <row r="110" spans="1:7" ht="17">
      <c r="A110" s="274" t="s">
        <v>2295</v>
      </c>
      <c r="B110" s="274" t="s">
        <v>2296</v>
      </c>
      <c r="C110" s="274" t="s">
        <v>2297</v>
      </c>
      <c r="D110" s="274" t="s">
        <v>2717</v>
      </c>
      <c r="E110" s="275" t="s">
        <v>2446</v>
      </c>
      <c r="F110" s="275" t="s">
        <v>2183</v>
      </c>
      <c r="G110" s="274" t="s">
        <v>2251</v>
      </c>
    </row>
    <row r="111" spans="1:7">
      <c r="A111" s="56" t="s">
        <v>2298</v>
      </c>
      <c r="B111" s="56" t="s">
        <v>2296</v>
      </c>
      <c r="C111" s="56" t="s">
        <v>2292</v>
      </c>
      <c r="D111" s="56" t="s">
        <v>2717</v>
      </c>
      <c r="E111" s="74" t="s">
        <v>2446</v>
      </c>
      <c r="F111" s="74" t="s">
        <v>2183</v>
      </c>
      <c r="G111" s="56" t="s">
        <v>2251</v>
      </c>
    </row>
    <row r="112" spans="1:7" ht="17">
      <c r="A112" s="274" t="s">
        <v>2299</v>
      </c>
      <c r="B112" s="274" t="s">
        <v>2296</v>
      </c>
      <c r="C112" s="274" t="s">
        <v>2292</v>
      </c>
      <c r="D112" s="274" t="s">
        <v>2717</v>
      </c>
      <c r="E112" s="275" t="s">
        <v>2446</v>
      </c>
      <c r="F112" s="274" t="s">
        <v>2183</v>
      </c>
      <c r="G112" s="274" t="s">
        <v>2251</v>
      </c>
    </row>
    <row r="113" spans="1:7" ht="17">
      <c r="A113" s="274" t="s">
        <v>2300</v>
      </c>
      <c r="B113" s="274" t="s">
        <v>2301</v>
      </c>
      <c r="C113" s="274" t="s">
        <v>2292</v>
      </c>
      <c r="D113" s="274" t="s">
        <v>2717</v>
      </c>
      <c r="E113" s="275" t="s">
        <v>2446</v>
      </c>
      <c r="F113" s="275" t="s">
        <v>2183</v>
      </c>
      <c r="G113" s="274" t="s">
        <v>2251</v>
      </c>
    </row>
    <row r="114" spans="1:7" ht="17">
      <c r="A114" s="274" t="s">
        <v>2302</v>
      </c>
      <c r="B114" s="274"/>
      <c r="C114" s="274" t="s">
        <v>2292</v>
      </c>
      <c r="D114" s="274" t="s">
        <v>2717</v>
      </c>
      <c r="E114" s="275" t="s">
        <v>2446</v>
      </c>
      <c r="F114" s="274" t="s">
        <v>2183</v>
      </c>
      <c r="G114" s="274" t="s">
        <v>2251</v>
      </c>
    </row>
    <row r="115" spans="1:7">
      <c r="A115" s="56" t="s">
        <v>2303</v>
      </c>
      <c r="B115" s="56"/>
      <c r="C115" s="56" t="s">
        <v>2292</v>
      </c>
      <c r="D115" s="56" t="s">
        <v>2717</v>
      </c>
      <c r="E115" s="74" t="s">
        <v>2446</v>
      </c>
      <c r="F115" s="74" t="s">
        <v>2183</v>
      </c>
      <c r="G115" s="56" t="s">
        <v>2251</v>
      </c>
    </row>
    <row r="116" spans="1:7">
      <c r="A116" s="56" t="s">
        <v>2304</v>
      </c>
      <c r="B116" s="56"/>
      <c r="C116" s="56" t="s">
        <v>2292</v>
      </c>
      <c r="D116" s="56" t="s">
        <v>2717</v>
      </c>
      <c r="E116" s="74" t="s">
        <v>2446</v>
      </c>
      <c r="F116" s="74" t="s">
        <v>2183</v>
      </c>
      <c r="G116" s="56" t="s">
        <v>2251</v>
      </c>
    </row>
    <row r="117" spans="1:7" ht="17">
      <c r="A117" s="75" t="s">
        <v>2612</v>
      </c>
      <c r="B117" s="75"/>
      <c r="C117" s="75"/>
      <c r="D117" s="75"/>
      <c r="E117" s="76"/>
      <c r="F117" s="75"/>
      <c r="G117" s="75"/>
    </row>
    <row r="118" spans="1:7" ht="17">
      <c r="A118" s="274" t="s">
        <v>2439</v>
      </c>
      <c r="B118" s="274" t="s">
        <v>2440</v>
      </c>
      <c r="C118" s="274" t="s">
        <v>108</v>
      </c>
      <c r="D118" s="274" t="s">
        <v>2717</v>
      </c>
      <c r="E118" s="275" t="s">
        <v>108</v>
      </c>
      <c r="F118" s="275" t="s">
        <v>2183</v>
      </c>
      <c r="G118" s="274" t="s">
        <v>2251</v>
      </c>
    </row>
    <row r="119" spans="1:7" ht="17">
      <c r="A119" s="274" t="s">
        <v>2441</v>
      </c>
      <c r="B119" s="274" t="s">
        <v>2442</v>
      </c>
      <c r="C119" s="274" t="s">
        <v>2427</v>
      </c>
      <c r="D119" s="274" t="s">
        <v>2717</v>
      </c>
      <c r="E119" s="275" t="s">
        <v>108</v>
      </c>
      <c r="F119" s="275" t="s">
        <v>2183</v>
      </c>
      <c r="G119" s="274" t="s">
        <v>2251</v>
      </c>
    </row>
    <row r="120" spans="1:7" ht="17">
      <c r="A120" s="274" t="s">
        <v>2443</v>
      </c>
      <c r="B120" s="274" t="s">
        <v>2440</v>
      </c>
      <c r="C120" s="274" t="s">
        <v>2444</v>
      </c>
      <c r="D120" s="274" t="s">
        <v>2717</v>
      </c>
      <c r="E120" s="275" t="s">
        <v>108</v>
      </c>
      <c r="F120" s="275" t="s">
        <v>2183</v>
      </c>
      <c r="G120" s="274" t="s">
        <v>2445</v>
      </c>
    </row>
    <row r="121" spans="1:7" ht="17">
      <c r="A121" s="274" t="s">
        <v>2306</v>
      </c>
      <c r="B121" s="274" t="s">
        <v>2291</v>
      </c>
      <c r="C121" s="274" t="s">
        <v>2307</v>
      </c>
      <c r="D121" s="274" t="s">
        <v>2717</v>
      </c>
      <c r="E121" s="275" t="s">
        <v>108</v>
      </c>
      <c r="F121" s="274" t="s">
        <v>2183</v>
      </c>
      <c r="G121" s="274" t="s">
        <v>2251</v>
      </c>
    </row>
    <row r="122" spans="1:7" ht="17">
      <c r="A122" s="274" t="s">
        <v>2313</v>
      </c>
      <c r="B122" s="274" t="s">
        <v>2291</v>
      </c>
      <c r="C122" s="274" t="s">
        <v>2292</v>
      </c>
      <c r="D122" s="274" t="s">
        <v>2717</v>
      </c>
      <c r="E122" s="275" t="s">
        <v>2446</v>
      </c>
      <c r="F122" s="275" t="s">
        <v>2183</v>
      </c>
      <c r="G122" s="274" t="s">
        <v>2251</v>
      </c>
    </row>
    <row r="123" spans="1:7" ht="17">
      <c r="A123" s="274" t="s">
        <v>2314</v>
      </c>
      <c r="B123" s="274" t="s">
        <v>2291</v>
      </c>
      <c r="C123" s="274" t="s">
        <v>2292</v>
      </c>
      <c r="D123" s="274" t="s">
        <v>2717</v>
      </c>
      <c r="E123" s="275" t="s">
        <v>2446</v>
      </c>
      <c r="F123" s="274" t="s">
        <v>2183</v>
      </c>
      <c r="G123" s="274" t="s">
        <v>2251</v>
      </c>
    </row>
    <row r="124" spans="1:7">
      <c r="A124" s="56" t="s">
        <v>2447</v>
      </c>
      <c r="B124" s="56" t="s">
        <v>2440</v>
      </c>
      <c r="C124" s="56" t="s">
        <v>2403</v>
      </c>
      <c r="D124" s="56" t="s">
        <v>2717</v>
      </c>
      <c r="E124" s="74" t="s">
        <v>2403</v>
      </c>
      <c r="F124" s="74" t="s">
        <v>2183</v>
      </c>
      <c r="G124" s="56" t="s">
        <v>2251</v>
      </c>
    </row>
    <row r="125" spans="1:7" ht="17">
      <c r="A125" s="274" t="s">
        <v>2448</v>
      </c>
      <c r="B125" s="274" t="s">
        <v>2449</v>
      </c>
      <c r="C125" s="274" t="s">
        <v>108</v>
      </c>
      <c r="D125" s="274" t="s">
        <v>2717</v>
      </c>
      <c r="E125" s="275" t="s">
        <v>108</v>
      </c>
      <c r="F125" s="274" t="s">
        <v>2183</v>
      </c>
      <c r="G125" s="274" t="s">
        <v>2251</v>
      </c>
    </row>
    <row r="126" spans="1:7" ht="17">
      <c r="A126" s="75" t="s">
        <v>2613</v>
      </c>
      <c r="B126" s="75"/>
      <c r="C126" s="75"/>
      <c r="D126" s="75"/>
      <c r="E126" s="76"/>
      <c r="F126" s="75"/>
      <c r="G126" s="75"/>
    </row>
    <row r="127" spans="1:7" ht="17">
      <c r="A127" s="274" t="s">
        <v>2451</v>
      </c>
      <c r="B127" s="274"/>
      <c r="C127" s="274" t="s">
        <v>2403</v>
      </c>
      <c r="D127" s="274" t="s">
        <v>2717</v>
      </c>
      <c r="E127" s="275" t="s">
        <v>2403</v>
      </c>
      <c r="F127" s="274" t="s">
        <v>2183</v>
      </c>
      <c r="G127" s="274" t="s">
        <v>2251</v>
      </c>
    </row>
    <row r="128" spans="1:7" ht="17">
      <c r="A128" s="274" t="s">
        <v>2375</v>
      </c>
      <c r="B128" s="274"/>
      <c r="C128" s="274" t="s">
        <v>2376</v>
      </c>
      <c r="D128" s="274" t="s">
        <v>2717</v>
      </c>
      <c r="E128" s="275" t="s">
        <v>2403</v>
      </c>
      <c r="F128" s="275" t="s">
        <v>2183</v>
      </c>
      <c r="G128" s="274" t="s">
        <v>2251</v>
      </c>
    </row>
    <row r="129" spans="1:7" ht="17">
      <c r="A129" s="274" t="s">
        <v>2452</v>
      </c>
      <c r="B129" s="274" t="s">
        <v>2440</v>
      </c>
      <c r="C129" s="274" t="s">
        <v>108</v>
      </c>
      <c r="D129" s="274" t="s">
        <v>2717</v>
      </c>
      <c r="E129" s="275" t="s">
        <v>108</v>
      </c>
      <c r="F129" s="275" t="s">
        <v>2183</v>
      </c>
      <c r="G129" s="274" t="s">
        <v>2251</v>
      </c>
    </row>
    <row r="130" spans="1:7" ht="17">
      <c r="A130" s="274" t="s">
        <v>2453</v>
      </c>
      <c r="B130" s="274" t="s">
        <v>2440</v>
      </c>
      <c r="C130" s="274" t="s">
        <v>108</v>
      </c>
      <c r="D130" s="274" t="s">
        <v>2717</v>
      </c>
      <c r="E130" s="275" t="s">
        <v>108</v>
      </c>
      <c r="F130" s="274" t="s">
        <v>2183</v>
      </c>
      <c r="G130" s="274" t="s">
        <v>2251</v>
      </c>
    </row>
    <row r="131" spans="1:7" ht="17">
      <c r="A131" s="274" t="s">
        <v>2454</v>
      </c>
      <c r="B131" s="274" t="s">
        <v>2301</v>
      </c>
      <c r="C131" s="274" t="s">
        <v>108</v>
      </c>
      <c r="D131" s="274" t="s">
        <v>2717</v>
      </c>
      <c r="E131" s="275" t="s">
        <v>108</v>
      </c>
      <c r="F131" s="275" t="s">
        <v>2183</v>
      </c>
      <c r="G131" s="274" t="s">
        <v>2251</v>
      </c>
    </row>
    <row r="132" spans="1:7" ht="17">
      <c r="A132" s="274" t="s">
        <v>2455</v>
      </c>
      <c r="B132" s="274" t="s">
        <v>2456</v>
      </c>
      <c r="C132" s="274" t="s">
        <v>2403</v>
      </c>
      <c r="D132" s="274" t="s">
        <v>2717</v>
      </c>
      <c r="E132" s="275" t="s">
        <v>2403</v>
      </c>
      <c r="F132" s="274" t="s">
        <v>2183</v>
      </c>
      <c r="G132" s="274" t="s">
        <v>2251</v>
      </c>
    </row>
    <row r="133" spans="1:7">
      <c r="A133" s="56" t="s">
        <v>2457</v>
      </c>
      <c r="B133" s="56" t="s">
        <v>2456</v>
      </c>
      <c r="C133" s="56" t="s">
        <v>2403</v>
      </c>
      <c r="D133" s="56" t="s">
        <v>2717</v>
      </c>
      <c r="E133" s="74" t="s">
        <v>2403</v>
      </c>
      <c r="F133" s="74" t="s">
        <v>2183</v>
      </c>
      <c r="G133" s="56" t="s">
        <v>2251</v>
      </c>
    </row>
    <row r="134" spans="1:7" ht="17">
      <c r="A134" s="274" t="s">
        <v>2316</v>
      </c>
      <c r="B134" s="274" t="s">
        <v>2291</v>
      </c>
      <c r="C134" s="274" t="s">
        <v>2292</v>
      </c>
      <c r="D134" s="274" t="s">
        <v>2717</v>
      </c>
      <c r="E134" s="275" t="s">
        <v>2446</v>
      </c>
      <c r="F134" s="275" t="s">
        <v>2183</v>
      </c>
      <c r="G134" s="274" t="s">
        <v>2251</v>
      </c>
    </row>
    <row r="135" spans="1:7" ht="17">
      <c r="A135" s="274" t="s">
        <v>2458</v>
      </c>
      <c r="B135" s="274" t="s">
        <v>2456</v>
      </c>
      <c r="C135" s="274" t="s">
        <v>108</v>
      </c>
      <c r="D135" s="274" t="s">
        <v>2717</v>
      </c>
      <c r="E135" s="275" t="s">
        <v>108</v>
      </c>
      <c r="F135" s="275" t="s">
        <v>2183</v>
      </c>
      <c r="G135" s="274" t="s">
        <v>2459</v>
      </c>
    </row>
    <row r="136" spans="1:7" ht="17">
      <c r="A136" s="75" t="s">
        <v>2614</v>
      </c>
      <c r="B136" s="75"/>
      <c r="C136" s="75"/>
      <c r="D136" s="75"/>
      <c r="E136" s="76"/>
      <c r="F136" s="75"/>
      <c r="G136" s="75"/>
    </row>
    <row r="137" spans="1:7" ht="17">
      <c r="A137" s="274" t="s">
        <v>2461</v>
      </c>
      <c r="B137" s="274" t="s">
        <v>2462</v>
      </c>
      <c r="C137" s="274" t="s">
        <v>108</v>
      </c>
      <c r="D137" s="274" t="s">
        <v>2717</v>
      </c>
      <c r="E137" s="275" t="s">
        <v>108</v>
      </c>
      <c r="F137" s="275" t="s">
        <v>2183</v>
      </c>
      <c r="G137" s="274" t="s">
        <v>2251</v>
      </c>
    </row>
    <row r="138" spans="1:7" ht="17">
      <c r="A138" s="274" t="s">
        <v>2463</v>
      </c>
      <c r="B138" s="274" t="s">
        <v>2464</v>
      </c>
      <c r="C138" s="274" t="s">
        <v>108</v>
      </c>
      <c r="D138" s="274" t="s">
        <v>2717</v>
      </c>
      <c r="E138" s="275" t="s">
        <v>108</v>
      </c>
      <c r="F138" s="274" t="s">
        <v>2183</v>
      </c>
      <c r="G138" s="274" t="s">
        <v>2251</v>
      </c>
    </row>
    <row r="139" spans="1:7" ht="17">
      <c r="A139" s="274" t="s">
        <v>2465</v>
      </c>
      <c r="B139" s="274" t="s">
        <v>2464</v>
      </c>
      <c r="C139" s="274" t="s">
        <v>108</v>
      </c>
      <c r="D139" s="274" t="s">
        <v>2717</v>
      </c>
      <c r="E139" s="275" t="s">
        <v>108</v>
      </c>
      <c r="F139" s="274" t="s">
        <v>2183</v>
      </c>
      <c r="G139" s="274" t="s">
        <v>2251</v>
      </c>
    </row>
    <row r="140" spans="1:7" ht="17">
      <c r="A140" s="75" t="s">
        <v>2615</v>
      </c>
      <c r="B140" s="75"/>
      <c r="C140" s="75"/>
      <c r="D140" s="75"/>
      <c r="E140" s="76"/>
      <c r="F140" s="75"/>
      <c r="G140" s="75"/>
    </row>
    <row r="141" spans="1:7" ht="17">
      <c r="A141" s="274" t="s">
        <v>2467</v>
      </c>
      <c r="B141" s="274" t="s">
        <v>2319</v>
      </c>
      <c r="C141" s="274" t="s">
        <v>2403</v>
      </c>
      <c r="D141" s="274" t="s">
        <v>2717</v>
      </c>
      <c r="E141" s="275" t="s">
        <v>2403</v>
      </c>
      <c r="F141" s="275" t="s">
        <v>2183</v>
      </c>
      <c r="G141" s="274" t="s">
        <v>2468</v>
      </c>
    </row>
    <row r="142" spans="1:7">
      <c r="A142" s="56" t="s">
        <v>2469</v>
      </c>
      <c r="B142" s="56" t="s">
        <v>2382</v>
      </c>
      <c r="C142" s="56" t="s">
        <v>108</v>
      </c>
      <c r="D142" s="56" t="s">
        <v>2717</v>
      </c>
      <c r="E142" s="74" t="s">
        <v>108</v>
      </c>
      <c r="F142" s="74" t="s">
        <v>2183</v>
      </c>
      <c r="G142" s="56" t="s">
        <v>2470</v>
      </c>
    </row>
    <row r="143" spans="1:7" ht="17">
      <c r="A143" s="274" t="s">
        <v>2471</v>
      </c>
      <c r="B143" s="274" t="s">
        <v>2379</v>
      </c>
      <c r="C143" s="274" t="s">
        <v>108</v>
      </c>
      <c r="D143" s="274" t="s">
        <v>2717</v>
      </c>
      <c r="E143" s="275" t="s">
        <v>108</v>
      </c>
      <c r="F143" s="274" t="s">
        <v>2183</v>
      </c>
      <c r="G143" s="274" t="s">
        <v>2472</v>
      </c>
    </row>
    <row r="144" spans="1:7" ht="17">
      <c r="A144" s="274" t="s">
        <v>2473</v>
      </c>
      <c r="B144" s="274" t="s">
        <v>2474</v>
      </c>
      <c r="C144" s="274" t="s">
        <v>108</v>
      </c>
      <c r="D144" s="274" t="s">
        <v>2717</v>
      </c>
      <c r="E144" s="275" t="s">
        <v>108</v>
      </c>
      <c r="F144" s="275" t="s">
        <v>2183</v>
      </c>
      <c r="G144" s="274" t="s">
        <v>2475</v>
      </c>
    </row>
    <row r="145" spans="1:7" ht="17">
      <c r="A145" s="75" t="s">
        <v>2616</v>
      </c>
      <c r="B145" s="75"/>
      <c r="C145" s="75"/>
      <c r="D145" s="75"/>
      <c r="E145" s="76"/>
      <c r="F145" s="75"/>
      <c r="G145" s="75"/>
    </row>
    <row r="146" spans="1:7" ht="17">
      <c r="A146" s="274" t="s">
        <v>2477</v>
      </c>
      <c r="B146" s="274" t="s">
        <v>2382</v>
      </c>
      <c r="C146" s="274" t="s">
        <v>108</v>
      </c>
      <c r="D146" s="274" t="s">
        <v>2717</v>
      </c>
      <c r="E146" s="275" t="s">
        <v>108</v>
      </c>
      <c r="F146" s="275" t="s">
        <v>2183</v>
      </c>
      <c r="G146" s="274" t="s">
        <v>2478</v>
      </c>
    </row>
    <row r="147" spans="1:7" ht="17">
      <c r="A147" s="274" t="s">
        <v>2479</v>
      </c>
      <c r="B147" s="274" t="s">
        <v>2480</v>
      </c>
      <c r="C147" s="274" t="s">
        <v>108</v>
      </c>
      <c r="D147" s="274" t="s">
        <v>2717</v>
      </c>
      <c r="E147" s="275" t="s">
        <v>108</v>
      </c>
      <c r="F147" s="275" t="s">
        <v>2183</v>
      </c>
      <c r="G147" s="274" t="s">
        <v>2481</v>
      </c>
    </row>
    <row r="148" spans="1:7">
      <c r="A148" s="56" t="s">
        <v>2482</v>
      </c>
      <c r="B148" s="56" t="s">
        <v>2480</v>
      </c>
      <c r="C148" s="56" t="s">
        <v>108</v>
      </c>
      <c r="D148" s="56" t="s">
        <v>2717</v>
      </c>
      <c r="E148" s="74" t="s">
        <v>108</v>
      </c>
      <c r="F148" s="74" t="s">
        <v>2183</v>
      </c>
      <c r="G148" s="56" t="s">
        <v>2483</v>
      </c>
    </row>
    <row r="149" spans="1:7" ht="17">
      <c r="A149" s="274" t="s">
        <v>2484</v>
      </c>
      <c r="B149" s="274" t="s">
        <v>2382</v>
      </c>
      <c r="C149" s="274" t="s">
        <v>2403</v>
      </c>
      <c r="D149" s="274" t="s">
        <v>2717</v>
      </c>
      <c r="E149" s="275" t="s">
        <v>2403</v>
      </c>
      <c r="F149" s="275" t="s">
        <v>2183</v>
      </c>
      <c r="G149" s="274" t="s">
        <v>2251</v>
      </c>
    </row>
    <row r="150" spans="1:7">
      <c r="A150" s="56" t="s">
        <v>2485</v>
      </c>
      <c r="B150" s="56" t="s">
        <v>2486</v>
      </c>
      <c r="C150" s="56" t="s">
        <v>2487</v>
      </c>
      <c r="D150" s="56" t="s">
        <v>2717</v>
      </c>
      <c r="E150" s="74" t="s">
        <v>108</v>
      </c>
      <c r="F150" s="74" t="s">
        <v>2183</v>
      </c>
      <c r="G150" s="56" t="s">
        <v>2251</v>
      </c>
    </row>
    <row r="151" spans="1:7" ht="17">
      <c r="A151" s="75" t="s">
        <v>2617</v>
      </c>
      <c r="B151" s="75"/>
      <c r="C151" s="75"/>
      <c r="D151" s="75"/>
      <c r="E151" s="76"/>
      <c r="F151" s="75"/>
      <c r="G151" s="75"/>
    </row>
    <row r="152" spans="1:7" ht="17">
      <c r="A152" s="274" t="s">
        <v>2489</v>
      </c>
      <c r="B152" s="274" t="s">
        <v>2490</v>
      </c>
      <c r="C152" s="274" t="s">
        <v>108</v>
      </c>
      <c r="D152" s="274" t="s">
        <v>2717</v>
      </c>
      <c r="E152" s="275" t="s">
        <v>108</v>
      </c>
      <c r="F152" s="274" t="s">
        <v>2183</v>
      </c>
      <c r="G152" s="274" t="s">
        <v>2251</v>
      </c>
    </row>
    <row r="153" spans="1:7">
      <c r="A153" s="56" t="s">
        <v>2491</v>
      </c>
      <c r="B153" s="56" t="s">
        <v>2490</v>
      </c>
      <c r="C153" s="56" t="s">
        <v>2403</v>
      </c>
      <c r="D153" s="56" t="s">
        <v>2717</v>
      </c>
      <c r="E153" s="74" t="s">
        <v>2403</v>
      </c>
      <c r="F153" s="74" t="s">
        <v>2183</v>
      </c>
      <c r="G153" s="56" t="s">
        <v>2492</v>
      </c>
    </row>
    <row r="154" spans="1:7" ht="17">
      <c r="A154" s="274" t="s">
        <v>2529</v>
      </c>
      <c r="B154" s="274" t="s">
        <v>2494</v>
      </c>
      <c r="C154" s="274" t="s">
        <v>2530</v>
      </c>
      <c r="D154" s="274" t="s">
        <v>2717</v>
      </c>
      <c r="E154" s="275" t="s">
        <v>2719</v>
      </c>
      <c r="F154" s="275" t="s">
        <v>2184</v>
      </c>
      <c r="G154" s="274" t="s">
        <v>2532</v>
      </c>
    </row>
    <row r="155" spans="1:7" ht="17">
      <c r="A155" s="274" t="s">
        <v>2493</v>
      </c>
      <c r="B155" s="274" t="s">
        <v>2494</v>
      </c>
      <c r="C155" s="274" t="s">
        <v>2421</v>
      </c>
      <c r="D155" s="274" t="s">
        <v>2717</v>
      </c>
      <c r="E155" s="275" t="s">
        <v>108</v>
      </c>
      <c r="F155" s="275" t="s">
        <v>2183</v>
      </c>
      <c r="G155" s="274" t="s">
        <v>2495</v>
      </c>
    </row>
    <row r="156" spans="1:7" ht="17">
      <c r="A156" s="274" t="s">
        <v>2496</v>
      </c>
      <c r="B156" s="274" t="s">
        <v>2490</v>
      </c>
      <c r="C156" s="274" t="s">
        <v>2497</v>
      </c>
      <c r="D156" s="274" t="s">
        <v>2717</v>
      </c>
      <c r="E156" s="275" t="s">
        <v>108</v>
      </c>
      <c r="F156" s="275" t="s">
        <v>2183</v>
      </c>
      <c r="G156" s="274" t="s">
        <v>2251</v>
      </c>
    </row>
    <row r="157" spans="1:7" ht="17">
      <c r="A157" s="274" t="s">
        <v>2498</v>
      </c>
      <c r="B157" s="274" t="s">
        <v>2490</v>
      </c>
      <c r="C157" s="274" t="s">
        <v>2499</v>
      </c>
      <c r="D157" s="274" t="s">
        <v>2717</v>
      </c>
      <c r="E157" s="275" t="s">
        <v>108</v>
      </c>
      <c r="F157" s="275" t="s">
        <v>2183</v>
      </c>
      <c r="G157" s="274" t="s">
        <v>2500</v>
      </c>
    </row>
    <row r="158" spans="1:7" ht="17">
      <c r="A158" s="75" t="s">
        <v>2618</v>
      </c>
      <c r="B158" s="75"/>
      <c r="C158" s="75"/>
      <c r="D158" s="75"/>
      <c r="E158" s="76"/>
      <c r="F158" s="75"/>
      <c r="G158" s="75"/>
    </row>
    <row r="159" spans="1:7">
      <c r="A159" s="56" t="s">
        <v>2502</v>
      </c>
      <c r="B159" s="56" t="s">
        <v>2325</v>
      </c>
      <c r="C159" s="56" t="s">
        <v>2503</v>
      </c>
      <c r="D159" s="56" t="s">
        <v>2717</v>
      </c>
      <c r="E159" s="74" t="s">
        <v>108</v>
      </c>
      <c r="F159" s="74" t="s">
        <v>2183</v>
      </c>
      <c r="G159" s="56" t="s">
        <v>2504</v>
      </c>
    </row>
    <row r="160" spans="1:7" ht="17">
      <c r="A160" s="274" t="s">
        <v>2341</v>
      </c>
      <c r="B160" s="274" t="s">
        <v>2342</v>
      </c>
      <c r="C160" s="274" t="s">
        <v>2343</v>
      </c>
      <c r="D160" s="274" t="s">
        <v>2717</v>
      </c>
      <c r="E160" s="275" t="s">
        <v>108</v>
      </c>
      <c r="F160" s="275" t="s">
        <v>2183</v>
      </c>
      <c r="G160" s="274" t="s">
        <v>2344</v>
      </c>
    </row>
    <row r="161" spans="1:7">
      <c r="A161" s="56" t="s">
        <v>2348</v>
      </c>
      <c r="B161" s="56"/>
      <c r="C161" s="56" t="s">
        <v>2292</v>
      </c>
      <c r="D161" s="56" t="s">
        <v>2717</v>
      </c>
      <c r="E161" s="74" t="s">
        <v>2446</v>
      </c>
      <c r="F161" s="74" t="s">
        <v>2183</v>
      </c>
      <c r="G161" s="56" t="s">
        <v>2251</v>
      </c>
    </row>
    <row r="162" spans="1:7">
      <c r="A162" s="56" t="s">
        <v>2505</v>
      </c>
      <c r="B162" s="56" t="s">
        <v>2291</v>
      </c>
      <c r="C162" s="56" t="s">
        <v>108</v>
      </c>
      <c r="D162" s="56" t="s">
        <v>2717</v>
      </c>
      <c r="E162" s="74" t="s">
        <v>108</v>
      </c>
      <c r="F162" s="74" t="s">
        <v>2183</v>
      </c>
      <c r="G162" s="56" t="s">
        <v>2251</v>
      </c>
    </row>
    <row r="163" spans="1:7" ht="17">
      <c r="A163" s="274" t="s">
        <v>2506</v>
      </c>
      <c r="B163" s="274" t="s">
        <v>2346</v>
      </c>
      <c r="C163" s="274" t="s">
        <v>2507</v>
      </c>
      <c r="D163" s="274" t="s">
        <v>2717</v>
      </c>
      <c r="E163" s="275" t="s">
        <v>2507</v>
      </c>
      <c r="F163" s="275" t="s">
        <v>2183</v>
      </c>
      <c r="G163" s="274" t="s">
        <v>2508</v>
      </c>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
      <c r="A235" s="274" t="s">
        <v>2362</v>
      </c>
      <c r="B235" s="274" t="s">
        <v>2363</v>
      </c>
      <c r="C235" s="274" t="s">
        <v>2364</v>
      </c>
      <c r="D235" s="274" t="s">
        <v>2737</v>
      </c>
      <c r="E235" s="275" t="s">
        <v>108</v>
      </c>
      <c r="F235" s="274" t="s">
        <v>2151</v>
      </c>
      <c r="G235" s="274" t="s">
        <v>2251</v>
      </c>
    </row>
    <row r="236" spans="1:7">
      <c r="A236" s="56" t="s">
        <v>2420</v>
      </c>
      <c r="B236" s="56" t="s">
        <v>2363</v>
      </c>
      <c r="C236" s="56" t="s">
        <v>2421</v>
      </c>
      <c r="D236" s="56" t="s">
        <v>2737</v>
      </c>
      <c r="E236" s="74" t="s">
        <v>108</v>
      </c>
      <c r="F236" s="74" t="s">
        <v>2151</v>
      </c>
      <c r="G236" s="56" t="s">
        <v>2422</v>
      </c>
    </row>
    <row r="237" spans="1:7" ht="17">
      <c r="A237" s="274" t="s">
        <v>2423</v>
      </c>
      <c r="B237" s="274" t="s">
        <v>2363</v>
      </c>
      <c r="C237" s="274" t="s">
        <v>108</v>
      </c>
      <c r="D237" s="274" t="s">
        <v>2737</v>
      </c>
      <c r="E237" s="275" t="s">
        <v>108</v>
      </c>
      <c r="F237" s="274" t="s">
        <v>2151</v>
      </c>
      <c r="G237" s="274" t="s">
        <v>2251</v>
      </c>
    </row>
    <row r="238" spans="1:7" ht="17">
      <c r="A238" s="75" t="s">
        <v>2739</v>
      </c>
      <c r="B238" s="75"/>
      <c r="C238" s="75"/>
      <c r="D238" s="75"/>
      <c r="E238" s="76"/>
      <c r="F238" s="75"/>
      <c r="G238" s="75"/>
    </row>
    <row r="239" spans="1:7">
      <c r="A239" s="56" t="s">
        <v>2425</v>
      </c>
      <c r="B239" s="56" t="s">
        <v>2426</v>
      </c>
      <c r="C239" s="56" t="s">
        <v>2427</v>
      </c>
      <c r="D239" s="56" t="s">
        <v>2737</v>
      </c>
      <c r="E239" s="74" t="s">
        <v>108</v>
      </c>
      <c r="F239" s="74" t="s">
        <v>2151</v>
      </c>
      <c r="G239" s="56" t="s">
        <v>2251</v>
      </c>
    </row>
    <row r="240" spans="1:7" ht="17">
      <c r="A240" s="274" t="s">
        <v>2428</v>
      </c>
      <c r="B240" s="274" t="s">
        <v>2426</v>
      </c>
      <c r="C240" s="274" t="s">
        <v>2429</v>
      </c>
      <c r="D240" s="274" t="s">
        <v>2737</v>
      </c>
      <c r="E240" s="275" t="s">
        <v>108</v>
      </c>
      <c r="F240" s="274" t="s">
        <v>2151</v>
      </c>
      <c r="G240" s="274" t="s">
        <v>2251</v>
      </c>
    </row>
    <row r="241" spans="1:7" ht="17">
      <c r="A241" s="274" t="s">
        <v>2430</v>
      </c>
      <c r="B241" s="274" t="s">
        <v>2431</v>
      </c>
      <c r="C241" s="274" t="s">
        <v>108</v>
      </c>
      <c r="D241" s="274" t="s">
        <v>2737</v>
      </c>
      <c r="E241" s="275" t="s">
        <v>108</v>
      </c>
      <c r="F241" s="275" t="s">
        <v>2151</v>
      </c>
      <c r="G241" s="274" t="s">
        <v>2432</v>
      </c>
    </row>
    <row r="242" spans="1:7">
      <c r="A242" s="56" t="s">
        <v>2433</v>
      </c>
      <c r="B242" s="56" t="s">
        <v>2431</v>
      </c>
      <c r="C242" s="56" t="s">
        <v>108</v>
      </c>
      <c r="D242" s="56" t="s">
        <v>2737</v>
      </c>
      <c r="E242" s="74" t="s">
        <v>108</v>
      </c>
      <c r="F242" s="74" t="s">
        <v>2151</v>
      </c>
      <c r="G242" s="56" t="s">
        <v>2251</v>
      </c>
    </row>
    <row r="243" spans="1:7" ht="17">
      <c r="A243" s="75" t="s">
        <v>2564</v>
      </c>
      <c r="B243" s="75"/>
      <c r="C243" s="75"/>
      <c r="D243" s="75"/>
      <c r="E243" s="76"/>
      <c r="F243" s="75"/>
      <c r="G243" s="75"/>
    </row>
    <row r="244" spans="1:7">
      <c r="A244" s="56" t="s">
        <v>2435</v>
      </c>
      <c r="B244" s="56" t="s">
        <v>2436</v>
      </c>
      <c r="C244" s="56" t="s">
        <v>108</v>
      </c>
      <c r="D244" s="56" t="s">
        <v>2737</v>
      </c>
      <c r="E244" s="74" t="s">
        <v>108</v>
      </c>
      <c r="F244" s="74" t="s">
        <v>2151</v>
      </c>
      <c r="G244" s="56" t="s">
        <v>2437</v>
      </c>
    </row>
    <row r="245" spans="1:7">
      <c r="A245" s="56" t="s">
        <v>2295</v>
      </c>
      <c r="B245" s="56" t="s">
        <v>2296</v>
      </c>
      <c r="C245" s="56" t="s">
        <v>2297</v>
      </c>
      <c r="D245" s="56" t="s">
        <v>2737</v>
      </c>
      <c r="E245" s="74" t="s">
        <v>2446</v>
      </c>
      <c r="F245" s="74" t="s">
        <v>2151</v>
      </c>
      <c r="G245" s="56" t="s">
        <v>2251</v>
      </c>
    </row>
    <row r="246" spans="1:7" ht="17">
      <c r="A246" s="274" t="s">
        <v>2298</v>
      </c>
      <c r="B246" s="274" t="s">
        <v>2296</v>
      </c>
      <c r="C246" s="274" t="s">
        <v>2292</v>
      </c>
      <c r="D246" s="274" t="s">
        <v>2737</v>
      </c>
      <c r="E246" s="275" t="s">
        <v>2446</v>
      </c>
      <c r="F246" s="275" t="s">
        <v>2151</v>
      </c>
      <c r="G246" s="274" t="s">
        <v>2251</v>
      </c>
    </row>
    <row r="247" spans="1:7">
      <c r="A247" s="56" t="s">
        <v>2299</v>
      </c>
      <c r="B247" s="56" t="s">
        <v>2296</v>
      </c>
      <c r="C247" s="56" t="s">
        <v>2292</v>
      </c>
      <c r="D247" s="56" t="s">
        <v>2737</v>
      </c>
      <c r="E247" s="74" t="s">
        <v>2446</v>
      </c>
      <c r="F247" s="74" t="s">
        <v>2151</v>
      </c>
      <c r="G247" s="56" t="s">
        <v>2251</v>
      </c>
    </row>
    <row r="248" spans="1:7" ht="17">
      <c r="A248" s="274" t="s">
        <v>2300</v>
      </c>
      <c r="B248" s="274" t="s">
        <v>2301</v>
      </c>
      <c r="C248" s="274" t="s">
        <v>2292</v>
      </c>
      <c r="D248" s="274" t="s">
        <v>2737</v>
      </c>
      <c r="E248" s="275" t="s">
        <v>2446</v>
      </c>
      <c r="F248" s="274" t="s">
        <v>2151</v>
      </c>
      <c r="G248" s="274" t="s">
        <v>2251</v>
      </c>
    </row>
    <row r="249" spans="1:7" ht="17">
      <c r="A249" s="274" t="s">
        <v>2302</v>
      </c>
      <c r="B249" s="274"/>
      <c r="C249" s="274" t="s">
        <v>2292</v>
      </c>
      <c r="D249" s="274" t="s">
        <v>2737</v>
      </c>
      <c r="E249" s="275" t="s">
        <v>2446</v>
      </c>
      <c r="F249" s="275" t="s">
        <v>2151</v>
      </c>
      <c r="G249" s="274" t="s">
        <v>2251</v>
      </c>
    </row>
    <row r="250" spans="1:7">
      <c r="A250" s="56" t="s">
        <v>2303</v>
      </c>
      <c r="B250" s="56"/>
      <c r="C250" s="56" t="s">
        <v>2292</v>
      </c>
      <c r="D250" s="56" t="s">
        <v>2737</v>
      </c>
      <c r="E250" s="74" t="s">
        <v>2446</v>
      </c>
      <c r="F250" s="74" t="s">
        <v>2151</v>
      </c>
      <c r="G250" s="56" t="s">
        <v>2251</v>
      </c>
    </row>
    <row r="251" spans="1:7" ht="17">
      <c r="A251" s="274" t="s">
        <v>2304</v>
      </c>
      <c r="B251" s="274"/>
      <c r="C251" s="274" t="s">
        <v>2292</v>
      </c>
      <c r="D251" s="274" t="s">
        <v>2737</v>
      </c>
      <c r="E251" s="275" t="s">
        <v>2446</v>
      </c>
      <c r="F251" s="274" t="s">
        <v>2151</v>
      </c>
      <c r="G251" s="274" t="s">
        <v>2251</v>
      </c>
    </row>
    <row r="252" spans="1:7" ht="17">
      <c r="A252" s="75" t="s">
        <v>2565</v>
      </c>
      <c r="B252" s="75"/>
      <c r="C252" s="75"/>
      <c r="D252" s="75"/>
      <c r="E252" s="76"/>
      <c r="F252" s="75"/>
      <c r="G252" s="75"/>
    </row>
    <row r="253" spans="1:7" ht="17">
      <c r="A253" s="274" t="s">
        <v>2439</v>
      </c>
      <c r="B253" s="274" t="s">
        <v>2440</v>
      </c>
      <c r="C253" s="274" t="s">
        <v>108</v>
      </c>
      <c r="D253" s="274" t="s">
        <v>2737</v>
      </c>
      <c r="E253" s="275" t="s">
        <v>108</v>
      </c>
      <c r="F253" s="274" t="s">
        <v>2151</v>
      </c>
      <c r="G253" s="274" t="s">
        <v>2251</v>
      </c>
    </row>
    <row r="254" spans="1:7">
      <c r="A254" s="56" t="s">
        <v>2441</v>
      </c>
      <c r="B254" s="56" t="s">
        <v>2442</v>
      </c>
      <c r="C254" s="56" t="s">
        <v>2427</v>
      </c>
      <c r="D254" s="56" t="s">
        <v>2737</v>
      </c>
      <c r="E254" s="74" t="s">
        <v>108</v>
      </c>
      <c r="F254" s="74" t="s">
        <v>2151</v>
      </c>
      <c r="G254" s="56" t="s">
        <v>2251</v>
      </c>
    </row>
    <row r="255" spans="1:7" ht="17">
      <c r="A255" s="274" t="s">
        <v>2443</v>
      </c>
      <c r="B255" s="274" t="s">
        <v>2440</v>
      </c>
      <c r="C255" s="274" t="s">
        <v>2444</v>
      </c>
      <c r="D255" s="274" t="s">
        <v>2737</v>
      </c>
      <c r="E255" s="275" t="s">
        <v>108</v>
      </c>
      <c r="F255" s="275" t="s">
        <v>2151</v>
      </c>
      <c r="G255" s="274" t="s">
        <v>2445</v>
      </c>
    </row>
    <row r="256" spans="1:7" ht="17">
      <c r="A256" s="274" t="s">
        <v>2306</v>
      </c>
      <c r="B256" s="274" t="s">
        <v>2291</v>
      </c>
      <c r="C256" s="274" t="s">
        <v>2307</v>
      </c>
      <c r="D256" s="274" t="s">
        <v>2737</v>
      </c>
      <c r="E256" s="275" t="s">
        <v>108</v>
      </c>
      <c r="F256" s="275" t="s">
        <v>2151</v>
      </c>
      <c r="G256" s="274" t="s">
        <v>2251</v>
      </c>
    </row>
    <row r="257" spans="1:7" ht="17">
      <c r="A257" s="274" t="s">
        <v>2313</v>
      </c>
      <c r="B257" s="274" t="s">
        <v>2291</v>
      </c>
      <c r="C257" s="274" t="s">
        <v>2292</v>
      </c>
      <c r="D257" s="274" t="s">
        <v>2737</v>
      </c>
      <c r="E257" s="275" t="s">
        <v>2446</v>
      </c>
      <c r="F257" s="274" t="s">
        <v>2151</v>
      </c>
      <c r="G257" s="274" t="s">
        <v>2251</v>
      </c>
    </row>
    <row r="258" spans="1:7" ht="17">
      <c r="A258" s="274" t="s">
        <v>2314</v>
      </c>
      <c r="B258" s="274" t="s">
        <v>2291</v>
      </c>
      <c r="C258" s="274" t="s">
        <v>2292</v>
      </c>
      <c r="D258" s="274" t="s">
        <v>2737</v>
      </c>
      <c r="E258" s="275" t="s">
        <v>2446</v>
      </c>
      <c r="F258" s="275" t="s">
        <v>2151</v>
      </c>
      <c r="G258" s="274" t="s">
        <v>2251</v>
      </c>
    </row>
    <row r="259" spans="1:7" ht="17">
      <c r="A259" s="274" t="s">
        <v>2447</v>
      </c>
      <c r="B259" s="274" t="s">
        <v>2440</v>
      </c>
      <c r="C259" s="274" t="s">
        <v>2403</v>
      </c>
      <c r="D259" s="274" t="s">
        <v>2737</v>
      </c>
      <c r="E259" s="275" t="s">
        <v>2403</v>
      </c>
      <c r="F259" s="275" t="s">
        <v>2151</v>
      </c>
      <c r="G259" s="274" t="s">
        <v>2251</v>
      </c>
    </row>
    <row r="260" spans="1:7" ht="17">
      <c r="A260" s="274" t="s">
        <v>2448</v>
      </c>
      <c r="B260" s="274" t="s">
        <v>2449</v>
      </c>
      <c r="C260" s="274" t="s">
        <v>108</v>
      </c>
      <c r="D260" s="274" t="s">
        <v>2737</v>
      </c>
      <c r="E260" s="275" t="s">
        <v>108</v>
      </c>
      <c r="F260" s="274" t="s">
        <v>2151</v>
      </c>
      <c r="G260" s="274" t="s">
        <v>2251</v>
      </c>
    </row>
    <row r="261" spans="1:7" ht="17">
      <c r="A261" s="75" t="s">
        <v>2566</v>
      </c>
      <c r="B261" s="75"/>
      <c r="C261" s="75"/>
      <c r="D261" s="75"/>
      <c r="E261" s="76"/>
      <c r="F261" s="75"/>
      <c r="G261" s="75"/>
    </row>
    <row r="262" spans="1:7" ht="17">
      <c r="A262" s="274" t="s">
        <v>2451</v>
      </c>
      <c r="B262" s="274"/>
      <c r="C262" s="274" t="s">
        <v>2403</v>
      </c>
      <c r="D262" s="274" t="s">
        <v>2737</v>
      </c>
      <c r="E262" s="275" t="s">
        <v>2403</v>
      </c>
      <c r="F262" s="274" t="s">
        <v>2151</v>
      </c>
      <c r="G262" s="274" t="s">
        <v>2251</v>
      </c>
    </row>
    <row r="263" spans="1:7">
      <c r="A263" s="56" t="s">
        <v>2375</v>
      </c>
      <c r="B263" s="56"/>
      <c r="C263" s="56" t="s">
        <v>2376</v>
      </c>
      <c r="D263" s="56" t="s">
        <v>2737</v>
      </c>
      <c r="E263" s="74" t="s">
        <v>2403</v>
      </c>
      <c r="F263" s="74" t="s">
        <v>2151</v>
      </c>
      <c r="G263" s="56" t="s">
        <v>2251</v>
      </c>
    </row>
    <row r="264" spans="1:7" ht="17">
      <c r="A264" s="274" t="s">
        <v>2452</v>
      </c>
      <c r="B264" s="274" t="s">
        <v>2440</v>
      </c>
      <c r="C264" s="274" t="s">
        <v>108</v>
      </c>
      <c r="D264" s="274" t="s">
        <v>2737</v>
      </c>
      <c r="E264" s="275" t="s">
        <v>108</v>
      </c>
      <c r="F264" s="274" t="s">
        <v>2151</v>
      </c>
      <c r="G264" s="274" t="s">
        <v>2251</v>
      </c>
    </row>
    <row r="265" spans="1:7" ht="17">
      <c r="A265" s="274" t="s">
        <v>2453</v>
      </c>
      <c r="B265" s="274" t="s">
        <v>2440</v>
      </c>
      <c r="C265" s="274" t="s">
        <v>108</v>
      </c>
      <c r="D265" s="274" t="s">
        <v>2737</v>
      </c>
      <c r="E265" s="275" t="s">
        <v>108</v>
      </c>
      <c r="F265" s="275" t="s">
        <v>2151</v>
      </c>
      <c r="G265" s="274" t="s">
        <v>2251</v>
      </c>
    </row>
    <row r="266" spans="1:7" ht="17">
      <c r="A266" s="274" t="s">
        <v>2454</v>
      </c>
      <c r="B266" s="274" t="s">
        <v>2301</v>
      </c>
      <c r="C266" s="274" t="s">
        <v>108</v>
      </c>
      <c r="D266" s="274" t="s">
        <v>2737</v>
      </c>
      <c r="E266" s="275" t="s">
        <v>108</v>
      </c>
      <c r="F266" s="275" t="s">
        <v>2151</v>
      </c>
      <c r="G266" s="274" t="s">
        <v>2251</v>
      </c>
    </row>
    <row r="267" spans="1:7">
      <c r="A267" s="56" t="s">
        <v>2455</v>
      </c>
      <c r="B267" s="56" t="s">
        <v>2456</v>
      </c>
      <c r="C267" s="56" t="s">
        <v>2403</v>
      </c>
      <c r="D267" s="56" t="s">
        <v>2737</v>
      </c>
      <c r="E267" s="74" t="s">
        <v>2403</v>
      </c>
      <c r="F267" s="74" t="s">
        <v>2151</v>
      </c>
      <c r="G267" s="56" t="s">
        <v>2251</v>
      </c>
    </row>
    <row r="268" spans="1:7" ht="17">
      <c r="A268" s="274" t="s">
        <v>2457</v>
      </c>
      <c r="B268" s="274" t="s">
        <v>2456</v>
      </c>
      <c r="C268" s="274" t="s">
        <v>2403</v>
      </c>
      <c r="D268" s="274" t="s">
        <v>2737</v>
      </c>
      <c r="E268" s="275" t="s">
        <v>2403</v>
      </c>
      <c r="F268" s="275" t="s">
        <v>2151</v>
      </c>
      <c r="G268" s="274" t="s">
        <v>2251</v>
      </c>
    </row>
    <row r="269" spans="1:7">
      <c r="A269" s="56" t="s">
        <v>2316</v>
      </c>
      <c r="B269" s="56" t="s">
        <v>2291</v>
      </c>
      <c r="C269" s="56" t="s">
        <v>2292</v>
      </c>
      <c r="D269" s="56" t="s">
        <v>2737</v>
      </c>
      <c r="E269" s="74" t="s">
        <v>2446</v>
      </c>
      <c r="F269" s="74" t="s">
        <v>2151</v>
      </c>
      <c r="G269" s="56" t="s">
        <v>2251</v>
      </c>
    </row>
    <row r="270" spans="1:7" ht="17">
      <c r="A270" s="274" t="s">
        <v>2458</v>
      </c>
      <c r="B270" s="274" t="s">
        <v>2456</v>
      </c>
      <c r="C270" s="274" t="s">
        <v>108</v>
      </c>
      <c r="D270" s="274" t="s">
        <v>2737</v>
      </c>
      <c r="E270" s="275" t="s">
        <v>108</v>
      </c>
      <c r="F270" s="275" t="s">
        <v>2151</v>
      </c>
      <c r="G270" s="274" t="s">
        <v>2459</v>
      </c>
    </row>
    <row r="271" spans="1:7" ht="17">
      <c r="A271" s="75" t="s">
        <v>2740</v>
      </c>
      <c r="B271" s="75"/>
      <c r="C271" s="75"/>
      <c r="D271" s="75"/>
      <c r="E271" s="76"/>
      <c r="F271" s="75"/>
      <c r="G271" s="75"/>
    </row>
    <row r="272" spans="1:7" ht="17">
      <c r="A272" s="274" t="s">
        <v>2461</v>
      </c>
      <c r="B272" s="274" t="s">
        <v>2462</v>
      </c>
      <c r="C272" s="274" t="s">
        <v>108</v>
      </c>
      <c r="D272" s="274" t="s">
        <v>2737</v>
      </c>
      <c r="E272" s="275" t="s">
        <v>108</v>
      </c>
      <c r="F272" s="274" t="s">
        <v>2151</v>
      </c>
      <c r="G272" s="274" t="s">
        <v>2251</v>
      </c>
    </row>
    <row r="273" spans="1:7" ht="17">
      <c r="A273" s="274" t="s">
        <v>2463</v>
      </c>
      <c r="B273" s="274" t="s">
        <v>2464</v>
      </c>
      <c r="C273" s="274" t="s">
        <v>108</v>
      </c>
      <c r="D273" s="274" t="s">
        <v>2737</v>
      </c>
      <c r="E273" s="275" t="s">
        <v>108</v>
      </c>
      <c r="F273" s="275" t="s">
        <v>2151</v>
      </c>
      <c r="G273" s="274" t="s">
        <v>2251</v>
      </c>
    </row>
    <row r="274" spans="1:7">
      <c r="A274" s="56" t="s">
        <v>2465</v>
      </c>
      <c r="B274" s="56" t="s">
        <v>2464</v>
      </c>
      <c r="C274" s="56" t="s">
        <v>108</v>
      </c>
      <c r="D274" s="56" t="s">
        <v>2737</v>
      </c>
      <c r="E274" s="74" t="s">
        <v>108</v>
      </c>
      <c r="F274" s="74" t="s">
        <v>2151</v>
      </c>
      <c r="G274" s="56" t="s">
        <v>2251</v>
      </c>
    </row>
    <row r="275" spans="1:7" ht="17">
      <c r="A275" s="75" t="s">
        <v>2567</v>
      </c>
      <c r="B275" s="75"/>
      <c r="C275" s="75"/>
      <c r="D275" s="75"/>
      <c r="E275" s="76"/>
      <c r="F275" s="75"/>
      <c r="G275" s="75"/>
    </row>
    <row r="276" spans="1:7" ht="17">
      <c r="A276" s="274" t="s">
        <v>2467</v>
      </c>
      <c r="B276" s="274" t="s">
        <v>2319</v>
      </c>
      <c r="C276" s="274" t="s">
        <v>2403</v>
      </c>
      <c r="D276" s="274" t="s">
        <v>2737</v>
      </c>
      <c r="E276" s="275" t="s">
        <v>2403</v>
      </c>
      <c r="F276" s="275" t="s">
        <v>2151</v>
      </c>
      <c r="G276" s="274" t="s">
        <v>2468</v>
      </c>
    </row>
    <row r="277" spans="1:7" ht="17">
      <c r="A277" s="274" t="s">
        <v>2469</v>
      </c>
      <c r="B277" s="274" t="s">
        <v>2382</v>
      </c>
      <c r="C277" s="274" t="s">
        <v>108</v>
      </c>
      <c r="D277" s="274" t="s">
        <v>2737</v>
      </c>
      <c r="E277" s="275" t="s">
        <v>108</v>
      </c>
      <c r="F277" s="274" t="s">
        <v>2151</v>
      </c>
      <c r="G277" s="274" t="s">
        <v>2470</v>
      </c>
    </row>
    <row r="278" spans="1:7">
      <c r="A278" s="56" t="s">
        <v>2471</v>
      </c>
      <c r="B278" s="56" t="s">
        <v>2379</v>
      </c>
      <c r="C278" s="56" t="s">
        <v>108</v>
      </c>
      <c r="D278" s="56" t="s">
        <v>2737</v>
      </c>
      <c r="E278" s="74" t="s">
        <v>108</v>
      </c>
      <c r="F278" s="74" t="s">
        <v>2151</v>
      </c>
      <c r="G278" s="56" t="s">
        <v>2472</v>
      </c>
    </row>
    <row r="279" spans="1:7" ht="17">
      <c r="A279" s="274" t="s">
        <v>2473</v>
      </c>
      <c r="B279" s="274" t="s">
        <v>2474</v>
      </c>
      <c r="C279" s="274" t="s">
        <v>108</v>
      </c>
      <c r="D279" s="274" t="s">
        <v>2737</v>
      </c>
      <c r="E279" s="275" t="s">
        <v>108</v>
      </c>
      <c r="F279" s="275" t="s">
        <v>2151</v>
      </c>
      <c r="G279" s="274" t="s">
        <v>2475</v>
      </c>
    </row>
    <row r="280" spans="1:7" ht="17">
      <c r="A280" s="75" t="s">
        <v>2568</v>
      </c>
      <c r="B280" s="75"/>
      <c r="C280" s="75"/>
      <c r="D280" s="75"/>
      <c r="E280" s="76"/>
      <c r="F280" s="75"/>
      <c r="G280" s="75"/>
    </row>
    <row r="281" spans="1:7" ht="17">
      <c r="A281" s="274" t="s">
        <v>2477</v>
      </c>
      <c r="B281" s="274" t="s">
        <v>2382</v>
      </c>
      <c r="C281" s="274" t="s">
        <v>108</v>
      </c>
      <c r="D281" s="274" t="s">
        <v>2737</v>
      </c>
      <c r="E281" s="275" t="s">
        <v>108</v>
      </c>
      <c r="F281" s="274" t="s">
        <v>2151</v>
      </c>
      <c r="G281" s="274" t="s">
        <v>2478</v>
      </c>
    </row>
    <row r="282" spans="1:7" ht="17">
      <c r="A282" s="274" t="s">
        <v>2479</v>
      </c>
      <c r="B282" s="274" t="s">
        <v>2480</v>
      </c>
      <c r="C282" s="274" t="s">
        <v>108</v>
      </c>
      <c r="D282" s="274" t="s">
        <v>2737</v>
      </c>
      <c r="E282" s="275" t="s">
        <v>108</v>
      </c>
      <c r="F282" s="275" t="s">
        <v>2151</v>
      </c>
      <c r="G282" s="274" t="s">
        <v>2481</v>
      </c>
    </row>
    <row r="283" spans="1:7">
      <c r="A283" s="56" t="s">
        <v>2482</v>
      </c>
      <c r="B283" s="56" t="s">
        <v>2480</v>
      </c>
      <c r="C283" s="56" t="s">
        <v>108</v>
      </c>
      <c r="D283" s="56" t="s">
        <v>2737</v>
      </c>
      <c r="E283" s="74" t="s">
        <v>108</v>
      </c>
      <c r="F283" s="74" t="s">
        <v>2151</v>
      </c>
      <c r="G283" s="56" t="s">
        <v>2483</v>
      </c>
    </row>
    <row r="284" spans="1:7" ht="17">
      <c r="A284" s="274" t="s">
        <v>2484</v>
      </c>
      <c r="B284" s="274" t="s">
        <v>2382</v>
      </c>
      <c r="C284" s="274" t="s">
        <v>2403</v>
      </c>
      <c r="D284" s="274" t="s">
        <v>2737</v>
      </c>
      <c r="E284" s="275" t="s">
        <v>2403</v>
      </c>
      <c r="F284" s="274" t="s">
        <v>2151</v>
      </c>
      <c r="G284" s="274" t="s">
        <v>2251</v>
      </c>
    </row>
    <row r="285" spans="1:7">
      <c r="A285" s="56" t="s">
        <v>2485</v>
      </c>
      <c r="B285" s="56" t="s">
        <v>2486</v>
      </c>
      <c r="C285" s="56" t="s">
        <v>2487</v>
      </c>
      <c r="D285" s="56" t="s">
        <v>2737</v>
      </c>
      <c r="E285" s="74" t="s">
        <v>108</v>
      </c>
      <c r="F285" s="74" t="s">
        <v>2151</v>
      </c>
      <c r="G285" s="56" t="s">
        <v>2251</v>
      </c>
    </row>
    <row r="286" spans="1:7" ht="17">
      <c r="A286" s="75" t="s">
        <v>2569</v>
      </c>
      <c r="B286" s="75"/>
      <c r="C286" s="75"/>
      <c r="D286" s="75"/>
      <c r="E286" s="76"/>
      <c r="F286" s="75"/>
      <c r="G286" s="75"/>
    </row>
    <row r="287" spans="1:7" ht="17">
      <c r="A287" s="274" t="s">
        <v>2489</v>
      </c>
      <c r="B287" s="274" t="s">
        <v>2490</v>
      </c>
      <c r="C287" s="274" t="s">
        <v>108</v>
      </c>
      <c r="D287" s="274" t="s">
        <v>2737</v>
      </c>
      <c r="E287" s="275" t="s">
        <v>108</v>
      </c>
      <c r="F287" s="275" t="s">
        <v>2151</v>
      </c>
      <c r="G287" s="274" t="s">
        <v>2251</v>
      </c>
    </row>
    <row r="288" spans="1:7" ht="17">
      <c r="A288" s="274" t="s">
        <v>2491</v>
      </c>
      <c r="B288" s="274" t="s">
        <v>2490</v>
      </c>
      <c r="C288" s="274" t="s">
        <v>2403</v>
      </c>
      <c r="D288" s="274" t="s">
        <v>2737</v>
      </c>
      <c r="E288" s="275" t="s">
        <v>2403</v>
      </c>
      <c r="F288" s="275" t="s">
        <v>2151</v>
      </c>
      <c r="G288" s="274" t="s">
        <v>2492</v>
      </c>
    </row>
    <row r="289" spans="1:7" ht="17">
      <c r="A289" s="274" t="s">
        <v>2529</v>
      </c>
      <c r="B289" s="274" t="s">
        <v>2494</v>
      </c>
      <c r="C289" s="274" t="s">
        <v>2530</v>
      </c>
      <c r="D289" s="274" t="s">
        <v>2737</v>
      </c>
      <c r="E289" s="275" t="s">
        <v>2531</v>
      </c>
      <c r="F289" s="274" t="s">
        <v>2152</v>
      </c>
      <c r="G289" s="274" t="s">
        <v>2532</v>
      </c>
    </row>
    <row r="290" spans="1:7" ht="17">
      <c r="A290" s="274" t="s">
        <v>2493</v>
      </c>
      <c r="B290" s="274" t="s">
        <v>2494</v>
      </c>
      <c r="C290" s="274" t="s">
        <v>2421</v>
      </c>
      <c r="D290" s="274" t="s">
        <v>2737</v>
      </c>
      <c r="E290" s="275" t="s">
        <v>108</v>
      </c>
      <c r="F290" s="275" t="s">
        <v>2151</v>
      </c>
      <c r="G290" s="274" t="s">
        <v>2495</v>
      </c>
    </row>
    <row r="291" spans="1:7" ht="17">
      <c r="A291" s="274" t="s">
        <v>2496</v>
      </c>
      <c r="B291" s="274" t="s">
        <v>2490</v>
      </c>
      <c r="C291" s="274" t="s">
        <v>2497</v>
      </c>
      <c r="D291" s="274" t="s">
        <v>2737</v>
      </c>
      <c r="E291" s="275" t="s">
        <v>108</v>
      </c>
      <c r="F291" s="275" t="s">
        <v>2151</v>
      </c>
      <c r="G291" s="274" t="s">
        <v>2251</v>
      </c>
    </row>
    <row r="292" spans="1:7">
      <c r="A292" s="56" t="s">
        <v>2498</v>
      </c>
      <c r="B292" s="56" t="s">
        <v>2490</v>
      </c>
      <c r="C292" s="56" t="s">
        <v>2499</v>
      </c>
      <c r="D292" s="56" t="s">
        <v>2737</v>
      </c>
      <c r="E292" s="74" t="s">
        <v>108</v>
      </c>
      <c r="F292" s="74" t="s">
        <v>2151</v>
      </c>
      <c r="G292" s="56" t="s">
        <v>2500</v>
      </c>
    </row>
    <row r="293" spans="1:7" ht="17">
      <c r="A293" s="75" t="s">
        <v>2570</v>
      </c>
      <c r="B293" s="75"/>
      <c r="C293" s="75"/>
      <c r="D293" s="75"/>
      <c r="E293" s="76"/>
      <c r="F293" s="75"/>
      <c r="G293" s="75"/>
    </row>
    <row r="294" spans="1:7">
      <c r="A294" s="56" t="s">
        <v>2502</v>
      </c>
      <c r="B294" s="56" t="s">
        <v>2325</v>
      </c>
      <c r="C294" s="56" t="s">
        <v>2503</v>
      </c>
      <c r="D294" s="56" t="s">
        <v>2737</v>
      </c>
      <c r="E294" s="74" t="s">
        <v>108</v>
      </c>
      <c r="F294" s="74" t="s">
        <v>2151</v>
      </c>
      <c r="G294" s="56" t="s">
        <v>2504</v>
      </c>
    </row>
    <row r="295" spans="1:7" ht="17">
      <c r="A295" s="274" t="s">
        <v>2341</v>
      </c>
      <c r="B295" s="274" t="s">
        <v>2342</v>
      </c>
      <c r="C295" s="274" t="s">
        <v>2343</v>
      </c>
      <c r="D295" s="274" t="s">
        <v>2737</v>
      </c>
      <c r="E295" s="275" t="s">
        <v>108</v>
      </c>
      <c r="F295" s="275" t="s">
        <v>2151</v>
      </c>
      <c r="G295" s="274" t="s">
        <v>2344</v>
      </c>
    </row>
    <row r="296" spans="1:7">
      <c r="A296" s="56" t="s">
        <v>2348</v>
      </c>
      <c r="B296" s="56"/>
      <c r="C296" s="56" t="s">
        <v>2292</v>
      </c>
      <c r="D296" s="56" t="s">
        <v>2737</v>
      </c>
      <c r="E296" s="74" t="s">
        <v>2446</v>
      </c>
      <c r="F296" s="74" t="s">
        <v>2151</v>
      </c>
      <c r="G296" s="56" t="s">
        <v>2251</v>
      </c>
    </row>
    <row r="297" spans="1:7" ht="17">
      <c r="A297" s="274" t="s">
        <v>2505</v>
      </c>
      <c r="B297" s="274" t="s">
        <v>2291</v>
      </c>
      <c r="C297" s="274" t="s">
        <v>108</v>
      </c>
      <c r="D297" s="274" t="s">
        <v>2737</v>
      </c>
      <c r="E297" s="275" t="s">
        <v>108</v>
      </c>
      <c r="F297" s="274" t="s">
        <v>2151</v>
      </c>
      <c r="G297" s="274" t="s">
        <v>2251</v>
      </c>
    </row>
    <row r="298" spans="1:7">
      <c r="A298" s="56" t="s">
        <v>2506</v>
      </c>
      <c r="B298" s="56" t="s">
        <v>2346</v>
      </c>
      <c r="C298" s="56" t="s">
        <v>2507</v>
      </c>
      <c r="D298" s="56" t="s">
        <v>2737</v>
      </c>
      <c r="E298" s="74" t="s">
        <v>2507</v>
      </c>
      <c r="F298" s="74" t="s">
        <v>2151</v>
      </c>
      <c r="G298" s="56" t="s">
        <v>2508</v>
      </c>
    </row>
    <row r="299" spans="1:7" ht="17">
      <c r="A299" s="75" t="s">
        <v>2583</v>
      </c>
      <c r="B299" s="75"/>
      <c r="C299" s="75"/>
      <c r="D299" s="75"/>
      <c r="E299" s="76"/>
      <c r="F299" s="75"/>
      <c r="G299" s="75"/>
    </row>
    <row r="300" spans="1:7">
      <c r="A300" s="57" t="s">
        <v>2283</v>
      </c>
      <c r="B300" s="57" t="s">
        <v>2284</v>
      </c>
      <c r="C300" s="57" t="s">
        <v>2285</v>
      </c>
      <c r="D300" s="57" t="s">
        <v>2741</v>
      </c>
      <c r="E300" s="58" t="s">
        <v>2287</v>
      </c>
      <c r="F300" s="58" t="s">
        <v>2723</v>
      </c>
      <c r="G300" s="57" t="s">
        <v>2288</v>
      </c>
    </row>
    <row r="301" spans="1:7" ht="17">
      <c r="A301" s="274" t="s">
        <v>2516</v>
      </c>
      <c r="B301" s="274" t="s">
        <v>2291</v>
      </c>
      <c r="C301" s="274" t="s">
        <v>1215</v>
      </c>
      <c r="D301" s="274" t="s">
        <v>2741</v>
      </c>
      <c r="E301" s="275" t="s">
        <v>1215</v>
      </c>
      <c r="F301" s="274" t="s">
        <v>2170</v>
      </c>
      <c r="G301" s="274" t="s">
        <v>2251</v>
      </c>
    </row>
    <row r="302" spans="1:7" ht="17">
      <c r="A302" s="274" t="s">
        <v>2398</v>
      </c>
      <c r="B302" s="274"/>
      <c r="C302" s="274" t="s">
        <v>2399</v>
      </c>
      <c r="D302" s="274" t="s">
        <v>2741</v>
      </c>
      <c r="E302" s="275" t="s">
        <v>1215</v>
      </c>
      <c r="F302" s="274" t="s">
        <v>2170</v>
      </c>
      <c r="G302" s="274" t="s">
        <v>2251</v>
      </c>
    </row>
    <row r="303" spans="1:7" ht="17">
      <c r="A303" s="75" t="s">
        <v>2585</v>
      </c>
      <c r="B303" s="75"/>
      <c r="C303" s="75"/>
      <c r="D303" s="75"/>
      <c r="E303" s="76"/>
      <c r="F303" s="75"/>
      <c r="G303" s="75"/>
    </row>
    <row r="304" spans="1:7" ht="17">
      <c r="A304" s="272" t="s">
        <v>2290</v>
      </c>
      <c r="B304" s="272" t="s">
        <v>2291</v>
      </c>
      <c r="C304" s="272" t="s">
        <v>2292</v>
      </c>
      <c r="D304" s="272" t="s">
        <v>2741</v>
      </c>
      <c r="E304" s="273" t="s">
        <v>2293</v>
      </c>
      <c r="F304" s="273" t="s">
        <v>2723</v>
      </c>
      <c r="G304" s="272" t="s">
        <v>2251</v>
      </c>
    </row>
    <row r="305" spans="1:7" ht="17">
      <c r="A305" s="75" t="s">
        <v>2588</v>
      </c>
      <c r="B305" s="75"/>
      <c r="C305" s="75"/>
      <c r="D305" s="75"/>
      <c r="E305" s="76"/>
      <c r="F305" s="75"/>
      <c r="G305" s="75"/>
    </row>
    <row r="306" spans="1:7" ht="17">
      <c r="A306" s="272" t="s">
        <v>2295</v>
      </c>
      <c r="B306" s="272" t="s">
        <v>2296</v>
      </c>
      <c r="C306" s="272" t="s">
        <v>2297</v>
      </c>
      <c r="D306" s="272" t="s">
        <v>2741</v>
      </c>
      <c r="E306" s="273" t="s">
        <v>2293</v>
      </c>
      <c r="F306" s="273" t="s">
        <v>2723</v>
      </c>
      <c r="G306" s="272" t="s">
        <v>2251</v>
      </c>
    </row>
    <row r="307" spans="1:7" ht="17">
      <c r="A307" s="272" t="s">
        <v>2298</v>
      </c>
      <c r="B307" s="272" t="s">
        <v>2296</v>
      </c>
      <c r="C307" s="272" t="s">
        <v>2292</v>
      </c>
      <c r="D307" s="272" t="s">
        <v>2741</v>
      </c>
      <c r="E307" s="273" t="s">
        <v>2293</v>
      </c>
      <c r="F307" s="273" t="s">
        <v>2723</v>
      </c>
      <c r="G307" s="272" t="s">
        <v>2251</v>
      </c>
    </row>
    <row r="308" spans="1:7" ht="17">
      <c r="A308" s="272" t="s">
        <v>2299</v>
      </c>
      <c r="B308" s="272" t="s">
        <v>2296</v>
      </c>
      <c r="C308" s="272" t="s">
        <v>2292</v>
      </c>
      <c r="D308" s="272" t="s">
        <v>2741</v>
      </c>
      <c r="E308" s="273" t="s">
        <v>2293</v>
      </c>
      <c r="F308" s="273" t="s">
        <v>2723</v>
      </c>
      <c r="G308" s="272" t="s">
        <v>2251</v>
      </c>
    </row>
    <row r="309" spans="1:7" ht="17">
      <c r="A309" s="272" t="s">
        <v>2300</v>
      </c>
      <c r="B309" s="272" t="s">
        <v>2301</v>
      </c>
      <c r="C309" s="272" t="s">
        <v>2292</v>
      </c>
      <c r="D309" s="272" t="s">
        <v>2741</v>
      </c>
      <c r="E309" s="273" t="s">
        <v>2293</v>
      </c>
      <c r="F309" s="273" t="s">
        <v>2723</v>
      </c>
      <c r="G309" s="272" t="s">
        <v>2251</v>
      </c>
    </row>
    <row r="310" spans="1:7" ht="17">
      <c r="A310" s="272" t="s">
        <v>2302</v>
      </c>
      <c r="B310" s="272"/>
      <c r="C310" s="272" t="s">
        <v>2292</v>
      </c>
      <c r="D310" s="272" t="s">
        <v>2741</v>
      </c>
      <c r="E310" s="273" t="s">
        <v>2293</v>
      </c>
      <c r="F310" s="273" t="s">
        <v>2723</v>
      </c>
      <c r="G310" s="272" t="s">
        <v>2251</v>
      </c>
    </row>
    <row r="311" spans="1:7" ht="17">
      <c r="A311" s="272" t="s">
        <v>2303</v>
      </c>
      <c r="B311" s="272"/>
      <c r="C311" s="272" t="s">
        <v>2292</v>
      </c>
      <c r="D311" s="272" t="s">
        <v>2741</v>
      </c>
      <c r="E311" s="273" t="s">
        <v>2293</v>
      </c>
      <c r="F311" s="273" t="s">
        <v>2723</v>
      </c>
      <c r="G311" s="272" t="s">
        <v>2251</v>
      </c>
    </row>
    <row r="312" spans="1:7" ht="17">
      <c r="A312" s="272" t="s">
        <v>2304</v>
      </c>
      <c r="B312" s="272"/>
      <c r="C312" s="272" t="s">
        <v>2292</v>
      </c>
      <c r="D312" s="272" t="s">
        <v>2741</v>
      </c>
      <c r="E312" s="273" t="s">
        <v>2293</v>
      </c>
      <c r="F312" s="273" t="s">
        <v>2723</v>
      </c>
      <c r="G312" s="272" t="s">
        <v>2251</v>
      </c>
    </row>
    <row r="313" spans="1:7" ht="17">
      <c r="A313" s="75" t="s">
        <v>2589</v>
      </c>
      <c r="B313" s="75"/>
      <c r="C313" s="75"/>
      <c r="D313" s="75"/>
      <c r="E313" s="76"/>
      <c r="F313" s="75"/>
      <c r="G313" s="75"/>
    </row>
    <row r="314" spans="1:7" ht="17">
      <c r="A314" s="272" t="s">
        <v>2310</v>
      </c>
      <c r="B314" s="272" t="s">
        <v>2291</v>
      </c>
      <c r="C314" s="272" t="s">
        <v>2311</v>
      </c>
      <c r="D314" s="272" t="s">
        <v>2741</v>
      </c>
      <c r="E314" s="273" t="s">
        <v>2312</v>
      </c>
      <c r="F314" s="273" t="s">
        <v>2723</v>
      </c>
      <c r="G314" s="272" t="s">
        <v>2251</v>
      </c>
    </row>
    <row r="315" spans="1:7" ht="17">
      <c r="A315" s="272" t="s">
        <v>2313</v>
      </c>
      <c r="B315" s="272" t="s">
        <v>2291</v>
      </c>
      <c r="C315" s="272" t="s">
        <v>2292</v>
      </c>
      <c r="D315" s="272" t="s">
        <v>2741</v>
      </c>
      <c r="E315" s="273" t="s">
        <v>2293</v>
      </c>
      <c r="F315" s="273" t="s">
        <v>2723</v>
      </c>
      <c r="G315" s="272" t="s">
        <v>2251</v>
      </c>
    </row>
    <row r="316" spans="1:7">
      <c r="A316" s="57" t="s">
        <v>2314</v>
      </c>
      <c r="B316" s="57" t="s">
        <v>2291</v>
      </c>
      <c r="C316" s="57" t="s">
        <v>2292</v>
      </c>
      <c r="D316" s="57" t="s">
        <v>2741</v>
      </c>
      <c r="E316" s="58" t="s">
        <v>2293</v>
      </c>
      <c r="F316" s="58" t="s">
        <v>2723</v>
      </c>
      <c r="G316" s="57" t="s">
        <v>2251</v>
      </c>
    </row>
    <row r="317" spans="1:7" ht="17">
      <c r="A317" s="75" t="s">
        <v>2590</v>
      </c>
      <c r="B317" s="75"/>
      <c r="C317" s="75"/>
      <c r="D317" s="75"/>
      <c r="E317" s="76"/>
      <c r="F317" s="75"/>
      <c r="G317" s="75"/>
    </row>
    <row r="318" spans="1:7" ht="17">
      <c r="A318" s="272" t="s">
        <v>2316</v>
      </c>
      <c r="B318" s="272" t="s">
        <v>2291</v>
      </c>
      <c r="C318" s="272" t="s">
        <v>2292</v>
      </c>
      <c r="D318" s="272" t="s">
        <v>2741</v>
      </c>
      <c r="E318" s="273" t="s">
        <v>2293</v>
      </c>
      <c r="F318" s="273" t="s">
        <v>2723</v>
      </c>
      <c r="G318" s="272" t="s">
        <v>2251</v>
      </c>
    </row>
    <row r="319" spans="1:7" ht="17">
      <c r="A319" s="75" t="s">
        <v>2593</v>
      </c>
      <c r="B319" s="75"/>
      <c r="C319" s="75"/>
      <c r="D319" s="75"/>
      <c r="E319" s="76"/>
      <c r="F319" s="75"/>
      <c r="G319" s="75"/>
    </row>
    <row r="320" spans="1:7" ht="17">
      <c r="A320" s="272" t="s">
        <v>2318</v>
      </c>
      <c r="B320" s="272" t="s">
        <v>2319</v>
      </c>
      <c r="C320" s="272" t="s">
        <v>2285</v>
      </c>
      <c r="D320" s="272" t="s">
        <v>2741</v>
      </c>
      <c r="E320" s="273" t="s">
        <v>2287</v>
      </c>
      <c r="F320" s="273" t="s">
        <v>2723</v>
      </c>
      <c r="G320" s="272" t="s">
        <v>2320</v>
      </c>
    </row>
    <row r="321" spans="1:7">
      <c r="A321" s="57" t="s">
        <v>2321</v>
      </c>
      <c r="B321" s="57" t="s">
        <v>2322</v>
      </c>
      <c r="C321" s="57" t="s">
        <v>2285</v>
      </c>
      <c r="D321" s="57" t="s">
        <v>2741</v>
      </c>
      <c r="E321" s="58" t="s">
        <v>2287</v>
      </c>
      <c r="F321" s="58" t="s">
        <v>2723</v>
      </c>
      <c r="G321" s="57" t="s">
        <v>2323</v>
      </c>
    </row>
    <row r="322" spans="1:7" ht="17">
      <c r="A322" s="75" t="s">
        <v>2594</v>
      </c>
      <c r="B322" s="75"/>
      <c r="C322" s="75"/>
      <c r="D322" s="75"/>
      <c r="E322" s="76"/>
      <c r="F322" s="75"/>
      <c r="G322" s="75"/>
    </row>
    <row r="323" spans="1:7" ht="17">
      <c r="A323" s="272" t="s">
        <v>2333</v>
      </c>
      <c r="B323" s="272" t="s">
        <v>2291</v>
      </c>
      <c r="C323" s="272" t="s">
        <v>2285</v>
      </c>
      <c r="D323" s="272" t="s">
        <v>2741</v>
      </c>
      <c r="E323" s="273" t="s">
        <v>2287</v>
      </c>
      <c r="F323" s="273" t="s">
        <v>2723</v>
      </c>
      <c r="G323" s="272" t="s">
        <v>2251</v>
      </c>
    </row>
    <row r="324" spans="1:7" ht="17">
      <c r="A324" s="272" t="s">
        <v>2334</v>
      </c>
      <c r="B324" s="272" t="s">
        <v>2291</v>
      </c>
      <c r="C324" s="272" t="s">
        <v>2311</v>
      </c>
      <c r="D324" s="272" t="s">
        <v>2741</v>
      </c>
      <c r="E324" s="273" t="s">
        <v>2312</v>
      </c>
      <c r="F324" s="273" t="s">
        <v>2723</v>
      </c>
      <c r="G324" s="272" t="s">
        <v>2335</v>
      </c>
    </row>
    <row r="325" spans="1:7" ht="17">
      <c r="A325" s="75" t="s">
        <v>2595</v>
      </c>
      <c r="B325" s="75"/>
      <c r="C325" s="75"/>
      <c r="D325" s="75"/>
      <c r="E325" s="76"/>
      <c r="F325" s="75"/>
      <c r="G325" s="75"/>
    </row>
    <row r="326" spans="1:7">
      <c r="A326" s="56" t="s">
        <v>2529</v>
      </c>
      <c r="B326" s="56" t="s">
        <v>2494</v>
      </c>
      <c r="C326" s="56" t="s">
        <v>2530</v>
      </c>
      <c r="D326" s="56" t="s">
        <v>2741</v>
      </c>
      <c r="E326" s="74" t="s">
        <v>2531</v>
      </c>
      <c r="F326" s="74" t="s">
        <v>2170</v>
      </c>
      <c r="G326" s="56" t="s">
        <v>2532</v>
      </c>
    </row>
    <row r="327" spans="1:7" ht="17">
      <c r="A327" s="75" t="s">
        <v>2596</v>
      </c>
      <c r="B327" s="75"/>
      <c r="C327" s="75"/>
      <c r="D327" s="75"/>
      <c r="E327" s="76"/>
      <c r="F327" s="75"/>
      <c r="G327" s="75"/>
    </row>
    <row r="328" spans="1:7" ht="17">
      <c r="A328" s="272" t="s">
        <v>2339</v>
      </c>
      <c r="B328" s="272"/>
      <c r="C328" s="272" t="s">
        <v>2285</v>
      </c>
      <c r="D328" s="272" t="s">
        <v>2741</v>
      </c>
      <c r="E328" s="273" t="s">
        <v>2287</v>
      </c>
      <c r="F328" s="273" t="s">
        <v>2723</v>
      </c>
      <c r="G328" s="272" t="s">
        <v>2340</v>
      </c>
    </row>
    <row r="329" spans="1:7" ht="17">
      <c r="A329" s="272" t="s">
        <v>2345</v>
      </c>
      <c r="B329" s="272" t="s">
        <v>2346</v>
      </c>
      <c r="C329" s="272" t="s">
        <v>2285</v>
      </c>
      <c r="D329" s="272" t="s">
        <v>2741</v>
      </c>
      <c r="E329" s="273" t="s">
        <v>2287</v>
      </c>
      <c r="F329" s="273" t="s">
        <v>2723</v>
      </c>
      <c r="G329" s="272" t="s">
        <v>2347</v>
      </c>
    </row>
    <row r="330" spans="1:7" ht="17">
      <c r="A330" s="272" t="s">
        <v>2348</v>
      </c>
      <c r="B330" s="272"/>
      <c r="C330" s="272" t="s">
        <v>2292</v>
      </c>
      <c r="D330" s="272" t="s">
        <v>2741</v>
      </c>
      <c r="E330" s="273" t="s">
        <v>2293</v>
      </c>
      <c r="F330" s="273" t="s">
        <v>2723</v>
      </c>
      <c r="G330" s="272" t="s">
        <v>2251</v>
      </c>
    </row>
    <row r="331" spans="1:7" ht="17">
      <c r="A331" s="75" t="s">
        <v>2606</v>
      </c>
      <c r="B331" s="75"/>
      <c r="C331" s="75"/>
      <c r="D331" s="75"/>
      <c r="E331" s="76"/>
      <c r="F331" s="75"/>
      <c r="G331" s="75"/>
    </row>
    <row r="332" spans="1:7">
      <c r="A332" s="57" t="s">
        <v>2283</v>
      </c>
      <c r="B332" s="57" t="s">
        <v>2284</v>
      </c>
      <c r="C332" s="57" t="s">
        <v>2285</v>
      </c>
      <c r="D332" s="57" t="s">
        <v>2742</v>
      </c>
      <c r="E332" s="58" t="s">
        <v>2287</v>
      </c>
      <c r="F332" s="58" t="s">
        <v>2723</v>
      </c>
      <c r="G332" s="57" t="s">
        <v>2288</v>
      </c>
    </row>
    <row r="333" spans="1:7" ht="17">
      <c r="A333" s="274" t="s">
        <v>2516</v>
      </c>
      <c r="B333" s="274" t="s">
        <v>2291</v>
      </c>
      <c r="C333" s="274" t="s">
        <v>1215</v>
      </c>
      <c r="D333" s="274" t="s">
        <v>2742</v>
      </c>
      <c r="E333" s="275" t="s">
        <v>1215</v>
      </c>
      <c r="F333" s="275" t="s">
        <v>2188</v>
      </c>
      <c r="G333" s="274" t="s">
        <v>2251</v>
      </c>
    </row>
    <row r="334" spans="1:7" ht="17">
      <c r="A334" s="274" t="s">
        <v>2398</v>
      </c>
      <c r="B334" s="274"/>
      <c r="C334" s="274" t="s">
        <v>2399</v>
      </c>
      <c r="D334" s="274" t="s">
        <v>2742</v>
      </c>
      <c r="E334" s="275" t="s">
        <v>1215</v>
      </c>
      <c r="F334" s="275" t="s">
        <v>2188</v>
      </c>
      <c r="G334" s="274" t="s">
        <v>2251</v>
      </c>
    </row>
    <row r="335" spans="1:7" ht="17">
      <c r="A335" s="75" t="s">
        <v>2608</v>
      </c>
      <c r="B335" s="75"/>
      <c r="C335" s="75"/>
      <c r="D335" s="75"/>
      <c r="E335" s="76"/>
      <c r="F335" s="75"/>
      <c r="G335" s="75"/>
    </row>
    <row r="336" spans="1:7">
      <c r="A336" s="57" t="s">
        <v>2290</v>
      </c>
      <c r="B336" s="57" t="s">
        <v>2291</v>
      </c>
      <c r="C336" s="57" t="s">
        <v>2292</v>
      </c>
      <c r="D336" s="57" t="s">
        <v>2742</v>
      </c>
      <c r="E336" s="58" t="s">
        <v>2293</v>
      </c>
      <c r="F336" s="58" t="s">
        <v>2723</v>
      </c>
      <c r="G336" s="57" t="s">
        <v>2251</v>
      </c>
    </row>
    <row r="337" spans="1:7" ht="17">
      <c r="A337" s="75" t="s">
        <v>2609</v>
      </c>
      <c r="B337" s="75"/>
      <c r="C337" s="75"/>
      <c r="D337" s="75"/>
      <c r="E337" s="76"/>
      <c r="F337" s="75"/>
      <c r="G337" s="75"/>
    </row>
    <row r="338" spans="1:7" ht="17">
      <c r="A338" s="272" t="s">
        <v>2362</v>
      </c>
      <c r="B338" s="272" t="s">
        <v>2363</v>
      </c>
      <c r="C338" s="272" t="s">
        <v>2364</v>
      </c>
      <c r="D338" s="272" t="s">
        <v>2742</v>
      </c>
      <c r="E338" s="273" t="s">
        <v>2365</v>
      </c>
      <c r="F338" s="273" t="s">
        <v>2723</v>
      </c>
      <c r="G338" s="272" t="s">
        <v>2251</v>
      </c>
    </row>
    <row r="339" spans="1:7" ht="17">
      <c r="A339" s="75" t="s">
        <v>2610</v>
      </c>
      <c r="B339" s="75"/>
      <c r="C339" s="75"/>
      <c r="D339" s="75"/>
      <c r="E339" s="76"/>
      <c r="F339" s="75"/>
      <c r="G339" s="75"/>
    </row>
    <row r="340" spans="1:7" ht="17">
      <c r="A340" s="272" t="s">
        <v>2367</v>
      </c>
      <c r="B340" s="272" t="s">
        <v>2325</v>
      </c>
      <c r="C340" s="272" t="s">
        <v>2368</v>
      </c>
      <c r="D340" s="272" t="s">
        <v>2742</v>
      </c>
      <c r="E340" s="273" t="s">
        <v>2365</v>
      </c>
      <c r="F340" s="273" t="s">
        <v>2723</v>
      </c>
      <c r="G340" s="272" t="s">
        <v>2251</v>
      </c>
    </row>
    <row r="341" spans="1:7" ht="17">
      <c r="A341" s="75" t="s">
        <v>2611</v>
      </c>
      <c r="B341" s="75"/>
      <c r="C341" s="75"/>
      <c r="D341" s="75"/>
      <c r="E341" s="76"/>
      <c r="F341" s="75"/>
      <c r="G341" s="75"/>
    </row>
    <row r="342" spans="1:7">
      <c r="A342" s="57" t="s">
        <v>2295</v>
      </c>
      <c r="B342" s="57" t="s">
        <v>2296</v>
      </c>
      <c r="C342" s="57" t="s">
        <v>2297</v>
      </c>
      <c r="D342" s="57" t="s">
        <v>2742</v>
      </c>
      <c r="E342" s="58" t="s">
        <v>2293</v>
      </c>
      <c r="F342" s="58" t="s">
        <v>2723</v>
      </c>
      <c r="G342" s="57" t="s">
        <v>2251</v>
      </c>
    </row>
    <row r="343" spans="1:7" ht="17">
      <c r="A343" s="272" t="s">
        <v>2298</v>
      </c>
      <c r="B343" s="272" t="s">
        <v>2296</v>
      </c>
      <c r="C343" s="272" t="s">
        <v>2292</v>
      </c>
      <c r="D343" s="272" t="s">
        <v>2742</v>
      </c>
      <c r="E343" s="273" t="s">
        <v>2293</v>
      </c>
      <c r="F343" s="273" t="s">
        <v>2723</v>
      </c>
      <c r="G343" s="272" t="s">
        <v>2251</v>
      </c>
    </row>
    <row r="344" spans="1:7" ht="17">
      <c r="A344" s="272" t="s">
        <v>2299</v>
      </c>
      <c r="B344" s="272" t="s">
        <v>2296</v>
      </c>
      <c r="C344" s="272" t="s">
        <v>2292</v>
      </c>
      <c r="D344" s="272" t="s">
        <v>2742</v>
      </c>
      <c r="E344" s="273" t="s">
        <v>2293</v>
      </c>
      <c r="F344" s="273" t="s">
        <v>2723</v>
      </c>
      <c r="G344" s="272" t="s">
        <v>2251</v>
      </c>
    </row>
    <row r="345" spans="1:7" ht="17">
      <c r="A345" s="272" t="s">
        <v>2300</v>
      </c>
      <c r="B345" s="272" t="s">
        <v>2301</v>
      </c>
      <c r="C345" s="272" t="s">
        <v>2292</v>
      </c>
      <c r="D345" s="272" t="s">
        <v>2742</v>
      </c>
      <c r="E345" s="273" t="s">
        <v>2293</v>
      </c>
      <c r="F345" s="273" t="s">
        <v>2723</v>
      </c>
      <c r="G345" s="272" t="s">
        <v>2251</v>
      </c>
    </row>
    <row r="346" spans="1:7">
      <c r="A346" s="57" t="s">
        <v>2302</v>
      </c>
      <c r="B346" s="57"/>
      <c r="C346" s="57" t="s">
        <v>2292</v>
      </c>
      <c r="D346" s="57" t="s">
        <v>2742</v>
      </c>
      <c r="E346" s="58" t="s">
        <v>2293</v>
      </c>
      <c r="F346" s="58" t="s">
        <v>2723</v>
      </c>
      <c r="G346" s="57" t="s">
        <v>2251</v>
      </c>
    </row>
    <row r="347" spans="1:7" ht="17">
      <c r="A347" s="272" t="s">
        <v>2303</v>
      </c>
      <c r="B347" s="272"/>
      <c r="C347" s="272" t="s">
        <v>2292</v>
      </c>
      <c r="D347" s="272" t="s">
        <v>2742</v>
      </c>
      <c r="E347" s="273" t="s">
        <v>2293</v>
      </c>
      <c r="F347" s="273" t="s">
        <v>2723</v>
      </c>
      <c r="G347" s="272" t="s">
        <v>2251</v>
      </c>
    </row>
    <row r="348" spans="1:7" ht="17">
      <c r="A348" s="272" t="s">
        <v>2304</v>
      </c>
      <c r="B348" s="272"/>
      <c r="C348" s="272" t="s">
        <v>2292</v>
      </c>
      <c r="D348" s="272" t="s">
        <v>2742</v>
      </c>
      <c r="E348" s="273" t="s">
        <v>2293</v>
      </c>
      <c r="F348" s="273" t="s">
        <v>2723</v>
      </c>
      <c r="G348" s="272" t="s">
        <v>2251</v>
      </c>
    </row>
    <row r="349" spans="1:7" ht="17">
      <c r="A349" s="75" t="s">
        <v>2612</v>
      </c>
      <c r="B349" s="75"/>
      <c r="C349" s="75"/>
      <c r="D349" s="75"/>
      <c r="E349" s="76"/>
      <c r="F349" s="75"/>
      <c r="G349" s="75"/>
    </row>
    <row r="350" spans="1:7" ht="17">
      <c r="A350" s="272" t="s">
        <v>2310</v>
      </c>
      <c r="B350" s="272" t="s">
        <v>2291</v>
      </c>
      <c r="C350" s="272" t="s">
        <v>2311</v>
      </c>
      <c r="D350" s="272" t="s">
        <v>2742</v>
      </c>
      <c r="E350" s="273" t="s">
        <v>2312</v>
      </c>
      <c r="F350" s="273" t="s">
        <v>2723</v>
      </c>
      <c r="G350" s="272" t="s">
        <v>2251</v>
      </c>
    </row>
    <row r="351" spans="1:7" ht="17">
      <c r="A351" s="272" t="s">
        <v>2313</v>
      </c>
      <c r="B351" s="272" t="s">
        <v>2291</v>
      </c>
      <c r="C351" s="272" t="s">
        <v>2292</v>
      </c>
      <c r="D351" s="272" t="s">
        <v>2742</v>
      </c>
      <c r="E351" s="273" t="s">
        <v>2293</v>
      </c>
      <c r="F351" s="273" t="s">
        <v>2723</v>
      </c>
      <c r="G351" s="272" t="s">
        <v>2251</v>
      </c>
    </row>
    <row r="352" spans="1:7">
      <c r="A352" s="57" t="s">
        <v>2314</v>
      </c>
      <c r="B352" s="57" t="s">
        <v>2291</v>
      </c>
      <c r="C352" s="57" t="s">
        <v>2292</v>
      </c>
      <c r="D352" s="57" t="s">
        <v>2742</v>
      </c>
      <c r="E352" s="58" t="s">
        <v>2293</v>
      </c>
      <c r="F352" s="58" t="s">
        <v>2723</v>
      </c>
      <c r="G352" s="57" t="s">
        <v>2251</v>
      </c>
    </row>
    <row r="353" spans="1:7" ht="17">
      <c r="A353" s="75" t="s">
        <v>2613</v>
      </c>
      <c r="B353" s="75"/>
      <c r="C353" s="75"/>
      <c r="D353" s="75"/>
      <c r="E353" s="76"/>
      <c r="F353" s="75"/>
      <c r="G353" s="75"/>
    </row>
    <row r="354" spans="1:7" ht="17">
      <c r="A354" s="272" t="s">
        <v>2316</v>
      </c>
      <c r="B354" s="272" t="s">
        <v>2291</v>
      </c>
      <c r="C354" s="272" t="s">
        <v>2292</v>
      </c>
      <c r="D354" s="272" t="s">
        <v>2742</v>
      </c>
      <c r="E354" s="273" t="s">
        <v>2293</v>
      </c>
      <c r="F354" s="273" t="s">
        <v>2723</v>
      </c>
      <c r="G354" s="272" t="s">
        <v>2251</v>
      </c>
    </row>
    <row r="355" spans="1:7" ht="17">
      <c r="A355" s="75" t="s">
        <v>2615</v>
      </c>
      <c r="B355" s="75"/>
      <c r="C355" s="75"/>
      <c r="D355" s="75"/>
      <c r="E355" s="76"/>
      <c r="F355" s="75"/>
      <c r="G355" s="75"/>
    </row>
    <row r="356" spans="1:7" ht="17">
      <c r="A356" s="272" t="s">
        <v>2318</v>
      </c>
      <c r="B356" s="272" t="s">
        <v>2319</v>
      </c>
      <c r="C356" s="272" t="s">
        <v>2285</v>
      </c>
      <c r="D356" s="272" t="s">
        <v>2742</v>
      </c>
      <c r="E356" s="273" t="s">
        <v>2287</v>
      </c>
      <c r="F356" s="273" t="s">
        <v>2723</v>
      </c>
      <c r="G356" s="272" t="s">
        <v>2320</v>
      </c>
    </row>
    <row r="357" spans="1:7" ht="17">
      <c r="A357" s="272" t="s">
        <v>2321</v>
      </c>
      <c r="B357" s="272" t="s">
        <v>2322</v>
      </c>
      <c r="C357" s="272" t="s">
        <v>2285</v>
      </c>
      <c r="D357" s="272" t="s">
        <v>2742</v>
      </c>
      <c r="E357" s="273" t="s">
        <v>2287</v>
      </c>
      <c r="F357" s="273" t="s">
        <v>2723</v>
      </c>
      <c r="G357" s="272" t="s">
        <v>2323</v>
      </c>
    </row>
    <row r="358" spans="1:7" ht="17">
      <c r="A358" s="75" t="s">
        <v>2616</v>
      </c>
      <c r="B358" s="75"/>
      <c r="C358" s="75"/>
      <c r="D358" s="75"/>
      <c r="E358" s="76"/>
      <c r="F358" s="75"/>
      <c r="G358" s="75"/>
    </row>
    <row r="359" spans="1:7" ht="17">
      <c r="A359" s="272" t="s">
        <v>2333</v>
      </c>
      <c r="B359" s="272" t="s">
        <v>2291</v>
      </c>
      <c r="C359" s="272" t="s">
        <v>2285</v>
      </c>
      <c r="D359" s="272" t="s">
        <v>2742</v>
      </c>
      <c r="E359" s="273" t="s">
        <v>2287</v>
      </c>
      <c r="F359" s="273" t="s">
        <v>2723</v>
      </c>
      <c r="G359" s="272" t="s">
        <v>2251</v>
      </c>
    </row>
    <row r="360" spans="1:7" ht="17">
      <c r="A360" s="272" t="s">
        <v>2334</v>
      </c>
      <c r="B360" s="272" t="s">
        <v>2291</v>
      </c>
      <c r="C360" s="272" t="s">
        <v>2311</v>
      </c>
      <c r="D360" s="272" t="s">
        <v>2742</v>
      </c>
      <c r="E360" s="273" t="s">
        <v>2312</v>
      </c>
      <c r="F360" s="273" t="s">
        <v>2723</v>
      </c>
      <c r="G360" s="272" t="s">
        <v>2335</v>
      </c>
    </row>
    <row r="361" spans="1:7" ht="17">
      <c r="A361" s="75" t="s">
        <v>2617</v>
      </c>
      <c r="B361" s="75"/>
      <c r="C361" s="75"/>
      <c r="D361" s="75"/>
      <c r="E361" s="76"/>
      <c r="F361" s="75"/>
      <c r="G361" s="75"/>
    </row>
    <row r="362" spans="1:7" ht="17">
      <c r="A362" s="274" t="s">
        <v>2529</v>
      </c>
      <c r="B362" s="274" t="s">
        <v>2494</v>
      </c>
      <c r="C362" s="274" t="s">
        <v>2530</v>
      </c>
      <c r="D362" s="274" t="s">
        <v>2742</v>
      </c>
      <c r="E362" s="275" t="s">
        <v>2553</v>
      </c>
      <c r="F362" s="275" t="s">
        <v>2188</v>
      </c>
      <c r="G362" s="274" t="s">
        <v>2532</v>
      </c>
    </row>
    <row r="363" spans="1:7" ht="17">
      <c r="A363" s="75" t="s">
        <v>2618</v>
      </c>
      <c r="B363" s="75"/>
      <c r="C363" s="75"/>
      <c r="D363" s="75"/>
      <c r="E363" s="76"/>
      <c r="F363" s="75"/>
      <c r="G363" s="75"/>
    </row>
    <row r="364" spans="1:7" ht="17">
      <c r="A364" s="272" t="s">
        <v>2339</v>
      </c>
      <c r="B364" s="272"/>
      <c r="C364" s="272" t="s">
        <v>2285</v>
      </c>
      <c r="D364" s="272" t="s">
        <v>2742</v>
      </c>
      <c r="E364" s="273" t="s">
        <v>2287</v>
      </c>
      <c r="F364" s="273" t="s">
        <v>2723</v>
      </c>
      <c r="G364" s="272" t="s">
        <v>2340</v>
      </c>
    </row>
    <row r="365" spans="1:7" ht="17">
      <c r="A365" s="272" t="s">
        <v>2345</v>
      </c>
      <c r="B365" s="272" t="s">
        <v>2346</v>
      </c>
      <c r="C365" s="272" t="s">
        <v>2285</v>
      </c>
      <c r="D365" s="272" t="s">
        <v>2742</v>
      </c>
      <c r="E365" s="273" t="s">
        <v>2287</v>
      </c>
      <c r="F365" s="273" t="s">
        <v>2723</v>
      </c>
      <c r="G365" s="272" t="s">
        <v>2347</v>
      </c>
    </row>
    <row r="366" spans="1:7">
      <c r="A366" s="57" t="s">
        <v>2348</v>
      </c>
      <c r="B366" s="57"/>
      <c r="C366" s="57" t="s">
        <v>2292</v>
      </c>
      <c r="D366" s="57" t="s">
        <v>2742</v>
      </c>
      <c r="E366" s="58" t="s">
        <v>2293</v>
      </c>
      <c r="F366" s="58" t="s">
        <v>2723</v>
      </c>
      <c r="G366" s="57" t="s">
        <v>2251</v>
      </c>
    </row>
    <row r="367" spans="1:7" ht="17">
      <c r="A367" s="75" t="s">
        <v>2636</v>
      </c>
      <c r="B367" s="75"/>
      <c r="C367" s="75"/>
      <c r="D367" s="75"/>
      <c r="E367" s="76"/>
      <c r="F367" s="75"/>
      <c r="G367" s="75"/>
    </row>
    <row r="368" spans="1:7" ht="17">
      <c r="A368" s="272" t="s">
        <v>2283</v>
      </c>
      <c r="B368" s="272" t="s">
        <v>2284</v>
      </c>
      <c r="C368" s="272" t="s">
        <v>2285</v>
      </c>
      <c r="D368" s="272" t="s">
        <v>2743</v>
      </c>
      <c r="E368" s="273" t="s">
        <v>2287</v>
      </c>
      <c r="F368" s="273" t="s">
        <v>2723</v>
      </c>
      <c r="G368" s="272" t="s">
        <v>2288</v>
      </c>
    </row>
    <row r="369" spans="1:7">
      <c r="A369" s="56" t="s">
        <v>2516</v>
      </c>
      <c r="B369" s="56" t="s">
        <v>2291</v>
      </c>
      <c r="C369" s="56" t="s">
        <v>1215</v>
      </c>
      <c r="D369" s="56" t="s">
        <v>2743</v>
      </c>
      <c r="E369" s="74" t="s">
        <v>1215</v>
      </c>
      <c r="F369" s="74" t="s">
        <v>2206</v>
      </c>
      <c r="G369" s="56" t="s">
        <v>2251</v>
      </c>
    </row>
    <row r="370" spans="1:7" ht="17">
      <c r="A370" s="274" t="s">
        <v>2398</v>
      </c>
      <c r="B370" s="274"/>
      <c r="C370" s="274" t="s">
        <v>2399</v>
      </c>
      <c r="D370" s="274" t="s">
        <v>2743</v>
      </c>
      <c r="E370" s="275" t="s">
        <v>1215</v>
      </c>
      <c r="F370" s="275" t="s">
        <v>2206</v>
      </c>
      <c r="G370" s="274" t="s">
        <v>2251</v>
      </c>
    </row>
    <row r="371" spans="1:7" ht="17">
      <c r="A371" s="75" t="s">
        <v>2638</v>
      </c>
      <c r="B371" s="75"/>
      <c r="C371" s="75"/>
      <c r="D371" s="75"/>
      <c r="E371" s="76"/>
      <c r="F371" s="75"/>
      <c r="G371" s="75"/>
    </row>
    <row r="372" spans="1:7" ht="17">
      <c r="A372" s="272" t="s">
        <v>2290</v>
      </c>
      <c r="B372" s="272" t="s">
        <v>2291</v>
      </c>
      <c r="C372" s="272" t="s">
        <v>2292</v>
      </c>
      <c r="D372" s="272" t="s">
        <v>2743</v>
      </c>
      <c r="E372" s="273" t="s">
        <v>2293</v>
      </c>
      <c r="F372" s="273" t="s">
        <v>2723</v>
      </c>
      <c r="G372" s="272" t="s">
        <v>2251</v>
      </c>
    </row>
    <row r="373" spans="1:7" ht="17">
      <c r="A373" s="75" t="s">
        <v>2744</v>
      </c>
      <c r="B373" s="75"/>
      <c r="C373" s="75"/>
      <c r="D373" s="75"/>
      <c r="E373" s="76"/>
      <c r="F373" s="75"/>
      <c r="G373" s="75"/>
    </row>
    <row r="374" spans="1:7" ht="17">
      <c r="A374" s="272" t="s">
        <v>2362</v>
      </c>
      <c r="B374" s="272" t="s">
        <v>2363</v>
      </c>
      <c r="C374" s="272" t="s">
        <v>2364</v>
      </c>
      <c r="D374" s="272" t="s">
        <v>2743</v>
      </c>
      <c r="E374" s="273" t="s">
        <v>2365</v>
      </c>
      <c r="F374" s="273" t="s">
        <v>2723</v>
      </c>
      <c r="G374" s="272" t="s">
        <v>2251</v>
      </c>
    </row>
    <row r="375" spans="1:7" ht="17">
      <c r="A375" s="75" t="s">
        <v>2639</v>
      </c>
      <c r="B375" s="75"/>
      <c r="C375" s="75"/>
      <c r="D375" s="75"/>
      <c r="E375" s="76"/>
      <c r="F375" s="75"/>
      <c r="G375" s="75"/>
    </row>
    <row r="376" spans="1:7">
      <c r="A376" s="57" t="s">
        <v>2367</v>
      </c>
      <c r="B376" s="57" t="s">
        <v>2325</v>
      </c>
      <c r="C376" s="57" t="s">
        <v>2368</v>
      </c>
      <c r="D376" s="57" t="s">
        <v>2743</v>
      </c>
      <c r="E376" s="58" t="s">
        <v>2365</v>
      </c>
      <c r="F376" s="58" t="s">
        <v>2723</v>
      </c>
      <c r="G376" s="57" t="s">
        <v>2251</v>
      </c>
    </row>
    <row r="377" spans="1:7" ht="17">
      <c r="A377" s="274" t="s">
        <v>2428</v>
      </c>
      <c r="B377" s="274" t="s">
        <v>2426</v>
      </c>
      <c r="C377" s="274" t="s">
        <v>2429</v>
      </c>
      <c r="D377" s="274" t="s">
        <v>2743</v>
      </c>
      <c r="E377" s="275" t="s">
        <v>2745</v>
      </c>
      <c r="F377" s="275" t="s">
        <v>2206</v>
      </c>
      <c r="G377" s="274" t="s">
        <v>2251</v>
      </c>
    </row>
    <row r="378" spans="1:7" ht="17">
      <c r="A378" s="75" t="s">
        <v>2640</v>
      </c>
      <c r="B378" s="75"/>
      <c r="C378" s="75"/>
      <c r="D378" s="75"/>
      <c r="E378" s="76"/>
      <c r="F378" s="75"/>
      <c r="G378" s="75"/>
    </row>
    <row r="379" spans="1:7" ht="17">
      <c r="A379" s="272" t="s">
        <v>2295</v>
      </c>
      <c r="B379" s="272" t="s">
        <v>2296</v>
      </c>
      <c r="C379" s="272" t="s">
        <v>2297</v>
      </c>
      <c r="D379" s="272" t="s">
        <v>2743</v>
      </c>
      <c r="E379" s="273" t="s">
        <v>2293</v>
      </c>
      <c r="F379" s="273" t="s">
        <v>2723</v>
      </c>
      <c r="G379" s="272" t="s">
        <v>2251</v>
      </c>
    </row>
    <row r="380" spans="1:7" ht="17">
      <c r="A380" s="272" t="s">
        <v>2298</v>
      </c>
      <c r="B380" s="272" t="s">
        <v>2296</v>
      </c>
      <c r="C380" s="272" t="s">
        <v>2292</v>
      </c>
      <c r="D380" s="272" t="s">
        <v>2743</v>
      </c>
      <c r="E380" s="273" t="s">
        <v>2293</v>
      </c>
      <c r="F380" s="273" t="s">
        <v>2723</v>
      </c>
      <c r="G380" s="272" t="s">
        <v>2251</v>
      </c>
    </row>
    <row r="381" spans="1:7" ht="17">
      <c r="A381" s="272" t="s">
        <v>2299</v>
      </c>
      <c r="B381" s="272" t="s">
        <v>2296</v>
      </c>
      <c r="C381" s="272" t="s">
        <v>2292</v>
      </c>
      <c r="D381" s="272" t="s">
        <v>2743</v>
      </c>
      <c r="E381" s="273" t="s">
        <v>2293</v>
      </c>
      <c r="F381" s="273" t="s">
        <v>2723</v>
      </c>
      <c r="G381" s="272" t="s">
        <v>2251</v>
      </c>
    </row>
    <row r="382" spans="1:7" ht="17">
      <c r="A382" s="272" t="s">
        <v>2300</v>
      </c>
      <c r="B382" s="272" t="s">
        <v>2301</v>
      </c>
      <c r="C382" s="272" t="s">
        <v>2292</v>
      </c>
      <c r="D382" s="272" t="s">
        <v>2743</v>
      </c>
      <c r="E382" s="273" t="s">
        <v>2293</v>
      </c>
      <c r="F382" s="273" t="s">
        <v>2723</v>
      </c>
      <c r="G382" s="272" t="s">
        <v>2251</v>
      </c>
    </row>
    <row r="383" spans="1:7" ht="17">
      <c r="A383" s="272" t="s">
        <v>2302</v>
      </c>
      <c r="B383" s="272"/>
      <c r="C383" s="272" t="s">
        <v>2292</v>
      </c>
      <c r="D383" s="272" t="s">
        <v>2743</v>
      </c>
      <c r="E383" s="273" t="s">
        <v>2293</v>
      </c>
      <c r="F383" s="273" t="s">
        <v>2723</v>
      </c>
      <c r="G383" s="272" t="s">
        <v>2251</v>
      </c>
    </row>
    <row r="384" spans="1:7" ht="17">
      <c r="A384" s="272" t="s">
        <v>2303</v>
      </c>
      <c r="B384" s="272"/>
      <c r="C384" s="272" t="s">
        <v>2292</v>
      </c>
      <c r="D384" s="272" t="s">
        <v>2743</v>
      </c>
      <c r="E384" s="273" t="s">
        <v>2293</v>
      </c>
      <c r="F384" s="273" t="s">
        <v>2723</v>
      </c>
      <c r="G384" s="272" t="s">
        <v>2251</v>
      </c>
    </row>
    <row r="385" spans="1:7">
      <c r="A385" s="57" t="s">
        <v>2304</v>
      </c>
      <c r="B385" s="57"/>
      <c r="C385" s="57" t="s">
        <v>2292</v>
      </c>
      <c r="D385" s="57" t="s">
        <v>2743</v>
      </c>
      <c r="E385" s="58" t="s">
        <v>2293</v>
      </c>
      <c r="F385" s="58" t="s">
        <v>2723</v>
      </c>
      <c r="G385" s="57" t="s">
        <v>2251</v>
      </c>
    </row>
    <row r="386" spans="1:7" ht="17">
      <c r="A386" s="75" t="s">
        <v>2641</v>
      </c>
      <c r="B386" s="75"/>
      <c r="C386" s="75"/>
      <c r="D386" s="75"/>
      <c r="E386" s="76"/>
      <c r="F386" s="75"/>
      <c r="G386" s="75"/>
    </row>
    <row r="387" spans="1:7">
      <c r="A387" s="57" t="s">
        <v>2310</v>
      </c>
      <c r="B387" s="57" t="s">
        <v>2291</v>
      </c>
      <c r="C387" s="57" t="s">
        <v>2311</v>
      </c>
      <c r="D387" s="57" t="s">
        <v>2743</v>
      </c>
      <c r="E387" s="58" t="s">
        <v>2312</v>
      </c>
      <c r="F387" s="58" t="s">
        <v>2723</v>
      </c>
      <c r="G387" s="57" t="s">
        <v>2251</v>
      </c>
    </row>
    <row r="388" spans="1:7" ht="17">
      <c r="A388" s="272" t="s">
        <v>2313</v>
      </c>
      <c r="B388" s="272" t="s">
        <v>2291</v>
      </c>
      <c r="C388" s="272" t="s">
        <v>2292</v>
      </c>
      <c r="D388" s="272" t="s">
        <v>2743</v>
      </c>
      <c r="E388" s="273" t="s">
        <v>2293</v>
      </c>
      <c r="F388" s="273" t="s">
        <v>2723</v>
      </c>
      <c r="G388" s="272" t="s">
        <v>2251</v>
      </c>
    </row>
    <row r="389" spans="1:7" ht="17">
      <c r="A389" s="272" t="s">
        <v>2314</v>
      </c>
      <c r="B389" s="272" t="s">
        <v>2291</v>
      </c>
      <c r="C389" s="272" t="s">
        <v>2292</v>
      </c>
      <c r="D389" s="272" t="s">
        <v>2743</v>
      </c>
      <c r="E389" s="273" t="s">
        <v>2293</v>
      </c>
      <c r="F389" s="273" t="s">
        <v>2723</v>
      </c>
      <c r="G389" s="272" t="s">
        <v>2251</v>
      </c>
    </row>
    <row r="390" spans="1:7" ht="17">
      <c r="A390" s="75" t="s">
        <v>2642</v>
      </c>
      <c r="B390" s="75"/>
      <c r="C390" s="75"/>
      <c r="D390" s="75"/>
      <c r="E390" s="76"/>
      <c r="F390" s="75"/>
      <c r="G390" s="75"/>
    </row>
    <row r="391" spans="1:7" ht="17">
      <c r="A391" s="272" t="s">
        <v>2316</v>
      </c>
      <c r="B391" s="272" t="s">
        <v>2291</v>
      </c>
      <c r="C391" s="272" t="s">
        <v>2292</v>
      </c>
      <c r="D391" s="272" t="s">
        <v>2743</v>
      </c>
      <c r="E391" s="273" t="s">
        <v>2293</v>
      </c>
      <c r="F391" s="273" t="s">
        <v>2723</v>
      </c>
      <c r="G391" s="272" t="s">
        <v>2251</v>
      </c>
    </row>
    <row r="392" spans="1:7" ht="17">
      <c r="A392" s="75" t="s">
        <v>2643</v>
      </c>
      <c r="B392" s="75"/>
      <c r="C392" s="75"/>
      <c r="D392" s="75"/>
      <c r="E392" s="76"/>
      <c r="F392" s="75"/>
      <c r="G392" s="75"/>
    </row>
    <row r="393" spans="1:7" ht="17">
      <c r="A393" s="274" t="s">
        <v>2381</v>
      </c>
      <c r="B393" s="274" t="s">
        <v>2382</v>
      </c>
      <c r="C393" s="274" t="s">
        <v>2383</v>
      </c>
      <c r="D393" s="274" t="s">
        <v>2743</v>
      </c>
      <c r="E393" s="275" t="s">
        <v>2745</v>
      </c>
      <c r="F393" s="275" t="s">
        <v>2206</v>
      </c>
      <c r="G393" s="274" t="s">
        <v>2384</v>
      </c>
    </row>
    <row r="394" spans="1:7">
      <c r="A394" s="57" t="s">
        <v>2318</v>
      </c>
      <c r="B394" s="57" t="s">
        <v>2319</v>
      </c>
      <c r="C394" s="57" t="s">
        <v>2285</v>
      </c>
      <c r="D394" s="57" t="s">
        <v>2743</v>
      </c>
      <c r="E394" s="58" t="s">
        <v>2287</v>
      </c>
      <c r="F394" s="58" t="s">
        <v>2723</v>
      </c>
      <c r="G394" s="57" t="s">
        <v>2320</v>
      </c>
    </row>
    <row r="395" spans="1:7" ht="17">
      <c r="A395" s="272" t="s">
        <v>2321</v>
      </c>
      <c r="B395" s="272" t="s">
        <v>2322</v>
      </c>
      <c r="C395" s="272" t="s">
        <v>2285</v>
      </c>
      <c r="D395" s="272" t="s">
        <v>2743</v>
      </c>
      <c r="E395" s="273" t="s">
        <v>2287</v>
      </c>
      <c r="F395" s="273" t="s">
        <v>2723</v>
      </c>
      <c r="G395" s="272" t="s">
        <v>2323</v>
      </c>
    </row>
    <row r="396" spans="1:7" ht="17">
      <c r="A396" s="75" t="s">
        <v>2644</v>
      </c>
      <c r="B396" s="75"/>
      <c r="C396" s="75"/>
      <c r="D396" s="75"/>
      <c r="E396" s="76"/>
      <c r="F396" s="75"/>
      <c r="G396" s="75"/>
    </row>
    <row r="397" spans="1:7">
      <c r="A397" s="57" t="s">
        <v>2333</v>
      </c>
      <c r="B397" s="57" t="s">
        <v>2291</v>
      </c>
      <c r="C397" s="57" t="s">
        <v>2285</v>
      </c>
      <c r="D397" s="57" t="s">
        <v>2743</v>
      </c>
      <c r="E397" s="58" t="s">
        <v>2287</v>
      </c>
      <c r="F397" s="58" t="s">
        <v>2723</v>
      </c>
      <c r="G397" s="57" t="s">
        <v>2251</v>
      </c>
    </row>
    <row r="398" spans="1:7" ht="17">
      <c r="A398" s="272" t="s">
        <v>2334</v>
      </c>
      <c r="B398" s="272" t="s">
        <v>2291</v>
      </c>
      <c r="C398" s="272" t="s">
        <v>2311</v>
      </c>
      <c r="D398" s="272" t="s">
        <v>2743</v>
      </c>
      <c r="E398" s="273" t="s">
        <v>2312</v>
      </c>
      <c r="F398" s="273" t="s">
        <v>2723</v>
      </c>
      <c r="G398" s="272" t="s">
        <v>2335</v>
      </c>
    </row>
    <row r="399" spans="1:7" ht="17">
      <c r="A399" s="75" t="s">
        <v>2645</v>
      </c>
      <c r="B399" s="75"/>
      <c r="C399" s="75"/>
      <c r="D399" s="75"/>
      <c r="E399" s="76"/>
      <c r="F399" s="75"/>
      <c r="G399" s="75"/>
    </row>
    <row r="400" spans="1:7">
      <c r="A400" s="56" t="s">
        <v>2529</v>
      </c>
      <c r="B400" s="56" t="s">
        <v>2494</v>
      </c>
      <c r="C400" s="56" t="s">
        <v>2530</v>
      </c>
      <c r="D400" s="56" t="s">
        <v>2743</v>
      </c>
      <c r="E400" s="74" t="s">
        <v>2746</v>
      </c>
      <c r="F400" s="74" t="s">
        <v>2206</v>
      </c>
      <c r="G400" s="56" t="s">
        <v>2532</v>
      </c>
    </row>
    <row r="401" spans="1:7" ht="17">
      <c r="A401" s="274" t="s">
        <v>2747</v>
      </c>
      <c r="B401" s="274" t="s">
        <v>2490</v>
      </c>
      <c r="C401" s="274" t="s">
        <v>2745</v>
      </c>
      <c r="D401" s="274" t="s">
        <v>2743</v>
      </c>
      <c r="E401" s="275" t="s">
        <v>2745</v>
      </c>
      <c r="F401" s="274" t="s">
        <v>2206</v>
      </c>
      <c r="G401" s="274" t="s">
        <v>2251</v>
      </c>
    </row>
    <row r="402" spans="1:7" ht="17">
      <c r="A402" s="75" t="s">
        <v>2646</v>
      </c>
      <c r="B402" s="75"/>
      <c r="C402" s="75"/>
      <c r="D402" s="75"/>
      <c r="E402" s="76"/>
      <c r="F402" s="75"/>
      <c r="G402" s="75"/>
    </row>
    <row r="403" spans="1:7" ht="17">
      <c r="A403" s="272" t="s">
        <v>2339</v>
      </c>
      <c r="B403" s="272"/>
      <c r="C403" s="272" t="s">
        <v>2285</v>
      </c>
      <c r="D403" s="272" t="s">
        <v>2743</v>
      </c>
      <c r="E403" s="273" t="s">
        <v>2287</v>
      </c>
      <c r="F403" s="273" t="s">
        <v>2723</v>
      </c>
      <c r="G403" s="272" t="s">
        <v>2340</v>
      </c>
    </row>
    <row r="404" spans="1:7" ht="17">
      <c r="A404" s="272" t="s">
        <v>2345</v>
      </c>
      <c r="B404" s="272" t="s">
        <v>2346</v>
      </c>
      <c r="C404" s="272" t="s">
        <v>2285</v>
      </c>
      <c r="D404" s="272" t="s">
        <v>2743</v>
      </c>
      <c r="E404" s="273" t="s">
        <v>2287</v>
      </c>
      <c r="F404" s="273" t="s">
        <v>2723</v>
      </c>
      <c r="G404" s="272" t="s">
        <v>2347</v>
      </c>
    </row>
    <row r="405" spans="1:7" ht="17">
      <c r="A405" s="272" t="s">
        <v>2348</v>
      </c>
      <c r="B405" s="272"/>
      <c r="C405" s="272" t="s">
        <v>2292</v>
      </c>
      <c r="D405" s="272" t="s">
        <v>2743</v>
      </c>
      <c r="E405" s="273" t="s">
        <v>2293</v>
      </c>
      <c r="F405" s="273" t="s">
        <v>2723</v>
      </c>
      <c r="G405" s="272" t="s">
        <v>2251</v>
      </c>
    </row>
    <row r="406" spans="1:7" ht="17">
      <c r="A406" s="75" t="s">
        <v>2656</v>
      </c>
      <c r="B406" s="75"/>
      <c r="C406" s="75"/>
      <c r="D406" s="75"/>
      <c r="E406" s="76"/>
      <c r="F406" s="75"/>
      <c r="G406" s="75"/>
    </row>
    <row r="407" spans="1:7" ht="17">
      <c r="A407" s="272" t="s">
        <v>2283</v>
      </c>
      <c r="B407" s="272" t="s">
        <v>2284</v>
      </c>
      <c r="C407" s="272" t="s">
        <v>2285</v>
      </c>
      <c r="D407" s="272" t="s">
        <v>2748</v>
      </c>
      <c r="E407" s="273" t="s">
        <v>2287</v>
      </c>
      <c r="F407" s="273" t="s">
        <v>2723</v>
      </c>
      <c r="G407" s="272" t="s">
        <v>2288</v>
      </c>
    </row>
    <row r="408" spans="1:7" ht="17">
      <c r="A408" s="274" t="s">
        <v>2516</v>
      </c>
      <c r="B408" s="274" t="s">
        <v>2291</v>
      </c>
      <c r="C408" s="274" t="s">
        <v>1215</v>
      </c>
      <c r="D408" s="274" t="s">
        <v>2748</v>
      </c>
      <c r="E408" s="275" t="s">
        <v>1215</v>
      </c>
      <c r="F408" s="274" t="s">
        <v>2220</v>
      </c>
      <c r="G408" s="274" t="s">
        <v>2251</v>
      </c>
    </row>
    <row r="409" spans="1:7" ht="17">
      <c r="A409" s="274" t="s">
        <v>2398</v>
      </c>
      <c r="B409" s="274"/>
      <c r="C409" s="274" t="s">
        <v>2399</v>
      </c>
      <c r="D409" s="274" t="s">
        <v>2748</v>
      </c>
      <c r="E409" s="275" t="s">
        <v>1215</v>
      </c>
      <c r="F409" s="275" t="s">
        <v>2220</v>
      </c>
      <c r="G409" s="274" t="s">
        <v>2251</v>
      </c>
    </row>
    <row r="410" spans="1:7" ht="17">
      <c r="A410" s="75" t="s">
        <v>2658</v>
      </c>
      <c r="B410" s="75"/>
      <c r="C410" s="75"/>
      <c r="D410" s="75"/>
      <c r="E410" s="76"/>
      <c r="F410" s="75"/>
      <c r="G410" s="75"/>
    </row>
    <row r="411" spans="1:7" ht="17">
      <c r="A411" s="272" t="s">
        <v>2290</v>
      </c>
      <c r="B411" s="272" t="s">
        <v>2291</v>
      </c>
      <c r="C411" s="272" t="s">
        <v>2292</v>
      </c>
      <c r="D411" s="272" t="s">
        <v>2748</v>
      </c>
      <c r="E411" s="273" t="s">
        <v>2293</v>
      </c>
      <c r="F411" s="273" t="s">
        <v>2723</v>
      </c>
      <c r="G411" s="272" t="s">
        <v>2251</v>
      </c>
    </row>
    <row r="412" spans="1:7" ht="17">
      <c r="A412" s="75" t="s">
        <v>2659</v>
      </c>
      <c r="B412" s="75"/>
      <c r="C412" s="75"/>
      <c r="D412" s="75"/>
      <c r="E412" s="76"/>
      <c r="F412" s="75"/>
      <c r="G412" s="75"/>
    </row>
    <row r="413" spans="1:7" ht="17">
      <c r="A413" s="272" t="s">
        <v>2295</v>
      </c>
      <c r="B413" s="272" t="s">
        <v>2296</v>
      </c>
      <c r="C413" s="272" t="s">
        <v>2297</v>
      </c>
      <c r="D413" s="272" t="s">
        <v>2748</v>
      </c>
      <c r="E413" s="273" t="s">
        <v>2293</v>
      </c>
      <c r="F413" s="273" t="s">
        <v>2723</v>
      </c>
      <c r="G413" s="272" t="s">
        <v>2251</v>
      </c>
    </row>
    <row r="414" spans="1:7">
      <c r="A414" s="57" t="s">
        <v>2298</v>
      </c>
      <c r="B414" s="57" t="s">
        <v>2296</v>
      </c>
      <c r="C414" s="57" t="s">
        <v>2292</v>
      </c>
      <c r="D414" s="57" t="s">
        <v>2748</v>
      </c>
      <c r="E414" s="58" t="s">
        <v>2293</v>
      </c>
      <c r="F414" s="58" t="s">
        <v>2723</v>
      </c>
      <c r="G414" s="57" t="s">
        <v>2251</v>
      </c>
    </row>
    <row r="415" spans="1:7" ht="17">
      <c r="A415" s="272" t="s">
        <v>2299</v>
      </c>
      <c r="B415" s="272" t="s">
        <v>2296</v>
      </c>
      <c r="C415" s="272" t="s">
        <v>2292</v>
      </c>
      <c r="D415" s="272" t="s">
        <v>2748</v>
      </c>
      <c r="E415" s="273" t="s">
        <v>2293</v>
      </c>
      <c r="F415" s="273" t="s">
        <v>2723</v>
      </c>
      <c r="G415" s="272" t="s">
        <v>2251</v>
      </c>
    </row>
    <row r="416" spans="1:7" ht="17">
      <c r="A416" s="272" t="s">
        <v>2300</v>
      </c>
      <c r="B416" s="272" t="s">
        <v>2301</v>
      </c>
      <c r="C416" s="272" t="s">
        <v>2292</v>
      </c>
      <c r="D416" s="272" t="s">
        <v>2748</v>
      </c>
      <c r="E416" s="273" t="s">
        <v>2293</v>
      </c>
      <c r="F416" s="273" t="s">
        <v>2723</v>
      </c>
      <c r="G416" s="272" t="s">
        <v>2251</v>
      </c>
    </row>
    <row r="417" spans="1:7">
      <c r="A417" s="57" t="s">
        <v>2302</v>
      </c>
      <c r="B417" s="57"/>
      <c r="C417" s="57" t="s">
        <v>2292</v>
      </c>
      <c r="D417" s="57" t="s">
        <v>2748</v>
      </c>
      <c r="E417" s="58" t="s">
        <v>2293</v>
      </c>
      <c r="F417" s="58" t="s">
        <v>2723</v>
      </c>
      <c r="G417" s="57" t="s">
        <v>2251</v>
      </c>
    </row>
    <row r="418" spans="1:7" ht="17">
      <c r="A418" s="272" t="s">
        <v>2303</v>
      </c>
      <c r="B418" s="272"/>
      <c r="C418" s="272" t="s">
        <v>2292</v>
      </c>
      <c r="D418" s="272" t="s">
        <v>2748</v>
      </c>
      <c r="E418" s="273" t="s">
        <v>2293</v>
      </c>
      <c r="F418" s="273" t="s">
        <v>2723</v>
      </c>
      <c r="G418" s="272" t="s">
        <v>2251</v>
      </c>
    </row>
    <row r="419" spans="1:7" ht="17">
      <c r="A419" s="272" t="s">
        <v>2304</v>
      </c>
      <c r="B419" s="272"/>
      <c r="C419" s="272" t="s">
        <v>2292</v>
      </c>
      <c r="D419" s="272" t="s">
        <v>2748</v>
      </c>
      <c r="E419" s="273" t="s">
        <v>2293</v>
      </c>
      <c r="F419" s="273" t="s">
        <v>2723</v>
      </c>
      <c r="G419" s="272" t="s">
        <v>2251</v>
      </c>
    </row>
    <row r="420" spans="1:7" ht="17">
      <c r="A420" s="75" t="s">
        <v>2660</v>
      </c>
      <c r="B420" s="75"/>
      <c r="C420" s="75"/>
      <c r="D420" s="75"/>
      <c r="E420" s="76"/>
      <c r="F420" s="75"/>
      <c r="G420" s="75"/>
    </row>
    <row r="421" spans="1:7" ht="17">
      <c r="A421" s="272" t="s">
        <v>2310</v>
      </c>
      <c r="B421" s="272" t="s">
        <v>2291</v>
      </c>
      <c r="C421" s="272" t="s">
        <v>2311</v>
      </c>
      <c r="D421" s="272" t="s">
        <v>2748</v>
      </c>
      <c r="E421" s="273" t="s">
        <v>2312</v>
      </c>
      <c r="F421" s="273" t="s">
        <v>2723</v>
      </c>
      <c r="G421" s="272" t="s">
        <v>2251</v>
      </c>
    </row>
    <row r="422" spans="1:7" ht="17">
      <c r="A422" s="272" t="s">
        <v>2313</v>
      </c>
      <c r="B422" s="272" t="s">
        <v>2291</v>
      </c>
      <c r="C422" s="272" t="s">
        <v>2292</v>
      </c>
      <c r="D422" s="272" t="s">
        <v>2748</v>
      </c>
      <c r="E422" s="273" t="s">
        <v>2293</v>
      </c>
      <c r="F422" s="273" t="s">
        <v>2723</v>
      </c>
      <c r="G422" s="272" t="s">
        <v>2251</v>
      </c>
    </row>
    <row r="423" spans="1:7">
      <c r="A423" s="57" t="s">
        <v>2314</v>
      </c>
      <c r="B423" s="57" t="s">
        <v>2291</v>
      </c>
      <c r="C423" s="57" t="s">
        <v>2292</v>
      </c>
      <c r="D423" s="57" t="s">
        <v>2748</v>
      </c>
      <c r="E423" s="58" t="s">
        <v>2293</v>
      </c>
      <c r="F423" s="58" t="s">
        <v>2723</v>
      </c>
      <c r="G423" s="57" t="s">
        <v>2251</v>
      </c>
    </row>
    <row r="424" spans="1:7" ht="17">
      <c r="A424" s="75" t="s">
        <v>2661</v>
      </c>
      <c r="B424" s="75"/>
      <c r="C424" s="75"/>
      <c r="D424" s="75"/>
      <c r="E424" s="76"/>
      <c r="F424" s="75"/>
      <c r="G424" s="75"/>
    </row>
    <row r="425" spans="1:7" ht="17">
      <c r="A425" s="272" t="s">
        <v>2316</v>
      </c>
      <c r="B425" s="272" t="s">
        <v>2291</v>
      </c>
      <c r="C425" s="272" t="s">
        <v>2292</v>
      </c>
      <c r="D425" s="272" t="s">
        <v>2748</v>
      </c>
      <c r="E425" s="273" t="s">
        <v>2293</v>
      </c>
      <c r="F425" s="273" t="s">
        <v>2723</v>
      </c>
      <c r="G425" s="272" t="s">
        <v>2251</v>
      </c>
    </row>
    <row r="426" spans="1:7" ht="17">
      <c r="A426" s="75" t="s">
        <v>2662</v>
      </c>
      <c r="B426" s="75"/>
      <c r="C426" s="75"/>
      <c r="D426" s="75"/>
      <c r="E426" s="76"/>
      <c r="F426" s="75"/>
      <c r="G426" s="75"/>
    </row>
    <row r="427" spans="1:7" ht="17">
      <c r="A427" s="272" t="s">
        <v>2318</v>
      </c>
      <c r="B427" s="272" t="s">
        <v>2319</v>
      </c>
      <c r="C427" s="272" t="s">
        <v>2285</v>
      </c>
      <c r="D427" s="272" t="s">
        <v>2748</v>
      </c>
      <c r="E427" s="273" t="s">
        <v>2287</v>
      </c>
      <c r="F427" s="273" t="s">
        <v>2723</v>
      </c>
      <c r="G427" s="272" t="s">
        <v>2320</v>
      </c>
    </row>
    <row r="428" spans="1:7" ht="17">
      <c r="A428" s="272" t="s">
        <v>2321</v>
      </c>
      <c r="B428" s="272" t="s">
        <v>2322</v>
      </c>
      <c r="C428" s="272" t="s">
        <v>2285</v>
      </c>
      <c r="D428" s="272" t="s">
        <v>2748</v>
      </c>
      <c r="E428" s="273" t="s">
        <v>2287</v>
      </c>
      <c r="F428" s="273" t="s">
        <v>2723</v>
      </c>
      <c r="G428" s="272" t="s">
        <v>2323</v>
      </c>
    </row>
    <row r="429" spans="1:7" ht="17">
      <c r="A429" s="75" t="s">
        <v>2664</v>
      </c>
      <c r="B429" s="75"/>
      <c r="C429" s="75"/>
      <c r="D429" s="75"/>
      <c r="E429" s="76"/>
      <c r="F429" s="75"/>
      <c r="G429" s="75"/>
    </row>
    <row r="430" spans="1:7">
      <c r="A430" s="57" t="s">
        <v>2333</v>
      </c>
      <c r="B430" s="57" t="s">
        <v>2291</v>
      </c>
      <c r="C430" s="57" t="s">
        <v>2285</v>
      </c>
      <c r="D430" s="57" t="s">
        <v>2748</v>
      </c>
      <c r="E430" s="58" t="s">
        <v>2287</v>
      </c>
      <c r="F430" s="58" t="s">
        <v>2723</v>
      </c>
      <c r="G430" s="57" t="s">
        <v>2251</v>
      </c>
    </row>
    <row r="431" spans="1:7" ht="17">
      <c r="A431" s="272" t="s">
        <v>2334</v>
      </c>
      <c r="B431" s="272" t="s">
        <v>2291</v>
      </c>
      <c r="C431" s="272" t="s">
        <v>2311</v>
      </c>
      <c r="D431" s="272" t="s">
        <v>2748</v>
      </c>
      <c r="E431" s="273" t="s">
        <v>2312</v>
      </c>
      <c r="F431" s="273" t="s">
        <v>2723</v>
      </c>
      <c r="G431" s="272" t="s">
        <v>2335</v>
      </c>
    </row>
    <row r="432" spans="1:7" ht="17">
      <c r="A432" s="75" t="s">
        <v>2749</v>
      </c>
      <c r="B432" s="75"/>
      <c r="C432" s="75"/>
      <c r="D432" s="75"/>
      <c r="E432" s="76"/>
      <c r="F432" s="75"/>
      <c r="G432" s="75"/>
    </row>
    <row r="433" spans="1:7" ht="17">
      <c r="A433" s="274" t="s">
        <v>2529</v>
      </c>
      <c r="B433" s="274" t="s">
        <v>2494</v>
      </c>
      <c r="C433" s="274" t="s">
        <v>2530</v>
      </c>
      <c r="D433" s="274" t="s">
        <v>2748</v>
      </c>
      <c r="E433" s="275" t="s">
        <v>2553</v>
      </c>
      <c r="F433" s="275" t="s">
        <v>2220</v>
      </c>
      <c r="G433" s="274" t="s">
        <v>2532</v>
      </c>
    </row>
    <row r="434" spans="1:7" ht="17">
      <c r="A434" s="272" t="s">
        <v>2734</v>
      </c>
      <c r="B434" s="272"/>
      <c r="C434" s="272" t="s">
        <v>2735</v>
      </c>
      <c r="D434" s="272" t="s">
        <v>2748</v>
      </c>
      <c r="E434" s="273" t="s">
        <v>2736</v>
      </c>
      <c r="F434" s="273" t="s">
        <v>2723</v>
      </c>
      <c r="G434" s="272" t="s">
        <v>2251</v>
      </c>
    </row>
    <row r="435" spans="1:7" ht="17">
      <c r="A435" s="75" t="s">
        <v>2665</v>
      </c>
      <c r="B435" s="75"/>
      <c r="C435" s="75"/>
      <c r="D435" s="75"/>
      <c r="E435" s="76"/>
      <c r="F435" s="75"/>
      <c r="G435" s="75"/>
    </row>
    <row r="436" spans="1:7" ht="17">
      <c r="A436" s="272" t="s">
        <v>2339</v>
      </c>
      <c r="B436" s="272"/>
      <c r="C436" s="272" t="s">
        <v>2285</v>
      </c>
      <c r="D436" s="272" t="s">
        <v>2748</v>
      </c>
      <c r="E436" s="273" t="s">
        <v>2287</v>
      </c>
      <c r="F436" s="273" t="s">
        <v>2723</v>
      </c>
      <c r="G436" s="272" t="s">
        <v>2340</v>
      </c>
    </row>
    <row r="437" spans="1:7">
      <c r="A437" s="57" t="s">
        <v>2345</v>
      </c>
      <c r="B437" s="57" t="s">
        <v>2346</v>
      </c>
      <c r="C437" s="57" t="s">
        <v>2285</v>
      </c>
      <c r="D437" s="57" t="s">
        <v>2748</v>
      </c>
      <c r="E437" s="58" t="s">
        <v>2287</v>
      </c>
      <c r="F437" s="58" t="s">
        <v>2723</v>
      </c>
      <c r="G437" s="57" t="s">
        <v>2347</v>
      </c>
    </row>
    <row r="438" spans="1:7" ht="17">
      <c r="A438" s="272" t="s">
        <v>2348</v>
      </c>
      <c r="B438" s="272"/>
      <c r="C438" s="272" t="s">
        <v>2292</v>
      </c>
      <c r="D438" s="272" t="s">
        <v>2748</v>
      </c>
      <c r="E438" s="273" t="s">
        <v>2293</v>
      </c>
      <c r="F438" s="273" t="s">
        <v>2723</v>
      </c>
      <c r="G438" s="272" t="s">
        <v>2251</v>
      </c>
    </row>
    <row r="439" spans="1:7" ht="17">
      <c r="A439" s="75" t="s">
        <v>2675</v>
      </c>
      <c r="B439" s="75"/>
      <c r="C439" s="75"/>
      <c r="D439" s="75"/>
      <c r="E439" s="76"/>
      <c r="F439" s="75"/>
      <c r="G439" s="75"/>
    </row>
    <row r="440" spans="1:7" ht="17">
      <c r="A440" s="272" t="s">
        <v>2355</v>
      </c>
      <c r="B440" s="272" t="s">
        <v>2356</v>
      </c>
      <c r="C440" s="272" t="s">
        <v>1565</v>
      </c>
      <c r="D440" s="272" t="s">
        <v>2750</v>
      </c>
      <c r="E440" s="273" t="s">
        <v>108</v>
      </c>
      <c r="F440" s="273" t="s">
        <v>2723</v>
      </c>
      <c r="G440" s="272" t="s">
        <v>2358</v>
      </c>
    </row>
    <row r="441" spans="1:7" ht="17">
      <c r="A441" s="274" t="s">
        <v>2516</v>
      </c>
      <c r="B441" s="274" t="s">
        <v>2291</v>
      </c>
      <c r="C441" s="274" t="s">
        <v>1215</v>
      </c>
      <c r="D441" s="274" t="s">
        <v>2750</v>
      </c>
      <c r="E441" s="275" t="s">
        <v>1215</v>
      </c>
      <c r="F441" s="275" t="s">
        <v>2231</v>
      </c>
      <c r="G441" s="274" t="s">
        <v>2251</v>
      </c>
    </row>
    <row r="442" spans="1:7">
      <c r="A442" s="57" t="s">
        <v>2398</v>
      </c>
      <c r="B442" s="57"/>
      <c r="C442" s="57" t="s">
        <v>2399</v>
      </c>
      <c r="D442" s="57" t="s">
        <v>2750</v>
      </c>
      <c r="E442" s="58" t="s">
        <v>2399</v>
      </c>
      <c r="F442" s="58" t="s">
        <v>2723</v>
      </c>
      <c r="G442" s="57" t="s">
        <v>2251</v>
      </c>
    </row>
    <row r="443" spans="1:7" ht="17">
      <c r="A443" s="272" t="s">
        <v>2400</v>
      </c>
      <c r="B443" s="272" t="s">
        <v>2284</v>
      </c>
      <c r="C443" s="272" t="s">
        <v>108</v>
      </c>
      <c r="D443" s="272" t="s">
        <v>2750</v>
      </c>
      <c r="E443" s="273" t="s">
        <v>108</v>
      </c>
      <c r="F443" s="273" t="s">
        <v>2723</v>
      </c>
      <c r="G443" s="272" t="s">
        <v>2251</v>
      </c>
    </row>
    <row r="444" spans="1:7">
      <c r="A444" s="57" t="s">
        <v>2401</v>
      </c>
      <c r="B444" s="57" t="s">
        <v>2402</v>
      </c>
      <c r="C444" s="57" t="s">
        <v>2403</v>
      </c>
      <c r="D444" s="57" t="s">
        <v>2750</v>
      </c>
      <c r="E444" s="58" t="s">
        <v>2403</v>
      </c>
      <c r="F444" s="58" t="s">
        <v>2723</v>
      </c>
      <c r="G444" s="57" t="s">
        <v>2404</v>
      </c>
    </row>
    <row r="445" spans="1:7" ht="17">
      <c r="A445" s="272" t="s">
        <v>2405</v>
      </c>
      <c r="B445" s="272"/>
      <c r="C445" s="272" t="s">
        <v>108</v>
      </c>
      <c r="D445" s="272" t="s">
        <v>2750</v>
      </c>
      <c r="E445" s="273" t="s">
        <v>108</v>
      </c>
      <c r="F445" s="273" t="s">
        <v>2723</v>
      </c>
      <c r="G445" s="272" t="s">
        <v>2251</v>
      </c>
    </row>
    <row r="446" spans="1:7" ht="17">
      <c r="A446" s="75" t="s">
        <v>2676</v>
      </c>
      <c r="B446" s="75"/>
      <c r="C446" s="75"/>
      <c r="D446" s="75"/>
      <c r="E446" s="76"/>
      <c r="F446" s="75"/>
      <c r="G446" s="75"/>
    </row>
    <row r="447" spans="1:7" ht="17">
      <c r="A447" s="272" t="s">
        <v>2407</v>
      </c>
      <c r="B447" s="272" t="s">
        <v>2296</v>
      </c>
      <c r="C447" s="272" t="s">
        <v>108</v>
      </c>
      <c r="D447" s="272" t="s">
        <v>2750</v>
      </c>
      <c r="E447" s="273" t="s">
        <v>108</v>
      </c>
      <c r="F447" s="273" t="s">
        <v>2723</v>
      </c>
      <c r="G447" s="272" t="s">
        <v>2251</v>
      </c>
    </row>
    <row r="448" spans="1:7">
      <c r="A448" s="57" t="s">
        <v>2409</v>
      </c>
      <c r="B448" s="57" t="s">
        <v>2410</v>
      </c>
      <c r="C448" s="57" t="s">
        <v>108</v>
      </c>
      <c r="D448" s="57" t="s">
        <v>2750</v>
      </c>
      <c r="E448" s="58" t="s">
        <v>108</v>
      </c>
      <c r="F448" s="58" t="s">
        <v>2723</v>
      </c>
      <c r="G448" s="57" t="s">
        <v>2411</v>
      </c>
    </row>
    <row r="449" spans="1:7" ht="17">
      <c r="A449" s="272" t="s">
        <v>2412</v>
      </c>
      <c r="B449" s="272" t="s">
        <v>2410</v>
      </c>
      <c r="C449" s="272" t="s">
        <v>108</v>
      </c>
      <c r="D449" s="272" t="s">
        <v>2750</v>
      </c>
      <c r="E449" s="273" t="s">
        <v>108</v>
      </c>
      <c r="F449" s="273" t="s">
        <v>2723</v>
      </c>
      <c r="G449" s="272" t="s">
        <v>2251</v>
      </c>
    </row>
    <row r="450" spans="1:7">
      <c r="A450" s="57" t="s">
        <v>2290</v>
      </c>
      <c r="B450" s="57" t="s">
        <v>2291</v>
      </c>
      <c r="C450" s="57" t="s">
        <v>2292</v>
      </c>
      <c r="D450" s="57" t="s">
        <v>2750</v>
      </c>
      <c r="E450" s="58" t="s">
        <v>2446</v>
      </c>
      <c r="F450" s="58" t="s">
        <v>2723</v>
      </c>
      <c r="G450" s="57" t="s">
        <v>2251</v>
      </c>
    </row>
    <row r="451" spans="1:7" ht="17">
      <c r="A451" s="272" t="s">
        <v>2414</v>
      </c>
      <c r="B451" s="272" t="s">
        <v>2415</v>
      </c>
      <c r="C451" s="272" t="s">
        <v>108</v>
      </c>
      <c r="D451" s="272" t="s">
        <v>2750</v>
      </c>
      <c r="E451" s="273" t="s">
        <v>108</v>
      </c>
      <c r="F451" s="273" t="s">
        <v>2723</v>
      </c>
      <c r="G451" s="272" t="s">
        <v>2416</v>
      </c>
    </row>
    <row r="452" spans="1:7" ht="17">
      <c r="A452" s="75" t="s">
        <v>2677</v>
      </c>
      <c r="B452" s="75"/>
      <c r="C452" s="75"/>
      <c r="D452" s="75"/>
      <c r="E452" s="76"/>
      <c r="F452" s="75"/>
      <c r="G452" s="75"/>
    </row>
    <row r="453" spans="1:7" ht="17">
      <c r="A453" s="272" t="s">
        <v>2418</v>
      </c>
      <c r="B453" s="272" t="s">
        <v>2363</v>
      </c>
      <c r="C453" s="272" t="s">
        <v>108</v>
      </c>
      <c r="D453" s="272" t="s">
        <v>2750</v>
      </c>
      <c r="E453" s="273" t="s">
        <v>108</v>
      </c>
      <c r="F453" s="273" t="s">
        <v>2723</v>
      </c>
      <c r="G453" s="272" t="s">
        <v>2251</v>
      </c>
    </row>
    <row r="454" spans="1:7">
      <c r="A454" s="57" t="s">
        <v>2362</v>
      </c>
      <c r="B454" s="57" t="s">
        <v>2363</v>
      </c>
      <c r="C454" s="57" t="s">
        <v>2364</v>
      </c>
      <c r="D454" s="57" t="s">
        <v>2750</v>
      </c>
      <c r="E454" s="58" t="s">
        <v>2718</v>
      </c>
      <c r="F454" s="58" t="s">
        <v>2723</v>
      </c>
      <c r="G454" s="57" t="s">
        <v>2251</v>
      </c>
    </row>
    <row r="455" spans="1:7" ht="17">
      <c r="A455" s="272" t="s">
        <v>2420</v>
      </c>
      <c r="B455" s="272" t="s">
        <v>2363</v>
      </c>
      <c r="C455" s="272" t="s">
        <v>2421</v>
      </c>
      <c r="D455" s="272" t="s">
        <v>2750</v>
      </c>
      <c r="E455" s="273" t="s">
        <v>108</v>
      </c>
      <c r="F455" s="273" t="s">
        <v>2723</v>
      </c>
      <c r="G455" s="272" t="s">
        <v>2422</v>
      </c>
    </row>
    <row r="456" spans="1:7" ht="17">
      <c r="A456" s="272" t="s">
        <v>2423</v>
      </c>
      <c r="B456" s="272" t="s">
        <v>2363</v>
      </c>
      <c r="C456" s="272" t="s">
        <v>108</v>
      </c>
      <c r="D456" s="272" t="s">
        <v>2750</v>
      </c>
      <c r="E456" s="273" t="s">
        <v>108</v>
      </c>
      <c r="F456" s="273" t="s">
        <v>2723</v>
      </c>
      <c r="G456" s="272" t="s">
        <v>2251</v>
      </c>
    </row>
    <row r="457" spans="1:7" ht="17">
      <c r="A457" s="75" t="s">
        <v>2678</v>
      </c>
      <c r="B457" s="75"/>
      <c r="C457" s="75"/>
      <c r="D457" s="75"/>
      <c r="E457" s="76"/>
      <c r="F457" s="75"/>
      <c r="G457" s="75"/>
    </row>
    <row r="458" spans="1:7" ht="17">
      <c r="A458" s="272" t="s">
        <v>2425</v>
      </c>
      <c r="B458" s="272" t="s">
        <v>2426</v>
      </c>
      <c r="C458" s="272" t="s">
        <v>2427</v>
      </c>
      <c r="D458" s="272" t="s">
        <v>2750</v>
      </c>
      <c r="E458" s="273" t="s">
        <v>108</v>
      </c>
      <c r="F458" s="273" t="s">
        <v>2723</v>
      </c>
      <c r="G458" s="272" t="s">
        <v>2251</v>
      </c>
    </row>
    <row r="459" spans="1:7">
      <c r="A459" s="57" t="s">
        <v>2428</v>
      </c>
      <c r="B459" s="57" t="s">
        <v>2426</v>
      </c>
      <c r="C459" s="57" t="s">
        <v>2429</v>
      </c>
      <c r="D459" s="57" t="s">
        <v>2750</v>
      </c>
      <c r="E459" s="58" t="s">
        <v>108</v>
      </c>
      <c r="F459" s="58" t="s">
        <v>2723</v>
      </c>
      <c r="G459" s="57" t="s">
        <v>2251</v>
      </c>
    </row>
    <row r="460" spans="1:7" ht="17">
      <c r="A460" s="272" t="s">
        <v>2430</v>
      </c>
      <c r="B460" s="272" t="s">
        <v>2431</v>
      </c>
      <c r="C460" s="272" t="s">
        <v>108</v>
      </c>
      <c r="D460" s="272" t="s">
        <v>2750</v>
      </c>
      <c r="E460" s="273" t="s">
        <v>108</v>
      </c>
      <c r="F460" s="273" t="s">
        <v>2723</v>
      </c>
      <c r="G460" s="272" t="s">
        <v>2432</v>
      </c>
    </row>
    <row r="461" spans="1:7" ht="17">
      <c r="A461" s="272" t="s">
        <v>2433</v>
      </c>
      <c r="B461" s="272" t="s">
        <v>2431</v>
      </c>
      <c r="C461" s="272" t="s">
        <v>108</v>
      </c>
      <c r="D461" s="272" t="s">
        <v>2750</v>
      </c>
      <c r="E461" s="273" t="s">
        <v>108</v>
      </c>
      <c r="F461" s="273" t="s">
        <v>2723</v>
      </c>
      <c r="G461" s="272" t="s">
        <v>2251</v>
      </c>
    </row>
    <row r="462" spans="1:7" ht="17">
      <c r="A462" s="75" t="s">
        <v>2679</v>
      </c>
      <c r="B462" s="75"/>
      <c r="C462" s="75"/>
      <c r="D462" s="75"/>
      <c r="E462" s="76"/>
      <c r="F462" s="75"/>
      <c r="G462" s="75"/>
    </row>
    <row r="463" spans="1:7" ht="17">
      <c r="A463" s="272" t="s">
        <v>2435</v>
      </c>
      <c r="B463" s="272" t="s">
        <v>2436</v>
      </c>
      <c r="C463" s="272" t="s">
        <v>108</v>
      </c>
      <c r="D463" s="272" t="s">
        <v>2750</v>
      </c>
      <c r="E463" s="273" t="s">
        <v>108</v>
      </c>
      <c r="F463" s="273" t="s">
        <v>2723</v>
      </c>
      <c r="G463" s="272" t="s">
        <v>2437</v>
      </c>
    </row>
    <row r="464" spans="1:7">
      <c r="A464" s="57" t="s">
        <v>2295</v>
      </c>
      <c r="B464" s="57" t="s">
        <v>2296</v>
      </c>
      <c r="C464" s="57" t="s">
        <v>2297</v>
      </c>
      <c r="D464" s="57" t="s">
        <v>2750</v>
      </c>
      <c r="E464" s="58" t="s">
        <v>2446</v>
      </c>
      <c r="F464" s="58" t="s">
        <v>2723</v>
      </c>
      <c r="G464" s="57" t="s">
        <v>2251</v>
      </c>
    </row>
    <row r="465" spans="1:7">
      <c r="A465" s="57" t="s">
        <v>2298</v>
      </c>
      <c r="B465" s="57" t="s">
        <v>2296</v>
      </c>
      <c r="C465" s="57" t="s">
        <v>2292</v>
      </c>
      <c r="D465" s="57" t="s">
        <v>2750</v>
      </c>
      <c r="E465" s="58" t="s">
        <v>2446</v>
      </c>
      <c r="F465" s="58" t="s">
        <v>2723</v>
      </c>
      <c r="G465" s="57" t="s">
        <v>2251</v>
      </c>
    </row>
    <row r="466" spans="1:7" ht="17">
      <c r="A466" s="272" t="s">
        <v>2299</v>
      </c>
      <c r="B466" s="272" t="s">
        <v>2296</v>
      </c>
      <c r="C466" s="272" t="s">
        <v>2292</v>
      </c>
      <c r="D466" s="272" t="s">
        <v>2750</v>
      </c>
      <c r="E466" s="273" t="s">
        <v>2446</v>
      </c>
      <c r="F466" s="273" t="s">
        <v>2723</v>
      </c>
      <c r="G466" s="272" t="s">
        <v>2251</v>
      </c>
    </row>
    <row r="467" spans="1:7">
      <c r="A467" s="57" t="s">
        <v>2300</v>
      </c>
      <c r="B467" s="57" t="s">
        <v>2301</v>
      </c>
      <c r="C467" s="57" t="s">
        <v>2292</v>
      </c>
      <c r="D467" s="57" t="s">
        <v>2750</v>
      </c>
      <c r="E467" s="58" t="s">
        <v>2446</v>
      </c>
      <c r="F467" s="58" t="s">
        <v>2723</v>
      </c>
      <c r="G467" s="57" t="s">
        <v>2251</v>
      </c>
    </row>
    <row r="468" spans="1:7" ht="17">
      <c r="A468" s="272" t="s">
        <v>2302</v>
      </c>
      <c r="B468" s="272"/>
      <c r="C468" s="272" t="s">
        <v>2292</v>
      </c>
      <c r="D468" s="272" t="s">
        <v>2750</v>
      </c>
      <c r="E468" s="273" t="s">
        <v>2446</v>
      </c>
      <c r="F468" s="273" t="s">
        <v>2723</v>
      </c>
      <c r="G468" s="272" t="s">
        <v>2251</v>
      </c>
    </row>
    <row r="469" spans="1:7">
      <c r="A469" s="57" t="s">
        <v>2303</v>
      </c>
      <c r="B469" s="57"/>
      <c r="C469" s="57" t="s">
        <v>2292</v>
      </c>
      <c r="D469" s="57" t="s">
        <v>2750</v>
      </c>
      <c r="E469" s="58" t="s">
        <v>2446</v>
      </c>
      <c r="F469" s="58" t="s">
        <v>2723</v>
      </c>
      <c r="G469" s="57" t="s">
        <v>2251</v>
      </c>
    </row>
    <row r="470" spans="1:7">
      <c r="A470" s="57" t="s">
        <v>2304</v>
      </c>
      <c r="B470" s="57"/>
      <c r="C470" s="57" t="s">
        <v>2292</v>
      </c>
      <c r="D470" s="57" t="s">
        <v>2750</v>
      </c>
      <c r="E470" s="58" t="s">
        <v>2446</v>
      </c>
      <c r="F470" s="58" t="s">
        <v>2723</v>
      </c>
      <c r="G470" s="57" t="s">
        <v>2251</v>
      </c>
    </row>
    <row r="471" spans="1:7" ht="17">
      <c r="A471" s="75" t="s">
        <v>2680</v>
      </c>
      <c r="B471" s="75"/>
      <c r="C471" s="75"/>
      <c r="D471" s="75"/>
      <c r="E471" s="76"/>
      <c r="F471" s="75"/>
      <c r="G471" s="75"/>
    </row>
    <row r="472" spans="1:7">
      <c r="A472" s="57" t="s">
        <v>2439</v>
      </c>
      <c r="B472" s="57" t="s">
        <v>2440</v>
      </c>
      <c r="C472" s="57" t="s">
        <v>108</v>
      </c>
      <c r="D472" s="57" t="s">
        <v>2750</v>
      </c>
      <c r="E472" s="58" t="s">
        <v>108</v>
      </c>
      <c r="F472" s="58" t="s">
        <v>2723</v>
      </c>
      <c r="G472" s="57" t="s">
        <v>2251</v>
      </c>
    </row>
    <row r="473" spans="1:7" ht="17">
      <c r="A473" s="272" t="s">
        <v>2441</v>
      </c>
      <c r="B473" s="272" t="s">
        <v>2442</v>
      </c>
      <c r="C473" s="272" t="s">
        <v>2427</v>
      </c>
      <c r="D473" s="272" t="s">
        <v>2750</v>
      </c>
      <c r="E473" s="273" t="s">
        <v>108</v>
      </c>
      <c r="F473" s="273" t="s">
        <v>2723</v>
      </c>
      <c r="G473" s="272" t="s">
        <v>2251</v>
      </c>
    </row>
    <row r="474" spans="1:7" ht="17">
      <c r="A474" s="272" t="s">
        <v>2443</v>
      </c>
      <c r="B474" s="272" t="s">
        <v>2440</v>
      </c>
      <c r="C474" s="272" t="s">
        <v>2444</v>
      </c>
      <c r="D474" s="272" t="s">
        <v>2750</v>
      </c>
      <c r="E474" s="273" t="s">
        <v>108</v>
      </c>
      <c r="F474" s="273" t="s">
        <v>2723</v>
      </c>
      <c r="G474" s="272" t="s">
        <v>2445</v>
      </c>
    </row>
    <row r="475" spans="1:7">
      <c r="A475" s="57" t="s">
        <v>2306</v>
      </c>
      <c r="B475" s="57" t="s">
        <v>2291</v>
      </c>
      <c r="C475" s="57" t="s">
        <v>2307</v>
      </c>
      <c r="D475" s="57" t="s">
        <v>2750</v>
      </c>
      <c r="E475" s="58" t="s">
        <v>108</v>
      </c>
      <c r="F475" s="58" t="s">
        <v>2723</v>
      </c>
      <c r="G475" s="57" t="s">
        <v>2251</v>
      </c>
    </row>
    <row r="476" spans="1:7" ht="17">
      <c r="A476" s="272" t="s">
        <v>2313</v>
      </c>
      <c r="B476" s="272" t="s">
        <v>2291</v>
      </c>
      <c r="C476" s="272" t="s">
        <v>2292</v>
      </c>
      <c r="D476" s="272" t="s">
        <v>2750</v>
      </c>
      <c r="E476" s="273" t="s">
        <v>2446</v>
      </c>
      <c r="F476" s="273" t="s">
        <v>2723</v>
      </c>
      <c r="G476" s="272" t="s">
        <v>2251</v>
      </c>
    </row>
    <row r="477" spans="1:7" ht="17">
      <c r="A477" s="272" t="s">
        <v>2314</v>
      </c>
      <c r="B477" s="272" t="s">
        <v>2291</v>
      </c>
      <c r="C477" s="272" t="s">
        <v>2292</v>
      </c>
      <c r="D477" s="272" t="s">
        <v>2750</v>
      </c>
      <c r="E477" s="273" t="s">
        <v>2446</v>
      </c>
      <c r="F477" s="273" t="s">
        <v>2723</v>
      </c>
      <c r="G477" s="272" t="s">
        <v>2251</v>
      </c>
    </row>
    <row r="478" spans="1:7" ht="17">
      <c r="A478" s="272" t="s">
        <v>2447</v>
      </c>
      <c r="B478" s="272" t="s">
        <v>2440</v>
      </c>
      <c r="C478" s="272" t="s">
        <v>2403</v>
      </c>
      <c r="D478" s="272" t="s">
        <v>2750</v>
      </c>
      <c r="E478" s="273" t="s">
        <v>2403</v>
      </c>
      <c r="F478" s="273" t="s">
        <v>2723</v>
      </c>
      <c r="G478" s="272" t="s">
        <v>2251</v>
      </c>
    </row>
    <row r="479" spans="1:7" ht="17">
      <c r="A479" s="272" t="s">
        <v>2448</v>
      </c>
      <c r="B479" s="272" t="s">
        <v>2449</v>
      </c>
      <c r="C479" s="272" t="s">
        <v>108</v>
      </c>
      <c r="D479" s="272" t="s">
        <v>2750</v>
      </c>
      <c r="E479" s="273" t="s">
        <v>108</v>
      </c>
      <c r="F479" s="273" t="s">
        <v>2723</v>
      </c>
      <c r="G479" s="272" t="s">
        <v>2251</v>
      </c>
    </row>
    <row r="480" spans="1:7" ht="17">
      <c r="A480" s="75" t="s">
        <v>2684</v>
      </c>
      <c r="B480" s="75"/>
      <c r="C480" s="75"/>
      <c r="D480" s="75"/>
      <c r="E480" s="76"/>
      <c r="F480" s="75"/>
      <c r="G480" s="75"/>
    </row>
    <row r="481" spans="1:7">
      <c r="A481" s="57" t="s">
        <v>2451</v>
      </c>
      <c r="B481" s="57"/>
      <c r="C481" s="57" t="s">
        <v>2403</v>
      </c>
      <c r="D481" s="57" t="s">
        <v>2750</v>
      </c>
      <c r="E481" s="58" t="s">
        <v>2403</v>
      </c>
      <c r="F481" s="58" t="s">
        <v>2723</v>
      </c>
      <c r="G481" s="57" t="s">
        <v>2251</v>
      </c>
    </row>
    <row r="482" spans="1:7" ht="17">
      <c r="A482" s="272" t="s">
        <v>2375</v>
      </c>
      <c r="B482" s="272"/>
      <c r="C482" s="272" t="s">
        <v>2376</v>
      </c>
      <c r="D482" s="272" t="s">
        <v>2750</v>
      </c>
      <c r="E482" s="273" t="s">
        <v>2403</v>
      </c>
      <c r="F482" s="273" t="s">
        <v>2723</v>
      </c>
      <c r="G482" s="272" t="s">
        <v>2251</v>
      </c>
    </row>
    <row r="483" spans="1:7" ht="17">
      <c r="A483" s="272" t="s">
        <v>2452</v>
      </c>
      <c r="B483" s="272" t="s">
        <v>2440</v>
      </c>
      <c r="C483" s="272" t="s">
        <v>108</v>
      </c>
      <c r="D483" s="272" t="s">
        <v>2750</v>
      </c>
      <c r="E483" s="273" t="s">
        <v>108</v>
      </c>
      <c r="F483" s="273" t="s">
        <v>2723</v>
      </c>
      <c r="G483" s="272" t="s">
        <v>2251</v>
      </c>
    </row>
    <row r="484" spans="1:7">
      <c r="A484" s="57" t="s">
        <v>2453</v>
      </c>
      <c r="B484" s="57" t="s">
        <v>2440</v>
      </c>
      <c r="C484" s="57" t="s">
        <v>108</v>
      </c>
      <c r="D484" s="57" t="s">
        <v>2750</v>
      </c>
      <c r="E484" s="58" t="s">
        <v>108</v>
      </c>
      <c r="F484" s="58" t="s">
        <v>2723</v>
      </c>
      <c r="G484" s="57" t="s">
        <v>2251</v>
      </c>
    </row>
    <row r="485" spans="1:7">
      <c r="A485" s="57" t="s">
        <v>2454</v>
      </c>
      <c r="B485" s="57" t="s">
        <v>2301</v>
      </c>
      <c r="C485" s="57" t="s">
        <v>108</v>
      </c>
      <c r="D485" s="57" t="s">
        <v>2750</v>
      </c>
      <c r="E485" s="58" t="s">
        <v>108</v>
      </c>
      <c r="F485" s="58" t="s">
        <v>2723</v>
      </c>
      <c r="G485" s="57" t="s">
        <v>2251</v>
      </c>
    </row>
    <row r="486" spans="1:7">
      <c r="A486" s="57" t="s">
        <v>2455</v>
      </c>
      <c r="B486" s="57" t="s">
        <v>2456</v>
      </c>
      <c r="C486" s="57" t="s">
        <v>2403</v>
      </c>
      <c r="D486" s="57" t="s">
        <v>2750</v>
      </c>
      <c r="E486" s="58" t="s">
        <v>2403</v>
      </c>
      <c r="F486" s="58" t="s">
        <v>2723</v>
      </c>
      <c r="G486" s="57" t="s">
        <v>2251</v>
      </c>
    </row>
    <row r="487" spans="1:7" ht="17">
      <c r="A487" s="272" t="s">
        <v>2457</v>
      </c>
      <c r="B487" s="272" t="s">
        <v>2456</v>
      </c>
      <c r="C487" s="272" t="s">
        <v>2403</v>
      </c>
      <c r="D487" s="272" t="s">
        <v>2750</v>
      </c>
      <c r="E487" s="273" t="s">
        <v>2403</v>
      </c>
      <c r="F487" s="273" t="s">
        <v>2723</v>
      </c>
      <c r="G487" s="272" t="s">
        <v>2251</v>
      </c>
    </row>
    <row r="488" spans="1:7">
      <c r="A488" s="57" t="s">
        <v>2316</v>
      </c>
      <c r="B488" s="57" t="s">
        <v>2291</v>
      </c>
      <c r="C488" s="57" t="s">
        <v>2292</v>
      </c>
      <c r="D488" s="57" t="s">
        <v>2750</v>
      </c>
      <c r="E488" s="58" t="s">
        <v>2446</v>
      </c>
      <c r="F488" s="58" t="s">
        <v>2723</v>
      </c>
      <c r="G488" s="57" t="s">
        <v>2251</v>
      </c>
    </row>
    <row r="489" spans="1:7" ht="17">
      <c r="A489" s="272" t="s">
        <v>2458</v>
      </c>
      <c r="B489" s="272" t="s">
        <v>2456</v>
      </c>
      <c r="C489" s="272" t="s">
        <v>108</v>
      </c>
      <c r="D489" s="272" t="s">
        <v>2750</v>
      </c>
      <c r="E489" s="273" t="s">
        <v>108</v>
      </c>
      <c r="F489" s="273" t="s">
        <v>2723</v>
      </c>
      <c r="G489" s="272" t="s">
        <v>2459</v>
      </c>
    </row>
    <row r="490" spans="1:7" ht="17">
      <c r="A490" s="75" t="s">
        <v>2685</v>
      </c>
      <c r="B490" s="75"/>
      <c r="C490" s="75"/>
      <c r="D490" s="75"/>
      <c r="E490" s="76"/>
      <c r="F490" s="75"/>
      <c r="G490" s="75"/>
    </row>
    <row r="491" spans="1:7">
      <c r="A491" s="57" t="s">
        <v>2461</v>
      </c>
      <c r="B491" s="57" t="s">
        <v>2462</v>
      </c>
      <c r="C491" s="57" t="s">
        <v>108</v>
      </c>
      <c r="D491" s="57" t="s">
        <v>2750</v>
      </c>
      <c r="E491" s="58" t="s">
        <v>108</v>
      </c>
      <c r="F491" s="58" t="s">
        <v>2723</v>
      </c>
      <c r="G491" s="57" t="s">
        <v>2251</v>
      </c>
    </row>
    <row r="492" spans="1:7">
      <c r="A492" s="57" t="s">
        <v>2463</v>
      </c>
      <c r="B492" s="57" t="s">
        <v>2464</v>
      </c>
      <c r="C492" s="57" t="s">
        <v>108</v>
      </c>
      <c r="D492" s="57" t="s">
        <v>2750</v>
      </c>
      <c r="E492" s="58" t="s">
        <v>108</v>
      </c>
      <c r="F492" s="58" t="s">
        <v>2723</v>
      </c>
      <c r="G492" s="57" t="s">
        <v>2251</v>
      </c>
    </row>
    <row r="493" spans="1:7" ht="17">
      <c r="A493" s="272" t="s">
        <v>2465</v>
      </c>
      <c r="B493" s="272" t="s">
        <v>2464</v>
      </c>
      <c r="C493" s="272" t="s">
        <v>108</v>
      </c>
      <c r="D493" s="272" t="s">
        <v>2750</v>
      </c>
      <c r="E493" s="273" t="s">
        <v>108</v>
      </c>
      <c r="F493" s="273" t="s">
        <v>2723</v>
      </c>
      <c r="G493" s="272" t="s">
        <v>2251</v>
      </c>
    </row>
    <row r="494" spans="1:7" ht="17">
      <c r="A494" s="75" t="s">
        <v>2686</v>
      </c>
      <c r="B494" s="75"/>
      <c r="C494" s="75"/>
      <c r="D494" s="75"/>
      <c r="E494" s="76"/>
      <c r="F494" s="75"/>
      <c r="G494" s="75"/>
    </row>
    <row r="495" spans="1:7" ht="17">
      <c r="A495" s="272" t="s">
        <v>2467</v>
      </c>
      <c r="B495" s="272" t="s">
        <v>2319</v>
      </c>
      <c r="C495" s="272" t="s">
        <v>2403</v>
      </c>
      <c r="D495" s="272" t="s">
        <v>2750</v>
      </c>
      <c r="E495" s="273" t="s">
        <v>2403</v>
      </c>
      <c r="F495" s="273" t="s">
        <v>2723</v>
      </c>
      <c r="G495" s="272" t="s">
        <v>2468</v>
      </c>
    </row>
    <row r="496" spans="1:7">
      <c r="A496" s="57" t="s">
        <v>2469</v>
      </c>
      <c r="B496" s="57" t="s">
        <v>2382</v>
      </c>
      <c r="C496" s="57" t="s">
        <v>108</v>
      </c>
      <c r="D496" s="57" t="s">
        <v>2750</v>
      </c>
      <c r="E496" s="58" t="s">
        <v>108</v>
      </c>
      <c r="F496" s="58" t="s">
        <v>2723</v>
      </c>
      <c r="G496" s="57" t="s">
        <v>2470</v>
      </c>
    </row>
    <row r="497" spans="1:7" ht="17">
      <c r="A497" s="272" t="s">
        <v>2471</v>
      </c>
      <c r="B497" s="272" t="s">
        <v>2379</v>
      </c>
      <c r="C497" s="272" t="s">
        <v>108</v>
      </c>
      <c r="D497" s="272" t="s">
        <v>2750</v>
      </c>
      <c r="E497" s="273" t="s">
        <v>108</v>
      </c>
      <c r="F497" s="273" t="s">
        <v>2723</v>
      </c>
      <c r="G497" s="272" t="s">
        <v>2472</v>
      </c>
    </row>
    <row r="498" spans="1:7">
      <c r="A498" s="57" t="s">
        <v>2473</v>
      </c>
      <c r="B498" s="57" t="s">
        <v>2474</v>
      </c>
      <c r="C498" s="57" t="s">
        <v>108</v>
      </c>
      <c r="D498" s="57" t="s">
        <v>2750</v>
      </c>
      <c r="E498" s="58" t="s">
        <v>108</v>
      </c>
      <c r="F498" s="58" t="s">
        <v>2723</v>
      </c>
      <c r="G498" s="57" t="s">
        <v>2475</v>
      </c>
    </row>
    <row r="499" spans="1:7" ht="17">
      <c r="A499" s="75" t="s">
        <v>2687</v>
      </c>
      <c r="B499" s="75"/>
      <c r="C499" s="75"/>
      <c r="D499" s="75"/>
      <c r="E499" s="76"/>
      <c r="F499" s="75"/>
      <c r="G499" s="75"/>
    </row>
    <row r="500" spans="1:7" ht="17">
      <c r="A500" s="272" t="s">
        <v>2477</v>
      </c>
      <c r="B500" s="272" t="s">
        <v>2382</v>
      </c>
      <c r="C500" s="272" t="s">
        <v>108</v>
      </c>
      <c r="D500" s="272" t="s">
        <v>2750</v>
      </c>
      <c r="E500" s="273" t="s">
        <v>108</v>
      </c>
      <c r="F500" s="273" t="s">
        <v>2723</v>
      </c>
      <c r="G500" s="272" t="s">
        <v>2478</v>
      </c>
    </row>
    <row r="501" spans="1:7" ht="17">
      <c r="A501" s="272" t="s">
        <v>2479</v>
      </c>
      <c r="B501" s="272" t="s">
        <v>2480</v>
      </c>
      <c r="C501" s="272" t="s">
        <v>108</v>
      </c>
      <c r="D501" s="272" t="s">
        <v>2750</v>
      </c>
      <c r="E501" s="273" t="s">
        <v>108</v>
      </c>
      <c r="F501" s="273" t="s">
        <v>2723</v>
      </c>
      <c r="G501" s="272" t="s">
        <v>2481</v>
      </c>
    </row>
    <row r="502" spans="1:7" ht="17">
      <c r="A502" s="272" t="s">
        <v>2482</v>
      </c>
      <c r="B502" s="272" t="s">
        <v>2480</v>
      </c>
      <c r="C502" s="272" t="s">
        <v>108</v>
      </c>
      <c r="D502" s="272" t="s">
        <v>2750</v>
      </c>
      <c r="E502" s="273" t="s">
        <v>108</v>
      </c>
      <c r="F502" s="273" t="s">
        <v>2723</v>
      </c>
      <c r="G502" s="272" t="s">
        <v>2483</v>
      </c>
    </row>
    <row r="503" spans="1:7">
      <c r="A503" s="57" t="s">
        <v>2484</v>
      </c>
      <c r="B503" s="57" t="s">
        <v>2382</v>
      </c>
      <c r="C503" s="57" t="s">
        <v>2403</v>
      </c>
      <c r="D503" s="57" t="s">
        <v>2750</v>
      </c>
      <c r="E503" s="58" t="s">
        <v>2403</v>
      </c>
      <c r="F503" s="58" t="s">
        <v>2723</v>
      </c>
      <c r="G503" s="57" t="s">
        <v>2251</v>
      </c>
    </row>
    <row r="504" spans="1:7">
      <c r="A504" s="57" t="s">
        <v>2485</v>
      </c>
      <c r="B504" s="57" t="s">
        <v>2486</v>
      </c>
      <c r="C504" s="57" t="s">
        <v>2487</v>
      </c>
      <c r="D504" s="57" t="s">
        <v>2750</v>
      </c>
      <c r="E504" s="58" t="s">
        <v>108</v>
      </c>
      <c r="F504" s="58" t="s">
        <v>2723</v>
      </c>
      <c r="G504" s="57" t="s">
        <v>2251</v>
      </c>
    </row>
    <row r="505" spans="1:7" ht="17">
      <c r="A505" s="75" t="s">
        <v>2688</v>
      </c>
      <c r="B505" s="75"/>
      <c r="C505" s="75"/>
      <c r="D505" s="75"/>
      <c r="E505" s="76"/>
      <c r="F505" s="75"/>
      <c r="G505" s="75"/>
    </row>
    <row r="506" spans="1:7" ht="17">
      <c r="A506" s="272" t="s">
        <v>2489</v>
      </c>
      <c r="B506" s="272" t="s">
        <v>2490</v>
      </c>
      <c r="C506" s="272" t="s">
        <v>108</v>
      </c>
      <c r="D506" s="272" t="s">
        <v>2750</v>
      </c>
      <c r="E506" s="273" t="s">
        <v>108</v>
      </c>
      <c r="F506" s="273" t="s">
        <v>2723</v>
      </c>
      <c r="G506" s="272" t="s">
        <v>2251</v>
      </c>
    </row>
    <row r="507" spans="1:7">
      <c r="A507" s="57" t="s">
        <v>2491</v>
      </c>
      <c r="B507" s="57" t="s">
        <v>2490</v>
      </c>
      <c r="C507" s="57" t="s">
        <v>2403</v>
      </c>
      <c r="D507" s="57" t="s">
        <v>2750</v>
      </c>
      <c r="E507" s="58" t="s">
        <v>2403</v>
      </c>
      <c r="F507" s="58" t="s">
        <v>2723</v>
      </c>
      <c r="G507" s="57" t="s">
        <v>2492</v>
      </c>
    </row>
    <row r="508" spans="1:7">
      <c r="A508" s="56" t="s">
        <v>2529</v>
      </c>
      <c r="B508" s="56" t="s">
        <v>2494</v>
      </c>
      <c r="C508" s="56" t="s">
        <v>2530</v>
      </c>
      <c r="D508" s="56" t="s">
        <v>2750</v>
      </c>
      <c r="E508" s="74" t="s">
        <v>2719</v>
      </c>
      <c r="F508" s="74" t="s">
        <v>2231</v>
      </c>
      <c r="G508" s="56" t="s">
        <v>2532</v>
      </c>
    </row>
    <row r="509" spans="1:7" ht="17">
      <c r="A509" s="272" t="s">
        <v>2493</v>
      </c>
      <c r="B509" s="272" t="s">
        <v>2494</v>
      </c>
      <c r="C509" s="272" t="s">
        <v>2421</v>
      </c>
      <c r="D509" s="272" t="s">
        <v>2750</v>
      </c>
      <c r="E509" s="273" t="s">
        <v>108</v>
      </c>
      <c r="F509" s="273" t="s">
        <v>2723</v>
      </c>
      <c r="G509" s="272" t="s">
        <v>2495</v>
      </c>
    </row>
    <row r="510" spans="1:7">
      <c r="A510" s="57" t="s">
        <v>2496</v>
      </c>
      <c r="B510" s="57" t="s">
        <v>2490</v>
      </c>
      <c r="C510" s="57" t="s">
        <v>2497</v>
      </c>
      <c r="D510" s="57" t="s">
        <v>2750</v>
      </c>
      <c r="E510" s="58" t="s">
        <v>108</v>
      </c>
      <c r="F510" s="58" t="s">
        <v>2723</v>
      </c>
      <c r="G510" s="57" t="s">
        <v>2251</v>
      </c>
    </row>
    <row r="511" spans="1:7">
      <c r="A511" s="57" t="s">
        <v>2498</v>
      </c>
      <c r="B511" s="57" t="s">
        <v>2490</v>
      </c>
      <c r="C511" s="57" t="s">
        <v>2499</v>
      </c>
      <c r="D511" s="57" t="s">
        <v>2750</v>
      </c>
      <c r="E511" s="58" t="s">
        <v>108</v>
      </c>
      <c r="F511" s="58" t="s">
        <v>2723</v>
      </c>
      <c r="G511" s="57" t="s">
        <v>2500</v>
      </c>
    </row>
    <row r="512" spans="1:7" ht="17">
      <c r="A512" s="75" t="s">
        <v>2689</v>
      </c>
      <c r="B512" s="75"/>
      <c r="C512" s="75"/>
      <c r="D512" s="75"/>
      <c r="E512" s="76"/>
      <c r="F512" s="75"/>
      <c r="G512" s="75"/>
    </row>
    <row r="513" spans="1:7">
      <c r="A513" s="57" t="s">
        <v>2502</v>
      </c>
      <c r="B513" s="57" t="s">
        <v>2325</v>
      </c>
      <c r="C513" s="57" t="s">
        <v>2503</v>
      </c>
      <c r="D513" s="57" t="s">
        <v>2750</v>
      </c>
      <c r="E513" s="58" t="s">
        <v>108</v>
      </c>
      <c r="F513" s="58" t="s">
        <v>2723</v>
      </c>
      <c r="G513" s="57" t="s">
        <v>2504</v>
      </c>
    </row>
    <row r="514" spans="1:7">
      <c r="A514" s="57" t="s">
        <v>2341</v>
      </c>
      <c r="B514" s="57" t="s">
        <v>2342</v>
      </c>
      <c r="C514" s="57" t="s">
        <v>2343</v>
      </c>
      <c r="D514" s="57" t="s">
        <v>2750</v>
      </c>
      <c r="E514" s="58" t="s">
        <v>108</v>
      </c>
      <c r="F514" s="58" t="s">
        <v>2723</v>
      </c>
      <c r="G514" s="57" t="s">
        <v>2344</v>
      </c>
    </row>
    <row r="515" spans="1:7">
      <c r="A515" s="57" t="s">
        <v>2348</v>
      </c>
      <c r="B515" s="57"/>
      <c r="C515" s="57" t="s">
        <v>2292</v>
      </c>
      <c r="D515" s="57" t="s">
        <v>2750</v>
      </c>
      <c r="E515" s="58" t="s">
        <v>2446</v>
      </c>
      <c r="F515" s="58" t="s">
        <v>2723</v>
      </c>
      <c r="G515" s="57" t="s">
        <v>2251</v>
      </c>
    </row>
    <row r="516" spans="1:7" ht="17">
      <c r="A516" s="272" t="s">
        <v>2505</v>
      </c>
      <c r="B516" s="272" t="s">
        <v>2291</v>
      </c>
      <c r="C516" s="272" t="s">
        <v>108</v>
      </c>
      <c r="D516" s="272" t="s">
        <v>2750</v>
      </c>
      <c r="E516" s="273" t="s">
        <v>108</v>
      </c>
      <c r="F516" s="273" t="s">
        <v>2723</v>
      </c>
      <c r="G516" s="272" t="s">
        <v>2251</v>
      </c>
    </row>
    <row r="517" spans="1:7">
      <c r="A517" s="57" t="s">
        <v>2506</v>
      </c>
      <c r="B517" s="57" t="s">
        <v>2346</v>
      </c>
      <c r="C517" s="57" t="s">
        <v>2507</v>
      </c>
      <c r="D517" s="57" t="s">
        <v>2750</v>
      </c>
      <c r="E517" s="58" t="s">
        <v>2507</v>
      </c>
      <c r="F517" s="58" t="s">
        <v>2723</v>
      </c>
      <c r="G517" s="57" t="s">
        <v>2508</v>
      </c>
    </row>
    <row r="518" spans="1:7" ht="17">
      <c r="A518" s="75" t="s">
        <v>2698</v>
      </c>
      <c r="B518" s="75"/>
      <c r="C518" s="75"/>
      <c r="D518" s="75"/>
      <c r="E518" s="76"/>
      <c r="F518" s="75"/>
      <c r="G518" s="75"/>
    </row>
    <row r="519" spans="1:7">
      <c r="A519" s="57" t="s">
        <v>2283</v>
      </c>
      <c r="B519" s="57" t="s">
        <v>2284</v>
      </c>
      <c r="C519" s="57" t="s">
        <v>2285</v>
      </c>
      <c r="D519" s="57" t="s">
        <v>2751</v>
      </c>
      <c r="E519" s="58" t="s">
        <v>2287</v>
      </c>
      <c r="F519" s="58" t="s">
        <v>2723</v>
      </c>
      <c r="G519" s="57" t="s">
        <v>2288</v>
      </c>
    </row>
    <row r="520" spans="1:7">
      <c r="A520" s="57" t="s">
        <v>2516</v>
      </c>
      <c r="B520" s="57" t="s">
        <v>2291</v>
      </c>
      <c r="C520" s="57" t="s">
        <v>1215</v>
      </c>
      <c r="D520" s="57" t="s">
        <v>2751</v>
      </c>
      <c r="E520" s="58" t="s">
        <v>1215</v>
      </c>
      <c r="F520" s="58" t="s">
        <v>2723</v>
      </c>
      <c r="G520" s="57" t="s">
        <v>2251</v>
      </c>
    </row>
    <row r="521" spans="1:7">
      <c r="A521" s="57" t="s">
        <v>2398</v>
      </c>
      <c r="B521" s="57"/>
      <c r="C521" s="57" t="s">
        <v>2399</v>
      </c>
      <c r="D521" s="57" t="s">
        <v>2751</v>
      </c>
      <c r="E521" s="58" t="s">
        <v>1215</v>
      </c>
      <c r="F521" s="58" t="s">
        <v>2723</v>
      </c>
      <c r="G521" s="57" t="s">
        <v>2251</v>
      </c>
    </row>
    <row r="522" spans="1:7" ht="17">
      <c r="A522" s="75" t="s">
        <v>2699</v>
      </c>
      <c r="B522" s="75"/>
      <c r="C522" s="75"/>
      <c r="D522" s="75"/>
      <c r="E522" s="76"/>
      <c r="F522" s="75"/>
      <c r="G522" s="75"/>
    </row>
    <row r="523" spans="1:7" ht="17">
      <c r="A523" s="272" t="s">
        <v>2290</v>
      </c>
      <c r="B523" s="272" t="s">
        <v>2291</v>
      </c>
      <c r="C523" s="272" t="s">
        <v>2292</v>
      </c>
      <c r="D523" s="272" t="s">
        <v>2751</v>
      </c>
      <c r="E523" s="273" t="s">
        <v>2293</v>
      </c>
      <c r="F523" s="273" t="s">
        <v>2723</v>
      </c>
      <c r="G523" s="272" t="s">
        <v>2251</v>
      </c>
    </row>
    <row r="524" spans="1:7" ht="17">
      <c r="A524" s="75" t="s">
        <v>2700</v>
      </c>
      <c r="B524" s="75"/>
      <c r="C524" s="75"/>
      <c r="D524" s="75"/>
      <c r="E524" s="76"/>
      <c r="F524" s="75"/>
      <c r="G524" s="75"/>
    </row>
    <row r="525" spans="1:7">
      <c r="A525" s="57" t="s">
        <v>2362</v>
      </c>
      <c r="B525" s="57" t="s">
        <v>2363</v>
      </c>
      <c r="C525" s="57" t="s">
        <v>2364</v>
      </c>
      <c r="D525" s="57" t="s">
        <v>2751</v>
      </c>
      <c r="E525" s="58" t="s">
        <v>2729</v>
      </c>
      <c r="F525" s="58" t="s">
        <v>2723</v>
      </c>
      <c r="G525" s="57" t="s">
        <v>2251</v>
      </c>
    </row>
    <row r="526" spans="1:7" ht="17">
      <c r="A526" s="75" t="s">
        <v>2701</v>
      </c>
      <c r="B526" s="75"/>
      <c r="C526" s="75"/>
      <c r="D526" s="75"/>
      <c r="E526" s="76"/>
      <c r="F526" s="75"/>
      <c r="G526" s="75"/>
    </row>
    <row r="527" spans="1:7">
      <c r="A527" s="57" t="s">
        <v>2367</v>
      </c>
      <c r="B527" s="57" t="s">
        <v>2325</v>
      </c>
      <c r="C527" s="57" t="s">
        <v>2368</v>
      </c>
      <c r="D527" s="57" t="s">
        <v>2751</v>
      </c>
      <c r="E527" s="58" t="s">
        <v>2365</v>
      </c>
      <c r="F527" s="58" t="s">
        <v>2723</v>
      </c>
      <c r="G527" s="57" t="s">
        <v>2251</v>
      </c>
    </row>
    <row r="528" spans="1:7" ht="17">
      <c r="A528" s="75" t="s">
        <v>2702</v>
      </c>
      <c r="B528" s="75"/>
      <c r="C528" s="75"/>
      <c r="D528" s="75"/>
      <c r="E528" s="76"/>
      <c r="F528" s="75"/>
      <c r="G528" s="75"/>
    </row>
    <row r="529" spans="1:7" ht="17">
      <c r="A529" s="272" t="s">
        <v>2295</v>
      </c>
      <c r="B529" s="272" t="s">
        <v>2296</v>
      </c>
      <c r="C529" s="272" t="s">
        <v>2297</v>
      </c>
      <c r="D529" s="272" t="s">
        <v>2751</v>
      </c>
      <c r="E529" s="273" t="s">
        <v>2293</v>
      </c>
      <c r="F529" s="273" t="s">
        <v>2723</v>
      </c>
      <c r="G529" s="272" t="s">
        <v>2251</v>
      </c>
    </row>
    <row r="530" spans="1:7">
      <c r="A530" s="57" t="s">
        <v>2298</v>
      </c>
      <c r="B530" s="57" t="s">
        <v>2296</v>
      </c>
      <c r="C530" s="57" t="s">
        <v>2292</v>
      </c>
      <c r="D530" s="57" t="s">
        <v>2751</v>
      </c>
      <c r="E530" s="58" t="s">
        <v>2293</v>
      </c>
      <c r="F530" s="58" t="s">
        <v>2723</v>
      </c>
      <c r="G530" s="57" t="s">
        <v>2251</v>
      </c>
    </row>
    <row r="531" spans="1:7">
      <c r="A531" s="57" t="s">
        <v>2299</v>
      </c>
      <c r="B531" s="57" t="s">
        <v>2296</v>
      </c>
      <c r="C531" s="57" t="s">
        <v>2292</v>
      </c>
      <c r="D531" s="57" t="s">
        <v>2751</v>
      </c>
      <c r="E531" s="58" t="s">
        <v>2293</v>
      </c>
      <c r="F531" s="58" t="s">
        <v>2723</v>
      </c>
      <c r="G531" s="57" t="s">
        <v>2251</v>
      </c>
    </row>
    <row r="532" spans="1:7">
      <c r="A532" s="57" t="s">
        <v>2300</v>
      </c>
      <c r="B532" s="57" t="s">
        <v>2301</v>
      </c>
      <c r="C532" s="57" t="s">
        <v>2292</v>
      </c>
      <c r="D532" s="57" t="s">
        <v>2751</v>
      </c>
      <c r="E532" s="58" t="s">
        <v>2293</v>
      </c>
      <c r="F532" s="58" t="s">
        <v>2723</v>
      </c>
      <c r="G532" s="57" t="s">
        <v>2251</v>
      </c>
    </row>
    <row r="533" spans="1:7">
      <c r="A533" s="57" t="s">
        <v>2302</v>
      </c>
      <c r="B533" s="57"/>
      <c r="C533" s="57" t="s">
        <v>2292</v>
      </c>
      <c r="D533" s="57" t="s">
        <v>2751</v>
      </c>
      <c r="E533" s="58" t="s">
        <v>2293</v>
      </c>
      <c r="F533" s="58" t="s">
        <v>2723</v>
      </c>
      <c r="G533" s="57" t="s">
        <v>2251</v>
      </c>
    </row>
    <row r="534" spans="1:7" ht="17">
      <c r="A534" s="272" t="s">
        <v>2303</v>
      </c>
      <c r="B534" s="272"/>
      <c r="C534" s="272" t="s">
        <v>2292</v>
      </c>
      <c r="D534" s="272" t="s">
        <v>2751</v>
      </c>
      <c r="E534" s="273" t="s">
        <v>2293</v>
      </c>
      <c r="F534" s="273" t="s">
        <v>2723</v>
      </c>
      <c r="G534" s="272" t="s">
        <v>2251</v>
      </c>
    </row>
    <row r="535" spans="1:7">
      <c r="A535" s="57" t="s">
        <v>2304</v>
      </c>
      <c r="B535" s="57"/>
      <c r="C535" s="57" t="s">
        <v>2292</v>
      </c>
      <c r="D535" s="57" t="s">
        <v>2751</v>
      </c>
      <c r="E535" s="58" t="s">
        <v>2293</v>
      </c>
      <c r="F535" s="58" t="s">
        <v>2723</v>
      </c>
      <c r="G535" s="57" t="s">
        <v>2251</v>
      </c>
    </row>
    <row r="536" spans="1:7" ht="17">
      <c r="A536" s="75" t="s">
        <v>2703</v>
      </c>
      <c r="B536" s="75"/>
      <c r="C536" s="75"/>
      <c r="D536" s="75"/>
      <c r="E536" s="76"/>
      <c r="F536" s="75"/>
      <c r="G536" s="75"/>
    </row>
    <row r="537" spans="1:7">
      <c r="A537" s="57" t="s">
        <v>2310</v>
      </c>
      <c r="B537" s="57" t="s">
        <v>2291</v>
      </c>
      <c r="C537" s="57" t="s">
        <v>2311</v>
      </c>
      <c r="D537" s="57" t="s">
        <v>2751</v>
      </c>
      <c r="E537" s="58" t="s">
        <v>2312</v>
      </c>
      <c r="F537" s="58" t="s">
        <v>2723</v>
      </c>
      <c r="G537" s="57" t="s">
        <v>2251</v>
      </c>
    </row>
    <row r="538" spans="1:7">
      <c r="A538" s="57" t="s">
        <v>2313</v>
      </c>
      <c r="B538" s="57" t="s">
        <v>2291</v>
      </c>
      <c r="C538" s="57" t="s">
        <v>2292</v>
      </c>
      <c r="D538" s="57" t="s">
        <v>2751</v>
      </c>
      <c r="E538" s="58" t="s">
        <v>2293</v>
      </c>
      <c r="F538" s="58" t="s">
        <v>2723</v>
      </c>
      <c r="G538" s="57" t="s">
        <v>2251</v>
      </c>
    </row>
    <row r="539" spans="1:7">
      <c r="A539" s="57" t="s">
        <v>2314</v>
      </c>
      <c r="B539" s="57" t="s">
        <v>2291</v>
      </c>
      <c r="C539" s="57" t="s">
        <v>2292</v>
      </c>
      <c r="D539" s="57" t="s">
        <v>2751</v>
      </c>
      <c r="E539" s="58" t="s">
        <v>2293</v>
      </c>
      <c r="F539" s="58" t="s">
        <v>2723</v>
      </c>
      <c r="G539" s="57" t="s">
        <v>2251</v>
      </c>
    </row>
    <row r="540" spans="1:7" ht="17">
      <c r="A540" s="75" t="s">
        <v>2704</v>
      </c>
      <c r="B540" s="75"/>
      <c r="C540" s="75"/>
      <c r="D540" s="75"/>
      <c r="E540" s="76"/>
      <c r="F540" s="75"/>
      <c r="G540" s="75"/>
    </row>
    <row r="541" spans="1:7" ht="17">
      <c r="A541" s="272" t="s">
        <v>2316</v>
      </c>
      <c r="B541" s="272" t="s">
        <v>2291</v>
      </c>
      <c r="C541" s="272" t="s">
        <v>2292</v>
      </c>
      <c r="D541" s="272" t="s">
        <v>2751</v>
      </c>
      <c r="E541" s="273" t="s">
        <v>2293</v>
      </c>
      <c r="F541" s="273" t="s">
        <v>2723</v>
      </c>
      <c r="G541" s="272" t="s">
        <v>2251</v>
      </c>
    </row>
    <row r="542" spans="1:7" ht="17">
      <c r="A542" s="75" t="s">
        <v>2706</v>
      </c>
      <c r="B542" s="75"/>
      <c r="C542" s="75"/>
      <c r="D542" s="75"/>
      <c r="E542" s="76"/>
      <c r="F542" s="75"/>
      <c r="G542" s="75"/>
    </row>
    <row r="543" spans="1:7">
      <c r="A543" s="57" t="s">
        <v>2318</v>
      </c>
      <c r="B543" s="57" t="s">
        <v>2319</v>
      </c>
      <c r="C543" s="57" t="s">
        <v>2285</v>
      </c>
      <c r="D543" s="57" t="s">
        <v>2751</v>
      </c>
      <c r="E543" s="58" t="s">
        <v>2287</v>
      </c>
      <c r="F543" s="58" t="s">
        <v>2723</v>
      </c>
      <c r="G543" s="57" t="s">
        <v>2320</v>
      </c>
    </row>
    <row r="544" spans="1:7">
      <c r="A544" s="57" t="s">
        <v>2321</v>
      </c>
      <c r="B544" s="57" t="s">
        <v>2322</v>
      </c>
      <c r="C544" s="57" t="s">
        <v>2285</v>
      </c>
      <c r="D544" s="57" t="s">
        <v>2751</v>
      </c>
      <c r="E544" s="58" t="s">
        <v>2287</v>
      </c>
      <c r="F544" s="58" t="s">
        <v>2723</v>
      </c>
      <c r="G544" s="57" t="s">
        <v>2323</v>
      </c>
    </row>
    <row r="545" spans="1:7" ht="17">
      <c r="A545" s="75" t="s">
        <v>2707</v>
      </c>
      <c r="B545" s="75"/>
      <c r="C545" s="75"/>
      <c r="D545" s="75"/>
      <c r="E545" s="76"/>
      <c r="F545" s="75"/>
      <c r="G545" s="75"/>
    </row>
    <row r="546" spans="1:7">
      <c r="A546" s="57" t="s">
        <v>2333</v>
      </c>
      <c r="B546" s="57" t="s">
        <v>2291</v>
      </c>
      <c r="C546" s="57" t="s">
        <v>2285</v>
      </c>
      <c r="D546" s="57" t="s">
        <v>2751</v>
      </c>
      <c r="E546" s="58" t="s">
        <v>2287</v>
      </c>
      <c r="F546" s="58" t="s">
        <v>2723</v>
      </c>
      <c r="G546" s="57" t="s">
        <v>2251</v>
      </c>
    </row>
    <row r="547" spans="1:7">
      <c r="A547" s="57" t="s">
        <v>2334</v>
      </c>
      <c r="B547" s="57" t="s">
        <v>2291</v>
      </c>
      <c r="C547" s="57" t="s">
        <v>2311</v>
      </c>
      <c r="D547" s="57" t="s">
        <v>2751</v>
      </c>
      <c r="E547" s="58" t="s">
        <v>2312</v>
      </c>
      <c r="F547" s="58" t="s">
        <v>2723</v>
      </c>
      <c r="G547" s="57" t="s">
        <v>2335</v>
      </c>
    </row>
    <row r="548" spans="1:7" ht="17">
      <c r="A548" s="75" t="s">
        <v>2708</v>
      </c>
      <c r="B548" s="75"/>
      <c r="C548" s="75"/>
      <c r="D548" s="75"/>
      <c r="E548" s="76"/>
      <c r="F548" s="75"/>
      <c r="G548" s="75"/>
    </row>
    <row r="549" spans="1:7">
      <c r="A549" s="57" t="s">
        <v>2529</v>
      </c>
      <c r="B549" s="57" t="s">
        <v>2494</v>
      </c>
      <c r="C549" s="57" t="s">
        <v>2530</v>
      </c>
      <c r="D549" s="57" t="s">
        <v>2751</v>
      </c>
      <c r="E549" s="58" t="s">
        <v>2719</v>
      </c>
      <c r="F549" s="58" t="s">
        <v>2723</v>
      </c>
      <c r="G549" s="57" t="s">
        <v>2532</v>
      </c>
    </row>
    <row r="550" spans="1:7" ht="17">
      <c r="A550" s="75" t="s">
        <v>2709</v>
      </c>
      <c r="B550" s="75"/>
      <c r="C550" s="75"/>
      <c r="D550" s="75"/>
      <c r="E550" s="76"/>
      <c r="F550" s="75"/>
      <c r="G550" s="75"/>
    </row>
    <row r="551" spans="1:7">
      <c r="A551" s="57" t="s">
        <v>2339</v>
      </c>
      <c r="B551" s="57"/>
      <c r="C551" s="57" t="s">
        <v>2285</v>
      </c>
      <c r="D551" s="57" t="s">
        <v>2751</v>
      </c>
      <c r="E551" s="58" t="s">
        <v>2287</v>
      </c>
      <c r="F551" s="58" t="s">
        <v>2723</v>
      </c>
      <c r="G551" s="57" t="s">
        <v>2340</v>
      </c>
    </row>
    <row r="552" spans="1:7">
      <c r="A552" s="57" t="s">
        <v>2345</v>
      </c>
      <c r="B552" s="57" t="s">
        <v>2346</v>
      </c>
      <c r="C552" s="57" t="s">
        <v>2285</v>
      </c>
      <c r="D552" s="57" t="s">
        <v>2751</v>
      </c>
      <c r="E552" s="58" t="s">
        <v>2287</v>
      </c>
      <c r="F552" s="58" t="s">
        <v>2723</v>
      </c>
      <c r="G552" s="57" t="s">
        <v>2347</v>
      </c>
    </row>
    <row r="553" spans="1:7">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sqref="A1:J1"/>
    </sheetView>
  </sheetViews>
  <sheetFormatPr defaultColWidth="9.1796875" defaultRowHeight="15.5"/>
  <cols>
    <col min="1" max="1" width="9.1796875" style="72"/>
    <col min="2" max="2" width="35.26953125" style="72" bestFit="1" customWidth="1"/>
    <col min="3" max="3" width="15.54296875" style="72" bestFit="1" customWidth="1"/>
    <col min="4" max="9" width="9.1796875" style="72"/>
    <col min="10" max="10" width="92.54296875" style="72" customWidth="1"/>
    <col min="11" max="16384" width="9.179687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1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Z2:Z382 W2:W382 T2:T382 Q2:Q382 N2:N382 K2:K382 G2:G382 F2:F382 E2:E382 D2:D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AS2:AS382 AV2:AV382 AY2:AY382 BB2:BB382 BE2:BE382 BH2:BH382 BK2:BK382 I2:I382 L2:L382 O2:O382 R2:R382 U2:U382 X2:X382 AA2:AA382 AD2:AD382 AG2:AG382 AJ2:AJ382 AM2:AM382 AP2:AP382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H49" sqref="H49"/>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c r="A106" s="72" t="s">
        <v>1916</v>
      </c>
      <c r="B106" s="72" t="s">
        <v>2484</v>
      </c>
      <c r="C106" s="359"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1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2001 BG2:BG301 E302:E2001 BJ2:BJ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AD2:AD301 AG2:AG301 AJ2:AJ301 AM2:AM301 AP2:AP301 AS2:AS301 AV2:AV301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77" t="s">
        <v>3744</v>
      </c>
      <c r="B1" s="377"/>
      <c r="C1" s="377"/>
      <c r="D1" s="377"/>
      <c r="E1" s="377"/>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78" t="s">
        <v>3854</v>
      </c>
      <c r="B1" s="378"/>
      <c r="C1" s="378"/>
      <c r="D1" s="378"/>
      <c r="E1" s="378"/>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tabSelected="1" workbookViewId="0">
      <pane ySplit="1" topLeftCell="A2" activePane="bottomLeft" state="frozen"/>
      <selection pane="bottomLeft" activeCell="F19" sqref="F19"/>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3873</v>
      </c>
      <c r="B1" s="290" t="s">
        <v>1838</v>
      </c>
      <c r="C1" s="290" t="s">
        <v>2752</v>
      </c>
      <c r="D1" s="290" t="s">
        <v>3874</v>
      </c>
      <c r="E1" s="290" t="s">
        <v>3875</v>
      </c>
      <c r="F1" s="351" t="s">
        <v>1455</v>
      </c>
      <c r="G1" s="290" t="s">
        <v>3876</v>
      </c>
      <c r="H1" s="290" t="s">
        <v>3877</v>
      </c>
      <c r="I1" s="290" t="s">
        <v>3878</v>
      </c>
      <c r="J1" s="290" t="s">
        <v>3879</v>
      </c>
    </row>
    <row r="2" spans="1:10">
      <c r="A2" s="360" t="s">
        <v>3880</v>
      </c>
      <c r="B2" s="362">
        <v>46251</v>
      </c>
      <c r="C2" s="361" t="s">
        <v>1893</v>
      </c>
      <c r="D2" s="361" t="s">
        <v>3881</v>
      </c>
      <c r="E2" s="361"/>
      <c r="F2" s="361" t="s">
        <v>3882</v>
      </c>
      <c r="G2" s="361" t="s">
        <v>3883</v>
      </c>
      <c r="H2" s="361"/>
      <c r="I2" s="361" t="s">
        <v>3884</v>
      </c>
      <c r="J2" s="363" t="s">
        <v>3885</v>
      </c>
    </row>
    <row r="3" spans="1:10">
      <c r="A3" s="364" t="s">
        <v>3886</v>
      </c>
      <c r="B3" s="366">
        <v>46251</v>
      </c>
      <c r="C3" s="365" t="s">
        <v>1875</v>
      </c>
      <c r="D3" s="365" t="s">
        <v>3881</v>
      </c>
      <c r="E3" s="365"/>
      <c r="F3" s="365" t="s">
        <v>3882</v>
      </c>
      <c r="G3" s="365" t="s">
        <v>3883</v>
      </c>
      <c r="H3" s="365"/>
      <c r="I3" s="365" t="s">
        <v>3884</v>
      </c>
      <c r="J3" s="367" t="s">
        <v>3887</v>
      </c>
    </row>
    <row r="4" spans="1:10" ht="409.6">
      <c r="A4" s="360" t="s">
        <v>3888</v>
      </c>
      <c r="B4" s="362">
        <v>46251</v>
      </c>
      <c r="C4" s="361" t="s">
        <v>1878</v>
      </c>
      <c r="D4" s="361" t="s">
        <v>3881</v>
      </c>
      <c r="E4" s="361"/>
      <c r="F4" s="368" t="s">
        <v>3889</v>
      </c>
      <c r="G4" s="361" t="s">
        <v>3890</v>
      </c>
      <c r="H4" s="361" t="s">
        <v>3891</v>
      </c>
      <c r="I4" s="361" t="s">
        <v>3884</v>
      </c>
      <c r="J4" s="363" t="s">
        <v>3892</v>
      </c>
    </row>
    <row r="5" spans="1:10">
      <c r="A5" s="364" t="s">
        <v>3893</v>
      </c>
      <c r="B5" s="366">
        <v>46251</v>
      </c>
      <c r="C5" s="365" t="s">
        <v>1881</v>
      </c>
      <c r="D5" s="365" t="s">
        <v>3881</v>
      </c>
      <c r="E5" s="365"/>
      <c r="F5" s="365" t="s">
        <v>3894</v>
      </c>
      <c r="G5" s="365" t="s">
        <v>3883</v>
      </c>
      <c r="H5" s="365"/>
      <c r="I5" s="365" t="s">
        <v>3884</v>
      </c>
      <c r="J5" s="367" t="s">
        <v>3887</v>
      </c>
    </row>
    <row r="6" spans="1:10">
      <c r="A6" s="360" t="s">
        <v>3895</v>
      </c>
      <c r="B6" s="362">
        <v>46251</v>
      </c>
      <c r="C6" s="361" t="s">
        <v>1884</v>
      </c>
      <c r="D6" s="361" t="s">
        <v>3881</v>
      </c>
      <c r="E6" s="361"/>
      <c r="F6" s="361" t="s">
        <v>3882</v>
      </c>
      <c r="G6" s="361" t="s">
        <v>3883</v>
      </c>
      <c r="H6" s="361"/>
      <c r="I6" s="361" t="s">
        <v>3884</v>
      </c>
      <c r="J6" s="363" t="s">
        <v>3887</v>
      </c>
    </row>
    <row r="7" spans="1:10">
      <c r="A7" s="364" t="s">
        <v>3896</v>
      </c>
      <c r="B7" s="366">
        <v>46251</v>
      </c>
      <c r="C7" s="365" t="s">
        <v>1890</v>
      </c>
      <c r="D7" s="365" t="s">
        <v>3881</v>
      </c>
      <c r="E7" s="365"/>
      <c r="F7" s="365" t="s">
        <v>3882</v>
      </c>
      <c r="G7" s="365" t="s">
        <v>3883</v>
      </c>
      <c r="H7" s="365"/>
      <c r="I7" s="365" t="s">
        <v>3884</v>
      </c>
      <c r="J7" s="367" t="s">
        <v>3887</v>
      </c>
    </row>
    <row r="8" spans="1:10">
      <c r="A8" s="360" t="s">
        <v>3897</v>
      </c>
      <c r="B8" s="362">
        <v>46251</v>
      </c>
      <c r="C8" s="361" t="s">
        <v>1892</v>
      </c>
      <c r="D8" s="361" t="s">
        <v>3881</v>
      </c>
      <c r="E8" s="361"/>
      <c r="F8" s="361" t="s">
        <v>3882</v>
      </c>
      <c r="G8" s="361" t="s">
        <v>3883</v>
      </c>
      <c r="H8" s="361"/>
      <c r="I8" s="361" t="s">
        <v>3884</v>
      </c>
      <c r="J8" s="363" t="s">
        <v>3898</v>
      </c>
    </row>
    <row r="9" spans="1:10">
      <c r="A9" s="364" t="s">
        <v>3899</v>
      </c>
      <c r="B9" s="366">
        <v>46251</v>
      </c>
      <c r="C9" s="365" t="s">
        <v>1886</v>
      </c>
      <c r="D9" s="365" t="s">
        <v>3881</v>
      </c>
      <c r="E9" s="365"/>
      <c r="F9" s="365" t="s">
        <v>3881</v>
      </c>
      <c r="G9" s="365" t="s">
        <v>3883</v>
      </c>
      <c r="H9" s="365"/>
      <c r="I9" s="365" t="s">
        <v>3884</v>
      </c>
      <c r="J9" s="367" t="s">
        <v>3885</v>
      </c>
    </row>
    <row r="10" spans="1:10">
      <c r="A10" s="360" t="s">
        <v>3900</v>
      </c>
      <c r="B10" s="362">
        <v>46252</v>
      </c>
      <c r="C10" s="361" t="s">
        <v>1893</v>
      </c>
      <c r="D10" s="361" t="s">
        <v>3881</v>
      </c>
      <c r="E10" s="361"/>
      <c r="F10" s="361" t="s">
        <v>3882</v>
      </c>
      <c r="G10" s="361" t="s">
        <v>3883</v>
      </c>
      <c r="H10" s="361"/>
      <c r="I10" s="361" t="s">
        <v>3884</v>
      </c>
      <c r="J10" s="363" t="s">
        <v>3885</v>
      </c>
    </row>
    <row r="11" spans="1:10">
      <c r="A11" s="364" t="s">
        <v>3901</v>
      </c>
      <c r="B11" s="366">
        <v>46252</v>
      </c>
      <c r="C11" s="365" t="s">
        <v>1875</v>
      </c>
      <c r="D11" s="365" t="s">
        <v>3881</v>
      </c>
      <c r="E11" s="365"/>
      <c r="F11" s="365" t="s">
        <v>3882</v>
      </c>
      <c r="G11" s="365" t="s">
        <v>3883</v>
      </c>
      <c r="H11" s="365"/>
      <c r="I11" s="365" t="s">
        <v>3884</v>
      </c>
      <c r="J11" s="367" t="s">
        <v>3887</v>
      </c>
    </row>
    <row r="12" spans="1:10">
      <c r="A12" s="360" t="s">
        <v>3902</v>
      </c>
      <c r="B12" s="362">
        <v>46252</v>
      </c>
      <c r="C12" s="361" t="s">
        <v>1878</v>
      </c>
      <c r="D12" s="361" t="s">
        <v>3881</v>
      </c>
      <c r="E12" s="361"/>
      <c r="F12" s="361" t="s">
        <v>3882</v>
      </c>
      <c r="G12" s="361" t="s">
        <v>3883</v>
      </c>
      <c r="H12" s="361"/>
      <c r="I12" s="361" t="s">
        <v>3884</v>
      </c>
      <c r="J12" s="363" t="s">
        <v>3887</v>
      </c>
    </row>
    <row r="13" spans="1:10">
      <c r="A13" s="364" t="s">
        <v>3903</v>
      </c>
      <c r="B13" s="366">
        <v>46252</v>
      </c>
      <c r="C13" s="365" t="s">
        <v>1881</v>
      </c>
      <c r="D13" s="365" t="s">
        <v>3881</v>
      </c>
      <c r="E13" s="365"/>
      <c r="F13" s="365" t="s">
        <v>3894</v>
      </c>
      <c r="G13" s="365" t="s">
        <v>3883</v>
      </c>
      <c r="H13" s="365"/>
      <c r="I13" s="365" t="s">
        <v>3884</v>
      </c>
      <c r="J13" s="367" t="s">
        <v>3887</v>
      </c>
    </row>
    <row r="14" spans="1:10">
      <c r="A14" s="360" t="s">
        <v>3904</v>
      </c>
      <c r="B14" s="362">
        <v>46252</v>
      </c>
      <c r="C14" s="361" t="s">
        <v>1884</v>
      </c>
      <c r="D14" s="361" t="s">
        <v>3881</v>
      </c>
      <c r="E14" s="361"/>
      <c r="F14" s="361" t="s">
        <v>3882</v>
      </c>
      <c r="G14" s="361" t="s">
        <v>3883</v>
      </c>
      <c r="H14" s="361"/>
      <c r="I14" s="361" t="s">
        <v>3884</v>
      </c>
      <c r="J14" s="363" t="s">
        <v>3887</v>
      </c>
    </row>
    <row r="15" spans="1:10">
      <c r="A15" s="364" t="s">
        <v>3905</v>
      </c>
      <c r="B15" s="366">
        <v>46252</v>
      </c>
      <c r="C15" s="365" t="s">
        <v>1890</v>
      </c>
      <c r="D15" s="365" t="s">
        <v>3881</v>
      </c>
      <c r="E15" s="365"/>
      <c r="F15" s="365" t="s">
        <v>3882</v>
      </c>
      <c r="G15" s="365" t="s">
        <v>3883</v>
      </c>
      <c r="H15" s="365"/>
      <c r="I15" s="365" t="s">
        <v>3884</v>
      </c>
      <c r="J15" s="367" t="s">
        <v>3887</v>
      </c>
    </row>
    <row r="16" spans="1:10">
      <c r="A16" s="360" t="s">
        <v>3906</v>
      </c>
      <c r="B16" s="362">
        <v>46252</v>
      </c>
      <c r="C16" s="361" t="s">
        <v>1892</v>
      </c>
      <c r="D16" s="361" t="s">
        <v>3881</v>
      </c>
      <c r="E16" s="361"/>
      <c r="F16" s="361" t="s">
        <v>3882</v>
      </c>
      <c r="G16" s="361" t="s">
        <v>3883</v>
      </c>
      <c r="H16" s="361"/>
      <c r="I16" s="361" t="s">
        <v>3884</v>
      </c>
      <c r="J16" s="363" t="s">
        <v>3898</v>
      </c>
    </row>
    <row r="17" spans="1:10">
      <c r="A17" s="364" t="s">
        <v>3907</v>
      </c>
      <c r="B17" s="366">
        <v>46252</v>
      </c>
      <c r="C17" s="365" t="s">
        <v>1886</v>
      </c>
      <c r="D17" s="365" t="s">
        <v>3881</v>
      </c>
      <c r="E17" s="365"/>
      <c r="F17" s="365" t="s">
        <v>3881</v>
      </c>
      <c r="G17" s="365" t="s">
        <v>3883</v>
      </c>
      <c r="H17" s="365"/>
      <c r="I17" s="365" t="s">
        <v>3884</v>
      </c>
      <c r="J17" s="367" t="s">
        <v>3887</v>
      </c>
    </row>
    <row r="18" spans="1:10">
      <c r="A18" s="360" t="s">
        <v>3908</v>
      </c>
      <c r="B18" s="362">
        <v>46253</v>
      </c>
      <c r="C18" s="361" t="s">
        <v>1893</v>
      </c>
      <c r="D18" s="361" t="s">
        <v>3881</v>
      </c>
      <c r="E18" s="361"/>
      <c r="F18" s="361" t="s">
        <v>3882</v>
      </c>
      <c r="G18" s="361" t="s">
        <v>3883</v>
      </c>
      <c r="H18" s="361"/>
      <c r="I18" s="361" t="s">
        <v>3884</v>
      </c>
      <c r="J18" s="363" t="s">
        <v>3885</v>
      </c>
    </row>
    <row r="19" spans="1:10">
      <c r="A19" s="364" t="s">
        <v>3909</v>
      </c>
      <c r="B19" s="366">
        <v>46253</v>
      </c>
      <c r="C19" s="365" t="s">
        <v>1875</v>
      </c>
      <c r="D19" s="365" t="s">
        <v>3881</v>
      </c>
      <c r="E19" s="365"/>
      <c r="F19" s="365" t="s">
        <v>3882</v>
      </c>
      <c r="G19" s="365" t="s">
        <v>3883</v>
      </c>
      <c r="H19" s="365"/>
      <c r="I19" s="365" t="s">
        <v>3884</v>
      </c>
      <c r="J19" s="367" t="s">
        <v>3887</v>
      </c>
    </row>
    <row r="20" spans="1:10">
      <c r="A20" s="360" t="s">
        <v>3910</v>
      </c>
      <c r="B20" s="362">
        <v>46253</v>
      </c>
      <c r="C20" s="361" t="s">
        <v>1878</v>
      </c>
      <c r="D20" s="361" t="s">
        <v>3881</v>
      </c>
      <c r="E20" s="361"/>
      <c r="F20" s="361" t="s">
        <v>3882</v>
      </c>
      <c r="G20" s="361" t="s">
        <v>3883</v>
      </c>
      <c r="H20" s="361"/>
      <c r="I20" s="361" t="s">
        <v>3884</v>
      </c>
      <c r="J20" s="363" t="s">
        <v>3887</v>
      </c>
    </row>
    <row r="21" spans="1:10">
      <c r="A21" s="364" t="s">
        <v>3911</v>
      </c>
      <c r="B21" s="366">
        <v>46253</v>
      </c>
      <c r="C21" s="365" t="s">
        <v>1881</v>
      </c>
      <c r="D21" s="365" t="s">
        <v>3881</v>
      </c>
      <c r="E21" s="365"/>
      <c r="F21" s="365" t="s">
        <v>3894</v>
      </c>
      <c r="G21" s="365" t="s">
        <v>3883</v>
      </c>
      <c r="H21" s="365"/>
      <c r="I21" s="365" t="s">
        <v>3884</v>
      </c>
      <c r="J21" s="367" t="s">
        <v>3887</v>
      </c>
    </row>
    <row r="22" spans="1:10">
      <c r="A22" s="360" t="s">
        <v>3912</v>
      </c>
      <c r="B22" s="362">
        <v>46253</v>
      </c>
      <c r="C22" s="361" t="s">
        <v>1884</v>
      </c>
      <c r="D22" s="361" t="s">
        <v>3881</v>
      </c>
      <c r="E22" s="361"/>
      <c r="F22" s="361" t="s">
        <v>3882</v>
      </c>
      <c r="G22" s="361" t="s">
        <v>3883</v>
      </c>
      <c r="H22" s="361"/>
      <c r="I22" s="361" t="s">
        <v>3884</v>
      </c>
      <c r="J22" s="363" t="s">
        <v>3887</v>
      </c>
    </row>
    <row r="23" spans="1:10">
      <c r="A23" s="364" t="s">
        <v>3913</v>
      </c>
      <c r="B23" s="366">
        <v>46253</v>
      </c>
      <c r="C23" s="365" t="s">
        <v>1890</v>
      </c>
      <c r="D23" s="365" t="s">
        <v>3881</v>
      </c>
      <c r="E23" s="365"/>
      <c r="F23" s="365" t="s">
        <v>3882</v>
      </c>
      <c r="G23" s="365" t="s">
        <v>3883</v>
      </c>
      <c r="H23" s="365"/>
      <c r="I23" s="365" t="s">
        <v>3884</v>
      </c>
      <c r="J23" s="367" t="s">
        <v>3887</v>
      </c>
    </row>
    <row r="24" spans="1:10">
      <c r="A24" s="360" t="s">
        <v>3914</v>
      </c>
      <c r="B24" s="362">
        <v>46253</v>
      </c>
      <c r="C24" s="361" t="s">
        <v>1892</v>
      </c>
      <c r="D24" s="361" t="s">
        <v>3881</v>
      </c>
      <c r="E24" s="361"/>
      <c r="F24" s="361" t="s">
        <v>3882</v>
      </c>
      <c r="G24" s="361" t="s">
        <v>3883</v>
      </c>
      <c r="H24" s="361"/>
      <c r="I24" s="361" t="s">
        <v>3884</v>
      </c>
      <c r="J24" s="363" t="s">
        <v>3898</v>
      </c>
    </row>
    <row r="25" spans="1:10">
      <c r="A25" s="364" t="s">
        <v>3915</v>
      </c>
      <c r="B25" s="366">
        <v>46253</v>
      </c>
      <c r="C25" s="365" t="s">
        <v>1886</v>
      </c>
      <c r="D25" s="365" t="s">
        <v>3881</v>
      </c>
      <c r="E25" s="365"/>
      <c r="F25" s="365" t="s">
        <v>3881</v>
      </c>
      <c r="G25" s="365" t="s">
        <v>3883</v>
      </c>
      <c r="H25" s="365"/>
      <c r="I25" s="365" t="s">
        <v>3884</v>
      </c>
      <c r="J25" s="367" t="s">
        <v>3887</v>
      </c>
    </row>
    <row r="26" spans="1:10">
      <c r="A26" s="360" t="s">
        <v>3916</v>
      </c>
      <c r="B26" s="362">
        <v>46254</v>
      </c>
      <c r="C26" s="361" t="s">
        <v>1893</v>
      </c>
      <c r="D26" s="361" t="s">
        <v>3881</v>
      </c>
      <c r="E26" s="361"/>
      <c r="F26" s="361" t="s">
        <v>3882</v>
      </c>
      <c r="G26" s="361" t="s">
        <v>3883</v>
      </c>
      <c r="H26" s="361"/>
      <c r="I26" s="361" t="s">
        <v>3884</v>
      </c>
      <c r="J26" s="363" t="s">
        <v>3885</v>
      </c>
    </row>
    <row r="27" spans="1:10">
      <c r="A27" s="364" t="s">
        <v>3917</v>
      </c>
      <c r="B27" s="366">
        <v>46254</v>
      </c>
      <c r="C27" s="365" t="s">
        <v>1875</v>
      </c>
      <c r="D27" s="365" t="s">
        <v>3881</v>
      </c>
      <c r="E27" s="365"/>
      <c r="F27" s="365" t="s">
        <v>3882</v>
      </c>
      <c r="G27" s="365" t="s">
        <v>3883</v>
      </c>
      <c r="H27" s="365"/>
      <c r="I27" s="365" t="s">
        <v>3884</v>
      </c>
      <c r="J27" s="367" t="s">
        <v>3887</v>
      </c>
    </row>
    <row r="28" spans="1:10">
      <c r="A28" s="360" t="s">
        <v>3918</v>
      </c>
      <c r="B28" s="362">
        <v>46254</v>
      </c>
      <c r="C28" s="361" t="s">
        <v>1878</v>
      </c>
      <c r="D28" s="361" t="s">
        <v>3881</v>
      </c>
      <c r="E28" s="361"/>
      <c r="F28" s="361" t="s">
        <v>3882</v>
      </c>
      <c r="G28" s="361" t="s">
        <v>3883</v>
      </c>
      <c r="H28" s="361"/>
      <c r="I28" s="361" t="s">
        <v>3884</v>
      </c>
      <c r="J28" s="363" t="s">
        <v>3887</v>
      </c>
    </row>
    <row r="29" spans="1:10">
      <c r="A29" s="364" t="s">
        <v>3919</v>
      </c>
      <c r="B29" s="366">
        <v>46254</v>
      </c>
      <c r="C29" s="365" t="s">
        <v>1881</v>
      </c>
      <c r="D29" s="365" t="s">
        <v>3881</v>
      </c>
      <c r="E29" s="365"/>
      <c r="F29" s="365" t="s">
        <v>3894</v>
      </c>
      <c r="G29" s="365" t="s">
        <v>3883</v>
      </c>
      <c r="H29" s="365"/>
      <c r="I29" s="365" t="s">
        <v>3884</v>
      </c>
      <c r="J29" s="367" t="s">
        <v>3887</v>
      </c>
    </row>
    <row r="30" spans="1:10">
      <c r="A30" s="360" t="s">
        <v>3920</v>
      </c>
      <c r="B30" s="362">
        <v>46254</v>
      </c>
      <c r="C30" s="361" t="s">
        <v>1884</v>
      </c>
      <c r="D30" s="361" t="s">
        <v>3881</v>
      </c>
      <c r="E30" s="361"/>
      <c r="F30" s="361" t="s">
        <v>3882</v>
      </c>
      <c r="G30" s="361" t="s">
        <v>3883</v>
      </c>
      <c r="H30" s="361"/>
      <c r="I30" s="361" t="s">
        <v>3884</v>
      </c>
      <c r="J30" s="363" t="s">
        <v>3887</v>
      </c>
    </row>
    <row r="31" spans="1:10">
      <c r="A31" s="364" t="s">
        <v>3921</v>
      </c>
      <c r="B31" s="366">
        <v>46254</v>
      </c>
      <c r="C31" s="365" t="s">
        <v>1890</v>
      </c>
      <c r="D31" s="365" t="s">
        <v>3881</v>
      </c>
      <c r="E31" s="365"/>
      <c r="F31" s="365" t="s">
        <v>3882</v>
      </c>
      <c r="G31" s="365" t="s">
        <v>3883</v>
      </c>
      <c r="H31" s="365"/>
      <c r="I31" s="365" t="s">
        <v>3884</v>
      </c>
      <c r="J31" s="367" t="s">
        <v>3887</v>
      </c>
    </row>
    <row r="32" spans="1:10">
      <c r="A32" s="360" t="s">
        <v>3922</v>
      </c>
      <c r="B32" s="362">
        <v>46254</v>
      </c>
      <c r="C32" s="361" t="s">
        <v>1892</v>
      </c>
      <c r="D32" s="361" t="s">
        <v>3881</v>
      </c>
      <c r="E32" s="361"/>
      <c r="F32" s="361" t="s">
        <v>3882</v>
      </c>
      <c r="G32" s="361" t="s">
        <v>3883</v>
      </c>
      <c r="H32" s="361"/>
      <c r="I32" s="361" t="s">
        <v>3884</v>
      </c>
      <c r="J32" s="363" t="s">
        <v>3898</v>
      </c>
    </row>
    <row r="33" spans="1:10">
      <c r="A33" s="364" t="s">
        <v>3923</v>
      </c>
      <c r="B33" s="366">
        <v>46254</v>
      </c>
      <c r="C33" s="365" t="s">
        <v>1886</v>
      </c>
      <c r="D33" s="365" t="s">
        <v>3881</v>
      </c>
      <c r="E33" s="365"/>
      <c r="F33" s="365" t="s">
        <v>3881</v>
      </c>
      <c r="G33" s="365" t="s">
        <v>3883</v>
      </c>
      <c r="H33" s="365"/>
      <c r="I33" s="365" t="s">
        <v>3884</v>
      </c>
      <c r="J33" s="367" t="s">
        <v>3887</v>
      </c>
    </row>
    <row r="34" spans="1:10">
      <c r="A34" s="360" t="s">
        <v>3924</v>
      </c>
      <c r="B34" s="362">
        <v>46255</v>
      </c>
      <c r="C34" s="361" t="s">
        <v>1893</v>
      </c>
      <c r="D34" s="361" t="s">
        <v>3881</v>
      </c>
      <c r="E34" s="361"/>
      <c r="F34" s="361" t="s">
        <v>3882</v>
      </c>
      <c r="G34" s="361" t="s">
        <v>3883</v>
      </c>
      <c r="H34" s="361"/>
      <c r="I34" s="361" t="s">
        <v>3884</v>
      </c>
      <c r="J34" s="363" t="s">
        <v>3885</v>
      </c>
    </row>
    <row r="35" spans="1:10">
      <c r="A35" s="364" t="s">
        <v>3925</v>
      </c>
      <c r="B35" s="366">
        <v>46255</v>
      </c>
      <c r="C35" s="365" t="s">
        <v>1875</v>
      </c>
      <c r="D35" s="365" t="s">
        <v>3881</v>
      </c>
      <c r="E35" s="365"/>
      <c r="F35" s="365" t="s">
        <v>3882</v>
      </c>
      <c r="G35" s="365" t="s">
        <v>3883</v>
      </c>
      <c r="H35" s="365"/>
      <c r="I35" s="365" t="s">
        <v>3884</v>
      </c>
      <c r="J35" s="367" t="s">
        <v>3887</v>
      </c>
    </row>
    <row r="36" spans="1:10">
      <c r="A36" s="360" t="s">
        <v>3926</v>
      </c>
      <c r="B36" s="362">
        <v>46255</v>
      </c>
      <c r="C36" s="361" t="s">
        <v>1878</v>
      </c>
      <c r="D36" s="361" t="s">
        <v>3881</v>
      </c>
      <c r="E36" s="361"/>
      <c r="F36" s="361" t="s">
        <v>3882</v>
      </c>
      <c r="G36" s="361" t="s">
        <v>3883</v>
      </c>
      <c r="H36" s="361"/>
      <c r="I36" s="361" t="s">
        <v>3884</v>
      </c>
      <c r="J36" s="363" t="s">
        <v>3887</v>
      </c>
    </row>
    <row r="37" spans="1:10">
      <c r="A37" s="364" t="s">
        <v>3927</v>
      </c>
      <c r="B37" s="366">
        <v>46255</v>
      </c>
      <c r="C37" s="365" t="s">
        <v>1881</v>
      </c>
      <c r="D37" s="365" t="s">
        <v>3881</v>
      </c>
      <c r="E37" s="365"/>
      <c r="F37" s="365" t="s">
        <v>3894</v>
      </c>
      <c r="G37" s="365" t="s">
        <v>3883</v>
      </c>
      <c r="H37" s="365"/>
      <c r="I37" s="365" t="s">
        <v>3884</v>
      </c>
      <c r="J37" s="367" t="s">
        <v>3887</v>
      </c>
    </row>
    <row r="38" spans="1:10">
      <c r="A38" s="360" t="s">
        <v>3928</v>
      </c>
      <c r="B38" s="362">
        <v>46255</v>
      </c>
      <c r="C38" s="361" t="s">
        <v>1884</v>
      </c>
      <c r="D38" s="361" t="s">
        <v>3881</v>
      </c>
      <c r="E38" s="361"/>
      <c r="F38" s="361" t="s">
        <v>3882</v>
      </c>
      <c r="G38" s="361" t="s">
        <v>3883</v>
      </c>
      <c r="H38" s="361"/>
      <c r="I38" s="361" t="s">
        <v>3884</v>
      </c>
      <c r="J38" s="363" t="s">
        <v>3887</v>
      </c>
    </row>
    <row r="39" spans="1:10">
      <c r="A39" s="364" t="s">
        <v>3929</v>
      </c>
      <c r="B39" s="366">
        <v>46255</v>
      </c>
      <c r="C39" s="365" t="s">
        <v>1890</v>
      </c>
      <c r="D39" s="365" t="s">
        <v>3881</v>
      </c>
      <c r="E39" s="365"/>
      <c r="F39" s="365" t="s">
        <v>3882</v>
      </c>
      <c r="G39" s="365" t="s">
        <v>3883</v>
      </c>
      <c r="H39" s="365"/>
      <c r="I39" s="365" t="s">
        <v>3884</v>
      </c>
      <c r="J39" s="367" t="s">
        <v>3887</v>
      </c>
    </row>
    <row r="40" spans="1:10">
      <c r="A40" s="360" t="s">
        <v>3930</v>
      </c>
      <c r="B40" s="362">
        <v>46255</v>
      </c>
      <c r="C40" s="361" t="s">
        <v>1892</v>
      </c>
      <c r="D40" s="361" t="s">
        <v>3881</v>
      </c>
      <c r="E40" s="361"/>
      <c r="F40" s="361" t="s">
        <v>3882</v>
      </c>
      <c r="G40" s="361" t="s">
        <v>3883</v>
      </c>
      <c r="H40" s="361"/>
      <c r="I40" s="361" t="s">
        <v>3884</v>
      </c>
      <c r="J40" s="363" t="s">
        <v>3898</v>
      </c>
    </row>
    <row r="41" spans="1:10">
      <c r="A41" s="364" t="s">
        <v>3931</v>
      </c>
      <c r="B41" s="366">
        <v>46255</v>
      </c>
      <c r="C41" s="365" t="s">
        <v>1886</v>
      </c>
      <c r="D41" s="365" t="s">
        <v>3881</v>
      </c>
      <c r="E41" s="365"/>
      <c r="F41" s="365" t="s">
        <v>3881</v>
      </c>
      <c r="G41" s="365" t="s">
        <v>3883</v>
      </c>
      <c r="H41" s="365"/>
      <c r="I41" s="365" t="s">
        <v>3884</v>
      </c>
      <c r="J41" s="367" t="s">
        <v>3887</v>
      </c>
    </row>
    <row r="42" spans="1:10">
      <c r="A42" s="360" t="s">
        <v>3932</v>
      </c>
      <c r="B42" s="362">
        <v>46258</v>
      </c>
      <c r="C42" s="361" t="s">
        <v>1893</v>
      </c>
      <c r="D42" s="361" t="s">
        <v>3881</v>
      </c>
      <c r="E42" s="361"/>
      <c r="F42" s="361" t="s">
        <v>3882</v>
      </c>
      <c r="G42" s="361" t="s">
        <v>3883</v>
      </c>
      <c r="H42" s="361"/>
      <c r="I42" s="361" t="s">
        <v>3884</v>
      </c>
      <c r="J42" s="363" t="s">
        <v>3885</v>
      </c>
    </row>
    <row r="43" spans="1:10">
      <c r="A43" s="364" t="s">
        <v>3933</v>
      </c>
      <c r="B43" s="366">
        <v>46258</v>
      </c>
      <c r="C43" s="365" t="s">
        <v>1875</v>
      </c>
      <c r="D43" s="365" t="s">
        <v>3881</v>
      </c>
      <c r="E43" s="365"/>
      <c r="F43" s="365" t="s">
        <v>3882</v>
      </c>
      <c r="G43" s="365" t="s">
        <v>3883</v>
      </c>
      <c r="H43" s="365"/>
      <c r="I43" s="365" t="s">
        <v>3884</v>
      </c>
      <c r="J43" s="367" t="s">
        <v>3887</v>
      </c>
    </row>
    <row r="44" spans="1:10">
      <c r="A44" s="360" t="s">
        <v>3934</v>
      </c>
      <c r="B44" s="362">
        <v>46258</v>
      </c>
      <c r="C44" s="361" t="s">
        <v>1878</v>
      </c>
      <c r="D44" s="361" t="s">
        <v>3881</v>
      </c>
      <c r="E44" s="361"/>
      <c r="F44" s="361" t="s">
        <v>3882</v>
      </c>
      <c r="G44" s="361" t="s">
        <v>3883</v>
      </c>
      <c r="H44" s="361"/>
      <c r="I44" s="361" t="s">
        <v>3884</v>
      </c>
      <c r="J44" s="363" t="s">
        <v>3887</v>
      </c>
    </row>
    <row r="45" spans="1:10">
      <c r="A45" s="364" t="s">
        <v>3935</v>
      </c>
      <c r="B45" s="366">
        <v>46258</v>
      </c>
      <c r="C45" s="365" t="s">
        <v>1881</v>
      </c>
      <c r="D45" s="365" t="s">
        <v>3881</v>
      </c>
      <c r="E45" s="365"/>
      <c r="F45" s="365" t="s">
        <v>3894</v>
      </c>
      <c r="G45" s="365" t="s">
        <v>3883</v>
      </c>
      <c r="H45" s="365"/>
      <c r="I45" s="365" t="s">
        <v>3884</v>
      </c>
      <c r="J45" s="367" t="s">
        <v>3887</v>
      </c>
    </row>
    <row r="46" spans="1:10">
      <c r="A46" s="360" t="s">
        <v>3936</v>
      </c>
      <c r="B46" s="362">
        <v>46258</v>
      </c>
      <c r="C46" s="361" t="s">
        <v>1884</v>
      </c>
      <c r="D46" s="361" t="s">
        <v>3881</v>
      </c>
      <c r="E46" s="361"/>
      <c r="F46" s="361" t="s">
        <v>3882</v>
      </c>
      <c r="G46" s="361" t="s">
        <v>3883</v>
      </c>
      <c r="H46" s="361"/>
      <c r="I46" s="361" t="s">
        <v>3884</v>
      </c>
      <c r="J46" s="363" t="s">
        <v>3887</v>
      </c>
    </row>
    <row r="47" spans="1:10">
      <c r="A47" s="364" t="s">
        <v>3937</v>
      </c>
      <c r="B47" s="366">
        <v>46258</v>
      </c>
      <c r="C47" s="365" t="s">
        <v>1890</v>
      </c>
      <c r="D47" s="365" t="s">
        <v>3881</v>
      </c>
      <c r="E47" s="365"/>
      <c r="F47" s="365" t="s">
        <v>3882</v>
      </c>
      <c r="G47" s="365" t="s">
        <v>3883</v>
      </c>
      <c r="H47" s="365"/>
      <c r="I47" s="365" t="s">
        <v>3884</v>
      </c>
      <c r="J47" s="367" t="s">
        <v>3887</v>
      </c>
    </row>
    <row r="48" spans="1:10">
      <c r="A48" s="360" t="s">
        <v>3938</v>
      </c>
      <c r="B48" s="362">
        <v>46258</v>
      </c>
      <c r="C48" s="361" t="s">
        <v>1892</v>
      </c>
      <c r="D48" s="361" t="s">
        <v>3881</v>
      </c>
      <c r="E48" s="361"/>
      <c r="F48" s="361" t="s">
        <v>3882</v>
      </c>
      <c r="G48" s="361" t="s">
        <v>3883</v>
      </c>
      <c r="H48" s="361"/>
      <c r="I48" s="361" t="s">
        <v>3884</v>
      </c>
      <c r="J48" s="363" t="s">
        <v>3898</v>
      </c>
    </row>
    <row r="49" spans="1:10">
      <c r="A49" s="364" t="s">
        <v>3939</v>
      </c>
      <c r="B49" s="366">
        <v>46258</v>
      </c>
      <c r="C49" s="365" t="s">
        <v>1886</v>
      </c>
      <c r="D49" s="365" t="s">
        <v>3881</v>
      </c>
      <c r="E49" s="365"/>
      <c r="F49" s="365" t="s">
        <v>3881</v>
      </c>
      <c r="G49" s="365" t="s">
        <v>3883</v>
      </c>
      <c r="H49" s="365"/>
      <c r="I49" s="365" t="s">
        <v>3884</v>
      </c>
      <c r="J49" s="367" t="s">
        <v>3887</v>
      </c>
    </row>
    <row r="50" spans="1:10">
      <c r="A50" s="360" t="s">
        <v>3940</v>
      </c>
      <c r="B50" s="362">
        <v>46259</v>
      </c>
      <c r="C50" s="361" t="s">
        <v>1893</v>
      </c>
      <c r="D50" s="361" t="s">
        <v>3941</v>
      </c>
      <c r="E50" s="361"/>
      <c r="F50" s="361" t="s">
        <v>3942</v>
      </c>
      <c r="G50" s="361" t="s">
        <v>3883</v>
      </c>
      <c r="H50" s="361"/>
      <c r="I50" s="361" t="s">
        <v>3884</v>
      </c>
      <c r="J50" s="363" t="s">
        <v>3943</v>
      </c>
    </row>
    <row r="51" spans="1:10">
      <c r="A51" s="364" t="s">
        <v>3944</v>
      </c>
      <c r="B51" s="366">
        <v>46259</v>
      </c>
      <c r="C51" s="365" t="s">
        <v>1875</v>
      </c>
      <c r="D51" s="365" t="s">
        <v>3941</v>
      </c>
      <c r="E51" s="365"/>
      <c r="F51" s="365" t="s">
        <v>3945</v>
      </c>
      <c r="G51" s="365" t="s">
        <v>3883</v>
      </c>
      <c r="H51" s="365"/>
      <c r="I51" s="365" t="s">
        <v>3884</v>
      </c>
      <c r="J51" s="367" t="s">
        <v>3946</v>
      </c>
    </row>
    <row r="52" spans="1:10">
      <c r="A52" s="360" t="s">
        <v>3947</v>
      </c>
      <c r="B52" s="362">
        <v>46259</v>
      </c>
      <c r="C52" s="361" t="s">
        <v>1878</v>
      </c>
      <c r="D52" s="361" t="s">
        <v>3941</v>
      </c>
      <c r="E52" s="361"/>
      <c r="F52" s="361" t="s">
        <v>3942</v>
      </c>
      <c r="G52" s="361" t="s">
        <v>3883</v>
      </c>
      <c r="H52" s="361"/>
      <c r="I52" s="361" t="s">
        <v>3884</v>
      </c>
      <c r="J52" s="363" t="s">
        <v>3943</v>
      </c>
    </row>
    <row r="53" spans="1:10">
      <c r="A53" s="364" t="s">
        <v>3948</v>
      </c>
      <c r="B53" s="366">
        <v>46259</v>
      </c>
      <c r="C53" s="365" t="s">
        <v>1881</v>
      </c>
      <c r="D53" s="365" t="s">
        <v>3941</v>
      </c>
      <c r="E53" s="365"/>
      <c r="F53" s="365" t="s">
        <v>3942</v>
      </c>
      <c r="G53" s="365" t="s">
        <v>3883</v>
      </c>
      <c r="H53" s="365"/>
      <c r="I53" s="365" t="s">
        <v>3884</v>
      </c>
      <c r="J53" s="367" t="s">
        <v>3943</v>
      </c>
    </row>
    <row r="54" spans="1:10">
      <c r="A54" s="360" t="s">
        <v>3949</v>
      </c>
      <c r="B54" s="362">
        <v>46259</v>
      </c>
      <c r="C54" s="361" t="s">
        <v>1884</v>
      </c>
      <c r="D54" s="361" t="s">
        <v>3941</v>
      </c>
      <c r="E54" s="361"/>
      <c r="F54" s="361" t="s">
        <v>3942</v>
      </c>
      <c r="G54" s="361" t="s">
        <v>3883</v>
      </c>
      <c r="H54" s="361"/>
      <c r="I54" s="361" t="s">
        <v>3884</v>
      </c>
      <c r="J54" s="363" t="s">
        <v>3943</v>
      </c>
    </row>
    <row r="55" spans="1:10">
      <c r="A55" s="364" t="s">
        <v>3950</v>
      </c>
      <c r="B55" s="366">
        <v>46259</v>
      </c>
      <c r="C55" s="365" t="s">
        <v>1890</v>
      </c>
      <c r="D55" s="365" t="s">
        <v>3941</v>
      </c>
      <c r="E55" s="365"/>
      <c r="F55" s="365" t="s">
        <v>3942</v>
      </c>
      <c r="G55" s="365" t="s">
        <v>3883</v>
      </c>
      <c r="H55" s="365"/>
      <c r="I55" s="365" t="s">
        <v>3884</v>
      </c>
      <c r="J55" s="367" t="s">
        <v>3943</v>
      </c>
    </row>
    <row r="56" spans="1:10">
      <c r="A56" s="360" t="s">
        <v>3951</v>
      </c>
      <c r="B56" s="362">
        <v>46259</v>
      </c>
      <c r="C56" s="361" t="s">
        <v>1892</v>
      </c>
      <c r="D56" s="361" t="s">
        <v>3941</v>
      </c>
      <c r="E56" s="361"/>
      <c r="F56" s="361" t="s">
        <v>3942</v>
      </c>
      <c r="G56" s="361" t="s">
        <v>3883</v>
      </c>
      <c r="H56" s="361"/>
      <c r="I56" s="361" t="s">
        <v>3884</v>
      </c>
      <c r="J56" s="363" t="s">
        <v>3943</v>
      </c>
    </row>
    <row r="57" spans="1:10">
      <c r="A57" s="364" t="s">
        <v>3952</v>
      </c>
      <c r="B57" s="366">
        <v>46259</v>
      </c>
      <c r="C57" s="365" t="s">
        <v>1886</v>
      </c>
      <c r="D57" s="365" t="s">
        <v>3941</v>
      </c>
      <c r="E57" s="365"/>
      <c r="F57" s="365" t="s">
        <v>3953</v>
      </c>
      <c r="G57" s="365" t="s">
        <v>3883</v>
      </c>
      <c r="H57" s="365"/>
      <c r="I57" s="365" t="s">
        <v>3884</v>
      </c>
      <c r="J57" s="367" t="s">
        <v>3954</v>
      </c>
    </row>
    <row r="58" spans="1:10">
      <c r="A58" s="291" t="s">
        <v>3955</v>
      </c>
      <c r="B58" s="350">
        <v>46265</v>
      </c>
      <c r="C58" s="291" t="s">
        <v>1908</v>
      </c>
      <c r="D58" s="291" t="s">
        <v>3881</v>
      </c>
      <c r="E58" s="291"/>
      <c r="F58" s="291"/>
      <c r="G58" s="291" t="s">
        <v>3956</v>
      </c>
      <c r="H58" s="291" t="s">
        <v>3957</v>
      </c>
      <c r="I58" s="291" t="s">
        <v>3884</v>
      </c>
      <c r="J58" s="291" t="s">
        <v>3958</v>
      </c>
    </row>
    <row r="59" spans="1:10">
      <c r="A59" s="291" t="s">
        <v>3959</v>
      </c>
      <c r="B59" s="291" t="s">
        <v>3960</v>
      </c>
      <c r="C59" s="291" t="s">
        <v>1875</v>
      </c>
      <c r="D59" s="291" t="s">
        <v>3881</v>
      </c>
      <c r="E59" s="291"/>
      <c r="F59" s="291" t="s">
        <v>3881</v>
      </c>
      <c r="G59" s="291" t="s">
        <v>3883</v>
      </c>
      <c r="H59" s="291"/>
      <c r="I59" s="291" t="s">
        <v>3884</v>
      </c>
      <c r="J59" s="291" t="s">
        <v>3961</v>
      </c>
    </row>
    <row r="60" spans="1:10">
      <c r="A60" s="291" t="s">
        <v>3962</v>
      </c>
      <c r="B60" s="291" t="s">
        <v>3960</v>
      </c>
      <c r="C60" s="291" t="s">
        <v>1878</v>
      </c>
      <c r="D60" s="291" t="s">
        <v>3881</v>
      </c>
      <c r="E60" s="291"/>
      <c r="F60" s="291" t="s">
        <v>3963</v>
      </c>
      <c r="G60" s="291" t="s">
        <v>3883</v>
      </c>
      <c r="H60" s="291"/>
      <c r="I60" s="291" t="s">
        <v>3884</v>
      </c>
      <c r="J60" s="291" t="s">
        <v>3964</v>
      </c>
    </row>
    <row r="61" spans="1:10">
      <c r="A61" s="291" t="s">
        <v>3965</v>
      </c>
      <c r="B61" s="350">
        <v>46276</v>
      </c>
      <c r="C61" s="291" t="s">
        <v>1911</v>
      </c>
      <c r="D61" s="291" t="s">
        <v>3881</v>
      </c>
      <c r="E61" s="291"/>
      <c r="F61" s="291"/>
      <c r="G61" s="291" t="s">
        <v>3966</v>
      </c>
      <c r="H61" s="291" t="s">
        <v>3967</v>
      </c>
      <c r="I61" s="291" t="s">
        <v>3884</v>
      </c>
      <c r="J61" s="291" t="s">
        <v>3968</v>
      </c>
    </row>
    <row r="62" spans="1:10">
      <c r="A62" s="291" t="s">
        <v>3969</v>
      </c>
      <c r="B62" s="291" t="s">
        <v>3970</v>
      </c>
      <c r="C62" s="291" t="s">
        <v>1875</v>
      </c>
      <c r="D62" s="291" t="s">
        <v>3941</v>
      </c>
      <c r="E62" s="291"/>
      <c r="F62" s="291" t="s">
        <v>3941</v>
      </c>
      <c r="G62" s="291" t="s">
        <v>3883</v>
      </c>
      <c r="H62" s="291"/>
      <c r="I62" s="291" t="s">
        <v>3884</v>
      </c>
      <c r="J62" s="291" t="s">
        <v>3971</v>
      </c>
    </row>
    <row r="63" spans="1:10">
      <c r="A63" s="291" t="s">
        <v>3972</v>
      </c>
      <c r="B63" s="291" t="s">
        <v>3970</v>
      </c>
      <c r="C63" s="291" t="s">
        <v>1878</v>
      </c>
      <c r="D63" s="291" t="s">
        <v>3941</v>
      </c>
      <c r="E63" s="291"/>
      <c r="F63" s="291" t="s">
        <v>3941</v>
      </c>
      <c r="G63" s="291" t="s">
        <v>3883</v>
      </c>
      <c r="H63" s="291"/>
      <c r="I63" s="291" t="s">
        <v>3884</v>
      </c>
      <c r="J63" s="291" t="s">
        <v>3971</v>
      </c>
    </row>
    <row r="64" spans="1:10">
      <c r="A64" s="291" t="s">
        <v>3973</v>
      </c>
      <c r="B64" s="291" t="s">
        <v>3970</v>
      </c>
      <c r="C64" s="291" t="s">
        <v>1881</v>
      </c>
      <c r="D64" s="291" t="s">
        <v>3941</v>
      </c>
      <c r="E64" s="291"/>
      <c r="F64" s="291" t="s">
        <v>3974</v>
      </c>
      <c r="G64" s="291" t="s">
        <v>3883</v>
      </c>
      <c r="H64" s="291"/>
      <c r="I64" s="291" t="s">
        <v>3884</v>
      </c>
      <c r="J64" s="291" t="s">
        <v>3975</v>
      </c>
    </row>
    <row r="65" spans="1:10">
      <c r="A65" s="291" t="s">
        <v>3976</v>
      </c>
      <c r="B65" s="291" t="s">
        <v>3970</v>
      </c>
      <c r="C65" s="291" t="s">
        <v>1884</v>
      </c>
      <c r="D65" s="291" t="s">
        <v>3941</v>
      </c>
      <c r="E65" s="291"/>
      <c r="F65" s="291" t="s">
        <v>3977</v>
      </c>
      <c r="G65" s="291" t="s">
        <v>3883</v>
      </c>
      <c r="H65" s="291"/>
      <c r="I65" s="291" t="s">
        <v>3884</v>
      </c>
      <c r="J65" s="291" t="s">
        <v>3978</v>
      </c>
    </row>
    <row r="66" spans="1:10">
      <c r="A66" s="291" t="s">
        <v>3979</v>
      </c>
      <c r="B66" s="291" t="s">
        <v>3970</v>
      </c>
      <c r="C66" s="291" t="s">
        <v>1892</v>
      </c>
      <c r="D66" s="291" t="s">
        <v>3881</v>
      </c>
      <c r="E66" s="291"/>
      <c r="F66" s="291" t="s">
        <v>3881</v>
      </c>
      <c r="G66" s="291" t="s">
        <v>3883</v>
      </c>
      <c r="H66" s="291"/>
      <c r="I66" s="291" t="s">
        <v>3884</v>
      </c>
      <c r="J66" s="291" t="s">
        <v>3961</v>
      </c>
    </row>
    <row r="67" spans="1:10">
      <c r="A67" s="291" t="s">
        <v>3980</v>
      </c>
      <c r="B67" s="291" t="s">
        <v>3981</v>
      </c>
      <c r="C67" s="291" t="s">
        <v>1881</v>
      </c>
      <c r="D67" s="291" t="s">
        <v>3941</v>
      </c>
      <c r="E67" s="291"/>
      <c r="F67" s="291" t="s">
        <v>3982</v>
      </c>
      <c r="G67" s="291" t="s">
        <v>3883</v>
      </c>
      <c r="H67" s="291"/>
      <c r="I67" s="291" t="s">
        <v>3884</v>
      </c>
      <c r="J67" s="291" t="s">
        <v>3983</v>
      </c>
    </row>
    <row r="68" spans="1:10">
      <c r="A68" s="291" t="s">
        <v>3984</v>
      </c>
      <c r="B68" s="291" t="s">
        <v>3985</v>
      </c>
      <c r="C68" s="291" t="s">
        <v>1884</v>
      </c>
      <c r="D68" s="291" t="s">
        <v>3941</v>
      </c>
      <c r="E68" s="291"/>
      <c r="F68" s="291" t="s">
        <v>3986</v>
      </c>
      <c r="G68" s="291" t="s">
        <v>3883</v>
      </c>
      <c r="H68" s="291"/>
      <c r="I68" s="291" t="s">
        <v>3884</v>
      </c>
      <c r="J68" s="291" t="s">
        <v>3987</v>
      </c>
    </row>
    <row r="69" spans="1:10">
      <c r="A69" s="291" t="s">
        <v>3988</v>
      </c>
      <c r="B69" s="291" t="s">
        <v>3989</v>
      </c>
      <c r="C69" s="291" t="s">
        <v>1893</v>
      </c>
      <c r="D69" s="291" t="s">
        <v>3941</v>
      </c>
      <c r="E69" s="291"/>
      <c r="F69" s="291" t="s">
        <v>3990</v>
      </c>
      <c r="G69" s="291" t="s">
        <v>3883</v>
      </c>
      <c r="H69" s="291"/>
      <c r="I69" s="291" t="s">
        <v>3884</v>
      </c>
      <c r="J69" s="291" t="s">
        <v>3991</v>
      </c>
    </row>
    <row r="70" spans="1:10">
      <c r="A70" s="291" t="s">
        <v>3992</v>
      </c>
      <c r="B70" s="291" t="s">
        <v>3989</v>
      </c>
      <c r="C70" s="291" t="s">
        <v>1892</v>
      </c>
      <c r="D70" s="291" t="s">
        <v>3941</v>
      </c>
      <c r="E70" s="291"/>
      <c r="F70" s="291" t="s">
        <v>3986</v>
      </c>
      <c r="G70" s="291" t="s">
        <v>3883</v>
      </c>
      <c r="H70" s="291"/>
      <c r="I70" s="291" t="s">
        <v>3884</v>
      </c>
      <c r="J70" s="291" t="s">
        <v>3987</v>
      </c>
    </row>
    <row r="71" spans="1:10">
      <c r="A71" s="291" t="s">
        <v>3993</v>
      </c>
      <c r="B71" s="291" t="s">
        <v>3994</v>
      </c>
      <c r="C71" s="291" t="s">
        <v>1878</v>
      </c>
      <c r="D71" s="291" t="s">
        <v>3941</v>
      </c>
      <c r="E71" s="291"/>
      <c r="F71" s="291" t="s">
        <v>3986</v>
      </c>
      <c r="G71" s="291" t="s">
        <v>3883</v>
      </c>
      <c r="H71" s="291"/>
      <c r="I71" s="291" t="s">
        <v>3884</v>
      </c>
      <c r="J71" s="291" t="s">
        <v>3987</v>
      </c>
    </row>
    <row r="72" spans="1:10">
      <c r="A72" s="291" t="s">
        <v>3995</v>
      </c>
      <c r="B72" s="291" t="s">
        <v>3996</v>
      </c>
      <c r="C72" s="291" t="s">
        <v>1890</v>
      </c>
      <c r="D72" s="291" t="s">
        <v>3881</v>
      </c>
      <c r="E72" s="291"/>
      <c r="F72" s="291" t="s">
        <v>3881</v>
      </c>
      <c r="G72" s="291" t="s">
        <v>3883</v>
      </c>
      <c r="H72" s="291"/>
      <c r="I72" s="291" t="s">
        <v>3884</v>
      </c>
      <c r="J72" s="291" t="s">
        <v>3961</v>
      </c>
    </row>
    <row r="73" spans="1:10">
      <c r="A73" s="291" t="s">
        <v>3997</v>
      </c>
      <c r="B73" s="291" t="s">
        <v>3998</v>
      </c>
      <c r="C73" s="291" t="s">
        <v>1881</v>
      </c>
      <c r="D73" s="291" t="s">
        <v>3941</v>
      </c>
      <c r="E73" s="291"/>
      <c r="F73" s="291" t="s">
        <v>3999</v>
      </c>
      <c r="G73" s="291" t="s">
        <v>3883</v>
      </c>
      <c r="H73" s="291"/>
      <c r="I73" s="291" t="s">
        <v>3884</v>
      </c>
      <c r="J73" s="291" t="s">
        <v>4000</v>
      </c>
    </row>
    <row r="74" spans="1:10">
      <c r="A74" s="291" t="s">
        <v>4001</v>
      </c>
      <c r="B74" s="291" t="s">
        <v>3998</v>
      </c>
      <c r="C74" s="291" t="s">
        <v>1890</v>
      </c>
      <c r="D74" s="291" t="s">
        <v>3941</v>
      </c>
      <c r="E74" s="291"/>
      <c r="F74" s="291" t="s">
        <v>3986</v>
      </c>
      <c r="G74" s="291" t="s">
        <v>3883</v>
      </c>
      <c r="H74" s="291"/>
      <c r="I74" s="291" t="s">
        <v>3884</v>
      </c>
      <c r="J74" s="291" t="s">
        <v>3987</v>
      </c>
    </row>
    <row r="75" spans="1:10">
      <c r="A75" s="291" t="s">
        <v>4002</v>
      </c>
      <c r="B75" s="291" t="s">
        <v>3998</v>
      </c>
      <c r="C75" s="291" t="s">
        <v>1886</v>
      </c>
      <c r="D75" s="291" t="s">
        <v>3941</v>
      </c>
      <c r="E75" s="291"/>
      <c r="F75" s="291" t="s">
        <v>3986</v>
      </c>
      <c r="G75" s="291" t="s">
        <v>3883</v>
      </c>
      <c r="H75" s="291"/>
      <c r="I75" s="291" t="s">
        <v>3884</v>
      </c>
      <c r="J75" s="291" t="s">
        <v>3987</v>
      </c>
    </row>
    <row r="76" spans="1:10">
      <c r="A76" s="291" t="s">
        <v>4003</v>
      </c>
      <c r="B76" s="291" t="s">
        <v>4004</v>
      </c>
      <c r="C76" s="291" t="s">
        <v>1893</v>
      </c>
      <c r="D76" s="291" t="s">
        <v>3941</v>
      </c>
      <c r="E76" s="291"/>
      <c r="F76" s="291" t="s">
        <v>4005</v>
      </c>
      <c r="G76" s="291" t="s">
        <v>3883</v>
      </c>
      <c r="H76" s="291"/>
      <c r="I76" s="291" t="s">
        <v>3884</v>
      </c>
      <c r="J76" s="291" t="s">
        <v>4006</v>
      </c>
    </row>
    <row r="77" spans="1:10">
      <c r="A77" s="291" t="s">
        <v>4007</v>
      </c>
      <c r="B77" s="291" t="s">
        <v>4004</v>
      </c>
      <c r="C77" s="291" t="s">
        <v>1881</v>
      </c>
      <c r="D77" s="291" t="s">
        <v>3881</v>
      </c>
      <c r="E77" s="291"/>
      <c r="F77" s="291" t="s">
        <v>3881</v>
      </c>
      <c r="G77" s="291" t="s">
        <v>3883</v>
      </c>
      <c r="H77" s="291"/>
      <c r="I77" s="291" t="s">
        <v>3884</v>
      </c>
      <c r="J77" s="291" t="s">
        <v>3961</v>
      </c>
    </row>
    <row r="78" spans="1:10">
      <c r="A78" s="291" t="s">
        <v>4008</v>
      </c>
      <c r="B78" s="291" t="s">
        <v>4004</v>
      </c>
      <c r="C78" s="291" t="s">
        <v>1884</v>
      </c>
      <c r="D78" s="291" t="s">
        <v>3881</v>
      </c>
      <c r="E78" s="291"/>
      <c r="F78" s="291" t="s">
        <v>3881</v>
      </c>
      <c r="G78" s="291" t="s">
        <v>3883</v>
      </c>
      <c r="H78" s="291"/>
      <c r="I78" s="291" t="s">
        <v>3884</v>
      </c>
      <c r="J78" s="291" t="s">
        <v>3961</v>
      </c>
    </row>
    <row r="79" spans="1:10">
      <c r="A79" s="291" t="s">
        <v>4009</v>
      </c>
      <c r="B79" s="291" t="s">
        <v>4010</v>
      </c>
      <c r="C79" s="291" t="s">
        <v>1875</v>
      </c>
      <c r="D79" s="291" t="s">
        <v>3941</v>
      </c>
      <c r="E79" s="291"/>
      <c r="F79" s="291" t="s">
        <v>4011</v>
      </c>
      <c r="G79" s="291" t="s">
        <v>3883</v>
      </c>
      <c r="H79" s="291"/>
      <c r="I79" s="291" t="s">
        <v>3884</v>
      </c>
      <c r="J79" s="291" t="s">
        <v>4012</v>
      </c>
    </row>
    <row r="80" spans="1:10">
      <c r="A80" s="291" t="s">
        <v>4013</v>
      </c>
      <c r="B80" s="291" t="s">
        <v>4014</v>
      </c>
      <c r="C80" s="291" t="s">
        <v>1893</v>
      </c>
      <c r="D80" s="291" t="s">
        <v>3941</v>
      </c>
      <c r="E80" s="291"/>
      <c r="F80" s="291" t="s">
        <v>4015</v>
      </c>
      <c r="G80" s="291" t="s">
        <v>3883</v>
      </c>
      <c r="H80" s="291"/>
      <c r="I80" s="291" t="s">
        <v>3884</v>
      </c>
      <c r="J80" s="291" t="s">
        <v>4016</v>
      </c>
    </row>
    <row r="81" spans="1:10">
      <c r="A81" s="291" t="s">
        <v>4017</v>
      </c>
      <c r="B81" s="291" t="s">
        <v>4014</v>
      </c>
      <c r="C81" s="291" t="s">
        <v>1878</v>
      </c>
      <c r="D81" s="291" t="s">
        <v>3941</v>
      </c>
      <c r="E81" s="291"/>
      <c r="F81" s="291" t="s">
        <v>4018</v>
      </c>
      <c r="G81" s="291" t="s">
        <v>3883</v>
      </c>
      <c r="H81" s="291"/>
      <c r="I81" s="291" t="s">
        <v>3884</v>
      </c>
      <c r="J81" s="291" t="s">
        <v>4019</v>
      </c>
    </row>
    <row r="82" spans="1:10">
      <c r="A82" s="291" t="s">
        <v>4020</v>
      </c>
      <c r="B82" s="291" t="s">
        <v>4014</v>
      </c>
      <c r="C82" s="291" t="s">
        <v>1886</v>
      </c>
      <c r="D82" s="291" t="s">
        <v>3941</v>
      </c>
      <c r="E82" s="291"/>
      <c r="F82" s="291" t="s">
        <v>4021</v>
      </c>
      <c r="G82" s="291" t="s">
        <v>3883</v>
      </c>
      <c r="H82" s="291"/>
      <c r="I82" s="291" t="s">
        <v>3884</v>
      </c>
      <c r="J82" s="291" t="s">
        <v>4022</v>
      </c>
    </row>
    <row r="83" spans="1:10">
      <c r="A83" s="291" t="s">
        <v>4023</v>
      </c>
      <c r="B83" s="291" t="s">
        <v>4024</v>
      </c>
      <c r="C83" s="291" t="s">
        <v>1892</v>
      </c>
      <c r="D83" s="291" t="s">
        <v>3941</v>
      </c>
      <c r="E83" s="291"/>
      <c r="F83" s="291" t="s">
        <v>4021</v>
      </c>
      <c r="G83" s="291" t="s">
        <v>3883</v>
      </c>
      <c r="H83" s="291"/>
      <c r="I83" s="291" t="s">
        <v>3884</v>
      </c>
      <c r="J83" s="291" t="s">
        <v>4022</v>
      </c>
    </row>
    <row r="84" spans="1:10">
      <c r="A84" s="291" t="s">
        <v>4025</v>
      </c>
      <c r="B84" s="291" t="s">
        <v>4026</v>
      </c>
      <c r="C84" s="291" t="s">
        <v>1893</v>
      </c>
      <c r="D84" s="291" t="s">
        <v>3881</v>
      </c>
      <c r="E84" s="291"/>
      <c r="F84" s="291" t="s">
        <v>4027</v>
      </c>
      <c r="G84" s="291" t="s">
        <v>3883</v>
      </c>
      <c r="H84" s="291"/>
      <c r="I84" s="291" t="s">
        <v>3884</v>
      </c>
      <c r="J84" s="291" t="s">
        <v>4028</v>
      </c>
    </row>
    <row r="85" spans="1:10">
      <c r="A85" s="291" t="s">
        <v>4029</v>
      </c>
      <c r="B85" s="291" t="s">
        <v>4026</v>
      </c>
      <c r="C85" s="291" t="s">
        <v>1875</v>
      </c>
      <c r="D85" s="291" t="s">
        <v>3881</v>
      </c>
      <c r="E85" s="291"/>
      <c r="F85" s="291" t="s">
        <v>4027</v>
      </c>
      <c r="G85" s="291" t="s">
        <v>3883</v>
      </c>
      <c r="H85" s="291"/>
      <c r="I85" s="291" t="s">
        <v>3884</v>
      </c>
      <c r="J85" s="291" t="s">
        <v>4028</v>
      </c>
    </row>
    <row r="86" spans="1:10">
      <c r="A86" s="291" t="s">
        <v>4030</v>
      </c>
      <c r="B86" s="291" t="s">
        <v>4026</v>
      </c>
      <c r="C86" s="291" t="s">
        <v>1878</v>
      </c>
      <c r="D86" s="291" t="s">
        <v>3881</v>
      </c>
      <c r="E86" s="291"/>
      <c r="F86" s="291" t="s">
        <v>4031</v>
      </c>
      <c r="G86" s="291" t="s">
        <v>3883</v>
      </c>
      <c r="H86" s="291"/>
      <c r="I86" s="291" t="s">
        <v>3884</v>
      </c>
      <c r="J86" s="291" t="s">
        <v>4032</v>
      </c>
    </row>
    <row r="87" spans="1:10">
      <c r="A87" s="291" t="s">
        <v>4033</v>
      </c>
      <c r="B87" s="291" t="s">
        <v>4026</v>
      </c>
      <c r="C87" s="291" t="s">
        <v>1881</v>
      </c>
      <c r="D87" s="291" t="s">
        <v>3881</v>
      </c>
      <c r="E87" s="291"/>
      <c r="F87" s="291" t="s">
        <v>4034</v>
      </c>
      <c r="G87" s="291" t="s">
        <v>3883</v>
      </c>
      <c r="H87" s="291"/>
      <c r="I87" s="291" t="s">
        <v>3884</v>
      </c>
      <c r="J87" s="291" t="s">
        <v>4035</v>
      </c>
    </row>
    <row r="88" spans="1:10">
      <c r="A88" s="291" t="s">
        <v>4036</v>
      </c>
      <c r="B88" s="291" t="s">
        <v>4026</v>
      </c>
      <c r="C88" s="291" t="s">
        <v>1884</v>
      </c>
      <c r="D88" s="291" t="s">
        <v>3881</v>
      </c>
      <c r="E88" s="291"/>
      <c r="F88" s="291" t="s">
        <v>4027</v>
      </c>
      <c r="G88" s="291" t="s">
        <v>3883</v>
      </c>
      <c r="H88" s="291"/>
      <c r="I88" s="291" t="s">
        <v>3884</v>
      </c>
      <c r="J88" s="291" t="s">
        <v>4028</v>
      </c>
    </row>
    <row r="89" spans="1:10">
      <c r="A89" s="291" t="s">
        <v>4037</v>
      </c>
      <c r="B89" s="291" t="s">
        <v>4026</v>
      </c>
      <c r="C89" s="291" t="s">
        <v>1890</v>
      </c>
      <c r="D89" s="291" t="s">
        <v>3881</v>
      </c>
      <c r="E89" s="291"/>
      <c r="F89" s="291" t="s">
        <v>4027</v>
      </c>
      <c r="G89" s="291" t="s">
        <v>3883</v>
      </c>
      <c r="H89" s="291"/>
      <c r="I89" s="291" t="s">
        <v>3884</v>
      </c>
      <c r="J89" s="291" t="s">
        <v>4028</v>
      </c>
    </row>
    <row r="90" spans="1:10">
      <c r="A90" s="291" t="s">
        <v>4038</v>
      </c>
      <c r="B90" s="291" t="s">
        <v>4026</v>
      </c>
      <c r="C90" s="291" t="s">
        <v>1892</v>
      </c>
      <c r="D90" s="291" t="s">
        <v>3881</v>
      </c>
      <c r="E90" s="291"/>
      <c r="F90" s="291" t="s">
        <v>4027</v>
      </c>
      <c r="G90" s="291" t="s">
        <v>3883</v>
      </c>
      <c r="H90" s="291"/>
      <c r="I90" s="291" t="s">
        <v>3884</v>
      </c>
      <c r="J90" s="291" t="s">
        <v>4028</v>
      </c>
    </row>
    <row r="91" spans="1:10">
      <c r="A91" s="291" t="s">
        <v>4039</v>
      </c>
      <c r="B91" s="291" t="s">
        <v>4026</v>
      </c>
      <c r="C91" s="291" t="s">
        <v>1886</v>
      </c>
      <c r="D91" s="291" t="s">
        <v>3881</v>
      </c>
      <c r="E91" s="291"/>
      <c r="F91" s="291" t="s">
        <v>4040</v>
      </c>
      <c r="G91" s="291" t="s">
        <v>3883</v>
      </c>
      <c r="H91" s="291"/>
      <c r="I91" s="291" t="s">
        <v>3884</v>
      </c>
      <c r="J91" s="291" t="s">
        <v>4041</v>
      </c>
    </row>
    <row r="92" spans="1:10">
      <c r="A92" s="291" t="s">
        <v>4042</v>
      </c>
      <c r="B92" s="291" t="s">
        <v>4026</v>
      </c>
      <c r="C92" s="291" t="s">
        <v>1895</v>
      </c>
      <c r="D92" s="291" t="s">
        <v>3881</v>
      </c>
      <c r="E92" s="291"/>
      <c r="F92" s="291" t="s">
        <v>4043</v>
      </c>
      <c r="G92" s="291" t="s">
        <v>3883</v>
      </c>
      <c r="H92" s="291"/>
      <c r="I92" s="291" t="s">
        <v>3884</v>
      </c>
      <c r="J92" s="291" t="s">
        <v>4044</v>
      </c>
    </row>
    <row r="93" spans="1:10">
      <c r="A93" s="291" t="s">
        <v>4045</v>
      </c>
      <c r="B93" s="291" t="s">
        <v>4026</v>
      </c>
      <c r="C93" s="291" t="s">
        <v>1896</v>
      </c>
      <c r="D93" s="291" t="s">
        <v>3881</v>
      </c>
      <c r="E93" s="291"/>
      <c r="F93" s="291" t="s">
        <v>4043</v>
      </c>
      <c r="G93" s="291" t="s">
        <v>3883</v>
      </c>
      <c r="H93" s="291"/>
      <c r="I93" s="291" t="s">
        <v>3884</v>
      </c>
      <c r="J93" s="291" t="s">
        <v>4044</v>
      </c>
    </row>
    <row r="94" spans="1:10">
      <c r="A94" s="291" t="s">
        <v>4046</v>
      </c>
      <c r="B94" s="291" t="s">
        <v>4026</v>
      </c>
      <c r="C94" s="291" t="s">
        <v>1901</v>
      </c>
      <c r="D94" s="291" t="s">
        <v>3881</v>
      </c>
      <c r="E94" s="291"/>
      <c r="F94" s="291" t="s">
        <v>4043</v>
      </c>
      <c r="G94" s="291" t="s">
        <v>3883</v>
      </c>
      <c r="H94" s="291"/>
      <c r="I94" s="291" t="s">
        <v>3884</v>
      </c>
      <c r="J94" s="291" t="s">
        <v>4044</v>
      </c>
    </row>
    <row r="95" spans="1:10">
      <c r="A95" s="291" t="s">
        <v>4047</v>
      </c>
      <c r="B95" s="291" t="s">
        <v>4026</v>
      </c>
      <c r="C95" s="291" t="s">
        <v>1903</v>
      </c>
      <c r="D95" s="291" t="s">
        <v>3881</v>
      </c>
      <c r="E95" s="291"/>
      <c r="F95" s="291" t="s">
        <v>4043</v>
      </c>
      <c r="G95" s="291" t="s">
        <v>3883</v>
      </c>
      <c r="H95" s="291"/>
      <c r="I95" s="291" t="s">
        <v>3884</v>
      </c>
      <c r="J95" s="291" t="s">
        <v>4044</v>
      </c>
    </row>
    <row r="96" spans="1:10">
      <c r="A96" s="291" t="s">
        <v>4048</v>
      </c>
      <c r="B96" s="291" t="s">
        <v>4026</v>
      </c>
      <c r="C96" s="291" t="s">
        <v>1905</v>
      </c>
      <c r="D96" s="291" t="s">
        <v>3881</v>
      </c>
      <c r="E96" s="291"/>
      <c r="F96" s="291" t="s">
        <v>4043</v>
      </c>
      <c r="G96" s="291" t="s">
        <v>3883</v>
      </c>
      <c r="H96" s="291"/>
      <c r="I96" s="291" t="s">
        <v>3884</v>
      </c>
      <c r="J96" s="291" t="s">
        <v>4044</v>
      </c>
    </row>
    <row r="97" spans="1:10">
      <c r="A97" s="291" t="s">
        <v>4049</v>
      </c>
      <c r="B97" s="291" t="s">
        <v>4026</v>
      </c>
      <c r="C97" s="291" t="s">
        <v>1909</v>
      </c>
      <c r="D97" s="291" t="s">
        <v>3881</v>
      </c>
      <c r="E97" s="291"/>
      <c r="F97" s="291" t="s">
        <v>4043</v>
      </c>
      <c r="G97" s="291" t="s">
        <v>3883</v>
      </c>
      <c r="H97" s="291"/>
      <c r="I97" s="291" t="s">
        <v>3884</v>
      </c>
      <c r="J97" s="291" t="s">
        <v>4044</v>
      </c>
    </row>
    <row r="98" spans="1:10">
      <c r="A98" s="291" t="s">
        <v>4050</v>
      </c>
      <c r="B98" s="291" t="s">
        <v>4026</v>
      </c>
      <c r="C98" s="291" t="s">
        <v>1911</v>
      </c>
      <c r="D98" s="291" t="s">
        <v>3881</v>
      </c>
      <c r="E98" s="291"/>
      <c r="F98" s="291" t="s">
        <v>4043</v>
      </c>
      <c r="G98" s="291" t="s">
        <v>3883</v>
      </c>
      <c r="H98" s="291"/>
      <c r="I98" s="291" t="s">
        <v>3884</v>
      </c>
      <c r="J98" s="291" t="s">
        <v>4044</v>
      </c>
    </row>
    <row r="99" spans="1:10">
      <c r="A99" s="291" t="s">
        <v>4051</v>
      </c>
      <c r="B99" s="291" t="s">
        <v>4026</v>
      </c>
      <c r="C99" s="291" t="s">
        <v>1916</v>
      </c>
      <c r="D99" s="291" t="s">
        <v>3881</v>
      </c>
      <c r="E99" s="291"/>
      <c r="F99" s="291" t="s">
        <v>4043</v>
      </c>
      <c r="G99" s="291" t="s">
        <v>3883</v>
      </c>
      <c r="H99" s="291"/>
      <c r="I99" s="291" t="s">
        <v>3884</v>
      </c>
      <c r="J99" s="291" t="s">
        <v>4044</v>
      </c>
    </row>
    <row r="100" spans="1:10">
      <c r="A100" s="291" t="s">
        <v>4052</v>
      </c>
      <c r="B100" s="291" t="s">
        <v>4026</v>
      </c>
      <c r="C100" s="291" t="s">
        <v>1918</v>
      </c>
      <c r="D100" s="291" t="s">
        <v>3881</v>
      </c>
      <c r="E100" s="291"/>
      <c r="F100" s="291" t="s">
        <v>4043</v>
      </c>
      <c r="G100" s="291" t="s">
        <v>3883</v>
      </c>
      <c r="H100" s="291"/>
      <c r="I100" s="291" t="s">
        <v>3884</v>
      </c>
      <c r="J100" s="291" t="s">
        <v>4044</v>
      </c>
    </row>
    <row r="101" spans="1:10">
      <c r="A101" s="291" t="s">
        <v>4053</v>
      </c>
      <c r="B101" s="291" t="s">
        <v>4026</v>
      </c>
      <c r="C101" s="291" t="s">
        <v>1920</v>
      </c>
      <c r="D101" s="291" t="s">
        <v>3881</v>
      </c>
      <c r="E101" s="291"/>
      <c r="F101" s="291" t="s">
        <v>4043</v>
      </c>
      <c r="G101" s="291" t="s">
        <v>3883</v>
      </c>
      <c r="H101" s="291"/>
      <c r="I101" s="291" t="s">
        <v>3884</v>
      </c>
      <c r="J101" s="291" t="s">
        <v>4044</v>
      </c>
    </row>
    <row r="102" spans="1:10">
      <c r="A102" s="291" t="s">
        <v>4054</v>
      </c>
      <c r="B102" s="291" t="s">
        <v>4026</v>
      </c>
      <c r="C102" s="291" t="s">
        <v>1894</v>
      </c>
      <c r="D102" s="291" t="s">
        <v>3881</v>
      </c>
      <c r="E102" s="291"/>
      <c r="F102" s="291" t="s">
        <v>4043</v>
      </c>
      <c r="G102" s="291" t="s">
        <v>3883</v>
      </c>
      <c r="H102" s="291"/>
      <c r="I102" s="291" t="s">
        <v>3884</v>
      </c>
      <c r="J102" s="291" t="s">
        <v>4044</v>
      </c>
    </row>
    <row r="103" spans="1:10">
      <c r="A103" s="291" t="s">
        <v>4055</v>
      </c>
      <c r="B103" s="291" t="s">
        <v>4056</v>
      </c>
      <c r="C103" s="291" t="s">
        <v>1893</v>
      </c>
      <c r="D103" s="291" t="s">
        <v>3941</v>
      </c>
      <c r="E103" s="291"/>
      <c r="F103" s="291" t="s">
        <v>4057</v>
      </c>
      <c r="G103" s="291" t="s">
        <v>3883</v>
      </c>
      <c r="H103" s="291"/>
      <c r="I103" s="291" t="s">
        <v>3884</v>
      </c>
      <c r="J103" s="291" t="s">
        <v>4058</v>
      </c>
    </row>
    <row r="104" spans="1:10">
      <c r="A104" s="291" t="s">
        <v>4059</v>
      </c>
      <c r="B104" s="291" t="s">
        <v>4056</v>
      </c>
      <c r="C104" s="291" t="s">
        <v>1875</v>
      </c>
      <c r="D104" s="291" t="s">
        <v>3941</v>
      </c>
      <c r="E104" s="291"/>
      <c r="F104" s="291" t="s">
        <v>4057</v>
      </c>
      <c r="G104" s="291" t="s">
        <v>3883</v>
      </c>
      <c r="H104" s="291"/>
      <c r="I104" s="291" t="s">
        <v>3884</v>
      </c>
      <c r="J104" s="291" t="s">
        <v>4058</v>
      </c>
    </row>
    <row r="105" spans="1:10">
      <c r="A105" s="291" t="s">
        <v>4060</v>
      </c>
      <c r="B105" s="291" t="s">
        <v>4056</v>
      </c>
      <c r="C105" s="291" t="s">
        <v>1878</v>
      </c>
      <c r="D105" s="291" t="s">
        <v>3941</v>
      </c>
      <c r="E105" s="291"/>
      <c r="F105" s="291" t="s">
        <v>4061</v>
      </c>
      <c r="G105" s="291" t="s">
        <v>3883</v>
      </c>
      <c r="H105" s="291"/>
      <c r="I105" s="291" t="s">
        <v>3884</v>
      </c>
      <c r="J105" s="291" t="s">
        <v>4062</v>
      </c>
    </row>
    <row r="106" spans="1:10">
      <c r="A106" s="291" t="s">
        <v>4063</v>
      </c>
      <c r="B106" s="291" t="s">
        <v>4056</v>
      </c>
      <c r="C106" s="291" t="s">
        <v>1881</v>
      </c>
      <c r="D106" s="291" t="s">
        <v>3941</v>
      </c>
      <c r="E106" s="291"/>
      <c r="F106" s="291" t="s">
        <v>4057</v>
      </c>
      <c r="G106" s="291" t="s">
        <v>3883</v>
      </c>
      <c r="H106" s="291"/>
      <c r="I106" s="291" t="s">
        <v>3884</v>
      </c>
      <c r="J106" s="291" t="s">
        <v>4058</v>
      </c>
    </row>
    <row r="107" spans="1:10">
      <c r="A107" s="291" t="s">
        <v>4064</v>
      </c>
      <c r="B107" s="291" t="s">
        <v>4056</v>
      </c>
      <c r="C107" s="291" t="s">
        <v>1884</v>
      </c>
      <c r="D107" s="291" t="s">
        <v>3941</v>
      </c>
      <c r="E107" s="291"/>
      <c r="F107" s="291" t="s">
        <v>4057</v>
      </c>
      <c r="G107" s="291" t="s">
        <v>3883</v>
      </c>
      <c r="H107" s="291"/>
      <c r="I107" s="291" t="s">
        <v>3884</v>
      </c>
      <c r="J107" s="291" t="s">
        <v>4058</v>
      </c>
    </row>
    <row r="108" spans="1:10">
      <c r="A108" s="291" t="s">
        <v>4065</v>
      </c>
      <c r="B108" s="291" t="s">
        <v>4056</v>
      </c>
      <c r="C108" s="291" t="s">
        <v>1890</v>
      </c>
      <c r="D108" s="291" t="s">
        <v>3941</v>
      </c>
      <c r="E108" s="291"/>
      <c r="F108" s="291" t="s">
        <v>4057</v>
      </c>
      <c r="G108" s="291" t="s">
        <v>3883</v>
      </c>
      <c r="H108" s="291"/>
      <c r="I108" s="291" t="s">
        <v>3884</v>
      </c>
      <c r="J108" s="291" t="s">
        <v>4058</v>
      </c>
    </row>
    <row r="109" spans="1:10">
      <c r="A109" s="291" t="s">
        <v>4066</v>
      </c>
      <c r="B109" s="291" t="s">
        <v>4056</v>
      </c>
      <c r="C109" s="291" t="s">
        <v>1892</v>
      </c>
      <c r="D109" s="291" t="s">
        <v>3941</v>
      </c>
      <c r="E109" s="291"/>
      <c r="F109" s="291" t="s">
        <v>4057</v>
      </c>
      <c r="G109" s="291" t="s">
        <v>3883</v>
      </c>
      <c r="H109" s="291"/>
      <c r="I109" s="291" t="s">
        <v>3884</v>
      </c>
      <c r="J109" s="291" t="s">
        <v>4058</v>
      </c>
    </row>
    <row r="110" spans="1:10">
      <c r="A110" s="291" t="s">
        <v>4067</v>
      </c>
      <c r="B110" s="291" t="s">
        <v>4056</v>
      </c>
      <c r="C110" s="291" t="s">
        <v>1886</v>
      </c>
      <c r="D110" s="291" t="s">
        <v>3941</v>
      </c>
      <c r="E110" s="291"/>
      <c r="F110" s="291" t="s">
        <v>4057</v>
      </c>
      <c r="G110" s="291" t="s">
        <v>3883</v>
      </c>
      <c r="H110" s="291"/>
      <c r="I110" s="291" t="s">
        <v>3884</v>
      </c>
      <c r="J110" s="291" t="s">
        <v>4058</v>
      </c>
    </row>
    <row r="111" spans="1:10">
      <c r="A111" s="291" t="s">
        <v>4068</v>
      </c>
      <c r="B111" s="291" t="s">
        <v>4069</v>
      </c>
      <c r="C111" s="291" t="s">
        <v>1881</v>
      </c>
      <c r="D111" s="291" t="s">
        <v>3881</v>
      </c>
      <c r="E111" s="291"/>
      <c r="F111" s="291" t="s">
        <v>3881</v>
      </c>
      <c r="G111" s="291" t="s">
        <v>3883</v>
      </c>
      <c r="H111" s="291"/>
      <c r="I111" s="291" t="s">
        <v>3884</v>
      </c>
      <c r="J111" s="291" t="s">
        <v>3961</v>
      </c>
    </row>
    <row r="112" spans="1:10">
      <c r="A112" s="291" t="s">
        <v>4070</v>
      </c>
      <c r="B112" s="291" t="s">
        <v>4069</v>
      </c>
      <c r="C112" s="291" t="s">
        <v>1886</v>
      </c>
      <c r="D112" s="291" t="s">
        <v>3881</v>
      </c>
      <c r="E112" s="291"/>
      <c r="F112" s="291" t="s">
        <v>3881</v>
      </c>
      <c r="G112" s="291" t="s">
        <v>3883</v>
      </c>
      <c r="H112" s="291"/>
      <c r="I112" s="291" t="s">
        <v>3884</v>
      </c>
      <c r="J112" s="291" t="s">
        <v>3961</v>
      </c>
    </row>
    <row r="113" spans="1:10">
      <c r="A113" s="291" t="s">
        <v>4071</v>
      </c>
      <c r="B113" s="291" t="s">
        <v>4072</v>
      </c>
      <c r="C113" s="291" t="s">
        <v>1878</v>
      </c>
      <c r="D113" s="291" t="s">
        <v>3881</v>
      </c>
      <c r="E113" s="291"/>
      <c r="F113" s="291" t="s">
        <v>3881</v>
      </c>
      <c r="G113" s="291" t="s">
        <v>3883</v>
      </c>
      <c r="H113" s="291"/>
      <c r="I113" s="291" t="s">
        <v>3884</v>
      </c>
      <c r="J113" s="291" t="s">
        <v>3961</v>
      </c>
    </row>
    <row r="114" spans="1:10">
      <c r="A114" s="291" t="s">
        <v>4073</v>
      </c>
      <c r="B114" s="291" t="s">
        <v>4074</v>
      </c>
      <c r="C114" s="291" t="s">
        <v>1884</v>
      </c>
      <c r="D114" s="291" t="s">
        <v>3881</v>
      </c>
      <c r="E114" s="291"/>
      <c r="F114" s="291" t="s">
        <v>3881</v>
      </c>
      <c r="G114" s="291" t="s">
        <v>3883</v>
      </c>
      <c r="H114" s="291"/>
      <c r="I114" s="291" t="s">
        <v>3884</v>
      </c>
      <c r="J114" s="291" t="s">
        <v>3961</v>
      </c>
    </row>
    <row r="115" spans="1:10">
      <c r="A115" s="291" t="s">
        <v>4075</v>
      </c>
      <c r="B115" s="291" t="s">
        <v>4076</v>
      </c>
      <c r="C115" s="291" t="s">
        <v>1878</v>
      </c>
      <c r="D115" s="291" t="s">
        <v>3941</v>
      </c>
      <c r="E115" s="291"/>
      <c r="F115" s="291" t="s">
        <v>3986</v>
      </c>
      <c r="G115" s="291" t="s">
        <v>3883</v>
      </c>
      <c r="H115" s="291"/>
      <c r="I115" s="291" t="s">
        <v>3884</v>
      </c>
      <c r="J115" s="291" t="s">
        <v>3987</v>
      </c>
    </row>
    <row r="116" spans="1:10">
      <c r="A116" s="291" t="s">
        <v>4077</v>
      </c>
      <c r="B116" s="291" t="s">
        <v>4076</v>
      </c>
      <c r="C116" s="291" t="s">
        <v>1892</v>
      </c>
      <c r="D116" s="291" t="s">
        <v>3881</v>
      </c>
      <c r="E116" s="291"/>
      <c r="F116" s="291" t="s">
        <v>3881</v>
      </c>
      <c r="G116" s="291" t="s">
        <v>3883</v>
      </c>
      <c r="H116" s="291"/>
      <c r="I116" s="291" t="s">
        <v>3884</v>
      </c>
      <c r="J116" s="291" t="s">
        <v>3961</v>
      </c>
    </row>
    <row r="117" spans="1:10">
      <c r="A117" s="291" t="s">
        <v>4078</v>
      </c>
      <c r="B117" s="291" t="s">
        <v>4079</v>
      </c>
      <c r="C117" s="291" t="s">
        <v>1893</v>
      </c>
      <c r="D117" s="291" t="s">
        <v>3881</v>
      </c>
      <c r="E117" s="291"/>
      <c r="F117" s="291" t="s">
        <v>3881</v>
      </c>
      <c r="G117" s="291" t="s">
        <v>3883</v>
      </c>
      <c r="H117" s="291"/>
      <c r="I117" s="291" t="s">
        <v>3884</v>
      </c>
      <c r="J117" s="291" t="s">
        <v>3961</v>
      </c>
    </row>
    <row r="118" spans="1:10">
      <c r="A118" s="291" t="s">
        <v>4080</v>
      </c>
      <c r="B118" s="291" t="s">
        <v>4081</v>
      </c>
      <c r="C118" s="291" t="s">
        <v>1875</v>
      </c>
      <c r="D118" s="291" t="s">
        <v>3941</v>
      </c>
      <c r="E118" s="291"/>
      <c r="F118" s="291" t="s">
        <v>4082</v>
      </c>
      <c r="G118" s="291" t="s">
        <v>3883</v>
      </c>
      <c r="H118" s="291"/>
      <c r="I118" s="291" t="s">
        <v>3884</v>
      </c>
      <c r="J118" s="291" t="s">
        <v>4083</v>
      </c>
    </row>
    <row r="119" spans="1:10">
      <c r="A119" s="291" t="s">
        <v>4084</v>
      </c>
      <c r="B119" s="291" t="s">
        <v>4081</v>
      </c>
      <c r="C119" s="291" t="s">
        <v>1886</v>
      </c>
      <c r="D119" s="291" t="s">
        <v>3941</v>
      </c>
      <c r="E119" s="291"/>
      <c r="F119" s="291" t="s">
        <v>3986</v>
      </c>
      <c r="G119" s="291" t="s">
        <v>3883</v>
      </c>
      <c r="H119" s="291"/>
      <c r="I119" s="291" t="s">
        <v>3884</v>
      </c>
      <c r="J119" s="291" t="s">
        <v>3987</v>
      </c>
    </row>
    <row r="120" spans="1:10">
      <c r="A120" s="291" t="s">
        <v>4085</v>
      </c>
      <c r="B120" s="291" t="s">
        <v>4086</v>
      </c>
      <c r="C120" s="291" t="s">
        <v>1884</v>
      </c>
      <c r="D120" s="291" t="s">
        <v>3941</v>
      </c>
      <c r="E120" s="291"/>
      <c r="F120" s="291" t="s">
        <v>3986</v>
      </c>
      <c r="G120" s="291" t="s">
        <v>3883</v>
      </c>
      <c r="H120" s="291"/>
      <c r="I120" s="291" t="s">
        <v>3884</v>
      </c>
      <c r="J120" s="291" t="s">
        <v>3987</v>
      </c>
    </row>
    <row r="121" spans="1:10">
      <c r="A121" s="291" t="s">
        <v>4087</v>
      </c>
      <c r="B121" s="291" t="s">
        <v>4088</v>
      </c>
      <c r="C121" s="291" t="s">
        <v>1881</v>
      </c>
      <c r="D121" s="291" t="s">
        <v>3941</v>
      </c>
      <c r="E121" s="291"/>
      <c r="F121" s="291" t="s">
        <v>3999</v>
      </c>
      <c r="G121" s="291" t="s">
        <v>3883</v>
      </c>
      <c r="H121" s="291"/>
      <c r="I121" s="291" t="s">
        <v>3884</v>
      </c>
      <c r="J121" s="291" t="s">
        <v>4000</v>
      </c>
    </row>
    <row r="122" spans="1:10">
      <c r="A122" s="291" t="s">
        <v>4089</v>
      </c>
      <c r="B122" s="291" t="s">
        <v>4088</v>
      </c>
      <c r="C122" s="291" t="s">
        <v>1890</v>
      </c>
      <c r="D122" s="291" t="s">
        <v>3941</v>
      </c>
      <c r="E122" s="291"/>
      <c r="F122" s="291" t="s">
        <v>3986</v>
      </c>
      <c r="G122" s="291" t="s">
        <v>3883</v>
      </c>
      <c r="H122" s="291"/>
      <c r="I122" s="291" t="s">
        <v>3884</v>
      </c>
      <c r="J122" s="291" t="s">
        <v>3987</v>
      </c>
    </row>
    <row r="123" spans="1:10">
      <c r="A123" s="291" t="s">
        <v>4090</v>
      </c>
      <c r="B123" s="291" t="s">
        <v>4091</v>
      </c>
      <c r="C123" s="291" t="s">
        <v>1893</v>
      </c>
      <c r="D123" s="291" t="s">
        <v>3941</v>
      </c>
      <c r="E123" s="291"/>
      <c r="F123" s="291" t="s">
        <v>3990</v>
      </c>
      <c r="G123" s="291" t="s">
        <v>3883</v>
      </c>
      <c r="H123" s="291"/>
      <c r="I123" s="291" t="s">
        <v>3884</v>
      </c>
      <c r="J123" s="291" t="s">
        <v>3991</v>
      </c>
    </row>
    <row r="124" spans="1:10">
      <c r="A124" s="291" t="s">
        <v>4092</v>
      </c>
      <c r="B124" s="291" t="s">
        <v>4093</v>
      </c>
      <c r="C124" s="291" t="s">
        <v>1892</v>
      </c>
      <c r="D124" s="291" t="s">
        <v>3941</v>
      </c>
      <c r="E124" s="291"/>
      <c r="F124" s="291" t="s">
        <v>3986</v>
      </c>
      <c r="G124" s="291" t="s">
        <v>3883</v>
      </c>
      <c r="H124" s="291"/>
      <c r="I124" s="291" t="s">
        <v>3884</v>
      </c>
      <c r="J124" s="291" t="s">
        <v>3987</v>
      </c>
    </row>
    <row r="125" spans="1:10">
      <c r="A125" s="291" t="s">
        <v>4094</v>
      </c>
      <c r="B125" s="291" t="s">
        <v>4095</v>
      </c>
      <c r="C125" s="291" t="s">
        <v>1893</v>
      </c>
      <c r="D125" s="291" t="s">
        <v>3941</v>
      </c>
      <c r="E125" s="291"/>
      <c r="F125" s="291" t="s">
        <v>4096</v>
      </c>
      <c r="G125" s="291" t="s">
        <v>3883</v>
      </c>
      <c r="H125" s="291"/>
      <c r="I125" s="291" t="s">
        <v>3884</v>
      </c>
      <c r="J125" s="291" t="s">
        <v>4097</v>
      </c>
    </row>
    <row r="126" spans="1:10">
      <c r="A126" s="291" t="s">
        <v>4098</v>
      </c>
      <c r="B126" s="291" t="s">
        <v>4095</v>
      </c>
      <c r="C126" s="291" t="s">
        <v>1875</v>
      </c>
      <c r="D126" s="291" t="s">
        <v>3941</v>
      </c>
      <c r="E126" s="291"/>
      <c r="F126" s="291" t="s">
        <v>4096</v>
      </c>
      <c r="G126" s="291" t="s">
        <v>3883</v>
      </c>
      <c r="H126" s="291"/>
      <c r="I126" s="291" t="s">
        <v>3884</v>
      </c>
      <c r="J126" s="291" t="s">
        <v>4097</v>
      </c>
    </row>
    <row r="127" spans="1:10">
      <c r="A127" s="291" t="s">
        <v>4099</v>
      </c>
      <c r="B127" s="291" t="s">
        <v>4095</v>
      </c>
      <c r="C127" s="291" t="s">
        <v>1878</v>
      </c>
      <c r="D127" s="291" t="s">
        <v>3941</v>
      </c>
      <c r="E127" s="291"/>
      <c r="F127" s="291" t="s">
        <v>4096</v>
      </c>
      <c r="G127" s="291" t="s">
        <v>3883</v>
      </c>
      <c r="H127" s="291"/>
      <c r="I127" s="291" t="s">
        <v>3884</v>
      </c>
      <c r="J127" s="291" t="s">
        <v>4097</v>
      </c>
    </row>
    <row r="128" spans="1:10">
      <c r="A128" s="291" t="s">
        <v>4100</v>
      </c>
      <c r="B128" s="291" t="s">
        <v>4095</v>
      </c>
      <c r="C128" s="291" t="s">
        <v>1881</v>
      </c>
      <c r="D128" s="291" t="s">
        <v>3941</v>
      </c>
      <c r="E128" s="291"/>
      <c r="F128" s="291" t="s">
        <v>4096</v>
      </c>
      <c r="G128" s="291" t="s">
        <v>3883</v>
      </c>
      <c r="H128" s="291"/>
      <c r="I128" s="291" t="s">
        <v>3884</v>
      </c>
      <c r="J128" s="291" t="s">
        <v>4097</v>
      </c>
    </row>
    <row r="129" spans="1:10">
      <c r="A129" s="291" t="s">
        <v>4101</v>
      </c>
      <c r="B129" s="291" t="s">
        <v>4095</v>
      </c>
      <c r="C129" s="291" t="s">
        <v>1884</v>
      </c>
      <c r="D129" s="291" t="s">
        <v>3941</v>
      </c>
      <c r="E129" s="291"/>
      <c r="F129" s="291" t="s">
        <v>4096</v>
      </c>
      <c r="G129" s="291" t="s">
        <v>3883</v>
      </c>
      <c r="H129" s="291"/>
      <c r="I129" s="291" t="s">
        <v>3884</v>
      </c>
      <c r="J129" s="291" t="s">
        <v>4097</v>
      </c>
    </row>
    <row r="130" spans="1:10">
      <c r="A130" s="291" t="s">
        <v>4102</v>
      </c>
      <c r="B130" s="291" t="s">
        <v>4095</v>
      </c>
      <c r="C130" s="291" t="s">
        <v>1890</v>
      </c>
      <c r="D130" s="291" t="s">
        <v>3941</v>
      </c>
      <c r="E130" s="291"/>
      <c r="F130" s="291" t="s">
        <v>4096</v>
      </c>
      <c r="G130" s="291" t="s">
        <v>3883</v>
      </c>
      <c r="H130" s="291"/>
      <c r="I130" s="291" t="s">
        <v>3884</v>
      </c>
      <c r="J130" s="291" t="s">
        <v>4097</v>
      </c>
    </row>
    <row r="131" spans="1:10">
      <c r="A131" s="291" t="s">
        <v>4103</v>
      </c>
      <c r="B131" s="291" t="s">
        <v>4095</v>
      </c>
      <c r="C131" s="291" t="s">
        <v>1892</v>
      </c>
      <c r="D131" s="291" t="s">
        <v>3941</v>
      </c>
      <c r="E131" s="291"/>
      <c r="F131" s="291" t="s">
        <v>4096</v>
      </c>
      <c r="G131" s="291" t="s">
        <v>3883</v>
      </c>
      <c r="H131" s="291"/>
      <c r="I131" s="291" t="s">
        <v>3884</v>
      </c>
      <c r="J131" s="291" t="s">
        <v>4097</v>
      </c>
    </row>
    <row r="132" spans="1:10">
      <c r="A132" s="291" t="s">
        <v>4104</v>
      </c>
      <c r="B132" s="291" t="s">
        <v>4095</v>
      </c>
      <c r="C132" s="291" t="s">
        <v>1886</v>
      </c>
      <c r="D132" s="291" t="s">
        <v>3941</v>
      </c>
      <c r="E132" s="291"/>
      <c r="F132" s="291" t="s">
        <v>4096</v>
      </c>
      <c r="G132" s="291" t="s">
        <v>3883</v>
      </c>
      <c r="H132" s="291"/>
      <c r="I132" s="291" t="s">
        <v>3884</v>
      </c>
      <c r="J132" s="291" t="s">
        <v>4097</v>
      </c>
    </row>
    <row r="133" spans="1:10">
      <c r="A133" s="291" t="s">
        <v>4105</v>
      </c>
      <c r="B133" s="291" t="s">
        <v>4106</v>
      </c>
      <c r="C133" s="291" t="s">
        <v>1893</v>
      </c>
      <c r="D133" s="291" t="s">
        <v>3941</v>
      </c>
      <c r="E133" s="291"/>
      <c r="F133" s="291" t="s">
        <v>4005</v>
      </c>
      <c r="G133" s="291" t="s">
        <v>3883</v>
      </c>
      <c r="H133" s="291"/>
      <c r="I133" s="291" t="s">
        <v>3884</v>
      </c>
      <c r="J133" s="291" t="s">
        <v>4006</v>
      </c>
    </row>
    <row r="134" spans="1:10">
      <c r="A134" s="291" t="s">
        <v>4107</v>
      </c>
      <c r="B134" s="291" t="s">
        <v>4106</v>
      </c>
      <c r="C134" s="291" t="s">
        <v>1878</v>
      </c>
      <c r="D134" s="291" t="s">
        <v>3941</v>
      </c>
      <c r="E134" s="291"/>
      <c r="F134" s="291" t="s">
        <v>3941</v>
      </c>
      <c r="G134" s="291" t="s">
        <v>3883</v>
      </c>
      <c r="H134" s="291"/>
      <c r="I134" s="291" t="s">
        <v>3884</v>
      </c>
      <c r="J134" s="291" t="s">
        <v>3971</v>
      </c>
    </row>
    <row r="135" spans="1:10">
      <c r="A135" s="291" t="s">
        <v>4108</v>
      </c>
      <c r="B135" s="291" t="s">
        <v>4106</v>
      </c>
      <c r="C135" s="291" t="s">
        <v>1892</v>
      </c>
      <c r="D135" s="291" t="s">
        <v>3941</v>
      </c>
      <c r="E135" s="291"/>
      <c r="F135" s="291" t="s">
        <v>3941</v>
      </c>
      <c r="G135" s="291" t="s">
        <v>3883</v>
      </c>
      <c r="H135" s="291"/>
      <c r="I135" s="291" t="s">
        <v>3884</v>
      </c>
      <c r="J135" s="291" t="s">
        <v>3971</v>
      </c>
    </row>
    <row r="136" spans="1:10">
      <c r="A136" s="291" t="s">
        <v>4109</v>
      </c>
      <c r="B136" s="291" t="s">
        <v>4110</v>
      </c>
      <c r="C136" s="291" t="s">
        <v>1893</v>
      </c>
      <c r="D136" s="291" t="s">
        <v>3881</v>
      </c>
      <c r="E136" s="291"/>
      <c r="F136" s="291" t="s">
        <v>4111</v>
      </c>
      <c r="G136" s="291" t="s">
        <v>3883</v>
      </c>
      <c r="H136" s="291"/>
      <c r="I136" s="291" t="s">
        <v>3884</v>
      </c>
      <c r="J136" s="291" t="s">
        <v>4112</v>
      </c>
    </row>
    <row r="137" spans="1:10">
      <c r="A137" s="291" t="s">
        <v>4113</v>
      </c>
      <c r="B137" s="291" t="s">
        <v>4110</v>
      </c>
      <c r="C137" s="291" t="s">
        <v>1875</v>
      </c>
      <c r="D137" s="291" t="s">
        <v>3881</v>
      </c>
      <c r="E137" s="291"/>
      <c r="F137" s="291" t="s">
        <v>4111</v>
      </c>
      <c r="G137" s="291" t="s">
        <v>3883</v>
      </c>
      <c r="H137" s="291"/>
      <c r="I137" s="291" t="s">
        <v>3884</v>
      </c>
      <c r="J137" s="291" t="s">
        <v>4112</v>
      </c>
    </row>
    <row r="138" spans="1:10">
      <c r="A138" s="291" t="s">
        <v>4114</v>
      </c>
      <c r="B138" s="291" t="s">
        <v>4110</v>
      </c>
      <c r="C138" s="291" t="s">
        <v>1878</v>
      </c>
      <c r="D138" s="291" t="s">
        <v>3881</v>
      </c>
      <c r="E138" s="291"/>
      <c r="F138" s="291" t="s">
        <v>4031</v>
      </c>
      <c r="G138" s="291" t="s">
        <v>3883</v>
      </c>
      <c r="H138" s="291"/>
      <c r="I138" s="291" t="s">
        <v>3884</v>
      </c>
      <c r="J138" s="291" t="s">
        <v>4032</v>
      </c>
    </row>
    <row r="139" spans="1:10">
      <c r="A139" s="291" t="s">
        <v>4115</v>
      </c>
      <c r="B139" s="291" t="s">
        <v>4110</v>
      </c>
      <c r="C139" s="291" t="s">
        <v>1881</v>
      </c>
      <c r="D139" s="291" t="s">
        <v>3881</v>
      </c>
      <c r="E139" s="291"/>
      <c r="F139" s="291" t="s">
        <v>4034</v>
      </c>
      <c r="G139" s="291" t="s">
        <v>3883</v>
      </c>
      <c r="H139" s="291"/>
      <c r="I139" s="291" t="s">
        <v>3884</v>
      </c>
      <c r="J139" s="291" t="s">
        <v>4035</v>
      </c>
    </row>
    <row r="140" spans="1:10">
      <c r="A140" s="291" t="s">
        <v>4116</v>
      </c>
      <c r="B140" s="291" t="s">
        <v>4110</v>
      </c>
      <c r="C140" s="291" t="s">
        <v>1884</v>
      </c>
      <c r="D140" s="291" t="s">
        <v>3881</v>
      </c>
      <c r="E140" s="291"/>
      <c r="F140" s="291" t="s">
        <v>4111</v>
      </c>
      <c r="G140" s="291" t="s">
        <v>3883</v>
      </c>
      <c r="H140" s="291"/>
      <c r="I140" s="291" t="s">
        <v>3884</v>
      </c>
      <c r="J140" s="291" t="s">
        <v>4112</v>
      </c>
    </row>
    <row r="141" spans="1:10">
      <c r="A141" s="291" t="s">
        <v>4117</v>
      </c>
      <c r="B141" s="291" t="s">
        <v>4110</v>
      </c>
      <c r="C141" s="291" t="s">
        <v>1890</v>
      </c>
      <c r="D141" s="291" t="s">
        <v>3881</v>
      </c>
      <c r="E141" s="291"/>
      <c r="F141" s="291" t="s">
        <v>4118</v>
      </c>
      <c r="G141" s="291" t="s">
        <v>3883</v>
      </c>
      <c r="H141" s="291"/>
      <c r="I141" s="291" t="s">
        <v>3884</v>
      </c>
      <c r="J141" s="291" t="s">
        <v>4119</v>
      </c>
    </row>
    <row r="142" spans="1:10">
      <c r="A142" s="291" t="s">
        <v>4120</v>
      </c>
      <c r="B142" s="291" t="s">
        <v>4110</v>
      </c>
      <c r="C142" s="291" t="s">
        <v>1892</v>
      </c>
      <c r="D142" s="291" t="s">
        <v>3881</v>
      </c>
      <c r="E142" s="291"/>
      <c r="F142" s="291" t="s">
        <v>4111</v>
      </c>
      <c r="G142" s="291" t="s">
        <v>3883</v>
      </c>
      <c r="H142" s="291"/>
      <c r="I142" s="291" t="s">
        <v>3884</v>
      </c>
      <c r="J142" s="291" t="s">
        <v>4112</v>
      </c>
    </row>
    <row r="143" spans="1:10">
      <c r="A143" s="291" t="s">
        <v>4121</v>
      </c>
      <c r="B143" s="291" t="s">
        <v>4110</v>
      </c>
      <c r="C143" s="291" t="s">
        <v>1886</v>
      </c>
      <c r="D143" s="291" t="s">
        <v>3881</v>
      </c>
      <c r="E143" s="291"/>
      <c r="F143" s="291" t="s">
        <v>4122</v>
      </c>
      <c r="G143" s="291" t="s">
        <v>3883</v>
      </c>
      <c r="H143" s="291"/>
      <c r="I143" s="291" t="s">
        <v>3884</v>
      </c>
      <c r="J143" s="291" t="s">
        <v>4123</v>
      </c>
    </row>
    <row r="144" spans="1:10">
      <c r="A144" s="291" t="s">
        <v>4124</v>
      </c>
      <c r="B144" s="291" t="s">
        <v>4110</v>
      </c>
      <c r="C144" s="291" t="s">
        <v>1895</v>
      </c>
      <c r="D144" s="291" t="s">
        <v>3881</v>
      </c>
      <c r="E144" s="291"/>
      <c r="F144" s="291" t="s">
        <v>4043</v>
      </c>
      <c r="G144" s="291" t="s">
        <v>3883</v>
      </c>
      <c r="H144" s="291"/>
      <c r="I144" s="291" t="s">
        <v>3884</v>
      </c>
      <c r="J144" s="291" t="s">
        <v>4044</v>
      </c>
    </row>
    <row r="145" spans="1:10">
      <c r="A145" s="291" t="s">
        <v>4125</v>
      </c>
      <c r="B145" s="291" t="s">
        <v>4110</v>
      </c>
      <c r="C145" s="291" t="s">
        <v>1896</v>
      </c>
      <c r="D145" s="291" t="s">
        <v>3881</v>
      </c>
      <c r="E145" s="291"/>
      <c r="F145" s="291" t="s">
        <v>4043</v>
      </c>
      <c r="G145" s="291" t="s">
        <v>3883</v>
      </c>
      <c r="H145" s="291"/>
      <c r="I145" s="291" t="s">
        <v>3884</v>
      </c>
      <c r="J145" s="291" t="s">
        <v>4044</v>
      </c>
    </row>
    <row r="146" spans="1:10">
      <c r="A146" s="291" t="s">
        <v>4126</v>
      </c>
      <c r="B146" s="291" t="s">
        <v>4110</v>
      </c>
      <c r="C146" s="291" t="s">
        <v>1901</v>
      </c>
      <c r="D146" s="291" t="s">
        <v>3881</v>
      </c>
      <c r="E146" s="291"/>
      <c r="F146" s="291" t="s">
        <v>4043</v>
      </c>
      <c r="G146" s="291" t="s">
        <v>3883</v>
      </c>
      <c r="H146" s="291"/>
      <c r="I146" s="291" t="s">
        <v>3884</v>
      </c>
      <c r="J146" s="291" t="s">
        <v>4044</v>
      </c>
    </row>
    <row r="147" spans="1:10">
      <c r="A147" s="291" t="s">
        <v>4127</v>
      </c>
      <c r="B147" s="291" t="s">
        <v>4110</v>
      </c>
      <c r="C147" s="291" t="s">
        <v>1903</v>
      </c>
      <c r="D147" s="291" t="s">
        <v>3881</v>
      </c>
      <c r="E147" s="291"/>
      <c r="F147" s="291" t="s">
        <v>4043</v>
      </c>
      <c r="G147" s="291" t="s">
        <v>3883</v>
      </c>
      <c r="H147" s="291"/>
      <c r="I147" s="291" t="s">
        <v>3884</v>
      </c>
      <c r="J147" s="291" t="s">
        <v>4044</v>
      </c>
    </row>
    <row r="148" spans="1:10">
      <c r="A148" s="291" t="s">
        <v>4128</v>
      </c>
      <c r="B148" s="291" t="s">
        <v>4110</v>
      </c>
      <c r="C148" s="291" t="s">
        <v>1905</v>
      </c>
      <c r="D148" s="291" t="s">
        <v>3881</v>
      </c>
      <c r="E148" s="291"/>
      <c r="F148" s="291" t="s">
        <v>4043</v>
      </c>
      <c r="G148" s="291" t="s">
        <v>3883</v>
      </c>
      <c r="H148" s="291"/>
      <c r="I148" s="291" t="s">
        <v>3884</v>
      </c>
      <c r="J148" s="291" t="s">
        <v>4044</v>
      </c>
    </row>
    <row r="149" spans="1:10">
      <c r="A149" s="291" t="s">
        <v>4129</v>
      </c>
      <c r="B149" s="291" t="s">
        <v>4110</v>
      </c>
      <c r="C149" s="291" t="s">
        <v>1908</v>
      </c>
      <c r="D149" s="291" t="s">
        <v>3881</v>
      </c>
      <c r="E149" s="291"/>
      <c r="F149" s="291" t="s">
        <v>4043</v>
      </c>
      <c r="G149" s="291" t="s">
        <v>3883</v>
      </c>
      <c r="H149" s="291"/>
      <c r="I149" s="291" t="s">
        <v>3884</v>
      </c>
      <c r="J149" s="291" t="s">
        <v>4044</v>
      </c>
    </row>
    <row r="150" spans="1:10">
      <c r="A150" s="291" t="s">
        <v>4130</v>
      </c>
      <c r="B150" s="291" t="s">
        <v>4110</v>
      </c>
      <c r="C150" s="291" t="s">
        <v>1909</v>
      </c>
      <c r="D150" s="291" t="s">
        <v>3881</v>
      </c>
      <c r="E150" s="291"/>
      <c r="F150" s="291" t="s">
        <v>4043</v>
      </c>
      <c r="G150" s="291" t="s">
        <v>3883</v>
      </c>
      <c r="H150" s="291"/>
      <c r="I150" s="291" t="s">
        <v>3884</v>
      </c>
      <c r="J150" s="291" t="s">
        <v>4044</v>
      </c>
    </row>
    <row r="151" spans="1:10">
      <c r="A151" s="291" t="s">
        <v>4131</v>
      </c>
      <c r="B151" s="291" t="s">
        <v>4110</v>
      </c>
      <c r="C151" s="291" t="s">
        <v>1911</v>
      </c>
      <c r="D151" s="291" t="s">
        <v>3881</v>
      </c>
      <c r="E151" s="291"/>
      <c r="F151" s="291" t="s">
        <v>4043</v>
      </c>
      <c r="G151" s="291" t="s">
        <v>3883</v>
      </c>
      <c r="H151" s="291"/>
      <c r="I151" s="291" t="s">
        <v>3884</v>
      </c>
      <c r="J151" s="291" t="s">
        <v>4044</v>
      </c>
    </row>
    <row r="152" spans="1:10">
      <c r="A152" s="291" t="s">
        <v>4132</v>
      </c>
      <c r="B152" s="291" t="s">
        <v>4110</v>
      </c>
      <c r="C152" s="291" t="s">
        <v>1916</v>
      </c>
      <c r="D152" s="291" t="s">
        <v>3881</v>
      </c>
      <c r="E152" s="291"/>
      <c r="F152" s="291" t="s">
        <v>4043</v>
      </c>
      <c r="G152" s="291" t="s">
        <v>3883</v>
      </c>
      <c r="H152" s="291"/>
      <c r="I152" s="291" t="s">
        <v>3884</v>
      </c>
      <c r="J152" s="291" t="s">
        <v>4044</v>
      </c>
    </row>
    <row r="153" spans="1:10">
      <c r="A153" s="291" t="s">
        <v>4133</v>
      </c>
      <c r="B153" s="291" t="s">
        <v>4110</v>
      </c>
      <c r="C153" s="291" t="s">
        <v>1918</v>
      </c>
      <c r="D153" s="291" t="s">
        <v>3881</v>
      </c>
      <c r="E153" s="291"/>
      <c r="F153" s="291" t="s">
        <v>4043</v>
      </c>
      <c r="G153" s="291" t="s">
        <v>3883</v>
      </c>
      <c r="H153" s="291"/>
      <c r="I153" s="291" t="s">
        <v>3884</v>
      </c>
      <c r="J153" s="291" t="s">
        <v>4044</v>
      </c>
    </row>
    <row r="154" spans="1:10">
      <c r="A154" s="291" t="s">
        <v>4134</v>
      </c>
      <c r="B154" s="291" t="s">
        <v>4110</v>
      </c>
      <c r="C154" s="291" t="s">
        <v>1920</v>
      </c>
      <c r="D154" s="291" t="s">
        <v>3881</v>
      </c>
      <c r="E154" s="291"/>
      <c r="F154" s="291" t="s">
        <v>4043</v>
      </c>
      <c r="G154" s="291" t="s">
        <v>3883</v>
      </c>
      <c r="H154" s="291"/>
      <c r="I154" s="291" t="s">
        <v>3884</v>
      </c>
      <c r="J154" s="291" t="s">
        <v>4044</v>
      </c>
    </row>
    <row r="155" spans="1:10">
      <c r="A155" s="291" t="s">
        <v>4135</v>
      </c>
      <c r="B155" s="291" t="s">
        <v>4110</v>
      </c>
      <c r="C155" s="291" t="s">
        <v>1894</v>
      </c>
      <c r="D155" s="291" t="s">
        <v>3881</v>
      </c>
      <c r="E155" s="291"/>
      <c r="F155" s="291" t="s">
        <v>4043</v>
      </c>
      <c r="G155" s="291" t="s">
        <v>3883</v>
      </c>
      <c r="H155" s="291"/>
      <c r="I155" s="291" t="s">
        <v>3884</v>
      </c>
      <c r="J155" s="291" t="s">
        <v>4044</v>
      </c>
    </row>
    <row r="156" spans="1:10">
      <c r="A156" s="291" t="s">
        <v>4136</v>
      </c>
      <c r="B156" s="291" t="s">
        <v>4137</v>
      </c>
      <c r="C156" s="291" t="s">
        <v>1878</v>
      </c>
      <c r="D156" s="291" t="s">
        <v>3941</v>
      </c>
      <c r="E156" s="291"/>
      <c r="F156" s="291" t="s">
        <v>4138</v>
      </c>
      <c r="G156" s="291" t="s">
        <v>3883</v>
      </c>
      <c r="H156" s="291"/>
      <c r="I156" s="291" t="s">
        <v>3884</v>
      </c>
      <c r="J156" s="291" t="s">
        <v>4139</v>
      </c>
    </row>
    <row r="157" spans="1:10">
      <c r="A157" s="291" t="s">
        <v>4140</v>
      </c>
      <c r="B157" s="291" t="s">
        <v>4141</v>
      </c>
      <c r="C157" s="291" t="s">
        <v>1884</v>
      </c>
      <c r="D157" s="291" t="s">
        <v>3941</v>
      </c>
      <c r="E157" s="291"/>
      <c r="F157" s="291" t="s">
        <v>4142</v>
      </c>
      <c r="G157" s="291" t="s">
        <v>3883</v>
      </c>
      <c r="H157" s="291"/>
      <c r="I157" s="291" t="s">
        <v>3884</v>
      </c>
      <c r="J157" s="291" t="s">
        <v>4143</v>
      </c>
    </row>
    <row r="158" spans="1:10">
      <c r="A158" s="291" t="s">
        <v>4144</v>
      </c>
      <c r="B158" s="291" t="s">
        <v>4145</v>
      </c>
      <c r="C158" s="291" t="s">
        <v>1884</v>
      </c>
      <c r="D158" s="291" t="s">
        <v>3941</v>
      </c>
      <c r="E158" s="291"/>
      <c r="F158" s="291" t="s">
        <v>4142</v>
      </c>
      <c r="G158" s="291" t="s">
        <v>3883</v>
      </c>
      <c r="H158" s="291"/>
      <c r="I158" s="291" t="s">
        <v>3884</v>
      </c>
      <c r="J158" s="291" t="s">
        <v>4143</v>
      </c>
    </row>
    <row r="159" spans="1:10">
      <c r="A159" s="291" t="s">
        <v>4146</v>
      </c>
      <c r="B159" s="291" t="s">
        <v>4147</v>
      </c>
      <c r="C159" s="291" t="s">
        <v>1878</v>
      </c>
      <c r="D159" s="291" t="s">
        <v>3941</v>
      </c>
      <c r="E159" s="291"/>
      <c r="F159" s="291" t="s">
        <v>4148</v>
      </c>
      <c r="G159" s="291" t="s">
        <v>3883</v>
      </c>
      <c r="H159" s="291"/>
      <c r="I159" s="291" t="s">
        <v>3884</v>
      </c>
      <c r="J159" s="291" t="s">
        <v>4149</v>
      </c>
    </row>
    <row r="160" spans="1:10">
      <c r="A160" s="291" t="s">
        <v>4150</v>
      </c>
      <c r="B160" s="291" t="s">
        <v>4147</v>
      </c>
      <c r="C160" s="291" t="s">
        <v>1881</v>
      </c>
      <c r="D160" s="291" t="s">
        <v>3941</v>
      </c>
      <c r="E160" s="291"/>
      <c r="F160" s="291" t="s">
        <v>4151</v>
      </c>
      <c r="G160" s="291" t="s">
        <v>3883</v>
      </c>
      <c r="H160" s="291"/>
      <c r="I160" s="291" t="s">
        <v>3884</v>
      </c>
      <c r="J160" s="291" t="s">
        <v>4152</v>
      </c>
    </row>
    <row r="161" spans="1:10">
      <c r="A161" s="291" t="s">
        <v>4153</v>
      </c>
      <c r="B161" s="291" t="s">
        <v>4147</v>
      </c>
      <c r="C161" s="291" t="s">
        <v>1884</v>
      </c>
      <c r="D161" s="291" t="s">
        <v>3941</v>
      </c>
      <c r="E161" s="291"/>
      <c r="F161" s="291" t="s">
        <v>4142</v>
      </c>
      <c r="G161" s="291" t="s">
        <v>3883</v>
      </c>
      <c r="H161" s="291"/>
      <c r="I161" s="291" t="s">
        <v>3884</v>
      </c>
      <c r="J161" s="291" t="s">
        <v>4143</v>
      </c>
    </row>
    <row r="162" spans="1:10">
      <c r="A162" s="291" t="s">
        <v>4154</v>
      </c>
      <c r="B162" s="291" t="s">
        <v>4147</v>
      </c>
      <c r="C162" s="291" t="s">
        <v>1886</v>
      </c>
      <c r="D162" s="291" t="s">
        <v>3941</v>
      </c>
      <c r="E162" s="291"/>
      <c r="F162" s="291" t="s">
        <v>4155</v>
      </c>
      <c r="G162" s="291" t="s">
        <v>3883</v>
      </c>
      <c r="H162" s="291"/>
      <c r="I162" s="291" t="s">
        <v>3884</v>
      </c>
      <c r="J162" s="291" t="s">
        <v>4156</v>
      </c>
    </row>
    <row r="163" spans="1:10">
      <c r="A163" s="291" t="s">
        <v>4157</v>
      </c>
      <c r="B163" s="291" t="s">
        <v>4158</v>
      </c>
      <c r="C163" s="291" t="s">
        <v>1890</v>
      </c>
      <c r="D163" s="291" t="s">
        <v>3881</v>
      </c>
      <c r="E163" s="291"/>
      <c r="F163" s="291" t="s">
        <v>4111</v>
      </c>
      <c r="G163" s="291" t="s">
        <v>3883</v>
      </c>
      <c r="H163" s="291"/>
      <c r="I163" s="291" t="s">
        <v>3884</v>
      </c>
      <c r="J163" s="291" t="s">
        <v>4112</v>
      </c>
    </row>
    <row r="164" spans="1:10">
      <c r="A164" s="291" t="s">
        <v>4159</v>
      </c>
      <c r="B164" s="291" t="s">
        <v>4160</v>
      </c>
      <c r="C164" s="291" t="s">
        <v>1875</v>
      </c>
      <c r="D164" s="291" t="s">
        <v>3941</v>
      </c>
      <c r="E164" s="291"/>
      <c r="F164" s="291" t="s">
        <v>4161</v>
      </c>
      <c r="G164" s="291" t="s">
        <v>3883</v>
      </c>
      <c r="H164" s="291"/>
      <c r="I164" s="291" t="s">
        <v>3884</v>
      </c>
      <c r="J164" s="291" t="s">
        <v>4162</v>
      </c>
    </row>
    <row r="165" spans="1:10">
      <c r="A165" s="291" t="s">
        <v>4163</v>
      </c>
      <c r="B165" s="291" t="s">
        <v>4164</v>
      </c>
      <c r="C165" s="291" t="s">
        <v>1890</v>
      </c>
      <c r="D165" s="291" t="s">
        <v>3941</v>
      </c>
      <c r="E165" s="291"/>
      <c r="F165" s="291" t="s">
        <v>4155</v>
      </c>
      <c r="G165" s="291" t="s">
        <v>3883</v>
      </c>
      <c r="H165" s="291"/>
      <c r="I165" s="291" t="s">
        <v>3884</v>
      </c>
      <c r="J165" s="291" t="s">
        <v>4156</v>
      </c>
    </row>
    <row r="166" spans="1:10">
      <c r="A166" s="291" t="s">
        <v>4165</v>
      </c>
      <c r="B166" s="291" t="s">
        <v>4164</v>
      </c>
      <c r="C166" s="291" t="s">
        <v>1892</v>
      </c>
      <c r="D166" s="291" t="s">
        <v>3941</v>
      </c>
      <c r="E166" s="291"/>
      <c r="F166" s="291" t="s">
        <v>4166</v>
      </c>
      <c r="G166" s="291" t="s">
        <v>3883</v>
      </c>
      <c r="H166" s="291"/>
      <c r="I166" s="291" t="s">
        <v>3884</v>
      </c>
      <c r="J166" s="291" t="s">
        <v>4167</v>
      </c>
    </row>
    <row r="167" spans="1:10">
      <c r="A167" s="291" t="s">
        <v>4168</v>
      </c>
      <c r="B167" s="291" t="s">
        <v>4169</v>
      </c>
      <c r="C167" s="291" t="s">
        <v>1893</v>
      </c>
      <c r="D167" s="291" t="s">
        <v>3881</v>
      </c>
      <c r="E167" s="291"/>
      <c r="F167" s="291" t="s">
        <v>4111</v>
      </c>
      <c r="G167" s="291" t="s">
        <v>3883</v>
      </c>
      <c r="H167" s="291"/>
      <c r="I167" s="291" t="s">
        <v>3884</v>
      </c>
      <c r="J167" s="291" t="s">
        <v>4112</v>
      </c>
    </row>
    <row r="168" spans="1:10">
      <c r="A168" s="291" t="s">
        <v>4170</v>
      </c>
      <c r="B168" s="291" t="s">
        <v>4169</v>
      </c>
      <c r="C168" s="291" t="s">
        <v>1875</v>
      </c>
      <c r="D168" s="291" t="s">
        <v>3881</v>
      </c>
      <c r="E168" s="291"/>
      <c r="F168" s="291" t="s">
        <v>4111</v>
      </c>
      <c r="G168" s="291" t="s">
        <v>3883</v>
      </c>
      <c r="H168" s="291"/>
      <c r="I168" s="291" t="s">
        <v>3884</v>
      </c>
      <c r="J168" s="291" t="s">
        <v>4112</v>
      </c>
    </row>
    <row r="169" spans="1:10">
      <c r="A169" s="291" t="s">
        <v>4171</v>
      </c>
      <c r="B169" s="291" t="s">
        <v>4169</v>
      </c>
      <c r="C169" s="291" t="s">
        <v>1878</v>
      </c>
      <c r="D169" s="291" t="s">
        <v>3881</v>
      </c>
      <c r="E169" s="291"/>
      <c r="F169" s="291" t="s">
        <v>4031</v>
      </c>
      <c r="G169" s="291" t="s">
        <v>3883</v>
      </c>
      <c r="H169" s="291"/>
      <c r="I169" s="291" t="s">
        <v>3884</v>
      </c>
      <c r="J169" s="291" t="s">
        <v>4032</v>
      </c>
    </row>
    <row r="170" spans="1:10">
      <c r="A170" s="291" t="s">
        <v>4172</v>
      </c>
      <c r="B170" s="291" t="s">
        <v>4169</v>
      </c>
      <c r="C170" s="291" t="s">
        <v>1881</v>
      </c>
      <c r="D170" s="291" t="s">
        <v>3881</v>
      </c>
      <c r="E170" s="291"/>
      <c r="F170" s="291" t="s">
        <v>4034</v>
      </c>
      <c r="G170" s="291" t="s">
        <v>3883</v>
      </c>
      <c r="H170" s="291"/>
      <c r="I170" s="291" t="s">
        <v>3884</v>
      </c>
      <c r="J170" s="291" t="s">
        <v>4035</v>
      </c>
    </row>
    <row r="171" spans="1:10">
      <c r="A171" s="291" t="s">
        <v>4173</v>
      </c>
      <c r="B171" s="291" t="s">
        <v>4169</v>
      </c>
      <c r="C171" s="291" t="s">
        <v>1884</v>
      </c>
      <c r="D171" s="291" t="s">
        <v>3881</v>
      </c>
      <c r="E171" s="291"/>
      <c r="F171" s="291" t="s">
        <v>4111</v>
      </c>
      <c r="G171" s="291" t="s">
        <v>3883</v>
      </c>
      <c r="H171" s="291"/>
      <c r="I171" s="291" t="s">
        <v>3884</v>
      </c>
      <c r="J171" s="291" t="s">
        <v>4112</v>
      </c>
    </row>
    <row r="172" spans="1:10">
      <c r="A172" s="291" t="s">
        <v>4174</v>
      </c>
      <c r="B172" s="291" t="s">
        <v>4169</v>
      </c>
      <c r="C172" s="291" t="s">
        <v>1892</v>
      </c>
      <c r="D172" s="291" t="s">
        <v>3881</v>
      </c>
      <c r="E172" s="291"/>
      <c r="F172" s="291" t="s">
        <v>4111</v>
      </c>
      <c r="G172" s="291" t="s">
        <v>3883</v>
      </c>
      <c r="H172" s="291"/>
      <c r="I172" s="291" t="s">
        <v>3884</v>
      </c>
      <c r="J172" s="291" t="s">
        <v>4112</v>
      </c>
    </row>
    <row r="173" spans="1:10">
      <c r="A173" s="291" t="s">
        <v>4175</v>
      </c>
      <c r="B173" s="291" t="s">
        <v>4169</v>
      </c>
      <c r="C173" s="291" t="s">
        <v>1886</v>
      </c>
      <c r="D173" s="291" t="s">
        <v>3881</v>
      </c>
      <c r="E173" s="291"/>
      <c r="F173" s="291" t="s">
        <v>4122</v>
      </c>
      <c r="G173" s="291" t="s">
        <v>3883</v>
      </c>
      <c r="H173" s="291"/>
      <c r="I173" s="291" t="s">
        <v>3884</v>
      </c>
      <c r="J173" s="291" t="s">
        <v>4123</v>
      </c>
    </row>
    <row r="174" spans="1:10">
      <c r="A174" s="291" t="s">
        <v>4176</v>
      </c>
      <c r="B174" s="291" t="s">
        <v>4169</v>
      </c>
      <c r="C174" s="291" t="s">
        <v>1895</v>
      </c>
      <c r="D174" s="291" t="s">
        <v>3881</v>
      </c>
      <c r="E174" s="291"/>
      <c r="F174" s="291" t="s">
        <v>4043</v>
      </c>
      <c r="G174" s="291" t="s">
        <v>3883</v>
      </c>
      <c r="H174" s="291"/>
      <c r="I174" s="291" t="s">
        <v>3884</v>
      </c>
      <c r="J174" s="291" t="s">
        <v>4044</v>
      </c>
    </row>
    <row r="175" spans="1:10">
      <c r="A175" s="291" t="s">
        <v>4177</v>
      </c>
      <c r="B175" s="291" t="s">
        <v>4169</v>
      </c>
      <c r="C175" s="291" t="s">
        <v>1896</v>
      </c>
      <c r="D175" s="291" t="s">
        <v>3881</v>
      </c>
      <c r="E175" s="291"/>
      <c r="F175" s="291" t="s">
        <v>4043</v>
      </c>
      <c r="G175" s="291" t="s">
        <v>3883</v>
      </c>
      <c r="H175" s="291"/>
      <c r="I175" s="291" t="s">
        <v>3884</v>
      </c>
      <c r="J175" s="291" t="s">
        <v>4044</v>
      </c>
    </row>
    <row r="176" spans="1:10">
      <c r="A176" s="291" t="s">
        <v>4178</v>
      </c>
      <c r="B176" s="291" t="s">
        <v>4169</v>
      </c>
      <c r="C176" s="291" t="s">
        <v>1901</v>
      </c>
      <c r="D176" s="291" t="s">
        <v>3881</v>
      </c>
      <c r="E176" s="291"/>
      <c r="F176" s="291" t="s">
        <v>4043</v>
      </c>
      <c r="G176" s="291" t="s">
        <v>3883</v>
      </c>
      <c r="H176" s="291"/>
      <c r="I176" s="291" t="s">
        <v>3884</v>
      </c>
      <c r="J176" s="291" t="s">
        <v>4044</v>
      </c>
    </row>
    <row r="177" spans="1:10">
      <c r="A177" s="291" t="s">
        <v>4179</v>
      </c>
      <c r="B177" s="291" t="s">
        <v>4169</v>
      </c>
      <c r="C177" s="291" t="s">
        <v>1903</v>
      </c>
      <c r="D177" s="291" t="s">
        <v>3881</v>
      </c>
      <c r="E177" s="291"/>
      <c r="F177" s="291" t="s">
        <v>4043</v>
      </c>
      <c r="G177" s="291" t="s">
        <v>3883</v>
      </c>
      <c r="H177" s="291"/>
      <c r="I177" s="291" t="s">
        <v>3884</v>
      </c>
      <c r="J177" s="291" t="s">
        <v>4044</v>
      </c>
    </row>
    <row r="178" spans="1:10">
      <c r="A178" s="291" t="s">
        <v>4180</v>
      </c>
      <c r="B178" s="291" t="s">
        <v>4169</v>
      </c>
      <c r="C178" s="291" t="s">
        <v>1905</v>
      </c>
      <c r="D178" s="291" t="s">
        <v>3881</v>
      </c>
      <c r="E178" s="291"/>
      <c r="F178" s="291" t="s">
        <v>4043</v>
      </c>
      <c r="G178" s="291" t="s">
        <v>3883</v>
      </c>
      <c r="H178" s="291"/>
      <c r="I178" s="291" t="s">
        <v>3884</v>
      </c>
      <c r="J178" s="291" t="s">
        <v>4044</v>
      </c>
    </row>
    <row r="179" spans="1:10">
      <c r="A179" s="291" t="s">
        <v>4181</v>
      </c>
      <c r="B179" s="291" t="s">
        <v>4169</v>
      </c>
      <c r="C179" s="291" t="s">
        <v>1908</v>
      </c>
      <c r="D179" s="291" t="s">
        <v>3881</v>
      </c>
      <c r="E179" s="291"/>
      <c r="F179" s="291" t="s">
        <v>4043</v>
      </c>
      <c r="G179" s="291" t="s">
        <v>3883</v>
      </c>
      <c r="H179" s="291"/>
      <c r="I179" s="291" t="s">
        <v>3884</v>
      </c>
      <c r="J179" s="291" t="s">
        <v>4044</v>
      </c>
    </row>
    <row r="180" spans="1:10">
      <c r="A180" s="291" t="s">
        <v>4182</v>
      </c>
      <c r="B180" s="291" t="s">
        <v>4169</v>
      </c>
      <c r="C180" s="291" t="s">
        <v>1909</v>
      </c>
      <c r="D180" s="291" t="s">
        <v>3881</v>
      </c>
      <c r="E180" s="291"/>
      <c r="F180" s="291" t="s">
        <v>4043</v>
      </c>
      <c r="G180" s="291" t="s">
        <v>3883</v>
      </c>
      <c r="H180" s="291"/>
      <c r="I180" s="291" t="s">
        <v>3884</v>
      </c>
      <c r="J180" s="291" t="s">
        <v>4044</v>
      </c>
    </row>
    <row r="181" spans="1:10">
      <c r="A181" s="291" t="s">
        <v>4183</v>
      </c>
      <c r="B181" s="291" t="s">
        <v>4169</v>
      </c>
      <c r="C181" s="291" t="s">
        <v>1911</v>
      </c>
      <c r="D181" s="291" t="s">
        <v>3881</v>
      </c>
      <c r="E181" s="291"/>
      <c r="F181" s="291" t="s">
        <v>4043</v>
      </c>
      <c r="G181" s="291" t="s">
        <v>3883</v>
      </c>
      <c r="H181" s="291"/>
      <c r="I181" s="291" t="s">
        <v>3884</v>
      </c>
      <c r="J181" s="291" t="s">
        <v>4044</v>
      </c>
    </row>
    <row r="182" spans="1:10">
      <c r="A182" s="291" t="s">
        <v>4184</v>
      </c>
      <c r="B182" s="291" t="s">
        <v>4169</v>
      </c>
      <c r="C182" s="291" t="s">
        <v>1916</v>
      </c>
      <c r="D182" s="291" t="s">
        <v>3881</v>
      </c>
      <c r="E182" s="291"/>
      <c r="F182" s="291" t="s">
        <v>4043</v>
      </c>
      <c r="G182" s="291" t="s">
        <v>3883</v>
      </c>
      <c r="H182" s="291"/>
      <c r="I182" s="291" t="s">
        <v>3884</v>
      </c>
      <c r="J182" s="291" t="s">
        <v>4044</v>
      </c>
    </row>
    <row r="183" spans="1:10">
      <c r="A183" s="291" t="s">
        <v>4185</v>
      </c>
      <c r="B183" s="291" t="s">
        <v>4169</v>
      </c>
      <c r="C183" s="291" t="s">
        <v>1918</v>
      </c>
      <c r="D183" s="291" t="s">
        <v>3881</v>
      </c>
      <c r="E183" s="291"/>
      <c r="F183" s="291" t="s">
        <v>4043</v>
      </c>
      <c r="G183" s="291" t="s">
        <v>3883</v>
      </c>
      <c r="H183" s="291"/>
      <c r="I183" s="291" t="s">
        <v>3884</v>
      </c>
      <c r="J183" s="291" t="s">
        <v>4044</v>
      </c>
    </row>
    <row r="184" spans="1:10">
      <c r="A184" s="291" t="s">
        <v>4186</v>
      </c>
      <c r="B184" s="291" t="s">
        <v>4169</v>
      </c>
      <c r="C184" s="291" t="s">
        <v>1920</v>
      </c>
      <c r="D184" s="291" t="s">
        <v>3881</v>
      </c>
      <c r="E184" s="291"/>
      <c r="F184" s="291" t="s">
        <v>4043</v>
      </c>
      <c r="G184" s="291" t="s">
        <v>3883</v>
      </c>
      <c r="H184" s="291"/>
      <c r="I184" s="291" t="s">
        <v>3884</v>
      </c>
      <c r="J184" s="291" t="s">
        <v>4044</v>
      </c>
    </row>
    <row r="185" spans="1:10">
      <c r="A185" s="291" t="s">
        <v>4187</v>
      </c>
      <c r="B185" s="291" t="s">
        <v>4169</v>
      </c>
      <c r="C185" s="291" t="s">
        <v>1894</v>
      </c>
      <c r="D185" s="291" t="s">
        <v>3881</v>
      </c>
      <c r="E185" s="291"/>
      <c r="F185" s="291" t="s">
        <v>4043</v>
      </c>
      <c r="G185" s="291" t="s">
        <v>3883</v>
      </c>
      <c r="H185" s="291"/>
      <c r="I185" s="291" t="s">
        <v>3884</v>
      </c>
      <c r="J185" s="291" t="s">
        <v>4044</v>
      </c>
    </row>
    <row r="186" spans="1:10">
      <c r="A186" s="291" t="s">
        <v>4188</v>
      </c>
      <c r="B186" s="291" t="s">
        <v>4189</v>
      </c>
      <c r="C186" s="291" t="s">
        <v>1875</v>
      </c>
      <c r="D186" s="291" t="s">
        <v>3881</v>
      </c>
      <c r="E186" s="291"/>
      <c r="F186" s="291" t="s">
        <v>3881</v>
      </c>
      <c r="G186" s="291" t="s">
        <v>3883</v>
      </c>
      <c r="H186" s="291"/>
      <c r="I186" s="291" t="s">
        <v>3884</v>
      </c>
      <c r="J186" s="291" t="s">
        <v>3961</v>
      </c>
    </row>
    <row r="187" spans="1:10">
      <c r="A187" s="291" t="s">
        <v>4190</v>
      </c>
      <c r="B187" s="291" t="s">
        <v>4191</v>
      </c>
      <c r="C187" s="291" t="s">
        <v>1890</v>
      </c>
      <c r="D187" s="291" t="s">
        <v>3881</v>
      </c>
      <c r="E187" s="291"/>
      <c r="F187" s="291" t="s">
        <v>3881</v>
      </c>
      <c r="G187" s="291" t="s">
        <v>3883</v>
      </c>
      <c r="H187" s="291"/>
      <c r="I187" s="291" t="s">
        <v>3884</v>
      </c>
      <c r="J187" s="291" t="s">
        <v>3961</v>
      </c>
    </row>
    <row r="188" spans="1:10">
      <c r="A188" s="291" t="s">
        <v>4192</v>
      </c>
      <c r="B188" s="291" t="s">
        <v>4193</v>
      </c>
      <c r="C188" s="291" t="s">
        <v>1893</v>
      </c>
      <c r="D188" s="291" t="s">
        <v>3881</v>
      </c>
      <c r="E188" s="291"/>
      <c r="F188" s="291" t="s">
        <v>3881</v>
      </c>
      <c r="G188" s="291" t="s">
        <v>3883</v>
      </c>
      <c r="H188" s="291"/>
      <c r="I188" s="291" t="s">
        <v>3884</v>
      </c>
      <c r="J188" s="291" t="s">
        <v>3961</v>
      </c>
    </row>
    <row r="189" spans="1:10">
      <c r="A189" s="291" t="s">
        <v>4194</v>
      </c>
      <c r="B189" s="291" t="s">
        <v>4193</v>
      </c>
      <c r="C189" s="291" t="s">
        <v>1886</v>
      </c>
      <c r="D189" s="291" t="s">
        <v>3881</v>
      </c>
      <c r="E189" s="291"/>
      <c r="F189" s="291" t="s">
        <v>3881</v>
      </c>
      <c r="G189" s="291" t="s">
        <v>3883</v>
      </c>
      <c r="H189" s="291"/>
      <c r="I189" s="291" t="s">
        <v>3884</v>
      </c>
      <c r="J189" s="291" t="s">
        <v>3961</v>
      </c>
    </row>
    <row r="190" spans="1:10">
      <c r="A190" s="291" t="s">
        <v>4195</v>
      </c>
      <c r="B190" s="291" t="s">
        <v>4196</v>
      </c>
      <c r="C190" s="291" t="s">
        <v>1878</v>
      </c>
      <c r="D190" s="291" t="s">
        <v>3941</v>
      </c>
      <c r="E190" s="291"/>
      <c r="F190" s="291" t="s">
        <v>4197</v>
      </c>
      <c r="G190" s="291" t="s">
        <v>3883</v>
      </c>
      <c r="H190" s="291"/>
      <c r="I190" s="291" t="s">
        <v>3884</v>
      </c>
      <c r="J190" s="291" t="s">
        <v>4198</v>
      </c>
    </row>
    <row r="191" spans="1:10">
      <c r="A191" s="291" t="s">
        <v>4199</v>
      </c>
      <c r="B191" s="291" t="s">
        <v>4196</v>
      </c>
      <c r="C191" s="291" t="s">
        <v>1881</v>
      </c>
      <c r="D191" s="291" t="s">
        <v>3941</v>
      </c>
      <c r="E191" s="291"/>
      <c r="F191" s="291" t="s">
        <v>4197</v>
      </c>
      <c r="G191" s="291" t="s">
        <v>3883</v>
      </c>
      <c r="H191" s="291"/>
      <c r="I191" s="291" t="s">
        <v>3884</v>
      </c>
      <c r="J191" s="291" t="s">
        <v>4198</v>
      </c>
    </row>
    <row r="192" spans="1:10">
      <c r="A192" s="291" t="s">
        <v>4200</v>
      </c>
      <c r="B192" s="291" t="s">
        <v>4201</v>
      </c>
      <c r="C192" s="291" t="s">
        <v>1878</v>
      </c>
      <c r="D192" s="291" t="s">
        <v>3881</v>
      </c>
      <c r="E192" s="291"/>
      <c r="F192" s="291" t="s">
        <v>4202</v>
      </c>
      <c r="G192" s="291" t="s">
        <v>3883</v>
      </c>
      <c r="H192" s="291"/>
      <c r="I192" s="291" t="s">
        <v>3884</v>
      </c>
      <c r="J192" s="291" t="s">
        <v>4203</v>
      </c>
    </row>
    <row r="193" spans="1:10">
      <c r="A193" s="291" t="s">
        <v>4204</v>
      </c>
      <c r="B193" s="291" t="s">
        <v>4201</v>
      </c>
      <c r="C193" s="291" t="s">
        <v>1881</v>
      </c>
      <c r="D193" s="291" t="s">
        <v>3881</v>
      </c>
      <c r="E193" s="291"/>
      <c r="F193" s="291" t="s">
        <v>4202</v>
      </c>
      <c r="G193" s="291" t="s">
        <v>3883</v>
      </c>
      <c r="H193" s="291"/>
      <c r="I193" s="291" t="s">
        <v>3884</v>
      </c>
      <c r="J193" s="291" t="s">
        <v>4203</v>
      </c>
    </row>
    <row r="194" spans="1:10">
      <c r="A194" s="291" t="s">
        <v>4205</v>
      </c>
      <c r="B194" s="291" t="s">
        <v>4201</v>
      </c>
      <c r="C194" s="291" t="s">
        <v>1886</v>
      </c>
      <c r="D194" s="291" t="s">
        <v>3881</v>
      </c>
      <c r="E194" s="291"/>
      <c r="F194" s="291" t="s">
        <v>3881</v>
      </c>
      <c r="G194" s="291" t="s">
        <v>3883</v>
      </c>
      <c r="H194" s="291"/>
      <c r="I194" s="291" t="s">
        <v>3884</v>
      </c>
      <c r="J194" s="291" t="s">
        <v>3961</v>
      </c>
    </row>
    <row r="195" spans="1:10">
      <c r="A195" s="291" t="s">
        <v>4206</v>
      </c>
      <c r="B195" s="291" t="s">
        <v>4207</v>
      </c>
      <c r="C195" s="291" t="s">
        <v>1878</v>
      </c>
      <c r="D195" s="291" t="s">
        <v>3881</v>
      </c>
      <c r="E195" s="291"/>
      <c r="F195" s="291" t="s">
        <v>4202</v>
      </c>
      <c r="G195" s="291" t="s">
        <v>3883</v>
      </c>
      <c r="H195" s="291"/>
      <c r="I195" s="291" t="s">
        <v>3884</v>
      </c>
      <c r="J195" s="291" t="s">
        <v>4203</v>
      </c>
    </row>
    <row r="196" spans="1:10">
      <c r="A196" s="291" t="s">
        <v>4208</v>
      </c>
      <c r="B196" s="291" t="s">
        <v>4207</v>
      </c>
      <c r="C196" s="291" t="s">
        <v>1881</v>
      </c>
      <c r="D196" s="291" t="s">
        <v>3881</v>
      </c>
      <c r="E196" s="291"/>
      <c r="F196" s="291" t="s">
        <v>4202</v>
      </c>
      <c r="G196" s="291" t="s">
        <v>3883</v>
      </c>
      <c r="H196" s="291"/>
      <c r="I196" s="291" t="s">
        <v>3884</v>
      </c>
      <c r="J196" s="291" t="s">
        <v>4203</v>
      </c>
    </row>
    <row r="197" spans="1:10">
      <c r="A197" s="291" t="s">
        <v>4209</v>
      </c>
      <c r="B197" s="291" t="s">
        <v>4207</v>
      </c>
      <c r="C197" s="291" t="s">
        <v>1886</v>
      </c>
      <c r="D197" s="291" t="s">
        <v>3881</v>
      </c>
      <c r="E197" s="291"/>
      <c r="F197" s="291" t="s">
        <v>3881</v>
      </c>
      <c r="G197" s="291" t="s">
        <v>3883</v>
      </c>
      <c r="H197" s="291"/>
      <c r="I197" s="291" t="s">
        <v>3884</v>
      </c>
      <c r="J197" s="291" t="s">
        <v>3961</v>
      </c>
    </row>
    <row r="198" spans="1:10">
      <c r="A198" s="291" t="s">
        <v>4210</v>
      </c>
      <c r="B198" s="291" t="s">
        <v>4211</v>
      </c>
      <c r="C198" s="291" t="s">
        <v>1875</v>
      </c>
      <c r="D198" s="291" t="s">
        <v>3881</v>
      </c>
      <c r="E198" s="291"/>
      <c r="F198" s="291" t="s">
        <v>4111</v>
      </c>
      <c r="G198" s="291" t="s">
        <v>3883</v>
      </c>
      <c r="H198" s="291"/>
      <c r="I198" s="291" t="s">
        <v>3884</v>
      </c>
      <c r="J198" s="291" t="s">
        <v>4112</v>
      </c>
    </row>
    <row r="199" spans="1:10">
      <c r="A199" s="291" t="s">
        <v>4212</v>
      </c>
      <c r="B199" s="291" t="s">
        <v>4211</v>
      </c>
      <c r="C199" s="291" t="s">
        <v>1884</v>
      </c>
      <c r="D199" s="291" t="s">
        <v>3881</v>
      </c>
      <c r="E199" s="291"/>
      <c r="F199" s="291" t="s">
        <v>4111</v>
      </c>
      <c r="G199" s="291" t="s">
        <v>3883</v>
      </c>
      <c r="H199" s="291"/>
      <c r="I199" s="291" t="s">
        <v>3884</v>
      </c>
      <c r="J199" s="291" t="s">
        <v>4112</v>
      </c>
    </row>
    <row r="200" spans="1:10">
      <c r="A200" s="291" t="s">
        <v>4213</v>
      </c>
      <c r="B200" s="291" t="s">
        <v>4211</v>
      </c>
      <c r="C200" s="291" t="s">
        <v>1890</v>
      </c>
      <c r="D200" s="291" t="s">
        <v>3881</v>
      </c>
      <c r="E200" s="291"/>
      <c r="F200" s="291" t="s">
        <v>4111</v>
      </c>
      <c r="G200" s="291" t="s">
        <v>3883</v>
      </c>
      <c r="H200" s="291"/>
      <c r="I200" s="291" t="s">
        <v>3884</v>
      </c>
      <c r="J200" s="291" t="s">
        <v>4112</v>
      </c>
    </row>
    <row r="201" spans="1:10">
      <c r="A201" s="291" t="s">
        <v>4214</v>
      </c>
      <c r="B201" s="291" t="s">
        <v>4164</v>
      </c>
      <c r="C201" s="291" t="s">
        <v>1881</v>
      </c>
      <c r="D201" s="291" t="s">
        <v>3941</v>
      </c>
      <c r="E201" s="291"/>
      <c r="F201" s="291" t="s">
        <v>4142</v>
      </c>
      <c r="G201" s="291" t="s">
        <v>3883</v>
      </c>
      <c r="H201" s="291"/>
      <c r="I201" s="291" t="s">
        <v>3884</v>
      </c>
      <c r="J201" s="291" t="s">
        <v>4143</v>
      </c>
    </row>
    <row r="202" spans="1:10">
      <c r="A202" s="291" t="s">
        <v>4215</v>
      </c>
      <c r="B202" s="350">
        <v>46344</v>
      </c>
      <c r="C202" s="291" t="s">
        <v>1908</v>
      </c>
      <c r="D202" s="291" t="s">
        <v>3881</v>
      </c>
      <c r="E202" s="291"/>
      <c r="F202" s="291" t="s">
        <v>4216</v>
      </c>
      <c r="G202" s="291" t="s">
        <v>3956</v>
      </c>
      <c r="H202" s="291" t="s">
        <v>4217</v>
      </c>
      <c r="I202" s="291" t="s">
        <v>3884</v>
      </c>
      <c r="J202" s="291" t="s">
        <v>4218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4219</v>
      </c>
    </row>
    <row r="2" spans="1:13" ht="52">
      <c r="A2" s="290" t="s">
        <v>2240</v>
      </c>
      <c r="B2" s="290" t="s">
        <v>4220</v>
      </c>
      <c r="C2" s="290" t="s">
        <v>6</v>
      </c>
      <c r="D2" s="290" t="s">
        <v>4221</v>
      </c>
      <c r="E2" s="290" t="s">
        <v>4222</v>
      </c>
      <c r="F2" s="290" t="s">
        <v>4223</v>
      </c>
      <c r="G2" s="290" t="s">
        <v>4224</v>
      </c>
      <c r="H2" s="290" t="s">
        <v>4225</v>
      </c>
      <c r="I2" s="290" t="s">
        <v>4226</v>
      </c>
      <c r="J2" s="290" t="s">
        <v>4227</v>
      </c>
      <c r="K2" s="290" t="s">
        <v>4228</v>
      </c>
      <c r="L2" s="290" t="s">
        <v>4229</v>
      </c>
      <c r="M2" s="290" t="s">
        <v>4230</v>
      </c>
    </row>
    <row r="3" spans="1:13">
      <c r="A3" s="291" t="s">
        <v>4231</v>
      </c>
      <c r="B3" s="291" t="s">
        <v>4232</v>
      </c>
      <c r="C3" s="291"/>
      <c r="D3" s="291"/>
      <c r="E3" s="291"/>
      <c r="F3" s="291"/>
      <c r="G3" s="291"/>
      <c r="H3" s="291"/>
      <c r="I3" s="291"/>
      <c r="J3" s="291" t="s">
        <v>4233</v>
      </c>
      <c r="K3" s="291" t="s">
        <v>4234</v>
      </c>
      <c r="L3" s="291" t="s">
        <v>2830</v>
      </c>
      <c r="M3" s="291" t="s">
        <v>4235</v>
      </c>
    </row>
    <row r="4" spans="1:13">
      <c r="A4" s="291" t="s">
        <v>4236</v>
      </c>
      <c r="B4" s="291" t="s">
        <v>4237</v>
      </c>
      <c r="C4" s="291"/>
      <c r="D4" s="291"/>
      <c r="E4" s="291"/>
      <c r="F4" s="291"/>
      <c r="G4" s="291"/>
      <c r="H4" s="291"/>
      <c r="I4" s="291"/>
      <c r="J4" s="291" t="s">
        <v>4233</v>
      </c>
      <c r="K4" s="291" t="s">
        <v>4234</v>
      </c>
      <c r="L4" s="291" t="s">
        <v>2830</v>
      </c>
      <c r="M4" s="291" t="s">
        <v>4235</v>
      </c>
    </row>
    <row r="5" spans="1:13">
      <c r="A5" s="291" t="s">
        <v>4238</v>
      </c>
      <c r="B5" s="291" t="s">
        <v>4239</v>
      </c>
      <c r="C5" s="291"/>
      <c r="D5" s="291"/>
      <c r="E5" s="291"/>
      <c r="F5" s="291"/>
      <c r="G5" s="291"/>
      <c r="H5" s="291"/>
      <c r="I5" s="291"/>
      <c r="J5" s="291" t="s">
        <v>4233</v>
      </c>
      <c r="K5" s="291" t="s">
        <v>4234</v>
      </c>
      <c r="L5" s="291" t="s">
        <v>2830</v>
      </c>
      <c r="M5" s="291"/>
    </row>
    <row r="6" spans="1:13">
      <c r="A6" s="291" t="s">
        <v>4240</v>
      </c>
      <c r="B6" s="291" t="s">
        <v>4241</v>
      </c>
      <c r="C6" s="291"/>
      <c r="D6" s="291"/>
      <c r="E6" s="291"/>
      <c r="F6" s="291"/>
      <c r="G6" s="291"/>
      <c r="H6" s="291"/>
      <c r="I6" s="291"/>
      <c r="J6" s="291" t="s">
        <v>4233</v>
      </c>
      <c r="K6" s="291" t="s">
        <v>4234</v>
      </c>
      <c r="L6" s="291" t="s">
        <v>2830</v>
      </c>
      <c r="M6" s="291"/>
    </row>
    <row r="7" spans="1:13">
      <c r="A7" s="291" t="s">
        <v>4242</v>
      </c>
      <c r="B7" s="291" t="s">
        <v>4243</v>
      </c>
      <c r="C7" s="291"/>
      <c r="D7" s="291"/>
      <c r="E7" s="291"/>
      <c r="F7" s="291"/>
      <c r="G7" s="291"/>
      <c r="H7" s="291"/>
      <c r="I7" s="291"/>
      <c r="J7" s="291" t="s">
        <v>4244</v>
      </c>
      <c r="K7" s="291" t="s">
        <v>4245</v>
      </c>
      <c r="L7" s="291" t="s">
        <v>2830</v>
      </c>
    </row>
    <row r="8" spans="1:13">
      <c r="A8" s="291" t="s">
        <v>4246</v>
      </c>
      <c r="B8" s="291" t="s">
        <v>4247</v>
      </c>
      <c r="C8" s="291"/>
      <c r="D8" s="291"/>
      <c r="E8" s="291"/>
      <c r="F8" s="291"/>
      <c r="G8" s="291"/>
      <c r="H8" s="291"/>
      <c r="I8" s="291"/>
      <c r="J8" s="291" t="s">
        <v>4244</v>
      </c>
      <c r="K8" s="291" t="s">
        <v>4245</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4248</v>
      </c>
    </row>
    <row r="2" spans="1:2" ht="15" customHeight="1">
      <c r="A2" s="69" t="s">
        <v>1215</v>
      </c>
      <c r="B2" s="69" t="s">
        <v>4249</v>
      </c>
    </row>
    <row r="3" spans="1:2" ht="15" customHeight="1">
      <c r="A3" s="69" t="s">
        <v>2999</v>
      </c>
      <c r="B3" s="69" t="s">
        <v>4250</v>
      </c>
    </row>
    <row r="4" spans="1:2" ht="15" customHeight="1">
      <c r="A4" s="69" t="s">
        <v>2865</v>
      </c>
      <c r="B4" s="69"/>
    </row>
    <row r="5" spans="1:2" ht="15" customHeight="1">
      <c r="A5" s="69" t="s">
        <v>552</v>
      </c>
      <c r="B5" s="69"/>
    </row>
    <row r="6" spans="1:2" ht="15" customHeight="1">
      <c r="A6" s="69" t="s">
        <v>2930</v>
      </c>
      <c r="B6" s="69" t="s">
        <v>4251</v>
      </c>
    </row>
    <row r="7" spans="1:2" ht="15" customHeight="1">
      <c r="A7" s="69" t="s">
        <v>2365</v>
      </c>
      <c r="B7" s="69"/>
    </row>
    <row r="8" spans="1:2" ht="15" customHeight="1">
      <c r="A8" s="69" t="s">
        <v>108</v>
      </c>
      <c r="B8" s="69" t="s">
        <v>4252</v>
      </c>
    </row>
    <row r="9" spans="1:2" ht="15" customHeight="1">
      <c r="A9" s="69" t="s">
        <v>2853</v>
      </c>
      <c r="B9" s="69" t="s">
        <v>4253</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4254</v>
      </c>
    </row>
    <row r="14" spans="1:2" ht="15" customHeight="1">
      <c r="A14" s="69" t="s">
        <v>4255</v>
      </c>
      <c r="B14" s="69"/>
    </row>
    <row r="15" spans="1:2" ht="15" customHeight="1">
      <c r="A15" s="71" t="s">
        <v>3001</v>
      </c>
      <c r="B15" s="71" t="s">
        <v>4256</v>
      </c>
    </row>
    <row r="16" spans="1:2" ht="15" customHeight="1">
      <c r="A16" s="70" t="s">
        <v>3715</v>
      </c>
      <c r="B16" s="70"/>
    </row>
    <row r="17" spans="1:2" ht="15" customHeight="1">
      <c r="A17" s="70" t="s">
        <v>3716</v>
      </c>
      <c r="B17" s="70"/>
    </row>
    <row r="18" spans="1:2" ht="15" customHeight="1">
      <c r="A18" s="70" t="s">
        <v>2835</v>
      </c>
      <c r="B18" s="70"/>
    </row>
    <row r="19" spans="1:2" ht="15" customHeight="1">
      <c r="A19" s="70" t="s">
        <v>4257</v>
      </c>
      <c r="B19" s="70"/>
    </row>
    <row r="20" spans="1:2" ht="15" customHeight="1">
      <c r="A20" s="70" t="s">
        <v>4258</v>
      </c>
      <c r="B20" s="70"/>
    </row>
    <row r="21" spans="1:2" ht="15" customHeight="1">
      <c r="A21" s="70" t="s">
        <v>4259</v>
      </c>
      <c r="B21" s="70"/>
    </row>
    <row r="22" spans="1:2" ht="15" customHeight="1">
      <c r="A22" s="70" t="s">
        <v>2403</v>
      </c>
      <c r="B22" s="70" t="s">
        <v>4260</v>
      </c>
    </row>
    <row r="23" spans="1:2" ht="15" customHeight="1">
      <c r="A23" s="70" t="s">
        <v>2828</v>
      </c>
      <c r="B23" s="70"/>
    </row>
    <row r="24" spans="1:2" ht="15" customHeight="1">
      <c r="A24" s="70" t="s">
        <v>4261</v>
      </c>
      <c r="B24" s="70"/>
    </row>
    <row r="25" spans="1:2" ht="15" customHeight="1">
      <c r="A25" s="70" t="s">
        <v>2736</v>
      </c>
      <c r="B25" s="70"/>
    </row>
    <row r="26" spans="1:2" ht="15" customHeight="1">
      <c r="A26" s="70" t="s">
        <v>2292</v>
      </c>
      <c r="B26" s="70" t="s">
        <v>4262</v>
      </c>
    </row>
    <row r="27" spans="1:2" ht="15" customHeight="1">
      <c r="A27" s="70" t="s">
        <v>2311</v>
      </c>
      <c r="B27" s="70" t="s">
        <v>4263</v>
      </c>
    </row>
    <row r="28" spans="1:2">
      <c r="A28" s="70" t="s">
        <v>2285</v>
      </c>
      <c r="B28" s="70" t="s">
        <v>4264</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4265</v>
      </c>
    </row>
    <row r="42" spans="1:2">
      <c r="A42" s="70" t="s">
        <v>4266</v>
      </c>
      <c r="B42" s="70" t="s">
        <v>4267</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4268</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80" t="s">
        <v>4269</v>
      </c>
      <c r="B1" s="380"/>
    </row>
    <row r="2" spans="1:2" ht="30" customHeight="1">
      <c r="A2" s="381" t="s">
        <v>4270</v>
      </c>
      <c r="B2" s="381"/>
    </row>
    <row r="3" spans="1:2" ht="21.75" customHeight="1">
      <c r="A3" s="47" t="s">
        <v>4271</v>
      </c>
      <c r="B3" s="5" t="s">
        <v>4272</v>
      </c>
    </row>
    <row r="4" spans="1:2" ht="21.75" customHeight="1">
      <c r="A4" s="47" t="s">
        <v>4273</v>
      </c>
      <c r="B4" s="5" t="s">
        <v>4274</v>
      </c>
    </row>
    <row r="5" spans="1:2" ht="21.75" customHeight="1">
      <c r="A5" s="47" t="s">
        <v>4275</v>
      </c>
      <c r="B5" s="5" t="s">
        <v>4276</v>
      </c>
    </row>
    <row r="6" spans="1:2" ht="21.75" customHeight="1">
      <c r="A6" s="47" t="s">
        <v>4277</v>
      </c>
      <c r="B6" s="5" t="s">
        <v>4278</v>
      </c>
    </row>
    <row r="7" spans="1:2" ht="21.75" customHeight="1">
      <c r="A7" s="47" t="s">
        <v>4279</v>
      </c>
      <c r="B7" s="5" t="s">
        <v>4280</v>
      </c>
    </row>
    <row r="8" spans="1:2" ht="21.75" customHeight="1">
      <c r="A8" s="47" t="s">
        <v>4281</v>
      </c>
      <c r="B8" s="5" t="s">
        <v>4282</v>
      </c>
    </row>
    <row r="10" spans="1:2" ht="30" customHeight="1">
      <c r="A10" s="382" t="s">
        <v>4283</v>
      </c>
      <c r="B10" s="382"/>
    </row>
    <row r="11" spans="1:2" ht="21.75" customHeight="1">
      <c r="A11" s="48" t="s">
        <v>4284</v>
      </c>
      <c r="B11" s="19" t="s">
        <v>4285</v>
      </c>
    </row>
    <row r="12" spans="1:2" ht="21.75" customHeight="1">
      <c r="A12" s="49" t="s">
        <v>4286</v>
      </c>
      <c r="B12" s="50" t="s">
        <v>4287</v>
      </c>
    </row>
    <row r="13" spans="1:2" ht="21.75" customHeight="1">
      <c r="A13" s="48" t="s">
        <v>4288</v>
      </c>
      <c r="B13" s="19" t="s">
        <v>4289</v>
      </c>
    </row>
    <row r="14" spans="1:2" ht="21.75" customHeight="1">
      <c r="A14" s="51" t="s">
        <v>4290</v>
      </c>
      <c r="B14" s="34" t="s">
        <v>4291</v>
      </c>
    </row>
    <row r="15" spans="1:2" ht="21.75" customHeight="1">
      <c r="A15" s="52" t="s">
        <v>4292</v>
      </c>
      <c r="B15" s="53" t="s">
        <v>4293</v>
      </c>
    </row>
    <row r="17" spans="1:2" ht="30" customHeight="1">
      <c r="A17" s="383" t="s">
        <v>4294</v>
      </c>
      <c r="B17" s="383"/>
    </row>
    <row r="18" spans="1:2" ht="21.75" customHeight="1">
      <c r="A18" s="52" t="s">
        <v>4295</v>
      </c>
      <c r="B18" s="53" t="s">
        <v>4296</v>
      </c>
    </row>
    <row r="19" spans="1:2" ht="21.75" customHeight="1">
      <c r="A19" s="52" t="s">
        <v>4297</v>
      </c>
      <c r="B19" s="53" t="s">
        <v>4298</v>
      </c>
    </row>
    <row r="20" spans="1:2" ht="21.75" customHeight="1">
      <c r="A20" s="52" t="s">
        <v>4299</v>
      </c>
      <c r="B20" s="53" t="s">
        <v>4300</v>
      </c>
    </row>
    <row r="21" spans="1:2" ht="21.75" customHeight="1">
      <c r="A21" s="52" t="s">
        <v>4301</v>
      </c>
      <c r="B21" s="53" t="s">
        <v>4302</v>
      </c>
    </row>
    <row r="22" spans="1:2" ht="21.75" customHeight="1">
      <c r="A22" s="52" t="s">
        <v>4303</v>
      </c>
      <c r="B22" s="53" t="s">
        <v>4304</v>
      </c>
    </row>
    <row r="24" spans="1:2" ht="30" customHeight="1">
      <c r="A24" s="379" t="s">
        <v>4305</v>
      </c>
      <c r="B24" s="379"/>
    </row>
    <row r="25" spans="1:2" ht="279.75" customHeight="1">
      <c r="A25" s="54" t="s">
        <v>4306</v>
      </c>
      <c r="B25" s="55" t="s">
        <v>4307</v>
      </c>
    </row>
    <row r="27" spans="1:2" ht="30" customHeight="1">
      <c r="A27" s="379" t="s">
        <v>4308</v>
      </c>
      <c r="B27" s="379"/>
    </row>
    <row r="28" spans="1:2" ht="21.75" customHeight="1">
      <c r="A28" s="48" t="s">
        <v>4309</v>
      </c>
      <c r="B28" s="19" t="s">
        <v>4310</v>
      </c>
    </row>
    <row r="29" spans="1:2" ht="21.75" customHeight="1">
      <c r="A29" s="48" t="s">
        <v>4311</v>
      </c>
      <c r="B29" s="19" t="s">
        <v>4312</v>
      </c>
    </row>
    <row r="30" spans="1:2" ht="21.75" customHeight="1">
      <c r="A30" s="48" t="s">
        <v>4313</v>
      </c>
      <c r="B30" s="19" t="s">
        <v>4314</v>
      </c>
    </row>
    <row r="31" spans="1:2" ht="21.75" customHeight="1">
      <c r="A31" s="48" t="s">
        <v>4315</v>
      </c>
      <c r="B31" s="19" t="s">
        <v>4316</v>
      </c>
    </row>
    <row r="32" spans="1:2" ht="21.75" customHeight="1">
      <c r="A32" s="48" t="s">
        <v>4317</v>
      </c>
      <c r="B32" s="19" t="s">
        <v>4318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265625" defaultRowHeight="14.5"/>
  <sheetData>
    <row r="1" spans="1:2" ht="15" customHeight="1">
      <c r="A1" t="s">
        <v>4319</v>
      </c>
      <c r="B1" t="s">
        <v>3746</v>
      </c>
    </row>
    <row r="2" spans="1:2" ht="15" customHeight="1">
      <c r="A2" t="s">
        <v>1462</v>
      </c>
      <c r="B2" t="s">
        <v>4320</v>
      </c>
    </row>
    <row r="3" spans="1:2" ht="15" customHeight="1">
      <c r="A3" t="s">
        <v>866</v>
      </c>
      <c r="B3" t="s">
        <v>4320</v>
      </c>
    </row>
    <row r="4" spans="1:2" ht="15" customHeight="1">
      <c r="A4" t="s">
        <v>868</v>
      </c>
      <c r="B4" t="s">
        <v>4320</v>
      </c>
    </row>
    <row r="5" spans="1:2" ht="15" customHeight="1">
      <c r="A5" t="s">
        <v>870</v>
      </c>
      <c r="B5" t="s">
        <v>4320</v>
      </c>
    </row>
    <row r="6" spans="1:2" ht="15" customHeight="1">
      <c r="A6" t="s">
        <v>1066</v>
      </c>
      <c r="B6" t="s">
        <v>4320</v>
      </c>
    </row>
    <row r="7" spans="1:2" ht="15" customHeight="1">
      <c r="A7" t="s">
        <v>1490</v>
      </c>
      <c r="B7" t="s">
        <v>4320</v>
      </c>
    </row>
    <row r="8" spans="1:2" ht="15" customHeight="1">
      <c r="A8" t="s">
        <v>1496</v>
      </c>
      <c r="B8" t="s">
        <v>4320</v>
      </c>
    </row>
    <row r="9" spans="1:2" ht="15" customHeight="1">
      <c r="A9" t="s">
        <v>1501</v>
      </c>
      <c r="B9" t="s">
        <v>4320</v>
      </c>
    </row>
    <row r="10" spans="1:2" ht="15" customHeight="1">
      <c r="A10" t="s">
        <v>854</v>
      </c>
      <c r="B10" t="s">
        <v>4320</v>
      </c>
    </row>
    <row r="11" spans="1:2" ht="15" customHeight="1">
      <c r="A11" t="s">
        <v>859</v>
      </c>
      <c r="B11" t="s">
        <v>4320</v>
      </c>
    </row>
    <row r="12" spans="1:2" ht="15" customHeight="1">
      <c r="A12" t="s">
        <v>1517</v>
      </c>
      <c r="B12" t="s">
        <v>4320</v>
      </c>
    </row>
    <row r="13" spans="1:2" ht="15" customHeight="1">
      <c r="A13" t="s">
        <v>1523</v>
      </c>
      <c r="B13" t="s">
        <v>4320</v>
      </c>
    </row>
    <row r="14" spans="1:2" ht="15" customHeight="1">
      <c r="A14" t="s">
        <v>1528</v>
      </c>
      <c r="B14" t="s">
        <v>4320</v>
      </c>
    </row>
    <row r="15" spans="1:2" ht="15" customHeight="1">
      <c r="A15" t="s">
        <v>1534</v>
      </c>
      <c r="B15" t="s">
        <v>4320</v>
      </c>
    </row>
    <row r="16" spans="1:2" ht="15" customHeight="1">
      <c r="A16" t="s">
        <v>1539</v>
      </c>
      <c r="B16" t="s">
        <v>4320</v>
      </c>
    </row>
    <row r="17" spans="1:2" ht="15" customHeight="1">
      <c r="A17" t="s">
        <v>1545</v>
      </c>
      <c r="B17" t="s">
        <v>4320</v>
      </c>
    </row>
    <row r="18" spans="1:2" ht="15" customHeight="1">
      <c r="A18" t="s">
        <v>1551</v>
      </c>
      <c r="B18" t="s">
        <v>4320</v>
      </c>
    </row>
    <row r="19" spans="1:2" ht="15" customHeight="1">
      <c r="A19" t="s">
        <v>1557</v>
      </c>
      <c r="B19" t="s">
        <v>4320</v>
      </c>
    </row>
    <row r="20" spans="1:2" ht="15" customHeight="1">
      <c r="A20" t="s">
        <v>1563</v>
      </c>
      <c r="B20" t="s">
        <v>4320</v>
      </c>
    </row>
    <row r="21" spans="1:2" ht="15" customHeight="1">
      <c r="A21" t="s">
        <v>1569</v>
      </c>
      <c r="B21" t="s">
        <v>4320</v>
      </c>
    </row>
    <row r="22" spans="1:2" ht="15" customHeight="1">
      <c r="A22" t="s">
        <v>1575</v>
      </c>
      <c r="B22" t="s">
        <v>4320</v>
      </c>
    </row>
    <row r="23" spans="1:2" ht="15" customHeight="1">
      <c r="A23" t="s">
        <v>1580</v>
      </c>
      <c r="B23" t="s">
        <v>4320</v>
      </c>
    </row>
    <row r="24" spans="1:2" ht="15" customHeight="1">
      <c r="A24" t="s">
        <v>1585</v>
      </c>
      <c r="B24" t="s">
        <v>4320</v>
      </c>
    </row>
    <row r="25" spans="1:2" ht="15" customHeight="1">
      <c r="A25" t="s">
        <v>1590</v>
      </c>
      <c r="B25" t="s">
        <v>4320</v>
      </c>
    </row>
    <row r="26" spans="1:2" ht="15" customHeight="1">
      <c r="A26" t="s">
        <v>1141</v>
      </c>
      <c r="B26" t="s">
        <v>4320</v>
      </c>
    </row>
    <row r="27" spans="1:2" ht="15" customHeight="1">
      <c r="A27" t="s">
        <v>1599</v>
      </c>
      <c r="B27" t="s">
        <v>4320</v>
      </c>
    </row>
    <row r="28" spans="1:2" ht="15" customHeight="1">
      <c r="A28" t="s">
        <v>1604</v>
      </c>
      <c r="B28" t="s">
        <v>4320</v>
      </c>
    </row>
    <row r="29" spans="1:2" ht="15" customHeight="1">
      <c r="A29" t="s">
        <v>1609</v>
      </c>
      <c r="B29" t="s">
        <v>4320</v>
      </c>
    </row>
    <row r="30" spans="1:2" ht="15" customHeight="1">
      <c r="A30" t="s">
        <v>1615</v>
      </c>
      <c r="B30" t="s">
        <v>4320</v>
      </c>
    </row>
    <row r="31" spans="1:2" ht="15" customHeight="1">
      <c r="A31" t="s">
        <v>1621</v>
      </c>
      <c r="B31" t="s">
        <v>4320</v>
      </c>
    </row>
    <row r="32" spans="1:2" ht="15" customHeight="1">
      <c r="A32" t="s">
        <v>1627</v>
      </c>
      <c r="B32" t="s">
        <v>4320</v>
      </c>
    </row>
    <row r="33" spans="1:2" ht="15" customHeight="1">
      <c r="A33" t="s">
        <v>1633</v>
      </c>
      <c r="B33" t="s">
        <v>4320</v>
      </c>
    </row>
    <row r="34" spans="1:2" ht="15" customHeight="1">
      <c r="A34" t="s">
        <v>1638</v>
      </c>
      <c r="B34" t="s">
        <v>4320</v>
      </c>
    </row>
    <row r="35" spans="1:2" ht="15" customHeight="1">
      <c r="A35" t="s">
        <v>1644</v>
      </c>
      <c r="B35" t="s">
        <v>4320</v>
      </c>
    </row>
    <row r="36" spans="1:2" ht="15" customHeight="1">
      <c r="A36" t="s">
        <v>1654</v>
      </c>
      <c r="B36" t="s">
        <v>4320</v>
      </c>
    </row>
    <row r="37" spans="1:2" ht="15" customHeight="1">
      <c r="A37" t="s">
        <v>1659</v>
      </c>
      <c r="B37" t="s">
        <v>4320</v>
      </c>
    </row>
    <row r="38" spans="1:2" ht="15" customHeight="1">
      <c r="A38" t="s">
        <v>1664</v>
      </c>
      <c r="B38" t="s">
        <v>4320</v>
      </c>
    </row>
    <row r="39" spans="1:2" ht="15" customHeight="1">
      <c r="A39" t="s">
        <v>1670</v>
      </c>
      <c r="B39" t="s">
        <v>4320</v>
      </c>
    </row>
    <row r="40" spans="1:2" ht="15" customHeight="1">
      <c r="A40" t="s">
        <v>1675</v>
      </c>
      <c r="B40" t="s">
        <v>4320</v>
      </c>
    </row>
    <row r="41" spans="1:2" ht="15" customHeight="1">
      <c r="A41" t="s">
        <v>1680</v>
      </c>
      <c r="B41" t="s">
        <v>4320</v>
      </c>
    </row>
    <row r="42" spans="1:2" ht="15" customHeight="1">
      <c r="A42" t="s">
        <v>1685</v>
      </c>
      <c r="B42" t="s">
        <v>4320</v>
      </c>
    </row>
    <row r="43" spans="1:2" ht="15" customHeight="1">
      <c r="A43" t="s">
        <v>1690</v>
      </c>
      <c r="B43" t="s">
        <v>4320</v>
      </c>
    </row>
    <row r="44" spans="1:2" ht="15" customHeight="1">
      <c r="A44" t="s">
        <v>1695</v>
      </c>
      <c r="B44" t="s">
        <v>4320</v>
      </c>
    </row>
    <row r="45" spans="1:2" ht="15" customHeight="1">
      <c r="A45" t="s">
        <v>1701</v>
      </c>
      <c r="B45" t="s">
        <v>4320</v>
      </c>
    </row>
    <row r="46" spans="1:2" ht="15" customHeight="1">
      <c r="A46" t="s">
        <v>1706</v>
      </c>
      <c r="B46" t="s">
        <v>4320</v>
      </c>
    </row>
    <row r="47" spans="1:2" ht="15" customHeight="1">
      <c r="A47" t="s">
        <v>1712</v>
      </c>
      <c r="B47" t="s">
        <v>4320</v>
      </c>
    </row>
    <row r="48" spans="1:2" ht="15" customHeight="1">
      <c r="A48" t="s">
        <v>1718</v>
      </c>
      <c r="B48" t="s">
        <v>4320</v>
      </c>
    </row>
    <row r="49" spans="1:2" ht="15" customHeight="1">
      <c r="A49" t="s">
        <v>1723</v>
      </c>
      <c r="B49" t="s">
        <v>4320</v>
      </c>
    </row>
    <row r="50" spans="1:2" ht="15" customHeight="1">
      <c r="A50" t="s">
        <v>1728</v>
      </c>
      <c r="B50" t="s">
        <v>4320</v>
      </c>
    </row>
    <row r="51" spans="1:2" ht="15" customHeight="1">
      <c r="A51" t="s">
        <v>1734</v>
      </c>
      <c r="B51" t="s">
        <v>4320</v>
      </c>
    </row>
    <row r="52" spans="1:2" ht="15" customHeight="1">
      <c r="A52" t="s">
        <v>1740</v>
      </c>
      <c r="B52" t="s">
        <v>4320</v>
      </c>
    </row>
    <row r="53" spans="1:2" ht="15" customHeight="1">
      <c r="A53" t="s">
        <v>1745</v>
      </c>
      <c r="B53" t="s">
        <v>4320</v>
      </c>
    </row>
    <row r="54" spans="1:2" ht="15" customHeight="1">
      <c r="A54" t="s">
        <v>1751</v>
      </c>
      <c r="B54" t="s">
        <v>4320</v>
      </c>
    </row>
    <row r="55" spans="1:2" ht="15" customHeight="1">
      <c r="A55" t="s">
        <v>1756</v>
      </c>
      <c r="B55" t="s">
        <v>4320</v>
      </c>
    </row>
    <row r="56" spans="1:2" ht="15" customHeight="1">
      <c r="A56" t="s">
        <v>1761</v>
      </c>
      <c r="B56" t="s">
        <v>4320</v>
      </c>
    </row>
    <row r="57" spans="1:2" ht="15" customHeight="1">
      <c r="A57" t="s">
        <v>1766</v>
      </c>
      <c r="B57" t="s">
        <v>4320</v>
      </c>
    </row>
    <row r="58" spans="1:2" ht="15" customHeight="1">
      <c r="A58" t="s">
        <v>1771</v>
      </c>
      <c r="B58" t="s">
        <v>4320</v>
      </c>
    </row>
    <row r="59" spans="1:2" ht="15" customHeight="1">
      <c r="A59" t="s">
        <v>1776</v>
      </c>
      <c r="B59" t="s">
        <v>4320</v>
      </c>
    </row>
    <row r="60" spans="1:2" ht="15" customHeight="1">
      <c r="A60" t="s">
        <v>1781</v>
      </c>
      <c r="B60" t="s">
        <v>4320</v>
      </c>
    </row>
    <row r="61" spans="1:2" ht="15" customHeight="1">
      <c r="A61" t="s">
        <v>1786</v>
      </c>
      <c r="B61" t="s">
        <v>4320</v>
      </c>
    </row>
    <row r="62" spans="1:2" ht="15" customHeight="1">
      <c r="A62" t="s">
        <v>1791</v>
      </c>
      <c r="B62" t="s">
        <v>4320</v>
      </c>
    </row>
    <row r="63" spans="1:2" ht="15" customHeight="1">
      <c r="A63" t="s">
        <v>1796</v>
      </c>
      <c r="B63" t="s">
        <v>4320</v>
      </c>
    </row>
    <row r="64" spans="1:2" ht="15" customHeight="1">
      <c r="A64" t="s">
        <v>1801</v>
      </c>
      <c r="B64" t="s">
        <v>4320</v>
      </c>
    </row>
    <row r="65" spans="1:2" ht="15" customHeight="1">
      <c r="A65" t="s">
        <v>1806</v>
      </c>
      <c r="B65" t="s">
        <v>4320</v>
      </c>
    </row>
    <row r="66" spans="1:2" ht="15" customHeight="1">
      <c r="A66" t="s">
        <v>1812</v>
      </c>
      <c r="B66" t="s">
        <v>4320</v>
      </c>
    </row>
    <row r="67" spans="1:2" ht="15" customHeight="1">
      <c r="A67" t="s">
        <v>1818</v>
      </c>
      <c r="B67" t="s">
        <v>4320</v>
      </c>
    </row>
    <row r="68" spans="1:2" ht="15" customHeight="1">
      <c r="A68" t="s">
        <v>985</v>
      </c>
      <c r="B68" t="s">
        <v>4320</v>
      </c>
    </row>
    <row r="69" spans="1:2" ht="15" customHeight="1">
      <c r="A69" t="s">
        <v>1829</v>
      </c>
      <c r="B69" t="s">
        <v>4320</v>
      </c>
    </row>
    <row r="70" spans="1:2" ht="15" customHeight="1">
      <c r="A70" t="s">
        <v>104</v>
      </c>
      <c r="B70" t="s">
        <v>4320</v>
      </c>
    </row>
    <row r="71" spans="1:2" ht="15" customHeight="1">
      <c r="A71" t="s">
        <v>20</v>
      </c>
      <c r="B71" t="s">
        <v>4321</v>
      </c>
    </row>
    <row r="72" spans="1:2" ht="15" customHeight="1">
      <c r="A72" t="s">
        <v>28</v>
      </c>
      <c r="B72" t="s">
        <v>4321</v>
      </c>
    </row>
    <row r="73" spans="1:2" ht="15" customHeight="1">
      <c r="A73" t="s">
        <v>34</v>
      </c>
      <c r="B73" t="s">
        <v>4321</v>
      </c>
    </row>
    <row r="74" spans="1:2" ht="15" customHeight="1">
      <c r="A74" t="s">
        <v>40</v>
      </c>
      <c r="B74" t="s">
        <v>4321</v>
      </c>
    </row>
    <row r="75" spans="1:2" ht="15" customHeight="1">
      <c r="A75" t="s">
        <v>47</v>
      </c>
      <c r="B75" t="s">
        <v>4321</v>
      </c>
    </row>
    <row r="76" spans="1:2" ht="15" customHeight="1">
      <c r="A76" t="s">
        <v>52</v>
      </c>
      <c r="B76" t="s">
        <v>4321</v>
      </c>
    </row>
    <row r="77" spans="1:2" ht="15" customHeight="1">
      <c r="A77" t="s">
        <v>57</v>
      </c>
      <c r="B77" t="s">
        <v>4321</v>
      </c>
    </row>
    <row r="78" spans="1:2" ht="15" customHeight="1">
      <c r="A78" t="s">
        <v>62</v>
      </c>
      <c r="B78" t="s">
        <v>4321</v>
      </c>
    </row>
    <row r="79" spans="1:2" ht="15" customHeight="1">
      <c r="A79" t="s">
        <v>68</v>
      </c>
      <c r="B79" t="s">
        <v>4321</v>
      </c>
    </row>
    <row r="80" spans="1:2" ht="15" customHeight="1">
      <c r="A80" t="s">
        <v>73</v>
      </c>
      <c r="B80" t="s">
        <v>4321</v>
      </c>
    </row>
    <row r="81" spans="1:2" ht="15" customHeight="1">
      <c r="A81" t="s">
        <v>78</v>
      </c>
      <c r="B81" t="s">
        <v>4321</v>
      </c>
    </row>
    <row r="82" spans="1:2" ht="15" customHeight="1">
      <c r="A82" t="s">
        <v>85</v>
      </c>
      <c r="B82" t="s">
        <v>4321</v>
      </c>
    </row>
    <row r="83" spans="1:2" ht="15" customHeight="1">
      <c r="A83" t="s">
        <v>91</v>
      </c>
      <c r="B83" t="s">
        <v>4321</v>
      </c>
    </row>
    <row r="84" spans="1:2" ht="15" customHeight="1">
      <c r="A84" t="s">
        <v>97</v>
      </c>
      <c r="B84" t="s">
        <v>4321</v>
      </c>
    </row>
    <row r="85" spans="1:2" ht="15" customHeight="1">
      <c r="A85" t="s">
        <v>104</v>
      </c>
      <c r="B85" t="s">
        <v>4321</v>
      </c>
    </row>
    <row r="86" spans="1:2" ht="15" customHeight="1">
      <c r="A86" t="s">
        <v>111</v>
      </c>
      <c r="B86" t="s">
        <v>4321</v>
      </c>
    </row>
    <row r="87" spans="1:2" ht="15" customHeight="1">
      <c r="A87" t="s">
        <v>118</v>
      </c>
      <c r="B87" t="s">
        <v>4321</v>
      </c>
    </row>
    <row r="88" spans="1:2" ht="15" customHeight="1">
      <c r="A88" t="s">
        <v>124</v>
      </c>
      <c r="B88" t="s">
        <v>4321</v>
      </c>
    </row>
    <row r="89" spans="1:2" ht="15" customHeight="1">
      <c r="A89" t="s">
        <v>131</v>
      </c>
      <c r="B89" t="s">
        <v>4321</v>
      </c>
    </row>
    <row r="90" spans="1:2" ht="15" customHeight="1">
      <c r="A90" t="s">
        <v>136</v>
      </c>
      <c r="B90" t="s">
        <v>4321</v>
      </c>
    </row>
    <row r="91" spans="1:2" ht="15" customHeight="1">
      <c r="A91" t="s">
        <v>142</v>
      </c>
      <c r="B91" t="s">
        <v>4321</v>
      </c>
    </row>
    <row r="92" spans="1:2" ht="15" customHeight="1">
      <c r="A92" t="s">
        <v>147</v>
      </c>
      <c r="B92" t="s">
        <v>4321</v>
      </c>
    </row>
    <row r="93" spans="1:2" ht="15" customHeight="1">
      <c r="A93" t="s">
        <v>152</v>
      </c>
      <c r="B93" t="s">
        <v>4321</v>
      </c>
    </row>
    <row r="94" spans="1:2" ht="15" customHeight="1">
      <c r="A94" t="s">
        <v>155</v>
      </c>
      <c r="B94" t="s">
        <v>4321</v>
      </c>
    </row>
    <row r="95" spans="1:2" ht="15" customHeight="1">
      <c r="A95" t="s">
        <v>160</v>
      </c>
      <c r="B95" t="s">
        <v>4321</v>
      </c>
    </row>
    <row r="96" spans="1:2" ht="15" customHeight="1">
      <c r="A96" t="s">
        <v>165</v>
      </c>
      <c r="B96" t="s">
        <v>4321</v>
      </c>
    </row>
    <row r="97" spans="1:2" ht="15" customHeight="1">
      <c r="A97" t="s">
        <v>170</v>
      </c>
      <c r="B97" t="s">
        <v>4321</v>
      </c>
    </row>
    <row r="98" spans="1:2" ht="15" customHeight="1">
      <c r="A98" t="s">
        <v>177</v>
      </c>
      <c r="B98" t="s">
        <v>4321</v>
      </c>
    </row>
    <row r="99" spans="1:2" ht="15" customHeight="1">
      <c r="A99" t="s">
        <v>183</v>
      </c>
      <c r="B99" t="s">
        <v>4321</v>
      </c>
    </row>
    <row r="100" spans="1:2" ht="15" customHeight="1">
      <c r="A100" t="s">
        <v>189</v>
      </c>
      <c r="B100" t="s">
        <v>4321</v>
      </c>
    </row>
    <row r="101" spans="1:2" ht="15" customHeight="1">
      <c r="A101" t="s">
        <v>195</v>
      </c>
      <c r="B101" t="s">
        <v>4321</v>
      </c>
    </row>
    <row r="102" spans="1:2" ht="15" customHeight="1">
      <c r="A102" t="s">
        <v>200</v>
      </c>
      <c r="B102" t="s">
        <v>4321</v>
      </c>
    </row>
    <row r="103" spans="1:2" ht="15" customHeight="1">
      <c r="A103" t="s">
        <v>205</v>
      </c>
      <c r="B103" t="s">
        <v>4321</v>
      </c>
    </row>
    <row r="104" spans="1:2" ht="15" customHeight="1">
      <c r="A104" t="s">
        <v>212</v>
      </c>
      <c r="B104" t="s">
        <v>4321</v>
      </c>
    </row>
    <row r="105" spans="1:2" ht="15" customHeight="1">
      <c r="A105" t="s">
        <v>219</v>
      </c>
      <c r="B105" t="s">
        <v>4321</v>
      </c>
    </row>
    <row r="106" spans="1:2" ht="15" customHeight="1">
      <c r="A106" t="s">
        <v>225</v>
      </c>
      <c r="B106" t="s">
        <v>4321</v>
      </c>
    </row>
    <row r="107" spans="1:2" ht="15" customHeight="1">
      <c r="A107" t="s">
        <v>233</v>
      </c>
      <c r="B107" t="s">
        <v>4321</v>
      </c>
    </row>
    <row r="108" spans="1:2" ht="15" customHeight="1">
      <c r="A108" t="s">
        <v>240</v>
      </c>
      <c r="B108" t="s">
        <v>4321</v>
      </c>
    </row>
    <row r="109" spans="1:2" ht="15" customHeight="1">
      <c r="A109" t="s">
        <v>245</v>
      </c>
      <c r="B109" t="s">
        <v>4321</v>
      </c>
    </row>
    <row r="110" spans="1:2" ht="15" customHeight="1">
      <c r="A110" t="s">
        <v>250</v>
      </c>
      <c r="B110" t="s">
        <v>4321</v>
      </c>
    </row>
    <row r="111" spans="1:2" ht="15" customHeight="1">
      <c r="A111" t="s">
        <v>256</v>
      </c>
      <c r="B111" t="s">
        <v>4321</v>
      </c>
    </row>
    <row r="112" spans="1:2" ht="15" customHeight="1">
      <c r="A112" t="s">
        <v>260</v>
      </c>
      <c r="B112" t="s">
        <v>4321</v>
      </c>
    </row>
    <row r="113" spans="1:2" ht="15" customHeight="1">
      <c r="A113" t="s">
        <v>264</v>
      </c>
      <c r="B113" t="s">
        <v>4321</v>
      </c>
    </row>
    <row r="114" spans="1:2" ht="15" customHeight="1">
      <c r="A114" t="s">
        <v>269</v>
      </c>
      <c r="B114" t="s">
        <v>4321</v>
      </c>
    </row>
    <row r="115" spans="1:2" ht="15" customHeight="1">
      <c r="A115" t="s">
        <v>276</v>
      </c>
      <c r="B115" t="s">
        <v>4321</v>
      </c>
    </row>
    <row r="116" spans="1:2" ht="15" customHeight="1">
      <c r="A116" t="s">
        <v>283</v>
      </c>
      <c r="B116" t="s">
        <v>4321</v>
      </c>
    </row>
    <row r="117" spans="1:2" ht="15" customHeight="1">
      <c r="A117" t="s">
        <v>287</v>
      </c>
      <c r="B117" t="s">
        <v>4321</v>
      </c>
    </row>
    <row r="118" spans="1:2" ht="15" customHeight="1">
      <c r="A118" t="s">
        <v>292</v>
      </c>
      <c r="B118" t="s">
        <v>4321</v>
      </c>
    </row>
    <row r="119" spans="1:2" ht="15" customHeight="1">
      <c r="A119" t="s">
        <v>295</v>
      </c>
      <c r="B119" t="s">
        <v>4321</v>
      </c>
    </row>
    <row r="120" spans="1:2" ht="15" customHeight="1">
      <c r="A120" t="s">
        <v>299</v>
      </c>
      <c r="B120" t="s">
        <v>4321</v>
      </c>
    </row>
    <row r="121" spans="1:2" ht="15" customHeight="1">
      <c r="A121" t="s">
        <v>304</v>
      </c>
      <c r="B121" t="s">
        <v>4321</v>
      </c>
    </row>
    <row r="122" spans="1:2" ht="15" customHeight="1">
      <c r="A122" t="s">
        <v>309</v>
      </c>
      <c r="B122" t="s">
        <v>4321</v>
      </c>
    </row>
    <row r="123" spans="1:2" ht="15" customHeight="1">
      <c r="A123" t="s">
        <v>310</v>
      </c>
      <c r="B123" t="s">
        <v>4321</v>
      </c>
    </row>
    <row r="124" spans="1:2" ht="15" customHeight="1">
      <c r="A124" t="s">
        <v>315</v>
      </c>
      <c r="B124" t="s">
        <v>4321</v>
      </c>
    </row>
    <row r="125" spans="1:2" ht="15" customHeight="1">
      <c r="A125" t="s">
        <v>322</v>
      </c>
      <c r="B125" t="s">
        <v>4321</v>
      </c>
    </row>
    <row r="126" spans="1:2" ht="15" customHeight="1">
      <c r="A126" t="s">
        <v>327</v>
      </c>
      <c r="B126" t="s">
        <v>4321</v>
      </c>
    </row>
    <row r="127" spans="1:2" ht="15" customHeight="1">
      <c r="A127" t="s">
        <v>333</v>
      </c>
      <c r="B127" t="s">
        <v>4321</v>
      </c>
    </row>
    <row r="128" spans="1:2" ht="15" customHeight="1">
      <c r="A128" t="s">
        <v>337</v>
      </c>
      <c r="B128" t="s">
        <v>4321</v>
      </c>
    </row>
    <row r="129" spans="1:2" ht="15" customHeight="1">
      <c r="A129" t="s">
        <v>343</v>
      </c>
      <c r="B129" t="s">
        <v>4321</v>
      </c>
    </row>
    <row r="130" spans="1:2" ht="15" customHeight="1">
      <c r="A130" t="s">
        <v>349</v>
      </c>
      <c r="B130" t="s">
        <v>4321</v>
      </c>
    </row>
    <row r="131" spans="1:2" ht="15" customHeight="1">
      <c r="A131" t="s">
        <v>354</v>
      </c>
      <c r="B131" t="s">
        <v>4321</v>
      </c>
    </row>
    <row r="132" spans="1:2" ht="15" customHeight="1">
      <c r="A132" t="s">
        <v>361</v>
      </c>
      <c r="B132" t="s">
        <v>4321</v>
      </c>
    </row>
    <row r="133" spans="1:2" ht="15" customHeight="1">
      <c r="A133" t="s">
        <v>366</v>
      </c>
      <c r="B133" t="s">
        <v>4321</v>
      </c>
    </row>
    <row r="134" spans="1:2" ht="15" customHeight="1">
      <c r="A134" t="s">
        <v>372</v>
      </c>
      <c r="B134" t="s">
        <v>4321</v>
      </c>
    </row>
    <row r="135" spans="1:2" ht="15" customHeight="1">
      <c r="A135" t="s">
        <v>376</v>
      </c>
      <c r="B135" t="s">
        <v>4321</v>
      </c>
    </row>
    <row r="136" spans="1:2" ht="15" customHeight="1">
      <c r="A136" t="s">
        <v>379</v>
      </c>
      <c r="B136" t="s">
        <v>4321</v>
      </c>
    </row>
    <row r="137" spans="1:2" ht="15" customHeight="1">
      <c r="A137" t="s">
        <v>384</v>
      </c>
      <c r="B137" t="s">
        <v>4321</v>
      </c>
    </row>
    <row r="138" spans="1:2" ht="15" customHeight="1">
      <c r="A138" t="s">
        <v>389</v>
      </c>
      <c r="B138" t="s">
        <v>4321</v>
      </c>
    </row>
    <row r="139" spans="1:2" ht="15" customHeight="1">
      <c r="A139" t="s">
        <v>393</v>
      </c>
      <c r="B139" t="s">
        <v>4321</v>
      </c>
    </row>
    <row r="140" spans="1:2" ht="15" customHeight="1">
      <c r="A140" t="s">
        <v>398</v>
      </c>
      <c r="B140" t="s">
        <v>4321</v>
      </c>
    </row>
    <row r="141" spans="1:2" ht="15" customHeight="1">
      <c r="A141" t="s">
        <v>402</v>
      </c>
      <c r="B141" t="s">
        <v>4321</v>
      </c>
    </row>
    <row r="142" spans="1:2" ht="15" customHeight="1">
      <c r="A142" t="s">
        <v>407</v>
      </c>
      <c r="B142" t="s">
        <v>4321</v>
      </c>
    </row>
    <row r="143" spans="1:2" ht="15" customHeight="1">
      <c r="A143" t="s">
        <v>414</v>
      </c>
      <c r="B143" t="s">
        <v>4321</v>
      </c>
    </row>
    <row r="144" spans="1:2" ht="15" customHeight="1">
      <c r="A144" t="s">
        <v>419</v>
      </c>
      <c r="B144" t="s">
        <v>4321</v>
      </c>
    </row>
    <row r="145" spans="1:2" ht="15" customHeight="1">
      <c r="A145" t="s">
        <v>424</v>
      </c>
      <c r="B145" t="s">
        <v>4321</v>
      </c>
    </row>
    <row r="146" spans="1:2" ht="15" customHeight="1">
      <c r="A146" t="s">
        <v>429</v>
      </c>
      <c r="B146" t="s">
        <v>4321</v>
      </c>
    </row>
    <row r="147" spans="1:2" ht="15" customHeight="1">
      <c r="A147" t="s">
        <v>433</v>
      </c>
      <c r="B147" t="s">
        <v>4321</v>
      </c>
    </row>
    <row r="148" spans="1:2" ht="15" customHeight="1">
      <c r="A148" t="s">
        <v>437</v>
      </c>
      <c r="B148" t="s">
        <v>4321</v>
      </c>
    </row>
    <row r="149" spans="1:2">
      <c r="A149" t="s">
        <v>442</v>
      </c>
      <c r="B149" t="s">
        <v>4321</v>
      </c>
    </row>
    <row r="150" spans="1:2">
      <c r="A150" t="s">
        <v>447</v>
      </c>
      <c r="B150" t="s">
        <v>4321</v>
      </c>
    </row>
    <row r="151" spans="1:2">
      <c r="A151" t="s">
        <v>453</v>
      </c>
      <c r="B151" t="s">
        <v>4321</v>
      </c>
    </row>
    <row r="152" spans="1:2">
      <c r="A152" t="s">
        <v>458</v>
      </c>
      <c r="B152" t="s">
        <v>4321</v>
      </c>
    </row>
    <row r="153" spans="1:2">
      <c r="A153" t="s">
        <v>463</v>
      </c>
      <c r="B153" t="s">
        <v>4321</v>
      </c>
    </row>
    <row r="154" spans="1:2">
      <c r="A154" t="s">
        <v>469</v>
      </c>
      <c r="B154" t="s">
        <v>4321</v>
      </c>
    </row>
    <row r="155" spans="1:2">
      <c r="A155" t="s">
        <v>476</v>
      </c>
      <c r="B155" t="s">
        <v>4321</v>
      </c>
    </row>
    <row r="156" spans="1:2">
      <c r="A156" t="s">
        <v>480</v>
      </c>
      <c r="B156" t="s">
        <v>4321</v>
      </c>
    </row>
    <row r="157" spans="1:2">
      <c r="A157" t="s">
        <v>487</v>
      </c>
      <c r="B157" t="s">
        <v>4321</v>
      </c>
    </row>
    <row r="158" spans="1:2">
      <c r="A158" t="s">
        <v>489</v>
      </c>
      <c r="B158" t="s">
        <v>4321</v>
      </c>
    </row>
    <row r="159" spans="1:2">
      <c r="A159" t="s">
        <v>494</v>
      </c>
      <c r="B159" t="s">
        <v>4321</v>
      </c>
    </row>
    <row r="160" spans="1:2">
      <c r="A160" t="s">
        <v>499</v>
      </c>
      <c r="B160" t="s">
        <v>4321</v>
      </c>
    </row>
    <row r="161" spans="1:2">
      <c r="A161" t="s">
        <v>503</v>
      </c>
      <c r="B161" t="s">
        <v>4321</v>
      </c>
    </row>
    <row r="162" spans="1:2">
      <c r="A162" t="s">
        <v>508</v>
      </c>
      <c r="B162" t="s">
        <v>4321</v>
      </c>
    </row>
    <row r="163" spans="1:2">
      <c r="A163" t="s">
        <v>514</v>
      </c>
      <c r="B163" t="s">
        <v>4321</v>
      </c>
    </row>
    <row r="164" spans="1:2">
      <c r="A164" t="s">
        <v>520</v>
      </c>
      <c r="B164" t="s">
        <v>4321</v>
      </c>
    </row>
    <row r="165" spans="1:2">
      <c r="A165" t="s">
        <v>522</v>
      </c>
      <c r="B165" t="s">
        <v>4321</v>
      </c>
    </row>
    <row r="166" spans="1:2">
      <c r="A166" t="s">
        <v>527</v>
      </c>
      <c r="B166" t="s">
        <v>4321</v>
      </c>
    </row>
    <row r="167" spans="1:2">
      <c r="A167" t="s">
        <v>530</v>
      </c>
      <c r="B167" t="s">
        <v>4321</v>
      </c>
    </row>
    <row r="168" spans="1:2">
      <c r="A168" t="s">
        <v>536</v>
      </c>
      <c r="B168" t="s">
        <v>4321</v>
      </c>
    </row>
    <row r="169" spans="1:2">
      <c r="A169" t="s">
        <v>541</v>
      </c>
      <c r="B169" t="s">
        <v>4321</v>
      </c>
    </row>
    <row r="170" spans="1:2">
      <c r="A170" t="s">
        <v>546</v>
      </c>
      <c r="B170" t="s">
        <v>4321</v>
      </c>
    </row>
    <row r="171" spans="1:2">
      <c r="A171" t="s">
        <v>551</v>
      </c>
      <c r="B171" t="s">
        <v>4321</v>
      </c>
    </row>
    <row r="172" spans="1:2">
      <c r="A172" t="s">
        <v>556</v>
      </c>
      <c r="B172" t="s">
        <v>4321</v>
      </c>
    </row>
    <row r="173" spans="1:2">
      <c r="A173" t="s">
        <v>561</v>
      </c>
      <c r="B173" t="s">
        <v>4321</v>
      </c>
    </row>
    <row r="174" spans="1:2">
      <c r="A174" t="s">
        <v>566</v>
      </c>
      <c r="B174" t="s">
        <v>4321</v>
      </c>
    </row>
    <row r="175" spans="1:2">
      <c r="A175" t="s">
        <v>571</v>
      </c>
      <c r="B175" t="s">
        <v>4321</v>
      </c>
    </row>
    <row r="176" spans="1:2">
      <c r="A176" t="s">
        <v>575</v>
      </c>
      <c r="B176" t="s">
        <v>4321</v>
      </c>
    </row>
    <row r="177" spans="1:2">
      <c r="A177" t="s">
        <v>579</v>
      </c>
      <c r="B177" t="s">
        <v>4321</v>
      </c>
    </row>
    <row r="178" spans="1:2">
      <c r="A178" t="s">
        <v>584</v>
      </c>
      <c r="B178" t="s">
        <v>4321</v>
      </c>
    </row>
    <row r="179" spans="1:2">
      <c r="A179" t="s">
        <v>590</v>
      </c>
      <c r="B179" t="s">
        <v>4321</v>
      </c>
    </row>
    <row r="180" spans="1:2">
      <c r="A180" t="s">
        <v>593</v>
      </c>
      <c r="B180" t="s">
        <v>4321</v>
      </c>
    </row>
    <row r="181" spans="1:2">
      <c r="A181" t="s">
        <v>597</v>
      </c>
      <c r="B181" t="s">
        <v>4321</v>
      </c>
    </row>
    <row r="182" spans="1:2">
      <c r="A182" t="s">
        <v>601</v>
      </c>
      <c r="B182" t="s">
        <v>4321</v>
      </c>
    </row>
    <row r="183" spans="1:2">
      <c r="A183" t="s">
        <v>608</v>
      </c>
      <c r="B183" t="s">
        <v>4321</v>
      </c>
    </row>
    <row r="184" spans="1:2">
      <c r="A184" t="s">
        <v>611</v>
      </c>
      <c r="B184" t="s">
        <v>4321</v>
      </c>
    </row>
    <row r="185" spans="1:2">
      <c r="A185" t="s">
        <v>618</v>
      </c>
      <c r="B185" t="s">
        <v>4321</v>
      </c>
    </row>
    <row r="186" spans="1:2">
      <c r="A186" t="s">
        <v>622</v>
      </c>
      <c r="B186" t="s">
        <v>4321</v>
      </c>
    </row>
    <row r="187" spans="1:2">
      <c r="A187" t="s">
        <v>627</v>
      </c>
      <c r="B187" t="s">
        <v>4321</v>
      </c>
    </row>
    <row r="188" spans="1:2">
      <c r="A188" t="s">
        <v>630</v>
      </c>
      <c r="B188" t="s">
        <v>4321</v>
      </c>
    </row>
    <row r="189" spans="1:2">
      <c r="A189" t="s">
        <v>634</v>
      </c>
      <c r="B189" t="s">
        <v>4321</v>
      </c>
    </row>
    <row r="190" spans="1:2">
      <c r="A190" t="s">
        <v>637</v>
      </c>
      <c r="B190" t="s">
        <v>4321</v>
      </c>
    </row>
    <row r="191" spans="1:2">
      <c r="A191" t="s">
        <v>642</v>
      </c>
      <c r="B191" t="s">
        <v>4321</v>
      </c>
    </row>
    <row r="192" spans="1:2">
      <c r="A192" t="s">
        <v>646</v>
      </c>
      <c r="B192" t="s">
        <v>4321</v>
      </c>
    </row>
    <row r="193" spans="1:2">
      <c r="A193" t="s">
        <v>651</v>
      </c>
      <c r="B193" t="s">
        <v>4321</v>
      </c>
    </row>
    <row r="194" spans="1:2">
      <c r="A194" t="s">
        <v>655</v>
      </c>
      <c r="B194" t="s">
        <v>4321</v>
      </c>
    </row>
    <row r="195" spans="1:2">
      <c r="A195" t="s">
        <v>659</v>
      </c>
      <c r="B195" t="s">
        <v>4321</v>
      </c>
    </row>
    <row r="196" spans="1:2">
      <c r="A196" t="s">
        <v>663</v>
      </c>
      <c r="B196" t="s">
        <v>4321</v>
      </c>
    </row>
    <row r="197" spans="1:2">
      <c r="A197" t="s">
        <v>667</v>
      </c>
      <c r="B197" t="s">
        <v>4321</v>
      </c>
    </row>
    <row r="198" spans="1:2">
      <c r="A198" t="s">
        <v>670</v>
      </c>
      <c r="B198" t="s">
        <v>4321</v>
      </c>
    </row>
    <row r="199" spans="1:2">
      <c r="A199" t="s">
        <v>673</v>
      </c>
      <c r="B199" t="s">
        <v>4321</v>
      </c>
    </row>
    <row r="200" spans="1:2">
      <c r="A200" t="s">
        <v>676</v>
      </c>
      <c r="B200" t="s">
        <v>4321</v>
      </c>
    </row>
    <row r="201" spans="1:2">
      <c r="A201" t="s">
        <v>679</v>
      </c>
      <c r="B201" t="s">
        <v>4321</v>
      </c>
    </row>
    <row r="202" spans="1:2">
      <c r="A202" t="s">
        <v>685</v>
      </c>
      <c r="B202" t="s">
        <v>4321</v>
      </c>
    </row>
    <row r="203" spans="1:2">
      <c r="A203" t="s">
        <v>692</v>
      </c>
      <c r="B203" t="s">
        <v>4321</v>
      </c>
    </row>
    <row r="204" spans="1:2">
      <c r="A204" t="s">
        <v>696</v>
      </c>
      <c r="B204" t="s">
        <v>4321</v>
      </c>
    </row>
    <row r="205" spans="1:2">
      <c r="A205" t="s">
        <v>701</v>
      </c>
      <c r="B205" t="s">
        <v>4321</v>
      </c>
    </row>
    <row r="206" spans="1:2">
      <c r="A206" t="s">
        <v>705</v>
      </c>
      <c r="B206" t="s">
        <v>4321</v>
      </c>
    </row>
    <row r="207" spans="1:2">
      <c r="A207" t="s">
        <v>709</v>
      </c>
      <c r="B207" t="s">
        <v>4321</v>
      </c>
    </row>
    <row r="208" spans="1:2">
      <c r="A208" t="s">
        <v>712</v>
      </c>
      <c r="B208" t="s">
        <v>4321</v>
      </c>
    </row>
    <row r="209" spans="1:2">
      <c r="A209" t="s">
        <v>715</v>
      </c>
      <c r="B209" t="s">
        <v>4321</v>
      </c>
    </row>
    <row r="210" spans="1:2">
      <c r="A210" t="s">
        <v>718</v>
      </c>
      <c r="B210" t="s">
        <v>4321</v>
      </c>
    </row>
    <row r="211" spans="1:2">
      <c r="A211" t="s">
        <v>721</v>
      </c>
      <c r="B211" t="s">
        <v>4321</v>
      </c>
    </row>
    <row r="212" spans="1:2">
      <c r="A212" t="s">
        <v>724</v>
      </c>
      <c r="B212" t="s">
        <v>4321</v>
      </c>
    </row>
    <row r="213" spans="1:2">
      <c r="A213" t="s">
        <v>727</v>
      </c>
      <c r="B213" t="s">
        <v>4321</v>
      </c>
    </row>
    <row r="214" spans="1:2">
      <c r="A214" t="s">
        <v>732</v>
      </c>
      <c r="B214" t="s">
        <v>4321</v>
      </c>
    </row>
    <row r="215" spans="1:2">
      <c r="A215" t="s">
        <v>736</v>
      </c>
      <c r="B215" t="s">
        <v>4321</v>
      </c>
    </row>
    <row r="216" spans="1:2">
      <c r="A216" t="s">
        <v>739</v>
      </c>
      <c r="B216" t="s">
        <v>4321</v>
      </c>
    </row>
    <row r="217" spans="1:2">
      <c r="A217" t="s">
        <v>745</v>
      </c>
      <c r="B217" t="s">
        <v>4321</v>
      </c>
    </row>
    <row r="218" spans="1:2">
      <c r="A218" t="s">
        <v>749</v>
      </c>
      <c r="B218" t="s">
        <v>4321</v>
      </c>
    </row>
    <row r="219" spans="1:2">
      <c r="A219" t="s">
        <v>753</v>
      </c>
      <c r="B219" t="s">
        <v>4321</v>
      </c>
    </row>
    <row r="220" spans="1:2">
      <c r="A220" t="s">
        <v>758</v>
      </c>
      <c r="B220" t="s">
        <v>4321</v>
      </c>
    </row>
    <row r="221" spans="1:2">
      <c r="A221" t="s">
        <v>762</v>
      </c>
      <c r="B221" t="s">
        <v>4321</v>
      </c>
    </row>
    <row r="222" spans="1:2">
      <c r="A222" t="s">
        <v>766</v>
      </c>
      <c r="B222" t="s">
        <v>4321</v>
      </c>
    </row>
    <row r="223" spans="1:2">
      <c r="A223" t="s">
        <v>771</v>
      </c>
      <c r="B223" t="s">
        <v>4321</v>
      </c>
    </row>
    <row r="224" spans="1:2">
      <c r="A224" t="s">
        <v>776</v>
      </c>
      <c r="B224" t="s">
        <v>4321</v>
      </c>
    </row>
    <row r="225" spans="1:2">
      <c r="A225" t="s">
        <v>782</v>
      </c>
      <c r="B225" t="s">
        <v>4321</v>
      </c>
    </row>
    <row r="226" spans="1:2">
      <c r="A226" t="s">
        <v>787</v>
      </c>
      <c r="B226" t="s">
        <v>4321</v>
      </c>
    </row>
    <row r="227" spans="1:2">
      <c r="A227" t="s">
        <v>791</v>
      </c>
      <c r="B227" t="s">
        <v>4321</v>
      </c>
    </row>
    <row r="228" spans="1:2">
      <c r="A228" t="s">
        <v>795</v>
      </c>
      <c r="B228" t="s">
        <v>4321</v>
      </c>
    </row>
    <row r="229" spans="1:2">
      <c r="A229" t="s">
        <v>801</v>
      </c>
      <c r="B229" t="s">
        <v>4321</v>
      </c>
    </row>
    <row r="230" spans="1:2">
      <c r="A230" t="s">
        <v>804</v>
      </c>
      <c r="B230" t="s">
        <v>4321</v>
      </c>
    </row>
    <row r="231" spans="1:2">
      <c r="A231" t="s">
        <v>808</v>
      </c>
      <c r="B231" t="s">
        <v>4321</v>
      </c>
    </row>
    <row r="232" spans="1:2">
      <c r="A232" t="s">
        <v>810</v>
      </c>
      <c r="B232" t="s">
        <v>4321</v>
      </c>
    </row>
    <row r="233" spans="1:2">
      <c r="A233" t="s">
        <v>812</v>
      </c>
      <c r="B233" t="s">
        <v>4321</v>
      </c>
    </row>
    <row r="234" spans="1:2">
      <c r="A234" t="s">
        <v>815</v>
      </c>
      <c r="B234" t="s">
        <v>4321</v>
      </c>
    </row>
    <row r="235" spans="1:2">
      <c r="A235" t="s">
        <v>817</v>
      </c>
      <c r="B235" t="s">
        <v>4321</v>
      </c>
    </row>
    <row r="236" spans="1:2">
      <c r="A236" t="s">
        <v>818</v>
      </c>
      <c r="B236" t="s">
        <v>4321</v>
      </c>
    </row>
    <row r="237" spans="1:2">
      <c r="A237" t="s">
        <v>819</v>
      </c>
      <c r="B237" t="s">
        <v>4321</v>
      </c>
    </row>
    <row r="238" spans="1:2">
      <c r="A238" t="s">
        <v>820</v>
      </c>
      <c r="B238" t="s">
        <v>4321</v>
      </c>
    </row>
    <row r="239" spans="1:2">
      <c r="A239" t="s">
        <v>821</v>
      </c>
      <c r="B239" t="s">
        <v>4321</v>
      </c>
    </row>
    <row r="240" spans="1:2">
      <c r="A240" t="s">
        <v>822</v>
      </c>
      <c r="B240" t="s">
        <v>4321</v>
      </c>
    </row>
    <row r="241" spans="1:2">
      <c r="A241" t="s">
        <v>827</v>
      </c>
      <c r="B241" t="s">
        <v>4321</v>
      </c>
    </row>
    <row r="242" spans="1:2">
      <c r="A242" t="s">
        <v>830</v>
      </c>
      <c r="B242" t="s">
        <v>4321</v>
      </c>
    </row>
    <row r="243" spans="1:2">
      <c r="A243" t="s">
        <v>835</v>
      </c>
      <c r="B243" t="s">
        <v>4321</v>
      </c>
    </row>
    <row r="244" spans="1:2">
      <c r="A244" t="s">
        <v>838</v>
      </c>
      <c r="B244" t="s">
        <v>4321</v>
      </c>
    </row>
    <row r="245" spans="1:2">
      <c r="A245" t="s">
        <v>842</v>
      </c>
      <c r="B245" t="s">
        <v>4321</v>
      </c>
    </row>
    <row r="246" spans="1:2">
      <c r="A246" t="s">
        <v>845</v>
      </c>
      <c r="B246" t="s">
        <v>4321</v>
      </c>
    </row>
    <row r="247" spans="1:2">
      <c r="A247" t="s">
        <v>849</v>
      </c>
      <c r="B247" t="s">
        <v>4321</v>
      </c>
    </row>
    <row r="248" spans="1:2">
      <c r="A248" t="s">
        <v>854</v>
      </c>
      <c r="B248" t="s">
        <v>4321</v>
      </c>
    </row>
    <row r="249" spans="1:2">
      <c r="A249" t="s">
        <v>859</v>
      </c>
      <c r="B249" t="s">
        <v>4321</v>
      </c>
    </row>
    <row r="250" spans="1:2">
      <c r="A250" t="s">
        <v>863</v>
      </c>
      <c r="B250" t="s">
        <v>4321</v>
      </c>
    </row>
    <row r="251" spans="1:2">
      <c r="A251" t="s">
        <v>866</v>
      </c>
      <c r="B251" t="s">
        <v>4321</v>
      </c>
    </row>
    <row r="252" spans="1:2">
      <c r="A252" t="s">
        <v>868</v>
      </c>
      <c r="B252" t="s">
        <v>4321</v>
      </c>
    </row>
    <row r="253" spans="1:2">
      <c r="A253" t="s">
        <v>870</v>
      </c>
      <c r="B253" t="s">
        <v>4321</v>
      </c>
    </row>
    <row r="254" spans="1:2">
      <c r="A254" t="s">
        <v>872</v>
      </c>
      <c r="B254" t="s">
        <v>4321</v>
      </c>
    </row>
    <row r="255" spans="1:2">
      <c r="A255" t="s">
        <v>876</v>
      </c>
      <c r="B255" t="s">
        <v>4321</v>
      </c>
    </row>
    <row r="256" spans="1:2">
      <c r="A256" t="s">
        <v>880</v>
      </c>
      <c r="B256" t="s">
        <v>4321</v>
      </c>
    </row>
    <row r="257" spans="1:2">
      <c r="A257" t="s">
        <v>883</v>
      </c>
      <c r="B257" t="s">
        <v>4321</v>
      </c>
    </row>
    <row r="258" spans="1:2">
      <c r="A258" t="s">
        <v>884</v>
      </c>
      <c r="B258" t="s">
        <v>4321</v>
      </c>
    </row>
    <row r="259" spans="1:2">
      <c r="A259" t="s">
        <v>886</v>
      </c>
      <c r="B259" t="s">
        <v>4321</v>
      </c>
    </row>
    <row r="260" spans="1:2">
      <c r="A260" t="s">
        <v>888</v>
      </c>
      <c r="B260" t="s">
        <v>4321</v>
      </c>
    </row>
    <row r="261" spans="1:2">
      <c r="A261" t="s">
        <v>891</v>
      </c>
      <c r="B261" t="s">
        <v>4321</v>
      </c>
    </row>
    <row r="262" spans="1:2">
      <c r="A262" t="s">
        <v>893</v>
      </c>
      <c r="B262" t="s">
        <v>4321</v>
      </c>
    </row>
    <row r="263" spans="1:2">
      <c r="A263" t="s">
        <v>894</v>
      </c>
      <c r="B263" t="s">
        <v>4321</v>
      </c>
    </row>
    <row r="264" spans="1:2">
      <c r="A264" t="s">
        <v>895</v>
      </c>
      <c r="B264" t="s">
        <v>4321</v>
      </c>
    </row>
    <row r="265" spans="1:2">
      <c r="A265" t="s">
        <v>899</v>
      </c>
      <c r="B265" t="s">
        <v>4321</v>
      </c>
    </row>
    <row r="266" spans="1:2">
      <c r="A266" t="s">
        <v>902</v>
      </c>
      <c r="B266" t="s">
        <v>4321</v>
      </c>
    </row>
    <row r="267" spans="1:2">
      <c r="A267" t="s">
        <v>906</v>
      </c>
      <c r="B267" t="s">
        <v>4321</v>
      </c>
    </row>
    <row r="268" spans="1:2">
      <c r="A268" t="s">
        <v>909</v>
      </c>
      <c r="B268" t="s">
        <v>4321</v>
      </c>
    </row>
    <row r="269" spans="1:2">
      <c r="A269" t="s">
        <v>912</v>
      </c>
      <c r="B269" t="s">
        <v>4321</v>
      </c>
    </row>
    <row r="270" spans="1:2">
      <c r="A270" t="s">
        <v>915</v>
      </c>
      <c r="B270" t="s">
        <v>4321</v>
      </c>
    </row>
    <row r="271" spans="1:2">
      <c r="A271" t="s">
        <v>921</v>
      </c>
      <c r="B271" t="s">
        <v>4321</v>
      </c>
    </row>
    <row r="272" spans="1:2">
      <c r="A272" t="s">
        <v>924</v>
      </c>
      <c r="B272" t="s">
        <v>4321</v>
      </c>
    </row>
    <row r="273" spans="1:2">
      <c r="A273" t="s">
        <v>928</v>
      </c>
      <c r="B273" t="s">
        <v>4321</v>
      </c>
    </row>
    <row r="274" spans="1:2">
      <c r="A274" t="s">
        <v>931</v>
      </c>
      <c r="B274" t="s">
        <v>4321</v>
      </c>
    </row>
    <row r="275" spans="1:2">
      <c r="A275" t="s">
        <v>936</v>
      </c>
      <c r="B275" t="s">
        <v>4321</v>
      </c>
    </row>
    <row r="276" spans="1:2">
      <c r="A276" t="s">
        <v>942</v>
      </c>
      <c r="B276" t="s">
        <v>4321</v>
      </c>
    </row>
    <row r="277" spans="1:2">
      <c r="A277" t="s">
        <v>947</v>
      </c>
      <c r="B277" t="s">
        <v>4321</v>
      </c>
    </row>
    <row r="278" spans="1:2">
      <c r="A278" t="s">
        <v>951</v>
      </c>
      <c r="B278" t="s">
        <v>4321</v>
      </c>
    </row>
    <row r="279" spans="1:2">
      <c r="A279" t="s">
        <v>957</v>
      </c>
      <c r="B279" t="s">
        <v>4321</v>
      </c>
    </row>
    <row r="280" spans="1:2">
      <c r="A280" t="s">
        <v>961</v>
      </c>
      <c r="B280" t="s">
        <v>4321</v>
      </c>
    </row>
    <row r="281" spans="1:2">
      <c r="A281" t="s">
        <v>965</v>
      </c>
      <c r="B281" t="s">
        <v>4321</v>
      </c>
    </row>
    <row r="282" spans="1:2">
      <c r="A282" t="s">
        <v>967</v>
      </c>
      <c r="B282" t="s">
        <v>4321</v>
      </c>
    </row>
    <row r="283" spans="1:2">
      <c r="A283" t="s">
        <v>970</v>
      </c>
      <c r="B283" t="s">
        <v>4321</v>
      </c>
    </row>
    <row r="284" spans="1:2">
      <c r="A284" t="s">
        <v>972</v>
      </c>
      <c r="B284" t="s">
        <v>4321</v>
      </c>
    </row>
    <row r="285" spans="1:2">
      <c r="A285" t="s">
        <v>975</v>
      </c>
      <c r="B285" t="s">
        <v>4321</v>
      </c>
    </row>
    <row r="286" spans="1:2">
      <c r="A286" t="s">
        <v>980</v>
      </c>
      <c r="B286" t="s">
        <v>4321</v>
      </c>
    </row>
    <row r="287" spans="1:2">
      <c r="A287" t="s">
        <v>983</v>
      </c>
      <c r="B287" t="s">
        <v>4321</v>
      </c>
    </row>
    <row r="288" spans="1:2">
      <c r="A288" t="s">
        <v>985</v>
      </c>
      <c r="B288" t="s">
        <v>4321</v>
      </c>
    </row>
    <row r="289" spans="1:2">
      <c r="A289" t="s">
        <v>988</v>
      </c>
      <c r="B289" t="s">
        <v>4321</v>
      </c>
    </row>
    <row r="290" spans="1:2">
      <c r="A290" t="s">
        <v>993</v>
      </c>
      <c r="B290" t="s">
        <v>4321</v>
      </c>
    </row>
    <row r="291" spans="1:2">
      <c r="A291" t="s">
        <v>997</v>
      </c>
      <c r="B291" t="s">
        <v>4321</v>
      </c>
    </row>
    <row r="292" spans="1:2">
      <c r="A292" t="s">
        <v>1000</v>
      </c>
      <c r="B292" t="s">
        <v>4321</v>
      </c>
    </row>
    <row r="293" spans="1:2">
      <c r="A293" t="s">
        <v>1004</v>
      </c>
      <c r="B293" t="s">
        <v>4321</v>
      </c>
    </row>
    <row r="294" spans="1:2">
      <c r="A294" t="s">
        <v>1008</v>
      </c>
      <c r="B294" t="s">
        <v>4321</v>
      </c>
    </row>
    <row r="295" spans="1:2">
      <c r="A295" t="s">
        <v>1013</v>
      </c>
      <c r="B295" t="s">
        <v>4321</v>
      </c>
    </row>
    <row r="296" spans="1:2">
      <c r="A296" t="s">
        <v>1017</v>
      </c>
      <c r="B296" t="s">
        <v>4321</v>
      </c>
    </row>
    <row r="297" spans="1:2">
      <c r="A297" t="s">
        <v>1023</v>
      </c>
      <c r="B297" t="s">
        <v>4321</v>
      </c>
    </row>
    <row r="298" spans="1:2">
      <c r="A298" t="s">
        <v>1028</v>
      </c>
      <c r="B298" t="s">
        <v>4321</v>
      </c>
    </row>
    <row r="299" spans="1:2">
      <c r="A299" t="s">
        <v>1032</v>
      </c>
      <c r="B299" t="s">
        <v>4321</v>
      </c>
    </row>
    <row r="300" spans="1:2">
      <c r="A300" t="s">
        <v>1034</v>
      </c>
      <c r="B300" t="s">
        <v>4321</v>
      </c>
    </row>
    <row r="301" spans="1:2">
      <c r="A301" t="s">
        <v>1040</v>
      </c>
      <c r="B301" t="s">
        <v>4321</v>
      </c>
    </row>
    <row r="302" spans="1:2">
      <c r="A302" t="s">
        <v>1042</v>
      </c>
      <c r="B302" t="s">
        <v>4321</v>
      </c>
    </row>
    <row r="303" spans="1:2">
      <c r="A303" t="s">
        <v>1048</v>
      </c>
      <c r="B303" t="s">
        <v>4321</v>
      </c>
    </row>
    <row r="304" spans="1:2">
      <c r="A304" t="s">
        <v>1052</v>
      </c>
      <c r="B304" t="s">
        <v>4321</v>
      </c>
    </row>
    <row r="305" spans="1:2">
      <c r="A305" t="s">
        <v>1054</v>
      </c>
      <c r="B305" t="s">
        <v>4321</v>
      </c>
    </row>
    <row r="306" spans="1:2">
      <c r="A306" t="s">
        <v>1057</v>
      </c>
      <c r="B306" t="s">
        <v>4321</v>
      </c>
    </row>
    <row r="307" spans="1:2">
      <c r="A307" t="s">
        <v>1063</v>
      </c>
      <c r="B307" t="s">
        <v>4321</v>
      </c>
    </row>
    <row r="308" spans="1:2">
      <c r="A308" t="s">
        <v>1066</v>
      </c>
      <c r="B308" t="s">
        <v>4321</v>
      </c>
    </row>
    <row r="309" spans="1:2">
      <c r="A309" t="s">
        <v>1069</v>
      </c>
      <c r="B309" t="s">
        <v>4321</v>
      </c>
    </row>
    <row r="310" spans="1:2">
      <c r="A310" t="s">
        <v>1072</v>
      </c>
      <c r="B310" t="s">
        <v>4321</v>
      </c>
    </row>
    <row r="311" spans="1:2">
      <c r="A311" t="s">
        <v>1074</v>
      </c>
      <c r="B311" t="s">
        <v>4321</v>
      </c>
    </row>
    <row r="312" spans="1:2">
      <c r="A312" t="s">
        <v>1079</v>
      </c>
      <c r="B312" t="s">
        <v>4321</v>
      </c>
    </row>
    <row r="313" spans="1:2">
      <c r="A313" t="s">
        <v>1085</v>
      </c>
      <c r="B313" t="s">
        <v>4321</v>
      </c>
    </row>
    <row r="314" spans="1:2">
      <c r="A314" t="s">
        <v>1090</v>
      </c>
      <c r="B314" t="s">
        <v>4321</v>
      </c>
    </row>
    <row r="315" spans="1:2">
      <c r="A315" t="s">
        <v>1093</v>
      </c>
      <c r="B315" t="s">
        <v>4321</v>
      </c>
    </row>
    <row r="316" spans="1:2">
      <c r="A316" t="s">
        <v>1095</v>
      </c>
      <c r="B316" t="s">
        <v>4321</v>
      </c>
    </row>
    <row r="317" spans="1:2">
      <c r="A317" t="s">
        <v>1096</v>
      </c>
      <c r="B317" t="s">
        <v>4321</v>
      </c>
    </row>
    <row r="318" spans="1:2">
      <c r="A318" t="s">
        <v>1099</v>
      </c>
      <c r="B318" t="s">
        <v>4321</v>
      </c>
    </row>
    <row r="319" spans="1:2">
      <c r="A319" t="s">
        <v>1101</v>
      </c>
      <c r="B319" t="s">
        <v>4321</v>
      </c>
    </row>
    <row r="320" spans="1:2">
      <c r="A320" t="s">
        <v>1105</v>
      </c>
      <c r="B320" t="s">
        <v>4321</v>
      </c>
    </row>
    <row r="321" spans="1:2">
      <c r="A321" t="s">
        <v>1107</v>
      </c>
      <c r="B321" t="s">
        <v>4321</v>
      </c>
    </row>
    <row r="322" spans="1:2">
      <c r="A322" t="s">
        <v>1109</v>
      </c>
      <c r="B322" t="s">
        <v>4321</v>
      </c>
    </row>
    <row r="323" spans="1:2">
      <c r="A323" t="s">
        <v>1113</v>
      </c>
      <c r="B323" t="s">
        <v>4321</v>
      </c>
    </row>
    <row r="324" spans="1:2">
      <c r="A324" t="s">
        <v>1118</v>
      </c>
      <c r="B324" t="s">
        <v>4321</v>
      </c>
    </row>
    <row r="325" spans="1:2">
      <c r="A325" t="s">
        <v>1121</v>
      </c>
      <c r="B325" t="s">
        <v>4321</v>
      </c>
    </row>
    <row r="326" spans="1:2">
      <c r="A326" t="s">
        <v>1125</v>
      </c>
      <c r="B326" t="s">
        <v>4321</v>
      </c>
    </row>
    <row r="327" spans="1:2">
      <c r="A327" t="s">
        <v>1129</v>
      </c>
      <c r="B327" t="s">
        <v>4321</v>
      </c>
    </row>
    <row r="328" spans="1:2">
      <c r="A328" t="s">
        <v>1130</v>
      </c>
      <c r="B328" t="s">
        <v>4321</v>
      </c>
    </row>
    <row r="329" spans="1:2">
      <c r="A329" t="s">
        <v>1133</v>
      </c>
      <c r="B329" t="s">
        <v>4321</v>
      </c>
    </row>
    <row r="330" spans="1:2">
      <c r="A330" t="s">
        <v>1137</v>
      </c>
      <c r="B330" t="s">
        <v>4321</v>
      </c>
    </row>
    <row r="331" spans="1:2">
      <c r="A331" t="s">
        <v>1141</v>
      </c>
      <c r="B331" t="s">
        <v>4321</v>
      </c>
    </row>
    <row r="332" spans="1:2">
      <c r="A332" t="s">
        <v>1145</v>
      </c>
      <c r="B332" t="s">
        <v>4321</v>
      </c>
    </row>
    <row r="333" spans="1:2">
      <c r="A333" t="s">
        <v>1150</v>
      </c>
      <c r="B333" t="s">
        <v>4321</v>
      </c>
    </row>
    <row r="334" spans="1:2">
      <c r="A334" t="s">
        <v>1152</v>
      </c>
      <c r="B334" t="s">
        <v>4321</v>
      </c>
    </row>
    <row r="335" spans="1:2">
      <c r="A335" t="s">
        <v>1154</v>
      </c>
      <c r="B335" t="s">
        <v>4321</v>
      </c>
    </row>
    <row r="336" spans="1:2">
      <c r="A336" t="s">
        <v>1158</v>
      </c>
      <c r="B336" t="s">
        <v>4321</v>
      </c>
    </row>
    <row r="337" spans="1:2">
      <c r="A337" t="s">
        <v>1161</v>
      </c>
      <c r="B337" t="s">
        <v>4321</v>
      </c>
    </row>
    <row r="338" spans="1:2">
      <c r="A338" t="s">
        <v>1164</v>
      </c>
      <c r="B338" t="s">
        <v>4321</v>
      </c>
    </row>
    <row r="339" spans="1:2">
      <c r="A339" t="s">
        <v>1170</v>
      </c>
      <c r="B339" t="s">
        <v>4321</v>
      </c>
    </row>
    <row r="340" spans="1:2">
      <c r="A340" t="s">
        <v>1173</v>
      </c>
      <c r="B340" t="s">
        <v>4321</v>
      </c>
    </row>
    <row r="341" spans="1:2">
      <c r="A341" t="s">
        <v>1176</v>
      </c>
      <c r="B341" t="s">
        <v>4321</v>
      </c>
    </row>
    <row r="342" spans="1:2">
      <c r="A342" t="s">
        <v>1180</v>
      </c>
      <c r="B342" t="s">
        <v>4321</v>
      </c>
    </row>
    <row r="343" spans="1:2">
      <c r="A343" t="s">
        <v>1183</v>
      </c>
      <c r="B343" t="s">
        <v>4321</v>
      </c>
    </row>
    <row r="344" spans="1:2">
      <c r="A344" t="s">
        <v>1187</v>
      </c>
      <c r="B344" t="s">
        <v>4321</v>
      </c>
    </row>
    <row r="345" spans="1:2">
      <c r="A345" t="s">
        <v>1190</v>
      </c>
      <c r="B345" t="s">
        <v>4321</v>
      </c>
    </row>
    <row r="346" spans="1:2">
      <c r="A346" t="s">
        <v>1193</v>
      </c>
      <c r="B346" t="s">
        <v>4321</v>
      </c>
    </row>
    <row r="347" spans="1:2">
      <c r="A347" t="s">
        <v>1196</v>
      </c>
      <c r="B347" t="s">
        <v>4321</v>
      </c>
    </row>
    <row r="348" spans="1:2">
      <c r="A348" t="s">
        <v>1199</v>
      </c>
      <c r="B348" t="s">
        <v>4321</v>
      </c>
    </row>
    <row r="349" spans="1:2">
      <c r="A349" t="s">
        <v>1205</v>
      </c>
      <c r="B349" t="s">
        <v>4321</v>
      </c>
    </row>
    <row r="350" spans="1:2">
      <c r="A350" t="s">
        <v>1209</v>
      </c>
      <c r="B350" t="s">
        <v>4321</v>
      </c>
    </row>
    <row r="351" spans="1:2">
      <c r="A351" t="s">
        <v>1212</v>
      </c>
      <c r="B351" t="s">
        <v>4321</v>
      </c>
    </row>
    <row r="352" spans="1:2">
      <c r="A352" t="s">
        <v>1222</v>
      </c>
      <c r="B352" t="s">
        <v>4321</v>
      </c>
    </row>
    <row r="353" spans="1:2">
      <c r="A353" t="s">
        <v>1227</v>
      </c>
      <c r="B353" t="s">
        <v>4321</v>
      </c>
    </row>
    <row r="354" spans="1:2">
      <c r="A354" t="s">
        <v>1231</v>
      </c>
      <c r="B354" t="s">
        <v>4321</v>
      </c>
    </row>
    <row r="355" spans="1:2">
      <c r="A355" t="s">
        <v>1234</v>
      </c>
      <c r="B355" t="s">
        <v>4321</v>
      </c>
    </row>
    <row r="356" spans="1:2">
      <c r="A356" t="s">
        <v>1235</v>
      </c>
      <c r="B356" t="s">
        <v>4321</v>
      </c>
    </row>
    <row r="357" spans="1:2">
      <c r="A357" t="s">
        <v>1238</v>
      </c>
      <c r="B357" t="s">
        <v>4321</v>
      </c>
    </row>
    <row r="358" spans="1:2">
      <c r="A358" t="s">
        <v>1242</v>
      </c>
      <c r="B358" t="s">
        <v>4321</v>
      </c>
    </row>
    <row r="359" spans="1:2">
      <c r="A359" t="s">
        <v>1246</v>
      </c>
      <c r="B359" t="s">
        <v>4321</v>
      </c>
    </row>
    <row r="360" spans="1:2">
      <c r="A360" t="s">
        <v>1248</v>
      </c>
      <c r="B360" t="s">
        <v>4321</v>
      </c>
    </row>
    <row r="361" spans="1:2">
      <c r="A361" t="s">
        <v>1253</v>
      </c>
      <c r="B361" t="s">
        <v>4321</v>
      </c>
    </row>
    <row r="362" spans="1:2">
      <c r="A362" t="s">
        <v>1257</v>
      </c>
      <c r="B362" t="s">
        <v>4321</v>
      </c>
    </row>
    <row r="363" spans="1:2">
      <c r="A363" t="s">
        <v>1995</v>
      </c>
      <c r="B363" t="s">
        <v>4321</v>
      </c>
    </row>
    <row r="364" spans="1:2">
      <c r="A364" t="s">
        <v>1269</v>
      </c>
      <c r="B364" t="s">
        <v>4321</v>
      </c>
    </row>
    <row r="365" spans="1:2">
      <c r="A365" t="s">
        <v>1277</v>
      </c>
      <c r="B365" t="s">
        <v>4321</v>
      </c>
    </row>
    <row r="366" spans="1:2">
      <c r="A366" t="s">
        <v>1282</v>
      </c>
      <c r="B366" t="s">
        <v>4321</v>
      </c>
    </row>
    <row r="367" spans="1:2">
      <c r="A367" t="s">
        <v>1284</v>
      </c>
      <c r="B367" t="s">
        <v>4321</v>
      </c>
    </row>
    <row r="368" spans="1:2">
      <c r="A368" t="s">
        <v>1289</v>
      </c>
      <c r="B368" t="s">
        <v>4321</v>
      </c>
    </row>
    <row r="369" spans="1:2">
      <c r="A369" t="s">
        <v>1293</v>
      </c>
      <c r="B369" t="s">
        <v>4321</v>
      </c>
    </row>
    <row r="370" spans="1:2">
      <c r="A370" t="s">
        <v>1297</v>
      </c>
      <c r="B370" t="s">
        <v>4321</v>
      </c>
    </row>
    <row r="371" spans="1:2">
      <c r="A371" t="s">
        <v>1300</v>
      </c>
      <c r="B371" t="s">
        <v>4321</v>
      </c>
    </row>
    <row r="372" spans="1:2">
      <c r="A372" t="s">
        <v>1304</v>
      </c>
      <c r="B372" t="s">
        <v>4321</v>
      </c>
    </row>
    <row r="373" spans="1:2">
      <c r="A373" t="s">
        <v>1305</v>
      </c>
      <c r="B373" t="s">
        <v>4321</v>
      </c>
    </row>
    <row r="374" spans="1:2">
      <c r="A374" t="s">
        <v>1307</v>
      </c>
      <c r="B374" t="s">
        <v>4321</v>
      </c>
    </row>
    <row r="375" spans="1:2">
      <c r="A375" t="s">
        <v>1309</v>
      </c>
      <c r="B375" t="s">
        <v>4321</v>
      </c>
    </row>
    <row r="376" spans="1:2">
      <c r="A376" t="s">
        <v>1314</v>
      </c>
      <c r="B376" t="s">
        <v>4321</v>
      </c>
    </row>
    <row r="377" spans="1:2">
      <c r="A377" t="s">
        <v>1320</v>
      </c>
      <c r="B377" t="s">
        <v>4321</v>
      </c>
    </row>
    <row r="378" spans="1:2">
      <c r="A378" t="s">
        <v>1321</v>
      </c>
      <c r="B378" t="s">
        <v>4321</v>
      </c>
    </row>
    <row r="379" spans="1:2">
      <c r="A379" t="s">
        <v>1322</v>
      </c>
      <c r="B379" t="s">
        <v>4321</v>
      </c>
    </row>
    <row r="380" spans="1:2">
      <c r="A380" t="s">
        <v>1323</v>
      </c>
      <c r="B380" t="s">
        <v>4321</v>
      </c>
    </row>
    <row r="381" spans="1:2">
      <c r="A381" t="s">
        <v>1325</v>
      </c>
      <c r="B381" t="s">
        <v>4321</v>
      </c>
    </row>
    <row r="382" spans="1:2">
      <c r="A382" t="s">
        <v>1326</v>
      </c>
      <c r="B382" t="s">
        <v>4321</v>
      </c>
    </row>
    <row r="383" spans="1:2">
      <c r="A383" t="s">
        <v>1330</v>
      </c>
      <c r="B383" t="s">
        <v>4321</v>
      </c>
    </row>
    <row r="384" spans="1:2">
      <c r="A384" t="s">
        <v>1331</v>
      </c>
      <c r="B384" t="s">
        <v>4321</v>
      </c>
    </row>
    <row r="385" spans="1:2">
      <c r="A385" t="s">
        <v>1332</v>
      </c>
      <c r="B385" t="s">
        <v>4321</v>
      </c>
    </row>
    <row r="386" spans="1:2">
      <c r="A386" t="s">
        <v>1333</v>
      </c>
      <c r="B386" t="s">
        <v>4321</v>
      </c>
    </row>
    <row r="387" spans="1:2">
      <c r="A387" t="s">
        <v>1335</v>
      </c>
      <c r="B387" t="s">
        <v>4321</v>
      </c>
    </row>
    <row r="388" spans="1:2">
      <c r="A388" t="s">
        <v>1336</v>
      </c>
      <c r="B388" t="s">
        <v>4321</v>
      </c>
    </row>
    <row r="389" spans="1:2">
      <c r="A389" t="s">
        <v>1337</v>
      </c>
      <c r="B389" t="s">
        <v>4321</v>
      </c>
    </row>
    <row r="390" spans="1:2">
      <c r="A390" t="s">
        <v>1338</v>
      </c>
      <c r="B390" t="s">
        <v>4321</v>
      </c>
    </row>
    <row r="391" spans="1:2">
      <c r="A391" t="s">
        <v>1339</v>
      </c>
      <c r="B391" t="s">
        <v>4321</v>
      </c>
    </row>
    <row r="392" spans="1:2">
      <c r="A392" t="s">
        <v>1340</v>
      </c>
      <c r="B392" t="s">
        <v>4321</v>
      </c>
    </row>
    <row r="393" spans="1:2">
      <c r="A393" t="s">
        <v>1341</v>
      </c>
      <c r="B393" t="s">
        <v>4321</v>
      </c>
    </row>
    <row r="394" spans="1:2">
      <c r="A394" t="s">
        <v>1346</v>
      </c>
      <c r="B394" t="s">
        <v>4321</v>
      </c>
    </row>
    <row r="395" spans="1:2">
      <c r="A395" t="s">
        <v>1347</v>
      </c>
      <c r="B395" t="s">
        <v>4321</v>
      </c>
    </row>
    <row r="396" spans="1:2">
      <c r="A396" t="s">
        <v>1348</v>
      </c>
      <c r="B396" t="s">
        <v>4321</v>
      </c>
    </row>
    <row r="397" spans="1:2">
      <c r="A397" t="s">
        <v>1349</v>
      </c>
      <c r="B397" t="s">
        <v>4321</v>
      </c>
    </row>
    <row r="398" spans="1:2">
      <c r="A398" t="s">
        <v>1350</v>
      </c>
      <c r="B398" t="s">
        <v>4321</v>
      </c>
    </row>
    <row r="399" spans="1:2">
      <c r="A399" t="s">
        <v>1354</v>
      </c>
      <c r="B399" t="s">
        <v>4321</v>
      </c>
    </row>
    <row r="400" spans="1:2">
      <c r="A400" t="s">
        <v>1355</v>
      </c>
      <c r="B400" t="s">
        <v>4321</v>
      </c>
    </row>
    <row r="401" spans="1:2">
      <c r="A401" t="s">
        <v>1356</v>
      </c>
      <c r="B401" t="s">
        <v>4321</v>
      </c>
    </row>
    <row r="402" spans="1:2">
      <c r="A402" t="s">
        <v>1362</v>
      </c>
      <c r="B402" t="s">
        <v>4321</v>
      </c>
    </row>
    <row r="403" spans="1:2">
      <c r="A403" t="s">
        <v>1363</v>
      </c>
      <c r="B403" t="s">
        <v>4321</v>
      </c>
    </row>
    <row r="404" spans="1:2">
      <c r="A404" t="s">
        <v>1368</v>
      </c>
      <c r="B404" t="s">
        <v>4321</v>
      </c>
    </row>
    <row r="405" spans="1:2">
      <c r="A405" t="s">
        <v>1372</v>
      </c>
      <c r="B405" t="s">
        <v>4321</v>
      </c>
    </row>
    <row r="406" spans="1:2">
      <c r="A406" t="s">
        <v>1373</v>
      </c>
      <c r="B406" t="s">
        <v>4321</v>
      </c>
    </row>
    <row r="407" spans="1:2">
      <c r="A407" t="s">
        <v>1374</v>
      </c>
      <c r="B407" t="s">
        <v>4321</v>
      </c>
    </row>
    <row r="408" spans="1:2">
      <c r="A408" t="s">
        <v>1381</v>
      </c>
      <c r="B408" t="s">
        <v>4321</v>
      </c>
    </row>
    <row r="409" spans="1:2">
      <c r="A409" t="s">
        <v>1382</v>
      </c>
      <c r="B409" t="s">
        <v>4321</v>
      </c>
    </row>
    <row r="410" spans="1:2">
      <c r="A410" t="s">
        <v>1390</v>
      </c>
      <c r="B410" t="s">
        <v>4321</v>
      </c>
    </row>
    <row r="411" spans="1:2">
      <c r="A411" t="s">
        <v>1394</v>
      </c>
      <c r="B411" t="s">
        <v>4321</v>
      </c>
    </row>
    <row r="412" spans="1:2">
      <c r="A412" t="s">
        <v>1397</v>
      </c>
      <c r="B412" t="s">
        <v>4321</v>
      </c>
    </row>
    <row r="413" spans="1:2">
      <c r="A413" t="s">
        <v>1402</v>
      </c>
      <c r="B413" t="s">
        <v>4321</v>
      </c>
    </row>
    <row r="414" spans="1:2">
      <c r="A414" t="s">
        <v>1407</v>
      </c>
      <c r="B414" t="s">
        <v>4321</v>
      </c>
    </row>
    <row r="415" spans="1:2">
      <c r="A415" t="s">
        <v>1413</v>
      </c>
      <c r="B415" t="s">
        <v>4321</v>
      </c>
    </row>
    <row r="416" spans="1:2">
      <c r="A416" t="s">
        <v>1418</v>
      </c>
      <c r="B416" t="s">
        <v>4321</v>
      </c>
    </row>
    <row r="417" spans="1:2">
      <c r="A417" t="s">
        <v>1422</v>
      </c>
      <c r="B417" t="s">
        <v>4321</v>
      </c>
    </row>
    <row r="418" spans="1:2">
      <c r="A418" t="s">
        <v>1426</v>
      </c>
      <c r="B418" t="s">
        <v>4321</v>
      </c>
    </row>
    <row r="419" spans="1:2">
      <c r="A419" t="s">
        <v>1434</v>
      </c>
      <c r="B419" t="s">
        <v>4321</v>
      </c>
    </row>
    <row r="420" spans="1:2">
      <c r="A420" t="s">
        <v>1441</v>
      </c>
      <c r="B420" t="s">
        <v>4321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1838</v>
      </c>
      <c r="B1" t="s">
        <v>2752</v>
      </c>
      <c r="C1" t="s">
        <v>2240</v>
      </c>
      <c r="D1" t="s">
        <v>2241</v>
      </c>
      <c r="E1" t="s">
        <v>2242</v>
      </c>
      <c r="F1" t="s">
        <v>1455</v>
      </c>
      <c r="G1" t="s">
        <v>4322</v>
      </c>
      <c r="H1" t="s">
        <v>2244</v>
      </c>
      <c r="I1" t="s">
        <v>4323</v>
      </c>
    </row>
    <row r="2" spans="1:9">
      <c r="A2" s="92" t="s">
        <v>4324</v>
      </c>
      <c r="B2" t="s">
        <v>1875</v>
      </c>
      <c r="C2" t="s">
        <v>2247</v>
      </c>
      <c r="D2" t="s">
        <v>2248</v>
      </c>
      <c r="G2" t="s">
        <v>4325</v>
      </c>
      <c r="I2" t="s">
        <v>3756</v>
      </c>
    </row>
    <row r="3" spans="1:9">
      <c r="A3" s="92" t="s">
        <v>4324</v>
      </c>
      <c r="B3" t="s">
        <v>1875</v>
      </c>
      <c r="C3" t="s">
        <v>2252</v>
      </c>
      <c r="D3" t="s">
        <v>2248</v>
      </c>
      <c r="G3" t="s">
        <v>4325</v>
      </c>
      <c r="I3" t="s">
        <v>3756</v>
      </c>
    </row>
    <row r="4" spans="1:9">
      <c r="A4" s="92" t="s">
        <v>4324</v>
      </c>
      <c r="B4" t="s">
        <v>1878</v>
      </c>
      <c r="C4" t="s">
        <v>2254</v>
      </c>
      <c r="D4" t="s">
        <v>2248</v>
      </c>
      <c r="G4" t="s">
        <v>4326</v>
      </c>
      <c r="I4" t="s">
        <v>3760</v>
      </c>
    </row>
    <row r="5" spans="1:9">
      <c r="A5" s="92" t="s">
        <v>4324</v>
      </c>
      <c r="B5" t="s">
        <v>1878</v>
      </c>
      <c r="C5" t="s">
        <v>2256</v>
      </c>
      <c r="D5" t="s">
        <v>2257</v>
      </c>
      <c r="G5" t="s">
        <v>4325</v>
      </c>
      <c r="I5" t="s">
        <v>3760</v>
      </c>
    </row>
    <row r="6" spans="1:9">
      <c r="A6" s="92" t="s">
        <v>4324</v>
      </c>
      <c r="B6" t="s">
        <v>1878</v>
      </c>
      <c r="C6" t="s">
        <v>2258</v>
      </c>
      <c r="D6" t="s">
        <v>2257</v>
      </c>
      <c r="G6" t="s">
        <v>4325</v>
      </c>
      <c r="I6" t="s">
        <v>3760</v>
      </c>
    </row>
    <row r="7" spans="1:9">
      <c r="A7" s="92" t="s">
        <v>4324</v>
      </c>
      <c r="B7" t="s">
        <v>1878</v>
      </c>
      <c r="C7" t="s">
        <v>2259</v>
      </c>
      <c r="D7" t="s">
        <v>2248</v>
      </c>
      <c r="G7" t="s">
        <v>4326</v>
      </c>
      <c r="I7" t="s">
        <v>3760</v>
      </c>
    </row>
    <row r="8" spans="1:9">
      <c r="A8" s="92" t="s">
        <v>4324</v>
      </c>
      <c r="B8" t="s">
        <v>1878</v>
      </c>
      <c r="C8" t="s">
        <v>2260</v>
      </c>
      <c r="D8" t="s">
        <v>2257</v>
      </c>
      <c r="G8" t="s">
        <v>4325</v>
      </c>
      <c r="I8" t="s">
        <v>3760</v>
      </c>
    </row>
    <row r="9" spans="1:9">
      <c r="A9" s="92" t="s">
        <v>4324</v>
      </c>
      <c r="B9" t="s">
        <v>1878</v>
      </c>
      <c r="C9" t="s">
        <v>2261</v>
      </c>
      <c r="D9" t="s">
        <v>2248</v>
      </c>
      <c r="G9" t="s">
        <v>4325</v>
      </c>
      <c r="I9" t="s">
        <v>3760</v>
      </c>
    </row>
    <row r="10" spans="1:9">
      <c r="A10" s="92" t="s">
        <v>4324</v>
      </c>
      <c r="B10" t="s">
        <v>1878</v>
      </c>
      <c r="C10" t="s">
        <v>2262</v>
      </c>
      <c r="D10" t="s">
        <v>2248</v>
      </c>
      <c r="G10" t="s">
        <v>4326</v>
      </c>
      <c r="I10" t="s">
        <v>3760</v>
      </c>
    </row>
    <row r="11" spans="1:9">
      <c r="A11" s="92" t="s">
        <v>4324</v>
      </c>
      <c r="B11" t="s">
        <v>1878</v>
      </c>
      <c r="C11" t="s">
        <v>2263</v>
      </c>
      <c r="D11" t="s">
        <v>2248</v>
      </c>
      <c r="G11" t="s">
        <v>4326</v>
      </c>
      <c r="I11" t="s">
        <v>3760</v>
      </c>
    </row>
    <row r="12" spans="1:9">
      <c r="A12" s="92" t="s">
        <v>4324</v>
      </c>
      <c r="B12" t="s">
        <v>1878</v>
      </c>
      <c r="C12" t="s">
        <v>2264</v>
      </c>
      <c r="D12" t="s">
        <v>2248</v>
      </c>
      <c r="G12" t="s">
        <v>4326</v>
      </c>
      <c r="I12" t="s">
        <v>3760</v>
      </c>
    </row>
    <row r="13" spans="1:9">
      <c r="A13" s="92" t="s">
        <v>4324</v>
      </c>
      <c r="B13" t="s">
        <v>1878</v>
      </c>
      <c r="C13" t="s">
        <v>2265</v>
      </c>
      <c r="D13" t="s">
        <v>2257</v>
      </c>
      <c r="G13" t="s">
        <v>4326</v>
      </c>
      <c r="I13" t="s">
        <v>3760</v>
      </c>
    </row>
    <row r="14" spans="1:9">
      <c r="A14" s="92" t="s">
        <v>4324</v>
      </c>
      <c r="B14" t="s">
        <v>1884</v>
      </c>
      <c r="C14" t="s">
        <v>2267</v>
      </c>
      <c r="D14" t="s">
        <v>2248</v>
      </c>
      <c r="G14" t="s">
        <v>4325</v>
      </c>
      <c r="I14" t="s">
        <v>3768</v>
      </c>
    </row>
    <row r="15" spans="1:9">
      <c r="A15" s="92" t="s">
        <v>4324</v>
      </c>
      <c r="B15" t="s">
        <v>1890</v>
      </c>
      <c r="C15" t="s">
        <v>2269</v>
      </c>
      <c r="D15" t="s">
        <v>2248</v>
      </c>
      <c r="G15" t="s">
        <v>4325</v>
      </c>
      <c r="I15" t="s">
        <v>3776</v>
      </c>
    </row>
    <row r="16" spans="1:9">
      <c r="A16" s="92" t="s">
        <v>4324</v>
      </c>
      <c r="B16" t="s">
        <v>1890</v>
      </c>
      <c r="C16" t="s">
        <v>2270</v>
      </c>
      <c r="D16" t="s">
        <v>2248</v>
      </c>
      <c r="G16" t="s">
        <v>4325</v>
      </c>
      <c r="I16" t="s">
        <v>3776</v>
      </c>
    </row>
    <row r="17" spans="1:9">
      <c r="A17" s="92" t="s">
        <v>4324</v>
      </c>
      <c r="B17" t="s">
        <v>1890</v>
      </c>
      <c r="C17" t="s">
        <v>2271</v>
      </c>
      <c r="D17" t="s">
        <v>2248</v>
      </c>
      <c r="G17" t="s">
        <v>4325</v>
      </c>
      <c r="I17" t="s">
        <v>3776</v>
      </c>
    </row>
    <row r="18" spans="1:9">
      <c r="A18" s="92" t="s">
        <v>4324</v>
      </c>
      <c r="B18" t="s">
        <v>1890</v>
      </c>
      <c r="C18" t="s">
        <v>2272</v>
      </c>
      <c r="D18" t="s">
        <v>2248</v>
      </c>
      <c r="G18" t="s">
        <v>4325</v>
      </c>
      <c r="I18" t="s">
        <v>3776</v>
      </c>
    </row>
    <row r="19" spans="1:9">
      <c r="A19" s="92" t="s">
        <v>4324</v>
      </c>
      <c r="B19" t="s">
        <v>1890</v>
      </c>
      <c r="C19" t="s">
        <v>2273</v>
      </c>
      <c r="D19" t="s">
        <v>2248</v>
      </c>
      <c r="G19" t="s">
        <v>4325</v>
      </c>
      <c r="I19" t="s">
        <v>3776</v>
      </c>
    </row>
    <row r="20" spans="1:9">
      <c r="A20" s="92" t="s">
        <v>4324</v>
      </c>
      <c r="B20" t="s">
        <v>1890</v>
      </c>
      <c r="C20" t="s">
        <v>2274</v>
      </c>
      <c r="D20" t="s">
        <v>2248</v>
      </c>
      <c r="G20" t="s">
        <v>4325</v>
      </c>
      <c r="I20" t="s">
        <v>3776</v>
      </c>
    </row>
    <row r="21" spans="1:9">
      <c r="A21" s="92" t="s">
        <v>4324</v>
      </c>
      <c r="B21" t="s">
        <v>1890</v>
      </c>
      <c r="C21" t="s">
        <v>2275</v>
      </c>
      <c r="D21" t="s">
        <v>2248</v>
      </c>
      <c r="G21" t="s">
        <v>4325</v>
      </c>
      <c r="I21" t="s">
        <v>3776</v>
      </c>
    </row>
    <row r="22" spans="1:9">
      <c r="A22" s="92" t="s">
        <v>4324</v>
      </c>
      <c r="B22" t="s">
        <v>1890</v>
      </c>
      <c r="C22" t="s">
        <v>2276</v>
      </c>
      <c r="D22" t="s">
        <v>2248</v>
      </c>
      <c r="G22" t="s">
        <v>4325</v>
      </c>
      <c r="I22" t="s">
        <v>3776</v>
      </c>
    </row>
    <row r="23" spans="1:9">
      <c r="A23" s="92" t="s">
        <v>4324</v>
      </c>
      <c r="B23" t="s">
        <v>1892</v>
      </c>
      <c r="C23" t="s">
        <v>2278</v>
      </c>
      <c r="D23" t="s">
        <v>2279</v>
      </c>
      <c r="G23" t="s">
        <v>4327</v>
      </c>
      <c r="I23" t="s">
        <v>3780</v>
      </c>
    </row>
    <row r="24" spans="1:9">
      <c r="A24" s="92" t="s">
        <v>4324</v>
      </c>
      <c r="B24" t="s">
        <v>1892</v>
      </c>
      <c r="C24" t="s">
        <v>2281</v>
      </c>
      <c r="D24" t="s">
        <v>2248</v>
      </c>
      <c r="G24" t="s">
        <v>4325</v>
      </c>
      <c r="I24" t="s">
        <v>3780</v>
      </c>
    </row>
    <row r="25" spans="1:9">
      <c r="A25" s="92" t="s">
        <v>4324</v>
      </c>
      <c r="B25" t="s">
        <v>1894</v>
      </c>
      <c r="C25" t="s">
        <v>2283</v>
      </c>
      <c r="D25" t="s">
        <v>2284</v>
      </c>
      <c r="E25" t="s">
        <v>2285</v>
      </c>
      <c r="F25" t="s">
        <v>2288</v>
      </c>
      <c r="G25" t="s">
        <v>4328</v>
      </c>
      <c r="H25" t="s">
        <v>2287</v>
      </c>
      <c r="I25" t="s">
        <v>3787</v>
      </c>
    </row>
    <row r="26" spans="1:9">
      <c r="A26" s="92" t="s">
        <v>4324</v>
      </c>
      <c r="B26" t="s">
        <v>1895</v>
      </c>
      <c r="C26" t="s">
        <v>2290</v>
      </c>
      <c r="D26" t="s">
        <v>2291</v>
      </c>
      <c r="E26" t="s">
        <v>2292</v>
      </c>
      <c r="G26" t="s">
        <v>4328</v>
      </c>
      <c r="H26" t="s">
        <v>2293</v>
      </c>
      <c r="I26" t="s">
        <v>3791</v>
      </c>
    </row>
    <row r="27" spans="1:9">
      <c r="A27" s="92" t="s">
        <v>4324</v>
      </c>
      <c r="B27" t="s">
        <v>1903</v>
      </c>
      <c r="C27" t="s">
        <v>2295</v>
      </c>
      <c r="D27" t="s">
        <v>2296</v>
      </c>
      <c r="E27" t="s">
        <v>2297</v>
      </c>
      <c r="G27" t="s">
        <v>4328</v>
      </c>
      <c r="H27" t="s">
        <v>2293</v>
      </c>
      <c r="I27" t="s">
        <v>3803</v>
      </c>
    </row>
    <row r="28" spans="1:9">
      <c r="A28" s="92" t="s">
        <v>4324</v>
      </c>
      <c r="B28" t="s">
        <v>1903</v>
      </c>
      <c r="C28" t="s">
        <v>2298</v>
      </c>
      <c r="D28" t="s">
        <v>2296</v>
      </c>
      <c r="E28" t="s">
        <v>2292</v>
      </c>
      <c r="G28" t="s">
        <v>4328</v>
      </c>
      <c r="H28" t="s">
        <v>2293</v>
      </c>
      <c r="I28" t="s">
        <v>3803</v>
      </c>
    </row>
    <row r="29" spans="1:9">
      <c r="A29" s="92" t="s">
        <v>4324</v>
      </c>
      <c r="B29" t="s">
        <v>1903</v>
      </c>
      <c r="C29" t="s">
        <v>2299</v>
      </c>
      <c r="D29" t="s">
        <v>2296</v>
      </c>
      <c r="E29" t="s">
        <v>2292</v>
      </c>
      <c r="G29" t="s">
        <v>4328</v>
      </c>
      <c r="H29" t="s">
        <v>2293</v>
      </c>
      <c r="I29" t="s">
        <v>3803</v>
      </c>
    </row>
    <row r="30" spans="1:9">
      <c r="A30" s="92" t="s">
        <v>4324</v>
      </c>
      <c r="B30" t="s">
        <v>1903</v>
      </c>
      <c r="C30" t="s">
        <v>2300</v>
      </c>
      <c r="D30" t="s">
        <v>2301</v>
      </c>
      <c r="E30" t="s">
        <v>2292</v>
      </c>
      <c r="G30" t="s">
        <v>4328</v>
      </c>
      <c r="H30" t="s">
        <v>2293</v>
      </c>
      <c r="I30" t="s">
        <v>3803</v>
      </c>
    </row>
    <row r="31" spans="1:9">
      <c r="A31" s="92" t="s">
        <v>4324</v>
      </c>
      <c r="B31" t="s">
        <v>1903</v>
      </c>
      <c r="C31" t="s">
        <v>2302</v>
      </c>
      <c r="E31" t="s">
        <v>2292</v>
      </c>
      <c r="G31" t="s">
        <v>4328</v>
      </c>
      <c r="H31" t="s">
        <v>2293</v>
      </c>
      <c r="I31" t="s">
        <v>3803</v>
      </c>
    </row>
    <row r="32" spans="1:9">
      <c r="A32" s="92" t="s">
        <v>4324</v>
      </c>
      <c r="B32" t="s">
        <v>1903</v>
      </c>
      <c r="C32" t="s">
        <v>2303</v>
      </c>
      <c r="E32" t="s">
        <v>2292</v>
      </c>
      <c r="G32" t="s">
        <v>4328</v>
      </c>
      <c r="H32" t="s">
        <v>2293</v>
      </c>
      <c r="I32" t="s">
        <v>3803</v>
      </c>
    </row>
    <row r="33" spans="1:9">
      <c r="A33" s="92" t="s">
        <v>4324</v>
      </c>
      <c r="B33" t="s">
        <v>1903</v>
      </c>
      <c r="C33" t="s">
        <v>2304</v>
      </c>
      <c r="E33" t="s">
        <v>2292</v>
      </c>
      <c r="G33" t="s">
        <v>4328</v>
      </c>
      <c r="H33" t="s">
        <v>2293</v>
      </c>
      <c r="I33" t="s">
        <v>3803</v>
      </c>
    </row>
    <row r="34" spans="1:9">
      <c r="A34" s="92" t="s">
        <v>4324</v>
      </c>
      <c r="B34" t="s">
        <v>1905</v>
      </c>
      <c r="C34" t="s">
        <v>2306</v>
      </c>
      <c r="D34" t="s">
        <v>2291</v>
      </c>
      <c r="E34" t="s">
        <v>2307</v>
      </c>
      <c r="G34" t="s">
        <v>4329</v>
      </c>
      <c r="H34" t="s">
        <v>2308</v>
      </c>
      <c r="I34" t="s">
        <v>3805</v>
      </c>
    </row>
    <row r="35" spans="1:9">
      <c r="A35" s="92" t="s">
        <v>4324</v>
      </c>
      <c r="B35" t="s">
        <v>1905</v>
      </c>
      <c r="C35" t="s">
        <v>2310</v>
      </c>
      <c r="D35" t="s">
        <v>2291</v>
      </c>
      <c r="E35" t="s">
        <v>2311</v>
      </c>
      <c r="G35" t="s">
        <v>4328</v>
      </c>
      <c r="H35" t="s">
        <v>2312</v>
      </c>
      <c r="I35" t="s">
        <v>3805</v>
      </c>
    </row>
    <row r="36" spans="1:9">
      <c r="A36" s="92" t="s">
        <v>4324</v>
      </c>
      <c r="B36" t="s">
        <v>1905</v>
      </c>
      <c r="C36" t="s">
        <v>2313</v>
      </c>
      <c r="D36" t="s">
        <v>2291</v>
      </c>
      <c r="E36" t="s">
        <v>2292</v>
      </c>
      <c r="G36" t="s">
        <v>4328</v>
      </c>
      <c r="H36" t="s">
        <v>2293</v>
      </c>
      <c r="I36" t="s">
        <v>3805</v>
      </c>
    </row>
    <row r="37" spans="1:9">
      <c r="A37" s="92" t="s">
        <v>4324</v>
      </c>
      <c r="B37" t="s">
        <v>1905</v>
      </c>
      <c r="C37" t="s">
        <v>2314</v>
      </c>
      <c r="D37" t="s">
        <v>2291</v>
      </c>
      <c r="E37" t="s">
        <v>2292</v>
      </c>
      <c r="G37" t="s">
        <v>4328</v>
      </c>
      <c r="H37" t="s">
        <v>2293</v>
      </c>
      <c r="I37" t="s">
        <v>3805</v>
      </c>
    </row>
    <row r="38" spans="1:9">
      <c r="A38" s="92" t="s">
        <v>4324</v>
      </c>
      <c r="B38" t="s">
        <v>1908</v>
      </c>
      <c r="C38" t="s">
        <v>2316</v>
      </c>
      <c r="D38" t="s">
        <v>2291</v>
      </c>
      <c r="E38" t="s">
        <v>2292</v>
      </c>
      <c r="G38" t="s">
        <v>4328</v>
      </c>
      <c r="H38" t="s">
        <v>2293</v>
      </c>
      <c r="I38" t="s">
        <v>3807</v>
      </c>
    </row>
    <row r="39" spans="1:9">
      <c r="A39" s="92" t="s">
        <v>4324</v>
      </c>
      <c r="B39" t="s">
        <v>1911</v>
      </c>
      <c r="C39" t="s">
        <v>2318</v>
      </c>
      <c r="D39" t="s">
        <v>2319</v>
      </c>
      <c r="E39" t="s">
        <v>2285</v>
      </c>
      <c r="F39" t="s">
        <v>2320</v>
      </c>
      <c r="G39" t="s">
        <v>4328</v>
      </c>
      <c r="H39" t="s">
        <v>2287</v>
      </c>
      <c r="I39" t="s">
        <v>3815</v>
      </c>
    </row>
    <row r="40" spans="1:9">
      <c r="A40" s="92" t="s">
        <v>4324</v>
      </c>
      <c r="B40" t="s">
        <v>1911</v>
      </c>
      <c r="C40" t="s">
        <v>2321</v>
      </c>
      <c r="D40" t="s">
        <v>2322</v>
      </c>
      <c r="E40" t="s">
        <v>2285</v>
      </c>
      <c r="F40" t="s">
        <v>2323</v>
      </c>
      <c r="G40" t="s">
        <v>4328</v>
      </c>
      <c r="H40" t="s">
        <v>2287</v>
      </c>
      <c r="I40" t="s">
        <v>3815</v>
      </c>
    </row>
    <row r="41" spans="1:9">
      <c r="A41" s="92" t="s">
        <v>4324</v>
      </c>
      <c r="B41" t="s">
        <v>1911</v>
      </c>
      <c r="C41" t="s">
        <v>2324</v>
      </c>
      <c r="D41" t="s">
        <v>2325</v>
      </c>
      <c r="G41" t="s">
        <v>4330</v>
      </c>
      <c r="I41" t="s">
        <v>3815</v>
      </c>
    </row>
    <row r="42" spans="1:9">
      <c r="A42" s="92" t="s">
        <v>4324</v>
      </c>
      <c r="B42" t="s">
        <v>1911</v>
      </c>
      <c r="C42" t="s">
        <v>2327</v>
      </c>
      <c r="D42" t="s">
        <v>2325</v>
      </c>
      <c r="G42" t="s">
        <v>4330</v>
      </c>
      <c r="I42" t="s">
        <v>3815</v>
      </c>
    </row>
    <row r="43" spans="1:9">
      <c r="A43" s="92" t="s">
        <v>4324</v>
      </c>
      <c r="B43" t="s">
        <v>1911</v>
      </c>
      <c r="C43" t="s">
        <v>2328</v>
      </c>
      <c r="D43" t="s">
        <v>2325</v>
      </c>
      <c r="E43" t="s">
        <v>2329</v>
      </c>
      <c r="F43" t="s">
        <v>2331</v>
      </c>
      <c r="G43" t="s">
        <v>4331</v>
      </c>
      <c r="I43" t="s">
        <v>3815</v>
      </c>
    </row>
    <row r="44" spans="1:9">
      <c r="A44" s="92" t="s">
        <v>4324</v>
      </c>
      <c r="B44" t="s">
        <v>1916</v>
      </c>
      <c r="C44" t="s">
        <v>2333</v>
      </c>
      <c r="D44" t="s">
        <v>2291</v>
      </c>
      <c r="E44" t="s">
        <v>2285</v>
      </c>
      <c r="G44" t="s">
        <v>4328</v>
      </c>
      <c r="H44" t="s">
        <v>2287</v>
      </c>
      <c r="I44" t="s">
        <v>3819</v>
      </c>
    </row>
    <row r="45" spans="1:9">
      <c r="A45" s="92" t="s">
        <v>4324</v>
      </c>
      <c r="B45" t="s">
        <v>1916</v>
      </c>
      <c r="C45" t="s">
        <v>2334</v>
      </c>
      <c r="D45" t="s">
        <v>2291</v>
      </c>
      <c r="E45" t="s">
        <v>2311</v>
      </c>
      <c r="F45" t="s">
        <v>2335</v>
      </c>
      <c r="G45" t="s">
        <v>4332</v>
      </c>
      <c r="I45" t="s">
        <v>3819</v>
      </c>
    </row>
    <row r="46" spans="1:9">
      <c r="A46" s="92" t="s">
        <v>4324</v>
      </c>
      <c r="B46" t="s">
        <v>1916</v>
      </c>
      <c r="C46" t="s">
        <v>2334</v>
      </c>
      <c r="D46" t="s">
        <v>2291</v>
      </c>
      <c r="E46" t="s">
        <v>2311</v>
      </c>
      <c r="F46" t="s">
        <v>2335</v>
      </c>
      <c r="G46" t="s">
        <v>4328</v>
      </c>
      <c r="H46" t="s">
        <v>2312</v>
      </c>
      <c r="I46" t="s">
        <v>3819</v>
      </c>
    </row>
    <row r="47" spans="1:9">
      <c r="A47" s="92" t="s">
        <v>4324</v>
      </c>
      <c r="B47" t="s">
        <v>1916</v>
      </c>
      <c r="C47" t="s">
        <v>2336</v>
      </c>
      <c r="D47" t="s">
        <v>2291</v>
      </c>
      <c r="E47" t="s">
        <v>552</v>
      </c>
      <c r="F47" t="s">
        <v>2337</v>
      </c>
      <c r="G47" t="s">
        <v>4333</v>
      </c>
      <c r="I47" t="s">
        <v>3819</v>
      </c>
    </row>
    <row r="48" spans="1:9">
      <c r="A48" s="92" t="s">
        <v>4324</v>
      </c>
      <c r="B48" t="s">
        <v>1920</v>
      </c>
      <c r="C48" t="s">
        <v>2339</v>
      </c>
      <c r="E48" t="s">
        <v>2285</v>
      </c>
      <c r="F48" t="s">
        <v>2340</v>
      </c>
      <c r="G48" t="s">
        <v>4328</v>
      </c>
      <c r="H48" t="s">
        <v>2287</v>
      </c>
      <c r="I48" t="s">
        <v>3827</v>
      </c>
    </row>
    <row r="49" spans="1:9">
      <c r="A49" s="92" t="s">
        <v>4324</v>
      </c>
      <c r="B49" t="s">
        <v>1920</v>
      </c>
      <c r="C49" t="s">
        <v>2341</v>
      </c>
      <c r="D49" t="s">
        <v>2342</v>
      </c>
      <c r="E49" t="s">
        <v>2343</v>
      </c>
      <c r="F49" t="s">
        <v>2344</v>
      </c>
      <c r="G49" t="s">
        <v>4325</v>
      </c>
      <c r="I49" t="s">
        <v>3827</v>
      </c>
    </row>
    <row r="50" spans="1:9">
      <c r="A50" s="92" t="s">
        <v>4324</v>
      </c>
      <c r="B50" t="s">
        <v>1920</v>
      </c>
      <c r="C50" t="s">
        <v>2345</v>
      </c>
      <c r="D50" t="s">
        <v>2346</v>
      </c>
      <c r="E50" t="s">
        <v>2285</v>
      </c>
      <c r="F50" t="s">
        <v>2347</v>
      </c>
      <c r="G50" t="s">
        <v>4328</v>
      </c>
      <c r="H50" t="s">
        <v>2287</v>
      </c>
      <c r="I50" t="s">
        <v>3827</v>
      </c>
    </row>
    <row r="51" spans="1:9">
      <c r="A51" s="92" t="s">
        <v>4324</v>
      </c>
      <c r="B51" t="s">
        <v>1920</v>
      </c>
      <c r="C51" t="s">
        <v>2348</v>
      </c>
      <c r="E51" t="s">
        <v>2292</v>
      </c>
      <c r="G51" t="s">
        <v>4328</v>
      </c>
      <c r="H51" t="s">
        <v>2293</v>
      </c>
      <c r="I51" t="s">
        <v>3827</v>
      </c>
    </row>
    <row r="52" spans="1:9">
      <c r="A52" s="92" t="s">
        <v>4334</v>
      </c>
      <c r="B52" t="s">
        <v>1875</v>
      </c>
      <c r="C52" t="s">
        <v>2247</v>
      </c>
      <c r="D52" t="s">
        <v>2248</v>
      </c>
      <c r="G52" t="s">
        <v>4325</v>
      </c>
      <c r="I52" t="s">
        <v>3756</v>
      </c>
    </row>
    <row r="53" spans="1:9">
      <c r="A53" s="92" t="s">
        <v>4334</v>
      </c>
      <c r="B53" t="s">
        <v>1875</v>
      </c>
      <c r="C53" t="s">
        <v>2252</v>
      </c>
      <c r="D53" t="s">
        <v>2248</v>
      </c>
      <c r="G53" t="s">
        <v>4325</v>
      </c>
      <c r="I53" t="s">
        <v>3756</v>
      </c>
    </row>
    <row r="54" spans="1:9">
      <c r="A54" s="92" t="s">
        <v>4334</v>
      </c>
      <c r="B54" t="s">
        <v>1878</v>
      </c>
      <c r="C54" t="s">
        <v>2254</v>
      </c>
      <c r="D54" t="s">
        <v>2248</v>
      </c>
      <c r="G54" t="s">
        <v>4326</v>
      </c>
      <c r="I54" t="s">
        <v>3760</v>
      </c>
    </row>
    <row r="55" spans="1:9">
      <c r="A55" s="92" t="s">
        <v>4334</v>
      </c>
      <c r="B55" t="s">
        <v>1878</v>
      </c>
      <c r="C55" t="s">
        <v>2256</v>
      </c>
      <c r="D55" t="s">
        <v>2257</v>
      </c>
      <c r="G55" t="s">
        <v>4325</v>
      </c>
      <c r="I55" t="s">
        <v>3760</v>
      </c>
    </row>
    <row r="56" spans="1:9">
      <c r="A56" s="92" t="s">
        <v>4334</v>
      </c>
      <c r="B56" t="s">
        <v>1878</v>
      </c>
      <c r="C56" t="s">
        <v>2258</v>
      </c>
      <c r="D56" t="s">
        <v>2257</v>
      </c>
      <c r="G56" t="s">
        <v>4325</v>
      </c>
      <c r="I56" t="s">
        <v>3760</v>
      </c>
    </row>
    <row r="57" spans="1:9">
      <c r="A57" s="92" t="s">
        <v>4334</v>
      </c>
      <c r="B57" t="s">
        <v>1878</v>
      </c>
      <c r="C57" t="s">
        <v>2259</v>
      </c>
      <c r="D57" t="s">
        <v>2248</v>
      </c>
      <c r="G57" t="s">
        <v>4326</v>
      </c>
      <c r="I57" t="s">
        <v>3760</v>
      </c>
    </row>
    <row r="58" spans="1:9">
      <c r="A58" s="92" t="s">
        <v>4334</v>
      </c>
      <c r="B58" t="s">
        <v>1878</v>
      </c>
      <c r="C58" t="s">
        <v>2260</v>
      </c>
      <c r="D58" t="s">
        <v>2257</v>
      </c>
      <c r="G58" t="s">
        <v>4325</v>
      </c>
      <c r="I58" t="s">
        <v>3760</v>
      </c>
    </row>
    <row r="59" spans="1:9">
      <c r="A59" s="92" t="s">
        <v>4334</v>
      </c>
      <c r="B59" t="s">
        <v>1878</v>
      </c>
      <c r="C59" t="s">
        <v>2261</v>
      </c>
      <c r="D59" t="s">
        <v>2248</v>
      </c>
      <c r="G59" t="s">
        <v>4325</v>
      </c>
      <c r="I59" t="s">
        <v>3760</v>
      </c>
    </row>
    <row r="60" spans="1:9">
      <c r="A60" s="92" t="s">
        <v>4334</v>
      </c>
      <c r="B60" t="s">
        <v>1878</v>
      </c>
      <c r="C60" t="s">
        <v>2262</v>
      </c>
      <c r="D60" t="s">
        <v>2248</v>
      </c>
      <c r="G60" t="s">
        <v>4326</v>
      </c>
      <c r="I60" t="s">
        <v>3760</v>
      </c>
    </row>
    <row r="61" spans="1:9">
      <c r="A61" s="92" t="s">
        <v>4334</v>
      </c>
      <c r="B61" t="s">
        <v>1878</v>
      </c>
      <c r="C61" t="s">
        <v>2263</v>
      </c>
      <c r="D61" t="s">
        <v>2248</v>
      </c>
      <c r="G61" t="s">
        <v>4326</v>
      </c>
      <c r="I61" t="s">
        <v>3760</v>
      </c>
    </row>
    <row r="62" spans="1:9">
      <c r="A62" s="92" t="s">
        <v>4334</v>
      </c>
      <c r="B62" t="s">
        <v>1878</v>
      </c>
      <c r="C62" t="s">
        <v>2264</v>
      </c>
      <c r="D62" t="s">
        <v>2248</v>
      </c>
      <c r="G62" t="s">
        <v>4326</v>
      </c>
      <c r="I62" t="s">
        <v>3760</v>
      </c>
    </row>
    <row r="63" spans="1:9">
      <c r="A63" s="92" t="s">
        <v>4334</v>
      </c>
      <c r="B63" t="s">
        <v>1878</v>
      </c>
      <c r="C63" t="s">
        <v>2265</v>
      </c>
      <c r="D63" t="s">
        <v>2257</v>
      </c>
      <c r="G63" t="s">
        <v>4326</v>
      </c>
      <c r="I63" t="s">
        <v>3760</v>
      </c>
    </row>
    <row r="64" spans="1:9">
      <c r="A64" s="92" t="s">
        <v>4334</v>
      </c>
      <c r="B64" t="s">
        <v>1884</v>
      </c>
      <c r="C64" t="s">
        <v>2267</v>
      </c>
      <c r="D64" t="s">
        <v>2248</v>
      </c>
      <c r="G64" t="s">
        <v>4325</v>
      </c>
      <c r="I64" t="s">
        <v>3768</v>
      </c>
    </row>
    <row r="65" spans="1:9">
      <c r="A65" s="92" t="s">
        <v>4334</v>
      </c>
      <c r="B65" t="s">
        <v>1890</v>
      </c>
      <c r="C65" t="s">
        <v>2269</v>
      </c>
      <c r="D65" t="s">
        <v>2248</v>
      </c>
      <c r="G65" t="s">
        <v>4325</v>
      </c>
      <c r="I65" t="s">
        <v>3776</v>
      </c>
    </row>
    <row r="66" spans="1:9">
      <c r="A66" s="92" t="s">
        <v>4334</v>
      </c>
      <c r="B66" t="s">
        <v>1890</v>
      </c>
      <c r="C66" t="s">
        <v>2270</v>
      </c>
      <c r="D66" t="s">
        <v>2248</v>
      </c>
      <c r="G66" t="s">
        <v>4325</v>
      </c>
      <c r="I66" t="s">
        <v>3776</v>
      </c>
    </row>
    <row r="67" spans="1:9">
      <c r="A67" s="92" t="s">
        <v>4334</v>
      </c>
      <c r="B67" t="s">
        <v>1890</v>
      </c>
      <c r="C67" t="s">
        <v>2271</v>
      </c>
      <c r="D67" t="s">
        <v>2248</v>
      </c>
      <c r="G67" t="s">
        <v>4325</v>
      </c>
      <c r="I67" t="s">
        <v>3776</v>
      </c>
    </row>
    <row r="68" spans="1:9">
      <c r="A68" s="92" t="s">
        <v>4334</v>
      </c>
      <c r="B68" t="s">
        <v>1890</v>
      </c>
      <c r="C68" t="s">
        <v>2272</v>
      </c>
      <c r="D68" t="s">
        <v>2248</v>
      </c>
      <c r="G68" t="s">
        <v>4325</v>
      </c>
      <c r="I68" t="s">
        <v>3776</v>
      </c>
    </row>
    <row r="69" spans="1:9">
      <c r="A69" s="92" t="s">
        <v>4334</v>
      </c>
      <c r="B69" t="s">
        <v>1890</v>
      </c>
      <c r="C69" t="s">
        <v>2273</v>
      </c>
      <c r="D69" t="s">
        <v>2248</v>
      </c>
      <c r="G69" t="s">
        <v>4325</v>
      </c>
      <c r="I69" t="s">
        <v>3776</v>
      </c>
    </row>
    <row r="70" spans="1:9">
      <c r="A70" s="92" t="s">
        <v>4334</v>
      </c>
      <c r="B70" t="s">
        <v>1890</v>
      </c>
      <c r="C70" t="s">
        <v>2274</v>
      </c>
      <c r="D70" t="s">
        <v>2248</v>
      </c>
      <c r="G70" t="s">
        <v>4325</v>
      </c>
      <c r="I70" t="s">
        <v>3776</v>
      </c>
    </row>
    <row r="71" spans="1:9">
      <c r="A71" s="92" t="s">
        <v>4334</v>
      </c>
      <c r="B71" t="s">
        <v>1890</v>
      </c>
      <c r="C71" t="s">
        <v>2275</v>
      </c>
      <c r="D71" t="s">
        <v>2248</v>
      </c>
      <c r="G71" t="s">
        <v>4325</v>
      </c>
      <c r="I71" t="s">
        <v>3776</v>
      </c>
    </row>
    <row r="72" spans="1:9">
      <c r="A72" s="92" t="s">
        <v>4334</v>
      </c>
      <c r="B72" t="s">
        <v>1890</v>
      </c>
      <c r="C72" t="s">
        <v>2276</v>
      </c>
      <c r="D72" t="s">
        <v>2248</v>
      </c>
      <c r="G72" t="s">
        <v>4325</v>
      </c>
      <c r="I72" t="s">
        <v>3776</v>
      </c>
    </row>
    <row r="73" spans="1:9">
      <c r="A73" s="92" t="s">
        <v>4334</v>
      </c>
      <c r="B73" t="s">
        <v>1892</v>
      </c>
      <c r="C73" t="s">
        <v>2278</v>
      </c>
      <c r="D73" t="s">
        <v>2279</v>
      </c>
      <c r="G73" t="s">
        <v>4327</v>
      </c>
      <c r="I73" t="s">
        <v>3780</v>
      </c>
    </row>
    <row r="74" spans="1:9">
      <c r="A74" s="92" t="s">
        <v>4334</v>
      </c>
      <c r="B74" t="s">
        <v>1892</v>
      </c>
      <c r="C74" t="s">
        <v>2281</v>
      </c>
      <c r="D74" t="s">
        <v>2248</v>
      </c>
      <c r="G74" t="s">
        <v>4325</v>
      </c>
      <c r="I74" t="s">
        <v>3780</v>
      </c>
    </row>
    <row r="75" spans="1:9">
      <c r="A75" s="92" t="s">
        <v>4334</v>
      </c>
      <c r="B75" t="s">
        <v>1894</v>
      </c>
      <c r="C75" t="s">
        <v>2355</v>
      </c>
      <c r="D75" t="s">
        <v>2356</v>
      </c>
      <c r="E75" t="s">
        <v>1565</v>
      </c>
      <c r="F75" t="s">
        <v>2358</v>
      </c>
      <c r="G75" t="s">
        <v>4335</v>
      </c>
      <c r="H75" t="s">
        <v>552</v>
      </c>
      <c r="I75" t="s">
        <v>3787</v>
      </c>
    </row>
    <row r="76" spans="1:9">
      <c r="A76" s="92" t="s">
        <v>4334</v>
      </c>
      <c r="B76" t="s">
        <v>1895</v>
      </c>
      <c r="C76" t="s">
        <v>2290</v>
      </c>
      <c r="D76" t="s">
        <v>2291</v>
      </c>
      <c r="E76" t="s">
        <v>2292</v>
      </c>
      <c r="G76" t="s">
        <v>4336</v>
      </c>
      <c r="H76" t="s">
        <v>2360</v>
      </c>
      <c r="I76" t="s">
        <v>3791</v>
      </c>
    </row>
    <row r="77" spans="1:9">
      <c r="A77" s="92" t="s">
        <v>4334</v>
      </c>
      <c r="B77" t="s">
        <v>3567</v>
      </c>
      <c r="C77" t="s">
        <v>2362</v>
      </c>
      <c r="D77" t="s">
        <v>2363</v>
      </c>
      <c r="E77" t="s">
        <v>2364</v>
      </c>
      <c r="G77" t="s">
        <v>4337</v>
      </c>
      <c r="H77" t="s">
        <v>2365</v>
      </c>
      <c r="I77" t="s">
        <v>3795</v>
      </c>
    </row>
    <row r="78" spans="1:9">
      <c r="A78" s="92" t="s">
        <v>4334</v>
      </c>
      <c r="B78" t="s">
        <v>1901</v>
      </c>
      <c r="C78" t="s">
        <v>2367</v>
      </c>
      <c r="D78" t="s">
        <v>2325</v>
      </c>
      <c r="E78" t="s">
        <v>2368</v>
      </c>
      <c r="G78" t="s">
        <v>4337</v>
      </c>
      <c r="H78" t="s">
        <v>2365</v>
      </c>
      <c r="I78" t="s">
        <v>3799</v>
      </c>
    </row>
    <row r="79" spans="1:9">
      <c r="A79" s="92" t="s">
        <v>4334</v>
      </c>
      <c r="B79" t="s">
        <v>1901</v>
      </c>
      <c r="C79" t="s">
        <v>2369</v>
      </c>
      <c r="E79" t="s">
        <v>552</v>
      </c>
      <c r="F79" t="s">
        <v>2370</v>
      </c>
      <c r="G79" t="s">
        <v>4335</v>
      </c>
      <c r="H79" t="s">
        <v>552</v>
      </c>
      <c r="I79" t="s">
        <v>3799</v>
      </c>
    </row>
    <row r="80" spans="1:9">
      <c r="A80" s="92" t="s">
        <v>4334</v>
      </c>
      <c r="B80" t="s">
        <v>1903</v>
      </c>
      <c r="C80" t="s">
        <v>2295</v>
      </c>
      <c r="D80" t="s">
        <v>2296</v>
      </c>
      <c r="E80" t="s">
        <v>2297</v>
      </c>
      <c r="G80" t="s">
        <v>4336</v>
      </c>
      <c r="H80" t="s">
        <v>2360</v>
      </c>
      <c r="I80" t="s">
        <v>3803</v>
      </c>
    </row>
    <row r="81" spans="1:9">
      <c r="A81" s="92" t="s">
        <v>4334</v>
      </c>
      <c r="B81" t="s">
        <v>1903</v>
      </c>
      <c r="C81" t="s">
        <v>2298</v>
      </c>
      <c r="D81" t="s">
        <v>2296</v>
      </c>
      <c r="E81" t="s">
        <v>2292</v>
      </c>
      <c r="G81" t="s">
        <v>4336</v>
      </c>
      <c r="H81" t="s">
        <v>2360</v>
      </c>
      <c r="I81" t="s">
        <v>3803</v>
      </c>
    </row>
    <row r="82" spans="1:9">
      <c r="A82" s="92" t="s">
        <v>4334</v>
      </c>
      <c r="B82" t="s">
        <v>1903</v>
      </c>
      <c r="C82" t="s">
        <v>2299</v>
      </c>
      <c r="D82" t="s">
        <v>2296</v>
      </c>
      <c r="E82" t="s">
        <v>2292</v>
      </c>
      <c r="G82" t="s">
        <v>4336</v>
      </c>
      <c r="H82" t="s">
        <v>2360</v>
      </c>
      <c r="I82" t="s">
        <v>3803</v>
      </c>
    </row>
    <row r="83" spans="1:9">
      <c r="A83" s="92" t="s">
        <v>4334</v>
      </c>
      <c r="B83" t="s">
        <v>1903</v>
      </c>
      <c r="C83" t="s">
        <v>2300</v>
      </c>
      <c r="D83" t="s">
        <v>2301</v>
      </c>
      <c r="E83" t="s">
        <v>2292</v>
      </c>
      <c r="G83" t="s">
        <v>4336</v>
      </c>
      <c r="H83" t="s">
        <v>2360</v>
      </c>
      <c r="I83" t="s">
        <v>3803</v>
      </c>
    </row>
    <row r="84" spans="1:9">
      <c r="A84" s="92" t="s">
        <v>4334</v>
      </c>
      <c r="B84" t="s">
        <v>1903</v>
      </c>
      <c r="C84" t="s">
        <v>2302</v>
      </c>
      <c r="E84" t="s">
        <v>2292</v>
      </c>
      <c r="G84" t="s">
        <v>4336</v>
      </c>
      <c r="H84" t="s">
        <v>2360</v>
      </c>
      <c r="I84" t="s">
        <v>3803</v>
      </c>
    </row>
    <row r="85" spans="1:9">
      <c r="A85" s="92" t="s">
        <v>4334</v>
      </c>
      <c r="B85" t="s">
        <v>1903</v>
      </c>
      <c r="C85" t="s">
        <v>2303</v>
      </c>
      <c r="E85" t="s">
        <v>2292</v>
      </c>
      <c r="G85" t="s">
        <v>4336</v>
      </c>
      <c r="H85" t="s">
        <v>2360</v>
      </c>
      <c r="I85" t="s">
        <v>3803</v>
      </c>
    </row>
    <row r="86" spans="1:9">
      <c r="A86" s="92" t="s">
        <v>4334</v>
      </c>
      <c r="B86" t="s">
        <v>1903</v>
      </c>
      <c r="C86" t="s">
        <v>2304</v>
      </c>
      <c r="E86" t="s">
        <v>2292</v>
      </c>
      <c r="G86" t="s">
        <v>4336</v>
      </c>
      <c r="H86" t="s">
        <v>2360</v>
      </c>
      <c r="I86" t="s">
        <v>3803</v>
      </c>
    </row>
    <row r="87" spans="1:9">
      <c r="A87" s="92" t="s">
        <v>4334</v>
      </c>
      <c r="B87" t="s">
        <v>1905</v>
      </c>
      <c r="C87" t="s">
        <v>2310</v>
      </c>
      <c r="D87" t="s">
        <v>2291</v>
      </c>
      <c r="E87" t="s">
        <v>2311</v>
      </c>
      <c r="G87" t="s">
        <v>4336</v>
      </c>
      <c r="H87" t="s">
        <v>2373</v>
      </c>
      <c r="I87" t="s">
        <v>3805</v>
      </c>
    </row>
    <row r="88" spans="1:9">
      <c r="A88" s="92" t="s">
        <v>4334</v>
      </c>
      <c r="B88" t="s">
        <v>1905</v>
      </c>
      <c r="C88" t="s">
        <v>2313</v>
      </c>
      <c r="D88" t="s">
        <v>2291</v>
      </c>
      <c r="E88" t="s">
        <v>2292</v>
      </c>
      <c r="G88" t="s">
        <v>4336</v>
      </c>
      <c r="H88" t="s">
        <v>2360</v>
      </c>
      <c r="I88" t="s">
        <v>3805</v>
      </c>
    </row>
    <row r="89" spans="1:9">
      <c r="A89" s="92" t="s">
        <v>4334</v>
      </c>
      <c r="B89" t="s">
        <v>1905</v>
      </c>
      <c r="C89" t="s">
        <v>2314</v>
      </c>
      <c r="D89" t="s">
        <v>2291</v>
      </c>
      <c r="E89" t="s">
        <v>2292</v>
      </c>
      <c r="G89" t="s">
        <v>4336</v>
      </c>
      <c r="H89" t="s">
        <v>2360</v>
      </c>
      <c r="I89" t="s">
        <v>3805</v>
      </c>
    </row>
    <row r="90" spans="1:9">
      <c r="A90" s="92" t="s">
        <v>4334</v>
      </c>
      <c r="B90" t="s">
        <v>1908</v>
      </c>
      <c r="C90" t="s">
        <v>2375</v>
      </c>
      <c r="E90" t="s">
        <v>2376</v>
      </c>
      <c r="G90" t="s">
        <v>4335</v>
      </c>
      <c r="H90" t="s">
        <v>552</v>
      </c>
      <c r="I90" t="s">
        <v>3807</v>
      </c>
    </row>
    <row r="91" spans="1:9">
      <c r="A91" s="92" t="s">
        <v>4334</v>
      </c>
      <c r="B91" t="s">
        <v>1908</v>
      </c>
      <c r="C91" t="s">
        <v>2316</v>
      </c>
      <c r="D91" t="s">
        <v>2291</v>
      </c>
      <c r="E91" t="s">
        <v>2292</v>
      </c>
      <c r="G91" t="s">
        <v>4336</v>
      </c>
      <c r="H91" t="s">
        <v>2360</v>
      </c>
      <c r="I91" t="s">
        <v>3807</v>
      </c>
    </row>
    <row r="92" spans="1:9">
      <c r="A92" s="92" t="s">
        <v>4334</v>
      </c>
      <c r="B92" t="s">
        <v>1911</v>
      </c>
      <c r="C92" t="s">
        <v>2378</v>
      </c>
      <c r="D92" t="s">
        <v>2379</v>
      </c>
      <c r="E92" t="s">
        <v>552</v>
      </c>
      <c r="F92" t="s">
        <v>2380</v>
      </c>
      <c r="G92" t="s">
        <v>4335</v>
      </c>
      <c r="H92" t="s">
        <v>552</v>
      </c>
      <c r="I92" t="s">
        <v>3815</v>
      </c>
    </row>
    <row r="93" spans="1:9">
      <c r="A93" s="92" t="s">
        <v>4334</v>
      </c>
      <c r="B93" t="s">
        <v>1911</v>
      </c>
      <c r="C93" t="s">
        <v>2381</v>
      </c>
      <c r="D93" t="s">
        <v>2382</v>
      </c>
      <c r="E93" t="s">
        <v>2383</v>
      </c>
      <c r="F93" t="s">
        <v>2384</v>
      </c>
      <c r="G93" t="s">
        <v>4335</v>
      </c>
      <c r="H93" t="s">
        <v>552</v>
      </c>
      <c r="I93" t="s">
        <v>3815</v>
      </c>
    </row>
    <row r="94" spans="1:9">
      <c r="A94" s="92" t="s">
        <v>4334</v>
      </c>
      <c r="B94" t="s">
        <v>1911</v>
      </c>
      <c r="C94" t="s">
        <v>2324</v>
      </c>
      <c r="D94" t="s">
        <v>2325</v>
      </c>
      <c r="G94" t="s">
        <v>4330</v>
      </c>
      <c r="I94" t="s">
        <v>3815</v>
      </c>
    </row>
    <row r="95" spans="1:9">
      <c r="A95" s="92" t="s">
        <v>4334</v>
      </c>
      <c r="B95" t="s">
        <v>1911</v>
      </c>
      <c r="C95" t="s">
        <v>2327</v>
      </c>
      <c r="D95" t="s">
        <v>2325</v>
      </c>
      <c r="G95" t="s">
        <v>4330</v>
      </c>
      <c r="I95" t="s">
        <v>3815</v>
      </c>
    </row>
    <row r="96" spans="1:9">
      <c r="A96" s="92" t="s">
        <v>4334</v>
      </c>
      <c r="B96" t="s">
        <v>1911</v>
      </c>
      <c r="C96" t="s">
        <v>2328</v>
      </c>
      <c r="D96" t="s">
        <v>2325</v>
      </c>
      <c r="E96" t="s">
        <v>2329</v>
      </c>
      <c r="F96" t="s">
        <v>2331</v>
      </c>
      <c r="G96" t="s">
        <v>4331</v>
      </c>
      <c r="I96" t="s">
        <v>3815</v>
      </c>
    </row>
    <row r="97" spans="1:9">
      <c r="A97" s="92" t="s">
        <v>4334</v>
      </c>
      <c r="B97" t="s">
        <v>1916</v>
      </c>
      <c r="C97" t="s">
        <v>2334</v>
      </c>
      <c r="D97" t="s">
        <v>2291</v>
      </c>
      <c r="E97" t="s">
        <v>2311</v>
      </c>
      <c r="F97" t="s">
        <v>2335</v>
      </c>
      <c r="G97" t="s">
        <v>4332</v>
      </c>
      <c r="I97" t="s">
        <v>3819</v>
      </c>
    </row>
    <row r="98" spans="1:9">
      <c r="A98" s="92" t="s">
        <v>4334</v>
      </c>
      <c r="B98" t="s">
        <v>1916</v>
      </c>
      <c r="C98" t="s">
        <v>2334</v>
      </c>
      <c r="D98" t="s">
        <v>2291</v>
      </c>
      <c r="E98" t="s">
        <v>2311</v>
      </c>
      <c r="F98" t="s">
        <v>2335</v>
      </c>
      <c r="G98" t="s">
        <v>4336</v>
      </c>
      <c r="H98" t="s">
        <v>2373</v>
      </c>
      <c r="I98" t="s">
        <v>3819</v>
      </c>
    </row>
    <row r="99" spans="1:9">
      <c r="A99" s="92" t="s">
        <v>4334</v>
      </c>
      <c r="B99" t="s">
        <v>1916</v>
      </c>
      <c r="C99" t="s">
        <v>2336</v>
      </c>
      <c r="D99" t="s">
        <v>2291</v>
      </c>
      <c r="E99" t="s">
        <v>552</v>
      </c>
      <c r="F99" t="s">
        <v>2337</v>
      </c>
      <c r="G99" t="s">
        <v>4333</v>
      </c>
      <c r="I99" t="s">
        <v>3819</v>
      </c>
    </row>
    <row r="100" spans="1:9">
      <c r="A100" s="92" t="s">
        <v>4334</v>
      </c>
      <c r="B100" t="s">
        <v>1916</v>
      </c>
      <c r="C100" t="s">
        <v>2336</v>
      </c>
      <c r="D100" t="s">
        <v>2291</v>
      </c>
      <c r="E100" t="s">
        <v>552</v>
      </c>
      <c r="F100" t="s">
        <v>2337</v>
      </c>
      <c r="G100" t="s">
        <v>4335</v>
      </c>
      <c r="H100" t="s">
        <v>552</v>
      </c>
      <c r="I100" t="s">
        <v>3819</v>
      </c>
    </row>
    <row r="101" spans="1:9">
      <c r="A101" s="92" t="s">
        <v>4334</v>
      </c>
      <c r="B101" t="s">
        <v>1916</v>
      </c>
      <c r="C101" t="s">
        <v>2386</v>
      </c>
      <c r="D101" t="s">
        <v>2291</v>
      </c>
      <c r="E101" t="s">
        <v>552</v>
      </c>
      <c r="F101" t="s">
        <v>2387</v>
      </c>
      <c r="G101" t="s">
        <v>4335</v>
      </c>
      <c r="H101" t="s">
        <v>552</v>
      </c>
      <c r="I101" t="s">
        <v>3819</v>
      </c>
    </row>
    <row r="102" spans="1:9">
      <c r="A102" s="92" t="s">
        <v>4334</v>
      </c>
      <c r="B102" t="s">
        <v>1918</v>
      </c>
      <c r="C102" t="s">
        <v>2389</v>
      </c>
      <c r="E102" t="s">
        <v>552</v>
      </c>
      <c r="G102" t="s">
        <v>4335</v>
      </c>
      <c r="H102" t="s">
        <v>552</v>
      </c>
      <c r="I102" t="s">
        <v>3823</v>
      </c>
    </row>
    <row r="103" spans="1:9">
      <c r="A103" s="92" t="s">
        <v>4334</v>
      </c>
      <c r="B103" t="s">
        <v>1920</v>
      </c>
      <c r="C103" t="s">
        <v>2341</v>
      </c>
      <c r="D103" t="s">
        <v>2342</v>
      </c>
      <c r="E103" t="s">
        <v>2343</v>
      </c>
      <c r="F103" t="s">
        <v>2344</v>
      </c>
      <c r="G103" t="s">
        <v>4325</v>
      </c>
      <c r="I103" t="s">
        <v>3827</v>
      </c>
    </row>
    <row r="104" spans="1:9">
      <c r="A104" s="92" t="s">
        <v>4334</v>
      </c>
      <c r="B104" t="s">
        <v>1920</v>
      </c>
      <c r="C104" t="s">
        <v>2348</v>
      </c>
      <c r="E104" t="s">
        <v>2292</v>
      </c>
      <c r="G104" t="s">
        <v>4336</v>
      </c>
      <c r="H104" t="s">
        <v>2360</v>
      </c>
      <c r="I104" t="s">
        <v>3827</v>
      </c>
    </row>
    <row r="105" spans="1:9">
      <c r="A105" s="92" t="s">
        <v>4338</v>
      </c>
      <c r="B105" t="s">
        <v>1875</v>
      </c>
      <c r="C105" t="s">
        <v>2247</v>
      </c>
      <c r="D105" t="s">
        <v>2248</v>
      </c>
      <c r="G105" t="s">
        <v>4325</v>
      </c>
      <c r="I105" t="s">
        <v>3756</v>
      </c>
    </row>
    <row r="106" spans="1:9">
      <c r="A106" s="92" t="s">
        <v>4338</v>
      </c>
      <c r="B106" t="s">
        <v>1875</v>
      </c>
      <c r="C106" t="s">
        <v>2252</v>
      </c>
      <c r="D106" t="s">
        <v>2248</v>
      </c>
      <c r="G106" t="s">
        <v>4325</v>
      </c>
      <c r="I106" t="s">
        <v>3756</v>
      </c>
    </row>
    <row r="107" spans="1:9">
      <c r="A107" s="92" t="s">
        <v>4338</v>
      </c>
      <c r="B107" t="s">
        <v>1878</v>
      </c>
      <c r="C107" t="s">
        <v>2254</v>
      </c>
      <c r="D107" t="s">
        <v>2248</v>
      </c>
      <c r="G107" t="s">
        <v>4326</v>
      </c>
      <c r="I107" t="s">
        <v>3760</v>
      </c>
    </row>
    <row r="108" spans="1:9">
      <c r="A108" s="92" t="s">
        <v>4338</v>
      </c>
      <c r="B108" t="s">
        <v>1878</v>
      </c>
      <c r="C108" t="s">
        <v>2256</v>
      </c>
      <c r="D108" t="s">
        <v>2257</v>
      </c>
      <c r="G108" t="s">
        <v>4325</v>
      </c>
      <c r="I108" t="s">
        <v>3760</v>
      </c>
    </row>
    <row r="109" spans="1:9">
      <c r="A109" s="92" t="s">
        <v>4338</v>
      </c>
      <c r="B109" t="s">
        <v>1878</v>
      </c>
      <c r="C109" t="s">
        <v>2258</v>
      </c>
      <c r="D109" t="s">
        <v>2257</v>
      </c>
      <c r="G109" t="s">
        <v>4325</v>
      </c>
      <c r="I109" t="s">
        <v>3760</v>
      </c>
    </row>
    <row r="110" spans="1:9">
      <c r="A110" s="92" t="s">
        <v>4338</v>
      </c>
      <c r="B110" t="s">
        <v>1878</v>
      </c>
      <c r="C110" t="s">
        <v>2259</v>
      </c>
      <c r="D110" t="s">
        <v>2248</v>
      </c>
      <c r="G110" t="s">
        <v>4326</v>
      </c>
      <c r="I110" t="s">
        <v>3760</v>
      </c>
    </row>
    <row r="111" spans="1:9">
      <c r="A111" s="92" t="s">
        <v>4338</v>
      </c>
      <c r="B111" t="s">
        <v>1878</v>
      </c>
      <c r="C111" t="s">
        <v>2260</v>
      </c>
      <c r="D111" t="s">
        <v>2257</v>
      </c>
      <c r="G111" t="s">
        <v>4325</v>
      </c>
      <c r="I111" t="s">
        <v>3760</v>
      </c>
    </row>
    <row r="112" spans="1:9">
      <c r="A112" s="92" t="s">
        <v>4338</v>
      </c>
      <c r="B112" t="s">
        <v>1878</v>
      </c>
      <c r="C112" t="s">
        <v>2261</v>
      </c>
      <c r="D112" t="s">
        <v>2248</v>
      </c>
      <c r="G112" t="s">
        <v>4325</v>
      </c>
      <c r="I112" t="s">
        <v>3760</v>
      </c>
    </row>
    <row r="113" spans="1:9">
      <c r="A113" s="92" t="s">
        <v>4338</v>
      </c>
      <c r="B113" t="s">
        <v>1878</v>
      </c>
      <c r="C113" t="s">
        <v>2262</v>
      </c>
      <c r="D113" t="s">
        <v>2248</v>
      </c>
      <c r="G113" t="s">
        <v>4326</v>
      </c>
      <c r="I113" t="s">
        <v>3760</v>
      </c>
    </row>
    <row r="114" spans="1:9">
      <c r="A114" s="92" t="s">
        <v>4338</v>
      </c>
      <c r="B114" t="s">
        <v>1878</v>
      </c>
      <c r="C114" t="s">
        <v>2263</v>
      </c>
      <c r="D114" t="s">
        <v>2248</v>
      </c>
      <c r="G114" t="s">
        <v>4326</v>
      </c>
      <c r="I114" t="s">
        <v>3760</v>
      </c>
    </row>
    <row r="115" spans="1:9">
      <c r="A115" s="92" t="s">
        <v>4338</v>
      </c>
      <c r="B115" t="s">
        <v>1878</v>
      </c>
      <c r="C115" t="s">
        <v>2264</v>
      </c>
      <c r="D115" t="s">
        <v>2248</v>
      </c>
      <c r="G115" t="s">
        <v>4326</v>
      </c>
      <c r="I115" t="s">
        <v>3760</v>
      </c>
    </row>
    <row r="116" spans="1:9">
      <c r="A116" s="92" t="s">
        <v>4338</v>
      </c>
      <c r="B116" t="s">
        <v>1878</v>
      </c>
      <c r="C116" t="s">
        <v>2265</v>
      </c>
      <c r="D116" t="s">
        <v>2257</v>
      </c>
      <c r="G116" t="s">
        <v>4326</v>
      </c>
      <c r="I116" t="s">
        <v>3760</v>
      </c>
    </row>
    <row r="117" spans="1:9">
      <c r="A117" s="92" t="s">
        <v>4338</v>
      </c>
      <c r="B117" t="s">
        <v>1884</v>
      </c>
      <c r="C117" t="s">
        <v>2267</v>
      </c>
      <c r="D117" t="s">
        <v>2248</v>
      </c>
      <c r="G117" t="s">
        <v>4325</v>
      </c>
      <c r="I117" t="s">
        <v>3768</v>
      </c>
    </row>
    <row r="118" spans="1:9">
      <c r="A118" s="92" t="s">
        <v>4338</v>
      </c>
      <c r="B118" t="s">
        <v>1890</v>
      </c>
      <c r="C118" t="s">
        <v>2269</v>
      </c>
      <c r="D118" t="s">
        <v>2248</v>
      </c>
      <c r="G118" t="s">
        <v>4325</v>
      </c>
      <c r="I118" t="s">
        <v>3776</v>
      </c>
    </row>
    <row r="119" spans="1:9">
      <c r="A119" s="92" t="s">
        <v>4338</v>
      </c>
      <c r="B119" t="s">
        <v>1890</v>
      </c>
      <c r="C119" t="s">
        <v>2270</v>
      </c>
      <c r="D119" t="s">
        <v>2248</v>
      </c>
      <c r="G119" t="s">
        <v>4325</v>
      </c>
      <c r="I119" t="s">
        <v>3776</v>
      </c>
    </row>
    <row r="120" spans="1:9">
      <c r="A120" s="92" t="s">
        <v>4338</v>
      </c>
      <c r="B120" t="s">
        <v>1890</v>
      </c>
      <c r="C120" t="s">
        <v>2271</v>
      </c>
      <c r="D120" t="s">
        <v>2248</v>
      </c>
      <c r="G120" t="s">
        <v>4325</v>
      </c>
      <c r="I120" t="s">
        <v>3776</v>
      </c>
    </row>
    <row r="121" spans="1:9">
      <c r="A121" s="92" t="s">
        <v>4338</v>
      </c>
      <c r="B121" t="s">
        <v>1890</v>
      </c>
      <c r="C121" t="s">
        <v>2272</v>
      </c>
      <c r="D121" t="s">
        <v>2248</v>
      </c>
      <c r="G121" t="s">
        <v>4325</v>
      </c>
      <c r="I121" t="s">
        <v>3776</v>
      </c>
    </row>
    <row r="122" spans="1:9">
      <c r="A122" s="92" t="s">
        <v>4338</v>
      </c>
      <c r="B122" t="s">
        <v>1890</v>
      </c>
      <c r="C122" t="s">
        <v>2273</v>
      </c>
      <c r="D122" t="s">
        <v>2248</v>
      </c>
      <c r="G122" t="s">
        <v>4325</v>
      </c>
      <c r="I122" t="s">
        <v>3776</v>
      </c>
    </row>
    <row r="123" spans="1:9">
      <c r="A123" s="92" t="s">
        <v>4338</v>
      </c>
      <c r="B123" t="s">
        <v>1890</v>
      </c>
      <c r="C123" t="s">
        <v>2274</v>
      </c>
      <c r="D123" t="s">
        <v>2248</v>
      </c>
      <c r="G123" t="s">
        <v>4325</v>
      </c>
      <c r="I123" t="s">
        <v>3776</v>
      </c>
    </row>
    <row r="124" spans="1:9">
      <c r="A124" s="92" t="s">
        <v>4338</v>
      </c>
      <c r="B124" t="s">
        <v>1890</v>
      </c>
      <c r="C124" t="s">
        <v>2275</v>
      </c>
      <c r="D124" t="s">
        <v>2248</v>
      </c>
      <c r="G124" t="s">
        <v>4325</v>
      </c>
      <c r="I124" t="s">
        <v>3776</v>
      </c>
    </row>
    <row r="125" spans="1:9">
      <c r="A125" s="92" t="s">
        <v>4338</v>
      </c>
      <c r="B125" t="s">
        <v>1890</v>
      </c>
      <c r="C125" t="s">
        <v>2276</v>
      </c>
      <c r="D125" t="s">
        <v>2248</v>
      </c>
      <c r="G125" t="s">
        <v>4325</v>
      </c>
      <c r="I125" t="s">
        <v>3776</v>
      </c>
    </row>
    <row r="126" spans="1:9">
      <c r="A126" s="92" t="s">
        <v>4338</v>
      </c>
      <c r="B126" t="s">
        <v>1892</v>
      </c>
      <c r="C126" t="s">
        <v>2278</v>
      </c>
      <c r="D126" t="s">
        <v>2279</v>
      </c>
      <c r="G126" t="s">
        <v>4327</v>
      </c>
      <c r="I126" t="s">
        <v>3780</v>
      </c>
    </row>
    <row r="127" spans="1:9">
      <c r="A127" s="92" t="s">
        <v>4338</v>
      </c>
      <c r="B127" t="s">
        <v>1892</v>
      </c>
      <c r="C127" t="s">
        <v>2281</v>
      </c>
      <c r="D127" t="s">
        <v>2248</v>
      </c>
      <c r="G127" t="s">
        <v>4325</v>
      </c>
      <c r="I127" t="s">
        <v>3780</v>
      </c>
    </row>
    <row r="128" spans="1:9">
      <c r="A128" s="92" t="s">
        <v>4338</v>
      </c>
      <c r="B128" t="s">
        <v>1894</v>
      </c>
      <c r="C128" t="s">
        <v>2355</v>
      </c>
      <c r="D128" t="s">
        <v>2356</v>
      </c>
      <c r="E128" t="s">
        <v>1565</v>
      </c>
      <c r="F128" t="s">
        <v>2358</v>
      </c>
      <c r="G128" t="s">
        <v>4339</v>
      </c>
      <c r="H128" t="s">
        <v>108</v>
      </c>
      <c r="I128" t="s">
        <v>3787</v>
      </c>
    </row>
    <row r="129" spans="1:9">
      <c r="A129" s="92" t="s">
        <v>4338</v>
      </c>
      <c r="B129" t="s">
        <v>1894</v>
      </c>
      <c r="C129" t="s">
        <v>2398</v>
      </c>
      <c r="E129" t="s">
        <v>2399</v>
      </c>
      <c r="G129" t="s">
        <v>4339</v>
      </c>
      <c r="H129" t="s">
        <v>108</v>
      </c>
      <c r="I129" t="s">
        <v>3787</v>
      </c>
    </row>
    <row r="130" spans="1:9">
      <c r="A130" s="92" t="s">
        <v>4338</v>
      </c>
      <c r="B130" t="s">
        <v>1894</v>
      </c>
      <c r="C130" t="s">
        <v>2400</v>
      </c>
      <c r="D130" t="s">
        <v>2284</v>
      </c>
      <c r="E130" t="s">
        <v>108</v>
      </c>
      <c r="G130" t="s">
        <v>4339</v>
      </c>
      <c r="H130" t="s">
        <v>108</v>
      </c>
      <c r="I130" t="s">
        <v>3787</v>
      </c>
    </row>
    <row r="131" spans="1:9">
      <c r="A131" s="92" t="s">
        <v>4338</v>
      </c>
      <c r="B131" t="s">
        <v>1894</v>
      </c>
      <c r="C131" t="s">
        <v>2401</v>
      </c>
      <c r="D131" t="s">
        <v>2402</v>
      </c>
      <c r="E131" t="s">
        <v>2403</v>
      </c>
      <c r="F131" t="s">
        <v>2404</v>
      </c>
      <c r="G131" t="s">
        <v>4339</v>
      </c>
      <c r="H131" t="s">
        <v>2403</v>
      </c>
      <c r="I131" t="s">
        <v>3787</v>
      </c>
    </row>
    <row r="132" spans="1:9">
      <c r="A132" s="92" t="s">
        <v>4338</v>
      </c>
      <c r="B132" t="s">
        <v>1894</v>
      </c>
      <c r="C132" t="s">
        <v>2405</v>
      </c>
      <c r="E132" t="s">
        <v>108</v>
      </c>
      <c r="G132" t="s">
        <v>4339</v>
      </c>
      <c r="H132" t="s">
        <v>108</v>
      </c>
      <c r="I132" t="s">
        <v>3787</v>
      </c>
    </row>
    <row r="133" spans="1:9">
      <c r="A133" s="92" t="s">
        <v>4338</v>
      </c>
      <c r="B133" t="s">
        <v>1895</v>
      </c>
      <c r="C133" t="s">
        <v>2407</v>
      </c>
      <c r="D133" t="s">
        <v>2296</v>
      </c>
      <c r="E133" t="s">
        <v>108</v>
      </c>
      <c r="G133" t="s">
        <v>4339</v>
      </c>
      <c r="H133" t="s">
        <v>108</v>
      </c>
      <c r="I133" t="s">
        <v>3791</v>
      </c>
    </row>
    <row r="134" spans="1:9">
      <c r="A134" s="92" t="s">
        <v>4338</v>
      </c>
      <c r="B134" t="s">
        <v>1895</v>
      </c>
      <c r="C134" t="s">
        <v>2409</v>
      </c>
      <c r="D134" t="s">
        <v>2410</v>
      </c>
      <c r="E134" t="s">
        <v>108</v>
      </c>
      <c r="F134" t="s">
        <v>2411</v>
      </c>
      <c r="G134" t="s">
        <v>4339</v>
      </c>
      <c r="H134" t="s">
        <v>108</v>
      </c>
      <c r="I134" t="s">
        <v>3791</v>
      </c>
    </row>
    <row r="135" spans="1:9">
      <c r="A135" s="92" t="s">
        <v>4338</v>
      </c>
      <c r="B135" t="s">
        <v>1895</v>
      </c>
      <c r="C135" t="s">
        <v>2412</v>
      </c>
      <c r="D135" t="s">
        <v>2410</v>
      </c>
      <c r="E135" t="s">
        <v>108</v>
      </c>
      <c r="G135" t="s">
        <v>4339</v>
      </c>
      <c r="H135" t="s">
        <v>108</v>
      </c>
      <c r="I135" t="s">
        <v>3791</v>
      </c>
    </row>
    <row r="136" spans="1:9">
      <c r="A136" s="92" t="s">
        <v>4338</v>
      </c>
      <c r="B136" t="s">
        <v>1895</v>
      </c>
      <c r="C136" t="s">
        <v>2290</v>
      </c>
      <c r="D136" t="s">
        <v>2291</v>
      </c>
      <c r="E136" t="s">
        <v>2292</v>
      </c>
      <c r="G136" t="s">
        <v>4340</v>
      </c>
      <c r="H136" t="s">
        <v>2413</v>
      </c>
      <c r="I136" t="s">
        <v>3791</v>
      </c>
    </row>
    <row r="137" spans="1:9">
      <c r="A137" s="92" t="s">
        <v>4338</v>
      </c>
      <c r="B137" t="s">
        <v>1895</v>
      </c>
      <c r="C137" t="s">
        <v>2414</v>
      </c>
      <c r="D137" t="s">
        <v>2415</v>
      </c>
      <c r="E137" t="s">
        <v>108</v>
      </c>
      <c r="F137" t="s">
        <v>2416</v>
      </c>
      <c r="G137" t="s">
        <v>4339</v>
      </c>
      <c r="H137" t="s">
        <v>108</v>
      </c>
      <c r="I137" t="s">
        <v>3791</v>
      </c>
    </row>
    <row r="138" spans="1:9">
      <c r="A138" s="92" t="s">
        <v>4338</v>
      </c>
      <c r="B138" t="s">
        <v>3567</v>
      </c>
      <c r="C138" t="s">
        <v>2418</v>
      </c>
      <c r="D138" t="s">
        <v>2363</v>
      </c>
      <c r="E138" t="s">
        <v>108</v>
      </c>
      <c r="G138" t="s">
        <v>4339</v>
      </c>
      <c r="H138" t="s">
        <v>108</v>
      </c>
      <c r="I138" t="s">
        <v>3795</v>
      </c>
    </row>
    <row r="139" spans="1:9">
      <c r="A139" s="92" t="s">
        <v>4338</v>
      </c>
      <c r="B139" t="s">
        <v>3567</v>
      </c>
      <c r="C139" t="s">
        <v>2362</v>
      </c>
      <c r="D139" t="s">
        <v>2363</v>
      </c>
      <c r="E139" t="s">
        <v>2364</v>
      </c>
      <c r="G139" t="s">
        <v>4339</v>
      </c>
      <c r="H139" t="s">
        <v>2419</v>
      </c>
      <c r="I139" t="s">
        <v>3795</v>
      </c>
    </row>
    <row r="140" spans="1:9">
      <c r="A140" s="92" t="s">
        <v>4338</v>
      </c>
      <c r="B140" t="s">
        <v>3567</v>
      </c>
      <c r="C140" t="s">
        <v>2420</v>
      </c>
      <c r="D140" t="s">
        <v>2363</v>
      </c>
      <c r="E140" t="s">
        <v>2421</v>
      </c>
      <c r="F140" t="s">
        <v>2422</v>
      </c>
      <c r="G140" t="s">
        <v>4339</v>
      </c>
      <c r="H140" t="s">
        <v>108</v>
      </c>
      <c r="I140" t="s">
        <v>3795</v>
      </c>
    </row>
    <row r="141" spans="1:9">
      <c r="A141" s="92" t="s">
        <v>4338</v>
      </c>
      <c r="B141" t="s">
        <v>3567</v>
      </c>
      <c r="C141" t="s">
        <v>2423</v>
      </c>
      <c r="D141" t="s">
        <v>2363</v>
      </c>
      <c r="E141" t="s">
        <v>108</v>
      </c>
      <c r="G141" t="s">
        <v>4339</v>
      </c>
      <c r="H141" t="s">
        <v>108</v>
      </c>
      <c r="I141" t="s">
        <v>3795</v>
      </c>
    </row>
    <row r="142" spans="1:9">
      <c r="A142" s="92" t="s">
        <v>4338</v>
      </c>
      <c r="B142" t="s">
        <v>1901</v>
      </c>
      <c r="C142" t="s">
        <v>2425</v>
      </c>
      <c r="D142" t="s">
        <v>2426</v>
      </c>
      <c r="E142" t="s">
        <v>2427</v>
      </c>
      <c r="G142" t="s">
        <v>4339</v>
      </c>
      <c r="H142" t="s">
        <v>108</v>
      </c>
      <c r="I142" t="s">
        <v>3799</v>
      </c>
    </row>
    <row r="143" spans="1:9">
      <c r="A143" s="92" t="s">
        <v>4338</v>
      </c>
      <c r="B143" t="s">
        <v>1901</v>
      </c>
      <c r="C143" t="s">
        <v>2428</v>
      </c>
      <c r="D143" t="s">
        <v>2426</v>
      </c>
      <c r="E143" t="s">
        <v>2429</v>
      </c>
      <c r="G143" t="s">
        <v>4339</v>
      </c>
      <c r="H143" t="s">
        <v>108</v>
      </c>
      <c r="I143" t="s">
        <v>3799</v>
      </c>
    </row>
    <row r="144" spans="1:9">
      <c r="A144" s="92" t="s">
        <v>4338</v>
      </c>
      <c r="B144" t="s">
        <v>1901</v>
      </c>
      <c r="C144" t="s">
        <v>2430</v>
      </c>
      <c r="D144" t="s">
        <v>2431</v>
      </c>
      <c r="E144" t="s">
        <v>108</v>
      </c>
      <c r="F144" t="s">
        <v>2432</v>
      </c>
      <c r="G144" t="s">
        <v>4339</v>
      </c>
      <c r="H144" t="s">
        <v>108</v>
      </c>
      <c r="I144" t="s">
        <v>3799</v>
      </c>
    </row>
    <row r="145" spans="1:9">
      <c r="A145" s="92" t="s">
        <v>4338</v>
      </c>
      <c r="B145" t="s">
        <v>1901</v>
      </c>
      <c r="C145" t="s">
        <v>2433</v>
      </c>
      <c r="D145" t="s">
        <v>2431</v>
      </c>
      <c r="E145" t="s">
        <v>108</v>
      </c>
      <c r="G145" t="s">
        <v>4339</v>
      </c>
      <c r="H145" t="s">
        <v>108</v>
      </c>
      <c r="I145" t="s">
        <v>3799</v>
      </c>
    </row>
    <row r="146" spans="1:9">
      <c r="A146" s="92" t="s">
        <v>4338</v>
      </c>
      <c r="B146" t="s">
        <v>1903</v>
      </c>
      <c r="C146" t="s">
        <v>2435</v>
      </c>
      <c r="D146" t="s">
        <v>2436</v>
      </c>
      <c r="E146" t="s">
        <v>108</v>
      </c>
      <c r="F146" t="s">
        <v>2437</v>
      </c>
      <c r="G146" t="s">
        <v>4339</v>
      </c>
      <c r="H146" t="s">
        <v>108</v>
      </c>
      <c r="I146" t="s">
        <v>3803</v>
      </c>
    </row>
    <row r="147" spans="1:9">
      <c r="A147" s="92" t="s">
        <v>4338</v>
      </c>
      <c r="B147" t="s">
        <v>1903</v>
      </c>
      <c r="C147" t="s">
        <v>2295</v>
      </c>
      <c r="D147" t="s">
        <v>2296</v>
      </c>
      <c r="E147" t="s">
        <v>2297</v>
      </c>
      <c r="G147" t="s">
        <v>4340</v>
      </c>
      <c r="H147" t="s">
        <v>2413</v>
      </c>
      <c r="I147" t="s">
        <v>3803</v>
      </c>
    </row>
    <row r="148" spans="1:9">
      <c r="A148" s="92" t="s">
        <v>4338</v>
      </c>
      <c r="B148" t="s">
        <v>1903</v>
      </c>
      <c r="C148" t="s">
        <v>2298</v>
      </c>
      <c r="D148" t="s">
        <v>2296</v>
      </c>
      <c r="E148" t="s">
        <v>2292</v>
      </c>
      <c r="G148" t="s">
        <v>4340</v>
      </c>
      <c r="H148" t="s">
        <v>2413</v>
      </c>
      <c r="I148" t="s">
        <v>3803</v>
      </c>
    </row>
    <row r="149" spans="1:9">
      <c r="A149" s="92" t="s">
        <v>4338</v>
      </c>
      <c r="B149" t="s">
        <v>1903</v>
      </c>
      <c r="C149" t="s">
        <v>2299</v>
      </c>
      <c r="D149" t="s">
        <v>2296</v>
      </c>
      <c r="E149" t="s">
        <v>2292</v>
      </c>
      <c r="G149" t="s">
        <v>4340</v>
      </c>
      <c r="H149" t="s">
        <v>2413</v>
      </c>
      <c r="I149" t="s">
        <v>3803</v>
      </c>
    </row>
    <row r="150" spans="1:9">
      <c r="A150" s="92" t="s">
        <v>4338</v>
      </c>
      <c r="B150" t="s">
        <v>1903</v>
      </c>
      <c r="C150" t="s">
        <v>2300</v>
      </c>
      <c r="D150" t="s">
        <v>2301</v>
      </c>
      <c r="E150" t="s">
        <v>2292</v>
      </c>
      <c r="G150" t="s">
        <v>4340</v>
      </c>
      <c r="H150" t="s">
        <v>2413</v>
      </c>
      <c r="I150" t="s">
        <v>3803</v>
      </c>
    </row>
    <row r="151" spans="1:9">
      <c r="A151" s="92" t="s">
        <v>4338</v>
      </c>
      <c r="B151" t="s">
        <v>1903</v>
      </c>
      <c r="C151" t="s">
        <v>2302</v>
      </c>
      <c r="E151" t="s">
        <v>2292</v>
      </c>
      <c r="G151" t="s">
        <v>4340</v>
      </c>
      <c r="H151" t="s">
        <v>2413</v>
      </c>
      <c r="I151" t="s">
        <v>3803</v>
      </c>
    </row>
    <row r="152" spans="1:9">
      <c r="A152" s="92" t="s">
        <v>4338</v>
      </c>
      <c r="B152" t="s">
        <v>1903</v>
      </c>
      <c r="C152" t="s">
        <v>2303</v>
      </c>
      <c r="E152" t="s">
        <v>2292</v>
      </c>
      <c r="G152" t="s">
        <v>4340</v>
      </c>
      <c r="H152" t="s">
        <v>2413</v>
      </c>
      <c r="I152" t="s">
        <v>3803</v>
      </c>
    </row>
    <row r="153" spans="1:9">
      <c r="A153" s="92" t="s">
        <v>4338</v>
      </c>
      <c r="B153" t="s">
        <v>1903</v>
      </c>
      <c r="C153" t="s">
        <v>2304</v>
      </c>
      <c r="E153" t="s">
        <v>2292</v>
      </c>
      <c r="G153" t="s">
        <v>4340</v>
      </c>
      <c r="H153" t="s">
        <v>2413</v>
      </c>
      <c r="I153" t="s">
        <v>3803</v>
      </c>
    </row>
    <row r="154" spans="1:9">
      <c r="A154" s="92" t="s">
        <v>4338</v>
      </c>
      <c r="B154" t="s">
        <v>1905</v>
      </c>
      <c r="C154" t="s">
        <v>2439</v>
      </c>
      <c r="D154" t="s">
        <v>2440</v>
      </c>
      <c r="E154" t="s">
        <v>108</v>
      </c>
      <c r="G154" t="s">
        <v>4339</v>
      </c>
      <c r="H154" t="s">
        <v>108</v>
      </c>
      <c r="I154" t="s">
        <v>3805</v>
      </c>
    </row>
    <row r="155" spans="1:9">
      <c r="A155" s="92" t="s">
        <v>4338</v>
      </c>
      <c r="B155" t="s">
        <v>1905</v>
      </c>
      <c r="C155" t="s">
        <v>2441</v>
      </c>
      <c r="D155" t="s">
        <v>2442</v>
      </c>
      <c r="E155" t="s">
        <v>2427</v>
      </c>
      <c r="G155" t="s">
        <v>4339</v>
      </c>
      <c r="H155" t="s">
        <v>108</v>
      </c>
      <c r="I155" t="s">
        <v>3805</v>
      </c>
    </row>
    <row r="156" spans="1:9">
      <c r="A156" s="92" t="s">
        <v>4338</v>
      </c>
      <c r="B156" t="s">
        <v>1905</v>
      </c>
      <c r="C156" t="s">
        <v>2443</v>
      </c>
      <c r="D156" t="s">
        <v>2440</v>
      </c>
      <c r="E156" t="s">
        <v>2444</v>
      </c>
      <c r="F156" t="s">
        <v>2445</v>
      </c>
      <c r="G156" t="s">
        <v>4339</v>
      </c>
      <c r="H156" t="s">
        <v>108</v>
      </c>
      <c r="I156" t="s">
        <v>3805</v>
      </c>
    </row>
    <row r="157" spans="1:9">
      <c r="A157" s="92" t="s">
        <v>4338</v>
      </c>
      <c r="B157" t="s">
        <v>1905</v>
      </c>
      <c r="C157" t="s">
        <v>2306</v>
      </c>
      <c r="D157" t="s">
        <v>2291</v>
      </c>
      <c r="E157" t="s">
        <v>2307</v>
      </c>
      <c r="G157" t="s">
        <v>4329</v>
      </c>
      <c r="H157" t="s">
        <v>108</v>
      </c>
      <c r="I157" t="s">
        <v>3805</v>
      </c>
    </row>
    <row r="158" spans="1:9">
      <c r="A158" s="92" t="s">
        <v>4338</v>
      </c>
      <c r="B158" t="s">
        <v>1905</v>
      </c>
      <c r="C158" t="s">
        <v>2313</v>
      </c>
      <c r="D158" t="s">
        <v>2291</v>
      </c>
      <c r="E158" t="s">
        <v>2292</v>
      </c>
      <c r="G158" t="s">
        <v>4340</v>
      </c>
      <c r="H158" t="s">
        <v>2446</v>
      </c>
      <c r="I158" t="s">
        <v>3805</v>
      </c>
    </row>
    <row r="159" spans="1:9">
      <c r="A159" s="92" t="s">
        <v>4338</v>
      </c>
      <c r="B159" t="s">
        <v>1905</v>
      </c>
      <c r="C159" t="s">
        <v>2314</v>
      </c>
      <c r="D159" t="s">
        <v>2291</v>
      </c>
      <c r="E159" t="s">
        <v>2292</v>
      </c>
      <c r="G159" t="s">
        <v>4340</v>
      </c>
      <c r="H159" t="s">
        <v>2446</v>
      </c>
      <c r="I159" t="s">
        <v>3805</v>
      </c>
    </row>
    <row r="160" spans="1:9">
      <c r="A160" s="92" t="s">
        <v>4338</v>
      </c>
      <c r="B160" t="s">
        <v>1905</v>
      </c>
      <c r="C160" t="s">
        <v>2447</v>
      </c>
      <c r="D160" t="s">
        <v>2440</v>
      </c>
      <c r="E160" t="s">
        <v>2403</v>
      </c>
      <c r="G160" t="s">
        <v>4339</v>
      </c>
      <c r="H160" t="s">
        <v>2403</v>
      </c>
      <c r="I160" t="s">
        <v>3805</v>
      </c>
    </row>
    <row r="161" spans="1:9">
      <c r="A161" s="92" t="s">
        <v>4338</v>
      </c>
      <c r="B161" t="s">
        <v>1905</v>
      </c>
      <c r="C161" t="s">
        <v>2448</v>
      </c>
      <c r="D161" t="s">
        <v>2449</v>
      </c>
      <c r="E161" t="s">
        <v>108</v>
      </c>
      <c r="G161" t="s">
        <v>4339</v>
      </c>
      <c r="H161" t="s">
        <v>108</v>
      </c>
      <c r="I161" t="s">
        <v>3805</v>
      </c>
    </row>
    <row r="162" spans="1:9">
      <c r="A162" s="92" t="s">
        <v>4338</v>
      </c>
      <c r="B162" t="s">
        <v>1908</v>
      </c>
      <c r="C162" t="s">
        <v>2451</v>
      </c>
      <c r="E162" t="s">
        <v>2403</v>
      </c>
      <c r="G162" t="s">
        <v>4339</v>
      </c>
      <c r="H162" t="s">
        <v>2403</v>
      </c>
      <c r="I162" t="s">
        <v>3807</v>
      </c>
    </row>
    <row r="163" spans="1:9">
      <c r="A163" s="92" t="s">
        <v>4338</v>
      </c>
      <c r="B163" t="s">
        <v>1908</v>
      </c>
      <c r="C163" t="s">
        <v>2375</v>
      </c>
      <c r="E163" t="s">
        <v>2376</v>
      </c>
      <c r="G163" t="s">
        <v>4339</v>
      </c>
      <c r="H163" t="s">
        <v>2403</v>
      </c>
      <c r="I163" t="s">
        <v>3807</v>
      </c>
    </row>
    <row r="164" spans="1:9">
      <c r="A164" s="92" t="s">
        <v>4338</v>
      </c>
      <c r="B164" t="s">
        <v>1908</v>
      </c>
      <c r="C164" t="s">
        <v>2452</v>
      </c>
      <c r="D164" t="s">
        <v>2440</v>
      </c>
      <c r="E164" t="s">
        <v>108</v>
      </c>
      <c r="G164" t="s">
        <v>4339</v>
      </c>
      <c r="H164" t="s">
        <v>108</v>
      </c>
      <c r="I164" t="s">
        <v>3807</v>
      </c>
    </row>
    <row r="165" spans="1:9">
      <c r="A165" s="92" t="s">
        <v>4338</v>
      </c>
      <c r="B165" t="s">
        <v>1908</v>
      </c>
      <c r="C165" t="s">
        <v>2453</v>
      </c>
      <c r="D165" t="s">
        <v>2440</v>
      </c>
      <c r="E165" t="s">
        <v>108</v>
      </c>
      <c r="G165" t="s">
        <v>4339</v>
      </c>
      <c r="H165" t="s">
        <v>108</v>
      </c>
      <c r="I165" t="s">
        <v>3807</v>
      </c>
    </row>
    <row r="166" spans="1:9">
      <c r="A166" s="92" t="s">
        <v>4338</v>
      </c>
      <c r="B166" t="s">
        <v>1908</v>
      </c>
      <c r="C166" t="s">
        <v>2454</v>
      </c>
      <c r="D166" t="s">
        <v>2301</v>
      </c>
      <c r="E166" t="s">
        <v>108</v>
      </c>
      <c r="G166" t="s">
        <v>4339</v>
      </c>
      <c r="H166" t="s">
        <v>108</v>
      </c>
      <c r="I166" t="s">
        <v>3807</v>
      </c>
    </row>
    <row r="167" spans="1:9">
      <c r="A167" s="92" t="s">
        <v>4338</v>
      </c>
      <c r="B167" t="s">
        <v>1908</v>
      </c>
      <c r="C167" t="s">
        <v>2455</v>
      </c>
      <c r="D167" t="s">
        <v>2456</v>
      </c>
      <c r="E167" t="s">
        <v>2403</v>
      </c>
      <c r="G167" t="s">
        <v>4339</v>
      </c>
      <c r="H167" t="s">
        <v>2403</v>
      </c>
      <c r="I167" t="s">
        <v>3807</v>
      </c>
    </row>
    <row r="168" spans="1:9">
      <c r="A168" s="92" t="s">
        <v>4338</v>
      </c>
      <c r="B168" t="s">
        <v>1908</v>
      </c>
      <c r="C168" t="s">
        <v>2457</v>
      </c>
      <c r="D168" t="s">
        <v>2456</v>
      </c>
      <c r="E168" t="s">
        <v>2403</v>
      </c>
      <c r="G168" t="s">
        <v>4339</v>
      </c>
      <c r="H168" t="s">
        <v>2403</v>
      </c>
      <c r="I168" t="s">
        <v>3807</v>
      </c>
    </row>
    <row r="169" spans="1:9">
      <c r="A169" s="92" t="s">
        <v>4338</v>
      </c>
      <c r="B169" t="s">
        <v>1908</v>
      </c>
      <c r="C169" t="s">
        <v>2316</v>
      </c>
      <c r="D169" t="s">
        <v>2291</v>
      </c>
      <c r="E169" t="s">
        <v>2292</v>
      </c>
      <c r="G169" t="s">
        <v>4340</v>
      </c>
      <c r="H169" t="s">
        <v>2446</v>
      </c>
      <c r="I169" t="s">
        <v>3807</v>
      </c>
    </row>
    <row r="170" spans="1:9">
      <c r="A170" s="92" t="s">
        <v>4338</v>
      </c>
      <c r="B170" t="s">
        <v>1908</v>
      </c>
      <c r="C170" t="s">
        <v>2458</v>
      </c>
      <c r="D170" t="s">
        <v>2456</v>
      </c>
      <c r="E170" t="s">
        <v>108</v>
      </c>
      <c r="F170" t="s">
        <v>2459</v>
      </c>
      <c r="G170" t="s">
        <v>4339</v>
      </c>
      <c r="H170" t="s">
        <v>108</v>
      </c>
      <c r="I170" t="s">
        <v>3807</v>
      </c>
    </row>
    <row r="171" spans="1:9">
      <c r="A171" s="92" t="s">
        <v>4338</v>
      </c>
      <c r="B171" t="s">
        <v>1909</v>
      </c>
      <c r="C171" t="s">
        <v>2461</v>
      </c>
      <c r="D171" t="s">
        <v>2462</v>
      </c>
      <c r="E171" t="s">
        <v>108</v>
      </c>
      <c r="G171" t="s">
        <v>4339</v>
      </c>
      <c r="H171" t="s">
        <v>108</v>
      </c>
      <c r="I171" t="s">
        <v>3811</v>
      </c>
    </row>
    <row r="172" spans="1:9">
      <c r="A172" s="92" t="s">
        <v>4338</v>
      </c>
      <c r="B172" t="s">
        <v>1909</v>
      </c>
      <c r="C172" t="s">
        <v>2463</v>
      </c>
      <c r="D172" t="s">
        <v>2464</v>
      </c>
      <c r="E172" t="s">
        <v>108</v>
      </c>
      <c r="G172" t="s">
        <v>4339</v>
      </c>
      <c r="H172" t="s">
        <v>108</v>
      </c>
      <c r="I172" t="s">
        <v>3811</v>
      </c>
    </row>
    <row r="173" spans="1:9">
      <c r="A173" s="92" t="s">
        <v>4338</v>
      </c>
      <c r="B173" t="s">
        <v>1909</v>
      </c>
      <c r="C173" t="s">
        <v>2465</v>
      </c>
      <c r="D173" t="s">
        <v>2464</v>
      </c>
      <c r="E173" t="s">
        <v>108</v>
      </c>
      <c r="G173" t="s">
        <v>4339</v>
      </c>
      <c r="H173" t="s">
        <v>108</v>
      </c>
      <c r="I173" t="s">
        <v>3811</v>
      </c>
    </row>
    <row r="174" spans="1:9">
      <c r="A174" s="92" t="s">
        <v>4338</v>
      </c>
      <c r="B174" t="s">
        <v>1911</v>
      </c>
      <c r="C174" t="s">
        <v>2467</v>
      </c>
      <c r="D174" t="s">
        <v>2319</v>
      </c>
      <c r="E174" t="s">
        <v>2403</v>
      </c>
      <c r="F174" t="s">
        <v>2468</v>
      </c>
      <c r="G174" t="s">
        <v>4339</v>
      </c>
      <c r="H174" t="s">
        <v>2403</v>
      </c>
      <c r="I174" t="s">
        <v>3815</v>
      </c>
    </row>
    <row r="175" spans="1:9">
      <c r="A175" s="92" t="s">
        <v>4338</v>
      </c>
      <c r="B175" t="s">
        <v>1911</v>
      </c>
      <c r="C175" t="s">
        <v>2469</v>
      </c>
      <c r="D175" t="s">
        <v>2382</v>
      </c>
      <c r="E175" t="s">
        <v>108</v>
      </c>
      <c r="F175" t="s">
        <v>2470</v>
      </c>
      <c r="G175" t="s">
        <v>4339</v>
      </c>
      <c r="H175" t="s">
        <v>108</v>
      </c>
      <c r="I175" t="s">
        <v>3815</v>
      </c>
    </row>
    <row r="176" spans="1:9">
      <c r="A176" s="92" t="s">
        <v>4338</v>
      </c>
      <c r="B176" t="s">
        <v>1911</v>
      </c>
      <c r="C176" t="s">
        <v>2471</v>
      </c>
      <c r="D176" t="s">
        <v>2379</v>
      </c>
      <c r="E176" t="s">
        <v>108</v>
      </c>
      <c r="F176" t="s">
        <v>2472</v>
      </c>
      <c r="G176" t="s">
        <v>4339</v>
      </c>
      <c r="H176" t="s">
        <v>108</v>
      </c>
      <c r="I176" t="s">
        <v>3815</v>
      </c>
    </row>
    <row r="177" spans="1:9">
      <c r="A177" s="92" t="s">
        <v>4338</v>
      </c>
      <c r="B177" t="s">
        <v>1911</v>
      </c>
      <c r="C177" t="s">
        <v>2473</v>
      </c>
      <c r="D177" t="s">
        <v>2474</v>
      </c>
      <c r="E177" t="s">
        <v>108</v>
      </c>
      <c r="F177" t="s">
        <v>2475</v>
      </c>
      <c r="G177" t="s">
        <v>4339</v>
      </c>
      <c r="H177" t="s">
        <v>108</v>
      </c>
      <c r="I177" t="s">
        <v>3815</v>
      </c>
    </row>
    <row r="178" spans="1:9">
      <c r="A178" s="92" t="s">
        <v>4338</v>
      </c>
      <c r="B178" t="s">
        <v>1911</v>
      </c>
      <c r="C178" t="s">
        <v>2324</v>
      </c>
      <c r="D178" t="s">
        <v>2325</v>
      </c>
      <c r="G178" t="s">
        <v>4330</v>
      </c>
      <c r="I178" t="s">
        <v>3815</v>
      </c>
    </row>
    <row r="179" spans="1:9">
      <c r="A179" s="92" t="s">
        <v>4338</v>
      </c>
      <c r="B179" t="s">
        <v>1911</v>
      </c>
      <c r="C179" t="s">
        <v>2327</v>
      </c>
      <c r="D179" t="s">
        <v>2325</v>
      </c>
      <c r="G179" t="s">
        <v>4330</v>
      </c>
      <c r="I179" t="s">
        <v>3815</v>
      </c>
    </row>
    <row r="180" spans="1:9">
      <c r="A180" s="92" t="s">
        <v>4338</v>
      </c>
      <c r="B180" t="s">
        <v>1911</v>
      </c>
      <c r="C180" t="s">
        <v>2328</v>
      </c>
      <c r="D180" t="s">
        <v>2325</v>
      </c>
      <c r="E180" t="s">
        <v>2329</v>
      </c>
      <c r="F180" t="s">
        <v>2331</v>
      </c>
      <c r="G180" t="s">
        <v>4331</v>
      </c>
      <c r="I180" t="s">
        <v>3815</v>
      </c>
    </row>
    <row r="181" spans="1:9">
      <c r="A181" s="92" t="s">
        <v>4338</v>
      </c>
      <c r="B181" t="s">
        <v>1916</v>
      </c>
      <c r="C181" t="s">
        <v>2477</v>
      </c>
      <c r="D181" t="s">
        <v>2382</v>
      </c>
      <c r="E181" t="s">
        <v>108</v>
      </c>
      <c r="F181" t="s">
        <v>2478</v>
      </c>
      <c r="G181" t="s">
        <v>4339</v>
      </c>
      <c r="H181" t="s">
        <v>108</v>
      </c>
      <c r="I181" t="s">
        <v>3819</v>
      </c>
    </row>
    <row r="182" spans="1:9">
      <c r="A182" s="92" t="s">
        <v>4338</v>
      </c>
      <c r="B182" t="s">
        <v>1916</v>
      </c>
      <c r="C182" t="s">
        <v>2334</v>
      </c>
      <c r="D182" t="s">
        <v>2291</v>
      </c>
      <c r="E182" t="s">
        <v>2311</v>
      </c>
      <c r="F182" t="s">
        <v>2335</v>
      </c>
      <c r="G182" t="s">
        <v>4332</v>
      </c>
      <c r="I182" t="s">
        <v>3819</v>
      </c>
    </row>
    <row r="183" spans="1:9">
      <c r="A183" s="92" t="s">
        <v>4338</v>
      </c>
      <c r="B183" t="s">
        <v>1916</v>
      </c>
      <c r="C183" t="s">
        <v>2336</v>
      </c>
      <c r="D183" t="s">
        <v>2291</v>
      </c>
      <c r="E183" t="s">
        <v>552</v>
      </c>
      <c r="F183" t="s">
        <v>2337</v>
      </c>
      <c r="G183" t="s">
        <v>4333</v>
      </c>
      <c r="I183" t="s">
        <v>3819</v>
      </c>
    </row>
    <row r="184" spans="1:9">
      <c r="A184" s="92" t="s">
        <v>4338</v>
      </c>
      <c r="B184" t="s">
        <v>1916</v>
      </c>
      <c r="C184" t="s">
        <v>2479</v>
      </c>
      <c r="D184" t="s">
        <v>2480</v>
      </c>
      <c r="E184" t="s">
        <v>108</v>
      </c>
      <c r="F184" t="s">
        <v>2481</v>
      </c>
      <c r="G184" t="s">
        <v>4339</v>
      </c>
      <c r="H184" t="s">
        <v>108</v>
      </c>
      <c r="I184" t="s">
        <v>3819</v>
      </c>
    </row>
    <row r="185" spans="1:9">
      <c r="A185" s="92" t="s">
        <v>4338</v>
      </c>
      <c r="B185" t="s">
        <v>1916</v>
      </c>
      <c r="C185" t="s">
        <v>2482</v>
      </c>
      <c r="D185" t="s">
        <v>2480</v>
      </c>
      <c r="E185" t="s">
        <v>108</v>
      </c>
      <c r="F185" t="s">
        <v>2483</v>
      </c>
      <c r="G185" t="s">
        <v>4339</v>
      </c>
      <c r="H185" t="s">
        <v>108</v>
      </c>
      <c r="I185" t="s">
        <v>3819</v>
      </c>
    </row>
    <row r="186" spans="1:9">
      <c r="A186" s="92" t="s">
        <v>4338</v>
      </c>
      <c r="B186" t="s">
        <v>1916</v>
      </c>
      <c r="C186" t="s">
        <v>2484</v>
      </c>
      <c r="D186" t="s">
        <v>2382</v>
      </c>
      <c r="E186" t="s">
        <v>2403</v>
      </c>
      <c r="G186" t="s">
        <v>4339</v>
      </c>
      <c r="H186" t="s">
        <v>2403</v>
      </c>
      <c r="I186" t="s">
        <v>3819</v>
      </c>
    </row>
    <row r="187" spans="1:9">
      <c r="A187" s="92" t="s">
        <v>4338</v>
      </c>
      <c r="B187" t="s">
        <v>1916</v>
      </c>
      <c r="C187" t="s">
        <v>2485</v>
      </c>
      <c r="D187" t="s">
        <v>2486</v>
      </c>
      <c r="E187" t="s">
        <v>2487</v>
      </c>
      <c r="G187" t="s">
        <v>4339</v>
      </c>
      <c r="H187" t="s">
        <v>108</v>
      </c>
      <c r="I187" t="s">
        <v>3819</v>
      </c>
    </row>
    <row r="188" spans="1:9">
      <c r="A188" s="92" t="s">
        <v>4338</v>
      </c>
      <c r="B188" t="s">
        <v>1918</v>
      </c>
      <c r="C188" t="s">
        <v>2489</v>
      </c>
      <c r="D188" t="s">
        <v>2490</v>
      </c>
      <c r="E188" t="s">
        <v>108</v>
      </c>
      <c r="G188" t="s">
        <v>4339</v>
      </c>
      <c r="H188" t="s">
        <v>108</v>
      </c>
      <c r="I188" t="s">
        <v>3823</v>
      </c>
    </row>
    <row r="189" spans="1:9">
      <c r="A189" s="92" t="s">
        <v>4338</v>
      </c>
      <c r="B189" t="s">
        <v>1918</v>
      </c>
      <c r="C189" t="s">
        <v>2491</v>
      </c>
      <c r="D189" t="s">
        <v>2490</v>
      </c>
      <c r="E189" t="s">
        <v>2403</v>
      </c>
      <c r="F189" t="s">
        <v>2492</v>
      </c>
      <c r="G189" t="s">
        <v>4339</v>
      </c>
      <c r="H189" t="s">
        <v>2403</v>
      </c>
      <c r="I189" t="s">
        <v>3823</v>
      </c>
    </row>
    <row r="190" spans="1:9">
      <c r="A190" s="92" t="s">
        <v>4338</v>
      </c>
      <c r="B190" t="s">
        <v>1918</v>
      </c>
      <c r="C190" t="s">
        <v>2493</v>
      </c>
      <c r="D190" t="s">
        <v>2494</v>
      </c>
      <c r="E190" t="s">
        <v>2421</v>
      </c>
      <c r="F190" t="s">
        <v>2495</v>
      </c>
      <c r="G190" t="s">
        <v>4339</v>
      </c>
      <c r="H190" t="s">
        <v>108</v>
      </c>
      <c r="I190" t="s">
        <v>3823</v>
      </c>
    </row>
    <row r="191" spans="1:9">
      <c r="A191" s="92" t="s">
        <v>4338</v>
      </c>
      <c r="B191" t="s">
        <v>1918</v>
      </c>
      <c r="C191" t="s">
        <v>2496</v>
      </c>
      <c r="D191" t="s">
        <v>2490</v>
      </c>
      <c r="E191" t="s">
        <v>2497</v>
      </c>
      <c r="G191" t="s">
        <v>4339</v>
      </c>
      <c r="H191" t="s">
        <v>108</v>
      </c>
      <c r="I191" t="s">
        <v>3823</v>
      </c>
    </row>
    <row r="192" spans="1:9">
      <c r="A192" s="92" t="s">
        <v>4338</v>
      </c>
      <c r="B192" t="s">
        <v>1918</v>
      </c>
      <c r="C192" t="s">
        <v>2498</v>
      </c>
      <c r="D192" t="s">
        <v>2490</v>
      </c>
      <c r="E192" t="s">
        <v>2499</v>
      </c>
      <c r="F192" t="s">
        <v>2500</v>
      </c>
      <c r="G192" t="s">
        <v>4339</v>
      </c>
      <c r="H192" t="s">
        <v>108</v>
      </c>
      <c r="I192" t="s">
        <v>3823</v>
      </c>
    </row>
    <row r="193" spans="1:9">
      <c r="A193" s="92" t="s">
        <v>4338</v>
      </c>
      <c r="B193" t="s">
        <v>1920</v>
      </c>
      <c r="C193" t="s">
        <v>2339</v>
      </c>
      <c r="E193" t="s">
        <v>2285</v>
      </c>
      <c r="F193" t="s">
        <v>2340</v>
      </c>
      <c r="G193" t="s">
        <v>4340</v>
      </c>
      <c r="H193" t="s">
        <v>2287</v>
      </c>
      <c r="I193" t="s">
        <v>3827</v>
      </c>
    </row>
    <row r="194" spans="1:9">
      <c r="A194" s="92" t="s">
        <v>4338</v>
      </c>
      <c r="B194" t="s">
        <v>1920</v>
      </c>
      <c r="C194" t="s">
        <v>2502</v>
      </c>
      <c r="D194" t="s">
        <v>2325</v>
      </c>
      <c r="E194" t="s">
        <v>2503</v>
      </c>
      <c r="F194" t="s">
        <v>2504</v>
      </c>
      <c r="G194" t="s">
        <v>4339</v>
      </c>
      <c r="H194" t="s">
        <v>108</v>
      </c>
      <c r="I194" t="s">
        <v>3827</v>
      </c>
    </row>
    <row r="195" spans="1:9">
      <c r="A195" s="92" t="s">
        <v>4338</v>
      </c>
      <c r="B195" t="s">
        <v>1920</v>
      </c>
      <c r="C195" t="s">
        <v>2341</v>
      </c>
      <c r="D195" t="s">
        <v>2342</v>
      </c>
      <c r="E195" t="s">
        <v>2343</v>
      </c>
      <c r="F195" t="s">
        <v>2344</v>
      </c>
      <c r="G195" t="s">
        <v>4325</v>
      </c>
      <c r="I195" t="s">
        <v>3827</v>
      </c>
    </row>
    <row r="196" spans="1:9">
      <c r="A196" s="92" t="s">
        <v>4338</v>
      </c>
      <c r="B196" t="s">
        <v>1920</v>
      </c>
      <c r="C196" t="s">
        <v>2341</v>
      </c>
      <c r="D196" t="s">
        <v>2342</v>
      </c>
      <c r="E196" t="s">
        <v>2343</v>
      </c>
      <c r="F196" t="s">
        <v>2344</v>
      </c>
      <c r="G196" t="s">
        <v>4339</v>
      </c>
      <c r="H196" t="s">
        <v>108</v>
      </c>
      <c r="I196" t="s">
        <v>3827</v>
      </c>
    </row>
    <row r="197" spans="1:9">
      <c r="A197" s="92" t="s">
        <v>4338</v>
      </c>
      <c r="B197" t="s">
        <v>1920</v>
      </c>
      <c r="C197" t="s">
        <v>2345</v>
      </c>
      <c r="D197" t="s">
        <v>2346</v>
      </c>
      <c r="E197" t="s">
        <v>2285</v>
      </c>
      <c r="F197" t="s">
        <v>2347</v>
      </c>
      <c r="G197" t="s">
        <v>4340</v>
      </c>
      <c r="H197" t="s">
        <v>2287</v>
      </c>
      <c r="I197" t="s">
        <v>3827</v>
      </c>
    </row>
    <row r="198" spans="1:9">
      <c r="A198" s="92" t="s">
        <v>4338</v>
      </c>
      <c r="B198" t="s">
        <v>1920</v>
      </c>
      <c r="C198" t="s">
        <v>2348</v>
      </c>
      <c r="E198" t="s">
        <v>2292</v>
      </c>
      <c r="G198" t="s">
        <v>4340</v>
      </c>
      <c r="H198" t="s">
        <v>2413</v>
      </c>
      <c r="I198" t="s">
        <v>3827</v>
      </c>
    </row>
    <row r="199" spans="1:9">
      <c r="A199" s="92" t="s">
        <v>4338</v>
      </c>
      <c r="B199" t="s">
        <v>1920</v>
      </c>
      <c r="C199" t="s">
        <v>2505</v>
      </c>
      <c r="D199" t="s">
        <v>2291</v>
      </c>
      <c r="E199" t="s">
        <v>108</v>
      </c>
      <c r="G199" t="s">
        <v>4339</v>
      </c>
      <c r="H199" t="s">
        <v>108</v>
      </c>
      <c r="I199" t="s">
        <v>3827</v>
      </c>
    </row>
    <row r="200" spans="1:9">
      <c r="A200" s="92" t="s">
        <v>4338</v>
      </c>
      <c r="B200" t="s">
        <v>1920</v>
      </c>
      <c r="C200" t="s">
        <v>2506</v>
      </c>
      <c r="D200" t="s">
        <v>2346</v>
      </c>
      <c r="E200" t="s">
        <v>2507</v>
      </c>
      <c r="F200" t="s">
        <v>2508</v>
      </c>
      <c r="G200" t="s">
        <v>4339</v>
      </c>
      <c r="H200" t="s">
        <v>2507</v>
      </c>
      <c r="I200" t="s">
        <v>3827</v>
      </c>
    </row>
    <row r="201" spans="1:9">
      <c r="A201" s="92" t="s">
        <v>4341</v>
      </c>
      <c r="B201" t="s">
        <v>1875</v>
      </c>
      <c r="C201" t="s">
        <v>2247</v>
      </c>
      <c r="D201" t="s">
        <v>2248</v>
      </c>
      <c r="G201" t="s">
        <v>4325</v>
      </c>
      <c r="I201" t="s">
        <v>3756</v>
      </c>
    </row>
    <row r="202" spans="1:9">
      <c r="A202" s="92" t="s">
        <v>4341</v>
      </c>
      <c r="B202" t="s">
        <v>1875</v>
      </c>
      <c r="C202" t="s">
        <v>2252</v>
      </c>
      <c r="D202" t="s">
        <v>2248</v>
      </c>
      <c r="G202" t="s">
        <v>4325</v>
      </c>
      <c r="I202" t="s">
        <v>3756</v>
      </c>
    </row>
    <row r="203" spans="1:9">
      <c r="A203" s="92" t="s">
        <v>4341</v>
      </c>
      <c r="B203" t="s">
        <v>1878</v>
      </c>
      <c r="C203" t="s">
        <v>2254</v>
      </c>
      <c r="D203" t="s">
        <v>2248</v>
      </c>
      <c r="G203" t="s">
        <v>4326</v>
      </c>
      <c r="I203" t="s">
        <v>3760</v>
      </c>
    </row>
    <row r="204" spans="1:9">
      <c r="A204" s="92" t="s">
        <v>4341</v>
      </c>
      <c r="B204" t="s">
        <v>1878</v>
      </c>
      <c r="C204" t="s">
        <v>2256</v>
      </c>
      <c r="D204" t="s">
        <v>2257</v>
      </c>
      <c r="G204" t="s">
        <v>4325</v>
      </c>
      <c r="I204" t="s">
        <v>3760</v>
      </c>
    </row>
    <row r="205" spans="1:9">
      <c r="A205" s="92" t="s">
        <v>4341</v>
      </c>
      <c r="B205" t="s">
        <v>1878</v>
      </c>
      <c r="C205" t="s">
        <v>2258</v>
      </c>
      <c r="D205" t="s">
        <v>2257</v>
      </c>
      <c r="G205" t="s">
        <v>4325</v>
      </c>
      <c r="I205" t="s">
        <v>3760</v>
      </c>
    </row>
    <row r="206" spans="1:9">
      <c r="A206" s="92" t="s">
        <v>4341</v>
      </c>
      <c r="B206" t="s">
        <v>1878</v>
      </c>
      <c r="C206" t="s">
        <v>2259</v>
      </c>
      <c r="D206" t="s">
        <v>2248</v>
      </c>
      <c r="G206" t="s">
        <v>4326</v>
      </c>
      <c r="I206" t="s">
        <v>3760</v>
      </c>
    </row>
    <row r="207" spans="1:9">
      <c r="A207" s="92" t="s">
        <v>4341</v>
      </c>
      <c r="B207" t="s">
        <v>1878</v>
      </c>
      <c r="C207" t="s">
        <v>2260</v>
      </c>
      <c r="D207" t="s">
        <v>2257</v>
      </c>
      <c r="G207" t="s">
        <v>4325</v>
      </c>
      <c r="I207" t="s">
        <v>3760</v>
      </c>
    </row>
    <row r="208" spans="1:9">
      <c r="A208" s="92" t="s">
        <v>4341</v>
      </c>
      <c r="B208" t="s">
        <v>1878</v>
      </c>
      <c r="C208" t="s">
        <v>2261</v>
      </c>
      <c r="D208" t="s">
        <v>2248</v>
      </c>
      <c r="G208" t="s">
        <v>4325</v>
      </c>
      <c r="I208" t="s">
        <v>3760</v>
      </c>
    </row>
    <row r="209" spans="1:9">
      <c r="A209" s="92" t="s">
        <v>4341</v>
      </c>
      <c r="B209" t="s">
        <v>1878</v>
      </c>
      <c r="C209" t="s">
        <v>2262</v>
      </c>
      <c r="D209" t="s">
        <v>2248</v>
      </c>
      <c r="G209" t="s">
        <v>4326</v>
      </c>
      <c r="I209" t="s">
        <v>3760</v>
      </c>
    </row>
    <row r="210" spans="1:9">
      <c r="A210" s="92" t="s">
        <v>4341</v>
      </c>
      <c r="B210" t="s">
        <v>1878</v>
      </c>
      <c r="C210" t="s">
        <v>2263</v>
      </c>
      <c r="D210" t="s">
        <v>2248</v>
      </c>
      <c r="G210" t="s">
        <v>4326</v>
      </c>
      <c r="I210" t="s">
        <v>3760</v>
      </c>
    </row>
    <row r="211" spans="1:9">
      <c r="A211" s="92" t="s">
        <v>4341</v>
      </c>
      <c r="B211" t="s">
        <v>1878</v>
      </c>
      <c r="C211" t="s">
        <v>2264</v>
      </c>
      <c r="D211" t="s">
        <v>2248</v>
      </c>
      <c r="G211" t="s">
        <v>4326</v>
      </c>
      <c r="I211" t="s">
        <v>3760</v>
      </c>
    </row>
    <row r="212" spans="1:9">
      <c r="A212" s="92" t="s">
        <v>4341</v>
      </c>
      <c r="B212" t="s">
        <v>1878</v>
      </c>
      <c r="C212" t="s">
        <v>2265</v>
      </c>
      <c r="D212" t="s">
        <v>2257</v>
      </c>
      <c r="G212" t="s">
        <v>4326</v>
      </c>
      <c r="I212" t="s">
        <v>3760</v>
      </c>
    </row>
    <row r="213" spans="1:9">
      <c r="A213" s="92" t="s">
        <v>4341</v>
      </c>
      <c r="B213" t="s">
        <v>1884</v>
      </c>
      <c r="C213" t="s">
        <v>2267</v>
      </c>
      <c r="D213" t="s">
        <v>2248</v>
      </c>
      <c r="G213" t="s">
        <v>4325</v>
      </c>
      <c r="I213" t="s">
        <v>3768</v>
      </c>
    </row>
    <row r="214" spans="1:9">
      <c r="A214" s="92" t="s">
        <v>4341</v>
      </c>
      <c r="B214" t="s">
        <v>1890</v>
      </c>
      <c r="C214" t="s">
        <v>2269</v>
      </c>
      <c r="D214" t="s">
        <v>2248</v>
      </c>
      <c r="G214" t="s">
        <v>4325</v>
      </c>
      <c r="I214" t="s">
        <v>3776</v>
      </c>
    </row>
    <row r="215" spans="1:9">
      <c r="A215" s="92" t="s">
        <v>4341</v>
      </c>
      <c r="B215" t="s">
        <v>1890</v>
      </c>
      <c r="C215" t="s">
        <v>2270</v>
      </c>
      <c r="D215" t="s">
        <v>2248</v>
      </c>
      <c r="G215" t="s">
        <v>4325</v>
      </c>
      <c r="I215" t="s">
        <v>3776</v>
      </c>
    </row>
    <row r="216" spans="1:9">
      <c r="A216" s="92" t="s">
        <v>4341</v>
      </c>
      <c r="B216" t="s">
        <v>1890</v>
      </c>
      <c r="C216" t="s">
        <v>2271</v>
      </c>
      <c r="D216" t="s">
        <v>2248</v>
      </c>
      <c r="G216" t="s">
        <v>4325</v>
      </c>
      <c r="I216" t="s">
        <v>3776</v>
      </c>
    </row>
    <row r="217" spans="1:9">
      <c r="A217" s="92" t="s">
        <v>4341</v>
      </c>
      <c r="B217" t="s">
        <v>1890</v>
      </c>
      <c r="C217" t="s">
        <v>2272</v>
      </c>
      <c r="D217" t="s">
        <v>2248</v>
      </c>
      <c r="G217" t="s">
        <v>4325</v>
      </c>
      <c r="I217" t="s">
        <v>3776</v>
      </c>
    </row>
    <row r="218" spans="1:9">
      <c r="A218" s="92" t="s">
        <v>4341</v>
      </c>
      <c r="B218" t="s">
        <v>1890</v>
      </c>
      <c r="C218" t="s">
        <v>2273</v>
      </c>
      <c r="D218" t="s">
        <v>2248</v>
      </c>
      <c r="G218" t="s">
        <v>4325</v>
      </c>
      <c r="I218" t="s">
        <v>3776</v>
      </c>
    </row>
    <row r="219" spans="1:9">
      <c r="A219" s="92" t="s">
        <v>4341</v>
      </c>
      <c r="B219" t="s">
        <v>1890</v>
      </c>
      <c r="C219" t="s">
        <v>2274</v>
      </c>
      <c r="D219" t="s">
        <v>2248</v>
      </c>
      <c r="G219" t="s">
        <v>4325</v>
      </c>
      <c r="I219" t="s">
        <v>3776</v>
      </c>
    </row>
    <row r="220" spans="1:9">
      <c r="A220" s="92" t="s">
        <v>4341</v>
      </c>
      <c r="B220" t="s">
        <v>1890</v>
      </c>
      <c r="C220" t="s">
        <v>2275</v>
      </c>
      <c r="D220" t="s">
        <v>2248</v>
      </c>
      <c r="G220" t="s">
        <v>4325</v>
      </c>
      <c r="I220" t="s">
        <v>3776</v>
      </c>
    </row>
    <row r="221" spans="1:9">
      <c r="A221" s="92" t="s">
        <v>4341</v>
      </c>
      <c r="B221" t="s">
        <v>1890</v>
      </c>
      <c r="C221" t="s">
        <v>2276</v>
      </c>
      <c r="D221" t="s">
        <v>2248</v>
      </c>
      <c r="G221" t="s">
        <v>4325</v>
      </c>
      <c r="I221" t="s">
        <v>3776</v>
      </c>
    </row>
    <row r="222" spans="1:9">
      <c r="A222" s="92" t="s">
        <v>4341</v>
      </c>
      <c r="B222" t="s">
        <v>1892</v>
      </c>
      <c r="C222" t="s">
        <v>2278</v>
      </c>
      <c r="D222" t="s">
        <v>2279</v>
      </c>
      <c r="G222" t="s">
        <v>4327</v>
      </c>
      <c r="I222" t="s">
        <v>3780</v>
      </c>
    </row>
    <row r="223" spans="1:9">
      <c r="A223" s="92" t="s">
        <v>4341</v>
      </c>
      <c r="B223" t="s">
        <v>1892</v>
      </c>
      <c r="C223" t="s">
        <v>2281</v>
      </c>
      <c r="D223" t="s">
        <v>2248</v>
      </c>
      <c r="G223" t="s">
        <v>4325</v>
      </c>
      <c r="I223" t="s">
        <v>3780</v>
      </c>
    </row>
    <row r="224" spans="1:9">
      <c r="A224" s="92" t="s">
        <v>4341</v>
      </c>
      <c r="B224" t="s">
        <v>1894</v>
      </c>
      <c r="C224" t="s">
        <v>2355</v>
      </c>
      <c r="D224" t="s">
        <v>2356</v>
      </c>
      <c r="E224" t="s">
        <v>1565</v>
      </c>
      <c r="F224" t="s">
        <v>2358</v>
      </c>
      <c r="G224" t="s">
        <v>4342</v>
      </c>
      <c r="H224" t="s">
        <v>1565</v>
      </c>
      <c r="I224" t="s">
        <v>3787</v>
      </c>
    </row>
    <row r="225" spans="1:9">
      <c r="A225" s="92" t="s">
        <v>4341</v>
      </c>
      <c r="B225" t="s">
        <v>1894</v>
      </c>
      <c r="C225" t="s">
        <v>2516</v>
      </c>
      <c r="D225" t="s">
        <v>2291</v>
      </c>
      <c r="E225" t="s">
        <v>1215</v>
      </c>
      <c r="G225" t="s">
        <v>4343</v>
      </c>
      <c r="H225" t="s">
        <v>1215</v>
      </c>
      <c r="I225" t="s">
        <v>3787</v>
      </c>
    </row>
    <row r="226" spans="1:9">
      <c r="A226" s="92" t="s">
        <v>4341</v>
      </c>
      <c r="B226" t="s">
        <v>1894</v>
      </c>
      <c r="C226" t="s">
        <v>2398</v>
      </c>
      <c r="E226" t="s">
        <v>2399</v>
      </c>
      <c r="G226" t="s">
        <v>4344</v>
      </c>
      <c r="H226" t="s">
        <v>2517</v>
      </c>
      <c r="I226" t="s">
        <v>3787</v>
      </c>
    </row>
    <row r="227" spans="1:9">
      <c r="A227" s="92" t="s">
        <v>4341</v>
      </c>
      <c r="B227" t="s">
        <v>1894</v>
      </c>
      <c r="C227" t="s">
        <v>2400</v>
      </c>
      <c r="D227" t="s">
        <v>2284</v>
      </c>
      <c r="E227" t="s">
        <v>108</v>
      </c>
      <c r="G227" t="s">
        <v>4344</v>
      </c>
      <c r="H227" t="s">
        <v>108</v>
      </c>
      <c r="I227" t="s">
        <v>3787</v>
      </c>
    </row>
    <row r="228" spans="1:9">
      <c r="A228" s="92" t="s">
        <v>4341</v>
      </c>
      <c r="B228" t="s">
        <v>1894</v>
      </c>
      <c r="C228" t="s">
        <v>2401</v>
      </c>
      <c r="D228" t="s">
        <v>2402</v>
      </c>
      <c r="E228" t="s">
        <v>2403</v>
      </c>
      <c r="F228" t="s">
        <v>2404</v>
      </c>
      <c r="G228" t="s">
        <v>4344</v>
      </c>
      <c r="H228" t="s">
        <v>2403</v>
      </c>
      <c r="I228" t="s">
        <v>3787</v>
      </c>
    </row>
    <row r="229" spans="1:9">
      <c r="A229" s="92" t="s">
        <v>4341</v>
      </c>
      <c r="B229" t="s">
        <v>1894</v>
      </c>
      <c r="C229" t="s">
        <v>2405</v>
      </c>
      <c r="E229" t="s">
        <v>108</v>
      </c>
      <c r="G229" t="s">
        <v>4344</v>
      </c>
      <c r="H229" t="s">
        <v>108</v>
      </c>
      <c r="I229" t="s">
        <v>3787</v>
      </c>
    </row>
    <row r="230" spans="1:9">
      <c r="A230" s="92" t="s">
        <v>4341</v>
      </c>
      <c r="B230" t="s">
        <v>1895</v>
      </c>
      <c r="C230" t="s">
        <v>2407</v>
      </c>
      <c r="D230" t="s">
        <v>2296</v>
      </c>
      <c r="E230" t="s">
        <v>108</v>
      </c>
      <c r="G230" t="s">
        <v>4344</v>
      </c>
      <c r="H230" t="s">
        <v>108</v>
      </c>
      <c r="I230" t="s">
        <v>3791</v>
      </c>
    </row>
    <row r="231" spans="1:9">
      <c r="A231" s="92" t="s">
        <v>4341</v>
      </c>
      <c r="B231" t="s">
        <v>1895</v>
      </c>
      <c r="C231" t="s">
        <v>2409</v>
      </c>
      <c r="D231" t="s">
        <v>2410</v>
      </c>
      <c r="E231" t="s">
        <v>108</v>
      </c>
      <c r="F231" t="s">
        <v>2411</v>
      </c>
      <c r="G231" t="s">
        <v>4344</v>
      </c>
      <c r="H231" t="s">
        <v>108</v>
      </c>
      <c r="I231" t="s">
        <v>3791</v>
      </c>
    </row>
    <row r="232" spans="1:9">
      <c r="A232" s="92" t="s">
        <v>4341</v>
      </c>
      <c r="B232" t="s">
        <v>1895</v>
      </c>
      <c r="C232" t="s">
        <v>2412</v>
      </c>
      <c r="D232" t="s">
        <v>2410</v>
      </c>
      <c r="E232" t="s">
        <v>108</v>
      </c>
      <c r="G232" t="s">
        <v>4344</v>
      </c>
      <c r="H232" t="s">
        <v>108</v>
      </c>
      <c r="I232" t="s">
        <v>3791</v>
      </c>
    </row>
    <row r="233" spans="1:9">
      <c r="A233" s="92" t="s">
        <v>4341</v>
      </c>
      <c r="B233" t="s">
        <v>1895</v>
      </c>
      <c r="C233" t="s">
        <v>2290</v>
      </c>
      <c r="D233" t="s">
        <v>2291</v>
      </c>
      <c r="E233" t="s">
        <v>2292</v>
      </c>
      <c r="G233" t="s">
        <v>4345</v>
      </c>
      <c r="H233" t="s">
        <v>2519</v>
      </c>
      <c r="I233" t="s">
        <v>3791</v>
      </c>
    </row>
    <row r="234" spans="1:9">
      <c r="A234" s="92" t="s">
        <v>4341</v>
      </c>
      <c r="B234" t="s">
        <v>1895</v>
      </c>
      <c r="C234" t="s">
        <v>2414</v>
      </c>
      <c r="D234" t="s">
        <v>2415</v>
      </c>
      <c r="E234" t="s">
        <v>108</v>
      </c>
      <c r="F234" t="s">
        <v>2416</v>
      </c>
      <c r="G234" t="s">
        <v>4344</v>
      </c>
      <c r="H234" t="s">
        <v>108</v>
      </c>
      <c r="I234" t="s">
        <v>3791</v>
      </c>
    </row>
    <row r="235" spans="1:9">
      <c r="A235" s="92" t="s">
        <v>4341</v>
      </c>
      <c r="B235" t="s">
        <v>3567</v>
      </c>
      <c r="C235" t="s">
        <v>2418</v>
      </c>
      <c r="D235" t="s">
        <v>2363</v>
      </c>
      <c r="E235" t="s">
        <v>108</v>
      </c>
      <c r="G235" t="s">
        <v>4344</v>
      </c>
      <c r="H235" t="s">
        <v>108</v>
      </c>
      <c r="I235" t="s">
        <v>3795</v>
      </c>
    </row>
    <row r="236" spans="1:9">
      <c r="A236" s="92" t="s">
        <v>4341</v>
      </c>
      <c r="B236" t="s">
        <v>3567</v>
      </c>
      <c r="C236" t="s">
        <v>2362</v>
      </c>
      <c r="D236" t="s">
        <v>2363</v>
      </c>
      <c r="E236" t="s">
        <v>2364</v>
      </c>
      <c r="G236" t="s">
        <v>4344</v>
      </c>
      <c r="H236" t="s">
        <v>108</v>
      </c>
      <c r="I236" t="s">
        <v>3795</v>
      </c>
    </row>
    <row r="237" spans="1:9">
      <c r="A237" s="92" t="s">
        <v>4341</v>
      </c>
      <c r="B237" t="s">
        <v>3567</v>
      </c>
      <c r="C237" t="s">
        <v>2420</v>
      </c>
      <c r="D237" t="s">
        <v>2363</v>
      </c>
      <c r="E237" t="s">
        <v>2421</v>
      </c>
      <c r="F237" t="s">
        <v>2422</v>
      </c>
      <c r="G237" t="s">
        <v>4344</v>
      </c>
      <c r="H237" t="s">
        <v>108</v>
      </c>
      <c r="I237" t="s">
        <v>3795</v>
      </c>
    </row>
    <row r="238" spans="1:9">
      <c r="A238" s="92" t="s">
        <v>4341</v>
      </c>
      <c r="B238" t="s">
        <v>3567</v>
      </c>
      <c r="C238" t="s">
        <v>2423</v>
      </c>
      <c r="D238" t="s">
        <v>2363</v>
      </c>
      <c r="E238" t="s">
        <v>108</v>
      </c>
      <c r="G238" t="s">
        <v>4344</v>
      </c>
      <c r="H238" t="s">
        <v>108</v>
      </c>
      <c r="I238" t="s">
        <v>3795</v>
      </c>
    </row>
    <row r="239" spans="1:9">
      <c r="A239" s="92" t="s">
        <v>4341</v>
      </c>
      <c r="B239" t="s">
        <v>1901</v>
      </c>
      <c r="C239" t="s">
        <v>2425</v>
      </c>
      <c r="D239" t="s">
        <v>2426</v>
      </c>
      <c r="E239" t="s">
        <v>2427</v>
      </c>
      <c r="G239" t="s">
        <v>4344</v>
      </c>
      <c r="H239" t="s">
        <v>108</v>
      </c>
      <c r="I239" t="s">
        <v>3799</v>
      </c>
    </row>
    <row r="240" spans="1:9">
      <c r="A240" s="92" t="s">
        <v>4341</v>
      </c>
      <c r="B240" t="s">
        <v>1901</v>
      </c>
      <c r="C240" t="s">
        <v>2369</v>
      </c>
      <c r="E240" t="s">
        <v>552</v>
      </c>
      <c r="F240" t="s">
        <v>2370</v>
      </c>
      <c r="G240" t="s">
        <v>4342</v>
      </c>
      <c r="H240" t="s">
        <v>552</v>
      </c>
      <c r="I240" t="s">
        <v>3799</v>
      </c>
    </row>
    <row r="241" spans="1:9">
      <c r="A241" s="92" t="s">
        <v>4341</v>
      </c>
      <c r="B241" t="s">
        <v>1901</v>
      </c>
      <c r="C241" t="s">
        <v>2428</v>
      </c>
      <c r="D241" t="s">
        <v>2426</v>
      </c>
      <c r="E241" t="s">
        <v>2429</v>
      </c>
      <c r="G241" t="s">
        <v>4344</v>
      </c>
      <c r="H241" t="s">
        <v>108</v>
      </c>
      <c r="I241" t="s">
        <v>3799</v>
      </c>
    </row>
    <row r="242" spans="1:9">
      <c r="A242" s="92" t="s">
        <v>4341</v>
      </c>
      <c r="B242" t="s">
        <v>1901</v>
      </c>
      <c r="C242" t="s">
        <v>2430</v>
      </c>
      <c r="D242" t="s">
        <v>2431</v>
      </c>
      <c r="E242" t="s">
        <v>108</v>
      </c>
      <c r="F242" t="s">
        <v>2432</v>
      </c>
      <c r="G242" t="s">
        <v>4344</v>
      </c>
      <c r="H242" t="s">
        <v>108</v>
      </c>
      <c r="I242" t="s">
        <v>3799</v>
      </c>
    </row>
    <row r="243" spans="1:9">
      <c r="A243" s="92" t="s">
        <v>4341</v>
      </c>
      <c r="B243" t="s">
        <v>1901</v>
      </c>
      <c r="C243" t="s">
        <v>2433</v>
      </c>
      <c r="D243" t="s">
        <v>2431</v>
      </c>
      <c r="E243" t="s">
        <v>108</v>
      </c>
      <c r="G243" t="s">
        <v>4344</v>
      </c>
      <c r="H243" t="s">
        <v>108</v>
      </c>
      <c r="I243" t="s">
        <v>3799</v>
      </c>
    </row>
    <row r="244" spans="1:9">
      <c r="A244" s="92" t="s">
        <v>4341</v>
      </c>
      <c r="B244" t="s">
        <v>1903</v>
      </c>
      <c r="C244" t="s">
        <v>2435</v>
      </c>
      <c r="D244" t="s">
        <v>2436</v>
      </c>
      <c r="E244" t="s">
        <v>108</v>
      </c>
      <c r="F244" t="s">
        <v>2437</v>
      </c>
      <c r="G244" t="s">
        <v>4344</v>
      </c>
      <c r="H244" t="s">
        <v>108</v>
      </c>
      <c r="I244" t="s">
        <v>3803</v>
      </c>
    </row>
    <row r="245" spans="1:9">
      <c r="A245" s="92" t="s">
        <v>4341</v>
      </c>
      <c r="B245" t="s">
        <v>1903</v>
      </c>
      <c r="C245" t="s">
        <v>2295</v>
      </c>
      <c r="D245" t="s">
        <v>2296</v>
      </c>
      <c r="E245" t="s">
        <v>2297</v>
      </c>
      <c r="G245" t="s">
        <v>4345</v>
      </c>
      <c r="H245" t="s">
        <v>2519</v>
      </c>
      <c r="I245" t="s">
        <v>3803</v>
      </c>
    </row>
    <row r="246" spans="1:9">
      <c r="A246" s="92" t="s">
        <v>4341</v>
      </c>
      <c r="B246" t="s">
        <v>1903</v>
      </c>
      <c r="C246" t="s">
        <v>2298</v>
      </c>
      <c r="D246" t="s">
        <v>2296</v>
      </c>
      <c r="E246" t="s">
        <v>2292</v>
      </c>
      <c r="G246" t="s">
        <v>4345</v>
      </c>
      <c r="H246" t="s">
        <v>2519</v>
      </c>
      <c r="I246" t="s">
        <v>3803</v>
      </c>
    </row>
    <row r="247" spans="1:9">
      <c r="A247" s="92" t="s">
        <v>4341</v>
      </c>
      <c r="B247" t="s">
        <v>1903</v>
      </c>
      <c r="C247" t="s">
        <v>2299</v>
      </c>
      <c r="D247" t="s">
        <v>2296</v>
      </c>
      <c r="E247" t="s">
        <v>2292</v>
      </c>
      <c r="G247" t="s">
        <v>4345</v>
      </c>
      <c r="H247" t="s">
        <v>2519</v>
      </c>
      <c r="I247" t="s">
        <v>3803</v>
      </c>
    </row>
    <row r="248" spans="1:9">
      <c r="A248" s="92" t="s">
        <v>4341</v>
      </c>
      <c r="B248" t="s">
        <v>1903</v>
      </c>
      <c r="C248" t="s">
        <v>2300</v>
      </c>
      <c r="D248" t="s">
        <v>2301</v>
      </c>
      <c r="E248" t="s">
        <v>2292</v>
      </c>
      <c r="G248" t="s">
        <v>4345</v>
      </c>
      <c r="H248" t="s">
        <v>2519</v>
      </c>
      <c r="I248" t="s">
        <v>3803</v>
      </c>
    </row>
    <row r="249" spans="1:9">
      <c r="A249" s="92" t="s">
        <v>4341</v>
      </c>
      <c r="B249" t="s">
        <v>1903</v>
      </c>
      <c r="C249" t="s">
        <v>2302</v>
      </c>
      <c r="E249" t="s">
        <v>2292</v>
      </c>
      <c r="G249" t="s">
        <v>4345</v>
      </c>
      <c r="H249" t="s">
        <v>2519</v>
      </c>
      <c r="I249" t="s">
        <v>3803</v>
      </c>
    </row>
    <row r="250" spans="1:9">
      <c r="A250" s="92" t="s">
        <v>4341</v>
      </c>
      <c r="B250" t="s">
        <v>1903</v>
      </c>
      <c r="C250" t="s">
        <v>2303</v>
      </c>
      <c r="E250" t="s">
        <v>2292</v>
      </c>
      <c r="G250" t="s">
        <v>4345</v>
      </c>
      <c r="H250" t="s">
        <v>2519</v>
      </c>
      <c r="I250" t="s">
        <v>3803</v>
      </c>
    </row>
    <row r="251" spans="1:9">
      <c r="A251" s="92" t="s">
        <v>4341</v>
      </c>
      <c r="B251" t="s">
        <v>1903</v>
      </c>
      <c r="C251" t="s">
        <v>2304</v>
      </c>
      <c r="E251" t="s">
        <v>2292</v>
      </c>
      <c r="G251" t="s">
        <v>4345</v>
      </c>
      <c r="H251" t="s">
        <v>2519</v>
      </c>
      <c r="I251" t="s">
        <v>3803</v>
      </c>
    </row>
    <row r="252" spans="1:9">
      <c r="A252" s="92" t="s">
        <v>4341</v>
      </c>
      <c r="B252" t="s">
        <v>1905</v>
      </c>
      <c r="C252" t="s">
        <v>2439</v>
      </c>
      <c r="D252" t="s">
        <v>2440</v>
      </c>
      <c r="E252" t="s">
        <v>108</v>
      </c>
      <c r="G252" t="s">
        <v>4344</v>
      </c>
      <c r="H252" t="s">
        <v>108</v>
      </c>
      <c r="I252" t="s">
        <v>3805</v>
      </c>
    </row>
    <row r="253" spans="1:9">
      <c r="A253" s="92" t="s">
        <v>4341</v>
      </c>
      <c r="B253" t="s">
        <v>1905</v>
      </c>
      <c r="C253" t="s">
        <v>2441</v>
      </c>
      <c r="D253" t="s">
        <v>2442</v>
      </c>
      <c r="E253" t="s">
        <v>2427</v>
      </c>
      <c r="G253" t="s">
        <v>4344</v>
      </c>
      <c r="H253" t="s">
        <v>108</v>
      </c>
      <c r="I253" t="s">
        <v>3805</v>
      </c>
    </row>
    <row r="254" spans="1:9">
      <c r="A254" s="92" t="s">
        <v>4341</v>
      </c>
      <c r="B254" t="s">
        <v>1905</v>
      </c>
      <c r="C254" t="s">
        <v>2443</v>
      </c>
      <c r="D254" t="s">
        <v>2440</v>
      </c>
      <c r="E254" t="s">
        <v>2444</v>
      </c>
      <c r="F254" t="s">
        <v>2445</v>
      </c>
      <c r="G254" t="s">
        <v>4344</v>
      </c>
      <c r="H254" t="s">
        <v>108</v>
      </c>
      <c r="I254" t="s">
        <v>3805</v>
      </c>
    </row>
    <row r="255" spans="1:9">
      <c r="A255" s="92" t="s">
        <v>4341</v>
      </c>
      <c r="B255" t="s">
        <v>1905</v>
      </c>
      <c r="C255" t="s">
        <v>2306</v>
      </c>
      <c r="D255" t="s">
        <v>2291</v>
      </c>
      <c r="E255" t="s">
        <v>2307</v>
      </c>
      <c r="G255" t="s">
        <v>4344</v>
      </c>
      <c r="H255" t="s">
        <v>108</v>
      </c>
      <c r="I255" t="s">
        <v>3805</v>
      </c>
    </row>
    <row r="256" spans="1:9">
      <c r="A256" s="92" t="s">
        <v>4341</v>
      </c>
      <c r="B256" t="s">
        <v>1905</v>
      </c>
      <c r="C256" t="s">
        <v>2310</v>
      </c>
      <c r="D256" t="s">
        <v>2291</v>
      </c>
      <c r="E256" t="s">
        <v>2311</v>
      </c>
      <c r="G256" t="s">
        <v>4345</v>
      </c>
      <c r="H256" t="s">
        <v>2373</v>
      </c>
      <c r="I256" t="s">
        <v>3805</v>
      </c>
    </row>
    <row r="257" spans="1:9">
      <c r="A257" s="92" t="s">
        <v>4341</v>
      </c>
      <c r="B257" t="s">
        <v>1905</v>
      </c>
      <c r="C257" t="s">
        <v>2313</v>
      </c>
      <c r="D257" t="s">
        <v>2291</v>
      </c>
      <c r="E257" t="s">
        <v>2292</v>
      </c>
      <c r="G257" t="s">
        <v>4345</v>
      </c>
      <c r="H257" t="s">
        <v>2519</v>
      </c>
      <c r="I257" t="s">
        <v>3805</v>
      </c>
    </row>
    <row r="258" spans="1:9">
      <c r="A258" s="92" t="s">
        <v>4341</v>
      </c>
      <c r="B258" t="s">
        <v>1905</v>
      </c>
      <c r="C258" t="s">
        <v>2314</v>
      </c>
      <c r="D258" t="s">
        <v>2291</v>
      </c>
      <c r="E258" t="s">
        <v>2292</v>
      </c>
      <c r="G258" t="s">
        <v>4345</v>
      </c>
      <c r="H258" t="s">
        <v>2519</v>
      </c>
      <c r="I258" t="s">
        <v>3805</v>
      </c>
    </row>
    <row r="259" spans="1:9">
      <c r="A259" s="92" t="s">
        <v>4341</v>
      </c>
      <c r="B259" t="s">
        <v>1905</v>
      </c>
      <c r="C259" t="s">
        <v>2447</v>
      </c>
      <c r="D259" t="s">
        <v>2440</v>
      </c>
      <c r="E259" t="s">
        <v>2403</v>
      </c>
      <c r="G259" t="s">
        <v>4344</v>
      </c>
      <c r="H259" t="s">
        <v>2403</v>
      </c>
      <c r="I259" t="s">
        <v>3805</v>
      </c>
    </row>
    <row r="260" spans="1:9">
      <c r="A260" s="92" t="s">
        <v>4341</v>
      </c>
      <c r="B260" t="s">
        <v>1905</v>
      </c>
      <c r="C260" t="s">
        <v>2448</v>
      </c>
      <c r="D260" t="s">
        <v>2449</v>
      </c>
      <c r="E260" t="s">
        <v>108</v>
      </c>
      <c r="G260" t="s">
        <v>4344</v>
      </c>
      <c r="H260" t="s">
        <v>108</v>
      </c>
      <c r="I260" t="s">
        <v>3805</v>
      </c>
    </row>
    <row r="261" spans="1:9">
      <c r="A261" s="92" t="s">
        <v>4341</v>
      </c>
      <c r="B261" t="s">
        <v>1908</v>
      </c>
      <c r="C261" t="s">
        <v>2451</v>
      </c>
      <c r="E261" t="s">
        <v>2403</v>
      </c>
      <c r="G261" t="s">
        <v>4344</v>
      </c>
      <c r="H261" t="s">
        <v>2403</v>
      </c>
      <c r="I261" t="s">
        <v>3807</v>
      </c>
    </row>
    <row r="262" spans="1:9">
      <c r="A262" s="92" t="s">
        <v>4341</v>
      </c>
      <c r="B262" t="s">
        <v>1908</v>
      </c>
      <c r="C262" t="s">
        <v>2375</v>
      </c>
      <c r="E262" t="s">
        <v>2376</v>
      </c>
      <c r="G262" t="s">
        <v>4342</v>
      </c>
      <c r="H262" t="s">
        <v>2376</v>
      </c>
      <c r="I262" t="s">
        <v>3807</v>
      </c>
    </row>
    <row r="263" spans="1:9">
      <c r="A263" s="92" t="s">
        <v>4341</v>
      </c>
      <c r="B263" t="s">
        <v>1908</v>
      </c>
      <c r="C263" t="s">
        <v>2452</v>
      </c>
      <c r="D263" t="s">
        <v>2440</v>
      </c>
      <c r="E263" t="s">
        <v>108</v>
      </c>
      <c r="G263" t="s">
        <v>4344</v>
      </c>
      <c r="H263" t="s">
        <v>108</v>
      </c>
      <c r="I263" t="s">
        <v>3807</v>
      </c>
    </row>
    <row r="264" spans="1:9">
      <c r="A264" s="92" t="s">
        <v>4341</v>
      </c>
      <c r="B264" t="s">
        <v>1908</v>
      </c>
      <c r="C264" t="s">
        <v>2453</v>
      </c>
      <c r="D264" t="s">
        <v>2440</v>
      </c>
      <c r="E264" t="s">
        <v>108</v>
      </c>
      <c r="G264" t="s">
        <v>4344</v>
      </c>
      <c r="H264" t="s">
        <v>108</v>
      </c>
      <c r="I264" t="s">
        <v>3807</v>
      </c>
    </row>
    <row r="265" spans="1:9">
      <c r="A265" s="92" t="s">
        <v>4341</v>
      </c>
      <c r="B265" t="s">
        <v>1908</v>
      </c>
      <c r="C265" t="s">
        <v>2454</v>
      </c>
      <c r="D265" t="s">
        <v>2301</v>
      </c>
      <c r="E265" t="s">
        <v>108</v>
      </c>
      <c r="G265" t="s">
        <v>4344</v>
      </c>
      <c r="H265" t="s">
        <v>108</v>
      </c>
      <c r="I265" t="s">
        <v>3807</v>
      </c>
    </row>
    <row r="266" spans="1:9">
      <c r="A266" s="92" t="s">
        <v>4341</v>
      </c>
      <c r="B266" t="s">
        <v>1908</v>
      </c>
      <c r="C266" t="s">
        <v>2455</v>
      </c>
      <c r="D266" t="s">
        <v>2456</v>
      </c>
      <c r="E266" t="s">
        <v>2403</v>
      </c>
      <c r="G266" t="s">
        <v>4344</v>
      </c>
      <c r="H266" t="s">
        <v>2403</v>
      </c>
      <c r="I266" t="s">
        <v>3807</v>
      </c>
    </row>
    <row r="267" spans="1:9">
      <c r="A267" s="92" t="s">
        <v>4341</v>
      </c>
      <c r="B267" t="s">
        <v>1908</v>
      </c>
      <c r="C267" t="s">
        <v>2457</v>
      </c>
      <c r="D267" t="s">
        <v>2456</v>
      </c>
      <c r="E267" t="s">
        <v>2403</v>
      </c>
      <c r="G267" t="s">
        <v>4344</v>
      </c>
      <c r="H267" t="s">
        <v>2403</v>
      </c>
      <c r="I267" t="s">
        <v>3807</v>
      </c>
    </row>
    <row r="268" spans="1:9">
      <c r="A268" s="92" t="s">
        <v>4341</v>
      </c>
      <c r="B268" t="s">
        <v>1908</v>
      </c>
      <c r="C268" t="s">
        <v>2316</v>
      </c>
      <c r="D268" t="s">
        <v>2291</v>
      </c>
      <c r="E268" t="s">
        <v>2292</v>
      </c>
      <c r="G268" t="s">
        <v>4345</v>
      </c>
      <c r="H268" t="s">
        <v>2519</v>
      </c>
      <c r="I268" t="s">
        <v>3807</v>
      </c>
    </row>
    <row r="269" spans="1:9">
      <c r="A269" s="92" t="s">
        <v>4341</v>
      </c>
      <c r="B269" t="s">
        <v>1908</v>
      </c>
      <c r="C269" t="s">
        <v>2458</v>
      </c>
      <c r="D269" t="s">
        <v>2456</v>
      </c>
      <c r="E269" t="s">
        <v>108</v>
      </c>
      <c r="F269" t="s">
        <v>2459</v>
      </c>
      <c r="G269" t="s">
        <v>4344</v>
      </c>
      <c r="H269" t="s">
        <v>108</v>
      </c>
      <c r="I269" t="s">
        <v>3807</v>
      </c>
    </row>
    <row r="270" spans="1:9">
      <c r="A270" s="92" t="s">
        <v>4341</v>
      </c>
      <c r="B270" t="s">
        <v>1909</v>
      </c>
      <c r="C270" t="s">
        <v>2461</v>
      </c>
      <c r="D270" t="s">
        <v>2462</v>
      </c>
      <c r="E270" t="s">
        <v>108</v>
      </c>
      <c r="G270" t="s">
        <v>4344</v>
      </c>
      <c r="H270" t="s">
        <v>108</v>
      </c>
      <c r="I270" t="s">
        <v>3811</v>
      </c>
    </row>
    <row r="271" spans="1:9">
      <c r="A271" s="92" t="s">
        <v>4341</v>
      </c>
      <c r="B271" t="s">
        <v>1909</v>
      </c>
      <c r="C271" t="s">
        <v>2463</v>
      </c>
      <c r="D271" t="s">
        <v>2464</v>
      </c>
      <c r="E271" t="s">
        <v>108</v>
      </c>
      <c r="G271" t="s">
        <v>4344</v>
      </c>
      <c r="H271" t="s">
        <v>108</v>
      </c>
      <c r="I271" t="s">
        <v>3811</v>
      </c>
    </row>
    <row r="272" spans="1:9">
      <c r="A272" s="92" t="s">
        <v>4341</v>
      </c>
      <c r="B272" t="s">
        <v>1909</v>
      </c>
      <c r="C272" t="s">
        <v>2465</v>
      </c>
      <c r="D272" t="s">
        <v>2464</v>
      </c>
      <c r="E272" t="s">
        <v>108</v>
      </c>
      <c r="G272" t="s">
        <v>4344</v>
      </c>
      <c r="H272" t="s">
        <v>108</v>
      </c>
      <c r="I272" t="s">
        <v>3811</v>
      </c>
    </row>
    <row r="273" spans="1:9">
      <c r="A273" s="92" t="s">
        <v>4341</v>
      </c>
      <c r="B273" t="s">
        <v>1911</v>
      </c>
      <c r="C273" t="s">
        <v>2378</v>
      </c>
      <c r="D273" t="s">
        <v>2379</v>
      </c>
      <c r="E273" t="s">
        <v>552</v>
      </c>
      <c r="F273" t="s">
        <v>2380</v>
      </c>
      <c r="G273" t="s">
        <v>4342</v>
      </c>
      <c r="H273" t="s">
        <v>552</v>
      </c>
      <c r="I273" t="s">
        <v>3815</v>
      </c>
    </row>
    <row r="274" spans="1:9">
      <c r="A274" s="92" t="s">
        <v>4341</v>
      </c>
      <c r="B274" t="s">
        <v>1911</v>
      </c>
      <c r="C274" t="s">
        <v>2381</v>
      </c>
      <c r="D274" t="s">
        <v>2382</v>
      </c>
      <c r="E274" t="s">
        <v>2383</v>
      </c>
      <c r="F274" t="s">
        <v>2384</v>
      </c>
      <c r="G274" t="s">
        <v>4342</v>
      </c>
      <c r="H274" t="s">
        <v>552</v>
      </c>
      <c r="I274" t="s">
        <v>3815</v>
      </c>
    </row>
    <row r="275" spans="1:9">
      <c r="A275" s="92" t="s">
        <v>4341</v>
      </c>
      <c r="B275" t="s">
        <v>1911</v>
      </c>
      <c r="C275" t="s">
        <v>2467</v>
      </c>
      <c r="D275" t="s">
        <v>2319</v>
      </c>
      <c r="E275" t="s">
        <v>2403</v>
      </c>
      <c r="F275" t="s">
        <v>2468</v>
      </c>
      <c r="G275" t="s">
        <v>4344</v>
      </c>
      <c r="H275" t="s">
        <v>2403</v>
      </c>
      <c r="I275" t="s">
        <v>3815</v>
      </c>
    </row>
    <row r="276" spans="1:9">
      <c r="A276" s="92" t="s">
        <v>4341</v>
      </c>
      <c r="B276" t="s">
        <v>1911</v>
      </c>
      <c r="C276" t="s">
        <v>2469</v>
      </c>
      <c r="D276" t="s">
        <v>2382</v>
      </c>
      <c r="E276" t="s">
        <v>108</v>
      </c>
      <c r="F276" t="s">
        <v>2470</v>
      </c>
      <c r="G276" t="s">
        <v>4344</v>
      </c>
      <c r="H276" t="s">
        <v>108</v>
      </c>
      <c r="I276" t="s">
        <v>3815</v>
      </c>
    </row>
    <row r="277" spans="1:9">
      <c r="A277" s="92" t="s">
        <v>4341</v>
      </c>
      <c r="B277" t="s">
        <v>1911</v>
      </c>
      <c r="C277" t="s">
        <v>2471</v>
      </c>
      <c r="D277" t="s">
        <v>2379</v>
      </c>
      <c r="E277" t="s">
        <v>108</v>
      </c>
      <c r="F277" t="s">
        <v>2472</v>
      </c>
      <c r="G277" t="s">
        <v>4344</v>
      </c>
      <c r="H277" t="s">
        <v>108</v>
      </c>
      <c r="I277" t="s">
        <v>3815</v>
      </c>
    </row>
    <row r="278" spans="1:9">
      <c r="A278" s="92" t="s">
        <v>4341</v>
      </c>
      <c r="B278" t="s">
        <v>1911</v>
      </c>
      <c r="C278" t="s">
        <v>2473</v>
      </c>
      <c r="D278" t="s">
        <v>2474</v>
      </c>
      <c r="E278" t="s">
        <v>108</v>
      </c>
      <c r="F278" t="s">
        <v>2475</v>
      </c>
      <c r="G278" t="s">
        <v>4344</v>
      </c>
      <c r="H278" t="s">
        <v>108</v>
      </c>
      <c r="I278" t="s">
        <v>3815</v>
      </c>
    </row>
    <row r="279" spans="1:9">
      <c r="A279" s="92" t="s">
        <v>4341</v>
      </c>
      <c r="B279" t="s">
        <v>1911</v>
      </c>
      <c r="C279" t="s">
        <v>2324</v>
      </c>
      <c r="D279" t="s">
        <v>2325</v>
      </c>
      <c r="G279" t="s">
        <v>4330</v>
      </c>
      <c r="I279" t="s">
        <v>3815</v>
      </c>
    </row>
    <row r="280" spans="1:9">
      <c r="A280" s="92" t="s">
        <v>4341</v>
      </c>
      <c r="B280" t="s">
        <v>1911</v>
      </c>
      <c r="C280" t="s">
        <v>2327</v>
      </c>
      <c r="D280" t="s">
        <v>2325</v>
      </c>
      <c r="G280" t="s">
        <v>4330</v>
      </c>
      <c r="I280" t="s">
        <v>3815</v>
      </c>
    </row>
    <row r="281" spans="1:9">
      <c r="A281" s="92" t="s">
        <v>4341</v>
      </c>
      <c r="B281" t="s">
        <v>1911</v>
      </c>
      <c r="C281" t="s">
        <v>2328</v>
      </c>
      <c r="D281" t="s">
        <v>2325</v>
      </c>
      <c r="E281" t="s">
        <v>2329</v>
      </c>
      <c r="F281" t="s">
        <v>2331</v>
      </c>
      <c r="G281" t="s">
        <v>4331</v>
      </c>
      <c r="I281" t="s">
        <v>3815</v>
      </c>
    </row>
    <row r="282" spans="1:9">
      <c r="A282" s="92" t="s">
        <v>4341</v>
      </c>
      <c r="B282" t="s">
        <v>1916</v>
      </c>
      <c r="C282" t="s">
        <v>2477</v>
      </c>
      <c r="D282" t="s">
        <v>2382</v>
      </c>
      <c r="E282" t="s">
        <v>108</v>
      </c>
      <c r="F282" t="s">
        <v>2478</v>
      </c>
      <c r="G282" t="s">
        <v>4344</v>
      </c>
      <c r="H282" t="s">
        <v>108</v>
      </c>
      <c r="I282" t="s">
        <v>3819</v>
      </c>
    </row>
    <row r="283" spans="1:9">
      <c r="A283" s="92" t="s">
        <v>4341</v>
      </c>
      <c r="B283" t="s">
        <v>1916</v>
      </c>
      <c r="C283" t="s">
        <v>2334</v>
      </c>
      <c r="D283" t="s">
        <v>2291</v>
      </c>
      <c r="E283" t="s">
        <v>2311</v>
      </c>
      <c r="F283" t="s">
        <v>2335</v>
      </c>
      <c r="G283" t="s">
        <v>4332</v>
      </c>
      <c r="I283" t="s">
        <v>3819</v>
      </c>
    </row>
    <row r="284" spans="1:9">
      <c r="A284" s="92" t="s">
        <v>4341</v>
      </c>
      <c r="B284" t="s">
        <v>1916</v>
      </c>
      <c r="C284" t="s">
        <v>2334</v>
      </c>
      <c r="D284" t="s">
        <v>2291</v>
      </c>
      <c r="E284" t="s">
        <v>2311</v>
      </c>
      <c r="F284" t="s">
        <v>2335</v>
      </c>
      <c r="G284" t="s">
        <v>4345</v>
      </c>
      <c r="H284" t="s">
        <v>2373</v>
      </c>
      <c r="I284" t="s">
        <v>3819</v>
      </c>
    </row>
    <row r="285" spans="1:9">
      <c r="A285" s="92" t="s">
        <v>4341</v>
      </c>
      <c r="B285" t="s">
        <v>1916</v>
      </c>
      <c r="C285" t="s">
        <v>2336</v>
      </c>
      <c r="D285" t="s">
        <v>2291</v>
      </c>
      <c r="E285" t="s">
        <v>552</v>
      </c>
      <c r="F285" t="s">
        <v>2337</v>
      </c>
      <c r="G285" t="s">
        <v>4333</v>
      </c>
      <c r="I285" t="s">
        <v>3819</v>
      </c>
    </row>
    <row r="286" spans="1:9">
      <c r="A286" s="92" t="s">
        <v>4341</v>
      </c>
      <c r="B286" t="s">
        <v>1916</v>
      </c>
      <c r="C286" t="s">
        <v>2336</v>
      </c>
      <c r="D286" t="s">
        <v>2291</v>
      </c>
      <c r="E286" t="s">
        <v>552</v>
      </c>
      <c r="F286" t="s">
        <v>2337</v>
      </c>
      <c r="G286" t="s">
        <v>4342</v>
      </c>
      <c r="H286" t="s">
        <v>552</v>
      </c>
      <c r="I286" t="s">
        <v>3819</v>
      </c>
    </row>
    <row r="287" spans="1:9">
      <c r="A287" s="92" t="s">
        <v>4341</v>
      </c>
      <c r="B287" t="s">
        <v>1916</v>
      </c>
      <c r="C287" t="s">
        <v>2479</v>
      </c>
      <c r="D287" t="s">
        <v>2480</v>
      </c>
      <c r="E287" t="s">
        <v>108</v>
      </c>
      <c r="F287" t="s">
        <v>2481</v>
      </c>
      <c r="G287" t="s">
        <v>4344</v>
      </c>
      <c r="H287" t="s">
        <v>108</v>
      </c>
      <c r="I287" t="s">
        <v>3819</v>
      </c>
    </row>
    <row r="288" spans="1:9">
      <c r="A288" s="92" t="s">
        <v>4341</v>
      </c>
      <c r="B288" t="s">
        <v>1916</v>
      </c>
      <c r="C288" t="s">
        <v>2482</v>
      </c>
      <c r="D288" t="s">
        <v>2480</v>
      </c>
      <c r="E288" t="s">
        <v>108</v>
      </c>
      <c r="F288" t="s">
        <v>2483</v>
      </c>
      <c r="G288" t="s">
        <v>4344</v>
      </c>
      <c r="H288" t="s">
        <v>108</v>
      </c>
      <c r="I288" t="s">
        <v>3819</v>
      </c>
    </row>
    <row r="289" spans="1:9">
      <c r="A289" s="92" t="s">
        <v>4341</v>
      </c>
      <c r="B289" t="s">
        <v>1916</v>
      </c>
      <c r="C289" t="s">
        <v>2484</v>
      </c>
      <c r="D289" t="s">
        <v>2382</v>
      </c>
      <c r="E289" t="s">
        <v>2403</v>
      </c>
      <c r="G289" t="s">
        <v>4344</v>
      </c>
      <c r="H289" t="s">
        <v>2403</v>
      </c>
      <c r="I289" t="s">
        <v>3819</v>
      </c>
    </row>
    <row r="290" spans="1:9">
      <c r="A290" s="92" t="s">
        <v>4341</v>
      </c>
      <c r="B290" t="s">
        <v>1916</v>
      </c>
      <c r="C290" t="s">
        <v>2485</v>
      </c>
      <c r="D290" t="s">
        <v>2486</v>
      </c>
      <c r="E290" t="s">
        <v>2487</v>
      </c>
      <c r="G290" t="s">
        <v>4344</v>
      </c>
      <c r="H290" t="s">
        <v>108</v>
      </c>
      <c r="I290" t="s">
        <v>3819</v>
      </c>
    </row>
    <row r="291" spans="1:9">
      <c r="A291" s="92" t="s">
        <v>4341</v>
      </c>
      <c r="B291" t="s">
        <v>1916</v>
      </c>
      <c r="C291" t="s">
        <v>2386</v>
      </c>
      <c r="D291" t="s">
        <v>2291</v>
      </c>
      <c r="E291" t="s">
        <v>552</v>
      </c>
      <c r="F291" t="s">
        <v>2387</v>
      </c>
      <c r="G291" t="s">
        <v>4342</v>
      </c>
      <c r="H291" t="s">
        <v>552</v>
      </c>
      <c r="I291" t="s">
        <v>3819</v>
      </c>
    </row>
    <row r="292" spans="1:9">
      <c r="A292" s="92" t="s">
        <v>4341</v>
      </c>
      <c r="B292" t="s">
        <v>1918</v>
      </c>
      <c r="C292" t="s">
        <v>2389</v>
      </c>
      <c r="E292" t="s">
        <v>552</v>
      </c>
      <c r="G292" t="s">
        <v>4342</v>
      </c>
      <c r="H292" t="s">
        <v>552</v>
      </c>
      <c r="I292" t="s">
        <v>3823</v>
      </c>
    </row>
    <row r="293" spans="1:9">
      <c r="A293" s="92" t="s">
        <v>4341</v>
      </c>
      <c r="B293" t="s">
        <v>1918</v>
      </c>
      <c r="C293" t="s">
        <v>2489</v>
      </c>
      <c r="D293" t="s">
        <v>2490</v>
      </c>
      <c r="E293" t="s">
        <v>108</v>
      </c>
      <c r="G293" t="s">
        <v>4344</v>
      </c>
      <c r="H293" t="s">
        <v>108</v>
      </c>
      <c r="I293" t="s">
        <v>3823</v>
      </c>
    </row>
    <row r="294" spans="1:9">
      <c r="A294" s="92" t="s">
        <v>4341</v>
      </c>
      <c r="B294" t="s">
        <v>1918</v>
      </c>
      <c r="C294" t="s">
        <v>2491</v>
      </c>
      <c r="D294" t="s">
        <v>2490</v>
      </c>
      <c r="E294" t="s">
        <v>2403</v>
      </c>
      <c r="F294" t="s">
        <v>2492</v>
      </c>
      <c r="G294" t="s">
        <v>4344</v>
      </c>
      <c r="H294" t="s">
        <v>2403</v>
      </c>
      <c r="I294" t="s">
        <v>3823</v>
      </c>
    </row>
    <row r="295" spans="1:9">
      <c r="A295" s="92" t="s">
        <v>4341</v>
      </c>
      <c r="B295" t="s">
        <v>1918</v>
      </c>
      <c r="C295" t="s">
        <v>2529</v>
      </c>
      <c r="D295" t="s">
        <v>2494</v>
      </c>
      <c r="E295" t="s">
        <v>2530</v>
      </c>
      <c r="F295" t="s">
        <v>2532</v>
      </c>
      <c r="G295" t="s">
        <v>4343</v>
      </c>
      <c r="H295" t="s">
        <v>2531</v>
      </c>
      <c r="I295" t="s">
        <v>3823</v>
      </c>
    </row>
    <row r="296" spans="1:9">
      <c r="A296" s="92" t="s">
        <v>4341</v>
      </c>
      <c r="B296" t="s">
        <v>1918</v>
      </c>
      <c r="C296" t="s">
        <v>2493</v>
      </c>
      <c r="D296" t="s">
        <v>2494</v>
      </c>
      <c r="E296" t="s">
        <v>2421</v>
      </c>
      <c r="F296" t="s">
        <v>2495</v>
      </c>
      <c r="G296" t="s">
        <v>4344</v>
      </c>
      <c r="H296" t="s">
        <v>108</v>
      </c>
      <c r="I296" t="s">
        <v>3823</v>
      </c>
    </row>
    <row r="297" spans="1:9">
      <c r="A297" s="92" t="s">
        <v>4341</v>
      </c>
      <c r="B297" t="s">
        <v>1918</v>
      </c>
      <c r="C297" t="s">
        <v>2496</v>
      </c>
      <c r="D297" t="s">
        <v>2490</v>
      </c>
      <c r="E297" t="s">
        <v>2497</v>
      </c>
      <c r="G297" t="s">
        <v>4344</v>
      </c>
      <c r="H297" t="s">
        <v>108</v>
      </c>
      <c r="I297" t="s">
        <v>3823</v>
      </c>
    </row>
    <row r="298" spans="1:9">
      <c r="A298" s="92" t="s">
        <v>4341</v>
      </c>
      <c r="B298" t="s">
        <v>1918</v>
      </c>
      <c r="C298" t="s">
        <v>2498</v>
      </c>
      <c r="D298" t="s">
        <v>2490</v>
      </c>
      <c r="E298" t="s">
        <v>2499</v>
      </c>
      <c r="F298" t="s">
        <v>2500</v>
      </c>
      <c r="G298" t="s">
        <v>4344</v>
      </c>
      <c r="H298" t="s">
        <v>108</v>
      </c>
      <c r="I298" t="s">
        <v>3823</v>
      </c>
    </row>
    <row r="299" spans="1:9">
      <c r="A299" s="92" t="s">
        <v>4341</v>
      </c>
      <c r="B299" t="s">
        <v>1920</v>
      </c>
      <c r="C299" t="s">
        <v>2502</v>
      </c>
      <c r="D299" t="s">
        <v>2325</v>
      </c>
      <c r="E299" t="s">
        <v>2503</v>
      </c>
      <c r="F299" t="s">
        <v>2504</v>
      </c>
      <c r="G299" t="s">
        <v>4344</v>
      </c>
      <c r="H299" t="s">
        <v>108</v>
      </c>
      <c r="I299" t="s">
        <v>3827</v>
      </c>
    </row>
    <row r="300" spans="1:9">
      <c r="A300" s="92" t="s">
        <v>4341</v>
      </c>
      <c r="B300" t="s">
        <v>1920</v>
      </c>
      <c r="C300" t="s">
        <v>2341</v>
      </c>
      <c r="D300" t="s">
        <v>2342</v>
      </c>
      <c r="E300" t="s">
        <v>2343</v>
      </c>
      <c r="F300" t="s">
        <v>2344</v>
      </c>
      <c r="G300" t="s">
        <v>4325</v>
      </c>
      <c r="I300" t="s">
        <v>3827</v>
      </c>
    </row>
    <row r="301" spans="1:9">
      <c r="A301" s="92" t="s">
        <v>4341</v>
      </c>
      <c r="B301" t="s">
        <v>1920</v>
      </c>
      <c r="C301" t="s">
        <v>2341</v>
      </c>
      <c r="D301" t="s">
        <v>2342</v>
      </c>
      <c r="E301" t="s">
        <v>2343</v>
      </c>
      <c r="F301" t="s">
        <v>2344</v>
      </c>
      <c r="G301" t="s">
        <v>4344</v>
      </c>
      <c r="H301" t="s">
        <v>108</v>
      </c>
      <c r="I301" t="s">
        <v>3827</v>
      </c>
    </row>
    <row r="302" spans="1:9">
      <c r="A302" s="92" t="s">
        <v>4341</v>
      </c>
      <c r="B302" t="s">
        <v>1920</v>
      </c>
      <c r="C302" t="s">
        <v>2348</v>
      </c>
      <c r="E302" t="s">
        <v>2292</v>
      </c>
      <c r="G302" t="s">
        <v>4345</v>
      </c>
      <c r="H302" t="s">
        <v>2519</v>
      </c>
      <c r="I302" t="s">
        <v>3827</v>
      </c>
    </row>
    <row r="303" spans="1:9">
      <c r="A303" s="92" t="s">
        <v>4341</v>
      </c>
      <c r="B303" t="s">
        <v>1920</v>
      </c>
      <c r="C303" t="s">
        <v>2505</v>
      </c>
      <c r="D303" t="s">
        <v>2291</v>
      </c>
      <c r="E303" t="s">
        <v>108</v>
      </c>
      <c r="G303" t="s">
        <v>4344</v>
      </c>
      <c r="H303" t="s">
        <v>108</v>
      </c>
      <c r="I303" t="s">
        <v>3827</v>
      </c>
    </row>
    <row r="304" spans="1:9">
      <c r="A304" s="92" t="s">
        <v>4341</v>
      </c>
      <c r="B304" t="s">
        <v>1920</v>
      </c>
      <c r="C304" t="s">
        <v>2506</v>
      </c>
      <c r="D304" t="s">
        <v>2346</v>
      </c>
      <c r="E304" t="s">
        <v>2507</v>
      </c>
      <c r="F304" t="s">
        <v>2508</v>
      </c>
      <c r="G304" t="s">
        <v>4344</v>
      </c>
      <c r="H304" t="s">
        <v>2507</v>
      </c>
      <c r="I304" t="s">
        <v>3827</v>
      </c>
    </row>
    <row r="305" spans="1:9">
      <c r="A305" s="92" t="s">
        <v>4346</v>
      </c>
      <c r="B305" t="s">
        <v>1875</v>
      </c>
      <c r="C305" t="s">
        <v>2247</v>
      </c>
      <c r="D305" t="s">
        <v>2248</v>
      </c>
      <c r="G305" t="s">
        <v>4325</v>
      </c>
      <c r="I305" t="s">
        <v>3756</v>
      </c>
    </row>
    <row r="306" spans="1:9">
      <c r="A306" s="92" t="s">
        <v>4346</v>
      </c>
      <c r="B306" t="s">
        <v>1875</v>
      </c>
      <c r="C306" t="s">
        <v>2252</v>
      </c>
      <c r="D306" t="s">
        <v>2248</v>
      </c>
      <c r="G306" t="s">
        <v>4325</v>
      </c>
      <c r="I306" t="s">
        <v>3756</v>
      </c>
    </row>
    <row r="307" spans="1:9">
      <c r="A307" s="92" t="s">
        <v>4346</v>
      </c>
      <c r="B307" t="s">
        <v>1878</v>
      </c>
      <c r="C307" t="s">
        <v>2254</v>
      </c>
      <c r="D307" t="s">
        <v>2248</v>
      </c>
      <c r="G307" t="s">
        <v>4326</v>
      </c>
      <c r="I307" t="s">
        <v>3760</v>
      </c>
    </row>
    <row r="308" spans="1:9">
      <c r="A308" s="92" t="s">
        <v>4346</v>
      </c>
      <c r="B308" t="s">
        <v>1878</v>
      </c>
      <c r="C308" t="s">
        <v>2256</v>
      </c>
      <c r="D308" t="s">
        <v>2257</v>
      </c>
      <c r="G308" t="s">
        <v>4325</v>
      </c>
      <c r="I308" t="s">
        <v>3760</v>
      </c>
    </row>
    <row r="309" spans="1:9">
      <c r="A309" s="92" t="s">
        <v>4346</v>
      </c>
      <c r="B309" t="s">
        <v>1878</v>
      </c>
      <c r="C309" t="s">
        <v>2258</v>
      </c>
      <c r="D309" t="s">
        <v>2257</v>
      </c>
      <c r="G309" t="s">
        <v>4325</v>
      </c>
      <c r="I309" t="s">
        <v>3760</v>
      </c>
    </row>
    <row r="310" spans="1:9">
      <c r="A310" s="92" t="s">
        <v>4346</v>
      </c>
      <c r="B310" t="s">
        <v>1878</v>
      </c>
      <c r="C310" t="s">
        <v>2259</v>
      </c>
      <c r="D310" t="s">
        <v>2248</v>
      </c>
      <c r="G310" t="s">
        <v>4326</v>
      </c>
      <c r="I310" t="s">
        <v>3760</v>
      </c>
    </row>
    <row r="311" spans="1:9">
      <c r="A311" s="92" t="s">
        <v>4346</v>
      </c>
      <c r="B311" t="s">
        <v>1878</v>
      </c>
      <c r="C311" t="s">
        <v>2260</v>
      </c>
      <c r="D311" t="s">
        <v>2257</v>
      </c>
      <c r="G311" t="s">
        <v>4325</v>
      </c>
      <c r="I311" t="s">
        <v>3760</v>
      </c>
    </row>
    <row r="312" spans="1:9">
      <c r="A312" s="92" t="s">
        <v>4346</v>
      </c>
      <c r="B312" t="s">
        <v>1878</v>
      </c>
      <c r="C312" t="s">
        <v>2261</v>
      </c>
      <c r="D312" t="s">
        <v>2248</v>
      </c>
      <c r="G312" t="s">
        <v>4325</v>
      </c>
      <c r="I312" t="s">
        <v>3760</v>
      </c>
    </row>
    <row r="313" spans="1:9">
      <c r="A313" s="92" t="s">
        <v>4346</v>
      </c>
      <c r="B313" t="s">
        <v>1878</v>
      </c>
      <c r="C313" t="s">
        <v>2262</v>
      </c>
      <c r="D313" t="s">
        <v>2248</v>
      </c>
      <c r="G313" t="s">
        <v>4326</v>
      </c>
      <c r="I313" t="s">
        <v>3760</v>
      </c>
    </row>
    <row r="314" spans="1:9">
      <c r="A314" s="92" t="s">
        <v>4346</v>
      </c>
      <c r="B314" t="s">
        <v>1878</v>
      </c>
      <c r="C314" t="s">
        <v>2263</v>
      </c>
      <c r="D314" t="s">
        <v>2248</v>
      </c>
      <c r="G314" t="s">
        <v>4326</v>
      </c>
      <c r="I314" t="s">
        <v>3760</v>
      </c>
    </row>
    <row r="315" spans="1:9">
      <c r="A315" s="92" t="s">
        <v>4346</v>
      </c>
      <c r="B315" t="s">
        <v>1878</v>
      </c>
      <c r="C315" t="s">
        <v>2264</v>
      </c>
      <c r="D315" t="s">
        <v>2248</v>
      </c>
      <c r="G315" t="s">
        <v>4326</v>
      </c>
      <c r="I315" t="s">
        <v>3760</v>
      </c>
    </row>
    <row r="316" spans="1:9">
      <c r="A316" s="92" t="s">
        <v>4346</v>
      </c>
      <c r="B316" t="s">
        <v>1878</v>
      </c>
      <c r="C316" t="s">
        <v>2265</v>
      </c>
      <c r="D316" t="s">
        <v>2257</v>
      </c>
      <c r="G316" t="s">
        <v>4326</v>
      </c>
      <c r="I316" t="s">
        <v>3760</v>
      </c>
    </row>
    <row r="317" spans="1:9">
      <c r="A317" s="92" t="s">
        <v>4346</v>
      </c>
      <c r="B317" t="s">
        <v>1884</v>
      </c>
      <c r="C317" t="s">
        <v>2267</v>
      </c>
      <c r="D317" t="s">
        <v>2248</v>
      </c>
      <c r="G317" t="s">
        <v>4325</v>
      </c>
      <c r="I317" t="s">
        <v>3768</v>
      </c>
    </row>
    <row r="318" spans="1:9">
      <c r="A318" s="92" t="s">
        <v>4346</v>
      </c>
      <c r="B318" t="s">
        <v>1890</v>
      </c>
      <c r="C318" t="s">
        <v>2269</v>
      </c>
      <c r="D318" t="s">
        <v>2248</v>
      </c>
      <c r="G318" t="s">
        <v>4325</v>
      </c>
      <c r="I318" t="s">
        <v>3776</v>
      </c>
    </row>
    <row r="319" spans="1:9">
      <c r="A319" s="92" t="s">
        <v>4346</v>
      </c>
      <c r="B319" t="s">
        <v>1890</v>
      </c>
      <c r="C319" t="s">
        <v>2270</v>
      </c>
      <c r="D319" t="s">
        <v>2248</v>
      </c>
      <c r="G319" t="s">
        <v>4325</v>
      </c>
      <c r="I319" t="s">
        <v>3776</v>
      </c>
    </row>
    <row r="320" spans="1:9">
      <c r="A320" s="92" t="s">
        <v>4346</v>
      </c>
      <c r="B320" t="s">
        <v>1890</v>
      </c>
      <c r="C320" t="s">
        <v>2271</v>
      </c>
      <c r="D320" t="s">
        <v>2248</v>
      </c>
      <c r="G320" t="s">
        <v>4325</v>
      </c>
      <c r="I320" t="s">
        <v>3776</v>
      </c>
    </row>
    <row r="321" spans="1:9">
      <c r="A321" s="92" t="s">
        <v>4346</v>
      </c>
      <c r="B321" t="s">
        <v>1890</v>
      </c>
      <c r="C321" t="s">
        <v>2272</v>
      </c>
      <c r="D321" t="s">
        <v>2248</v>
      </c>
      <c r="G321" t="s">
        <v>4325</v>
      </c>
      <c r="I321" t="s">
        <v>3776</v>
      </c>
    </row>
    <row r="322" spans="1:9">
      <c r="A322" s="92" t="s">
        <v>4346</v>
      </c>
      <c r="B322" t="s">
        <v>1890</v>
      </c>
      <c r="C322" t="s">
        <v>2273</v>
      </c>
      <c r="D322" t="s">
        <v>2248</v>
      </c>
      <c r="G322" t="s">
        <v>4325</v>
      </c>
      <c r="I322" t="s">
        <v>3776</v>
      </c>
    </row>
    <row r="323" spans="1:9">
      <c r="A323" s="92" t="s">
        <v>4346</v>
      </c>
      <c r="B323" t="s">
        <v>1890</v>
      </c>
      <c r="C323" t="s">
        <v>2274</v>
      </c>
      <c r="D323" t="s">
        <v>2248</v>
      </c>
      <c r="G323" t="s">
        <v>4325</v>
      </c>
      <c r="I323" t="s">
        <v>3776</v>
      </c>
    </row>
    <row r="324" spans="1:9">
      <c r="A324" s="92" t="s">
        <v>4346</v>
      </c>
      <c r="B324" t="s">
        <v>1890</v>
      </c>
      <c r="C324" t="s">
        <v>2275</v>
      </c>
      <c r="D324" t="s">
        <v>2248</v>
      </c>
      <c r="G324" t="s">
        <v>4325</v>
      </c>
      <c r="I324" t="s">
        <v>3776</v>
      </c>
    </row>
    <row r="325" spans="1:9">
      <c r="A325" s="92" t="s">
        <v>4346</v>
      </c>
      <c r="B325" t="s">
        <v>1890</v>
      </c>
      <c r="C325" t="s">
        <v>2276</v>
      </c>
      <c r="D325" t="s">
        <v>2248</v>
      </c>
      <c r="G325" t="s">
        <v>4325</v>
      </c>
      <c r="I325" t="s">
        <v>3776</v>
      </c>
    </row>
    <row r="326" spans="1:9">
      <c r="A326" s="92" t="s">
        <v>4346</v>
      </c>
      <c r="B326" t="s">
        <v>1892</v>
      </c>
      <c r="C326" t="s">
        <v>2278</v>
      </c>
      <c r="D326" t="s">
        <v>2279</v>
      </c>
      <c r="G326" t="s">
        <v>4327</v>
      </c>
      <c r="I326" t="s">
        <v>3780</v>
      </c>
    </row>
    <row r="327" spans="1:9">
      <c r="A327" s="92" t="s">
        <v>4346</v>
      </c>
      <c r="B327" t="s">
        <v>1892</v>
      </c>
      <c r="C327" t="s">
        <v>2281</v>
      </c>
      <c r="D327" t="s">
        <v>2248</v>
      </c>
      <c r="G327" t="s">
        <v>4325</v>
      </c>
      <c r="I327" t="s">
        <v>3780</v>
      </c>
    </row>
    <row r="328" spans="1:9">
      <c r="A328" s="92" t="s">
        <v>4346</v>
      </c>
      <c r="B328" t="s">
        <v>1894</v>
      </c>
      <c r="C328" t="s">
        <v>2283</v>
      </c>
      <c r="D328" t="s">
        <v>2284</v>
      </c>
      <c r="E328" t="s">
        <v>2285</v>
      </c>
      <c r="F328" t="s">
        <v>2288</v>
      </c>
      <c r="G328" t="s">
        <v>4329</v>
      </c>
      <c r="H328" t="s">
        <v>2287</v>
      </c>
      <c r="I328" t="s">
        <v>3787</v>
      </c>
    </row>
    <row r="329" spans="1:9">
      <c r="A329" s="92" t="s">
        <v>4346</v>
      </c>
      <c r="B329" t="s">
        <v>1894</v>
      </c>
      <c r="C329" t="s">
        <v>2355</v>
      </c>
      <c r="D329" t="s">
        <v>2356</v>
      </c>
      <c r="E329" t="s">
        <v>1565</v>
      </c>
      <c r="F329" t="s">
        <v>2358</v>
      </c>
      <c r="G329" t="s">
        <v>4347</v>
      </c>
      <c r="H329" t="s">
        <v>108</v>
      </c>
      <c r="I329" t="s">
        <v>3787</v>
      </c>
    </row>
    <row r="330" spans="1:9">
      <c r="A330" s="92" t="s">
        <v>4346</v>
      </c>
      <c r="B330" t="s">
        <v>1894</v>
      </c>
      <c r="C330" t="s">
        <v>2516</v>
      </c>
      <c r="D330" t="s">
        <v>2291</v>
      </c>
      <c r="E330" t="s">
        <v>1215</v>
      </c>
      <c r="G330" t="s">
        <v>4348</v>
      </c>
      <c r="H330" t="s">
        <v>1215</v>
      </c>
      <c r="I330" t="s">
        <v>3787</v>
      </c>
    </row>
    <row r="331" spans="1:9">
      <c r="A331" s="92" t="s">
        <v>4346</v>
      </c>
      <c r="B331" t="s">
        <v>1894</v>
      </c>
      <c r="C331" t="s">
        <v>2398</v>
      </c>
      <c r="E331" t="s">
        <v>2399</v>
      </c>
      <c r="G331" t="s">
        <v>4329</v>
      </c>
      <c r="H331" t="s">
        <v>2517</v>
      </c>
      <c r="I331" t="s">
        <v>3787</v>
      </c>
    </row>
    <row r="332" spans="1:9">
      <c r="A332" s="92" t="s">
        <v>4346</v>
      </c>
      <c r="B332" t="s">
        <v>1894</v>
      </c>
      <c r="C332" t="s">
        <v>2400</v>
      </c>
      <c r="D332" t="s">
        <v>2284</v>
      </c>
      <c r="E332" t="s">
        <v>108</v>
      </c>
      <c r="G332" t="s">
        <v>4347</v>
      </c>
      <c r="H332" t="s">
        <v>108</v>
      </c>
      <c r="I332" t="s">
        <v>3787</v>
      </c>
    </row>
    <row r="333" spans="1:9">
      <c r="A333" s="92" t="s">
        <v>4346</v>
      </c>
      <c r="B333" t="s">
        <v>1894</v>
      </c>
      <c r="C333" t="s">
        <v>2401</v>
      </c>
      <c r="D333" t="s">
        <v>2402</v>
      </c>
      <c r="E333" t="s">
        <v>2403</v>
      </c>
      <c r="F333" t="s">
        <v>2404</v>
      </c>
      <c r="G333" t="s">
        <v>4347</v>
      </c>
      <c r="H333" t="s">
        <v>2403</v>
      </c>
      <c r="I333" t="s">
        <v>3787</v>
      </c>
    </row>
    <row r="334" spans="1:9">
      <c r="A334" s="92" t="s">
        <v>4346</v>
      </c>
      <c r="B334" t="s">
        <v>1894</v>
      </c>
      <c r="C334" t="s">
        <v>2405</v>
      </c>
      <c r="E334" t="s">
        <v>108</v>
      </c>
      <c r="G334" t="s">
        <v>4347</v>
      </c>
      <c r="H334" t="s">
        <v>108</v>
      </c>
      <c r="I334" t="s">
        <v>3787</v>
      </c>
    </row>
    <row r="335" spans="1:9">
      <c r="A335" s="92" t="s">
        <v>4346</v>
      </c>
      <c r="B335" t="s">
        <v>1895</v>
      </c>
      <c r="C335" t="s">
        <v>2407</v>
      </c>
      <c r="D335" t="s">
        <v>2296</v>
      </c>
      <c r="E335" t="s">
        <v>108</v>
      </c>
      <c r="G335" t="s">
        <v>4347</v>
      </c>
      <c r="H335" t="s">
        <v>108</v>
      </c>
      <c r="I335" t="s">
        <v>3791</v>
      </c>
    </row>
    <row r="336" spans="1:9">
      <c r="A336" s="92" t="s">
        <v>4346</v>
      </c>
      <c r="B336" t="s">
        <v>1895</v>
      </c>
      <c r="C336" t="s">
        <v>2409</v>
      </c>
      <c r="D336" t="s">
        <v>2410</v>
      </c>
      <c r="E336" t="s">
        <v>108</v>
      </c>
      <c r="F336" t="s">
        <v>2411</v>
      </c>
      <c r="G336" t="s">
        <v>4347</v>
      </c>
      <c r="H336" t="s">
        <v>108</v>
      </c>
      <c r="I336" t="s">
        <v>3791</v>
      </c>
    </row>
    <row r="337" spans="1:9">
      <c r="A337" s="92" t="s">
        <v>4346</v>
      </c>
      <c r="B337" t="s">
        <v>1895</v>
      </c>
      <c r="C337" t="s">
        <v>2412</v>
      </c>
      <c r="D337" t="s">
        <v>2410</v>
      </c>
      <c r="E337" t="s">
        <v>108</v>
      </c>
      <c r="G337" t="s">
        <v>4347</v>
      </c>
      <c r="H337" t="s">
        <v>108</v>
      </c>
      <c r="I337" t="s">
        <v>3791</v>
      </c>
    </row>
    <row r="338" spans="1:9">
      <c r="A338" s="92" t="s">
        <v>4346</v>
      </c>
      <c r="B338" t="s">
        <v>1895</v>
      </c>
      <c r="C338" t="s">
        <v>2290</v>
      </c>
      <c r="D338" t="s">
        <v>2291</v>
      </c>
      <c r="E338" t="s">
        <v>2292</v>
      </c>
      <c r="G338" t="s">
        <v>4329</v>
      </c>
      <c r="H338" t="s">
        <v>2543</v>
      </c>
      <c r="I338" t="s">
        <v>3791</v>
      </c>
    </row>
    <row r="339" spans="1:9">
      <c r="A339" s="92" t="s">
        <v>4346</v>
      </c>
      <c r="B339" t="s">
        <v>1895</v>
      </c>
      <c r="C339" t="s">
        <v>2414</v>
      </c>
      <c r="D339" t="s">
        <v>2415</v>
      </c>
      <c r="E339" t="s">
        <v>108</v>
      </c>
      <c r="F339" t="s">
        <v>2416</v>
      </c>
      <c r="G339" t="s">
        <v>4347</v>
      </c>
      <c r="H339" t="s">
        <v>108</v>
      </c>
      <c r="I339" t="s">
        <v>3791</v>
      </c>
    </row>
    <row r="340" spans="1:9">
      <c r="A340" s="92" t="s">
        <v>4346</v>
      </c>
      <c r="B340" t="s">
        <v>3567</v>
      </c>
      <c r="C340" t="s">
        <v>2418</v>
      </c>
      <c r="D340" t="s">
        <v>2363</v>
      </c>
      <c r="E340" t="s">
        <v>108</v>
      </c>
      <c r="G340" t="s">
        <v>4347</v>
      </c>
      <c r="H340" t="s">
        <v>108</v>
      </c>
      <c r="I340" t="s">
        <v>3795</v>
      </c>
    </row>
    <row r="341" spans="1:9">
      <c r="A341" s="92" t="s">
        <v>4346</v>
      </c>
      <c r="B341" t="s">
        <v>3567</v>
      </c>
      <c r="C341" t="s">
        <v>2362</v>
      </c>
      <c r="D341" t="s">
        <v>2363</v>
      </c>
      <c r="E341" t="s">
        <v>2364</v>
      </c>
      <c r="G341" t="s">
        <v>4347</v>
      </c>
      <c r="H341" t="s">
        <v>108</v>
      </c>
      <c r="I341" t="s">
        <v>3795</v>
      </c>
    </row>
    <row r="342" spans="1:9">
      <c r="A342" s="92" t="s">
        <v>4346</v>
      </c>
      <c r="B342" t="s">
        <v>3567</v>
      </c>
      <c r="C342" t="s">
        <v>2420</v>
      </c>
      <c r="D342" t="s">
        <v>2363</v>
      </c>
      <c r="E342" t="s">
        <v>2421</v>
      </c>
      <c r="F342" t="s">
        <v>2422</v>
      </c>
      <c r="G342" t="s">
        <v>4347</v>
      </c>
      <c r="H342" t="s">
        <v>108</v>
      </c>
      <c r="I342" t="s">
        <v>3795</v>
      </c>
    </row>
    <row r="343" spans="1:9">
      <c r="A343" s="92" t="s">
        <v>4346</v>
      </c>
      <c r="B343" t="s">
        <v>3567</v>
      </c>
      <c r="C343" t="s">
        <v>2423</v>
      </c>
      <c r="D343" t="s">
        <v>2363</v>
      </c>
      <c r="E343" t="s">
        <v>108</v>
      </c>
      <c r="G343" t="s">
        <v>4347</v>
      </c>
      <c r="H343" t="s">
        <v>108</v>
      </c>
      <c r="I343" t="s">
        <v>3795</v>
      </c>
    </row>
    <row r="344" spans="1:9">
      <c r="A344" s="92" t="s">
        <v>4346</v>
      </c>
      <c r="B344" t="s">
        <v>1901</v>
      </c>
      <c r="C344" t="s">
        <v>2425</v>
      </c>
      <c r="D344" t="s">
        <v>2426</v>
      </c>
      <c r="E344" t="s">
        <v>2427</v>
      </c>
      <c r="G344" t="s">
        <v>4347</v>
      </c>
      <c r="H344" t="s">
        <v>108</v>
      </c>
      <c r="I344" t="s">
        <v>3799</v>
      </c>
    </row>
    <row r="345" spans="1:9">
      <c r="A345" s="92" t="s">
        <v>4346</v>
      </c>
      <c r="B345" t="s">
        <v>1901</v>
      </c>
      <c r="C345" t="s">
        <v>2428</v>
      </c>
      <c r="D345" t="s">
        <v>2426</v>
      </c>
      <c r="E345" t="s">
        <v>2429</v>
      </c>
      <c r="G345" t="s">
        <v>4347</v>
      </c>
      <c r="H345" t="s">
        <v>108</v>
      </c>
      <c r="I345" t="s">
        <v>3799</v>
      </c>
    </row>
    <row r="346" spans="1:9">
      <c r="A346" s="92" t="s">
        <v>4346</v>
      </c>
      <c r="B346" t="s">
        <v>1901</v>
      </c>
      <c r="C346" t="s">
        <v>2430</v>
      </c>
      <c r="D346" t="s">
        <v>2431</v>
      </c>
      <c r="E346" t="s">
        <v>108</v>
      </c>
      <c r="F346" t="s">
        <v>2432</v>
      </c>
      <c r="G346" t="s">
        <v>4347</v>
      </c>
      <c r="H346" t="s">
        <v>108</v>
      </c>
      <c r="I346" t="s">
        <v>3799</v>
      </c>
    </row>
    <row r="347" spans="1:9">
      <c r="A347" s="92" t="s">
        <v>4346</v>
      </c>
      <c r="B347" t="s">
        <v>1901</v>
      </c>
      <c r="C347" t="s">
        <v>2433</v>
      </c>
      <c r="D347" t="s">
        <v>2431</v>
      </c>
      <c r="E347" t="s">
        <v>108</v>
      </c>
      <c r="G347" t="s">
        <v>4347</v>
      </c>
      <c r="H347" t="s">
        <v>108</v>
      </c>
      <c r="I347" t="s">
        <v>3799</v>
      </c>
    </row>
    <row r="348" spans="1:9">
      <c r="A348" s="92" t="s">
        <v>4346</v>
      </c>
      <c r="B348" t="s">
        <v>1903</v>
      </c>
      <c r="C348" t="s">
        <v>2435</v>
      </c>
      <c r="D348" t="s">
        <v>2436</v>
      </c>
      <c r="E348" t="s">
        <v>108</v>
      </c>
      <c r="F348" t="s">
        <v>2437</v>
      </c>
      <c r="G348" t="s">
        <v>4347</v>
      </c>
      <c r="H348" t="s">
        <v>108</v>
      </c>
      <c r="I348" t="s">
        <v>3803</v>
      </c>
    </row>
    <row r="349" spans="1:9">
      <c r="A349" s="92" t="s">
        <v>4346</v>
      </c>
      <c r="B349" t="s">
        <v>1903</v>
      </c>
      <c r="C349" t="s">
        <v>2295</v>
      </c>
      <c r="D349" t="s">
        <v>2296</v>
      </c>
      <c r="E349" t="s">
        <v>2297</v>
      </c>
      <c r="G349" t="s">
        <v>4329</v>
      </c>
      <c r="H349" t="s">
        <v>2543</v>
      </c>
      <c r="I349" t="s">
        <v>3803</v>
      </c>
    </row>
    <row r="350" spans="1:9">
      <c r="A350" s="92" t="s">
        <v>4346</v>
      </c>
      <c r="B350" t="s">
        <v>1903</v>
      </c>
      <c r="C350" t="s">
        <v>2298</v>
      </c>
      <c r="D350" t="s">
        <v>2296</v>
      </c>
      <c r="E350" t="s">
        <v>2292</v>
      </c>
      <c r="G350" t="s">
        <v>4329</v>
      </c>
      <c r="H350" t="s">
        <v>2543</v>
      </c>
      <c r="I350" t="s">
        <v>3803</v>
      </c>
    </row>
    <row r="351" spans="1:9">
      <c r="A351" s="92" t="s">
        <v>4346</v>
      </c>
      <c r="B351" t="s">
        <v>1903</v>
      </c>
      <c r="C351" t="s">
        <v>2299</v>
      </c>
      <c r="D351" t="s">
        <v>2296</v>
      </c>
      <c r="E351" t="s">
        <v>2292</v>
      </c>
      <c r="G351" t="s">
        <v>4329</v>
      </c>
      <c r="H351" t="s">
        <v>2543</v>
      </c>
      <c r="I351" t="s">
        <v>3803</v>
      </c>
    </row>
    <row r="352" spans="1:9">
      <c r="A352" s="92" t="s">
        <v>4346</v>
      </c>
      <c r="B352" t="s">
        <v>1903</v>
      </c>
      <c r="C352" t="s">
        <v>2300</v>
      </c>
      <c r="D352" t="s">
        <v>2301</v>
      </c>
      <c r="E352" t="s">
        <v>2292</v>
      </c>
      <c r="G352" t="s">
        <v>4329</v>
      </c>
      <c r="H352" t="s">
        <v>2543</v>
      </c>
      <c r="I352" t="s">
        <v>3803</v>
      </c>
    </row>
    <row r="353" spans="1:9">
      <c r="A353" s="92" t="s">
        <v>4346</v>
      </c>
      <c r="B353" t="s">
        <v>1903</v>
      </c>
      <c r="C353" t="s">
        <v>2302</v>
      </c>
      <c r="E353" t="s">
        <v>2292</v>
      </c>
      <c r="G353" t="s">
        <v>4329</v>
      </c>
      <c r="H353" t="s">
        <v>2543</v>
      </c>
      <c r="I353" t="s">
        <v>3803</v>
      </c>
    </row>
    <row r="354" spans="1:9">
      <c r="A354" s="92" t="s">
        <v>4346</v>
      </c>
      <c r="B354" t="s">
        <v>1903</v>
      </c>
      <c r="C354" t="s">
        <v>2303</v>
      </c>
      <c r="E354" t="s">
        <v>2292</v>
      </c>
      <c r="G354" t="s">
        <v>4329</v>
      </c>
      <c r="H354" t="s">
        <v>2543</v>
      </c>
      <c r="I354" t="s">
        <v>3803</v>
      </c>
    </row>
    <row r="355" spans="1:9">
      <c r="A355" s="92" t="s">
        <v>4346</v>
      </c>
      <c r="B355" t="s">
        <v>1903</v>
      </c>
      <c r="C355" t="s">
        <v>2304</v>
      </c>
      <c r="E355" t="s">
        <v>2292</v>
      </c>
      <c r="G355" t="s">
        <v>4329</v>
      </c>
      <c r="H355" t="s">
        <v>2543</v>
      </c>
      <c r="I355" t="s">
        <v>3803</v>
      </c>
    </row>
    <row r="356" spans="1:9">
      <c r="A356" s="92" t="s">
        <v>4346</v>
      </c>
      <c r="B356" t="s">
        <v>1905</v>
      </c>
      <c r="C356" t="s">
        <v>2439</v>
      </c>
      <c r="D356" t="s">
        <v>2440</v>
      </c>
      <c r="E356" t="s">
        <v>108</v>
      </c>
      <c r="G356" t="s">
        <v>4347</v>
      </c>
      <c r="H356" t="s">
        <v>108</v>
      </c>
      <c r="I356" t="s">
        <v>3805</v>
      </c>
    </row>
    <row r="357" spans="1:9">
      <c r="A357" s="92" t="s">
        <v>4346</v>
      </c>
      <c r="B357" t="s">
        <v>1905</v>
      </c>
      <c r="C357" t="s">
        <v>2441</v>
      </c>
      <c r="D357" t="s">
        <v>2442</v>
      </c>
      <c r="E357" t="s">
        <v>2427</v>
      </c>
      <c r="G357" t="s">
        <v>4347</v>
      </c>
      <c r="H357" t="s">
        <v>108</v>
      </c>
      <c r="I357" t="s">
        <v>3805</v>
      </c>
    </row>
    <row r="358" spans="1:9">
      <c r="A358" s="92" t="s">
        <v>4346</v>
      </c>
      <c r="B358" t="s">
        <v>1905</v>
      </c>
      <c r="C358" t="s">
        <v>2443</v>
      </c>
      <c r="D358" t="s">
        <v>2440</v>
      </c>
      <c r="E358" t="s">
        <v>2444</v>
      </c>
      <c r="F358" t="s">
        <v>2445</v>
      </c>
      <c r="G358" t="s">
        <v>4347</v>
      </c>
      <c r="H358" t="s">
        <v>108</v>
      </c>
      <c r="I358" t="s">
        <v>3805</v>
      </c>
    </row>
    <row r="359" spans="1:9">
      <c r="A359" s="92" t="s">
        <v>4346</v>
      </c>
      <c r="B359" t="s">
        <v>1905</v>
      </c>
      <c r="C359" t="s">
        <v>2306</v>
      </c>
      <c r="D359" t="s">
        <v>2291</v>
      </c>
      <c r="E359" t="s">
        <v>2307</v>
      </c>
      <c r="G359" t="s">
        <v>4347</v>
      </c>
      <c r="H359" t="s">
        <v>108</v>
      </c>
      <c r="I359" t="s">
        <v>3805</v>
      </c>
    </row>
    <row r="360" spans="1:9">
      <c r="A360" s="92" t="s">
        <v>4346</v>
      </c>
      <c r="B360" t="s">
        <v>1905</v>
      </c>
      <c r="C360" t="s">
        <v>2310</v>
      </c>
      <c r="D360" t="s">
        <v>2291</v>
      </c>
      <c r="E360" t="s">
        <v>2311</v>
      </c>
      <c r="G360" t="s">
        <v>4329</v>
      </c>
      <c r="H360" t="s">
        <v>2312</v>
      </c>
      <c r="I360" t="s">
        <v>3805</v>
      </c>
    </row>
    <row r="361" spans="1:9">
      <c r="A361" s="92" t="s">
        <v>4346</v>
      </c>
      <c r="B361" t="s">
        <v>1905</v>
      </c>
      <c r="C361" t="s">
        <v>2313</v>
      </c>
      <c r="D361" t="s">
        <v>2291</v>
      </c>
      <c r="E361" t="s">
        <v>2292</v>
      </c>
      <c r="G361" t="s">
        <v>4329</v>
      </c>
      <c r="H361" t="s">
        <v>2543</v>
      </c>
      <c r="I361" t="s">
        <v>3805</v>
      </c>
    </row>
    <row r="362" spans="1:9">
      <c r="A362" s="92" t="s">
        <v>4346</v>
      </c>
      <c r="B362" t="s">
        <v>1905</v>
      </c>
      <c r="C362" t="s">
        <v>2314</v>
      </c>
      <c r="D362" t="s">
        <v>2291</v>
      </c>
      <c r="E362" t="s">
        <v>2292</v>
      </c>
      <c r="G362" t="s">
        <v>4329</v>
      </c>
      <c r="H362" t="s">
        <v>2543</v>
      </c>
      <c r="I362" t="s">
        <v>3805</v>
      </c>
    </row>
    <row r="363" spans="1:9">
      <c r="A363" s="92" t="s">
        <v>4346</v>
      </c>
      <c r="B363" t="s">
        <v>1905</v>
      </c>
      <c r="C363" t="s">
        <v>2447</v>
      </c>
      <c r="D363" t="s">
        <v>2440</v>
      </c>
      <c r="E363" t="s">
        <v>2403</v>
      </c>
      <c r="G363" t="s">
        <v>4347</v>
      </c>
      <c r="H363" t="s">
        <v>2403</v>
      </c>
      <c r="I363" t="s">
        <v>3805</v>
      </c>
    </row>
    <row r="364" spans="1:9">
      <c r="A364" s="92" t="s">
        <v>4346</v>
      </c>
      <c r="B364" t="s">
        <v>1905</v>
      </c>
      <c r="C364" t="s">
        <v>2448</v>
      </c>
      <c r="D364" t="s">
        <v>2449</v>
      </c>
      <c r="E364" t="s">
        <v>108</v>
      </c>
      <c r="G364" t="s">
        <v>4347</v>
      </c>
      <c r="H364" t="s">
        <v>108</v>
      </c>
      <c r="I364" t="s">
        <v>3805</v>
      </c>
    </row>
    <row r="365" spans="1:9">
      <c r="A365" s="92" t="s">
        <v>4346</v>
      </c>
      <c r="B365" t="s">
        <v>1908</v>
      </c>
      <c r="C365" t="s">
        <v>2451</v>
      </c>
      <c r="E365" t="s">
        <v>2403</v>
      </c>
      <c r="G365" t="s">
        <v>4347</v>
      </c>
      <c r="H365" t="s">
        <v>2403</v>
      </c>
      <c r="I365" t="s">
        <v>3807</v>
      </c>
    </row>
    <row r="366" spans="1:9">
      <c r="A366" s="92" t="s">
        <v>4346</v>
      </c>
      <c r="B366" t="s">
        <v>1908</v>
      </c>
      <c r="C366" t="s">
        <v>2375</v>
      </c>
      <c r="E366" t="s">
        <v>2376</v>
      </c>
      <c r="G366" t="s">
        <v>4347</v>
      </c>
      <c r="H366" t="s">
        <v>2403</v>
      </c>
      <c r="I366" t="s">
        <v>3807</v>
      </c>
    </row>
    <row r="367" spans="1:9">
      <c r="A367" s="92" t="s">
        <v>4346</v>
      </c>
      <c r="B367" t="s">
        <v>1908</v>
      </c>
      <c r="C367" t="s">
        <v>2452</v>
      </c>
      <c r="D367" t="s">
        <v>2440</v>
      </c>
      <c r="E367" t="s">
        <v>108</v>
      </c>
      <c r="G367" t="s">
        <v>4347</v>
      </c>
      <c r="H367" t="s">
        <v>108</v>
      </c>
      <c r="I367" t="s">
        <v>3807</v>
      </c>
    </row>
    <row r="368" spans="1:9">
      <c r="A368" s="92" t="s">
        <v>4346</v>
      </c>
      <c r="B368" t="s">
        <v>1908</v>
      </c>
      <c r="C368" t="s">
        <v>2453</v>
      </c>
      <c r="D368" t="s">
        <v>2440</v>
      </c>
      <c r="E368" t="s">
        <v>108</v>
      </c>
      <c r="G368" t="s">
        <v>4347</v>
      </c>
      <c r="H368" t="s">
        <v>108</v>
      </c>
      <c r="I368" t="s">
        <v>3807</v>
      </c>
    </row>
    <row r="369" spans="1:9">
      <c r="A369" s="92" t="s">
        <v>4346</v>
      </c>
      <c r="B369" t="s">
        <v>1908</v>
      </c>
      <c r="C369" t="s">
        <v>2454</v>
      </c>
      <c r="D369" t="s">
        <v>2301</v>
      </c>
      <c r="E369" t="s">
        <v>108</v>
      </c>
      <c r="G369" t="s">
        <v>4347</v>
      </c>
      <c r="H369" t="s">
        <v>108</v>
      </c>
      <c r="I369" t="s">
        <v>3807</v>
      </c>
    </row>
    <row r="370" spans="1:9">
      <c r="A370" s="92" t="s">
        <v>4346</v>
      </c>
      <c r="B370" t="s">
        <v>1908</v>
      </c>
      <c r="C370" t="s">
        <v>2455</v>
      </c>
      <c r="D370" t="s">
        <v>2456</v>
      </c>
      <c r="E370" t="s">
        <v>2403</v>
      </c>
      <c r="G370" t="s">
        <v>4347</v>
      </c>
      <c r="H370" t="s">
        <v>2403</v>
      </c>
      <c r="I370" t="s">
        <v>3807</v>
      </c>
    </row>
    <row r="371" spans="1:9">
      <c r="A371" s="92" t="s">
        <v>4346</v>
      </c>
      <c r="B371" t="s">
        <v>1908</v>
      </c>
      <c r="C371" t="s">
        <v>2457</v>
      </c>
      <c r="D371" t="s">
        <v>2456</v>
      </c>
      <c r="E371" t="s">
        <v>2403</v>
      </c>
      <c r="G371" t="s">
        <v>4347</v>
      </c>
      <c r="H371" t="s">
        <v>2403</v>
      </c>
      <c r="I371" t="s">
        <v>3807</v>
      </c>
    </row>
    <row r="372" spans="1:9">
      <c r="A372" s="92" t="s">
        <v>4346</v>
      </c>
      <c r="B372" t="s">
        <v>1908</v>
      </c>
      <c r="C372" t="s">
        <v>2316</v>
      </c>
      <c r="D372" t="s">
        <v>2291</v>
      </c>
      <c r="E372" t="s">
        <v>2292</v>
      </c>
      <c r="G372" t="s">
        <v>4329</v>
      </c>
      <c r="H372" t="s">
        <v>2543</v>
      </c>
      <c r="I372" t="s">
        <v>3807</v>
      </c>
    </row>
    <row r="373" spans="1:9">
      <c r="A373" s="92" t="s">
        <v>4346</v>
      </c>
      <c r="B373" t="s">
        <v>1908</v>
      </c>
      <c r="C373" t="s">
        <v>2458</v>
      </c>
      <c r="D373" t="s">
        <v>2456</v>
      </c>
      <c r="E373" t="s">
        <v>108</v>
      </c>
      <c r="F373" t="s">
        <v>2459</v>
      </c>
      <c r="G373" t="s">
        <v>4347</v>
      </c>
      <c r="H373" t="s">
        <v>108</v>
      </c>
      <c r="I373" t="s">
        <v>3807</v>
      </c>
    </row>
    <row r="374" spans="1:9">
      <c r="A374" s="92" t="s">
        <v>4346</v>
      </c>
      <c r="B374" t="s">
        <v>1909</v>
      </c>
      <c r="C374" t="s">
        <v>2461</v>
      </c>
      <c r="D374" t="s">
        <v>2462</v>
      </c>
      <c r="E374" t="s">
        <v>108</v>
      </c>
      <c r="G374" t="s">
        <v>4347</v>
      </c>
      <c r="H374" t="s">
        <v>108</v>
      </c>
      <c r="I374" t="s">
        <v>3811</v>
      </c>
    </row>
    <row r="375" spans="1:9">
      <c r="A375" s="92" t="s">
        <v>4346</v>
      </c>
      <c r="B375" t="s">
        <v>1909</v>
      </c>
      <c r="C375" t="s">
        <v>2463</v>
      </c>
      <c r="D375" t="s">
        <v>2464</v>
      </c>
      <c r="E375" t="s">
        <v>108</v>
      </c>
      <c r="G375" t="s">
        <v>4347</v>
      </c>
      <c r="H375" t="s">
        <v>108</v>
      </c>
      <c r="I375" t="s">
        <v>3811</v>
      </c>
    </row>
    <row r="376" spans="1:9">
      <c r="A376" s="92" t="s">
        <v>4346</v>
      </c>
      <c r="B376" t="s">
        <v>1909</v>
      </c>
      <c r="C376" t="s">
        <v>2465</v>
      </c>
      <c r="D376" t="s">
        <v>2464</v>
      </c>
      <c r="E376" t="s">
        <v>108</v>
      </c>
      <c r="G376" t="s">
        <v>4347</v>
      </c>
      <c r="H376" t="s">
        <v>108</v>
      </c>
      <c r="I376" t="s">
        <v>3811</v>
      </c>
    </row>
    <row r="377" spans="1:9">
      <c r="A377" s="92" t="s">
        <v>4346</v>
      </c>
      <c r="B377" t="s">
        <v>1911</v>
      </c>
      <c r="C377" t="s">
        <v>2318</v>
      </c>
      <c r="D377" t="s">
        <v>2319</v>
      </c>
      <c r="E377" t="s">
        <v>2285</v>
      </c>
      <c r="F377" t="s">
        <v>2320</v>
      </c>
      <c r="G377" t="s">
        <v>4329</v>
      </c>
      <c r="H377" t="s">
        <v>2287</v>
      </c>
      <c r="I377" t="s">
        <v>3815</v>
      </c>
    </row>
    <row r="378" spans="1:9">
      <c r="A378" s="92" t="s">
        <v>4346</v>
      </c>
      <c r="B378" t="s">
        <v>1911</v>
      </c>
      <c r="C378" t="s">
        <v>2321</v>
      </c>
      <c r="D378" t="s">
        <v>2322</v>
      </c>
      <c r="E378" t="s">
        <v>2285</v>
      </c>
      <c r="F378" t="s">
        <v>2323</v>
      </c>
      <c r="G378" t="s">
        <v>4329</v>
      </c>
      <c r="H378" t="s">
        <v>2287</v>
      </c>
      <c r="I378" t="s">
        <v>3815</v>
      </c>
    </row>
    <row r="379" spans="1:9">
      <c r="A379" s="92" t="s">
        <v>4346</v>
      </c>
      <c r="B379" t="s">
        <v>1911</v>
      </c>
      <c r="C379" t="s">
        <v>2467</v>
      </c>
      <c r="D379" t="s">
        <v>2319</v>
      </c>
      <c r="E379" t="s">
        <v>2403</v>
      </c>
      <c r="F379" t="s">
        <v>2468</v>
      </c>
      <c r="G379" t="s">
        <v>4347</v>
      </c>
      <c r="H379" t="s">
        <v>2403</v>
      </c>
      <c r="I379" t="s">
        <v>3815</v>
      </c>
    </row>
    <row r="380" spans="1:9">
      <c r="A380" s="92" t="s">
        <v>4346</v>
      </c>
      <c r="B380" t="s">
        <v>1911</v>
      </c>
      <c r="C380" t="s">
        <v>2469</v>
      </c>
      <c r="D380" t="s">
        <v>2382</v>
      </c>
      <c r="E380" t="s">
        <v>108</v>
      </c>
      <c r="F380" t="s">
        <v>2470</v>
      </c>
      <c r="G380" t="s">
        <v>4347</v>
      </c>
      <c r="H380" t="s">
        <v>108</v>
      </c>
      <c r="I380" t="s">
        <v>3815</v>
      </c>
    </row>
    <row r="381" spans="1:9">
      <c r="A381" s="92" t="s">
        <v>4346</v>
      </c>
      <c r="B381" t="s">
        <v>1911</v>
      </c>
      <c r="C381" t="s">
        <v>2471</v>
      </c>
      <c r="D381" t="s">
        <v>2379</v>
      </c>
      <c r="E381" t="s">
        <v>108</v>
      </c>
      <c r="F381" t="s">
        <v>2472</v>
      </c>
      <c r="G381" t="s">
        <v>4347</v>
      </c>
      <c r="H381" t="s">
        <v>108</v>
      </c>
      <c r="I381" t="s">
        <v>3815</v>
      </c>
    </row>
    <row r="382" spans="1:9">
      <c r="A382" s="92" t="s">
        <v>4346</v>
      </c>
      <c r="B382" t="s">
        <v>1911</v>
      </c>
      <c r="C382" t="s">
        <v>2473</v>
      </c>
      <c r="D382" t="s">
        <v>2474</v>
      </c>
      <c r="E382" t="s">
        <v>108</v>
      </c>
      <c r="F382" t="s">
        <v>2475</v>
      </c>
      <c r="G382" t="s">
        <v>4347</v>
      </c>
      <c r="H382" t="s">
        <v>108</v>
      </c>
      <c r="I382" t="s">
        <v>3815</v>
      </c>
    </row>
    <row r="383" spans="1:9">
      <c r="A383" s="92" t="s">
        <v>4346</v>
      </c>
      <c r="B383" t="s">
        <v>1911</v>
      </c>
      <c r="C383" t="s">
        <v>2324</v>
      </c>
      <c r="D383" t="s">
        <v>2325</v>
      </c>
      <c r="G383" t="s">
        <v>4330</v>
      </c>
      <c r="I383" t="s">
        <v>3815</v>
      </c>
    </row>
    <row r="384" spans="1:9">
      <c r="A384" s="92" t="s">
        <v>4346</v>
      </c>
      <c r="B384" t="s">
        <v>1911</v>
      </c>
      <c r="C384" t="s">
        <v>2327</v>
      </c>
      <c r="D384" t="s">
        <v>2325</v>
      </c>
      <c r="G384" t="s">
        <v>4330</v>
      </c>
      <c r="I384" t="s">
        <v>3815</v>
      </c>
    </row>
    <row r="385" spans="1:9">
      <c r="A385" s="92" t="s">
        <v>4346</v>
      </c>
      <c r="B385" t="s">
        <v>1911</v>
      </c>
      <c r="C385" t="s">
        <v>2328</v>
      </c>
      <c r="D385" t="s">
        <v>2325</v>
      </c>
      <c r="E385" t="s">
        <v>2329</v>
      </c>
      <c r="F385" t="s">
        <v>2331</v>
      </c>
      <c r="G385" t="s">
        <v>4331</v>
      </c>
      <c r="I385" t="s">
        <v>3815</v>
      </c>
    </row>
    <row r="386" spans="1:9">
      <c r="A386" s="92" t="s">
        <v>4346</v>
      </c>
      <c r="B386" t="s">
        <v>1916</v>
      </c>
      <c r="C386" t="s">
        <v>2477</v>
      </c>
      <c r="D386" t="s">
        <v>2382</v>
      </c>
      <c r="E386" t="s">
        <v>108</v>
      </c>
      <c r="F386" t="s">
        <v>2478</v>
      </c>
      <c r="G386" t="s">
        <v>4347</v>
      </c>
      <c r="H386" t="s">
        <v>108</v>
      </c>
      <c r="I386" t="s">
        <v>3819</v>
      </c>
    </row>
    <row r="387" spans="1:9">
      <c r="A387" s="92" t="s">
        <v>4346</v>
      </c>
      <c r="B387" t="s">
        <v>1916</v>
      </c>
      <c r="C387" t="s">
        <v>2333</v>
      </c>
      <c r="D387" t="s">
        <v>2291</v>
      </c>
      <c r="E387" t="s">
        <v>2285</v>
      </c>
      <c r="G387" t="s">
        <v>4329</v>
      </c>
      <c r="H387" t="s">
        <v>2287</v>
      </c>
      <c r="I387" t="s">
        <v>3819</v>
      </c>
    </row>
    <row r="388" spans="1:9">
      <c r="A388" s="92" t="s">
        <v>4346</v>
      </c>
      <c r="B388" t="s">
        <v>1916</v>
      </c>
      <c r="C388" t="s">
        <v>2334</v>
      </c>
      <c r="D388" t="s">
        <v>2291</v>
      </c>
      <c r="E388" t="s">
        <v>2311</v>
      </c>
      <c r="F388" t="s">
        <v>2335</v>
      </c>
      <c r="G388" t="s">
        <v>4332</v>
      </c>
      <c r="I388" t="s">
        <v>3819</v>
      </c>
    </row>
    <row r="389" spans="1:9">
      <c r="A389" s="92" t="s">
        <v>4346</v>
      </c>
      <c r="B389" t="s">
        <v>1916</v>
      </c>
      <c r="C389" t="s">
        <v>2334</v>
      </c>
      <c r="D389" t="s">
        <v>2291</v>
      </c>
      <c r="E389" t="s">
        <v>2311</v>
      </c>
      <c r="F389" t="s">
        <v>2335</v>
      </c>
      <c r="G389" t="s">
        <v>4329</v>
      </c>
      <c r="H389" t="s">
        <v>2312</v>
      </c>
      <c r="I389" t="s">
        <v>3819</v>
      </c>
    </row>
    <row r="390" spans="1:9">
      <c r="A390" s="92" t="s">
        <v>4346</v>
      </c>
      <c r="B390" t="s">
        <v>1916</v>
      </c>
      <c r="C390" t="s">
        <v>2336</v>
      </c>
      <c r="D390" t="s">
        <v>2291</v>
      </c>
      <c r="E390" t="s">
        <v>552</v>
      </c>
      <c r="F390" t="s">
        <v>2337</v>
      </c>
      <c r="G390" t="s">
        <v>4333</v>
      </c>
      <c r="I390" t="s">
        <v>3819</v>
      </c>
    </row>
    <row r="391" spans="1:9">
      <c r="A391" s="92" t="s">
        <v>4346</v>
      </c>
      <c r="B391" t="s">
        <v>1916</v>
      </c>
      <c r="C391" t="s">
        <v>2479</v>
      </c>
      <c r="D391" t="s">
        <v>2480</v>
      </c>
      <c r="E391" t="s">
        <v>108</v>
      </c>
      <c r="F391" t="s">
        <v>2481</v>
      </c>
      <c r="G391" t="s">
        <v>4347</v>
      </c>
      <c r="H391" t="s">
        <v>108</v>
      </c>
      <c r="I391" t="s">
        <v>3819</v>
      </c>
    </row>
    <row r="392" spans="1:9">
      <c r="A392" s="92" t="s">
        <v>4346</v>
      </c>
      <c r="B392" t="s">
        <v>1916</v>
      </c>
      <c r="C392" t="s">
        <v>2482</v>
      </c>
      <c r="D392" t="s">
        <v>2480</v>
      </c>
      <c r="E392" t="s">
        <v>108</v>
      </c>
      <c r="F392" t="s">
        <v>2483</v>
      </c>
      <c r="G392" t="s">
        <v>4347</v>
      </c>
      <c r="H392" t="s">
        <v>108</v>
      </c>
      <c r="I392" t="s">
        <v>3819</v>
      </c>
    </row>
    <row r="393" spans="1:9">
      <c r="A393" s="92" t="s">
        <v>4346</v>
      </c>
      <c r="B393" t="s">
        <v>1916</v>
      </c>
      <c r="C393" t="s">
        <v>2484</v>
      </c>
      <c r="D393" t="s">
        <v>2382</v>
      </c>
      <c r="E393" t="s">
        <v>2403</v>
      </c>
      <c r="G393" t="s">
        <v>4347</v>
      </c>
      <c r="H393" t="s">
        <v>2403</v>
      </c>
      <c r="I393" t="s">
        <v>3819</v>
      </c>
    </row>
    <row r="394" spans="1:9">
      <c r="A394" s="92" t="s">
        <v>4346</v>
      </c>
      <c r="B394" t="s">
        <v>1916</v>
      </c>
      <c r="C394" t="s">
        <v>2485</v>
      </c>
      <c r="D394" t="s">
        <v>2486</v>
      </c>
      <c r="E394" t="s">
        <v>2487</v>
      </c>
      <c r="G394" t="s">
        <v>4347</v>
      </c>
      <c r="H394" t="s">
        <v>108</v>
      </c>
      <c r="I394" t="s">
        <v>3819</v>
      </c>
    </row>
    <row r="395" spans="1:9">
      <c r="A395" s="92" t="s">
        <v>4346</v>
      </c>
      <c r="B395" t="s">
        <v>1918</v>
      </c>
      <c r="C395" t="s">
        <v>2489</v>
      </c>
      <c r="D395" t="s">
        <v>2490</v>
      </c>
      <c r="E395" t="s">
        <v>108</v>
      </c>
      <c r="G395" t="s">
        <v>4347</v>
      </c>
      <c r="H395" t="s">
        <v>108</v>
      </c>
      <c r="I395" t="s">
        <v>3823</v>
      </c>
    </row>
    <row r="396" spans="1:9">
      <c r="A396" s="92" t="s">
        <v>4346</v>
      </c>
      <c r="B396" t="s">
        <v>1918</v>
      </c>
      <c r="C396" t="s">
        <v>2491</v>
      </c>
      <c r="D396" t="s">
        <v>2490</v>
      </c>
      <c r="E396" t="s">
        <v>2403</v>
      </c>
      <c r="F396" t="s">
        <v>2492</v>
      </c>
      <c r="G396" t="s">
        <v>4347</v>
      </c>
      <c r="H396" t="s">
        <v>2403</v>
      </c>
      <c r="I396" t="s">
        <v>3823</v>
      </c>
    </row>
    <row r="397" spans="1:9">
      <c r="A397" s="92" t="s">
        <v>4346</v>
      </c>
      <c r="B397" t="s">
        <v>1918</v>
      </c>
      <c r="C397" t="s">
        <v>2529</v>
      </c>
      <c r="D397" t="s">
        <v>2494</v>
      </c>
      <c r="E397" t="s">
        <v>2530</v>
      </c>
      <c r="F397" t="s">
        <v>2532</v>
      </c>
      <c r="G397" t="s">
        <v>4348</v>
      </c>
      <c r="H397" t="s">
        <v>2553</v>
      </c>
      <c r="I397" t="s">
        <v>3823</v>
      </c>
    </row>
    <row r="398" spans="1:9">
      <c r="A398" s="92" t="s">
        <v>4346</v>
      </c>
      <c r="B398" t="s">
        <v>1918</v>
      </c>
      <c r="C398" t="s">
        <v>2493</v>
      </c>
      <c r="D398" t="s">
        <v>2494</v>
      </c>
      <c r="E398" t="s">
        <v>2421</v>
      </c>
      <c r="F398" t="s">
        <v>2495</v>
      </c>
      <c r="G398" t="s">
        <v>4347</v>
      </c>
      <c r="H398" t="s">
        <v>108</v>
      </c>
      <c r="I398" t="s">
        <v>3823</v>
      </c>
    </row>
    <row r="399" spans="1:9">
      <c r="A399" s="92" t="s">
        <v>4346</v>
      </c>
      <c r="B399" t="s">
        <v>1918</v>
      </c>
      <c r="C399" t="s">
        <v>2496</v>
      </c>
      <c r="D399" t="s">
        <v>2490</v>
      </c>
      <c r="E399" t="s">
        <v>2497</v>
      </c>
      <c r="G399" t="s">
        <v>4347</v>
      </c>
      <c r="H399" t="s">
        <v>108</v>
      </c>
      <c r="I399" t="s">
        <v>3823</v>
      </c>
    </row>
    <row r="400" spans="1:9">
      <c r="A400" s="92" t="s">
        <v>4346</v>
      </c>
      <c r="B400" t="s">
        <v>1918</v>
      </c>
      <c r="C400" t="s">
        <v>2498</v>
      </c>
      <c r="D400" t="s">
        <v>2490</v>
      </c>
      <c r="E400" t="s">
        <v>2499</v>
      </c>
      <c r="F400" t="s">
        <v>2500</v>
      </c>
      <c r="G400" t="s">
        <v>4347</v>
      </c>
      <c r="H400" t="s">
        <v>108</v>
      </c>
      <c r="I400" t="s">
        <v>3823</v>
      </c>
    </row>
    <row r="401" spans="1:9">
      <c r="A401" s="92" t="s">
        <v>4346</v>
      </c>
      <c r="B401" t="s">
        <v>1920</v>
      </c>
      <c r="C401" t="s">
        <v>2339</v>
      </c>
      <c r="E401" t="s">
        <v>2285</v>
      </c>
      <c r="F401" t="s">
        <v>2340</v>
      </c>
      <c r="G401" t="s">
        <v>4329</v>
      </c>
      <c r="H401" t="s">
        <v>2287</v>
      </c>
      <c r="I401" t="s">
        <v>3827</v>
      </c>
    </row>
    <row r="402" spans="1:9">
      <c r="A402" s="92" t="s">
        <v>4346</v>
      </c>
      <c r="B402" t="s">
        <v>1920</v>
      </c>
      <c r="C402" t="s">
        <v>2502</v>
      </c>
      <c r="D402" t="s">
        <v>2325</v>
      </c>
      <c r="E402" t="s">
        <v>2503</v>
      </c>
      <c r="F402" t="s">
        <v>2504</v>
      </c>
      <c r="G402" t="s">
        <v>4347</v>
      </c>
      <c r="H402" t="s">
        <v>108</v>
      </c>
      <c r="I402" t="s">
        <v>3827</v>
      </c>
    </row>
    <row r="403" spans="1:9">
      <c r="A403" s="92" t="s">
        <v>4346</v>
      </c>
      <c r="B403" t="s">
        <v>1920</v>
      </c>
      <c r="C403" t="s">
        <v>2341</v>
      </c>
      <c r="D403" t="s">
        <v>2342</v>
      </c>
      <c r="E403" t="s">
        <v>2343</v>
      </c>
      <c r="F403" t="s">
        <v>2344</v>
      </c>
      <c r="G403" t="s">
        <v>4325</v>
      </c>
      <c r="I403" t="s">
        <v>3827</v>
      </c>
    </row>
    <row r="404" spans="1:9">
      <c r="A404" s="92" t="s">
        <v>4346</v>
      </c>
      <c r="B404" t="s">
        <v>1920</v>
      </c>
      <c r="C404" t="s">
        <v>2341</v>
      </c>
      <c r="D404" t="s">
        <v>2342</v>
      </c>
      <c r="E404" t="s">
        <v>2343</v>
      </c>
      <c r="F404" t="s">
        <v>2344</v>
      </c>
      <c r="G404" t="s">
        <v>4347</v>
      </c>
      <c r="H404" t="s">
        <v>108</v>
      </c>
      <c r="I404" t="s">
        <v>3827</v>
      </c>
    </row>
    <row r="405" spans="1:9">
      <c r="A405" s="92" t="s">
        <v>4346</v>
      </c>
      <c r="B405" t="s">
        <v>1920</v>
      </c>
      <c r="C405" t="s">
        <v>2345</v>
      </c>
      <c r="D405" t="s">
        <v>2346</v>
      </c>
      <c r="E405" t="s">
        <v>2285</v>
      </c>
      <c r="F405" t="s">
        <v>2347</v>
      </c>
      <c r="G405" t="s">
        <v>4329</v>
      </c>
      <c r="H405" t="s">
        <v>2287</v>
      </c>
      <c r="I405" t="s">
        <v>3827</v>
      </c>
    </row>
    <row r="406" spans="1:9">
      <c r="A406" s="92" t="s">
        <v>4346</v>
      </c>
      <c r="B406" t="s">
        <v>1920</v>
      </c>
      <c r="C406" t="s">
        <v>2348</v>
      </c>
      <c r="E406" t="s">
        <v>2292</v>
      </c>
      <c r="G406" t="s">
        <v>4329</v>
      </c>
      <c r="H406" t="s">
        <v>2543</v>
      </c>
      <c r="I406" t="s">
        <v>3827</v>
      </c>
    </row>
    <row r="407" spans="1:9">
      <c r="A407" s="92" t="s">
        <v>4346</v>
      </c>
      <c r="B407" t="s">
        <v>1920</v>
      </c>
      <c r="C407" t="s">
        <v>2505</v>
      </c>
      <c r="D407" t="s">
        <v>2291</v>
      </c>
      <c r="E407" t="s">
        <v>108</v>
      </c>
      <c r="G407" t="s">
        <v>4347</v>
      </c>
      <c r="H407" t="s">
        <v>108</v>
      </c>
      <c r="I407" t="s">
        <v>3827</v>
      </c>
    </row>
    <row r="408" spans="1:9">
      <c r="A408" s="92" t="s">
        <v>4346</v>
      </c>
      <c r="B408" t="s">
        <v>1920</v>
      </c>
      <c r="C408" t="s">
        <v>2506</v>
      </c>
      <c r="D408" t="s">
        <v>2346</v>
      </c>
      <c r="E408" t="s">
        <v>2507</v>
      </c>
      <c r="F408" t="s">
        <v>2508</v>
      </c>
      <c r="G408" t="s">
        <v>4347</v>
      </c>
      <c r="H408" t="s">
        <v>2507</v>
      </c>
      <c r="I408" t="s">
        <v>3827</v>
      </c>
    </row>
    <row r="409" spans="1:9">
      <c r="A409" s="92" t="s">
        <v>4349</v>
      </c>
      <c r="B409" t="s">
        <v>1875</v>
      </c>
      <c r="C409" t="s">
        <v>2247</v>
      </c>
      <c r="D409" t="s">
        <v>2248</v>
      </c>
      <c r="G409" t="s">
        <v>4325</v>
      </c>
      <c r="I409" t="s">
        <v>3756</v>
      </c>
    </row>
    <row r="410" spans="1:9">
      <c r="A410" s="92" t="s">
        <v>4349</v>
      </c>
      <c r="B410" t="s">
        <v>1875</v>
      </c>
      <c r="C410" t="s">
        <v>2252</v>
      </c>
      <c r="D410" t="s">
        <v>2248</v>
      </c>
      <c r="G410" t="s">
        <v>4325</v>
      </c>
      <c r="I410" t="s">
        <v>3756</v>
      </c>
    </row>
    <row r="411" spans="1:9">
      <c r="A411" s="92" t="s">
        <v>4349</v>
      </c>
      <c r="B411" t="s">
        <v>1878</v>
      </c>
      <c r="C411" t="s">
        <v>2254</v>
      </c>
      <c r="D411" t="s">
        <v>2248</v>
      </c>
      <c r="G411" t="s">
        <v>4326</v>
      </c>
      <c r="I411" t="s">
        <v>3760</v>
      </c>
    </row>
    <row r="412" spans="1:9">
      <c r="A412" s="92" t="s">
        <v>4349</v>
      </c>
      <c r="B412" t="s">
        <v>1878</v>
      </c>
      <c r="C412" t="s">
        <v>2256</v>
      </c>
      <c r="D412" t="s">
        <v>2257</v>
      </c>
      <c r="G412" t="s">
        <v>4325</v>
      </c>
      <c r="I412" t="s">
        <v>3760</v>
      </c>
    </row>
    <row r="413" spans="1:9">
      <c r="A413" s="92" t="s">
        <v>4349</v>
      </c>
      <c r="B413" t="s">
        <v>1878</v>
      </c>
      <c r="C413" t="s">
        <v>2258</v>
      </c>
      <c r="D413" t="s">
        <v>2257</v>
      </c>
      <c r="G413" t="s">
        <v>4325</v>
      </c>
      <c r="I413" t="s">
        <v>3760</v>
      </c>
    </row>
    <row r="414" spans="1:9">
      <c r="A414" s="92" t="s">
        <v>4349</v>
      </c>
      <c r="B414" t="s">
        <v>1878</v>
      </c>
      <c r="C414" t="s">
        <v>2259</v>
      </c>
      <c r="D414" t="s">
        <v>2248</v>
      </c>
      <c r="G414" t="s">
        <v>4326</v>
      </c>
      <c r="I414" t="s">
        <v>3760</v>
      </c>
    </row>
    <row r="415" spans="1:9">
      <c r="A415" s="92" t="s">
        <v>4349</v>
      </c>
      <c r="B415" t="s">
        <v>1878</v>
      </c>
      <c r="C415" t="s">
        <v>2260</v>
      </c>
      <c r="D415" t="s">
        <v>2257</v>
      </c>
      <c r="G415" t="s">
        <v>4325</v>
      </c>
      <c r="I415" t="s">
        <v>3760</v>
      </c>
    </row>
    <row r="416" spans="1:9">
      <c r="A416" s="92" t="s">
        <v>4349</v>
      </c>
      <c r="B416" t="s">
        <v>1878</v>
      </c>
      <c r="C416" t="s">
        <v>2261</v>
      </c>
      <c r="D416" t="s">
        <v>2248</v>
      </c>
      <c r="G416" t="s">
        <v>4325</v>
      </c>
      <c r="I416" t="s">
        <v>3760</v>
      </c>
    </row>
    <row r="417" spans="1:9">
      <c r="A417" s="92" t="s">
        <v>4349</v>
      </c>
      <c r="B417" t="s">
        <v>1878</v>
      </c>
      <c r="C417" t="s">
        <v>2262</v>
      </c>
      <c r="D417" t="s">
        <v>2248</v>
      </c>
      <c r="G417" t="s">
        <v>4326</v>
      </c>
      <c r="I417" t="s">
        <v>3760</v>
      </c>
    </row>
    <row r="418" spans="1:9">
      <c r="A418" s="92" t="s">
        <v>4349</v>
      </c>
      <c r="B418" t="s">
        <v>1878</v>
      </c>
      <c r="C418" t="s">
        <v>2263</v>
      </c>
      <c r="D418" t="s">
        <v>2248</v>
      </c>
      <c r="G418" t="s">
        <v>4326</v>
      </c>
      <c r="I418" t="s">
        <v>3760</v>
      </c>
    </row>
    <row r="419" spans="1:9">
      <c r="A419" s="92" t="s">
        <v>4349</v>
      </c>
      <c r="B419" t="s">
        <v>1878</v>
      </c>
      <c r="C419" t="s">
        <v>2264</v>
      </c>
      <c r="D419" t="s">
        <v>2248</v>
      </c>
      <c r="G419" t="s">
        <v>4326</v>
      </c>
      <c r="I419" t="s">
        <v>3760</v>
      </c>
    </row>
    <row r="420" spans="1:9">
      <c r="A420" s="92" t="s">
        <v>4349</v>
      </c>
      <c r="B420" t="s">
        <v>1878</v>
      </c>
      <c r="C420" t="s">
        <v>2265</v>
      </c>
      <c r="D420" t="s">
        <v>2257</v>
      </c>
      <c r="G420" t="s">
        <v>4326</v>
      </c>
      <c r="I420" t="s">
        <v>3760</v>
      </c>
    </row>
    <row r="421" spans="1:9">
      <c r="A421" s="92" t="s">
        <v>4349</v>
      </c>
      <c r="B421" t="s">
        <v>1884</v>
      </c>
      <c r="C421" t="s">
        <v>2267</v>
      </c>
      <c r="D421" t="s">
        <v>2248</v>
      </c>
      <c r="G421" t="s">
        <v>4325</v>
      </c>
      <c r="I421" t="s">
        <v>3768</v>
      </c>
    </row>
    <row r="422" spans="1:9">
      <c r="A422" s="92" t="s">
        <v>4349</v>
      </c>
      <c r="B422" t="s">
        <v>1890</v>
      </c>
      <c r="C422" t="s">
        <v>2269</v>
      </c>
      <c r="D422" t="s">
        <v>2248</v>
      </c>
      <c r="G422" t="s">
        <v>4325</v>
      </c>
      <c r="I422" t="s">
        <v>3776</v>
      </c>
    </row>
    <row r="423" spans="1:9">
      <c r="A423" s="92" t="s">
        <v>4349</v>
      </c>
      <c r="B423" t="s">
        <v>1890</v>
      </c>
      <c r="C423" t="s">
        <v>2270</v>
      </c>
      <c r="D423" t="s">
        <v>2248</v>
      </c>
      <c r="G423" t="s">
        <v>4325</v>
      </c>
      <c r="I423" t="s">
        <v>3776</v>
      </c>
    </row>
    <row r="424" spans="1:9">
      <c r="A424" s="92" t="s">
        <v>4349</v>
      </c>
      <c r="B424" t="s">
        <v>1890</v>
      </c>
      <c r="C424" t="s">
        <v>2271</v>
      </c>
      <c r="D424" t="s">
        <v>2248</v>
      </c>
      <c r="G424" t="s">
        <v>4325</v>
      </c>
      <c r="I424" t="s">
        <v>3776</v>
      </c>
    </row>
    <row r="425" spans="1:9">
      <c r="A425" s="92" t="s">
        <v>4349</v>
      </c>
      <c r="B425" t="s">
        <v>1890</v>
      </c>
      <c r="C425" t="s">
        <v>2272</v>
      </c>
      <c r="D425" t="s">
        <v>2248</v>
      </c>
      <c r="G425" t="s">
        <v>4325</v>
      </c>
      <c r="I425" t="s">
        <v>3776</v>
      </c>
    </row>
    <row r="426" spans="1:9">
      <c r="A426" s="92" t="s">
        <v>4349</v>
      </c>
      <c r="B426" t="s">
        <v>1890</v>
      </c>
      <c r="C426" t="s">
        <v>2273</v>
      </c>
      <c r="D426" t="s">
        <v>2248</v>
      </c>
      <c r="G426" t="s">
        <v>4325</v>
      </c>
      <c r="I426" t="s">
        <v>3776</v>
      </c>
    </row>
    <row r="427" spans="1:9">
      <c r="A427" s="92" t="s">
        <v>4349</v>
      </c>
      <c r="B427" t="s">
        <v>1890</v>
      </c>
      <c r="C427" t="s">
        <v>2274</v>
      </c>
      <c r="D427" t="s">
        <v>2248</v>
      </c>
      <c r="G427" t="s">
        <v>4325</v>
      </c>
      <c r="I427" t="s">
        <v>3776</v>
      </c>
    </row>
    <row r="428" spans="1:9">
      <c r="A428" s="92" t="s">
        <v>4349</v>
      </c>
      <c r="B428" t="s">
        <v>1890</v>
      </c>
      <c r="C428" t="s">
        <v>2275</v>
      </c>
      <c r="D428" t="s">
        <v>2248</v>
      </c>
      <c r="G428" t="s">
        <v>4325</v>
      </c>
      <c r="I428" t="s">
        <v>3776</v>
      </c>
    </row>
    <row r="429" spans="1:9">
      <c r="A429" s="92" t="s">
        <v>4349</v>
      </c>
      <c r="B429" t="s">
        <v>1890</v>
      </c>
      <c r="C429" t="s">
        <v>2276</v>
      </c>
      <c r="D429" t="s">
        <v>2248</v>
      </c>
      <c r="G429" t="s">
        <v>4325</v>
      </c>
      <c r="I429" t="s">
        <v>3776</v>
      </c>
    </row>
    <row r="430" spans="1:9">
      <c r="A430" s="92" t="s">
        <v>4349</v>
      </c>
      <c r="B430" t="s">
        <v>1892</v>
      </c>
      <c r="C430" t="s">
        <v>2278</v>
      </c>
      <c r="D430" t="s">
        <v>2279</v>
      </c>
      <c r="G430" t="s">
        <v>4327</v>
      </c>
      <c r="I430" t="s">
        <v>3780</v>
      </c>
    </row>
    <row r="431" spans="1:9">
      <c r="A431" s="92" t="s">
        <v>4349</v>
      </c>
      <c r="B431" t="s">
        <v>1892</v>
      </c>
      <c r="C431" t="s">
        <v>2281</v>
      </c>
      <c r="D431" t="s">
        <v>2248</v>
      </c>
      <c r="G431" t="s">
        <v>4325</v>
      </c>
      <c r="I431" t="s">
        <v>3780</v>
      </c>
    </row>
    <row r="432" spans="1:9">
      <c r="A432" s="92" t="s">
        <v>4349</v>
      </c>
      <c r="B432" t="s">
        <v>1894</v>
      </c>
      <c r="C432" t="s">
        <v>2283</v>
      </c>
      <c r="D432" t="s">
        <v>2284</v>
      </c>
      <c r="E432" t="s">
        <v>2285</v>
      </c>
      <c r="F432" t="s">
        <v>2288</v>
      </c>
      <c r="G432" t="s">
        <v>4350</v>
      </c>
      <c r="H432" t="s">
        <v>2287</v>
      </c>
      <c r="I432" t="s">
        <v>3787</v>
      </c>
    </row>
    <row r="433" spans="1:9">
      <c r="A433" s="92" t="s">
        <v>4349</v>
      </c>
      <c r="B433" t="s">
        <v>1894</v>
      </c>
      <c r="C433" t="s">
        <v>2398</v>
      </c>
      <c r="E433" t="s">
        <v>2399</v>
      </c>
      <c r="G433" t="s">
        <v>4351</v>
      </c>
      <c r="H433" t="s">
        <v>1215</v>
      </c>
      <c r="I433" t="s">
        <v>3787</v>
      </c>
    </row>
    <row r="434" spans="1:9">
      <c r="A434" s="92" t="s">
        <v>4349</v>
      </c>
      <c r="B434" t="s">
        <v>1895</v>
      </c>
      <c r="C434" t="s">
        <v>2290</v>
      </c>
      <c r="D434" t="s">
        <v>2291</v>
      </c>
      <c r="E434" t="s">
        <v>2292</v>
      </c>
      <c r="G434" t="s">
        <v>4350</v>
      </c>
      <c r="H434" t="s">
        <v>2543</v>
      </c>
      <c r="I434" t="s">
        <v>3791</v>
      </c>
    </row>
    <row r="435" spans="1:9">
      <c r="A435" s="92" t="s">
        <v>4349</v>
      </c>
      <c r="B435" t="s">
        <v>1903</v>
      </c>
      <c r="C435" t="s">
        <v>2295</v>
      </c>
      <c r="D435" t="s">
        <v>2296</v>
      </c>
      <c r="E435" t="s">
        <v>2297</v>
      </c>
      <c r="G435" t="s">
        <v>4350</v>
      </c>
      <c r="H435" t="s">
        <v>2293</v>
      </c>
      <c r="I435" t="s">
        <v>3803</v>
      </c>
    </row>
    <row r="436" spans="1:9">
      <c r="A436" s="92" t="s">
        <v>4349</v>
      </c>
      <c r="B436" t="s">
        <v>1903</v>
      </c>
      <c r="C436" t="s">
        <v>2298</v>
      </c>
      <c r="D436" t="s">
        <v>2296</v>
      </c>
      <c r="E436" t="s">
        <v>2292</v>
      </c>
      <c r="G436" t="s">
        <v>4350</v>
      </c>
      <c r="H436" t="s">
        <v>2293</v>
      </c>
      <c r="I436" t="s">
        <v>3803</v>
      </c>
    </row>
    <row r="437" spans="1:9">
      <c r="A437" s="92" t="s">
        <v>4349</v>
      </c>
      <c r="B437" t="s">
        <v>1903</v>
      </c>
      <c r="C437" t="s">
        <v>2299</v>
      </c>
      <c r="D437" t="s">
        <v>2296</v>
      </c>
      <c r="E437" t="s">
        <v>2292</v>
      </c>
      <c r="G437" t="s">
        <v>4350</v>
      </c>
      <c r="H437" t="s">
        <v>2293</v>
      </c>
      <c r="I437" t="s">
        <v>3803</v>
      </c>
    </row>
    <row r="438" spans="1:9">
      <c r="A438" s="92" t="s">
        <v>4349</v>
      </c>
      <c r="B438" t="s">
        <v>1903</v>
      </c>
      <c r="C438" t="s">
        <v>2300</v>
      </c>
      <c r="D438" t="s">
        <v>2301</v>
      </c>
      <c r="E438" t="s">
        <v>2292</v>
      </c>
      <c r="G438" t="s">
        <v>4350</v>
      </c>
      <c r="H438" t="s">
        <v>2293</v>
      </c>
      <c r="I438" t="s">
        <v>3803</v>
      </c>
    </row>
    <row r="439" spans="1:9">
      <c r="A439" s="92" t="s">
        <v>4349</v>
      </c>
      <c r="B439" t="s">
        <v>1903</v>
      </c>
      <c r="C439" t="s">
        <v>2302</v>
      </c>
      <c r="E439" t="s">
        <v>2292</v>
      </c>
      <c r="G439" t="s">
        <v>4350</v>
      </c>
      <c r="H439" t="s">
        <v>2293</v>
      </c>
      <c r="I439" t="s">
        <v>3803</v>
      </c>
    </row>
    <row r="440" spans="1:9">
      <c r="A440" s="92" t="s">
        <v>4349</v>
      </c>
      <c r="B440" t="s">
        <v>1903</v>
      </c>
      <c r="C440" t="s">
        <v>2303</v>
      </c>
      <c r="E440" t="s">
        <v>2292</v>
      </c>
      <c r="G440" t="s">
        <v>4350</v>
      </c>
      <c r="H440" t="s">
        <v>2293</v>
      </c>
      <c r="I440" t="s">
        <v>3803</v>
      </c>
    </row>
    <row r="441" spans="1:9">
      <c r="A441" s="92" t="s">
        <v>4349</v>
      </c>
      <c r="B441" t="s">
        <v>1903</v>
      </c>
      <c r="C441" t="s">
        <v>2304</v>
      </c>
      <c r="E441" t="s">
        <v>2292</v>
      </c>
      <c r="G441" t="s">
        <v>4350</v>
      </c>
      <c r="H441" t="s">
        <v>2293</v>
      </c>
      <c r="I441" t="s">
        <v>3803</v>
      </c>
    </row>
    <row r="442" spans="1:9">
      <c r="A442" s="92" t="s">
        <v>4349</v>
      </c>
      <c r="B442" t="s">
        <v>1905</v>
      </c>
      <c r="C442" t="s">
        <v>2306</v>
      </c>
      <c r="D442" t="s">
        <v>2291</v>
      </c>
      <c r="E442" t="s">
        <v>2307</v>
      </c>
      <c r="G442" t="s">
        <v>4329</v>
      </c>
      <c r="H442" t="s">
        <v>2307</v>
      </c>
      <c r="I442" t="s">
        <v>3805</v>
      </c>
    </row>
    <row r="443" spans="1:9">
      <c r="A443" s="92" t="s">
        <v>4349</v>
      </c>
      <c r="B443" t="s">
        <v>1905</v>
      </c>
      <c r="C443" t="s">
        <v>2310</v>
      </c>
      <c r="D443" t="s">
        <v>2291</v>
      </c>
      <c r="E443" t="s">
        <v>2311</v>
      </c>
      <c r="G443" t="s">
        <v>4350</v>
      </c>
      <c r="H443" t="s">
        <v>2312</v>
      </c>
      <c r="I443" t="s">
        <v>3805</v>
      </c>
    </row>
    <row r="444" spans="1:9">
      <c r="A444" s="92" t="s">
        <v>4349</v>
      </c>
      <c r="B444" t="s">
        <v>1905</v>
      </c>
      <c r="C444" t="s">
        <v>2313</v>
      </c>
      <c r="D444" t="s">
        <v>2291</v>
      </c>
      <c r="E444" t="s">
        <v>2292</v>
      </c>
      <c r="G444" t="s">
        <v>4350</v>
      </c>
      <c r="H444" t="s">
        <v>2543</v>
      </c>
      <c r="I444" t="s">
        <v>3805</v>
      </c>
    </row>
    <row r="445" spans="1:9">
      <c r="A445" s="92" t="s">
        <v>4349</v>
      </c>
      <c r="B445" t="s">
        <v>1905</v>
      </c>
      <c r="C445" t="s">
        <v>2314</v>
      </c>
      <c r="D445" t="s">
        <v>2291</v>
      </c>
      <c r="E445" t="s">
        <v>2292</v>
      </c>
      <c r="G445" t="s">
        <v>4350</v>
      </c>
      <c r="H445" t="s">
        <v>2543</v>
      </c>
      <c r="I445" t="s">
        <v>3805</v>
      </c>
    </row>
    <row r="446" spans="1:9">
      <c r="A446" s="92" t="s">
        <v>4349</v>
      </c>
      <c r="B446" t="s">
        <v>1908</v>
      </c>
      <c r="C446" t="s">
        <v>2316</v>
      </c>
      <c r="D446" t="s">
        <v>2291</v>
      </c>
      <c r="E446" t="s">
        <v>2292</v>
      </c>
      <c r="G446" t="s">
        <v>4350</v>
      </c>
      <c r="H446" t="s">
        <v>2543</v>
      </c>
      <c r="I446" t="s">
        <v>3807</v>
      </c>
    </row>
    <row r="447" spans="1:9">
      <c r="A447" s="92" t="s">
        <v>4349</v>
      </c>
      <c r="B447" t="s">
        <v>1911</v>
      </c>
      <c r="C447" t="s">
        <v>2318</v>
      </c>
      <c r="D447" t="s">
        <v>2319</v>
      </c>
      <c r="E447" t="s">
        <v>2285</v>
      </c>
      <c r="F447" t="s">
        <v>2320</v>
      </c>
      <c r="G447" t="s">
        <v>4350</v>
      </c>
      <c r="H447" t="s">
        <v>2287</v>
      </c>
      <c r="I447" t="s">
        <v>3815</v>
      </c>
    </row>
    <row r="448" spans="1:9">
      <c r="A448" s="92" t="s">
        <v>4349</v>
      </c>
      <c r="B448" t="s">
        <v>1911</v>
      </c>
      <c r="C448" t="s">
        <v>2321</v>
      </c>
      <c r="D448" t="s">
        <v>2322</v>
      </c>
      <c r="E448" t="s">
        <v>2285</v>
      </c>
      <c r="F448" t="s">
        <v>2323</v>
      </c>
      <c r="G448" t="s">
        <v>4350</v>
      </c>
      <c r="H448" t="s">
        <v>2287</v>
      </c>
      <c r="I448" t="s">
        <v>3815</v>
      </c>
    </row>
    <row r="449" spans="1:9">
      <c r="A449" s="92" t="s">
        <v>4349</v>
      </c>
      <c r="B449" t="s">
        <v>1911</v>
      </c>
      <c r="C449" t="s">
        <v>2324</v>
      </c>
      <c r="D449" t="s">
        <v>2325</v>
      </c>
      <c r="G449" t="s">
        <v>4330</v>
      </c>
      <c r="I449" t="s">
        <v>3815</v>
      </c>
    </row>
    <row r="450" spans="1:9">
      <c r="A450" s="92" t="s">
        <v>4349</v>
      </c>
      <c r="B450" t="s">
        <v>1911</v>
      </c>
      <c r="C450" t="s">
        <v>2327</v>
      </c>
      <c r="D450" t="s">
        <v>2325</v>
      </c>
      <c r="G450" t="s">
        <v>4330</v>
      </c>
      <c r="I450" t="s">
        <v>3815</v>
      </c>
    </row>
    <row r="451" spans="1:9">
      <c r="A451" s="92" t="s">
        <v>4349</v>
      </c>
      <c r="B451" t="s">
        <v>1911</v>
      </c>
      <c r="C451" t="s">
        <v>2328</v>
      </c>
      <c r="D451" t="s">
        <v>2325</v>
      </c>
      <c r="E451" t="s">
        <v>2329</v>
      </c>
      <c r="F451" t="s">
        <v>2331</v>
      </c>
      <c r="G451" t="s">
        <v>4331</v>
      </c>
      <c r="I451" t="s">
        <v>3815</v>
      </c>
    </row>
    <row r="452" spans="1:9">
      <c r="A452" s="92" t="s">
        <v>4349</v>
      </c>
      <c r="B452" t="s">
        <v>1916</v>
      </c>
      <c r="C452" t="s">
        <v>2333</v>
      </c>
      <c r="D452" t="s">
        <v>2291</v>
      </c>
      <c r="E452" t="s">
        <v>2285</v>
      </c>
      <c r="G452" t="s">
        <v>4350</v>
      </c>
      <c r="H452" t="s">
        <v>2287</v>
      </c>
      <c r="I452" t="s">
        <v>3819</v>
      </c>
    </row>
    <row r="453" spans="1:9">
      <c r="A453" s="92" t="s">
        <v>4349</v>
      </c>
      <c r="B453" t="s">
        <v>1916</v>
      </c>
      <c r="C453" t="s">
        <v>2334</v>
      </c>
      <c r="D453" t="s">
        <v>2291</v>
      </c>
      <c r="E453" t="s">
        <v>2311</v>
      </c>
      <c r="F453" t="s">
        <v>2335</v>
      </c>
      <c r="G453" t="s">
        <v>4332</v>
      </c>
      <c r="I453" t="s">
        <v>3819</v>
      </c>
    </row>
    <row r="454" spans="1:9">
      <c r="A454" s="92" t="s">
        <v>4349</v>
      </c>
      <c r="B454" t="s">
        <v>1916</v>
      </c>
      <c r="C454" t="s">
        <v>2334</v>
      </c>
      <c r="D454" t="s">
        <v>2291</v>
      </c>
      <c r="E454" t="s">
        <v>2311</v>
      </c>
      <c r="F454" t="s">
        <v>2335</v>
      </c>
      <c r="G454" t="s">
        <v>4350</v>
      </c>
      <c r="H454" t="s">
        <v>2312</v>
      </c>
      <c r="I454" t="s">
        <v>3819</v>
      </c>
    </row>
    <row r="455" spans="1:9">
      <c r="A455" s="92" t="s">
        <v>4349</v>
      </c>
      <c r="B455" t="s">
        <v>1916</v>
      </c>
      <c r="C455" t="s">
        <v>2336</v>
      </c>
      <c r="D455" t="s">
        <v>2291</v>
      </c>
      <c r="E455" t="s">
        <v>552</v>
      </c>
      <c r="F455" t="s">
        <v>2337</v>
      </c>
      <c r="G455" t="s">
        <v>4333</v>
      </c>
      <c r="I455" t="s">
        <v>3819</v>
      </c>
    </row>
    <row r="456" spans="1:9">
      <c r="A456" s="92" t="s">
        <v>4349</v>
      </c>
      <c r="B456" t="s">
        <v>1918</v>
      </c>
      <c r="C456" t="s">
        <v>2529</v>
      </c>
      <c r="D456" t="s">
        <v>2494</v>
      </c>
      <c r="E456" t="s">
        <v>2530</v>
      </c>
      <c r="F456" t="s">
        <v>2532</v>
      </c>
      <c r="G456" t="s">
        <v>4351</v>
      </c>
      <c r="H456" t="s">
        <v>2553</v>
      </c>
      <c r="I456" t="s">
        <v>3823</v>
      </c>
    </row>
    <row r="457" spans="1:9">
      <c r="A457" s="92" t="s">
        <v>4349</v>
      </c>
      <c r="B457" t="s">
        <v>1920</v>
      </c>
      <c r="C457" t="s">
        <v>2339</v>
      </c>
      <c r="E457" t="s">
        <v>2285</v>
      </c>
      <c r="F457" t="s">
        <v>2340</v>
      </c>
      <c r="G457" t="s">
        <v>4350</v>
      </c>
      <c r="H457" t="s">
        <v>2287</v>
      </c>
      <c r="I457" t="s">
        <v>3827</v>
      </c>
    </row>
    <row r="458" spans="1:9">
      <c r="A458" s="92" t="s">
        <v>4349</v>
      </c>
      <c r="B458" t="s">
        <v>1920</v>
      </c>
      <c r="C458" t="s">
        <v>2341</v>
      </c>
      <c r="D458" t="s">
        <v>2342</v>
      </c>
      <c r="E458" t="s">
        <v>2343</v>
      </c>
      <c r="F458" t="s">
        <v>2344</v>
      </c>
      <c r="G458" t="s">
        <v>4325</v>
      </c>
      <c r="I458" t="s">
        <v>3827</v>
      </c>
    </row>
    <row r="459" spans="1:9">
      <c r="A459" s="92" t="s">
        <v>4349</v>
      </c>
      <c r="B459" t="s">
        <v>1920</v>
      </c>
      <c r="C459" t="s">
        <v>2345</v>
      </c>
      <c r="D459" t="s">
        <v>2346</v>
      </c>
      <c r="E459" t="s">
        <v>2285</v>
      </c>
      <c r="F459" t="s">
        <v>2347</v>
      </c>
      <c r="G459" t="s">
        <v>4350</v>
      </c>
      <c r="H459" t="s">
        <v>2287</v>
      </c>
      <c r="I459" t="s">
        <v>3827</v>
      </c>
    </row>
    <row r="460" spans="1:9">
      <c r="A460" s="92" t="s">
        <v>4349</v>
      </c>
      <c r="B460" t="s">
        <v>1920</v>
      </c>
      <c r="C460" t="s">
        <v>2348</v>
      </c>
      <c r="E460" t="s">
        <v>2292</v>
      </c>
      <c r="G460" t="s">
        <v>4350</v>
      </c>
      <c r="H460" t="s">
        <v>2293</v>
      </c>
      <c r="I460" t="s">
        <v>3827</v>
      </c>
    </row>
    <row r="461" spans="1:9">
      <c r="A461" s="92" t="s">
        <v>4349</v>
      </c>
      <c r="B461" t="s">
        <v>1920</v>
      </c>
      <c r="C461" t="s">
        <v>2505</v>
      </c>
      <c r="D461" t="s">
        <v>2291</v>
      </c>
      <c r="E461" t="s">
        <v>108</v>
      </c>
      <c r="G461" t="s">
        <v>4351</v>
      </c>
      <c r="H461" t="s">
        <v>108</v>
      </c>
      <c r="I461" t="s">
        <v>3827</v>
      </c>
    </row>
    <row r="462" spans="1:9">
      <c r="A462" s="92" t="s">
        <v>4352</v>
      </c>
      <c r="B462" t="s">
        <v>1875</v>
      </c>
      <c r="C462" t="s">
        <v>2291</v>
      </c>
      <c r="D462" t="s">
        <v>2291</v>
      </c>
      <c r="E462" t="s">
        <v>2292</v>
      </c>
      <c r="F462" t="s">
        <v>2573</v>
      </c>
      <c r="G462" t="s">
        <v>4353</v>
      </c>
      <c r="H462" t="s">
        <v>2543</v>
      </c>
      <c r="I462" t="s">
        <v>3756</v>
      </c>
    </row>
    <row r="463" spans="1:9">
      <c r="A463" s="92" t="s">
        <v>4352</v>
      </c>
      <c r="B463" t="s">
        <v>1875</v>
      </c>
      <c r="C463" t="s">
        <v>2247</v>
      </c>
      <c r="D463" t="s">
        <v>2248</v>
      </c>
      <c r="G463" t="s">
        <v>4325</v>
      </c>
      <c r="I463" t="s">
        <v>3756</v>
      </c>
    </row>
    <row r="464" spans="1:9">
      <c r="A464" s="92" t="s">
        <v>4352</v>
      </c>
      <c r="B464" t="s">
        <v>1875</v>
      </c>
      <c r="C464" t="s">
        <v>2252</v>
      </c>
      <c r="D464" t="s">
        <v>2248</v>
      </c>
      <c r="G464" t="s">
        <v>4325</v>
      </c>
      <c r="I464" t="s">
        <v>3756</v>
      </c>
    </row>
    <row r="465" spans="1:9">
      <c r="A465" s="92" t="s">
        <v>4352</v>
      </c>
      <c r="B465" t="s">
        <v>1878</v>
      </c>
      <c r="C465" t="s">
        <v>2254</v>
      </c>
      <c r="D465" t="s">
        <v>2248</v>
      </c>
      <c r="G465" t="s">
        <v>4326</v>
      </c>
      <c r="I465" t="s">
        <v>3760</v>
      </c>
    </row>
    <row r="466" spans="1:9">
      <c r="A466" s="92" t="s">
        <v>4352</v>
      </c>
      <c r="B466" t="s">
        <v>1878</v>
      </c>
      <c r="C466" t="s">
        <v>2256</v>
      </c>
      <c r="D466" t="s">
        <v>2257</v>
      </c>
      <c r="G466" t="s">
        <v>4325</v>
      </c>
      <c r="I466" t="s">
        <v>3760</v>
      </c>
    </row>
    <row r="467" spans="1:9">
      <c r="A467" s="92" t="s">
        <v>4352</v>
      </c>
      <c r="B467" t="s">
        <v>1878</v>
      </c>
      <c r="C467" t="s">
        <v>2258</v>
      </c>
      <c r="D467" t="s">
        <v>2257</v>
      </c>
      <c r="G467" t="s">
        <v>4325</v>
      </c>
      <c r="I467" t="s">
        <v>3760</v>
      </c>
    </row>
    <row r="468" spans="1:9">
      <c r="A468" s="92" t="s">
        <v>4352</v>
      </c>
      <c r="B468" t="s">
        <v>1878</v>
      </c>
      <c r="C468" t="s">
        <v>2259</v>
      </c>
      <c r="D468" t="s">
        <v>2248</v>
      </c>
      <c r="G468" t="s">
        <v>4326</v>
      </c>
      <c r="I468" t="s">
        <v>3760</v>
      </c>
    </row>
    <row r="469" spans="1:9">
      <c r="A469" s="92" t="s">
        <v>4352</v>
      </c>
      <c r="B469" t="s">
        <v>1878</v>
      </c>
      <c r="C469" t="s">
        <v>2260</v>
      </c>
      <c r="D469" t="s">
        <v>2257</v>
      </c>
      <c r="G469" t="s">
        <v>4325</v>
      </c>
      <c r="I469" t="s">
        <v>3760</v>
      </c>
    </row>
    <row r="470" spans="1:9">
      <c r="A470" s="92" t="s">
        <v>4352</v>
      </c>
      <c r="B470" t="s">
        <v>1878</v>
      </c>
      <c r="C470" t="s">
        <v>2261</v>
      </c>
      <c r="D470" t="s">
        <v>2248</v>
      </c>
      <c r="G470" t="s">
        <v>4325</v>
      </c>
      <c r="I470" t="s">
        <v>3760</v>
      </c>
    </row>
    <row r="471" spans="1:9">
      <c r="A471" s="92" t="s">
        <v>4352</v>
      </c>
      <c r="B471" t="s">
        <v>1878</v>
      </c>
      <c r="C471" t="s">
        <v>2262</v>
      </c>
      <c r="D471" t="s">
        <v>2248</v>
      </c>
      <c r="G471" t="s">
        <v>4326</v>
      </c>
      <c r="I471" t="s">
        <v>3760</v>
      </c>
    </row>
    <row r="472" spans="1:9">
      <c r="A472" s="92" t="s">
        <v>4352</v>
      </c>
      <c r="B472" t="s">
        <v>1878</v>
      </c>
      <c r="C472" t="s">
        <v>2263</v>
      </c>
      <c r="D472" t="s">
        <v>2248</v>
      </c>
      <c r="G472" t="s">
        <v>4326</v>
      </c>
      <c r="I472" t="s">
        <v>3760</v>
      </c>
    </row>
    <row r="473" spans="1:9">
      <c r="A473" s="92" t="s">
        <v>4352</v>
      </c>
      <c r="B473" t="s">
        <v>1878</v>
      </c>
      <c r="C473" t="s">
        <v>2264</v>
      </c>
      <c r="D473" t="s">
        <v>2248</v>
      </c>
      <c r="G473" t="s">
        <v>4326</v>
      </c>
      <c r="I473" t="s">
        <v>3760</v>
      </c>
    </row>
    <row r="474" spans="1:9">
      <c r="A474" s="92" t="s">
        <v>4352</v>
      </c>
      <c r="B474" t="s">
        <v>1878</v>
      </c>
      <c r="C474" t="s">
        <v>2265</v>
      </c>
      <c r="D474" t="s">
        <v>2257</v>
      </c>
      <c r="G474" t="s">
        <v>4326</v>
      </c>
      <c r="I474" t="s">
        <v>3760</v>
      </c>
    </row>
    <row r="475" spans="1:9">
      <c r="A475" s="92" t="s">
        <v>4352</v>
      </c>
      <c r="B475" t="s">
        <v>1878</v>
      </c>
      <c r="C475" t="s">
        <v>2291</v>
      </c>
      <c r="D475" t="s">
        <v>2291</v>
      </c>
      <c r="E475" t="s">
        <v>2292</v>
      </c>
      <c r="F475" t="s">
        <v>2575</v>
      </c>
      <c r="G475" t="s">
        <v>4353</v>
      </c>
      <c r="H475" t="s">
        <v>2543</v>
      </c>
      <c r="I475" t="s">
        <v>3760</v>
      </c>
    </row>
    <row r="476" spans="1:9">
      <c r="A476" s="92" t="s">
        <v>4352</v>
      </c>
      <c r="B476" t="s">
        <v>1881</v>
      </c>
      <c r="C476" t="s">
        <v>2291</v>
      </c>
      <c r="D476" t="s">
        <v>2291</v>
      </c>
      <c r="E476" t="s">
        <v>2292</v>
      </c>
      <c r="F476" t="s">
        <v>2573</v>
      </c>
      <c r="G476" t="s">
        <v>4353</v>
      </c>
      <c r="H476" t="s">
        <v>2543</v>
      </c>
      <c r="I476" t="s">
        <v>3764</v>
      </c>
    </row>
    <row r="477" spans="1:9">
      <c r="A477" s="92" t="s">
        <v>4352</v>
      </c>
      <c r="B477" t="s">
        <v>1884</v>
      </c>
      <c r="C477" t="s">
        <v>2291</v>
      </c>
      <c r="D477" t="s">
        <v>2291</v>
      </c>
      <c r="E477" t="s">
        <v>2292</v>
      </c>
      <c r="F477" t="s">
        <v>2578</v>
      </c>
      <c r="G477" t="s">
        <v>4353</v>
      </c>
      <c r="H477" t="s">
        <v>2543</v>
      </c>
      <c r="I477" t="s">
        <v>3768</v>
      </c>
    </row>
    <row r="478" spans="1:9">
      <c r="A478" s="92" t="s">
        <v>4352</v>
      </c>
      <c r="B478" t="s">
        <v>1884</v>
      </c>
      <c r="C478" t="s">
        <v>2267</v>
      </c>
      <c r="D478" t="s">
        <v>2248</v>
      </c>
      <c r="G478" t="s">
        <v>4325</v>
      </c>
      <c r="I478" t="s">
        <v>3768</v>
      </c>
    </row>
    <row r="479" spans="1:9">
      <c r="A479" s="92" t="s">
        <v>4352</v>
      </c>
      <c r="B479" t="s">
        <v>1886</v>
      </c>
      <c r="C479" t="s">
        <v>2291</v>
      </c>
      <c r="D479" t="s">
        <v>2291</v>
      </c>
      <c r="E479" t="s">
        <v>2292</v>
      </c>
      <c r="F479" t="s">
        <v>2575</v>
      </c>
      <c r="G479" t="s">
        <v>4353</v>
      </c>
      <c r="H479" t="s">
        <v>2543</v>
      </c>
      <c r="I479" t="s">
        <v>3772</v>
      </c>
    </row>
    <row r="480" spans="1:9">
      <c r="A480" s="92" t="s">
        <v>4352</v>
      </c>
      <c r="B480" t="s">
        <v>1890</v>
      </c>
      <c r="C480" t="s">
        <v>2291</v>
      </c>
      <c r="D480" t="s">
        <v>2291</v>
      </c>
      <c r="E480" t="s">
        <v>2292</v>
      </c>
      <c r="F480" t="s">
        <v>2575</v>
      </c>
      <c r="G480" t="s">
        <v>4353</v>
      </c>
      <c r="H480" t="s">
        <v>2543</v>
      </c>
      <c r="I480" t="s">
        <v>3776</v>
      </c>
    </row>
    <row r="481" spans="1:9">
      <c r="A481" s="92" t="s">
        <v>4352</v>
      </c>
      <c r="B481" t="s">
        <v>1890</v>
      </c>
      <c r="C481" t="s">
        <v>2269</v>
      </c>
      <c r="D481" t="s">
        <v>2248</v>
      </c>
      <c r="G481" t="s">
        <v>4325</v>
      </c>
      <c r="I481" t="s">
        <v>3776</v>
      </c>
    </row>
    <row r="482" spans="1:9">
      <c r="A482" s="92" t="s">
        <v>4352</v>
      </c>
      <c r="B482" t="s">
        <v>1890</v>
      </c>
      <c r="C482" t="s">
        <v>2270</v>
      </c>
      <c r="D482" t="s">
        <v>2248</v>
      </c>
      <c r="G482" t="s">
        <v>4325</v>
      </c>
      <c r="I482" t="s">
        <v>3776</v>
      </c>
    </row>
    <row r="483" spans="1:9">
      <c r="A483" s="92" t="s">
        <v>4352</v>
      </c>
      <c r="B483" t="s">
        <v>1890</v>
      </c>
      <c r="C483" t="s">
        <v>2271</v>
      </c>
      <c r="D483" t="s">
        <v>2248</v>
      </c>
      <c r="G483" t="s">
        <v>4325</v>
      </c>
      <c r="I483" t="s">
        <v>3776</v>
      </c>
    </row>
    <row r="484" spans="1:9">
      <c r="A484" s="92" t="s">
        <v>4352</v>
      </c>
      <c r="B484" t="s">
        <v>1890</v>
      </c>
      <c r="C484" t="s">
        <v>2272</v>
      </c>
      <c r="D484" t="s">
        <v>2248</v>
      </c>
      <c r="G484" t="s">
        <v>4325</v>
      </c>
      <c r="I484" t="s">
        <v>3776</v>
      </c>
    </row>
    <row r="485" spans="1:9">
      <c r="A485" s="92" t="s">
        <v>4352</v>
      </c>
      <c r="B485" t="s">
        <v>1890</v>
      </c>
      <c r="C485" t="s">
        <v>2273</v>
      </c>
      <c r="D485" t="s">
        <v>2248</v>
      </c>
      <c r="G485" t="s">
        <v>4325</v>
      </c>
      <c r="I485" t="s">
        <v>3776</v>
      </c>
    </row>
    <row r="486" spans="1:9">
      <c r="A486" s="92" t="s">
        <v>4352</v>
      </c>
      <c r="B486" t="s">
        <v>1890</v>
      </c>
      <c r="C486" t="s">
        <v>2274</v>
      </c>
      <c r="D486" t="s">
        <v>2248</v>
      </c>
      <c r="G486" t="s">
        <v>4325</v>
      </c>
      <c r="I486" t="s">
        <v>3776</v>
      </c>
    </row>
    <row r="487" spans="1:9">
      <c r="A487" s="92" t="s">
        <v>4352</v>
      </c>
      <c r="B487" t="s">
        <v>1890</v>
      </c>
      <c r="C487" t="s">
        <v>2275</v>
      </c>
      <c r="D487" t="s">
        <v>2248</v>
      </c>
      <c r="G487" t="s">
        <v>4325</v>
      </c>
      <c r="I487" t="s">
        <v>3776</v>
      </c>
    </row>
    <row r="488" spans="1:9">
      <c r="A488" s="92" t="s">
        <v>4352</v>
      </c>
      <c r="B488" t="s">
        <v>1890</v>
      </c>
      <c r="C488" t="s">
        <v>2276</v>
      </c>
      <c r="D488" t="s">
        <v>2248</v>
      </c>
      <c r="G488" t="s">
        <v>4325</v>
      </c>
      <c r="I488" t="s">
        <v>3776</v>
      </c>
    </row>
    <row r="489" spans="1:9">
      <c r="A489" s="92" t="s">
        <v>4352</v>
      </c>
      <c r="B489" t="s">
        <v>1892</v>
      </c>
      <c r="C489" t="s">
        <v>2291</v>
      </c>
      <c r="D489" t="s">
        <v>2291</v>
      </c>
      <c r="E489" t="s">
        <v>2292</v>
      </c>
      <c r="F489" t="s">
        <v>2575</v>
      </c>
      <c r="G489" t="s">
        <v>4353</v>
      </c>
      <c r="H489" t="s">
        <v>2543</v>
      </c>
      <c r="I489" t="s">
        <v>3780</v>
      </c>
    </row>
    <row r="490" spans="1:9">
      <c r="A490" s="92" t="s">
        <v>4352</v>
      </c>
      <c r="B490" t="s">
        <v>1892</v>
      </c>
      <c r="C490" t="s">
        <v>2278</v>
      </c>
      <c r="D490" t="s">
        <v>2279</v>
      </c>
      <c r="G490" t="s">
        <v>4327</v>
      </c>
      <c r="I490" t="s">
        <v>3780</v>
      </c>
    </row>
    <row r="491" spans="1:9">
      <c r="A491" s="92" t="s">
        <v>4352</v>
      </c>
      <c r="B491" t="s">
        <v>1892</v>
      </c>
      <c r="C491" t="s">
        <v>2281</v>
      </c>
      <c r="D491" t="s">
        <v>2248</v>
      </c>
      <c r="G491" t="s">
        <v>4325</v>
      </c>
      <c r="I491" t="s">
        <v>3780</v>
      </c>
    </row>
    <row r="492" spans="1:9">
      <c r="A492" s="92" t="s">
        <v>4352</v>
      </c>
      <c r="B492" t="s">
        <v>1893</v>
      </c>
      <c r="C492" t="s">
        <v>2291</v>
      </c>
      <c r="D492" t="s">
        <v>2291</v>
      </c>
      <c r="E492" t="s">
        <v>2292</v>
      </c>
      <c r="F492" t="s">
        <v>2575</v>
      </c>
      <c r="G492" t="s">
        <v>4353</v>
      </c>
      <c r="H492" t="s">
        <v>2543</v>
      </c>
      <c r="I492" t="s">
        <v>3784</v>
      </c>
    </row>
    <row r="493" spans="1:9">
      <c r="A493" s="92" t="s">
        <v>4352</v>
      </c>
      <c r="B493" t="s">
        <v>1894</v>
      </c>
      <c r="C493" t="s">
        <v>2355</v>
      </c>
      <c r="D493" t="s">
        <v>2356</v>
      </c>
      <c r="E493" t="s">
        <v>1565</v>
      </c>
      <c r="F493" t="s">
        <v>2358</v>
      </c>
      <c r="G493" t="s">
        <v>4354</v>
      </c>
      <c r="H493" t="s">
        <v>1565</v>
      </c>
      <c r="I493" t="s">
        <v>3787</v>
      </c>
    </row>
    <row r="494" spans="1:9">
      <c r="A494" s="92" t="s">
        <v>4352</v>
      </c>
      <c r="B494" t="s">
        <v>1894</v>
      </c>
      <c r="C494" t="s">
        <v>2516</v>
      </c>
      <c r="D494" t="s">
        <v>2291</v>
      </c>
      <c r="E494" t="s">
        <v>1215</v>
      </c>
      <c r="G494" t="s">
        <v>4355</v>
      </c>
      <c r="H494" t="s">
        <v>1215</v>
      </c>
      <c r="I494" t="s">
        <v>3787</v>
      </c>
    </row>
    <row r="495" spans="1:9">
      <c r="A495" s="92" t="s">
        <v>4352</v>
      </c>
      <c r="B495" t="s">
        <v>1894</v>
      </c>
      <c r="C495" t="s">
        <v>2398</v>
      </c>
      <c r="E495" t="s">
        <v>2399</v>
      </c>
      <c r="G495" t="s">
        <v>4354</v>
      </c>
      <c r="H495" t="s">
        <v>2517</v>
      </c>
      <c r="I495" t="s">
        <v>3787</v>
      </c>
    </row>
    <row r="496" spans="1:9">
      <c r="A496" s="92" t="s">
        <v>4352</v>
      </c>
      <c r="B496" t="s">
        <v>1894</v>
      </c>
      <c r="C496" t="s">
        <v>2400</v>
      </c>
      <c r="D496" t="s">
        <v>2284</v>
      </c>
      <c r="E496" t="s">
        <v>108</v>
      </c>
      <c r="G496" t="s">
        <v>4356</v>
      </c>
      <c r="H496" t="s">
        <v>108</v>
      </c>
      <c r="I496" t="s">
        <v>3787</v>
      </c>
    </row>
    <row r="497" spans="1:9">
      <c r="A497" s="92" t="s">
        <v>4352</v>
      </c>
      <c r="B497" t="s">
        <v>1894</v>
      </c>
      <c r="C497" t="s">
        <v>2401</v>
      </c>
      <c r="D497" t="s">
        <v>2402</v>
      </c>
      <c r="E497" t="s">
        <v>2403</v>
      </c>
      <c r="F497" t="s">
        <v>2404</v>
      </c>
      <c r="G497" t="s">
        <v>4356</v>
      </c>
      <c r="H497" t="s">
        <v>2403</v>
      </c>
      <c r="I497" t="s">
        <v>3787</v>
      </c>
    </row>
    <row r="498" spans="1:9">
      <c r="A498" s="92" t="s">
        <v>4352</v>
      </c>
      <c r="B498" t="s">
        <v>1894</v>
      </c>
      <c r="C498" t="s">
        <v>2405</v>
      </c>
      <c r="E498" t="s">
        <v>108</v>
      </c>
      <c r="G498" t="s">
        <v>4356</v>
      </c>
      <c r="H498" t="s">
        <v>108</v>
      </c>
      <c r="I498" t="s">
        <v>3787</v>
      </c>
    </row>
    <row r="499" spans="1:9">
      <c r="A499" s="92" t="s">
        <v>4352</v>
      </c>
      <c r="B499" t="s">
        <v>1895</v>
      </c>
      <c r="C499" t="s">
        <v>2407</v>
      </c>
      <c r="D499" t="s">
        <v>2296</v>
      </c>
      <c r="E499" t="s">
        <v>108</v>
      </c>
      <c r="G499" t="s">
        <v>4356</v>
      </c>
      <c r="H499" t="s">
        <v>108</v>
      </c>
      <c r="I499" t="s">
        <v>3791</v>
      </c>
    </row>
    <row r="500" spans="1:9">
      <c r="A500" s="92" t="s">
        <v>4352</v>
      </c>
      <c r="B500" t="s">
        <v>1895</v>
      </c>
      <c r="C500" t="s">
        <v>2409</v>
      </c>
      <c r="D500" t="s">
        <v>2410</v>
      </c>
      <c r="E500" t="s">
        <v>108</v>
      </c>
      <c r="F500" t="s">
        <v>2411</v>
      </c>
      <c r="G500" t="s">
        <v>4356</v>
      </c>
      <c r="H500" t="s">
        <v>108</v>
      </c>
      <c r="I500" t="s">
        <v>3791</v>
      </c>
    </row>
    <row r="501" spans="1:9">
      <c r="A501" s="92" t="s">
        <v>4352</v>
      </c>
      <c r="B501" t="s">
        <v>1895</v>
      </c>
      <c r="C501" t="s">
        <v>2412</v>
      </c>
      <c r="D501" t="s">
        <v>2410</v>
      </c>
      <c r="E501" t="s">
        <v>108</v>
      </c>
      <c r="G501" t="s">
        <v>4356</v>
      </c>
      <c r="H501" t="s">
        <v>108</v>
      </c>
      <c r="I501" t="s">
        <v>3791</v>
      </c>
    </row>
    <row r="502" spans="1:9">
      <c r="A502" s="92" t="s">
        <v>4352</v>
      </c>
      <c r="B502" t="s">
        <v>1895</v>
      </c>
      <c r="C502" t="s">
        <v>2290</v>
      </c>
      <c r="D502" t="s">
        <v>2291</v>
      </c>
      <c r="E502" t="s">
        <v>2292</v>
      </c>
      <c r="G502" t="s">
        <v>4353</v>
      </c>
      <c r="H502" t="s">
        <v>2519</v>
      </c>
      <c r="I502" t="s">
        <v>3791</v>
      </c>
    </row>
    <row r="503" spans="1:9">
      <c r="A503" s="92" t="s">
        <v>4352</v>
      </c>
      <c r="B503" t="s">
        <v>1895</v>
      </c>
      <c r="C503" t="s">
        <v>2414</v>
      </c>
      <c r="D503" t="s">
        <v>2415</v>
      </c>
      <c r="E503" t="s">
        <v>108</v>
      </c>
      <c r="F503" t="s">
        <v>2416</v>
      </c>
      <c r="G503" t="s">
        <v>4356</v>
      </c>
      <c r="H503" t="s">
        <v>108</v>
      </c>
      <c r="I503" t="s">
        <v>3791</v>
      </c>
    </row>
    <row r="504" spans="1:9">
      <c r="A504" s="92" t="s">
        <v>4352</v>
      </c>
      <c r="B504" t="s">
        <v>3567</v>
      </c>
      <c r="C504" t="s">
        <v>2418</v>
      </c>
      <c r="D504" t="s">
        <v>2363</v>
      </c>
      <c r="E504" t="s">
        <v>108</v>
      </c>
      <c r="G504" t="s">
        <v>4356</v>
      </c>
      <c r="H504" t="s">
        <v>108</v>
      </c>
      <c r="I504" t="s">
        <v>3795</v>
      </c>
    </row>
    <row r="505" spans="1:9">
      <c r="A505" s="92" t="s">
        <v>4352</v>
      </c>
      <c r="B505" t="s">
        <v>3567</v>
      </c>
      <c r="C505" t="s">
        <v>2362</v>
      </c>
      <c r="D505" t="s">
        <v>2363</v>
      </c>
      <c r="E505" t="s">
        <v>2364</v>
      </c>
      <c r="G505" t="s">
        <v>4356</v>
      </c>
      <c r="H505" t="s">
        <v>108</v>
      </c>
      <c r="I505" t="s">
        <v>3795</v>
      </c>
    </row>
    <row r="506" spans="1:9">
      <c r="A506" s="92" t="s">
        <v>4352</v>
      </c>
      <c r="B506" t="s">
        <v>3567</v>
      </c>
      <c r="C506" t="s">
        <v>2420</v>
      </c>
      <c r="D506" t="s">
        <v>2363</v>
      </c>
      <c r="E506" t="s">
        <v>2421</v>
      </c>
      <c r="F506" t="s">
        <v>2422</v>
      </c>
      <c r="G506" t="s">
        <v>4356</v>
      </c>
      <c r="H506" t="s">
        <v>108</v>
      </c>
      <c r="I506" t="s">
        <v>3795</v>
      </c>
    </row>
    <row r="507" spans="1:9">
      <c r="A507" s="92" t="s">
        <v>4352</v>
      </c>
      <c r="B507" t="s">
        <v>3567</v>
      </c>
      <c r="C507" t="s">
        <v>2423</v>
      </c>
      <c r="D507" t="s">
        <v>2363</v>
      </c>
      <c r="E507" t="s">
        <v>108</v>
      </c>
      <c r="G507" t="s">
        <v>4356</v>
      </c>
      <c r="H507" t="s">
        <v>108</v>
      </c>
      <c r="I507" t="s">
        <v>3795</v>
      </c>
    </row>
    <row r="508" spans="1:9">
      <c r="A508" s="92" t="s">
        <v>4352</v>
      </c>
      <c r="B508" t="s">
        <v>1901</v>
      </c>
      <c r="C508" t="s">
        <v>2425</v>
      </c>
      <c r="D508" t="s">
        <v>2426</v>
      </c>
      <c r="E508" t="s">
        <v>2427</v>
      </c>
      <c r="G508" t="s">
        <v>4356</v>
      </c>
      <c r="H508" t="s">
        <v>108</v>
      </c>
      <c r="I508" t="s">
        <v>3799</v>
      </c>
    </row>
    <row r="509" spans="1:9">
      <c r="A509" s="92" t="s">
        <v>4352</v>
      </c>
      <c r="B509" t="s">
        <v>1901</v>
      </c>
      <c r="C509" t="s">
        <v>2369</v>
      </c>
      <c r="E509" t="s">
        <v>552</v>
      </c>
      <c r="F509" t="s">
        <v>2370</v>
      </c>
      <c r="G509" t="s">
        <v>4354</v>
      </c>
      <c r="H509" t="s">
        <v>552</v>
      </c>
      <c r="I509" t="s">
        <v>3799</v>
      </c>
    </row>
    <row r="510" spans="1:9">
      <c r="A510" s="92" t="s">
        <v>4352</v>
      </c>
      <c r="B510" t="s">
        <v>1901</v>
      </c>
      <c r="C510" t="s">
        <v>2428</v>
      </c>
      <c r="D510" t="s">
        <v>2426</v>
      </c>
      <c r="E510" t="s">
        <v>2429</v>
      </c>
      <c r="G510" t="s">
        <v>4356</v>
      </c>
      <c r="H510" t="s">
        <v>108</v>
      </c>
      <c r="I510" t="s">
        <v>3799</v>
      </c>
    </row>
    <row r="511" spans="1:9">
      <c r="A511" s="92" t="s">
        <v>4352</v>
      </c>
      <c r="B511" t="s">
        <v>1901</v>
      </c>
      <c r="C511" t="s">
        <v>2430</v>
      </c>
      <c r="D511" t="s">
        <v>2431</v>
      </c>
      <c r="E511" t="s">
        <v>108</v>
      </c>
      <c r="F511" t="s">
        <v>2432</v>
      </c>
      <c r="G511" t="s">
        <v>4356</v>
      </c>
      <c r="H511" t="s">
        <v>108</v>
      </c>
      <c r="I511" t="s">
        <v>3799</v>
      </c>
    </row>
    <row r="512" spans="1:9">
      <c r="A512" s="92" t="s">
        <v>4352</v>
      </c>
      <c r="B512" t="s">
        <v>1901</v>
      </c>
      <c r="C512" t="s">
        <v>2433</v>
      </c>
      <c r="D512" t="s">
        <v>2431</v>
      </c>
      <c r="E512" t="s">
        <v>108</v>
      </c>
      <c r="G512" t="s">
        <v>4356</v>
      </c>
      <c r="H512" t="s">
        <v>108</v>
      </c>
      <c r="I512" t="s">
        <v>3799</v>
      </c>
    </row>
    <row r="513" spans="1:9">
      <c r="A513" s="92" t="s">
        <v>4352</v>
      </c>
      <c r="B513" t="s">
        <v>1903</v>
      </c>
      <c r="C513" t="s">
        <v>2435</v>
      </c>
      <c r="D513" t="s">
        <v>2436</v>
      </c>
      <c r="E513" t="s">
        <v>108</v>
      </c>
      <c r="F513" t="s">
        <v>2437</v>
      </c>
      <c r="G513" t="s">
        <v>4356</v>
      </c>
      <c r="H513" t="s">
        <v>108</v>
      </c>
      <c r="I513" t="s">
        <v>3803</v>
      </c>
    </row>
    <row r="514" spans="1:9">
      <c r="A514" s="92" t="s">
        <v>4352</v>
      </c>
      <c r="B514" t="s">
        <v>1903</v>
      </c>
      <c r="C514" t="s">
        <v>2295</v>
      </c>
      <c r="D514" t="s">
        <v>2296</v>
      </c>
      <c r="E514" t="s">
        <v>2297</v>
      </c>
      <c r="G514" t="s">
        <v>4353</v>
      </c>
      <c r="H514" t="s">
        <v>2519</v>
      </c>
      <c r="I514" t="s">
        <v>3803</v>
      </c>
    </row>
    <row r="515" spans="1:9">
      <c r="A515" s="92" t="s">
        <v>4352</v>
      </c>
      <c r="B515" t="s">
        <v>1903</v>
      </c>
      <c r="C515" t="s">
        <v>2298</v>
      </c>
      <c r="D515" t="s">
        <v>2296</v>
      </c>
      <c r="E515" t="s">
        <v>2292</v>
      </c>
      <c r="G515" t="s">
        <v>4353</v>
      </c>
      <c r="H515" t="s">
        <v>2519</v>
      </c>
      <c r="I515" t="s">
        <v>3803</v>
      </c>
    </row>
    <row r="516" spans="1:9">
      <c r="A516" s="92" t="s">
        <v>4352</v>
      </c>
      <c r="B516" t="s">
        <v>1903</v>
      </c>
      <c r="C516" t="s">
        <v>2299</v>
      </c>
      <c r="D516" t="s">
        <v>2296</v>
      </c>
      <c r="E516" t="s">
        <v>2292</v>
      </c>
      <c r="G516" t="s">
        <v>4353</v>
      </c>
      <c r="H516" t="s">
        <v>2519</v>
      </c>
      <c r="I516" t="s">
        <v>3803</v>
      </c>
    </row>
    <row r="517" spans="1:9">
      <c r="A517" s="92" t="s">
        <v>4352</v>
      </c>
      <c r="B517" t="s">
        <v>1903</v>
      </c>
      <c r="C517" t="s">
        <v>2300</v>
      </c>
      <c r="D517" t="s">
        <v>2301</v>
      </c>
      <c r="E517" t="s">
        <v>2292</v>
      </c>
      <c r="G517" t="s">
        <v>4353</v>
      </c>
      <c r="H517" t="s">
        <v>2519</v>
      </c>
      <c r="I517" t="s">
        <v>3803</v>
      </c>
    </row>
    <row r="518" spans="1:9">
      <c r="A518" s="92" t="s">
        <v>4352</v>
      </c>
      <c r="B518" t="s">
        <v>1903</v>
      </c>
      <c r="C518" t="s">
        <v>2302</v>
      </c>
      <c r="E518" t="s">
        <v>2292</v>
      </c>
      <c r="G518" t="s">
        <v>4353</v>
      </c>
      <c r="H518" t="s">
        <v>2519</v>
      </c>
      <c r="I518" t="s">
        <v>3803</v>
      </c>
    </row>
    <row r="519" spans="1:9">
      <c r="A519" s="92" t="s">
        <v>4352</v>
      </c>
      <c r="B519" t="s">
        <v>1903</v>
      </c>
      <c r="C519" t="s">
        <v>2303</v>
      </c>
      <c r="E519" t="s">
        <v>2292</v>
      </c>
      <c r="G519" t="s">
        <v>4353</v>
      </c>
      <c r="H519" t="s">
        <v>2519</v>
      </c>
      <c r="I519" t="s">
        <v>3803</v>
      </c>
    </row>
    <row r="520" spans="1:9">
      <c r="A520" s="92" t="s">
        <v>4352</v>
      </c>
      <c r="B520" t="s">
        <v>1903</v>
      </c>
      <c r="C520" t="s">
        <v>2304</v>
      </c>
      <c r="E520" t="s">
        <v>2292</v>
      </c>
      <c r="G520" t="s">
        <v>4353</v>
      </c>
      <c r="H520" t="s">
        <v>2519</v>
      </c>
      <c r="I520" t="s">
        <v>3803</v>
      </c>
    </row>
    <row r="521" spans="1:9">
      <c r="A521" s="92" t="s">
        <v>4352</v>
      </c>
      <c r="B521" t="s">
        <v>1905</v>
      </c>
      <c r="C521" t="s">
        <v>2439</v>
      </c>
      <c r="D521" t="s">
        <v>2440</v>
      </c>
      <c r="E521" t="s">
        <v>108</v>
      </c>
      <c r="G521" t="s">
        <v>4356</v>
      </c>
      <c r="H521" t="s">
        <v>108</v>
      </c>
      <c r="I521" t="s">
        <v>3805</v>
      </c>
    </row>
    <row r="522" spans="1:9">
      <c r="A522" s="92" t="s">
        <v>4352</v>
      </c>
      <c r="B522" t="s">
        <v>1905</v>
      </c>
      <c r="C522" t="s">
        <v>2441</v>
      </c>
      <c r="D522" t="s">
        <v>2442</v>
      </c>
      <c r="E522" t="s">
        <v>2427</v>
      </c>
      <c r="G522" t="s">
        <v>4356</v>
      </c>
      <c r="H522" t="s">
        <v>108</v>
      </c>
      <c r="I522" t="s">
        <v>3805</v>
      </c>
    </row>
    <row r="523" spans="1:9">
      <c r="A523" s="92" t="s">
        <v>4352</v>
      </c>
      <c r="B523" t="s">
        <v>1905</v>
      </c>
      <c r="C523" t="s">
        <v>2443</v>
      </c>
      <c r="D523" t="s">
        <v>2440</v>
      </c>
      <c r="E523" t="s">
        <v>2444</v>
      </c>
      <c r="F523" t="s">
        <v>2445</v>
      </c>
      <c r="G523" t="s">
        <v>4356</v>
      </c>
      <c r="H523" t="s">
        <v>108</v>
      </c>
      <c r="I523" t="s">
        <v>3805</v>
      </c>
    </row>
    <row r="524" spans="1:9">
      <c r="A524" s="92" t="s">
        <v>4352</v>
      </c>
      <c r="B524" t="s">
        <v>1905</v>
      </c>
      <c r="C524" t="s">
        <v>2306</v>
      </c>
      <c r="D524" t="s">
        <v>2291</v>
      </c>
      <c r="E524" t="s">
        <v>2307</v>
      </c>
      <c r="G524" t="s">
        <v>4356</v>
      </c>
      <c r="H524" t="s">
        <v>108</v>
      </c>
      <c r="I524" t="s">
        <v>3805</v>
      </c>
    </row>
    <row r="525" spans="1:9">
      <c r="A525" s="92" t="s">
        <v>4352</v>
      </c>
      <c r="B525" t="s">
        <v>1905</v>
      </c>
      <c r="C525" t="s">
        <v>2310</v>
      </c>
      <c r="D525" t="s">
        <v>2291</v>
      </c>
      <c r="E525" t="s">
        <v>2311</v>
      </c>
      <c r="G525" t="s">
        <v>4353</v>
      </c>
      <c r="H525" t="s">
        <v>2373</v>
      </c>
      <c r="I525" t="s">
        <v>3805</v>
      </c>
    </row>
    <row r="526" spans="1:9">
      <c r="A526" s="92" t="s">
        <v>4352</v>
      </c>
      <c r="B526" t="s">
        <v>1905</v>
      </c>
      <c r="C526" t="s">
        <v>2313</v>
      </c>
      <c r="D526" t="s">
        <v>2291</v>
      </c>
      <c r="E526" t="s">
        <v>2292</v>
      </c>
      <c r="G526" t="s">
        <v>4353</v>
      </c>
      <c r="H526" t="s">
        <v>2519</v>
      </c>
      <c r="I526" t="s">
        <v>3805</v>
      </c>
    </row>
    <row r="527" spans="1:9">
      <c r="A527" s="92" t="s">
        <v>4352</v>
      </c>
      <c r="B527" t="s">
        <v>1905</v>
      </c>
      <c r="C527" t="s">
        <v>2314</v>
      </c>
      <c r="D527" t="s">
        <v>2291</v>
      </c>
      <c r="E527" t="s">
        <v>2292</v>
      </c>
      <c r="G527" t="s">
        <v>4353</v>
      </c>
      <c r="H527" t="s">
        <v>2519</v>
      </c>
      <c r="I527" t="s">
        <v>3805</v>
      </c>
    </row>
    <row r="528" spans="1:9">
      <c r="A528" s="92" t="s">
        <v>4352</v>
      </c>
      <c r="B528" t="s">
        <v>1905</v>
      </c>
      <c r="C528" t="s">
        <v>2447</v>
      </c>
      <c r="D528" t="s">
        <v>2440</v>
      </c>
      <c r="E528" t="s">
        <v>2403</v>
      </c>
      <c r="G528" t="s">
        <v>4356</v>
      </c>
      <c r="H528" t="s">
        <v>2403</v>
      </c>
      <c r="I528" t="s">
        <v>3805</v>
      </c>
    </row>
    <row r="529" spans="1:9">
      <c r="A529" s="92" t="s">
        <v>4352</v>
      </c>
      <c r="B529" t="s">
        <v>1905</v>
      </c>
      <c r="C529" t="s">
        <v>2448</v>
      </c>
      <c r="D529" t="s">
        <v>2449</v>
      </c>
      <c r="E529" t="s">
        <v>108</v>
      </c>
      <c r="G529" t="s">
        <v>4356</v>
      </c>
      <c r="H529" t="s">
        <v>108</v>
      </c>
      <c r="I529" t="s">
        <v>3805</v>
      </c>
    </row>
    <row r="530" spans="1:9">
      <c r="A530" s="92" t="s">
        <v>4352</v>
      </c>
      <c r="B530" t="s">
        <v>1908</v>
      </c>
      <c r="C530" t="s">
        <v>2451</v>
      </c>
      <c r="E530" t="s">
        <v>2403</v>
      </c>
      <c r="G530" t="s">
        <v>4356</v>
      </c>
      <c r="H530" t="s">
        <v>2403</v>
      </c>
      <c r="I530" t="s">
        <v>3807</v>
      </c>
    </row>
    <row r="531" spans="1:9">
      <c r="A531" s="92" t="s">
        <v>4352</v>
      </c>
      <c r="B531" t="s">
        <v>1908</v>
      </c>
      <c r="C531" t="s">
        <v>2375</v>
      </c>
      <c r="E531" t="s">
        <v>2376</v>
      </c>
      <c r="G531" t="s">
        <v>4354</v>
      </c>
      <c r="H531" t="s">
        <v>2591</v>
      </c>
      <c r="I531" t="s">
        <v>3807</v>
      </c>
    </row>
    <row r="532" spans="1:9">
      <c r="A532" s="92" t="s">
        <v>4352</v>
      </c>
      <c r="B532" t="s">
        <v>1908</v>
      </c>
      <c r="C532" t="s">
        <v>2452</v>
      </c>
      <c r="D532" t="s">
        <v>2440</v>
      </c>
      <c r="E532" t="s">
        <v>108</v>
      </c>
      <c r="G532" t="s">
        <v>4356</v>
      </c>
      <c r="H532" t="s">
        <v>108</v>
      </c>
      <c r="I532" t="s">
        <v>3807</v>
      </c>
    </row>
    <row r="533" spans="1:9">
      <c r="A533" s="92" t="s">
        <v>4352</v>
      </c>
      <c r="B533" t="s">
        <v>1908</v>
      </c>
      <c r="C533" t="s">
        <v>2453</v>
      </c>
      <c r="D533" t="s">
        <v>2440</v>
      </c>
      <c r="E533" t="s">
        <v>108</v>
      </c>
      <c r="G533" t="s">
        <v>4356</v>
      </c>
      <c r="H533" t="s">
        <v>108</v>
      </c>
      <c r="I533" t="s">
        <v>3807</v>
      </c>
    </row>
    <row r="534" spans="1:9">
      <c r="A534" s="92" t="s">
        <v>4352</v>
      </c>
      <c r="B534" t="s">
        <v>1908</v>
      </c>
      <c r="C534" t="s">
        <v>2454</v>
      </c>
      <c r="D534" t="s">
        <v>2301</v>
      </c>
      <c r="E534" t="s">
        <v>108</v>
      </c>
      <c r="G534" t="s">
        <v>4356</v>
      </c>
      <c r="H534" t="s">
        <v>108</v>
      </c>
      <c r="I534" t="s">
        <v>3807</v>
      </c>
    </row>
    <row r="535" spans="1:9">
      <c r="A535" s="92" t="s">
        <v>4352</v>
      </c>
      <c r="B535" t="s">
        <v>1908</v>
      </c>
      <c r="C535" t="s">
        <v>2455</v>
      </c>
      <c r="D535" t="s">
        <v>2456</v>
      </c>
      <c r="E535" t="s">
        <v>2403</v>
      </c>
      <c r="G535" t="s">
        <v>4356</v>
      </c>
      <c r="H535" t="s">
        <v>2403</v>
      </c>
      <c r="I535" t="s">
        <v>3807</v>
      </c>
    </row>
    <row r="536" spans="1:9">
      <c r="A536" s="92" t="s">
        <v>4352</v>
      </c>
      <c r="B536" t="s">
        <v>1908</v>
      </c>
      <c r="C536" t="s">
        <v>2457</v>
      </c>
      <c r="D536" t="s">
        <v>2456</v>
      </c>
      <c r="E536" t="s">
        <v>2403</v>
      </c>
      <c r="G536" t="s">
        <v>4356</v>
      </c>
      <c r="H536" t="s">
        <v>2403</v>
      </c>
      <c r="I536" t="s">
        <v>3807</v>
      </c>
    </row>
    <row r="537" spans="1:9">
      <c r="A537" s="92" t="s">
        <v>4352</v>
      </c>
      <c r="B537" t="s">
        <v>1908</v>
      </c>
      <c r="C537" t="s">
        <v>2316</v>
      </c>
      <c r="D537" t="s">
        <v>2291</v>
      </c>
      <c r="E537" t="s">
        <v>2292</v>
      </c>
      <c r="G537" t="s">
        <v>4353</v>
      </c>
      <c r="H537" t="s">
        <v>2519</v>
      </c>
      <c r="I537" t="s">
        <v>3807</v>
      </c>
    </row>
    <row r="538" spans="1:9">
      <c r="A538" s="92" t="s">
        <v>4352</v>
      </c>
      <c r="B538" t="s">
        <v>1908</v>
      </c>
      <c r="C538" t="s">
        <v>2458</v>
      </c>
      <c r="D538" t="s">
        <v>2456</v>
      </c>
      <c r="E538" t="s">
        <v>108</v>
      </c>
      <c r="F538" t="s">
        <v>2459</v>
      </c>
      <c r="G538" t="s">
        <v>4356</v>
      </c>
      <c r="H538" t="s">
        <v>108</v>
      </c>
      <c r="I538" t="s">
        <v>3807</v>
      </c>
    </row>
    <row r="539" spans="1:9">
      <c r="A539" s="92" t="s">
        <v>4352</v>
      </c>
      <c r="B539" t="s">
        <v>1909</v>
      </c>
      <c r="C539" t="s">
        <v>2461</v>
      </c>
      <c r="D539" t="s">
        <v>2462</v>
      </c>
      <c r="E539" t="s">
        <v>108</v>
      </c>
      <c r="G539" t="s">
        <v>4356</v>
      </c>
      <c r="H539" t="s">
        <v>108</v>
      </c>
      <c r="I539" t="s">
        <v>3811</v>
      </c>
    </row>
    <row r="540" spans="1:9">
      <c r="A540" s="92" t="s">
        <v>4352</v>
      </c>
      <c r="B540" t="s">
        <v>1909</v>
      </c>
      <c r="C540" t="s">
        <v>2463</v>
      </c>
      <c r="D540" t="s">
        <v>2464</v>
      </c>
      <c r="E540" t="s">
        <v>108</v>
      </c>
      <c r="G540" t="s">
        <v>4356</v>
      </c>
      <c r="H540" t="s">
        <v>108</v>
      </c>
      <c r="I540" t="s">
        <v>3811</v>
      </c>
    </row>
    <row r="541" spans="1:9">
      <c r="A541" s="92" t="s">
        <v>4352</v>
      </c>
      <c r="B541" t="s">
        <v>1909</v>
      </c>
      <c r="C541" t="s">
        <v>2465</v>
      </c>
      <c r="D541" t="s">
        <v>2464</v>
      </c>
      <c r="E541" t="s">
        <v>108</v>
      </c>
      <c r="G541" t="s">
        <v>4356</v>
      </c>
      <c r="H541" t="s">
        <v>108</v>
      </c>
      <c r="I541" t="s">
        <v>3811</v>
      </c>
    </row>
    <row r="542" spans="1:9">
      <c r="A542" s="92" t="s">
        <v>4352</v>
      </c>
      <c r="B542" t="s">
        <v>1911</v>
      </c>
      <c r="C542" t="s">
        <v>2378</v>
      </c>
      <c r="D542" t="s">
        <v>2379</v>
      </c>
      <c r="E542" t="s">
        <v>552</v>
      </c>
      <c r="F542" t="s">
        <v>2380</v>
      </c>
      <c r="G542" t="s">
        <v>4354</v>
      </c>
      <c r="H542" t="s">
        <v>552</v>
      </c>
      <c r="I542" t="s">
        <v>3815</v>
      </c>
    </row>
    <row r="543" spans="1:9">
      <c r="A543" s="92" t="s">
        <v>4352</v>
      </c>
      <c r="B543" t="s">
        <v>1911</v>
      </c>
      <c r="C543" t="s">
        <v>2381</v>
      </c>
      <c r="D543" t="s">
        <v>2382</v>
      </c>
      <c r="E543" t="s">
        <v>2383</v>
      </c>
      <c r="F543" t="s">
        <v>2384</v>
      </c>
      <c r="G543" t="s">
        <v>4354</v>
      </c>
      <c r="H543" t="s">
        <v>552</v>
      </c>
      <c r="I543" t="s">
        <v>3815</v>
      </c>
    </row>
    <row r="544" spans="1:9">
      <c r="A544" s="92" t="s">
        <v>4352</v>
      </c>
      <c r="B544" t="s">
        <v>1911</v>
      </c>
      <c r="C544" t="s">
        <v>2467</v>
      </c>
      <c r="D544" t="s">
        <v>2319</v>
      </c>
      <c r="E544" t="s">
        <v>2403</v>
      </c>
      <c r="F544" t="s">
        <v>2468</v>
      </c>
      <c r="G544" t="s">
        <v>4356</v>
      </c>
      <c r="H544" t="s">
        <v>2403</v>
      </c>
      <c r="I544" t="s">
        <v>3815</v>
      </c>
    </row>
    <row r="545" spans="1:9">
      <c r="A545" s="92" t="s">
        <v>4352</v>
      </c>
      <c r="B545" t="s">
        <v>1911</v>
      </c>
      <c r="C545" t="s">
        <v>2469</v>
      </c>
      <c r="D545" t="s">
        <v>2382</v>
      </c>
      <c r="E545" t="s">
        <v>108</v>
      </c>
      <c r="F545" t="s">
        <v>2470</v>
      </c>
      <c r="G545" t="s">
        <v>4356</v>
      </c>
      <c r="H545" t="s">
        <v>108</v>
      </c>
      <c r="I545" t="s">
        <v>3815</v>
      </c>
    </row>
    <row r="546" spans="1:9">
      <c r="A546" s="92" t="s">
        <v>4352</v>
      </c>
      <c r="B546" t="s">
        <v>1911</v>
      </c>
      <c r="C546" t="s">
        <v>2471</v>
      </c>
      <c r="D546" t="s">
        <v>2379</v>
      </c>
      <c r="E546" t="s">
        <v>108</v>
      </c>
      <c r="F546" t="s">
        <v>2472</v>
      </c>
      <c r="G546" t="s">
        <v>4356</v>
      </c>
      <c r="H546" t="s">
        <v>108</v>
      </c>
      <c r="I546" t="s">
        <v>3815</v>
      </c>
    </row>
    <row r="547" spans="1:9">
      <c r="A547" s="92" t="s">
        <v>4352</v>
      </c>
      <c r="B547" t="s">
        <v>1911</v>
      </c>
      <c r="C547" t="s">
        <v>2473</v>
      </c>
      <c r="D547" t="s">
        <v>2474</v>
      </c>
      <c r="E547" t="s">
        <v>108</v>
      </c>
      <c r="F547" t="s">
        <v>2475</v>
      </c>
      <c r="G547" t="s">
        <v>4356</v>
      </c>
      <c r="H547" t="s">
        <v>108</v>
      </c>
      <c r="I547" t="s">
        <v>3815</v>
      </c>
    </row>
    <row r="548" spans="1:9">
      <c r="A548" s="92" t="s">
        <v>4352</v>
      </c>
      <c r="B548" t="s">
        <v>1911</v>
      </c>
      <c r="C548" t="s">
        <v>2324</v>
      </c>
      <c r="D548" t="s">
        <v>2325</v>
      </c>
      <c r="G548" t="s">
        <v>4330</v>
      </c>
      <c r="I548" t="s">
        <v>3815</v>
      </c>
    </row>
    <row r="549" spans="1:9">
      <c r="A549" s="92" t="s">
        <v>4352</v>
      </c>
      <c r="B549" t="s">
        <v>1911</v>
      </c>
      <c r="C549" t="s">
        <v>2327</v>
      </c>
      <c r="D549" t="s">
        <v>2325</v>
      </c>
      <c r="G549" t="s">
        <v>4330</v>
      </c>
      <c r="I549" t="s">
        <v>3815</v>
      </c>
    </row>
    <row r="550" spans="1:9">
      <c r="A550" s="92" t="s">
        <v>4352</v>
      </c>
      <c r="B550" t="s">
        <v>1911</v>
      </c>
      <c r="C550" t="s">
        <v>2328</v>
      </c>
      <c r="D550" t="s">
        <v>2325</v>
      </c>
      <c r="E550" t="s">
        <v>2329</v>
      </c>
      <c r="F550" t="s">
        <v>2331</v>
      </c>
      <c r="G550" t="s">
        <v>4331</v>
      </c>
      <c r="I550" t="s">
        <v>3815</v>
      </c>
    </row>
    <row r="551" spans="1:9">
      <c r="A551" s="92" t="s">
        <v>4352</v>
      </c>
      <c r="B551" t="s">
        <v>1916</v>
      </c>
      <c r="C551" t="s">
        <v>2477</v>
      </c>
      <c r="D551" t="s">
        <v>2382</v>
      </c>
      <c r="E551" t="s">
        <v>108</v>
      </c>
      <c r="F551" t="s">
        <v>2478</v>
      </c>
      <c r="G551" t="s">
        <v>4356</v>
      </c>
      <c r="H551" t="s">
        <v>108</v>
      </c>
      <c r="I551" t="s">
        <v>3819</v>
      </c>
    </row>
    <row r="552" spans="1:9">
      <c r="A552" s="92" t="s">
        <v>4352</v>
      </c>
      <c r="B552" t="s">
        <v>1916</v>
      </c>
      <c r="C552" t="s">
        <v>2334</v>
      </c>
      <c r="D552" t="s">
        <v>2291</v>
      </c>
      <c r="E552" t="s">
        <v>2311</v>
      </c>
      <c r="F552" t="s">
        <v>2335</v>
      </c>
      <c r="G552" t="s">
        <v>4332</v>
      </c>
      <c r="I552" t="s">
        <v>3819</v>
      </c>
    </row>
    <row r="553" spans="1:9">
      <c r="A553" s="92" t="s">
        <v>4352</v>
      </c>
      <c r="B553" t="s">
        <v>1916</v>
      </c>
      <c r="C553" t="s">
        <v>2334</v>
      </c>
      <c r="D553" t="s">
        <v>2291</v>
      </c>
      <c r="E553" t="s">
        <v>2311</v>
      </c>
      <c r="F553" t="s">
        <v>2335</v>
      </c>
      <c r="G553" t="s">
        <v>4353</v>
      </c>
      <c r="H553" t="s">
        <v>2373</v>
      </c>
      <c r="I553" t="s">
        <v>3819</v>
      </c>
    </row>
    <row r="554" spans="1:9">
      <c r="A554" s="92" t="s">
        <v>4352</v>
      </c>
      <c r="B554" t="s">
        <v>1916</v>
      </c>
      <c r="C554" t="s">
        <v>2336</v>
      </c>
      <c r="D554" t="s">
        <v>2291</v>
      </c>
      <c r="E554" t="s">
        <v>552</v>
      </c>
      <c r="F554" t="s">
        <v>2337</v>
      </c>
      <c r="G554" t="s">
        <v>4333</v>
      </c>
      <c r="I554" t="s">
        <v>3819</v>
      </c>
    </row>
    <row r="555" spans="1:9">
      <c r="A555" s="92" t="s">
        <v>4352</v>
      </c>
      <c r="B555" t="s">
        <v>1916</v>
      </c>
      <c r="C555" t="s">
        <v>2336</v>
      </c>
      <c r="D555" t="s">
        <v>2291</v>
      </c>
      <c r="E555" t="s">
        <v>552</v>
      </c>
      <c r="F555" t="s">
        <v>2337</v>
      </c>
      <c r="G555" t="s">
        <v>4354</v>
      </c>
      <c r="H555" t="s">
        <v>552</v>
      </c>
      <c r="I555" t="s">
        <v>3819</v>
      </c>
    </row>
    <row r="556" spans="1:9">
      <c r="A556" s="92" t="s">
        <v>4352</v>
      </c>
      <c r="B556" t="s">
        <v>1916</v>
      </c>
      <c r="C556" t="s">
        <v>2479</v>
      </c>
      <c r="D556" t="s">
        <v>2480</v>
      </c>
      <c r="E556" t="s">
        <v>108</v>
      </c>
      <c r="F556" t="s">
        <v>2481</v>
      </c>
      <c r="G556" t="s">
        <v>4356</v>
      </c>
      <c r="H556" t="s">
        <v>108</v>
      </c>
      <c r="I556" t="s">
        <v>3819</v>
      </c>
    </row>
    <row r="557" spans="1:9">
      <c r="A557" s="92" t="s">
        <v>4352</v>
      </c>
      <c r="B557" t="s">
        <v>1916</v>
      </c>
      <c r="C557" t="s">
        <v>2482</v>
      </c>
      <c r="D557" t="s">
        <v>2480</v>
      </c>
      <c r="E557" t="s">
        <v>108</v>
      </c>
      <c r="F557" t="s">
        <v>2483</v>
      </c>
      <c r="G557" t="s">
        <v>4356</v>
      </c>
      <c r="H557" t="s">
        <v>108</v>
      </c>
      <c r="I557" t="s">
        <v>3819</v>
      </c>
    </row>
    <row r="558" spans="1:9">
      <c r="A558" s="92" t="s">
        <v>4352</v>
      </c>
      <c r="B558" t="s">
        <v>1916</v>
      </c>
      <c r="C558" t="s">
        <v>2484</v>
      </c>
      <c r="D558" t="s">
        <v>2382</v>
      </c>
      <c r="E558" t="s">
        <v>2403</v>
      </c>
      <c r="G558" t="s">
        <v>4356</v>
      </c>
      <c r="H558" t="s">
        <v>2403</v>
      </c>
      <c r="I558" t="s">
        <v>3819</v>
      </c>
    </row>
    <row r="559" spans="1:9">
      <c r="A559" s="92" t="s">
        <v>4352</v>
      </c>
      <c r="B559" t="s">
        <v>1916</v>
      </c>
      <c r="C559" t="s">
        <v>2485</v>
      </c>
      <c r="D559" t="s">
        <v>2486</v>
      </c>
      <c r="E559" t="s">
        <v>2487</v>
      </c>
      <c r="G559" t="s">
        <v>4356</v>
      </c>
      <c r="H559" t="s">
        <v>108</v>
      </c>
      <c r="I559" t="s">
        <v>3819</v>
      </c>
    </row>
    <row r="560" spans="1:9">
      <c r="A560" s="92" t="s">
        <v>4352</v>
      </c>
      <c r="B560" t="s">
        <v>1916</v>
      </c>
      <c r="C560" t="s">
        <v>2386</v>
      </c>
      <c r="D560" t="s">
        <v>2291</v>
      </c>
      <c r="E560" t="s">
        <v>552</v>
      </c>
      <c r="F560" t="s">
        <v>2387</v>
      </c>
      <c r="G560" t="s">
        <v>4354</v>
      </c>
      <c r="H560" t="s">
        <v>552</v>
      </c>
      <c r="I560" t="s">
        <v>3819</v>
      </c>
    </row>
    <row r="561" spans="1:9">
      <c r="A561" s="92" t="s">
        <v>4352</v>
      </c>
      <c r="B561" t="s">
        <v>1918</v>
      </c>
      <c r="C561" t="s">
        <v>2389</v>
      </c>
      <c r="E561" t="s">
        <v>552</v>
      </c>
      <c r="G561" t="s">
        <v>4354</v>
      </c>
      <c r="H561" t="s">
        <v>552</v>
      </c>
      <c r="I561" t="s">
        <v>3823</v>
      </c>
    </row>
    <row r="562" spans="1:9">
      <c r="A562" s="92" t="s">
        <v>4352</v>
      </c>
      <c r="B562" t="s">
        <v>1918</v>
      </c>
      <c r="C562" t="s">
        <v>2489</v>
      </c>
      <c r="D562" t="s">
        <v>2490</v>
      </c>
      <c r="E562" t="s">
        <v>108</v>
      </c>
      <c r="G562" t="s">
        <v>4356</v>
      </c>
      <c r="H562" t="s">
        <v>108</v>
      </c>
      <c r="I562" t="s">
        <v>3823</v>
      </c>
    </row>
    <row r="563" spans="1:9">
      <c r="A563" s="92" t="s">
        <v>4352</v>
      </c>
      <c r="B563" t="s">
        <v>1918</v>
      </c>
      <c r="C563" t="s">
        <v>2491</v>
      </c>
      <c r="D563" t="s">
        <v>2490</v>
      </c>
      <c r="E563" t="s">
        <v>2403</v>
      </c>
      <c r="F563" t="s">
        <v>2492</v>
      </c>
      <c r="G563" t="s">
        <v>4356</v>
      </c>
      <c r="H563" t="s">
        <v>2403</v>
      </c>
      <c r="I563" t="s">
        <v>3823</v>
      </c>
    </row>
    <row r="564" spans="1:9">
      <c r="A564" s="92" t="s">
        <v>4352</v>
      </c>
      <c r="B564" t="s">
        <v>1918</v>
      </c>
      <c r="C564" t="s">
        <v>2529</v>
      </c>
      <c r="D564" t="s">
        <v>2494</v>
      </c>
      <c r="E564" t="s">
        <v>2530</v>
      </c>
      <c r="F564" t="s">
        <v>2532</v>
      </c>
      <c r="G564" t="s">
        <v>4355</v>
      </c>
      <c r="H564" t="s">
        <v>2531</v>
      </c>
      <c r="I564" t="s">
        <v>3823</v>
      </c>
    </row>
    <row r="565" spans="1:9">
      <c r="A565" s="92" t="s">
        <v>4352</v>
      </c>
      <c r="B565" t="s">
        <v>1918</v>
      </c>
      <c r="C565" t="s">
        <v>2493</v>
      </c>
      <c r="D565" t="s">
        <v>2494</v>
      </c>
      <c r="E565" t="s">
        <v>2421</v>
      </c>
      <c r="F565" t="s">
        <v>2495</v>
      </c>
      <c r="G565" t="s">
        <v>4356</v>
      </c>
      <c r="H565" t="s">
        <v>108</v>
      </c>
      <c r="I565" t="s">
        <v>3823</v>
      </c>
    </row>
    <row r="566" spans="1:9">
      <c r="A566" s="92" t="s">
        <v>4352</v>
      </c>
      <c r="B566" t="s">
        <v>1918</v>
      </c>
      <c r="C566" t="s">
        <v>2496</v>
      </c>
      <c r="D566" t="s">
        <v>2490</v>
      </c>
      <c r="E566" t="s">
        <v>2497</v>
      </c>
      <c r="G566" t="s">
        <v>4356</v>
      </c>
      <c r="H566" t="s">
        <v>108</v>
      </c>
      <c r="I566" t="s">
        <v>3823</v>
      </c>
    </row>
    <row r="567" spans="1:9">
      <c r="A567" s="92" t="s">
        <v>4352</v>
      </c>
      <c r="B567" t="s">
        <v>1918</v>
      </c>
      <c r="C567" t="s">
        <v>2498</v>
      </c>
      <c r="D567" t="s">
        <v>2490</v>
      </c>
      <c r="E567" t="s">
        <v>2499</v>
      </c>
      <c r="F567" t="s">
        <v>2500</v>
      </c>
      <c r="G567" t="s">
        <v>4356</v>
      </c>
      <c r="H567" t="s">
        <v>108</v>
      </c>
      <c r="I567" t="s">
        <v>3823</v>
      </c>
    </row>
    <row r="568" spans="1:9">
      <c r="A568" s="92" t="s">
        <v>4352</v>
      </c>
      <c r="B568" t="s">
        <v>1920</v>
      </c>
      <c r="C568" t="s">
        <v>2502</v>
      </c>
      <c r="D568" t="s">
        <v>2325</v>
      </c>
      <c r="E568" t="s">
        <v>2503</v>
      </c>
      <c r="F568" t="s">
        <v>2504</v>
      </c>
      <c r="G568" t="s">
        <v>4356</v>
      </c>
      <c r="H568" t="s">
        <v>108</v>
      </c>
      <c r="I568" t="s">
        <v>3827</v>
      </c>
    </row>
    <row r="569" spans="1:9">
      <c r="A569" s="92" t="s">
        <v>4352</v>
      </c>
      <c r="B569" t="s">
        <v>1920</v>
      </c>
      <c r="C569" t="s">
        <v>2341</v>
      </c>
      <c r="D569" t="s">
        <v>2342</v>
      </c>
      <c r="E569" t="s">
        <v>2343</v>
      </c>
      <c r="F569" t="s">
        <v>2344</v>
      </c>
      <c r="G569" t="s">
        <v>4325</v>
      </c>
      <c r="I569" t="s">
        <v>3827</v>
      </c>
    </row>
    <row r="570" spans="1:9">
      <c r="A570" s="92" t="s">
        <v>4352</v>
      </c>
      <c r="B570" t="s">
        <v>1920</v>
      </c>
      <c r="C570" t="s">
        <v>2341</v>
      </c>
      <c r="D570" t="s">
        <v>2342</v>
      </c>
      <c r="E570" t="s">
        <v>2343</v>
      </c>
      <c r="F570" t="s">
        <v>2344</v>
      </c>
      <c r="G570" t="s">
        <v>4356</v>
      </c>
      <c r="H570" t="s">
        <v>108</v>
      </c>
      <c r="I570" t="s">
        <v>3827</v>
      </c>
    </row>
    <row r="571" spans="1:9">
      <c r="A571" s="92" t="s">
        <v>4352</v>
      </c>
      <c r="B571" t="s">
        <v>1920</v>
      </c>
      <c r="C571" t="s">
        <v>2348</v>
      </c>
      <c r="E571" t="s">
        <v>2292</v>
      </c>
      <c r="G571" t="s">
        <v>4353</v>
      </c>
      <c r="H571" t="s">
        <v>2519</v>
      </c>
      <c r="I571" t="s">
        <v>3827</v>
      </c>
    </row>
    <row r="572" spans="1:9">
      <c r="A572" s="92" t="s">
        <v>4352</v>
      </c>
      <c r="B572" t="s">
        <v>1920</v>
      </c>
      <c r="C572" t="s">
        <v>2505</v>
      </c>
      <c r="D572" t="s">
        <v>2291</v>
      </c>
      <c r="E572" t="s">
        <v>108</v>
      </c>
      <c r="G572" t="s">
        <v>4356</v>
      </c>
      <c r="H572" t="s">
        <v>108</v>
      </c>
      <c r="I572" t="s">
        <v>3827</v>
      </c>
    </row>
    <row r="573" spans="1:9">
      <c r="A573" s="92" t="s">
        <v>4352</v>
      </c>
      <c r="B573" t="s">
        <v>1920</v>
      </c>
      <c r="C573" t="s">
        <v>2506</v>
      </c>
      <c r="D573" t="s">
        <v>2346</v>
      </c>
      <c r="E573" t="s">
        <v>2507</v>
      </c>
      <c r="F573" t="s">
        <v>2508</v>
      </c>
      <c r="G573" t="s">
        <v>4356</v>
      </c>
      <c r="H573" t="s">
        <v>2507</v>
      </c>
      <c r="I573" t="s">
        <v>3827</v>
      </c>
    </row>
    <row r="574" spans="1:9">
      <c r="A574" s="92" t="s">
        <v>4357</v>
      </c>
      <c r="B574" t="s">
        <v>1875</v>
      </c>
      <c r="C574" t="s">
        <v>2291</v>
      </c>
      <c r="D574" t="s">
        <v>2291</v>
      </c>
      <c r="E574" t="s">
        <v>2292</v>
      </c>
      <c r="F574" t="s">
        <v>2573</v>
      </c>
      <c r="G574" t="s">
        <v>4358</v>
      </c>
      <c r="H574" t="s">
        <v>2543</v>
      </c>
      <c r="I574" t="s">
        <v>3756</v>
      </c>
    </row>
    <row r="575" spans="1:9">
      <c r="A575" s="92" t="s">
        <v>4357</v>
      </c>
      <c r="B575" t="s">
        <v>1875</v>
      </c>
      <c r="C575" t="s">
        <v>2247</v>
      </c>
      <c r="D575" t="s">
        <v>2248</v>
      </c>
      <c r="G575" t="s">
        <v>4325</v>
      </c>
      <c r="I575" t="s">
        <v>3756</v>
      </c>
    </row>
    <row r="576" spans="1:9">
      <c r="A576" s="92" t="s">
        <v>4357</v>
      </c>
      <c r="B576" t="s">
        <v>1875</v>
      </c>
      <c r="C576" t="s">
        <v>2252</v>
      </c>
      <c r="D576" t="s">
        <v>2248</v>
      </c>
      <c r="G576" t="s">
        <v>4325</v>
      </c>
      <c r="I576" t="s">
        <v>3756</v>
      </c>
    </row>
    <row r="577" spans="1:9">
      <c r="A577" s="92" t="s">
        <v>4357</v>
      </c>
      <c r="B577" t="s">
        <v>1878</v>
      </c>
      <c r="C577" t="s">
        <v>2254</v>
      </c>
      <c r="D577" t="s">
        <v>2248</v>
      </c>
      <c r="G577" t="s">
        <v>4326</v>
      </c>
      <c r="I577" t="s">
        <v>3760</v>
      </c>
    </row>
    <row r="578" spans="1:9">
      <c r="A578" s="92" t="s">
        <v>4357</v>
      </c>
      <c r="B578" t="s">
        <v>1878</v>
      </c>
      <c r="C578" t="s">
        <v>2256</v>
      </c>
      <c r="D578" t="s">
        <v>2257</v>
      </c>
      <c r="G578" t="s">
        <v>4325</v>
      </c>
      <c r="I578" t="s">
        <v>3760</v>
      </c>
    </row>
    <row r="579" spans="1:9">
      <c r="A579" s="92" t="s">
        <v>4357</v>
      </c>
      <c r="B579" t="s">
        <v>1878</v>
      </c>
      <c r="C579" t="s">
        <v>2258</v>
      </c>
      <c r="D579" t="s">
        <v>2257</v>
      </c>
      <c r="G579" t="s">
        <v>4325</v>
      </c>
      <c r="I579" t="s">
        <v>3760</v>
      </c>
    </row>
    <row r="580" spans="1:9">
      <c r="A580" s="92" t="s">
        <v>4357</v>
      </c>
      <c r="B580" t="s">
        <v>1878</v>
      </c>
      <c r="C580" t="s">
        <v>2259</v>
      </c>
      <c r="D580" t="s">
        <v>2248</v>
      </c>
      <c r="G580" t="s">
        <v>4326</v>
      </c>
      <c r="I580" t="s">
        <v>3760</v>
      </c>
    </row>
    <row r="581" spans="1:9">
      <c r="A581" s="92" t="s">
        <v>4357</v>
      </c>
      <c r="B581" t="s">
        <v>1878</v>
      </c>
      <c r="C581" t="s">
        <v>2260</v>
      </c>
      <c r="D581" t="s">
        <v>2257</v>
      </c>
      <c r="G581" t="s">
        <v>4325</v>
      </c>
      <c r="I581" t="s">
        <v>3760</v>
      </c>
    </row>
    <row r="582" spans="1:9">
      <c r="A582" s="92" t="s">
        <v>4357</v>
      </c>
      <c r="B582" t="s">
        <v>1878</v>
      </c>
      <c r="C582" t="s">
        <v>2261</v>
      </c>
      <c r="D582" t="s">
        <v>2248</v>
      </c>
      <c r="G582" t="s">
        <v>4325</v>
      </c>
      <c r="I582" t="s">
        <v>3760</v>
      </c>
    </row>
    <row r="583" spans="1:9">
      <c r="A583" s="92" t="s">
        <v>4357</v>
      </c>
      <c r="B583" t="s">
        <v>1878</v>
      </c>
      <c r="C583" t="s">
        <v>2262</v>
      </c>
      <c r="D583" t="s">
        <v>2248</v>
      </c>
      <c r="G583" t="s">
        <v>4326</v>
      </c>
      <c r="I583" t="s">
        <v>3760</v>
      </c>
    </row>
    <row r="584" spans="1:9">
      <c r="A584" s="92" t="s">
        <v>4357</v>
      </c>
      <c r="B584" t="s">
        <v>1878</v>
      </c>
      <c r="C584" t="s">
        <v>2263</v>
      </c>
      <c r="D584" t="s">
        <v>2248</v>
      </c>
      <c r="G584" t="s">
        <v>4326</v>
      </c>
      <c r="I584" t="s">
        <v>3760</v>
      </c>
    </row>
    <row r="585" spans="1:9">
      <c r="A585" s="92" t="s">
        <v>4357</v>
      </c>
      <c r="B585" t="s">
        <v>1878</v>
      </c>
      <c r="C585" t="s">
        <v>2264</v>
      </c>
      <c r="D585" t="s">
        <v>2248</v>
      </c>
      <c r="G585" t="s">
        <v>4326</v>
      </c>
      <c r="I585" t="s">
        <v>3760</v>
      </c>
    </row>
    <row r="586" spans="1:9">
      <c r="A586" s="92" t="s">
        <v>4357</v>
      </c>
      <c r="B586" t="s">
        <v>1878</v>
      </c>
      <c r="C586" t="s">
        <v>2265</v>
      </c>
      <c r="D586" t="s">
        <v>2257</v>
      </c>
      <c r="G586" t="s">
        <v>4326</v>
      </c>
      <c r="I586" t="s">
        <v>3760</v>
      </c>
    </row>
    <row r="587" spans="1:9">
      <c r="A587" s="92" t="s">
        <v>4357</v>
      </c>
      <c r="B587" t="s">
        <v>1878</v>
      </c>
      <c r="C587" t="s">
        <v>2291</v>
      </c>
      <c r="D587" t="s">
        <v>2291</v>
      </c>
      <c r="E587" t="s">
        <v>2292</v>
      </c>
      <c r="F587" t="s">
        <v>2575</v>
      </c>
      <c r="G587" t="s">
        <v>4358</v>
      </c>
      <c r="H587" t="s">
        <v>2543</v>
      </c>
      <c r="I587" t="s">
        <v>3760</v>
      </c>
    </row>
    <row r="588" spans="1:9">
      <c r="A588" s="92" t="s">
        <v>4357</v>
      </c>
      <c r="B588" t="s">
        <v>1881</v>
      </c>
      <c r="C588" t="s">
        <v>2291</v>
      </c>
      <c r="D588" t="s">
        <v>2291</v>
      </c>
      <c r="E588" t="s">
        <v>2292</v>
      </c>
      <c r="F588" t="s">
        <v>2573</v>
      </c>
      <c r="G588" t="s">
        <v>4358</v>
      </c>
      <c r="H588" t="s">
        <v>2543</v>
      </c>
      <c r="I588" t="s">
        <v>3764</v>
      </c>
    </row>
    <row r="589" spans="1:9">
      <c r="A589" s="92" t="s">
        <v>4357</v>
      </c>
      <c r="B589" t="s">
        <v>1884</v>
      </c>
      <c r="C589" t="s">
        <v>2291</v>
      </c>
      <c r="D589" t="s">
        <v>2291</v>
      </c>
      <c r="E589" t="s">
        <v>2292</v>
      </c>
      <c r="F589" t="s">
        <v>2578</v>
      </c>
      <c r="G589" t="s">
        <v>4358</v>
      </c>
      <c r="H589" t="s">
        <v>2543</v>
      </c>
      <c r="I589" t="s">
        <v>3768</v>
      </c>
    </row>
    <row r="590" spans="1:9">
      <c r="A590" s="92" t="s">
        <v>4357</v>
      </c>
      <c r="B590" t="s">
        <v>1884</v>
      </c>
      <c r="C590" t="s">
        <v>2267</v>
      </c>
      <c r="D590" t="s">
        <v>2248</v>
      </c>
      <c r="G590" t="s">
        <v>4325</v>
      </c>
      <c r="I590" t="s">
        <v>3768</v>
      </c>
    </row>
    <row r="591" spans="1:9">
      <c r="A591" s="92" t="s">
        <v>4357</v>
      </c>
      <c r="B591" t="s">
        <v>1886</v>
      </c>
      <c r="C591" t="s">
        <v>2291</v>
      </c>
      <c r="D591" t="s">
        <v>2291</v>
      </c>
      <c r="E591" t="s">
        <v>2292</v>
      </c>
      <c r="F591" t="s">
        <v>2575</v>
      </c>
      <c r="G591" t="s">
        <v>4358</v>
      </c>
      <c r="H591" t="s">
        <v>2543</v>
      </c>
      <c r="I591" t="s">
        <v>3772</v>
      </c>
    </row>
    <row r="592" spans="1:9">
      <c r="A592" s="92" t="s">
        <v>4357</v>
      </c>
      <c r="B592" t="s">
        <v>1890</v>
      </c>
      <c r="C592" t="s">
        <v>2291</v>
      </c>
      <c r="D592" t="s">
        <v>2291</v>
      </c>
      <c r="E592" t="s">
        <v>2292</v>
      </c>
      <c r="F592" t="s">
        <v>2575</v>
      </c>
      <c r="G592" t="s">
        <v>4358</v>
      </c>
      <c r="H592" t="s">
        <v>2543</v>
      </c>
      <c r="I592" t="s">
        <v>3776</v>
      </c>
    </row>
    <row r="593" spans="1:9">
      <c r="A593" s="92" t="s">
        <v>4357</v>
      </c>
      <c r="B593" t="s">
        <v>1890</v>
      </c>
      <c r="C593" t="s">
        <v>2269</v>
      </c>
      <c r="D593" t="s">
        <v>2248</v>
      </c>
      <c r="G593" t="s">
        <v>4325</v>
      </c>
      <c r="I593" t="s">
        <v>3776</v>
      </c>
    </row>
    <row r="594" spans="1:9">
      <c r="A594" s="92" t="s">
        <v>4357</v>
      </c>
      <c r="B594" t="s">
        <v>1890</v>
      </c>
      <c r="C594" t="s">
        <v>2270</v>
      </c>
      <c r="D594" t="s">
        <v>2248</v>
      </c>
      <c r="G594" t="s">
        <v>4325</v>
      </c>
      <c r="I594" t="s">
        <v>3776</v>
      </c>
    </row>
    <row r="595" spans="1:9">
      <c r="A595" s="92" t="s">
        <v>4357</v>
      </c>
      <c r="B595" t="s">
        <v>1890</v>
      </c>
      <c r="C595" t="s">
        <v>2271</v>
      </c>
      <c r="D595" t="s">
        <v>2248</v>
      </c>
      <c r="G595" t="s">
        <v>4325</v>
      </c>
      <c r="I595" t="s">
        <v>3776</v>
      </c>
    </row>
    <row r="596" spans="1:9">
      <c r="A596" s="92" t="s">
        <v>4357</v>
      </c>
      <c r="B596" t="s">
        <v>1890</v>
      </c>
      <c r="C596" t="s">
        <v>2272</v>
      </c>
      <c r="D596" t="s">
        <v>2248</v>
      </c>
      <c r="G596" t="s">
        <v>4325</v>
      </c>
      <c r="I596" t="s">
        <v>3776</v>
      </c>
    </row>
    <row r="597" spans="1:9">
      <c r="A597" s="92" t="s">
        <v>4357</v>
      </c>
      <c r="B597" t="s">
        <v>1890</v>
      </c>
      <c r="C597" t="s">
        <v>2273</v>
      </c>
      <c r="D597" t="s">
        <v>2248</v>
      </c>
      <c r="G597" t="s">
        <v>4325</v>
      </c>
      <c r="I597" t="s">
        <v>3776</v>
      </c>
    </row>
    <row r="598" spans="1:9">
      <c r="A598" s="92" t="s">
        <v>4357</v>
      </c>
      <c r="B598" t="s">
        <v>1890</v>
      </c>
      <c r="C598" t="s">
        <v>2274</v>
      </c>
      <c r="D598" t="s">
        <v>2248</v>
      </c>
      <c r="G598" t="s">
        <v>4325</v>
      </c>
      <c r="I598" t="s">
        <v>3776</v>
      </c>
    </row>
    <row r="599" spans="1:9">
      <c r="A599" s="92" t="s">
        <v>4357</v>
      </c>
      <c r="B599" t="s">
        <v>1890</v>
      </c>
      <c r="C599" t="s">
        <v>2275</v>
      </c>
      <c r="D599" t="s">
        <v>2248</v>
      </c>
      <c r="G599" t="s">
        <v>4325</v>
      </c>
      <c r="I599" t="s">
        <v>3776</v>
      </c>
    </row>
    <row r="600" spans="1:9">
      <c r="A600" s="92" t="s">
        <v>4357</v>
      </c>
      <c r="B600" t="s">
        <v>1890</v>
      </c>
      <c r="C600" t="s">
        <v>2276</v>
      </c>
      <c r="D600" t="s">
        <v>2248</v>
      </c>
      <c r="G600" t="s">
        <v>4325</v>
      </c>
      <c r="I600" t="s">
        <v>3776</v>
      </c>
    </row>
    <row r="601" spans="1:9">
      <c r="A601" s="92" t="s">
        <v>4357</v>
      </c>
      <c r="B601" t="s">
        <v>1892</v>
      </c>
      <c r="C601" t="s">
        <v>2291</v>
      </c>
      <c r="D601" t="s">
        <v>2291</v>
      </c>
      <c r="E601" t="s">
        <v>2292</v>
      </c>
      <c r="F601" t="s">
        <v>2575</v>
      </c>
      <c r="G601" t="s">
        <v>4358</v>
      </c>
      <c r="H601" t="s">
        <v>2543</v>
      </c>
      <c r="I601" t="s">
        <v>3780</v>
      </c>
    </row>
    <row r="602" spans="1:9">
      <c r="A602" s="92" t="s">
        <v>4357</v>
      </c>
      <c r="B602" t="s">
        <v>1892</v>
      </c>
      <c r="C602" t="s">
        <v>2278</v>
      </c>
      <c r="D602" t="s">
        <v>2279</v>
      </c>
      <c r="G602" t="s">
        <v>4327</v>
      </c>
      <c r="I602" t="s">
        <v>3780</v>
      </c>
    </row>
    <row r="603" spans="1:9">
      <c r="A603" s="92" t="s">
        <v>4357</v>
      </c>
      <c r="B603" t="s">
        <v>1892</v>
      </c>
      <c r="C603" t="s">
        <v>2281</v>
      </c>
      <c r="D603" t="s">
        <v>2248</v>
      </c>
      <c r="G603" t="s">
        <v>4325</v>
      </c>
      <c r="I603" t="s">
        <v>3780</v>
      </c>
    </row>
    <row r="604" spans="1:9">
      <c r="A604" s="92" t="s">
        <v>4357</v>
      </c>
      <c r="B604" t="s">
        <v>1893</v>
      </c>
      <c r="C604" t="s">
        <v>2291</v>
      </c>
      <c r="D604" t="s">
        <v>2291</v>
      </c>
      <c r="E604" t="s">
        <v>2292</v>
      </c>
      <c r="F604" t="s">
        <v>2575</v>
      </c>
      <c r="G604" t="s">
        <v>4358</v>
      </c>
      <c r="H604" t="s">
        <v>2543</v>
      </c>
      <c r="I604" t="s">
        <v>3784</v>
      </c>
    </row>
    <row r="605" spans="1:9">
      <c r="A605" s="92" t="s">
        <v>4357</v>
      </c>
      <c r="B605" t="s">
        <v>1894</v>
      </c>
      <c r="C605" t="s">
        <v>2355</v>
      </c>
      <c r="D605" t="s">
        <v>2356</v>
      </c>
      <c r="E605" t="s">
        <v>1565</v>
      </c>
      <c r="F605" t="s">
        <v>2358</v>
      </c>
      <c r="G605" t="s">
        <v>4359</v>
      </c>
      <c r="H605" t="s">
        <v>108</v>
      </c>
      <c r="I605" t="s">
        <v>3787</v>
      </c>
    </row>
    <row r="606" spans="1:9">
      <c r="A606" s="92" t="s">
        <v>4357</v>
      </c>
      <c r="B606" t="s">
        <v>1894</v>
      </c>
      <c r="C606" t="s">
        <v>2398</v>
      </c>
      <c r="E606" t="s">
        <v>2399</v>
      </c>
      <c r="G606" t="s">
        <v>4360</v>
      </c>
      <c r="H606" t="s">
        <v>108</v>
      </c>
      <c r="I606" t="s">
        <v>3787</v>
      </c>
    </row>
    <row r="607" spans="1:9">
      <c r="A607" s="92" t="s">
        <v>4357</v>
      </c>
      <c r="B607" t="s">
        <v>1894</v>
      </c>
      <c r="C607" t="s">
        <v>2400</v>
      </c>
      <c r="D607" t="s">
        <v>2284</v>
      </c>
      <c r="E607" t="s">
        <v>108</v>
      </c>
      <c r="G607" t="s">
        <v>4359</v>
      </c>
      <c r="H607" t="s">
        <v>108</v>
      </c>
      <c r="I607" t="s">
        <v>3787</v>
      </c>
    </row>
    <row r="608" spans="1:9">
      <c r="A608" s="92" t="s">
        <v>4357</v>
      </c>
      <c r="B608" t="s">
        <v>1894</v>
      </c>
      <c r="C608" t="s">
        <v>2401</v>
      </c>
      <c r="D608" t="s">
        <v>2402</v>
      </c>
      <c r="E608" t="s">
        <v>2403</v>
      </c>
      <c r="F608" t="s">
        <v>2404</v>
      </c>
      <c r="G608" t="s">
        <v>4359</v>
      </c>
      <c r="H608" t="s">
        <v>2403</v>
      </c>
      <c r="I608" t="s">
        <v>3787</v>
      </c>
    </row>
    <row r="609" spans="1:9">
      <c r="A609" s="92" t="s">
        <v>4357</v>
      </c>
      <c r="B609" t="s">
        <v>1894</v>
      </c>
      <c r="C609" t="s">
        <v>2405</v>
      </c>
      <c r="E609" t="s">
        <v>108</v>
      </c>
      <c r="G609" t="s">
        <v>4359</v>
      </c>
      <c r="H609" t="s">
        <v>108</v>
      </c>
      <c r="I609" t="s">
        <v>3787</v>
      </c>
    </row>
    <row r="610" spans="1:9">
      <c r="A610" s="92" t="s">
        <v>4357</v>
      </c>
      <c r="B610" t="s">
        <v>1895</v>
      </c>
      <c r="C610" t="s">
        <v>2407</v>
      </c>
      <c r="D610" t="s">
        <v>2296</v>
      </c>
      <c r="E610" t="s">
        <v>108</v>
      </c>
      <c r="G610" t="s">
        <v>4359</v>
      </c>
      <c r="H610" t="s">
        <v>108</v>
      </c>
      <c r="I610" t="s">
        <v>3791</v>
      </c>
    </row>
    <row r="611" spans="1:9">
      <c r="A611" s="92" t="s">
        <v>4357</v>
      </c>
      <c r="B611" t="s">
        <v>1895</v>
      </c>
      <c r="C611" t="s">
        <v>2409</v>
      </c>
      <c r="D611" t="s">
        <v>2410</v>
      </c>
      <c r="E611" t="s">
        <v>108</v>
      </c>
      <c r="F611" t="s">
        <v>2411</v>
      </c>
      <c r="G611" t="s">
        <v>4359</v>
      </c>
      <c r="H611" t="s">
        <v>108</v>
      </c>
      <c r="I611" t="s">
        <v>3791</v>
      </c>
    </row>
    <row r="612" spans="1:9">
      <c r="A612" s="92" t="s">
        <v>4357</v>
      </c>
      <c r="B612" t="s">
        <v>1895</v>
      </c>
      <c r="C612" t="s">
        <v>2412</v>
      </c>
      <c r="D612" t="s">
        <v>2410</v>
      </c>
      <c r="E612" t="s">
        <v>108</v>
      </c>
      <c r="G612" t="s">
        <v>4359</v>
      </c>
      <c r="H612" t="s">
        <v>108</v>
      </c>
      <c r="I612" t="s">
        <v>3791</v>
      </c>
    </row>
    <row r="613" spans="1:9">
      <c r="A613" s="92" t="s">
        <v>4357</v>
      </c>
      <c r="B613" t="s">
        <v>1895</v>
      </c>
      <c r="C613" t="s">
        <v>2290</v>
      </c>
      <c r="D613" t="s">
        <v>2291</v>
      </c>
      <c r="E613" t="s">
        <v>2292</v>
      </c>
      <c r="G613" t="s">
        <v>4358</v>
      </c>
      <c r="H613" t="s">
        <v>2446</v>
      </c>
      <c r="I613" t="s">
        <v>3791</v>
      </c>
    </row>
    <row r="614" spans="1:9">
      <c r="A614" s="92" t="s">
        <v>4357</v>
      </c>
      <c r="B614" t="s">
        <v>1895</v>
      </c>
      <c r="C614" t="s">
        <v>2414</v>
      </c>
      <c r="D614" t="s">
        <v>2415</v>
      </c>
      <c r="E614" t="s">
        <v>108</v>
      </c>
      <c r="F614" t="s">
        <v>2416</v>
      </c>
      <c r="G614" t="s">
        <v>4359</v>
      </c>
      <c r="H614" t="s">
        <v>108</v>
      </c>
      <c r="I614" t="s">
        <v>3791</v>
      </c>
    </row>
    <row r="615" spans="1:9">
      <c r="A615" s="92" t="s">
        <v>4357</v>
      </c>
      <c r="B615" t="s">
        <v>3567</v>
      </c>
      <c r="C615" t="s">
        <v>2418</v>
      </c>
      <c r="D615" t="s">
        <v>2363</v>
      </c>
      <c r="E615" t="s">
        <v>108</v>
      </c>
      <c r="G615" t="s">
        <v>4359</v>
      </c>
      <c r="H615" t="s">
        <v>108</v>
      </c>
      <c r="I615" t="s">
        <v>3795</v>
      </c>
    </row>
    <row r="616" spans="1:9">
      <c r="A616" s="92" t="s">
        <v>4357</v>
      </c>
      <c r="B616" t="s">
        <v>3567</v>
      </c>
      <c r="C616" t="s">
        <v>2362</v>
      </c>
      <c r="D616" t="s">
        <v>2363</v>
      </c>
      <c r="E616" t="s">
        <v>2364</v>
      </c>
      <c r="G616" t="s">
        <v>4360</v>
      </c>
      <c r="H616" t="s">
        <v>108</v>
      </c>
      <c r="I616" t="s">
        <v>3795</v>
      </c>
    </row>
    <row r="617" spans="1:9">
      <c r="A617" s="92" t="s">
        <v>4357</v>
      </c>
      <c r="B617" t="s">
        <v>3567</v>
      </c>
      <c r="C617" t="s">
        <v>2420</v>
      </c>
      <c r="D617" t="s">
        <v>2363</v>
      </c>
      <c r="E617" t="s">
        <v>2421</v>
      </c>
      <c r="F617" t="s">
        <v>2422</v>
      </c>
      <c r="G617" t="s">
        <v>4359</v>
      </c>
      <c r="H617" t="s">
        <v>108</v>
      </c>
      <c r="I617" t="s">
        <v>3795</v>
      </c>
    </row>
    <row r="618" spans="1:9">
      <c r="A618" s="92" t="s">
        <v>4357</v>
      </c>
      <c r="B618" t="s">
        <v>3567</v>
      </c>
      <c r="C618" t="s">
        <v>2423</v>
      </c>
      <c r="D618" t="s">
        <v>2363</v>
      </c>
      <c r="E618" t="s">
        <v>108</v>
      </c>
      <c r="G618" t="s">
        <v>4359</v>
      </c>
      <c r="H618" t="s">
        <v>108</v>
      </c>
      <c r="I618" t="s">
        <v>3795</v>
      </c>
    </row>
    <row r="619" spans="1:9">
      <c r="A619" s="92" t="s">
        <v>4357</v>
      </c>
      <c r="B619" t="s">
        <v>1901</v>
      </c>
      <c r="C619" t="s">
        <v>2425</v>
      </c>
      <c r="D619" t="s">
        <v>2426</v>
      </c>
      <c r="E619" t="s">
        <v>2427</v>
      </c>
      <c r="G619" t="s">
        <v>4359</v>
      </c>
      <c r="H619" t="s">
        <v>108</v>
      </c>
      <c r="I619" t="s">
        <v>3799</v>
      </c>
    </row>
    <row r="620" spans="1:9">
      <c r="A620" s="92" t="s">
        <v>4357</v>
      </c>
      <c r="B620" t="s">
        <v>1901</v>
      </c>
      <c r="C620" t="s">
        <v>2428</v>
      </c>
      <c r="D620" t="s">
        <v>2426</v>
      </c>
      <c r="E620" t="s">
        <v>2429</v>
      </c>
      <c r="G620" t="s">
        <v>4359</v>
      </c>
      <c r="H620" t="s">
        <v>108</v>
      </c>
      <c r="I620" t="s">
        <v>3799</v>
      </c>
    </row>
    <row r="621" spans="1:9">
      <c r="A621" s="92" t="s">
        <v>4357</v>
      </c>
      <c r="B621" t="s">
        <v>1901</v>
      </c>
      <c r="C621" t="s">
        <v>2430</v>
      </c>
      <c r="D621" t="s">
        <v>2431</v>
      </c>
      <c r="E621" t="s">
        <v>108</v>
      </c>
      <c r="F621" t="s">
        <v>2432</v>
      </c>
      <c r="G621" t="s">
        <v>4359</v>
      </c>
      <c r="H621" t="s">
        <v>108</v>
      </c>
      <c r="I621" t="s">
        <v>3799</v>
      </c>
    </row>
    <row r="622" spans="1:9">
      <c r="A622" s="92" t="s">
        <v>4357</v>
      </c>
      <c r="B622" t="s">
        <v>1901</v>
      </c>
      <c r="C622" t="s">
        <v>2433</v>
      </c>
      <c r="D622" t="s">
        <v>2431</v>
      </c>
      <c r="E622" t="s">
        <v>108</v>
      </c>
      <c r="G622" t="s">
        <v>4359</v>
      </c>
      <c r="H622" t="s">
        <v>108</v>
      </c>
      <c r="I622" t="s">
        <v>3799</v>
      </c>
    </row>
    <row r="623" spans="1:9">
      <c r="A623" s="92" t="s">
        <v>4357</v>
      </c>
      <c r="B623" t="s">
        <v>1903</v>
      </c>
      <c r="C623" t="s">
        <v>2435</v>
      </c>
      <c r="D623" t="s">
        <v>2436</v>
      </c>
      <c r="E623" t="s">
        <v>108</v>
      </c>
      <c r="F623" t="s">
        <v>2437</v>
      </c>
      <c r="G623" t="s">
        <v>4359</v>
      </c>
      <c r="H623" t="s">
        <v>108</v>
      </c>
      <c r="I623" t="s">
        <v>3803</v>
      </c>
    </row>
    <row r="624" spans="1:9">
      <c r="A624" s="92" t="s">
        <v>4357</v>
      </c>
      <c r="B624" t="s">
        <v>1903</v>
      </c>
      <c r="C624" t="s">
        <v>2295</v>
      </c>
      <c r="D624" t="s">
        <v>2296</v>
      </c>
      <c r="E624" t="s">
        <v>2297</v>
      </c>
      <c r="G624" t="s">
        <v>4358</v>
      </c>
      <c r="H624" t="s">
        <v>2446</v>
      </c>
      <c r="I624" t="s">
        <v>3803</v>
      </c>
    </row>
    <row r="625" spans="1:9">
      <c r="A625" s="92" t="s">
        <v>4357</v>
      </c>
      <c r="B625" t="s">
        <v>1903</v>
      </c>
      <c r="C625" t="s">
        <v>2298</v>
      </c>
      <c r="D625" t="s">
        <v>2296</v>
      </c>
      <c r="E625" t="s">
        <v>2292</v>
      </c>
      <c r="G625" t="s">
        <v>4358</v>
      </c>
      <c r="H625" t="s">
        <v>2446</v>
      </c>
      <c r="I625" t="s">
        <v>3803</v>
      </c>
    </row>
    <row r="626" spans="1:9">
      <c r="A626" s="92" t="s">
        <v>4357</v>
      </c>
      <c r="B626" t="s">
        <v>1903</v>
      </c>
      <c r="C626" t="s">
        <v>2299</v>
      </c>
      <c r="D626" t="s">
        <v>2296</v>
      </c>
      <c r="E626" t="s">
        <v>2292</v>
      </c>
      <c r="G626" t="s">
        <v>4358</v>
      </c>
      <c r="H626" t="s">
        <v>2446</v>
      </c>
      <c r="I626" t="s">
        <v>3803</v>
      </c>
    </row>
    <row r="627" spans="1:9">
      <c r="A627" s="92" t="s">
        <v>4357</v>
      </c>
      <c r="B627" t="s">
        <v>1903</v>
      </c>
      <c r="C627" t="s">
        <v>2300</v>
      </c>
      <c r="D627" t="s">
        <v>2301</v>
      </c>
      <c r="E627" t="s">
        <v>2292</v>
      </c>
      <c r="G627" t="s">
        <v>4358</v>
      </c>
      <c r="H627" t="s">
        <v>2446</v>
      </c>
      <c r="I627" t="s">
        <v>3803</v>
      </c>
    </row>
    <row r="628" spans="1:9">
      <c r="A628" s="92" t="s">
        <v>4357</v>
      </c>
      <c r="B628" t="s">
        <v>1903</v>
      </c>
      <c r="C628" t="s">
        <v>2302</v>
      </c>
      <c r="E628" t="s">
        <v>2292</v>
      </c>
      <c r="G628" t="s">
        <v>4358</v>
      </c>
      <c r="H628" t="s">
        <v>2446</v>
      </c>
      <c r="I628" t="s">
        <v>3803</v>
      </c>
    </row>
    <row r="629" spans="1:9">
      <c r="A629" s="92" t="s">
        <v>4357</v>
      </c>
      <c r="B629" t="s">
        <v>1903</v>
      </c>
      <c r="C629" t="s">
        <v>2303</v>
      </c>
      <c r="E629" t="s">
        <v>2292</v>
      </c>
      <c r="G629" t="s">
        <v>4358</v>
      </c>
      <c r="H629" t="s">
        <v>2446</v>
      </c>
      <c r="I629" t="s">
        <v>3803</v>
      </c>
    </row>
    <row r="630" spans="1:9">
      <c r="A630" s="92" t="s">
        <v>4357</v>
      </c>
      <c r="B630" t="s">
        <v>1903</v>
      </c>
      <c r="C630" t="s">
        <v>2304</v>
      </c>
      <c r="E630" t="s">
        <v>2292</v>
      </c>
      <c r="G630" t="s">
        <v>4358</v>
      </c>
      <c r="H630" t="s">
        <v>2446</v>
      </c>
      <c r="I630" t="s">
        <v>3803</v>
      </c>
    </row>
    <row r="631" spans="1:9">
      <c r="A631" s="92" t="s">
        <v>4357</v>
      </c>
      <c r="B631" t="s">
        <v>1905</v>
      </c>
      <c r="C631" t="s">
        <v>2439</v>
      </c>
      <c r="D631" t="s">
        <v>2440</v>
      </c>
      <c r="E631" t="s">
        <v>108</v>
      </c>
      <c r="G631" t="s">
        <v>4359</v>
      </c>
      <c r="H631" t="s">
        <v>108</v>
      </c>
      <c r="I631" t="s">
        <v>3805</v>
      </c>
    </row>
    <row r="632" spans="1:9">
      <c r="A632" s="92" t="s">
        <v>4357</v>
      </c>
      <c r="B632" t="s">
        <v>1905</v>
      </c>
      <c r="C632" t="s">
        <v>2441</v>
      </c>
      <c r="D632" t="s">
        <v>2442</v>
      </c>
      <c r="E632" t="s">
        <v>2427</v>
      </c>
      <c r="G632" t="s">
        <v>4359</v>
      </c>
      <c r="H632" t="s">
        <v>108</v>
      </c>
      <c r="I632" t="s">
        <v>3805</v>
      </c>
    </row>
    <row r="633" spans="1:9">
      <c r="A633" s="92" t="s">
        <v>4357</v>
      </c>
      <c r="B633" t="s">
        <v>1905</v>
      </c>
      <c r="C633" t="s">
        <v>2443</v>
      </c>
      <c r="D633" t="s">
        <v>2440</v>
      </c>
      <c r="E633" t="s">
        <v>2444</v>
      </c>
      <c r="F633" t="s">
        <v>2445</v>
      </c>
      <c r="G633" t="s">
        <v>4359</v>
      </c>
      <c r="H633" t="s">
        <v>108</v>
      </c>
      <c r="I633" t="s">
        <v>3805</v>
      </c>
    </row>
    <row r="634" spans="1:9">
      <c r="A634" s="92" t="s">
        <v>4357</v>
      </c>
      <c r="B634" t="s">
        <v>1905</v>
      </c>
      <c r="C634" t="s">
        <v>2306</v>
      </c>
      <c r="D634" t="s">
        <v>2291</v>
      </c>
      <c r="E634" t="s">
        <v>2307</v>
      </c>
      <c r="G634" t="s">
        <v>4359</v>
      </c>
      <c r="H634" t="s">
        <v>108</v>
      </c>
      <c r="I634" t="s">
        <v>3805</v>
      </c>
    </row>
    <row r="635" spans="1:9">
      <c r="A635" s="92" t="s">
        <v>4357</v>
      </c>
      <c r="B635" t="s">
        <v>1905</v>
      </c>
      <c r="C635" t="s">
        <v>2313</v>
      </c>
      <c r="D635" t="s">
        <v>2291</v>
      </c>
      <c r="E635" t="s">
        <v>2292</v>
      </c>
      <c r="G635" t="s">
        <v>4358</v>
      </c>
      <c r="H635" t="s">
        <v>2446</v>
      </c>
      <c r="I635" t="s">
        <v>3805</v>
      </c>
    </row>
    <row r="636" spans="1:9">
      <c r="A636" s="92" t="s">
        <v>4357</v>
      </c>
      <c r="B636" t="s">
        <v>1905</v>
      </c>
      <c r="C636" t="s">
        <v>2314</v>
      </c>
      <c r="D636" t="s">
        <v>2291</v>
      </c>
      <c r="E636" t="s">
        <v>2292</v>
      </c>
      <c r="G636" t="s">
        <v>4358</v>
      </c>
      <c r="H636" t="s">
        <v>2446</v>
      </c>
      <c r="I636" t="s">
        <v>3805</v>
      </c>
    </row>
    <row r="637" spans="1:9">
      <c r="A637" s="92" t="s">
        <v>4357</v>
      </c>
      <c r="B637" t="s">
        <v>1905</v>
      </c>
      <c r="C637" t="s">
        <v>2447</v>
      </c>
      <c r="D637" t="s">
        <v>2440</v>
      </c>
      <c r="E637" t="s">
        <v>2403</v>
      </c>
      <c r="G637" t="s">
        <v>4359</v>
      </c>
      <c r="H637" t="s">
        <v>2403</v>
      </c>
      <c r="I637" t="s">
        <v>3805</v>
      </c>
    </row>
    <row r="638" spans="1:9">
      <c r="A638" s="92" t="s">
        <v>4357</v>
      </c>
      <c r="B638" t="s">
        <v>1905</v>
      </c>
      <c r="C638" t="s">
        <v>2448</v>
      </c>
      <c r="D638" t="s">
        <v>2449</v>
      </c>
      <c r="E638" t="s">
        <v>108</v>
      </c>
      <c r="G638" t="s">
        <v>4359</v>
      </c>
      <c r="H638" t="s">
        <v>108</v>
      </c>
      <c r="I638" t="s">
        <v>3805</v>
      </c>
    </row>
    <row r="639" spans="1:9">
      <c r="A639" s="92" t="s">
        <v>4357</v>
      </c>
      <c r="B639" t="s">
        <v>1908</v>
      </c>
      <c r="C639" t="s">
        <v>2451</v>
      </c>
      <c r="E639" t="s">
        <v>2403</v>
      </c>
      <c r="G639" t="s">
        <v>4359</v>
      </c>
      <c r="H639" t="s">
        <v>2403</v>
      </c>
      <c r="I639" t="s">
        <v>3807</v>
      </c>
    </row>
    <row r="640" spans="1:9">
      <c r="A640" s="92" t="s">
        <v>4357</v>
      </c>
      <c r="B640" t="s">
        <v>1908</v>
      </c>
      <c r="C640" t="s">
        <v>2375</v>
      </c>
      <c r="E640" t="s">
        <v>2376</v>
      </c>
      <c r="G640" t="s">
        <v>4359</v>
      </c>
      <c r="H640" t="s">
        <v>2403</v>
      </c>
      <c r="I640" t="s">
        <v>3807</v>
      </c>
    </row>
    <row r="641" spans="1:9">
      <c r="A641" s="92" t="s">
        <v>4357</v>
      </c>
      <c r="B641" t="s">
        <v>1908</v>
      </c>
      <c r="C641" t="s">
        <v>2452</v>
      </c>
      <c r="D641" t="s">
        <v>2440</v>
      </c>
      <c r="E641" t="s">
        <v>108</v>
      </c>
      <c r="G641" t="s">
        <v>4359</v>
      </c>
      <c r="H641" t="s">
        <v>108</v>
      </c>
      <c r="I641" t="s">
        <v>3807</v>
      </c>
    </row>
    <row r="642" spans="1:9">
      <c r="A642" s="92" t="s">
        <v>4357</v>
      </c>
      <c r="B642" t="s">
        <v>1908</v>
      </c>
      <c r="C642" t="s">
        <v>2453</v>
      </c>
      <c r="D642" t="s">
        <v>2440</v>
      </c>
      <c r="E642" t="s">
        <v>108</v>
      </c>
      <c r="G642" t="s">
        <v>4359</v>
      </c>
      <c r="H642" t="s">
        <v>108</v>
      </c>
      <c r="I642" t="s">
        <v>3807</v>
      </c>
    </row>
    <row r="643" spans="1:9">
      <c r="A643" s="92" t="s">
        <v>4357</v>
      </c>
      <c r="B643" t="s">
        <v>1908</v>
      </c>
      <c r="C643" t="s">
        <v>2454</v>
      </c>
      <c r="D643" t="s">
        <v>2301</v>
      </c>
      <c r="E643" t="s">
        <v>108</v>
      </c>
      <c r="G643" t="s">
        <v>4359</v>
      </c>
      <c r="H643" t="s">
        <v>108</v>
      </c>
      <c r="I643" t="s">
        <v>3807</v>
      </c>
    </row>
    <row r="644" spans="1:9">
      <c r="A644" s="92" t="s">
        <v>4357</v>
      </c>
      <c r="B644" t="s">
        <v>1908</v>
      </c>
      <c r="C644" t="s">
        <v>2455</v>
      </c>
      <c r="D644" t="s">
        <v>2456</v>
      </c>
      <c r="E644" t="s">
        <v>2403</v>
      </c>
      <c r="G644" t="s">
        <v>4359</v>
      </c>
      <c r="H644" t="s">
        <v>2403</v>
      </c>
      <c r="I644" t="s">
        <v>3807</v>
      </c>
    </row>
    <row r="645" spans="1:9">
      <c r="A645" s="92" t="s">
        <v>4357</v>
      </c>
      <c r="B645" t="s">
        <v>1908</v>
      </c>
      <c r="C645" t="s">
        <v>2457</v>
      </c>
      <c r="D645" t="s">
        <v>2456</v>
      </c>
      <c r="E645" t="s">
        <v>2403</v>
      </c>
      <c r="G645" t="s">
        <v>4359</v>
      </c>
      <c r="H645" t="s">
        <v>2403</v>
      </c>
      <c r="I645" t="s">
        <v>3807</v>
      </c>
    </row>
    <row r="646" spans="1:9">
      <c r="A646" s="92" t="s">
        <v>4357</v>
      </c>
      <c r="B646" t="s">
        <v>1908</v>
      </c>
      <c r="C646" t="s">
        <v>2316</v>
      </c>
      <c r="D646" t="s">
        <v>2291</v>
      </c>
      <c r="E646" t="s">
        <v>2292</v>
      </c>
      <c r="G646" t="s">
        <v>4358</v>
      </c>
      <c r="H646" t="s">
        <v>2446</v>
      </c>
      <c r="I646" t="s">
        <v>3807</v>
      </c>
    </row>
    <row r="647" spans="1:9">
      <c r="A647" s="92" t="s">
        <v>4357</v>
      </c>
      <c r="B647" t="s">
        <v>1908</v>
      </c>
      <c r="C647" t="s">
        <v>2458</v>
      </c>
      <c r="D647" t="s">
        <v>2456</v>
      </c>
      <c r="E647" t="s">
        <v>108</v>
      </c>
      <c r="F647" t="s">
        <v>2459</v>
      </c>
      <c r="G647" t="s">
        <v>4359</v>
      </c>
      <c r="H647" t="s">
        <v>108</v>
      </c>
      <c r="I647" t="s">
        <v>3807</v>
      </c>
    </row>
    <row r="648" spans="1:9">
      <c r="A648" s="92" t="s">
        <v>4357</v>
      </c>
      <c r="B648" t="s">
        <v>1909</v>
      </c>
      <c r="C648" t="s">
        <v>2461</v>
      </c>
      <c r="D648" t="s">
        <v>2462</v>
      </c>
      <c r="E648" t="s">
        <v>108</v>
      </c>
      <c r="G648" t="s">
        <v>4359</v>
      </c>
      <c r="H648" t="s">
        <v>108</v>
      </c>
      <c r="I648" t="s">
        <v>3811</v>
      </c>
    </row>
    <row r="649" spans="1:9">
      <c r="A649" s="92" t="s">
        <v>4357</v>
      </c>
      <c r="B649" t="s">
        <v>1909</v>
      </c>
      <c r="C649" t="s">
        <v>2463</v>
      </c>
      <c r="D649" t="s">
        <v>2464</v>
      </c>
      <c r="E649" t="s">
        <v>108</v>
      </c>
      <c r="G649" t="s">
        <v>4359</v>
      </c>
      <c r="H649" t="s">
        <v>108</v>
      </c>
      <c r="I649" t="s">
        <v>3811</v>
      </c>
    </row>
    <row r="650" spans="1:9">
      <c r="A650" s="92" t="s">
        <v>4357</v>
      </c>
      <c r="B650" t="s">
        <v>1909</v>
      </c>
      <c r="C650" t="s">
        <v>2465</v>
      </c>
      <c r="D650" t="s">
        <v>2464</v>
      </c>
      <c r="E650" t="s">
        <v>108</v>
      </c>
      <c r="G650" t="s">
        <v>4359</v>
      </c>
      <c r="H650" t="s">
        <v>108</v>
      </c>
      <c r="I650" t="s">
        <v>3811</v>
      </c>
    </row>
    <row r="651" spans="1:9">
      <c r="A651" s="92" t="s">
        <v>4357</v>
      </c>
      <c r="B651" t="s">
        <v>1911</v>
      </c>
      <c r="C651" t="s">
        <v>2467</v>
      </c>
      <c r="D651" t="s">
        <v>2319</v>
      </c>
      <c r="E651" t="s">
        <v>2403</v>
      </c>
      <c r="F651" t="s">
        <v>2468</v>
      </c>
      <c r="G651" t="s">
        <v>4359</v>
      </c>
      <c r="H651" t="s">
        <v>2403</v>
      </c>
      <c r="I651" t="s">
        <v>3815</v>
      </c>
    </row>
    <row r="652" spans="1:9">
      <c r="A652" s="92" t="s">
        <v>4357</v>
      </c>
      <c r="B652" t="s">
        <v>1911</v>
      </c>
      <c r="C652" t="s">
        <v>2469</v>
      </c>
      <c r="D652" t="s">
        <v>2382</v>
      </c>
      <c r="E652" t="s">
        <v>108</v>
      </c>
      <c r="F652" t="s">
        <v>2470</v>
      </c>
      <c r="G652" t="s">
        <v>4359</v>
      </c>
      <c r="H652" t="s">
        <v>108</v>
      </c>
      <c r="I652" t="s">
        <v>3815</v>
      </c>
    </row>
    <row r="653" spans="1:9">
      <c r="A653" s="92" t="s">
        <v>4357</v>
      </c>
      <c r="B653" t="s">
        <v>1911</v>
      </c>
      <c r="C653" t="s">
        <v>2471</v>
      </c>
      <c r="D653" t="s">
        <v>2379</v>
      </c>
      <c r="E653" t="s">
        <v>108</v>
      </c>
      <c r="F653" t="s">
        <v>2472</v>
      </c>
      <c r="G653" t="s">
        <v>4359</v>
      </c>
      <c r="H653" t="s">
        <v>108</v>
      </c>
      <c r="I653" t="s">
        <v>3815</v>
      </c>
    </row>
    <row r="654" spans="1:9">
      <c r="A654" s="92" t="s">
        <v>4357</v>
      </c>
      <c r="B654" t="s">
        <v>1911</v>
      </c>
      <c r="C654" t="s">
        <v>2473</v>
      </c>
      <c r="D654" t="s">
        <v>2474</v>
      </c>
      <c r="E654" t="s">
        <v>108</v>
      </c>
      <c r="F654" t="s">
        <v>2475</v>
      </c>
      <c r="G654" t="s">
        <v>4359</v>
      </c>
      <c r="H654" t="s">
        <v>108</v>
      </c>
      <c r="I654" t="s">
        <v>3815</v>
      </c>
    </row>
    <row r="655" spans="1:9">
      <c r="A655" s="92" t="s">
        <v>4357</v>
      </c>
      <c r="B655" t="s">
        <v>1911</v>
      </c>
      <c r="C655" t="s">
        <v>2324</v>
      </c>
      <c r="D655" t="s">
        <v>2325</v>
      </c>
      <c r="G655" t="s">
        <v>4330</v>
      </c>
      <c r="I655" t="s">
        <v>3815</v>
      </c>
    </row>
    <row r="656" spans="1:9">
      <c r="A656" s="92" t="s">
        <v>4357</v>
      </c>
      <c r="B656" t="s">
        <v>1911</v>
      </c>
      <c r="C656" t="s">
        <v>2327</v>
      </c>
      <c r="D656" t="s">
        <v>2325</v>
      </c>
      <c r="G656" t="s">
        <v>4330</v>
      </c>
      <c r="I656" t="s">
        <v>3815</v>
      </c>
    </row>
    <row r="657" spans="1:9">
      <c r="A657" s="92" t="s">
        <v>4357</v>
      </c>
      <c r="B657" t="s">
        <v>1911</v>
      </c>
      <c r="C657" t="s">
        <v>2328</v>
      </c>
      <c r="D657" t="s">
        <v>2325</v>
      </c>
      <c r="E657" t="s">
        <v>2329</v>
      </c>
      <c r="F657" t="s">
        <v>2331</v>
      </c>
      <c r="G657" t="s">
        <v>4331</v>
      </c>
      <c r="I657" t="s">
        <v>3815</v>
      </c>
    </row>
    <row r="658" spans="1:9">
      <c r="A658" s="92" t="s">
        <v>4357</v>
      </c>
      <c r="B658" t="s">
        <v>1916</v>
      </c>
      <c r="C658" t="s">
        <v>2477</v>
      </c>
      <c r="D658" t="s">
        <v>2382</v>
      </c>
      <c r="E658" t="s">
        <v>108</v>
      </c>
      <c r="F658" t="s">
        <v>2478</v>
      </c>
      <c r="G658" t="s">
        <v>4359</v>
      </c>
      <c r="H658" t="s">
        <v>108</v>
      </c>
      <c r="I658" t="s">
        <v>3819</v>
      </c>
    </row>
    <row r="659" spans="1:9">
      <c r="A659" s="92" t="s">
        <v>4357</v>
      </c>
      <c r="B659" t="s">
        <v>1916</v>
      </c>
      <c r="C659" t="s">
        <v>2334</v>
      </c>
      <c r="D659" t="s">
        <v>2291</v>
      </c>
      <c r="E659" t="s">
        <v>2311</v>
      </c>
      <c r="F659" t="s">
        <v>2335</v>
      </c>
      <c r="G659" t="s">
        <v>4332</v>
      </c>
      <c r="I659" t="s">
        <v>3819</v>
      </c>
    </row>
    <row r="660" spans="1:9">
      <c r="A660" s="92" t="s">
        <v>4357</v>
      </c>
      <c r="B660" t="s">
        <v>1916</v>
      </c>
      <c r="C660" t="s">
        <v>2336</v>
      </c>
      <c r="D660" t="s">
        <v>2291</v>
      </c>
      <c r="E660" t="s">
        <v>552</v>
      </c>
      <c r="F660" t="s">
        <v>2337</v>
      </c>
      <c r="G660" t="s">
        <v>4333</v>
      </c>
      <c r="I660" t="s">
        <v>3819</v>
      </c>
    </row>
    <row r="661" spans="1:9">
      <c r="A661" s="92" t="s">
        <v>4357</v>
      </c>
      <c r="B661" t="s">
        <v>1916</v>
      </c>
      <c r="C661" t="s">
        <v>2479</v>
      </c>
      <c r="D661" t="s">
        <v>2480</v>
      </c>
      <c r="E661" t="s">
        <v>108</v>
      </c>
      <c r="F661" t="s">
        <v>2481</v>
      </c>
      <c r="G661" t="s">
        <v>4359</v>
      </c>
      <c r="H661" t="s">
        <v>108</v>
      </c>
      <c r="I661" t="s">
        <v>3819</v>
      </c>
    </row>
    <row r="662" spans="1:9">
      <c r="A662" s="92" t="s">
        <v>4357</v>
      </c>
      <c r="B662" t="s">
        <v>1916</v>
      </c>
      <c r="C662" t="s">
        <v>2482</v>
      </c>
      <c r="D662" t="s">
        <v>2480</v>
      </c>
      <c r="E662" t="s">
        <v>108</v>
      </c>
      <c r="F662" t="s">
        <v>2483</v>
      </c>
      <c r="G662" t="s">
        <v>4359</v>
      </c>
      <c r="H662" t="s">
        <v>108</v>
      </c>
      <c r="I662" t="s">
        <v>3819</v>
      </c>
    </row>
    <row r="663" spans="1:9">
      <c r="A663" s="92" t="s">
        <v>4357</v>
      </c>
      <c r="B663" t="s">
        <v>1916</v>
      </c>
      <c r="C663" t="s">
        <v>2484</v>
      </c>
      <c r="D663" t="s">
        <v>2382</v>
      </c>
      <c r="E663" t="s">
        <v>2403</v>
      </c>
      <c r="G663" t="s">
        <v>4359</v>
      </c>
      <c r="H663" t="s">
        <v>2403</v>
      </c>
      <c r="I663" t="s">
        <v>3819</v>
      </c>
    </row>
    <row r="664" spans="1:9">
      <c r="A664" s="92" t="s">
        <v>4357</v>
      </c>
      <c r="B664" t="s">
        <v>1916</v>
      </c>
      <c r="C664" t="s">
        <v>2485</v>
      </c>
      <c r="D664" t="s">
        <v>2486</v>
      </c>
      <c r="E664" t="s">
        <v>2487</v>
      </c>
      <c r="G664" t="s">
        <v>4359</v>
      </c>
      <c r="H664" t="s">
        <v>108</v>
      </c>
      <c r="I664" t="s">
        <v>3819</v>
      </c>
    </row>
    <row r="665" spans="1:9">
      <c r="A665" s="92" t="s">
        <v>4357</v>
      </c>
      <c r="B665" t="s">
        <v>1918</v>
      </c>
      <c r="C665" t="s">
        <v>2489</v>
      </c>
      <c r="D665" t="s">
        <v>2490</v>
      </c>
      <c r="E665" t="s">
        <v>108</v>
      </c>
      <c r="G665" t="s">
        <v>4359</v>
      </c>
      <c r="H665" t="s">
        <v>108</v>
      </c>
      <c r="I665" t="s">
        <v>3823</v>
      </c>
    </row>
    <row r="666" spans="1:9">
      <c r="A666" s="92" t="s">
        <v>4357</v>
      </c>
      <c r="B666" t="s">
        <v>1918</v>
      </c>
      <c r="C666" t="s">
        <v>2491</v>
      </c>
      <c r="D666" t="s">
        <v>2490</v>
      </c>
      <c r="E666" t="s">
        <v>2403</v>
      </c>
      <c r="F666" t="s">
        <v>2492</v>
      </c>
      <c r="G666" t="s">
        <v>4359</v>
      </c>
      <c r="H666" t="s">
        <v>2403</v>
      </c>
      <c r="I666" t="s">
        <v>3823</v>
      </c>
    </row>
    <row r="667" spans="1:9">
      <c r="A667" s="92" t="s">
        <v>4357</v>
      </c>
      <c r="B667" t="s">
        <v>1918</v>
      </c>
      <c r="C667" t="s">
        <v>2493</v>
      </c>
      <c r="D667" t="s">
        <v>2494</v>
      </c>
      <c r="E667" t="s">
        <v>2421</v>
      </c>
      <c r="F667" t="s">
        <v>2495</v>
      </c>
      <c r="G667" t="s">
        <v>4359</v>
      </c>
      <c r="H667" t="s">
        <v>108</v>
      </c>
      <c r="I667" t="s">
        <v>3823</v>
      </c>
    </row>
    <row r="668" spans="1:9">
      <c r="A668" s="92" t="s">
        <v>4357</v>
      </c>
      <c r="B668" t="s">
        <v>1918</v>
      </c>
      <c r="C668" t="s">
        <v>2496</v>
      </c>
      <c r="D668" t="s">
        <v>2490</v>
      </c>
      <c r="E668" t="s">
        <v>2497</v>
      </c>
      <c r="G668" t="s">
        <v>4359</v>
      </c>
      <c r="H668" t="s">
        <v>108</v>
      </c>
      <c r="I668" t="s">
        <v>3823</v>
      </c>
    </row>
    <row r="669" spans="1:9">
      <c r="A669" s="92" t="s">
        <v>4357</v>
      </c>
      <c r="B669" t="s">
        <v>1918</v>
      </c>
      <c r="C669" t="s">
        <v>2498</v>
      </c>
      <c r="D669" t="s">
        <v>2490</v>
      </c>
      <c r="E669" t="s">
        <v>2499</v>
      </c>
      <c r="F669" t="s">
        <v>2500</v>
      </c>
      <c r="G669" t="s">
        <v>4359</v>
      </c>
      <c r="H669" t="s">
        <v>108</v>
      </c>
      <c r="I669" t="s">
        <v>3823</v>
      </c>
    </row>
    <row r="670" spans="1:9">
      <c r="A670" s="92" t="s">
        <v>4357</v>
      </c>
      <c r="B670" t="s">
        <v>1920</v>
      </c>
      <c r="C670" t="s">
        <v>2502</v>
      </c>
      <c r="D670" t="s">
        <v>2325</v>
      </c>
      <c r="E670" t="s">
        <v>2503</v>
      </c>
      <c r="F670" t="s">
        <v>2504</v>
      </c>
      <c r="G670" t="s">
        <v>4359</v>
      </c>
      <c r="H670" t="s">
        <v>108</v>
      </c>
      <c r="I670" t="s">
        <v>3827</v>
      </c>
    </row>
    <row r="671" spans="1:9">
      <c r="A671" s="92" t="s">
        <v>4357</v>
      </c>
      <c r="B671" t="s">
        <v>1920</v>
      </c>
      <c r="C671" t="s">
        <v>2341</v>
      </c>
      <c r="D671" t="s">
        <v>2342</v>
      </c>
      <c r="E671" t="s">
        <v>2343</v>
      </c>
      <c r="F671" t="s">
        <v>2344</v>
      </c>
      <c r="G671" t="s">
        <v>4325</v>
      </c>
      <c r="I671" t="s">
        <v>3827</v>
      </c>
    </row>
    <row r="672" spans="1:9">
      <c r="A672" s="92" t="s">
        <v>4357</v>
      </c>
      <c r="B672" t="s">
        <v>1920</v>
      </c>
      <c r="C672" t="s">
        <v>2341</v>
      </c>
      <c r="D672" t="s">
        <v>2342</v>
      </c>
      <c r="E672" t="s">
        <v>2343</v>
      </c>
      <c r="F672" t="s">
        <v>2344</v>
      </c>
      <c r="G672" t="s">
        <v>4359</v>
      </c>
      <c r="H672" t="s">
        <v>108</v>
      </c>
      <c r="I672" t="s">
        <v>3827</v>
      </c>
    </row>
    <row r="673" spans="1:9">
      <c r="A673" s="92" t="s">
        <v>4357</v>
      </c>
      <c r="B673" t="s">
        <v>1920</v>
      </c>
      <c r="C673" t="s">
        <v>2348</v>
      </c>
      <c r="E673" t="s">
        <v>2292</v>
      </c>
      <c r="G673" t="s">
        <v>4358</v>
      </c>
      <c r="H673" t="s">
        <v>2446</v>
      </c>
      <c r="I673" t="s">
        <v>3827</v>
      </c>
    </row>
    <row r="674" spans="1:9">
      <c r="A674" s="92" t="s">
        <v>4357</v>
      </c>
      <c r="B674" t="s">
        <v>1920</v>
      </c>
      <c r="C674" t="s">
        <v>2505</v>
      </c>
      <c r="D674" t="s">
        <v>2291</v>
      </c>
      <c r="E674" t="s">
        <v>108</v>
      </c>
      <c r="G674" t="s">
        <v>4359</v>
      </c>
      <c r="H674" t="s">
        <v>108</v>
      </c>
      <c r="I674" t="s">
        <v>3827</v>
      </c>
    </row>
    <row r="675" spans="1:9">
      <c r="A675" s="92" t="s">
        <v>4357</v>
      </c>
      <c r="B675" t="s">
        <v>1920</v>
      </c>
      <c r="C675" t="s">
        <v>2506</v>
      </c>
      <c r="D675" t="s">
        <v>2346</v>
      </c>
      <c r="E675" t="s">
        <v>2507</v>
      </c>
      <c r="F675" t="s">
        <v>2508</v>
      </c>
      <c r="G675" t="s">
        <v>4359</v>
      </c>
      <c r="H675" t="s">
        <v>2507</v>
      </c>
      <c r="I675" t="s">
        <v>3827</v>
      </c>
    </row>
    <row r="676" spans="1:9">
      <c r="A676" s="92" t="s">
        <v>4361</v>
      </c>
      <c r="B676" t="s">
        <v>1875</v>
      </c>
      <c r="C676" t="s">
        <v>2291</v>
      </c>
      <c r="D676" t="s">
        <v>2291</v>
      </c>
      <c r="E676" t="s">
        <v>2292</v>
      </c>
      <c r="F676" t="s">
        <v>2573</v>
      </c>
      <c r="G676" t="s">
        <v>4362</v>
      </c>
      <c r="H676" t="s">
        <v>2519</v>
      </c>
      <c r="I676" t="s">
        <v>3756</v>
      </c>
    </row>
    <row r="677" spans="1:9">
      <c r="A677" s="92" t="s">
        <v>4361</v>
      </c>
      <c r="B677" t="s">
        <v>1875</v>
      </c>
      <c r="C677" t="s">
        <v>2247</v>
      </c>
      <c r="D677" t="s">
        <v>2248</v>
      </c>
      <c r="G677" t="s">
        <v>4325</v>
      </c>
      <c r="I677" t="s">
        <v>3756</v>
      </c>
    </row>
    <row r="678" spans="1:9">
      <c r="A678" s="92" t="s">
        <v>4361</v>
      </c>
      <c r="B678" t="s">
        <v>1875</v>
      </c>
      <c r="C678" t="s">
        <v>2252</v>
      </c>
      <c r="D678" t="s">
        <v>2248</v>
      </c>
      <c r="G678" t="s">
        <v>4325</v>
      </c>
      <c r="I678" t="s">
        <v>3756</v>
      </c>
    </row>
    <row r="679" spans="1:9">
      <c r="A679" s="92" t="s">
        <v>4361</v>
      </c>
      <c r="B679" t="s">
        <v>1878</v>
      </c>
      <c r="C679" t="s">
        <v>2254</v>
      </c>
      <c r="D679" t="s">
        <v>2248</v>
      </c>
      <c r="G679" t="s">
        <v>4326</v>
      </c>
      <c r="I679" t="s">
        <v>3760</v>
      </c>
    </row>
    <row r="680" spans="1:9">
      <c r="A680" s="92" t="s">
        <v>4361</v>
      </c>
      <c r="B680" t="s">
        <v>1878</v>
      </c>
      <c r="C680" t="s">
        <v>2256</v>
      </c>
      <c r="D680" t="s">
        <v>2257</v>
      </c>
      <c r="G680" t="s">
        <v>4325</v>
      </c>
      <c r="I680" t="s">
        <v>3760</v>
      </c>
    </row>
    <row r="681" spans="1:9">
      <c r="A681" s="92" t="s">
        <v>4361</v>
      </c>
      <c r="B681" t="s">
        <v>1878</v>
      </c>
      <c r="C681" t="s">
        <v>2258</v>
      </c>
      <c r="D681" t="s">
        <v>2257</v>
      </c>
      <c r="G681" t="s">
        <v>4325</v>
      </c>
      <c r="I681" t="s">
        <v>3760</v>
      </c>
    </row>
    <row r="682" spans="1:9">
      <c r="A682" s="92" t="s">
        <v>4361</v>
      </c>
      <c r="B682" t="s">
        <v>1878</v>
      </c>
      <c r="C682" t="s">
        <v>2259</v>
      </c>
      <c r="D682" t="s">
        <v>2248</v>
      </c>
      <c r="G682" t="s">
        <v>4326</v>
      </c>
      <c r="I682" t="s">
        <v>3760</v>
      </c>
    </row>
    <row r="683" spans="1:9">
      <c r="A683" s="92" t="s">
        <v>4361</v>
      </c>
      <c r="B683" t="s">
        <v>1878</v>
      </c>
      <c r="C683" t="s">
        <v>2260</v>
      </c>
      <c r="D683" t="s">
        <v>2257</v>
      </c>
      <c r="G683" t="s">
        <v>4325</v>
      </c>
      <c r="I683" t="s">
        <v>3760</v>
      </c>
    </row>
    <row r="684" spans="1:9">
      <c r="A684" s="92" t="s">
        <v>4361</v>
      </c>
      <c r="B684" t="s">
        <v>1878</v>
      </c>
      <c r="C684" t="s">
        <v>2261</v>
      </c>
      <c r="D684" t="s">
        <v>2248</v>
      </c>
      <c r="G684" t="s">
        <v>4325</v>
      </c>
      <c r="I684" t="s">
        <v>3760</v>
      </c>
    </row>
    <row r="685" spans="1:9">
      <c r="A685" s="92" t="s">
        <v>4361</v>
      </c>
      <c r="B685" t="s">
        <v>1878</v>
      </c>
      <c r="C685" t="s">
        <v>2262</v>
      </c>
      <c r="D685" t="s">
        <v>2248</v>
      </c>
      <c r="G685" t="s">
        <v>4326</v>
      </c>
      <c r="I685" t="s">
        <v>3760</v>
      </c>
    </row>
    <row r="686" spans="1:9">
      <c r="A686" s="92" t="s">
        <v>4361</v>
      </c>
      <c r="B686" t="s">
        <v>1878</v>
      </c>
      <c r="C686" t="s">
        <v>2263</v>
      </c>
      <c r="D686" t="s">
        <v>2248</v>
      </c>
      <c r="G686" t="s">
        <v>4326</v>
      </c>
      <c r="I686" t="s">
        <v>3760</v>
      </c>
    </row>
    <row r="687" spans="1:9">
      <c r="A687" s="92" t="s">
        <v>4361</v>
      </c>
      <c r="B687" t="s">
        <v>1878</v>
      </c>
      <c r="C687" t="s">
        <v>2264</v>
      </c>
      <c r="D687" t="s">
        <v>2248</v>
      </c>
      <c r="G687" t="s">
        <v>4326</v>
      </c>
      <c r="I687" t="s">
        <v>3760</v>
      </c>
    </row>
    <row r="688" spans="1:9">
      <c r="A688" s="92" t="s">
        <v>4361</v>
      </c>
      <c r="B688" t="s">
        <v>1878</v>
      </c>
      <c r="C688" t="s">
        <v>2265</v>
      </c>
      <c r="D688" t="s">
        <v>2257</v>
      </c>
      <c r="G688" t="s">
        <v>4326</v>
      </c>
      <c r="I688" t="s">
        <v>3760</v>
      </c>
    </row>
    <row r="689" spans="1:9">
      <c r="A689" s="92" t="s">
        <v>4361</v>
      </c>
      <c r="B689" t="s">
        <v>1878</v>
      </c>
      <c r="C689" t="s">
        <v>2291</v>
      </c>
      <c r="D689" t="s">
        <v>2291</v>
      </c>
      <c r="E689" t="s">
        <v>2292</v>
      </c>
      <c r="F689" t="s">
        <v>2575</v>
      </c>
      <c r="G689" t="s">
        <v>4362</v>
      </c>
      <c r="H689" t="s">
        <v>2519</v>
      </c>
      <c r="I689" t="s">
        <v>3760</v>
      </c>
    </row>
    <row r="690" spans="1:9">
      <c r="A690" s="92" t="s">
        <v>4361</v>
      </c>
      <c r="B690" t="s">
        <v>1881</v>
      </c>
      <c r="C690" t="s">
        <v>2291</v>
      </c>
      <c r="D690" t="s">
        <v>2291</v>
      </c>
      <c r="E690" t="s">
        <v>2292</v>
      </c>
      <c r="F690" t="s">
        <v>2573</v>
      </c>
      <c r="G690" t="s">
        <v>4362</v>
      </c>
      <c r="H690" t="s">
        <v>2519</v>
      </c>
      <c r="I690" t="s">
        <v>3764</v>
      </c>
    </row>
    <row r="691" spans="1:9">
      <c r="A691" s="92" t="s">
        <v>4361</v>
      </c>
      <c r="B691" t="s">
        <v>1884</v>
      </c>
      <c r="C691" t="s">
        <v>2291</v>
      </c>
      <c r="D691" t="s">
        <v>2291</v>
      </c>
      <c r="E691" t="s">
        <v>2292</v>
      </c>
      <c r="F691" t="s">
        <v>2578</v>
      </c>
      <c r="G691" t="s">
        <v>4362</v>
      </c>
      <c r="H691" t="s">
        <v>2519</v>
      </c>
      <c r="I691" t="s">
        <v>3768</v>
      </c>
    </row>
    <row r="692" spans="1:9">
      <c r="A692" s="92" t="s">
        <v>4361</v>
      </c>
      <c r="B692" t="s">
        <v>1884</v>
      </c>
      <c r="C692" t="s">
        <v>2267</v>
      </c>
      <c r="D692" t="s">
        <v>2248</v>
      </c>
      <c r="G692" t="s">
        <v>4325</v>
      </c>
      <c r="I692" t="s">
        <v>3768</v>
      </c>
    </row>
    <row r="693" spans="1:9">
      <c r="A693" s="92" t="s">
        <v>4361</v>
      </c>
      <c r="B693" t="s">
        <v>1886</v>
      </c>
      <c r="C693" t="s">
        <v>2291</v>
      </c>
      <c r="D693" t="s">
        <v>2291</v>
      </c>
      <c r="E693" t="s">
        <v>2292</v>
      </c>
      <c r="F693" t="s">
        <v>2575</v>
      </c>
      <c r="G693" t="s">
        <v>4362</v>
      </c>
      <c r="H693" t="s">
        <v>2519</v>
      </c>
      <c r="I693" t="s">
        <v>3772</v>
      </c>
    </row>
    <row r="694" spans="1:9">
      <c r="A694" s="92" t="s">
        <v>4361</v>
      </c>
      <c r="B694" t="s">
        <v>1890</v>
      </c>
      <c r="C694" t="s">
        <v>2291</v>
      </c>
      <c r="D694" t="s">
        <v>2291</v>
      </c>
      <c r="E694" t="s">
        <v>2292</v>
      </c>
      <c r="F694" t="s">
        <v>2575</v>
      </c>
      <c r="G694" t="s">
        <v>4362</v>
      </c>
      <c r="H694" t="s">
        <v>2519</v>
      </c>
      <c r="I694" t="s">
        <v>3776</v>
      </c>
    </row>
    <row r="695" spans="1:9">
      <c r="A695" s="92" t="s">
        <v>4361</v>
      </c>
      <c r="B695" t="s">
        <v>1890</v>
      </c>
      <c r="C695" t="s">
        <v>2269</v>
      </c>
      <c r="D695" t="s">
        <v>2248</v>
      </c>
      <c r="G695" t="s">
        <v>4325</v>
      </c>
      <c r="I695" t="s">
        <v>3776</v>
      </c>
    </row>
    <row r="696" spans="1:9">
      <c r="A696" s="92" t="s">
        <v>4361</v>
      </c>
      <c r="B696" t="s">
        <v>1890</v>
      </c>
      <c r="C696" t="s">
        <v>2270</v>
      </c>
      <c r="D696" t="s">
        <v>2248</v>
      </c>
      <c r="G696" t="s">
        <v>4325</v>
      </c>
      <c r="I696" t="s">
        <v>3776</v>
      </c>
    </row>
    <row r="697" spans="1:9">
      <c r="A697" s="92" t="s">
        <v>4361</v>
      </c>
      <c r="B697" t="s">
        <v>1890</v>
      </c>
      <c r="C697" t="s">
        <v>2271</v>
      </c>
      <c r="D697" t="s">
        <v>2248</v>
      </c>
      <c r="G697" t="s">
        <v>4325</v>
      </c>
      <c r="I697" t="s">
        <v>3776</v>
      </c>
    </row>
    <row r="698" spans="1:9">
      <c r="A698" s="92" t="s">
        <v>4361</v>
      </c>
      <c r="B698" t="s">
        <v>1890</v>
      </c>
      <c r="C698" t="s">
        <v>2272</v>
      </c>
      <c r="D698" t="s">
        <v>2248</v>
      </c>
      <c r="G698" t="s">
        <v>4325</v>
      </c>
      <c r="I698" t="s">
        <v>3776</v>
      </c>
    </row>
    <row r="699" spans="1:9">
      <c r="A699" s="92" t="s">
        <v>4361</v>
      </c>
      <c r="B699" t="s">
        <v>1890</v>
      </c>
      <c r="C699" t="s">
        <v>2273</v>
      </c>
      <c r="D699" t="s">
        <v>2248</v>
      </c>
      <c r="G699" t="s">
        <v>4325</v>
      </c>
      <c r="I699" t="s">
        <v>3776</v>
      </c>
    </row>
    <row r="700" spans="1:9">
      <c r="A700" s="92" t="s">
        <v>4361</v>
      </c>
      <c r="B700" t="s">
        <v>1890</v>
      </c>
      <c r="C700" t="s">
        <v>2274</v>
      </c>
      <c r="D700" t="s">
        <v>2248</v>
      </c>
      <c r="G700" t="s">
        <v>4325</v>
      </c>
      <c r="I700" t="s">
        <v>3776</v>
      </c>
    </row>
    <row r="701" spans="1:9">
      <c r="A701" s="92" t="s">
        <v>4361</v>
      </c>
      <c r="B701" t="s">
        <v>1890</v>
      </c>
      <c r="C701" t="s">
        <v>2275</v>
      </c>
      <c r="D701" t="s">
        <v>2248</v>
      </c>
      <c r="G701" t="s">
        <v>4325</v>
      </c>
      <c r="I701" t="s">
        <v>3776</v>
      </c>
    </row>
    <row r="702" spans="1:9">
      <c r="A702" s="92" t="s">
        <v>4361</v>
      </c>
      <c r="B702" t="s">
        <v>1890</v>
      </c>
      <c r="C702" t="s">
        <v>2276</v>
      </c>
      <c r="D702" t="s">
        <v>2248</v>
      </c>
      <c r="G702" t="s">
        <v>4325</v>
      </c>
      <c r="I702" t="s">
        <v>3776</v>
      </c>
    </row>
    <row r="703" spans="1:9">
      <c r="A703" s="92" t="s">
        <v>4361</v>
      </c>
      <c r="B703" t="s">
        <v>1892</v>
      </c>
      <c r="C703" t="s">
        <v>2291</v>
      </c>
      <c r="D703" t="s">
        <v>2291</v>
      </c>
      <c r="E703" t="s">
        <v>2292</v>
      </c>
      <c r="F703" t="s">
        <v>2575</v>
      </c>
      <c r="G703" t="s">
        <v>4362</v>
      </c>
      <c r="H703" t="s">
        <v>2519</v>
      </c>
      <c r="I703" t="s">
        <v>3780</v>
      </c>
    </row>
    <row r="704" spans="1:9">
      <c r="A704" s="92" t="s">
        <v>4361</v>
      </c>
      <c r="B704" t="s">
        <v>1892</v>
      </c>
      <c r="C704" t="s">
        <v>2278</v>
      </c>
      <c r="D704" t="s">
        <v>2279</v>
      </c>
      <c r="G704" t="s">
        <v>4327</v>
      </c>
      <c r="I704" t="s">
        <v>3780</v>
      </c>
    </row>
    <row r="705" spans="1:9">
      <c r="A705" s="92" t="s">
        <v>4361</v>
      </c>
      <c r="B705" t="s">
        <v>1892</v>
      </c>
      <c r="C705" t="s">
        <v>2281</v>
      </c>
      <c r="D705" t="s">
        <v>2248</v>
      </c>
      <c r="G705" t="s">
        <v>4325</v>
      </c>
      <c r="I705" t="s">
        <v>3780</v>
      </c>
    </row>
    <row r="706" spans="1:9">
      <c r="A706" s="92" t="s">
        <v>4361</v>
      </c>
      <c r="B706" t="s">
        <v>1893</v>
      </c>
      <c r="C706" t="s">
        <v>2291</v>
      </c>
      <c r="D706" t="s">
        <v>2291</v>
      </c>
      <c r="E706" t="s">
        <v>2292</v>
      </c>
      <c r="F706" t="s">
        <v>2575</v>
      </c>
      <c r="G706" t="s">
        <v>4362</v>
      </c>
      <c r="H706" t="s">
        <v>2519</v>
      </c>
      <c r="I706" t="s">
        <v>3784</v>
      </c>
    </row>
    <row r="707" spans="1:9">
      <c r="A707" s="92" t="s">
        <v>4361</v>
      </c>
      <c r="B707" t="s">
        <v>1911</v>
      </c>
      <c r="C707" t="s">
        <v>2324</v>
      </c>
      <c r="D707" t="s">
        <v>2325</v>
      </c>
      <c r="G707" t="s">
        <v>4330</v>
      </c>
      <c r="I707" t="s">
        <v>3815</v>
      </c>
    </row>
    <row r="708" spans="1:9">
      <c r="A708" s="92" t="s">
        <v>4361</v>
      </c>
      <c r="B708" t="s">
        <v>1911</v>
      </c>
      <c r="C708" t="s">
        <v>2327</v>
      </c>
      <c r="D708" t="s">
        <v>2325</v>
      </c>
      <c r="G708" t="s">
        <v>4330</v>
      </c>
      <c r="I708" t="s">
        <v>3815</v>
      </c>
    </row>
    <row r="709" spans="1:9">
      <c r="A709" s="92" t="s">
        <v>4361</v>
      </c>
      <c r="B709" t="s">
        <v>1911</v>
      </c>
      <c r="C709" t="s">
        <v>2328</v>
      </c>
      <c r="D709" t="s">
        <v>2325</v>
      </c>
      <c r="E709" t="s">
        <v>2329</v>
      </c>
      <c r="F709" t="s">
        <v>2331</v>
      </c>
      <c r="G709" t="s">
        <v>4331</v>
      </c>
      <c r="I709" t="s">
        <v>3815</v>
      </c>
    </row>
    <row r="710" spans="1:9">
      <c r="A710" s="92" t="s">
        <v>4361</v>
      </c>
      <c r="B710" t="s">
        <v>1916</v>
      </c>
      <c r="C710" t="s">
        <v>2334</v>
      </c>
      <c r="D710" t="s">
        <v>2291</v>
      </c>
      <c r="E710" t="s">
        <v>2311</v>
      </c>
      <c r="F710" t="s">
        <v>2335</v>
      </c>
      <c r="G710" t="s">
        <v>4332</v>
      </c>
      <c r="I710" t="s">
        <v>3819</v>
      </c>
    </row>
    <row r="711" spans="1:9">
      <c r="A711" s="92" t="s">
        <v>4361</v>
      </c>
      <c r="B711" t="s">
        <v>1916</v>
      </c>
      <c r="C711" t="s">
        <v>2336</v>
      </c>
      <c r="D711" t="s">
        <v>2291</v>
      </c>
      <c r="E711" t="s">
        <v>552</v>
      </c>
      <c r="F711" t="s">
        <v>2337</v>
      </c>
      <c r="G711" t="s">
        <v>4333</v>
      </c>
      <c r="I711" t="s">
        <v>3819</v>
      </c>
    </row>
    <row r="712" spans="1:9">
      <c r="A712" s="92" t="s">
        <v>4361</v>
      </c>
      <c r="B712" t="s">
        <v>1920</v>
      </c>
      <c r="C712" t="s">
        <v>2341</v>
      </c>
      <c r="D712" t="s">
        <v>2342</v>
      </c>
      <c r="E712" t="s">
        <v>2343</v>
      </c>
      <c r="F712" t="s">
        <v>2344</v>
      </c>
      <c r="G712" t="s">
        <v>4325</v>
      </c>
      <c r="I712" t="s">
        <v>3827</v>
      </c>
    </row>
    <row r="713" spans="1:9">
      <c r="A713" s="92" t="s">
        <v>2195</v>
      </c>
      <c r="B713" t="s">
        <v>1875</v>
      </c>
      <c r="C713" t="s">
        <v>2247</v>
      </c>
      <c r="D713" t="s">
        <v>2248</v>
      </c>
      <c r="G713" t="s">
        <v>4325</v>
      </c>
      <c r="I713" t="s">
        <v>3756</v>
      </c>
    </row>
    <row r="714" spans="1:9">
      <c r="A714" s="92" t="s">
        <v>2195</v>
      </c>
      <c r="B714" t="s">
        <v>1875</v>
      </c>
      <c r="C714" t="s">
        <v>2252</v>
      </c>
      <c r="D714" t="s">
        <v>2248</v>
      </c>
      <c r="G714" t="s">
        <v>4325</v>
      </c>
      <c r="I714" t="s">
        <v>3756</v>
      </c>
    </row>
    <row r="715" spans="1:9">
      <c r="A715" s="92" t="s">
        <v>2195</v>
      </c>
      <c r="B715" t="s">
        <v>1878</v>
      </c>
      <c r="C715" t="s">
        <v>2254</v>
      </c>
      <c r="D715" t="s">
        <v>2248</v>
      </c>
      <c r="G715" t="s">
        <v>4326</v>
      </c>
      <c r="I715" t="s">
        <v>3760</v>
      </c>
    </row>
    <row r="716" spans="1:9">
      <c r="A716" s="92" t="s">
        <v>2195</v>
      </c>
      <c r="B716" t="s">
        <v>1878</v>
      </c>
      <c r="C716" t="s">
        <v>2256</v>
      </c>
      <c r="D716" t="s">
        <v>2257</v>
      </c>
      <c r="G716" t="s">
        <v>4325</v>
      </c>
      <c r="I716" t="s">
        <v>3760</v>
      </c>
    </row>
    <row r="717" spans="1:9">
      <c r="A717" s="92" t="s">
        <v>2195</v>
      </c>
      <c r="B717" t="s">
        <v>1878</v>
      </c>
      <c r="C717" t="s">
        <v>2258</v>
      </c>
      <c r="D717" t="s">
        <v>2257</v>
      </c>
      <c r="G717" t="s">
        <v>4325</v>
      </c>
      <c r="I717" t="s">
        <v>3760</v>
      </c>
    </row>
    <row r="718" spans="1:9">
      <c r="A718" s="92" t="s">
        <v>2195</v>
      </c>
      <c r="B718" t="s">
        <v>1878</v>
      </c>
      <c r="C718" t="s">
        <v>2259</v>
      </c>
      <c r="D718" t="s">
        <v>2248</v>
      </c>
      <c r="G718" t="s">
        <v>4326</v>
      </c>
      <c r="I718" t="s">
        <v>3760</v>
      </c>
    </row>
    <row r="719" spans="1:9">
      <c r="A719" s="92" t="s">
        <v>2195</v>
      </c>
      <c r="B719" t="s">
        <v>1878</v>
      </c>
      <c r="C719" t="s">
        <v>2260</v>
      </c>
      <c r="D719" t="s">
        <v>2257</v>
      </c>
      <c r="G719" t="s">
        <v>4325</v>
      </c>
      <c r="I719" t="s">
        <v>3760</v>
      </c>
    </row>
    <row r="720" spans="1:9">
      <c r="A720" s="92" t="s">
        <v>2195</v>
      </c>
      <c r="B720" t="s">
        <v>1878</v>
      </c>
      <c r="C720" t="s">
        <v>2261</v>
      </c>
      <c r="D720" t="s">
        <v>2248</v>
      </c>
      <c r="G720" t="s">
        <v>4325</v>
      </c>
      <c r="I720" t="s">
        <v>3760</v>
      </c>
    </row>
    <row r="721" spans="1:9">
      <c r="A721" s="92" t="s">
        <v>2195</v>
      </c>
      <c r="B721" t="s">
        <v>1878</v>
      </c>
      <c r="C721" t="s">
        <v>2262</v>
      </c>
      <c r="D721" t="s">
        <v>2248</v>
      </c>
      <c r="G721" t="s">
        <v>4326</v>
      </c>
      <c r="I721" t="s">
        <v>3760</v>
      </c>
    </row>
    <row r="722" spans="1:9">
      <c r="A722" s="92" t="s">
        <v>2195</v>
      </c>
      <c r="B722" t="s">
        <v>1878</v>
      </c>
      <c r="C722" t="s">
        <v>2263</v>
      </c>
      <c r="D722" t="s">
        <v>2248</v>
      </c>
      <c r="G722" t="s">
        <v>4326</v>
      </c>
      <c r="I722" t="s">
        <v>3760</v>
      </c>
    </row>
    <row r="723" spans="1:9">
      <c r="A723" s="92" t="s">
        <v>2195</v>
      </c>
      <c r="B723" t="s">
        <v>1878</v>
      </c>
      <c r="C723" t="s">
        <v>2264</v>
      </c>
      <c r="D723" t="s">
        <v>2248</v>
      </c>
      <c r="G723" t="s">
        <v>4326</v>
      </c>
      <c r="I723" t="s">
        <v>3760</v>
      </c>
    </row>
    <row r="724" spans="1:9">
      <c r="A724" s="92" t="s">
        <v>2195</v>
      </c>
      <c r="B724" t="s">
        <v>1878</v>
      </c>
      <c r="C724" t="s">
        <v>2265</v>
      </c>
      <c r="D724" t="s">
        <v>2257</v>
      </c>
      <c r="G724" t="s">
        <v>4326</v>
      </c>
      <c r="I724" t="s">
        <v>3760</v>
      </c>
    </row>
    <row r="725" spans="1:9">
      <c r="A725" s="92" t="s">
        <v>2195</v>
      </c>
      <c r="B725" t="s">
        <v>1884</v>
      </c>
      <c r="C725" t="s">
        <v>2267</v>
      </c>
      <c r="D725" t="s">
        <v>2248</v>
      </c>
      <c r="G725" t="s">
        <v>4325</v>
      </c>
      <c r="I725" t="s">
        <v>3768</v>
      </c>
    </row>
    <row r="726" spans="1:9">
      <c r="A726" s="92" t="s">
        <v>2195</v>
      </c>
      <c r="B726" t="s">
        <v>1890</v>
      </c>
      <c r="C726" t="s">
        <v>2269</v>
      </c>
      <c r="D726" t="s">
        <v>2248</v>
      </c>
      <c r="G726" t="s">
        <v>4325</v>
      </c>
      <c r="I726" t="s">
        <v>3776</v>
      </c>
    </row>
    <row r="727" spans="1:9">
      <c r="A727" s="92" t="s">
        <v>2195</v>
      </c>
      <c r="B727" t="s">
        <v>1890</v>
      </c>
      <c r="C727" t="s">
        <v>2270</v>
      </c>
      <c r="D727" t="s">
        <v>2248</v>
      </c>
      <c r="G727" t="s">
        <v>4325</v>
      </c>
      <c r="I727" t="s">
        <v>3776</v>
      </c>
    </row>
    <row r="728" spans="1:9">
      <c r="A728" s="92" t="s">
        <v>2195</v>
      </c>
      <c r="B728" t="s">
        <v>1890</v>
      </c>
      <c r="C728" t="s">
        <v>2271</v>
      </c>
      <c r="D728" t="s">
        <v>2248</v>
      </c>
      <c r="G728" t="s">
        <v>4325</v>
      </c>
      <c r="I728" t="s">
        <v>3776</v>
      </c>
    </row>
    <row r="729" spans="1:9">
      <c r="A729" s="92" t="s">
        <v>2195</v>
      </c>
      <c r="B729" t="s">
        <v>1890</v>
      </c>
      <c r="C729" t="s">
        <v>2272</v>
      </c>
      <c r="D729" t="s">
        <v>2248</v>
      </c>
      <c r="G729" t="s">
        <v>4325</v>
      </c>
      <c r="I729" t="s">
        <v>3776</v>
      </c>
    </row>
    <row r="730" spans="1:9">
      <c r="A730" s="92" t="s">
        <v>2195</v>
      </c>
      <c r="B730" t="s">
        <v>1890</v>
      </c>
      <c r="C730" t="s">
        <v>2273</v>
      </c>
      <c r="D730" t="s">
        <v>2248</v>
      </c>
      <c r="G730" t="s">
        <v>4325</v>
      </c>
      <c r="I730" t="s">
        <v>3776</v>
      </c>
    </row>
    <row r="731" spans="1:9">
      <c r="A731" s="92" t="s">
        <v>2195</v>
      </c>
      <c r="B731" t="s">
        <v>1890</v>
      </c>
      <c r="C731" t="s">
        <v>2274</v>
      </c>
      <c r="D731" t="s">
        <v>2248</v>
      </c>
      <c r="G731" t="s">
        <v>4325</v>
      </c>
      <c r="I731" t="s">
        <v>3776</v>
      </c>
    </row>
    <row r="732" spans="1:9">
      <c r="A732" s="92" t="s">
        <v>2195</v>
      </c>
      <c r="B732" t="s">
        <v>1890</v>
      </c>
      <c r="C732" t="s">
        <v>2275</v>
      </c>
      <c r="D732" t="s">
        <v>2248</v>
      </c>
      <c r="G732" t="s">
        <v>4325</v>
      </c>
      <c r="I732" t="s">
        <v>3776</v>
      </c>
    </row>
    <row r="733" spans="1:9">
      <c r="A733" s="92" t="s">
        <v>2195</v>
      </c>
      <c r="B733" t="s">
        <v>1890</v>
      </c>
      <c r="C733" t="s">
        <v>2276</v>
      </c>
      <c r="D733" t="s">
        <v>2248</v>
      </c>
      <c r="G733" t="s">
        <v>4325</v>
      </c>
      <c r="I733" t="s">
        <v>3776</v>
      </c>
    </row>
    <row r="734" spans="1:9">
      <c r="A734" s="92" t="s">
        <v>2195</v>
      </c>
      <c r="B734" t="s">
        <v>1892</v>
      </c>
      <c r="C734" t="s">
        <v>2278</v>
      </c>
      <c r="D734" t="s">
        <v>2279</v>
      </c>
      <c r="G734" t="s">
        <v>4327</v>
      </c>
      <c r="I734" t="s">
        <v>3780</v>
      </c>
    </row>
    <row r="735" spans="1:9">
      <c r="A735" s="92" t="s">
        <v>2195</v>
      </c>
      <c r="B735" t="s">
        <v>1892</v>
      </c>
      <c r="C735" t="s">
        <v>2281</v>
      </c>
      <c r="D735" t="s">
        <v>2248</v>
      </c>
      <c r="G735" t="s">
        <v>4325</v>
      </c>
      <c r="I735" t="s">
        <v>3780</v>
      </c>
    </row>
    <row r="736" spans="1:9">
      <c r="A736" s="92" t="s">
        <v>2195</v>
      </c>
      <c r="B736" t="s">
        <v>1894</v>
      </c>
      <c r="C736" t="s">
        <v>2355</v>
      </c>
      <c r="D736" t="s">
        <v>2356</v>
      </c>
      <c r="E736" t="s">
        <v>1565</v>
      </c>
      <c r="F736" t="s">
        <v>2358</v>
      </c>
      <c r="G736" t="s">
        <v>4363</v>
      </c>
      <c r="H736" t="s">
        <v>552</v>
      </c>
      <c r="I736" t="s">
        <v>3787</v>
      </c>
    </row>
    <row r="737" spans="1:9">
      <c r="A737" s="92" t="s">
        <v>2195</v>
      </c>
      <c r="B737" t="s">
        <v>1895</v>
      </c>
      <c r="C737" t="s">
        <v>2290</v>
      </c>
      <c r="D737" t="s">
        <v>2291</v>
      </c>
      <c r="E737" t="s">
        <v>2292</v>
      </c>
      <c r="G737" t="s">
        <v>4364</v>
      </c>
      <c r="H737" t="s">
        <v>2360</v>
      </c>
      <c r="I737" t="s">
        <v>3791</v>
      </c>
    </row>
    <row r="738" spans="1:9">
      <c r="A738" s="92" t="s">
        <v>2195</v>
      </c>
      <c r="B738" t="s">
        <v>1901</v>
      </c>
      <c r="C738" t="s">
        <v>2369</v>
      </c>
      <c r="E738" t="s">
        <v>552</v>
      </c>
      <c r="F738" t="s">
        <v>2370</v>
      </c>
      <c r="G738" t="s">
        <v>4363</v>
      </c>
      <c r="H738" t="s">
        <v>552</v>
      </c>
      <c r="I738" t="s">
        <v>3799</v>
      </c>
    </row>
    <row r="739" spans="1:9">
      <c r="A739" s="92" t="s">
        <v>2195</v>
      </c>
      <c r="B739" t="s">
        <v>1903</v>
      </c>
      <c r="C739" t="s">
        <v>2295</v>
      </c>
      <c r="D739" t="s">
        <v>2296</v>
      </c>
      <c r="E739" t="s">
        <v>2297</v>
      </c>
      <c r="G739" t="s">
        <v>4364</v>
      </c>
      <c r="H739" t="s">
        <v>2360</v>
      </c>
      <c r="I739" t="s">
        <v>3803</v>
      </c>
    </row>
    <row r="740" spans="1:9">
      <c r="A740" s="92" t="s">
        <v>2195</v>
      </c>
      <c r="B740" t="s">
        <v>1903</v>
      </c>
      <c r="C740" t="s">
        <v>2298</v>
      </c>
      <c r="D740" t="s">
        <v>2296</v>
      </c>
      <c r="E740" t="s">
        <v>2292</v>
      </c>
      <c r="G740" t="s">
        <v>4364</v>
      </c>
      <c r="H740" t="s">
        <v>2360</v>
      </c>
      <c r="I740" t="s">
        <v>3803</v>
      </c>
    </row>
    <row r="741" spans="1:9">
      <c r="A741" s="92" t="s">
        <v>2195</v>
      </c>
      <c r="B741" t="s">
        <v>1903</v>
      </c>
      <c r="C741" t="s">
        <v>2299</v>
      </c>
      <c r="D741" t="s">
        <v>2296</v>
      </c>
      <c r="E741" t="s">
        <v>2292</v>
      </c>
      <c r="G741" t="s">
        <v>4364</v>
      </c>
      <c r="H741" t="s">
        <v>2360</v>
      </c>
      <c r="I741" t="s">
        <v>3803</v>
      </c>
    </row>
    <row r="742" spans="1:9">
      <c r="A742" s="92" t="s">
        <v>2195</v>
      </c>
      <c r="B742" t="s">
        <v>1903</v>
      </c>
      <c r="C742" t="s">
        <v>2300</v>
      </c>
      <c r="D742" t="s">
        <v>2301</v>
      </c>
      <c r="E742" t="s">
        <v>2292</v>
      </c>
      <c r="G742" t="s">
        <v>4364</v>
      </c>
      <c r="H742" t="s">
        <v>2360</v>
      </c>
      <c r="I742" t="s">
        <v>3803</v>
      </c>
    </row>
    <row r="743" spans="1:9">
      <c r="A743" s="92" t="s">
        <v>2195</v>
      </c>
      <c r="B743" t="s">
        <v>1903</v>
      </c>
      <c r="C743" t="s">
        <v>2302</v>
      </c>
      <c r="E743" t="s">
        <v>2292</v>
      </c>
      <c r="G743" t="s">
        <v>4364</v>
      </c>
      <c r="H743" t="s">
        <v>2360</v>
      </c>
      <c r="I743" t="s">
        <v>3803</v>
      </c>
    </row>
    <row r="744" spans="1:9">
      <c r="A744" s="92" t="s">
        <v>2195</v>
      </c>
      <c r="B744" t="s">
        <v>1903</v>
      </c>
      <c r="C744" t="s">
        <v>2303</v>
      </c>
      <c r="E744" t="s">
        <v>2292</v>
      </c>
      <c r="G744" t="s">
        <v>4364</v>
      </c>
      <c r="H744" t="s">
        <v>2360</v>
      </c>
      <c r="I744" t="s">
        <v>3803</v>
      </c>
    </row>
    <row r="745" spans="1:9">
      <c r="A745" s="92" t="s">
        <v>2195</v>
      </c>
      <c r="B745" t="s">
        <v>1903</v>
      </c>
      <c r="C745" t="s">
        <v>2304</v>
      </c>
      <c r="E745" t="s">
        <v>2292</v>
      </c>
      <c r="G745" t="s">
        <v>4364</v>
      </c>
      <c r="H745" t="s">
        <v>2360</v>
      </c>
      <c r="I745" t="s">
        <v>3803</v>
      </c>
    </row>
    <row r="746" spans="1:9">
      <c r="A746" s="92" t="s">
        <v>2195</v>
      </c>
      <c r="B746" t="s">
        <v>1905</v>
      </c>
      <c r="C746" t="s">
        <v>2310</v>
      </c>
      <c r="D746" t="s">
        <v>2291</v>
      </c>
      <c r="E746" t="s">
        <v>2311</v>
      </c>
      <c r="G746" t="s">
        <v>4364</v>
      </c>
      <c r="H746" t="s">
        <v>2373</v>
      </c>
      <c r="I746" t="s">
        <v>3805</v>
      </c>
    </row>
    <row r="747" spans="1:9">
      <c r="A747" s="92" t="s">
        <v>2195</v>
      </c>
      <c r="B747" t="s">
        <v>1905</v>
      </c>
      <c r="C747" t="s">
        <v>2313</v>
      </c>
      <c r="D747" t="s">
        <v>2291</v>
      </c>
      <c r="E747" t="s">
        <v>2292</v>
      </c>
      <c r="G747" t="s">
        <v>4364</v>
      </c>
      <c r="H747" t="s">
        <v>2360</v>
      </c>
      <c r="I747" t="s">
        <v>3805</v>
      </c>
    </row>
    <row r="748" spans="1:9">
      <c r="A748" s="92" t="s">
        <v>2195</v>
      </c>
      <c r="B748" t="s">
        <v>1905</v>
      </c>
      <c r="C748" t="s">
        <v>2314</v>
      </c>
      <c r="D748" t="s">
        <v>2291</v>
      </c>
      <c r="E748" t="s">
        <v>2292</v>
      </c>
      <c r="G748" t="s">
        <v>4364</v>
      </c>
      <c r="H748" t="s">
        <v>2360</v>
      </c>
      <c r="I748" t="s">
        <v>3805</v>
      </c>
    </row>
    <row r="749" spans="1:9">
      <c r="A749" s="92" t="s">
        <v>2195</v>
      </c>
      <c r="B749" t="s">
        <v>1908</v>
      </c>
      <c r="C749" t="s">
        <v>2375</v>
      </c>
      <c r="E749" t="s">
        <v>2376</v>
      </c>
      <c r="G749" t="s">
        <v>4363</v>
      </c>
      <c r="H749" t="s">
        <v>552</v>
      </c>
      <c r="I749" t="s">
        <v>3807</v>
      </c>
    </row>
    <row r="750" spans="1:9">
      <c r="A750" s="92" t="s">
        <v>2195</v>
      </c>
      <c r="B750" t="s">
        <v>1908</v>
      </c>
      <c r="C750" t="s">
        <v>2316</v>
      </c>
      <c r="D750" t="s">
        <v>2291</v>
      </c>
      <c r="E750" t="s">
        <v>2292</v>
      </c>
      <c r="G750" t="s">
        <v>4364</v>
      </c>
      <c r="H750" t="s">
        <v>2360</v>
      </c>
      <c r="I750" t="s">
        <v>3807</v>
      </c>
    </row>
    <row r="751" spans="1:9">
      <c r="A751" s="92" t="s">
        <v>2195</v>
      </c>
      <c r="B751" t="s">
        <v>1911</v>
      </c>
      <c r="C751" t="s">
        <v>2378</v>
      </c>
      <c r="D751" t="s">
        <v>2379</v>
      </c>
      <c r="E751" t="s">
        <v>552</v>
      </c>
      <c r="F751" t="s">
        <v>2380</v>
      </c>
      <c r="G751" t="s">
        <v>4363</v>
      </c>
      <c r="H751" t="s">
        <v>552</v>
      </c>
      <c r="I751" t="s">
        <v>3815</v>
      </c>
    </row>
    <row r="752" spans="1:9">
      <c r="A752" s="92" t="s">
        <v>2195</v>
      </c>
      <c r="B752" t="s">
        <v>1911</v>
      </c>
      <c r="C752" t="s">
        <v>2381</v>
      </c>
      <c r="D752" t="s">
        <v>2382</v>
      </c>
      <c r="E752" t="s">
        <v>2383</v>
      </c>
      <c r="F752" t="s">
        <v>2384</v>
      </c>
      <c r="G752" t="s">
        <v>4365</v>
      </c>
      <c r="H752" t="s">
        <v>552</v>
      </c>
      <c r="I752" t="s">
        <v>3815</v>
      </c>
    </row>
    <row r="753" spans="1:9">
      <c r="A753" s="92" t="s">
        <v>2195</v>
      </c>
      <c r="B753" t="s">
        <v>1911</v>
      </c>
      <c r="C753" t="s">
        <v>2324</v>
      </c>
      <c r="D753" t="s">
        <v>2325</v>
      </c>
      <c r="G753" t="s">
        <v>4330</v>
      </c>
      <c r="I753" t="s">
        <v>3815</v>
      </c>
    </row>
    <row r="754" spans="1:9">
      <c r="A754" s="92" t="s">
        <v>2195</v>
      </c>
      <c r="B754" t="s">
        <v>1911</v>
      </c>
      <c r="C754" t="s">
        <v>2327</v>
      </c>
      <c r="D754" t="s">
        <v>2325</v>
      </c>
      <c r="G754" t="s">
        <v>4330</v>
      </c>
      <c r="I754" t="s">
        <v>3815</v>
      </c>
    </row>
    <row r="755" spans="1:9">
      <c r="A755" s="92" t="s">
        <v>2195</v>
      </c>
      <c r="B755" t="s">
        <v>1911</v>
      </c>
      <c r="C755" t="s">
        <v>2328</v>
      </c>
      <c r="D755" t="s">
        <v>2325</v>
      </c>
      <c r="E755" t="s">
        <v>2329</v>
      </c>
      <c r="F755" t="s">
        <v>2331</v>
      </c>
      <c r="G755" t="s">
        <v>4331</v>
      </c>
      <c r="I755" t="s">
        <v>3815</v>
      </c>
    </row>
    <row r="756" spans="1:9">
      <c r="A756" s="92" t="s">
        <v>2195</v>
      </c>
      <c r="B756" t="s">
        <v>1916</v>
      </c>
      <c r="C756" t="s">
        <v>2334</v>
      </c>
      <c r="D756" t="s">
        <v>2291</v>
      </c>
      <c r="E756" t="s">
        <v>2311</v>
      </c>
      <c r="F756" t="s">
        <v>2335</v>
      </c>
      <c r="G756" t="s">
        <v>4332</v>
      </c>
      <c r="I756" t="s">
        <v>3819</v>
      </c>
    </row>
    <row r="757" spans="1:9">
      <c r="A757" s="92" t="s">
        <v>2195</v>
      </c>
      <c r="B757" t="s">
        <v>1916</v>
      </c>
      <c r="C757" t="s">
        <v>2334</v>
      </c>
      <c r="D757" t="s">
        <v>2291</v>
      </c>
      <c r="E757" t="s">
        <v>2311</v>
      </c>
      <c r="F757" t="s">
        <v>2335</v>
      </c>
      <c r="G757" t="s">
        <v>4364</v>
      </c>
      <c r="H757" t="s">
        <v>2373</v>
      </c>
      <c r="I757" t="s">
        <v>3819</v>
      </c>
    </row>
    <row r="758" spans="1:9">
      <c r="A758" s="92" t="s">
        <v>2195</v>
      </c>
      <c r="B758" t="s">
        <v>1916</v>
      </c>
      <c r="C758" t="s">
        <v>2336</v>
      </c>
      <c r="D758" t="s">
        <v>2291</v>
      </c>
      <c r="E758" t="s">
        <v>552</v>
      </c>
      <c r="F758" t="s">
        <v>2337</v>
      </c>
      <c r="G758" t="s">
        <v>4333</v>
      </c>
      <c r="I758" t="s">
        <v>3819</v>
      </c>
    </row>
    <row r="759" spans="1:9">
      <c r="A759" s="92" t="s">
        <v>2195</v>
      </c>
      <c r="B759" t="s">
        <v>1916</v>
      </c>
      <c r="C759" t="s">
        <v>2336</v>
      </c>
      <c r="D759" t="s">
        <v>2291</v>
      </c>
      <c r="E759" t="s">
        <v>552</v>
      </c>
      <c r="F759" t="s">
        <v>2337</v>
      </c>
      <c r="G759" t="s">
        <v>4363</v>
      </c>
      <c r="H759" t="s">
        <v>552</v>
      </c>
      <c r="I759" t="s">
        <v>3819</v>
      </c>
    </row>
    <row r="760" spans="1:9">
      <c r="A760" s="92" t="s">
        <v>2195</v>
      </c>
      <c r="B760" t="s">
        <v>1916</v>
      </c>
      <c r="C760" t="s">
        <v>2386</v>
      </c>
      <c r="D760" t="s">
        <v>2291</v>
      </c>
      <c r="E760" t="s">
        <v>552</v>
      </c>
      <c r="F760" t="s">
        <v>2387</v>
      </c>
      <c r="G760" t="s">
        <v>4363</v>
      </c>
      <c r="H760" t="s">
        <v>552</v>
      </c>
      <c r="I760" t="s">
        <v>3819</v>
      </c>
    </row>
    <row r="761" spans="1:9">
      <c r="A761" s="92" t="s">
        <v>2195</v>
      </c>
      <c r="B761" t="s">
        <v>1918</v>
      </c>
      <c r="C761" t="s">
        <v>2389</v>
      </c>
      <c r="E761" t="s">
        <v>552</v>
      </c>
      <c r="G761" t="s">
        <v>4363</v>
      </c>
      <c r="H761" t="s">
        <v>552</v>
      </c>
      <c r="I761" t="s">
        <v>3823</v>
      </c>
    </row>
    <row r="762" spans="1:9">
      <c r="A762" s="92" t="s">
        <v>2195</v>
      </c>
      <c r="B762" t="s">
        <v>1920</v>
      </c>
      <c r="C762" t="s">
        <v>2341</v>
      </c>
      <c r="D762" t="s">
        <v>2342</v>
      </c>
      <c r="E762" t="s">
        <v>2343</v>
      </c>
      <c r="F762" t="s">
        <v>2344</v>
      </c>
      <c r="G762" t="s">
        <v>4325</v>
      </c>
      <c r="I762" t="s">
        <v>3827</v>
      </c>
    </row>
    <row r="763" spans="1:9">
      <c r="A763" s="92" t="s">
        <v>2195</v>
      </c>
      <c r="B763" t="s">
        <v>1920</v>
      </c>
      <c r="C763" t="s">
        <v>2348</v>
      </c>
      <c r="E763" t="s">
        <v>2292</v>
      </c>
      <c r="G763" t="s">
        <v>4364</v>
      </c>
      <c r="H763" t="s">
        <v>2360</v>
      </c>
      <c r="I763" t="s">
        <v>3827</v>
      </c>
    </row>
    <row r="764" spans="1:9">
      <c r="A764" s="92" t="s">
        <v>4366</v>
      </c>
      <c r="B764" t="s">
        <v>1875</v>
      </c>
      <c r="C764" t="s">
        <v>2291</v>
      </c>
      <c r="D764" t="s">
        <v>2291</v>
      </c>
      <c r="E764" t="s">
        <v>2292</v>
      </c>
      <c r="F764" t="s">
        <v>2573</v>
      </c>
      <c r="G764" t="s">
        <v>4367</v>
      </c>
      <c r="H764" t="s">
        <v>2293</v>
      </c>
      <c r="I764" t="s">
        <v>3756</v>
      </c>
    </row>
    <row r="765" spans="1:9">
      <c r="A765" s="92" t="s">
        <v>4366</v>
      </c>
      <c r="B765" t="s">
        <v>1875</v>
      </c>
      <c r="C765" t="s">
        <v>2247</v>
      </c>
      <c r="D765" t="s">
        <v>2248</v>
      </c>
      <c r="G765" t="s">
        <v>4325</v>
      </c>
      <c r="I765" t="s">
        <v>3756</v>
      </c>
    </row>
    <row r="766" spans="1:9">
      <c r="A766" s="92" t="s">
        <v>4366</v>
      </c>
      <c r="B766" t="s">
        <v>1875</v>
      </c>
      <c r="C766" t="s">
        <v>2252</v>
      </c>
      <c r="D766" t="s">
        <v>2248</v>
      </c>
      <c r="G766" t="s">
        <v>4325</v>
      </c>
      <c r="I766" t="s">
        <v>3756</v>
      </c>
    </row>
    <row r="767" spans="1:9">
      <c r="A767" s="92" t="s">
        <v>4366</v>
      </c>
      <c r="B767" t="s">
        <v>1878</v>
      </c>
      <c r="C767" t="s">
        <v>2254</v>
      </c>
      <c r="D767" t="s">
        <v>2248</v>
      </c>
      <c r="G767" t="s">
        <v>4326</v>
      </c>
      <c r="I767" t="s">
        <v>3760</v>
      </c>
    </row>
    <row r="768" spans="1:9">
      <c r="A768" s="92" t="s">
        <v>4366</v>
      </c>
      <c r="B768" t="s">
        <v>1878</v>
      </c>
      <c r="C768" t="s">
        <v>2256</v>
      </c>
      <c r="D768" t="s">
        <v>2257</v>
      </c>
      <c r="G768" t="s">
        <v>4325</v>
      </c>
      <c r="I768" t="s">
        <v>3760</v>
      </c>
    </row>
    <row r="769" spans="1:9">
      <c r="A769" s="92" t="s">
        <v>4366</v>
      </c>
      <c r="B769" t="s">
        <v>1878</v>
      </c>
      <c r="C769" t="s">
        <v>2258</v>
      </c>
      <c r="D769" t="s">
        <v>2257</v>
      </c>
      <c r="G769" t="s">
        <v>4325</v>
      </c>
      <c r="I769" t="s">
        <v>3760</v>
      </c>
    </row>
    <row r="770" spans="1:9">
      <c r="A770" s="92" t="s">
        <v>4366</v>
      </c>
      <c r="B770" t="s">
        <v>1878</v>
      </c>
      <c r="C770" t="s">
        <v>2259</v>
      </c>
      <c r="D770" t="s">
        <v>2248</v>
      </c>
      <c r="G770" t="s">
        <v>4326</v>
      </c>
      <c r="I770" t="s">
        <v>3760</v>
      </c>
    </row>
    <row r="771" spans="1:9">
      <c r="A771" s="92" t="s">
        <v>4366</v>
      </c>
      <c r="B771" t="s">
        <v>1878</v>
      </c>
      <c r="C771" t="s">
        <v>2260</v>
      </c>
      <c r="D771" t="s">
        <v>2257</v>
      </c>
      <c r="G771" t="s">
        <v>4325</v>
      </c>
      <c r="I771" t="s">
        <v>3760</v>
      </c>
    </row>
    <row r="772" spans="1:9">
      <c r="A772" s="92" t="s">
        <v>4366</v>
      </c>
      <c r="B772" t="s">
        <v>1878</v>
      </c>
      <c r="C772" t="s">
        <v>2261</v>
      </c>
      <c r="D772" t="s">
        <v>2248</v>
      </c>
      <c r="G772" t="s">
        <v>4325</v>
      </c>
      <c r="I772" t="s">
        <v>3760</v>
      </c>
    </row>
    <row r="773" spans="1:9">
      <c r="A773" s="92" t="s">
        <v>4366</v>
      </c>
      <c r="B773" t="s">
        <v>1878</v>
      </c>
      <c r="C773" t="s">
        <v>2262</v>
      </c>
      <c r="D773" t="s">
        <v>2248</v>
      </c>
      <c r="G773" t="s">
        <v>4326</v>
      </c>
      <c r="I773" t="s">
        <v>3760</v>
      </c>
    </row>
    <row r="774" spans="1:9">
      <c r="A774" s="92" t="s">
        <v>4366</v>
      </c>
      <c r="B774" t="s">
        <v>1878</v>
      </c>
      <c r="C774" t="s">
        <v>2263</v>
      </c>
      <c r="D774" t="s">
        <v>2248</v>
      </c>
      <c r="G774" t="s">
        <v>4326</v>
      </c>
      <c r="I774" t="s">
        <v>3760</v>
      </c>
    </row>
    <row r="775" spans="1:9">
      <c r="A775" s="92" t="s">
        <v>4366</v>
      </c>
      <c r="B775" t="s">
        <v>1878</v>
      </c>
      <c r="C775" t="s">
        <v>2264</v>
      </c>
      <c r="D775" t="s">
        <v>2248</v>
      </c>
      <c r="G775" t="s">
        <v>4326</v>
      </c>
      <c r="I775" t="s">
        <v>3760</v>
      </c>
    </row>
    <row r="776" spans="1:9">
      <c r="A776" s="92" t="s">
        <v>4366</v>
      </c>
      <c r="B776" t="s">
        <v>1878</v>
      </c>
      <c r="C776" t="s">
        <v>2265</v>
      </c>
      <c r="D776" t="s">
        <v>2257</v>
      </c>
      <c r="G776" t="s">
        <v>4326</v>
      </c>
      <c r="I776" t="s">
        <v>3760</v>
      </c>
    </row>
    <row r="777" spans="1:9">
      <c r="A777" s="92" t="s">
        <v>4366</v>
      </c>
      <c r="B777" t="s">
        <v>1878</v>
      </c>
      <c r="C777" t="s">
        <v>2291</v>
      </c>
      <c r="D777" t="s">
        <v>2291</v>
      </c>
      <c r="E777" t="s">
        <v>2292</v>
      </c>
      <c r="F777" t="s">
        <v>2575</v>
      </c>
      <c r="G777" t="s">
        <v>4367</v>
      </c>
      <c r="H777" t="s">
        <v>2293</v>
      </c>
      <c r="I777" t="s">
        <v>3760</v>
      </c>
    </row>
    <row r="778" spans="1:9">
      <c r="A778" s="92" t="s">
        <v>4366</v>
      </c>
      <c r="B778" t="s">
        <v>1881</v>
      </c>
      <c r="C778" t="s">
        <v>2291</v>
      </c>
      <c r="D778" t="s">
        <v>2291</v>
      </c>
      <c r="E778" t="s">
        <v>2292</v>
      </c>
      <c r="F778" t="s">
        <v>2573</v>
      </c>
      <c r="G778" t="s">
        <v>4367</v>
      </c>
      <c r="H778" t="s">
        <v>2293</v>
      </c>
      <c r="I778" t="s">
        <v>3764</v>
      </c>
    </row>
    <row r="779" spans="1:9">
      <c r="A779" s="92" t="s">
        <v>4366</v>
      </c>
      <c r="B779" t="s">
        <v>1884</v>
      </c>
      <c r="C779" t="s">
        <v>2291</v>
      </c>
      <c r="D779" t="s">
        <v>2291</v>
      </c>
      <c r="E779" t="s">
        <v>2292</v>
      </c>
      <c r="F779" t="s">
        <v>2578</v>
      </c>
      <c r="G779" t="s">
        <v>4367</v>
      </c>
      <c r="H779" t="s">
        <v>2293</v>
      </c>
      <c r="I779" t="s">
        <v>3768</v>
      </c>
    </row>
    <row r="780" spans="1:9">
      <c r="A780" s="92" t="s">
        <v>4366</v>
      </c>
      <c r="B780" t="s">
        <v>1884</v>
      </c>
      <c r="C780" t="s">
        <v>2267</v>
      </c>
      <c r="D780" t="s">
        <v>2248</v>
      </c>
      <c r="G780" t="s">
        <v>4325</v>
      </c>
      <c r="I780" t="s">
        <v>3768</v>
      </c>
    </row>
    <row r="781" spans="1:9">
      <c r="A781" s="92" t="s">
        <v>4366</v>
      </c>
      <c r="B781" t="s">
        <v>1886</v>
      </c>
      <c r="C781" t="s">
        <v>2291</v>
      </c>
      <c r="D781" t="s">
        <v>2291</v>
      </c>
      <c r="E781" t="s">
        <v>2292</v>
      </c>
      <c r="F781" t="s">
        <v>2575</v>
      </c>
      <c r="G781" t="s">
        <v>4367</v>
      </c>
      <c r="H781" t="s">
        <v>2293</v>
      </c>
      <c r="I781" t="s">
        <v>3772</v>
      </c>
    </row>
    <row r="782" spans="1:9">
      <c r="A782" s="92" t="s">
        <v>4366</v>
      </c>
      <c r="B782" t="s">
        <v>1890</v>
      </c>
      <c r="C782" t="s">
        <v>2291</v>
      </c>
      <c r="D782" t="s">
        <v>2291</v>
      </c>
      <c r="E782" t="s">
        <v>2292</v>
      </c>
      <c r="F782" t="s">
        <v>2575</v>
      </c>
      <c r="G782" t="s">
        <v>4367</v>
      </c>
      <c r="H782" t="s">
        <v>2293</v>
      </c>
      <c r="I782" t="s">
        <v>3776</v>
      </c>
    </row>
    <row r="783" spans="1:9">
      <c r="A783" s="92" t="s">
        <v>4366</v>
      </c>
      <c r="B783" t="s">
        <v>1890</v>
      </c>
      <c r="C783" t="s">
        <v>2269</v>
      </c>
      <c r="D783" t="s">
        <v>2248</v>
      </c>
      <c r="G783" t="s">
        <v>4325</v>
      </c>
      <c r="I783" t="s">
        <v>3776</v>
      </c>
    </row>
    <row r="784" spans="1:9">
      <c r="A784" s="92" t="s">
        <v>4366</v>
      </c>
      <c r="B784" t="s">
        <v>1890</v>
      </c>
      <c r="C784" t="s">
        <v>2270</v>
      </c>
      <c r="D784" t="s">
        <v>2248</v>
      </c>
      <c r="G784" t="s">
        <v>4325</v>
      </c>
      <c r="I784" t="s">
        <v>3776</v>
      </c>
    </row>
    <row r="785" spans="1:9">
      <c r="A785" s="92" t="s">
        <v>4366</v>
      </c>
      <c r="B785" t="s">
        <v>1890</v>
      </c>
      <c r="C785" t="s">
        <v>2271</v>
      </c>
      <c r="D785" t="s">
        <v>2248</v>
      </c>
      <c r="G785" t="s">
        <v>4325</v>
      </c>
      <c r="I785" t="s">
        <v>3776</v>
      </c>
    </row>
    <row r="786" spans="1:9">
      <c r="A786" s="92" t="s">
        <v>4366</v>
      </c>
      <c r="B786" t="s">
        <v>1890</v>
      </c>
      <c r="C786" t="s">
        <v>2272</v>
      </c>
      <c r="D786" t="s">
        <v>2248</v>
      </c>
      <c r="G786" t="s">
        <v>4325</v>
      </c>
      <c r="I786" t="s">
        <v>3776</v>
      </c>
    </row>
    <row r="787" spans="1:9">
      <c r="A787" s="92" t="s">
        <v>4366</v>
      </c>
      <c r="B787" t="s">
        <v>1890</v>
      </c>
      <c r="C787" t="s">
        <v>2273</v>
      </c>
      <c r="D787" t="s">
        <v>2248</v>
      </c>
      <c r="G787" t="s">
        <v>4325</v>
      </c>
      <c r="I787" t="s">
        <v>3776</v>
      </c>
    </row>
    <row r="788" spans="1:9">
      <c r="A788" s="92" t="s">
        <v>4366</v>
      </c>
      <c r="B788" t="s">
        <v>1890</v>
      </c>
      <c r="C788" t="s">
        <v>2274</v>
      </c>
      <c r="D788" t="s">
        <v>2248</v>
      </c>
      <c r="G788" t="s">
        <v>4325</v>
      </c>
      <c r="I788" t="s">
        <v>3776</v>
      </c>
    </row>
    <row r="789" spans="1:9">
      <c r="A789" s="92" t="s">
        <v>4366</v>
      </c>
      <c r="B789" t="s">
        <v>1890</v>
      </c>
      <c r="C789" t="s">
        <v>2275</v>
      </c>
      <c r="D789" t="s">
        <v>2248</v>
      </c>
      <c r="G789" t="s">
        <v>4325</v>
      </c>
      <c r="I789" t="s">
        <v>3776</v>
      </c>
    </row>
    <row r="790" spans="1:9">
      <c r="A790" s="92" t="s">
        <v>4366</v>
      </c>
      <c r="B790" t="s">
        <v>1890</v>
      </c>
      <c r="C790" t="s">
        <v>2276</v>
      </c>
      <c r="D790" t="s">
        <v>2248</v>
      </c>
      <c r="G790" t="s">
        <v>4325</v>
      </c>
      <c r="I790" t="s">
        <v>3776</v>
      </c>
    </row>
    <row r="791" spans="1:9">
      <c r="A791" s="92" t="s">
        <v>4366</v>
      </c>
      <c r="B791" t="s">
        <v>1892</v>
      </c>
      <c r="C791" t="s">
        <v>2291</v>
      </c>
      <c r="D791" t="s">
        <v>2291</v>
      </c>
      <c r="E791" t="s">
        <v>2292</v>
      </c>
      <c r="F791" t="s">
        <v>2575</v>
      </c>
      <c r="G791" t="s">
        <v>4367</v>
      </c>
      <c r="H791" t="s">
        <v>2293</v>
      </c>
      <c r="I791" t="s">
        <v>3780</v>
      </c>
    </row>
    <row r="792" spans="1:9">
      <c r="A792" s="92" t="s">
        <v>4366</v>
      </c>
      <c r="B792" t="s">
        <v>1892</v>
      </c>
      <c r="C792" t="s">
        <v>2278</v>
      </c>
      <c r="D792" t="s">
        <v>2279</v>
      </c>
      <c r="G792" t="s">
        <v>4327</v>
      </c>
      <c r="I792" t="s">
        <v>3780</v>
      </c>
    </row>
    <row r="793" spans="1:9">
      <c r="A793" s="92" t="s">
        <v>4366</v>
      </c>
      <c r="B793" t="s">
        <v>1892</v>
      </c>
      <c r="C793" t="s">
        <v>2281</v>
      </c>
      <c r="D793" t="s">
        <v>2248</v>
      </c>
      <c r="G793" t="s">
        <v>4325</v>
      </c>
      <c r="I793" t="s">
        <v>3780</v>
      </c>
    </row>
    <row r="794" spans="1:9">
      <c r="A794" s="92" t="s">
        <v>4366</v>
      </c>
      <c r="B794" t="s">
        <v>1893</v>
      </c>
      <c r="C794" t="s">
        <v>2291</v>
      </c>
      <c r="D794" t="s">
        <v>2291</v>
      </c>
      <c r="E794" t="s">
        <v>2292</v>
      </c>
      <c r="F794" t="s">
        <v>2575</v>
      </c>
      <c r="G794" t="s">
        <v>4367</v>
      </c>
      <c r="H794" t="s">
        <v>2293</v>
      </c>
      <c r="I794" t="s">
        <v>3784</v>
      </c>
    </row>
    <row r="795" spans="1:9">
      <c r="A795" s="92" t="s">
        <v>4366</v>
      </c>
      <c r="B795" t="s">
        <v>1894</v>
      </c>
      <c r="C795" t="s">
        <v>2283</v>
      </c>
      <c r="D795" t="s">
        <v>2284</v>
      </c>
      <c r="E795" t="s">
        <v>2285</v>
      </c>
      <c r="F795" t="s">
        <v>2288</v>
      </c>
      <c r="G795" t="s">
        <v>4367</v>
      </c>
      <c r="H795" t="s">
        <v>2287</v>
      </c>
      <c r="I795" t="s">
        <v>3787</v>
      </c>
    </row>
    <row r="796" spans="1:9">
      <c r="A796" s="92" t="s">
        <v>4366</v>
      </c>
      <c r="B796" t="s">
        <v>1895</v>
      </c>
      <c r="C796" t="s">
        <v>2290</v>
      </c>
      <c r="D796" t="s">
        <v>2291</v>
      </c>
      <c r="E796" t="s">
        <v>2292</v>
      </c>
      <c r="G796" t="s">
        <v>4367</v>
      </c>
      <c r="H796" t="s">
        <v>2293</v>
      </c>
      <c r="I796" t="s">
        <v>3791</v>
      </c>
    </row>
    <row r="797" spans="1:9">
      <c r="A797" s="92" t="s">
        <v>4366</v>
      </c>
      <c r="B797" t="s">
        <v>1903</v>
      </c>
      <c r="C797" t="s">
        <v>2295</v>
      </c>
      <c r="D797" t="s">
        <v>2296</v>
      </c>
      <c r="E797" t="s">
        <v>2297</v>
      </c>
      <c r="G797" t="s">
        <v>4367</v>
      </c>
      <c r="H797" t="s">
        <v>2293</v>
      </c>
      <c r="I797" t="s">
        <v>3803</v>
      </c>
    </row>
    <row r="798" spans="1:9">
      <c r="A798" s="92" t="s">
        <v>4366</v>
      </c>
      <c r="B798" t="s">
        <v>1903</v>
      </c>
      <c r="C798" t="s">
        <v>2298</v>
      </c>
      <c r="D798" t="s">
        <v>2296</v>
      </c>
      <c r="E798" t="s">
        <v>2292</v>
      </c>
      <c r="G798" t="s">
        <v>4367</v>
      </c>
      <c r="H798" t="s">
        <v>2293</v>
      </c>
      <c r="I798" t="s">
        <v>3803</v>
      </c>
    </row>
    <row r="799" spans="1:9">
      <c r="A799" s="92" t="s">
        <v>4366</v>
      </c>
      <c r="B799" t="s">
        <v>1903</v>
      </c>
      <c r="C799" t="s">
        <v>2299</v>
      </c>
      <c r="D799" t="s">
        <v>2296</v>
      </c>
      <c r="E799" t="s">
        <v>2292</v>
      </c>
      <c r="G799" t="s">
        <v>4367</v>
      </c>
      <c r="H799" t="s">
        <v>2293</v>
      </c>
      <c r="I799" t="s">
        <v>3803</v>
      </c>
    </row>
    <row r="800" spans="1:9">
      <c r="A800" s="92" t="s">
        <v>4366</v>
      </c>
      <c r="B800" t="s">
        <v>1903</v>
      </c>
      <c r="C800" t="s">
        <v>2300</v>
      </c>
      <c r="D800" t="s">
        <v>2301</v>
      </c>
      <c r="E800" t="s">
        <v>2292</v>
      </c>
      <c r="G800" t="s">
        <v>4367</v>
      </c>
      <c r="H800" t="s">
        <v>2293</v>
      </c>
      <c r="I800" t="s">
        <v>3803</v>
      </c>
    </row>
    <row r="801" spans="1:9">
      <c r="A801" s="92" t="s">
        <v>4366</v>
      </c>
      <c r="B801" t="s">
        <v>1903</v>
      </c>
      <c r="C801" t="s">
        <v>2302</v>
      </c>
      <c r="E801" t="s">
        <v>2292</v>
      </c>
      <c r="G801" t="s">
        <v>4367</v>
      </c>
      <c r="H801" t="s">
        <v>2293</v>
      </c>
      <c r="I801" t="s">
        <v>3803</v>
      </c>
    </row>
    <row r="802" spans="1:9">
      <c r="A802" s="92" t="s">
        <v>4366</v>
      </c>
      <c r="B802" t="s">
        <v>1903</v>
      </c>
      <c r="C802" t="s">
        <v>2303</v>
      </c>
      <c r="E802" t="s">
        <v>2292</v>
      </c>
      <c r="G802" t="s">
        <v>4367</v>
      </c>
      <c r="H802" t="s">
        <v>2293</v>
      </c>
      <c r="I802" t="s">
        <v>3803</v>
      </c>
    </row>
    <row r="803" spans="1:9">
      <c r="A803" s="92" t="s">
        <v>4366</v>
      </c>
      <c r="B803" t="s">
        <v>1903</v>
      </c>
      <c r="C803" t="s">
        <v>2304</v>
      </c>
      <c r="E803" t="s">
        <v>2292</v>
      </c>
      <c r="G803" t="s">
        <v>4367</v>
      </c>
      <c r="H803" t="s">
        <v>2293</v>
      </c>
      <c r="I803" t="s">
        <v>3803</v>
      </c>
    </row>
    <row r="804" spans="1:9">
      <c r="A804" s="92" t="s">
        <v>4366</v>
      </c>
      <c r="B804" t="s">
        <v>1905</v>
      </c>
      <c r="C804" t="s">
        <v>2310</v>
      </c>
      <c r="D804" t="s">
        <v>2291</v>
      </c>
      <c r="E804" t="s">
        <v>2311</v>
      </c>
      <c r="G804" t="s">
        <v>4367</v>
      </c>
      <c r="H804" t="s">
        <v>2312</v>
      </c>
      <c r="I804" t="s">
        <v>3805</v>
      </c>
    </row>
    <row r="805" spans="1:9">
      <c r="A805" s="92" t="s">
        <v>4366</v>
      </c>
      <c r="B805" t="s">
        <v>1905</v>
      </c>
      <c r="C805" t="s">
        <v>2313</v>
      </c>
      <c r="D805" t="s">
        <v>2291</v>
      </c>
      <c r="E805" t="s">
        <v>2292</v>
      </c>
      <c r="G805" t="s">
        <v>4367</v>
      </c>
      <c r="H805" t="s">
        <v>2293</v>
      </c>
      <c r="I805" t="s">
        <v>3805</v>
      </c>
    </row>
    <row r="806" spans="1:9">
      <c r="A806" s="92" t="s">
        <v>4366</v>
      </c>
      <c r="B806" t="s">
        <v>1905</v>
      </c>
      <c r="C806" t="s">
        <v>2314</v>
      </c>
      <c r="D806" t="s">
        <v>2291</v>
      </c>
      <c r="E806" t="s">
        <v>2292</v>
      </c>
      <c r="G806" t="s">
        <v>4367</v>
      </c>
      <c r="H806" t="s">
        <v>2293</v>
      </c>
      <c r="I806" t="s">
        <v>3805</v>
      </c>
    </row>
    <row r="807" spans="1:9">
      <c r="A807" s="92" t="s">
        <v>4366</v>
      </c>
      <c r="B807" t="s">
        <v>1908</v>
      </c>
      <c r="C807" t="s">
        <v>2316</v>
      </c>
      <c r="D807" t="s">
        <v>2291</v>
      </c>
      <c r="E807" t="s">
        <v>2292</v>
      </c>
      <c r="G807" t="s">
        <v>4367</v>
      </c>
      <c r="H807" t="s">
        <v>2293</v>
      </c>
      <c r="I807" t="s">
        <v>3807</v>
      </c>
    </row>
    <row r="808" spans="1:9">
      <c r="A808" s="92" t="s">
        <v>4366</v>
      </c>
      <c r="B808" t="s">
        <v>1911</v>
      </c>
      <c r="C808" t="s">
        <v>2381</v>
      </c>
      <c r="D808" t="s">
        <v>2382</v>
      </c>
      <c r="E808" t="s">
        <v>2383</v>
      </c>
      <c r="F808" t="s">
        <v>2384</v>
      </c>
      <c r="G808" t="s">
        <v>4368</v>
      </c>
      <c r="H808" t="s">
        <v>2663</v>
      </c>
      <c r="I808" t="s">
        <v>3815</v>
      </c>
    </row>
    <row r="809" spans="1:9">
      <c r="A809" s="92" t="s">
        <v>4366</v>
      </c>
      <c r="B809" t="s">
        <v>1911</v>
      </c>
      <c r="C809" t="s">
        <v>2318</v>
      </c>
      <c r="D809" t="s">
        <v>2319</v>
      </c>
      <c r="E809" t="s">
        <v>2285</v>
      </c>
      <c r="F809" t="s">
        <v>2320</v>
      </c>
      <c r="G809" t="s">
        <v>4367</v>
      </c>
      <c r="H809" t="s">
        <v>2287</v>
      </c>
      <c r="I809" t="s">
        <v>3815</v>
      </c>
    </row>
    <row r="810" spans="1:9">
      <c r="A810" s="92" t="s">
        <v>4366</v>
      </c>
      <c r="B810" t="s">
        <v>1911</v>
      </c>
      <c r="C810" t="s">
        <v>2321</v>
      </c>
      <c r="D810" t="s">
        <v>2322</v>
      </c>
      <c r="E810" t="s">
        <v>2285</v>
      </c>
      <c r="F810" t="s">
        <v>2323</v>
      </c>
      <c r="G810" t="s">
        <v>4367</v>
      </c>
      <c r="H810" t="s">
        <v>2287</v>
      </c>
      <c r="I810" t="s">
        <v>3815</v>
      </c>
    </row>
    <row r="811" spans="1:9">
      <c r="A811" s="92" t="s">
        <v>4366</v>
      </c>
      <c r="B811" t="s">
        <v>1911</v>
      </c>
      <c r="C811" t="s">
        <v>2324</v>
      </c>
      <c r="D811" t="s">
        <v>2325</v>
      </c>
      <c r="G811" t="s">
        <v>4330</v>
      </c>
      <c r="I811" t="s">
        <v>3815</v>
      </c>
    </row>
    <row r="812" spans="1:9">
      <c r="A812" s="92" t="s">
        <v>4366</v>
      </c>
      <c r="B812" t="s">
        <v>1911</v>
      </c>
      <c r="C812" t="s">
        <v>2327</v>
      </c>
      <c r="D812" t="s">
        <v>2325</v>
      </c>
      <c r="G812" t="s">
        <v>4330</v>
      </c>
      <c r="I812" t="s">
        <v>3815</v>
      </c>
    </row>
    <row r="813" spans="1:9">
      <c r="A813" s="92" t="s">
        <v>4366</v>
      </c>
      <c r="B813" t="s">
        <v>1911</v>
      </c>
      <c r="C813" t="s">
        <v>2328</v>
      </c>
      <c r="D813" t="s">
        <v>2325</v>
      </c>
      <c r="E813" t="s">
        <v>2329</v>
      </c>
      <c r="F813" t="s">
        <v>2331</v>
      </c>
      <c r="G813" t="s">
        <v>4331</v>
      </c>
      <c r="I813" t="s">
        <v>3815</v>
      </c>
    </row>
    <row r="814" spans="1:9">
      <c r="A814" s="92" t="s">
        <v>4366</v>
      </c>
      <c r="B814" t="s">
        <v>1916</v>
      </c>
      <c r="C814" t="s">
        <v>2333</v>
      </c>
      <c r="D814" t="s">
        <v>2291</v>
      </c>
      <c r="E814" t="s">
        <v>2285</v>
      </c>
      <c r="G814" t="s">
        <v>4367</v>
      </c>
      <c r="H814" t="s">
        <v>2287</v>
      </c>
      <c r="I814" t="s">
        <v>3819</v>
      </c>
    </row>
    <row r="815" spans="1:9">
      <c r="A815" s="92" t="s">
        <v>4366</v>
      </c>
      <c r="B815" t="s">
        <v>1916</v>
      </c>
      <c r="C815" t="s">
        <v>2334</v>
      </c>
      <c r="D815" t="s">
        <v>2291</v>
      </c>
      <c r="E815" t="s">
        <v>2311</v>
      </c>
      <c r="F815" t="s">
        <v>2335</v>
      </c>
      <c r="G815" t="s">
        <v>4332</v>
      </c>
      <c r="I815" t="s">
        <v>3819</v>
      </c>
    </row>
    <row r="816" spans="1:9">
      <c r="A816" s="92" t="s">
        <v>4366</v>
      </c>
      <c r="B816" t="s">
        <v>1916</v>
      </c>
      <c r="C816" t="s">
        <v>2334</v>
      </c>
      <c r="D816" t="s">
        <v>2291</v>
      </c>
      <c r="E816" t="s">
        <v>2311</v>
      </c>
      <c r="F816" t="s">
        <v>2335</v>
      </c>
      <c r="G816" t="s">
        <v>4367</v>
      </c>
      <c r="H816" t="s">
        <v>2312</v>
      </c>
      <c r="I816" t="s">
        <v>3819</v>
      </c>
    </row>
    <row r="817" spans="1:9">
      <c r="A817" s="92" t="s">
        <v>4366</v>
      </c>
      <c r="B817" t="s">
        <v>1916</v>
      </c>
      <c r="C817" t="s">
        <v>2336</v>
      </c>
      <c r="D817" t="s">
        <v>2291</v>
      </c>
      <c r="E817" t="s">
        <v>552</v>
      </c>
      <c r="F817" t="s">
        <v>2337</v>
      </c>
      <c r="G817" t="s">
        <v>4333</v>
      </c>
      <c r="I817" t="s">
        <v>3819</v>
      </c>
    </row>
    <row r="818" spans="1:9">
      <c r="A818" s="92" t="s">
        <v>4366</v>
      </c>
      <c r="B818" t="s">
        <v>1920</v>
      </c>
      <c r="C818" t="s">
        <v>2339</v>
      </c>
      <c r="E818" t="s">
        <v>2285</v>
      </c>
      <c r="F818" t="s">
        <v>2340</v>
      </c>
      <c r="G818" t="s">
        <v>4367</v>
      </c>
      <c r="H818" t="s">
        <v>2287</v>
      </c>
      <c r="I818" t="s">
        <v>3827</v>
      </c>
    </row>
    <row r="819" spans="1:9">
      <c r="A819" s="92" t="s">
        <v>4366</v>
      </c>
      <c r="B819" t="s">
        <v>1920</v>
      </c>
      <c r="C819" t="s">
        <v>2341</v>
      </c>
      <c r="D819" t="s">
        <v>2342</v>
      </c>
      <c r="E819" t="s">
        <v>2343</v>
      </c>
      <c r="F819" t="s">
        <v>2344</v>
      </c>
      <c r="G819" t="s">
        <v>4325</v>
      </c>
      <c r="I819" t="s">
        <v>3827</v>
      </c>
    </row>
    <row r="820" spans="1:9">
      <c r="A820" s="92" t="s">
        <v>4366</v>
      </c>
      <c r="B820" t="s">
        <v>1920</v>
      </c>
      <c r="C820" t="s">
        <v>2345</v>
      </c>
      <c r="D820" t="s">
        <v>2346</v>
      </c>
      <c r="E820" t="s">
        <v>2285</v>
      </c>
      <c r="F820" t="s">
        <v>2347</v>
      </c>
      <c r="G820" t="s">
        <v>4367</v>
      </c>
      <c r="H820" t="s">
        <v>2287</v>
      </c>
      <c r="I820" t="s">
        <v>3827</v>
      </c>
    </row>
    <row r="821" spans="1:9">
      <c r="A821" s="92" t="s">
        <v>4366</v>
      </c>
      <c r="B821" t="s">
        <v>1920</v>
      </c>
      <c r="C821" t="s">
        <v>2348</v>
      </c>
      <c r="E821" t="s">
        <v>2292</v>
      </c>
      <c r="G821" t="s">
        <v>4367</v>
      </c>
      <c r="H821" t="s">
        <v>2293</v>
      </c>
      <c r="I821" t="s">
        <v>3827</v>
      </c>
    </row>
    <row r="822" spans="1:9">
      <c r="A822" s="92" t="s">
        <v>4369</v>
      </c>
      <c r="B822" t="s">
        <v>1875</v>
      </c>
      <c r="C822" t="s">
        <v>2291</v>
      </c>
      <c r="D822" t="s">
        <v>2291</v>
      </c>
      <c r="E822" t="s">
        <v>2292</v>
      </c>
      <c r="F822" t="s">
        <v>2573</v>
      </c>
      <c r="G822" t="s">
        <v>4370</v>
      </c>
      <c r="H822" t="s">
        <v>2293</v>
      </c>
      <c r="I822" t="s">
        <v>3756</v>
      </c>
    </row>
    <row r="823" spans="1:9">
      <c r="A823" s="92" t="s">
        <v>4369</v>
      </c>
      <c r="B823" t="s">
        <v>1875</v>
      </c>
      <c r="C823" t="s">
        <v>2247</v>
      </c>
      <c r="D823" t="s">
        <v>2248</v>
      </c>
      <c r="G823" t="s">
        <v>4325</v>
      </c>
      <c r="I823" t="s">
        <v>3756</v>
      </c>
    </row>
    <row r="824" spans="1:9">
      <c r="A824" s="92" t="s">
        <v>4369</v>
      </c>
      <c r="B824" t="s">
        <v>1875</v>
      </c>
      <c r="C824" t="s">
        <v>2252</v>
      </c>
      <c r="D824" t="s">
        <v>2248</v>
      </c>
      <c r="G824" t="s">
        <v>4325</v>
      </c>
      <c r="I824" t="s">
        <v>3756</v>
      </c>
    </row>
    <row r="825" spans="1:9">
      <c r="A825" s="92" t="s">
        <v>4369</v>
      </c>
      <c r="B825" t="s">
        <v>1878</v>
      </c>
      <c r="C825" t="s">
        <v>2254</v>
      </c>
      <c r="D825" t="s">
        <v>2248</v>
      </c>
      <c r="G825" t="s">
        <v>4326</v>
      </c>
      <c r="I825" t="s">
        <v>3760</v>
      </c>
    </row>
    <row r="826" spans="1:9">
      <c r="A826" s="92" t="s">
        <v>4369</v>
      </c>
      <c r="B826" t="s">
        <v>1878</v>
      </c>
      <c r="C826" t="s">
        <v>2256</v>
      </c>
      <c r="D826" t="s">
        <v>2257</v>
      </c>
      <c r="G826" t="s">
        <v>4325</v>
      </c>
      <c r="I826" t="s">
        <v>3760</v>
      </c>
    </row>
    <row r="827" spans="1:9">
      <c r="A827" s="92" t="s">
        <v>4369</v>
      </c>
      <c r="B827" t="s">
        <v>1878</v>
      </c>
      <c r="C827" t="s">
        <v>2258</v>
      </c>
      <c r="D827" t="s">
        <v>2257</v>
      </c>
      <c r="G827" t="s">
        <v>4325</v>
      </c>
      <c r="I827" t="s">
        <v>3760</v>
      </c>
    </row>
    <row r="828" spans="1:9">
      <c r="A828" s="92" t="s">
        <v>4369</v>
      </c>
      <c r="B828" t="s">
        <v>1878</v>
      </c>
      <c r="C828" t="s">
        <v>2259</v>
      </c>
      <c r="D828" t="s">
        <v>2248</v>
      </c>
      <c r="G828" t="s">
        <v>4326</v>
      </c>
      <c r="I828" t="s">
        <v>3760</v>
      </c>
    </row>
    <row r="829" spans="1:9">
      <c r="A829" s="92" t="s">
        <v>4369</v>
      </c>
      <c r="B829" t="s">
        <v>1878</v>
      </c>
      <c r="C829" t="s">
        <v>2260</v>
      </c>
      <c r="D829" t="s">
        <v>2257</v>
      </c>
      <c r="G829" t="s">
        <v>4325</v>
      </c>
      <c r="I829" t="s">
        <v>3760</v>
      </c>
    </row>
    <row r="830" spans="1:9">
      <c r="A830" s="92" t="s">
        <v>4369</v>
      </c>
      <c r="B830" t="s">
        <v>1878</v>
      </c>
      <c r="C830" t="s">
        <v>2261</v>
      </c>
      <c r="D830" t="s">
        <v>2248</v>
      </c>
      <c r="G830" t="s">
        <v>4325</v>
      </c>
      <c r="I830" t="s">
        <v>3760</v>
      </c>
    </row>
    <row r="831" spans="1:9">
      <c r="A831" s="92" t="s">
        <v>4369</v>
      </c>
      <c r="B831" t="s">
        <v>1878</v>
      </c>
      <c r="C831" t="s">
        <v>2262</v>
      </c>
      <c r="D831" t="s">
        <v>2248</v>
      </c>
      <c r="G831" t="s">
        <v>4326</v>
      </c>
      <c r="I831" t="s">
        <v>3760</v>
      </c>
    </row>
    <row r="832" spans="1:9">
      <c r="A832" s="92" t="s">
        <v>4369</v>
      </c>
      <c r="B832" t="s">
        <v>1878</v>
      </c>
      <c r="C832" t="s">
        <v>2263</v>
      </c>
      <c r="D832" t="s">
        <v>2248</v>
      </c>
      <c r="G832" t="s">
        <v>4326</v>
      </c>
      <c r="I832" t="s">
        <v>3760</v>
      </c>
    </row>
    <row r="833" spans="1:9">
      <c r="A833" s="92" t="s">
        <v>4369</v>
      </c>
      <c r="B833" t="s">
        <v>1878</v>
      </c>
      <c r="C833" t="s">
        <v>2264</v>
      </c>
      <c r="D833" t="s">
        <v>2248</v>
      </c>
      <c r="G833" t="s">
        <v>4326</v>
      </c>
      <c r="I833" t="s">
        <v>3760</v>
      </c>
    </row>
    <row r="834" spans="1:9">
      <c r="A834" s="92" t="s">
        <v>4369</v>
      </c>
      <c r="B834" t="s">
        <v>1878</v>
      </c>
      <c r="C834" t="s">
        <v>2265</v>
      </c>
      <c r="D834" t="s">
        <v>2257</v>
      </c>
      <c r="G834" t="s">
        <v>4326</v>
      </c>
      <c r="I834" t="s">
        <v>3760</v>
      </c>
    </row>
    <row r="835" spans="1:9">
      <c r="A835" s="92" t="s">
        <v>4369</v>
      </c>
      <c r="B835" t="s">
        <v>1878</v>
      </c>
      <c r="C835" t="s">
        <v>2291</v>
      </c>
      <c r="D835" t="s">
        <v>2291</v>
      </c>
      <c r="E835" t="s">
        <v>2292</v>
      </c>
      <c r="F835" t="s">
        <v>2575</v>
      </c>
      <c r="G835" t="s">
        <v>4370</v>
      </c>
      <c r="H835" t="s">
        <v>2293</v>
      </c>
      <c r="I835" t="s">
        <v>3760</v>
      </c>
    </row>
    <row r="836" spans="1:9">
      <c r="A836" s="92" t="s">
        <v>4369</v>
      </c>
      <c r="B836" t="s">
        <v>1881</v>
      </c>
      <c r="C836" t="s">
        <v>2291</v>
      </c>
      <c r="D836" t="s">
        <v>2291</v>
      </c>
      <c r="E836" t="s">
        <v>2292</v>
      </c>
      <c r="F836" t="s">
        <v>2573</v>
      </c>
      <c r="G836" t="s">
        <v>4370</v>
      </c>
      <c r="H836" t="s">
        <v>2293</v>
      </c>
      <c r="I836" t="s">
        <v>3764</v>
      </c>
    </row>
    <row r="837" spans="1:9">
      <c r="A837" s="92" t="s">
        <v>4369</v>
      </c>
      <c r="B837" t="s">
        <v>1884</v>
      </c>
      <c r="C837" t="s">
        <v>2291</v>
      </c>
      <c r="D837" t="s">
        <v>2291</v>
      </c>
      <c r="E837" t="s">
        <v>2292</v>
      </c>
      <c r="F837" t="s">
        <v>2578</v>
      </c>
      <c r="G837" t="s">
        <v>4370</v>
      </c>
      <c r="H837" t="s">
        <v>2293</v>
      </c>
      <c r="I837" t="s">
        <v>3768</v>
      </c>
    </row>
    <row r="838" spans="1:9">
      <c r="A838" s="92" t="s">
        <v>4369</v>
      </c>
      <c r="B838" t="s">
        <v>1884</v>
      </c>
      <c r="C838" t="s">
        <v>2267</v>
      </c>
      <c r="D838" t="s">
        <v>2248</v>
      </c>
      <c r="G838" t="s">
        <v>4325</v>
      </c>
      <c r="I838" t="s">
        <v>3768</v>
      </c>
    </row>
    <row r="839" spans="1:9">
      <c r="A839" s="92" t="s">
        <v>4369</v>
      </c>
      <c r="B839" t="s">
        <v>1886</v>
      </c>
      <c r="C839" t="s">
        <v>2291</v>
      </c>
      <c r="D839" t="s">
        <v>2291</v>
      </c>
      <c r="E839" t="s">
        <v>2292</v>
      </c>
      <c r="F839" t="s">
        <v>2575</v>
      </c>
      <c r="G839" t="s">
        <v>4370</v>
      </c>
      <c r="H839" t="s">
        <v>2293</v>
      </c>
      <c r="I839" t="s">
        <v>3772</v>
      </c>
    </row>
    <row r="840" spans="1:9">
      <c r="A840" s="92" t="s">
        <v>4369</v>
      </c>
      <c r="B840" t="s">
        <v>1890</v>
      </c>
      <c r="C840" t="s">
        <v>2291</v>
      </c>
      <c r="D840" t="s">
        <v>2291</v>
      </c>
      <c r="E840" t="s">
        <v>2292</v>
      </c>
      <c r="F840" t="s">
        <v>2575</v>
      </c>
      <c r="G840" t="s">
        <v>4370</v>
      </c>
      <c r="H840" t="s">
        <v>2293</v>
      </c>
      <c r="I840" t="s">
        <v>3776</v>
      </c>
    </row>
    <row r="841" spans="1:9">
      <c r="A841" s="92" t="s">
        <v>4369</v>
      </c>
      <c r="B841" t="s">
        <v>1890</v>
      </c>
      <c r="C841" t="s">
        <v>2269</v>
      </c>
      <c r="D841" t="s">
        <v>2248</v>
      </c>
      <c r="G841" t="s">
        <v>4325</v>
      </c>
      <c r="I841" t="s">
        <v>3776</v>
      </c>
    </row>
    <row r="842" spans="1:9">
      <c r="A842" s="92" t="s">
        <v>4369</v>
      </c>
      <c r="B842" t="s">
        <v>1890</v>
      </c>
      <c r="C842" t="s">
        <v>2270</v>
      </c>
      <c r="D842" t="s">
        <v>2248</v>
      </c>
      <c r="G842" t="s">
        <v>4325</v>
      </c>
      <c r="I842" t="s">
        <v>3776</v>
      </c>
    </row>
    <row r="843" spans="1:9">
      <c r="A843" s="92" t="s">
        <v>4369</v>
      </c>
      <c r="B843" t="s">
        <v>1890</v>
      </c>
      <c r="C843" t="s">
        <v>2271</v>
      </c>
      <c r="D843" t="s">
        <v>2248</v>
      </c>
      <c r="G843" t="s">
        <v>4325</v>
      </c>
      <c r="I843" t="s">
        <v>3776</v>
      </c>
    </row>
    <row r="844" spans="1:9">
      <c r="A844" s="92" t="s">
        <v>4369</v>
      </c>
      <c r="B844" t="s">
        <v>1890</v>
      </c>
      <c r="C844" t="s">
        <v>2272</v>
      </c>
      <c r="D844" t="s">
        <v>2248</v>
      </c>
      <c r="G844" t="s">
        <v>4325</v>
      </c>
      <c r="I844" t="s">
        <v>3776</v>
      </c>
    </row>
    <row r="845" spans="1:9">
      <c r="A845" s="92" t="s">
        <v>4369</v>
      </c>
      <c r="B845" t="s">
        <v>1890</v>
      </c>
      <c r="C845" t="s">
        <v>2273</v>
      </c>
      <c r="D845" t="s">
        <v>2248</v>
      </c>
      <c r="G845" t="s">
        <v>4325</v>
      </c>
      <c r="I845" t="s">
        <v>3776</v>
      </c>
    </row>
    <row r="846" spans="1:9">
      <c r="A846" s="92" t="s">
        <v>4369</v>
      </c>
      <c r="B846" t="s">
        <v>1890</v>
      </c>
      <c r="C846" t="s">
        <v>2274</v>
      </c>
      <c r="D846" t="s">
        <v>2248</v>
      </c>
      <c r="G846" t="s">
        <v>4325</v>
      </c>
      <c r="I846" t="s">
        <v>3776</v>
      </c>
    </row>
    <row r="847" spans="1:9">
      <c r="A847" s="92" t="s">
        <v>4369</v>
      </c>
      <c r="B847" t="s">
        <v>1890</v>
      </c>
      <c r="C847" t="s">
        <v>2275</v>
      </c>
      <c r="D847" t="s">
        <v>2248</v>
      </c>
      <c r="G847" t="s">
        <v>4325</v>
      </c>
      <c r="I847" t="s">
        <v>3776</v>
      </c>
    </row>
    <row r="848" spans="1:9">
      <c r="A848" s="92" t="s">
        <v>4369</v>
      </c>
      <c r="B848" t="s">
        <v>1890</v>
      </c>
      <c r="C848" t="s">
        <v>2276</v>
      </c>
      <c r="D848" t="s">
        <v>2248</v>
      </c>
      <c r="G848" t="s">
        <v>4325</v>
      </c>
      <c r="I848" t="s">
        <v>3776</v>
      </c>
    </row>
    <row r="849" spans="1:9">
      <c r="A849" s="92" t="s">
        <v>4369</v>
      </c>
      <c r="B849" t="s">
        <v>1892</v>
      </c>
      <c r="C849" t="s">
        <v>2291</v>
      </c>
      <c r="D849" t="s">
        <v>2291</v>
      </c>
      <c r="E849" t="s">
        <v>2292</v>
      </c>
      <c r="F849" t="s">
        <v>2575</v>
      </c>
      <c r="G849" t="s">
        <v>4370</v>
      </c>
      <c r="H849" t="s">
        <v>2293</v>
      </c>
      <c r="I849" t="s">
        <v>3780</v>
      </c>
    </row>
    <row r="850" spans="1:9">
      <c r="A850" s="92" t="s">
        <v>4369</v>
      </c>
      <c r="B850" t="s">
        <v>1892</v>
      </c>
      <c r="C850" t="s">
        <v>2278</v>
      </c>
      <c r="D850" t="s">
        <v>2279</v>
      </c>
      <c r="G850" t="s">
        <v>4327</v>
      </c>
      <c r="I850" t="s">
        <v>3780</v>
      </c>
    </row>
    <row r="851" spans="1:9">
      <c r="A851" s="92" t="s">
        <v>4369</v>
      </c>
      <c r="B851" t="s">
        <v>1892</v>
      </c>
      <c r="C851" t="s">
        <v>2281</v>
      </c>
      <c r="D851" t="s">
        <v>2248</v>
      </c>
      <c r="G851" t="s">
        <v>4325</v>
      </c>
      <c r="I851" t="s">
        <v>3780</v>
      </c>
    </row>
    <row r="852" spans="1:9">
      <c r="A852" s="92" t="s">
        <v>4369</v>
      </c>
      <c r="B852" t="s">
        <v>1893</v>
      </c>
      <c r="C852" t="s">
        <v>2291</v>
      </c>
      <c r="D852" t="s">
        <v>2291</v>
      </c>
      <c r="E852" t="s">
        <v>2292</v>
      </c>
      <c r="F852" t="s">
        <v>2575</v>
      </c>
      <c r="G852" t="s">
        <v>4370</v>
      </c>
      <c r="H852" t="s">
        <v>2293</v>
      </c>
      <c r="I852" t="s">
        <v>3784</v>
      </c>
    </row>
    <row r="853" spans="1:9">
      <c r="A853" s="92" t="s">
        <v>4369</v>
      </c>
      <c r="B853" t="s">
        <v>1894</v>
      </c>
      <c r="C853" t="s">
        <v>2283</v>
      </c>
      <c r="D853" t="s">
        <v>2284</v>
      </c>
      <c r="E853" t="s">
        <v>2285</v>
      </c>
      <c r="F853" t="s">
        <v>2288</v>
      </c>
      <c r="G853" t="s">
        <v>4370</v>
      </c>
      <c r="H853" t="s">
        <v>2287</v>
      </c>
      <c r="I853" t="s">
        <v>3787</v>
      </c>
    </row>
    <row r="854" spans="1:9">
      <c r="A854" s="92" t="s">
        <v>4369</v>
      </c>
      <c r="B854" t="s">
        <v>1894</v>
      </c>
      <c r="C854" t="s">
        <v>2355</v>
      </c>
      <c r="D854" t="s">
        <v>2356</v>
      </c>
      <c r="E854" t="s">
        <v>1565</v>
      </c>
      <c r="F854" t="s">
        <v>2358</v>
      </c>
      <c r="G854" t="s">
        <v>4371</v>
      </c>
      <c r="H854" t="s">
        <v>108</v>
      </c>
      <c r="I854" t="s">
        <v>3787</v>
      </c>
    </row>
    <row r="855" spans="1:9">
      <c r="A855" s="92" t="s">
        <v>4369</v>
      </c>
      <c r="B855" t="s">
        <v>1894</v>
      </c>
      <c r="C855" t="s">
        <v>2398</v>
      </c>
      <c r="E855" t="s">
        <v>2399</v>
      </c>
      <c r="G855" t="s">
        <v>4371</v>
      </c>
      <c r="H855" t="s">
        <v>108</v>
      </c>
      <c r="I855" t="s">
        <v>3787</v>
      </c>
    </row>
    <row r="856" spans="1:9">
      <c r="A856" s="92" t="s">
        <v>4369</v>
      </c>
      <c r="B856" t="s">
        <v>1894</v>
      </c>
      <c r="C856" t="s">
        <v>2400</v>
      </c>
      <c r="D856" t="s">
        <v>2284</v>
      </c>
      <c r="E856" t="s">
        <v>108</v>
      </c>
      <c r="G856" t="s">
        <v>4371</v>
      </c>
      <c r="H856" t="s">
        <v>108</v>
      </c>
      <c r="I856" t="s">
        <v>3787</v>
      </c>
    </row>
    <row r="857" spans="1:9">
      <c r="A857" s="92" t="s">
        <v>4369</v>
      </c>
      <c r="B857" t="s">
        <v>1894</v>
      </c>
      <c r="C857" t="s">
        <v>2401</v>
      </c>
      <c r="D857" t="s">
        <v>2402</v>
      </c>
      <c r="E857" t="s">
        <v>2403</v>
      </c>
      <c r="F857" t="s">
        <v>2404</v>
      </c>
      <c r="G857" t="s">
        <v>4371</v>
      </c>
      <c r="H857" t="s">
        <v>2403</v>
      </c>
      <c r="I857" t="s">
        <v>3787</v>
      </c>
    </row>
    <row r="858" spans="1:9">
      <c r="A858" s="92" t="s">
        <v>4369</v>
      </c>
      <c r="B858" t="s">
        <v>1894</v>
      </c>
      <c r="C858" t="s">
        <v>2405</v>
      </c>
      <c r="E858" t="s">
        <v>108</v>
      </c>
      <c r="G858" t="s">
        <v>4371</v>
      </c>
      <c r="H858" t="s">
        <v>108</v>
      </c>
      <c r="I858" t="s">
        <v>3787</v>
      </c>
    </row>
    <row r="859" spans="1:9">
      <c r="A859" s="92" t="s">
        <v>4369</v>
      </c>
      <c r="B859" t="s">
        <v>1895</v>
      </c>
      <c r="C859" t="s">
        <v>2407</v>
      </c>
      <c r="D859" t="s">
        <v>2296</v>
      </c>
      <c r="E859" t="s">
        <v>108</v>
      </c>
      <c r="G859" t="s">
        <v>4371</v>
      </c>
      <c r="H859" t="s">
        <v>108</v>
      </c>
      <c r="I859" t="s">
        <v>3791</v>
      </c>
    </row>
    <row r="860" spans="1:9">
      <c r="A860" s="92" t="s">
        <v>4369</v>
      </c>
      <c r="B860" t="s">
        <v>1895</v>
      </c>
      <c r="C860" t="s">
        <v>2409</v>
      </c>
      <c r="D860" t="s">
        <v>2410</v>
      </c>
      <c r="E860" t="s">
        <v>108</v>
      </c>
      <c r="F860" t="s">
        <v>2411</v>
      </c>
      <c r="G860" t="s">
        <v>4371</v>
      </c>
      <c r="H860" t="s">
        <v>108</v>
      </c>
      <c r="I860" t="s">
        <v>3791</v>
      </c>
    </row>
    <row r="861" spans="1:9">
      <c r="A861" s="92" t="s">
        <v>4369</v>
      </c>
      <c r="B861" t="s">
        <v>1895</v>
      </c>
      <c r="C861" t="s">
        <v>2412</v>
      </c>
      <c r="D861" t="s">
        <v>2410</v>
      </c>
      <c r="E861" t="s">
        <v>108</v>
      </c>
      <c r="G861" t="s">
        <v>4371</v>
      </c>
      <c r="H861" t="s">
        <v>108</v>
      </c>
      <c r="I861" t="s">
        <v>3791</v>
      </c>
    </row>
    <row r="862" spans="1:9">
      <c r="A862" s="92" t="s">
        <v>4369</v>
      </c>
      <c r="B862" t="s">
        <v>1895</v>
      </c>
      <c r="C862" t="s">
        <v>2290</v>
      </c>
      <c r="D862" t="s">
        <v>2291</v>
      </c>
      <c r="E862" t="s">
        <v>2292</v>
      </c>
      <c r="G862" t="s">
        <v>4370</v>
      </c>
      <c r="H862" t="s">
        <v>2293</v>
      </c>
      <c r="I862" t="s">
        <v>3791</v>
      </c>
    </row>
    <row r="863" spans="1:9">
      <c r="A863" s="92" t="s">
        <v>4369</v>
      </c>
      <c r="B863" t="s">
        <v>1895</v>
      </c>
      <c r="C863" t="s">
        <v>2414</v>
      </c>
      <c r="D863" t="s">
        <v>2415</v>
      </c>
      <c r="E863" t="s">
        <v>108</v>
      </c>
      <c r="F863" t="s">
        <v>2416</v>
      </c>
      <c r="G863" t="s">
        <v>4371</v>
      </c>
      <c r="H863" t="s">
        <v>108</v>
      </c>
      <c r="I863" t="s">
        <v>3791</v>
      </c>
    </row>
    <row r="864" spans="1:9">
      <c r="A864" s="92" t="s">
        <v>4369</v>
      </c>
      <c r="B864" t="s">
        <v>3567</v>
      </c>
      <c r="C864" t="s">
        <v>2418</v>
      </c>
      <c r="D864" t="s">
        <v>2363</v>
      </c>
      <c r="E864" t="s">
        <v>108</v>
      </c>
      <c r="G864" t="s">
        <v>4371</v>
      </c>
      <c r="H864" t="s">
        <v>108</v>
      </c>
      <c r="I864" t="s">
        <v>3795</v>
      </c>
    </row>
    <row r="865" spans="1:9">
      <c r="A865" s="92" t="s">
        <v>4369</v>
      </c>
      <c r="B865" t="s">
        <v>3567</v>
      </c>
      <c r="C865" t="s">
        <v>2362</v>
      </c>
      <c r="D865" t="s">
        <v>2363</v>
      </c>
      <c r="E865" t="s">
        <v>2364</v>
      </c>
      <c r="G865" t="s">
        <v>4371</v>
      </c>
      <c r="H865" t="s">
        <v>108</v>
      </c>
      <c r="I865" t="s">
        <v>3795</v>
      </c>
    </row>
    <row r="866" spans="1:9">
      <c r="A866" s="92" t="s">
        <v>4369</v>
      </c>
      <c r="B866" t="s">
        <v>3567</v>
      </c>
      <c r="C866" t="s">
        <v>2420</v>
      </c>
      <c r="D866" t="s">
        <v>2363</v>
      </c>
      <c r="E866" t="s">
        <v>2421</v>
      </c>
      <c r="F866" t="s">
        <v>2422</v>
      </c>
      <c r="G866" t="s">
        <v>4371</v>
      </c>
      <c r="H866" t="s">
        <v>108</v>
      </c>
      <c r="I866" t="s">
        <v>3795</v>
      </c>
    </row>
    <row r="867" spans="1:9">
      <c r="A867" s="92" t="s">
        <v>4369</v>
      </c>
      <c r="B867" t="s">
        <v>3567</v>
      </c>
      <c r="C867" t="s">
        <v>2423</v>
      </c>
      <c r="D867" t="s">
        <v>2363</v>
      </c>
      <c r="E867" t="s">
        <v>108</v>
      </c>
      <c r="G867" t="s">
        <v>4371</v>
      </c>
      <c r="H867" t="s">
        <v>108</v>
      </c>
      <c r="I867" t="s">
        <v>3795</v>
      </c>
    </row>
    <row r="868" spans="1:9">
      <c r="A868" s="92" t="s">
        <v>4369</v>
      </c>
      <c r="B868" t="s">
        <v>1901</v>
      </c>
      <c r="C868" t="s">
        <v>2425</v>
      </c>
      <c r="D868" t="s">
        <v>2426</v>
      </c>
      <c r="E868" t="s">
        <v>2427</v>
      </c>
      <c r="G868" t="s">
        <v>4371</v>
      </c>
      <c r="H868" t="s">
        <v>108</v>
      </c>
      <c r="I868" t="s">
        <v>3799</v>
      </c>
    </row>
    <row r="869" spans="1:9">
      <c r="A869" s="92" t="s">
        <v>4369</v>
      </c>
      <c r="B869" t="s">
        <v>1901</v>
      </c>
      <c r="C869" t="s">
        <v>2428</v>
      </c>
      <c r="D869" t="s">
        <v>2426</v>
      </c>
      <c r="E869" t="s">
        <v>2429</v>
      </c>
      <c r="G869" t="s">
        <v>4371</v>
      </c>
      <c r="H869" t="s">
        <v>108</v>
      </c>
      <c r="I869" t="s">
        <v>3799</v>
      </c>
    </row>
    <row r="870" spans="1:9">
      <c r="A870" s="92" t="s">
        <v>4369</v>
      </c>
      <c r="B870" t="s">
        <v>1901</v>
      </c>
      <c r="C870" t="s">
        <v>2430</v>
      </c>
      <c r="D870" t="s">
        <v>2431</v>
      </c>
      <c r="E870" t="s">
        <v>108</v>
      </c>
      <c r="F870" t="s">
        <v>2432</v>
      </c>
      <c r="G870" t="s">
        <v>4371</v>
      </c>
      <c r="H870" t="s">
        <v>108</v>
      </c>
      <c r="I870" t="s">
        <v>3799</v>
      </c>
    </row>
    <row r="871" spans="1:9">
      <c r="A871" s="92" t="s">
        <v>4369</v>
      </c>
      <c r="B871" t="s">
        <v>1901</v>
      </c>
      <c r="C871" t="s">
        <v>2433</v>
      </c>
      <c r="D871" t="s">
        <v>2431</v>
      </c>
      <c r="E871" t="s">
        <v>108</v>
      </c>
      <c r="G871" t="s">
        <v>4371</v>
      </c>
      <c r="H871" t="s">
        <v>108</v>
      </c>
      <c r="I871" t="s">
        <v>3799</v>
      </c>
    </row>
    <row r="872" spans="1:9">
      <c r="A872" s="92" t="s">
        <v>4369</v>
      </c>
      <c r="B872" t="s">
        <v>1903</v>
      </c>
      <c r="C872" t="s">
        <v>2435</v>
      </c>
      <c r="D872" t="s">
        <v>2436</v>
      </c>
      <c r="E872" t="s">
        <v>108</v>
      </c>
      <c r="F872" t="s">
        <v>2437</v>
      </c>
      <c r="G872" t="s">
        <v>4371</v>
      </c>
      <c r="H872" t="s">
        <v>108</v>
      </c>
      <c r="I872" t="s">
        <v>3803</v>
      </c>
    </row>
    <row r="873" spans="1:9">
      <c r="A873" s="92" t="s">
        <v>4369</v>
      </c>
      <c r="B873" t="s">
        <v>1903</v>
      </c>
      <c r="C873" t="s">
        <v>2295</v>
      </c>
      <c r="D873" t="s">
        <v>2296</v>
      </c>
      <c r="E873" t="s">
        <v>2297</v>
      </c>
      <c r="G873" t="s">
        <v>4370</v>
      </c>
      <c r="H873" t="s">
        <v>2293</v>
      </c>
      <c r="I873" t="s">
        <v>3803</v>
      </c>
    </row>
    <row r="874" spans="1:9">
      <c r="A874" s="92" t="s">
        <v>4369</v>
      </c>
      <c r="B874" t="s">
        <v>1903</v>
      </c>
      <c r="C874" t="s">
        <v>2298</v>
      </c>
      <c r="D874" t="s">
        <v>2296</v>
      </c>
      <c r="E874" t="s">
        <v>2292</v>
      </c>
      <c r="G874" t="s">
        <v>4370</v>
      </c>
      <c r="H874" t="s">
        <v>2293</v>
      </c>
      <c r="I874" t="s">
        <v>3803</v>
      </c>
    </row>
    <row r="875" spans="1:9">
      <c r="A875" s="92" t="s">
        <v>4369</v>
      </c>
      <c r="B875" t="s">
        <v>1903</v>
      </c>
      <c r="C875" t="s">
        <v>2299</v>
      </c>
      <c r="D875" t="s">
        <v>2296</v>
      </c>
      <c r="E875" t="s">
        <v>2292</v>
      </c>
      <c r="G875" t="s">
        <v>4370</v>
      </c>
      <c r="H875" t="s">
        <v>2293</v>
      </c>
      <c r="I875" t="s">
        <v>3803</v>
      </c>
    </row>
    <row r="876" spans="1:9">
      <c r="A876" s="92" t="s">
        <v>4369</v>
      </c>
      <c r="B876" t="s">
        <v>1903</v>
      </c>
      <c r="C876" t="s">
        <v>2300</v>
      </c>
      <c r="D876" t="s">
        <v>2301</v>
      </c>
      <c r="E876" t="s">
        <v>2292</v>
      </c>
      <c r="G876" t="s">
        <v>4370</v>
      </c>
      <c r="H876" t="s">
        <v>2293</v>
      </c>
      <c r="I876" t="s">
        <v>3803</v>
      </c>
    </row>
    <row r="877" spans="1:9">
      <c r="A877" s="92" t="s">
        <v>4369</v>
      </c>
      <c r="B877" t="s">
        <v>1903</v>
      </c>
      <c r="C877" t="s">
        <v>2302</v>
      </c>
      <c r="E877" t="s">
        <v>2292</v>
      </c>
      <c r="G877" t="s">
        <v>4370</v>
      </c>
      <c r="H877" t="s">
        <v>2293</v>
      </c>
      <c r="I877" t="s">
        <v>3803</v>
      </c>
    </row>
    <row r="878" spans="1:9">
      <c r="A878" s="92" t="s">
        <v>4369</v>
      </c>
      <c r="B878" t="s">
        <v>1903</v>
      </c>
      <c r="C878" t="s">
        <v>2303</v>
      </c>
      <c r="E878" t="s">
        <v>2292</v>
      </c>
      <c r="G878" t="s">
        <v>4370</v>
      </c>
      <c r="H878" t="s">
        <v>2293</v>
      </c>
      <c r="I878" t="s">
        <v>3803</v>
      </c>
    </row>
    <row r="879" spans="1:9">
      <c r="A879" s="92" t="s">
        <v>4369</v>
      </c>
      <c r="B879" t="s">
        <v>1903</v>
      </c>
      <c r="C879" t="s">
        <v>2304</v>
      </c>
      <c r="E879" t="s">
        <v>2292</v>
      </c>
      <c r="G879" t="s">
        <v>4370</v>
      </c>
      <c r="H879" t="s">
        <v>2293</v>
      </c>
      <c r="I879" t="s">
        <v>3803</v>
      </c>
    </row>
    <row r="880" spans="1:9">
      <c r="A880" s="92" t="s">
        <v>4369</v>
      </c>
      <c r="B880" t="s">
        <v>1905</v>
      </c>
      <c r="C880" t="s">
        <v>2439</v>
      </c>
      <c r="D880" t="s">
        <v>2440</v>
      </c>
      <c r="E880" t="s">
        <v>108</v>
      </c>
      <c r="G880" t="s">
        <v>4371</v>
      </c>
      <c r="H880" t="s">
        <v>108</v>
      </c>
      <c r="I880" t="s">
        <v>3805</v>
      </c>
    </row>
    <row r="881" spans="1:9">
      <c r="A881" s="92" t="s">
        <v>4369</v>
      </c>
      <c r="B881" t="s">
        <v>1905</v>
      </c>
      <c r="C881" t="s">
        <v>2681</v>
      </c>
      <c r="D881" t="s">
        <v>2449</v>
      </c>
      <c r="E881" t="s">
        <v>2682</v>
      </c>
      <c r="G881" t="s">
        <v>4371</v>
      </c>
      <c r="H881" t="s">
        <v>2683</v>
      </c>
      <c r="I881" t="s">
        <v>3805</v>
      </c>
    </row>
    <row r="882" spans="1:9">
      <c r="A882" s="92" t="s">
        <v>4369</v>
      </c>
      <c r="B882" t="s">
        <v>1905</v>
      </c>
      <c r="C882" t="s">
        <v>2441</v>
      </c>
      <c r="D882" t="s">
        <v>2442</v>
      </c>
      <c r="E882" t="s">
        <v>2427</v>
      </c>
      <c r="G882" t="s">
        <v>4371</v>
      </c>
      <c r="H882" t="s">
        <v>108</v>
      </c>
      <c r="I882" t="s">
        <v>3805</v>
      </c>
    </row>
    <row r="883" spans="1:9">
      <c r="A883" s="92" t="s">
        <v>4369</v>
      </c>
      <c r="B883" t="s">
        <v>1905</v>
      </c>
      <c r="C883" t="s">
        <v>2443</v>
      </c>
      <c r="D883" t="s">
        <v>2440</v>
      </c>
      <c r="E883" t="s">
        <v>2444</v>
      </c>
      <c r="F883" t="s">
        <v>2445</v>
      </c>
      <c r="G883" t="s">
        <v>4371</v>
      </c>
      <c r="H883" t="s">
        <v>108</v>
      </c>
      <c r="I883" t="s">
        <v>3805</v>
      </c>
    </row>
    <row r="884" spans="1:9">
      <c r="A884" s="92" t="s">
        <v>4369</v>
      </c>
      <c r="B884" t="s">
        <v>1905</v>
      </c>
      <c r="C884" t="s">
        <v>2306</v>
      </c>
      <c r="D884" t="s">
        <v>2291</v>
      </c>
      <c r="E884" t="s">
        <v>2307</v>
      </c>
      <c r="G884" t="s">
        <v>4371</v>
      </c>
      <c r="H884" t="s">
        <v>108</v>
      </c>
      <c r="I884" t="s">
        <v>3805</v>
      </c>
    </row>
    <row r="885" spans="1:9">
      <c r="A885" s="92" t="s">
        <v>4369</v>
      </c>
      <c r="B885" t="s">
        <v>1905</v>
      </c>
      <c r="C885" t="s">
        <v>2310</v>
      </c>
      <c r="D885" t="s">
        <v>2291</v>
      </c>
      <c r="E885" t="s">
        <v>2311</v>
      </c>
      <c r="G885" t="s">
        <v>4370</v>
      </c>
      <c r="H885" t="s">
        <v>2312</v>
      </c>
      <c r="I885" t="s">
        <v>3805</v>
      </c>
    </row>
    <row r="886" spans="1:9">
      <c r="A886" s="92" t="s">
        <v>4369</v>
      </c>
      <c r="B886" t="s">
        <v>1905</v>
      </c>
      <c r="C886" t="s">
        <v>2313</v>
      </c>
      <c r="D886" t="s">
        <v>2291</v>
      </c>
      <c r="E886" t="s">
        <v>2292</v>
      </c>
      <c r="G886" t="s">
        <v>4370</v>
      </c>
      <c r="H886" t="s">
        <v>2293</v>
      </c>
      <c r="I886" t="s">
        <v>3805</v>
      </c>
    </row>
    <row r="887" spans="1:9">
      <c r="A887" s="92" t="s">
        <v>4369</v>
      </c>
      <c r="B887" t="s">
        <v>1905</v>
      </c>
      <c r="C887" t="s">
        <v>2314</v>
      </c>
      <c r="D887" t="s">
        <v>2291</v>
      </c>
      <c r="E887" t="s">
        <v>2292</v>
      </c>
      <c r="G887" t="s">
        <v>4370</v>
      </c>
      <c r="H887" t="s">
        <v>2293</v>
      </c>
      <c r="I887" t="s">
        <v>3805</v>
      </c>
    </row>
    <row r="888" spans="1:9">
      <c r="A888" s="92" t="s">
        <v>4369</v>
      </c>
      <c r="B888" t="s">
        <v>1905</v>
      </c>
      <c r="C888" t="s">
        <v>2447</v>
      </c>
      <c r="D888" t="s">
        <v>2440</v>
      </c>
      <c r="E888" t="s">
        <v>2403</v>
      </c>
      <c r="G888" t="s">
        <v>4371</v>
      </c>
      <c r="H888" t="s">
        <v>2403</v>
      </c>
      <c r="I888" t="s">
        <v>3805</v>
      </c>
    </row>
    <row r="889" spans="1:9">
      <c r="A889" s="92" t="s">
        <v>4369</v>
      </c>
      <c r="B889" t="s">
        <v>1905</v>
      </c>
      <c r="C889" t="s">
        <v>2448</v>
      </c>
      <c r="D889" t="s">
        <v>2449</v>
      </c>
      <c r="E889" t="s">
        <v>108</v>
      </c>
      <c r="G889" t="s">
        <v>4371</v>
      </c>
      <c r="H889" t="s">
        <v>108</v>
      </c>
      <c r="I889" t="s">
        <v>3805</v>
      </c>
    </row>
    <row r="890" spans="1:9">
      <c r="A890" s="92" t="s">
        <v>4369</v>
      </c>
      <c r="B890" t="s">
        <v>1908</v>
      </c>
      <c r="C890" t="s">
        <v>2451</v>
      </c>
      <c r="E890" t="s">
        <v>2403</v>
      </c>
      <c r="G890" t="s">
        <v>4371</v>
      </c>
      <c r="H890" t="s">
        <v>2403</v>
      </c>
      <c r="I890" t="s">
        <v>3807</v>
      </c>
    </row>
    <row r="891" spans="1:9">
      <c r="A891" s="92" t="s">
        <v>4369</v>
      </c>
      <c r="B891" t="s">
        <v>1908</v>
      </c>
      <c r="C891" t="s">
        <v>2375</v>
      </c>
      <c r="E891" t="s">
        <v>2376</v>
      </c>
      <c r="G891" t="s">
        <v>4371</v>
      </c>
      <c r="H891" t="s">
        <v>2403</v>
      </c>
      <c r="I891" t="s">
        <v>3807</v>
      </c>
    </row>
    <row r="892" spans="1:9">
      <c r="A892" s="92" t="s">
        <v>4369</v>
      </c>
      <c r="B892" t="s">
        <v>1908</v>
      </c>
      <c r="C892" t="s">
        <v>2452</v>
      </c>
      <c r="D892" t="s">
        <v>2440</v>
      </c>
      <c r="E892" t="s">
        <v>108</v>
      </c>
      <c r="G892" t="s">
        <v>4371</v>
      </c>
      <c r="H892" t="s">
        <v>108</v>
      </c>
      <c r="I892" t="s">
        <v>3807</v>
      </c>
    </row>
    <row r="893" spans="1:9">
      <c r="A893" s="92" t="s">
        <v>4369</v>
      </c>
      <c r="B893" t="s">
        <v>1908</v>
      </c>
      <c r="C893" t="s">
        <v>2453</v>
      </c>
      <c r="D893" t="s">
        <v>2440</v>
      </c>
      <c r="E893" t="s">
        <v>108</v>
      </c>
      <c r="G893" t="s">
        <v>4371</v>
      </c>
      <c r="H893" t="s">
        <v>108</v>
      </c>
      <c r="I893" t="s">
        <v>3807</v>
      </c>
    </row>
    <row r="894" spans="1:9">
      <c r="A894" s="92" t="s">
        <v>4369</v>
      </c>
      <c r="B894" t="s">
        <v>1908</v>
      </c>
      <c r="C894" t="s">
        <v>2454</v>
      </c>
      <c r="D894" t="s">
        <v>2301</v>
      </c>
      <c r="E894" t="s">
        <v>108</v>
      </c>
      <c r="G894" t="s">
        <v>4371</v>
      </c>
      <c r="H894" t="s">
        <v>108</v>
      </c>
      <c r="I894" t="s">
        <v>3807</v>
      </c>
    </row>
    <row r="895" spans="1:9">
      <c r="A895" s="92" t="s">
        <v>4369</v>
      </c>
      <c r="B895" t="s">
        <v>1908</v>
      </c>
      <c r="C895" t="s">
        <v>2455</v>
      </c>
      <c r="D895" t="s">
        <v>2456</v>
      </c>
      <c r="E895" t="s">
        <v>2403</v>
      </c>
      <c r="G895" t="s">
        <v>4371</v>
      </c>
      <c r="H895" t="s">
        <v>2403</v>
      </c>
      <c r="I895" t="s">
        <v>3807</v>
      </c>
    </row>
    <row r="896" spans="1:9">
      <c r="A896" s="92" t="s">
        <v>4369</v>
      </c>
      <c r="B896" t="s">
        <v>1908</v>
      </c>
      <c r="C896" t="s">
        <v>2457</v>
      </c>
      <c r="D896" t="s">
        <v>2456</v>
      </c>
      <c r="E896" t="s">
        <v>2403</v>
      </c>
      <c r="G896" t="s">
        <v>4371</v>
      </c>
      <c r="H896" t="s">
        <v>2403</v>
      </c>
      <c r="I896" t="s">
        <v>3807</v>
      </c>
    </row>
    <row r="897" spans="1:9">
      <c r="A897" s="92" t="s">
        <v>4369</v>
      </c>
      <c r="B897" t="s">
        <v>1908</v>
      </c>
      <c r="C897" t="s">
        <v>2316</v>
      </c>
      <c r="D897" t="s">
        <v>2291</v>
      </c>
      <c r="E897" t="s">
        <v>2292</v>
      </c>
      <c r="G897" t="s">
        <v>4370</v>
      </c>
      <c r="H897" t="s">
        <v>2293</v>
      </c>
      <c r="I897" t="s">
        <v>3807</v>
      </c>
    </row>
    <row r="898" spans="1:9">
      <c r="A898" s="92" t="s">
        <v>4369</v>
      </c>
      <c r="B898" t="s">
        <v>1908</v>
      </c>
      <c r="C898" t="s">
        <v>2458</v>
      </c>
      <c r="D898" t="s">
        <v>2456</v>
      </c>
      <c r="E898" t="s">
        <v>108</v>
      </c>
      <c r="F898" t="s">
        <v>2459</v>
      </c>
      <c r="G898" t="s">
        <v>4371</v>
      </c>
      <c r="H898" t="s">
        <v>108</v>
      </c>
      <c r="I898" t="s">
        <v>3807</v>
      </c>
    </row>
    <row r="899" spans="1:9">
      <c r="A899" s="92" t="s">
        <v>4369</v>
      </c>
      <c r="B899" t="s">
        <v>1909</v>
      </c>
      <c r="C899" t="s">
        <v>2461</v>
      </c>
      <c r="D899" t="s">
        <v>2462</v>
      </c>
      <c r="E899" t="s">
        <v>108</v>
      </c>
      <c r="G899" t="s">
        <v>4371</v>
      </c>
      <c r="H899" t="s">
        <v>108</v>
      </c>
      <c r="I899" t="s">
        <v>3811</v>
      </c>
    </row>
    <row r="900" spans="1:9">
      <c r="A900" s="92" t="s">
        <v>4369</v>
      </c>
      <c r="B900" t="s">
        <v>1909</v>
      </c>
      <c r="C900" t="s">
        <v>2463</v>
      </c>
      <c r="D900" t="s">
        <v>2464</v>
      </c>
      <c r="E900" t="s">
        <v>108</v>
      </c>
      <c r="G900" t="s">
        <v>4371</v>
      </c>
      <c r="H900" t="s">
        <v>108</v>
      </c>
      <c r="I900" t="s">
        <v>3811</v>
      </c>
    </row>
    <row r="901" spans="1:9">
      <c r="A901" s="92" t="s">
        <v>4369</v>
      </c>
      <c r="B901" t="s">
        <v>1909</v>
      </c>
      <c r="C901" t="s">
        <v>2465</v>
      </c>
      <c r="D901" t="s">
        <v>2464</v>
      </c>
      <c r="E901" t="s">
        <v>108</v>
      </c>
      <c r="G901" t="s">
        <v>4371</v>
      </c>
      <c r="H901" t="s">
        <v>108</v>
      </c>
      <c r="I901" t="s">
        <v>3811</v>
      </c>
    </row>
    <row r="902" spans="1:9">
      <c r="A902" s="92" t="s">
        <v>4369</v>
      </c>
      <c r="B902" t="s">
        <v>1911</v>
      </c>
      <c r="C902" t="s">
        <v>2318</v>
      </c>
      <c r="D902" t="s">
        <v>2319</v>
      </c>
      <c r="E902" t="s">
        <v>2285</v>
      </c>
      <c r="F902" t="s">
        <v>2320</v>
      </c>
      <c r="G902" t="s">
        <v>4370</v>
      </c>
      <c r="H902" t="s">
        <v>2287</v>
      </c>
      <c r="I902" t="s">
        <v>3815</v>
      </c>
    </row>
    <row r="903" spans="1:9">
      <c r="A903" s="92" t="s">
        <v>4369</v>
      </c>
      <c r="B903" t="s">
        <v>1911</v>
      </c>
      <c r="C903" t="s">
        <v>2321</v>
      </c>
      <c r="D903" t="s">
        <v>2322</v>
      </c>
      <c r="E903" t="s">
        <v>2285</v>
      </c>
      <c r="F903" t="s">
        <v>2323</v>
      </c>
      <c r="G903" t="s">
        <v>4370</v>
      </c>
      <c r="H903" t="s">
        <v>2287</v>
      </c>
      <c r="I903" t="s">
        <v>3815</v>
      </c>
    </row>
    <row r="904" spans="1:9">
      <c r="A904" s="92" t="s">
        <v>4369</v>
      </c>
      <c r="B904" t="s">
        <v>1911</v>
      </c>
      <c r="C904" t="s">
        <v>2467</v>
      </c>
      <c r="D904" t="s">
        <v>2319</v>
      </c>
      <c r="E904" t="s">
        <v>2403</v>
      </c>
      <c r="F904" t="s">
        <v>2468</v>
      </c>
      <c r="G904" t="s">
        <v>4371</v>
      </c>
      <c r="H904" t="s">
        <v>2403</v>
      </c>
      <c r="I904" t="s">
        <v>3815</v>
      </c>
    </row>
    <row r="905" spans="1:9">
      <c r="A905" s="92" t="s">
        <v>4369</v>
      </c>
      <c r="B905" t="s">
        <v>1911</v>
      </c>
      <c r="C905" t="s">
        <v>2469</v>
      </c>
      <c r="D905" t="s">
        <v>2382</v>
      </c>
      <c r="E905" t="s">
        <v>108</v>
      </c>
      <c r="F905" t="s">
        <v>2470</v>
      </c>
      <c r="G905" t="s">
        <v>4371</v>
      </c>
      <c r="H905" t="s">
        <v>108</v>
      </c>
      <c r="I905" t="s">
        <v>3815</v>
      </c>
    </row>
    <row r="906" spans="1:9">
      <c r="A906" s="92" t="s">
        <v>4369</v>
      </c>
      <c r="B906" t="s">
        <v>1911</v>
      </c>
      <c r="C906" t="s">
        <v>2471</v>
      </c>
      <c r="D906" t="s">
        <v>2379</v>
      </c>
      <c r="E906" t="s">
        <v>108</v>
      </c>
      <c r="F906" t="s">
        <v>2472</v>
      </c>
      <c r="G906" t="s">
        <v>4371</v>
      </c>
      <c r="H906" t="s">
        <v>108</v>
      </c>
      <c r="I906" t="s">
        <v>3815</v>
      </c>
    </row>
    <row r="907" spans="1:9">
      <c r="A907" s="92" t="s">
        <v>4369</v>
      </c>
      <c r="B907" t="s">
        <v>1911</v>
      </c>
      <c r="C907" t="s">
        <v>2473</v>
      </c>
      <c r="D907" t="s">
        <v>2474</v>
      </c>
      <c r="E907" t="s">
        <v>108</v>
      </c>
      <c r="F907" t="s">
        <v>2475</v>
      </c>
      <c r="G907" t="s">
        <v>4371</v>
      </c>
      <c r="H907" t="s">
        <v>108</v>
      </c>
      <c r="I907" t="s">
        <v>3815</v>
      </c>
    </row>
    <row r="908" spans="1:9">
      <c r="A908" s="92" t="s">
        <v>4369</v>
      </c>
      <c r="B908" t="s">
        <v>1911</v>
      </c>
      <c r="C908" t="s">
        <v>2324</v>
      </c>
      <c r="D908" t="s">
        <v>2325</v>
      </c>
      <c r="G908" t="s">
        <v>4330</v>
      </c>
      <c r="I908" t="s">
        <v>3815</v>
      </c>
    </row>
    <row r="909" spans="1:9">
      <c r="A909" s="92" t="s">
        <v>4369</v>
      </c>
      <c r="B909" t="s">
        <v>1911</v>
      </c>
      <c r="C909" t="s">
        <v>2327</v>
      </c>
      <c r="D909" t="s">
        <v>2325</v>
      </c>
      <c r="G909" t="s">
        <v>4330</v>
      </c>
      <c r="I909" t="s">
        <v>3815</v>
      </c>
    </row>
    <row r="910" spans="1:9">
      <c r="A910" s="92" t="s">
        <v>4369</v>
      </c>
      <c r="B910" t="s">
        <v>1911</v>
      </c>
      <c r="C910" t="s">
        <v>2328</v>
      </c>
      <c r="D910" t="s">
        <v>2325</v>
      </c>
      <c r="E910" t="s">
        <v>2329</v>
      </c>
      <c r="F910" t="s">
        <v>2331</v>
      </c>
      <c r="G910" t="s">
        <v>4331</v>
      </c>
      <c r="I910" t="s">
        <v>3815</v>
      </c>
    </row>
    <row r="911" spans="1:9">
      <c r="A911" s="92" t="s">
        <v>4369</v>
      </c>
      <c r="B911" t="s">
        <v>1916</v>
      </c>
      <c r="C911" t="s">
        <v>2477</v>
      </c>
      <c r="D911" t="s">
        <v>2382</v>
      </c>
      <c r="E911" t="s">
        <v>108</v>
      </c>
      <c r="F911" t="s">
        <v>2478</v>
      </c>
      <c r="G911" t="s">
        <v>4371</v>
      </c>
      <c r="H911" t="s">
        <v>108</v>
      </c>
      <c r="I911" t="s">
        <v>3819</v>
      </c>
    </row>
    <row r="912" spans="1:9">
      <c r="A912" s="92" t="s">
        <v>4369</v>
      </c>
      <c r="B912" t="s">
        <v>1916</v>
      </c>
      <c r="C912" t="s">
        <v>2333</v>
      </c>
      <c r="D912" t="s">
        <v>2291</v>
      </c>
      <c r="E912" t="s">
        <v>2285</v>
      </c>
      <c r="G912" t="s">
        <v>4370</v>
      </c>
      <c r="H912" t="s">
        <v>2287</v>
      </c>
      <c r="I912" t="s">
        <v>3819</v>
      </c>
    </row>
    <row r="913" spans="1:9">
      <c r="A913" s="92" t="s">
        <v>4369</v>
      </c>
      <c r="B913" t="s">
        <v>1916</v>
      </c>
      <c r="C913" t="s">
        <v>2334</v>
      </c>
      <c r="D913" t="s">
        <v>2291</v>
      </c>
      <c r="E913" t="s">
        <v>2311</v>
      </c>
      <c r="F913" t="s">
        <v>2335</v>
      </c>
      <c r="G913" t="s">
        <v>4332</v>
      </c>
      <c r="I913" t="s">
        <v>3819</v>
      </c>
    </row>
    <row r="914" spans="1:9">
      <c r="A914" s="92" t="s">
        <v>4369</v>
      </c>
      <c r="B914" t="s">
        <v>1916</v>
      </c>
      <c r="C914" t="s">
        <v>2334</v>
      </c>
      <c r="D914" t="s">
        <v>2291</v>
      </c>
      <c r="E914" t="s">
        <v>2311</v>
      </c>
      <c r="F914" t="s">
        <v>2335</v>
      </c>
      <c r="G914" t="s">
        <v>4370</v>
      </c>
      <c r="H914" t="s">
        <v>2312</v>
      </c>
      <c r="I914" t="s">
        <v>3819</v>
      </c>
    </row>
    <row r="915" spans="1:9">
      <c r="A915" s="92" t="s">
        <v>4369</v>
      </c>
      <c r="B915" t="s">
        <v>1916</v>
      </c>
      <c r="C915" t="s">
        <v>2336</v>
      </c>
      <c r="D915" t="s">
        <v>2291</v>
      </c>
      <c r="E915" t="s">
        <v>552</v>
      </c>
      <c r="F915" t="s">
        <v>2337</v>
      </c>
      <c r="G915" t="s">
        <v>4333</v>
      </c>
      <c r="I915" t="s">
        <v>3819</v>
      </c>
    </row>
    <row r="916" spans="1:9">
      <c r="A916" s="92" t="s">
        <v>4369</v>
      </c>
      <c r="B916" t="s">
        <v>1916</v>
      </c>
      <c r="C916" t="s">
        <v>2479</v>
      </c>
      <c r="D916" t="s">
        <v>2480</v>
      </c>
      <c r="E916" t="s">
        <v>108</v>
      </c>
      <c r="F916" t="s">
        <v>2481</v>
      </c>
      <c r="G916" t="s">
        <v>4371</v>
      </c>
      <c r="H916" t="s">
        <v>108</v>
      </c>
      <c r="I916" t="s">
        <v>3819</v>
      </c>
    </row>
    <row r="917" spans="1:9">
      <c r="A917" s="92" t="s">
        <v>4369</v>
      </c>
      <c r="B917" t="s">
        <v>1916</v>
      </c>
      <c r="C917" t="s">
        <v>2482</v>
      </c>
      <c r="D917" t="s">
        <v>2480</v>
      </c>
      <c r="E917" t="s">
        <v>108</v>
      </c>
      <c r="F917" t="s">
        <v>2483</v>
      </c>
      <c r="G917" t="s">
        <v>4371</v>
      </c>
      <c r="H917" t="s">
        <v>108</v>
      </c>
      <c r="I917" t="s">
        <v>3819</v>
      </c>
    </row>
    <row r="918" spans="1:9">
      <c r="A918" s="92" t="s">
        <v>4369</v>
      </c>
      <c r="B918" t="s">
        <v>1916</v>
      </c>
      <c r="C918" t="s">
        <v>2484</v>
      </c>
      <c r="D918" t="s">
        <v>2382</v>
      </c>
      <c r="E918" t="s">
        <v>2403</v>
      </c>
      <c r="G918" t="s">
        <v>4371</v>
      </c>
      <c r="H918" t="s">
        <v>2403</v>
      </c>
      <c r="I918" t="s">
        <v>3819</v>
      </c>
    </row>
    <row r="919" spans="1:9">
      <c r="A919" s="92" t="s">
        <v>4369</v>
      </c>
      <c r="B919" t="s">
        <v>1916</v>
      </c>
      <c r="C919" t="s">
        <v>2485</v>
      </c>
      <c r="D919" t="s">
        <v>2486</v>
      </c>
      <c r="E919" t="s">
        <v>2487</v>
      </c>
      <c r="G919" t="s">
        <v>4371</v>
      </c>
      <c r="H919" t="s">
        <v>108</v>
      </c>
      <c r="I919" t="s">
        <v>3819</v>
      </c>
    </row>
    <row r="920" spans="1:9">
      <c r="A920" s="92" t="s">
        <v>4369</v>
      </c>
      <c r="B920" t="s">
        <v>1918</v>
      </c>
      <c r="C920" t="s">
        <v>2489</v>
      </c>
      <c r="D920" t="s">
        <v>2490</v>
      </c>
      <c r="E920" t="s">
        <v>108</v>
      </c>
      <c r="G920" t="s">
        <v>4371</v>
      </c>
      <c r="H920" t="s">
        <v>108</v>
      </c>
      <c r="I920" t="s">
        <v>3823</v>
      </c>
    </row>
    <row r="921" spans="1:9">
      <c r="A921" s="92" t="s">
        <v>4369</v>
      </c>
      <c r="B921" t="s">
        <v>1918</v>
      </c>
      <c r="C921" t="s">
        <v>2491</v>
      </c>
      <c r="D921" t="s">
        <v>2490</v>
      </c>
      <c r="E921" t="s">
        <v>2403</v>
      </c>
      <c r="F921" t="s">
        <v>2492</v>
      </c>
      <c r="G921" t="s">
        <v>4371</v>
      </c>
      <c r="H921" t="s">
        <v>2403</v>
      </c>
      <c r="I921" t="s">
        <v>3823</v>
      </c>
    </row>
    <row r="922" spans="1:9">
      <c r="A922" s="92" t="s">
        <v>4369</v>
      </c>
      <c r="B922" t="s">
        <v>1918</v>
      </c>
      <c r="C922" t="s">
        <v>2493</v>
      </c>
      <c r="D922" t="s">
        <v>2494</v>
      </c>
      <c r="E922" t="s">
        <v>2421</v>
      </c>
      <c r="F922" t="s">
        <v>2495</v>
      </c>
      <c r="G922" t="s">
        <v>4371</v>
      </c>
      <c r="H922" t="s">
        <v>108</v>
      </c>
      <c r="I922" t="s">
        <v>3823</v>
      </c>
    </row>
    <row r="923" spans="1:9">
      <c r="A923" s="92" t="s">
        <v>4369</v>
      </c>
      <c r="B923" t="s">
        <v>1918</v>
      </c>
      <c r="C923" t="s">
        <v>2496</v>
      </c>
      <c r="D923" t="s">
        <v>2490</v>
      </c>
      <c r="E923" t="s">
        <v>2497</v>
      </c>
      <c r="G923" t="s">
        <v>4371</v>
      </c>
      <c r="H923" t="s">
        <v>108</v>
      </c>
      <c r="I923" t="s">
        <v>3823</v>
      </c>
    </row>
    <row r="924" spans="1:9">
      <c r="A924" s="92" t="s">
        <v>4369</v>
      </c>
      <c r="B924" t="s">
        <v>1918</v>
      </c>
      <c r="C924" t="s">
        <v>2498</v>
      </c>
      <c r="D924" t="s">
        <v>2490</v>
      </c>
      <c r="E924" t="s">
        <v>2499</v>
      </c>
      <c r="F924" t="s">
        <v>2500</v>
      </c>
      <c r="G924" t="s">
        <v>4371</v>
      </c>
      <c r="H924" t="s">
        <v>108</v>
      </c>
      <c r="I924" t="s">
        <v>3823</v>
      </c>
    </row>
    <row r="925" spans="1:9">
      <c r="A925" s="92" t="s">
        <v>4369</v>
      </c>
      <c r="B925" t="s">
        <v>1920</v>
      </c>
      <c r="C925" t="s">
        <v>2339</v>
      </c>
      <c r="E925" t="s">
        <v>2285</v>
      </c>
      <c r="F925" t="s">
        <v>2340</v>
      </c>
      <c r="G925" t="s">
        <v>4370</v>
      </c>
      <c r="H925" t="s">
        <v>2287</v>
      </c>
      <c r="I925" t="s">
        <v>3827</v>
      </c>
    </row>
    <row r="926" spans="1:9">
      <c r="A926" s="92" t="s">
        <v>4369</v>
      </c>
      <c r="B926" t="s">
        <v>1920</v>
      </c>
      <c r="C926" t="s">
        <v>2502</v>
      </c>
      <c r="D926" t="s">
        <v>2325</v>
      </c>
      <c r="E926" t="s">
        <v>2503</v>
      </c>
      <c r="F926" t="s">
        <v>2504</v>
      </c>
      <c r="G926" t="s">
        <v>4371</v>
      </c>
      <c r="H926" t="s">
        <v>108</v>
      </c>
      <c r="I926" t="s">
        <v>3827</v>
      </c>
    </row>
    <row r="927" spans="1:9">
      <c r="A927" s="92" t="s">
        <v>4369</v>
      </c>
      <c r="B927" t="s">
        <v>1920</v>
      </c>
      <c r="C927" t="s">
        <v>2341</v>
      </c>
      <c r="D927" t="s">
        <v>2342</v>
      </c>
      <c r="E927" t="s">
        <v>2343</v>
      </c>
      <c r="F927" t="s">
        <v>2344</v>
      </c>
      <c r="G927" t="s">
        <v>4325</v>
      </c>
      <c r="I927" t="s">
        <v>3827</v>
      </c>
    </row>
    <row r="928" spans="1:9">
      <c r="A928" s="92" t="s">
        <v>4369</v>
      </c>
      <c r="B928" t="s">
        <v>1920</v>
      </c>
      <c r="C928" t="s">
        <v>2341</v>
      </c>
      <c r="D928" t="s">
        <v>2342</v>
      </c>
      <c r="E928" t="s">
        <v>2343</v>
      </c>
      <c r="F928" t="s">
        <v>2344</v>
      </c>
      <c r="G928" t="s">
        <v>4371</v>
      </c>
      <c r="H928" t="s">
        <v>108</v>
      </c>
      <c r="I928" t="s">
        <v>3827</v>
      </c>
    </row>
    <row r="929" spans="1:9">
      <c r="A929" s="92" t="s">
        <v>4369</v>
      </c>
      <c r="B929" t="s">
        <v>1920</v>
      </c>
      <c r="C929" t="s">
        <v>2345</v>
      </c>
      <c r="D929" t="s">
        <v>2346</v>
      </c>
      <c r="E929" t="s">
        <v>2285</v>
      </c>
      <c r="F929" t="s">
        <v>2347</v>
      </c>
      <c r="G929" t="s">
        <v>4370</v>
      </c>
      <c r="H929" t="s">
        <v>2287</v>
      </c>
      <c r="I929" t="s">
        <v>3827</v>
      </c>
    </row>
    <row r="930" spans="1:9">
      <c r="A930" s="92" t="s">
        <v>4369</v>
      </c>
      <c r="B930" t="s">
        <v>1920</v>
      </c>
      <c r="C930" t="s">
        <v>2348</v>
      </c>
      <c r="E930" t="s">
        <v>2292</v>
      </c>
      <c r="G930" t="s">
        <v>4370</v>
      </c>
      <c r="H930" t="s">
        <v>2293</v>
      </c>
      <c r="I930" t="s">
        <v>3827</v>
      </c>
    </row>
    <row r="931" spans="1:9">
      <c r="A931" s="92" t="s">
        <v>4369</v>
      </c>
      <c r="B931" t="s">
        <v>1920</v>
      </c>
      <c r="C931" t="s">
        <v>2505</v>
      </c>
      <c r="D931" t="s">
        <v>2291</v>
      </c>
      <c r="E931" t="s">
        <v>108</v>
      </c>
      <c r="G931" t="s">
        <v>4371</v>
      </c>
      <c r="H931" t="s">
        <v>108</v>
      </c>
      <c r="I931" t="s">
        <v>3827</v>
      </c>
    </row>
    <row r="932" spans="1:9">
      <c r="A932" s="92" t="s">
        <v>4369</v>
      </c>
      <c r="B932" t="s">
        <v>1920</v>
      </c>
      <c r="C932" t="s">
        <v>2506</v>
      </c>
      <c r="D932" t="s">
        <v>2346</v>
      </c>
      <c r="E932" t="s">
        <v>2507</v>
      </c>
      <c r="F932" t="s">
        <v>2508</v>
      </c>
      <c r="G932" t="s">
        <v>4371</v>
      </c>
      <c r="H932" t="s">
        <v>2507</v>
      </c>
      <c r="I932" t="s">
        <v>3827</v>
      </c>
    </row>
    <row r="933" spans="1:9">
      <c r="A933" s="92" t="s">
        <v>4372</v>
      </c>
      <c r="B933" t="s">
        <v>1875</v>
      </c>
      <c r="C933" t="s">
        <v>2291</v>
      </c>
      <c r="D933" t="s">
        <v>2291</v>
      </c>
      <c r="E933" t="s">
        <v>2292</v>
      </c>
      <c r="F933" t="s">
        <v>2573</v>
      </c>
      <c r="G933" t="s">
        <v>4373</v>
      </c>
      <c r="H933" t="s">
        <v>2519</v>
      </c>
      <c r="I933" t="s">
        <v>3756</v>
      </c>
    </row>
    <row r="934" spans="1:9">
      <c r="A934" s="92" t="s">
        <v>4372</v>
      </c>
      <c r="B934" t="s">
        <v>1875</v>
      </c>
      <c r="C934" t="s">
        <v>2247</v>
      </c>
      <c r="D934" t="s">
        <v>2248</v>
      </c>
      <c r="G934" t="s">
        <v>4325</v>
      </c>
      <c r="I934" t="s">
        <v>3756</v>
      </c>
    </row>
    <row r="935" spans="1:9">
      <c r="A935" s="92" t="s">
        <v>4372</v>
      </c>
      <c r="B935" t="s">
        <v>1875</v>
      </c>
      <c r="C935" t="s">
        <v>2252</v>
      </c>
      <c r="D935" t="s">
        <v>2248</v>
      </c>
      <c r="G935" t="s">
        <v>4325</v>
      </c>
      <c r="I935" t="s">
        <v>3756</v>
      </c>
    </row>
    <row r="936" spans="1:9">
      <c r="A936" s="92" t="s">
        <v>4372</v>
      </c>
      <c r="B936" t="s">
        <v>1878</v>
      </c>
      <c r="C936" t="s">
        <v>2254</v>
      </c>
      <c r="D936" t="s">
        <v>2248</v>
      </c>
      <c r="G936" t="s">
        <v>4326</v>
      </c>
      <c r="I936" t="s">
        <v>3760</v>
      </c>
    </row>
    <row r="937" spans="1:9">
      <c r="A937" s="92" t="s">
        <v>4372</v>
      </c>
      <c r="B937" t="s">
        <v>1878</v>
      </c>
      <c r="C937" t="s">
        <v>2256</v>
      </c>
      <c r="D937" t="s">
        <v>2257</v>
      </c>
      <c r="G937" t="s">
        <v>4325</v>
      </c>
      <c r="I937" t="s">
        <v>3760</v>
      </c>
    </row>
    <row r="938" spans="1:9">
      <c r="A938" s="92" t="s">
        <v>4372</v>
      </c>
      <c r="B938" t="s">
        <v>1878</v>
      </c>
      <c r="C938" t="s">
        <v>2258</v>
      </c>
      <c r="D938" t="s">
        <v>2257</v>
      </c>
      <c r="G938" t="s">
        <v>4325</v>
      </c>
      <c r="I938" t="s">
        <v>3760</v>
      </c>
    </row>
    <row r="939" spans="1:9">
      <c r="A939" s="92" t="s">
        <v>4372</v>
      </c>
      <c r="B939" t="s">
        <v>1878</v>
      </c>
      <c r="C939" t="s">
        <v>2259</v>
      </c>
      <c r="D939" t="s">
        <v>2248</v>
      </c>
      <c r="G939" t="s">
        <v>4326</v>
      </c>
      <c r="I939" t="s">
        <v>3760</v>
      </c>
    </row>
    <row r="940" spans="1:9">
      <c r="A940" s="92" t="s">
        <v>4372</v>
      </c>
      <c r="B940" t="s">
        <v>1878</v>
      </c>
      <c r="C940" t="s">
        <v>2260</v>
      </c>
      <c r="D940" t="s">
        <v>2257</v>
      </c>
      <c r="G940" t="s">
        <v>4325</v>
      </c>
      <c r="I940" t="s">
        <v>3760</v>
      </c>
    </row>
    <row r="941" spans="1:9">
      <c r="A941" s="92" t="s">
        <v>4372</v>
      </c>
      <c r="B941" t="s">
        <v>1878</v>
      </c>
      <c r="C941" t="s">
        <v>2261</v>
      </c>
      <c r="D941" t="s">
        <v>2248</v>
      </c>
      <c r="G941" t="s">
        <v>4325</v>
      </c>
      <c r="I941" t="s">
        <v>3760</v>
      </c>
    </row>
    <row r="942" spans="1:9">
      <c r="A942" s="92" t="s">
        <v>4372</v>
      </c>
      <c r="B942" t="s">
        <v>1878</v>
      </c>
      <c r="C942" t="s">
        <v>2262</v>
      </c>
      <c r="D942" t="s">
        <v>2248</v>
      </c>
      <c r="G942" t="s">
        <v>4326</v>
      </c>
      <c r="I942" t="s">
        <v>3760</v>
      </c>
    </row>
    <row r="943" spans="1:9">
      <c r="A943" s="92" t="s">
        <v>4372</v>
      </c>
      <c r="B943" t="s">
        <v>1878</v>
      </c>
      <c r="C943" t="s">
        <v>2263</v>
      </c>
      <c r="D943" t="s">
        <v>2248</v>
      </c>
      <c r="G943" t="s">
        <v>4326</v>
      </c>
      <c r="I943" t="s">
        <v>3760</v>
      </c>
    </row>
    <row r="944" spans="1:9">
      <c r="A944" s="92" t="s">
        <v>4372</v>
      </c>
      <c r="B944" t="s">
        <v>1878</v>
      </c>
      <c r="C944" t="s">
        <v>2264</v>
      </c>
      <c r="D944" t="s">
        <v>2248</v>
      </c>
      <c r="G944" t="s">
        <v>4326</v>
      </c>
      <c r="I944" t="s">
        <v>3760</v>
      </c>
    </row>
    <row r="945" spans="1:9">
      <c r="A945" s="92" t="s">
        <v>4372</v>
      </c>
      <c r="B945" t="s">
        <v>1878</v>
      </c>
      <c r="C945" t="s">
        <v>2265</v>
      </c>
      <c r="D945" t="s">
        <v>2257</v>
      </c>
      <c r="G945" t="s">
        <v>4326</v>
      </c>
      <c r="I945" t="s">
        <v>3760</v>
      </c>
    </row>
    <row r="946" spans="1:9">
      <c r="A946" s="92" t="s">
        <v>4372</v>
      </c>
      <c r="B946" t="s">
        <v>1878</v>
      </c>
      <c r="C946" t="s">
        <v>2291</v>
      </c>
      <c r="D946" t="s">
        <v>2291</v>
      </c>
      <c r="E946" t="s">
        <v>2292</v>
      </c>
      <c r="F946" t="s">
        <v>2575</v>
      </c>
      <c r="G946" t="s">
        <v>4373</v>
      </c>
      <c r="H946" t="s">
        <v>2519</v>
      </c>
      <c r="I946" t="s">
        <v>3760</v>
      </c>
    </row>
    <row r="947" spans="1:9">
      <c r="A947" s="92" t="s">
        <v>4372</v>
      </c>
      <c r="B947" t="s">
        <v>1881</v>
      </c>
      <c r="C947" t="s">
        <v>2291</v>
      </c>
      <c r="D947" t="s">
        <v>2291</v>
      </c>
      <c r="E947" t="s">
        <v>2292</v>
      </c>
      <c r="F947" t="s">
        <v>2573</v>
      </c>
      <c r="G947" t="s">
        <v>4373</v>
      </c>
      <c r="H947" t="s">
        <v>2519</v>
      </c>
      <c r="I947" t="s">
        <v>3764</v>
      </c>
    </row>
    <row r="948" spans="1:9">
      <c r="A948" s="92" t="s">
        <v>4372</v>
      </c>
      <c r="B948" t="s">
        <v>1884</v>
      </c>
      <c r="C948" t="s">
        <v>2291</v>
      </c>
      <c r="D948" t="s">
        <v>2291</v>
      </c>
      <c r="E948" t="s">
        <v>2292</v>
      </c>
      <c r="F948" t="s">
        <v>2578</v>
      </c>
      <c r="G948" t="s">
        <v>4373</v>
      </c>
      <c r="H948" t="s">
        <v>2519</v>
      </c>
      <c r="I948" t="s">
        <v>3768</v>
      </c>
    </row>
    <row r="949" spans="1:9">
      <c r="A949" s="92" t="s">
        <v>4372</v>
      </c>
      <c r="B949" t="s">
        <v>1884</v>
      </c>
      <c r="C949" t="s">
        <v>2267</v>
      </c>
      <c r="D949" t="s">
        <v>2248</v>
      </c>
      <c r="G949" t="s">
        <v>4325</v>
      </c>
      <c r="I949" t="s">
        <v>3768</v>
      </c>
    </row>
    <row r="950" spans="1:9">
      <c r="A950" s="92" t="s">
        <v>4372</v>
      </c>
      <c r="B950" t="s">
        <v>1886</v>
      </c>
      <c r="C950" t="s">
        <v>2291</v>
      </c>
      <c r="D950" t="s">
        <v>2291</v>
      </c>
      <c r="E950" t="s">
        <v>2292</v>
      </c>
      <c r="F950" t="s">
        <v>2575</v>
      </c>
      <c r="G950" t="s">
        <v>4373</v>
      </c>
      <c r="H950" t="s">
        <v>2519</v>
      </c>
      <c r="I950" t="s">
        <v>3772</v>
      </c>
    </row>
    <row r="951" spans="1:9">
      <c r="A951" s="92" t="s">
        <v>4372</v>
      </c>
      <c r="B951" t="s">
        <v>1890</v>
      </c>
      <c r="C951" t="s">
        <v>2291</v>
      </c>
      <c r="D951" t="s">
        <v>2291</v>
      </c>
      <c r="E951" t="s">
        <v>2292</v>
      </c>
      <c r="F951" t="s">
        <v>2575</v>
      </c>
      <c r="G951" t="s">
        <v>4373</v>
      </c>
      <c r="H951" t="s">
        <v>2519</v>
      </c>
      <c r="I951" t="s">
        <v>3776</v>
      </c>
    </row>
    <row r="952" spans="1:9">
      <c r="A952" s="92" t="s">
        <v>4372</v>
      </c>
      <c r="B952" t="s">
        <v>1890</v>
      </c>
      <c r="C952" t="s">
        <v>2269</v>
      </c>
      <c r="D952" t="s">
        <v>2248</v>
      </c>
      <c r="G952" t="s">
        <v>4325</v>
      </c>
      <c r="I952" t="s">
        <v>3776</v>
      </c>
    </row>
    <row r="953" spans="1:9">
      <c r="A953" s="92" t="s">
        <v>4372</v>
      </c>
      <c r="B953" t="s">
        <v>1890</v>
      </c>
      <c r="C953" t="s">
        <v>2270</v>
      </c>
      <c r="D953" t="s">
        <v>2248</v>
      </c>
      <c r="G953" t="s">
        <v>4325</v>
      </c>
      <c r="I953" t="s">
        <v>3776</v>
      </c>
    </row>
    <row r="954" spans="1:9">
      <c r="A954" s="92" t="s">
        <v>4372</v>
      </c>
      <c r="B954" t="s">
        <v>1890</v>
      </c>
      <c r="C954" t="s">
        <v>2271</v>
      </c>
      <c r="D954" t="s">
        <v>2248</v>
      </c>
      <c r="G954" t="s">
        <v>4325</v>
      </c>
      <c r="I954" t="s">
        <v>3776</v>
      </c>
    </row>
    <row r="955" spans="1:9">
      <c r="A955" s="92" t="s">
        <v>4372</v>
      </c>
      <c r="B955" t="s">
        <v>1890</v>
      </c>
      <c r="C955" t="s">
        <v>2272</v>
      </c>
      <c r="D955" t="s">
        <v>2248</v>
      </c>
      <c r="G955" t="s">
        <v>4325</v>
      </c>
      <c r="I955" t="s">
        <v>3776</v>
      </c>
    </row>
    <row r="956" spans="1:9">
      <c r="A956" s="92" t="s">
        <v>4372</v>
      </c>
      <c r="B956" t="s">
        <v>1890</v>
      </c>
      <c r="C956" t="s">
        <v>2273</v>
      </c>
      <c r="D956" t="s">
        <v>2248</v>
      </c>
      <c r="G956" t="s">
        <v>4325</v>
      </c>
      <c r="I956" t="s">
        <v>3776</v>
      </c>
    </row>
    <row r="957" spans="1:9">
      <c r="A957" s="92" t="s">
        <v>4372</v>
      </c>
      <c r="B957" t="s">
        <v>1890</v>
      </c>
      <c r="C957" t="s">
        <v>2274</v>
      </c>
      <c r="D957" t="s">
        <v>2248</v>
      </c>
      <c r="G957" t="s">
        <v>4325</v>
      </c>
      <c r="I957" t="s">
        <v>3776</v>
      </c>
    </row>
    <row r="958" spans="1:9">
      <c r="A958" s="92" t="s">
        <v>4372</v>
      </c>
      <c r="B958" t="s">
        <v>1890</v>
      </c>
      <c r="C958" t="s">
        <v>2275</v>
      </c>
      <c r="D958" t="s">
        <v>2248</v>
      </c>
      <c r="G958" t="s">
        <v>4325</v>
      </c>
      <c r="I958" t="s">
        <v>3776</v>
      </c>
    </row>
    <row r="959" spans="1:9">
      <c r="A959" s="92" t="s">
        <v>4372</v>
      </c>
      <c r="B959" t="s">
        <v>1890</v>
      </c>
      <c r="C959" t="s">
        <v>2276</v>
      </c>
      <c r="D959" t="s">
        <v>2248</v>
      </c>
      <c r="G959" t="s">
        <v>4325</v>
      </c>
      <c r="I959" t="s">
        <v>3776</v>
      </c>
    </row>
    <row r="960" spans="1:9">
      <c r="A960" s="92" t="s">
        <v>4372</v>
      </c>
      <c r="B960" t="s">
        <v>1892</v>
      </c>
      <c r="C960" t="s">
        <v>2291</v>
      </c>
      <c r="D960" t="s">
        <v>2291</v>
      </c>
      <c r="E960" t="s">
        <v>2292</v>
      </c>
      <c r="F960" t="s">
        <v>2575</v>
      </c>
      <c r="G960" t="s">
        <v>4373</v>
      </c>
      <c r="H960" t="s">
        <v>2519</v>
      </c>
      <c r="I960" t="s">
        <v>3780</v>
      </c>
    </row>
    <row r="961" spans="1:9">
      <c r="A961" s="92" t="s">
        <v>4372</v>
      </c>
      <c r="B961" t="s">
        <v>1892</v>
      </c>
      <c r="C961" t="s">
        <v>2278</v>
      </c>
      <c r="D961" t="s">
        <v>2279</v>
      </c>
      <c r="G961" t="s">
        <v>4327</v>
      </c>
      <c r="I961" t="s">
        <v>3780</v>
      </c>
    </row>
    <row r="962" spans="1:9">
      <c r="A962" s="92" t="s">
        <v>4372</v>
      </c>
      <c r="B962" t="s">
        <v>1892</v>
      </c>
      <c r="C962" t="s">
        <v>2281</v>
      </c>
      <c r="D962" t="s">
        <v>2248</v>
      </c>
      <c r="G962" t="s">
        <v>4325</v>
      </c>
      <c r="I962" t="s">
        <v>3780</v>
      </c>
    </row>
    <row r="963" spans="1:9">
      <c r="A963" s="92" t="s">
        <v>4372</v>
      </c>
      <c r="B963" t="s">
        <v>1893</v>
      </c>
      <c r="C963" t="s">
        <v>2291</v>
      </c>
      <c r="D963" t="s">
        <v>2291</v>
      </c>
      <c r="E963" t="s">
        <v>2292</v>
      </c>
      <c r="F963" t="s">
        <v>2575</v>
      </c>
      <c r="G963" t="s">
        <v>4373</v>
      </c>
      <c r="H963" t="s">
        <v>2519</v>
      </c>
      <c r="I963" t="s">
        <v>3784</v>
      </c>
    </row>
    <row r="964" spans="1:9">
      <c r="A964" s="92" t="s">
        <v>4372</v>
      </c>
      <c r="B964" t="s">
        <v>1894</v>
      </c>
      <c r="C964" t="s">
        <v>2355</v>
      </c>
      <c r="D964" t="s">
        <v>2356</v>
      </c>
      <c r="E964" t="s">
        <v>1565</v>
      </c>
      <c r="F964" t="s">
        <v>2358</v>
      </c>
      <c r="G964" t="s">
        <v>4342</v>
      </c>
      <c r="H964" t="s">
        <v>1565</v>
      </c>
      <c r="I964" t="s">
        <v>3787</v>
      </c>
    </row>
    <row r="965" spans="1:9">
      <c r="A965" s="92" t="s">
        <v>4372</v>
      </c>
      <c r="B965" t="s">
        <v>1894</v>
      </c>
      <c r="C965" t="s">
        <v>2516</v>
      </c>
      <c r="D965" t="s">
        <v>2291</v>
      </c>
      <c r="E965" t="s">
        <v>1215</v>
      </c>
      <c r="G965" t="s">
        <v>4374</v>
      </c>
      <c r="H965" t="s">
        <v>1215</v>
      </c>
      <c r="I965" t="s">
        <v>3787</v>
      </c>
    </row>
    <row r="966" spans="1:9">
      <c r="A966" s="92" t="s">
        <v>4372</v>
      </c>
      <c r="B966" t="s">
        <v>1894</v>
      </c>
      <c r="C966" t="s">
        <v>2398</v>
      </c>
      <c r="E966" t="s">
        <v>2399</v>
      </c>
      <c r="G966" t="s">
        <v>4374</v>
      </c>
      <c r="H966" t="s">
        <v>2517</v>
      </c>
      <c r="I966" t="s">
        <v>3787</v>
      </c>
    </row>
    <row r="967" spans="1:9">
      <c r="A967" s="92" t="s">
        <v>4372</v>
      </c>
      <c r="B967" t="s">
        <v>1894</v>
      </c>
      <c r="C967" t="s">
        <v>2400</v>
      </c>
      <c r="D967" t="s">
        <v>2284</v>
      </c>
      <c r="E967" t="s">
        <v>108</v>
      </c>
      <c r="G967" t="s">
        <v>4374</v>
      </c>
      <c r="H967" t="s">
        <v>108</v>
      </c>
      <c r="I967" t="s">
        <v>3787</v>
      </c>
    </row>
    <row r="968" spans="1:9">
      <c r="A968" s="92" t="s">
        <v>4372</v>
      </c>
      <c r="B968" t="s">
        <v>1894</v>
      </c>
      <c r="C968" t="s">
        <v>2401</v>
      </c>
      <c r="D968" t="s">
        <v>2402</v>
      </c>
      <c r="E968" t="s">
        <v>2403</v>
      </c>
      <c r="F968" t="s">
        <v>2404</v>
      </c>
      <c r="G968" t="s">
        <v>4374</v>
      </c>
      <c r="H968" t="s">
        <v>2403</v>
      </c>
      <c r="I968" t="s">
        <v>3787</v>
      </c>
    </row>
    <row r="969" spans="1:9">
      <c r="A969" s="92" t="s">
        <v>4372</v>
      </c>
      <c r="B969" t="s">
        <v>1894</v>
      </c>
      <c r="C969" t="s">
        <v>2405</v>
      </c>
      <c r="E969" t="s">
        <v>108</v>
      </c>
      <c r="G969" t="s">
        <v>4374</v>
      </c>
      <c r="H969" t="s">
        <v>108</v>
      </c>
      <c r="I969" t="s">
        <v>3787</v>
      </c>
    </row>
    <row r="970" spans="1:9">
      <c r="A970" s="92" t="s">
        <v>4372</v>
      </c>
      <c r="B970" t="s">
        <v>1895</v>
      </c>
      <c r="C970" t="s">
        <v>2407</v>
      </c>
      <c r="D970" t="s">
        <v>2296</v>
      </c>
      <c r="E970" t="s">
        <v>108</v>
      </c>
      <c r="G970" t="s">
        <v>4374</v>
      </c>
      <c r="H970" t="s">
        <v>108</v>
      </c>
      <c r="I970" t="s">
        <v>3791</v>
      </c>
    </row>
    <row r="971" spans="1:9">
      <c r="A971" s="92" t="s">
        <v>4372</v>
      </c>
      <c r="B971" t="s">
        <v>1895</v>
      </c>
      <c r="C971" t="s">
        <v>2409</v>
      </c>
      <c r="D971" t="s">
        <v>2410</v>
      </c>
      <c r="E971" t="s">
        <v>108</v>
      </c>
      <c r="F971" t="s">
        <v>2411</v>
      </c>
      <c r="G971" t="s">
        <v>4374</v>
      </c>
      <c r="H971" t="s">
        <v>108</v>
      </c>
      <c r="I971" t="s">
        <v>3791</v>
      </c>
    </row>
    <row r="972" spans="1:9">
      <c r="A972" s="92" t="s">
        <v>4372</v>
      </c>
      <c r="B972" t="s">
        <v>1895</v>
      </c>
      <c r="C972" t="s">
        <v>2412</v>
      </c>
      <c r="D972" t="s">
        <v>2410</v>
      </c>
      <c r="E972" t="s">
        <v>108</v>
      </c>
      <c r="G972" t="s">
        <v>4374</v>
      </c>
      <c r="H972" t="s">
        <v>108</v>
      </c>
      <c r="I972" t="s">
        <v>3791</v>
      </c>
    </row>
    <row r="973" spans="1:9">
      <c r="A973" s="92" t="s">
        <v>4372</v>
      </c>
      <c r="B973" t="s">
        <v>1895</v>
      </c>
      <c r="C973" t="s">
        <v>2290</v>
      </c>
      <c r="D973" t="s">
        <v>2291</v>
      </c>
      <c r="E973" t="s">
        <v>2292</v>
      </c>
      <c r="G973" t="s">
        <v>4373</v>
      </c>
      <c r="H973" t="s">
        <v>2519</v>
      </c>
      <c r="I973" t="s">
        <v>3791</v>
      </c>
    </row>
    <row r="974" spans="1:9">
      <c r="A974" s="92" t="s">
        <v>4372</v>
      </c>
      <c r="B974" t="s">
        <v>1895</v>
      </c>
      <c r="C974" t="s">
        <v>2414</v>
      </c>
      <c r="D974" t="s">
        <v>2415</v>
      </c>
      <c r="E974" t="s">
        <v>108</v>
      </c>
      <c r="F974" t="s">
        <v>2416</v>
      </c>
      <c r="G974" t="s">
        <v>4374</v>
      </c>
      <c r="H974" t="s">
        <v>108</v>
      </c>
      <c r="I974" t="s">
        <v>3791</v>
      </c>
    </row>
    <row r="975" spans="1:9">
      <c r="A975" s="92" t="s">
        <v>4372</v>
      </c>
      <c r="B975" t="s">
        <v>3567</v>
      </c>
      <c r="C975" t="s">
        <v>2418</v>
      </c>
      <c r="D975" t="s">
        <v>2363</v>
      </c>
      <c r="E975" t="s">
        <v>108</v>
      </c>
      <c r="G975" t="s">
        <v>4374</v>
      </c>
      <c r="H975" t="s">
        <v>108</v>
      </c>
      <c r="I975" t="s">
        <v>3795</v>
      </c>
    </row>
    <row r="976" spans="1:9">
      <c r="A976" s="92" t="s">
        <v>4372</v>
      </c>
      <c r="B976" t="s">
        <v>3567</v>
      </c>
      <c r="C976" t="s">
        <v>2362</v>
      </c>
      <c r="D976" t="s">
        <v>2363</v>
      </c>
      <c r="E976" t="s">
        <v>2364</v>
      </c>
      <c r="G976" t="s">
        <v>4374</v>
      </c>
      <c r="H976" t="s">
        <v>108</v>
      </c>
      <c r="I976" t="s">
        <v>3795</v>
      </c>
    </row>
    <row r="977" spans="1:9">
      <c r="A977" s="92" t="s">
        <v>4372</v>
      </c>
      <c r="B977" t="s">
        <v>3567</v>
      </c>
      <c r="C977" t="s">
        <v>2420</v>
      </c>
      <c r="D977" t="s">
        <v>2363</v>
      </c>
      <c r="E977" t="s">
        <v>2421</v>
      </c>
      <c r="F977" t="s">
        <v>2422</v>
      </c>
      <c r="G977" t="s">
        <v>4374</v>
      </c>
      <c r="H977" t="s">
        <v>108</v>
      </c>
      <c r="I977" t="s">
        <v>3795</v>
      </c>
    </row>
    <row r="978" spans="1:9">
      <c r="A978" s="92" t="s">
        <v>4372</v>
      </c>
      <c r="B978" t="s">
        <v>3567</v>
      </c>
      <c r="C978" t="s">
        <v>2423</v>
      </c>
      <c r="D978" t="s">
        <v>2363</v>
      </c>
      <c r="E978" t="s">
        <v>108</v>
      </c>
      <c r="G978" t="s">
        <v>4374</v>
      </c>
      <c r="H978" t="s">
        <v>108</v>
      </c>
      <c r="I978" t="s">
        <v>3795</v>
      </c>
    </row>
    <row r="979" spans="1:9">
      <c r="A979" s="92" t="s">
        <v>4372</v>
      </c>
      <c r="B979" t="s">
        <v>1901</v>
      </c>
      <c r="C979" t="s">
        <v>2425</v>
      </c>
      <c r="D979" t="s">
        <v>2426</v>
      </c>
      <c r="E979" t="s">
        <v>2427</v>
      </c>
      <c r="G979" t="s">
        <v>4374</v>
      </c>
      <c r="H979" t="s">
        <v>108</v>
      </c>
      <c r="I979" t="s">
        <v>3799</v>
      </c>
    </row>
    <row r="980" spans="1:9">
      <c r="A980" s="92" t="s">
        <v>4372</v>
      </c>
      <c r="B980" t="s">
        <v>1901</v>
      </c>
      <c r="C980" t="s">
        <v>2369</v>
      </c>
      <c r="E980" t="s">
        <v>552</v>
      </c>
      <c r="F980" t="s">
        <v>2370</v>
      </c>
      <c r="G980" t="s">
        <v>4342</v>
      </c>
      <c r="H980" t="s">
        <v>552</v>
      </c>
      <c r="I980" t="s">
        <v>3799</v>
      </c>
    </row>
    <row r="981" spans="1:9">
      <c r="A981" s="92" t="s">
        <v>4372</v>
      </c>
      <c r="B981" t="s">
        <v>1901</v>
      </c>
      <c r="C981" t="s">
        <v>2428</v>
      </c>
      <c r="D981" t="s">
        <v>2426</v>
      </c>
      <c r="E981" t="s">
        <v>2429</v>
      </c>
      <c r="G981" t="s">
        <v>4374</v>
      </c>
      <c r="H981" t="s">
        <v>108</v>
      </c>
      <c r="I981" t="s">
        <v>3799</v>
      </c>
    </row>
    <row r="982" spans="1:9">
      <c r="A982" s="92" t="s">
        <v>4372</v>
      </c>
      <c r="B982" t="s">
        <v>1901</v>
      </c>
      <c r="C982" t="s">
        <v>2430</v>
      </c>
      <c r="D982" t="s">
        <v>2431</v>
      </c>
      <c r="E982" t="s">
        <v>108</v>
      </c>
      <c r="F982" t="s">
        <v>2432</v>
      </c>
      <c r="G982" t="s">
        <v>4374</v>
      </c>
      <c r="H982" t="s">
        <v>108</v>
      </c>
      <c r="I982" t="s">
        <v>3799</v>
      </c>
    </row>
    <row r="983" spans="1:9">
      <c r="A983" s="92" t="s">
        <v>4372</v>
      </c>
      <c r="B983" t="s">
        <v>1901</v>
      </c>
      <c r="C983" t="s">
        <v>2433</v>
      </c>
      <c r="D983" t="s">
        <v>2431</v>
      </c>
      <c r="E983" t="s">
        <v>108</v>
      </c>
      <c r="G983" t="s">
        <v>4374</v>
      </c>
      <c r="H983" t="s">
        <v>108</v>
      </c>
      <c r="I983" t="s">
        <v>3799</v>
      </c>
    </row>
    <row r="984" spans="1:9">
      <c r="A984" s="92" t="s">
        <v>4372</v>
      </c>
      <c r="B984" t="s">
        <v>1903</v>
      </c>
      <c r="C984" t="s">
        <v>2435</v>
      </c>
      <c r="D984" t="s">
        <v>2436</v>
      </c>
      <c r="E984" t="s">
        <v>108</v>
      </c>
      <c r="F984" t="s">
        <v>2437</v>
      </c>
      <c r="G984" t="s">
        <v>4374</v>
      </c>
      <c r="H984" t="s">
        <v>108</v>
      </c>
      <c r="I984" t="s">
        <v>3803</v>
      </c>
    </row>
    <row r="985" spans="1:9">
      <c r="A985" s="92" t="s">
        <v>4372</v>
      </c>
      <c r="B985" t="s">
        <v>1903</v>
      </c>
      <c r="C985" t="s">
        <v>2295</v>
      </c>
      <c r="D985" t="s">
        <v>2296</v>
      </c>
      <c r="E985" t="s">
        <v>2297</v>
      </c>
      <c r="G985" t="s">
        <v>4373</v>
      </c>
      <c r="H985" t="s">
        <v>2519</v>
      </c>
      <c r="I985" t="s">
        <v>3803</v>
      </c>
    </row>
    <row r="986" spans="1:9">
      <c r="A986" s="92" t="s">
        <v>4372</v>
      </c>
      <c r="B986" t="s">
        <v>1903</v>
      </c>
      <c r="C986" t="s">
        <v>2298</v>
      </c>
      <c r="D986" t="s">
        <v>2296</v>
      </c>
      <c r="E986" t="s">
        <v>2292</v>
      </c>
      <c r="G986" t="s">
        <v>4373</v>
      </c>
      <c r="H986" t="s">
        <v>2519</v>
      </c>
      <c r="I986" t="s">
        <v>3803</v>
      </c>
    </row>
    <row r="987" spans="1:9">
      <c r="A987" s="92" t="s">
        <v>4372</v>
      </c>
      <c r="B987" t="s">
        <v>1903</v>
      </c>
      <c r="C987" t="s">
        <v>2299</v>
      </c>
      <c r="D987" t="s">
        <v>2296</v>
      </c>
      <c r="E987" t="s">
        <v>2292</v>
      </c>
      <c r="G987" t="s">
        <v>4373</v>
      </c>
      <c r="H987" t="s">
        <v>2519</v>
      </c>
      <c r="I987" t="s">
        <v>3803</v>
      </c>
    </row>
    <row r="988" spans="1:9">
      <c r="A988" s="92" t="s">
        <v>4372</v>
      </c>
      <c r="B988" t="s">
        <v>1903</v>
      </c>
      <c r="C988" t="s">
        <v>2300</v>
      </c>
      <c r="D988" t="s">
        <v>2301</v>
      </c>
      <c r="E988" t="s">
        <v>2292</v>
      </c>
      <c r="G988" t="s">
        <v>4373</v>
      </c>
      <c r="H988" t="s">
        <v>2519</v>
      </c>
      <c r="I988" t="s">
        <v>3803</v>
      </c>
    </row>
    <row r="989" spans="1:9">
      <c r="A989" s="92" t="s">
        <v>4372</v>
      </c>
      <c r="B989" t="s">
        <v>1903</v>
      </c>
      <c r="C989" t="s">
        <v>2302</v>
      </c>
      <c r="E989" t="s">
        <v>2292</v>
      </c>
      <c r="G989" t="s">
        <v>4373</v>
      </c>
      <c r="H989" t="s">
        <v>2519</v>
      </c>
      <c r="I989" t="s">
        <v>3803</v>
      </c>
    </row>
    <row r="990" spans="1:9">
      <c r="A990" s="92" t="s">
        <v>4372</v>
      </c>
      <c r="B990" t="s">
        <v>1903</v>
      </c>
      <c r="C990" t="s">
        <v>2303</v>
      </c>
      <c r="E990" t="s">
        <v>2292</v>
      </c>
      <c r="G990" t="s">
        <v>4373</v>
      </c>
      <c r="H990" t="s">
        <v>2519</v>
      </c>
      <c r="I990" t="s">
        <v>3803</v>
      </c>
    </row>
    <row r="991" spans="1:9">
      <c r="A991" s="92" t="s">
        <v>4372</v>
      </c>
      <c r="B991" t="s">
        <v>1903</v>
      </c>
      <c r="C991" t="s">
        <v>2304</v>
      </c>
      <c r="E991" t="s">
        <v>2292</v>
      </c>
      <c r="G991" t="s">
        <v>4373</v>
      </c>
      <c r="H991" t="s">
        <v>2519</v>
      </c>
      <c r="I991" t="s">
        <v>3803</v>
      </c>
    </row>
    <row r="992" spans="1:9">
      <c r="A992" s="92" t="s">
        <v>4372</v>
      </c>
      <c r="B992" t="s">
        <v>1905</v>
      </c>
      <c r="C992" t="s">
        <v>2439</v>
      </c>
      <c r="D992" t="s">
        <v>2440</v>
      </c>
      <c r="E992" t="s">
        <v>108</v>
      </c>
      <c r="G992" t="s">
        <v>4374</v>
      </c>
      <c r="H992" t="s">
        <v>108</v>
      </c>
      <c r="I992" t="s">
        <v>3805</v>
      </c>
    </row>
    <row r="993" spans="1:9">
      <c r="A993" s="92" t="s">
        <v>4372</v>
      </c>
      <c r="B993" t="s">
        <v>1905</v>
      </c>
      <c r="C993" t="s">
        <v>2441</v>
      </c>
      <c r="D993" t="s">
        <v>2442</v>
      </c>
      <c r="E993" t="s">
        <v>2427</v>
      </c>
      <c r="G993" t="s">
        <v>4374</v>
      </c>
      <c r="H993" t="s">
        <v>108</v>
      </c>
      <c r="I993" t="s">
        <v>3805</v>
      </c>
    </row>
    <row r="994" spans="1:9">
      <c r="A994" s="92" t="s">
        <v>4372</v>
      </c>
      <c r="B994" t="s">
        <v>1905</v>
      </c>
      <c r="C994" t="s">
        <v>2443</v>
      </c>
      <c r="D994" t="s">
        <v>2440</v>
      </c>
      <c r="E994" t="s">
        <v>2444</v>
      </c>
      <c r="F994" t="s">
        <v>2445</v>
      </c>
      <c r="G994" t="s">
        <v>4374</v>
      </c>
      <c r="H994" t="s">
        <v>108</v>
      </c>
      <c r="I994" t="s">
        <v>3805</v>
      </c>
    </row>
    <row r="995" spans="1:9">
      <c r="A995" s="92" t="s">
        <v>4372</v>
      </c>
      <c r="B995" t="s">
        <v>1905</v>
      </c>
      <c r="C995" t="s">
        <v>2306</v>
      </c>
      <c r="D995" t="s">
        <v>2291</v>
      </c>
      <c r="E995" t="s">
        <v>2307</v>
      </c>
      <c r="G995" t="s">
        <v>4374</v>
      </c>
      <c r="H995" t="s">
        <v>108</v>
      </c>
      <c r="I995" t="s">
        <v>3805</v>
      </c>
    </row>
    <row r="996" spans="1:9">
      <c r="A996" s="92" t="s">
        <v>4372</v>
      </c>
      <c r="B996" t="s">
        <v>1905</v>
      </c>
      <c r="C996" t="s">
        <v>2310</v>
      </c>
      <c r="D996" t="s">
        <v>2291</v>
      </c>
      <c r="E996" t="s">
        <v>2311</v>
      </c>
      <c r="G996" t="s">
        <v>4373</v>
      </c>
      <c r="H996" t="s">
        <v>2373</v>
      </c>
      <c r="I996" t="s">
        <v>3805</v>
      </c>
    </row>
    <row r="997" spans="1:9">
      <c r="A997" s="92" t="s">
        <v>4372</v>
      </c>
      <c r="B997" t="s">
        <v>1905</v>
      </c>
      <c r="C997" t="s">
        <v>2313</v>
      </c>
      <c r="D997" t="s">
        <v>2291</v>
      </c>
      <c r="E997" t="s">
        <v>2292</v>
      </c>
      <c r="G997" t="s">
        <v>4373</v>
      </c>
      <c r="H997" t="s">
        <v>2519</v>
      </c>
      <c r="I997" t="s">
        <v>3805</v>
      </c>
    </row>
    <row r="998" spans="1:9">
      <c r="A998" s="92" t="s">
        <v>4372</v>
      </c>
      <c r="B998" t="s">
        <v>1905</v>
      </c>
      <c r="C998" t="s">
        <v>2314</v>
      </c>
      <c r="D998" t="s">
        <v>2291</v>
      </c>
      <c r="E998" t="s">
        <v>2292</v>
      </c>
      <c r="G998" t="s">
        <v>4373</v>
      </c>
      <c r="H998" t="s">
        <v>2519</v>
      </c>
      <c r="I998" t="s">
        <v>3805</v>
      </c>
    </row>
    <row r="999" spans="1:9">
      <c r="A999" s="92" t="s">
        <v>4372</v>
      </c>
      <c r="B999" t="s">
        <v>1905</v>
      </c>
      <c r="C999" t="s">
        <v>2447</v>
      </c>
      <c r="D999" t="s">
        <v>2440</v>
      </c>
      <c r="E999" t="s">
        <v>2403</v>
      </c>
      <c r="G999" t="s">
        <v>4374</v>
      </c>
      <c r="H999" t="s">
        <v>2403</v>
      </c>
      <c r="I999" t="s">
        <v>3805</v>
      </c>
    </row>
    <row r="1000" spans="1:9">
      <c r="A1000" s="92" t="s">
        <v>4372</v>
      </c>
      <c r="B1000" t="s">
        <v>1905</v>
      </c>
      <c r="C1000" t="s">
        <v>2448</v>
      </c>
      <c r="D1000" t="s">
        <v>2449</v>
      </c>
      <c r="E1000" t="s">
        <v>108</v>
      </c>
      <c r="G1000" t="s">
        <v>4374</v>
      </c>
      <c r="H1000" t="s">
        <v>108</v>
      </c>
      <c r="I1000" t="s">
        <v>3805</v>
      </c>
    </row>
    <row r="1001" spans="1:9">
      <c r="A1001" s="92" t="s">
        <v>4372</v>
      </c>
      <c r="B1001" t="s">
        <v>1908</v>
      </c>
      <c r="C1001" t="s">
        <v>2451</v>
      </c>
      <c r="E1001" t="s">
        <v>2403</v>
      </c>
      <c r="G1001" t="s">
        <v>4374</v>
      </c>
      <c r="H1001" t="s">
        <v>2403</v>
      </c>
      <c r="I1001" t="s">
        <v>3807</v>
      </c>
    </row>
    <row r="1002" spans="1:9">
      <c r="A1002" s="92" t="s">
        <v>4372</v>
      </c>
      <c r="B1002" t="s">
        <v>1908</v>
      </c>
      <c r="C1002" t="s">
        <v>2375</v>
      </c>
      <c r="E1002" t="s">
        <v>2376</v>
      </c>
      <c r="G1002" t="s">
        <v>4342</v>
      </c>
      <c r="H1002" t="s">
        <v>2376</v>
      </c>
      <c r="I1002" t="s">
        <v>3807</v>
      </c>
    </row>
    <row r="1003" spans="1:9">
      <c r="A1003" s="92" t="s">
        <v>4372</v>
      </c>
      <c r="B1003" t="s">
        <v>1908</v>
      </c>
      <c r="C1003" t="s">
        <v>2452</v>
      </c>
      <c r="D1003" t="s">
        <v>2440</v>
      </c>
      <c r="E1003" t="s">
        <v>108</v>
      </c>
      <c r="G1003" t="s">
        <v>4374</v>
      </c>
      <c r="H1003" t="s">
        <v>108</v>
      </c>
      <c r="I1003" t="s">
        <v>3807</v>
      </c>
    </row>
    <row r="1004" spans="1:9">
      <c r="A1004" s="92" t="s">
        <v>4372</v>
      </c>
      <c r="B1004" t="s">
        <v>1908</v>
      </c>
      <c r="C1004" t="s">
        <v>2453</v>
      </c>
      <c r="D1004" t="s">
        <v>2440</v>
      </c>
      <c r="E1004" t="s">
        <v>108</v>
      </c>
      <c r="G1004" t="s">
        <v>4374</v>
      </c>
      <c r="H1004" t="s">
        <v>108</v>
      </c>
      <c r="I1004" t="s">
        <v>3807</v>
      </c>
    </row>
    <row r="1005" spans="1:9">
      <c r="A1005" s="92" t="s">
        <v>4372</v>
      </c>
      <c r="B1005" t="s">
        <v>1908</v>
      </c>
      <c r="C1005" t="s">
        <v>2454</v>
      </c>
      <c r="D1005" t="s">
        <v>2301</v>
      </c>
      <c r="E1005" t="s">
        <v>108</v>
      </c>
      <c r="G1005" t="s">
        <v>4374</v>
      </c>
      <c r="H1005" t="s">
        <v>108</v>
      </c>
      <c r="I1005" t="s">
        <v>3807</v>
      </c>
    </row>
    <row r="1006" spans="1:9">
      <c r="A1006" s="92" t="s">
        <v>4372</v>
      </c>
      <c r="B1006" t="s">
        <v>1908</v>
      </c>
      <c r="C1006" t="s">
        <v>2455</v>
      </c>
      <c r="D1006" t="s">
        <v>2456</v>
      </c>
      <c r="E1006" t="s">
        <v>2403</v>
      </c>
      <c r="G1006" t="s">
        <v>4374</v>
      </c>
      <c r="H1006" t="s">
        <v>2403</v>
      </c>
      <c r="I1006" t="s">
        <v>3807</v>
      </c>
    </row>
    <row r="1007" spans="1:9">
      <c r="A1007" s="92" t="s">
        <v>4372</v>
      </c>
      <c r="B1007" t="s">
        <v>1908</v>
      </c>
      <c r="C1007" t="s">
        <v>2457</v>
      </c>
      <c r="D1007" t="s">
        <v>2456</v>
      </c>
      <c r="E1007" t="s">
        <v>2403</v>
      </c>
      <c r="G1007" t="s">
        <v>4374</v>
      </c>
      <c r="H1007" t="s">
        <v>2403</v>
      </c>
      <c r="I1007" t="s">
        <v>3807</v>
      </c>
    </row>
    <row r="1008" spans="1:9">
      <c r="A1008" s="92" t="s">
        <v>4372</v>
      </c>
      <c r="B1008" t="s">
        <v>1908</v>
      </c>
      <c r="C1008" t="s">
        <v>2316</v>
      </c>
      <c r="D1008" t="s">
        <v>2291</v>
      </c>
      <c r="E1008" t="s">
        <v>2292</v>
      </c>
      <c r="G1008" t="s">
        <v>4373</v>
      </c>
      <c r="H1008" t="s">
        <v>2519</v>
      </c>
      <c r="I1008" t="s">
        <v>3807</v>
      </c>
    </row>
    <row r="1009" spans="1:9">
      <c r="A1009" s="92" t="s">
        <v>4372</v>
      </c>
      <c r="B1009" t="s">
        <v>1908</v>
      </c>
      <c r="C1009" t="s">
        <v>2458</v>
      </c>
      <c r="D1009" t="s">
        <v>2456</v>
      </c>
      <c r="E1009" t="s">
        <v>108</v>
      </c>
      <c r="F1009" t="s">
        <v>2459</v>
      </c>
      <c r="G1009" t="s">
        <v>4374</v>
      </c>
      <c r="H1009" t="s">
        <v>108</v>
      </c>
      <c r="I1009" t="s">
        <v>3807</v>
      </c>
    </row>
    <row r="1010" spans="1:9">
      <c r="A1010" s="92" t="s">
        <v>4372</v>
      </c>
      <c r="B1010" t="s">
        <v>1909</v>
      </c>
      <c r="C1010" t="s">
        <v>2461</v>
      </c>
      <c r="D1010" t="s">
        <v>2462</v>
      </c>
      <c r="E1010" t="s">
        <v>108</v>
      </c>
      <c r="G1010" t="s">
        <v>4374</v>
      </c>
      <c r="H1010" t="s">
        <v>108</v>
      </c>
      <c r="I1010" t="s">
        <v>3811</v>
      </c>
    </row>
    <row r="1011" spans="1:9">
      <c r="A1011" s="92" t="s">
        <v>4372</v>
      </c>
      <c r="B1011" t="s">
        <v>1909</v>
      </c>
      <c r="C1011" t="s">
        <v>2463</v>
      </c>
      <c r="D1011" t="s">
        <v>2464</v>
      </c>
      <c r="E1011" t="s">
        <v>108</v>
      </c>
      <c r="G1011" t="s">
        <v>4374</v>
      </c>
      <c r="H1011" t="s">
        <v>108</v>
      </c>
      <c r="I1011" t="s">
        <v>3811</v>
      </c>
    </row>
    <row r="1012" spans="1:9">
      <c r="A1012" s="92" t="s">
        <v>4372</v>
      </c>
      <c r="B1012" t="s">
        <v>1909</v>
      </c>
      <c r="C1012" t="s">
        <v>2465</v>
      </c>
      <c r="D1012" t="s">
        <v>2464</v>
      </c>
      <c r="E1012" t="s">
        <v>108</v>
      </c>
      <c r="G1012" t="s">
        <v>4374</v>
      </c>
      <c r="H1012" t="s">
        <v>108</v>
      </c>
      <c r="I1012" t="s">
        <v>3811</v>
      </c>
    </row>
    <row r="1013" spans="1:9">
      <c r="A1013" s="92" t="s">
        <v>4372</v>
      </c>
      <c r="B1013" t="s">
        <v>1911</v>
      </c>
      <c r="C1013" t="s">
        <v>2378</v>
      </c>
      <c r="D1013" t="s">
        <v>2379</v>
      </c>
      <c r="E1013" t="s">
        <v>552</v>
      </c>
      <c r="F1013" t="s">
        <v>2380</v>
      </c>
      <c r="G1013" t="s">
        <v>4342</v>
      </c>
      <c r="H1013" t="s">
        <v>552</v>
      </c>
      <c r="I1013" t="s">
        <v>3815</v>
      </c>
    </row>
    <row r="1014" spans="1:9">
      <c r="A1014" s="92" t="s">
        <v>4372</v>
      </c>
      <c r="B1014" t="s">
        <v>1911</v>
      </c>
      <c r="C1014" t="s">
        <v>2381</v>
      </c>
      <c r="D1014" t="s">
        <v>2382</v>
      </c>
      <c r="E1014" t="s">
        <v>2383</v>
      </c>
      <c r="F1014" t="s">
        <v>2384</v>
      </c>
      <c r="G1014" t="s">
        <v>4342</v>
      </c>
      <c r="H1014" t="s">
        <v>552</v>
      </c>
      <c r="I1014" t="s">
        <v>3815</v>
      </c>
    </row>
    <row r="1015" spans="1:9">
      <c r="A1015" s="92" t="s">
        <v>4372</v>
      </c>
      <c r="B1015" t="s">
        <v>1911</v>
      </c>
      <c r="C1015" t="s">
        <v>2467</v>
      </c>
      <c r="D1015" t="s">
        <v>2319</v>
      </c>
      <c r="E1015" t="s">
        <v>2403</v>
      </c>
      <c r="F1015" t="s">
        <v>2468</v>
      </c>
      <c r="G1015" t="s">
        <v>4374</v>
      </c>
      <c r="H1015" t="s">
        <v>2403</v>
      </c>
      <c r="I1015" t="s">
        <v>3815</v>
      </c>
    </row>
    <row r="1016" spans="1:9">
      <c r="A1016" s="92" t="s">
        <v>4372</v>
      </c>
      <c r="B1016" t="s">
        <v>1911</v>
      </c>
      <c r="C1016" t="s">
        <v>2469</v>
      </c>
      <c r="D1016" t="s">
        <v>2382</v>
      </c>
      <c r="E1016" t="s">
        <v>108</v>
      </c>
      <c r="F1016" t="s">
        <v>2470</v>
      </c>
      <c r="G1016" t="s">
        <v>4374</v>
      </c>
      <c r="H1016" t="s">
        <v>108</v>
      </c>
      <c r="I1016" t="s">
        <v>3815</v>
      </c>
    </row>
    <row r="1017" spans="1:9">
      <c r="A1017" s="92" t="s">
        <v>4372</v>
      </c>
      <c r="B1017" t="s">
        <v>1911</v>
      </c>
      <c r="C1017" t="s">
        <v>2471</v>
      </c>
      <c r="D1017" t="s">
        <v>2379</v>
      </c>
      <c r="E1017" t="s">
        <v>108</v>
      </c>
      <c r="F1017" t="s">
        <v>2472</v>
      </c>
      <c r="G1017" t="s">
        <v>4374</v>
      </c>
      <c r="H1017" t="s">
        <v>108</v>
      </c>
      <c r="I1017" t="s">
        <v>3815</v>
      </c>
    </row>
    <row r="1018" spans="1:9">
      <c r="A1018" s="92" t="s">
        <v>4372</v>
      </c>
      <c r="B1018" t="s">
        <v>1911</v>
      </c>
      <c r="C1018" t="s">
        <v>2473</v>
      </c>
      <c r="D1018" t="s">
        <v>2474</v>
      </c>
      <c r="E1018" t="s">
        <v>108</v>
      </c>
      <c r="F1018" t="s">
        <v>2475</v>
      </c>
      <c r="G1018" t="s">
        <v>4374</v>
      </c>
      <c r="H1018" t="s">
        <v>108</v>
      </c>
      <c r="I1018" t="s">
        <v>3815</v>
      </c>
    </row>
    <row r="1019" spans="1:9">
      <c r="A1019" s="92" t="s">
        <v>4372</v>
      </c>
      <c r="B1019" t="s">
        <v>1911</v>
      </c>
      <c r="C1019" t="s">
        <v>2324</v>
      </c>
      <c r="D1019" t="s">
        <v>2325</v>
      </c>
      <c r="G1019" t="s">
        <v>4330</v>
      </c>
      <c r="I1019" t="s">
        <v>3815</v>
      </c>
    </row>
    <row r="1020" spans="1:9">
      <c r="A1020" s="92" t="s">
        <v>4372</v>
      </c>
      <c r="B1020" t="s">
        <v>1911</v>
      </c>
      <c r="C1020" t="s">
        <v>2327</v>
      </c>
      <c r="D1020" t="s">
        <v>2325</v>
      </c>
      <c r="G1020" t="s">
        <v>4330</v>
      </c>
      <c r="I1020" t="s">
        <v>3815</v>
      </c>
    </row>
    <row r="1021" spans="1:9">
      <c r="A1021" s="92" t="s">
        <v>4372</v>
      </c>
      <c r="B1021" t="s">
        <v>1911</v>
      </c>
      <c r="C1021" t="s">
        <v>2328</v>
      </c>
      <c r="D1021" t="s">
        <v>2325</v>
      </c>
      <c r="E1021" t="s">
        <v>2329</v>
      </c>
      <c r="F1021" t="s">
        <v>2331</v>
      </c>
      <c r="G1021" t="s">
        <v>4331</v>
      </c>
      <c r="I1021" t="s">
        <v>3815</v>
      </c>
    </row>
    <row r="1022" spans="1:9">
      <c r="A1022" s="92" t="s">
        <v>4372</v>
      </c>
      <c r="B1022" t="s">
        <v>1916</v>
      </c>
      <c r="C1022" t="s">
        <v>2477</v>
      </c>
      <c r="D1022" t="s">
        <v>2382</v>
      </c>
      <c r="E1022" t="s">
        <v>108</v>
      </c>
      <c r="F1022" t="s">
        <v>2478</v>
      </c>
      <c r="G1022" t="s">
        <v>4374</v>
      </c>
      <c r="H1022" t="s">
        <v>108</v>
      </c>
      <c r="I1022" t="s">
        <v>3819</v>
      </c>
    </row>
    <row r="1023" spans="1:9">
      <c r="A1023" s="92" t="s">
        <v>4372</v>
      </c>
      <c r="B1023" t="s">
        <v>1916</v>
      </c>
      <c r="C1023" t="s">
        <v>2334</v>
      </c>
      <c r="D1023" t="s">
        <v>2291</v>
      </c>
      <c r="E1023" t="s">
        <v>2311</v>
      </c>
      <c r="F1023" t="s">
        <v>2335</v>
      </c>
      <c r="G1023" t="s">
        <v>4332</v>
      </c>
      <c r="I1023" t="s">
        <v>3819</v>
      </c>
    </row>
    <row r="1024" spans="1:9">
      <c r="A1024" s="92" t="s">
        <v>4372</v>
      </c>
      <c r="B1024" t="s">
        <v>1916</v>
      </c>
      <c r="C1024" t="s">
        <v>2334</v>
      </c>
      <c r="D1024" t="s">
        <v>2291</v>
      </c>
      <c r="E1024" t="s">
        <v>2311</v>
      </c>
      <c r="F1024" t="s">
        <v>2335</v>
      </c>
      <c r="G1024" t="s">
        <v>4373</v>
      </c>
      <c r="H1024" t="s">
        <v>2373</v>
      </c>
      <c r="I1024" t="s">
        <v>3819</v>
      </c>
    </row>
    <row r="1025" spans="1:9">
      <c r="A1025" s="92" t="s">
        <v>4372</v>
      </c>
      <c r="B1025" t="s">
        <v>1916</v>
      </c>
      <c r="C1025" t="s">
        <v>2336</v>
      </c>
      <c r="D1025" t="s">
        <v>2291</v>
      </c>
      <c r="E1025" t="s">
        <v>552</v>
      </c>
      <c r="F1025" t="s">
        <v>2337</v>
      </c>
      <c r="G1025" t="s">
        <v>4333</v>
      </c>
      <c r="I1025" t="s">
        <v>3819</v>
      </c>
    </row>
    <row r="1026" spans="1:9">
      <c r="A1026" s="92" t="s">
        <v>4372</v>
      </c>
      <c r="B1026" t="s">
        <v>1916</v>
      </c>
      <c r="C1026" t="s">
        <v>2336</v>
      </c>
      <c r="D1026" t="s">
        <v>2291</v>
      </c>
      <c r="E1026" t="s">
        <v>552</v>
      </c>
      <c r="F1026" t="s">
        <v>2337</v>
      </c>
      <c r="G1026" t="s">
        <v>4342</v>
      </c>
      <c r="H1026" t="s">
        <v>552</v>
      </c>
      <c r="I1026" t="s">
        <v>3819</v>
      </c>
    </row>
    <row r="1027" spans="1:9">
      <c r="A1027" s="92" t="s">
        <v>4372</v>
      </c>
      <c r="B1027" t="s">
        <v>1916</v>
      </c>
      <c r="C1027" t="s">
        <v>2479</v>
      </c>
      <c r="D1027" t="s">
        <v>2480</v>
      </c>
      <c r="E1027" t="s">
        <v>108</v>
      </c>
      <c r="F1027" t="s">
        <v>2481</v>
      </c>
      <c r="G1027" t="s">
        <v>4374</v>
      </c>
      <c r="H1027" t="s">
        <v>108</v>
      </c>
      <c r="I1027" t="s">
        <v>3819</v>
      </c>
    </row>
    <row r="1028" spans="1:9">
      <c r="A1028" s="92" t="s">
        <v>4372</v>
      </c>
      <c r="B1028" t="s">
        <v>1916</v>
      </c>
      <c r="C1028" t="s">
        <v>2482</v>
      </c>
      <c r="D1028" t="s">
        <v>2480</v>
      </c>
      <c r="E1028" t="s">
        <v>108</v>
      </c>
      <c r="F1028" t="s">
        <v>2483</v>
      </c>
      <c r="G1028" t="s">
        <v>4374</v>
      </c>
      <c r="H1028" t="s">
        <v>108</v>
      </c>
      <c r="I1028" t="s">
        <v>3819</v>
      </c>
    </row>
    <row r="1029" spans="1:9">
      <c r="A1029" s="92" t="s">
        <v>4372</v>
      </c>
      <c r="B1029" t="s">
        <v>1916</v>
      </c>
      <c r="C1029" t="s">
        <v>2484</v>
      </c>
      <c r="D1029" t="s">
        <v>2382</v>
      </c>
      <c r="E1029" t="s">
        <v>2403</v>
      </c>
      <c r="G1029" t="s">
        <v>4374</v>
      </c>
      <c r="H1029" t="s">
        <v>2403</v>
      </c>
      <c r="I1029" t="s">
        <v>3819</v>
      </c>
    </row>
    <row r="1030" spans="1:9">
      <c r="A1030" s="92" t="s">
        <v>4372</v>
      </c>
      <c r="B1030" t="s">
        <v>1916</v>
      </c>
      <c r="C1030" t="s">
        <v>2485</v>
      </c>
      <c r="D1030" t="s">
        <v>2486</v>
      </c>
      <c r="E1030" t="s">
        <v>2487</v>
      </c>
      <c r="G1030" t="s">
        <v>4374</v>
      </c>
      <c r="H1030" t="s">
        <v>108</v>
      </c>
      <c r="I1030" t="s">
        <v>3819</v>
      </c>
    </row>
    <row r="1031" spans="1:9">
      <c r="A1031" s="92" t="s">
        <v>4372</v>
      </c>
      <c r="B1031" t="s">
        <v>1916</v>
      </c>
      <c r="C1031" t="s">
        <v>2386</v>
      </c>
      <c r="D1031" t="s">
        <v>2291</v>
      </c>
      <c r="E1031" t="s">
        <v>552</v>
      </c>
      <c r="F1031" t="s">
        <v>2387</v>
      </c>
      <c r="G1031" t="s">
        <v>4342</v>
      </c>
      <c r="H1031" t="s">
        <v>552</v>
      </c>
      <c r="I1031" t="s">
        <v>3819</v>
      </c>
    </row>
    <row r="1032" spans="1:9">
      <c r="A1032" s="92" t="s">
        <v>4372</v>
      </c>
      <c r="B1032" t="s">
        <v>1918</v>
      </c>
      <c r="C1032" t="s">
        <v>2389</v>
      </c>
      <c r="E1032" t="s">
        <v>552</v>
      </c>
      <c r="G1032" t="s">
        <v>4342</v>
      </c>
      <c r="H1032" t="s">
        <v>552</v>
      </c>
      <c r="I1032" t="s">
        <v>3823</v>
      </c>
    </row>
    <row r="1033" spans="1:9">
      <c r="A1033" s="92" t="s">
        <v>4372</v>
      </c>
      <c r="B1033" t="s">
        <v>1918</v>
      </c>
      <c r="C1033" t="s">
        <v>2489</v>
      </c>
      <c r="D1033" t="s">
        <v>2490</v>
      </c>
      <c r="E1033" t="s">
        <v>108</v>
      </c>
      <c r="G1033" t="s">
        <v>4374</v>
      </c>
      <c r="H1033" t="s">
        <v>108</v>
      </c>
      <c r="I1033" t="s">
        <v>3823</v>
      </c>
    </row>
    <row r="1034" spans="1:9">
      <c r="A1034" s="92" t="s">
        <v>4372</v>
      </c>
      <c r="B1034" t="s">
        <v>1918</v>
      </c>
      <c r="C1034" t="s">
        <v>2491</v>
      </c>
      <c r="D1034" t="s">
        <v>2490</v>
      </c>
      <c r="E1034" t="s">
        <v>2403</v>
      </c>
      <c r="F1034" t="s">
        <v>2492</v>
      </c>
      <c r="G1034" t="s">
        <v>4374</v>
      </c>
      <c r="H1034" t="s">
        <v>2403</v>
      </c>
      <c r="I1034" t="s">
        <v>3823</v>
      </c>
    </row>
    <row r="1035" spans="1:9">
      <c r="A1035" s="92" t="s">
        <v>4372</v>
      </c>
      <c r="B1035" t="s">
        <v>1918</v>
      </c>
      <c r="C1035" t="s">
        <v>2529</v>
      </c>
      <c r="D1035" t="s">
        <v>2494</v>
      </c>
      <c r="E1035" t="s">
        <v>2530</v>
      </c>
      <c r="F1035" t="s">
        <v>2532</v>
      </c>
      <c r="G1035" t="s">
        <v>4374</v>
      </c>
      <c r="H1035" t="s">
        <v>2531</v>
      </c>
      <c r="I1035" t="s">
        <v>3823</v>
      </c>
    </row>
    <row r="1036" spans="1:9">
      <c r="A1036" s="92" t="s">
        <v>4372</v>
      </c>
      <c r="B1036" t="s">
        <v>1918</v>
      </c>
      <c r="C1036" t="s">
        <v>2493</v>
      </c>
      <c r="D1036" t="s">
        <v>2494</v>
      </c>
      <c r="E1036" t="s">
        <v>2421</v>
      </c>
      <c r="F1036" t="s">
        <v>2495</v>
      </c>
      <c r="G1036" t="s">
        <v>4374</v>
      </c>
      <c r="H1036" t="s">
        <v>108</v>
      </c>
      <c r="I1036" t="s">
        <v>3823</v>
      </c>
    </row>
    <row r="1037" spans="1:9">
      <c r="A1037" s="92" t="s">
        <v>4372</v>
      </c>
      <c r="B1037" t="s">
        <v>1918</v>
      </c>
      <c r="C1037" t="s">
        <v>2496</v>
      </c>
      <c r="D1037" t="s">
        <v>2490</v>
      </c>
      <c r="E1037" t="s">
        <v>2497</v>
      </c>
      <c r="G1037" t="s">
        <v>4374</v>
      </c>
      <c r="H1037" t="s">
        <v>108</v>
      </c>
      <c r="I1037" t="s">
        <v>3823</v>
      </c>
    </row>
    <row r="1038" spans="1:9">
      <c r="A1038" s="92" t="s">
        <v>4372</v>
      </c>
      <c r="B1038" t="s">
        <v>1918</v>
      </c>
      <c r="C1038" t="s">
        <v>2498</v>
      </c>
      <c r="D1038" t="s">
        <v>2490</v>
      </c>
      <c r="E1038" t="s">
        <v>2499</v>
      </c>
      <c r="F1038" t="s">
        <v>2500</v>
      </c>
      <c r="G1038" t="s">
        <v>4374</v>
      </c>
      <c r="H1038" t="s">
        <v>108</v>
      </c>
      <c r="I1038" t="s">
        <v>3823</v>
      </c>
    </row>
    <row r="1039" spans="1:9">
      <c r="A1039" s="92" t="s">
        <v>4372</v>
      </c>
      <c r="B1039" t="s">
        <v>1920</v>
      </c>
      <c r="C1039" t="s">
        <v>2502</v>
      </c>
      <c r="D1039" t="s">
        <v>2325</v>
      </c>
      <c r="E1039" t="s">
        <v>2503</v>
      </c>
      <c r="F1039" t="s">
        <v>2504</v>
      </c>
      <c r="G1039" t="s">
        <v>4374</v>
      </c>
      <c r="H1039" t="s">
        <v>108</v>
      </c>
      <c r="I1039" t="s">
        <v>3827</v>
      </c>
    </row>
    <row r="1040" spans="1:9">
      <c r="A1040" s="92" t="s">
        <v>4372</v>
      </c>
      <c r="B1040" t="s">
        <v>1920</v>
      </c>
      <c r="C1040" t="s">
        <v>2341</v>
      </c>
      <c r="D1040" t="s">
        <v>2342</v>
      </c>
      <c r="E1040" t="s">
        <v>2343</v>
      </c>
      <c r="F1040" t="s">
        <v>2344</v>
      </c>
      <c r="G1040" t="s">
        <v>4325</v>
      </c>
      <c r="I1040" t="s">
        <v>3827</v>
      </c>
    </row>
    <row r="1041" spans="1:9">
      <c r="A1041" s="92" t="s">
        <v>4372</v>
      </c>
      <c r="B1041" t="s">
        <v>1920</v>
      </c>
      <c r="C1041" t="s">
        <v>2341</v>
      </c>
      <c r="D1041" t="s">
        <v>2342</v>
      </c>
      <c r="E1041" t="s">
        <v>2343</v>
      </c>
      <c r="F1041" t="s">
        <v>2344</v>
      </c>
      <c r="G1041" t="s">
        <v>4374</v>
      </c>
      <c r="H1041" t="s">
        <v>108</v>
      </c>
      <c r="I1041" t="s">
        <v>3827</v>
      </c>
    </row>
    <row r="1042" spans="1:9">
      <c r="A1042" s="92" t="s">
        <v>4372</v>
      </c>
      <c r="B1042" t="s">
        <v>1920</v>
      </c>
      <c r="C1042" t="s">
        <v>2348</v>
      </c>
      <c r="E1042" t="s">
        <v>2292</v>
      </c>
      <c r="G1042" t="s">
        <v>4373</v>
      </c>
      <c r="H1042" t="s">
        <v>2519</v>
      </c>
      <c r="I1042" t="s">
        <v>3827</v>
      </c>
    </row>
    <row r="1043" spans="1:9">
      <c r="A1043" s="92" t="s">
        <v>4372</v>
      </c>
      <c r="B1043" t="s">
        <v>1920</v>
      </c>
      <c r="C1043" t="s">
        <v>2505</v>
      </c>
      <c r="D1043" t="s">
        <v>2291</v>
      </c>
      <c r="E1043" t="s">
        <v>108</v>
      </c>
      <c r="G1043" t="s">
        <v>4374</v>
      </c>
      <c r="H1043" t="s">
        <v>108</v>
      </c>
      <c r="I1043" t="s">
        <v>3827</v>
      </c>
    </row>
    <row r="1044" spans="1:9">
      <c r="A1044" s="92" t="s">
        <v>4372</v>
      </c>
      <c r="B1044" t="s">
        <v>1920</v>
      </c>
      <c r="C1044" t="s">
        <v>2506</v>
      </c>
      <c r="D1044" t="s">
        <v>2346</v>
      </c>
      <c r="E1044" t="s">
        <v>2507</v>
      </c>
      <c r="F1044" t="s">
        <v>2508</v>
      </c>
      <c r="G1044" t="s">
        <v>4374</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1838</v>
      </c>
      <c r="B1" t="s">
        <v>2752</v>
      </c>
      <c r="C1" t="s">
        <v>2240</v>
      </c>
      <c r="D1" t="s">
        <v>2241</v>
      </c>
      <c r="E1" t="s">
        <v>2242</v>
      </c>
      <c r="F1" t="s">
        <v>1455</v>
      </c>
      <c r="G1" t="s">
        <v>2755</v>
      </c>
      <c r="H1" t="s">
        <v>2244</v>
      </c>
      <c r="I1" t="s">
        <v>4323</v>
      </c>
    </row>
    <row r="2" spans="1:9">
      <c r="A2" s="92" t="s">
        <v>4324</v>
      </c>
      <c r="B2" t="s">
        <v>1894</v>
      </c>
      <c r="C2" t="s">
        <v>2355</v>
      </c>
      <c r="D2" t="s">
        <v>2356</v>
      </c>
      <c r="E2" t="s">
        <v>1565</v>
      </c>
      <c r="F2" t="s">
        <v>2358</v>
      </c>
      <c r="G2" t="s">
        <v>2723</v>
      </c>
      <c r="H2" t="s">
        <v>108</v>
      </c>
      <c r="I2" t="s">
        <v>3787</v>
      </c>
    </row>
    <row r="3" spans="1:9">
      <c r="A3" s="92" t="s">
        <v>4324</v>
      </c>
      <c r="B3" t="s">
        <v>1894</v>
      </c>
      <c r="C3" t="s">
        <v>2516</v>
      </c>
      <c r="D3" t="s">
        <v>2291</v>
      </c>
      <c r="E3" t="s">
        <v>1215</v>
      </c>
      <c r="G3" t="s">
        <v>2040</v>
      </c>
      <c r="H3" t="s">
        <v>1215</v>
      </c>
      <c r="I3" t="s">
        <v>3787</v>
      </c>
    </row>
    <row r="4" spans="1:9">
      <c r="A4" s="92" t="s">
        <v>4324</v>
      </c>
      <c r="B4" t="s">
        <v>1894</v>
      </c>
      <c r="C4" t="s">
        <v>2398</v>
      </c>
      <c r="E4" t="s">
        <v>2399</v>
      </c>
      <c r="G4" t="s">
        <v>2723</v>
      </c>
      <c r="H4" t="s">
        <v>2399</v>
      </c>
      <c r="I4" t="s">
        <v>3787</v>
      </c>
    </row>
    <row r="5" spans="1:9">
      <c r="A5" s="92" t="s">
        <v>4324</v>
      </c>
      <c r="B5" t="s">
        <v>1894</v>
      </c>
      <c r="C5" t="s">
        <v>2400</v>
      </c>
      <c r="D5" t="s">
        <v>2284</v>
      </c>
      <c r="E5" t="s">
        <v>108</v>
      </c>
      <c r="G5" t="s">
        <v>2723</v>
      </c>
      <c r="H5" t="s">
        <v>108</v>
      </c>
      <c r="I5" t="s">
        <v>3787</v>
      </c>
    </row>
    <row r="6" spans="1:9">
      <c r="A6" s="92" t="s">
        <v>4324</v>
      </c>
      <c r="B6" t="s">
        <v>1894</v>
      </c>
      <c r="C6" t="s">
        <v>2401</v>
      </c>
      <c r="D6" t="s">
        <v>2402</v>
      </c>
      <c r="E6" t="s">
        <v>2403</v>
      </c>
      <c r="F6" t="s">
        <v>2404</v>
      </c>
      <c r="G6" t="s">
        <v>2723</v>
      </c>
      <c r="H6" t="s">
        <v>2403</v>
      </c>
      <c r="I6" t="s">
        <v>3787</v>
      </c>
    </row>
    <row r="7" spans="1:9">
      <c r="A7" s="92" t="s">
        <v>4324</v>
      </c>
      <c r="B7" t="s">
        <v>1894</v>
      </c>
      <c r="C7" t="s">
        <v>2405</v>
      </c>
      <c r="E7" t="s">
        <v>108</v>
      </c>
      <c r="G7" t="s">
        <v>2723</v>
      </c>
      <c r="H7" t="s">
        <v>108</v>
      </c>
      <c r="I7" t="s">
        <v>3787</v>
      </c>
    </row>
    <row r="8" spans="1:9">
      <c r="A8" s="92" t="s">
        <v>4324</v>
      </c>
      <c r="B8" t="s">
        <v>1895</v>
      </c>
      <c r="C8" t="s">
        <v>2407</v>
      </c>
      <c r="D8" t="s">
        <v>2296</v>
      </c>
      <c r="E8" t="s">
        <v>108</v>
      </c>
      <c r="G8" t="s">
        <v>2723</v>
      </c>
      <c r="H8" t="s">
        <v>108</v>
      </c>
      <c r="I8" t="s">
        <v>3791</v>
      </c>
    </row>
    <row r="9" spans="1:9">
      <c r="A9" s="92" t="s">
        <v>4324</v>
      </c>
      <c r="B9" t="s">
        <v>1895</v>
      </c>
      <c r="C9" t="s">
        <v>2409</v>
      </c>
      <c r="D9" t="s">
        <v>2410</v>
      </c>
      <c r="E9" t="s">
        <v>108</v>
      </c>
      <c r="F9" t="s">
        <v>2411</v>
      </c>
      <c r="G9" t="s">
        <v>2723</v>
      </c>
      <c r="H9" t="s">
        <v>108</v>
      </c>
      <c r="I9" t="s">
        <v>3791</v>
      </c>
    </row>
    <row r="10" spans="1:9">
      <c r="A10" s="92" t="s">
        <v>4324</v>
      </c>
      <c r="B10" t="s">
        <v>1895</v>
      </c>
      <c r="C10" t="s">
        <v>2412</v>
      </c>
      <c r="D10" t="s">
        <v>2410</v>
      </c>
      <c r="E10" t="s">
        <v>108</v>
      </c>
      <c r="G10" t="s">
        <v>2723</v>
      </c>
      <c r="H10" t="s">
        <v>108</v>
      </c>
      <c r="I10" t="s">
        <v>3791</v>
      </c>
    </row>
    <row r="11" spans="1:9">
      <c r="A11" s="92" t="s">
        <v>4324</v>
      </c>
      <c r="B11" t="s">
        <v>1895</v>
      </c>
      <c r="C11" t="s">
        <v>2290</v>
      </c>
      <c r="D11" t="s">
        <v>2291</v>
      </c>
      <c r="E11" t="s">
        <v>2292</v>
      </c>
      <c r="G11" t="s">
        <v>2723</v>
      </c>
      <c r="H11" t="s">
        <v>2446</v>
      </c>
      <c r="I11" t="s">
        <v>3791</v>
      </c>
    </row>
    <row r="12" spans="1:9">
      <c r="A12" s="92" t="s">
        <v>4324</v>
      </c>
      <c r="B12" t="s">
        <v>1895</v>
      </c>
      <c r="C12" t="s">
        <v>2414</v>
      </c>
      <c r="D12" t="s">
        <v>2415</v>
      </c>
      <c r="E12" t="s">
        <v>108</v>
      </c>
      <c r="F12" t="s">
        <v>2416</v>
      </c>
      <c r="G12" t="s">
        <v>2723</v>
      </c>
      <c r="H12" t="s">
        <v>108</v>
      </c>
      <c r="I12" t="s">
        <v>3791</v>
      </c>
    </row>
    <row r="13" spans="1:9">
      <c r="A13" s="92" t="s">
        <v>4324</v>
      </c>
      <c r="B13" t="s">
        <v>3567</v>
      </c>
      <c r="C13" t="s">
        <v>2418</v>
      </c>
      <c r="D13" t="s">
        <v>2363</v>
      </c>
      <c r="E13" t="s">
        <v>108</v>
      </c>
      <c r="G13" t="s">
        <v>2723</v>
      </c>
      <c r="H13" t="s">
        <v>108</v>
      </c>
      <c r="I13" t="s">
        <v>3795</v>
      </c>
    </row>
    <row r="14" spans="1:9">
      <c r="A14" s="92" t="s">
        <v>4324</v>
      </c>
      <c r="B14" t="s">
        <v>3567</v>
      </c>
      <c r="C14" t="s">
        <v>2362</v>
      </c>
      <c r="D14" t="s">
        <v>2363</v>
      </c>
      <c r="E14" t="s">
        <v>2364</v>
      </c>
      <c r="G14" t="s">
        <v>2723</v>
      </c>
      <c r="H14" t="s">
        <v>2718</v>
      </c>
      <c r="I14" t="s">
        <v>3795</v>
      </c>
    </row>
    <row r="15" spans="1:9">
      <c r="A15" s="92" t="s">
        <v>4324</v>
      </c>
      <c r="B15" t="s">
        <v>3567</v>
      </c>
      <c r="C15" t="s">
        <v>2420</v>
      </c>
      <c r="D15" t="s">
        <v>2363</v>
      </c>
      <c r="E15" t="s">
        <v>2421</v>
      </c>
      <c r="F15" t="s">
        <v>2422</v>
      </c>
      <c r="G15" t="s">
        <v>2723</v>
      </c>
      <c r="H15" t="s">
        <v>108</v>
      </c>
      <c r="I15" t="s">
        <v>3795</v>
      </c>
    </row>
    <row r="16" spans="1:9">
      <c r="A16" s="92" t="s">
        <v>4324</v>
      </c>
      <c r="B16" t="s">
        <v>3567</v>
      </c>
      <c r="C16" t="s">
        <v>2423</v>
      </c>
      <c r="D16" t="s">
        <v>2363</v>
      </c>
      <c r="E16" t="s">
        <v>108</v>
      </c>
      <c r="G16" t="s">
        <v>2723</v>
      </c>
      <c r="H16" t="s">
        <v>108</v>
      </c>
      <c r="I16" t="s">
        <v>3795</v>
      </c>
    </row>
    <row r="17" spans="1:9">
      <c r="A17" s="92" t="s">
        <v>4324</v>
      </c>
      <c r="B17" t="s">
        <v>1901</v>
      </c>
      <c r="C17" t="s">
        <v>2425</v>
      </c>
      <c r="D17" t="s">
        <v>2426</v>
      </c>
      <c r="E17" t="s">
        <v>2427</v>
      </c>
      <c r="G17" t="s">
        <v>2723</v>
      </c>
      <c r="H17" t="s">
        <v>108</v>
      </c>
      <c r="I17" t="s">
        <v>3799</v>
      </c>
    </row>
    <row r="18" spans="1:9">
      <c r="A18" s="92" t="s">
        <v>4324</v>
      </c>
      <c r="B18" t="s">
        <v>1901</v>
      </c>
      <c r="C18" t="s">
        <v>2428</v>
      </c>
      <c r="D18" t="s">
        <v>2426</v>
      </c>
      <c r="E18" t="s">
        <v>2429</v>
      </c>
      <c r="G18" t="s">
        <v>2723</v>
      </c>
      <c r="H18" t="s">
        <v>108</v>
      </c>
      <c r="I18" t="s">
        <v>3799</v>
      </c>
    </row>
    <row r="19" spans="1:9">
      <c r="A19" s="92" t="s">
        <v>4324</v>
      </c>
      <c r="B19" t="s">
        <v>1901</v>
      </c>
      <c r="C19" t="s">
        <v>2430</v>
      </c>
      <c r="D19" t="s">
        <v>2431</v>
      </c>
      <c r="E19" t="s">
        <v>108</v>
      </c>
      <c r="F19" t="s">
        <v>2432</v>
      </c>
      <c r="G19" t="s">
        <v>2723</v>
      </c>
      <c r="H19" t="s">
        <v>108</v>
      </c>
      <c r="I19" t="s">
        <v>3799</v>
      </c>
    </row>
    <row r="20" spans="1:9">
      <c r="A20" s="92" t="s">
        <v>4324</v>
      </c>
      <c r="B20" t="s">
        <v>1901</v>
      </c>
      <c r="C20" t="s">
        <v>2433</v>
      </c>
      <c r="D20" t="s">
        <v>2431</v>
      </c>
      <c r="E20" t="s">
        <v>108</v>
      </c>
      <c r="G20" t="s">
        <v>2723</v>
      </c>
      <c r="H20" t="s">
        <v>108</v>
      </c>
      <c r="I20" t="s">
        <v>3799</v>
      </c>
    </row>
    <row r="21" spans="1:9">
      <c r="A21" s="92" t="s">
        <v>4324</v>
      </c>
      <c r="B21" t="s">
        <v>1903</v>
      </c>
      <c r="C21" t="s">
        <v>2435</v>
      </c>
      <c r="D21" t="s">
        <v>2436</v>
      </c>
      <c r="E21" t="s">
        <v>108</v>
      </c>
      <c r="F21" t="s">
        <v>2437</v>
      </c>
      <c r="G21" t="s">
        <v>2723</v>
      </c>
      <c r="H21" t="s">
        <v>108</v>
      </c>
      <c r="I21" t="s">
        <v>3803</v>
      </c>
    </row>
    <row r="22" spans="1:9">
      <c r="A22" s="92" t="s">
        <v>4324</v>
      </c>
      <c r="B22" t="s">
        <v>1903</v>
      </c>
      <c r="C22" t="s">
        <v>2295</v>
      </c>
      <c r="D22" t="s">
        <v>2296</v>
      </c>
      <c r="E22" t="s">
        <v>2297</v>
      </c>
      <c r="G22" t="s">
        <v>2723</v>
      </c>
      <c r="H22" t="s">
        <v>2446</v>
      </c>
      <c r="I22" t="s">
        <v>3803</v>
      </c>
    </row>
    <row r="23" spans="1:9">
      <c r="A23" s="92" t="s">
        <v>4324</v>
      </c>
      <c r="B23" t="s">
        <v>1903</v>
      </c>
      <c r="C23" t="s">
        <v>2298</v>
      </c>
      <c r="D23" t="s">
        <v>2296</v>
      </c>
      <c r="E23" t="s">
        <v>2292</v>
      </c>
      <c r="G23" t="s">
        <v>2723</v>
      </c>
      <c r="H23" t="s">
        <v>2446</v>
      </c>
      <c r="I23" t="s">
        <v>3803</v>
      </c>
    </row>
    <row r="24" spans="1:9">
      <c r="A24" s="92" t="s">
        <v>4324</v>
      </c>
      <c r="B24" t="s">
        <v>1903</v>
      </c>
      <c r="C24" t="s">
        <v>2299</v>
      </c>
      <c r="D24" t="s">
        <v>2296</v>
      </c>
      <c r="E24" t="s">
        <v>2292</v>
      </c>
      <c r="G24" t="s">
        <v>2723</v>
      </c>
      <c r="H24" t="s">
        <v>2446</v>
      </c>
      <c r="I24" t="s">
        <v>3803</v>
      </c>
    </row>
    <row r="25" spans="1:9">
      <c r="A25" s="92" t="s">
        <v>4324</v>
      </c>
      <c r="B25" t="s">
        <v>1903</v>
      </c>
      <c r="C25" t="s">
        <v>2300</v>
      </c>
      <c r="D25" t="s">
        <v>2301</v>
      </c>
      <c r="E25" t="s">
        <v>2292</v>
      </c>
      <c r="G25" t="s">
        <v>2723</v>
      </c>
      <c r="H25" t="s">
        <v>2446</v>
      </c>
      <c r="I25" t="s">
        <v>3803</v>
      </c>
    </row>
    <row r="26" spans="1:9">
      <c r="A26" s="92" t="s">
        <v>4324</v>
      </c>
      <c r="B26" t="s">
        <v>1903</v>
      </c>
      <c r="C26" t="s">
        <v>2302</v>
      </c>
      <c r="E26" t="s">
        <v>2292</v>
      </c>
      <c r="G26" t="s">
        <v>2723</v>
      </c>
      <c r="H26" t="s">
        <v>2446</v>
      </c>
      <c r="I26" t="s">
        <v>3803</v>
      </c>
    </row>
    <row r="27" spans="1:9">
      <c r="A27" s="92" t="s">
        <v>4324</v>
      </c>
      <c r="B27" t="s">
        <v>1903</v>
      </c>
      <c r="C27" t="s">
        <v>2303</v>
      </c>
      <c r="E27" t="s">
        <v>2292</v>
      </c>
      <c r="G27" t="s">
        <v>2723</v>
      </c>
      <c r="H27" t="s">
        <v>2446</v>
      </c>
      <c r="I27" t="s">
        <v>3803</v>
      </c>
    </row>
    <row r="28" spans="1:9">
      <c r="A28" s="92" t="s">
        <v>4324</v>
      </c>
      <c r="B28" t="s">
        <v>1903</v>
      </c>
      <c r="C28" t="s">
        <v>2304</v>
      </c>
      <c r="E28" t="s">
        <v>2292</v>
      </c>
      <c r="G28" t="s">
        <v>2723</v>
      </c>
      <c r="H28" t="s">
        <v>2446</v>
      </c>
      <c r="I28" t="s">
        <v>3803</v>
      </c>
    </row>
    <row r="29" spans="1:9">
      <c r="A29" s="92" t="s">
        <v>4324</v>
      </c>
      <c r="B29" t="s">
        <v>1905</v>
      </c>
      <c r="C29" t="s">
        <v>2439</v>
      </c>
      <c r="D29" t="s">
        <v>2440</v>
      </c>
      <c r="E29" t="s">
        <v>108</v>
      </c>
      <c r="G29" t="s">
        <v>2723</v>
      </c>
      <c r="H29" t="s">
        <v>108</v>
      </c>
      <c r="I29" t="s">
        <v>3805</v>
      </c>
    </row>
    <row r="30" spans="1:9">
      <c r="A30" s="92" t="s">
        <v>4324</v>
      </c>
      <c r="B30" t="s">
        <v>1905</v>
      </c>
      <c r="C30" t="s">
        <v>2441</v>
      </c>
      <c r="D30" t="s">
        <v>2442</v>
      </c>
      <c r="E30" t="s">
        <v>2427</v>
      </c>
      <c r="G30" t="s">
        <v>2723</v>
      </c>
      <c r="H30" t="s">
        <v>108</v>
      </c>
      <c r="I30" t="s">
        <v>3805</v>
      </c>
    </row>
    <row r="31" spans="1:9">
      <c r="A31" s="92" t="s">
        <v>4324</v>
      </c>
      <c r="B31" t="s">
        <v>1905</v>
      </c>
      <c r="C31" t="s">
        <v>2443</v>
      </c>
      <c r="D31" t="s">
        <v>2440</v>
      </c>
      <c r="E31" t="s">
        <v>2444</v>
      </c>
      <c r="F31" t="s">
        <v>2445</v>
      </c>
      <c r="G31" t="s">
        <v>2723</v>
      </c>
      <c r="H31" t="s">
        <v>108</v>
      </c>
      <c r="I31" t="s">
        <v>3805</v>
      </c>
    </row>
    <row r="32" spans="1:9">
      <c r="A32" s="92" t="s">
        <v>4324</v>
      </c>
      <c r="B32" t="s">
        <v>1905</v>
      </c>
      <c r="C32" t="s">
        <v>2306</v>
      </c>
      <c r="D32" t="s">
        <v>2291</v>
      </c>
      <c r="E32" t="s">
        <v>2307</v>
      </c>
      <c r="G32" t="s">
        <v>2723</v>
      </c>
      <c r="H32" t="s">
        <v>108</v>
      </c>
      <c r="I32" t="s">
        <v>3805</v>
      </c>
    </row>
    <row r="33" spans="1:9">
      <c r="A33" s="92" t="s">
        <v>4324</v>
      </c>
      <c r="B33" t="s">
        <v>1905</v>
      </c>
      <c r="C33" t="s">
        <v>2313</v>
      </c>
      <c r="D33" t="s">
        <v>2291</v>
      </c>
      <c r="E33" t="s">
        <v>2292</v>
      </c>
      <c r="G33" t="s">
        <v>2723</v>
      </c>
      <c r="H33" t="s">
        <v>2446</v>
      </c>
      <c r="I33" t="s">
        <v>3805</v>
      </c>
    </row>
    <row r="34" spans="1:9">
      <c r="A34" s="92" t="s">
        <v>4324</v>
      </c>
      <c r="B34" t="s">
        <v>1905</v>
      </c>
      <c r="C34" t="s">
        <v>2314</v>
      </c>
      <c r="D34" t="s">
        <v>2291</v>
      </c>
      <c r="E34" t="s">
        <v>2292</v>
      </c>
      <c r="G34" t="s">
        <v>2723</v>
      </c>
      <c r="H34" t="s">
        <v>2446</v>
      </c>
      <c r="I34" t="s">
        <v>3805</v>
      </c>
    </row>
    <row r="35" spans="1:9">
      <c r="A35" s="92" t="s">
        <v>4324</v>
      </c>
      <c r="B35" t="s">
        <v>1905</v>
      </c>
      <c r="C35" t="s">
        <v>2447</v>
      </c>
      <c r="D35" t="s">
        <v>2440</v>
      </c>
      <c r="E35" t="s">
        <v>2403</v>
      </c>
      <c r="G35" t="s">
        <v>2723</v>
      </c>
      <c r="H35" t="s">
        <v>2403</v>
      </c>
      <c r="I35" t="s">
        <v>3805</v>
      </c>
    </row>
    <row r="36" spans="1:9">
      <c r="A36" s="92" t="s">
        <v>4324</v>
      </c>
      <c r="B36" t="s">
        <v>1905</v>
      </c>
      <c r="C36" t="s">
        <v>2448</v>
      </c>
      <c r="D36" t="s">
        <v>2449</v>
      </c>
      <c r="E36" t="s">
        <v>108</v>
      </c>
      <c r="G36" t="s">
        <v>2723</v>
      </c>
      <c r="H36" t="s">
        <v>108</v>
      </c>
      <c r="I36" t="s">
        <v>3805</v>
      </c>
    </row>
    <row r="37" spans="1:9">
      <c r="A37" s="92" t="s">
        <v>4324</v>
      </c>
      <c r="B37" t="s">
        <v>1908</v>
      </c>
      <c r="C37" t="s">
        <v>2451</v>
      </c>
      <c r="E37" t="s">
        <v>2403</v>
      </c>
      <c r="G37" t="s">
        <v>2723</v>
      </c>
      <c r="H37" t="s">
        <v>2403</v>
      </c>
      <c r="I37" t="s">
        <v>3807</v>
      </c>
    </row>
    <row r="38" spans="1:9">
      <c r="A38" s="92" t="s">
        <v>4324</v>
      </c>
      <c r="B38" t="s">
        <v>1908</v>
      </c>
      <c r="C38" t="s">
        <v>2375</v>
      </c>
      <c r="E38" t="s">
        <v>2376</v>
      </c>
      <c r="G38" t="s">
        <v>2723</v>
      </c>
      <c r="H38" t="s">
        <v>2403</v>
      </c>
      <c r="I38" t="s">
        <v>3807</v>
      </c>
    </row>
    <row r="39" spans="1:9">
      <c r="A39" s="92" t="s">
        <v>4324</v>
      </c>
      <c r="B39" t="s">
        <v>1908</v>
      </c>
      <c r="C39" t="s">
        <v>2452</v>
      </c>
      <c r="D39" t="s">
        <v>2440</v>
      </c>
      <c r="E39" t="s">
        <v>108</v>
      </c>
      <c r="G39" t="s">
        <v>2723</v>
      </c>
      <c r="H39" t="s">
        <v>108</v>
      </c>
      <c r="I39" t="s">
        <v>3807</v>
      </c>
    </row>
    <row r="40" spans="1:9">
      <c r="A40" s="92" t="s">
        <v>4324</v>
      </c>
      <c r="B40" t="s">
        <v>1908</v>
      </c>
      <c r="C40" t="s">
        <v>2453</v>
      </c>
      <c r="D40" t="s">
        <v>2440</v>
      </c>
      <c r="E40" t="s">
        <v>108</v>
      </c>
      <c r="G40" t="s">
        <v>2723</v>
      </c>
      <c r="H40" t="s">
        <v>108</v>
      </c>
      <c r="I40" t="s">
        <v>3807</v>
      </c>
    </row>
    <row r="41" spans="1:9">
      <c r="A41" s="92" t="s">
        <v>4324</v>
      </c>
      <c r="B41" t="s">
        <v>1908</v>
      </c>
      <c r="C41" t="s">
        <v>2454</v>
      </c>
      <c r="D41" t="s">
        <v>2301</v>
      </c>
      <c r="E41" t="s">
        <v>108</v>
      </c>
      <c r="G41" t="s">
        <v>2723</v>
      </c>
      <c r="H41" t="s">
        <v>108</v>
      </c>
      <c r="I41" t="s">
        <v>3807</v>
      </c>
    </row>
    <row r="42" spans="1:9">
      <c r="A42" s="92" t="s">
        <v>4324</v>
      </c>
      <c r="B42" t="s">
        <v>1908</v>
      </c>
      <c r="C42" t="s">
        <v>2455</v>
      </c>
      <c r="D42" t="s">
        <v>2456</v>
      </c>
      <c r="E42" t="s">
        <v>2403</v>
      </c>
      <c r="G42" t="s">
        <v>2723</v>
      </c>
      <c r="H42" t="s">
        <v>2403</v>
      </c>
      <c r="I42" t="s">
        <v>3807</v>
      </c>
    </row>
    <row r="43" spans="1:9">
      <c r="A43" s="92" t="s">
        <v>4324</v>
      </c>
      <c r="B43" t="s">
        <v>1908</v>
      </c>
      <c r="C43" t="s">
        <v>2457</v>
      </c>
      <c r="D43" t="s">
        <v>2456</v>
      </c>
      <c r="E43" t="s">
        <v>2403</v>
      </c>
      <c r="G43" t="s">
        <v>2723</v>
      </c>
      <c r="H43" t="s">
        <v>2403</v>
      </c>
      <c r="I43" t="s">
        <v>3807</v>
      </c>
    </row>
    <row r="44" spans="1:9">
      <c r="A44" s="92" t="s">
        <v>4324</v>
      </c>
      <c r="B44" t="s">
        <v>1908</v>
      </c>
      <c r="C44" t="s">
        <v>2316</v>
      </c>
      <c r="D44" t="s">
        <v>2291</v>
      </c>
      <c r="E44" t="s">
        <v>2292</v>
      </c>
      <c r="G44" t="s">
        <v>2723</v>
      </c>
      <c r="H44" t="s">
        <v>2446</v>
      </c>
      <c r="I44" t="s">
        <v>3807</v>
      </c>
    </row>
    <row r="45" spans="1:9">
      <c r="A45" s="92" t="s">
        <v>4324</v>
      </c>
      <c r="B45" t="s">
        <v>1908</v>
      </c>
      <c r="C45" t="s">
        <v>2458</v>
      </c>
      <c r="D45" t="s">
        <v>2456</v>
      </c>
      <c r="E45" t="s">
        <v>108</v>
      </c>
      <c r="F45" t="s">
        <v>2459</v>
      </c>
      <c r="G45" t="s">
        <v>2723</v>
      </c>
      <c r="H45" t="s">
        <v>108</v>
      </c>
      <c r="I45" t="s">
        <v>3807</v>
      </c>
    </row>
    <row r="46" spans="1:9">
      <c r="A46" s="92" t="s">
        <v>4324</v>
      </c>
      <c r="B46" t="s">
        <v>1909</v>
      </c>
      <c r="C46" t="s">
        <v>2461</v>
      </c>
      <c r="D46" t="s">
        <v>2462</v>
      </c>
      <c r="E46" t="s">
        <v>108</v>
      </c>
      <c r="G46" t="s">
        <v>2723</v>
      </c>
      <c r="H46" t="s">
        <v>108</v>
      </c>
      <c r="I46" t="s">
        <v>3811</v>
      </c>
    </row>
    <row r="47" spans="1:9">
      <c r="A47" s="92" t="s">
        <v>4324</v>
      </c>
      <c r="B47" t="s">
        <v>1909</v>
      </c>
      <c r="C47" t="s">
        <v>2463</v>
      </c>
      <c r="D47" t="s">
        <v>2464</v>
      </c>
      <c r="E47" t="s">
        <v>108</v>
      </c>
      <c r="G47" t="s">
        <v>2723</v>
      </c>
      <c r="H47" t="s">
        <v>108</v>
      </c>
      <c r="I47" t="s">
        <v>3811</v>
      </c>
    </row>
    <row r="48" spans="1:9">
      <c r="A48" s="92" t="s">
        <v>4324</v>
      </c>
      <c r="B48" t="s">
        <v>1909</v>
      </c>
      <c r="C48" t="s">
        <v>2465</v>
      </c>
      <c r="D48" t="s">
        <v>2464</v>
      </c>
      <c r="E48" t="s">
        <v>108</v>
      </c>
      <c r="G48" t="s">
        <v>2723</v>
      </c>
      <c r="H48" t="s">
        <v>108</v>
      </c>
      <c r="I48" t="s">
        <v>3811</v>
      </c>
    </row>
    <row r="49" spans="1:9">
      <c r="A49" s="92" t="s">
        <v>4324</v>
      </c>
      <c r="B49" t="s">
        <v>1911</v>
      </c>
      <c r="C49" t="s">
        <v>2467</v>
      </c>
      <c r="D49" t="s">
        <v>2319</v>
      </c>
      <c r="E49" t="s">
        <v>2403</v>
      </c>
      <c r="F49" t="s">
        <v>2468</v>
      </c>
      <c r="G49" t="s">
        <v>2723</v>
      </c>
      <c r="H49" t="s">
        <v>2403</v>
      </c>
      <c r="I49" t="s">
        <v>3815</v>
      </c>
    </row>
    <row r="50" spans="1:9">
      <c r="A50" s="92" t="s">
        <v>4324</v>
      </c>
      <c r="B50" t="s">
        <v>1911</v>
      </c>
      <c r="C50" t="s">
        <v>2469</v>
      </c>
      <c r="D50" t="s">
        <v>2382</v>
      </c>
      <c r="E50" t="s">
        <v>108</v>
      </c>
      <c r="F50" t="s">
        <v>2470</v>
      </c>
      <c r="G50" t="s">
        <v>2723</v>
      </c>
      <c r="H50" t="s">
        <v>108</v>
      </c>
      <c r="I50" t="s">
        <v>3815</v>
      </c>
    </row>
    <row r="51" spans="1:9">
      <c r="A51" s="92" t="s">
        <v>4324</v>
      </c>
      <c r="B51" t="s">
        <v>1911</v>
      </c>
      <c r="C51" t="s">
        <v>2471</v>
      </c>
      <c r="D51" t="s">
        <v>2379</v>
      </c>
      <c r="E51" t="s">
        <v>108</v>
      </c>
      <c r="F51" t="s">
        <v>2472</v>
      </c>
      <c r="G51" t="s">
        <v>2723</v>
      </c>
      <c r="H51" t="s">
        <v>108</v>
      </c>
      <c r="I51" t="s">
        <v>3815</v>
      </c>
    </row>
    <row r="52" spans="1:9">
      <c r="A52" s="92" t="s">
        <v>4324</v>
      </c>
      <c r="B52" t="s">
        <v>1911</v>
      </c>
      <c r="C52" t="s">
        <v>2473</v>
      </c>
      <c r="D52" t="s">
        <v>2474</v>
      </c>
      <c r="E52" t="s">
        <v>108</v>
      </c>
      <c r="F52" t="s">
        <v>2475</v>
      </c>
      <c r="G52" t="s">
        <v>2723</v>
      </c>
      <c r="H52" t="s">
        <v>108</v>
      </c>
      <c r="I52" t="s">
        <v>3815</v>
      </c>
    </row>
    <row r="53" spans="1:9">
      <c r="A53" s="92" t="s">
        <v>4324</v>
      </c>
      <c r="B53" t="s">
        <v>1916</v>
      </c>
      <c r="C53" t="s">
        <v>2477</v>
      </c>
      <c r="D53" t="s">
        <v>2382</v>
      </c>
      <c r="E53" t="s">
        <v>108</v>
      </c>
      <c r="F53" t="s">
        <v>2478</v>
      </c>
      <c r="G53" t="s">
        <v>2723</v>
      </c>
      <c r="H53" t="s">
        <v>108</v>
      </c>
      <c r="I53" t="s">
        <v>3819</v>
      </c>
    </row>
    <row r="54" spans="1:9">
      <c r="A54" s="92" t="s">
        <v>4324</v>
      </c>
      <c r="B54" t="s">
        <v>1916</v>
      </c>
      <c r="C54" t="s">
        <v>2479</v>
      </c>
      <c r="D54" t="s">
        <v>2480</v>
      </c>
      <c r="E54" t="s">
        <v>108</v>
      </c>
      <c r="F54" t="s">
        <v>2481</v>
      </c>
      <c r="G54" t="s">
        <v>2723</v>
      </c>
      <c r="H54" t="s">
        <v>108</v>
      </c>
      <c r="I54" t="s">
        <v>3819</v>
      </c>
    </row>
    <row r="55" spans="1:9">
      <c r="A55" s="92" t="s">
        <v>4324</v>
      </c>
      <c r="B55" t="s">
        <v>1916</v>
      </c>
      <c r="C55" t="s">
        <v>2482</v>
      </c>
      <c r="D55" t="s">
        <v>2480</v>
      </c>
      <c r="E55" t="s">
        <v>108</v>
      </c>
      <c r="F55" t="s">
        <v>2483</v>
      </c>
      <c r="G55" t="s">
        <v>2723</v>
      </c>
      <c r="H55" t="s">
        <v>108</v>
      </c>
      <c r="I55" t="s">
        <v>3819</v>
      </c>
    </row>
    <row r="56" spans="1:9">
      <c r="A56" s="92" t="s">
        <v>4324</v>
      </c>
      <c r="B56" t="s">
        <v>1916</v>
      </c>
      <c r="C56" t="s">
        <v>2484</v>
      </c>
      <c r="D56" t="s">
        <v>2382</v>
      </c>
      <c r="E56" t="s">
        <v>2403</v>
      </c>
      <c r="G56" t="s">
        <v>2723</v>
      </c>
      <c r="H56" t="s">
        <v>2403</v>
      </c>
      <c r="I56" t="s">
        <v>3819</v>
      </c>
    </row>
    <row r="57" spans="1:9">
      <c r="A57" s="92" t="s">
        <v>4324</v>
      </c>
      <c r="B57" t="s">
        <v>1916</v>
      </c>
      <c r="C57" t="s">
        <v>2485</v>
      </c>
      <c r="D57" t="s">
        <v>2486</v>
      </c>
      <c r="E57" t="s">
        <v>2487</v>
      </c>
      <c r="G57" t="s">
        <v>2723</v>
      </c>
      <c r="H57" t="s">
        <v>108</v>
      </c>
      <c r="I57" t="s">
        <v>3819</v>
      </c>
    </row>
    <row r="58" spans="1:9">
      <c r="A58" s="92" t="s">
        <v>4324</v>
      </c>
      <c r="B58" t="s">
        <v>1918</v>
      </c>
      <c r="C58" t="s">
        <v>2489</v>
      </c>
      <c r="D58" t="s">
        <v>2490</v>
      </c>
      <c r="E58" t="s">
        <v>108</v>
      </c>
      <c r="G58" t="s">
        <v>2723</v>
      </c>
      <c r="H58" t="s">
        <v>108</v>
      </c>
      <c r="I58" t="s">
        <v>3823</v>
      </c>
    </row>
    <row r="59" spans="1:9">
      <c r="A59" s="92" t="s">
        <v>4324</v>
      </c>
      <c r="B59" t="s">
        <v>1918</v>
      </c>
      <c r="C59" t="s">
        <v>2491</v>
      </c>
      <c r="D59" t="s">
        <v>2490</v>
      </c>
      <c r="E59" t="s">
        <v>2403</v>
      </c>
      <c r="F59" t="s">
        <v>2492</v>
      </c>
      <c r="G59" t="s">
        <v>2723</v>
      </c>
      <c r="H59" t="s">
        <v>2403</v>
      </c>
      <c r="I59" t="s">
        <v>3823</v>
      </c>
    </row>
    <row r="60" spans="1:9">
      <c r="A60" s="92" t="s">
        <v>4324</v>
      </c>
      <c r="B60" t="s">
        <v>1918</v>
      </c>
      <c r="C60" t="s">
        <v>2529</v>
      </c>
      <c r="D60" t="s">
        <v>2494</v>
      </c>
      <c r="E60" t="s">
        <v>2530</v>
      </c>
      <c r="F60" t="s">
        <v>2532</v>
      </c>
      <c r="G60" t="s">
        <v>2040</v>
      </c>
      <c r="H60" t="s">
        <v>2719</v>
      </c>
      <c r="I60" t="s">
        <v>3823</v>
      </c>
    </row>
    <row r="61" spans="1:9">
      <c r="A61" s="92" t="s">
        <v>4324</v>
      </c>
      <c r="B61" t="s">
        <v>1918</v>
      </c>
      <c r="C61" t="s">
        <v>2493</v>
      </c>
      <c r="D61" t="s">
        <v>2494</v>
      </c>
      <c r="E61" t="s">
        <v>2421</v>
      </c>
      <c r="F61" t="s">
        <v>2495</v>
      </c>
      <c r="G61" t="s">
        <v>2723</v>
      </c>
      <c r="H61" t="s">
        <v>108</v>
      </c>
      <c r="I61" t="s">
        <v>3823</v>
      </c>
    </row>
    <row r="62" spans="1:9">
      <c r="A62" s="92" t="s">
        <v>4324</v>
      </c>
      <c r="B62" t="s">
        <v>1918</v>
      </c>
      <c r="C62" t="s">
        <v>2496</v>
      </c>
      <c r="D62" t="s">
        <v>2490</v>
      </c>
      <c r="E62" t="s">
        <v>2497</v>
      </c>
      <c r="G62" t="s">
        <v>2723</v>
      </c>
      <c r="H62" t="s">
        <v>108</v>
      </c>
      <c r="I62" t="s">
        <v>3823</v>
      </c>
    </row>
    <row r="63" spans="1:9">
      <c r="A63" s="92" t="s">
        <v>4324</v>
      </c>
      <c r="B63" t="s">
        <v>1918</v>
      </c>
      <c r="C63" t="s">
        <v>2498</v>
      </c>
      <c r="D63" t="s">
        <v>2490</v>
      </c>
      <c r="E63" t="s">
        <v>2499</v>
      </c>
      <c r="F63" t="s">
        <v>2500</v>
      </c>
      <c r="G63" t="s">
        <v>2723</v>
      </c>
      <c r="H63" t="s">
        <v>108</v>
      </c>
      <c r="I63" t="s">
        <v>3823</v>
      </c>
    </row>
    <row r="64" spans="1:9">
      <c r="A64" s="92" t="s">
        <v>4324</v>
      </c>
      <c r="B64" t="s">
        <v>1920</v>
      </c>
      <c r="C64" t="s">
        <v>2502</v>
      </c>
      <c r="D64" t="s">
        <v>2325</v>
      </c>
      <c r="E64" t="s">
        <v>2503</v>
      </c>
      <c r="F64" t="s">
        <v>2504</v>
      </c>
      <c r="G64" t="s">
        <v>2723</v>
      </c>
      <c r="H64" t="s">
        <v>108</v>
      </c>
      <c r="I64" t="s">
        <v>3827</v>
      </c>
    </row>
    <row r="65" spans="1:9">
      <c r="A65" s="92" t="s">
        <v>4324</v>
      </c>
      <c r="B65" t="s">
        <v>1920</v>
      </c>
      <c r="C65" t="s">
        <v>2341</v>
      </c>
      <c r="D65" t="s">
        <v>2342</v>
      </c>
      <c r="E65" t="s">
        <v>2343</v>
      </c>
      <c r="F65" t="s">
        <v>2344</v>
      </c>
      <c r="G65" t="s">
        <v>2723</v>
      </c>
      <c r="H65" t="s">
        <v>108</v>
      </c>
      <c r="I65" t="s">
        <v>3827</v>
      </c>
    </row>
    <row r="66" spans="1:9">
      <c r="A66" s="92" t="s">
        <v>4324</v>
      </c>
      <c r="B66" t="s">
        <v>1920</v>
      </c>
      <c r="C66" t="s">
        <v>2348</v>
      </c>
      <c r="E66" t="s">
        <v>2292</v>
      </c>
      <c r="G66" t="s">
        <v>2723</v>
      </c>
      <c r="H66" t="s">
        <v>2446</v>
      </c>
      <c r="I66" t="s">
        <v>3827</v>
      </c>
    </row>
    <row r="67" spans="1:9">
      <c r="A67" s="92" t="s">
        <v>4324</v>
      </c>
      <c r="B67" t="s">
        <v>1920</v>
      </c>
      <c r="C67" t="s">
        <v>2505</v>
      </c>
      <c r="D67" t="s">
        <v>2291</v>
      </c>
      <c r="E67" t="s">
        <v>108</v>
      </c>
      <c r="G67" t="s">
        <v>2723</v>
      </c>
      <c r="H67" t="s">
        <v>108</v>
      </c>
      <c r="I67" t="s">
        <v>3827</v>
      </c>
    </row>
    <row r="68" spans="1:9">
      <c r="A68" s="92" t="s">
        <v>4324</v>
      </c>
      <c r="B68" t="s">
        <v>1920</v>
      </c>
      <c r="C68" t="s">
        <v>2506</v>
      </c>
      <c r="D68" t="s">
        <v>2346</v>
      </c>
      <c r="E68" t="s">
        <v>2507</v>
      </c>
      <c r="F68" t="s">
        <v>2508</v>
      </c>
      <c r="G68" t="s">
        <v>2723</v>
      </c>
      <c r="H68" t="s">
        <v>2507</v>
      </c>
      <c r="I68" t="s">
        <v>3827</v>
      </c>
    </row>
    <row r="69" spans="1:9">
      <c r="A69" s="92" t="s">
        <v>4334</v>
      </c>
      <c r="B69" t="s">
        <v>1894</v>
      </c>
      <c r="C69" t="s">
        <v>2283</v>
      </c>
      <c r="D69" t="s">
        <v>2284</v>
      </c>
      <c r="E69" t="s">
        <v>2285</v>
      </c>
      <c r="F69" t="s">
        <v>2288</v>
      </c>
      <c r="G69" t="s">
        <v>2723</v>
      </c>
      <c r="H69" t="s">
        <v>2287</v>
      </c>
      <c r="I69" t="s">
        <v>3787</v>
      </c>
    </row>
    <row r="70" spans="1:9">
      <c r="A70" s="92" t="s">
        <v>4334</v>
      </c>
      <c r="B70" t="s">
        <v>1894</v>
      </c>
      <c r="C70" t="s">
        <v>2516</v>
      </c>
      <c r="D70" t="s">
        <v>2291</v>
      </c>
      <c r="E70" t="s">
        <v>1215</v>
      </c>
      <c r="G70" t="s">
        <v>2067</v>
      </c>
      <c r="H70" t="s">
        <v>1215</v>
      </c>
      <c r="I70" t="s">
        <v>3787</v>
      </c>
    </row>
    <row r="71" spans="1:9">
      <c r="A71" s="92" t="s">
        <v>4334</v>
      </c>
      <c r="B71" t="s">
        <v>1894</v>
      </c>
      <c r="C71" t="s">
        <v>2398</v>
      </c>
      <c r="E71" t="s">
        <v>2399</v>
      </c>
      <c r="G71" t="s">
        <v>2067</v>
      </c>
      <c r="H71" t="s">
        <v>1215</v>
      </c>
      <c r="I71" t="s">
        <v>3787</v>
      </c>
    </row>
    <row r="72" spans="1:9">
      <c r="A72" s="92" t="s">
        <v>4334</v>
      </c>
      <c r="B72" t="s">
        <v>1895</v>
      </c>
      <c r="C72" t="s">
        <v>2290</v>
      </c>
      <c r="D72" t="s">
        <v>2291</v>
      </c>
      <c r="E72" t="s">
        <v>2292</v>
      </c>
      <c r="G72" t="s">
        <v>2723</v>
      </c>
      <c r="H72" t="s">
        <v>2293</v>
      </c>
      <c r="I72" t="s">
        <v>3791</v>
      </c>
    </row>
    <row r="73" spans="1:9">
      <c r="A73" s="92" t="s">
        <v>4334</v>
      </c>
      <c r="B73" t="s">
        <v>3567</v>
      </c>
      <c r="C73" t="s">
        <v>2362</v>
      </c>
      <c r="D73" t="s">
        <v>2363</v>
      </c>
      <c r="E73" t="s">
        <v>2364</v>
      </c>
      <c r="G73" t="s">
        <v>2723</v>
      </c>
      <c r="H73" t="s">
        <v>2729</v>
      </c>
      <c r="I73" t="s">
        <v>3795</v>
      </c>
    </row>
    <row r="74" spans="1:9">
      <c r="A74" s="92" t="s">
        <v>4334</v>
      </c>
      <c r="B74" t="s">
        <v>1901</v>
      </c>
      <c r="C74" t="s">
        <v>2367</v>
      </c>
      <c r="D74" t="s">
        <v>2325</v>
      </c>
      <c r="E74" t="s">
        <v>2368</v>
      </c>
      <c r="G74" t="s">
        <v>2723</v>
      </c>
      <c r="H74" t="s">
        <v>2365</v>
      </c>
      <c r="I74" t="s">
        <v>3799</v>
      </c>
    </row>
    <row r="75" spans="1:9">
      <c r="A75" s="92" t="s">
        <v>4334</v>
      </c>
      <c r="B75" t="s">
        <v>1903</v>
      </c>
      <c r="C75" t="s">
        <v>2295</v>
      </c>
      <c r="D75" t="s">
        <v>2296</v>
      </c>
      <c r="E75" t="s">
        <v>2297</v>
      </c>
      <c r="G75" t="s">
        <v>2723</v>
      </c>
      <c r="H75" t="s">
        <v>2293</v>
      </c>
      <c r="I75" t="s">
        <v>3803</v>
      </c>
    </row>
    <row r="76" spans="1:9">
      <c r="A76" s="92" t="s">
        <v>4334</v>
      </c>
      <c r="B76" t="s">
        <v>1903</v>
      </c>
      <c r="C76" t="s">
        <v>2298</v>
      </c>
      <c r="D76" t="s">
        <v>2296</v>
      </c>
      <c r="E76" t="s">
        <v>2292</v>
      </c>
      <c r="G76" t="s">
        <v>2723</v>
      </c>
      <c r="H76" t="s">
        <v>2293</v>
      </c>
      <c r="I76" t="s">
        <v>3803</v>
      </c>
    </row>
    <row r="77" spans="1:9">
      <c r="A77" s="92" t="s">
        <v>4334</v>
      </c>
      <c r="B77" t="s">
        <v>1903</v>
      </c>
      <c r="C77" t="s">
        <v>2299</v>
      </c>
      <c r="D77" t="s">
        <v>2296</v>
      </c>
      <c r="E77" t="s">
        <v>2292</v>
      </c>
      <c r="G77" t="s">
        <v>2723</v>
      </c>
      <c r="H77" t="s">
        <v>2293</v>
      </c>
      <c r="I77" t="s">
        <v>3803</v>
      </c>
    </row>
    <row r="78" spans="1:9">
      <c r="A78" s="92" t="s">
        <v>4334</v>
      </c>
      <c r="B78" t="s">
        <v>1903</v>
      </c>
      <c r="C78" t="s">
        <v>2300</v>
      </c>
      <c r="D78" t="s">
        <v>2301</v>
      </c>
      <c r="E78" t="s">
        <v>2292</v>
      </c>
      <c r="G78" t="s">
        <v>2723</v>
      </c>
      <c r="H78" t="s">
        <v>2293</v>
      </c>
      <c r="I78" t="s">
        <v>3803</v>
      </c>
    </row>
    <row r="79" spans="1:9">
      <c r="A79" s="92" t="s">
        <v>4334</v>
      </c>
      <c r="B79" t="s">
        <v>1903</v>
      </c>
      <c r="C79" t="s">
        <v>2302</v>
      </c>
      <c r="E79" t="s">
        <v>2292</v>
      </c>
      <c r="G79" t="s">
        <v>2723</v>
      </c>
      <c r="H79" t="s">
        <v>2293</v>
      </c>
      <c r="I79" t="s">
        <v>3803</v>
      </c>
    </row>
    <row r="80" spans="1:9">
      <c r="A80" s="92" t="s">
        <v>4334</v>
      </c>
      <c r="B80" t="s">
        <v>1903</v>
      </c>
      <c r="C80" t="s">
        <v>2303</v>
      </c>
      <c r="E80" t="s">
        <v>2292</v>
      </c>
      <c r="G80" t="s">
        <v>2723</v>
      </c>
      <c r="H80" t="s">
        <v>2293</v>
      </c>
      <c r="I80" t="s">
        <v>3803</v>
      </c>
    </row>
    <row r="81" spans="1:9">
      <c r="A81" s="92" t="s">
        <v>4334</v>
      </c>
      <c r="B81" t="s">
        <v>1903</v>
      </c>
      <c r="C81" t="s">
        <v>2304</v>
      </c>
      <c r="E81" t="s">
        <v>2292</v>
      </c>
      <c r="G81" t="s">
        <v>2723</v>
      </c>
      <c r="H81" t="s">
        <v>2293</v>
      </c>
      <c r="I81" t="s">
        <v>3803</v>
      </c>
    </row>
    <row r="82" spans="1:9">
      <c r="A82" s="92" t="s">
        <v>4334</v>
      </c>
      <c r="B82" t="s">
        <v>1905</v>
      </c>
      <c r="C82" t="s">
        <v>2310</v>
      </c>
      <c r="D82" t="s">
        <v>2291</v>
      </c>
      <c r="E82" t="s">
        <v>2311</v>
      </c>
      <c r="G82" t="s">
        <v>2723</v>
      </c>
      <c r="H82" t="s">
        <v>2312</v>
      </c>
      <c r="I82" t="s">
        <v>3805</v>
      </c>
    </row>
    <row r="83" spans="1:9">
      <c r="A83" s="92" t="s">
        <v>4334</v>
      </c>
      <c r="B83" t="s">
        <v>1905</v>
      </c>
      <c r="C83" t="s">
        <v>2313</v>
      </c>
      <c r="D83" t="s">
        <v>2291</v>
      </c>
      <c r="E83" t="s">
        <v>2292</v>
      </c>
      <c r="G83" t="s">
        <v>2723</v>
      </c>
      <c r="H83" t="s">
        <v>2293</v>
      </c>
      <c r="I83" t="s">
        <v>3805</v>
      </c>
    </row>
    <row r="84" spans="1:9">
      <c r="A84" s="92" t="s">
        <v>4334</v>
      </c>
      <c r="B84" t="s">
        <v>1905</v>
      </c>
      <c r="C84" t="s">
        <v>2314</v>
      </c>
      <c r="D84" t="s">
        <v>2291</v>
      </c>
      <c r="E84" t="s">
        <v>2292</v>
      </c>
      <c r="G84" t="s">
        <v>2723</v>
      </c>
      <c r="H84" t="s">
        <v>2293</v>
      </c>
      <c r="I84" t="s">
        <v>3805</v>
      </c>
    </row>
    <row r="85" spans="1:9">
      <c r="A85" s="92" t="s">
        <v>4334</v>
      </c>
      <c r="B85" t="s">
        <v>1908</v>
      </c>
      <c r="C85" t="s">
        <v>2316</v>
      </c>
      <c r="D85" t="s">
        <v>2291</v>
      </c>
      <c r="E85" t="s">
        <v>2292</v>
      </c>
      <c r="G85" t="s">
        <v>2723</v>
      </c>
      <c r="H85" t="s">
        <v>2293</v>
      </c>
      <c r="I85" t="s">
        <v>3807</v>
      </c>
    </row>
    <row r="86" spans="1:9">
      <c r="A86" s="92" t="s">
        <v>4334</v>
      </c>
      <c r="B86" t="s">
        <v>1911</v>
      </c>
      <c r="C86" t="s">
        <v>2318</v>
      </c>
      <c r="D86" t="s">
        <v>2319</v>
      </c>
      <c r="E86" t="s">
        <v>2285</v>
      </c>
      <c r="F86" t="s">
        <v>2320</v>
      </c>
      <c r="G86" t="s">
        <v>2723</v>
      </c>
      <c r="H86" t="s">
        <v>2287</v>
      </c>
      <c r="I86" t="s">
        <v>3815</v>
      </c>
    </row>
    <row r="87" spans="1:9">
      <c r="A87" s="92" t="s">
        <v>4334</v>
      </c>
      <c r="B87" t="s">
        <v>1911</v>
      </c>
      <c r="C87" t="s">
        <v>2321</v>
      </c>
      <c r="D87" t="s">
        <v>2322</v>
      </c>
      <c r="E87" t="s">
        <v>2285</v>
      </c>
      <c r="F87" t="s">
        <v>2323</v>
      </c>
      <c r="G87" t="s">
        <v>2723</v>
      </c>
      <c r="H87" t="s">
        <v>2287</v>
      </c>
      <c r="I87" t="s">
        <v>3815</v>
      </c>
    </row>
    <row r="88" spans="1:9">
      <c r="A88" s="92" t="s">
        <v>4334</v>
      </c>
      <c r="B88" t="s">
        <v>1916</v>
      </c>
      <c r="C88" t="s">
        <v>2333</v>
      </c>
      <c r="D88" t="s">
        <v>2291</v>
      </c>
      <c r="E88" t="s">
        <v>2285</v>
      </c>
      <c r="G88" t="s">
        <v>2723</v>
      </c>
      <c r="H88" t="s">
        <v>2287</v>
      </c>
      <c r="I88" t="s">
        <v>3819</v>
      </c>
    </row>
    <row r="89" spans="1:9">
      <c r="A89" s="92" t="s">
        <v>4334</v>
      </c>
      <c r="B89" t="s">
        <v>1916</v>
      </c>
      <c r="C89" t="s">
        <v>2334</v>
      </c>
      <c r="D89" t="s">
        <v>2291</v>
      </c>
      <c r="E89" t="s">
        <v>2311</v>
      </c>
      <c r="F89" t="s">
        <v>2335</v>
      </c>
      <c r="G89" t="s">
        <v>2723</v>
      </c>
      <c r="H89" t="s">
        <v>2312</v>
      </c>
      <c r="I89" t="s">
        <v>3819</v>
      </c>
    </row>
    <row r="90" spans="1:9">
      <c r="A90" s="92" t="s">
        <v>4334</v>
      </c>
      <c r="B90" t="s">
        <v>1918</v>
      </c>
      <c r="C90" t="s">
        <v>2529</v>
      </c>
      <c r="D90" t="s">
        <v>2494</v>
      </c>
      <c r="E90" t="s">
        <v>2530</v>
      </c>
      <c r="F90" t="s">
        <v>2532</v>
      </c>
      <c r="G90" t="s">
        <v>2067</v>
      </c>
      <c r="H90" t="s">
        <v>2719</v>
      </c>
      <c r="I90" t="s">
        <v>3823</v>
      </c>
    </row>
    <row r="91" spans="1:9">
      <c r="A91" s="92" t="s">
        <v>4334</v>
      </c>
      <c r="B91" t="s">
        <v>1920</v>
      </c>
      <c r="C91" t="s">
        <v>2339</v>
      </c>
      <c r="E91" t="s">
        <v>2285</v>
      </c>
      <c r="F91" t="s">
        <v>2340</v>
      </c>
      <c r="G91" t="s">
        <v>2723</v>
      </c>
      <c r="H91" t="s">
        <v>2287</v>
      </c>
      <c r="I91" t="s">
        <v>3827</v>
      </c>
    </row>
    <row r="92" spans="1:9">
      <c r="A92" s="92" t="s">
        <v>4334</v>
      </c>
      <c r="B92" t="s">
        <v>1920</v>
      </c>
      <c r="C92" t="s">
        <v>2345</v>
      </c>
      <c r="D92" t="s">
        <v>2346</v>
      </c>
      <c r="E92" t="s">
        <v>2285</v>
      </c>
      <c r="F92" t="s">
        <v>2347</v>
      </c>
      <c r="G92" t="s">
        <v>2723</v>
      </c>
      <c r="H92" t="s">
        <v>2287</v>
      </c>
      <c r="I92" t="s">
        <v>3827</v>
      </c>
    </row>
    <row r="93" spans="1:9">
      <c r="A93" s="92" t="s">
        <v>4334</v>
      </c>
      <c r="B93" t="s">
        <v>1920</v>
      </c>
      <c r="C93" t="s">
        <v>2348</v>
      </c>
      <c r="E93" t="s">
        <v>2292</v>
      </c>
      <c r="G93" t="s">
        <v>2723</v>
      </c>
      <c r="H93" t="s">
        <v>2293</v>
      </c>
      <c r="I93" t="s">
        <v>3827</v>
      </c>
    </row>
    <row r="94" spans="1:9">
      <c r="A94" s="92" t="s">
        <v>4338</v>
      </c>
      <c r="B94" t="s">
        <v>1894</v>
      </c>
      <c r="C94" t="s">
        <v>2283</v>
      </c>
      <c r="D94" t="s">
        <v>2284</v>
      </c>
      <c r="E94" t="s">
        <v>2285</v>
      </c>
      <c r="F94" t="s">
        <v>2288</v>
      </c>
      <c r="G94" t="s">
        <v>2723</v>
      </c>
      <c r="H94" t="s">
        <v>2287</v>
      </c>
      <c r="I94" t="s">
        <v>3787</v>
      </c>
    </row>
    <row r="95" spans="1:9">
      <c r="A95" s="92" t="s">
        <v>4338</v>
      </c>
      <c r="B95" t="s">
        <v>1894</v>
      </c>
      <c r="C95" t="s">
        <v>2516</v>
      </c>
      <c r="D95" t="s">
        <v>2291</v>
      </c>
      <c r="E95" t="s">
        <v>1215</v>
      </c>
      <c r="G95" t="s">
        <v>2093</v>
      </c>
      <c r="H95" t="s">
        <v>1215</v>
      </c>
      <c r="I95" t="s">
        <v>3787</v>
      </c>
    </row>
    <row r="96" spans="1:9">
      <c r="A96" s="92" t="s">
        <v>4338</v>
      </c>
      <c r="B96" t="s">
        <v>1894</v>
      </c>
      <c r="C96" t="s">
        <v>2398</v>
      </c>
      <c r="E96" t="s">
        <v>2399</v>
      </c>
      <c r="G96" t="s">
        <v>2093</v>
      </c>
      <c r="H96" t="s">
        <v>1215</v>
      </c>
      <c r="I96" t="s">
        <v>3787</v>
      </c>
    </row>
    <row r="97" spans="1:9">
      <c r="A97" s="92" t="s">
        <v>4338</v>
      </c>
      <c r="B97" t="s">
        <v>1895</v>
      </c>
      <c r="C97" t="s">
        <v>2290</v>
      </c>
      <c r="D97" t="s">
        <v>2291</v>
      </c>
      <c r="E97" t="s">
        <v>2292</v>
      </c>
      <c r="G97" t="s">
        <v>2723</v>
      </c>
      <c r="H97" t="s">
        <v>2293</v>
      </c>
      <c r="I97" t="s">
        <v>3791</v>
      </c>
    </row>
    <row r="98" spans="1:9">
      <c r="A98" s="92" t="s">
        <v>4338</v>
      </c>
      <c r="B98" t="s">
        <v>1903</v>
      </c>
      <c r="C98" t="s">
        <v>2295</v>
      </c>
      <c r="D98" t="s">
        <v>2296</v>
      </c>
      <c r="E98" t="s">
        <v>2297</v>
      </c>
      <c r="G98" t="s">
        <v>2723</v>
      </c>
      <c r="H98" t="s">
        <v>2293</v>
      </c>
      <c r="I98" t="s">
        <v>3803</v>
      </c>
    </row>
    <row r="99" spans="1:9">
      <c r="A99" s="92" t="s">
        <v>4338</v>
      </c>
      <c r="B99" t="s">
        <v>1903</v>
      </c>
      <c r="C99" t="s">
        <v>2298</v>
      </c>
      <c r="D99" t="s">
        <v>2296</v>
      </c>
      <c r="E99" t="s">
        <v>2292</v>
      </c>
      <c r="G99" t="s">
        <v>2723</v>
      </c>
      <c r="H99" t="s">
        <v>2293</v>
      </c>
      <c r="I99" t="s">
        <v>3803</v>
      </c>
    </row>
    <row r="100" spans="1:9">
      <c r="A100" s="92" t="s">
        <v>4338</v>
      </c>
      <c r="B100" t="s">
        <v>1903</v>
      </c>
      <c r="C100" t="s">
        <v>2299</v>
      </c>
      <c r="D100" t="s">
        <v>2296</v>
      </c>
      <c r="E100" t="s">
        <v>2292</v>
      </c>
      <c r="G100" t="s">
        <v>2723</v>
      </c>
      <c r="H100" t="s">
        <v>2293</v>
      </c>
      <c r="I100" t="s">
        <v>3803</v>
      </c>
    </row>
    <row r="101" spans="1:9">
      <c r="A101" s="92" t="s">
        <v>4338</v>
      </c>
      <c r="B101" t="s">
        <v>1903</v>
      </c>
      <c r="C101" t="s">
        <v>2300</v>
      </c>
      <c r="D101" t="s">
        <v>2301</v>
      </c>
      <c r="E101" t="s">
        <v>2292</v>
      </c>
      <c r="G101" t="s">
        <v>2723</v>
      </c>
      <c r="H101" t="s">
        <v>2293</v>
      </c>
      <c r="I101" t="s">
        <v>3803</v>
      </c>
    </row>
    <row r="102" spans="1:9">
      <c r="A102" s="92" t="s">
        <v>4338</v>
      </c>
      <c r="B102" t="s">
        <v>1903</v>
      </c>
      <c r="C102" t="s">
        <v>2302</v>
      </c>
      <c r="E102" t="s">
        <v>2292</v>
      </c>
      <c r="G102" t="s">
        <v>2723</v>
      </c>
      <c r="H102" t="s">
        <v>2293</v>
      </c>
      <c r="I102" t="s">
        <v>3803</v>
      </c>
    </row>
    <row r="103" spans="1:9">
      <c r="A103" s="92" t="s">
        <v>4338</v>
      </c>
      <c r="B103" t="s">
        <v>1903</v>
      </c>
      <c r="C103" t="s">
        <v>2303</v>
      </c>
      <c r="E103" t="s">
        <v>2292</v>
      </c>
      <c r="G103" t="s">
        <v>2723</v>
      </c>
      <c r="H103" t="s">
        <v>2293</v>
      </c>
      <c r="I103" t="s">
        <v>3803</v>
      </c>
    </row>
    <row r="104" spans="1:9">
      <c r="A104" s="92" t="s">
        <v>4338</v>
      </c>
      <c r="B104" t="s">
        <v>1903</v>
      </c>
      <c r="C104" t="s">
        <v>2304</v>
      </c>
      <c r="E104" t="s">
        <v>2292</v>
      </c>
      <c r="G104" t="s">
        <v>2723</v>
      </c>
      <c r="H104" t="s">
        <v>2293</v>
      </c>
      <c r="I104" t="s">
        <v>3803</v>
      </c>
    </row>
    <row r="105" spans="1:9">
      <c r="A105" s="92" t="s">
        <v>4338</v>
      </c>
      <c r="B105" t="s">
        <v>1905</v>
      </c>
      <c r="C105" t="s">
        <v>2310</v>
      </c>
      <c r="D105" t="s">
        <v>2291</v>
      </c>
      <c r="E105" t="s">
        <v>2311</v>
      </c>
      <c r="G105" t="s">
        <v>2723</v>
      </c>
      <c r="H105" t="s">
        <v>2312</v>
      </c>
      <c r="I105" t="s">
        <v>3805</v>
      </c>
    </row>
    <row r="106" spans="1:9">
      <c r="A106" s="92" t="s">
        <v>4338</v>
      </c>
      <c r="B106" t="s">
        <v>1905</v>
      </c>
      <c r="C106" t="s">
        <v>2313</v>
      </c>
      <c r="D106" t="s">
        <v>2291</v>
      </c>
      <c r="E106" t="s">
        <v>2292</v>
      </c>
      <c r="G106" t="s">
        <v>2723</v>
      </c>
      <c r="H106" t="s">
        <v>2293</v>
      </c>
      <c r="I106" t="s">
        <v>3805</v>
      </c>
    </row>
    <row r="107" spans="1:9">
      <c r="A107" s="92" t="s">
        <v>4338</v>
      </c>
      <c r="B107" t="s">
        <v>1905</v>
      </c>
      <c r="C107" t="s">
        <v>2314</v>
      </c>
      <c r="D107" t="s">
        <v>2291</v>
      </c>
      <c r="E107" t="s">
        <v>2292</v>
      </c>
      <c r="G107" t="s">
        <v>2723</v>
      </c>
      <c r="H107" t="s">
        <v>2293</v>
      </c>
      <c r="I107" t="s">
        <v>3805</v>
      </c>
    </row>
    <row r="108" spans="1:9">
      <c r="A108" s="92" t="s">
        <v>4338</v>
      </c>
      <c r="B108" t="s">
        <v>1908</v>
      </c>
      <c r="C108" t="s">
        <v>2316</v>
      </c>
      <c r="D108" t="s">
        <v>2291</v>
      </c>
      <c r="E108" t="s">
        <v>2292</v>
      </c>
      <c r="G108" t="s">
        <v>2723</v>
      </c>
      <c r="H108" t="s">
        <v>2293</v>
      </c>
      <c r="I108" t="s">
        <v>3807</v>
      </c>
    </row>
    <row r="109" spans="1:9">
      <c r="A109" s="92" t="s">
        <v>4338</v>
      </c>
      <c r="B109" t="s">
        <v>1911</v>
      </c>
      <c r="C109" t="s">
        <v>2318</v>
      </c>
      <c r="D109" t="s">
        <v>2319</v>
      </c>
      <c r="E109" t="s">
        <v>2285</v>
      </c>
      <c r="F109" t="s">
        <v>2320</v>
      </c>
      <c r="G109" t="s">
        <v>2723</v>
      </c>
      <c r="H109" t="s">
        <v>2287</v>
      </c>
      <c r="I109" t="s">
        <v>3815</v>
      </c>
    </row>
    <row r="110" spans="1:9">
      <c r="A110" s="92" t="s">
        <v>4338</v>
      </c>
      <c r="B110" t="s">
        <v>1911</v>
      </c>
      <c r="C110" t="s">
        <v>2321</v>
      </c>
      <c r="D110" t="s">
        <v>2322</v>
      </c>
      <c r="E110" t="s">
        <v>2285</v>
      </c>
      <c r="F110" t="s">
        <v>2323</v>
      </c>
      <c r="G110" t="s">
        <v>2723</v>
      </c>
      <c r="H110" t="s">
        <v>2287</v>
      </c>
      <c r="I110" t="s">
        <v>3815</v>
      </c>
    </row>
    <row r="111" spans="1:9">
      <c r="A111" s="92" t="s">
        <v>4338</v>
      </c>
      <c r="B111" t="s">
        <v>1916</v>
      </c>
      <c r="C111" t="s">
        <v>2333</v>
      </c>
      <c r="D111" t="s">
        <v>2291</v>
      </c>
      <c r="E111" t="s">
        <v>2285</v>
      </c>
      <c r="G111" t="s">
        <v>2723</v>
      </c>
      <c r="H111" t="s">
        <v>2287</v>
      </c>
      <c r="I111" t="s">
        <v>3819</v>
      </c>
    </row>
    <row r="112" spans="1:9">
      <c r="A112" s="92" t="s">
        <v>4338</v>
      </c>
      <c r="B112" t="s">
        <v>1916</v>
      </c>
      <c r="C112" t="s">
        <v>2334</v>
      </c>
      <c r="D112" t="s">
        <v>2291</v>
      </c>
      <c r="E112" t="s">
        <v>2311</v>
      </c>
      <c r="F112" t="s">
        <v>2335</v>
      </c>
      <c r="G112" t="s">
        <v>2723</v>
      </c>
      <c r="H112" t="s">
        <v>2312</v>
      </c>
      <c r="I112" t="s">
        <v>3819</v>
      </c>
    </row>
    <row r="113" spans="1:9">
      <c r="A113" s="92" t="s">
        <v>4338</v>
      </c>
      <c r="B113" t="s">
        <v>1918</v>
      </c>
      <c r="C113" t="s">
        <v>2529</v>
      </c>
      <c r="D113" t="s">
        <v>2494</v>
      </c>
      <c r="E113" t="s">
        <v>2530</v>
      </c>
      <c r="F113" t="s">
        <v>2532</v>
      </c>
      <c r="G113" t="s">
        <v>2093</v>
      </c>
      <c r="H113" t="s">
        <v>2731</v>
      </c>
      <c r="I113" t="s">
        <v>3823</v>
      </c>
    </row>
    <row r="114" spans="1:9">
      <c r="A114" s="92" t="s">
        <v>4338</v>
      </c>
      <c r="B114" t="s">
        <v>1920</v>
      </c>
      <c r="C114" t="s">
        <v>2339</v>
      </c>
      <c r="E114" t="s">
        <v>2285</v>
      </c>
      <c r="F114" t="s">
        <v>2340</v>
      </c>
      <c r="G114" t="s">
        <v>2723</v>
      </c>
      <c r="H114" t="s">
        <v>2287</v>
      </c>
      <c r="I114" t="s">
        <v>3827</v>
      </c>
    </row>
    <row r="115" spans="1:9">
      <c r="A115" s="92" t="s">
        <v>4338</v>
      </c>
      <c r="B115" t="s">
        <v>1920</v>
      </c>
      <c r="C115" t="s">
        <v>2345</v>
      </c>
      <c r="D115" t="s">
        <v>2346</v>
      </c>
      <c r="E115" t="s">
        <v>2285</v>
      </c>
      <c r="F115" t="s">
        <v>2347</v>
      </c>
      <c r="G115" t="s">
        <v>2723</v>
      </c>
      <c r="H115" t="s">
        <v>2287</v>
      </c>
      <c r="I115" t="s">
        <v>3827</v>
      </c>
    </row>
    <row r="116" spans="1:9">
      <c r="A116" s="92" t="s">
        <v>4338</v>
      </c>
      <c r="B116" t="s">
        <v>1920</v>
      </c>
      <c r="C116" t="s">
        <v>2348</v>
      </c>
      <c r="E116" t="s">
        <v>2292</v>
      </c>
      <c r="G116" t="s">
        <v>2723</v>
      </c>
      <c r="H116" t="s">
        <v>2293</v>
      </c>
      <c r="I116" t="s">
        <v>3827</v>
      </c>
    </row>
    <row r="117" spans="1:9">
      <c r="A117" s="92" t="s">
        <v>4341</v>
      </c>
      <c r="B117" t="s">
        <v>1894</v>
      </c>
      <c r="C117" t="s">
        <v>2283</v>
      </c>
      <c r="D117" t="s">
        <v>2284</v>
      </c>
      <c r="E117" t="s">
        <v>2285</v>
      </c>
      <c r="F117" t="s">
        <v>2288</v>
      </c>
      <c r="G117" t="s">
        <v>2723</v>
      </c>
      <c r="H117" t="s">
        <v>2287</v>
      </c>
      <c r="I117" t="s">
        <v>3787</v>
      </c>
    </row>
    <row r="118" spans="1:9">
      <c r="A118" s="92" t="s">
        <v>4341</v>
      </c>
      <c r="B118" t="s">
        <v>1894</v>
      </c>
      <c r="C118" t="s">
        <v>2516</v>
      </c>
      <c r="D118" t="s">
        <v>2291</v>
      </c>
      <c r="E118" t="s">
        <v>1215</v>
      </c>
      <c r="G118" t="s">
        <v>2111</v>
      </c>
      <c r="H118" t="s">
        <v>1215</v>
      </c>
      <c r="I118" t="s">
        <v>3787</v>
      </c>
    </row>
    <row r="119" spans="1:9">
      <c r="A119" s="92" t="s">
        <v>4341</v>
      </c>
      <c r="B119" t="s">
        <v>1894</v>
      </c>
      <c r="C119" t="s">
        <v>2398</v>
      </c>
      <c r="E119" t="s">
        <v>2399</v>
      </c>
      <c r="G119" t="s">
        <v>2111</v>
      </c>
      <c r="H119" t="s">
        <v>1215</v>
      </c>
      <c r="I119" t="s">
        <v>3787</v>
      </c>
    </row>
    <row r="120" spans="1:9">
      <c r="A120" s="92" t="s">
        <v>4341</v>
      </c>
      <c r="B120" t="s">
        <v>1895</v>
      </c>
      <c r="C120" t="s">
        <v>2290</v>
      </c>
      <c r="D120" t="s">
        <v>2291</v>
      </c>
      <c r="E120" t="s">
        <v>2292</v>
      </c>
      <c r="G120" t="s">
        <v>2723</v>
      </c>
      <c r="H120" t="s">
        <v>2293</v>
      </c>
      <c r="I120" t="s">
        <v>3791</v>
      </c>
    </row>
    <row r="121" spans="1:9">
      <c r="A121" s="92" t="s">
        <v>4341</v>
      </c>
      <c r="B121" t="s">
        <v>3567</v>
      </c>
      <c r="C121" t="s">
        <v>2362</v>
      </c>
      <c r="D121" t="s">
        <v>2363</v>
      </c>
      <c r="E121" t="s">
        <v>2364</v>
      </c>
      <c r="G121" t="s">
        <v>2723</v>
      </c>
      <c r="H121" t="s">
        <v>2729</v>
      </c>
      <c r="I121" t="s">
        <v>3795</v>
      </c>
    </row>
    <row r="122" spans="1:9">
      <c r="A122" s="92" t="s">
        <v>4341</v>
      </c>
      <c r="B122" t="s">
        <v>1901</v>
      </c>
      <c r="C122" t="s">
        <v>2367</v>
      </c>
      <c r="D122" t="s">
        <v>2325</v>
      </c>
      <c r="E122" t="s">
        <v>2368</v>
      </c>
      <c r="G122" t="s">
        <v>2723</v>
      </c>
      <c r="H122" t="s">
        <v>2365</v>
      </c>
      <c r="I122" t="s">
        <v>3799</v>
      </c>
    </row>
    <row r="123" spans="1:9">
      <c r="A123" s="92" t="s">
        <v>4341</v>
      </c>
      <c r="B123" t="s">
        <v>1903</v>
      </c>
      <c r="C123" t="s">
        <v>2295</v>
      </c>
      <c r="D123" t="s">
        <v>2296</v>
      </c>
      <c r="E123" t="s">
        <v>2297</v>
      </c>
      <c r="G123" t="s">
        <v>2723</v>
      </c>
      <c r="H123" t="s">
        <v>2293</v>
      </c>
      <c r="I123" t="s">
        <v>3803</v>
      </c>
    </row>
    <row r="124" spans="1:9">
      <c r="A124" s="92" t="s">
        <v>4341</v>
      </c>
      <c r="B124" t="s">
        <v>1903</v>
      </c>
      <c r="C124" t="s">
        <v>2298</v>
      </c>
      <c r="D124" t="s">
        <v>2296</v>
      </c>
      <c r="E124" t="s">
        <v>2292</v>
      </c>
      <c r="G124" t="s">
        <v>2723</v>
      </c>
      <c r="H124" t="s">
        <v>2293</v>
      </c>
      <c r="I124" t="s">
        <v>3803</v>
      </c>
    </row>
    <row r="125" spans="1:9">
      <c r="A125" s="92" t="s">
        <v>4341</v>
      </c>
      <c r="B125" t="s">
        <v>1903</v>
      </c>
      <c r="C125" t="s">
        <v>2299</v>
      </c>
      <c r="D125" t="s">
        <v>2296</v>
      </c>
      <c r="E125" t="s">
        <v>2292</v>
      </c>
      <c r="G125" t="s">
        <v>2723</v>
      </c>
      <c r="H125" t="s">
        <v>2293</v>
      </c>
      <c r="I125" t="s">
        <v>3803</v>
      </c>
    </row>
    <row r="126" spans="1:9">
      <c r="A126" s="92" t="s">
        <v>4341</v>
      </c>
      <c r="B126" t="s">
        <v>1903</v>
      </c>
      <c r="C126" t="s">
        <v>2300</v>
      </c>
      <c r="D126" t="s">
        <v>2301</v>
      </c>
      <c r="E126" t="s">
        <v>2292</v>
      </c>
      <c r="G126" t="s">
        <v>2723</v>
      </c>
      <c r="H126" t="s">
        <v>2293</v>
      </c>
      <c r="I126" t="s">
        <v>3803</v>
      </c>
    </row>
    <row r="127" spans="1:9">
      <c r="A127" s="92" t="s">
        <v>4341</v>
      </c>
      <c r="B127" t="s">
        <v>1903</v>
      </c>
      <c r="C127" t="s">
        <v>2302</v>
      </c>
      <c r="E127" t="s">
        <v>2292</v>
      </c>
      <c r="G127" t="s">
        <v>2723</v>
      </c>
      <c r="H127" t="s">
        <v>2293</v>
      </c>
      <c r="I127" t="s">
        <v>3803</v>
      </c>
    </row>
    <row r="128" spans="1:9">
      <c r="A128" s="92" t="s">
        <v>4341</v>
      </c>
      <c r="B128" t="s">
        <v>1903</v>
      </c>
      <c r="C128" t="s">
        <v>2303</v>
      </c>
      <c r="E128" t="s">
        <v>2292</v>
      </c>
      <c r="G128" t="s">
        <v>2723</v>
      </c>
      <c r="H128" t="s">
        <v>2293</v>
      </c>
      <c r="I128" t="s">
        <v>3803</v>
      </c>
    </row>
    <row r="129" spans="1:9">
      <c r="A129" s="92" t="s">
        <v>4341</v>
      </c>
      <c r="B129" t="s">
        <v>1903</v>
      </c>
      <c r="C129" t="s">
        <v>2304</v>
      </c>
      <c r="E129" t="s">
        <v>2292</v>
      </c>
      <c r="G129" t="s">
        <v>2723</v>
      </c>
      <c r="H129" t="s">
        <v>2293</v>
      </c>
      <c r="I129" t="s">
        <v>3803</v>
      </c>
    </row>
    <row r="130" spans="1:9">
      <c r="A130" s="92" t="s">
        <v>4341</v>
      </c>
      <c r="B130" t="s">
        <v>1905</v>
      </c>
      <c r="C130" t="s">
        <v>2310</v>
      </c>
      <c r="D130" t="s">
        <v>2291</v>
      </c>
      <c r="E130" t="s">
        <v>2311</v>
      </c>
      <c r="G130" t="s">
        <v>2723</v>
      </c>
      <c r="H130" t="s">
        <v>2312</v>
      </c>
      <c r="I130" t="s">
        <v>3805</v>
      </c>
    </row>
    <row r="131" spans="1:9">
      <c r="A131" s="92" t="s">
        <v>4341</v>
      </c>
      <c r="B131" t="s">
        <v>1905</v>
      </c>
      <c r="C131" t="s">
        <v>2313</v>
      </c>
      <c r="D131" t="s">
        <v>2291</v>
      </c>
      <c r="E131" t="s">
        <v>2292</v>
      </c>
      <c r="G131" t="s">
        <v>2723</v>
      </c>
      <c r="H131" t="s">
        <v>2293</v>
      </c>
      <c r="I131" t="s">
        <v>3805</v>
      </c>
    </row>
    <row r="132" spans="1:9">
      <c r="A132" s="92" t="s">
        <v>4341</v>
      </c>
      <c r="B132" t="s">
        <v>1905</v>
      </c>
      <c r="C132" t="s">
        <v>2314</v>
      </c>
      <c r="D132" t="s">
        <v>2291</v>
      </c>
      <c r="E132" t="s">
        <v>2292</v>
      </c>
      <c r="G132" t="s">
        <v>2723</v>
      </c>
      <c r="H132" t="s">
        <v>2293</v>
      </c>
      <c r="I132" t="s">
        <v>3805</v>
      </c>
    </row>
    <row r="133" spans="1:9">
      <c r="A133" s="92" t="s">
        <v>4341</v>
      </c>
      <c r="B133" t="s">
        <v>1908</v>
      </c>
      <c r="C133" t="s">
        <v>2316</v>
      </c>
      <c r="D133" t="s">
        <v>2291</v>
      </c>
      <c r="E133" t="s">
        <v>2292</v>
      </c>
      <c r="G133" t="s">
        <v>2723</v>
      </c>
      <c r="H133" t="s">
        <v>2293</v>
      </c>
      <c r="I133" t="s">
        <v>3807</v>
      </c>
    </row>
    <row r="134" spans="1:9">
      <c r="A134" s="92" t="s">
        <v>4341</v>
      </c>
      <c r="B134" t="s">
        <v>1911</v>
      </c>
      <c r="C134" t="s">
        <v>2318</v>
      </c>
      <c r="D134" t="s">
        <v>2319</v>
      </c>
      <c r="E134" t="s">
        <v>2285</v>
      </c>
      <c r="F134" t="s">
        <v>2320</v>
      </c>
      <c r="G134" t="s">
        <v>2723</v>
      </c>
      <c r="H134" t="s">
        <v>2287</v>
      </c>
      <c r="I134" t="s">
        <v>3815</v>
      </c>
    </row>
    <row r="135" spans="1:9">
      <c r="A135" s="92" t="s">
        <v>4341</v>
      </c>
      <c r="B135" t="s">
        <v>1911</v>
      </c>
      <c r="C135" t="s">
        <v>2321</v>
      </c>
      <c r="D135" t="s">
        <v>2322</v>
      </c>
      <c r="E135" t="s">
        <v>2285</v>
      </c>
      <c r="F135" t="s">
        <v>2323</v>
      </c>
      <c r="G135" t="s">
        <v>2723</v>
      </c>
      <c r="H135" t="s">
        <v>2287</v>
      </c>
      <c r="I135" t="s">
        <v>3815</v>
      </c>
    </row>
    <row r="136" spans="1:9">
      <c r="A136" s="92" t="s">
        <v>4341</v>
      </c>
      <c r="B136" t="s">
        <v>1916</v>
      </c>
      <c r="C136" t="s">
        <v>2333</v>
      </c>
      <c r="D136" t="s">
        <v>2291</v>
      </c>
      <c r="E136" t="s">
        <v>2285</v>
      </c>
      <c r="G136" t="s">
        <v>2723</v>
      </c>
      <c r="H136" t="s">
        <v>2287</v>
      </c>
      <c r="I136" t="s">
        <v>3819</v>
      </c>
    </row>
    <row r="137" spans="1:9">
      <c r="A137" s="92" t="s">
        <v>4341</v>
      </c>
      <c r="B137" t="s">
        <v>1916</v>
      </c>
      <c r="C137" t="s">
        <v>2334</v>
      </c>
      <c r="D137" t="s">
        <v>2291</v>
      </c>
      <c r="E137" t="s">
        <v>2311</v>
      </c>
      <c r="F137" t="s">
        <v>2335</v>
      </c>
      <c r="G137" t="s">
        <v>2723</v>
      </c>
      <c r="H137" t="s">
        <v>2312</v>
      </c>
      <c r="I137" t="s">
        <v>3819</v>
      </c>
    </row>
    <row r="138" spans="1:9">
      <c r="A138" s="92" t="s">
        <v>4341</v>
      </c>
      <c r="B138" t="s">
        <v>1918</v>
      </c>
      <c r="C138" t="s">
        <v>2529</v>
      </c>
      <c r="D138" t="s">
        <v>2494</v>
      </c>
      <c r="E138" t="s">
        <v>2530</v>
      </c>
      <c r="F138" t="s">
        <v>2532</v>
      </c>
      <c r="G138" t="s">
        <v>2111</v>
      </c>
      <c r="H138" t="s">
        <v>2719</v>
      </c>
      <c r="I138" t="s">
        <v>3823</v>
      </c>
    </row>
    <row r="139" spans="1:9">
      <c r="A139" s="92" t="s">
        <v>4341</v>
      </c>
      <c r="B139" t="s">
        <v>1920</v>
      </c>
      <c r="C139" t="s">
        <v>2339</v>
      </c>
      <c r="E139" t="s">
        <v>2285</v>
      </c>
      <c r="F139" t="s">
        <v>2340</v>
      </c>
      <c r="G139" t="s">
        <v>2723</v>
      </c>
      <c r="H139" t="s">
        <v>2287</v>
      </c>
      <c r="I139" t="s">
        <v>3827</v>
      </c>
    </row>
    <row r="140" spans="1:9">
      <c r="A140" s="92" t="s">
        <v>4341</v>
      </c>
      <c r="B140" t="s">
        <v>1920</v>
      </c>
      <c r="C140" t="s">
        <v>2345</v>
      </c>
      <c r="D140" t="s">
        <v>2346</v>
      </c>
      <c r="E140" t="s">
        <v>2285</v>
      </c>
      <c r="F140" t="s">
        <v>2347</v>
      </c>
      <c r="G140" t="s">
        <v>2723</v>
      </c>
      <c r="H140" t="s">
        <v>2287</v>
      </c>
      <c r="I140" t="s">
        <v>3827</v>
      </c>
    </row>
    <row r="141" spans="1:9">
      <c r="A141" s="92" t="s">
        <v>4341</v>
      </c>
      <c r="B141" t="s">
        <v>1920</v>
      </c>
      <c r="C141" t="s">
        <v>2348</v>
      </c>
      <c r="E141" t="s">
        <v>2292</v>
      </c>
      <c r="G141" t="s">
        <v>2723</v>
      </c>
      <c r="H141" t="s">
        <v>2293</v>
      </c>
      <c r="I141" t="s">
        <v>3827</v>
      </c>
    </row>
    <row r="142" spans="1:9">
      <c r="A142" s="92" t="s">
        <v>4346</v>
      </c>
      <c r="B142" t="s">
        <v>1894</v>
      </c>
      <c r="C142" t="s">
        <v>2283</v>
      </c>
      <c r="D142" t="s">
        <v>2284</v>
      </c>
      <c r="E142" t="s">
        <v>2285</v>
      </c>
      <c r="F142" t="s">
        <v>2288</v>
      </c>
      <c r="G142" t="s">
        <v>2723</v>
      </c>
      <c r="H142" t="s">
        <v>2287</v>
      </c>
      <c r="I142" t="s">
        <v>3787</v>
      </c>
    </row>
    <row r="143" spans="1:9">
      <c r="A143" s="92" t="s">
        <v>4346</v>
      </c>
      <c r="B143" t="s">
        <v>1894</v>
      </c>
      <c r="C143" t="s">
        <v>2516</v>
      </c>
      <c r="D143" t="s">
        <v>2291</v>
      </c>
      <c r="E143" t="s">
        <v>1215</v>
      </c>
      <c r="G143" t="s">
        <v>2133</v>
      </c>
      <c r="H143" t="s">
        <v>1215</v>
      </c>
      <c r="I143" t="s">
        <v>3787</v>
      </c>
    </row>
    <row r="144" spans="1:9">
      <c r="A144" s="92" t="s">
        <v>4346</v>
      </c>
      <c r="B144" t="s">
        <v>1894</v>
      </c>
      <c r="C144" t="s">
        <v>2398</v>
      </c>
      <c r="E144" t="s">
        <v>2399</v>
      </c>
      <c r="G144" t="s">
        <v>2133</v>
      </c>
      <c r="H144" t="s">
        <v>1215</v>
      </c>
      <c r="I144" t="s">
        <v>3787</v>
      </c>
    </row>
    <row r="145" spans="1:9">
      <c r="A145" s="92" t="s">
        <v>4346</v>
      </c>
      <c r="B145" t="s">
        <v>1895</v>
      </c>
      <c r="C145" t="s">
        <v>2290</v>
      </c>
      <c r="D145" t="s">
        <v>2291</v>
      </c>
      <c r="E145" t="s">
        <v>2292</v>
      </c>
      <c r="G145" t="s">
        <v>2723</v>
      </c>
      <c r="H145" t="s">
        <v>2293</v>
      </c>
      <c r="I145" t="s">
        <v>3791</v>
      </c>
    </row>
    <row r="146" spans="1:9">
      <c r="A146" s="92" t="s">
        <v>4346</v>
      </c>
      <c r="B146" t="s">
        <v>1903</v>
      </c>
      <c r="C146" t="s">
        <v>2295</v>
      </c>
      <c r="D146" t="s">
        <v>2296</v>
      </c>
      <c r="E146" t="s">
        <v>2297</v>
      </c>
      <c r="G146" t="s">
        <v>2723</v>
      </c>
      <c r="H146" t="s">
        <v>2293</v>
      </c>
      <c r="I146" t="s">
        <v>3803</v>
      </c>
    </row>
    <row r="147" spans="1:9">
      <c r="A147" s="92" t="s">
        <v>4346</v>
      </c>
      <c r="B147" t="s">
        <v>1903</v>
      </c>
      <c r="C147" t="s">
        <v>2298</v>
      </c>
      <c r="D147" t="s">
        <v>2296</v>
      </c>
      <c r="E147" t="s">
        <v>2292</v>
      </c>
      <c r="G147" t="s">
        <v>2723</v>
      </c>
      <c r="H147" t="s">
        <v>2293</v>
      </c>
      <c r="I147" t="s">
        <v>3803</v>
      </c>
    </row>
    <row r="148" spans="1:9">
      <c r="A148" s="92" t="s">
        <v>4346</v>
      </c>
      <c r="B148" t="s">
        <v>1903</v>
      </c>
      <c r="C148" t="s">
        <v>2299</v>
      </c>
      <c r="D148" t="s">
        <v>2296</v>
      </c>
      <c r="E148" t="s">
        <v>2292</v>
      </c>
      <c r="G148" t="s">
        <v>2723</v>
      </c>
      <c r="H148" t="s">
        <v>2293</v>
      </c>
      <c r="I148" t="s">
        <v>3803</v>
      </c>
    </row>
    <row r="149" spans="1:9">
      <c r="A149" s="92" t="s">
        <v>4346</v>
      </c>
      <c r="B149" t="s">
        <v>1903</v>
      </c>
      <c r="C149" t="s">
        <v>2300</v>
      </c>
      <c r="D149" t="s">
        <v>2301</v>
      </c>
      <c r="E149" t="s">
        <v>2292</v>
      </c>
      <c r="G149" t="s">
        <v>2723</v>
      </c>
      <c r="H149" t="s">
        <v>2293</v>
      </c>
      <c r="I149" t="s">
        <v>3803</v>
      </c>
    </row>
    <row r="150" spans="1:9">
      <c r="A150" s="92" t="s">
        <v>4346</v>
      </c>
      <c r="B150" t="s">
        <v>1903</v>
      </c>
      <c r="C150" t="s">
        <v>2302</v>
      </c>
      <c r="E150" t="s">
        <v>2292</v>
      </c>
      <c r="G150" t="s">
        <v>2723</v>
      </c>
      <c r="H150" t="s">
        <v>2293</v>
      </c>
      <c r="I150" t="s">
        <v>3803</v>
      </c>
    </row>
    <row r="151" spans="1:9">
      <c r="A151" s="92" t="s">
        <v>4346</v>
      </c>
      <c r="B151" t="s">
        <v>1903</v>
      </c>
      <c r="C151" t="s">
        <v>2303</v>
      </c>
      <c r="E151" t="s">
        <v>2292</v>
      </c>
      <c r="G151" t="s">
        <v>2723</v>
      </c>
      <c r="H151" t="s">
        <v>2293</v>
      </c>
      <c r="I151" t="s">
        <v>3803</v>
      </c>
    </row>
    <row r="152" spans="1:9">
      <c r="A152" s="92" t="s">
        <v>4346</v>
      </c>
      <c r="B152" t="s">
        <v>1903</v>
      </c>
      <c r="C152" t="s">
        <v>2304</v>
      </c>
      <c r="E152" t="s">
        <v>2292</v>
      </c>
      <c r="G152" t="s">
        <v>2723</v>
      </c>
      <c r="H152" t="s">
        <v>2293</v>
      </c>
      <c r="I152" t="s">
        <v>3803</v>
      </c>
    </row>
    <row r="153" spans="1:9">
      <c r="A153" s="92" t="s">
        <v>4346</v>
      </c>
      <c r="B153" t="s">
        <v>1905</v>
      </c>
      <c r="C153" t="s">
        <v>2310</v>
      </c>
      <c r="D153" t="s">
        <v>2291</v>
      </c>
      <c r="E153" t="s">
        <v>2311</v>
      </c>
      <c r="G153" t="s">
        <v>2723</v>
      </c>
      <c r="H153" t="s">
        <v>2312</v>
      </c>
      <c r="I153" t="s">
        <v>3805</v>
      </c>
    </row>
    <row r="154" spans="1:9">
      <c r="A154" s="92" t="s">
        <v>4346</v>
      </c>
      <c r="B154" t="s">
        <v>1905</v>
      </c>
      <c r="C154" t="s">
        <v>2313</v>
      </c>
      <c r="D154" t="s">
        <v>2291</v>
      </c>
      <c r="E154" t="s">
        <v>2292</v>
      </c>
      <c r="G154" t="s">
        <v>2723</v>
      </c>
      <c r="H154" t="s">
        <v>2293</v>
      </c>
      <c r="I154" t="s">
        <v>3805</v>
      </c>
    </row>
    <row r="155" spans="1:9">
      <c r="A155" s="92" t="s">
        <v>4346</v>
      </c>
      <c r="B155" t="s">
        <v>1905</v>
      </c>
      <c r="C155" t="s">
        <v>2314</v>
      </c>
      <c r="D155" t="s">
        <v>2291</v>
      </c>
      <c r="E155" t="s">
        <v>2292</v>
      </c>
      <c r="G155" t="s">
        <v>2723</v>
      </c>
      <c r="H155" t="s">
        <v>2293</v>
      </c>
      <c r="I155" t="s">
        <v>3805</v>
      </c>
    </row>
    <row r="156" spans="1:9">
      <c r="A156" s="92" t="s">
        <v>4346</v>
      </c>
      <c r="B156" t="s">
        <v>1908</v>
      </c>
      <c r="C156" t="s">
        <v>2316</v>
      </c>
      <c r="D156" t="s">
        <v>2291</v>
      </c>
      <c r="E156" t="s">
        <v>2292</v>
      </c>
      <c r="G156" t="s">
        <v>2723</v>
      </c>
      <c r="H156" t="s">
        <v>2293</v>
      </c>
      <c r="I156" t="s">
        <v>3807</v>
      </c>
    </row>
    <row r="157" spans="1:9">
      <c r="A157" s="92" t="s">
        <v>4346</v>
      </c>
      <c r="B157" t="s">
        <v>1911</v>
      </c>
      <c r="C157" t="s">
        <v>2318</v>
      </c>
      <c r="D157" t="s">
        <v>2319</v>
      </c>
      <c r="E157" t="s">
        <v>2285</v>
      </c>
      <c r="F157" t="s">
        <v>2320</v>
      </c>
      <c r="G157" t="s">
        <v>2723</v>
      </c>
      <c r="H157" t="s">
        <v>2287</v>
      </c>
      <c r="I157" t="s">
        <v>3815</v>
      </c>
    </row>
    <row r="158" spans="1:9">
      <c r="A158" s="92" t="s">
        <v>4346</v>
      </c>
      <c r="B158" t="s">
        <v>1911</v>
      </c>
      <c r="C158" t="s">
        <v>2321</v>
      </c>
      <c r="D158" t="s">
        <v>2322</v>
      </c>
      <c r="E158" t="s">
        <v>2285</v>
      </c>
      <c r="F158" t="s">
        <v>2323</v>
      </c>
      <c r="G158" t="s">
        <v>2723</v>
      </c>
      <c r="H158" t="s">
        <v>2287</v>
      </c>
      <c r="I158" t="s">
        <v>3815</v>
      </c>
    </row>
    <row r="159" spans="1:9">
      <c r="A159" s="92" t="s">
        <v>4346</v>
      </c>
      <c r="B159" t="s">
        <v>1916</v>
      </c>
      <c r="C159" t="s">
        <v>2333</v>
      </c>
      <c r="D159" t="s">
        <v>2291</v>
      </c>
      <c r="E159" t="s">
        <v>2285</v>
      </c>
      <c r="G159" t="s">
        <v>2723</v>
      </c>
      <c r="H159" t="s">
        <v>2287</v>
      </c>
      <c r="I159" t="s">
        <v>3819</v>
      </c>
    </row>
    <row r="160" spans="1:9">
      <c r="A160" s="92" t="s">
        <v>4346</v>
      </c>
      <c r="B160" t="s">
        <v>1916</v>
      </c>
      <c r="C160" t="s">
        <v>2334</v>
      </c>
      <c r="D160" t="s">
        <v>2291</v>
      </c>
      <c r="E160" t="s">
        <v>2311</v>
      </c>
      <c r="F160" t="s">
        <v>2335</v>
      </c>
      <c r="G160" t="s">
        <v>2723</v>
      </c>
      <c r="H160" t="s">
        <v>2312</v>
      </c>
      <c r="I160" t="s">
        <v>3819</v>
      </c>
    </row>
    <row r="161" spans="1:9">
      <c r="A161" s="92" t="s">
        <v>4346</v>
      </c>
      <c r="B161" t="s">
        <v>1918</v>
      </c>
      <c r="C161" t="s">
        <v>2529</v>
      </c>
      <c r="D161" t="s">
        <v>2494</v>
      </c>
      <c r="E161" t="s">
        <v>2530</v>
      </c>
      <c r="F161" t="s">
        <v>2532</v>
      </c>
      <c r="G161" t="s">
        <v>2133</v>
      </c>
      <c r="H161" t="s">
        <v>2531</v>
      </c>
      <c r="I161" t="s">
        <v>3823</v>
      </c>
    </row>
    <row r="162" spans="1:9">
      <c r="A162" s="92" t="s">
        <v>4346</v>
      </c>
      <c r="B162" t="s">
        <v>1918</v>
      </c>
      <c r="C162" t="s">
        <v>2734</v>
      </c>
      <c r="E162" t="s">
        <v>2735</v>
      </c>
      <c r="G162" t="s">
        <v>2723</v>
      </c>
      <c r="H162" t="s">
        <v>2736</v>
      </c>
      <c r="I162" t="s">
        <v>3823</v>
      </c>
    </row>
    <row r="163" spans="1:9">
      <c r="A163" s="92" t="s">
        <v>4346</v>
      </c>
      <c r="B163" t="s">
        <v>1920</v>
      </c>
      <c r="C163" t="s">
        <v>2339</v>
      </c>
      <c r="E163" t="s">
        <v>2285</v>
      </c>
      <c r="F163" t="s">
        <v>2340</v>
      </c>
      <c r="G163" t="s">
        <v>2723</v>
      </c>
      <c r="H163" t="s">
        <v>2287</v>
      </c>
      <c r="I163" t="s">
        <v>3827</v>
      </c>
    </row>
    <row r="164" spans="1:9">
      <c r="A164" s="92" t="s">
        <v>4346</v>
      </c>
      <c r="B164" t="s">
        <v>1920</v>
      </c>
      <c r="C164" t="s">
        <v>2345</v>
      </c>
      <c r="D164" t="s">
        <v>2346</v>
      </c>
      <c r="E164" t="s">
        <v>2285</v>
      </c>
      <c r="F164" t="s">
        <v>2347</v>
      </c>
      <c r="G164" t="s">
        <v>2723</v>
      </c>
      <c r="H164" t="s">
        <v>2287</v>
      </c>
      <c r="I164" t="s">
        <v>3827</v>
      </c>
    </row>
    <row r="165" spans="1:9">
      <c r="A165" s="92" t="s">
        <v>4346</v>
      </c>
      <c r="B165" t="s">
        <v>1920</v>
      </c>
      <c r="C165" t="s">
        <v>2348</v>
      </c>
      <c r="E165" t="s">
        <v>2292</v>
      </c>
      <c r="G165" t="s">
        <v>2723</v>
      </c>
      <c r="H165" t="s">
        <v>2293</v>
      </c>
      <c r="I165" t="s">
        <v>3827</v>
      </c>
    </row>
    <row r="166" spans="1:9">
      <c r="A166" s="92" t="s">
        <v>4349</v>
      </c>
      <c r="B166" t="s">
        <v>1894</v>
      </c>
      <c r="C166" t="s">
        <v>2355</v>
      </c>
      <c r="D166" t="s">
        <v>2356</v>
      </c>
      <c r="E166" t="s">
        <v>1565</v>
      </c>
      <c r="F166" t="s">
        <v>2358</v>
      </c>
      <c r="G166" t="s">
        <v>2151</v>
      </c>
      <c r="H166" t="s">
        <v>108</v>
      </c>
      <c r="I166" t="s">
        <v>3787</v>
      </c>
    </row>
    <row r="167" spans="1:9">
      <c r="A167" s="92" t="s">
        <v>4349</v>
      </c>
      <c r="B167" t="s">
        <v>1894</v>
      </c>
      <c r="C167" t="s">
        <v>2516</v>
      </c>
      <c r="D167" t="s">
        <v>2291</v>
      </c>
      <c r="E167" t="s">
        <v>1215</v>
      </c>
      <c r="G167" t="s">
        <v>2152</v>
      </c>
      <c r="H167" t="s">
        <v>1215</v>
      </c>
      <c r="I167" t="s">
        <v>3787</v>
      </c>
    </row>
    <row r="168" spans="1:9">
      <c r="A168" s="92" t="s">
        <v>4349</v>
      </c>
      <c r="B168" t="s">
        <v>1894</v>
      </c>
      <c r="C168" t="s">
        <v>2398</v>
      </c>
      <c r="E168" t="s">
        <v>2399</v>
      </c>
      <c r="G168" t="s">
        <v>2723</v>
      </c>
      <c r="H168" t="s">
        <v>2399</v>
      </c>
      <c r="I168" t="s">
        <v>3787</v>
      </c>
    </row>
    <row r="169" spans="1:9">
      <c r="A169" s="92" t="s">
        <v>4349</v>
      </c>
      <c r="B169" t="s">
        <v>1894</v>
      </c>
      <c r="C169" t="s">
        <v>2400</v>
      </c>
      <c r="D169" t="s">
        <v>2284</v>
      </c>
      <c r="E169" t="s">
        <v>108</v>
      </c>
      <c r="G169" t="s">
        <v>2151</v>
      </c>
      <c r="H169" t="s">
        <v>108</v>
      </c>
      <c r="I169" t="s">
        <v>3787</v>
      </c>
    </row>
    <row r="170" spans="1:9">
      <c r="A170" s="92" t="s">
        <v>4349</v>
      </c>
      <c r="B170" t="s">
        <v>1894</v>
      </c>
      <c r="C170" t="s">
        <v>2401</v>
      </c>
      <c r="D170" t="s">
        <v>2402</v>
      </c>
      <c r="E170" t="s">
        <v>2403</v>
      </c>
      <c r="F170" t="s">
        <v>2404</v>
      </c>
      <c r="G170" t="s">
        <v>2151</v>
      </c>
      <c r="H170" t="s">
        <v>2403</v>
      </c>
      <c r="I170" t="s">
        <v>3787</v>
      </c>
    </row>
    <row r="171" spans="1:9">
      <c r="A171" s="92" t="s">
        <v>4349</v>
      </c>
      <c r="B171" t="s">
        <v>1894</v>
      </c>
      <c r="C171" t="s">
        <v>2405</v>
      </c>
      <c r="E171" t="s">
        <v>108</v>
      </c>
      <c r="G171" t="s">
        <v>2151</v>
      </c>
      <c r="H171" t="s">
        <v>108</v>
      </c>
      <c r="I171" t="s">
        <v>3787</v>
      </c>
    </row>
    <row r="172" spans="1:9">
      <c r="A172" s="92" t="s">
        <v>4349</v>
      </c>
      <c r="B172" t="s">
        <v>1895</v>
      </c>
      <c r="C172" t="s">
        <v>2407</v>
      </c>
      <c r="D172" t="s">
        <v>2296</v>
      </c>
      <c r="E172" t="s">
        <v>108</v>
      </c>
      <c r="G172" t="s">
        <v>2151</v>
      </c>
      <c r="H172" t="s">
        <v>108</v>
      </c>
      <c r="I172" t="s">
        <v>3791</v>
      </c>
    </row>
    <row r="173" spans="1:9">
      <c r="A173" s="92" t="s">
        <v>4349</v>
      </c>
      <c r="B173" t="s">
        <v>1895</v>
      </c>
      <c r="C173" t="s">
        <v>2409</v>
      </c>
      <c r="D173" t="s">
        <v>2410</v>
      </c>
      <c r="E173" t="s">
        <v>108</v>
      </c>
      <c r="F173" t="s">
        <v>2411</v>
      </c>
      <c r="G173" t="s">
        <v>2151</v>
      </c>
      <c r="H173" t="s">
        <v>108</v>
      </c>
      <c r="I173" t="s">
        <v>3791</v>
      </c>
    </row>
    <row r="174" spans="1:9">
      <c r="A174" s="92" t="s">
        <v>4349</v>
      </c>
      <c r="B174" t="s">
        <v>1895</v>
      </c>
      <c r="C174" t="s">
        <v>2412</v>
      </c>
      <c r="D174" t="s">
        <v>2410</v>
      </c>
      <c r="E174" t="s">
        <v>108</v>
      </c>
      <c r="G174" t="s">
        <v>2151</v>
      </c>
      <c r="H174" t="s">
        <v>108</v>
      </c>
      <c r="I174" t="s">
        <v>3791</v>
      </c>
    </row>
    <row r="175" spans="1:9">
      <c r="A175" s="92" t="s">
        <v>4349</v>
      </c>
      <c r="B175" t="s">
        <v>1895</v>
      </c>
      <c r="C175" t="s">
        <v>2290</v>
      </c>
      <c r="D175" t="s">
        <v>2291</v>
      </c>
      <c r="E175" t="s">
        <v>2292</v>
      </c>
      <c r="G175" t="s">
        <v>2151</v>
      </c>
      <c r="H175" t="s">
        <v>2446</v>
      </c>
      <c r="I175" t="s">
        <v>3791</v>
      </c>
    </row>
    <row r="176" spans="1:9">
      <c r="A176" s="92" t="s">
        <v>4349</v>
      </c>
      <c r="B176" t="s">
        <v>1895</v>
      </c>
      <c r="C176" t="s">
        <v>2414</v>
      </c>
      <c r="D176" t="s">
        <v>2415</v>
      </c>
      <c r="E176" t="s">
        <v>108</v>
      </c>
      <c r="F176" t="s">
        <v>2416</v>
      </c>
      <c r="G176" t="s">
        <v>2151</v>
      </c>
      <c r="H176" t="s">
        <v>108</v>
      </c>
      <c r="I176" t="s">
        <v>3791</v>
      </c>
    </row>
    <row r="177" spans="1:9">
      <c r="A177" s="92" t="s">
        <v>4349</v>
      </c>
      <c r="B177" t="s">
        <v>3567</v>
      </c>
      <c r="C177" t="s">
        <v>2418</v>
      </c>
      <c r="D177" t="s">
        <v>2363</v>
      </c>
      <c r="E177" t="s">
        <v>108</v>
      </c>
      <c r="G177" t="s">
        <v>2151</v>
      </c>
      <c r="H177" t="s">
        <v>108</v>
      </c>
      <c r="I177" t="s">
        <v>3795</v>
      </c>
    </row>
    <row r="178" spans="1:9">
      <c r="A178" s="92" t="s">
        <v>4349</v>
      </c>
      <c r="B178" t="s">
        <v>3567</v>
      </c>
      <c r="C178" t="s">
        <v>2362</v>
      </c>
      <c r="D178" t="s">
        <v>2363</v>
      </c>
      <c r="E178" t="s">
        <v>2364</v>
      </c>
      <c r="G178" t="s">
        <v>2151</v>
      </c>
      <c r="H178" t="s">
        <v>108</v>
      </c>
      <c r="I178" t="s">
        <v>3795</v>
      </c>
    </row>
    <row r="179" spans="1:9">
      <c r="A179" s="92" t="s">
        <v>4349</v>
      </c>
      <c r="B179" t="s">
        <v>3567</v>
      </c>
      <c r="C179" t="s">
        <v>2420</v>
      </c>
      <c r="D179" t="s">
        <v>2363</v>
      </c>
      <c r="E179" t="s">
        <v>2421</v>
      </c>
      <c r="F179" t="s">
        <v>2422</v>
      </c>
      <c r="G179" t="s">
        <v>2151</v>
      </c>
      <c r="H179" t="s">
        <v>108</v>
      </c>
      <c r="I179" t="s">
        <v>3795</v>
      </c>
    </row>
    <row r="180" spans="1:9">
      <c r="A180" s="92" t="s">
        <v>4349</v>
      </c>
      <c r="B180" t="s">
        <v>3567</v>
      </c>
      <c r="C180" t="s">
        <v>2423</v>
      </c>
      <c r="D180" t="s">
        <v>2363</v>
      </c>
      <c r="E180" t="s">
        <v>108</v>
      </c>
      <c r="G180" t="s">
        <v>2151</v>
      </c>
      <c r="H180" t="s">
        <v>108</v>
      </c>
      <c r="I180" t="s">
        <v>3795</v>
      </c>
    </row>
    <row r="181" spans="1:9">
      <c r="A181" s="92" t="s">
        <v>4349</v>
      </c>
      <c r="B181" t="s">
        <v>1901</v>
      </c>
      <c r="C181" t="s">
        <v>2425</v>
      </c>
      <c r="D181" t="s">
        <v>2426</v>
      </c>
      <c r="E181" t="s">
        <v>2427</v>
      </c>
      <c r="G181" t="s">
        <v>2151</v>
      </c>
      <c r="H181" t="s">
        <v>108</v>
      </c>
      <c r="I181" t="s">
        <v>3799</v>
      </c>
    </row>
    <row r="182" spans="1:9">
      <c r="A182" s="92" t="s">
        <v>4349</v>
      </c>
      <c r="B182" t="s">
        <v>1901</v>
      </c>
      <c r="C182" t="s">
        <v>2428</v>
      </c>
      <c r="D182" t="s">
        <v>2426</v>
      </c>
      <c r="E182" t="s">
        <v>2429</v>
      </c>
      <c r="G182" t="s">
        <v>2151</v>
      </c>
      <c r="H182" t="s">
        <v>108</v>
      </c>
      <c r="I182" t="s">
        <v>3799</v>
      </c>
    </row>
    <row r="183" spans="1:9">
      <c r="A183" s="92" t="s">
        <v>4349</v>
      </c>
      <c r="B183" t="s">
        <v>1901</v>
      </c>
      <c r="C183" t="s">
        <v>2430</v>
      </c>
      <c r="D183" t="s">
        <v>2431</v>
      </c>
      <c r="E183" t="s">
        <v>108</v>
      </c>
      <c r="F183" t="s">
        <v>2432</v>
      </c>
      <c r="G183" t="s">
        <v>2151</v>
      </c>
      <c r="H183" t="s">
        <v>108</v>
      </c>
      <c r="I183" t="s">
        <v>3799</v>
      </c>
    </row>
    <row r="184" spans="1:9">
      <c r="A184" s="92" t="s">
        <v>4349</v>
      </c>
      <c r="B184" t="s">
        <v>1901</v>
      </c>
      <c r="C184" t="s">
        <v>2433</v>
      </c>
      <c r="D184" t="s">
        <v>2431</v>
      </c>
      <c r="E184" t="s">
        <v>108</v>
      </c>
      <c r="G184" t="s">
        <v>2151</v>
      </c>
      <c r="H184" t="s">
        <v>108</v>
      </c>
      <c r="I184" t="s">
        <v>3799</v>
      </c>
    </row>
    <row r="185" spans="1:9">
      <c r="A185" s="92" t="s">
        <v>4349</v>
      </c>
      <c r="B185" t="s">
        <v>1903</v>
      </c>
      <c r="C185" t="s">
        <v>2435</v>
      </c>
      <c r="D185" t="s">
        <v>2436</v>
      </c>
      <c r="E185" t="s">
        <v>108</v>
      </c>
      <c r="F185" t="s">
        <v>2437</v>
      </c>
      <c r="G185" t="s">
        <v>2151</v>
      </c>
      <c r="H185" t="s">
        <v>108</v>
      </c>
      <c r="I185" t="s">
        <v>3803</v>
      </c>
    </row>
    <row r="186" spans="1:9">
      <c r="A186" s="92" t="s">
        <v>4349</v>
      </c>
      <c r="B186" t="s">
        <v>1903</v>
      </c>
      <c r="C186" t="s">
        <v>2295</v>
      </c>
      <c r="D186" t="s">
        <v>2296</v>
      </c>
      <c r="E186" t="s">
        <v>2297</v>
      </c>
      <c r="G186" t="s">
        <v>2151</v>
      </c>
      <c r="H186" t="s">
        <v>2446</v>
      </c>
      <c r="I186" t="s">
        <v>3803</v>
      </c>
    </row>
    <row r="187" spans="1:9">
      <c r="A187" s="92" t="s">
        <v>4349</v>
      </c>
      <c r="B187" t="s">
        <v>1903</v>
      </c>
      <c r="C187" t="s">
        <v>2298</v>
      </c>
      <c r="D187" t="s">
        <v>2296</v>
      </c>
      <c r="E187" t="s">
        <v>2292</v>
      </c>
      <c r="G187" t="s">
        <v>2151</v>
      </c>
      <c r="H187" t="s">
        <v>2446</v>
      </c>
      <c r="I187" t="s">
        <v>3803</v>
      </c>
    </row>
    <row r="188" spans="1:9">
      <c r="A188" s="92" t="s">
        <v>4349</v>
      </c>
      <c r="B188" t="s">
        <v>1903</v>
      </c>
      <c r="C188" t="s">
        <v>2299</v>
      </c>
      <c r="D188" t="s">
        <v>2296</v>
      </c>
      <c r="E188" t="s">
        <v>2292</v>
      </c>
      <c r="G188" t="s">
        <v>2151</v>
      </c>
      <c r="H188" t="s">
        <v>2446</v>
      </c>
      <c r="I188" t="s">
        <v>3803</v>
      </c>
    </row>
    <row r="189" spans="1:9">
      <c r="A189" s="92" t="s">
        <v>4349</v>
      </c>
      <c r="B189" t="s">
        <v>1903</v>
      </c>
      <c r="C189" t="s">
        <v>2300</v>
      </c>
      <c r="D189" t="s">
        <v>2301</v>
      </c>
      <c r="E189" t="s">
        <v>2292</v>
      </c>
      <c r="G189" t="s">
        <v>2151</v>
      </c>
      <c r="H189" t="s">
        <v>2446</v>
      </c>
      <c r="I189" t="s">
        <v>3803</v>
      </c>
    </row>
    <row r="190" spans="1:9">
      <c r="A190" s="92" t="s">
        <v>4349</v>
      </c>
      <c r="B190" t="s">
        <v>1903</v>
      </c>
      <c r="C190" t="s">
        <v>2302</v>
      </c>
      <c r="E190" t="s">
        <v>2292</v>
      </c>
      <c r="G190" t="s">
        <v>2151</v>
      </c>
      <c r="H190" t="s">
        <v>2446</v>
      </c>
      <c r="I190" t="s">
        <v>3803</v>
      </c>
    </row>
    <row r="191" spans="1:9">
      <c r="A191" s="92" t="s">
        <v>4349</v>
      </c>
      <c r="B191" t="s">
        <v>1903</v>
      </c>
      <c r="C191" t="s">
        <v>2303</v>
      </c>
      <c r="E191" t="s">
        <v>2292</v>
      </c>
      <c r="G191" t="s">
        <v>2151</v>
      </c>
      <c r="H191" t="s">
        <v>2446</v>
      </c>
      <c r="I191" t="s">
        <v>3803</v>
      </c>
    </row>
    <row r="192" spans="1:9">
      <c r="A192" s="92" t="s">
        <v>4349</v>
      </c>
      <c r="B192" t="s">
        <v>1903</v>
      </c>
      <c r="C192" t="s">
        <v>2304</v>
      </c>
      <c r="E192" t="s">
        <v>2292</v>
      </c>
      <c r="G192" t="s">
        <v>2151</v>
      </c>
      <c r="H192" t="s">
        <v>2446</v>
      </c>
      <c r="I192" t="s">
        <v>3803</v>
      </c>
    </row>
    <row r="193" spans="1:9">
      <c r="A193" s="92" t="s">
        <v>4349</v>
      </c>
      <c r="B193" t="s">
        <v>1905</v>
      </c>
      <c r="C193" t="s">
        <v>2439</v>
      </c>
      <c r="D193" t="s">
        <v>2440</v>
      </c>
      <c r="E193" t="s">
        <v>108</v>
      </c>
      <c r="G193" t="s">
        <v>2151</v>
      </c>
      <c r="H193" t="s">
        <v>108</v>
      </c>
      <c r="I193" t="s">
        <v>3805</v>
      </c>
    </row>
    <row r="194" spans="1:9">
      <c r="A194" s="92" t="s">
        <v>4349</v>
      </c>
      <c r="B194" t="s">
        <v>1905</v>
      </c>
      <c r="C194" t="s">
        <v>2441</v>
      </c>
      <c r="D194" t="s">
        <v>2442</v>
      </c>
      <c r="E194" t="s">
        <v>2427</v>
      </c>
      <c r="G194" t="s">
        <v>2151</v>
      </c>
      <c r="H194" t="s">
        <v>108</v>
      </c>
      <c r="I194" t="s">
        <v>3805</v>
      </c>
    </row>
    <row r="195" spans="1:9">
      <c r="A195" s="92" t="s">
        <v>4349</v>
      </c>
      <c r="B195" t="s">
        <v>1905</v>
      </c>
      <c r="C195" t="s">
        <v>2443</v>
      </c>
      <c r="D195" t="s">
        <v>2440</v>
      </c>
      <c r="E195" t="s">
        <v>2444</v>
      </c>
      <c r="F195" t="s">
        <v>2445</v>
      </c>
      <c r="G195" t="s">
        <v>2151</v>
      </c>
      <c r="H195" t="s">
        <v>108</v>
      </c>
      <c r="I195" t="s">
        <v>3805</v>
      </c>
    </row>
    <row r="196" spans="1:9">
      <c r="A196" s="92" t="s">
        <v>4349</v>
      </c>
      <c r="B196" t="s">
        <v>1905</v>
      </c>
      <c r="C196" t="s">
        <v>2306</v>
      </c>
      <c r="D196" t="s">
        <v>2291</v>
      </c>
      <c r="E196" t="s">
        <v>2307</v>
      </c>
      <c r="G196" t="s">
        <v>2151</v>
      </c>
      <c r="H196" t="s">
        <v>108</v>
      </c>
      <c r="I196" t="s">
        <v>3805</v>
      </c>
    </row>
    <row r="197" spans="1:9">
      <c r="A197" s="92" t="s">
        <v>4349</v>
      </c>
      <c r="B197" t="s">
        <v>1905</v>
      </c>
      <c r="C197" t="s">
        <v>2313</v>
      </c>
      <c r="D197" t="s">
        <v>2291</v>
      </c>
      <c r="E197" t="s">
        <v>2292</v>
      </c>
      <c r="G197" t="s">
        <v>2151</v>
      </c>
      <c r="H197" t="s">
        <v>2446</v>
      </c>
      <c r="I197" t="s">
        <v>3805</v>
      </c>
    </row>
    <row r="198" spans="1:9">
      <c r="A198" s="92" t="s">
        <v>4349</v>
      </c>
      <c r="B198" t="s">
        <v>1905</v>
      </c>
      <c r="C198" t="s">
        <v>2314</v>
      </c>
      <c r="D198" t="s">
        <v>2291</v>
      </c>
      <c r="E198" t="s">
        <v>2292</v>
      </c>
      <c r="G198" t="s">
        <v>2151</v>
      </c>
      <c r="H198" t="s">
        <v>2446</v>
      </c>
      <c r="I198" t="s">
        <v>3805</v>
      </c>
    </row>
    <row r="199" spans="1:9">
      <c r="A199" s="92" t="s">
        <v>4349</v>
      </c>
      <c r="B199" t="s">
        <v>1905</v>
      </c>
      <c r="C199" t="s">
        <v>2447</v>
      </c>
      <c r="D199" t="s">
        <v>2440</v>
      </c>
      <c r="E199" t="s">
        <v>2403</v>
      </c>
      <c r="G199" t="s">
        <v>2151</v>
      </c>
      <c r="H199" t="s">
        <v>2403</v>
      </c>
      <c r="I199" t="s">
        <v>3805</v>
      </c>
    </row>
    <row r="200" spans="1:9">
      <c r="A200" s="92" t="s">
        <v>4349</v>
      </c>
      <c r="B200" t="s">
        <v>1905</v>
      </c>
      <c r="C200" t="s">
        <v>2448</v>
      </c>
      <c r="D200" t="s">
        <v>2449</v>
      </c>
      <c r="E200" t="s">
        <v>108</v>
      </c>
      <c r="G200" t="s">
        <v>2151</v>
      </c>
      <c r="H200" t="s">
        <v>108</v>
      </c>
      <c r="I200" t="s">
        <v>3805</v>
      </c>
    </row>
    <row r="201" spans="1:9">
      <c r="A201" s="92" t="s">
        <v>4349</v>
      </c>
      <c r="B201" t="s">
        <v>1908</v>
      </c>
      <c r="C201" t="s">
        <v>2451</v>
      </c>
      <c r="E201" t="s">
        <v>2403</v>
      </c>
      <c r="G201" t="s">
        <v>2151</v>
      </c>
      <c r="H201" t="s">
        <v>2403</v>
      </c>
      <c r="I201" t="s">
        <v>3807</v>
      </c>
    </row>
    <row r="202" spans="1:9">
      <c r="A202" s="92" t="s">
        <v>4349</v>
      </c>
      <c r="B202" t="s">
        <v>1908</v>
      </c>
      <c r="C202" t="s">
        <v>2375</v>
      </c>
      <c r="E202" t="s">
        <v>2376</v>
      </c>
      <c r="G202" t="s">
        <v>2151</v>
      </c>
      <c r="H202" t="s">
        <v>2403</v>
      </c>
      <c r="I202" t="s">
        <v>3807</v>
      </c>
    </row>
    <row r="203" spans="1:9">
      <c r="A203" s="92" t="s">
        <v>4349</v>
      </c>
      <c r="B203" t="s">
        <v>1908</v>
      </c>
      <c r="C203" t="s">
        <v>2452</v>
      </c>
      <c r="D203" t="s">
        <v>2440</v>
      </c>
      <c r="E203" t="s">
        <v>108</v>
      </c>
      <c r="G203" t="s">
        <v>2151</v>
      </c>
      <c r="H203" t="s">
        <v>108</v>
      </c>
      <c r="I203" t="s">
        <v>3807</v>
      </c>
    </row>
    <row r="204" spans="1:9">
      <c r="A204" s="92" t="s">
        <v>4349</v>
      </c>
      <c r="B204" t="s">
        <v>1908</v>
      </c>
      <c r="C204" t="s">
        <v>2453</v>
      </c>
      <c r="D204" t="s">
        <v>2440</v>
      </c>
      <c r="E204" t="s">
        <v>108</v>
      </c>
      <c r="G204" t="s">
        <v>2151</v>
      </c>
      <c r="H204" t="s">
        <v>108</v>
      </c>
      <c r="I204" t="s">
        <v>3807</v>
      </c>
    </row>
    <row r="205" spans="1:9">
      <c r="A205" s="92" t="s">
        <v>4349</v>
      </c>
      <c r="B205" t="s">
        <v>1908</v>
      </c>
      <c r="C205" t="s">
        <v>2454</v>
      </c>
      <c r="D205" t="s">
        <v>2301</v>
      </c>
      <c r="E205" t="s">
        <v>108</v>
      </c>
      <c r="G205" t="s">
        <v>2151</v>
      </c>
      <c r="H205" t="s">
        <v>108</v>
      </c>
      <c r="I205" t="s">
        <v>3807</v>
      </c>
    </row>
    <row r="206" spans="1:9">
      <c r="A206" s="92" t="s">
        <v>4349</v>
      </c>
      <c r="B206" t="s">
        <v>1908</v>
      </c>
      <c r="C206" t="s">
        <v>2455</v>
      </c>
      <c r="D206" t="s">
        <v>2456</v>
      </c>
      <c r="E206" t="s">
        <v>2403</v>
      </c>
      <c r="G206" t="s">
        <v>2151</v>
      </c>
      <c r="H206" t="s">
        <v>2403</v>
      </c>
      <c r="I206" t="s">
        <v>3807</v>
      </c>
    </row>
    <row r="207" spans="1:9">
      <c r="A207" s="92" t="s">
        <v>4349</v>
      </c>
      <c r="B207" t="s">
        <v>1908</v>
      </c>
      <c r="C207" t="s">
        <v>2457</v>
      </c>
      <c r="D207" t="s">
        <v>2456</v>
      </c>
      <c r="E207" t="s">
        <v>2403</v>
      </c>
      <c r="G207" t="s">
        <v>2151</v>
      </c>
      <c r="H207" t="s">
        <v>2403</v>
      </c>
      <c r="I207" t="s">
        <v>3807</v>
      </c>
    </row>
    <row r="208" spans="1:9">
      <c r="A208" s="92" t="s">
        <v>4349</v>
      </c>
      <c r="B208" t="s">
        <v>1908</v>
      </c>
      <c r="C208" t="s">
        <v>2316</v>
      </c>
      <c r="D208" t="s">
        <v>2291</v>
      </c>
      <c r="E208" t="s">
        <v>2292</v>
      </c>
      <c r="G208" t="s">
        <v>2151</v>
      </c>
      <c r="H208" t="s">
        <v>2446</v>
      </c>
      <c r="I208" t="s">
        <v>3807</v>
      </c>
    </row>
    <row r="209" spans="1:9">
      <c r="A209" s="92" t="s">
        <v>4349</v>
      </c>
      <c r="B209" t="s">
        <v>1908</v>
      </c>
      <c r="C209" t="s">
        <v>2458</v>
      </c>
      <c r="D209" t="s">
        <v>2456</v>
      </c>
      <c r="E209" t="s">
        <v>108</v>
      </c>
      <c r="F209" t="s">
        <v>2459</v>
      </c>
      <c r="G209" t="s">
        <v>2151</v>
      </c>
      <c r="H209" t="s">
        <v>108</v>
      </c>
      <c r="I209" t="s">
        <v>3807</v>
      </c>
    </row>
    <row r="210" spans="1:9">
      <c r="A210" s="92" t="s">
        <v>4349</v>
      </c>
      <c r="B210" t="s">
        <v>1909</v>
      </c>
      <c r="C210" t="s">
        <v>2461</v>
      </c>
      <c r="D210" t="s">
        <v>2462</v>
      </c>
      <c r="E210" t="s">
        <v>108</v>
      </c>
      <c r="G210" t="s">
        <v>2151</v>
      </c>
      <c r="H210" t="s">
        <v>108</v>
      </c>
      <c r="I210" t="s">
        <v>3811</v>
      </c>
    </row>
    <row r="211" spans="1:9">
      <c r="A211" s="92" t="s">
        <v>4349</v>
      </c>
      <c r="B211" t="s">
        <v>1909</v>
      </c>
      <c r="C211" t="s">
        <v>2463</v>
      </c>
      <c r="D211" t="s">
        <v>2464</v>
      </c>
      <c r="E211" t="s">
        <v>108</v>
      </c>
      <c r="G211" t="s">
        <v>2151</v>
      </c>
      <c r="H211" t="s">
        <v>108</v>
      </c>
      <c r="I211" t="s">
        <v>3811</v>
      </c>
    </row>
    <row r="212" spans="1:9">
      <c r="A212" s="92" t="s">
        <v>4349</v>
      </c>
      <c r="B212" t="s">
        <v>1909</v>
      </c>
      <c r="C212" t="s">
        <v>2465</v>
      </c>
      <c r="D212" t="s">
        <v>2464</v>
      </c>
      <c r="E212" t="s">
        <v>108</v>
      </c>
      <c r="G212" t="s">
        <v>2151</v>
      </c>
      <c r="H212" t="s">
        <v>108</v>
      </c>
      <c r="I212" t="s">
        <v>3811</v>
      </c>
    </row>
    <row r="213" spans="1:9">
      <c r="A213" s="92" t="s">
        <v>4349</v>
      </c>
      <c r="B213" t="s">
        <v>1911</v>
      </c>
      <c r="C213" t="s">
        <v>2467</v>
      </c>
      <c r="D213" t="s">
        <v>2319</v>
      </c>
      <c r="E213" t="s">
        <v>2403</v>
      </c>
      <c r="F213" t="s">
        <v>2468</v>
      </c>
      <c r="G213" t="s">
        <v>2151</v>
      </c>
      <c r="H213" t="s">
        <v>2403</v>
      </c>
      <c r="I213" t="s">
        <v>3815</v>
      </c>
    </row>
    <row r="214" spans="1:9">
      <c r="A214" s="92" t="s">
        <v>4349</v>
      </c>
      <c r="B214" t="s">
        <v>1911</v>
      </c>
      <c r="C214" t="s">
        <v>2469</v>
      </c>
      <c r="D214" t="s">
        <v>2382</v>
      </c>
      <c r="E214" t="s">
        <v>108</v>
      </c>
      <c r="F214" t="s">
        <v>2470</v>
      </c>
      <c r="G214" t="s">
        <v>2151</v>
      </c>
      <c r="H214" t="s">
        <v>108</v>
      </c>
      <c r="I214" t="s">
        <v>3815</v>
      </c>
    </row>
    <row r="215" spans="1:9">
      <c r="A215" s="92" t="s">
        <v>4349</v>
      </c>
      <c r="B215" t="s">
        <v>1911</v>
      </c>
      <c r="C215" t="s">
        <v>2471</v>
      </c>
      <c r="D215" t="s">
        <v>2379</v>
      </c>
      <c r="E215" t="s">
        <v>108</v>
      </c>
      <c r="F215" t="s">
        <v>2472</v>
      </c>
      <c r="G215" t="s">
        <v>2151</v>
      </c>
      <c r="H215" t="s">
        <v>108</v>
      </c>
      <c r="I215" t="s">
        <v>3815</v>
      </c>
    </row>
    <row r="216" spans="1:9">
      <c r="A216" s="92" t="s">
        <v>4349</v>
      </c>
      <c r="B216" t="s">
        <v>1911</v>
      </c>
      <c r="C216" t="s">
        <v>2473</v>
      </c>
      <c r="D216" t="s">
        <v>2474</v>
      </c>
      <c r="E216" t="s">
        <v>108</v>
      </c>
      <c r="F216" t="s">
        <v>2475</v>
      </c>
      <c r="G216" t="s">
        <v>2151</v>
      </c>
      <c r="H216" t="s">
        <v>108</v>
      </c>
      <c r="I216" t="s">
        <v>3815</v>
      </c>
    </row>
    <row r="217" spans="1:9">
      <c r="A217" s="92" t="s">
        <v>4349</v>
      </c>
      <c r="B217" t="s">
        <v>1916</v>
      </c>
      <c r="C217" t="s">
        <v>2477</v>
      </c>
      <c r="D217" t="s">
        <v>2382</v>
      </c>
      <c r="E217" t="s">
        <v>108</v>
      </c>
      <c r="F217" t="s">
        <v>2478</v>
      </c>
      <c r="G217" t="s">
        <v>2151</v>
      </c>
      <c r="H217" t="s">
        <v>108</v>
      </c>
      <c r="I217" t="s">
        <v>3819</v>
      </c>
    </row>
    <row r="218" spans="1:9">
      <c r="A218" s="92" t="s">
        <v>4349</v>
      </c>
      <c r="B218" t="s">
        <v>1916</v>
      </c>
      <c r="C218" t="s">
        <v>2479</v>
      </c>
      <c r="D218" t="s">
        <v>2480</v>
      </c>
      <c r="E218" t="s">
        <v>108</v>
      </c>
      <c r="F218" t="s">
        <v>2481</v>
      </c>
      <c r="G218" t="s">
        <v>2151</v>
      </c>
      <c r="H218" t="s">
        <v>108</v>
      </c>
      <c r="I218" t="s">
        <v>3819</v>
      </c>
    </row>
    <row r="219" spans="1:9">
      <c r="A219" s="92" t="s">
        <v>4349</v>
      </c>
      <c r="B219" t="s">
        <v>1916</v>
      </c>
      <c r="C219" t="s">
        <v>2482</v>
      </c>
      <c r="D219" t="s">
        <v>2480</v>
      </c>
      <c r="E219" t="s">
        <v>108</v>
      </c>
      <c r="F219" t="s">
        <v>2483</v>
      </c>
      <c r="G219" t="s">
        <v>2151</v>
      </c>
      <c r="H219" t="s">
        <v>108</v>
      </c>
      <c r="I219" t="s">
        <v>3819</v>
      </c>
    </row>
    <row r="220" spans="1:9">
      <c r="A220" s="92" t="s">
        <v>4349</v>
      </c>
      <c r="B220" t="s">
        <v>1916</v>
      </c>
      <c r="C220" t="s">
        <v>2484</v>
      </c>
      <c r="D220" t="s">
        <v>2382</v>
      </c>
      <c r="E220" t="s">
        <v>2403</v>
      </c>
      <c r="G220" t="s">
        <v>2151</v>
      </c>
      <c r="H220" t="s">
        <v>2403</v>
      </c>
      <c r="I220" t="s">
        <v>3819</v>
      </c>
    </row>
    <row r="221" spans="1:9">
      <c r="A221" s="92" t="s">
        <v>4349</v>
      </c>
      <c r="B221" t="s">
        <v>1916</v>
      </c>
      <c r="C221" t="s">
        <v>2485</v>
      </c>
      <c r="D221" t="s">
        <v>2486</v>
      </c>
      <c r="E221" t="s">
        <v>2487</v>
      </c>
      <c r="G221" t="s">
        <v>2151</v>
      </c>
      <c r="H221" t="s">
        <v>108</v>
      </c>
      <c r="I221" t="s">
        <v>3819</v>
      </c>
    </row>
    <row r="222" spans="1:9">
      <c r="A222" s="92" t="s">
        <v>4349</v>
      </c>
      <c r="B222" t="s">
        <v>1918</v>
      </c>
      <c r="C222" t="s">
        <v>2489</v>
      </c>
      <c r="D222" t="s">
        <v>2490</v>
      </c>
      <c r="E222" t="s">
        <v>108</v>
      </c>
      <c r="G222" t="s">
        <v>2151</v>
      </c>
      <c r="H222" t="s">
        <v>108</v>
      </c>
      <c r="I222" t="s">
        <v>3823</v>
      </c>
    </row>
    <row r="223" spans="1:9">
      <c r="A223" s="92" t="s">
        <v>4349</v>
      </c>
      <c r="B223" t="s">
        <v>1918</v>
      </c>
      <c r="C223" t="s">
        <v>2491</v>
      </c>
      <c r="D223" t="s">
        <v>2490</v>
      </c>
      <c r="E223" t="s">
        <v>2403</v>
      </c>
      <c r="F223" t="s">
        <v>2492</v>
      </c>
      <c r="G223" t="s">
        <v>2151</v>
      </c>
      <c r="H223" t="s">
        <v>2403</v>
      </c>
      <c r="I223" t="s">
        <v>3823</v>
      </c>
    </row>
    <row r="224" spans="1:9">
      <c r="A224" s="92" t="s">
        <v>4349</v>
      </c>
      <c r="B224" t="s">
        <v>1918</v>
      </c>
      <c r="C224" t="s">
        <v>2529</v>
      </c>
      <c r="D224" t="s">
        <v>2494</v>
      </c>
      <c r="E224" t="s">
        <v>2530</v>
      </c>
      <c r="F224" t="s">
        <v>2532</v>
      </c>
      <c r="G224" t="s">
        <v>2152</v>
      </c>
      <c r="H224" t="s">
        <v>2531</v>
      </c>
      <c r="I224" t="s">
        <v>3823</v>
      </c>
    </row>
    <row r="225" spans="1:9">
      <c r="A225" s="92" t="s">
        <v>4349</v>
      </c>
      <c r="B225" t="s">
        <v>1918</v>
      </c>
      <c r="C225" t="s">
        <v>2493</v>
      </c>
      <c r="D225" t="s">
        <v>2494</v>
      </c>
      <c r="E225" t="s">
        <v>2421</v>
      </c>
      <c r="F225" t="s">
        <v>2495</v>
      </c>
      <c r="G225" t="s">
        <v>2151</v>
      </c>
      <c r="H225" t="s">
        <v>108</v>
      </c>
      <c r="I225" t="s">
        <v>3823</v>
      </c>
    </row>
    <row r="226" spans="1:9">
      <c r="A226" s="92" t="s">
        <v>4349</v>
      </c>
      <c r="B226" t="s">
        <v>1918</v>
      </c>
      <c r="C226" t="s">
        <v>2496</v>
      </c>
      <c r="D226" t="s">
        <v>2490</v>
      </c>
      <c r="E226" t="s">
        <v>2497</v>
      </c>
      <c r="G226" t="s">
        <v>2151</v>
      </c>
      <c r="H226" t="s">
        <v>108</v>
      </c>
      <c r="I226" t="s">
        <v>3823</v>
      </c>
    </row>
    <row r="227" spans="1:9">
      <c r="A227" s="92" t="s">
        <v>4349</v>
      </c>
      <c r="B227" t="s">
        <v>1918</v>
      </c>
      <c r="C227" t="s">
        <v>2498</v>
      </c>
      <c r="D227" t="s">
        <v>2490</v>
      </c>
      <c r="E227" t="s">
        <v>2499</v>
      </c>
      <c r="F227" t="s">
        <v>2500</v>
      </c>
      <c r="G227" t="s">
        <v>2151</v>
      </c>
      <c r="H227" t="s">
        <v>108</v>
      </c>
      <c r="I227" t="s">
        <v>3823</v>
      </c>
    </row>
    <row r="228" spans="1:9">
      <c r="A228" s="92" t="s">
        <v>4349</v>
      </c>
      <c r="B228" t="s">
        <v>1920</v>
      </c>
      <c r="C228" t="s">
        <v>2502</v>
      </c>
      <c r="D228" t="s">
        <v>2325</v>
      </c>
      <c r="E228" t="s">
        <v>2503</v>
      </c>
      <c r="F228" t="s">
        <v>2504</v>
      </c>
      <c r="G228" t="s">
        <v>2151</v>
      </c>
      <c r="H228" t="s">
        <v>108</v>
      </c>
      <c r="I228" t="s">
        <v>3827</v>
      </c>
    </row>
    <row r="229" spans="1:9">
      <c r="A229" s="92" t="s">
        <v>4349</v>
      </c>
      <c r="B229" t="s">
        <v>1920</v>
      </c>
      <c r="C229" t="s">
        <v>2341</v>
      </c>
      <c r="D229" t="s">
        <v>2342</v>
      </c>
      <c r="E229" t="s">
        <v>2343</v>
      </c>
      <c r="F229" t="s">
        <v>2344</v>
      </c>
      <c r="G229" t="s">
        <v>2151</v>
      </c>
      <c r="H229" t="s">
        <v>108</v>
      </c>
      <c r="I229" t="s">
        <v>3827</v>
      </c>
    </row>
    <row r="230" spans="1:9">
      <c r="A230" s="92" t="s">
        <v>4349</v>
      </c>
      <c r="B230" t="s">
        <v>1920</v>
      </c>
      <c r="C230" t="s">
        <v>2348</v>
      </c>
      <c r="E230" t="s">
        <v>2292</v>
      </c>
      <c r="G230" t="s">
        <v>2151</v>
      </c>
      <c r="H230" t="s">
        <v>2446</v>
      </c>
      <c r="I230" t="s">
        <v>3827</v>
      </c>
    </row>
    <row r="231" spans="1:9">
      <c r="A231" s="92" t="s">
        <v>4349</v>
      </c>
      <c r="B231" t="s">
        <v>1920</v>
      </c>
      <c r="C231" t="s">
        <v>2505</v>
      </c>
      <c r="D231" t="s">
        <v>2291</v>
      </c>
      <c r="E231" t="s">
        <v>108</v>
      </c>
      <c r="G231" t="s">
        <v>2151</v>
      </c>
      <c r="H231" t="s">
        <v>108</v>
      </c>
      <c r="I231" t="s">
        <v>3827</v>
      </c>
    </row>
    <row r="232" spans="1:9">
      <c r="A232" s="92" t="s">
        <v>4349</v>
      </c>
      <c r="B232" t="s">
        <v>1920</v>
      </c>
      <c r="C232" t="s">
        <v>2506</v>
      </c>
      <c r="D232" t="s">
        <v>2346</v>
      </c>
      <c r="E232" t="s">
        <v>2507</v>
      </c>
      <c r="F232" t="s">
        <v>2508</v>
      </c>
      <c r="G232" t="s">
        <v>2151</v>
      </c>
      <c r="H232" t="s">
        <v>2507</v>
      </c>
      <c r="I232" t="s">
        <v>3827</v>
      </c>
    </row>
    <row r="233" spans="1:9">
      <c r="A233" s="92" t="s">
        <v>4352</v>
      </c>
      <c r="B233" t="s">
        <v>1894</v>
      </c>
      <c r="C233" t="s">
        <v>2283</v>
      </c>
      <c r="D233" t="s">
        <v>2284</v>
      </c>
      <c r="E233" t="s">
        <v>2285</v>
      </c>
      <c r="F233" t="s">
        <v>2288</v>
      </c>
      <c r="G233" t="s">
        <v>2723</v>
      </c>
      <c r="H233" t="s">
        <v>2287</v>
      </c>
      <c r="I233" t="s">
        <v>3787</v>
      </c>
    </row>
    <row r="234" spans="1:9">
      <c r="A234" s="92" t="s">
        <v>4352</v>
      </c>
      <c r="B234" t="s">
        <v>1894</v>
      </c>
      <c r="C234" t="s">
        <v>2516</v>
      </c>
      <c r="D234" t="s">
        <v>2291</v>
      </c>
      <c r="E234" t="s">
        <v>1215</v>
      </c>
      <c r="G234" t="s">
        <v>2170</v>
      </c>
      <c r="H234" t="s">
        <v>1215</v>
      </c>
      <c r="I234" t="s">
        <v>3787</v>
      </c>
    </row>
    <row r="235" spans="1:9">
      <c r="A235" s="92" t="s">
        <v>4352</v>
      </c>
      <c r="B235" t="s">
        <v>1894</v>
      </c>
      <c r="C235" t="s">
        <v>2398</v>
      </c>
      <c r="E235" t="s">
        <v>2399</v>
      </c>
      <c r="G235" t="s">
        <v>2170</v>
      </c>
      <c r="H235" t="s">
        <v>1215</v>
      </c>
      <c r="I235" t="s">
        <v>3787</v>
      </c>
    </row>
    <row r="236" spans="1:9">
      <c r="A236" s="92" t="s">
        <v>4352</v>
      </c>
      <c r="B236" t="s">
        <v>1895</v>
      </c>
      <c r="C236" t="s">
        <v>2290</v>
      </c>
      <c r="D236" t="s">
        <v>2291</v>
      </c>
      <c r="E236" t="s">
        <v>2292</v>
      </c>
      <c r="G236" t="s">
        <v>2723</v>
      </c>
      <c r="H236" t="s">
        <v>2293</v>
      </c>
      <c r="I236" t="s">
        <v>3791</v>
      </c>
    </row>
    <row r="237" spans="1:9">
      <c r="A237" s="92" t="s">
        <v>4352</v>
      </c>
      <c r="B237" t="s">
        <v>1903</v>
      </c>
      <c r="C237" t="s">
        <v>2295</v>
      </c>
      <c r="D237" t="s">
        <v>2296</v>
      </c>
      <c r="E237" t="s">
        <v>2297</v>
      </c>
      <c r="G237" t="s">
        <v>2723</v>
      </c>
      <c r="H237" t="s">
        <v>2293</v>
      </c>
      <c r="I237" t="s">
        <v>3803</v>
      </c>
    </row>
    <row r="238" spans="1:9">
      <c r="A238" s="92" t="s">
        <v>4352</v>
      </c>
      <c r="B238" t="s">
        <v>1903</v>
      </c>
      <c r="C238" t="s">
        <v>2298</v>
      </c>
      <c r="D238" t="s">
        <v>2296</v>
      </c>
      <c r="E238" t="s">
        <v>2292</v>
      </c>
      <c r="G238" t="s">
        <v>2723</v>
      </c>
      <c r="H238" t="s">
        <v>2293</v>
      </c>
      <c r="I238" t="s">
        <v>3803</v>
      </c>
    </row>
    <row r="239" spans="1:9">
      <c r="A239" s="92" t="s">
        <v>4352</v>
      </c>
      <c r="B239" t="s">
        <v>1903</v>
      </c>
      <c r="C239" t="s">
        <v>2299</v>
      </c>
      <c r="D239" t="s">
        <v>2296</v>
      </c>
      <c r="E239" t="s">
        <v>2292</v>
      </c>
      <c r="G239" t="s">
        <v>2723</v>
      </c>
      <c r="H239" t="s">
        <v>2293</v>
      </c>
      <c r="I239" t="s">
        <v>3803</v>
      </c>
    </row>
    <row r="240" spans="1:9">
      <c r="A240" s="92" t="s">
        <v>4352</v>
      </c>
      <c r="B240" t="s">
        <v>1903</v>
      </c>
      <c r="C240" t="s">
        <v>2300</v>
      </c>
      <c r="D240" t="s">
        <v>2301</v>
      </c>
      <c r="E240" t="s">
        <v>2292</v>
      </c>
      <c r="G240" t="s">
        <v>2723</v>
      </c>
      <c r="H240" t="s">
        <v>2293</v>
      </c>
      <c r="I240" t="s">
        <v>3803</v>
      </c>
    </row>
    <row r="241" spans="1:9">
      <c r="A241" s="92" t="s">
        <v>4352</v>
      </c>
      <c r="B241" t="s">
        <v>1903</v>
      </c>
      <c r="C241" t="s">
        <v>2302</v>
      </c>
      <c r="E241" t="s">
        <v>2292</v>
      </c>
      <c r="G241" t="s">
        <v>2723</v>
      </c>
      <c r="H241" t="s">
        <v>2293</v>
      </c>
      <c r="I241" t="s">
        <v>3803</v>
      </c>
    </row>
    <row r="242" spans="1:9">
      <c r="A242" s="92" t="s">
        <v>4352</v>
      </c>
      <c r="B242" t="s">
        <v>1903</v>
      </c>
      <c r="C242" t="s">
        <v>2303</v>
      </c>
      <c r="E242" t="s">
        <v>2292</v>
      </c>
      <c r="G242" t="s">
        <v>2723</v>
      </c>
      <c r="H242" t="s">
        <v>2293</v>
      </c>
      <c r="I242" t="s">
        <v>3803</v>
      </c>
    </row>
    <row r="243" spans="1:9">
      <c r="A243" s="92" t="s">
        <v>4352</v>
      </c>
      <c r="B243" t="s">
        <v>1903</v>
      </c>
      <c r="C243" t="s">
        <v>2304</v>
      </c>
      <c r="E243" t="s">
        <v>2292</v>
      </c>
      <c r="G243" t="s">
        <v>2723</v>
      </c>
      <c r="H243" t="s">
        <v>2293</v>
      </c>
      <c r="I243" t="s">
        <v>3803</v>
      </c>
    </row>
    <row r="244" spans="1:9">
      <c r="A244" s="92" t="s">
        <v>4352</v>
      </c>
      <c r="B244" t="s">
        <v>1905</v>
      </c>
      <c r="C244" t="s">
        <v>2310</v>
      </c>
      <c r="D244" t="s">
        <v>2291</v>
      </c>
      <c r="E244" t="s">
        <v>2311</v>
      </c>
      <c r="G244" t="s">
        <v>2723</v>
      </c>
      <c r="H244" t="s">
        <v>2312</v>
      </c>
      <c r="I244" t="s">
        <v>3805</v>
      </c>
    </row>
    <row r="245" spans="1:9">
      <c r="A245" s="92" t="s">
        <v>4352</v>
      </c>
      <c r="B245" t="s">
        <v>1905</v>
      </c>
      <c r="C245" t="s">
        <v>2313</v>
      </c>
      <c r="D245" t="s">
        <v>2291</v>
      </c>
      <c r="E245" t="s">
        <v>2292</v>
      </c>
      <c r="G245" t="s">
        <v>2723</v>
      </c>
      <c r="H245" t="s">
        <v>2293</v>
      </c>
      <c r="I245" t="s">
        <v>3805</v>
      </c>
    </row>
    <row r="246" spans="1:9">
      <c r="A246" s="92" t="s">
        <v>4352</v>
      </c>
      <c r="B246" t="s">
        <v>1905</v>
      </c>
      <c r="C246" t="s">
        <v>2314</v>
      </c>
      <c r="D246" t="s">
        <v>2291</v>
      </c>
      <c r="E246" t="s">
        <v>2292</v>
      </c>
      <c r="G246" t="s">
        <v>2723</v>
      </c>
      <c r="H246" t="s">
        <v>2293</v>
      </c>
      <c r="I246" t="s">
        <v>3805</v>
      </c>
    </row>
    <row r="247" spans="1:9">
      <c r="A247" s="92" t="s">
        <v>4352</v>
      </c>
      <c r="B247" t="s">
        <v>1908</v>
      </c>
      <c r="C247" t="s">
        <v>2316</v>
      </c>
      <c r="D247" t="s">
        <v>2291</v>
      </c>
      <c r="E247" t="s">
        <v>2292</v>
      </c>
      <c r="G247" t="s">
        <v>2723</v>
      </c>
      <c r="H247" t="s">
        <v>2293</v>
      </c>
      <c r="I247" t="s">
        <v>3807</v>
      </c>
    </row>
    <row r="248" spans="1:9">
      <c r="A248" s="92" t="s">
        <v>4352</v>
      </c>
      <c r="B248" t="s">
        <v>1911</v>
      </c>
      <c r="C248" t="s">
        <v>2318</v>
      </c>
      <c r="D248" t="s">
        <v>2319</v>
      </c>
      <c r="E248" t="s">
        <v>2285</v>
      </c>
      <c r="F248" t="s">
        <v>2320</v>
      </c>
      <c r="G248" t="s">
        <v>2723</v>
      </c>
      <c r="H248" t="s">
        <v>2287</v>
      </c>
      <c r="I248" t="s">
        <v>3815</v>
      </c>
    </row>
    <row r="249" spans="1:9">
      <c r="A249" s="92" t="s">
        <v>4352</v>
      </c>
      <c r="B249" t="s">
        <v>1911</v>
      </c>
      <c r="C249" t="s">
        <v>2321</v>
      </c>
      <c r="D249" t="s">
        <v>2322</v>
      </c>
      <c r="E249" t="s">
        <v>2285</v>
      </c>
      <c r="F249" t="s">
        <v>2323</v>
      </c>
      <c r="G249" t="s">
        <v>2723</v>
      </c>
      <c r="H249" t="s">
        <v>2287</v>
      </c>
      <c r="I249" t="s">
        <v>3815</v>
      </c>
    </row>
    <row r="250" spans="1:9">
      <c r="A250" s="92" t="s">
        <v>4352</v>
      </c>
      <c r="B250" t="s">
        <v>1916</v>
      </c>
      <c r="C250" t="s">
        <v>2333</v>
      </c>
      <c r="D250" t="s">
        <v>2291</v>
      </c>
      <c r="E250" t="s">
        <v>2285</v>
      </c>
      <c r="G250" t="s">
        <v>2723</v>
      </c>
      <c r="H250" t="s">
        <v>2287</v>
      </c>
      <c r="I250" t="s">
        <v>3819</v>
      </c>
    </row>
    <row r="251" spans="1:9">
      <c r="A251" s="92" t="s">
        <v>4352</v>
      </c>
      <c r="B251" t="s">
        <v>1916</v>
      </c>
      <c r="C251" t="s">
        <v>2334</v>
      </c>
      <c r="D251" t="s">
        <v>2291</v>
      </c>
      <c r="E251" t="s">
        <v>2311</v>
      </c>
      <c r="F251" t="s">
        <v>2335</v>
      </c>
      <c r="G251" t="s">
        <v>2723</v>
      </c>
      <c r="H251" t="s">
        <v>2312</v>
      </c>
      <c r="I251" t="s">
        <v>3819</v>
      </c>
    </row>
    <row r="252" spans="1:9">
      <c r="A252" s="92" t="s">
        <v>4352</v>
      </c>
      <c r="B252" t="s">
        <v>1918</v>
      </c>
      <c r="C252" t="s">
        <v>2529</v>
      </c>
      <c r="D252" t="s">
        <v>2494</v>
      </c>
      <c r="E252" t="s">
        <v>2530</v>
      </c>
      <c r="F252" t="s">
        <v>2532</v>
      </c>
      <c r="G252" t="s">
        <v>2170</v>
      </c>
      <c r="H252" t="s">
        <v>2531</v>
      </c>
      <c r="I252" t="s">
        <v>3823</v>
      </c>
    </row>
    <row r="253" spans="1:9">
      <c r="A253" s="92" t="s">
        <v>4352</v>
      </c>
      <c r="B253" t="s">
        <v>1920</v>
      </c>
      <c r="C253" t="s">
        <v>2339</v>
      </c>
      <c r="E253" t="s">
        <v>2285</v>
      </c>
      <c r="F253" t="s">
        <v>2340</v>
      </c>
      <c r="G253" t="s">
        <v>2723</v>
      </c>
      <c r="H253" t="s">
        <v>2287</v>
      </c>
      <c r="I253" t="s">
        <v>3827</v>
      </c>
    </row>
    <row r="254" spans="1:9">
      <c r="A254" s="92" t="s">
        <v>4352</v>
      </c>
      <c r="B254" t="s">
        <v>1920</v>
      </c>
      <c r="C254" t="s">
        <v>2345</v>
      </c>
      <c r="D254" t="s">
        <v>2346</v>
      </c>
      <c r="E254" t="s">
        <v>2285</v>
      </c>
      <c r="F254" t="s">
        <v>2347</v>
      </c>
      <c r="G254" t="s">
        <v>2723</v>
      </c>
      <c r="H254" t="s">
        <v>2287</v>
      </c>
      <c r="I254" t="s">
        <v>3827</v>
      </c>
    </row>
    <row r="255" spans="1:9">
      <c r="A255" s="92" t="s">
        <v>4352</v>
      </c>
      <c r="B255" t="s">
        <v>1920</v>
      </c>
      <c r="C255" t="s">
        <v>2348</v>
      </c>
      <c r="E255" t="s">
        <v>2292</v>
      </c>
      <c r="G255" t="s">
        <v>2723</v>
      </c>
      <c r="H255" t="s">
        <v>2293</v>
      </c>
      <c r="I255" t="s">
        <v>3827</v>
      </c>
    </row>
    <row r="256" spans="1:9">
      <c r="A256" s="92" t="s">
        <v>4357</v>
      </c>
      <c r="B256" t="s">
        <v>1894</v>
      </c>
      <c r="C256" t="s">
        <v>2283</v>
      </c>
      <c r="D256" t="s">
        <v>2284</v>
      </c>
      <c r="E256" t="s">
        <v>2285</v>
      </c>
      <c r="F256" t="s">
        <v>2288</v>
      </c>
      <c r="G256" t="s">
        <v>2723</v>
      </c>
      <c r="H256" t="s">
        <v>2287</v>
      </c>
      <c r="I256" t="s">
        <v>3787</v>
      </c>
    </row>
    <row r="257" spans="1:9">
      <c r="A257" s="92" t="s">
        <v>4357</v>
      </c>
      <c r="B257" t="s">
        <v>1894</v>
      </c>
      <c r="C257" t="s">
        <v>2516</v>
      </c>
      <c r="D257" t="s">
        <v>2291</v>
      </c>
      <c r="E257" t="s">
        <v>1215</v>
      </c>
      <c r="G257" t="s">
        <v>2188</v>
      </c>
      <c r="H257" t="s">
        <v>1215</v>
      </c>
      <c r="I257" t="s">
        <v>3787</v>
      </c>
    </row>
    <row r="258" spans="1:9">
      <c r="A258" s="92" t="s">
        <v>4357</v>
      </c>
      <c r="B258" t="s">
        <v>1894</v>
      </c>
      <c r="C258" t="s">
        <v>2398</v>
      </c>
      <c r="E258" t="s">
        <v>2399</v>
      </c>
      <c r="G258" t="s">
        <v>2188</v>
      </c>
      <c r="H258" t="s">
        <v>1215</v>
      </c>
      <c r="I258" t="s">
        <v>3787</v>
      </c>
    </row>
    <row r="259" spans="1:9">
      <c r="A259" s="92" t="s">
        <v>4357</v>
      </c>
      <c r="B259" t="s">
        <v>1895</v>
      </c>
      <c r="C259" t="s">
        <v>2290</v>
      </c>
      <c r="D259" t="s">
        <v>2291</v>
      </c>
      <c r="E259" t="s">
        <v>2292</v>
      </c>
      <c r="G259" t="s">
        <v>2723</v>
      </c>
      <c r="H259" t="s">
        <v>2293</v>
      </c>
      <c r="I259" t="s">
        <v>3791</v>
      </c>
    </row>
    <row r="260" spans="1:9">
      <c r="A260" s="92" t="s">
        <v>4357</v>
      </c>
      <c r="B260" t="s">
        <v>3567</v>
      </c>
      <c r="C260" t="s">
        <v>2362</v>
      </c>
      <c r="D260" t="s">
        <v>2363</v>
      </c>
      <c r="E260" t="s">
        <v>2364</v>
      </c>
      <c r="G260" t="s">
        <v>2723</v>
      </c>
      <c r="H260" t="s">
        <v>2365</v>
      </c>
      <c r="I260" t="s">
        <v>3795</v>
      </c>
    </row>
    <row r="261" spans="1:9">
      <c r="A261" s="92" t="s">
        <v>4357</v>
      </c>
      <c r="B261" t="s">
        <v>1901</v>
      </c>
      <c r="C261" t="s">
        <v>2367</v>
      </c>
      <c r="D261" t="s">
        <v>2325</v>
      </c>
      <c r="E261" t="s">
        <v>2368</v>
      </c>
      <c r="G261" t="s">
        <v>2723</v>
      </c>
      <c r="H261" t="s">
        <v>2365</v>
      </c>
      <c r="I261" t="s">
        <v>3799</v>
      </c>
    </row>
    <row r="262" spans="1:9">
      <c r="A262" s="92" t="s">
        <v>4357</v>
      </c>
      <c r="B262" t="s">
        <v>1903</v>
      </c>
      <c r="C262" t="s">
        <v>2295</v>
      </c>
      <c r="D262" t="s">
        <v>2296</v>
      </c>
      <c r="E262" t="s">
        <v>2297</v>
      </c>
      <c r="G262" t="s">
        <v>2723</v>
      </c>
      <c r="H262" t="s">
        <v>2293</v>
      </c>
      <c r="I262" t="s">
        <v>3803</v>
      </c>
    </row>
    <row r="263" spans="1:9">
      <c r="A263" s="92" t="s">
        <v>4357</v>
      </c>
      <c r="B263" t="s">
        <v>1903</v>
      </c>
      <c r="C263" t="s">
        <v>2298</v>
      </c>
      <c r="D263" t="s">
        <v>2296</v>
      </c>
      <c r="E263" t="s">
        <v>2292</v>
      </c>
      <c r="G263" t="s">
        <v>2723</v>
      </c>
      <c r="H263" t="s">
        <v>2293</v>
      </c>
      <c r="I263" t="s">
        <v>3803</v>
      </c>
    </row>
    <row r="264" spans="1:9">
      <c r="A264" s="92" t="s">
        <v>4357</v>
      </c>
      <c r="B264" t="s">
        <v>1903</v>
      </c>
      <c r="C264" t="s">
        <v>2299</v>
      </c>
      <c r="D264" t="s">
        <v>2296</v>
      </c>
      <c r="E264" t="s">
        <v>2292</v>
      </c>
      <c r="G264" t="s">
        <v>2723</v>
      </c>
      <c r="H264" t="s">
        <v>2293</v>
      </c>
      <c r="I264" t="s">
        <v>3803</v>
      </c>
    </row>
    <row r="265" spans="1:9">
      <c r="A265" s="92" t="s">
        <v>4357</v>
      </c>
      <c r="B265" t="s">
        <v>1903</v>
      </c>
      <c r="C265" t="s">
        <v>2300</v>
      </c>
      <c r="D265" t="s">
        <v>2301</v>
      </c>
      <c r="E265" t="s">
        <v>2292</v>
      </c>
      <c r="G265" t="s">
        <v>2723</v>
      </c>
      <c r="H265" t="s">
        <v>2293</v>
      </c>
      <c r="I265" t="s">
        <v>3803</v>
      </c>
    </row>
    <row r="266" spans="1:9">
      <c r="A266" s="92" t="s">
        <v>4357</v>
      </c>
      <c r="B266" t="s">
        <v>1903</v>
      </c>
      <c r="C266" t="s">
        <v>2302</v>
      </c>
      <c r="E266" t="s">
        <v>2292</v>
      </c>
      <c r="G266" t="s">
        <v>2723</v>
      </c>
      <c r="H266" t="s">
        <v>2293</v>
      </c>
      <c r="I266" t="s">
        <v>3803</v>
      </c>
    </row>
    <row r="267" spans="1:9">
      <c r="A267" s="92" t="s">
        <v>4357</v>
      </c>
      <c r="B267" t="s">
        <v>1903</v>
      </c>
      <c r="C267" t="s">
        <v>2303</v>
      </c>
      <c r="E267" t="s">
        <v>2292</v>
      </c>
      <c r="G267" t="s">
        <v>2723</v>
      </c>
      <c r="H267" t="s">
        <v>2293</v>
      </c>
      <c r="I267" t="s">
        <v>3803</v>
      </c>
    </row>
    <row r="268" spans="1:9">
      <c r="A268" s="92" t="s">
        <v>4357</v>
      </c>
      <c r="B268" t="s">
        <v>1903</v>
      </c>
      <c r="C268" t="s">
        <v>2304</v>
      </c>
      <c r="E268" t="s">
        <v>2292</v>
      </c>
      <c r="G268" t="s">
        <v>2723</v>
      </c>
      <c r="H268" t="s">
        <v>2293</v>
      </c>
      <c r="I268" t="s">
        <v>3803</v>
      </c>
    </row>
    <row r="269" spans="1:9">
      <c r="A269" s="92" t="s">
        <v>4357</v>
      </c>
      <c r="B269" t="s">
        <v>1905</v>
      </c>
      <c r="C269" t="s">
        <v>2310</v>
      </c>
      <c r="D269" t="s">
        <v>2291</v>
      </c>
      <c r="E269" t="s">
        <v>2311</v>
      </c>
      <c r="G269" t="s">
        <v>2723</v>
      </c>
      <c r="H269" t="s">
        <v>2312</v>
      </c>
      <c r="I269" t="s">
        <v>3805</v>
      </c>
    </row>
    <row r="270" spans="1:9">
      <c r="A270" s="92" t="s">
        <v>4357</v>
      </c>
      <c r="B270" t="s">
        <v>1905</v>
      </c>
      <c r="C270" t="s">
        <v>2313</v>
      </c>
      <c r="D270" t="s">
        <v>2291</v>
      </c>
      <c r="E270" t="s">
        <v>2292</v>
      </c>
      <c r="G270" t="s">
        <v>2723</v>
      </c>
      <c r="H270" t="s">
        <v>2293</v>
      </c>
      <c r="I270" t="s">
        <v>3805</v>
      </c>
    </row>
    <row r="271" spans="1:9">
      <c r="A271" s="92" t="s">
        <v>4357</v>
      </c>
      <c r="B271" t="s">
        <v>1905</v>
      </c>
      <c r="C271" t="s">
        <v>2314</v>
      </c>
      <c r="D271" t="s">
        <v>2291</v>
      </c>
      <c r="E271" t="s">
        <v>2292</v>
      </c>
      <c r="G271" t="s">
        <v>2723</v>
      </c>
      <c r="H271" t="s">
        <v>2293</v>
      </c>
      <c r="I271" t="s">
        <v>3805</v>
      </c>
    </row>
    <row r="272" spans="1:9">
      <c r="A272" s="92" t="s">
        <v>4357</v>
      </c>
      <c r="B272" t="s">
        <v>1908</v>
      </c>
      <c r="C272" t="s">
        <v>2316</v>
      </c>
      <c r="D272" t="s">
        <v>2291</v>
      </c>
      <c r="E272" t="s">
        <v>2292</v>
      </c>
      <c r="G272" t="s">
        <v>2723</v>
      </c>
      <c r="H272" t="s">
        <v>2293</v>
      </c>
      <c r="I272" t="s">
        <v>3807</v>
      </c>
    </row>
    <row r="273" spans="1:9">
      <c r="A273" s="92" t="s">
        <v>4357</v>
      </c>
      <c r="B273" t="s">
        <v>1911</v>
      </c>
      <c r="C273" t="s">
        <v>2318</v>
      </c>
      <c r="D273" t="s">
        <v>2319</v>
      </c>
      <c r="E273" t="s">
        <v>2285</v>
      </c>
      <c r="F273" t="s">
        <v>2320</v>
      </c>
      <c r="G273" t="s">
        <v>2723</v>
      </c>
      <c r="H273" t="s">
        <v>2287</v>
      </c>
      <c r="I273" t="s">
        <v>3815</v>
      </c>
    </row>
    <row r="274" spans="1:9">
      <c r="A274" s="92" t="s">
        <v>4357</v>
      </c>
      <c r="B274" t="s">
        <v>1911</v>
      </c>
      <c r="C274" t="s">
        <v>2321</v>
      </c>
      <c r="D274" t="s">
        <v>2322</v>
      </c>
      <c r="E274" t="s">
        <v>2285</v>
      </c>
      <c r="F274" t="s">
        <v>2323</v>
      </c>
      <c r="G274" t="s">
        <v>2723</v>
      </c>
      <c r="H274" t="s">
        <v>2287</v>
      </c>
      <c r="I274" t="s">
        <v>3815</v>
      </c>
    </row>
    <row r="275" spans="1:9">
      <c r="A275" s="92" t="s">
        <v>4357</v>
      </c>
      <c r="B275" t="s">
        <v>1916</v>
      </c>
      <c r="C275" t="s">
        <v>2333</v>
      </c>
      <c r="D275" t="s">
        <v>2291</v>
      </c>
      <c r="E275" t="s">
        <v>2285</v>
      </c>
      <c r="G275" t="s">
        <v>2723</v>
      </c>
      <c r="H275" t="s">
        <v>2287</v>
      </c>
      <c r="I275" t="s">
        <v>3819</v>
      </c>
    </row>
    <row r="276" spans="1:9">
      <c r="A276" s="92" t="s">
        <v>4357</v>
      </c>
      <c r="B276" t="s">
        <v>1916</v>
      </c>
      <c r="C276" t="s">
        <v>2334</v>
      </c>
      <c r="D276" t="s">
        <v>2291</v>
      </c>
      <c r="E276" t="s">
        <v>2311</v>
      </c>
      <c r="F276" t="s">
        <v>2335</v>
      </c>
      <c r="G276" t="s">
        <v>2723</v>
      </c>
      <c r="H276" t="s">
        <v>2312</v>
      </c>
      <c r="I276" t="s">
        <v>3819</v>
      </c>
    </row>
    <row r="277" spans="1:9">
      <c r="A277" s="92" t="s">
        <v>4357</v>
      </c>
      <c r="B277" t="s">
        <v>1918</v>
      </c>
      <c r="C277" t="s">
        <v>2529</v>
      </c>
      <c r="D277" t="s">
        <v>2494</v>
      </c>
      <c r="E277" t="s">
        <v>2530</v>
      </c>
      <c r="F277" t="s">
        <v>2532</v>
      </c>
      <c r="G277" t="s">
        <v>2188</v>
      </c>
      <c r="H277" t="s">
        <v>2553</v>
      </c>
      <c r="I277" t="s">
        <v>3823</v>
      </c>
    </row>
    <row r="278" spans="1:9">
      <c r="A278" s="92" t="s">
        <v>4357</v>
      </c>
      <c r="B278" t="s">
        <v>1920</v>
      </c>
      <c r="C278" t="s">
        <v>2339</v>
      </c>
      <c r="E278" t="s">
        <v>2285</v>
      </c>
      <c r="F278" t="s">
        <v>2340</v>
      </c>
      <c r="G278" t="s">
        <v>2723</v>
      </c>
      <c r="H278" t="s">
        <v>2287</v>
      </c>
      <c r="I278" t="s">
        <v>3827</v>
      </c>
    </row>
    <row r="279" spans="1:9">
      <c r="A279" s="92" t="s">
        <v>4357</v>
      </c>
      <c r="B279" t="s">
        <v>1920</v>
      </c>
      <c r="C279" t="s">
        <v>2345</v>
      </c>
      <c r="D279" t="s">
        <v>2346</v>
      </c>
      <c r="E279" t="s">
        <v>2285</v>
      </c>
      <c r="F279" t="s">
        <v>2347</v>
      </c>
      <c r="G279" t="s">
        <v>2723</v>
      </c>
      <c r="H279" t="s">
        <v>2287</v>
      </c>
      <c r="I279" t="s">
        <v>3827</v>
      </c>
    </row>
    <row r="280" spans="1:9">
      <c r="A280" s="92" t="s">
        <v>4357</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4366</v>
      </c>
      <c r="B309" t="s">
        <v>1894</v>
      </c>
      <c r="C309" t="s">
        <v>2283</v>
      </c>
      <c r="D309" t="s">
        <v>2284</v>
      </c>
      <c r="E309" t="s">
        <v>2285</v>
      </c>
      <c r="F309" t="s">
        <v>2288</v>
      </c>
      <c r="G309" t="s">
        <v>2723</v>
      </c>
      <c r="H309" t="s">
        <v>2287</v>
      </c>
      <c r="I309" t="s">
        <v>3787</v>
      </c>
    </row>
    <row r="310" spans="1:9">
      <c r="A310" s="92" t="s">
        <v>4366</v>
      </c>
      <c r="B310" t="s">
        <v>1894</v>
      </c>
      <c r="C310" t="s">
        <v>2516</v>
      </c>
      <c r="D310" t="s">
        <v>2291</v>
      </c>
      <c r="E310" t="s">
        <v>1215</v>
      </c>
      <c r="G310" t="s">
        <v>2220</v>
      </c>
      <c r="H310" t="s">
        <v>1215</v>
      </c>
      <c r="I310" t="s">
        <v>3787</v>
      </c>
    </row>
    <row r="311" spans="1:9">
      <c r="A311" s="92" t="s">
        <v>4366</v>
      </c>
      <c r="B311" t="s">
        <v>1894</v>
      </c>
      <c r="C311" t="s">
        <v>2398</v>
      </c>
      <c r="E311" t="s">
        <v>2399</v>
      </c>
      <c r="G311" t="s">
        <v>2220</v>
      </c>
      <c r="H311" t="s">
        <v>1215</v>
      </c>
      <c r="I311" t="s">
        <v>3787</v>
      </c>
    </row>
    <row r="312" spans="1:9">
      <c r="A312" s="92" t="s">
        <v>4366</v>
      </c>
      <c r="B312" t="s">
        <v>1895</v>
      </c>
      <c r="C312" t="s">
        <v>2290</v>
      </c>
      <c r="D312" t="s">
        <v>2291</v>
      </c>
      <c r="E312" t="s">
        <v>2292</v>
      </c>
      <c r="G312" t="s">
        <v>2723</v>
      </c>
      <c r="H312" t="s">
        <v>2293</v>
      </c>
      <c r="I312" t="s">
        <v>3791</v>
      </c>
    </row>
    <row r="313" spans="1:9">
      <c r="A313" s="92" t="s">
        <v>4366</v>
      </c>
      <c r="B313" t="s">
        <v>1903</v>
      </c>
      <c r="C313" t="s">
        <v>2295</v>
      </c>
      <c r="D313" t="s">
        <v>2296</v>
      </c>
      <c r="E313" t="s">
        <v>2297</v>
      </c>
      <c r="G313" t="s">
        <v>2723</v>
      </c>
      <c r="H313" t="s">
        <v>2293</v>
      </c>
      <c r="I313" t="s">
        <v>3803</v>
      </c>
    </row>
    <row r="314" spans="1:9">
      <c r="A314" s="92" t="s">
        <v>4366</v>
      </c>
      <c r="B314" t="s">
        <v>1903</v>
      </c>
      <c r="C314" t="s">
        <v>2298</v>
      </c>
      <c r="D314" t="s">
        <v>2296</v>
      </c>
      <c r="E314" t="s">
        <v>2292</v>
      </c>
      <c r="G314" t="s">
        <v>2723</v>
      </c>
      <c r="H314" t="s">
        <v>2293</v>
      </c>
      <c r="I314" t="s">
        <v>3803</v>
      </c>
    </row>
    <row r="315" spans="1:9">
      <c r="A315" s="92" t="s">
        <v>4366</v>
      </c>
      <c r="B315" t="s">
        <v>1903</v>
      </c>
      <c r="C315" t="s">
        <v>2299</v>
      </c>
      <c r="D315" t="s">
        <v>2296</v>
      </c>
      <c r="E315" t="s">
        <v>2292</v>
      </c>
      <c r="G315" t="s">
        <v>2723</v>
      </c>
      <c r="H315" t="s">
        <v>2293</v>
      </c>
      <c r="I315" t="s">
        <v>3803</v>
      </c>
    </row>
    <row r="316" spans="1:9">
      <c r="A316" s="92" t="s">
        <v>4366</v>
      </c>
      <c r="B316" t="s">
        <v>1903</v>
      </c>
      <c r="C316" t="s">
        <v>2300</v>
      </c>
      <c r="D316" t="s">
        <v>2301</v>
      </c>
      <c r="E316" t="s">
        <v>2292</v>
      </c>
      <c r="G316" t="s">
        <v>2723</v>
      </c>
      <c r="H316" t="s">
        <v>2293</v>
      </c>
      <c r="I316" t="s">
        <v>3803</v>
      </c>
    </row>
    <row r="317" spans="1:9">
      <c r="A317" s="92" t="s">
        <v>4366</v>
      </c>
      <c r="B317" t="s">
        <v>1903</v>
      </c>
      <c r="C317" t="s">
        <v>2302</v>
      </c>
      <c r="E317" t="s">
        <v>2292</v>
      </c>
      <c r="G317" t="s">
        <v>2723</v>
      </c>
      <c r="H317" t="s">
        <v>2293</v>
      </c>
      <c r="I317" t="s">
        <v>3803</v>
      </c>
    </row>
    <row r="318" spans="1:9">
      <c r="A318" s="92" t="s">
        <v>4366</v>
      </c>
      <c r="B318" t="s">
        <v>1903</v>
      </c>
      <c r="C318" t="s">
        <v>2303</v>
      </c>
      <c r="E318" t="s">
        <v>2292</v>
      </c>
      <c r="G318" t="s">
        <v>2723</v>
      </c>
      <c r="H318" t="s">
        <v>2293</v>
      </c>
      <c r="I318" t="s">
        <v>3803</v>
      </c>
    </row>
    <row r="319" spans="1:9">
      <c r="A319" s="92" t="s">
        <v>4366</v>
      </c>
      <c r="B319" t="s">
        <v>1903</v>
      </c>
      <c r="C319" t="s">
        <v>2304</v>
      </c>
      <c r="E319" t="s">
        <v>2292</v>
      </c>
      <c r="G319" t="s">
        <v>2723</v>
      </c>
      <c r="H319" t="s">
        <v>2293</v>
      </c>
      <c r="I319" t="s">
        <v>3803</v>
      </c>
    </row>
    <row r="320" spans="1:9">
      <c r="A320" s="92" t="s">
        <v>4366</v>
      </c>
      <c r="B320" t="s">
        <v>1905</v>
      </c>
      <c r="C320" t="s">
        <v>2310</v>
      </c>
      <c r="D320" t="s">
        <v>2291</v>
      </c>
      <c r="E320" t="s">
        <v>2311</v>
      </c>
      <c r="G320" t="s">
        <v>2723</v>
      </c>
      <c r="H320" t="s">
        <v>2312</v>
      </c>
      <c r="I320" t="s">
        <v>3805</v>
      </c>
    </row>
    <row r="321" spans="1:9">
      <c r="A321" s="92" t="s">
        <v>4366</v>
      </c>
      <c r="B321" t="s">
        <v>1905</v>
      </c>
      <c r="C321" t="s">
        <v>2313</v>
      </c>
      <c r="D321" t="s">
        <v>2291</v>
      </c>
      <c r="E321" t="s">
        <v>2292</v>
      </c>
      <c r="G321" t="s">
        <v>2723</v>
      </c>
      <c r="H321" t="s">
        <v>2293</v>
      </c>
      <c r="I321" t="s">
        <v>3805</v>
      </c>
    </row>
    <row r="322" spans="1:9">
      <c r="A322" s="92" t="s">
        <v>4366</v>
      </c>
      <c r="B322" t="s">
        <v>1905</v>
      </c>
      <c r="C322" t="s">
        <v>2314</v>
      </c>
      <c r="D322" t="s">
        <v>2291</v>
      </c>
      <c r="E322" t="s">
        <v>2292</v>
      </c>
      <c r="G322" t="s">
        <v>2723</v>
      </c>
      <c r="H322" t="s">
        <v>2293</v>
      </c>
      <c r="I322" t="s">
        <v>3805</v>
      </c>
    </row>
    <row r="323" spans="1:9">
      <c r="A323" s="92" t="s">
        <v>4366</v>
      </c>
      <c r="B323" t="s">
        <v>1908</v>
      </c>
      <c r="C323" t="s">
        <v>2316</v>
      </c>
      <c r="D323" t="s">
        <v>2291</v>
      </c>
      <c r="E323" t="s">
        <v>2292</v>
      </c>
      <c r="G323" t="s">
        <v>2723</v>
      </c>
      <c r="H323" t="s">
        <v>2293</v>
      </c>
      <c r="I323" t="s">
        <v>3807</v>
      </c>
    </row>
    <row r="324" spans="1:9">
      <c r="A324" s="92" t="s">
        <v>4366</v>
      </c>
      <c r="B324" t="s">
        <v>1911</v>
      </c>
      <c r="C324" t="s">
        <v>2318</v>
      </c>
      <c r="D324" t="s">
        <v>2319</v>
      </c>
      <c r="E324" t="s">
        <v>2285</v>
      </c>
      <c r="F324" t="s">
        <v>2320</v>
      </c>
      <c r="G324" t="s">
        <v>2723</v>
      </c>
      <c r="H324" t="s">
        <v>2287</v>
      </c>
      <c r="I324" t="s">
        <v>3815</v>
      </c>
    </row>
    <row r="325" spans="1:9">
      <c r="A325" s="92" t="s">
        <v>4366</v>
      </c>
      <c r="B325" t="s">
        <v>1911</v>
      </c>
      <c r="C325" t="s">
        <v>2321</v>
      </c>
      <c r="D325" t="s">
        <v>2322</v>
      </c>
      <c r="E325" t="s">
        <v>2285</v>
      </c>
      <c r="F325" t="s">
        <v>2323</v>
      </c>
      <c r="G325" t="s">
        <v>2723</v>
      </c>
      <c r="H325" t="s">
        <v>2287</v>
      </c>
      <c r="I325" t="s">
        <v>3815</v>
      </c>
    </row>
    <row r="326" spans="1:9">
      <c r="A326" s="92" t="s">
        <v>4366</v>
      </c>
      <c r="B326" t="s">
        <v>1916</v>
      </c>
      <c r="C326" t="s">
        <v>2333</v>
      </c>
      <c r="D326" t="s">
        <v>2291</v>
      </c>
      <c r="E326" t="s">
        <v>2285</v>
      </c>
      <c r="G326" t="s">
        <v>2723</v>
      </c>
      <c r="H326" t="s">
        <v>2287</v>
      </c>
      <c r="I326" t="s">
        <v>3819</v>
      </c>
    </row>
    <row r="327" spans="1:9">
      <c r="A327" s="92" t="s">
        <v>4366</v>
      </c>
      <c r="B327" t="s">
        <v>1916</v>
      </c>
      <c r="C327" t="s">
        <v>2334</v>
      </c>
      <c r="D327" t="s">
        <v>2291</v>
      </c>
      <c r="E327" t="s">
        <v>2311</v>
      </c>
      <c r="F327" t="s">
        <v>2335</v>
      </c>
      <c r="G327" t="s">
        <v>2723</v>
      </c>
      <c r="H327" t="s">
        <v>2312</v>
      </c>
      <c r="I327" t="s">
        <v>3819</v>
      </c>
    </row>
    <row r="328" spans="1:9">
      <c r="A328" s="92" t="s">
        <v>4366</v>
      </c>
      <c r="B328" t="s">
        <v>1918</v>
      </c>
      <c r="C328" t="s">
        <v>2529</v>
      </c>
      <c r="D328" t="s">
        <v>2494</v>
      </c>
      <c r="E328" t="s">
        <v>2530</v>
      </c>
      <c r="F328" t="s">
        <v>2532</v>
      </c>
      <c r="G328" t="s">
        <v>2220</v>
      </c>
      <c r="H328" t="s">
        <v>2553</v>
      </c>
      <c r="I328" t="s">
        <v>3823</v>
      </c>
    </row>
    <row r="329" spans="1:9">
      <c r="A329" s="92" t="s">
        <v>4366</v>
      </c>
      <c r="B329" t="s">
        <v>1918</v>
      </c>
      <c r="C329" t="s">
        <v>2734</v>
      </c>
      <c r="E329" t="s">
        <v>2735</v>
      </c>
      <c r="G329" t="s">
        <v>2723</v>
      </c>
      <c r="H329" t="s">
        <v>2736</v>
      </c>
      <c r="I329" t="s">
        <v>3823</v>
      </c>
    </row>
    <row r="330" spans="1:9">
      <c r="A330" s="92" t="s">
        <v>4366</v>
      </c>
      <c r="B330" t="s">
        <v>1920</v>
      </c>
      <c r="C330" t="s">
        <v>2339</v>
      </c>
      <c r="E330" t="s">
        <v>2285</v>
      </c>
      <c r="F330" t="s">
        <v>2340</v>
      </c>
      <c r="G330" t="s">
        <v>2723</v>
      </c>
      <c r="H330" t="s">
        <v>2287</v>
      </c>
      <c r="I330" t="s">
        <v>3827</v>
      </c>
    </row>
    <row r="331" spans="1:9">
      <c r="A331" s="92" t="s">
        <v>4366</v>
      </c>
      <c r="B331" t="s">
        <v>1920</v>
      </c>
      <c r="C331" t="s">
        <v>2345</v>
      </c>
      <c r="D331" t="s">
        <v>2346</v>
      </c>
      <c r="E331" t="s">
        <v>2285</v>
      </c>
      <c r="F331" t="s">
        <v>2347</v>
      </c>
      <c r="G331" t="s">
        <v>2723</v>
      </c>
      <c r="H331" t="s">
        <v>2287</v>
      </c>
      <c r="I331" t="s">
        <v>3827</v>
      </c>
    </row>
    <row r="332" spans="1:9">
      <c r="A332" s="92" t="s">
        <v>4366</v>
      </c>
      <c r="B332" t="s">
        <v>1920</v>
      </c>
      <c r="C332" t="s">
        <v>2348</v>
      </c>
      <c r="E332" t="s">
        <v>2292</v>
      </c>
      <c r="G332" t="s">
        <v>2723</v>
      </c>
      <c r="H332" t="s">
        <v>2293</v>
      </c>
      <c r="I332" t="s">
        <v>3827</v>
      </c>
    </row>
    <row r="333" spans="1:9">
      <c r="A333" s="92" t="s">
        <v>4369</v>
      </c>
      <c r="B333" t="s">
        <v>1894</v>
      </c>
      <c r="C333" t="s">
        <v>2355</v>
      </c>
      <c r="D333" t="s">
        <v>2356</v>
      </c>
      <c r="E333" t="s">
        <v>1565</v>
      </c>
      <c r="F333" t="s">
        <v>2358</v>
      </c>
      <c r="G333" t="s">
        <v>2723</v>
      </c>
      <c r="H333" t="s">
        <v>108</v>
      </c>
      <c r="I333" t="s">
        <v>3787</v>
      </c>
    </row>
    <row r="334" spans="1:9">
      <c r="A334" s="92" t="s">
        <v>4369</v>
      </c>
      <c r="B334" t="s">
        <v>1894</v>
      </c>
      <c r="C334" t="s">
        <v>2516</v>
      </c>
      <c r="D334" t="s">
        <v>2291</v>
      </c>
      <c r="E334" t="s">
        <v>1215</v>
      </c>
      <c r="G334" t="s">
        <v>2231</v>
      </c>
      <c r="H334" t="s">
        <v>1215</v>
      </c>
      <c r="I334" t="s">
        <v>3787</v>
      </c>
    </row>
    <row r="335" spans="1:9">
      <c r="A335" s="92" t="s">
        <v>4369</v>
      </c>
      <c r="B335" t="s">
        <v>1894</v>
      </c>
      <c r="C335" t="s">
        <v>2398</v>
      </c>
      <c r="E335" t="s">
        <v>2399</v>
      </c>
      <c r="G335" t="s">
        <v>2723</v>
      </c>
      <c r="H335" t="s">
        <v>2399</v>
      </c>
      <c r="I335" t="s">
        <v>3787</v>
      </c>
    </row>
    <row r="336" spans="1:9">
      <c r="A336" s="92" t="s">
        <v>4369</v>
      </c>
      <c r="B336" t="s">
        <v>1894</v>
      </c>
      <c r="C336" t="s">
        <v>2400</v>
      </c>
      <c r="D336" t="s">
        <v>2284</v>
      </c>
      <c r="E336" t="s">
        <v>108</v>
      </c>
      <c r="G336" t="s">
        <v>2723</v>
      </c>
      <c r="H336" t="s">
        <v>108</v>
      </c>
      <c r="I336" t="s">
        <v>3787</v>
      </c>
    </row>
    <row r="337" spans="1:9">
      <c r="A337" s="92" t="s">
        <v>4369</v>
      </c>
      <c r="B337" t="s">
        <v>1894</v>
      </c>
      <c r="C337" t="s">
        <v>2401</v>
      </c>
      <c r="D337" t="s">
        <v>2402</v>
      </c>
      <c r="E337" t="s">
        <v>2403</v>
      </c>
      <c r="F337" t="s">
        <v>2404</v>
      </c>
      <c r="G337" t="s">
        <v>2723</v>
      </c>
      <c r="H337" t="s">
        <v>2403</v>
      </c>
      <c r="I337" t="s">
        <v>3787</v>
      </c>
    </row>
    <row r="338" spans="1:9">
      <c r="A338" s="92" t="s">
        <v>4369</v>
      </c>
      <c r="B338" t="s">
        <v>1894</v>
      </c>
      <c r="C338" t="s">
        <v>2405</v>
      </c>
      <c r="E338" t="s">
        <v>108</v>
      </c>
      <c r="G338" t="s">
        <v>2723</v>
      </c>
      <c r="H338" t="s">
        <v>108</v>
      </c>
      <c r="I338" t="s">
        <v>3787</v>
      </c>
    </row>
    <row r="339" spans="1:9">
      <c r="A339" s="92" t="s">
        <v>4369</v>
      </c>
      <c r="B339" t="s">
        <v>1895</v>
      </c>
      <c r="C339" t="s">
        <v>2407</v>
      </c>
      <c r="D339" t="s">
        <v>2296</v>
      </c>
      <c r="E339" t="s">
        <v>108</v>
      </c>
      <c r="G339" t="s">
        <v>2723</v>
      </c>
      <c r="H339" t="s">
        <v>108</v>
      </c>
      <c r="I339" t="s">
        <v>3791</v>
      </c>
    </row>
    <row r="340" spans="1:9">
      <c r="A340" s="92" t="s">
        <v>4369</v>
      </c>
      <c r="B340" t="s">
        <v>1895</v>
      </c>
      <c r="C340" t="s">
        <v>2409</v>
      </c>
      <c r="D340" t="s">
        <v>2410</v>
      </c>
      <c r="E340" t="s">
        <v>108</v>
      </c>
      <c r="F340" t="s">
        <v>2411</v>
      </c>
      <c r="G340" t="s">
        <v>2723</v>
      </c>
      <c r="H340" t="s">
        <v>108</v>
      </c>
      <c r="I340" t="s">
        <v>3791</v>
      </c>
    </row>
    <row r="341" spans="1:9">
      <c r="A341" s="92" t="s">
        <v>4369</v>
      </c>
      <c r="B341" t="s">
        <v>1895</v>
      </c>
      <c r="C341" t="s">
        <v>2412</v>
      </c>
      <c r="D341" t="s">
        <v>2410</v>
      </c>
      <c r="E341" t="s">
        <v>108</v>
      </c>
      <c r="G341" t="s">
        <v>2723</v>
      </c>
      <c r="H341" t="s">
        <v>108</v>
      </c>
      <c r="I341" t="s">
        <v>3791</v>
      </c>
    </row>
    <row r="342" spans="1:9">
      <c r="A342" s="92" t="s">
        <v>4369</v>
      </c>
      <c r="B342" t="s">
        <v>1895</v>
      </c>
      <c r="C342" t="s">
        <v>2290</v>
      </c>
      <c r="D342" t="s">
        <v>2291</v>
      </c>
      <c r="E342" t="s">
        <v>2292</v>
      </c>
      <c r="G342" t="s">
        <v>2723</v>
      </c>
      <c r="H342" t="s">
        <v>2446</v>
      </c>
      <c r="I342" t="s">
        <v>3791</v>
      </c>
    </row>
    <row r="343" spans="1:9">
      <c r="A343" s="92" t="s">
        <v>4369</v>
      </c>
      <c r="B343" t="s">
        <v>1895</v>
      </c>
      <c r="C343" t="s">
        <v>2414</v>
      </c>
      <c r="D343" t="s">
        <v>2415</v>
      </c>
      <c r="E343" t="s">
        <v>108</v>
      </c>
      <c r="F343" t="s">
        <v>2416</v>
      </c>
      <c r="G343" t="s">
        <v>2723</v>
      </c>
      <c r="H343" t="s">
        <v>108</v>
      </c>
      <c r="I343" t="s">
        <v>3791</v>
      </c>
    </row>
    <row r="344" spans="1:9">
      <c r="A344" s="92" t="s">
        <v>4369</v>
      </c>
      <c r="B344" t="s">
        <v>3567</v>
      </c>
      <c r="C344" t="s">
        <v>2418</v>
      </c>
      <c r="D344" t="s">
        <v>2363</v>
      </c>
      <c r="E344" t="s">
        <v>108</v>
      </c>
      <c r="G344" t="s">
        <v>2723</v>
      </c>
      <c r="H344" t="s">
        <v>108</v>
      </c>
      <c r="I344" t="s">
        <v>3795</v>
      </c>
    </row>
    <row r="345" spans="1:9">
      <c r="A345" s="92" t="s">
        <v>4369</v>
      </c>
      <c r="B345" t="s">
        <v>3567</v>
      </c>
      <c r="C345" t="s">
        <v>2362</v>
      </c>
      <c r="D345" t="s">
        <v>2363</v>
      </c>
      <c r="E345" t="s">
        <v>2364</v>
      </c>
      <c r="G345" t="s">
        <v>2723</v>
      </c>
      <c r="H345" t="s">
        <v>2718</v>
      </c>
      <c r="I345" t="s">
        <v>3795</v>
      </c>
    </row>
    <row r="346" spans="1:9">
      <c r="A346" s="92" t="s">
        <v>4369</v>
      </c>
      <c r="B346" t="s">
        <v>3567</v>
      </c>
      <c r="C346" t="s">
        <v>2420</v>
      </c>
      <c r="D346" t="s">
        <v>2363</v>
      </c>
      <c r="E346" t="s">
        <v>2421</v>
      </c>
      <c r="F346" t="s">
        <v>2422</v>
      </c>
      <c r="G346" t="s">
        <v>2723</v>
      </c>
      <c r="H346" t="s">
        <v>108</v>
      </c>
      <c r="I346" t="s">
        <v>3795</v>
      </c>
    </row>
    <row r="347" spans="1:9">
      <c r="A347" s="92" t="s">
        <v>4369</v>
      </c>
      <c r="B347" t="s">
        <v>3567</v>
      </c>
      <c r="C347" t="s">
        <v>2423</v>
      </c>
      <c r="D347" t="s">
        <v>2363</v>
      </c>
      <c r="E347" t="s">
        <v>108</v>
      </c>
      <c r="G347" t="s">
        <v>2723</v>
      </c>
      <c r="H347" t="s">
        <v>108</v>
      </c>
      <c r="I347" t="s">
        <v>3795</v>
      </c>
    </row>
    <row r="348" spans="1:9">
      <c r="A348" s="92" t="s">
        <v>4369</v>
      </c>
      <c r="B348" t="s">
        <v>1901</v>
      </c>
      <c r="C348" t="s">
        <v>2425</v>
      </c>
      <c r="D348" t="s">
        <v>2426</v>
      </c>
      <c r="E348" t="s">
        <v>2427</v>
      </c>
      <c r="G348" t="s">
        <v>2723</v>
      </c>
      <c r="H348" t="s">
        <v>108</v>
      </c>
      <c r="I348" t="s">
        <v>3799</v>
      </c>
    </row>
    <row r="349" spans="1:9">
      <c r="A349" s="92" t="s">
        <v>4369</v>
      </c>
      <c r="B349" t="s">
        <v>1901</v>
      </c>
      <c r="C349" t="s">
        <v>2428</v>
      </c>
      <c r="D349" t="s">
        <v>2426</v>
      </c>
      <c r="E349" t="s">
        <v>2429</v>
      </c>
      <c r="G349" t="s">
        <v>2723</v>
      </c>
      <c r="H349" t="s">
        <v>108</v>
      </c>
      <c r="I349" t="s">
        <v>3799</v>
      </c>
    </row>
    <row r="350" spans="1:9">
      <c r="A350" s="92" t="s">
        <v>4369</v>
      </c>
      <c r="B350" t="s">
        <v>1901</v>
      </c>
      <c r="C350" t="s">
        <v>2430</v>
      </c>
      <c r="D350" t="s">
        <v>2431</v>
      </c>
      <c r="E350" t="s">
        <v>108</v>
      </c>
      <c r="F350" t="s">
        <v>2432</v>
      </c>
      <c r="G350" t="s">
        <v>2723</v>
      </c>
      <c r="H350" t="s">
        <v>108</v>
      </c>
      <c r="I350" t="s">
        <v>3799</v>
      </c>
    </row>
    <row r="351" spans="1:9">
      <c r="A351" s="92" t="s">
        <v>4369</v>
      </c>
      <c r="B351" t="s">
        <v>1901</v>
      </c>
      <c r="C351" t="s">
        <v>2433</v>
      </c>
      <c r="D351" t="s">
        <v>2431</v>
      </c>
      <c r="E351" t="s">
        <v>108</v>
      </c>
      <c r="G351" t="s">
        <v>2723</v>
      </c>
      <c r="H351" t="s">
        <v>108</v>
      </c>
      <c r="I351" t="s">
        <v>3799</v>
      </c>
    </row>
    <row r="352" spans="1:9">
      <c r="A352" s="92" t="s">
        <v>4369</v>
      </c>
      <c r="B352" t="s">
        <v>1903</v>
      </c>
      <c r="C352" t="s">
        <v>2435</v>
      </c>
      <c r="D352" t="s">
        <v>2436</v>
      </c>
      <c r="E352" t="s">
        <v>108</v>
      </c>
      <c r="F352" t="s">
        <v>2437</v>
      </c>
      <c r="G352" t="s">
        <v>2723</v>
      </c>
      <c r="H352" t="s">
        <v>108</v>
      </c>
      <c r="I352" t="s">
        <v>3803</v>
      </c>
    </row>
    <row r="353" spans="1:9">
      <c r="A353" s="92" t="s">
        <v>4369</v>
      </c>
      <c r="B353" t="s">
        <v>1903</v>
      </c>
      <c r="C353" t="s">
        <v>2295</v>
      </c>
      <c r="D353" t="s">
        <v>2296</v>
      </c>
      <c r="E353" t="s">
        <v>2297</v>
      </c>
      <c r="G353" t="s">
        <v>2723</v>
      </c>
      <c r="H353" t="s">
        <v>2446</v>
      </c>
      <c r="I353" t="s">
        <v>3803</v>
      </c>
    </row>
    <row r="354" spans="1:9">
      <c r="A354" s="92" t="s">
        <v>4369</v>
      </c>
      <c r="B354" t="s">
        <v>1903</v>
      </c>
      <c r="C354" t="s">
        <v>2298</v>
      </c>
      <c r="D354" t="s">
        <v>2296</v>
      </c>
      <c r="E354" t="s">
        <v>2292</v>
      </c>
      <c r="G354" t="s">
        <v>2723</v>
      </c>
      <c r="H354" t="s">
        <v>2446</v>
      </c>
      <c r="I354" t="s">
        <v>3803</v>
      </c>
    </row>
    <row r="355" spans="1:9">
      <c r="A355" s="92" t="s">
        <v>4369</v>
      </c>
      <c r="B355" t="s">
        <v>1903</v>
      </c>
      <c r="C355" t="s">
        <v>2299</v>
      </c>
      <c r="D355" t="s">
        <v>2296</v>
      </c>
      <c r="E355" t="s">
        <v>2292</v>
      </c>
      <c r="G355" t="s">
        <v>2723</v>
      </c>
      <c r="H355" t="s">
        <v>2446</v>
      </c>
      <c r="I355" t="s">
        <v>3803</v>
      </c>
    </row>
    <row r="356" spans="1:9">
      <c r="A356" s="92" t="s">
        <v>4369</v>
      </c>
      <c r="B356" t="s">
        <v>1903</v>
      </c>
      <c r="C356" t="s">
        <v>2300</v>
      </c>
      <c r="D356" t="s">
        <v>2301</v>
      </c>
      <c r="E356" t="s">
        <v>2292</v>
      </c>
      <c r="G356" t="s">
        <v>2723</v>
      </c>
      <c r="H356" t="s">
        <v>2446</v>
      </c>
      <c r="I356" t="s">
        <v>3803</v>
      </c>
    </row>
    <row r="357" spans="1:9">
      <c r="A357" s="92" t="s">
        <v>4369</v>
      </c>
      <c r="B357" t="s">
        <v>1903</v>
      </c>
      <c r="C357" t="s">
        <v>2302</v>
      </c>
      <c r="E357" t="s">
        <v>2292</v>
      </c>
      <c r="G357" t="s">
        <v>2723</v>
      </c>
      <c r="H357" t="s">
        <v>2446</v>
      </c>
      <c r="I357" t="s">
        <v>3803</v>
      </c>
    </row>
    <row r="358" spans="1:9">
      <c r="A358" s="92" t="s">
        <v>4369</v>
      </c>
      <c r="B358" t="s">
        <v>1903</v>
      </c>
      <c r="C358" t="s">
        <v>2303</v>
      </c>
      <c r="E358" t="s">
        <v>2292</v>
      </c>
      <c r="G358" t="s">
        <v>2723</v>
      </c>
      <c r="H358" t="s">
        <v>2446</v>
      </c>
      <c r="I358" t="s">
        <v>3803</v>
      </c>
    </row>
    <row r="359" spans="1:9">
      <c r="A359" s="92" t="s">
        <v>4369</v>
      </c>
      <c r="B359" t="s">
        <v>1903</v>
      </c>
      <c r="C359" t="s">
        <v>2304</v>
      </c>
      <c r="E359" t="s">
        <v>2292</v>
      </c>
      <c r="G359" t="s">
        <v>2723</v>
      </c>
      <c r="H359" t="s">
        <v>2446</v>
      </c>
      <c r="I359" t="s">
        <v>3803</v>
      </c>
    </row>
    <row r="360" spans="1:9">
      <c r="A360" s="92" t="s">
        <v>4369</v>
      </c>
      <c r="B360" t="s">
        <v>1905</v>
      </c>
      <c r="C360" t="s">
        <v>2439</v>
      </c>
      <c r="D360" t="s">
        <v>2440</v>
      </c>
      <c r="E360" t="s">
        <v>108</v>
      </c>
      <c r="G360" t="s">
        <v>2723</v>
      </c>
      <c r="H360" t="s">
        <v>108</v>
      </c>
      <c r="I360" t="s">
        <v>3805</v>
      </c>
    </row>
    <row r="361" spans="1:9">
      <c r="A361" s="92" t="s">
        <v>4369</v>
      </c>
      <c r="B361" t="s">
        <v>1905</v>
      </c>
      <c r="C361" t="s">
        <v>2441</v>
      </c>
      <c r="D361" t="s">
        <v>2442</v>
      </c>
      <c r="E361" t="s">
        <v>2427</v>
      </c>
      <c r="G361" t="s">
        <v>2723</v>
      </c>
      <c r="H361" t="s">
        <v>108</v>
      </c>
      <c r="I361" t="s">
        <v>3805</v>
      </c>
    </row>
    <row r="362" spans="1:9">
      <c r="A362" s="92" t="s">
        <v>4369</v>
      </c>
      <c r="B362" t="s">
        <v>1905</v>
      </c>
      <c r="C362" t="s">
        <v>2443</v>
      </c>
      <c r="D362" t="s">
        <v>2440</v>
      </c>
      <c r="E362" t="s">
        <v>2444</v>
      </c>
      <c r="F362" t="s">
        <v>2445</v>
      </c>
      <c r="G362" t="s">
        <v>2723</v>
      </c>
      <c r="H362" t="s">
        <v>108</v>
      </c>
      <c r="I362" t="s">
        <v>3805</v>
      </c>
    </row>
    <row r="363" spans="1:9">
      <c r="A363" s="92" t="s">
        <v>4369</v>
      </c>
      <c r="B363" t="s">
        <v>1905</v>
      </c>
      <c r="C363" t="s">
        <v>2306</v>
      </c>
      <c r="D363" t="s">
        <v>2291</v>
      </c>
      <c r="E363" t="s">
        <v>2307</v>
      </c>
      <c r="G363" t="s">
        <v>2723</v>
      </c>
      <c r="H363" t="s">
        <v>108</v>
      </c>
      <c r="I363" t="s">
        <v>3805</v>
      </c>
    </row>
    <row r="364" spans="1:9">
      <c r="A364" s="92" t="s">
        <v>4369</v>
      </c>
      <c r="B364" t="s">
        <v>1905</v>
      </c>
      <c r="C364" t="s">
        <v>2313</v>
      </c>
      <c r="D364" t="s">
        <v>2291</v>
      </c>
      <c r="E364" t="s">
        <v>2292</v>
      </c>
      <c r="G364" t="s">
        <v>2723</v>
      </c>
      <c r="H364" t="s">
        <v>2446</v>
      </c>
      <c r="I364" t="s">
        <v>3805</v>
      </c>
    </row>
    <row r="365" spans="1:9">
      <c r="A365" s="92" t="s">
        <v>4369</v>
      </c>
      <c r="B365" t="s">
        <v>1905</v>
      </c>
      <c r="C365" t="s">
        <v>2314</v>
      </c>
      <c r="D365" t="s">
        <v>2291</v>
      </c>
      <c r="E365" t="s">
        <v>2292</v>
      </c>
      <c r="G365" t="s">
        <v>2723</v>
      </c>
      <c r="H365" t="s">
        <v>2446</v>
      </c>
      <c r="I365" t="s">
        <v>3805</v>
      </c>
    </row>
    <row r="366" spans="1:9">
      <c r="A366" s="92" t="s">
        <v>4369</v>
      </c>
      <c r="B366" t="s">
        <v>1905</v>
      </c>
      <c r="C366" t="s">
        <v>2447</v>
      </c>
      <c r="D366" t="s">
        <v>2440</v>
      </c>
      <c r="E366" t="s">
        <v>2403</v>
      </c>
      <c r="G366" t="s">
        <v>2723</v>
      </c>
      <c r="H366" t="s">
        <v>2403</v>
      </c>
      <c r="I366" t="s">
        <v>3805</v>
      </c>
    </row>
    <row r="367" spans="1:9">
      <c r="A367" s="92" t="s">
        <v>4369</v>
      </c>
      <c r="B367" t="s">
        <v>1905</v>
      </c>
      <c r="C367" t="s">
        <v>2448</v>
      </c>
      <c r="D367" t="s">
        <v>2449</v>
      </c>
      <c r="E367" t="s">
        <v>108</v>
      </c>
      <c r="G367" t="s">
        <v>2723</v>
      </c>
      <c r="H367" t="s">
        <v>108</v>
      </c>
      <c r="I367" t="s">
        <v>3805</v>
      </c>
    </row>
    <row r="368" spans="1:9">
      <c r="A368" s="92" t="s">
        <v>4369</v>
      </c>
      <c r="B368" t="s">
        <v>1908</v>
      </c>
      <c r="C368" t="s">
        <v>2451</v>
      </c>
      <c r="E368" t="s">
        <v>2403</v>
      </c>
      <c r="G368" t="s">
        <v>2723</v>
      </c>
      <c r="H368" t="s">
        <v>2403</v>
      </c>
      <c r="I368" t="s">
        <v>3807</v>
      </c>
    </row>
    <row r="369" spans="1:9">
      <c r="A369" s="92" t="s">
        <v>4369</v>
      </c>
      <c r="B369" t="s">
        <v>1908</v>
      </c>
      <c r="C369" t="s">
        <v>2375</v>
      </c>
      <c r="E369" t="s">
        <v>2376</v>
      </c>
      <c r="G369" t="s">
        <v>2723</v>
      </c>
      <c r="H369" t="s">
        <v>2403</v>
      </c>
      <c r="I369" t="s">
        <v>3807</v>
      </c>
    </row>
    <row r="370" spans="1:9">
      <c r="A370" s="92" t="s">
        <v>4369</v>
      </c>
      <c r="B370" t="s">
        <v>1908</v>
      </c>
      <c r="C370" t="s">
        <v>2452</v>
      </c>
      <c r="D370" t="s">
        <v>2440</v>
      </c>
      <c r="E370" t="s">
        <v>108</v>
      </c>
      <c r="G370" t="s">
        <v>2723</v>
      </c>
      <c r="H370" t="s">
        <v>108</v>
      </c>
      <c r="I370" t="s">
        <v>3807</v>
      </c>
    </row>
    <row r="371" spans="1:9">
      <c r="A371" s="92" t="s">
        <v>4369</v>
      </c>
      <c r="B371" t="s">
        <v>1908</v>
      </c>
      <c r="C371" t="s">
        <v>2453</v>
      </c>
      <c r="D371" t="s">
        <v>2440</v>
      </c>
      <c r="E371" t="s">
        <v>108</v>
      </c>
      <c r="G371" t="s">
        <v>2723</v>
      </c>
      <c r="H371" t="s">
        <v>108</v>
      </c>
      <c r="I371" t="s">
        <v>3807</v>
      </c>
    </row>
    <row r="372" spans="1:9">
      <c r="A372" s="92" t="s">
        <v>4369</v>
      </c>
      <c r="B372" t="s">
        <v>1908</v>
      </c>
      <c r="C372" t="s">
        <v>2454</v>
      </c>
      <c r="D372" t="s">
        <v>2301</v>
      </c>
      <c r="E372" t="s">
        <v>108</v>
      </c>
      <c r="G372" t="s">
        <v>2723</v>
      </c>
      <c r="H372" t="s">
        <v>108</v>
      </c>
      <c r="I372" t="s">
        <v>3807</v>
      </c>
    </row>
    <row r="373" spans="1:9">
      <c r="A373" s="92" t="s">
        <v>4369</v>
      </c>
      <c r="B373" t="s">
        <v>1908</v>
      </c>
      <c r="C373" t="s">
        <v>2455</v>
      </c>
      <c r="D373" t="s">
        <v>2456</v>
      </c>
      <c r="E373" t="s">
        <v>2403</v>
      </c>
      <c r="G373" t="s">
        <v>2723</v>
      </c>
      <c r="H373" t="s">
        <v>2403</v>
      </c>
      <c r="I373" t="s">
        <v>3807</v>
      </c>
    </row>
    <row r="374" spans="1:9">
      <c r="A374" s="92" t="s">
        <v>4369</v>
      </c>
      <c r="B374" t="s">
        <v>1908</v>
      </c>
      <c r="C374" t="s">
        <v>2457</v>
      </c>
      <c r="D374" t="s">
        <v>2456</v>
      </c>
      <c r="E374" t="s">
        <v>2403</v>
      </c>
      <c r="G374" t="s">
        <v>2723</v>
      </c>
      <c r="H374" t="s">
        <v>2403</v>
      </c>
      <c r="I374" t="s">
        <v>3807</v>
      </c>
    </row>
    <row r="375" spans="1:9">
      <c r="A375" s="92" t="s">
        <v>4369</v>
      </c>
      <c r="B375" t="s">
        <v>1908</v>
      </c>
      <c r="C375" t="s">
        <v>2316</v>
      </c>
      <c r="D375" t="s">
        <v>2291</v>
      </c>
      <c r="E375" t="s">
        <v>2292</v>
      </c>
      <c r="G375" t="s">
        <v>2723</v>
      </c>
      <c r="H375" t="s">
        <v>2446</v>
      </c>
      <c r="I375" t="s">
        <v>3807</v>
      </c>
    </row>
    <row r="376" spans="1:9">
      <c r="A376" s="92" t="s">
        <v>4369</v>
      </c>
      <c r="B376" t="s">
        <v>1908</v>
      </c>
      <c r="C376" t="s">
        <v>2458</v>
      </c>
      <c r="D376" t="s">
        <v>2456</v>
      </c>
      <c r="E376" t="s">
        <v>108</v>
      </c>
      <c r="F376" t="s">
        <v>2459</v>
      </c>
      <c r="G376" t="s">
        <v>2723</v>
      </c>
      <c r="H376" t="s">
        <v>108</v>
      </c>
      <c r="I376" t="s">
        <v>3807</v>
      </c>
    </row>
    <row r="377" spans="1:9">
      <c r="A377" s="92" t="s">
        <v>4369</v>
      </c>
      <c r="B377" t="s">
        <v>1909</v>
      </c>
      <c r="C377" t="s">
        <v>2461</v>
      </c>
      <c r="D377" t="s">
        <v>2462</v>
      </c>
      <c r="E377" t="s">
        <v>108</v>
      </c>
      <c r="G377" t="s">
        <v>2723</v>
      </c>
      <c r="H377" t="s">
        <v>108</v>
      </c>
      <c r="I377" t="s">
        <v>3811</v>
      </c>
    </row>
    <row r="378" spans="1:9">
      <c r="A378" s="92" t="s">
        <v>4369</v>
      </c>
      <c r="B378" t="s">
        <v>1909</v>
      </c>
      <c r="C378" t="s">
        <v>2463</v>
      </c>
      <c r="D378" t="s">
        <v>2464</v>
      </c>
      <c r="E378" t="s">
        <v>108</v>
      </c>
      <c r="G378" t="s">
        <v>2723</v>
      </c>
      <c r="H378" t="s">
        <v>108</v>
      </c>
      <c r="I378" t="s">
        <v>3811</v>
      </c>
    </row>
    <row r="379" spans="1:9">
      <c r="A379" s="92" t="s">
        <v>4369</v>
      </c>
      <c r="B379" t="s">
        <v>1909</v>
      </c>
      <c r="C379" t="s">
        <v>2465</v>
      </c>
      <c r="D379" t="s">
        <v>2464</v>
      </c>
      <c r="E379" t="s">
        <v>108</v>
      </c>
      <c r="G379" t="s">
        <v>2723</v>
      </c>
      <c r="H379" t="s">
        <v>108</v>
      </c>
      <c r="I379" t="s">
        <v>3811</v>
      </c>
    </row>
    <row r="380" spans="1:9">
      <c r="A380" s="92" t="s">
        <v>4369</v>
      </c>
      <c r="B380" t="s">
        <v>1911</v>
      </c>
      <c r="C380" t="s">
        <v>2467</v>
      </c>
      <c r="D380" t="s">
        <v>2319</v>
      </c>
      <c r="E380" t="s">
        <v>2403</v>
      </c>
      <c r="F380" t="s">
        <v>2468</v>
      </c>
      <c r="G380" t="s">
        <v>2723</v>
      </c>
      <c r="H380" t="s">
        <v>2403</v>
      </c>
      <c r="I380" t="s">
        <v>3815</v>
      </c>
    </row>
    <row r="381" spans="1:9">
      <c r="A381" s="92" t="s">
        <v>4369</v>
      </c>
      <c r="B381" t="s">
        <v>1911</v>
      </c>
      <c r="C381" t="s">
        <v>2469</v>
      </c>
      <c r="D381" t="s">
        <v>2382</v>
      </c>
      <c r="E381" t="s">
        <v>108</v>
      </c>
      <c r="F381" t="s">
        <v>2470</v>
      </c>
      <c r="G381" t="s">
        <v>2723</v>
      </c>
      <c r="H381" t="s">
        <v>108</v>
      </c>
      <c r="I381" t="s">
        <v>3815</v>
      </c>
    </row>
    <row r="382" spans="1:9">
      <c r="A382" s="92" t="s">
        <v>4369</v>
      </c>
      <c r="B382" t="s">
        <v>1911</v>
      </c>
      <c r="C382" t="s">
        <v>2471</v>
      </c>
      <c r="D382" t="s">
        <v>2379</v>
      </c>
      <c r="E382" t="s">
        <v>108</v>
      </c>
      <c r="F382" t="s">
        <v>2472</v>
      </c>
      <c r="G382" t="s">
        <v>2723</v>
      </c>
      <c r="H382" t="s">
        <v>108</v>
      </c>
      <c r="I382" t="s">
        <v>3815</v>
      </c>
    </row>
    <row r="383" spans="1:9">
      <c r="A383" s="92" t="s">
        <v>4369</v>
      </c>
      <c r="B383" t="s">
        <v>1911</v>
      </c>
      <c r="C383" t="s">
        <v>2473</v>
      </c>
      <c r="D383" t="s">
        <v>2474</v>
      </c>
      <c r="E383" t="s">
        <v>108</v>
      </c>
      <c r="F383" t="s">
        <v>2475</v>
      </c>
      <c r="G383" t="s">
        <v>2723</v>
      </c>
      <c r="H383" t="s">
        <v>108</v>
      </c>
      <c r="I383" t="s">
        <v>3815</v>
      </c>
    </row>
    <row r="384" spans="1:9">
      <c r="A384" s="92" t="s">
        <v>4369</v>
      </c>
      <c r="B384" t="s">
        <v>1916</v>
      </c>
      <c r="C384" t="s">
        <v>2477</v>
      </c>
      <c r="D384" t="s">
        <v>2382</v>
      </c>
      <c r="E384" t="s">
        <v>108</v>
      </c>
      <c r="F384" t="s">
        <v>2478</v>
      </c>
      <c r="G384" t="s">
        <v>2723</v>
      </c>
      <c r="H384" t="s">
        <v>108</v>
      </c>
      <c r="I384" t="s">
        <v>3819</v>
      </c>
    </row>
    <row r="385" spans="1:9">
      <c r="A385" s="92" t="s">
        <v>4369</v>
      </c>
      <c r="B385" t="s">
        <v>1916</v>
      </c>
      <c r="C385" t="s">
        <v>2479</v>
      </c>
      <c r="D385" t="s">
        <v>2480</v>
      </c>
      <c r="E385" t="s">
        <v>108</v>
      </c>
      <c r="F385" t="s">
        <v>2481</v>
      </c>
      <c r="G385" t="s">
        <v>2723</v>
      </c>
      <c r="H385" t="s">
        <v>108</v>
      </c>
      <c r="I385" t="s">
        <v>3819</v>
      </c>
    </row>
    <row r="386" spans="1:9">
      <c r="A386" s="92" t="s">
        <v>4369</v>
      </c>
      <c r="B386" t="s">
        <v>1916</v>
      </c>
      <c r="C386" t="s">
        <v>2482</v>
      </c>
      <c r="D386" t="s">
        <v>2480</v>
      </c>
      <c r="E386" t="s">
        <v>108</v>
      </c>
      <c r="F386" t="s">
        <v>2483</v>
      </c>
      <c r="G386" t="s">
        <v>2723</v>
      </c>
      <c r="H386" t="s">
        <v>108</v>
      </c>
      <c r="I386" t="s">
        <v>3819</v>
      </c>
    </row>
    <row r="387" spans="1:9">
      <c r="A387" s="92" t="s">
        <v>4369</v>
      </c>
      <c r="B387" t="s">
        <v>1916</v>
      </c>
      <c r="C387" t="s">
        <v>2484</v>
      </c>
      <c r="D387" t="s">
        <v>2382</v>
      </c>
      <c r="E387" t="s">
        <v>2403</v>
      </c>
      <c r="G387" t="s">
        <v>2723</v>
      </c>
      <c r="H387" t="s">
        <v>2403</v>
      </c>
      <c r="I387" t="s">
        <v>3819</v>
      </c>
    </row>
    <row r="388" spans="1:9">
      <c r="A388" s="92" t="s">
        <v>4369</v>
      </c>
      <c r="B388" t="s">
        <v>1916</v>
      </c>
      <c r="C388" t="s">
        <v>2485</v>
      </c>
      <c r="D388" t="s">
        <v>2486</v>
      </c>
      <c r="E388" t="s">
        <v>2487</v>
      </c>
      <c r="G388" t="s">
        <v>2723</v>
      </c>
      <c r="H388" t="s">
        <v>108</v>
      </c>
      <c r="I388" t="s">
        <v>3819</v>
      </c>
    </row>
    <row r="389" spans="1:9">
      <c r="A389" s="92" t="s">
        <v>4369</v>
      </c>
      <c r="B389" t="s">
        <v>1918</v>
      </c>
      <c r="C389" t="s">
        <v>2489</v>
      </c>
      <c r="D389" t="s">
        <v>2490</v>
      </c>
      <c r="E389" t="s">
        <v>108</v>
      </c>
      <c r="G389" t="s">
        <v>2723</v>
      </c>
      <c r="H389" t="s">
        <v>108</v>
      </c>
      <c r="I389" t="s">
        <v>3823</v>
      </c>
    </row>
    <row r="390" spans="1:9">
      <c r="A390" s="92" t="s">
        <v>4369</v>
      </c>
      <c r="B390" t="s">
        <v>1918</v>
      </c>
      <c r="C390" t="s">
        <v>2491</v>
      </c>
      <c r="D390" t="s">
        <v>2490</v>
      </c>
      <c r="E390" t="s">
        <v>2403</v>
      </c>
      <c r="F390" t="s">
        <v>2492</v>
      </c>
      <c r="G390" t="s">
        <v>2723</v>
      </c>
      <c r="H390" t="s">
        <v>2403</v>
      </c>
      <c r="I390" t="s">
        <v>3823</v>
      </c>
    </row>
    <row r="391" spans="1:9">
      <c r="A391" s="92" t="s">
        <v>4369</v>
      </c>
      <c r="B391" t="s">
        <v>1918</v>
      </c>
      <c r="C391" t="s">
        <v>2529</v>
      </c>
      <c r="D391" t="s">
        <v>2494</v>
      </c>
      <c r="E391" t="s">
        <v>2530</v>
      </c>
      <c r="F391" t="s">
        <v>2532</v>
      </c>
      <c r="G391" t="s">
        <v>2231</v>
      </c>
      <c r="H391" t="s">
        <v>2719</v>
      </c>
      <c r="I391" t="s">
        <v>3823</v>
      </c>
    </row>
    <row r="392" spans="1:9">
      <c r="A392" s="92" t="s">
        <v>4369</v>
      </c>
      <c r="B392" t="s">
        <v>1918</v>
      </c>
      <c r="C392" t="s">
        <v>2493</v>
      </c>
      <c r="D392" t="s">
        <v>2494</v>
      </c>
      <c r="E392" t="s">
        <v>2421</v>
      </c>
      <c r="F392" t="s">
        <v>2495</v>
      </c>
      <c r="G392" t="s">
        <v>2723</v>
      </c>
      <c r="H392" t="s">
        <v>108</v>
      </c>
      <c r="I392" t="s">
        <v>3823</v>
      </c>
    </row>
    <row r="393" spans="1:9">
      <c r="A393" s="92" t="s">
        <v>4369</v>
      </c>
      <c r="B393" t="s">
        <v>1918</v>
      </c>
      <c r="C393" t="s">
        <v>2496</v>
      </c>
      <c r="D393" t="s">
        <v>2490</v>
      </c>
      <c r="E393" t="s">
        <v>2497</v>
      </c>
      <c r="G393" t="s">
        <v>2723</v>
      </c>
      <c r="H393" t="s">
        <v>108</v>
      </c>
      <c r="I393" t="s">
        <v>3823</v>
      </c>
    </row>
    <row r="394" spans="1:9">
      <c r="A394" s="92" t="s">
        <v>4369</v>
      </c>
      <c r="B394" t="s">
        <v>1918</v>
      </c>
      <c r="C394" t="s">
        <v>2498</v>
      </c>
      <c r="D394" t="s">
        <v>2490</v>
      </c>
      <c r="E394" t="s">
        <v>2499</v>
      </c>
      <c r="F394" t="s">
        <v>2500</v>
      </c>
      <c r="G394" t="s">
        <v>2723</v>
      </c>
      <c r="H394" t="s">
        <v>108</v>
      </c>
      <c r="I394" t="s">
        <v>3823</v>
      </c>
    </row>
    <row r="395" spans="1:9">
      <c r="A395" s="92" t="s">
        <v>4369</v>
      </c>
      <c r="B395" t="s">
        <v>1920</v>
      </c>
      <c r="C395" t="s">
        <v>2502</v>
      </c>
      <c r="D395" t="s">
        <v>2325</v>
      </c>
      <c r="E395" t="s">
        <v>2503</v>
      </c>
      <c r="F395" t="s">
        <v>2504</v>
      </c>
      <c r="G395" t="s">
        <v>2723</v>
      </c>
      <c r="H395" t="s">
        <v>108</v>
      </c>
      <c r="I395" t="s">
        <v>3827</v>
      </c>
    </row>
    <row r="396" spans="1:9">
      <c r="A396" s="92" t="s">
        <v>4369</v>
      </c>
      <c r="B396" t="s">
        <v>1920</v>
      </c>
      <c r="C396" t="s">
        <v>2341</v>
      </c>
      <c r="D396" t="s">
        <v>2342</v>
      </c>
      <c r="E396" t="s">
        <v>2343</v>
      </c>
      <c r="F396" t="s">
        <v>2344</v>
      </c>
      <c r="G396" t="s">
        <v>2723</v>
      </c>
      <c r="H396" t="s">
        <v>108</v>
      </c>
      <c r="I396" t="s">
        <v>3827</v>
      </c>
    </row>
    <row r="397" spans="1:9">
      <c r="A397" s="92" t="s">
        <v>4369</v>
      </c>
      <c r="B397" t="s">
        <v>1920</v>
      </c>
      <c r="C397" t="s">
        <v>2348</v>
      </c>
      <c r="E397" t="s">
        <v>2292</v>
      </c>
      <c r="G397" t="s">
        <v>2723</v>
      </c>
      <c r="H397" t="s">
        <v>2446</v>
      </c>
      <c r="I397" t="s">
        <v>3827</v>
      </c>
    </row>
    <row r="398" spans="1:9">
      <c r="A398" s="92" t="s">
        <v>4369</v>
      </c>
      <c r="B398" t="s">
        <v>1920</v>
      </c>
      <c r="C398" t="s">
        <v>2505</v>
      </c>
      <c r="D398" t="s">
        <v>2291</v>
      </c>
      <c r="E398" t="s">
        <v>108</v>
      </c>
      <c r="G398" t="s">
        <v>2723</v>
      </c>
      <c r="H398" t="s">
        <v>108</v>
      </c>
      <c r="I398" t="s">
        <v>3827</v>
      </c>
    </row>
    <row r="399" spans="1:9">
      <c r="A399" s="92" t="s">
        <v>4369</v>
      </c>
      <c r="B399" t="s">
        <v>1920</v>
      </c>
      <c r="C399" t="s">
        <v>2506</v>
      </c>
      <c r="D399" t="s">
        <v>2346</v>
      </c>
      <c r="E399" t="s">
        <v>2507</v>
      </c>
      <c r="F399" t="s">
        <v>2508</v>
      </c>
      <c r="G399" t="s">
        <v>2723</v>
      </c>
      <c r="H399" t="s">
        <v>2507</v>
      </c>
      <c r="I399" t="s">
        <v>3827</v>
      </c>
    </row>
    <row r="400" spans="1:9">
      <c r="A400" s="92" t="s">
        <v>4372</v>
      </c>
      <c r="B400" t="s">
        <v>1894</v>
      </c>
      <c r="C400" t="s">
        <v>2283</v>
      </c>
      <c r="D400" t="s">
        <v>2284</v>
      </c>
      <c r="E400" t="s">
        <v>2285</v>
      </c>
      <c r="F400" t="s">
        <v>2288</v>
      </c>
      <c r="G400" t="s">
        <v>2723</v>
      </c>
      <c r="H400" t="s">
        <v>2287</v>
      </c>
      <c r="I400" t="s">
        <v>3787</v>
      </c>
    </row>
    <row r="401" spans="1:9">
      <c r="A401" s="92" t="s">
        <v>4372</v>
      </c>
      <c r="B401" t="s">
        <v>1894</v>
      </c>
      <c r="C401" t="s">
        <v>2516</v>
      </c>
      <c r="D401" t="s">
        <v>2291</v>
      </c>
      <c r="E401" t="s">
        <v>1215</v>
      </c>
      <c r="G401" t="s">
        <v>2723</v>
      </c>
      <c r="H401" t="s">
        <v>1215</v>
      </c>
      <c r="I401" t="s">
        <v>3787</v>
      </c>
    </row>
    <row r="402" spans="1:9">
      <c r="A402" s="92" t="s">
        <v>4372</v>
      </c>
      <c r="B402" t="s">
        <v>1894</v>
      </c>
      <c r="C402" t="s">
        <v>2398</v>
      </c>
      <c r="E402" t="s">
        <v>2399</v>
      </c>
      <c r="G402" t="s">
        <v>2723</v>
      </c>
      <c r="H402" t="s">
        <v>1215</v>
      </c>
      <c r="I402" t="s">
        <v>3787</v>
      </c>
    </row>
    <row r="403" spans="1:9">
      <c r="A403" s="92" t="s">
        <v>4372</v>
      </c>
      <c r="B403" t="s">
        <v>1895</v>
      </c>
      <c r="C403" t="s">
        <v>2290</v>
      </c>
      <c r="D403" t="s">
        <v>2291</v>
      </c>
      <c r="E403" t="s">
        <v>2292</v>
      </c>
      <c r="G403" t="s">
        <v>2723</v>
      </c>
      <c r="H403" t="s">
        <v>2293</v>
      </c>
      <c r="I403" t="s">
        <v>3791</v>
      </c>
    </row>
    <row r="404" spans="1:9">
      <c r="A404" s="92" t="s">
        <v>4372</v>
      </c>
      <c r="B404" t="s">
        <v>3567</v>
      </c>
      <c r="C404" t="s">
        <v>2362</v>
      </c>
      <c r="D404" t="s">
        <v>2363</v>
      </c>
      <c r="E404" t="s">
        <v>2364</v>
      </c>
      <c r="G404" t="s">
        <v>2723</v>
      </c>
      <c r="H404" t="s">
        <v>2729</v>
      </c>
      <c r="I404" t="s">
        <v>3795</v>
      </c>
    </row>
    <row r="405" spans="1:9">
      <c r="A405" s="92" t="s">
        <v>4372</v>
      </c>
      <c r="B405" t="s">
        <v>1901</v>
      </c>
      <c r="C405" t="s">
        <v>2367</v>
      </c>
      <c r="D405" t="s">
        <v>2325</v>
      </c>
      <c r="E405" t="s">
        <v>2368</v>
      </c>
      <c r="G405" t="s">
        <v>2723</v>
      </c>
      <c r="H405" t="s">
        <v>2365</v>
      </c>
      <c r="I405" t="s">
        <v>3799</v>
      </c>
    </row>
    <row r="406" spans="1:9">
      <c r="A406" s="92" t="s">
        <v>4372</v>
      </c>
      <c r="B406" t="s">
        <v>1903</v>
      </c>
      <c r="C406" t="s">
        <v>2295</v>
      </c>
      <c r="D406" t="s">
        <v>2296</v>
      </c>
      <c r="E406" t="s">
        <v>2297</v>
      </c>
      <c r="G406" t="s">
        <v>2723</v>
      </c>
      <c r="H406" t="s">
        <v>2293</v>
      </c>
      <c r="I406" t="s">
        <v>3803</v>
      </c>
    </row>
    <row r="407" spans="1:9">
      <c r="A407" s="92" t="s">
        <v>4372</v>
      </c>
      <c r="B407" t="s">
        <v>1903</v>
      </c>
      <c r="C407" t="s">
        <v>2298</v>
      </c>
      <c r="D407" t="s">
        <v>2296</v>
      </c>
      <c r="E407" t="s">
        <v>2292</v>
      </c>
      <c r="G407" t="s">
        <v>2723</v>
      </c>
      <c r="H407" t="s">
        <v>2293</v>
      </c>
      <c r="I407" t="s">
        <v>3803</v>
      </c>
    </row>
    <row r="408" spans="1:9">
      <c r="A408" s="92" t="s">
        <v>4372</v>
      </c>
      <c r="B408" t="s">
        <v>1903</v>
      </c>
      <c r="C408" t="s">
        <v>2299</v>
      </c>
      <c r="D408" t="s">
        <v>2296</v>
      </c>
      <c r="E408" t="s">
        <v>2292</v>
      </c>
      <c r="G408" t="s">
        <v>2723</v>
      </c>
      <c r="H408" t="s">
        <v>2293</v>
      </c>
      <c r="I408" t="s">
        <v>3803</v>
      </c>
    </row>
    <row r="409" spans="1:9">
      <c r="A409" s="92" t="s">
        <v>4372</v>
      </c>
      <c r="B409" t="s">
        <v>1903</v>
      </c>
      <c r="C409" t="s">
        <v>2300</v>
      </c>
      <c r="D409" t="s">
        <v>2301</v>
      </c>
      <c r="E409" t="s">
        <v>2292</v>
      </c>
      <c r="G409" t="s">
        <v>2723</v>
      </c>
      <c r="H409" t="s">
        <v>2293</v>
      </c>
      <c r="I409" t="s">
        <v>3803</v>
      </c>
    </row>
    <row r="410" spans="1:9">
      <c r="A410" s="92" t="s">
        <v>4372</v>
      </c>
      <c r="B410" t="s">
        <v>1903</v>
      </c>
      <c r="C410" t="s">
        <v>2302</v>
      </c>
      <c r="E410" t="s">
        <v>2292</v>
      </c>
      <c r="G410" t="s">
        <v>2723</v>
      </c>
      <c r="H410" t="s">
        <v>2293</v>
      </c>
      <c r="I410" t="s">
        <v>3803</v>
      </c>
    </row>
    <row r="411" spans="1:9">
      <c r="A411" s="92" t="s">
        <v>4372</v>
      </c>
      <c r="B411" t="s">
        <v>1903</v>
      </c>
      <c r="C411" t="s">
        <v>2303</v>
      </c>
      <c r="E411" t="s">
        <v>2292</v>
      </c>
      <c r="G411" t="s">
        <v>2723</v>
      </c>
      <c r="H411" t="s">
        <v>2293</v>
      </c>
      <c r="I411" t="s">
        <v>3803</v>
      </c>
    </row>
    <row r="412" spans="1:9">
      <c r="A412" s="92" t="s">
        <v>4372</v>
      </c>
      <c r="B412" t="s">
        <v>1903</v>
      </c>
      <c r="C412" t="s">
        <v>2304</v>
      </c>
      <c r="E412" t="s">
        <v>2292</v>
      </c>
      <c r="G412" t="s">
        <v>2723</v>
      </c>
      <c r="H412" t="s">
        <v>2293</v>
      </c>
      <c r="I412" t="s">
        <v>3803</v>
      </c>
    </row>
    <row r="413" spans="1:9">
      <c r="A413" s="92" t="s">
        <v>4372</v>
      </c>
      <c r="B413" t="s">
        <v>1905</v>
      </c>
      <c r="C413" t="s">
        <v>2310</v>
      </c>
      <c r="D413" t="s">
        <v>2291</v>
      </c>
      <c r="E413" t="s">
        <v>2311</v>
      </c>
      <c r="G413" t="s">
        <v>2723</v>
      </c>
      <c r="H413" t="s">
        <v>2312</v>
      </c>
      <c r="I413" t="s">
        <v>3805</v>
      </c>
    </row>
    <row r="414" spans="1:9">
      <c r="A414" s="92" t="s">
        <v>4372</v>
      </c>
      <c r="B414" t="s">
        <v>1905</v>
      </c>
      <c r="C414" t="s">
        <v>2313</v>
      </c>
      <c r="D414" t="s">
        <v>2291</v>
      </c>
      <c r="E414" t="s">
        <v>2292</v>
      </c>
      <c r="G414" t="s">
        <v>2723</v>
      </c>
      <c r="H414" t="s">
        <v>2293</v>
      </c>
      <c r="I414" t="s">
        <v>3805</v>
      </c>
    </row>
    <row r="415" spans="1:9">
      <c r="A415" s="92" t="s">
        <v>4372</v>
      </c>
      <c r="B415" t="s">
        <v>1905</v>
      </c>
      <c r="C415" t="s">
        <v>2314</v>
      </c>
      <c r="D415" t="s">
        <v>2291</v>
      </c>
      <c r="E415" t="s">
        <v>2292</v>
      </c>
      <c r="G415" t="s">
        <v>2723</v>
      </c>
      <c r="H415" t="s">
        <v>2293</v>
      </c>
      <c r="I415" t="s">
        <v>3805</v>
      </c>
    </row>
    <row r="416" spans="1:9">
      <c r="A416" s="92" t="s">
        <v>4372</v>
      </c>
      <c r="B416" t="s">
        <v>1908</v>
      </c>
      <c r="C416" t="s">
        <v>2316</v>
      </c>
      <c r="D416" t="s">
        <v>2291</v>
      </c>
      <c r="E416" t="s">
        <v>2292</v>
      </c>
      <c r="G416" t="s">
        <v>2723</v>
      </c>
      <c r="H416" t="s">
        <v>2293</v>
      </c>
      <c r="I416" t="s">
        <v>3807</v>
      </c>
    </row>
    <row r="417" spans="1:9">
      <c r="A417" s="92" t="s">
        <v>4372</v>
      </c>
      <c r="B417" t="s">
        <v>1911</v>
      </c>
      <c r="C417" t="s">
        <v>2318</v>
      </c>
      <c r="D417" t="s">
        <v>2319</v>
      </c>
      <c r="E417" t="s">
        <v>2285</v>
      </c>
      <c r="F417" t="s">
        <v>2320</v>
      </c>
      <c r="G417" t="s">
        <v>2723</v>
      </c>
      <c r="H417" t="s">
        <v>2287</v>
      </c>
      <c r="I417" t="s">
        <v>3815</v>
      </c>
    </row>
    <row r="418" spans="1:9">
      <c r="A418" s="92" t="s">
        <v>4372</v>
      </c>
      <c r="B418" t="s">
        <v>1911</v>
      </c>
      <c r="C418" t="s">
        <v>2321</v>
      </c>
      <c r="D418" t="s">
        <v>2322</v>
      </c>
      <c r="E418" t="s">
        <v>2285</v>
      </c>
      <c r="F418" t="s">
        <v>2323</v>
      </c>
      <c r="G418" t="s">
        <v>2723</v>
      </c>
      <c r="H418" t="s">
        <v>2287</v>
      </c>
      <c r="I418" t="s">
        <v>3815</v>
      </c>
    </row>
    <row r="419" spans="1:9">
      <c r="A419" s="92" t="s">
        <v>4372</v>
      </c>
      <c r="B419" t="s">
        <v>1916</v>
      </c>
      <c r="C419" t="s">
        <v>2333</v>
      </c>
      <c r="D419" t="s">
        <v>2291</v>
      </c>
      <c r="E419" t="s">
        <v>2285</v>
      </c>
      <c r="G419" t="s">
        <v>2723</v>
      </c>
      <c r="H419" t="s">
        <v>2287</v>
      </c>
      <c r="I419" t="s">
        <v>3819</v>
      </c>
    </row>
    <row r="420" spans="1:9">
      <c r="A420" s="92" t="s">
        <v>4372</v>
      </c>
      <c r="B420" t="s">
        <v>1916</v>
      </c>
      <c r="C420" t="s">
        <v>2334</v>
      </c>
      <c r="D420" t="s">
        <v>2291</v>
      </c>
      <c r="E420" t="s">
        <v>2311</v>
      </c>
      <c r="F420" t="s">
        <v>2335</v>
      </c>
      <c r="G420" t="s">
        <v>2723</v>
      </c>
      <c r="H420" t="s">
        <v>2312</v>
      </c>
      <c r="I420" t="s">
        <v>3819</v>
      </c>
    </row>
    <row r="421" spans="1:9">
      <c r="A421" s="92" t="s">
        <v>4372</v>
      </c>
      <c r="B421" t="s">
        <v>1918</v>
      </c>
      <c r="C421" t="s">
        <v>2529</v>
      </c>
      <c r="D421" t="s">
        <v>2494</v>
      </c>
      <c r="E421" t="s">
        <v>2530</v>
      </c>
      <c r="F421" t="s">
        <v>2532</v>
      </c>
      <c r="G421" t="s">
        <v>2723</v>
      </c>
      <c r="H421" t="s">
        <v>2719</v>
      </c>
      <c r="I421" t="s">
        <v>3823</v>
      </c>
    </row>
    <row r="422" spans="1:9">
      <c r="A422" s="92" t="s">
        <v>4372</v>
      </c>
      <c r="B422" t="s">
        <v>1920</v>
      </c>
      <c r="C422" t="s">
        <v>2339</v>
      </c>
      <c r="E422" t="s">
        <v>2285</v>
      </c>
      <c r="F422" t="s">
        <v>2340</v>
      </c>
      <c r="G422" t="s">
        <v>2723</v>
      </c>
      <c r="H422" t="s">
        <v>2287</v>
      </c>
      <c r="I422" t="s">
        <v>3827</v>
      </c>
    </row>
    <row r="423" spans="1:9">
      <c r="A423" s="92" t="s">
        <v>4372</v>
      </c>
      <c r="B423" t="s">
        <v>1920</v>
      </c>
      <c r="C423" t="s">
        <v>2345</v>
      </c>
      <c r="D423" t="s">
        <v>2346</v>
      </c>
      <c r="E423" t="s">
        <v>2285</v>
      </c>
      <c r="F423" t="s">
        <v>2347</v>
      </c>
      <c r="G423" t="s">
        <v>2723</v>
      </c>
      <c r="H423" t="s">
        <v>2287</v>
      </c>
      <c r="I423" t="s">
        <v>3827</v>
      </c>
    </row>
    <row r="424" spans="1:9">
      <c r="A424" s="92" t="s">
        <v>4372</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4375</v>
      </c>
      <c r="B1" s="175"/>
      <c r="C1" s="175"/>
      <c r="D1" s="175"/>
      <c r="E1" s="175"/>
    </row>
    <row r="2" spans="1:7">
      <c r="A2" t="s">
        <v>1448</v>
      </c>
      <c r="B2" t="s">
        <v>4376</v>
      </c>
      <c r="C2" t="s">
        <v>4377</v>
      </c>
      <c r="D2" t="s">
        <v>4378</v>
      </c>
      <c r="E2" t="s">
        <v>4379</v>
      </c>
      <c r="F2" t="s">
        <v>4380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4381</v>
      </c>
      <c r="B17">
        <f>SUMIFS(Réttabanki!$T:$T,Réttabanki!$W:$W,$A17)</f>
        <v>0</v>
      </c>
      <c r="C17">
        <f>SUMIFS(Réttabanki!$C:$C,Réttabanki!$W:$W,$A17)/1000</f>
        <v>0</v>
      </c>
      <c r="D17" t="str">
        <f t="shared" si="0"/>
        <v/>
      </c>
      <c r="E17">
        <f>COUNTIFS(Réttabanki!$W:$W,$A17,Réttabanki!$B:$B,"&lt;&gt;")</f>
        <v>0</v>
      </c>
      <c r="F17" s="178">
        <v>46262</v>
      </c>
      <c r="G17" s="178">
        <v>46318</v>
      </c>
    </row>
    <row r="18" spans="1:7">
      <c r="A18" t="s">
        <v>4382</v>
      </c>
      <c r="B18">
        <f>SUMIFS(Réttabanki!$T:$T,Réttabanki!$W:$W,$A18)</f>
        <v>0</v>
      </c>
      <c r="C18">
        <f>SUMIFS(Réttabanki!$C:$C,Réttabanki!$W:$W,$A18)/1000</f>
        <v>0</v>
      </c>
      <c r="D18" t="str">
        <f t="shared" si="0"/>
        <v/>
      </c>
      <c r="E18">
        <f>COUNTIFS(Réttabanki!$W:$W,$A18,Réttabanki!$B:$B,"&lt;&gt;")</f>
        <v>0</v>
      </c>
      <c r="F18" s="178">
        <v>46265</v>
      </c>
      <c r="G18" s="178">
        <v>46321</v>
      </c>
    </row>
    <row r="19" spans="1:7">
      <c r="A19" t="s">
        <v>4383</v>
      </c>
      <c r="B19">
        <f>SUMIFS(Réttabanki!$T:$T,Réttabanki!$W:$W,$A19)</f>
        <v>0</v>
      </c>
      <c r="C19">
        <f>SUMIFS(Réttabanki!$C:$C,Réttabanki!$W:$W,$A19)/1000</f>
        <v>0</v>
      </c>
      <c r="D19" t="str">
        <f t="shared" si="0"/>
        <v/>
      </c>
      <c r="E19">
        <f>COUNTIFS(Réttabanki!$W:$W,$A19,Réttabanki!$B:$B,"&lt;&gt;")</f>
        <v>0</v>
      </c>
      <c r="F19" s="178">
        <v>46266</v>
      </c>
      <c r="G19" s="178">
        <v>46322</v>
      </c>
    </row>
    <row r="20" spans="1:7">
      <c r="A20" t="s">
        <v>4384</v>
      </c>
      <c r="B20">
        <f>SUMIFS(Réttabanki!$T:$T,Réttabanki!$W:$W,$A20)</f>
        <v>0</v>
      </c>
      <c r="C20">
        <f>SUMIFS(Réttabanki!$C:$C,Réttabanki!$W:$W,$A20)/1000</f>
        <v>0</v>
      </c>
      <c r="D20" t="str">
        <f t="shared" si="0"/>
        <v/>
      </c>
      <c r="E20">
        <f>COUNTIFS(Réttabanki!$W:$W,$A20,Réttabanki!$B:$B,"&lt;&gt;")</f>
        <v>0</v>
      </c>
      <c r="F20" s="178">
        <v>46267</v>
      </c>
      <c r="G20" s="178">
        <v>46323</v>
      </c>
    </row>
    <row r="21" spans="1:7">
      <c r="A21" t="s">
        <v>4385</v>
      </c>
      <c r="B21">
        <f>SUMIFS(Réttabanki!$T:$T,Réttabanki!$W:$W,$A21)</f>
        <v>0</v>
      </c>
      <c r="C21">
        <f>SUMIFS(Réttabanki!$C:$C,Réttabanki!$W:$W,$A21)/1000</f>
        <v>0</v>
      </c>
      <c r="D21" t="str">
        <f t="shared" si="0"/>
        <v/>
      </c>
      <c r="E21">
        <f>COUNTIFS(Réttabanki!$W:$W,$A21,Réttabanki!$B:$B,"&lt;&gt;")</f>
        <v>0</v>
      </c>
      <c r="F21" s="178">
        <v>46268</v>
      </c>
      <c r="G21" s="178">
        <v>46324</v>
      </c>
    </row>
    <row r="22" spans="1:7">
      <c r="A22" t="s">
        <v>4386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4389</v>
      </c>
      <c r="B34">
        <f>SUMIFS(Réttabanki!$T:$T,Réttabanki!$W:$W,$A34)</f>
        <v>0</v>
      </c>
      <c r="C34">
        <f>SUMIFS(Réttabanki!$C:$C,Réttabanki!$W:$W,$A34)/1000</f>
        <v>0</v>
      </c>
      <c r="D34" t="str">
        <f t="shared" si="0"/>
        <v/>
      </c>
      <c r="E34">
        <f>COUNTIFS(Réttabanki!$W:$W,$A34,Réttabanki!$B:$B,"&lt;&gt;")</f>
        <v>0</v>
      </c>
      <c r="F34" s="178">
        <v>46287</v>
      </c>
      <c r="G34" s="178">
        <v>46343</v>
      </c>
    </row>
    <row r="35" spans="1:7">
      <c r="A35" t="s">
        <v>4390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4394</v>
      </c>
      <c r="B1" s="179" t="s">
        <v>4395</v>
      </c>
      <c r="C1" s="179" t="s">
        <v>4396</v>
      </c>
      <c r="D1" s="179" t="s">
        <v>4397</v>
      </c>
      <c r="E1" s="179" t="s">
        <v>4398</v>
      </c>
      <c r="F1" s="179" t="s">
        <v>4399</v>
      </c>
      <c r="G1" s="179" t="s">
        <v>4400</v>
      </c>
      <c r="H1" s="179" t="s">
        <v>4401</v>
      </c>
      <c r="I1" s="179" t="s">
        <v>4402</v>
      </c>
      <c r="J1" s="179" t="s">
        <v>4403</v>
      </c>
      <c r="K1" s="179" t="s">
        <v>4404</v>
      </c>
      <c r="L1" s="179" t="s">
        <v>4405</v>
      </c>
      <c r="M1" s="179" t="s">
        <v>4406</v>
      </c>
      <c r="N1" s="179" t="s">
        <v>19</v>
      </c>
      <c r="O1" s="179" t="s">
        <v>4407</v>
      </c>
      <c r="P1" s="179" t="s">
        <v>4408</v>
      </c>
      <c r="Q1" s="317" t="s">
        <v>4409</v>
      </c>
    </row>
    <row r="2" spans="1:17" ht="18" customHeight="1" outlineLevel="1">
      <c r="A2" s="185">
        <v>46244</v>
      </c>
      <c r="B2" s="186"/>
      <c r="C2" s="186" t="s">
        <v>4410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4411</v>
      </c>
    </row>
    <row r="4" spans="1:17" ht="18" customHeight="1" outlineLevel="1">
      <c r="A4" s="180">
        <v>46244</v>
      </c>
      <c r="B4" s="181" t="str">
        <f t="shared" ca="1" si="0"/>
        <v>Expired</v>
      </c>
      <c r="C4" s="181" t="s">
        <v>155</v>
      </c>
      <c r="D4" s="181" t="s">
        <v>1867</v>
      </c>
      <c r="E4" s="182">
        <f>Hráefnaskrá!$D$32/1000</f>
        <v>35</v>
      </c>
      <c r="F4" s="181"/>
      <c r="G4" s="181"/>
      <c r="H4" s="181"/>
      <c r="I4" s="181" t="s">
        <v>4412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4413</v>
      </c>
    </row>
    <row r="18" spans="1:17" ht="18" customHeight="1">
      <c r="A18" s="180">
        <v>46244</v>
      </c>
      <c r="B18" s="181" t="str">
        <f t="shared" ca="1" si="0"/>
        <v>Expired</v>
      </c>
      <c r="C18" s="181" t="s">
        <v>1090</v>
      </c>
      <c r="D18" s="181" t="s">
        <v>1887</v>
      </c>
      <c r="E18" s="182"/>
      <c r="F18" s="181"/>
      <c r="G18" s="181"/>
      <c r="H18" s="181"/>
      <c r="I18" s="181" t="s">
        <v>4412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4413</v>
      </c>
    </row>
    <row r="19" spans="1:17" ht="18" customHeight="1">
      <c r="A19" s="180">
        <v>46244</v>
      </c>
      <c r="B19" s="181" t="str">
        <f t="shared" ca="1" si="0"/>
        <v>Expired</v>
      </c>
      <c r="C19" s="181" t="s">
        <v>309</v>
      </c>
      <c r="D19" s="181" t="s">
        <v>1887</v>
      </c>
      <c r="E19" s="182"/>
      <c r="F19" s="181"/>
      <c r="G19" s="181"/>
      <c r="H19" s="181"/>
      <c r="I19" s="181" t="s">
        <v>4412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4413</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4413</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4413</v>
      </c>
    </row>
    <row r="22" spans="1:17" ht="18" customHeight="1">
      <c r="A22" s="337">
        <v>46244</v>
      </c>
      <c r="B22" s="318" t="str">
        <f ca="1">IF($A22&lt;TODAY(),"Expired","Active")</f>
        <v>Expired</v>
      </c>
      <c r="C22" s="318" t="s">
        <v>1413</v>
      </c>
      <c r="D22" s="318" t="s">
        <v>1887</v>
      </c>
      <c r="E22" s="338"/>
      <c r="F22" s="318"/>
      <c r="G22" s="318"/>
      <c r="H22" s="318"/>
      <c r="I22" s="181" t="s">
        <v>4412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4414</v>
      </c>
    </row>
    <row r="24" spans="1:17" ht="18" customHeight="1">
      <c r="A24" s="185">
        <v>46245</v>
      </c>
      <c r="B24" s="186"/>
      <c r="C24" s="186" t="s">
        <v>4410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4413</v>
      </c>
    </row>
    <row r="26" spans="1:17" ht="18" customHeight="1">
      <c r="A26" s="180">
        <v>46245</v>
      </c>
      <c r="B26" s="181" t="str">
        <f t="shared" ca="1" si="1"/>
        <v>Active</v>
      </c>
      <c r="C26" s="181" t="s">
        <v>883</v>
      </c>
      <c r="D26" s="181" t="s">
        <v>1867</v>
      </c>
      <c r="E26" s="182"/>
      <c r="F26" s="181"/>
      <c r="G26" s="181"/>
      <c r="H26" s="181"/>
      <c r="I26" s="181" t="s">
        <v>4412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4413</v>
      </c>
    </row>
    <row r="27" spans="1:17" ht="18" customHeight="1">
      <c r="A27" s="180">
        <v>46245</v>
      </c>
      <c r="B27" s="181" t="str">
        <f t="shared" ca="1" si="1"/>
        <v>Active</v>
      </c>
      <c r="C27" s="181" t="s">
        <v>256</v>
      </c>
      <c r="D27" s="181" t="s">
        <v>1867</v>
      </c>
      <c r="E27" s="182"/>
      <c r="F27" s="181"/>
      <c r="G27" s="181"/>
      <c r="H27" s="181"/>
      <c r="I27" s="181" t="s">
        <v>4412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4413</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4413</v>
      </c>
    </row>
    <row r="29" spans="1:17" ht="18" customHeight="1">
      <c r="A29" s="180">
        <v>46245</v>
      </c>
      <c r="B29" s="181" t="str">
        <f t="shared" ca="1" si="1"/>
        <v>Active</v>
      </c>
      <c r="C29" s="181" t="s">
        <v>883</v>
      </c>
      <c r="D29" s="181" t="s">
        <v>1887</v>
      </c>
      <c r="E29" s="182"/>
      <c r="F29" s="181"/>
      <c r="G29" s="181"/>
      <c r="H29" s="181"/>
      <c r="I29" s="181" t="s">
        <v>4412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4413</v>
      </c>
    </row>
    <row r="30" spans="1:17" ht="18" customHeight="1">
      <c r="A30" s="180">
        <v>46245</v>
      </c>
      <c r="B30" s="181" t="str">
        <f t="shared" ca="1" si="1"/>
        <v>Active</v>
      </c>
      <c r="C30" s="181" t="s">
        <v>256</v>
      </c>
      <c r="D30" s="181" t="s">
        <v>1887</v>
      </c>
      <c r="E30" s="182"/>
      <c r="F30" s="181"/>
      <c r="G30" s="181"/>
      <c r="H30" s="181"/>
      <c r="I30" s="181" t="s">
        <v>4412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4413</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4413</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4413</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4413</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4414</v>
      </c>
    </row>
    <row r="35" spans="1:17" ht="18" customHeight="1">
      <c r="A35" s="337">
        <v>46245</v>
      </c>
      <c r="B35" s="318" t="str">
        <f ca="1">IF($A35&lt;TODAY(),"Expired","Active")</f>
        <v>Active</v>
      </c>
      <c r="C35" s="318" t="s">
        <v>556</v>
      </c>
      <c r="D35" s="318" t="s">
        <v>1897</v>
      </c>
      <c r="E35" s="338"/>
      <c r="F35" s="318"/>
      <c r="G35" s="318"/>
      <c r="H35" s="318"/>
      <c r="I35" s="181" t="s">
        <v>4412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4414</v>
      </c>
    </row>
    <row r="38" spans="1:17" ht="18" customHeight="1">
      <c r="A38" s="185">
        <v>46246</v>
      </c>
      <c r="B38" s="186"/>
      <c r="C38" s="186" t="s">
        <v>4410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4411</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4413</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4413</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4411</v>
      </c>
    </row>
    <row r="48" spans="1:17" ht="18" customHeight="1">
      <c r="A48" s="180">
        <v>46246</v>
      </c>
      <c r="B48" s="181" t="str">
        <f t="shared" ca="1" si="2"/>
        <v>Active</v>
      </c>
      <c r="C48" s="181" t="s">
        <v>304</v>
      </c>
      <c r="D48" s="181" t="s">
        <v>1887</v>
      </c>
      <c r="E48" s="182">
        <f>Hráefnaskrá!$D$617/1000</f>
        <v>13</v>
      </c>
      <c r="F48" s="181"/>
      <c r="G48" s="181"/>
      <c r="H48" s="181"/>
      <c r="I48" s="181" t="s">
        <v>4412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4413</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4411</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4413</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4413</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4413</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4414</v>
      </c>
    </row>
    <row r="66" spans="1:17" ht="18" customHeight="1">
      <c r="A66" s="185">
        <v>46247</v>
      </c>
      <c r="B66" s="186"/>
      <c r="C66" s="186" t="s">
        <v>4410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4411</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4413</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4413</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4413</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4411</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4413</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4413</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4414</v>
      </c>
    </row>
    <row r="99" spans="1:17" ht="18" customHeight="1">
      <c r="A99" s="185">
        <v>46248</v>
      </c>
      <c r="B99" s="186"/>
      <c r="C99" s="186" t="s">
        <v>4410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4415</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4413</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4413</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4413</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4413</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4413</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4414</v>
      </c>
    </row>
    <row r="124" spans="1:17" ht="18" customHeight="1">
      <c r="A124" s="185">
        <v>46251</v>
      </c>
      <c r="B124" s="186"/>
      <c r="C124" s="186" t="s">
        <v>4410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4411</v>
      </c>
    </row>
    <row r="126" spans="1:17" ht="18" customHeight="1">
      <c r="A126" s="180">
        <v>46251</v>
      </c>
      <c r="B126" s="181" t="str">
        <f t="shared" ca="1" si="7"/>
        <v>Active</v>
      </c>
      <c r="C126" s="181" t="s">
        <v>155</v>
      </c>
      <c r="D126" s="181" t="s">
        <v>1867</v>
      </c>
      <c r="E126" s="182">
        <f>Hráefnaskrá!$D$153/1000</f>
        <v>53.3</v>
      </c>
      <c r="F126" s="181"/>
      <c r="G126" s="181"/>
      <c r="H126" s="181"/>
      <c r="I126" s="181" t="s">
        <v>4412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4411</v>
      </c>
    </row>
    <row r="135" spans="1:17" ht="18" customHeight="1">
      <c r="A135" s="180">
        <v>46251</v>
      </c>
      <c r="B135" s="181" t="str">
        <f t="shared" ca="1" si="7"/>
        <v>Active</v>
      </c>
      <c r="C135" s="181" t="s">
        <v>155</v>
      </c>
      <c r="D135" s="181" t="s">
        <v>1867</v>
      </c>
      <c r="E135" s="182">
        <f>Hráefnaskrá!$D$45/1000</f>
        <v>70</v>
      </c>
      <c r="F135" s="181"/>
      <c r="G135" s="181"/>
      <c r="H135" s="181"/>
      <c r="I135" s="181" t="s">
        <v>4412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4413</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4413</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4413</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4413</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4413</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4413</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4413</v>
      </c>
    </row>
    <row r="153" spans="1:17" ht="18" customHeight="1">
      <c r="A153" s="185">
        <v>46252</v>
      </c>
      <c r="B153" s="186"/>
      <c r="C153" s="186" t="s">
        <v>4410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4415</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4413</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4413</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4411</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4413</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4413</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4413</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4413</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4413</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4413</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4413</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4413</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4414</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4414</v>
      </c>
    </row>
    <row r="197" spans="1:17" ht="18" customHeight="1">
      <c r="A197" s="185">
        <v>46253</v>
      </c>
      <c r="B197" s="186"/>
      <c r="C197" s="186" t="s">
        <v>4410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4411</v>
      </c>
    </row>
    <row r="199" spans="1:17" ht="18" customHeight="1">
      <c r="A199" s="180">
        <v>46253</v>
      </c>
      <c r="B199" s="181" t="str">
        <f t="shared" ca="1" si="10"/>
        <v>Active</v>
      </c>
      <c r="C199" s="181" t="s">
        <v>766</v>
      </c>
      <c r="D199" s="181" t="s">
        <v>1867</v>
      </c>
      <c r="E199" s="182">
        <f>Hráefnaskrá!$D$172/1000</f>
        <v>46.7</v>
      </c>
      <c r="F199" s="181"/>
      <c r="G199" s="181"/>
      <c r="H199" s="181"/>
      <c r="I199" s="181" t="s">
        <v>4412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4413</v>
      </c>
    </row>
    <row r="213" spans="1:17">
      <c r="A213" s="180">
        <v>46253</v>
      </c>
      <c r="B213" s="181" t="str">
        <f t="shared" ca="1" si="10"/>
        <v>Active</v>
      </c>
      <c r="C213" s="181" t="s">
        <v>97</v>
      </c>
      <c r="D213" s="181" t="s">
        <v>1867</v>
      </c>
      <c r="E213" s="182"/>
      <c r="F213" s="181"/>
      <c r="G213" s="181"/>
      <c r="H213" s="181"/>
      <c r="I213" s="181" t="s">
        <v>4412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4413</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4413</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4413</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4413</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4413</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4413</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4413</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4413</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4413</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4413</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4414</v>
      </c>
    </row>
    <row r="225" spans="1:17">
      <c r="A225" s="185">
        <v>46254</v>
      </c>
      <c r="B225" s="186"/>
      <c r="C225" s="186" t="s">
        <v>4410</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4411</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4411</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4415</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4413</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4413</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4413</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4413</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4413</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4413</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4413</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4413</v>
      </c>
    </row>
    <row r="265" spans="1:17">
      <c r="A265" s="185">
        <v>46255</v>
      </c>
      <c r="B265" s="186"/>
      <c r="C265" s="186" t="s">
        <v>4410</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4411</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4413</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4413</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4413</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4413</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4413</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4413</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4413</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4413</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4414</v>
      </c>
    </row>
    <row r="288" spans="1:17">
      <c r="A288" s="185">
        <v>46258</v>
      </c>
      <c r="B288" s="186"/>
      <c r="C288" s="186" t="s">
        <v>4410</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4411</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4413</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4411</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4413</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4413</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4413</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4413</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4414</v>
      </c>
    </row>
    <row r="331" spans="1:17">
      <c r="A331" s="185">
        <v>46259</v>
      </c>
      <c r="B331" s="186"/>
      <c r="C331" s="186" t="s">
        <v>4410</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4411</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4413</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4413</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4411</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4411</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4413</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4413</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84" t="s">
        <v>4416</v>
      </c>
      <c r="B1" s="385"/>
      <c r="C1" s="385"/>
      <c r="D1" s="385"/>
      <c r="E1" s="385"/>
      <c r="F1" s="385"/>
      <c r="G1" s="385"/>
      <c r="H1" s="385"/>
      <c r="I1" s="385"/>
      <c r="J1" s="385"/>
    </row>
    <row r="2" spans="1:10" ht="34" customHeight="1">
      <c r="A2" s="281" t="s">
        <v>1838</v>
      </c>
      <c r="B2" s="281" t="s">
        <v>4417</v>
      </c>
      <c r="C2" s="281" t="s">
        <v>4418</v>
      </c>
      <c r="D2" s="281" t="s">
        <v>4419</v>
      </c>
      <c r="E2" s="281" t="s">
        <v>4420</v>
      </c>
      <c r="F2" s="281" t="s">
        <v>4421</v>
      </c>
      <c r="G2" s="281" t="s">
        <v>4422</v>
      </c>
      <c r="H2" s="281" t="s">
        <v>4423</v>
      </c>
      <c r="I2" s="281" t="s">
        <v>1455</v>
      </c>
      <c r="J2" s="281" t="s">
        <v>4424</v>
      </c>
    </row>
    <row r="3" spans="1:10" ht="30" hidden="1" customHeight="1">
      <c r="A3" s="282">
        <v>46188</v>
      </c>
      <c r="B3" s="283" t="s">
        <v>4425</v>
      </c>
      <c r="C3" s="284"/>
      <c r="D3" s="284"/>
      <c r="E3" s="284"/>
      <c r="F3" s="284"/>
      <c r="G3" s="285" t="b">
        <v>1</v>
      </c>
      <c r="H3" s="285" t="b">
        <v>1</v>
      </c>
      <c r="I3" s="284"/>
      <c r="J3" s="284"/>
    </row>
    <row r="4" spans="1:10" ht="30" hidden="1" customHeight="1">
      <c r="A4" s="282">
        <v>46189</v>
      </c>
      <c r="B4" s="283" t="s">
        <v>4426</v>
      </c>
      <c r="C4" s="284"/>
      <c r="D4" s="284"/>
      <c r="E4" s="284"/>
      <c r="F4" s="284"/>
      <c r="G4" s="285" t="b">
        <v>1</v>
      </c>
      <c r="H4" s="285" t="b">
        <v>1</v>
      </c>
      <c r="I4" s="284"/>
      <c r="J4" s="284"/>
    </row>
    <row r="5" spans="1:10" ht="30" hidden="1" customHeight="1">
      <c r="A5" s="282">
        <v>46191</v>
      </c>
      <c r="B5" s="283" t="s">
        <v>4427</v>
      </c>
      <c r="C5" s="284"/>
      <c r="D5" s="284"/>
      <c r="E5" s="284"/>
      <c r="F5" s="284"/>
      <c r="G5" s="285" t="b">
        <v>1</v>
      </c>
      <c r="H5" s="285" t="b">
        <v>1</v>
      </c>
      <c r="I5" s="284"/>
      <c r="J5" s="284"/>
    </row>
    <row r="6" spans="1:10" ht="30" hidden="1" customHeight="1">
      <c r="A6" s="282">
        <v>46192</v>
      </c>
      <c r="B6" s="283" t="s">
        <v>4428</v>
      </c>
      <c r="C6" s="284"/>
      <c r="D6" s="284"/>
      <c r="E6" s="284"/>
      <c r="F6" s="284"/>
      <c r="G6" s="285" t="b">
        <v>1</v>
      </c>
      <c r="H6" s="285" t="b">
        <v>1</v>
      </c>
      <c r="I6" s="284"/>
      <c r="J6" s="284"/>
    </row>
    <row r="7" spans="1:10" ht="30" hidden="1" customHeight="1">
      <c r="A7" s="282">
        <v>46195</v>
      </c>
      <c r="B7" s="283" t="s">
        <v>4429</v>
      </c>
      <c r="C7" s="284"/>
      <c r="D7" s="284"/>
      <c r="E7" s="284"/>
      <c r="F7" s="284"/>
      <c r="G7" s="285" t="b">
        <v>1</v>
      </c>
      <c r="H7" s="285" t="b">
        <v>1</v>
      </c>
      <c r="I7" s="284"/>
      <c r="J7" s="284"/>
    </row>
    <row r="8" spans="1:10" ht="30" hidden="1" customHeight="1">
      <c r="A8" s="282">
        <v>46196</v>
      </c>
      <c r="B8" s="283" t="s">
        <v>4430</v>
      </c>
      <c r="C8" s="284"/>
      <c r="D8" s="284"/>
      <c r="E8" s="284"/>
      <c r="F8" s="284"/>
      <c r="G8" s="285" t="b">
        <v>1</v>
      </c>
      <c r="H8" s="285" t="b">
        <v>1</v>
      </c>
      <c r="I8" s="284"/>
      <c r="J8" s="284"/>
    </row>
    <row r="9" spans="1:10" ht="30" hidden="1" customHeight="1">
      <c r="A9" s="282">
        <v>46197</v>
      </c>
      <c r="B9" s="283" t="s">
        <v>4431</v>
      </c>
      <c r="C9" s="284"/>
      <c r="D9" s="284"/>
      <c r="E9" s="284"/>
      <c r="F9" s="284"/>
      <c r="G9" s="285" t="b">
        <v>1</v>
      </c>
      <c r="H9" s="285" t="b">
        <v>1</v>
      </c>
      <c r="I9" s="284"/>
      <c r="J9" s="284"/>
    </row>
    <row r="10" spans="1:10" ht="30" hidden="1" customHeight="1">
      <c r="A10" s="282">
        <v>46198</v>
      </c>
      <c r="B10" s="283" t="s">
        <v>4432</v>
      </c>
      <c r="C10" s="284"/>
      <c r="D10" s="284"/>
      <c r="E10" s="284"/>
      <c r="F10" s="284"/>
      <c r="G10" s="285" t="b">
        <v>1</v>
      </c>
      <c r="H10" s="285" t="b">
        <v>1</v>
      </c>
      <c r="I10" s="284"/>
      <c r="J10" s="284"/>
    </row>
    <row r="11" spans="1:10" ht="30" hidden="1" customHeight="1">
      <c r="A11" s="282">
        <v>46199</v>
      </c>
      <c r="B11" s="283" t="s">
        <v>4433</v>
      </c>
      <c r="C11" s="284"/>
      <c r="D11" s="284"/>
      <c r="E11" s="284"/>
      <c r="F11" s="284"/>
      <c r="G11" s="285" t="b">
        <v>1</v>
      </c>
      <c r="H11" s="285" t="b">
        <v>1</v>
      </c>
      <c r="I11" s="284"/>
      <c r="J11" s="284"/>
    </row>
    <row r="12" spans="1:10" ht="30" hidden="1" customHeight="1">
      <c r="A12" s="282">
        <v>46202</v>
      </c>
      <c r="B12" s="283" t="s">
        <v>4434</v>
      </c>
      <c r="C12" s="284"/>
      <c r="D12" s="284"/>
      <c r="E12" s="284"/>
      <c r="F12" s="284"/>
      <c r="G12" s="285" t="b">
        <v>0</v>
      </c>
      <c r="H12" s="285" t="b">
        <v>0</v>
      </c>
      <c r="I12" s="284"/>
      <c r="J12" s="284"/>
    </row>
    <row r="13" spans="1:10" ht="30" hidden="1" customHeight="1">
      <c r="A13" s="282">
        <v>46203</v>
      </c>
      <c r="B13" s="283" t="s">
        <v>4435</v>
      </c>
      <c r="C13" s="284" t="s">
        <v>818</v>
      </c>
      <c r="D13" s="284"/>
      <c r="E13" s="284"/>
      <c r="F13" s="284"/>
      <c r="G13" s="285" t="b">
        <v>0</v>
      </c>
      <c r="H13" s="285" t="b">
        <v>0</v>
      </c>
      <c r="I13" s="284"/>
      <c r="J13" s="284"/>
    </row>
    <row r="14" spans="1:10" ht="30" hidden="1" customHeight="1">
      <c r="A14" s="282">
        <v>46204</v>
      </c>
      <c r="B14" s="283" t="s">
        <v>4436</v>
      </c>
      <c r="C14" s="284" t="s">
        <v>815</v>
      </c>
      <c r="D14" s="284"/>
      <c r="E14" s="284"/>
      <c r="F14" s="284"/>
      <c r="G14" s="285" t="b">
        <v>1</v>
      </c>
      <c r="H14" s="285" t="b">
        <v>1</v>
      </c>
      <c r="I14" s="284"/>
      <c r="J14" s="284"/>
    </row>
    <row r="15" spans="1:10" ht="30" hidden="1" customHeight="1">
      <c r="A15" s="282">
        <v>46205</v>
      </c>
      <c r="B15" s="283" t="s">
        <v>4437</v>
      </c>
      <c r="C15" s="284" t="s">
        <v>817</v>
      </c>
      <c r="D15" s="284"/>
      <c r="E15" s="284"/>
      <c r="F15" s="284"/>
      <c r="G15" s="285" t="b">
        <v>1</v>
      </c>
      <c r="H15" s="285" t="b">
        <v>1</v>
      </c>
      <c r="I15" s="284"/>
      <c r="J15" s="284"/>
    </row>
    <row r="16" spans="1:10" ht="30" hidden="1" customHeight="1">
      <c r="A16" s="282">
        <v>46206</v>
      </c>
      <c r="B16" s="283" t="s">
        <v>4438</v>
      </c>
      <c r="C16" s="284" t="s">
        <v>4439</v>
      </c>
      <c r="D16" s="284"/>
      <c r="E16" s="284"/>
      <c r="F16" s="284"/>
      <c r="G16" s="285" t="b">
        <v>1</v>
      </c>
      <c r="H16" s="285" t="b">
        <v>1</v>
      </c>
      <c r="I16" s="284"/>
      <c r="J16" s="284"/>
    </row>
    <row r="17" spans="1:10" ht="30" hidden="1" customHeight="1">
      <c r="A17" s="282">
        <v>46209</v>
      </c>
      <c r="B17" s="283" t="s">
        <v>4440</v>
      </c>
      <c r="C17" s="284" t="s">
        <v>821</v>
      </c>
      <c r="D17" s="284"/>
      <c r="E17" s="284"/>
      <c r="F17" s="284"/>
      <c r="G17" s="285" t="b">
        <v>1</v>
      </c>
      <c r="H17" s="285" t="b">
        <v>1</v>
      </c>
      <c r="I17" s="284"/>
      <c r="J17" s="284"/>
    </row>
    <row r="18" spans="1:10" ht="30" hidden="1" customHeight="1">
      <c r="A18" s="282">
        <v>46210</v>
      </c>
      <c r="B18" s="283" t="s">
        <v>4441</v>
      </c>
      <c r="C18" s="284" t="s">
        <v>818</v>
      </c>
      <c r="D18" s="284"/>
      <c r="E18" s="284"/>
      <c r="F18" s="284"/>
      <c r="G18" s="285" t="b">
        <v>1</v>
      </c>
      <c r="H18" s="285" t="b">
        <v>1</v>
      </c>
      <c r="I18" s="284"/>
      <c r="J18" s="284"/>
    </row>
    <row r="19" spans="1:10" ht="30" hidden="1" customHeight="1">
      <c r="A19" s="282">
        <v>46211</v>
      </c>
      <c r="B19" s="283" t="s">
        <v>4442</v>
      </c>
      <c r="C19" s="284" t="s">
        <v>815</v>
      </c>
      <c r="D19" s="284"/>
      <c r="E19" s="284"/>
      <c r="F19" s="284"/>
      <c r="G19" s="285" t="b">
        <v>1</v>
      </c>
      <c r="H19" s="285" t="b">
        <v>1</v>
      </c>
      <c r="I19" s="284"/>
      <c r="J19" s="284"/>
    </row>
    <row r="20" spans="1:10" ht="30" hidden="1" customHeight="1">
      <c r="A20" s="282">
        <v>46212</v>
      </c>
      <c r="B20" s="283" t="s">
        <v>4443</v>
      </c>
      <c r="C20" s="284" t="s">
        <v>817</v>
      </c>
      <c r="D20" s="284"/>
      <c r="E20" s="284"/>
      <c r="F20" s="284"/>
      <c r="G20" s="285" t="b">
        <v>1</v>
      </c>
      <c r="H20" s="285" t="b">
        <v>1</v>
      </c>
      <c r="I20" s="284"/>
      <c r="J20" s="284"/>
    </row>
    <row r="21" spans="1:10" ht="30" hidden="1" customHeight="1">
      <c r="A21" s="282">
        <v>46213</v>
      </c>
      <c r="B21" s="283" t="s">
        <v>4444</v>
      </c>
      <c r="C21" s="284" t="s">
        <v>820</v>
      </c>
      <c r="D21" s="284"/>
      <c r="E21" s="284"/>
      <c r="F21" s="284"/>
      <c r="G21" s="285" t="b">
        <v>1</v>
      </c>
      <c r="H21" s="285" t="b">
        <v>1</v>
      </c>
      <c r="I21" s="284"/>
      <c r="J21" s="284"/>
    </row>
    <row r="22" spans="1:10" ht="30" hidden="1" customHeight="1">
      <c r="A22" s="282">
        <v>46216</v>
      </c>
      <c r="B22" s="283" t="s">
        <v>4445</v>
      </c>
      <c r="C22" s="284" t="s">
        <v>4439</v>
      </c>
      <c r="D22" s="284"/>
      <c r="E22" s="284"/>
      <c r="F22" s="284"/>
      <c r="G22" s="285" t="b">
        <v>1</v>
      </c>
      <c r="H22" s="285" t="b">
        <v>1</v>
      </c>
      <c r="I22" s="284"/>
      <c r="J22" s="284"/>
    </row>
    <row r="23" spans="1:10" ht="30" hidden="1" customHeight="1">
      <c r="A23" s="282">
        <v>46217</v>
      </c>
      <c r="B23" s="283" t="s">
        <v>4446</v>
      </c>
      <c r="C23" s="284" t="s">
        <v>815</v>
      </c>
      <c r="D23" s="284"/>
      <c r="E23" s="284"/>
      <c r="F23" s="284"/>
      <c r="G23" s="285" t="b">
        <v>1</v>
      </c>
      <c r="H23" s="285" t="b">
        <v>1</v>
      </c>
      <c r="I23" s="284"/>
      <c r="J23" s="284"/>
    </row>
    <row r="24" spans="1:10" ht="30" hidden="1" customHeight="1">
      <c r="A24" s="282">
        <v>46218</v>
      </c>
      <c r="B24" s="283" t="s">
        <v>4447</v>
      </c>
      <c r="C24" s="284" t="s">
        <v>818</v>
      </c>
      <c r="D24" s="284"/>
      <c r="E24" s="284"/>
      <c r="F24" s="284"/>
      <c r="G24" s="285" t="b">
        <v>1</v>
      </c>
      <c r="H24" s="285" t="b">
        <v>1</v>
      </c>
      <c r="I24" s="284"/>
      <c r="J24" s="284"/>
    </row>
    <row r="25" spans="1:10" ht="30" hidden="1" customHeight="1">
      <c r="A25" s="282">
        <v>46219</v>
      </c>
      <c r="B25" s="283" t="s">
        <v>4448</v>
      </c>
      <c r="C25" s="284" t="s">
        <v>817</v>
      </c>
      <c r="D25" s="284"/>
      <c r="E25" s="284"/>
      <c r="F25" s="284"/>
      <c r="G25" s="285" t="b">
        <v>1</v>
      </c>
      <c r="H25" s="285" t="b">
        <v>1</v>
      </c>
      <c r="I25" s="284"/>
      <c r="J25" s="284"/>
    </row>
    <row r="26" spans="1:10" ht="30" hidden="1" customHeight="1">
      <c r="A26" s="282">
        <v>46220</v>
      </c>
      <c r="B26" s="283" t="s">
        <v>4449</v>
      </c>
      <c r="C26" s="284" t="s">
        <v>821</v>
      </c>
      <c r="D26" s="284"/>
      <c r="E26" s="284"/>
      <c r="F26" s="284"/>
      <c r="G26" s="285" t="b">
        <v>1</v>
      </c>
      <c r="H26" s="285" t="b">
        <v>1</v>
      </c>
      <c r="I26" s="284"/>
      <c r="J26" s="284"/>
    </row>
    <row r="27" spans="1:10" ht="30" customHeight="1">
      <c r="A27" s="282">
        <v>46238</v>
      </c>
      <c r="B27" s="283" t="s">
        <v>4450</v>
      </c>
      <c r="C27" s="284" t="s">
        <v>4451</v>
      </c>
      <c r="D27" s="284" t="s">
        <v>4452</v>
      </c>
      <c r="E27" s="284">
        <v>31.07</v>
      </c>
      <c r="F27" s="284">
        <v>31.07</v>
      </c>
      <c r="G27" s="285" t="b">
        <v>1</v>
      </c>
      <c r="H27" s="285" t="b">
        <v>1</v>
      </c>
      <c r="I27" s="284" t="s">
        <v>1109</v>
      </c>
      <c r="J27" s="284" t="s">
        <v>1112</v>
      </c>
    </row>
    <row r="28" spans="1:10" ht="30" customHeight="1">
      <c r="A28" s="282">
        <v>46239</v>
      </c>
      <c r="B28" s="283" t="s">
        <v>4453</v>
      </c>
      <c r="C28" s="284" t="s">
        <v>818</v>
      </c>
      <c r="D28" s="284">
        <v>4.08</v>
      </c>
      <c r="E28" s="284" t="s">
        <v>4454</v>
      </c>
      <c r="F28" s="284" t="s">
        <v>4455</v>
      </c>
      <c r="G28" s="285" t="b">
        <v>1</v>
      </c>
      <c r="H28" s="285" t="b">
        <v>1</v>
      </c>
      <c r="I28" s="284" t="s">
        <v>4456</v>
      </c>
      <c r="J28" s="284" t="s">
        <v>4457</v>
      </c>
    </row>
    <row r="29" spans="1:10" ht="30" customHeight="1">
      <c r="A29" s="282">
        <v>46240</v>
      </c>
      <c r="B29" s="283" t="s">
        <v>4458</v>
      </c>
      <c r="C29" s="284" t="s">
        <v>815</v>
      </c>
      <c r="D29" s="284" t="s">
        <v>4459</v>
      </c>
      <c r="E29" s="284" t="s">
        <v>4454</v>
      </c>
      <c r="F29" s="284">
        <v>5.08</v>
      </c>
      <c r="G29" s="285" t="b">
        <v>0</v>
      </c>
      <c r="H29" s="285" t="b">
        <v>1</v>
      </c>
      <c r="I29" s="284" t="s">
        <v>4460</v>
      </c>
      <c r="J29" s="284" t="s">
        <v>4461</v>
      </c>
    </row>
    <row r="30" spans="1:10" ht="30" customHeight="1">
      <c r="A30" s="282">
        <v>46241</v>
      </c>
      <c r="B30" s="283" t="s">
        <v>4462</v>
      </c>
      <c r="C30" s="284" t="s">
        <v>817</v>
      </c>
      <c r="D30" s="284">
        <v>6.08</v>
      </c>
      <c r="E30" s="284" t="s">
        <v>4454</v>
      </c>
      <c r="F30" s="284">
        <v>6.08</v>
      </c>
      <c r="G30" s="285" t="b">
        <v>1</v>
      </c>
      <c r="H30" s="285" t="b">
        <v>1</v>
      </c>
      <c r="I30" s="284" t="s">
        <v>4463</v>
      </c>
      <c r="J30" s="284" t="s">
        <v>4464</v>
      </c>
    </row>
    <row r="31" spans="1:10" ht="30" customHeight="1">
      <c r="A31" s="282">
        <v>46244</v>
      </c>
      <c r="B31" s="283" t="s">
        <v>4465</v>
      </c>
      <c r="C31" s="284" t="s">
        <v>821</v>
      </c>
      <c r="D31" s="284">
        <v>7.08</v>
      </c>
      <c r="E31" s="284" t="s">
        <v>4454</v>
      </c>
      <c r="F31" s="284">
        <v>7.08</v>
      </c>
      <c r="G31" s="285" t="b">
        <v>1</v>
      </c>
      <c r="H31" s="285" t="b">
        <v>1</v>
      </c>
      <c r="I31" s="284" t="s">
        <v>4466</v>
      </c>
      <c r="J31" s="284" t="s">
        <v>4467</v>
      </c>
    </row>
    <row r="32" spans="1:10" ht="30" customHeight="1">
      <c r="A32" s="282">
        <v>46245</v>
      </c>
      <c r="B32" s="283" t="s">
        <v>4468</v>
      </c>
      <c r="C32" s="284" t="s">
        <v>818</v>
      </c>
      <c r="D32" s="284">
        <v>10.08</v>
      </c>
      <c r="E32" s="284" t="s">
        <v>4454</v>
      </c>
      <c r="F32" s="284">
        <v>10.08</v>
      </c>
      <c r="G32" s="285" t="b">
        <v>1</v>
      </c>
      <c r="H32" s="285" t="b">
        <v>1</v>
      </c>
      <c r="I32" s="284" t="s">
        <v>4469</v>
      </c>
      <c r="J32" s="284" t="s">
        <v>4470</v>
      </c>
    </row>
    <row r="33" spans="1:10" ht="30" customHeight="1">
      <c r="A33" s="282">
        <v>46246</v>
      </c>
      <c r="B33" s="283" t="s">
        <v>4447</v>
      </c>
      <c r="C33" s="284" t="s">
        <v>815</v>
      </c>
      <c r="D33" s="284" t="s">
        <v>4471</v>
      </c>
      <c r="E33" s="284" t="s">
        <v>4454</v>
      </c>
      <c r="F33" s="284">
        <v>11.08</v>
      </c>
      <c r="G33" s="285" t="b">
        <v>1</v>
      </c>
      <c r="H33" s="285" t="b">
        <v>1</v>
      </c>
      <c r="I33" s="284" t="s">
        <v>4472</v>
      </c>
      <c r="J33" s="284" t="s">
        <v>4473</v>
      </c>
    </row>
    <row r="34" spans="1:10" ht="30" customHeight="1">
      <c r="A34" s="282">
        <v>46247</v>
      </c>
      <c r="B34" s="283" t="s">
        <v>4474</v>
      </c>
      <c r="C34" s="284" t="s">
        <v>817</v>
      </c>
      <c r="D34" s="284">
        <v>12.08</v>
      </c>
      <c r="E34" s="284" t="s">
        <v>4454</v>
      </c>
      <c r="F34" s="284">
        <v>12.08</v>
      </c>
      <c r="G34" s="285" t="b">
        <v>1</v>
      </c>
      <c r="H34" s="285" t="b">
        <v>1</v>
      </c>
      <c r="I34" s="284" t="s">
        <v>4475</v>
      </c>
      <c r="J34" s="284" t="s">
        <v>4476</v>
      </c>
    </row>
    <row r="35" spans="1:10" ht="30" customHeight="1">
      <c r="A35" s="282">
        <v>46248</v>
      </c>
      <c r="B35" s="283" t="s">
        <v>4477</v>
      </c>
      <c r="C35" s="284" t="s">
        <v>820</v>
      </c>
      <c r="D35" s="284">
        <v>13.08</v>
      </c>
      <c r="E35" s="284" t="s">
        <v>4454</v>
      </c>
      <c r="F35" s="284">
        <v>13.08</v>
      </c>
      <c r="G35" s="285" t="b">
        <v>1</v>
      </c>
      <c r="H35" s="285" t="b">
        <v>1</v>
      </c>
      <c r="I35" s="284" t="s">
        <v>4478</v>
      </c>
      <c r="J35" s="284" t="s">
        <v>4479</v>
      </c>
    </row>
    <row r="36" spans="1:10" ht="30" customHeight="1">
      <c r="A36" s="282">
        <v>46251</v>
      </c>
      <c r="B36" s="283" t="s">
        <v>4480</v>
      </c>
      <c r="C36" s="284" t="s">
        <v>4451</v>
      </c>
      <c r="D36" s="284">
        <v>14.08</v>
      </c>
      <c r="E36" s="284" t="s">
        <v>4454</v>
      </c>
      <c r="F36" s="284">
        <v>14.08</v>
      </c>
      <c r="G36" s="285" t="b">
        <v>1</v>
      </c>
      <c r="H36" s="285" t="b">
        <v>1</v>
      </c>
      <c r="I36" s="284" t="s">
        <v>4456</v>
      </c>
      <c r="J36" s="284" t="s">
        <v>4457</v>
      </c>
    </row>
    <row r="37" spans="1:10" ht="30" customHeight="1">
      <c r="A37" s="282">
        <v>46252</v>
      </c>
      <c r="B37" s="283" t="s">
        <v>4481</v>
      </c>
      <c r="C37" s="284" t="s">
        <v>818</v>
      </c>
      <c r="D37" s="284">
        <v>17.079999999999998</v>
      </c>
      <c r="E37" s="284" t="s">
        <v>4454</v>
      </c>
      <c r="F37" s="284">
        <v>17.079999999999998</v>
      </c>
      <c r="G37" s="285" t="b">
        <v>1</v>
      </c>
      <c r="H37" s="285" t="b">
        <v>1</v>
      </c>
      <c r="I37" s="284" t="s">
        <v>4482</v>
      </c>
      <c r="J37" s="284" t="s">
        <v>4483</v>
      </c>
    </row>
    <row r="38" spans="1:10" ht="30" customHeight="1">
      <c r="A38" s="282">
        <v>46253</v>
      </c>
      <c r="B38" s="283" t="s">
        <v>4484</v>
      </c>
      <c r="C38" s="284" t="s">
        <v>815</v>
      </c>
      <c r="D38" s="284" t="s">
        <v>4459</v>
      </c>
      <c r="E38" s="284" t="s">
        <v>4454</v>
      </c>
      <c r="F38" s="284">
        <v>18.079999999999998</v>
      </c>
      <c r="G38" s="285" t="b">
        <v>0</v>
      </c>
      <c r="H38" s="285" t="b">
        <v>1</v>
      </c>
      <c r="I38" s="284" t="s">
        <v>4485</v>
      </c>
      <c r="J38" s="284" t="s">
        <v>4486</v>
      </c>
    </row>
    <row r="39" spans="1:10" ht="30" customHeight="1">
      <c r="A39" s="282">
        <v>46254</v>
      </c>
      <c r="B39" s="283" t="s">
        <v>4487</v>
      </c>
      <c r="C39" s="284" t="s">
        <v>817</v>
      </c>
      <c r="D39" s="284">
        <v>19.079999999999998</v>
      </c>
      <c r="E39" s="284" t="s">
        <v>4454</v>
      </c>
      <c r="F39" s="284">
        <v>19.079999999999998</v>
      </c>
      <c r="G39" s="285" t="b">
        <v>1</v>
      </c>
      <c r="H39" s="285" t="b">
        <v>1</v>
      </c>
      <c r="I39" s="284" t="s">
        <v>4488</v>
      </c>
      <c r="J39" s="284" t="s">
        <v>4489</v>
      </c>
    </row>
    <row r="40" spans="1:10" ht="30" customHeight="1">
      <c r="A40" s="282">
        <v>46255</v>
      </c>
      <c r="B40" s="283" t="s">
        <v>4490</v>
      </c>
      <c r="C40" s="284" t="s">
        <v>4439</v>
      </c>
      <c r="D40" s="284">
        <v>20.079999999999998</v>
      </c>
      <c r="E40" s="284" t="s">
        <v>4454</v>
      </c>
      <c r="F40" s="284">
        <v>20.079999999999998</v>
      </c>
      <c r="G40" s="285" t="b">
        <v>1</v>
      </c>
      <c r="H40" s="285" t="b">
        <v>1</v>
      </c>
      <c r="I40" s="284" t="s">
        <v>4463</v>
      </c>
      <c r="J40" s="284" t="s">
        <v>4464</v>
      </c>
    </row>
    <row r="41" spans="1:10" ht="24" customHeight="1">
      <c r="A41" s="386" t="s">
        <v>4491</v>
      </c>
      <c r="B41" s="386"/>
      <c r="C41" s="386"/>
      <c r="D41" s="386"/>
      <c r="E41" s="386"/>
      <c r="F41" s="386"/>
      <c r="G41" s="386"/>
      <c r="H41" s="386"/>
      <c r="I41" s="386"/>
      <c r="J41" s="386"/>
    </row>
    <row r="42" spans="1:10" ht="30" customHeight="1">
      <c r="A42" s="282">
        <v>46258</v>
      </c>
      <c r="B42" s="283" t="s">
        <v>4492</v>
      </c>
      <c r="C42" s="284" t="s">
        <v>821</v>
      </c>
      <c r="D42" s="284">
        <v>21.08</v>
      </c>
      <c r="E42" s="284"/>
      <c r="F42" s="284"/>
      <c r="G42" s="285" t="b">
        <v>1</v>
      </c>
      <c r="H42" s="285" t="b">
        <v>0</v>
      </c>
      <c r="I42" s="284"/>
      <c r="J42" s="284"/>
    </row>
    <row r="43" spans="1:10" ht="30" customHeight="1">
      <c r="A43" s="282">
        <v>46259</v>
      </c>
      <c r="B43" s="283" t="s">
        <v>4493</v>
      </c>
      <c r="C43" s="284" t="s">
        <v>818</v>
      </c>
      <c r="D43" s="284" t="s">
        <v>4459</v>
      </c>
      <c r="E43" s="284" t="s">
        <v>4459</v>
      </c>
      <c r="F43" s="284" t="s">
        <v>4459</v>
      </c>
      <c r="G43" s="285" t="b">
        <v>0</v>
      </c>
      <c r="H43" s="285" t="b">
        <v>0</v>
      </c>
      <c r="I43" s="284"/>
      <c r="J43" s="284"/>
    </row>
    <row r="44" spans="1:10" ht="30" customHeight="1">
      <c r="A44" s="282">
        <v>46260</v>
      </c>
      <c r="B44" s="283" t="s">
        <v>4494</v>
      </c>
      <c r="C44" s="284" t="s">
        <v>815</v>
      </c>
      <c r="D44" s="284" t="s">
        <v>4459</v>
      </c>
      <c r="E44" s="284" t="s">
        <v>4459</v>
      </c>
      <c r="F44" s="284" t="s">
        <v>4459</v>
      </c>
      <c r="G44" s="285" t="b">
        <v>0</v>
      </c>
      <c r="H44" s="285" t="b">
        <v>0</v>
      </c>
      <c r="I44" s="284"/>
      <c r="J44" s="284"/>
    </row>
    <row r="45" spans="1:10" ht="30" customHeight="1">
      <c r="A45" s="282">
        <v>46261</v>
      </c>
      <c r="B45" s="283" t="s">
        <v>4495</v>
      </c>
      <c r="C45" s="284" t="s">
        <v>817</v>
      </c>
      <c r="D45" s="284" t="s">
        <v>4459</v>
      </c>
      <c r="E45" s="284" t="s">
        <v>4459</v>
      </c>
      <c r="F45" s="284" t="s">
        <v>4459</v>
      </c>
      <c r="G45" s="285" t="b">
        <v>0</v>
      </c>
      <c r="H45" s="285" t="b">
        <v>0</v>
      </c>
      <c r="I45" s="284"/>
      <c r="J45" s="284"/>
    </row>
    <row r="46" spans="1:10" ht="30" customHeight="1">
      <c r="A46" s="282">
        <v>46262</v>
      </c>
      <c r="B46" s="283" t="s">
        <v>4496</v>
      </c>
      <c r="C46" s="284" t="s">
        <v>820</v>
      </c>
      <c r="D46" s="284" t="s">
        <v>4459</v>
      </c>
      <c r="E46" s="284" t="s">
        <v>4459</v>
      </c>
      <c r="F46" s="284" t="s">
        <v>4459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4497</v>
      </c>
      <c r="B1" s="175"/>
      <c r="C1" s="175"/>
      <c r="D1" s="175"/>
      <c r="E1" s="175"/>
    </row>
    <row r="2" spans="1:5">
      <c r="A2" t="s">
        <v>4320</v>
      </c>
      <c r="B2" t="s">
        <v>4498</v>
      </c>
      <c r="C2" t="s">
        <v>5</v>
      </c>
      <c r="D2" t="s">
        <v>4499</v>
      </c>
      <c r="E2" t="s">
        <v>4500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4501</v>
      </c>
    </row>
    <row r="2" spans="1:7" ht="15" customHeight="1">
      <c r="A2" s="290" t="s">
        <v>1838</v>
      </c>
      <c r="B2" s="290" t="s">
        <v>4502</v>
      </c>
      <c r="C2" s="290" t="s">
        <v>4503</v>
      </c>
      <c r="D2" s="290" t="s">
        <v>4504</v>
      </c>
      <c r="E2" s="290" t="s">
        <v>4505</v>
      </c>
      <c r="F2" s="290" t="s">
        <v>4506</v>
      </c>
      <c r="G2" s="290" t="s">
        <v>4507</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4508</v>
      </c>
      <c r="B10" s="291" t="s">
        <v>4509</v>
      </c>
      <c r="C10" s="291" t="s">
        <v>4510</v>
      </c>
      <c r="D10" s="291" t="s">
        <v>4511</v>
      </c>
      <c r="E10" s="291" t="s">
        <v>4512</v>
      </c>
      <c r="F10" s="291" t="s">
        <v>4513</v>
      </c>
      <c r="G10" s="291" t="s">
        <v>4514</v>
      </c>
    </row>
    <row r="11" spans="1:7">
      <c r="A11" s="291" t="s">
        <v>4515</v>
      </c>
      <c r="B11" s="291" t="s">
        <v>4516</v>
      </c>
      <c r="C11" s="291" t="s">
        <v>4517</v>
      </c>
      <c r="D11" s="291" t="s">
        <v>4518</v>
      </c>
      <c r="E11" s="291" t="s">
        <v>4519</v>
      </c>
      <c r="F11" s="291" t="s">
        <v>4513</v>
      </c>
      <c r="G11" s="291" t="s">
        <v>4520</v>
      </c>
    </row>
    <row r="12" spans="1:7">
      <c r="A12" s="291" t="s">
        <v>4521</v>
      </c>
      <c r="B12" s="291" t="s">
        <v>4522</v>
      </c>
      <c r="C12" s="291" t="s">
        <v>4523</v>
      </c>
      <c r="D12" s="291" t="s">
        <v>4524</v>
      </c>
      <c r="E12" s="291" t="s">
        <v>4525</v>
      </c>
      <c r="F12" s="291" t="s">
        <v>4513</v>
      </c>
      <c r="G12" s="291" t="s">
        <v>4526</v>
      </c>
    </row>
    <row r="13" spans="1:7">
      <c r="A13" s="291" t="s">
        <v>4527</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4510</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4514</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4525</v>
      </c>
      <c r="F19" s="291"/>
      <c r="G19" s="291" t="s">
        <v>4549</v>
      </c>
    </row>
    <row r="20" spans="1:7">
      <c r="A20" s="291" t="s">
        <v>4565</v>
      </c>
      <c r="B20" s="291" t="s">
        <v>4566</v>
      </c>
      <c r="C20" s="291" t="s">
        <v>4510</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3960</v>
      </c>
      <c r="B22" s="291" t="s">
        <v>4576</v>
      </c>
      <c r="C22" s="291" t="s">
        <v>4577</v>
      </c>
      <c r="D22" s="291" t="s">
        <v>4578</v>
      </c>
      <c r="E22" s="291" t="s">
        <v>4579</v>
      </c>
      <c r="F22" s="291"/>
      <c r="G22" s="291" t="s">
        <v>4526</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4510</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3970</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4514</v>
      </c>
    </row>
    <row r="30" spans="1:7">
      <c r="A30" s="291" t="s">
        <v>4619</v>
      </c>
      <c r="B30" s="291" t="s">
        <v>4620</v>
      </c>
      <c r="C30" s="291" t="s">
        <v>4510</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4526</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4510</v>
      </c>
      <c r="D35" s="291" t="s">
        <v>4646</v>
      </c>
      <c r="E35" s="291" t="s">
        <v>4568</v>
      </c>
      <c r="F35" s="291" t="s">
        <v>4532</v>
      </c>
      <c r="G35" s="291" t="s">
        <v>4647</v>
      </c>
    </row>
    <row r="36" spans="1:7">
      <c r="A36" s="291" t="s">
        <v>3981</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3985</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4520</v>
      </c>
    </row>
    <row r="40" spans="1:7">
      <c r="A40" s="291" t="s">
        <v>3989</v>
      </c>
      <c r="B40" s="291" t="s">
        <v>4664</v>
      </c>
      <c r="C40" s="291" t="s">
        <v>4510</v>
      </c>
      <c r="D40" s="291" t="s">
        <v>4665</v>
      </c>
      <c r="E40" s="291" t="s">
        <v>4568</v>
      </c>
      <c r="F40" s="291" t="s">
        <v>4659</v>
      </c>
      <c r="G40" s="291" t="s">
        <v>4666</v>
      </c>
    </row>
    <row r="41" spans="1:7">
      <c r="A41" s="291" t="s">
        <v>3994</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4526</v>
      </c>
    </row>
    <row r="43" spans="1:7">
      <c r="A43" s="291" t="s">
        <v>3996</v>
      </c>
      <c r="B43" s="291" t="s">
        <v>4675</v>
      </c>
      <c r="C43" s="291" t="s">
        <v>4676</v>
      </c>
      <c r="D43" s="291" t="s">
        <v>4677</v>
      </c>
      <c r="E43" s="291" t="s">
        <v>4531</v>
      </c>
      <c r="F43" s="291" t="s">
        <v>4678</v>
      </c>
      <c r="G43" s="291" t="s">
        <v>2073</v>
      </c>
    </row>
    <row r="44" spans="1:7">
      <c r="A44" s="291" t="s">
        <v>3998</v>
      </c>
      <c r="B44" s="291" t="s">
        <v>4679</v>
      </c>
      <c r="C44" s="291" t="s">
        <v>4680</v>
      </c>
      <c r="D44" s="291" t="s">
        <v>4681</v>
      </c>
      <c r="E44" s="291" t="s">
        <v>4525</v>
      </c>
      <c r="F44" s="291" t="s">
        <v>4678</v>
      </c>
      <c r="G44" s="291" t="s">
        <v>4682</v>
      </c>
    </row>
    <row r="45" spans="1:7">
      <c r="A45" s="291" t="s">
        <v>4683</v>
      </c>
      <c r="B45" s="291" t="s">
        <v>4684</v>
      </c>
      <c r="C45" s="291" t="s">
        <v>4510</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4514</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4510</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4004</v>
      </c>
      <c r="B52" s="291" t="s">
        <v>4713</v>
      </c>
      <c r="C52" s="291" t="s">
        <v>4714</v>
      </c>
      <c r="D52" s="291" t="s">
        <v>4715</v>
      </c>
      <c r="E52" s="291" t="s">
        <v>4716</v>
      </c>
      <c r="F52" s="291" t="s">
        <v>4613</v>
      </c>
      <c r="G52" s="291" t="s">
        <v>4526</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4514</v>
      </c>
    </row>
    <row r="58" spans="1:7">
      <c r="A58" s="291" t="s">
        <v>4738</v>
      </c>
      <c r="B58" s="291" t="s">
        <v>4739</v>
      </c>
      <c r="C58" s="291" t="s">
        <v>4740</v>
      </c>
      <c r="D58" s="291" t="s">
        <v>4741</v>
      </c>
      <c r="E58" s="291" t="s">
        <v>4742</v>
      </c>
      <c r="F58" s="291" t="s">
        <v>4560</v>
      </c>
      <c r="G58" s="291" t="s">
        <v>2073</v>
      </c>
    </row>
    <row r="59" spans="1:7">
      <c r="A59" s="291" t="s">
        <v>4010</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4014</v>
      </c>
      <c r="B62" s="291" t="s">
        <v>4755</v>
      </c>
      <c r="C62" s="291" t="s">
        <v>4756</v>
      </c>
      <c r="D62" s="291" t="s">
        <v>4757</v>
      </c>
      <c r="E62" s="291" t="s">
        <v>4584</v>
      </c>
      <c r="F62" s="291" t="s">
        <v>4560</v>
      </c>
      <c r="G62" s="291" t="s">
        <v>4526</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4517</v>
      </c>
      <c r="D66" s="291" t="s">
        <v>4772</v>
      </c>
      <c r="E66" s="291" t="s">
        <v>4554</v>
      </c>
      <c r="F66" s="291" t="s">
        <v>4678</v>
      </c>
      <c r="G66" s="291" t="s">
        <v>4575</v>
      </c>
    </row>
    <row r="67" spans="1:7">
      <c r="A67" s="291" t="s">
        <v>4024</v>
      </c>
      <c r="B67" s="291" t="s">
        <v>4773</v>
      </c>
      <c r="C67" s="291" t="s">
        <v>4774</v>
      </c>
      <c r="D67" s="291" t="s">
        <v>4775</v>
      </c>
      <c r="E67" s="291" t="s">
        <v>4568</v>
      </c>
      <c r="F67" s="291" t="s">
        <v>4678</v>
      </c>
      <c r="G67" s="291" t="s">
        <v>4514</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4525</v>
      </c>
      <c r="F69" s="291" t="s">
        <v>4613</v>
      </c>
      <c r="G69" s="291" t="s">
        <v>4784</v>
      </c>
    </row>
    <row r="70" spans="1:7">
      <c r="A70" s="291" t="s">
        <v>4026</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4526</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4510</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4510</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4514</v>
      </c>
    </row>
    <row r="82" spans="1:7">
      <c r="A82" s="291" t="s">
        <v>4832</v>
      </c>
      <c r="B82" s="291" t="s">
        <v>4833</v>
      </c>
      <c r="C82" s="291" t="s">
        <v>4834</v>
      </c>
      <c r="D82" s="291" t="s">
        <v>4835</v>
      </c>
      <c r="E82" s="291" t="s">
        <v>4737</v>
      </c>
      <c r="F82" s="291" t="s">
        <v>4818</v>
      </c>
      <c r="G82" s="291" t="s">
        <v>4526</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4510</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4520</v>
      </c>
    </row>
    <row r="87" spans="1:7">
      <c r="A87" s="291" t="s">
        <v>4851</v>
      </c>
      <c r="B87" s="291" t="s">
        <v>4852</v>
      </c>
      <c r="C87" s="291" t="s">
        <v>4853</v>
      </c>
      <c r="D87" s="291" t="s">
        <v>4854</v>
      </c>
      <c r="E87" s="291" t="s">
        <v>4542</v>
      </c>
      <c r="F87" s="291" t="s">
        <v>4678</v>
      </c>
      <c r="G87" s="291" t="s">
        <v>4514</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4510</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4056</v>
      </c>
      <c r="B92" s="291" t="s">
        <v>4872</v>
      </c>
      <c r="C92" s="291" t="s">
        <v>4873</v>
      </c>
      <c r="D92" s="291" t="s">
        <v>4874</v>
      </c>
      <c r="E92" s="291" t="s">
        <v>4584</v>
      </c>
      <c r="F92" s="291" t="s">
        <v>4613</v>
      </c>
      <c r="G92" s="291" t="s">
        <v>4526</v>
      </c>
    </row>
    <row r="93" spans="1:7">
      <c r="A93" s="291" t="s">
        <v>4875</v>
      </c>
      <c r="B93" s="291" t="s">
        <v>4876</v>
      </c>
      <c r="C93" s="291" t="s">
        <v>4877</v>
      </c>
      <c r="D93" s="291"/>
      <c r="E93" s="291" t="s">
        <v>4537</v>
      </c>
      <c r="F93" s="291" t="s">
        <v>4613</v>
      </c>
      <c r="G93" s="291" t="s">
        <v>2073</v>
      </c>
    </row>
    <row r="94" spans="1:7">
      <c r="A94" s="291" t="s">
        <v>4878</v>
      </c>
      <c r="B94" s="291" t="s">
        <v>4879</v>
      </c>
      <c r="C94" s="291" t="s">
        <v>4510</v>
      </c>
      <c r="D94" s="291"/>
      <c r="E94" s="291" t="s">
        <v>4531</v>
      </c>
      <c r="F94" s="291" t="s">
        <v>4613</v>
      </c>
      <c r="G94" s="291" t="s">
        <v>4514</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1838</v>
      </c>
      <c r="B1" t="s">
        <v>2752</v>
      </c>
      <c r="C1" t="s">
        <v>2240</v>
      </c>
      <c r="D1" t="s">
        <v>2241</v>
      </c>
      <c r="E1" t="s">
        <v>2242</v>
      </c>
      <c r="F1" t="s">
        <v>1455</v>
      </c>
      <c r="G1" t="s">
        <v>4322</v>
      </c>
      <c r="H1" t="s">
        <v>2244</v>
      </c>
      <c r="I1" t="s">
        <v>4323</v>
      </c>
    </row>
    <row r="2" spans="1:9">
      <c r="A2" s="92" t="s">
        <v>4334</v>
      </c>
      <c r="B2" t="s">
        <v>3567</v>
      </c>
      <c r="C2" t="s">
        <v>2362</v>
      </c>
      <c r="D2" t="s">
        <v>2363</v>
      </c>
      <c r="E2" t="s">
        <v>2364</v>
      </c>
      <c r="G2" t="s">
        <v>4881</v>
      </c>
      <c r="H2" t="s">
        <v>2715</v>
      </c>
      <c r="I2" t="s">
        <v>3795</v>
      </c>
    </row>
    <row r="3" spans="1:9">
      <c r="A3" s="92" t="s">
        <v>4338</v>
      </c>
      <c r="B3" t="s">
        <v>1894</v>
      </c>
      <c r="C3" t="s">
        <v>2355</v>
      </c>
      <c r="D3" t="s">
        <v>2356</v>
      </c>
      <c r="E3" t="s">
        <v>1565</v>
      </c>
      <c r="F3" t="s">
        <v>2358</v>
      </c>
      <c r="G3" t="s">
        <v>4882</v>
      </c>
      <c r="H3" t="s">
        <v>108</v>
      </c>
      <c r="I3" t="s">
        <v>3787</v>
      </c>
    </row>
    <row r="4" spans="1:9">
      <c r="A4" s="92" t="s">
        <v>4338</v>
      </c>
      <c r="B4" t="s">
        <v>1894</v>
      </c>
      <c r="C4" t="s">
        <v>2516</v>
      </c>
      <c r="D4" t="s">
        <v>2291</v>
      </c>
      <c r="E4" t="s">
        <v>1215</v>
      </c>
      <c r="G4" t="s">
        <v>4883</v>
      </c>
      <c r="H4" t="s">
        <v>1215</v>
      </c>
      <c r="I4" t="s">
        <v>3787</v>
      </c>
    </row>
    <row r="5" spans="1:9">
      <c r="A5" s="92" t="s">
        <v>4338</v>
      </c>
      <c r="B5" t="s">
        <v>1894</v>
      </c>
      <c r="C5" t="s">
        <v>2398</v>
      </c>
      <c r="E5" t="s">
        <v>2399</v>
      </c>
      <c r="G5" t="s">
        <v>4881</v>
      </c>
      <c r="H5" t="s">
        <v>2399</v>
      </c>
      <c r="I5" t="s">
        <v>3787</v>
      </c>
    </row>
    <row r="6" spans="1:9">
      <c r="A6" s="92" t="s">
        <v>4338</v>
      </c>
      <c r="B6" t="s">
        <v>1894</v>
      </c>
      <c r="C6" t="s">
        <v>2400</v>
      </c>
      <c r="D6" t="s">
        <v>2284</v>
      </c>
      <c r="E6" t="s">
        <v>108</v>
      </c>
      <c r="G6" t="s">
        <v>4882</v>
      </c>
      <c r="H6" t="s">
        <v>108</v>
      </c>
      <c r="I6" t="s">
        <v>3787</v>
      </c>
    </row>
    <row r="7" spans="1:9">
      <c r="A7" s="92" t="s">
        <v>4338</v>
      </c>
      <c r="B7" t="s">
        <v>1894</v>
      </c>
      <c r="C7" t="s">
        <v>2401</v>
      </c>
      <c r="D7" t="s">
        <v>2402</v>
      </c>
      <c r="E7" t="s">
        <v>2403</v>
      </c>
      <c r="F7" t="s">
        <v>2404</v>
      </c>
      <c r="G7" t="s">
        <v>4882</v>
      </c>
      <c r="H7" t="s">
        <v>2403</v>
      </c>
      <c r="I7" t="s">
        <v>3787</v>
      </c>
    </row>
    <row r="8" spans="1:9">
      <c r="A8" s="92" t="s">
        <v>4338</v>
      </c>
      <c r="B8" t="s">
        <v>1894</v>
      </c>
      <c r="C8" t="s">
        <v>2405</v>
      </c>
      <c r="E8" t="s">
        <v>108</v>
      </c>
      <c r="G8" t="s">
        <v>4882</v>
      </c>
      <c r="H8" t="s">
        <v>108</v>
      </c>
      <c r="I8" t="s">
        <v>3787</v>
      </c>
    </row>
    <row r="9" spans="1:9">
      <c r="A9" s="92" t="s">
        <v>4338</v>
      </c>
      <c r="B9" t="s">
        <v>1895</v>
      </c>
      <c r="C9" t="s">
        <v>2407</v>
      </c>
      <c r="D9" t="s">
        <v>2296</v>
      </c>
      <c r="E9" t="s">
        <v>108</v>
      </c>
      <c r="G9" t="s">
        <v>4882</v>
      </c>
      <c r="H9" t="s">
        <v>108</v>
      </c>
      <c r="I9" t="s">
        <v>3791</v>
      </c>
    </row>
    <row r="10" spans="1:9">
      <c r="A10" s="92" t="s">
        <v>4338</v>
      </c>
      <c r="B10" t="s">
        <v>1895</v>
      </c>
      <c r="C10" t="s">
        <v>2409</v>
      </c>
      <c r="D10" t="s">
        <v>2410</v>
      </c>
      <c r="E10" t="s">
        <v>108</v>
      </c>
      <c r="F10" t="s">
        <v>2411</v>
      </c>
      <c r="G10" t="s">
        <v>4882</v>
      </c>
      <c r="H10" t="s">
        <v>108</v>
      </c>
      <c r="I10" t="s">
        <v>3791</v>
      </c>
    </row>
    <row r="11" spans="1:9">
      <c r="A11" s="92" t="s">
        <v>4338</v>
      </c>
      <c r="B11" t="s">
        <v>1895</v>
      </c>
      <c r="C11" t="s">
        <v>2412</v>
      </c>
      <c r="D11" t="s">
        <v>2410</v>
      </c>
      <c r="E11" t="s">
        <v>108</v>
      </c>
      <c r="G11" t="s">
        <v>4882</v>
      </c>
      <c r="H11" t="s">
        <v>108</v>
      </c>
      <c r="I11" t="s">
        <v>3791</v>
      </c>
    </row>
    <row r="12" spans="1:9">
      <c r="A12" s="92" t="s">
        <v>4338</v>
      </c>
      <c r="B12" t="s">
        <v>1895</v>
      </c>
      <c r="C12" t="s">
        <v>2290</v>
      </c>
      <c r="D12" t="s">
        <v>2291</v>
      </c>
      <c r="E12" t="s">
        <v>2292</v>
      </c>
      <c r="G12" t="s">
        <v>4882</v>
      </c>
      <c r="H12" t="s">
        <v>2446</v>
      </c>
      <c r="I12" t="s">
        <v>3791</v>
      </c>
    </row>
    <row r="13" spans="1:9">
      <c r="A13" s="92" t="s">
        <v>4338</v>
      </c>
      <c r="B13" t="s">
        <v>1895</v>
      </c>
      <c r="C13" t="s">
        <v>2414</v>
      </c>
      <c r="D13" t="s">
        <v>2415</v>
      </c>
      <c r="E13" t="s">
        <v>108</v>
      </c>
      <c r="F13" t="s">
        <v>2416</v>
      </c>
      <c r="G13" t="s">
        <v>4882</v>
      </c>
      <c r="H13" t="s">
        <v>108</v>
      </c>
      <c r="I13" t="s">
        <v>3791</v>
      </c>
    </row>
    <row r="14" spans="1:9">
      <c r="A14" s="92" t="s">
        <v>4338</v>
      </c>
      <c r="B14" t="s">
        <v>3567</v>
      </c>
      <c r="C14" t="s">
        <v>2418</v>
      </c>
      <c r="D14" t="s">
        <v>2363</v>
      </c>
      <c r="E14" t="s">
        <v>108</v>
      </c>
      <c r="G14" t="s">
        <v>4882</v>
      </c>
      <c r="H14" t="s">
        <v>108</v>
      </c>
      <c r="I14" t="s">
        <v>3795</v>
      </c>
    </row>
    <row r="15" spans="1:9">
      <c r="A15" s="92" t="s">
        <v>4338</v>
      </c>
      <c r="B15" t="s">
        <v>3567</v>
      </c>
      <c r="C15" t="s">
        <v>2362</v>
      </c>
      <c r="D15" t="s">
        <v>2363</v>
      </c>
      <c r="E15" t="s">
        <v>2364</v>
      </c>
      <c r="G15" t="s">
        <v>4882</v>
      </c>
      <c r="H15" t="s">
        <v>108</v>
      </c>
      <c r="I15" t="s">
        <v>3795</v>
      </c>
    </row>
    <row r="16" spans="1:9">
      <c r="A16" s="92" t="s">
        <v>4338</v>
      </c>
      <c r="B16" t="s">
        <v>3567</v>
      </c>
      <c r="C16" t="s">
        <v>2420</v>
      </c>
      <c r="D16" t="s">
        <v>2363</v>
      </c>
      <c r="E16" t="s">
        <v>2421</v>
      </c>
      <c r="F16" t="s">
        <v>2422</v>
      </c>
      <c r="G16" t="s">
        <v>4882</v>
      </c>
      <c r="H16" t="s">
        <v>108</v>
      </c>
      <c r="I16" t="s">
        <v>3795</v>
      </c>
    </row>
    <row r="17" spans="1:9">
      <c r="A17" s="92" t="s">
        <v>4338</v>
      </c>
      <c r="B17" t="s">
        <v>3567</v>
      </c>
      <c r="C17" t="s">
        <v>2423</v>
      </c>
      <c r="D17" t="s">
        <v>2363</v>
      </c>
      <c r="E17" t="s">
        <v>108</v>
      </c>
      <c r="G17" t="s">
        <v>4882</v>
      </c>
      <c r="H17" t="s">
        <v>108</v>
      </c>
      <c r="I17" t="s">
        <v>3795</v>
      </c>
    </row>
    <row r="18" spans="1:9">
      <c r="A18" s="92" t="s">
        <v>4338</v>
      </c>
      <c r="B18" t="s">
        <v>1901</v>
      </c>
      <c r="C18" t="s">
        <v>2425</v>
      </c>
      <c r="D18" t="s">
        <v>2426</v>
      </c>
      <c r="E18" t="s">
        <v>2427</v>
      </c>
      <c r="G18" t="s">
        <v>4882</v>
      </c>
      <c r="H18" t="s">
        <v>108</v>
      </c>
      <c r="I18" t="s">
        <v>3799</v>
      </c>
    </row>
    <row r="19" spans="1:9">
      <c r="A19" s="92" t="s">
        <v>4338</v>
      </c>
      <c r="B19" t="s">
        <v>1901</v>
      </c>
      <c r="C19" t="s">
        <v>2428</v>
      </c>
      <c r="D19" t="s">
        <v>2426</v>
      </c>
      <c r="E19" t="s">
        <v>2429</v>
      </c>
      <c r="G19" t="s">
        <v>4882</v>
      </c>
      <c r="H19" t="s">
        <v>108</v>
      </c>
      <c r="I19" t="s">
        <v>3799</v>
      </c>
    </row>
    <row r="20" spans="1:9">
      <c r="A20" s="92" t="s">
        <v>4338</v>
      </c>
      <c r="B20" t="s">
        <v>1901</v>
      </c>
      <c r="C20" t="s">
        <v>2430</v>
      </c>
      <c r="D20" t="s">
        <v>2431</v>
      </c>
      <c r="E20" t="s">
        <v>108</v>
      </c>
      <c r="F20" t="s">
        <v>2432</v>
      </c>
      <c r="G20" t="s">
        <v>4882</v>
      </c>
      <c r="H20" t="s">
        <v>108</v>
      </c>
      <c r="I20" t="s">
        <v>3799</v>
      </c>
    </row>
    <row r="21" spans="1:9">
      <c r="A21" s="92" t="s">
        <v>4338</v>
      </c>
      <c r="B21" t="s">
        <v>1901</v>
      </c>
      <c r="C21" t="s">
        <v>2433</v>
      </c>
      <c r="D21" t="s">
        <v>2431</v>
      </c>
      <c r="E21" t="s">
        <v>108</v>
      </c>
      <c r="G21" t="s">
        <v>4882</v>
      </c>
      <c r="H21" t="s">
        <v>108</v>
      </c>
      <c r="I21" t="s">
        <v>3799</v>
      </c>
    </row>
    <row r="22" spans="1:9">
      <c r="A22" s="92" t="s">
        <v>4338</v>
      </c>
      <c r="B22" t="s">
        <v>1903</v>
      </c>
      <c r="C22" t="s">
        <v>2435</v>
      </c>
      <c r="D22" t="s">
        <v>2436</v>
      </c>
      <c r="E22" t="s">
        <v>108</v>
      </c>
      <c r="F22" t="s">
        <v>2437</v>
      </c>
      <c r="G22" t="s">
        <v>4882</v>
      </c>
      <c r="H22" t="s">
        <v>108</v>
      </c>
      <c r="I22" t="s">
        <v>3803</v>
      </c>
    </row>
    <row r="23" spans="1:9">
      <c r="A23" s="92" t="s">
        <v>4338</v>
      </c>
      <c r="B23" t="s">
        <v>1903</v>
      </c>
      <c r="C23" t="s">
        <v>2295</v>
      </c>
      <c r="D23" t="s">
        <v>2296</v>
      </c>
      <c r="E23" t="s">
        <v>2297</v>
      </c>
      <c r="G23" t="s">
        <v>4882</v>
      </c>
      <c r="H23" t="s">
        <v>2446</v>
      </c>
      <c r="I23" t="s">
        <v>3803</v>
      </c>
    </row>
    <row r="24" spans="1:9">
      <c r="A24" s="92" t="s">
        <v>4338</v>
      </c>
      <c r="B24" t="s">
        <v>1903</v>
      </c>
      <c r="C24" t="s">
        <v>2298</v>
      </c>
      <c r="D24" t="s">
        <v>2296</v>
      </c>
      <c r="E24" t="s">
        <v>2292</v>
      </c>
      <c r="G24" t="s">
        <v>4882</v>
      </c>
      <c r="H24" t="s">
        <v>2446</v>
      </c>
      <c r="I24" t="s">
        <v>3803</v>
      </c>
    </row>
    <row r="25" spans="1:9">
      <c r="A25" s="92" t="s">
        <v>4338</v>
      </c>
      <c r="B25" t="s">
        <v>1903</v>
      </c>
      <c r="C25" t="s">
        <v>2299</v>
      </c>
      <c r="D25" t="s">
        <v>2296</v>
      </c>
      <c r="E25" t="s">
        <v>2292</v>
      </c>
      <c r="G25" t="s">
        <v>4882</v>
      </c>
      <c r="H25" t="s">
        <v>2446</v>
      </c>
      <c r="I25" t="s">
        <v>3803</v>
      </c>
    </row>
    <row r="26" spans="1:9">
      <c r="A26" s="92" t="s">
        <v>4338</v>
      </c>
      <c r="B26" t="s">
        <v>1903</v>
      </c>
      <c r="C26" t="s">
        <v>2300</v>
      </c>
      <c r="D26" t="s">
        <v>2301</v>
      </c>
      <c r="E26" t="s">
        <v>2292</v>
      </c>
      <c r="G26" t="s">
        <v>4882</v>
      </c>
      <c r="H26" t="s">
        <v>2446</v>
      </c>
      <c r="I26" t="s">
        <v>3803</v>
      </c>
    </row>
    <row r="27" spans="1:9">
      <c r="A27" s="92" t="s">
        <v>4338</v>
      </c>
      <c r="B27" t="s">
        <v>1903</v>
      </c>
      <c r="C27" t="s">
        <v>2302</v>
      </c>
      <c r="E27" t="s">
        <v>2292</v>
      </c>
      <c r="G27" t="s">
        <v>4882</v>
      </c>
      <c r="H27" t="s">
        <v>2446</v>
      </c>
      <c r="I27" t="s">
        <v>3803</v>
      </c>
    </row>
    <row r="28" spans="1:9">
      <c r="A28" s="92" t="s">
        <v>4338</v>
      </c>
      <c r="B28" t="s">
        <v>1903</v>
      </c>
      <c r="C28" t="s">
        <v>2303</v>
      </c>
      <c r="E28" t="s">
        <v>2292</v>
      </c>
      <c r="G28" t="s">
        <v>4882</v>
      </c>
      <c r="H28" t="s">
        <v>2446</v>
      </c>
      <c r="I28" t="s">
        <v>3803</v>
      </c>
    </row>
    <row r="29" spans="1:9">
      <c r="A29" s="92" t="s">
        <v>4338</v>
      </c>
      <c r="B29" t="s">
        <v>1903</v>
      </c>
      <c r="C29" t="s">
        <v>2304</v>
      </c>
      <c r="E29" t="s">
        <v>2292</v>
      </c>
      <c r="G29" t="s">
        <v>4882</v>
      </c>
      <c r="H29" t="s">
        <v>2446</v>
      </c>
      <c r="I29" t="s">
        <v>3803</v>
      </c>
    </row>
    <row r="30" spans="1:9">
      <c r="A30" s="92" t="s">
        <v>4338</v>
      </c>
      <c r="B30" t="s">
        <v>1905</v>
      </c>
      <c r="C30" t="s">
        <v>2439</v>
      </c>
      <c r="D30" t="s">
        <v>2440</v>
      </c>
      <c r="E30" t="s">
        <v>108</v>
      </c>
      <c r="G30" t="s">
        <v>4882</v>
      </c>
      <c r="H30" t="s">
        <v>108</v>
      </c>
      <c r="I30" t="s">
        <v>3805</v>
      </c>
    </row>
    <row r="31" spans="1:9">
      <c r="A31" s="92" t="s">
        <v>4338</v>
      </c>
      <c r="B31" t="s">
        <v>1905</v>
      </c>
      <c r="C31" t="s">
        <v>2441</v>
      </c>
      <c r="D31" t="s">
        <v>2442</v>
      </c>
      <c r="E31" t="s">
        <v>2427</v>
      </c>
      <c r="G31" t="s">
        <v>4882</v>
      </c>
      <c r="H31" t="s">
        <v>108</v>
      </c>
      <c r="I31" t="s">
        <v>3805</v>
      </c>
    </row>
    <row r="32" spans="1:9">
      <c r="A32" s="92" t="s">
        <v>4338</v>
      </c>
      <c r="B32" t="s">
        <v>1905</v>
      </c>
      <c r="C32" t="s">
        <v>2443</v>
      </c>
      <c r="D32" t="s">
        <v>2440</v>
      </c>
      <c r="E32" t="s">
        <v>2444</v>
      </c>
      <c r="F32" t="s">
        <v>2445</v>
      </c>
      <c r="G32" t="s">
        <v>4882</v>
      </c>
      <c r="H32" t="s">
        <v>108</v>
      </c>
      <c r="I32" t="s">
        <v>3805</v>
      </c>
    </row>
    <row r="33" spans="1:9">
      <c r="A33" s="92" t="s">
        <v>4338</v>
      </c>
      <c r="B33" t="s">
        <v>1905</v>
      </c>
      <c r="C33" t="s">
        <v>2306</v>
      </c>
      <c r="D33" t="s">
        <v>2291</v>
      </c>
      <c r="E33" t="s">
        <v>2307</v>
      </c>
      <c r="G33" t="s">
        <v>4882</v>
      </c>
      <c r="H33" t="s">
        <v>108</v>
      </c>
      <c r="I33" t="s">
        <v>3805</v>
      </c>
    </row>
    <row r="34" spans="1:9">
      <c r="A34" s="92" t="s">
        <v>4338</v>
      </c>
      <c r="B34" t="s">
        <v>1905</v>
      </c>
      <c r="C34" t="s">
        <v>2313</v>
      </c>
      <c r="D34" t="s">
        <v>2291</v>
      </c>
      <c r="E34" t="s">
        <v>2292</v>
      </c>
      <c r="G34" t="s">
        <v>4882</v>
      </c>
      <c r="H34" t="s">
        <v>2446</v>
      </c>
      <c r="I34" t="s">
        <v>3805</v>
      </c>
    </row>
    <row r="35" spans="1:9">
      <c r="A35" s="92" t="s">
        <v>4338</v>
      </c>
      <c r="B35" t="s">
        <v>1905</v>
      </c>
      <c r="C35" t="s">
        <v>2314</v>
      </c>
      <c r="D35" t="s">
        <v>2291</v>
      </c>
      <c r="E35" t="s">
        <v>2292</v>
      </c>
      <c r="G35" t="s">
        <v>4882</v>
      </c>
      <c r="H35" t="s">
        <v>2446</v>
      </c>
      <c r="I35" t="s">
        <v>3805</v>
      </c>
    </row>
    <row r="36" spans="1:9">
      <c r="A36" s="92" t="s">
        <v>4338</v>
      </c>
      <c r="B36" t="s">
        <v>1905</v>
      </c>
      <c r="C36" t="s">
        <v>2447</v>
      </c>
      <c r="D36" t="s">
        <v>2440</v>
      </c>
      <c r="E36" t="s">
        <v>2403</v>
      </c>
      <c r="G36" t="s">
        <v>4882</v>
      </c>
      <c r="H36" t="s">
        <v>2403</v>
      </c>
      <c r="I36" t="s">
        <v>3805</v>
      </c>
    </row>
    <row r="37" spans="1:9">
      <c r="A37" s="92" t="s">
        <v>4338</v>
      </c>
      <c r="B37" t="s">
        <v>1905</v>
      </c>
      <c r="C37" t="s">
        <v>2448</v>
      </c>
      <c r="D37" t="s">
        <v>2449</v>
      </c>
      <c r="E37" t="s">
        <v>108</v>
      </c>
      <c r="G37" t="s">
        <v>4882</v>
      </c>
      <c r="H37" t="s">
        <v>108</v>
      </c>
      <c r="I37" t="s">
        <v>3805</v>
      </c>
    </row>
    <row r="38" spans="1:9">
      <c r="A38" s="92" t="s">
        <v>4338</v>
      </c>
      <c r="B38" t="s">
        <v>1908</v>
      </c>
      <c r="C38" t="s">
        <v>2451</v>
      </c>
      <c r="E38" t="s">
        <v>2403</v>
      </c>
      <c r="G38" t="s">
        <v>4882</v>
      </c>
      <c r="H38" t="s">
        <v>2403</v>
      </c>
      <c r="I38" t="s">
        <v>3807</v>
      </c>
    </row>
    <row r="39" spans="1:9">
      <c r="A39" s="92" t="s">
        <v>4338</v>
      </c>
      <c r="B39" t="s">
        <v>1908</v>
      </c>
      <c r="C39" t="s">
        <v>2375</v>
      </c>
      <c r="E39" t="s">
        <v>2376</v>
      </c>
      <c r="G39" t="s">
        <v>4882</v>
      </c>
      <c r="H39" t="s">
        <v>2403</v>
      </c>
      <c r="I39" t="s">
        <v>3807</v>
      </c>
    </row>
    <row r="40" spans="1:9">
      <c r="A40" s="92" t="s">
        <v>4338</v>
      </c>
      <c r="B40" t="s">
        <v>1908</v>
      </c>
      <c r="C40" t="s">
        <v>2452</v>
      </c>
      <c r="D40" t="s">
        <v>2440</v>
      </c>
      <c r="E40" t="s">
        <v>108</v>
      </c>
      <c r="G40" t="s">
        <v>4882</v>
      </c>
      <c r="H40" t="s">
        <v>108</v>
      </c>
      <c r="I40" t="s">
        <v>3807</v>
      </c>
    </row>
    <row r="41" spans="1:9">
      <c r="A41" s="92" t="s">
        <v>4338</v>
      </c>
      <c r="B41" t="s">
        <v>1908</v>
      </c>
      <c r="C41" t="s">
        <v>2453</v>
      </c>
      <c r="D41" t="s">
        <v>2440</v>
      </c>
      <c r="E41" t="s">
        <v>108</v>
      </c>
      <c r="G41" t="s">
        <v>4882</v>
      </c>
      <c r="H41" t="s">
        <v>108</v>
      </c>
      <c r="I41" t="s">
        <v>3807</v>
      </c>
    </row>
    <row r="42" spans="1:9">
      <c r="A42" s="92" t="s">
        <v>4338</v>
      </c>
      <c r="B42" t="s">
        <v>1908</v>
      </c>
      <c r="C42" t="s">
        <v>2454</v>
      </c>
      <c r="D42" t="s">
        <v>2301</v>
      </c>
      <c r="E42" t="s">
        <v>108</v>
      </c>
      <c r="G42" t="s">
        <v>4882</v>
      </c>
      <c r="H42" t="s">
        <v>108</v>
      </c>
      <c r="I42" t="s">
        <v>3807</v>
      </c>
    </row>
    <row r="43" spans="1:9">
      <c r="A43" s="92" t="s">
        <v>4338</v>
      </c>
      <c r="B43" t="s">
        <v>1908</v>
      </c>
      <c r="C43" t="s">
        <v>2455</v>
      </c>
      <c r="D43" t="s">
        <v>2456</v>
      </c>
      <c r="E43" t="s">
        <v>2403</v>
      </c>
      <c r="G43" t="s">
        <v>4882</v>
      </c>
      <c r="H43" t="s">
        <v>2403</v>
      </c>
      <c r="I43" t="s">
        <v>3807</v>
      </c>
    </row>
    <row r="44" spans="1:9">
      <c r="A44" s="92" t="s">
        <v>4338</v>
      </c>
      <c r="B44" t="s">
        <v>1908</v>
      </c>
      <c r="C44" t="s">
        <v>2457</v>
      </c>
      <c r="D44" t="s">
        <v>2456</v>
      </c>
      <c r="E44" t="s">
        <v>2403</v>
      </c>
      <c r="G44" t="s">
        <v>4882</v>
      </c>
      <c r="H44" t="s">
        <v>2403</v>
      </c>
      <c r="I44" t="s">
        <v>3807</v>
      </c>
    </row>
    <row r="45" spans="1:9">
      <c r="A45" s="92" t="s">
        <v>4338</v>
      </c>
      <c r="B45" t="s">
        <v>1908</v>
      </c>
      <c r="C45" t="s">
        <v>2316</v>
      </c>
      <c r="D45" t="s">
        <v>2291</v>
      </c>
      <c r="E45" t="s">
        <v>2292</v>
      </c>
      <c r="G45" t="s">
        <v>4882</v>
      </c>
      <c r="H45" t="s">
        <v>2446</v>
      </c>
      <c r="I45" t="s">
        <v>3807</v>
      </c>
    </row>
    <row r="46" spans="1:9">
      <c r="A46" s="92" t="s">
        <v>4338</v>
      </c>
      <c r="B46" t="s">
        <v>1908</v>
      </c>
      <c r="C46" t="s">
        <v>2458</v>
      </c>
      <c r="D46" t="s">
        <v>2456</v>
      </c>
      <c r="E46" t="s">
        <v>108</v>
      </c>
      <c r="F46" t="s">
        <v>2459</v>
      </c>
      <c r="G46" t="s">
        <v>4882</v>
      </c>
      <c r="H46" t="s">
        <v>108</v>
      </c>
      <c r="I46" t="s">
        <v>3807</v>
      </c>
    </row>
    <row r="47" spans="1:9">
      <c r="A47" s="92" t="s">
        <v>4338</v>
      </c>
      <c r="B47" t="s">
        <v>1909</v>
      </c>
      <c r="C47" t="s">
        <v>2461</v>
      </c>
      <c r="D47" t="s">
        <v>2462</v>
      </c>
      <c r="E47" t="s">
        <v>108</v>
      </c>
      <c r="G47" t="s">
        <v>4882</v>
      </c>
      <c r="H47" t="s">
        <v>108</v>
      </c>
      <c r="I47" t="s">
        <v>3811</v>
      </c>
    </row>
    <row r="48" spans="1:9">
      <c r="A48" s="92" t="s">
        <v>4338</v>
      </c>
      <c r="B48" t="s">
        <v>1909</v>
      </c>
      <c r="C48" t="s">
        <v>2463</v>
      </c>
      <c r="D48" t="s">
        <v>2464</v>
      </c>
      <c r="E48" t="s">
        <v>108</v>
      </c>
      <c r="G48" t="s">
        <v>4882</v>
      </c>
      <c r="H48" t="s">
        <v>108</v>
      </c>
      <c r="I48" t="s">
        <v>3811</v>
      </c>
    </row>
    <row r="49" spans="1:9">
      <c r="A49" s="92" t="s">
        <v>4338</v>
      </c>
      <c r="B49" t="s">
        <v>1909</v>
      </c>
      <c r="C49" t="s">
        <v>2465</v>
      </c>
      <c r="D49" t="s">
        <v>2464</v>
      </c>
      <c r="E49" t="s">
        <v>108</v>
      </c>
      <c r="G49" t="s">
        <v>4882</v>
      </c>
      <c r="H49" t="s">
        <v>108</v>
      </c>
      <c r="I49" t="s">
        <v>3811</v>
      </c>
    </row>
    <row r="50" spans="1:9">
      <c r="A50" s="92" t="s">
        <v>4338</v>
      </c>
      <c r="B50" t="s">
        <v>1911</v>
      </c>
      <c r="C50" t="s">
        <v>2467</v>
      </c>
      <c r="D50" t="s">
        <v>2319</v>
      </c>
      <c r="E50" t="s">
        <v>2403</v>
      </c>
      <c r="F50" t="s">
        <v>2468</v>
      </c>
      <c r="G50" t="s">
        <v>4882</v>
      </c>
      <c r="H50" t="s">
        <v>2403</v>
      </c>
      <c r="I50" t="s">
        <v>3815</v>
      </c>
    </row>
    <row r="51" spans="1:9">
      <c r="A51" s="92" t="s">
        <v>4338</v>
      </c>
      <c r="B51" t="s">
        <v>1911</v>
      </c>
      <c r="C51" t="s">
        <v>2469</v>
      </c>
      <c r="D51" t="s">
        <v>2382</v>
      </c>
      <c r="E51" t="s">
        <v>108</v>
      </c>
      <c r="F51" t="s">
        <v>2470</v>
      </c>
      <c r="G51" t="s">
        <v>4882</v>
      </c>
      <c r="H51" t="s">
        <v>108</v>
      </c>
      <c r="I51" t="s">
        <v>3815</v>
      </c>
    </row>
    <row r="52" spans="1:9">
      <c r="A52" s="92" t="s">
        <v>4338</v>
      </c>
      <c r="B52" t="s">
        <v>1911</v>
      </c>
      <c r="C52" t="s">
        <v>2471</v>
      </c>
      <c r="D52" t="s">
        <v>2379</v>
      </c>
      <c r="E52" t="s">
        <v>108</v>
      </c>
      <c r="F52" t="s">
        <v>2472</v>
      </c>
      <c r="G52" t="s">
        <v>4882</v>
      </c>
      <c r="H52" t="s">
        <v>108</v>
      </c>
      <c r="I52" t="s">
        <v>3815</v>
      </c>
    </row>
    <row r="53" spans="1:9">
      <c r="A53" s="92" t="s">
        <v>4338</v>
      </c>
      <c r="B53" t="s">
        <v>1911</v>
      </c>
      <c r="C53" t="s">
        <v>2473</v>
      </c>
      <c r="D53" t="s">
        <v>2474</v>
      </c>
      <c r="E53" t="s">
        <v>108</v>
      </c>
      <c r="F53" t="s">
        <v>2475</v>
      </c>
      <c r="G53" t="s">
        <v>4882</v>
      </c>
      <c r="H53" t="s">
        <v>108</v>
      </c>
      <c r="I53" t="s">
        <v>3815</v>
      </c>
    </row>
    <row r="54" spans="1:9">
      <c r="A54" s="92" t="s">
        <v>4338</v>
      </c>
      <c r="B54" t="s">
        <v>1916</v>
      </c>
      <c r="C54" t="s">
        <v>2477</v>
      </c>
      <c r="D54" t="s">
        <v>2382</v>
      </c>
      <c r="E54" t="s">
        <v>108</v>
      </c>
      <c r="F54" t="s">
        <v>2478</v>
      </c>
      <c r="G54" t="s">
        <v>4882</v>
      </c>
      <c r="H54" t="s">
        <v>108</v>
      </c>
      <c r="I54" t="s">
        <v>3819</v>
      </c>
    </row>
    <row r="55" spans="1:9">
      <c r="A55" s="92" t="s">
        <v>4338</v>
      </c>
      <c r="B55" t="s">
        <v>1916</v>
      </c>
      <c r="C55" t="s">
        <v>2479</v>
      </c>
      <c r="D55" t="s">
        <v>2480</v>
      </c>
      <c r="E55" t="s">
        <v>108</v>
      </c>
      <c r="F55" t="s">
        <v>2481</v>
      </c>
      <c r="G55" t="s">
        <v>4882</v>
      </c>
      <c r="H55" t="s">
        <v>108</v>
      </c>
      <c r="I55" t="s">
        <v>3819</v>
      </c>
    </row>
    <row r="56" spans="1:9">
      <c r="A56" s="92" t="s">
        <v>4338</v>
      </c>
      <c r="B56" t="s">
        <v>1916</v>
      </c>
      <c r="C56" t="s">
        <v>2482</v>
      </c>
      <c r="D56" t="s">
        <v>2480</v>
      </c>
      <c r="E56" t="s">
        <v>108</v>
      </c>
      <c r="F56" t="s">
        <v>2483</v>
      </c>
      <c r="G56" t="s">
        <v>4882</v>
      </c>
      <c r="H56" t="s">
        <v>108</v>
      </c>
      <c r="I56" t="s">
        <v>3819</v>
      </c>
    </row>
    <row r="57" spans="1:9">
      <c r="A57" s="92" t="s">
        <v>4338</v>
      </c>
      <c r="B57" t="s">
        <v>1916</v>
      </c>
      <c r="C57" t="s">
        <v>2484</v>
      </c>
      <c r="D57" t="s">
        <v>2382</v>
      </c>
      <c r="E57" t="s">
        <v>2403</v>
      </c>
      <c r="G57" t="s">
        <v>4882</v>
      </c>
      <c r="H57" t="s">
        <v>2403</v>
      </c>
      <c r="I57" t="s">
        <v>3819</v>
      </c>
    </row>
    <row r="58" spans="1:9">
      <c r="A58" s="92" t="s">
        <v>4338</v>
      </c>
      <c r="B58" t="s">
        <v>1916</v>
      </c>
      <c r="C58" t="s">
        <v>2485</v>
      </c>
      <c r="D58" t="s">
        <v>2486</v>
      </c>
      <c r="E58" t="s">
        <v>2487</v>
      </c>
      <c r="G58" t="s">
        <v>4882</v>
      </c>
      <c r="H58" t="s">
        <v>108</v>
      </c>
      <c r="I58" t="s">
        <v>3819</v>
      </c>
    </row>
    <row r="59" spans="1:9">
      <c r="A59" s="92" t="s">
        <v>4338</v>
      </c>
      <c r="B59" t="s">
        <v>1918</v>
      </c>
      <c r="C59" t="s">
        <v>2489</v>
      </c>
      <c r="D59" t="s">
        <v>2490</v>
      </c>
      <c r="E59" t="s">
        <v>108</v>
      </c>
      <c r="G59" t="s">
        <v>4882</v>
      </c>
      <c r="H59" t="s">
        <v>108</v>
      </c>
      <c r="I59" t="s">
        <v>3823</v>
      </c>
    </row>
    <row r="60" spans="1:9">
      <c r="A60" s="92" t="s">
        <v>4338</v>
      </c>
      <c r="B60" t="s">
        <v>1918</v>
      </c>
      <c r="C60" t="s">
        <v>2491</v>
      </c>
      <c r="D60" t="s">
        <v>2490</v>
      </c>
      <c r="E60" t="s">
        <v>2403</v>
      </c>
      <c r="F60" t="s">
        <v>2492</v>
      </c>
      <c r="G60" t="s">
        <v>4882</v>
      </c>
      <c r="H60" t="s">
        <v>2403</v>
      </c>
      <c r="I60" t="s">
        <v>3823</v>
      </c>
    </row>
    <row r="61" spans="1:9">
      <c r="A61" s="92" t="s">
        <v>4338</v>
      </c>
      <c r="B61" t="s">
        <v>1918</v>
      </c>
      <c r="C61" t="s">
        <v>2529</v>
      </c>
      <c r="D61" t="s">
        <v>2494</v>
      </c>
      <c r="E61" t="s">
        <v>2530</v>
      </c>
      <c r="F61" t="s">
        <v>2532</v>
      </c>
      <c r="G61" t="s">
        <v>4883</v>
      </c>
      <c r="H61" t="s">
        <v>2531</v>
      </c>
      <c r="I61" t="s">
        <v>3823</v>
      </c>
    </row>
    <row r="62" spans="1:9">
      <c r="A62" s="92" t="s">
        <v>4338</v>
      </c>
      <c r="B62" t="s">
        <v>1918</v>
      </c>
      <c r="C62" t="s">
        <v>2493</v>
      </c>
      <c r="D62" t="s">
        <v>2494</v>
      </c>
      <c r="E62" t="s">
        <v>2421</v>
      </c>
      <c r="F62" t="s">
        <v>2495</v>
      </c>
      <c r="G62" t="s">
        <v>4882</v>
      </c>
      <c r="H62" t="s">
        <v>108</v>
      </c>
      <c r="I62" t="s">
        <v>3823</v>
      </c>
    </row>
    <row r="63" spans="1:9">
      <c r="A63" s="92" t="s">
        <v>4338</v>
      </c>
      <c r="B63" t="s">
        <v>1918</v>
      </c>
      <c r="C63" t="s">
        <v>2496</v>
      </c>
      <c r="D63" t="s">
        <v>2490</v>
      </c>
      <c r="E63" t="s">
        <v>2497</v>
      </c>
      <c r="G63" t="s">
        <v>4882</v>
      </c>
      <c r="H63" t="s">
        <v>108</v>
      </c>
      <c r="I63" t="s">
        <v>3823</v>
      </c>
    </row>
    <row r="64" spans="1:9">
      <c r="A64" s="92" t="s">
        <v>4338</v>
      </c>
      <c r="B64" t="s">
        <v>1918</v>
      </c>
      <c r="C64" t="s">
        <v>2498</v>
      </c>
      <c r="D64" t="s">
        <v>2490</v>
      </c>
      <c r="E64" t="s">
        <v>2499</v>
      </c>
      <c r="F64" t="s">
        <v>2500</v>
      </c>
      <c r="G64" t="s">
        <v>4882</v>
      </c>
      <c r="H64" t="s">
        <v>108</v>
      </c>
      <c r="I64" t="s">
        <v>3823</v>
      </c>
    </row>
    <row r="65" spans="1:9">
      <c r="A65" s="92" t="s">
        <v>4338</v>
      </c>
      <c r="B65" t="s">
        <v>1920</v>
      </c>
      <c r="C65" t="s">
        <v>2502</v>
      </c>
      <c r="D65" t="s">
        <v>2325</v>
      </c>
      <c r="E65" t="s">
        <v>2503</v>
      </c>
      <c r="F65" t="s">
        <v>2504</v>
      </c>
      <c r="G65" t="s">
        <v>4882</v>
      </c>
      <c r="H65" t="s">
        <v>108</v>
      </c>
      <c r="I65" t="s">
        <v>3827</v>
      </c>
    </row>
    <row r="66" spans="1:9">
      <c r="A66" s="92" t="s">
        <v>4338</v>
      </c>
      <c r="B66" t="s">
        <v>1920</v>
      </c>
      <c r="C66" t="s">
        <v>2341</v>
      </c>
      <c r="D66" t="s">
        <v>2342</v>
      </c>
      <c r="E66" t="s">
        <v>2343</v>
      </c>
      <c r="F66" t="s">
        <v>2344</v>
      </c>
      <c r="G66" t="s">
        <v>4882</v>
      </c>
      <c r="H66" t="s">
        <v>108</v>
      </c>
      <c r="I66" t="s">
        <v>3827</v>
      </c>
    </row>
    <row r="67" spans="1:9">
      <c r="A67" s="92" t="s">
        <v>4338</v>
      </c>
      <c r="B67" t="s">
        <v>1920</v>
      </c>
      <c r="C67" t="s">
        <v>2348</v>
      </c>
      <c r="E67" t="s">
        <v>2292</v>
      </c>
      <c r="G67" t="s">
        <v>4882</v>
      </c>
      <c r="H67" t="s">
        <v>2446</v>
      </c>
      <c r="I67" t="s">
        <v>3827</v>
      </c>
    </row>
    <row r="68" spans="1:9">
      <c r="A68" s="92" t="s">
        <v>4338</v>
      </c>
      <c r="B68" t="s">
        <v>1920</v>
      </c>
      <c r="C68" t="s">
        <v>2505</v>
      </c>
      <c r="D68" t="s">
        <v>2291</v>
      </c>
      <c r="E68" t="s">
        <v>108</v>
      </c>
      <c r="G68" t="s">
        <v>4882</v>
      </c>
      <c r="H68" t="s">
        <v>108</v>
      </c>
      <c r="I68" t="s">
        <v>3827</v>
      </c>
    </row>
    <row r="69" spans="1:9">
      <c r="A69" s="92" t="s">
        <v>4338</v>
      </c>
      <c r="B69" t="s">
        <v>1920</v>
      </c>
      <c r="C69" t="s">
        <v>2506</v>
      </c>
      <c r="D69" t="s">
        <v>2346</v>
      </c>
      <c r="E69" t="s">
        <v>2507</v>
      </c>
      <c r="F69" t="s">
        <v>2508</v>
      </c>
      <c r="G69" t="s">
        <v>4882</v>
      </c>
      <c r="H69" t="s">
        <v>2507</v>
      </c>
      <c r="I69" t="s">
        <v>3827</v>
      </c>
    </row>
    <row r="70" spans="1:9">
      <c r="A70" s="92" t="s">
        <v>4357</v>
      </c>
      <c r="B70" t="s">
        <v>1894</v>
      </c>
      <c r="C70" t="s">
        <v>2355</v>
      </c>
      <c r="D70" t="s">
        <v>2356</v>
      </c>
      <c r="E70" t="s">
        <v>1565</v>
      </c>
      <c r="F70" t="s">
        <v>2358</v>
      </c>
      <c r="G70" t="s">
        <v>4884</v>
      </c>
      <c r="H70" t="s">
        <v>108</v>
      </c>
      <c r="I70" t="s">
        <v>3787</v>
      </c>
    </row>
    <row r="71" spans="1:9">
      <c r="A71" s="92" t="s">
        <v>4357</v>
      </c>
      <c r="B71" t="s">
        <v>1894</v>
      </c>
      <c r="C71" t="s">
        <v>2516</v>
      </c>
      <c r="D71" t="s">
        <v>2291</v>
      </c>
      <c r="E71" t="s">
        <v>1215</v>
      </c>
      <c r="G71" t="s">
        <v>4885</v>
      </c>
      <c r="H71" t="s">
        <v>1215</v>
      </c>
      <c r="I71" t="s">
        <v>3787</v>
      </c>
    </row>
    <row r="72" spans="1:9">
      <c r="A72" s="92" t="s">
        <v>4357</v>
      </c>
      <c r="B72" t="s">
        <v>1894</v>
      </c>
      <c r="C72" t="s">
        <v>2398</v>
      </c>
      <c r="E72" t="s">
        <v>2399</v>
      </c>
      <c r="G72" t="s">
        <v>4881</v>
      </c>
      <c r="H72" t="s">
        <v>2399</v>
      </c>
      <c r="I72" t="s">
        <v>3787</v>
      </c>
    </row>
    <row r="73" spans="1:9">
      <c r="A73" s="92" t="s">
        <v>4357</v>
      </c>
      <c r="B73" t="s">
        <v>1894</v>
      </c>
      <c r="C73" t="s">
        <v>2400</v>
      </c>
      <c r="D73" t="s">
        <v>2284</v>
      </c>
      <c r="E73" t="s">
        <v>108</v>
      </c>
      <c r="G73" t="s">
        <v>4884</v>
      </c>
      <c r="H73" t="s">
        <v>108</v>
      </c>
      <c r="I73" t="s">
        <v>3787</v>
      </c>
    </row>
    <row r="74" spans="1:9">
      <c r="A74" s="92" t="s">
        <v>4357</v>
      </c>
      <c r="B74" t="s">
        <v>1894</v>
      </c>
      <c r="C74" t="s">
        <v>2401</v>
      </c>
      <c r="D74" t="s">
        <v>2402</v>
      </c>
      <c r="E74" t="s">
        <v>2403</v>
      </c>
      <c r="F74" t="s">
        <v>2404</v>
      </c>
      <c r="G74" t="s">
        <v>4884</v>
      </c>
      <c r="H74" t="s">
        <v>2403</v>
      </c>
      <c r="I74" t="s">
        <v>3787</v>
      </c>
    </row>
    <row r="75" spans="1:9">
      <c r="A75" s="92" t="s">
        <v>4357</v>
      </c>
      <c r="B75" t="s">
        <v>1894</v>
      </c>
      <c r="C75" t="s">
        <v>2405</v>
      </c>
      <c r="E75" t="s">
        <v>108</v>
      </c>
      <c r="G75" t="s">
        <v>4884</v>
      </c>
      <c r="H75" t="s">
        <v>108</v>
      </c>
      <c r="I75" t="s">
        <v>3787</v>
      </c>
    </row>
    <row r="76" spans="1:9">
      <c r="A76" s="92" t="s">
        <v>4357</v>
      </c>
      <c r="B76" t="s">
        <v>1895</v>
      </c>
      <c r="C76" t="s">
        <v>2407</v>
      </c>
      <c r="D76" t="s">
        <v>2296</v>
      </c>
      <c r="E76" t="s">
        <v>108</v>
      </c>
      <c r="G76" t="s">
        <v>4884</v>
      </c>
      <c r="H76" t="s">
        <v>108</v>
      </c>
      <c r="I76" t="s">
        <v>3791</v>
      </c>
    </row>
    <row r="77" spans="1:9">
      <c r="A77" s="92" t="s">
        <v>4357</v>
      </c>
      <c r="B77" t="s">
        <v>1895</v>
      </c>
      <c r="C77" t="s">
        <v>2409</v>
      </c>
      <c r="D77" t="s">
        <v>2410</v>
      </c>
      <c r="E77" t="s">
        <v>108</v>
      </c>
      <c r="F77" t="s">
        <v>2411</v>
      </c>
      <c r="G77" t="s">
        <v>4884</v>
      </c>
      <c r="H77" t="s">
        <v>108</v>
      </c>
      <c r="I77" t="s">
        <v>3791</v>
      </c>
    </row>
    <row r="78" spans="1:9">
      <c r="A78" s="92" t="s">
        <v>4357</v>
      </c>
      <c r="B78" t="s">
        <v>1895</v>
      </c>
      <c r="C78" t="s">
        <v>2412</v>
      </c>
      <c r="D78" t="s">
        <v>2410</v>
      </c>
      <c r="E78" t="s">
        <v>108</v>
      </c>
      <c r="G78" t="s">
        <v>4884</v>
      </c>
      <c r="H78" t="s">
        <v>108</v>
      </c>
      <c r="I78" t="s">
        <v>3791</v>
      </c>
    </row>
    <row r="79" spans="1:9">
      <c r="A79" s="92" t="s">
        <v>4357</v>
      </c>
      <c r="B79" t="s">
        <v>1895</v>
      </c>
      <c r="C79" t="s">
        <v>2290</v>
      </c>
      <c r="D79" t="s">
        <v>2291</v>
      </c>
      <c r="E79" t="s">
        <v>2292</v>
      </c>
      <c r="G79" t="s">
        <v>4884</v>
      </c>
      <c r="H79" t="s">
        <v>2446</v>
      </c>
      <c r="I79" t="s">
        <v>3791</v>
      </c>
    </row>
    <row r="80" spans="1:9">
      <c r="A80" s="92" t="s">
        <v>4357</v>
      </c>
      <c r="B80" t="s">
        <v>1895</v>
      </c>
      <c r="C80" t="s">
        <v>2414</v>
      </c>
      <c r="D80" t="s">
        <v>2415</v>
      </c>
      <c r="E80" t="s">
        <v>108</v>
      </c>
      <c r="F80" t="s">
        <v>2416</v>
      </c>
      <c r="G80" t="s">
        <v>4884</v>
      </c>
      <c r="H80" t="s">
        <v>108</v>
      </c>
      <c r="I80" t="s">
        <v>3791</v>
      </c>
    </row>
    <row r="81" spans="1:9">
      <c r="A81" s="92" t="s">
        <v>4357</v>
      </c>
      <c r="B81" t="s">
        <v>3567</v>
      </c>
      <c r="C81" t="s">
        <v>2418</v>
      </c>
      <c r="D81" t="s">
        <v>2363</v>
      </c>
      <c r="E81" t="s">
        <v>108</v>
      </c>
      <c r="G81" t="s">
        <v>4884</v>
      </c>
      <c r="H81" t="s">
        <v>108</v>
      </c>
      <c r="I81" t="s">
        <v>3795</v>
      </c>
    </row>
    <row r="82" spans="1:9">
      <c r="A82" s="92" t="s">
        <v>4357</v>
      </c>
      <c r="B82" t="s">
        <v>3567</v>
      </c>
      <c r="C82" t="s">
        <v>2362</v>
      </c>
      <c r="D82" t="s">
        <v>2363</v>
      </c>
      <c r="E82" t="s">
        <v>2364</v>
      </c>
      <c r="G82" t="s">
        <v>4881</v>
      </c>
      <c r="H82" t="s">
        <v>2718</v>
      </c>
      <c r="I82" t="s">
        <v>3795</v>
      </c>
    </row>
    <row r="83" spans="1:9">
      <c r="A83" s="92" t="s">
        <v>4357</v>
      </c>
      <c r="B83" t="s">
        <v>3567</v>
      </c>
      <c r="C83" t="s">
        <v>2420</v>
      </c>
      <c r="D83" t="s">
        <v>2363</v>
      </c>
      <c r="E83" t="s">
        <v>2421</v>
      </c>
      <c r="F83" t="s">
        <v>2422</v>
      </c>
      <c r="G83" t="s">
        <v>4884</v>
      </c>
      <c r="H83" t="s">
        <v>108</v>
      </c>
      <c r="I83" t="s">
        <v>3795</v>
      </c>
    </row>
    <row r="84" spans="1:9">
      <c r="A84" s="92" t="s">
        <v>4357</v>
      </c>
      <c r="B84" t="s">
        <v>3567</v>
      </c>
      <c r="C84" t="s">
        <v>2423</v>
      </c>
      <c r="D84" t="s">
        <v>2363</v>
      </c>
      <c r="E84" t="s">
        <v>108</v>
      </c>
      <c r="G84" t="s">
        <v>4884</v>
      </c>
      <c r="H84" t="s">
        <v>108</v>
      </c>
      <c r="I84" t="s">
        <v>3795</v>
      </c>
    </row>
    <row r="85" spans="1:9">
      <c r="A85" s="92" t="s">
        <v>4357</v>
      </c>
      <c r="B85" t="s">
        <v>1901</v>
      </c>
      <c r="C85" t="s">
        <v>2425</v>
      </c>
      <c r="D85" t="s">
        <v>2426</v>
      </c>
      <c r="E85" t="s">
        <v>2427</v>
      </c>
      <c r="G85" t="s">
        <v>4884</v>
      </c>
      <c r="H85" t="s">
        <v>108</v>
      </c>
      <c r="I85" t="s">
        <v>3799</v>
      </c>
    </row>
    <row r="86" spans="1:9">
      <c r="A86" s="92" t="s">
        <v>4357</v>
      </c>
      <c r="B86" t="s">
        <v>1901</v>
      </c>
      <c r="C86" t="s">
        <v>2428</v>
      </c>
      <c r="D86" t="s">
        <v>2426</v>
      </c>
      <c r="E86" t="s">
        <v>2429</v>
      </c>
      <c r="G86" t="s">
        <v>4884</v>
      </c>
      <c r="H86" t="s">
        <v>108</v>
      </c>
      <c r="I86" t="s">
        <v>3799</v>
      </c>
    </row>
    <row r="87" spans="1:9">
      <c r="A87" s="92" t="s">
        <v>4357</v>
      </c>
      <c r="B87" t="s">
        <v>1901</v>
      </c>
      <c r="C87" t="s">
        <v>2430</v>
      </c>
      <c r="D87" t="s">
        <v>2431</v>
      </c>
      <c r="E87" t="s">
        <v>108</v>
      </c>
      <c r="F87" t="s">
        <v>2432</v>
      </c>
      <c r="G87" t="s">
        <v>4884</v>
      </c>
      <c r="H87" t="s">
        <v>108</v>
      </c>
      <c r="I87" t="s">
        <v>3799</v>
      </c>
    </row>
    <row r="88" spans="1:9">
      <c r="A88" s="92" t="s">
        <v>4357</v>
      </c>
      <c r="B88" t="s">
        <v>1901</v>
      </c>
      <c r="C88" t="s">
        <v>2433</v>
      </c>
      <c r="D88" t="s">
        <v>2431</v>
      </c>
      <c r="E88" t="s">
        <v>108</v>
      </c>
      <c r="G88" t="s">
        <v>4884</v>
      </c>
      <c r="H88" t="s">
        <v>108</v>
      </c>
      <c r="I88" t="s">
        <v>3799</v>
      </c>
    </row>
    <row r="89" spans="1:9">
      <c r="A89" s="92" t="s">
        <v>4357</v>
      </c>
      <c r="B89" t="s">
        <v>1903</v>
      </c>
      <c r="C89" t="s">
        <v>2435</v>
      </c>
      <c r="D89" t="s">
        <v>2436</v>
      </c>
      <c r="E89" t="s">
        <v>108</v>
      </c>
      <c r="F89" t="s">
        <v>2437</v>
      </c>
      <c r="G89" t="s">
        <v>4884</v>
      </c>
      <c r="H89" t="s">
        <v>108</v>
      </c>
      <c r="I89" t="s">
        <v>3803</v>
      </c>
    </row>
    <row r="90" spans="1:9">
      <c r="A90" s="92" t="s">
        <v>4357</v>
      </c>
      <c r="B90" t="s">
        <v>1903</v>
      </c>
      <c r="C90" t="s">
        <v>2295</v>
      </c>
      <c r="D90" t="s">
        <v>2296</v>
      </c>
      <c r="E90" t="s">
        <v>2297</v>
      </c>
      <c r="G90" t="s">
        <v>4884</v>
      </c>
      <c r="H90" t="s">
        <v>2446</v>
      </c>
      <c r="I90" t="s">
        <v>3803</v>
      </c>
    </row>
    <row r="91" spans="1:9">
      <c r="A91" s="92" t="s">
        <v>4357</v>
      </c>
      <c r="B91" t="s">
        <v>1903</v>
      </c>
      <c r="C91" t="s">
        <v>2298</v>
      </c>
      <c r="D91" t="s">
        <v>2296</v>
      </c>
      <c r="E91" t="s">
        <v>2292</v>
      </c>
      <c r="G91" t="s">
        <v>4884</v>
      </c>
      <c r="H91" t="s">
        <v>2446</v>
      </c>
      <c r="I91" t="s">
        <v>3803</v>
      </c>
    </row>
    <row r="92" spans="1:9">
      <c r="A92" s="92" t="s">
        <v>4357</v>
      </c>
      <c r="B92" t="s">
        <v>1903</v>
      </c>
      <c r="C92" t="s">
        <v>2299</v>
      </c>
      <c r="D92" t="s">
        <v>2296</v>
      </c>
      <c r="E92" t="s">
        <v>2292</v>
      </c>
      <c r="G92" t="s">
        <v>4884</v>
      </c>
      <c r="H92" t="s">
        <v>2446</v>
      </c>
      <c r="I92" t="s">
        <v>3803</v>
      </c>
    </row>
    <row r="93" spans="1:9">
      <c r="A93" s="92" t="s">
        <v>4357</v>
      </c>
      <c r="B93" t="s">
        <v>1903</v>
      </c>
      <c r="C93" t="s">
        <v>2300</v>
      </c>
      <c r="D93" t="s">
        <v>2301</v>
      </c>
      <c r="E93" t="s">
        <v>2292</v>
      </c>
      <c r="G93" t="s">
        <v>4884</v>
      </c>
      <c r="H93" t="s">
        <v>2446</v>
      </c>
      <c r="I93" t="s">
        <v>3803</v>
      </c>
    </row>
    <row r="94" spans="1:9">
      <c r="A94" s="92" t="s">
        <v>4357</v>
      </c>
      <c r="B94" t="s">
        <v>1903</v>
      </c>
      <c r="C94" t="s">
        <v>2302</v>
      </c>
      <c r="E94" t="s">
        <v>2292</v>
      </c>
      <c r="G94" t="s">
        <v>4884</v>
      </c>
      <c r="H94" t="s">
        <v>2446</v>
      </c>
      <c r="I94" t="s">
        <v>3803</v>
      </c>
    </row>
    <row r="95" spans="1:9">
      <c r="A95" s="92" t="s">
        <v>4357</v>
      </c>
      <c r="B95" t="s">
        <v>1903</v>
      </c>
      <c r="C95" t="s">
        <v>2303</v>
      </c>
      <c r="E95" t="s">
        <v>2292</v>
      </c>
      <c r="G95" t="s">
        <v>4884</v>
      </c>
      <c r="H95" t="s">
        <v>2446</v>
      </c>
      <c r="I95" t="s">
        <v>3803</v>
      </c>
    </row>
    <row r="96" spans="1:9">
      <c r="A96" s="92" t="s">
        <v>4357</v>
      </c>
      <c r="B96" t="s">
        <v>1903</v>
      </c>
      <c r="C96" t="s">
        <v>2304</v>
      </c>
      <c r="E96" t="s">
        <v>2292</v>
      </c>
      <c r="G96" t="s">
        <v>4884</v>
      </c>
      <c r="H96" t="s">
        <v>2446</v>
      </c>
      <c r="I96" t="s">
        <v>3803</v>
      </c>
    </row>
    <row r="97" spans="1:9">
      <c r="A97" s="92" t="s">
        <v>4357</v>
      </c>
      <c r="B97" t="s">
        <v>1905</v>
      </c>
      <c r="C97" t="s">
        <v>2439</v>
      </c>
      <c r="D97" t="s">
        <v>2440</v>
      </c>
      <c r="E97" t="s">
        <v>108</v>
      </c>
      <c r="G97" t="s">
        <v>4884</v>
      </c>
      <c r="H97" t="s">
        <v>108</v>
      </c>
      <c r="I97" t="s">
        <v>3805</v>
      </c>
    </row>
    <row r="98" spans="1:9">
      <c r="A98" s="92" t="s">
        <v>4357</v>
      </c>
      <c r="B98" t="s">
        <v>1905</v>
      </c>
      <c r="C98" t="s">
        <v>2441</v>
      </c>
      <c r="D98" t="s">
        <v>2442</v>
      </c>
      <c r="E98" t="s">
        <v>2427</v>
      </c>
      <c r="G98" t="s">
        <v>4884</v>
      </c>
      <c r="H98" t="s">
        <v>108</v>
      </c>
      <c r="I98" t="s">
        <v>3805</v>
      </c>
    </row>
    <row r="99" spans="1:9">
      <c r="A99" s="92" t="s">
        <v>4357</v>
      </c>
      <c r="B99" t="s">
        <v>1905</v>
      </c>
      <c r="C99" t="s">
        <v>2443</v>
      </c>
      <c r="D99" t="s">
        <v>2440</v>
      </c>
      <c r="E99" t="s">
        <v>2444</v>
      </c>
      <c r="F99" t="s">
        <v>2445</v>
      </c>
      <c r="G99" t="s">
        <v>4884</v>
      </c>
      <c r="H99" t="s">
        <v>108</v>
      </c>
      <c r="I99" t="s">
        <v>3805</v>
      </c>
    </row>
    <row r="100" spans="1:9">
      <c r="A100" s="92" t="s">
        <v>4357</v>
      </c>
      <c r="B100" t="s">
        <v>1905</v>
      </c>
      <c r="C100" t="s">
        <v>2306</v>
      </c>
      <c r="D100" t="s">
        <v>2291</v>
      </c>
      <c r="E100" t="s">
        <v>2307</v>
      </c>
      <c r="G100" t="s">
        <v>4884</v>
      </c>
      <c r="H100" t="s">
        <v>108</v>
      </c>
      <c r="I100" t="s">
        <v>3805</v>
      </c>
    </row>
    <row r="101" spans="1:9">
      <c r="A101" s="92" t="s">
        <v>4357</v>
      </c>
      <c r="B101" t="s">
        <v>1905</v>
      </c>
      <c r="C101" t="s">
        <v>2313</v>
      </c>
      <c r="D101" t="s">
        <v>2291</v>
      </c>
      <c r="E101" t="s">
        <v>2292</v>
      </c>
      <c r="G101" t="s">
        <v>4884</v>
      </c>
      <c r="H101" t="s">
        <v>2446</v>
      </c>
      <c r="I101" t="s">
        <v>3805</v>
      </c>
    </row>
    <row r="102" spans="1:9">
      <c r="A102" s="92" t="s">
        <v>4357</v>
      </c>
      <c r="B102" t="s">
        <v>1905</v>
      </c>
      <c r="C102" t="s">
        <v>2314</v>
      </c>
      <c r="D102" t="s">
        <v>2291</v>
      </c>
      <c r="E102" t="s">
        <v>2292</v>
      </c>
      <c r="G102" t="s">
        <v>4884</v>
      </c>
      <c r="H102" t="s">
        <v>2446</v>
      </c>
      <c r="I102" t="s">
        <v>3805</v>
      </c>
    </row>
    <row r="103" spans="1:9">
      <c r="A103" s="92" t="s">
        <v>4357</v>
      </c>
      <c r="B103" t="s">
        <v>1905</v>
      </c>
      <c r="C103" t="s">
        <v>2447</v>
      </c>
      <c r="D103" t="s">
        <v>2440</v>
      </c>
      <c r="E103" t="s">
        <v>2403</v>
      </c>
      <c r="G103" t="s">
        <v>4884</v>
      </c>
      <c r="H103" t="s">
        <v>2403</v>
      </c>
      <c r="I103" t="s">
        <v>3805</v>
      </c>
    </row>
    <row r="104" spans="1:9">
      <c r="A104" s="92" t="s">
        <v>4357</v>
      </c>
      <c r="B104" t="s">
        <v>1905</v>
      </c>
      <c r="C104" t="s">
        <v>2448</v>
      </c>
      <c r="D104" t="s">
        <v>2449</v>
      </c>
      <c r="E104" t="s">
        <v>108</v>
      </c>
      <c r="G104" t="s">
        <v>4884</v>
      </c>
      <c r="H104" t="s">
        <v>108</v>
      </c>
      <c r="I104" t="s">
        <v>3805</v>
      </c>
    </row>
    <row r="105" spans="1:9">
      <c r="A105" s="92" t="s">
        <v>4357</v>
      </c>
      <c r="B105" t="s">
        <v>1908</v>
      </c>
      <c r="C105" t="s">
        <v>2451</v>
      </c>
      <c r="E105" t="s">
        <v>2403</v>
      </c>
      <c r="G105" t="s">
        <v>4884</v>
      </c>
      <c r="H105" t="s">
        <v>2403</v>
      </c>
      <c r="I105" t="s">
        <v>3807</v>
      </c>
    </row>
    <row r="106" spans="1:9">
      <c r="A106" s="92" t="s">
        <v>4357</v>
      </c>
      <c r="B106" t="s">
        <v>1908</v>
      </c>
      <c r="C106" t="s">
        <v>2375</v>
      </c>
      <c r="E106" t="s">
        <v>2376</v>
      </c>
      <c r="G106" t="s">
        <v>4884</v>
      </c>
      <c r="H106" t="s">
        <v>2403</v>
      </c>
      <c r="I106" t="s">
        <v>3807</v>
      </c>
    </row>
    <row r="107" spans="1:9">
      <c r="A107" s="92" t="s">
        <v>4357</v>
      </c>
      <c r="B107" t="s">
        <v>1908</v>
      </c>
      <c r="C107" t="s">
        <v>2452</v>
      </c>
      <c r="D107" t="s">
        <v>2440</v>
      </c>
      <c r="E107" t="s">
        <v>108</v>
      </c>
      <c r="G107" t="s">
        <v>4884</v>
      </c>
      <c r="H107" t="s">
        <v>108</v>
      </c>
      <c r="I107" t="s">
        <v>3807</v>
      </c>
    </row>
    <row r="108" spans="1:9">
      <c r="A108" s="92" t="s">
        <v>4357</v>
      </c>
      <c r="B108" t="s">
        <v>1908</v>
      </c>
      <c r="C108" t="s">
        <v>2453</v>
      </c>
      <c r="D108" t="s">
        <v>2440</v>
      </c>
      <c r="E108" t="s">
        <v>108</v>
      </c>
      <c r="G108" t="s">
        <v>4884</v>
      </c>
      <c r="H108" t="s">
        <v>108</v>
      </c>
      <c r="I108" t="s">
        <v>3807</v>
      </c>
    </row>
    <row r="109" spans="1:9">
      <c r="A109" s="92" t="s">
        <v>4357</v>
      </c>
      <c r="B109" t="s">
        <v>1908</v>
      </c>
      <c r="C109" t="s">
        <v>2454</v>
      </c>
      <c r="D109" t="s">
        <v>2301</v>
      </c>
      <c r="E109" t="s">
        <v>108</v>
      </c>
      <c r="G109" t="s">
        <v>4884</v>
      </c>
      <c r="H109" t="s">
        <v>108</v>
      </c>
      <c r="I109" t="s">
        <v>3807</v>
      </c>
    </row>
    <row r="110" spans="1:9">
      <c r="A110" s="92" t="s">
        <v>4357</v>
      </c>
      <c r="B110" t="s">
        <v>1908</v>
      </c>
      <c r="C110" t="s">
        <v>2455</v>
      </c>
      <c r="D110" t="s">
        <v>2456</v>
      </c>
      <c r="E110" t="s">
        <v>2403</v>
      </c>
      <c r="G110" t="s">
        <v>4884</v>
      </c>
      <c r="H110" t="s">
        <v>2403</v>
      </c>
      <c r="I110" t="s">
        <v>3807</v>
      </c>
    </row>
    <row r="111" spans="1:9">
      <c r="A111" s="92" t="s">
        <v>4357</v>
      </c>
      <c r="B111" t="s">
        <v>1908</v>
      </c>
      <c r="C111" t="s">
        <v>2457</v>
      </c>
      <c r="D111" t="s">
        <v>2456</v>
      </c>
      <c r="E111" t="s">
        <v>2403</v>
      </c>
      <c r="G111" t="s">
        <v>4884</v>
      </c>
      <c r="H111" t="s">
        <v>2403</v>
      </c>
      <c r="I111" t="s">
        <v>3807</v>
      </c>
    </row>
    <row r="112" spans="1:9">
      <c r="A112" s="92" t="s">
        <v>4357</v>
      </c>
      <c r="B112" t="s">
        <v>1908</v>
      </c>
      <c r="C112" t="s">
        <v>2316</v>
      </c>
      <c r="D112" t="s">
        <v>2291</v>
      </c>
      <c r="E112" t="s">
        <v>2292</v>
      </c>
      <c r="G112" t="s">
        <v>4884</v>
      </c>
      <c r="H112" t="s">
        <v>2446</v>
      </c>
      <c r="I112" t="s">
        <v>3807</v>
      </c>
    </row>
    <row r="113" spans="1:9">
      <c r="A113" s="92" t="s">
        <v>4357</v>
      </c>
      <c r="B113" t="s">
        <v>1908</v>
      </c>
      <c r="C113" t="s">
        <v>2458</v>
      </c>
      <c r="D113" t="s">
        <v>2456</v>
      </c>
      <c r="E113" t="s">
        <v>108</v>
      </c>
      <c r="F113" t="s">
        <v>2459</v>
      </c>
      <c r="G113" t="s">
        <v>4884</v>
      </c>
      <c r="H113" t="s">
        <v>108</v>
      </c>
      <c r="I113" t="s">
        <v>3807</v>
      </c>
    </row>
    <row r="114" spans="1:9">
      <c r="A114" s="92" t="s">
        <v>4357</v>
      </c>
      <c r="B114" t="s">
        <v>1909</v>
      </c>
      <c r="C114" t="s">
        <v>2461</v>
      </c>
      <c r="D114" t="s">
        <v>2462</v>
      </c>
      <c r="E114" t="s">
        <v>108</v>
      </c>
      <c r="G114" t="s">
        <v>4884</v>
      </c>
      <c r="H114" t="s">
        <v>108</v>
      </c>
      <c r="I114" t="s">
        <v>3811</v>
      </c>
    </row>
    <row r="115" spans="1:9">
      <c r="A115" s="92" t="s">
        <v>4357</v>
      </c>
      <c r="B115" t="s">
        <v>1909</v>
      </c>
      <c r="C115" t="s">
        <v>2463</v>
      </c>
      <c r="D115" t="s">
        <v>2464</v>
      </c>
      <c r="E115" t="s">
        <v>108</v>
      </c>
      <c r="G115" t="s">
        <v>4884</v>
      </c>
      <c r="H115" t="s">
        <v>108</v>
      </c>
      <c r="I115" t="s">
        <v>3811</v>
      </c>
    </row>
    <row r="116" spans="1:9">
      <c r="A116" s="92" t="s">
        <v>4357</v>
      </c>
      <c r="B116" t="s">
        <v>1909</v>
      </c>
      <c r="C116" t="s">
        <v>2465</v>
      </c>
      <c r="D116" t="s">
        <v>2464</v>
      </c>
      <c r="E116" t="s">
        <v>108</v>
      </c>
      <c r="G116" t="s">
        <v>4884</v>
      </c>
      <c r="H116" t="s">
        <v>108</v>
      </c>
      <c r="I116" t="s">
        <v>3811</v>
      </c>
    </row>
    <row r="117" spans="1:9">
      <c r="A117" s="92" t="s">
        <v>4357</v>
      </c>
      <c r="B117" t="s">
        <v>1911</v>
      </c>
      <c r="C117" t="s">
        <v>2467</v>
      </c>
      <c r="D117" t="s">
        <v>2319</v>
      </c>
      <c r="E117" t="s">
        <v>2403</v>
      </c>
      <c r="F117" t="s">
        <v>2468</v>
      </c>
      <c r="G117" t="s">
        <v>4884</v>
      </c>
      <c r="H117" t="s">
        <v>2403</v>
      </c>
      <c r="I117" t="s">
        <v>3815</v>
      </c>
    </row>
    <row r="118" spans="1:9">
      <c r="A118" s="92" t="s">
        <v>4357</v>
      </c>
      <c r="B118" t="s">
        <v>1911</v>
      </c>
      <c r="C118" t="s">
        <v>2469</v>
      </c>
      <c r="D118" t="s">
        <v>2382</v>
      </c>
      <c r="E118" t="s">
        <v>108</v>
      </c>
      <c r="F118" t="s">
        <v>2470</v>
      </c>
      <c r="G118" t="s">
        <v>4884</v>
      </c>
      <c r="H118" t="s">
        <v>108</v>
      </c>
      <c r="I118" t="s">
        <v>3815</v>
      </c>
    </row>
    <row r="119" spans="1:9">
      <c r="A119" s="92" t="s">
        <v>4357</v>
      </c>
      <c r="B119" t="s">
        <v>1911</v>
      </c>
      <c r="C119" t="s">
        <v>2471</v>
      </c>
      <c r="D119" t="s">
        <v>2379</v>
      </c>
      <c r="E119" t="s">
        <v>108</v>
      </c>
      <c r="F119" t="s">
        <v>2472</v>
      </c>
      <c r="G119" t="s">
        <v>4884</v>
      </c>
      <c r="H119" t="s">
        <v>108</v>
      </c>
      <c r="I119" t="s">
        <v>3815</v>
      </c>
    </row>
    <row r="120" spans="1:9">
      <c r="A120" s="92" t="s">
        <v>4357</v>
      </c>
      <c r="B120" t="s">
        <v>1911</v>
      </c>
      <c r="C120" t="s">
        <v>2473</v>
      </c>
      <c r="D120" t="s">
        <v>2474</v>
      </c>
      <c r="E120" t="s">
        <v>108</v>
      </c>
      <c r="F120" t="s">
        <v>2475</v>
      </c>
      <c r="G120" t="s">
        <v>4884</v>
      </c>
      <c r="H120" t="s">
        <v>108</v>
      </c>
      <c r="I120" t="s">
        <v>3815</v>
      </c>
    </row>
    <row r="121" spans="1:9">
      <c r="A121" s="92" t="s">
        <v>4357</v>
      </c>
      <c r="B121" t="s">
        <v>1916</v>
      </c>
      <c r="C121" t="s">
        <v>2477</v>
      </c>
      <c r="D121" t="s">
        <v>2382</v>
      </c>
      <c r="E121" t="s">
        <v>108</v>
      </c>
      <c r="F121" t="s">
        <v>2478</v>
      </c>
      <c r="G121" t="s">
        <v>4884</v>
      </c>
      <c r="H121" t="s">
        <v>108</v>
      </c>
      <c r="I121" t="s">
        <v>3819</v>
      </c>
    </row>
    <row r="122" spans="1:9">
      <c r="A122" s="92" t="s">
        <v>4357</v>
      </c>
      <c r="B122" t="s">
        <v>1916</v>
      </c>
      <c r="C122" t="s">
        <v>2479</v>
      </c>
      <c r="D122" t="s">
        <v>2480</v>
      </c>
      <c r="E122" t="s">
        <v>108</v>
      </c>
      <c r="F122" t="s">
        <v>2481</v>
      </c>
      <c r="G122" t="s">
        <v>4884</v>
      </c>
      <c r="H122" t="s">
        <v>108</v>
      </c>
      <c r="I122" t="s">
        <v>3819</v>
      </c>
    </row>
    <row r="123" spans="1:9">
      <c r="A123" s="92" t="s">
        <v>4357</v>
      </c>
      <c r="B123" t="s">
        <v>1916</v>
      </c>
      <c r="C123" t="s">
        <v>2482</v>
      </c>
      <c r="D123" t="s">
        <v>2480</v>
      </c>
      <c r="E123" t="s">
        <v>108</v>
      </c>
      <c r="F123" t="s">
        <v>2483</v>
      </c>
      <c r="G123" t="s">
        <v>4884</v>
      </c>
      <c r="H123" t="s">
        <v>108</v>
      </c>
      <c r="I123" t="s">
        <v>3819</v>
      </c>
    </row>
    <row r="124" spans="1:9">
      <c r="A124" s="92" t="s">
        <v>4357</v>
      </c>
      <c r="B124" t="s">
        <v>1916</v>
      </c>
      <c r="C124" t="s">
        <v>2484</v>
      </c>
      <c r="D124" t="s">
        <v>2382</v>
      </c>
      <c r="E124" t="s">
        <v>2403</v>
      </c>
      <c r="G124" t="s">
        <v>4884</v>
      </c>
      <c r="H124" t="s">
        <v>2403</v>
      </c>
      <c r="I124" t="s">
        <v>3819</v>
      </c>
    </row>
    <row r="125" spans="1:9">
      <c r="A125" s="92" t="s">
        <v>4357</v>
      </c>
      <c r="B125" t="s">
        <v>1916</v>
      </c>
      <c r="C125" t="s">
        <v>2485</v>
      </c>
      <c r="D125" t="s">
        <v>2486</v>
      </c>
      <c r="E125" t="s">
        <v>2487</v>
      </c>
      <c r="G125" t="s">
        <v>4884</v>
      </c>
      <c r="H125" t="s">
        <v>108</v>
      </c>
      <c r="I125" t="s">
        <v>3819</v>
      </c>
    </row>
    <row r="126" spans="1:9">
      <c r="A126" s="92" t="s">
        <v>4357</v>
      </c>
      <c r="B126" t="s">
        <v>1918</v>
      </c>
      <c r="C126" t="s">
        <v>2489</v>
      </c>
      <c r="D126" t="s">
        <v>2490</v>
      </c>
      <c r="E126" t="s">
        <v>108</v>
      </c>
      <c r="G126" t="s">
        <v>4884</v>
      </c>
      <c r="H126" t="s">
        <v>108</v>
      </c>
      <c r="I126" t="s">
        <v>3823</v>
      </c>
    </row>
    <row r="127" spans="1:9">
      <c r="A127" s="92" t="s">
        <v>4357</v>
      </c>
      <c r="B127" t="s">
        <v>1918</v>
      </c>
      <c r="C127" t="s">
        <v>2491</v>
      </c>
      <c r="D127" t="s">
        <v>2490</v>
      </c>
      <c r="E127" t="s">
        <v>2403</v>
      </c>
      <c r="F127" t="s">
        <v>2492</v>
      </c>
      <c r="G127" t="s">
        <v>4884</v>
      </c>
      <c r="H127" t="s">
        <v>2403</v>
      </c>
      <c r="I127" t="s">
        <v>3823</v>
      </c>
    </row>
    <row r="128" spans="1:9">
      <c r="A128" s="92" t="s">
        <v>4357</v>
      </c>
      <c r="B128" t="s">
        <v>1918</v>
      </c>
      <c r="C128" t="s">
        <v>2529</v>
      </c>
      <c r="D128" t="s">
        <v>2494</v>
      </c>
      <c r="E128" t="s">
        <v>2530</v>
      </c>
      <c r="F128" t="s">
        <v>2532</v>
      </c>
      <c r="G128" t="s">
        <v>4885</v>
      </c>
      <c r="H128" t="s">
        <v>2719</v>
      </c>
      <c r="I128" t="s">
        <v>3823</v>
      </c>
    </row>
    <row r="129" spans="1:9">
      <c r="A129" s="92" t="s">
        <v>4357</v>
      </c>
      <c r="B129" t="s">
        <v>1918</v>
      </c>
      <c r="C129" t="s">
        <v>2493</v>
      </c>
      <c r="D129" t="s">
        <v>2494</v>
      </c>
      <c r="E129" t="s">
        <v>2421</v>
      </c>
      <c r="F129" t="s">
        <v>2495</v>
      </c>
      <c r="G129" t="s">
        <v>4884</v>
      </c>
      <c r="H129" t="s">
        <v>108</v>
      </c>
      <c r="I129" t="s">
        <v>3823</v>
      </c>
    </row>
    <row r="130" spans="1:9">
      <c r="A130" s="92" t="s">
        <v>4357</v>
      </c>
      <c r="B130" t="s">
        <v>1918</v>
      </c>
      <c r="C130" t="s">
        <v>2496</v>
      </c>
      <c r="D130" t="s">
        <v>2490</v>
      </c>
      <c r="E130" t="s">
        <v>2497</v>
      </c>
      <c r="G130" t="s">
        <v>4884</v>
      </c>
      <c r="H130" t="s">
        <v>108</v>
      </c>
      <c r="I130" t="s">
        <v>3823</v>
      </c>
    </row>
    <row r="131" spans="1:9">
      <c r="A131" s="92" t="s">
        <v>4357</v>
      </c>
      <c r="B131" t="s">
        <v>1918</v>
      </c>
      <c r="C131" t="s">
        <v>2498</v>
      </c>
      <c r="D131" t="s">
        <v>2490</v>
      </c>
      <c r="E131" t="s">
        <v>2499</v>
      </c>
      <c r="F131" t="s">
        <v>2500</v>
      </c>
      <c r="G131" t="s">
        <v>4884</v>
      </c>
      <c r="H131" t="s">
        <v>108</v>
      </c>
      <c r="I131" t="s">
        <v>3823</v>
      </c>
    </row>
    <row r="132" spans="1:9">
      <c r="A132" s="92" t="s">
        <v>4357</v>
      </c>
      <c r="B132" t="s">
        <v>1920</v>
      </c>
      <c r="C132" t="s">
        <v>2502</v>
      </c>
      <c r="D132" t="s">
        <v>2325</v>
      </c>
      <c r="E132" t="s">
        <v>2503</v>
      </c>
      <c r="F132" t="s">
        <v>2504</v>
      </c>
      <c r="G132" t="s">
        <v>4884</v>
      </c>
      <c r="H132" t="s">
        <v>108</v>
      </c>
      <c r="I132" t="s">
        <v>3827</v>
      </c>
    </row>
    <row r="133" spans="1:9">
      <c r="A133" s="92" t="s">
        <v>4357</v>
      </c>
      <c r="B133" t="s">
        <v>1920</v>
      </c>
      <c r="C133" t="s">
        <v>2341</v>
      </c>
      <c r="D133" t="s">
        <v>2342</v>
      </c>
      <c r="E133" t="s">
        <v>2343</v>
      </c>
      <c r="F133" t="s">
        <v>2344</v>
      </c>
      <c r="G133" t="s">
        <v>4884</v>
      </c>
      <c r="H133" t="s">
        <v>108</v>
      </c>
      <c r="I133" t="s">
        <v>3827</v>
      </c>
    </row>
    <row r="134" spans="1:9">
      <c r="A134" s="92" t="s">
        <v>4357</v>
      </c>
      <c r="B134" t="s">
        <v>1920</v>
      </c>
      <c r="C134" t="s">
        <v>2348</v>
      </c>
      <c r="E134" t="s">
        <v>2292</v>
      </c>
      <c r="G134" t="s">
        <v>4884</v>
      </c>
      <c r="H134" t="s">
        <v>2446</v>
      </c>
      <c r="I134" t="s">
        <v>3827</v>
      </c>
    </row>
    <row r="135" spans="1:9">
      <c r="A135" s="92" t="s">
        <v>4357</v>
      </c>
      <c r="B135" t="s">
        <v>1920</v>
      </c>
      <c r="C135" t="s">
        <v>2505</v>
      </c>
      <c r="D135" t="s">
        <v>2291</v>
      </c>
      <c r="E135" t="s">
        <v>108</v>
      </c>
      <c r="G135" t="s">
        <v>4884</v>
      </c>
      <c r="H135" t="s">
        <v>108</v>
      </c>
      <c r="I135" t="s">
        <v>3827</v>
      </c>
    </row>
    <row r="136" spans="1:9">
      <c r="A136" s="92" t="s">
        <v>4357</v>
      </c>
      <c r="B136" t="s">
        <v>1920</v>
      </c>
      <c r="C136" t="s">
        <v>2506</v>
      </c>
      <c r="D136" t="s">
        <v>2346</v>
      </c>
      <c r="E136" t="s">
        <v>2507</v>
      </c>
      <c r="F136" t="s">
        <v>2508</v>
      </c>
      <c r="G136" t="s">
        <v>4884</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
      <c r="A10" s="325" t="s">
        <v>4320</v>
      </c>
      <c r="B10" s="325" t="s">
        <v>4377</v>
      </c>
      <c r="C10" s="325" t="s">
        <v>4894</v>
      </c>
      <c r="D10" s="325" t="s">
        <v>4895</v>
      </c>
      <c r="E10" s="325" t="s">
        <v>4896</v>
      </c>
      <c r="F10" s="325" t="s">
        <v>4897</v>
      </c>
      <c r="G10" s="325" t="s">
        <v>4376</v>
      </c>
      <c r="H10" s="325" t="s">
        <v>4378</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2026-08-11T22:11:23Z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